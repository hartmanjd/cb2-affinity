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Download Record" sheetId="2" state="visible" r:id="rId4"/>
    <sheet name="Filter Funnel" sheetId="3" state="visible" r:id="rId5"/>
    <sheet name="Kept Measurements" sheetId="4" state="visible" r:id="rId6"/>
    <sheet name="Quarantine" sheetId="5" state="visible" r:id="rId7"/>
    <sheet name="Assays" sheetId="6" state="visible" r:id="rId8"/>
    <sheet name="Documents" sheetId="7" state="visible" r:id="rId9"/>
    <sheet name="Pipeline Settings" sheetId="8" state="visible" r:id="rId10"/>
  </sheets>
  <definedNames>
    <definedName function="false" hidden="true" localSheetId="5" name="_xlnm._FilterDatabase" vbProcedure="false">Assays!$A$5:$L$1556</definedName>
    <definedName function="false" hidden="true" localSheetId="6" name="_xlnm._FilterDatabase" vbProcedure="false">Documents!$A$4:$K$657</definedName>
    <definedName function="false" hidden="true" localSheetId="3" name="_xlnm._FilterDatabase" vbProcedure="false">'Kept Measurements'!$A$5:$L$3940</definedName>
    <definedName function="false" hidden="true" localSheetId="4" name="_xlnm._FilterDatabase" vbProcedure="false">Quarantine!$A$5:$K$151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<sst xmlns="http://schemas.openxmlformats.org/spreadsheetml/2006/main" count="38128" uniqueCount="13144">
  <si>
    <t xml:space="preserve">CB2 Affinity — Data Provenance Workbook</t>
  </si>
  <si>
    <t xml:space="preserve">Where every number in the project came from: source, download, filters, every kept and removed measurement, and the modeling pipeline.</t>
  </si>
  <si>
    <t xml:space="preserve">Key facts</t>
  </si>
  <si>
    <t xml:space="preserve">Project</t>
  </si>
  <si>
    <t xml:space="preserve">Human CB2 receptor binding affinity (Ki) dataset for modeling and activity-cliff analysis</t>
  </si>
  <si>
    <t xml:space="preserve">Source database</t>
  </si>
  <si>
    <t xml:space="preserve">ChEMBL (ChEMBL 37, released 2026-05-01)</t>
  </si>
  <si>
    <t xml:space="preserve">Target</t>
  </si>
  <si>
    <t xml:space="preserve">Cannabinoid receptor 2 (CB2 / CNR2), Homo sapiens</t>
  </si>
  <si>
    <t xml:space="preserve">ChEMBL target ID</t>
  </si>
  <si>
    <t xml:space="preserve">CHEMBL253</t>
  </si>
  <si>
    <t xml:space="preserve">UniProt accession</t>
  </si>
  <si>
    <t xml:space="preserve">P34972</t>
  </si>
  <si>
    <t xml:space="preserve">Raw download used</t>
  </si>
  <si>
    <t xml:space="preserve">data/raw/chembl_cb2_20260922T020439072711Z  (retrieved 2026-09-22; earlier identical downloads were deleted)</t>
  </si>
  <si>
    <t xml:space="preserve">Records downloaded</t>
  </si>
  <si>
    <t xml:space="preserve">Ki measurements among them</t>
  </si>
  <si>
    <t xml:space="preserve">Measurements kept in Dataset v1</t>
  </si>
  <si>
    <t xml:space="preserve">Measurements quarantined</t>
  </si>
  <si>
    <t xml:space="preserve">Unique structures in Dataset v1</t>
  </si>
  <si>
    <t xml:space="preserve">Assays contributing to Dataset v1</t>
  </si>
  <si>
    <t xml:space="preserve">Documents contributing to Dataset v1</t>
  </si>
  <si>
    <t xml:space="preserve">Accounting check</t>
  </si>
  <si>
    <t xml:space="preserve">Dataset v1 frozen (UTC)</t>
  </si>
  <si>
    <t xml:space="preserve">2026-09-22T02:24:17.603973+00:00</t>
  </si>
  <si>
    <t xml:space="preserve">Scaffold split (train / val / test)</t>
  </si>
  <si>
    <t xml:space="preserve">2,906 / 433 / 249  — see Pipeline Settings</t>
  </si>
  <si>
    <t xml:space="preserve">Best validation model</t>
  </si>
  <si>
    <t xml:space="preserve">Random Forest: R² 0.42 on the scaffold split, 0.61 on the random split</t>
  </si>
  <si>
    <t xml:space="preserve">What's in each sheet</t>
  </si>
  <si>
    <t xml:space="preserve">Sheet</t>
  </si>
  <si>
    <t xml:space="preserve">What it answers</t>
  </si>
  <si>
    <t xml:space="preserve">Download Record</t>
  </si>
  <si>
    <t xml:space="preserve">What exactly did we download, from which ChEMBL version, and when? Includes file checksums and the mix of measurement types.</t>
  </si>
  <si>
    <t xml:space="preserve">Filter Funnel</t>
  </si>
  <si>
    <t xml:space="preserve">How did 22,523 raw records become 3,588 modeling structures? One row per filter, with counts removed at each step.</t>
  </si>
  <si>
    <t xml:space="preserve">Kept Measurements</t>
  </si>
  <si>
    <t xml:space="preserve">Where did each value in Dataset v1 come from? Every kept measurement with its assay, paper, year and DOI.</t>
  </si>
  <si>
    <t xml:space="preserve">Quarantine</t>
  </si>
  <si>
    <t xml:space="preserve">Which measurements were removed for disagreeing with each other, and by how much?</t>
  </si>
  <si>
    <t xml:space="preserve">Assays</t>
  </si>
  <si>
    <t xml:space="preserve">Which experiments do the numbers come from, and which ones feed Dataset v1?</t>
  </si>
  <si>
    <t xml:space="preserve">Documents</t>
  </si>
  <si>
    <t xml:space="preserve">Which papers, patents and datasets are the original sources? DOIs link to each paper.</t>
  </si>
  <si>
    <t xml:space="preserve">Pipeline Settings</t>
  </si>
  <si>
    <t xml:space="preserve">What happened after Dataset v1? Splits, fingerprints, model settings, scores, software versions and file checksums.</t>
  </si>
  <si>
    <t xml:space="preserve">Raw JSON files in data/raw/ remain the source of truth; this workbook summarizes them for review and presentation.</t>
  </si>
  <si>
    <t xml:space="preserve">Exactly what was pulled from ChEMBL, when, and how. Source: data/raw/chembl_cb2_20260922T020439072711Z/</t>
  </si>
  <si>
    <t xml:space="preserve">Download (acquisition_manifest.json)</t>
  </si>
  <si>
    <t xml:space="preserve">Source</t>
  </si>
  <si>
    <t xml:space="preserve">ChEMBL REST API</t>
  </si>
  <si>
    <t xml:space="preserve">Retrieved at (UTC)</t>
  </si>
  <si>
    <t xml:space="preserve">2026-09-22T02:04:39.072711+00:00</t>
  </si>
  <si>
    <t xml:space="preserve">ChEMBL version</t>
  </si>
  <si>
    <t xml:space="preserve">ChEMBL_37</t>
  </si>
  <si>
    <t xml:space="preserve">Target ChEMBL ID</t>
  </si>
  <si>
    <t xml:space="preserve">Activity query</t>
  </si>
  <si>
    <t xml:space="preserve">https://www.ebi.ac.uk/chembl/api/data/activity.json?target_chembl_id=CHEMBL253&amp;limit=1000</t>
  </si>
  <si>
    <t xml:space="preserve">Assay query</t>
  </si>
  <si>
    <t xml:space="preserve">https://www.ebi.ac.uk/chembl/api/data/assay.json?target_chembl_id=CHEMBL253&amp;limit=1000</t>
  </si>
  <si>
    <t xml:space="preserve">Document queries</t>
  </si>
  <si>
    <t xml:space="preserve">14 batched requests (50 document IDs each); full URLs are in the manifest file</t>
  </si>
  <si>
    <t xml:space="preserve">Activity records</t>
  </si>
  <si>
    <t xml:space="preserve">Distinct molecule IDs</t>
  </si>
  <si>
    <t xml:space="preserve">Assay records</t>
  </si>
  <si>
    <t xml:space="preserve">Document records</t>
  </si>
  <si>
    <t xml:space="preserve">Filtering applied</t>
  </si>
  <si>
    <t xml:space="preserve">Target query only; no activity quality filters</t>
  </si>
  <si>
    <t xml:space="preserve">ChEMBL database (chembl_status.json)</t>
  </si>
  <si>
    <t xml:space="preserve">Database version</t>
  </si>
  <si>
    <t xml:space="preserve">Release date</t>
  </si>
  <si>
    <t xml:space="preserve">2026-05-01</t>
  </si>
  <si>
    <t xml:space="preserve">Total activities in ChEMBL</t>
  </si>
  <si>
    <t xml:space="preserve">Distinct compounds in ChEMBL</t>
  </si>
  <si>
    <t xml:space="preserve">Targets in ChEMBL</t>
  </si>
  <si>
    <t xml:space="preserve">Target (chembl_cb2_target.json)</t>
  </si>
  <si>
    <t xml:space="preserve">Preferred name</t>
  </si>
  <si>
    <t xml:space="preserve">Cannabinoid receptor 2</t>
  </si>
  <si>
    <t xml:space="preserve">Organism (tax ID)</t>
  </si>
  <si>
    <t xml:space="preserve">Homo sapiens (9606)</t>
  </si>
  <si>
    <t xml:space="preserve">Target type</t>
  </si>
  <si>
    <t xml:space="preserve">SINGLE PROTEIN</t>
  </si>
  <si>
    <t xml:space="preserve">Synonyms</t>
  </si>
  <si>
    <t xml:space="preserve">CB-2, CB2, CB2A, CB2B, CNR2, CX5, Cannabinoid receptor 2, hCB2</t>
  </si>
  <si>
    <t xml:space="preserve">PDB structures</t>
  </si>
  <si>
    <t xml:space="preserve">2KI9, 5ZTY, 6KPC, 6KPF, 6PT0, 8GUQ, 8GUR, 8GUS, 8GUT, 8X3L</t>
  </si>
  <si>
    <t xml:space="preserve">Raw files in this download</t>
  </si>
  <si>
    <t xml:space="preserve">File</t>
  </si>
  <si>
    <t xml:space="preserve">What it holds</t>
  </si>
  <si>
    <t xml:space="preserve">Records</t>
  </si>
  <si>
    <t xml:space="preserve">Size (MB)</t>
  </si>
  <si>
    <t xml:space="preserve">MD5 checksum</t>
  </si>
  <si>
    <t xml:space="preserve">Matched earlier downloads?</t>
  </si>
  <si>
    <t xml:space="preserve">acquisition_manifest.json</t>
  </si>
  <si>
    <t xml:space="preserve">Our own record of the download: time, queries, counts</t>
  </si>
  <si>
    <t xml:space="preserve">6b889fdc79d330abb4ba795dfcb35cd9</t>
  </si>
  <si>
    <t xml:space="preserve">No (download time differs only)</t>
  </si>
  <si>
    <t xml:space="preserve">chembl_cb2_activity.json</t>
  </si>
  <si>
    <t xml:space="preserve">The measurements (one row per reported value)</t>
  </si>
  <si>
    <t xml:space="preserve">5f997c744b88dd4369416ac0ddcc0a24</t>
  </si>
  <si>
    <t xml:space="preserve">Yes</t>
  </si>
  <si>
    <t xml:space="preserve">chembl_cb2_assay.json</t>
  </si>
  <si>
    <t xml:space="preserve">The experiments behind the measurements</t>
  </si>
  <si>
    <t xml:space="preserve">c1f817e17012e8cb1281309c62a7d363</t>
  </si>
  <si>
    <t xml:space="preserve">chembl_cb2_documents.json</t>
  </si>
  <si>
    <t xml:space="preserve">The papers, patents and datasets the values came from</t>
  </si>
  <si>
    <t xml:space="preserve">4a633cae17842e4e5c376f08d2ccba8b</t>
  </si>
  <si>
    <t xml:space="preserve">chembl_cb2_target.json</t>
  </si>
  <si>
    <t xml:space="preserve">Description of the CB2 target itself</t>
  </si>
  <si>
    <t xml:space="preserve">8c2f29dfc47365c49750d0947db00464</t>
  </si>
  <si>
    <t xml:space="preserve">chembl_status.json</t>
  </si>
  <si>
    <t xml:space="preserve">ChEMBL version info, for reproducibility</t>
  </si>
  <si>
    <t xml:space="preserve">daea8de8491724377efd9c19a1c6d638</t>
  </si>
  <si>
    <t xml:space="preserve">Checked 2026-09-29: the Sept 10 and Sept 14 runs of notebook 00 and the Sept 10 source-research copy had identical MD5 checksums for every data file, so they were deleted.</t>
  </si>
  <si>
    <t xml:space="preserve">What kinds of measurements were downloaded</t>
  </si>
  <si>
    <t xml:space="preserve">Measurement type (standard_type)</t>
  </si>
  <si>
    <t xml:space="preserve">Share of download</t>
  </si>
  <si>
    <t xml:space="preserve">Ki</t>
  </si>
  <si>
    <t xml:space="preserve">EC50</t>
  </si>
  <si>
    <t xml:space="preserve">IC50</t>
  </si>
  <si>
    <t xml:space="preserve">Activity</t>
  </si>
  <si>
    <t xml:space="preserve">Emax</t>
  </si>
  <si>
    <t xml:space="preserve">kon</t>
  </si>
  <si>
    <t xml:space="preserve">k_off</t>
  </si>
  <si>
    <t xml:space="preserve">Inhibition</t>
  </si>
  <si>
    <t xml:space="preserve">Efficacy</t>
  </si>
  <si>
    <t xml:space="preserve">Imax</t>
  </si>
  <si>
    <t xml:space="preserve">pEC50</t>
  </si>
  <si>
    <t xml:space="preserve">Intrinsic activity</t>
  </si>
  <si>
    <t xml:space="preserve">Displacement</t>
  </si>
  <si>
    <t xml:space="preserve">Kieq</t>
  </si>
  <si>
    <t xml:space="preserve">% Ctrl</t>
  </si>
  <si>
    <t xml:space="preserve">Log Ki</t>
  </si>
  <si>
    <t xml:space="preserve">logEC50</t>
  </si>
  <si>
    <t xml:space="preserve">Kd</t>
  </si>
  <si>
    <t xml:space="preserve">Kb</t>
  </si>
  <si>
    <t xml:space="preserve">Ratio</t>
  </si>
  <si>
    <t xml:space="preserve">Bmax</t>
  </si>
  <si>
    <t xml:space="preserve">% Inhibition of Control Specific Binding (Mean n=2)</t>
  </si>
  <si>
    <t xml:space="preserve">pKi</t>
  </si>
  <si>
    <t xml:space="preserve">deltaG</t>
  </si>
  <si>
    <t xml:space="preserve">Ratio EC50</t>
  </si>
  <si>
    <t xml:space="preserve">Emin</t>
  </si>
  <si>
    <t xml:space="preserve">%max</t>
  </si>
  <si>
    <t xml:space="preserve">FC</t>
  </si>
  <si>
    <t xml:space="preserve">Ratio Ki</t>
  </si>
  <si>
    <t xml:space="preserve">% specific binding</t>
  </si>
  <si>
    <t xml:space="preserve">pIC50</t>
  </si>
  <si>
    <t xml:space="preserve">pXC50</t>
  </si>
  <si>
    <t xml:space="preserve">XC50</t>
  </si>
  <si>
    <t xml:space="preserve">SC50</t>
  </si>
  <si>
    <t xml:space="preserve">EC</t>
  </si>
  <si>
    <t xml:space="preserve">Inverse agonism</t>
  </si>
  <si>
    <t xml:space="preserve">Mean fold stimulation</t>
  </si>
  <si>
    <t xml:space="preserve">effect</t>
  </si>
  <si>
    <t xml:space="preserve">RLU</t>
  </si>
  <si>
    <t xml:space="preserve">% of inhibition</t>
  </si>
  <si>
    <t xml:space="preserve">% of control</t>
  </si>
  <si>
    <t xml:space="preserve">Total</t>
  </si>
  <si>
    <t xml:space="preserve">Highlighted row = the only measurement type used in this project.</t>
  </si>
  <si>
    <t xml:space="preserve">From everything ChEMBL has on CB2 to the final modeling dataset. Each step is applied to what survived the step above it.</t>
  </si>
  <si>
    <t xml:space="preserve">Step</t>
  </si>
  <si>
    <t xml:space="preserve">Stage</t>
  </si>
  <si>
    <t xml:space="preserve">Measurements</t>
  </si>
  <si>
    <t xml:space="preserve">Removed at this step</t>
  </si>
  <si>
    <t xml:space="preserve">% of download kept</t>
  </si>
  <si>
    <t xml:space="preserve">Molecule IDs</t>
  </si>
  <si>
    <t xml:space="preserve">What this step removes</t>
  </si>
  <si>
    <t xml:space="preserve">All CB2 activity records downloaded</t>
  </si>
  <si>
    <t xml:space="preserve">-</t>
  </si>
  <si>
    <t xml:space="preserve">Everything ChEMBL links to CHEMBL253, all measurement types</t>
  </si>
  <si>
    <t xml:space="preserve">Ki measurements only</t>
  </si>
  <si>
    <t xml:space="preserve">Drops EC50, IC50, Emax, kinetics, etc.</t>
  </si>
  <si>
    <t xml:space="preserve">Binding assays (type B)</t>
  </si>
  <si>
    <t xml:space="preserve">Drops functional (F) and ADME (A) assays</t>
  </si>
  <si>
    <t xml:space="preserve">Direct single-protein target (confidence 9)</t>
  </si>
  <si>
    <t xml:space="preserve">Drops homologous / non-human target assignments</t>
  </si>
  <si>
    <t xml:space="preserve">Human assay organism</t>
  </si>
  <si>
    <t xml:space="preserve">Removed nothing; confirms all are human</t>
  </si>
  <si>
    <t xml:space="preserve">Numeric, positive value in nM</t>
  </si>
  <si>
    <t xml:space="preserve">Drops missing values and non-nM units</t>
  </si>
  <si>
    <t xml:space="preserve">Exact values only (relation "=")</t>
  </si>
  <si>
    <t xml:space="preserve">Drops censored values such as "&gt; 10,000 nM"</t>
  </si>
  <si>
    <t xml:space="preserve">Acceptable validity flag</t>
  </si>
  <si>
    <t xml:space="preserve">Drops records ChEMBL flagged as suspicious</t>
  </si>
  <si>
    <t xml:space="preserve">No potential-duplicate flag</t>
  </si>
  <si>
    <t xml:space="preserve">Drops values ChEMBL marks as likely copies of other records</t>
  </si>
  <si>
    <t xml:space="preserve">Agreeing measurements only (quarantine pKi range &gt;= 1.0)</t>
  </si>
  <si>
    <t xml:space="preserve">Quarantines every measurement of a structure whose repeated values disagree by 1 pKi unit or more (see Quarantine sheet)</t>
  </si>
  <si>
    <t xml:space="preserve">Counts reproduced by re-running notebook 01's filter logic on the 2026-09-22 raw download; they match the notebook's printed outputs. The last row's molecule/assay/document counts come from cb2_v1_measurement_sources.csv.</t>
  </si>
  <si>
    <t xml:space="preserve">Dataset v1 — final accounting</t>
  </si>
  <si>
    <t xml:space="preserve">Item</t>
  </si>
  <si>
    <t xml:space="preserve">Value</t>
  </si>
  <si>
    <t xml:space="preserve">Source / check</t>
  </si>
  <si>
    <t xml:space="preserve">Candidate measurements (after step 8)</t>
  </si>
  <si>
    <t xml:space="preserve">Filter Funnel, step 8</t>
  </si>
  <si>
    <t xml:space="preserve">Quarantined measurements</t>
  </si>
  <si>
    <t xml:space="preserve">Rows on the Quarantine sheet</t>
  </si>
  <si>
    <t xml:space="preserve">Retained measurements</t>
  </si>
  <si>
    <t xml:space="preserve">Step 9 above</t>
  </si>
  <si>
    <t xml:space="preserve">Rows on the Kept Measurements sheet</t>
  </si>
  <si>
    <t xml:space="preserve">One row per kept measurement (from cb2_v1_measurement_sources.csv)</t>
  </si>
  <si>
    <t xml:space="preserve">Check: retained + quarantined = candidates, and matches Kept Measurements</t>
  </si>
  <si>
    <t xml:space="preserve">Every measurement ends up in exactly one place</t>
  </si>
  <si>
    <t xml:space="preserve">Unique standardized parent structures (modeling rows)</t>
  </si>
  <si>
    <t xml:space="preserve">cb2_v1_modeling_table.csv — one pKi per structure</t>
  </si>
  <si>
    <t xml:space="preserve">Curation settings (cb2_v1_settings_and_checksums.json)</t>
  </si>
  <si>
    <t xml:space="preserve">Endpoint</t>
  </si>
  <si>
    <t xml:space="preserve">Unit</t>
  </si>
  <si>
    <t xml:space="preserve">nM</t>
  </si>
  <si>
    <t xml:space="preserve">Model target</t>
  </si>
  <si>
    <t xml:space="preserve">pKi  (pKi = 9 - log10(Ki in nM))</t>
  </si>
  <si>
    <t xml:space="preserve">Structure standardization</t>
  </si>
  <si>
    <t xml:space="preserve">ChEMBL Structure Pipeline</t>
  </si>
  <si>
    <t xml:space="preserve">Disagreement threshold</t>
  </si>
  <si>
    <t xml:space="preserve">1.0 pKi units</t>
  </si>
  <si>
    <t xml:space="preserve">Salts / mixtures</t>
  </si>
  <si>
    <t xml:space="preserve">Generate ChEMBL parent; quarantine structures remaining multicomponent</t>
  </si>
  <si>
    <t xml:space="preserve">Charged molecules</t>
  </si>
  <si>
    <t xml:space="preserve">Retain valid single-component charged parents; record formal charge</t>
  </si>
  <si>
    <t xml:space="preserve">Combining repeat measurements</t>
  </si>
  <si>
    <t xml:space="preserve">Median within assay, then median across assays</t>
  </si>
  <si>
    <t xml:space="preserve">RDKit version</t>
  </si>
  <si>
    <t xml:space="preserve">2026.03.6</t>
  </si>
  <si>
    <t xml:space="preserve">ChEMBL Structure Pipeline version</t>
  </si>
  <si>
    <t xml:space="preserve">1.2.4</t>
  </si>
  <si>
    <t xml:space="preserve">Dataset frozen at (UTC)</t>
  </si>
  <si>
    <t xml:space="preserve">All 3,935 measurements in Dataset v1 (cb2_v1_measurement_sources.csv). Grouped by structure. Year, journal and DOI are looked up from the Documents sheet.</t>
  </si>
  <si>
    <t xml:space="preserve">Final pKi = the single value used for modeling: median within each assay, then median across assays (cb2_v1_modeling_table.csv).</t>
  </si>
  <si>
    <t xml:space="preserve">Activity ID</t>
  </si>
  <si>
    <t xml:space="preserve">Molecule ChEMBL ID</t>
  </si>
  <si>
    <t xml:space="preserve">Standardized structure (SMILES)</t>
  </si>
  <si>
    <t xml:space="preserve">Ki (nM)</t>
  </si>
  <si>
    <t xml:space="preserve">pKi (this measurement)</t>
  </si>
  <si>
    <t xml:space="preserve">Final pKi for this structure</t>
  </si>
  <si>
    <t xml:space="preserve">Assay ChEMBL ID</t>
  </si>
  <si>
    <t xml:space="preserve">Document ChEMBL ID</t>
  </si>
  <si>
    <t xml:space="preserve">Year</t>
  </si>
  <si>
    <t xml:space="preserve">Journal</t>
  </si>
  <si>
    <t xml:space="preserve">DOI</t>
  </si>
  <si>
    <t xml:space="preserve">Assay description</t>
  </si>
  <si>
    <t xml:space="preserve">CHEMBL3116301</t>
  </si>
  <si>
    <t xml:space="preserve">Brc1ccc2c(c1)c(OCc1ccc3ccccc3c1)nn2CCN1CCCCC1</t>
  </si>
  <si>
    <t xml:space="preserve">CHEMBL3119243</t>
  </si>
  <si>
    <t xml:space="preserve">CHEMBL3112400</t>
  </si>
  <si>
    <t xml:space="preserve">Displacement of [3H]-CP55940 from human CB2 receptor transfected in HEK-293EBNA cells after 90 mins by luminescence counting analysis</t>
  </si>
  <si>
    <t xml:space="preserve">CHEMBL5851352</t>
  </si>
  <si>
    <t xml:space="preserve">C#CCCC1(CCNC(=O)c2nonc2Cn2nc3nc(C(C)(C)C)nc(N4CCC(F)(F)C4)c3n2)N=N1</t>
  </si>
  <si>
    <t xml:space="preserve">CHEMBL5734545</t>
  </si>
  <si>
    <t xml:space="preserve">CHEMBL5727383</t>
  </si>
  <si>
    <t xml:space="preserve">Radioligand Binding Assay: The affinity of the compounds of the invention for cannabinoid receptors was determined using recommended amounts of membrane preparations (PerkinElmer) of human embryonic kidney (HEK) cells expressing the human CNR1 or CNR2 receptors in conjunction with 1.5 or 2.6 nM [3H]-CP-55,940 (Perkin Elmer) as radioligand, respectively. Binding was performed in binding buffer (50 mM Tris, 5 mM MgCl2, 2.5 mM EDTA, and 0.5% (wt/vol) fatty acid free BSA, pH 7.4 for CB1 receptor and 50 mM Tris, 5 mM MgCl2, 2.5 mM EGTA, and 0.1% (wt/vol) fatty acid free BSA, pH 7.4 for CB2 receptor) in a total volume of 0.2 mL for 1 h at 30° C. shaking. The reaction was terminated by rapid filtration through microfiltration plates coated with 0.5% polyethylenimine (UniFilter GF/B filter plate; Packard). Bound radioactivity was analyzed for Ki using nonlinear regression analysis (Activity Base, ID Business Solution, Limited), with the Kd values for [3H]CP55,940 determined from saturation experiments.</t>
  </si>
  <si>
    <t xml:space="preserve">CHEMBL5828594</t>
  </si>
  <si>
    <t xml:space="preserve">C#CCCC1(CCNC(=O)c2nonc2Cn2nc3nc(C(C)(C)C)nc(N4CC[C@H](O)C4)c3n2)N=N1</t>
  </si>
  <si>
    <t xml:space="preserve">CHEMBL6033933</t>
  </si>
  <si>
    <t xml:space="preserve">C#CCCC1(CCNC(=O)c2nonc2Cn2nnc3c(N4CCC(F)(F)C4)nc(C(C)(C)C)nc32)N=N1</t>
  </si>
  <si>
    <t xml:space="preserve">CHEMBL5734542</t>
  </si>
  <si>
    <t xml:space="preserve">CHEMBL5727381</t>
  </si>
  <si>
    <t xml:space="preserve">CHEMBL5942896</t>
  </si>
  <si>
    <t xml:space="preserve">C#CCCC1(CCNC(=O)c2nonc2Cn2nnc3c(N4CC[C@H](O)C4)nc(C(C)(C)C)nc32)N=N1</t>
  </si>
  <si>
    <t xml:space="preserve">CHEMBL1800732</t>
  </si>
  <si>
    <t xml:space="preserve">C#CCCCC(=O)OCC(CO)OCCCC/C=C\C/C=C\C/C=C\C/C=C\CCCCC</t>
  </si>
  <si>
    <t xml:space="preserve">CHEMBL1803288</t>
  </si>
  <si>
    <t xml:space="preserve">CHEMBL1799969</t>
  </si>
  <si>
    <t xml:space="preserve">Displacement of [3H]-CP55940 from human CB2 receptor expressed in HEK-293-EBNA cell membranes after 90 mins by scintillation counting</t>
  </si>
  <si>
    <t xml:space="preserve">CHEMBL4866238</t>
  </si>
  <si>
    <t xml:space="preserve">C#CCCCn1c(C)c(C(=O)c2ccc3c(c2)CC(C)(C)C3)c2ccccc21</t>
  </si>
  <si>
    <t xml:space="preserve">CHEMBL4826244</t>
  </si>
  <si>
    <t xml:space="preserve">CHEMBL4825669</t>
  </si>
  <si>
    <t xml:space="preserve">Displacement of [3H]-CP55940 from human CB2 receptor expressed in CHO cells incubated for 90 mins by liquid scintillation spectrophotometry relative to control</t>
  </si>
  <si>
    <t xml:space="preserve">CHEMBL4877815</t>
  </si>
  <si>
    <t xml:space="preserve">C#CCCCn1cc(C(=O)c2ccc3c(c2)CC(C)(C)C3)c2ccccc21</t>
  </si>
  <si>
    <t xml:space="preserve">CHEMBL3647329</t>
  </si>
  <si>
    <t xml:space="preserve">C#CCCn1cc(C(C)(C)C)s/c1=N\C(=O)c1cc(C(F)(F)F)ccc1ONC(C)(C)C</t>
  </si>
  <si>
    <t xml:space="preserve">CHEMBL3705595</t>
  </si>
  <si>
    <t xml:space="preserve">CHEMBL3638829</t>
  </si>
  <si>
    <t xml:space="preserve">Radioligand Binding Assays: The CB1 and CB2 radioligand binding assays described herein are utilized to ascertain the selectivity of compounds of the present application for binding to CB2 relative to CB1 receptors.HEK293 cells stably expressing human CB2 receptors were grown until a confluent monolayer was formed. Briefly, the cells were harvested and homogenized in TE buffer (50 mM Tris-HCl, 1 mM MgCl2, and 1 mM EDTA) using a polytron for 210 second bursts in the presence of protease inhibitors, followed by centrifugation at 45,000xg for 20 minutes. The final membrane pellet was re-homogenized in storage buffer (50 mM Tris-HCl, 1 mM MgCl2, and 1 mM EDTA and 10% sucrose) and frozen at -78 C. until used. Saturation binding reactions were initiated by the addition of membrane preparation (protein concentration of 5 ug/well for human CB2) into wells of a deep well plate containing [3H]CP 55,940 (120 Ci/mmol, a nonselective CB agonist commercially available from Tocris) in assay buffer.</t>
  </si>
  <si>
    <t xml:space="preserve">CHEMBL4218304</t>
  </si>
  <si>
    <t xml:space="preserve">C#CCNC(=O)CCC/C=C\C/C=C\C/C=C\[C@@H](C)/C=C\CCCCC</t>
  </si>
  <si>
    <t xml:space="preserve">CHEMBL4201489</t>
  </si>
  <si>
    <t xml:space="preserve">CHEMBL4196195</t>
  </si>
  <si>
    <t xml:space="preserve">Displacement of [3H]CP-55,940 from human CB2 receptor expressed in HEK293 cell membranes in absence of FAAH inhibitor PMSF by radioligand binding assay</t>
  </si>
  <si>
    <t xml:space="preserve">CHEMBL1215978</t>
  </si>
  <si>
    <t xml:space="preserve">C#CCn1cc(C(=O)NC23CC4CC(CC(C4)C2)C3)c(=O)c2cc(Br)ccc21</t>
  </si>
  <si>
    <t xml:space="preserve">CHEMBL1219438</t>
  </si>
  <si>
    <t xml:space="preserve">CHEMBL1212935</t>
  </si>
  <si>
    <t xml:space="preserve">Displacement of [3H]CP-55940 from human CB2 receptor expressed in HEK cells</t>
  </si>
  <si>
    <t xml:space="preserve">CHEMBL1215888</t>
  </si>
  <si>
    <t xml:space="preserve">C#Cc1ccc2c(c1)c(=O)c(C(=O)NC13CC4CC(CC(C4)C1)C3)cn2CCCCC</t>
  </si>
  <si>
    <t xml:space="preserve">CHEMBL6020104</t>
  </si>
  <si>
    <t xml:space="preserve">C#Cc1cccc(C2(C(F)(F)F)N=N2)c1Cn1nc2nc(C(C)(C)C)nc(N3CCC(F)(F)C3)c2n1</t>
  </si>
  <si>
    <t xml:space="preserve">CHEMBL5930501</t>
  </si>
  <si>
    <t xml:space="preserve">C#Cc1cccc(C2(C(F)(F)F)N=N2)c1Cn1nc2nc(C(C)(C)C)nc(N3CC[C@H](O)C3)c2n1</t>
  </si>
  <si>
    <t xml:space="preserve">CHEMBL5815010</t>
  </si>
  <si>
    <t xml:space="preserve">C#Cc1cccc(C2(C(F)(F)F)N=N2)c1Cn1nc2nc(C(F)(F)c3ccccc3)nc(N3CCC(F)(F)C3)c2n1</t>
  </si>
  <si>
    <t xml:space="preserve">CHEMBL6024125</t>
  </si>
  <si>
    <t xml:space="preserve">C#Cc1cccc(C2(C(F)(F)F)N=N2)c1Cn1nc2nc(C(F)(F)c3ccccc3)nc(N3CC[C@H](O)C3)c2n1</t>
  </si>
  <si>
    <t xml:space="preserve">CHEMBL5977894</t>
  </si>
  <si>
    <t xml:space="preserve">C#Cc1cccc(C2(C(F)(F)F)N=N2)c1Cn1nnc2c(N3CCC(F)(F)C3)nc(C(C)(C)C)nc21</t>
  </si>
  <si>
    <t xml:space="preserve">CHEMBL5926313</t>
  </si>
  <si>
    <t xml:space="preserve">C#Cc1cccc(C2(C(F)(F)F)N=N2)c1Cn1nnc2c(N3CCC(F)(F)C3)nc(C(F)(F)c3ccccc3)nc21</t>
  </si>
  <si>
    <t xml:space="preserve">CHEMBL5947465</t>
  </si>
  <si>
    <t xml:space="preserve">C#Cc1cccc(C2(C(F)(F)F)N=N2)c1Cn1nnc2c(N3CC[C@H](O)C3)nc(C(C)(C)C)nc21</t>
  </si>
  <si>
    <t xml:space="preserve">CHEMBL5959502</t>
  </si>
  <si>
    <t xml:space="preserve">C#Cc1cccc(C2(C(F)(F)F)N=N2)c1Cn1nnc2c(N3CC[C@H](O)C3)nc(C(F)(F)c3ccccc3)nc21</t>
  </si>
  <si>
    <t xml:space="preserve">CHEMBL6007760</t>
  </si>
  <si>
    <t xml:space="preserve">C#Cc1cccc(S(=O)(=O)F)c1Cn1nc2nc(C(C)(C)C)nc(N3CCC(F)(F)C3)c2n1</t>
  </si>
  <si>
    <t xml:space="preserve">CHEMBL5734535</t>
  </si>
  <si>
    <t xml:space="preserve">CHEMBL5727377</t>
  </si>
  <si>
    <t xml:space="preserve">CHEMBL5867120</t>
  </si>
  <si>
    <t xml:space="preserve">C#Cc1cccc(S(=O)(=O)F)c1Cn1nnc2c(N3CCC(F)(F)C3)nc(C(C)(C)C)nc21</t>
  </si>
  <si>
    <t xml:space="preserve">CHEMBL5734543</t>
  </si>
  <si>
    <t xml:space="preserve">CHEMBL5727382</t>
  </si>
  <si>
    <t xml:space="preserve">Radioligand Binding Assay: he affinity of the compounds of the invention for cannabinoid receptors was determined using recommended amounts of membrane preparations (PerkinElmer) of human embryonic kidney (HEK) cells expressing the human CNR1 or CNR2 receptors in conjunction with 1.5 or 2.6 nM [3H]-CP-55,940 (Perkin Elmer) as radioligand, respectively. Binding was performed in binding buffer (50 mM Tris, 5 mM MgCl2, 2.5 mM EDTA, and 0.5% (wt/vol) fatty acid free BSA, pH 7.4 for CB1 receptor and 50 mM Tris, 5 mM MgCl2, 2.5 mM EGTA, and 0.1% (wt/vol) fatty acid free BSA, pH 7.4 for CB2 receptor) in a total volume of 0.2 mL for 1 h at 30° C. shaking. The reaction was terminated by rapid filtration through microfiltration plates coated with 0.5% polyethylenimine (UniFilter GF/B filter plate; Packard). Bound radioactivity was analyzed for Ki using nonlinear regression analysis (Activity Base, ID Business Solution, Limited), with the Kd values for [3H]CP55,940 determined from saturation experiments.</t>
  </si>
  <si>
    <t xml:space="preserve">CHEMBL5896807</t>
  </si>
  <si>
    <t xml:space="preserve">C#Cc1ccccc1Cn1nnc2c(N3CCC4(C3)N=N4)nc(C(C)(C)C)nc21</t>
  </si>
  <si>
    <t xml:space="preserve">CHEMBL5769530</t>
  </si>
  <si>
    <t xml:space="preserve">C#Cc1ccccc1Cn1nnc2c(N3CCC4(C3)N=N4)nc(C(F)(F)c3ccccc3)nc21</t>
  </si>
  <si>
    <t xml:space="preserve">CHEMBL5435489</t>
  </si>
  <si>
    <t xml:space="preserve">C/C(=C/CC[C@]1(C)[C@H]2CC3[C@H](C2)[C@]31C)CO</t>
  </si>
  <si>
    <t xml:space="preserve">CHEMBL5390636</t>
  </si>
  <si>
    <t xml:space="preserve">CHEMBL5390202</t>
  </si>
  <si>
    <t xml:space="preserve">Displacement of [3H]-CP55940 from human CB2 receptor expressed in CHO cell membranes assessed as inhibition constant incubated for 1 hr by TopCount liquid scintillation counting analysis</t>
  </si>
  <si>
    <t xml:space="preserve">CHEMBL5483080</t>
  </si>
  <si>
    <t xml:space="preserve">C/C(=C/CC[C@]1(C)[C@H]2C[C@@H]3[C@@H](C2)[C@]31C)CN1CCN(C)CC1</t>
  </si>
  <si>
    <t xml:space="preserve">CHEMBL3953556</t>
  </si>
  <si>
    <t xml:space="preserve">C/C(=N\Oc1ccc(C(F)(F)F)cc1C(=O)/N=c1\sc(C(C)(C)C)cn1C[C@H]1CCCO1)C(F)(F)F</t>
  </si>
  <si>
    <t xml:space="preserve">CHEMBL3705645</t>
  </si>
  <si>
    <t xml:space="preserve">CHEMBL3638858</t>
  </si>
  <si>
    <t xml:space="preserve">Radioligand Binding Assay: HEK293 cells stably expressing human CB2 receptors were grown until a confluent monolayer was formed. Briefly, the cells were harvested and homogenized in TE buffer (50 mM Tris-HCl, 1 mM MgCl2, and 1 mM EDTA) using a polytron for 2X10 second bursts in the presence of protease inhibitors, followed by centrifugation at 45,000 ug for 20 minutes. The final membrane pellet was re-homogenized in storage buffer (50 mM Tris-HCl, 1 mM MgCl2, and 1 mM EDTA and 10% sucrose) and frozen at -78 C. until used. Saturation binding reactions were initiated by the addition of membrane preparation (protein concentration of 5 ug/well for human CB2) into wells of a deep well plate containing [3H]CP 55,940 (120 Ci/mmol, a nonselective CB agonist commercially available from Tocris) in assay buffer (50 mM Tris, 2.5 mM EDTA, 5 mM MgCl2, and 0.5 mg/mL fatty acid free BSA, pH 7.4). After 90 min incubation at 30 C., binding reaction was terminated by the addition of 300 uL/well of cold assay buffer.</t>
  </si>
  <si>
    <t xml:space="preserve">CHEMBL3686327</t>
  </si>
  <si>
    <t xml:space="preserve">C/C(CN1CCC[C@H]1COc1ccc(C(F)(F)F)cc1C(=O)/N=c1\sc(C(C)(C)C)cn1C[C@H]1CCCO1)=N\O</t>
  </si>
  <si>
    <t xml:space="preserve">CHEMBL3686324</t>
  </si>
  <si>
    <t xml:space="preserve">C/C(COc1ccc(C(F)(F)F)cc1C(=O)/N=c1\sc(C(C)(C)C)cn1C[C@H]1CCCO1)=N\O</t>
  </si>
  <si>
    <t xml:space="preserve">CHEMBL5093228</t>
  </si>
  <si>
    <t xml:space="preserve">C/C(N)=N\C(=N\S(=O)(=O)N1CCCCC1)N1C[C@H](c2ccccc2)C(c2ccc(Cl)cc2)=N1</t>
  </si>
  <si>
    <t xml:space="preserve">CHEMBL5048446</t>
  </si>
  <si>
    <t xml:space="preserve">CHEMBL5046268</t>
  </si>
  <si>
    <t xml:space="preserve">Displacement of [3H]- CP55940 from human CB2R expressed in CHO-K1 cells membrane by Cheng-Prusoff equation analysis</t>
  </si>
  <si>
    <t xml:space="preserve">CHEMBL463345</t>
  </si>
  <si>
    <t xml:space="preserve">C/C=C/C=C\CC/C=C/C=C/C(=O)NCC(C)C</t>
  </si>
  <si>
    <t xml:space="preserve">CHEMBL4424989</t>
  </si>
  <si>
    <t xml:space="preserve">CHEMBL4422692</t>
  </si>
  <si>
    <t xml:space="preserve">Displacement of [3H]-CP55940 from recombinant CB2 receptor (unknown origin) expressed in cell membranes after 90 mins by scintillation counting method</t>
  </si>
  <si>
    <t xml:space="preserve">CHEMBL179840</t>
  </si>
  <si>
    <t xml:space="preserve">C/C=C/c1ccc(O)c(-c2cc(/C=C/C)ccc2O)c1</t>
  </si>
  <si>
    <t xml:space="preserve">CHEMBL2339884</t>
  </si>
  <si>
    <t xml:space="preserve">CHEMBL2331083</t>
  </si>
  <si>
    <t xml:space="preserve">Displacement of [3H]CP55,940 from recombinant human CB2 receptor expressed in CHO cells after 2 hrs by liquid scintillation counting</t>
  </si>
  <si>
    <t xml:space="preserve">CHEMBL463546</t>
  </si>
  <si>
    <t xml:space="preserve">C/C=C\C=C/CC/C=C/C=C/C(=O)NCC(C)C</t>
  </si>
  <si>
    <t xml:space="preserve">CHEMBL4424988</t>
  </si>
  <si>
    <t xml:space="preserve">Displacement of [3H]-CP55940 from recombinant human CB2 receptor expressed in HEK293 cell membranes after 90 mins by scintillation counting method</t>
  </si>
  <si>
    <t xml:space="preserve">CHEMBL4549023</t>
  </si>
  <si>
    <t xml:space="preserve">C/C=C\C=C\CC/C=C/C=C/C(=O)NCC(C)C</t>
  </si>
  <si>
    <t xml:space="preserve">CHEMBL371829</t>
  </si>
  <si>
    <t xml:space="preserve">C/N=C(\NS(=O)(=O)N(C)C(C)C)N1CC(c2ccccc2)C(c2ccc(Cl)cc2)=N1</t>
  </si>
  <si>
    <t xml:space="preserve">CHEMBL884803</t>
  </si>
  <si>
    <t xml:space="preserve">CHEMBL1143468</t>
  </si>
  <si>
    <t xml:space="preserve">Displacement of specific CP-55940 binding in CHO cells stably transfected with human cannabinoid receptor 2</t>
  </si>
  <si>
    <t xml:space="preserve">CHEMBL372650</t>
  </si>
  <si>
    <t xml:space="preserve">C/N=C(\NS(=O)(=O)N(C)C)N1CC(c2ccccc2)C(c2ccc(Cl)cc2)=N1</t>
  </si>
  <si>
    <t xml:space="preserve">CHEMBL196989</t>
  </si>
  <si>
    <t xml:space="preserve">C/N=C(\NS(=O)(=O)N1CCCC1)N1CC(c2ccccc2)C(c2ccc(Cl)cc2)=N1</t>
  </si>
  <si>
    <t xml:space="preserve">CHEMBL197040</t>
  </si>
  <si>
    <t xml:space="preserve">C/N=C(\NS(=O)(=O)N1CCCCCC1)N1CC(c2ccccc2)C(c2ccc(Cl)cc2)=N1</t>
  </si>
  <si>
    <t xml:space="preserve">CHEMBL197099</t>
  </si>
  <si>
    <t xml:space="preserve">C/N=C(\NS(=O)(=O)N1CCCCCCC1)N1CC(c2ccccc2)C(c2ccc(Cl)cc2)=N1</t>
  </si>
  <si>
    <t xml:space="preserve">CHEMBL194351</t>
  </si>
  <si>
    <t xml:space="preserve">C/N=C(\NS(=O)(=O)N1CCOCC1)N1CC(c2ccccc2)C(c2ccc(Cl)cc2)=N1</t>
  </si>
  <si>
    <t xml:space="preserve">CHEMBL383580</t>
  </si>
  <si>
    <t xml:space="preserve">C/N=C(\NS(=O)(=O)N1CCSCC1)N1CC(c2ccccc2)C(c2ccc(Cl)cc2)=N1</t>
  </si>
  <si>
    <t xml:space="preserve">CHEMBL4550629</t>
  </si>
  <si>
    <t xml:space="preserve">C1=C(CCN2CCOCC2)c2ccccc2/C1=C/c1ccc2c3c(cccc13)CC2</t>
  </si>
  <si>
    <t xml:space="preserve">CHEMBL4432233</t>
  </si>
  <si>
    <t xml:space="preserve">CHEMBL4431329</t>
  </si>
  <si>
    <t xml:space="preserve">Displacement of [3H]-CP55940 from human CB2 receptor</t>
  </si>
  <si>
    <t xml:space="preserve">CHEMBL127644</t>
  </si>
  <si>
    <t xml:space="preserve">C1=C(CCN2CCOCC2)c2ccccc2/C1=C/c1cccc2ccccc12</t>
  </si>
  <si>
    <t xml:space="preserve">CHEMBL6145805</t>
  </si>
  <si>
    <t xml:space="preserve">C=C(C)C1CCC(C)=CC1O</t>
  </si>
  <si>
    <t xml:space="preserve">CHEMBL6080618</t>
  </si>
  <si>
    <t xml:space="preserve">CHEMBL6078669</t>
  </si>
  <si>
    <t xml:space="preserve">Displacement of [3H]CP-55,940 from human CB2 receptor extracted from HEK293 cell membrane assessed as inhibition constant incubated for 90 mins by liquid scintillation spectrophotometric analysis</t>
  </si>
  <si>
    <t xml:space="preserve">CHEMBL6103133</t>
  </si>
  <si>
    <t xml:space="preserve">C=C(C)[C@@H]1CCC(C)=C[C@H]1c1c(O)cc(C(C)(C)CCCCCC)cc1O</t>
  </si>
  <si>
    <t xml:space="preserve">CHEMBL6080623</t>
  </si>
  <si>
    <t xml:space="preserve">Displacement of [3H]HU-243 from CB2 receptor (unknown origin) extracted from green monkey COS-7 cell membrane assessed as inhibition constant incubated for 90 mins</t>
  </si>
  <si>
    <t xml:space="preserve">CHEMBL2387742</t>
  </si>
  <si>
    <t xml:space="preserve">C=C(C)[C@@H]1CCC(C)=C[C@H]1c1c(O)cc(CCC)cc1O</t>
  </si>
  <si>
    <t xml:space="preserve">CHEMBL4424970</t>
  </si>
  <si>
    <t xml:space="preserve">Displacement of [3H]-CP55940 from recombinant human CB2 receptor expressed in Sf9 cell membranes co-expressing Galphai3beta1gamma2 measured after 90 mins by scintillation counting method</t>
  </si>
  <si>
    <t xml:space="preserve">CHEMBL499043</t>
  </si>
  <si>
    <t xml:space="preserve">C=C(C)[C@@H]1CCC(C)=C[C@H]1c1c(O)cc(CCCCC)c(C(=O)OC)c1O</t>
  </si>
  <si>
    <t xml:space="preserve">CHEMBL6144959</t>
  </si>
  <si>
    <t xml:space="preserve">C=C(C)[C@@H]1CCC(C)=C[C@H]1c1c(O)cc(CCCCC)c(C(=O)OCC(O)CCC)c1O</t>
  </si>
  <si>
    <t xml:space="preserve">CHEMBL5192105</t>
  </si>
  <si>
    <t xml:space="preserve">C=C(C)[C@@H]1CCC(C)=C[C@H]1c1c(O)cc([Si](C)(C)CCCC)cc1O</t>
  </si>
  <si>
    <t xml:space="preserve">CHEMBL5098552</t>
  </si>
  <si>
    <t xml:space="preserve">CHEMBL5096202</t>
  </si>
  <si>
    <t xml:space="preserve">Displacement of [3H]-CP55940 from recombinant human CB2 receptor expressed in CHO cells assessed as inhibition constant incubated for 120 mins by radioligand binding assay</t>
  </si>
  <si>
    <t xml:space="preserve">CHEMBL5204553</t>
  </si>
  <si>
    <t xml:space="preserve">C=C(C)[C@@H]1CCC(C)=C[C@H]1c1c(O)cc([Si](C)(C)CCCCCC)cc1O</t>
  </si>
  <si>
    <t xml:space="preserve">CHEMBL6143010</t>
  </si>
  <si>
    <t xml:space="preserve">C=C(C)[C@@H]1CCC(CO)=C[C@H]1c1c(O)cc(C(C)(C)CCCCCC)cc1O</t>
  </si>
  <si>
    <t xml:space="preserve">CHEMBL6101853</t>
  </si>
  <si>
    <t xml:space="preserve">C=C(C)[C@H]1CCC(C(=O)O)=C[C@@H]1c1c(O)cc(C(C)(C)CCCCCC)cc1O</t>
  </si>
  <si>
    <t xml:space="preserve">CHEMBL6080628</t>
  </si>
  <si>
    <t xml:space="preserve">Binding affinity to CB2 receptor (unknown origin) assessed as inhibition constant</t>
  </si>
  <si>
    <t xml:space="preserve">CHEMBL6120740</t>
  </si>
  <si>
    <t xml:space="preserve">C=C(C)[C@H]1CCC(C(=O)O)=C[C@@H]1c1c(O)cc(CCCCC)cc1O</t>
  </si>
  <si>
    <t xml:space="preserve">CHEMBL6012633</t>
  </si>
  <si>
    <t xml:space="preserve">C=C(C)[C@H]1CCC(C)=CC1c1c(O)cc(CCC)cc1O</t>
  </si>
  <si>
    <t xml:space="preserve">CHEMBL5738656</t>
  </si>
  <si>
    <t xml:space="preserve">CHEMBL5729413</t>
  </si>
  <si>
    <t xml:space="preserve">In Vitro Binding to CB1 and CB2 Receptors: Membranes from human CB1 or CB2 receptor-transfected cells (RBHCB1M400UA and RBXCB2M400UA, respectively) were supplied by Perkin-Elmer Life and Analytical Sciences (Boston, Mass.). The values of Bmax and Kd for the CB1 or CB2 receptor membranes are variable. The used batch showed the following Bmax and Kd values, 1.9 pmol/mg membrane protein and 0.16 nM, respectively, for CB1 receptor membranes, and 5.2 pmol/mg membrane protein and 0.18 nM, respectively, for CB2 receptor membranes. The protein concentration for the CB1 receptor membranes was 8.0 mg/ml, whereas for the CB2 receptor membranes 4.0 mg/ml. The commercial membranes were diluted (1:20) with the binding buffer (50 mM TrisCl, 5 mM MgCl2.H2O, 2.5 mM EDTA, 0.5 mg/mL BSA and pH=7.4 for CB1 binding buffer; 50 mM TrisCl, 5 mM MgCl2.H2O, 2.5 mM EGTA, 1 mg/mL BSA and pH=7.5 for CB2 binding buffer). The radioligand was [3H]-CP55940 (144 Ci/mmol; PerkinElmer) used at a concentration of 0.10 nM with a final volume of 200 μl for CB1 binding and at a concentration of 0.15 nM with a final volume of 600 μl for CB2 binding.</t>
  </si>
  <si>
    <t xml:space="preserve">CHEMBL5956078</t>
  </si>
  <si>
    <t xml:space="preserve">C=C(C)[C@H]1CCC(C)=CC1c1c(O)cc(CCCCC)c(C(=O)OC)c1O</t>
  </si>
  <si>
    <t xml:space="preserve">CHEMBL5886187</t>
  </si>
  <si>
    <t xml:space="preserve">C=C(C)[C@H]1CCC(C)=CC1c1c(O)cc(CCCCC)c(C(=O)OCC(O)CCC)c1O</t>
  </si>
  <si>
    <t xml:space="preserve">CHEMBL5928785</t>
  </si>
  <si>
    <t xml:space="preserve">C=C(C)[C@H]1CCC(C)=CC1c1c(O)cc(CCCCC)c(C(=O)OCCO)c1O</t>
  </si>
  <si>
    <t xml:space="preserve">CHEMBL6039930</t>
  </si>
  <si>
    <t xml:space="preserve">C=C(C)[C@H]1CCC(C)=CC1c1c(O)cc(CCCCC)cc1O</t>
  </si>
  <si>
    <t xml:space="preserve">CHEMBL6146803</t>
  </si>
  <si>
    <t xml:space="preserve">C=C(C)[C@H]1CCC(C)=C[C@@H]1c1c(O)cc(C(C)(C)CCCCCC)cc1O</t>
  </si>
  <si>
    <t xml:space="preserve">CHEMBL6133817</t>
  </si>
  <si>
    <t xml:space="preserve">C=C(C)[C@H]1CCC(C)=C[C@@H]1c1c(O)cc(CCC)c(C(=O)OC)c1O</t>
  </si>
  <si>
    <t xml:space="preserve">CHEMBL6153186</t>
  </si>
  <si>
    <t xml:space="preserve">C=C(C)[C@H]1CCC(C)=C[C@@H]1c1c(O)cc(CCC)cc1O</t>
  </si>
  <si>
    <t xml:space="preserve">CHEMBL6102763</t>
  </si>
  <si>
    <t xml:space="preserve">C=C(C)[C@H]1CCC(C)=C[C@@H]1c1c(O)cc(CCCCC)c(C(=O)OCC(O)CCC)c1O</t>
  </si>
  <si>
    <t xml:space="preserve">CHEMBL6142130</t>
  </si>
  <si>
    <t xml:space="preserve">C=C(C)[C@H]1CCC(C)=C[C@@H]1c1c(O)cc(CCCCC)c(C(=O)OCCO)c1O</t>
  </si>
  <si>
    <t xml:space="preserve">CHEMBL3810140</t>
  </si>
  <si>
    <t xml:space="preserve">C=C(C)[C@H]1CCC(C)=C[C@@H]1c1c(O)cc(CCCCC)cc1O</t>
  </si>
  <si>
    <t xml:space="preserve">CHEMBL4687640</t>
  </si>
  <si>
    <t xml:space="preserve">CHEMBL4680278</t>
  </si>
  <si>
    <t xml:space="preserve">Displacement of [3H]-HU-243 from CB2 receptor (unknown origin) expressed in African green monkey Cos7 cell membranes incubated for 90 mins by radioligand binding assay</t>
  </si>
  <si>
    <t xml:space="preserve">CHEMBL6152983</t>
  </si>
  <si>
    <t xml:space="preserve">C=C(C)[C@H]1CCC(CO)=C[C@@H]1c1c(O)cc(C(C)(C)CCCCCC)cc1O</t>
  </si>
  <si>
    <t xml:space="preserve">CHEMBL6103276</t>
  </si>
  <si>
    <t xml:space="preserve">C=C(C)[C@H]1CCC(CO)=C[C@@H]1c1c(O)cc(CCCCC)cc1O</t>
  </si>
  <si>
    <t xml:space="preserve">CHEMBL370445</t>
  </si>
  <si>
    <t xml:space="preserve">C=C(c1ccc([C@H](C)NS(C)(=O)=O)cc1)c1ccc(OC(F)(F)F)cc1S(=O)(=O)c1ccccc1F</t>
  </si>
  <si>
    <t xml:space="preserve">CHEMBL884738</t>
  </si>
  <si>
    <t xml:space="preserve">CHEMBL1142746</t>
  </si>
  <si>
    <t xml:space="preserve">Inhibition constant against Cannabinoid receptor 2</t>
  </si>
  <si>
    <t xml:space="preserve">CHEMBL383138</t>
  </si>
  <si>
    <t xml:space="preserve">C=C(c1ccccc1F)c1cc(Cl)ccc1S(=O)(=O)c1ccc([C@H](C)NS(C)(=O)=O)cc1</t>
  </si>
  <si>
    <t xml:space="preserve">CHEMBL445740</t>
  </si>
  <si>
    <t xml:space="preserve">C=C1CC/C=C(\C)CC[C@@H]2[C@@H]1CC2(C)C</t>
  </si>
  <si>
    <t xml:space="preserve">CHEMBL4411492</t>
  </si>
  <si>
    <t xml:space="preserve">CHEMBL4411259</t>
  </si>
  <si>
    <t xml:space="preserve">Displacement of [3H]CP55940 from human CB2 expressed in CHOK1 cell membranes after 2 hrs by liquid scintillation counting method</t>
  </si>
  <si>
    <t xml:space="preserve">CHEMBL3360190</t>
  </si>
  <si>
    <t xml:space="preserve">C=C1CC/C=C/CC[C@@H]2[C@@H]1CC2(C)C</t>
  </si>
  <si>
    <t xml:space="preserve">CHEMBL3371224</t>
  </si>
  <si>
    <t xml:space="preserve">CHEMBL3352583</t>
  </si>
  <si>
    <t xml:space="preserve">Inhibition of CB2 receptor (unknown origin)</t>
  </si>
  <si>
    <t xml:space="preserve">CHEMBL294013</t>
  </si>
  <si>
    <t xml:space="preserve">C=C1CC[C@@H]2[C@@H](C1)c1c(OC)cc(C(C)(C)CCCCCC)cc1OC2(C)C</t>
  </si>
  <si>
    <t xml:space="preserve">CHEMBL1670561</t>
  </si>
  <si>
    <t xml:space="preserve">CHEMBL1667752</t>
  </si>
  <si>
    <t xml:space="preserve">Displacement of [3H]CP 55940 from human CB2 receptor in cell free system</t>
  </si>
  <si>
    <t xml:space="preserve">CHEMBL3586108</t>
  </si>
  <si>
    <t xml:space="preserve">C=C1CC[C@@H]2[C@H](c3c(O)cc(CCCCC)cc3OC2(C)C)[C@H]1O</t>
  </si>
  <si>
    <t xml:space="preserve">CHEMBL3587761</t>
  </si>
  <si>
    <t xml:space="preserve">CHEMBL3585261</t>
  </si>
  <si>
    <t xml:space="preserve">Displacement of [3H]CP55940 from full length human recombinant CB2 receptor expressed in HEK293 cells after 90 mins by scintillation counting analysis</t>
  </si>
  <si>
    <t xml:space="preserve">CHEMBL4283589</t>
  </si>
  <si>
    <t xml:space="preserve">C=C1C[C@H]2c3c(cc(CCCCC)cc3OS(=O)(=O)c3ccc(C)cc3)OC(C)(C)[C@@H]2CC1OO</t>
  </si>
  <si>
    <t xml:space="preserve">CHEMBL4253358</t>
  </si>
  <si>
    <t xml:space="preserve">CHEMBL4251600</t>
  </si>
  <si>
    <t xml:space="preserve">Displacement of [3H]CP-55,940 from recombinant human full length CB2 receptor expressed in HEK293 cell membranes after 90 mins by topcount method</t>
  </si>
  <si>
    <t xml:space="preserve">CHEMBL3586094</t>
  </si>
  <si>
    <t xml:space="preserve">C=C1[C@@H]2CC[C@@H](C2)[C@@]1(C)CC/C=C(/C)CO</t>
  </si>
  <si>
    <t xml:space="preserve">CHEMBL3647330</t>
  </si>
  <si>
    <t xml:space="preserve">C=C=CCn1cc(C(C)(C)C)s/c1=N\C(=O)c1cc(C(F)(F)F)ccc1ONC(C)(C)C</t>
  </si>
  <si>
    <t xml:space="preserve">CHEMBL5988818</t>
  </si>
  <si>
    <t xml:space="preserve">C=CC(C=C)(NC(=O)c1ccc(N2CC(OC)C2)c(OC[C@H]2C[C@@H]2CO)n1)C(=O)OCCCF</t>
  </si>
  <si>
    <t xml:space="preserve">CHEMBL5739361</t>
  </si>
  <si>
    <t xml:space="preserve">CHEMBL5729720</t>
  </si>
  <si>
    <t xml:space="preserve">Radioligand Binding Assay: The affinity of the compounds of the invention for cannabinoid CB1 receptors was determined using recommended amounts of membrane preparations (PerkinElmer) of human embryonic kidney (HEK) cells expressing the human CNR1 or CNR2 receptors in conjunction with 1.5 or 2.6 nM [3H]-CP-55,940 (Perkin Elmer) as radioligand, respectively. Binding was performed in binding buffer (50 mM Tris, 5 mM MgCl2, 2.5 mM EDTA, and 0.5% (wt/vol) fatty acid free BSA, pH 7.4 for CB1 receptor and 50 mM Tris, 5 mM MgCl2, 2.5 mM EGTA, and 0.1% (wt/vol) fatty acid free BSA, pH 7.4 for CB2 receptor) in a total volume of 0.2 ml for 1 h at 30Â° C. shaking. The reaction was terminated by rapid filtration through microfiltration plates coated with 0.5% polyethylenimine (UniFilter GFB filter plate; Packard). Bound radioactivity was analyzed for Ki using nonlinear regression analysis (Activity Base, ID Business Solution, Limited), with the Kd values for [3H]CP55,940 determined from saturation experiments. The compounds of formula (I) show an excellent affinity for the CB2 receptor.</t>
  </si>
  <si>
    <t xml:space="preserve">CHEMBL500415</t>
  </si>
  <si>
    <t xml:space="preserve">C=CCCCn1cc(C(=O)NC23CC4CC(CC(C4)C2)C3)c(=O)c2cc(Br)ccc21</t>
  </si>
  <si>
    <t xml:space="preserve">CHEMBL1006412</t>
  </si>
  <si>
    <t xml:space="preserve">CHEMBL1156630</t>
  </si>
  <si>
    <t xml:space="preserve">Displacement of [3H]CP-55940 from human CB2 receptor expressed in HEK293 cells</t>
  </si>
  <si>
    <t xml:space="preserve">CHEMBL4855206</t>
  </si>
  <si>
    <t xml:space="preserve">C=CCCCn1cc(C(=O)c2ccc3c(c2)CC(C)(C)C3)c2ccccc21</t>
  </si>
  <si>
    <t xml:space="preserve">CHEMBL1216000</t>
  </si>
  <si>
    <t xml:space="preserve">C=CCCn1cc(C(=O)NC23CC4CC(CC(C4)C2)C3)c(=O)c2cc(-c3ccco3)ccc21</t>
  </si>
  <si>
    <t xml:space="preserve">CHEMBL526153</t>
  </si>
  <si>
    <t xml:space="preserve">C=CCCn1cc(C(=O)NC23CC4CC(CC(C4)C2)C3)c(=O)c2cc(Br)ccc21</t>
  </si>
  <si>
    <t xml:space="preserve">CHEMBL2087096</t>
  </si>
  <si>
    <t xml:space="preserve">C=CCCn1cc(CC(=O)NC23CC4CC(CC(C4)C2)C3)c2cc(-c3ccccc3)ccc21</t>
  </si>
  <si>
    <t xml:space="preserve">CHEMBL2090509</t>
  </si>
  <si>
    <t xml:space="preserve">CHEMBL2086369</t>
  </si>
  <si>
    <t xml:space="preserve">Displacement of [3H]CP-55,940 from human recombinant CB2 receptor transfected in HEK cells</t>
  </si>
  <si>
    <t xml:space="preserve">CHEMBL3774820</t>
  </si>
  <si>
    <t xml:space="preserve">C=CCN(CC=C)c1nc2n(CCCCC)cc(C(=O)NC34CC5CC(CC(C5)C3)C4)c(=O)n2n1</t>
  </si>
  <si>
    <t xml:space="preserve">CHEMBL3778963</t>
  </si>
  <si>
    <t xml:space="preserve">CHEMBL3774386</t>
  </si>
  <si>
    <t xml:space="preserve">Displacement of [3H]CP-55,940 from human CB2 receptor expressed in CHO cell membranes after 60 mins by scintillation counting analysis</t>
  </si>
  <si>
    <t xml:space="preserve">CHEMBL3775561</t>
  </si>
  <si>
    <t xml:space="preserve">C=CCN(CC=C)c1nc2n(CCCCC)cc(C(=O)NC3CCCCC3)c(=O)n2n1</t>
  </si>
  <si>
    <t xml:space="preserve">CHEMBL2336542</t>
  </si>
  <si>
    <t xml:space="preserve">C=CCN(Cc1ccc(N(CC)CC)cc1)S(=O)(=O)c1ccc(C)cc1</t>
  </si>
  <si>
    <t xml:space="preserve">CHEMBL2339600</t>
  </si>
  <si>
    <t xml:space="preserve">CHEMBL2331513</t>
  </si>
  <si>
    <t xml:space="preserve">Displacement of [3H]CP-55940 from human CB2 receptor expressed in CHO cell membranes after 1 hr by scintillation counting analysis</t>
  </si>
  <si>
    <t xml:space="preserve">CHEMBL250608</t>
  </si>
  <si>
    <t xml:space="preserve">C=CCN1Cc2c(n(S(=O)(=O)CC)c3ccc(C(=O)N4CCC(C)CC4)cc23)C1</t>
  </si>
  <si>
    <t xml:space="preserve">CHEMBL924302</t>
  </si>
  <si>
    <t xml:space="preserve">CHEMBL1140510</t>
  </si>
  <si>
    <t xml:space="preserve">Binding affinity to human CB2 receptor</t>
  </si>
  <si>
    <t xml:space="preserve">CHEMBL4638446</t>
  </si>
  <si>
    <t xml:space="preserve">C=CCNC(=O)CCCCCCCCCCOc1cc(CCCCC)cc(OC)c1</t>
  </si>
  <si>
    <t xml:space="preserve">CHEMBL4623510</t>
  </si>
  <si>
    <t xml:space="preserve">CHEMBL4622854</t>
  </si>
  <si>
    <t xml:space="preserve">Displacement of [3H]-CP55940 from human recombinant CB2 receptor expressed in HEK cell membrane</t>
  </si>
  <si>
    <t xml:space="preserve">CHEMBL3323681</t>
  </si>
  <si>
    <t xml:space="preserve">C=CCNC(=O)CCCCCCCCCCOc1cc(O)cc(CCCCC)c1</t>
  </si>
  <si>
    <t xml:space="preserve">CHEMBL3379966</t>
  </si>
  <si>
    <t xml:space="preserve">CHEMBL3351868</t>
  </si>
  <si>
    <t xml:space="preserve">Displacement of [3H]CP-55,940 from human recombinant CB2 receptor expressed in HEK293 cell membranes</t>
  </si>
  <si>
    <t xml:space="preserve">CHEMBL3323682</t>
  </si>
  <si>
    <t xml:space="preserve">C=CCNC(=O)CCCCCCCOc1cc(O)cc(C(C)(C)CCCCCC)c1</t>
  </si>
  <si>
    <t xml:space="preserve">CHEMBL4639040</t>
  </si>
  <si>
    <t xml:space="preserve">C=CCNC(=O)CCCCCCCOc1cc(OC)cc(C(C)(C)CCCCCC)c1</t>
  </si>
  <si>
    <t xml:space="preserve">CHEMBL3323699</t>
  </si>
  <si>
    <t xml:space="preserve">C=CCNCCCCCCCCCCCOc1cc(O)cc(CCCCC)c1</t>
  </si>
  <si>
    <t xml:space="preserve">CHEMBL593823</t>
  </si>
  <si>
    <t xml:space="preserve">C=CCOC(=O)NCC1(CNS(=O)(=O)C(F)(F)F)CCN(S(=O)(=O)c2ccc(Cl)cc2S(=O)(=O)c2ccccc2F)CC1</t>
  </si>
  <si>
    <t xml:space="preserve">CHEMBL1071212</t>
  </si>
  <si>
    <t xml:space="preserve">CHEMBL1153236</t>
  </si>
  <si>
    <t xml:space="preserve">CHEMBL4638147</t>
  </si>
  <si>
    <t xml:space="preserve">C=CCOc1cc(CCCCC)cc(OCCCCCCCCCCC(=O)NC2CC2)c1</t>
  </si>
  <si>
    <t xml:space="preserve">CHEMBL2336556</t>
  </si>
  <si>
    <t xml:space="preserve">C=CCc1ccc(CN(Cc2ccccc2)S(=O)(=O)c2ccc(C)cc2)cc1</t>
  </si>
  <si>
    <t xml:space="preserve">CHEMBL180920</t>
  </si>
  <si>
    <t xml:space="preserve">C=CCc1ccc(O)c(-c2cc(CC=C)ccc2O)c1</t>
  </si>
  <si>
    <t xml:space="preserve">CHEMBL16901</t>
  </si>
  <si>
    <t xml:space="preserve">C=CCc1ccc(O)c(-c2ccc(O)c(CC=C)c2)c1</t>
  </si>
  <si>
    <t xml:space="preserve">CHEMBL89700</t>
  </si>
  <si>
    <t xml:space="preserve">C=CCc1ccc(O)c(-c2ccc(OC)c(CC=C)c2)c1</t>
  </si>
  <si>
    <t xml:space="preserve">CHEMBL3799723</t>
  </si>
  <si>
    <t xml:space="preserve">C=CCc1ccc(O)c(-c2ccc(OCCCC)c(CC=C)c2)c1</t>
  </si>
  <si>
    <t xml:space="preserve">CHEMBL3802220</t>
  </si>
  <si>
    <t xml:space="preserve">CHEMBL3797038</t>
  </si>
  <si>
    <t xml:space="preserve">Displacement of [3H]CP55940 from human CB2 receptor expressed in CHO cell membranes after 2 hrs</t>
  </si>
  <si>
    <t xml:space="preserve">CHEMBL89828</t>
  </si>
  <si>
    <t xml:space="preserve">C=CCc1ccc(OC)c(-c2ccc(OC)c(CC=C)c2)c1</t>
  </si>
  <si>
    <t xml:space="preserve">CHEMBL3797904</t>
  </si>
  <si>
    <t xml:space="preserve">C=CCc1ccc(OCCCC)c(-c2ccc(OCCCC)c(CC=C)c2)c1</t>
  </si>
  <si>
    <t xml:space="preserve">CHEMBL250026</t>
  </si>
  <si>
    <t xml:space="preserve">C=CCn1c2c(c3cc(C(=O)N4CCC(C)CC4)ccc31)CN(C1CCCC1)C2</t>
  </si>
  <si>
    <t xml:space="preserve">CHEMBL1950330</t>
  </si>
  <si>
    <t xml:space="preserve">C=CCn1c2c(c3cc(C(=O)N4CCC(C)CC4)ccc31)CN(CC1CC1)CC2</t>
  </si>
  <si>
    <t xml:space="preserve">CHEMBL1952637</t>
  </si>
  <si>
    <t xml:space="preserve">CHEMBL1949601</t>
  </si>
  <si>
    <t xml:space="preserve">CHEMBL2087102</t>
  </si>
  <si>
    <t xml:space="preserve">C=CCn1cc(C(=O)C(=O)NC23CC4CC(CC(C4)C2)C3)c2cc(-c3ccccc3)ccc21</t>
  </si>
  <si>
    <t xml:space="preserve">CHEMBL2087101</t>
  </si>
  <si>
    <t xml:space="preserve">C=CCn1cc(C(=O)C(=O)NC23CC4CC(CC(C4)C2)C3)c2cc(-c3ccco3)ccc21</t>
  </si>
  <si>
    <t xml:space="preserve">CHEMBL498132</t>
  </si>
  <si>
    <t xml:space="preserve">C=CCn1cc(C(=O)NC23CC4CC(CC(C4)C2)C3)c(=O)c2c(OC)ccc(OC)c21</t>
  </si>
  <si>
    <t xml:space="preserve">CHEMBL1215994</t>
  </si>
  <si>
    <t xml:space="preserve">C=CCn1cc(C(=O)NC23CC4CC(CC(C4)C2)C3)c(=O)c2cc(-c3ccco3)ccc21</t>
  </si>
  <si>
    <t xml:space="preserve">CHEMBL2087105</t>
  </si>
  <si>
    <t xml:space="preserve">C=CCn1cc(C(=O)NC23CC4CC(CC(C4)C2)C3)c2cc(-c3ccc(O)cc3)ccc21</t>
  </si>
  <si>
    <t xml:space="preserve">CHEMBL2087104</t>
  </si>
  <si>
    <t xml:space="preserve">C=CCn1cc(C(=O)NC23CC4CC(CC(C4)C2)C3)c2cc(-c3ccccc3)ccc21</t>
  </si>
  <si>
    <t xml:space="preserve">CHEMBL2087106</t>
  </si>
  <si>
    <t xml:space="preserve">C=CCn1cc(C(=O)NC23CC4CC(CC(C4)C2)C3)c2cc(-c3ccco3)ccc21</t>
  </si>
  <si>
    <t xml:space="preserve">CHEMBL2087094</t>
  </si>
  <si>
    <t xml:space="preserve">C=CCn1cc(CC(=O)NC23CC4CC(CC(C4)C2)C3)c2cc(-c3ccccc3)ccc21</t>
  </si>
  <si>
    <t xml:space="preserve">CHEMBL2087089</t>
  </si>
  <si>
    <t xml:space="preserve">C=CCn1cc(CC(=O)NC23CC4CC(CC(C4)C2)C3)c2cc(-c3ccco3)ccc21</t>
  </si>
  <si>
    <t xml:space="preserve">CHEMBL2087111</t>
  </si>
  <si>
    <t xml:space="preserve">C=CCn1cc(CC(=O)NC23CC4CC(CC(C4)C2)C3)c2cc(Br)ccc21</t>
  </si>
  <si>
    <t xml:space="preserve">CHEMBL2087087</t>
  </si>
  <si>
    <t xml:space="preserve">C=CCn1cc(CC(=O)NC2CCCCC2)c2cc(OCc3cccc(OC)c3)ccc21</t>
  </si>
  <si>
    <t xml:space="preserve">CHEMBL2087088</t>
  </si>
  <si>
    <t xml:space="preserve">C=CCn1cc(CC(=O)NC2CCCCCC2)c2cc(-c3ccco3)ccc21</t>
  </si>
  <si>
    <t xml:space="preserve">CHEMBL2152807</t>
  </si>
  <si>
    <t xml:space="preserve">C=Cn1cc(C(=O)N[C@@H]2C(C)(C)C3CC[C@]2(C)C3)c(=O)c2ccc(F)cc21</t>
  </si>
  <si>
    <t xml:space="preserve">CHEMBL2154766</t>
  </si>
  <si>
    <t xml:space="preserve">CHEMBL2151006</t>
  </si>
  <si>
    <t xml:space="preserve">Displacement of [3H]CP55940 from human recombinant CB2 receptor transfected in HEK cell membranes</t>
  </si>
  <si>
    <t xml:space="preserve">CHEMBL3314942</t>
  </si>
  <si>
    <t xml:space="preserve">CC#CC#CC/C=C\CCC/C=C/C=C/C(=O)NCC(C)C</t>
  </si>
  <si>
    <t xml:space="preserve">CHEMBL3364123</t>
  </si>
  <si>
    <t xml:space="preserve">CHEMBL3352692</t>
  </si>
  <si>
    <t xml:space="preserve">Displacement of [3H]CP55,940 from human CB2 expressed in CHO-K1 cells after 2 hrs by liquid scintillation counting</t>
  </si>
  <si>
    <t xml:space="preserve">CHEMBL3686333</t>
  </si>
  <si>
    <t xml:space="preserve">CC(=O)/C(C)=N/Oc1ccc(C(F)(F)F)cc1C(=O)/N=c1\sc(C(C)(C)C)cn1C[C@H]1CCCO1</t>
  </si>
  <si>
    <t xml:space="preserve">CHEMBL584105</t>
  </si>
  <si>
    <t xml:space="preserve">CC(=O)CCCCn1cc(C(=O)C2C(C)(C)C2(C)C)c2ccccc21</t>
  </si>
  <si>
    <t xml:space="preserve">CHEMBL1040875</t>
  </si>
  <si>
    <t xml:space="preserve">CHEMBL1156767</t>
  </si>
  <si>
    <t xml:space="preserve">Displacement of [3H]CP-55940 from human recombinant CB2 receptor expressed in HEK293 cells</t>
  </si>
  <si>
    <t xml:space="preserve">CHEMBL403167</t>
  </si>
  <si>
    <t xml:space="preserve">CC(=O)Cn1nnc(Cc2ccc(-c3ccccc3)cc2)n1</t>
  </si>
  <si>
    <t xml:space="preserve">CHEMBL935750</t>
  </si>
  <si>
    <t xml:space="preserve">CHEMBL1145628</t>
  </si>
  <si>
    <t xml:space="preserve">Binding affinity to human CB2 receptor expressed in COS cells</t>
  </si>
  <si>
    <t xml:space="preserve">CHEMBL5420560</t>
  </si>
  <si>
    <t xml:space="preserve">CC(=O)N/C(N)=N/C(=N/S(=O)(=O)N1CCC(C(F)(F)F)CC1)N1C[C@H](c2ccccc2)C(c2ccc(Cl)cc2)=N1</t>
  </si>
  <si>
    <t xml:space="preserve">CHEMBL5366622</t>
  </si>
  <si>
    <t xml:space="preserve">CHEMBL5365437</t>
  </si>
  <si>
    <t xml:space="preserve">Displacement of [3H]CP55490 from CB2 receptor (unknown origin) expressed in CHO-K1 cells by radioligand displacement analysis</t>
  </si>
  <si>
    <t xml:space="preserve">CHEMBL5436841</t>
  </si>
  <si>
    <t xml:space="preserve">CC(=O)N/C(N)=N/C(=N/S(=O)(=O)c1ccc(Cl)cc1)N1C[C@H](c2ccccc2)C(c2ccc(Cl)cc2)=N1</t>
  </si>
  <si>
    <t xml:space="preserve">CHEMBL5423328</t>
  </si>
  <si>
    <t xml:space="preserve">CC(=O)N/C(N)=N/C(=N/S(=O)(=O)c1ccc(I)cc1)N1C[C@H](c2ccccc2)C(c2ccc(Cl)cc2)=N1</t>
  </si>
  <si>
    <t xml:space="preserve">CHEMBL5406438</t>
  </si>
  <si>
    <t xml:space="preserve">CC(=O)N/C(N)=N/C(=N/S(=O)(=O)c1ccc(OC(F)(F)F)cc1)N1C[C@H](c2ccccc2)C(c2ccc(Cl)cc2)=N1</t>
  </si>
  <si>
    <t xml:space="preserve">CHEMBL5403405</t>
  </si>
  <si>
    <t xml:space="preserve">CC(=O)N/C(N)=N/C(=N/S(=O)(=O)c1ccc2ccccc2c1)N1C[C@H](c2ccccc2)C(c2ccc(Cl)cc2)=N1</t>
  </si>
  <si>
    <t xml:space="preserve">CHEMBL3686338</t>
  </si>
  <si>
    <t xml:space="preserve">CC(=O)N1CCC[C@@H]1COc1ccc(C(F)(F)F)cc1C(=O)/N=c1\sc(C(C)(C)C)cn1C[C@H]1CCCO1</t>
  </si>
  <si>
    <t xml:space="preserve">CHEMBL4162105</t>
  </si>
  <si>
    <t xml:space="preserve">CC(=O)N1CCN(c2ncnc3oc(-c4ccccc4C(F)(F)F)nc23)CC1</t>
  </si>
  <si>
    <t xml:space="preserve">CHEMBL4147288</t>
  </si>
  <si>
    <t xml:space="preserve">CHEMBL4145495</t>
  </si>
  <si>
    <t xml:space="preserve">Displacement of [3H]-CP-55940 from human CB2 expressed in CHO cells after 90 mins by TopCount scintillation counting method</t>
  </si>
  <si>
    <t xml:space="preserve">CHEMBL4168970</t>
  </si>
  <si>
    <t xml:space="preserve">CC(=O)N1CCN(c2ncnc3oc(-c4ccccc4Cl)nc23)CC1</t>
  </si>
  <si>
    <t xml:space="preserve">CHEMBL2063122</t>
  </si>
  <si>
    <t xml:space="preserve">CC(=O)NC1CCCOc2c1nn(-c1ccccc1Cl)c2-c1ccc(Cl)cc1</t>
  </si>
  <si>
    <t xml:space="preserve">CHEMBL2065577</t>
  </si>
  <si>
    <t xml:space="preserve">CHEMBL2062446</t>
  </si>
  <si>
    <t xml:space="preserve">Displacement of [3H]CP-55940 from human CB2 receptor expressed in CHO-K1 cells after 60 mins by beta counting</t>
  </si>
  <si>
    <t xml:space="preserve">CHEMBL2018662</t>
  </si>
  <si>
    <t xml:space="preserve">CC(=O)NCCNC(=O)C(C)(C)NC(=O)c1cc2c(n(CC3CCCCC3)c1=O)CCCCCC2</t>
  </si>
  <si>
    <t xml:space="preserve">CHEMBL2020402</t>
  </si>
  <si>
    <t xml:space="preserve">CHEMBL2016558</t>
  </si>
  <si>
    <t xml:space="preserve">Displacement of [3H]-CP55940 from recombinant human CB2 receptor by scatchard plot analysis</t>
  </si>
  <si>
    <t xml:space="preserve">CHEMBL3686326</t>
  </si>
  <si>
    <t xml:space="preserve">CC(=O)NOc1ccc(C(F)(F)F)cc1C(=O)/N=c1\sc(C(C)(C)C)cn1C[C@H]1CCCO1</t>
  </si>
  <si>
    <t xml:space="preserve">CHEMBL4640710</t>
  </si>
  <si>
    <t xml:space="preserve">CC(=O)OCCCCn1c(=O)c(C(=O)NC23CC4CC(CC(C4)C2)C3)c(O)c2nn(C)cc21</t>
  </si>
  <si>
    <t xml:space="preserve">CHEMBL4618689</t>
  </si>
  <si>
    <t xml:space="preserve">CHEMBL4616678</t>
  </si>
  <si>
    <t xml:space="preserve">Displacement of [3H]-CP-55,940 from recombinant human CB2R expressed in HEK293 cell membranes</t>
  </si>
  <si>
    <t xml:space="preserve">CHEMBL5561188</t>
  </si>
  <si>
    <t xml:space="preserve">CC(=O)OCCCCn1cccc1C(=O)c1ccccc1Cl</t>
  </si>
  <si>
    <t xml:space="preserve">CHEMBL5514612</t>
  </si>
  <si>
    <t xml:space="preserve">CHEMBL5512638</t>
  </si>
  <si>
    <t xml:space="preserve">Displacement of [3H]CP55940 from recombinant human CB2 receptor expressed in HEK293 cell membrane assessed as inhibition constant incubated for 90 mins by competition binding assay</t>
  </si>
  <si>
    <t xml:space="preserve">CHEMBL3647317</t>
  </si>
  <si>
    <t xml:space="preserve">CC(=O)OCCOc1ccc(C(F)(F)F)cc1C(=O)/N=c1\sc(C(C)(C)C)cn1CC(C)C</t>
  </si>
  <si>
    <t xml:space="preserve">CHEMBL5563881</t>
  </si>
  <si>
    <t xml:space="preserve">CC(=O)Oc1cccc(Cn2cccc2C(=O)c2ccccc2Cl)c1</t>
  </si>
  <si>
    <t xml:space="preserve">CHEMBL259562</t>
  </si>
  <si>
    <t xml:space="preserve">CC(=O)SC(CCc1ccccc1)[C@H]1C(=O)N(c2ccc(F)cc2)[C@@H]1c1ccc(O)cc1</t>
  </si>
  <si>
    <t xml:space="preserve">CHEMBL933480</t>
  </si>
  <si>
    <t xml:space="preserve">CHEMBL1144779</t>
  </si>
  <si>
    <t xml:space="preserve">Displacement of [3H]CP-55940 from human CB2 receptor expressed in CHO cells</t>
  </si>
  <si>
    <t xml:space="preserve">CHEMBL400051</t>
  </si>
  <si>
    <t xml:space="preserve">CC(=O)n1c2c(c3cc(C(=O)N4CCC(C)CC4)ccc31)CN(C1CCCC1)C2</t>
  </si>
  <si>
    <t xml:space="preserve">CHEMBL4249388</t>
  </si>
  <si>
    <t xml:space="preserve">CC(C(=O)N1CCN(c2ncnc3c2nc(-c2ccccc2Cl)n3-c2ccc(Cl)cc2)CC1)c1ccccc1</t>
  </si>
  <si>
    <t xml:space="preserve">CHEMBL4235197</t>
  </si>
  <si>
    <t xml:space="preserve">CHEMBL4229498</t>
  </si>
  <si>
    <t xml:space="preserve">Displacement of [3H]-CP55940 from human CB2 receptor expressed in HEK293 cell membranes after 1 hr by liquid scintillation spectrometry</t>
  </si>
  <si>
    <t xml:space="preserve">CHEMBL4446721</t>
  </si>
  <si>
    <t xml:space="preserve">CC(C(=O)NC1CCN(c2ncnc3c2nc(-c2ccccc2Cl)n3-c2ccc(Cl)cc2)CC1)c1ccccc1</t>
  </si>
  <si>
    <t xml:space="preserve">CHEMBL4387104</t>
  </si>
  <si>
    <t xml:space="preserve">CHEMBL4385641</t>
  </si>
  <si>
    <t xml:space="preserve">Displacement of [3H]-CP55940 from human CB2 receptor expressed in CHO cell membranes</t>
  </si>
  <si>
    <t xml:space="preserve">CHEMBL478624</t>
  </si>
  <si>
    <t xml:space="preserve">CC(C(=O)NCCC(c1ccccc1)c1ccccc1)(c1ccccc1)c1ccccc1</t>
  </si>
  <si>
    <t xml:space="preserve">CHEMBL981123</t>
  </si>
  <si>
    <t xml:space="preserve">CHEMBL1155783</t>
  </si>
  <si>
    <t xml:space="preserve">Displacement of [3H]CP-55940 from human recombinant CB2 receptor expressed in HEK cells</t>
  </si>
  <si>
    <t xml:space="preserve">CHEMBL6009533</t>
  </si>
  <si>
    <t xml:space="preserve">CC(C)(C(=O)OCCCBr)c1cc(O)c2c(c1)OC(C)(C)[C@@H]1CC=C(CO)C[C@@H]21</t>
  </si>
  <si>
    <t xml:space="preserve">CHEMBL5736284</t>
  </si>
  <si>
    <t xml:space="preserve">CHEMBL5728198</t>
  </si>
  <si>
    <t xml:space="preserve">Binding Assay: All the cannabinoids discussed in this invention are tested for their ability to bind to CB1 and CB2 receptors using membranes from rat brain or HEK293 cells expressing either mCB2 or hCB2, respectively via competition-equilibrium binding using [3H]CP-55,940. Results are analyzed using nonlinear regression to determine ligand IC50 (Prism by GraphPad Software, Inc.).</t>
  </si>
  <si>
    <t xml:space="preserve">CHEMBL5988824</t>
  </si>
  <si>
    <t xml:space="preserve">CC(C)(C(=O)OCCCC#N)c1cc(O)c2c(c1)OC(C)(C)[C@@H]1CC=C(CO)C[C@@H]21</t>
  </si>
  <si>
    <t xml:space="preserve">CHEMBL6045958</t>
  </si>
  <si>
    <t xml:space="preserve">CC(C)(C(=O)OCCCCn1ccnc1)c1cc(O)c2c(c1)OC(C)(C)[C@@H]1CC=C(CO)C[C@@H]21</t>
  </si>
  <si>
    <t xml:space="preserve">CHEMBL6013431</t>
  </si>
  <si>
    <t xml:space="preserve">CC(C)(C(=O)OCCCN1CCOCC1)c1cc(O)c2c(c1)OC(C)(C)[C@@H]1CC=C(CO)C[C@@H]21</t>
  </si>
  <si>
    <t xml:space="preserve">CHEMBL5779501</t>
  </si>
  <si>
    <t xml:space="preserve">CC(C)(C(=O)OCCCn1ccnc1)c1cc(O)c2c(c1)OC(C)(C)[C@@H]1CC=C(CO)C[C@@H]21</t>
  </si>
  <si>
    <t xml:space="preserve">CHEMBL3686321</t>
  </si>
  <si>
    <t xml:space="preserve">CC(C)(C)/C(COc1ccc(C(F)(F)F)cc1C(=O)/N=c1\sc(C(C)(C)C)cn1C[C@H]1CCCO1)=N/O</t>
  </si>
  <si>
    <t xml:space="preserve">CHEMBL3686322</t>
  </si>
  <si>
    <t xml:space="preserve">CC(C)(C)/C(COc1ccc(C(F)(F)F)cc1C(=O)/N=c1\sc(C(C)(C)C)cn1C[C@H]1CCCO1)=N\O</t>
  </si>
  <si>
    <t xml:space="preserve">CHEMBL3686323</t>
  </si>
  <si>
    <t xml:space="preserve">CC(C)(C)C(=O)COc1ccc(C(F)(F)F)cc1C(=O)/N=c1\sc(C(C)(C)C)cn1C[C@H]1CCCO1</t>
  </si>
  <si>
    <t xml:space="preserve">CHEMBL2348471</t>
  </si>
  <si>
    <t xml:space="preserve">CC(C)(C)C(=O)OCC1=CC[C@@H]2[C@@H](C1)c1c(O)cc(C34CC5CC(CC(C5)C3)C4)cc1OC2(C)C</t>
  </si>
  <si>
    <t xml:space="preserve">CHEMBL2354094</t>
  </si>
  <si>
    <t xml:space="preserve">CHEMBL2346593</t>
  </si>
  <si>
    <t xml:space="preserve">Displacement of [3H]CP-55940 from human CB2 receptor expressed in HEK293 cell membrane by competitive binding assay</t>
  </si>
  <si>
    <t xml:space="preserve">CHEMBL4248778</t>
  </si>
  <si>
    <t xml:space="preserve">CC(C)(C)CC(=O)N1CCN(c2ncnc3c2nc(-c2ccccc2Cl)n3-c2ccc(Cl)cc2)CC1</t>
  </si>
  <si>
    <t xml:space="preserve">CHEMBL4469545</t>
  </si>
  <si>
    <t xml:space="preserve">CC(C)(C)CC(=O)NC1CCN(c2ncnc3c2nc(-c2ccccc2Cl)n3-c2ccc(Cl)cc2)CC1</t>
  </si>
  <si>
    <t xml:space="preserve">CHEMBL404697</t>
  </si>
  <si>
    <t xml:space="preserve">CC(C)(C)CNC(=O)c1ccc(Br)c(S(=O)(=O)N2CCCC2)c1</t>
  </si>
  <si>
    <t xml:space="preserve">CHEMBL929251</t>
  </si>
  <si>
    <t xml:space="preserve">CHEMBL1145632</t>
  </si>
  <si>
    <t xml:space="preserve">Displacement of [3H]CP-55940 from human cloned CB2 receptor</t>
  </si>
  <si>
    <t xml:space="preserve">CHEMBL403628</t>
  </si>
  <si>
    <t xml:space="preserve">CC(C)(C)CNC(=O)c1ccc(Br)c(S(=O)(=O)N2CCCCC2)c1</t>
  </si>
  <si>
    <t xml:space="preserve">CHEMBL256503</t>
  </si>
  <si>
    <t xml:space="preserve">CC(C)(C)CNC(=O)c1ccc(Br)c(S(=O)(=O)N2CCOCC2)c1</t>
  </si>
  <si>
    <t xml:space="preserve">CHEMBL3686343</t>
  </si>
  <si>
    <t xml:space="preserve">CC(C)(C)CO/C=N/CCCOc1ccc(C(F)(F)F)cc1C(=O)/N=c1\sc(C(C)(C)C)cn1C[C@H]1CCCO1</t>
  </si>
  <si>
    <t xml:space="preserve">CHEMBL2180219</t>
  </si>
  <si>
    <t xml:space="preserve">CC(C)(C)NC(=O)NC1(c2ccccc2)CCN(c2ncnc3c2nc(-c2ccccc2Cl)n3-c2ccc(Cl)cc2)CC1</t>
  </si>
  <si>
    <t xml:space="preserve">CHEMBL2185469</t>
  </si>
  <si>
    <t xml:space="preserve">CHEMBL2176912</t>
  </si>
  <si>
    <t xml:space="preserve">Displacement of [3H]CP55940 from human CB2 receptor expressed in CHO-K1 cells</t>
  </si>
  <si>
    <t xml:space="preserve">CHEMBL3234681</t>
  </si>
  <si>
    <t xml:space="preserve">CC(C)(C)NC(=O)c1nn(-c2ccc(F)cc2F)c2c1[C@H]1CC[C@@H]2C1</t>
  </si>
  <si>
    <t xml:space="preserve">CHEMBL4480763</t>
  </si>
  <si>
    <t xml:space="preserve">CHEMBL4480384</t>
  </si>
  <si>
    <t xml:space="preserve">Agonist activity at human CB2 receptor</t>
  </si>
  <si>
    <t xml:space="preserve">CHEMBL3686303</t>
  </si>
  <si>
    <t xml:space="preserve">CC(C)(C)NNc1ccc(C(F)(F)F)cc1C(=O)/N=c1\sc(C(C)(C)C)cn1C[C@H]1CCCO1</t>
  </si>
  <si>
    <t xml:space="preserve">CHEMBL3650102</t>
  </si>
  <si>
    <t xml:space="preserve">CC(C)(C)NOc1ccc(C(F)(F)F)cc1C(=O)/N=c1\sc(C(C)(C)C)nn1CC1CC1</t>
  </si>
  <si>
    <t xml:space="preserve">CHEMBL3706217</t>
  </si>
  <si>
    <t xml:space="preserve">CHEMBL3639359</t>
  </si>
  <si>
    <t xml:space="preserve">Radioligand Binding Assay: HEK293 cells stably expressing human CB2 receptors were grown until a confluent monolayer was formed. Briefly, the cells were harvested and homogenized in TE buffer (50 mM Tris-HCl, 1 mM MgCl2, and 1 mM EDTA) using a polytron for 2x 10 second bursts in the presence of protease inhibitors, followed by centrifugation at 45,000xg for 20 minutes. The final membrane pellet was re-homogenized in storage buffer (50 mM Tris-HCl, 1 mM MgCl2, and 1 mM EDTA and 10% sucrose) and frozen at -78 C. until used. Saturation binding reactions were initiated by the addition of membrane preparation (protein concentration of 5 ug/well for human CB2) into wells of a deep well plate containing [3H]CP 55,940 (120 Ci/mmol, a nonselective CB agonist commercially available from Tocris) in assay buffer (50 mM Tris, 2.5 mM EDTA, 5 mM MgCl2, and 0.5 mg/mL fatty acid free BSA, pH 7.4). After 90 min incubation at 30 C., binding reaction was terminated by the addition of 300 uL/well of cold assay buffer.</t>
  </si>
  <si>
    <t xml:space="preserve">CHEMBL3650104</t>
  </si>
  <si>
    <t xml:space="preserve">CC(C)(C)NOc1ccc(C(F)(F)F)cc1C(=O)/N=c1\sc(C(C)(C)C)nn1CC1CCC1</t>
  </si>
  <si>
    <t xml:space="preserve">CHEMBL3650086</t>
  </si>
  <si>
    <t xml:space="preserve">CC(C)(C)NOc1ccc(C(F)(F)F)cc1C(=O)/N=c1\sc(C(C)(C)C)nn1CC1CCCCO1</t>
  </si>
  <si>
    <t xml:space="preserve">CHEMBL3650114</t>
  </si>
  <si>
    <t xml:space="preserve">CC(C)(C)NOc1ccc(C(F)(F)F)cc1C(=O)/N=c1\sc(C(C)(C)C)nn1CC1CCO1</t>
  </si>
  <si>
    <t xml:space="preserve">CHEMBL3650090</t>
  </si>
  <si>
    <t xml:space="preserve">CC(C)(C)NOc1ccc(C(F)(F)F)cc1C(=O)/N=c1\sc(C(C)(C)C)nn1CCCC#N</t>
  </si>
  <si>
    <t xml:space="preserve">CHEMBL3650103</t>
  </si>
  <si>
    <t xml:space="preserve">CC(C)(C)NOc1ccc(C(F)(F)F)cc1C(=O)/N=c1\sc(C(C)(C)C)nn1CCCC(F)(F)F</t>
  </si>
  <si>
    <t xml:space="preserve">CHEMBL3650111</t>
  </si>
  <si>
    <t xml:space="preserve">CC(C)(C)NOc1ccc(C(F)(F)F)cc1C(=O)/N=c1\sc(C(C)(C)C)nn1CCCCF</t>
  </si>
  <si>
    <t xml:space="preserve">CHEMBL3650092</t>
  </si>
  <si>
    <t xml:space="preserve">CC(C)(C)NOc1ccc(C(F)(F)F)cc1C(=O)/N=c1\sc(C(C)(C)C)nn1C[C@H]1CCCO1</t>
  </si>
  <si>
    <t xml:space="preserve">CHEMBL2180226</t>
  </si>
  <si>
    <t xml:space="preserve">CC(C)(C)OC(=O)N1CCC(Nc2ncnc3c2nc(-c2ccccc2Cl)n3-c2ccc(Cl)cc2)CC1</t>
  </si>
  <si>
    <t xml:space="preserve">CHEMBL4249237</t>
  </si>
  <si>
    <t xml:space="preserve">CC(C)(C)OC(=O)N1CCN(c2ncnc3c2nc(-c2ccccc2Cl)n3-c2ccc(Cl)cc2)CC1</t>
  </si>
  <si>
    <t xml:space="preserve">CHEMBL2180216</t>
  </si>
  <si>
    <t xml:space="preserve">CC(C)(C)OC(=O)NC1(c2ccccc2)CCN(c2ncnc3c2nc(-c2ccccc2Cl)n3-c2ccc(Cl)cc2)CC1</t>
  </si>
  <si>
    <t xml:space="preserve">CHEMBL2180205</t>
  </si>
  <si>
    <t xml:space="preserve">CC(C)(C)OC(=O)NC1CCN(c2ncnc3c2nc(-c2ccccc2Cl)n3-c2ccc(Cl)cc2)CC1</t>
  </si>
  <si>
    <t xml:space="preserve">CHEMBL2441470</t>
  </si>
  <si>
    <t xml:space="preserve">CC(C)(C)OC(=O)NCCCn1c2ccccc2c2cc(C(=O)N3CCCCC3)ccc21</t>
  </si>
  <si>
    <t xml:space="preserve">CHEMBL2445749</t>
  </si>
  <si>
    <t xml:space="preserve">CHEMBL2440006</t>
  </si>
  <si>
    <t xml:space="preserve">Displacement of [3H]-CP55940 from human CB2 receptor expressed in HEK293 cells after 1.5 hrs by microbeta liquid scintillation counting analysis</t>
  </si>
  <si>
    <t xml:space="preserve">CHEMBL5411459</t>
  </si>
  <si>
    <t xml:space="preserve">CC(C)(C)OC(=O)NCCOCCOc1ccc(-c2cc(=O)c3c(OCc4ccccc4)cccc3o2)cc1</t>
  </si>
  <si>
    <t xml:space="preserve">CHEMBL5341194</t>
  </si>
  <si>
    <t xml:space="preserve">CHEMBL5338756</t>
  </si>
  <si>
    <t xml:space="preserve">Displacement of [3H]CP55940 from human CB2 receptor stably expressed in HEK293 cells by Cheng-Prusoff equation analysis</t>
  </si>
  <si>
    <t xml:space="preserve">CHEMBL5411063</t>
  </si>
  <si>
    <t xml:space="preserve">CC(C)(C)OC(=O)NCCOCCOc1ccc(-c2cc(=O)c3ccccc3o2)cc1</t>
  </si>
  <si>
    <t xml:space="preserve">CHEMBL3686304</t>
  </si>
  <si>
    <t xml:space="preserve">CC(C)(C)OC(=O)NNc1ccc(C(F)(F)F)cc1C(=O)/N=c1/sc(C(C)(C)C)cn1C[C@H]1CCCO1</t>
  </si>
  <si>
    <t xml:space="preserve">CHEMBL4468164</t>
  </si>
  <si>
    <t xml:space="preserve">CC(C)(C)OCCC(=O)NC1CCN(c2ncnc3c2nc(-c2ccccc2Cl)n3-c2ccc(Cl)cc2)CC1</t>
  </si>
  <si>
    <t xml:space="preserve">CHEMBL494986</t>
  </si>
  <si>
    <t xml:space="preserve">CC(C)(C)[C@@H](C#N)NC(=O)n1c(=O)n(CCN2CCOCC2)c2ccccc21</t>
  </si>
  <si>
    <t xml:space="preserve">CHEMBL995594</t>
  </si>
  <si>
    <t xml:space="preserve">CHEMBL1150312</t>
  </si>
  <si>
    <t xml:space="preserve">Displacement of [3H]CP-55940 from human CB2 receptor</t>
  </si>
  <si>
    <t xml:space="preserve">CHEMBL5868308</t>
  </si>
  <si>
    <t xml:space="preserve">CC(C)(C)[C@@H](CO)NC(=O)c1nn(-c2c[n+]([O-])ccn2)c2c1C[C@H]1C[C@@H]21</t>
  </si>
  <si>
    <t xml:space="preserve">CHEMBL5733765</t>
  </si>
  <si>
    <t xml:space="preserve">CHEMBL5726959</t>
  </si>
  <si>
    <t xml:space="preserve">Radioligand Binding Assay: Preparation of Membranes: HEK293 cells stably expressing human CB2 receptor were collected, washed in ice cold PBS, and centrifuged at 48,000×g for 20 min at 4° C. The cell pellet was then collected, resuspended in wash buffer (20 mM HEPES, pH 7.4 and 1 mM EDTA), homogenized on ice using a Brinkman Polytron, and centrifuged at 48,000×g for 20 min at 4° C. The resultant pellet was resuspended in ice cold 20 mM HEPES, pH 7.4, homogenized again on ice, recentrifuged for 20 min at 4° C., and membrane pellets were then stored at −80° C. until needed.[3H]P55,940 and [3H]WIN55, 212-2 Radioligand Binding Assays: Radioligand binding assays for human CB2 receptors were performed using two different agonist radioligands, [3H]CP55,940 and [3H]WIN55, 212-2 and similar assay conditions. For both assays, nonspecific binding was determined in the presence of 10 μM unlabeled compound. Competition experiments consisted of addition of 20 μL of assay buffer (50 mM Tris, pH 7.4, 2.5 mM EDTA, 5 mM MgCl2, and 0.5 mg/mL of fatty acid free BSA) containing test compound (concentrations ranging from 1 pM to 100 μM), 25 μL of radioligand (1 nM final assay concentration for [3H]CP55,904 and [3H]WIN55, 212-2), and 50 μL of membranes (20 μg/mL final protein for both assays). Incubations were conducted for 1 h at room temperature, assay plates were filtered under reduced pressure over GF/B filters, washed with assay buffer and dried overnight in a 50° C. oven. Then, 25 μL of BetaScint scintillation cocktail was added to each well, and plates were read in a Packard TopCount scintillation counter.</t>
  </si>
  <si>
    <t xml:space="preserve">CHEMBL522527</t>
  </si>
  <si>
    <t xml:space="preserve">CC(C)(C)[C@@H](CO)NC(=O)n1c(=O)n(CCN2CCOCC2)c2ccccc21</t>
  </si>
  <si>
    <t xml:space="preserve">CHEMBL5763183</t>
  </si>
  <si>
    <t xml:space="preserve">CC(C)(C)[C@@H](NC(=O)c1nn(-c2c[n+]([O-])ccn2)c2c1C[C@H]1C[C@@H]21)OCC(N)=O</t>
  </si>
  <si>
    <t xml:space="preserve">CHEMBL5737736</t>
  </si>
  <si>
    <t xml:space="preserve">CHEMBL5728912</t>
  </si>
  <si>
    <t xml:space="preserve">Homogeneous Time-Resolved Fluorescence (HTRF) Assay: Table B: HTRF assay was carried out using a two-step protocol essentially according to the kit manufacturer's instructions, in 20 μL total volume per well in 384-well plate format (ProxiPlates; PerkinElmer, Fremont, Calif.; catalog #6008280). To each of the experimental wells was transferred 1500 recombinant CHO-K1 cells in 5 μL phosphate buffered saline containing calcium chloride and magnesium chloride (PBS+; Invitrogen, Carlsbad, Calif.; catalog #14040) followed by test compound in 5 μL assay buffer (PBS+ supplemented with 0.2% BSA, 4 μM forskolin and 1 mM IBMX (Sigma-Aldrich, St. Louis, Mo.; catalog #s A8806, F6886 and I5879 respectively). The plate was then incubated at room temperature for 1 h. To each well was then added 5 μL cAMP-d2 conjugate in lysis buffer and 5 μL Cryptate conjugate in lysis buffer according to the kit manufacturer's instructions. The plate was then further incubated at room temperature for 1 h, after which the assay plate was read.</t>
  </si>
  <si>
    <t xml:space="preserve">CHEMBL6009783</t>
  </si>
  <si>
    <t xml:space="preserve">CC(C)(C)[C@H](CC(N)=O)NC(=O)c1nn(-c2c[n+]([O-])ccn2)c2c1C[C@@H]1C[C@H]21</t>
  </si>
  <si>
    <t xml:space="preserve">CHEMBL522906</t>
  </si>
  <si>
    <t xml:space="preserve">CC(C)(C)[C@H](NC(=O)n1c(=O)n(CC2(O)CCOCC2)c2ccccc21)C(N)=O</t>
  </si>
  <si>
    <t xml:space="preserve">CHEMBL496497</t>
  </si>
  <si>
    <t xml:space="preserve">CC(C)(C)[C@H](NC(=O)n1c(=O)n(CC2CCCO2)c2ccccc21)C(N)=O</t>
  </si>
  <si>
    <t xml:space="preserve">CHEMBL497124</t>
  </si>
  <si>
    <t xml:space="preserve">CC(C)(C)[C@H](NC(=O)n1c(=O)n(CCC2(O)CCOCC2)c2ccccc21)C(N)=O</t>
  </si>
  <si>
    <t xml:space="preserve">CHEMBL1162994</t>
  </si>
  <si>
    <t xml:space="preserve">CC(C)(C)[C@H](NC(=O)n1c(=O)n(CCC2CCOCC2)c2ccccc21)C(N)=O</t>
  </si>
  <si>
    <t xml:space="preserve">CHEMBL524818</t>
  </si>
  <si>
    <t xml:space="preserve">CC(C)(C)[C@H](NC(=O)n1c(=O)n(CCN2CCCC2)c2ccccc21)C(N)=O</t>
  </si>
  <si>
    <t xml:space="preserve">CHEMBL523050</t>
  </si>
  <si>
    <t xml:space="preserve">CC(C)(C)[C@H](NC(=O)n1c(=O)n(CCN2CCOCC2)c2ccccc21)C(N)=O</t>
  </si>
  <si>
    <t xml:space="preserve">CHEMBL3581223</t>
  </si>
  <si>
    <t xml:space="preserve">CC(C)(C)c1cc(-c2csc(C3(N)CCOCC3)n2)cc(C(C)(C)C)c1O</t>
  </si>
  <si>
    <t xml:space="preserve">CHEMBL3583992</t>
  </si>
  <si>
    <t xml:space="preserve">CHEMBL3580586</t>
  </si>
  <si>
    <t xml:space="preserve">Displacement of [3H]CP55940 from human CB2 receptor expressed in CHO-K1 cell membrane by competitive displacement assay</t>
  </si>
  <si>
    <t xml:space="preserve">CHEMBL3581226</t>
  </si>
  <si>
    <t xml:space="preserve">CC(C)(C)c1cc(-c2csc(C3(N4CCCCC4)CCOCC3)n2)cc(C(C)(C)C)c1O</t>
  </si>
  <si>
    <t xml:space="preserve">CHEMBL3581227</t>
  </si>
  <si>
    <t xml:space="preserve">CC(C)(C)c1cc(-c2csc(C3(N4CCOCC4)CCOCC3)n2)cc(C(C)(C)C)c1O</t>
  </si>
  <si>
    <t xml:space="preserve">CHEMBL5795345</t>
  </si>
  <si>
    <t xml:space="preserve">CC(C)(C)c1cc(N2CCC(F)(F)C2)c2nnn(Cc3ccccc3SSCCO)c2n1</t>
  </si>
  <si>
    <t xml:space="preserve">CHEMBL5786480</t>
  </si>
  <si>
    <t xml:space="preserve">CC(C)(C)c1cc(N2CCC(F)(F)C2)c2nnn(Cc3ccccc3SSc3ccccn3)c2n1</t>
  </si>
  <si>
    <t xml:space="preserve">CHEMBL3605045</t>
  </si>
  <si>
    <t xml:space="preserve">CC(C)(C)c1ccc(C(=O)c2cc(O)c(-c3cc(Cl)cc(Cl)c3)c(O)c2)cc1</t>
  </si>
  <si>
    <t xml:space="preserve">CHEMBL3606862</t>
  </si>
  <si>
    <t xml:space="preserve">CHEMBL3603733</t>
  </si>
  <si>
    <t xml:space="preserve">Displacement of [3H]-CP55940 from CB2 receptor (unknown origin) expressed in CHO cell membranes after 90 mins by liquid scintillation counting analysis</t>
  </si>
  <si>
    <t xml:space="preserve">CHEMBL3686332</t>
  </si>
  <si>
    <t xml:space="preserve">CC(C)(C)c1cn(CC2CCCO2)/c(=N/C(=O)c2cc(C(F)(F)F)ccc2ON=C2CCCC2)s1</t>
  </si>
  <si>
    <t xml:space="preserve">CHEMBL3647316</t>
  </si>
  <si>
    <t xml:space="preserve">CC(C)(C)c1cn(CCC(F)(F)F)/c(=N/C(=O)c2cc(C#N)ccc2OC2CCC2)s1</t>
  </si>
  <si>
    <t xml:space="preserve">CHEMBL3686298</t>
  </si>
  <si>
    <t xml:space="preserve">CC(C)(C)c1cn(C[C@@H]2CCCO2)/c(=N/C(=O)c2cc(C(F)(F)F)ccc2OC[C@H](N)CO)s1</t>
  </si>
  <si>
    <t xml:space="preserve">CHEMBL3686325</t>
  </si>
  <si>
    <t xml:space="preserve">CC(C)(C)c1cn(C[C@H]2CCCO2)/c(=N/C(=O)c2cc(C(F)(F)F)ccc2OCC(C)(C)n2cccc2)s1</t>
  </si>
  <si>
    <t xml:space="preserve">CHEMBL3686340</t>
  </si>
  <si>
    <t xml:space="preserve">CC(C)(C)c1cn(C[C@H]2CCCO2)/c(=N/C(=O)c2cc(C(F)(F)F)ccc2OCCC/N=C/OC2CCCCO2)s1</t>
  </si>
  <si>
    <t xml:space="preserve">CHEMBL3686317</t>
  </si>
  <si>
    <t xml:space="preserve">CC(C)(C)c1cn(C[C@H]2CCCO2)/c(=N/C(=O)c2cc(C(F)(F)F)ccc2OCCNCCO)s1</t>
  </si>
  <si>
    <t xml:space="preserve">CHEMBL3686334</t>
  </si>
  <si>
    <t xml:space="preserve">CC(C)(C)c1cn(C[C@H]2CCCO2)/c(=N/C(=O)c2cc(C(F)(F)F)ccc2OC[C@@H]2CCCCN2)s1</t>
  </si>
  <si>
    <t xml:space="preserve">CHEMBL3686307</t>
  </si>
  <si>
    <t xml:space="preserve">CC(C)(C)c1cn(C[C@H]2CCCO2)/c(=N/C(=O)c2cc(C(F)(F)F)ccc2OC[C@@H]2CCCN2)s1</t>
  </si>
  <si>
    <t xml:space="preserve">CHEMBL3686310</t>
  </si>
  <si>
    <t xml:space="preserve">CC(C)(C)c1cn(C[C@H]2CCCO2)/c(=N/C(=O)c2cc(C(F)(F)F)ccc2OC[C@@H]2CCCN2S(C)(=O)=O)s1</t>
  </si>
  <si>
    <t xml:space="preserve">CHEMBL3686293</t>
  </si>
  <si>
    <t xml:space="preserve">CC(C)(C)c1cn(C[C@H]2CCCO2)/c(=N/C(=O)c2cc(C(F)(F)F)ccc2OC[C@@H]2CCCO2)s1</t>
  </si>
  <si>
    <t xml:space="preserve">CHEMBL3686282</t>
  </si>
  <si>
    <t xml:space="preserve">CC(C)(C)c1cn(C[C@H]2CCCO2)/c(=N/C(=O)c2cc(C(F)(F)F)ccc2OC[C@@H]2CCN2)s1</t>
  </si>
  <si>
    <t xml:space="preserve">CHEMBL3686319</t>
  </si>
  <si>
    <t xml:space="preserve">CC(C)(C)c1cn(C[C@H]2CCCO2)/c(=N/C(=O)c2cc(C(F)(F)F)ccc2OC[C@@H]2CNCCO2)s1</t>
  </si>
  <si>
    <t xml:space="preserve">CHEMBL3686284</t>
  </si>
  <si>
    <t xml:space="preserve">CC(C)(C)c1cn(C[C@H]2CCCO2)/c(=N/C(=O)c2cc(C(F)(F)F)ccc2OC[C@H]2CCCCN2)s1</t>
  </si>
  <si>
    <t xml:space="preserve">CHEMBL3686292</t>
  </si>
  <si>
    <t xml:space="preserve">CC(C)(C)c1cn(C[C@H]2CCCO2)/c(=N/C(=O)c2cc(C(F)(F)F)ccc2OC[C@H]2CCCO2)s1</t>
  </si>
  <si>
    <t xml:space="preserve">CHEMBL3639852</t>
  </si>
  <si>
    <t xml:space="preserve">CC(C)(C)c1cn(C[C@H]2CCCO2)/c(=N/C(=O)c2cc(C(F)(F)F)ccc2OC[C@H]2CCC[N+]2(C)[O-])s1</t>
  </si>
  <si>
    <t xml:space="preserve">CHEMBL3686281</t>
  </si>
  <si>
    <t xml:space="preserve">CC(C)(C)c1cn(C[C@H]2CCCO2)/c(=N/C(=O)c2cc(C(F)(F)F)ccc2OC[C@H]2CCN2)s1</t>
  </si>
  <si>
    <t xml:space="preserve">CHEMBL3686336</t>
  </si>
  <si>
    <t xml:space="preserve">CC(C)(C)c1cn(C[C@H]2CCCO2)/c(=N/C(=O)c2cc(C(F)(F)F)ccc2OCc2cccc[n+]2[O-])s1</t>
  </si>
  <si>
    <t xml:space="preserve">CHEMBL3686300</t>
  </si>
  <si>
    <t xml:space="preserve">CC(C)(C)c1cn(C[C@H]2CCCO2)/c(=N/C(=O)c2cc(C(F)(F)F)ccc2OCc2ccccc2)s1</t>
  </si>
  <si>
    <t xml:space="preserve">CHEMBL3234699</t>
  </si>
  <si>
    <t xml:space="preserve">CC(C)(C)c1cn(C[C@H]2CCCO2)/c(=N/C(=O)c2cc(C(F)(F)F)ccc2OCc2ccccn2)s1</t>
  </si>
  <si>
    <t xml:space="preserve">CHEMBL3686291</t>
  </si>
  <si>
    <t xml:space="preserve">CC(C)(C)c1cn(C[C@H]2CCCO2)/c(=N/C(=O)c2cc(C(F)(F)F)ccc2OCc2cccnc2)s1</t>
  </si>
  <si>
    <t xml:space="preserve">CHEMBL3686315</t>
  </si>
  <si>
    <t xml:space="preserve">CC(C)(C)c1cn(C[C@H]2CCCO2)/c(=N/C(=O)c2cc(C(F)(F)F)ccc2OCc2ccn[nH]2)s1</t>
  </si>
  <si>
    <t xml:space="preserve">CHEMBL3686290</t>
  </si>
  <si>
    <t xml:space="preserve">CC(C)(C)c1cn(C[C@H]2CCCO2)/c(=N/C(=O)c2cc(C(F)(F)F)ccc2OCc2cnccn2)s1</t>
  </si>
  <si>
    <t xml:space="preserve">CHEMBL3686301</t>
  </si>
  <si>
    <t xml:space="preserve">CC(C)(C)c1cn(C[C@H]2CCCO2)/c(=N/C(=O)c2cc(C(F)(F)F)ccc2OCc2cnco2)s1</t>
  </si>
  <si>
    <t xml:space="preserve">CHEMBL3686302</t>
  </si>
  <si>
    <t xml:space="preserve">CC(C)(C)c1cn(C[C@H]2CCCO2)/c(=N/C(=O)c2cc(C(F)(F)F)ccc2OCc2nccs2)s1</t>
  </si>
  <si>
    <t xml:space="preserve">CHEMBL5869689</t>
  </si>
  <si>
    <t xml:space="preserve">CC(C)(C)c1nc(N2CC(S)C2)c2nnn(Cc3ccccc3Cl)c2n1</t>
  </si>
  <si>
    <t xml:space="preserve">CHEMBL5787066</t>
  </si>
  <si>
    <t xml:space="preserve">CC(C)(C)c1nc(N2CCC(F)(F)C2)c2nn(Cc3ccc(C4(C(F)(F)F)N=N4)cc3Cl)nc2n1</t>
  </si>
  <si>
    <t xml:space="preserve">CHEMBL5837733</t>
  </si>
  <si>
    <t xml:space="preserve">CC(C)(C)c1nc(N2CCC(F)(F)C2)c2nn(Cc3ccccc3CS(=O)(=O)F)nc2n1</t>
  </si>
  <si>
    <t xml:space="preserve">CHEMBL5950666</t>
  </si>
  <si>
    <t xml:space="preserve">CC(C)(C)c1nc(N2CCC(F)(F)C2)c2nn(Cc3ccccc3CSC#N)nc2n1</t>
  </si>
  <si>
    <t xml:space="preserve">CHEMBL5884499</t>
  </si>
  <si>
    <t xml:space="preserve">CC(C)(C)c1nc(N2CCC(F)(F)C2)c2nn(Cc3ccccc3F)nc2n1</t>
  </si>
  <si>
    <t xml:space="preserve">CHEMBL5877157</t>
  </si>
  <si>
    <t xml:space="preserve">CC(C)(C)c1nc(N2CCC(F)(F)C2)c2nn(Cc3ccccc3SC#N)nc2n1</t>
  </si>
  <si>
    <t xml:space="preserve">CHEMBL5819454</t>
  </si>
  <si>
    <t xml:space="preserve">CC(C)(C)c1nc(N2CCC(F)(F)C2)c2nnn(Cc3ccc(C4(C(F)(F)F)N=N4)cc3Cl)c2n1</t>
  </si>
  <si>
    <t xml:space="preserve">CHEMBL5797375</t>
  </si>
  <si>
    <t xml:space="preserve">CC(C)(C)c1nc(N2CCC(F)(F)C2)c2nnn(Cc3ccccc3C3(C(F)(F)F)N=N3)c2n1</t>
  </si>
  <si>
    <t xml:space="preserve">CHEMBL5768045</t>
  </si>
  <si>
    <t xml:space="preserve">CC(C)(C)c1nc(N2CCC(F)(F)C2)c2nnn(Cc3ccccc3CCS(=O)(=O)F)c2n1</t>
  </si>
  <si>
    <t xml:space="preserve">CHEMBL5752639</t>
  </si>
  <si>
    <t xml:space="preserve">CC(C)(C)c1nc(N2CCC(F)(F)C2)c2nnn(Cc3ccccc3CCS(=O)(=O)n3nnc4ccccc43)c2n1</t>
  </si>
  <si>
    <t xml:space="preserve">CHEMBL5766169</t>
  </si>
  <si>
    <t xml:space="preserve">CC(C)(C)c1nc(N2CCC(F)(F)C2)c2nnn(Cc3ccccc3CCSSCC(O)CO)c2n1</t>
  </si>
  <si>
    <t xml:space="preserve">CHEMBL5910931</t>
  </si>
  <si>
    <t xml:space="preserve">CC(C)(C)c1nc(N2CCC(F)(F)C2)c2nnn(Cc3ccccc3CCSSCCN)c2n1</t>
  </si>
  <si>
    <t xml:space="preserve">CHEMBL5807801</t>
  </si>
  <si>
    <t xml:space="preserve">CC(C)(C)c1nc(N2CCC(F)(F)C2)c2nnn(Cc3ccccc3CCSSCCO)c2n1</t>
  </si>
  <si>
    <t xml:space="preserve">CHEMBL5829500</t>
  </si>
  <si>
    <t xml:space="preserve">CC(C)(C)c1nc(N2CCC(F)(F)C2)c2nnn(Cc3ccccc3CCSSc3ccccn3)c2n1</t>
  </si>
  <si>
    <t xml:space="preserve">CHEMBL5874315</t>
  </si>
  <si>
    <t xml:space="preserve">CC(C)(C)c1nc(N2CCC(F)(F)C2)c2nnn(Cc3ccccc3CN=C=S)c2n1</t>
  </si>
  <si>
    <t xml:space="preserve">CHEMBL5802470</t>
  </si>
  <si>
    <t xml:space="preserve">CC(C)(C)c1nc(N2CCC(F)(F)C2)c2nnn(Cc3ccccc3CS(=O)(=O)F)c2n1</t>
  </si>
  <si>
    <t xml:space="preserve">CHEMBL5899776</t>
  </si>
  <si>
    <t xml:space="preserve">CC(C)(C)c1nc(N2CCC(F)(F)C2)c2nnn(Cc3ccccc3CSSCCO)c2n1</t>
  </si>
  <si>
    <t xml:space="preserve">CHEMBL5869138</t>
  </si>
  <si>
    <t xml:space="preserve">CC(C)(C)c1nc(N2CCC(F)(F)C2)c2nnn(Cc3ccccc3N=C=S)c2n1</t>
  </si>
  <si>
    <t xml:space="preserve">CHEMBL5876431</t>
  </si>
  <si>
    <t xml:space="preserve">CC(C)(C)c1nc(N2CCC(F)(F)C2)c2nnn(Cc3ccccc3S(=O)(=O)F)c2n1</t>
  </si>
  <si>
    <t xml:space="preserve">CHEMBL5778954</t>
  </si>
  <si>
    <t xml:space="preserve">CC(C)(C)c1nc(N2CCC(N=C=S)C2)c2nnn(Cc3ccccc3Cl)c2n1</t>
  </si>
  <si>
    <t xml:space="preserve">CHEMBL6002409</t>
  </si>
  <si>
    <t xml:space="preserve">CC(C)(C)c1nc(N2CCC(N=[N+]=[N-])C2)c2nnn(Cc3ccccc3Cl)c2n1</t>
  </si>
  <si>
    <t xml:space="preserve">CHEMBL5879097</t>
  </si>
  <si>
    <t xml:space="preserve">CC(C)(C)c1nc(N2CCC(S)C2)c2nnn(Cc3ccccc3Cl)c2n1</t>
  </si>
  <si>
    <t xml:space="preserve">CHEMBL6051448</t>
  </si>
  <si>
    <t xml:space="preserve">CC(C)(C)c1nc(N2CCC3(C2)N=N3)c2nnn(Cc3ccccc3Cl)c2n1</t>
  </si>
  <si>
    <t xml:space="preserve">CHEMBL5803028</t>
  </si>
  <si>
    <t xml:space="preserve">CC(C)(C)c1nc(N2CC[C@@H](S)C2)c2nnn(Cc3ccccc3Cl)c2n1</t>
  </si>
  <si>
    <t xml:space="preserve">CHEMBL6005346</t>
  </si>
  <si>
    <t xml:space="preserve">CC(C)(C)c1nc(N2CC[C@H](O)C2)c2nn(Cc3ccccc3CSC#N)nc2n1</t>
  </si>
  <si>
    <t xml:space="preserve">CHEMBL5992157</t>
  </si>
  <si>
    <t xml:space="preserve">CC(C)(C)c1nc(N2CC[C@H](O)C2)c2nn(Cc3ccccc3F)nc2n1</t>
  </si>
  <si>
    <t xml:space="preserve">CHEMBL6041907</t>
  </si>
  <si>
    <t xml:space="preserve">CC(C)(C)c1nc(N2CC[C@H](O)C2)c2nnn(Cc3ccccc3CN=C=S)c2n1</t>
  </si>
  <si>
    <t xml:space="preserve">CHEMBL5904741</t>
  </si>
  <si>
    <t xml:space="preserve">CC(C)(C)c1nc(N2CC[C@H](O)C2)c2nnn(Cc3ccccc3CS(=O)(=O)F)c2n1</t>
  </si>
  <si>
    <t xml:space="preserve">CHEMBL6040690</t>
  </si>
  <si>
    <t xml:space="preserve">CC(C)(C)c1nc(N2CC[C@H](O)C2)c2nnn(Cc3ccccc3S(=O)(=O)F)c2n1</t>
  </si>
  <si>
    <t xml:space="preserve">CHEMBL5812453</t>
  </si>
  <si>
    <t xml:space="preserve">CC(C)(C)c1nc(N2CC[C@H](S)C2)c2nnn(Cc3ccccc3Cl)c2n1</t>
  </si>
  <si>
    <t xml:space="preserve">CHEMBL4454159</t>
  </si>
  <si>
    <t xml:space="preserve">CC(C)(C)c1nc2cc(NS(C)(=O)=O)ccc2n1CC1CCC(F)(F)CC1</t>
  </si>
  <si>
    <t xml:space="preserve">CHEMBL4354895</t>
  </si>
  <si>
    <t xml:space="preserve">CHEMBL4354779</t>
  </si>
  <si>
    <t xml:space="preserve">CHEMBL3901140</t>
  </si>
  <si>
    <t xml:space="preserve">CC(C)(C)c1nc2ccccc2n1C(=O)c1cccc2ccccc12</t>
  </si>
  <si>
    <t xml:space="preserve">CHEMBL3873274</t>
  </si>
  <si>
    <t xml:space="preserve">CHEMBL3872225</t>
  </si>
  <si>
    <t xml:space="preserve">Displacement of [3H]CP-55940 from human recombinant CB2 receptor expressed in HEK293 cell membranes incubated for 1.5 hrs</t>
  </si>
  <si>
    <t xml:space="preserve">CHEMBL5091754</t>
  </si>
  <si>
    <t xml:space="preserve">CC(C)(CCCCCCC#N)c1cc(O)c2c(c1)OC(C)(C)[C@@H]1CC[C@@H](CO)C[C@@H]21</t>
  </si>
  <si>
    <t xml:space="preserve">CHEMBL5039169</t>
  </si>
  <si>
    <t xml:space="preserve">CHEMBL5038575</t>
  </si>
  <si>
    <t xml:space="preserve">Displacement of [3H]CP55940 from human CB2 expressed in HEK293 cell membrane assessed as inhibition constant incubated for 1 hr by TopCount scintillation counting method</t>
  </si>
  <si>
    <t xml:space="preserve">CHEMBL5085420</t>
  </si>
  <si>
    <t xml:space="preserve">CC(C)(CCCCCCN=C=S)c1cc(O)c2c(c1)OC(C)(C)[C@@H]1CC[C@@H](CO)C[C@@H]21</t>
  </si>
  <si>
    <t xml:space="preserve">CHEMBL5081770</t>
  </si>
  <si>
    <t xml:space="preserve">CC(C)(CCCCCCN=[N+]=[N-])c1cc(O)c2c(c1)OC(C)(C)[C@@H]1CC[C@@H](CO)C[C@@H]21</t>
  </si>
  <si>
    <t xml:space="preserve">CHEMBL3582028</t>
  </si>
  <si>
    <t xml:space="preserve">CC(C)(Cc1nnc(-c2ccc(F)cc2)o1)NC(=O)c1ccc(C2CCCC2)c(OCC2CC2)n1</t>
  </si>
  <si>
    <t xml:space="preserve">CHEMBL3584845</t>
  </si>
  <si>
    <t xml:space="preserve">CHEMBL3580634</t>
  </si>
  <si>
    <t xml:space="preserve">Displacement of [3H]CP-55,940 from human CB2 receptor expressed in CHO cell membranes</t>
  </si>
  <si>
    <t xml:space="preserve">CHEMBL3582021</t>
  </si>
  <si>
    <t xml:space="preserve">CC(C)(Cc1nnc(-c2ccc(F)cc2)o1)NC(=O)c1ccc(N2CC(F)(F)C2)c(OCC2CC2)n1</t>
  </si>
  <si>
    <t xml:space="preserve">CHEMBL2018779</t>
  </si>
  <si>
    <t xml:space="preserve">CC(C)(NC(=O)c1cc2c(n(CC3CCCCC3)c1=O)CCCCCC2)C(=O)N1CCC(C(=O)NS(C)(=O)=O)CC1</t>
  </si>
  <si>
    <t xml:space="preserve">CHEMBL2018665</t>
  </si>
  <si>
    <t xml:space="preserve">CC(C)(NC(=O)c1cc2c(n(CC3CCCCC3)c1=O)CCCCCC2)C(=O)N1CCC(C(=O)O)CC1</t>
  </si>
  <si>
    <t xml:space="preserve">CHEMBL2018666</t>
  </si>
  <si>
    <t xml:space="preserve">CC(C)(NC(=O)c1cc2c(n(CC3CCCCC3)c1=O)CCCCCC2)C(=O)N1CCC(C(N)=O)CC1</t>
  </si>
  <si>
    <t xml:space="preserve">CHEMBL2018778</t>
  </si>
  <si>
    <t xml:space="preserve">CC(C)(NC(=O)c1cc2c(n(CC3CCCCC3)c1=O)CCCCCC2)C(=O)N1CCC(NS(C)(=O)=O)CC1</t>
  </si>
  <si>
    <t xml:space="preserve">CHEMBL2018664</t>
  </si>
  <si>
    <t xml:space="preserve">CC(C)(NC(=O)c1cc2c(n(CC3CCCCC3)c1=O)CCCCCC2)C(=O)N1CCC(O)CC1</t>
  </si>
  <si>
    <t xml:space="preserve">CHEMBL2018663</t>
  </si>
  <si>
    <t xml:space="preserve">CC(C)(NC(=O)c1cc2c(n(CC3CCCCC3)c1=O)CCCCCC2)C(=O)NCC(=O)O</t>
  </si>
  <si>
    <t xml:space="preserve">CHEMBL2016599</t>
  </si>
  <si>
    <t xml:space="preserve">CC(C)(NC(=O)c1cc2c(n(CC3CCCCC3)c1=O)CCCCCC2)C(=O)NCC(N)=O</t>
  </si>
  <si>
    <t xml:space="preserve">CHEMBL2018659</t>
  </si>
  <si>
    <t xml:space="preserve">CC(C)(NC(=O)c1cc2c(n(CC3CCCCC3)c1=O)CCCCCC2)C(=O)NCCCCCO</t>
  </si>
  <si>
    <t xml:space="preserve">CHEMBL2018658</t>
  </si>
  <si>
    <t xml:space="preserve">CC(C)(NC(=O)c1cc2c(n(CC3CCCCC3)c1=O)CCCCCC2)C(=O)NCCCO</t>
  </si>
  <si>
    <t xml:space="preserve">CHEMBL2018660</t>
  </si>
  <si>
    <t xml:space="preserve">CC(C)(NC(=O)c1cc2c(n(CC3CCCCC3)c1=O)CCCCCC2)C(=O)NCCOCCO</t>
  </si>
  <si>
    <t xml:space="preserve">CHEMBL2018780</t>
  </si>
  <si>
    <t xml:space="preserve">CC(C)(NC(=O)c1cc2c(n(CC3CCCCC3)c1=O)CCCCCC2)C(=O)NN</t>
  </si>
  <si>
    <t xml:space="preserve">CHEMBL2018781</t>
  </si>
  <si>
    <t xml:space="preserve">CC(C)(NC(=O)c1cc2c(n(CC3CCCCC3)c1=O)CCCCCC2)C(=O)NNS(C)(=O)=O</t>
  </si>
  <si>
    <t xml:space="preserve">CHEMBL2018656</t>
  </si>
  <si>
    <t xml:space="preserve">CC(C)(NC(=O)c1cc2c(n(CC3CCCCC3)c1=O)CCCCCC2)C(=O)O</t>
  </si>
  <si>
    <t xml:space="preserve">CHEMBL3582022</t>
  </si>
  <si>
    <t xml:space="preserve">CC(C)(NC(=O)c1ccc(N2CC(F)(F)C2)c(OCC2CC2)n1)c1nnc(-c2ccccc2)o1</t>
  </si>
  <si>
    <t xml:space="preserve">CHEMBL3686339</t>
  </si>
  <si>
    <t xml:space="preserve">CC(C)(O)CCOc1ccc(C(F)(F)F)cc1C(=O)/N=c1\sc(C(C)(C)C)cn1C[C@H]1CCCO1</t>
  </si>
  <si>
    <t xml:space="preserve">CHEMBL506652</t>
  </si>
  <si>
    <t xml:space="preserve">CC(C)(O)CCn1c(=O)n(C(=O)N[C@H](C(N)=O)C(C)(C)C)c2ccccc21</t>
  </si>
  <si>
    <t xml:space="preserve">CHEMBL4763456</t>
  </si>
  <si>
    <t xml:space="preserve">CC(C)(O)COc1ccc(C(F)(F)F)cc1-c1nnc2c(C(C)(C)C)nn(C[C@H]3CCCO3)c2n1</t>
  </si>
  <si>
    <t xml:space="preserve">CHEMBL4735801</t>
  </si>
  <si>
    <t xml:space="preserve">CHEMBL4732127</t>
  </si>
  <si>
    <t xml:space="preserve">Displacement of [3H]-CP55940 from human CB2 expressed in CHO cell membrane incubated for 3 hrs by microbeta scintillation counting method</t>
  </si>
  <si>
    <t xml:space="preserve">CHEMBL3647325</t>
  </si>
  <si>
    <t xml:space="preserve">CC(C)(O)COc1ccc(C(F)(F)F)cc1C(=O)/N=c1\sc2ccncc2n1CC1CCC1</t>
  </si>
  <si>
    <t xml:space="preserve">CHEMBL3647326</t>
  </si>
  <si>
    <t xml:space="preserve">CC(C)(O)COc1ccc(C(F)(F)F)cc1C(=O)/N=c1\sc2ccncc2n1CCCC(F)(F)F</t>
  </si>
  <si>
    <t xml:space="preserve">CHEMBL523415</t>
  </si>
  <si>
    <t xml:space="preserve">CC(C)(O)Cn1c(=O)n(C(=O)N[C@H](C(N)=O)C(C)(C)C)c2ccccc21</t>
  </si>
  <si>
    <t xml:space="preserve">CHEMBL3582025</t>
  </si>
  <si>
    <t xml:space="preserve">CC(C)(OC(=O)c1ccc(C2CCCC2)c(OCC2CC2)n1)c1cc(N)on1</t>
  </si>
  <si>
    <t xml:space="preserve">CHEMBL525067</t>
  </si>
  <si>
    <t xml:space="preserve">CC(C)(c1ccccc1)c1cc(O)c(-c2cc(Cl)cc(Cl)c2)c(O)c1</t>
  </si>
  <si>
    <t xml:space="preserve">CHEMBL1015290</t>
  </si>
  <si>
    <t xml:space="preserve">CHEMBL1153296</t>
  </si>
  <si>
    <t xml:space="preserve">Binding affinity to human CB2 receptor transfected in HEK293 cells</t>
  </si>
  <si>
    <t xml:space="preserve">CHEMBL490810</t>
  </si>
  <si>
    <t xml:space="preserve">CC(C)=CCC/C(C)=C/Cc1c(O)cc(CCc2ccccc2)c(C(=O)O)c1O</t>
  </si>
  <si>
    <t xml:space="preserve">CHEMBL4424968</t>
  </si>
  <si>
    <t xml:space="preserve">Displacement of [3H]-CP55940 from recombinant human CB2 receptor expressed in HEK293 cell membranes measured after 90 mins</t>
  </si>
  <si>
    <t xml:space="preserve">CHEMBL1257246</t>
  </si>
  <si>
    <t xml:space="preserve">CC(C)=CCC[C@]1(C)[C@@H](O)CC[C@@]2(C)[C@H]1CC[C@H]1Cc3c([nH]c4ccccc34)[C@@]12C</t>
  </si>
  <si>
    <t xml:space="preserve">CHEMBL3124700</t>
  </si>
  <si>
    <t xml:space="preserve">CHEMBL3120089</t>
  </si>
  <si>
    <t xml:space="preserve">Displacement of [3H]-CP55940 from human CB2 receptor expressed in CHO cells</t>
  </si>
  <si>
    <t xml:space="preserve">CHEMBL3120631</t>
  </si>
  <si>
    <t xml:space="preserve">CC(C)=CCC[C@]1(C)[C@@H](O[C@@H]2O[C@H](CO)[C@@H](O)[C@H](O)[C@@H]2O)CC[C@@]2(C)[C@H]1CC[C@H]1Cc3c([nH]c4ccccc34)[C@@]12C</t>
  </si>
  <si>
    <t xml:space="preserve">CHEMBL1258979</t>
  </si>
  <si>
    <t xml:space="preserve">CC(C)=C[C@H]1C[C@]2(C)[C@H](CC[C@@]3(C)[C@H]2CC[C@H]2Cc4c([nH]c5ccccc45)[C@@]23C)O1</t>
  </si>
  <si>
    <t xml:space="preserve">CHEMBL2063251</t>
  </si>
  <si>
    <t xml:space="preserve">CC(C)C(=O)N(C)C1CCCOc2c1nn(-c1ccccc1Cl)c2-c1ccc(Cl)cc1</t>
  </si>
  <si>
    <t xml:space="preserve">CHEMBL2063236</t>
  </si>
  <si>
    <t xml:space="preserve">CC(C)C(=O)NC1CCCOc2c1nn(-c1ccccc1Cl)c2-c1ccc(Cl)cc1</t>
  </si>
  <si>
    <t xml:space="preserve">CHEMBL2063237</t>
  </si>
  <si>
    <t xml:space="preserve">CC(C)C(=O)N[C@@H]1CCCOc2c1nn(-c1ccccc1Cl)c2-c1ccc(Cl)cc1</t>
  </si>
  <si>
    <t xml:space="preserve">CHEMBL2063238</t>
  </si>
  <si>
    <t xml:space="preserve">CC(C)C(=O)N[C@H]1CCCOc2c1nn(-c1ccccc1Cl)c2-c1ccc(Cl)cc1</t>
  </si>
  <si>
    <t xml:space="preserve">CHEMBL605932</t>
  </si>
  <si>
    <t xml:space="preserve">CC(C)C1(CNS(=O)(=O)C(F)(F)F)CCN(S(=O)(=O)c2ccc(Cl)cc2S(=O)(=O)c2ccccc2F)CC1</t>
  </si>
  <si>
    <t xml:space="preserve">CHEMBL2163944</t>
  </si>
  <si>
    <t xml:space="preserve">CC(C)C1COc2cccc3c(=O)c(C(=O)NC45CC6CC(CC(C6)C4)C5)cn1c23</t>
  </si>
  <si>
    <t xml:space="preserve">CHEMBL2169620</t>
  </si>
  <si>
    <t xml:space="preserve">CHEMBL2163236</t>
  </si>
  <si>
    <t xml:space="preserve">Displacement of [3H]CP-55940 from human recombinant CB2 receptor expressed in CHO cell membranes incubated for 60 mins by scintillation counting</t>
  </si>
  <si>
    <t xml:space="preserve">CHEMBL2436759</t>
  </si>
  <si>
    <t xml:space="preserve">CC(C)CC(=O)NC1CCN(c2ncnc3c2nc(-c2ccccc2Cl)n3-c2ccc(Cl)cc2)CC1</t>
  </si>
  <si>
    <t xml:space="preserve">CHEMBL2438425</t>
  </si>
  <si>
    <t xml:space="preserve">CHEMBL2434899</t>
  </si>
  <si>
    <t xml:space="preserve">Displacement of [3H]CP55940 from CB2 receptor (unknown origin) expressed in CHO-K1 cells</t>
  </si>
  <si>
    <t xml:space="preserve">CHEMBL2436761</t>
  </si>
  <si>
    <t xml:space="preserve">CC(C)CCC(=O)NC1CCN(c2ncnc3c2nc(-c2ccccc2Cl)n3-c2ccc(Cl)cc2)CC1</t>
  </si>
  <si>
    <t xml:space="preserve">CHEMBL598125</t>
  </si>
  <si>
    <t xml:space="preserve">CC(C)CCNS(=O)(=O)[C@@H]1CC[C@@H](c2ccc(Cl)cc2Cl)N(c2ccc(Cl)cc2)C1</t>
  </si>
  <si>
    <t xml:space="preserve">CHEMBL1070893</t>
  </si>
  <si>
    <t xml:space="preserve">CHEMBL1157730</t>
  </si>
  <si>
    <t xml:space="preserve">CHEMBL521944</t>
  </si>
  <si>
    <t xml:space="preserve">CC(C)CCOc1cc(O)cc(OCCCCCCCCCCC(=O)NC2CC2)c1</t>
  </si>
  <si>
    <t xml:space="preserve">CHEMBL961829</t>
  </si>
  <si>
    <t xml:space="preserve">CHEMBL1153817</t>
  </si>
  <si>
    <t xml:space="preserve">Binding affinity to human recombinant CB2 receptor expressed in african green monkey COS cells by radioligand binding assay</t>
  </si>
  <si>
    <t xml:space="preserve">CHEMBL491065</t>
  </si>
  <si>
    <t xml:space="preserve">CC(C)CCOc1cc(O)cc(OCCCCCCCCCCC(=O)NCC2CC2)c1</t>
  </si>
  <si>
    <t xml:space="preserve">CHEMBL489622</t>
  </si>
  <si>
    <t xml:space="preserve">CC(C)CCOc1cc(O)cc(OCCCCCCCCCCC(=O)NCCO)c1</t>
  </si>
  <si>
    <t xml:space="preserve">CHEMBL527071</t>
  </si>
  <si>
    <t xml:space="preserve">CC(C)CCn1c(=O)n(C(=O)N[C@H](C(N)=O)C(C)(C)C)c2ccccc21</t>
  </si>
  <si>
    <t xml:space="preserve">CHEMBL2387178</t>
  </si>
  <si>
    <t xml:space="preserve">CC(C)CCn1c2c(cc(C(=O)NCc3ccccc3)c1=O)CCCCCC2</t>
  </si>
  <si>
    <t xml:space="preserve">CHEMBL2389082</t>
  </si>
  <si>
    <t xml:space="preserve">CHEMBL2385064</t>
  </si>
  <si>
    <t xml:space="preserve">Displacement of [3H]-CP-55,940 from human CB2 receptor expressed in CHO cell membranes</t>
  </si>
  <si>
    <t xml:space="preserve">CHEMBL404184</t>
  </si>
  <si>
    <t xml:space="preserve">CC(C)CNC(=O)/C=C/C=C/CCCCCC/C=C/c1ccc2c(c1)OCO2</t>
  </si>
  <si>
    <t xml:space="preserve">CHEMBL4424998</t>
  </si>
  <si>
    <t xml:space="preserve">Displacement of [3H]-CP55940 from recombinant human CB2 receptor measured after 2 hrs by liquid scintillation counting method</t>
  </si>
  <si>
    <t xml:space="preserve">CHEMBL590481</t>
  </si>
  <si>
    <t xml:space="preserve">CC(C)CNC(=O)[C@@H]1CC[C@@H](c2ccc(Cl)cc2Cl)N(c2ccc(Cl)cc2)C1</t>
  </si>
  <si>
    <t xml:space="preserve">CHEMBL257806</t>
  </si>
  <si>
    <t xml:space="preserve">CC(C)CNC(=O)c1ccc(Br)c(S(=O)(=O)N(C)Cc2ccccc2)c1</t>
  </si>
  <si>
    <t xml:space="preserve">CHEMBL402137</t>
  </si>
  <si>
    <t xml:space="preserve">CC(C)CNC(=O)c1ccc(Br)c(S(=O)(=O)N2CCCCC2)c1</t>
  </si>
  <si>
    <t xml:space="preserve">CHEMBL600064</t>
  </si>
  <si>
    <t xml:space="preserve">CC(C)CNS(=O)(=O)[C@@H]1CC[C@@H](c2ccc(Cl)cc2Cl)N(c2ccc(Cl)cc2)C1</t>
  </si>
  <si>
    <t xml:space="preserve">CHEMBL4238314</t>
  </si>
  <si>
    <t xml:space="preserve">CC(C)CS(=O)(=O)N1CCN(c2ncnc3c2nc(-c2ccccc2Cl)n3-c2ccc(Cl)cc2)CC1</t>
  </si>
  <si>
    <t xml:space="preserve">CHEMBL5781229</t>
  </si>
  <si>
    <t xml:space="preserve">CC(C)C[C@@H](COCCF)NC(=O)c1ccc(N2CCCC2)c(OCC2COC2)n1</t>
  </si>
  <si>
    <t xml:space="preserve">CHEMBL2163928</t>
  </si>
  <si>
    <t xml:space="preserve">CC(C)C[C@@H]1COc2cccc3c(=O)c(C(=O)NC45CC6CC(CC(C6)C4)C5)cn1c23</t>
  </si>
  <si>
    <t xml:space="preserve">CHEMBL3892181</t>
  </si>
  <si>
    <t xml:space="preserve">CC(C)Cc1nc2ccccc2n1C(=O)c1cccc2ccccc12</t>
  </si>
  <si>
    <t xml:space="preserve">CHEMBL3916891</t>
  </si>
  <si>
    <t xml:space="preserve">CC(C)Cc1sc2ccccc2c1C(=O)c1cccc2ccccc12</t>
  </si>
  <si>
    <t xml:space="preserve">CHEMBL3647300</t>
  </si>
  <si>
    <t xml:space="preserve">CC(C)Cn1cc(C(C)(C)C)s/c1=N\C(=O)c1cc(Br)ccc1OC[C@@H]1CCCN1C</t>
  </si>
  <si>
    <t xml:space="preserve">CHEMBL3647315</t>
  </si>
  <si>
    <t xml:space="preserve">CC(C)Cn1cc(C(C)(C)C)s/c1=N\C(=O)c1cc(C#N)ccc1OC1CCC1</t>
  </si>
  <si>
    <t xml:space="preserve">CHEMBL3647307</t>
  </si>
  <si>
    <t xml:space="preserve">CC(C)Cn1cc(C(C)(C)C)s/c1=N\C(=O)c1cc(C(F)(F)F)ccc1OCC1CCOC1</t>
  </si>
  <si>
    <t xml:space="preserve">CHEMBL3647306</t>
  </si>
  <si>
    <t xml:space="preserve">CC(C)Cn1cc(C(C)(C)C)s/c1=N\C(=O)c1cc(C(F)(F)F)ccc1OCCN1CCCC1</t>
  </si>
  <si>
    <t xml:space="preserve">CHEMBL3647318</t>
  </si>
  <si>
    <t xml:space="preserve">CC(C)Cn1cc(C(C)(C)C)s/c1=N\C(=O)c1cc(C(F)(F)F)ccc1OCCO</t>
  </si>
  <si>
    <t xml:space="preserve">CHEMBL3647305</t>
  </si>
  <si>
    <t xml:space="preserve">CC(C)Cn1cc(C(C)(C)C)s/c1=N\C(=O)c1cc(C(F)(F)F)ccc1OCCn1ccnc1</t>
  </si>
  <si>
    <t xml:space="preserve">CHEMBL3647304</t>
  </si>
  <si>
    <t xml:space="preserve">CC(C)Cn1cc(C(C)(C)C)s/c1=N\C(=O)c1cc(C(F)(F)F)ccc1OC[C@@H]1CCCN1C</t>
  </si>
  <si>
    <t xml:space="preserve">CHEMBL3647313</t>
  </si>
  <si>
    <t xml:space="preserve">CC(C)Cn1cc(C(C)(C)C)s/c1=N\C(=O)c1cc(C(F)(F)F)ccc1OC[C@@H]1CCN1</t>
  </si>
  <si>
    <t xml:space="preserve">CHEMBL3647311</t>
  </si>
  <si>
    <t xml:space="preserve">CC(C)Cn1cc(C(C)(C)C)s/c1=N\C(=O)c1cc(C(F)(F)F)ccc1OC[C@@H]1CCN1C</t>
  </si>
  <si>
    <t xml:space="preserve">CHEMBL3647302</t>
  </si>
  <si>
    <t xml:space="preserve">CC(C)Cn1cc(C(C)(C)C)s/c1=N\C(=O)c1cc(C(F)(F)F)ccc1OCc1ccco1</t>
  </si>
  <si>
    <t xml:space="preserve">CHEMBL3647312</t>
  </si>
  <si>
    <t xml:space="preserve">CC(C)Cn1cc(C(C)(C)C)s/c1=N\C(=O)c1cc(C(F)(F)F)ccc1O[C@H]1CCN(C)C1</t>
  </si>
  <si>
    <t xml:space="preserve">CHEMBL3647314</t>
  </si>
  <si>
    <t xml:space="preserve">CC(C)Cn1cc(C(C)(C)C)s/c1=N\C(=O)c1cc(Cl)ccc1OC1CC1</t>
  </si>
  <si>
    <t xml:space="preserve">CHEMBL3647303</t>
  </si>
  <si>
    <t xml:space="preserve">CC(C)Cn1cc(C(C)(C)C)s/c1=N\C(=O)c1cc(Cl)ccc1OCC1CCO1</t>
  </si>
  <si>
    <t xml:space="preserve">CHEMBL3647309</t>
  </si>
  <si>
    <t xml:space="preserve">CC(C)Cn1cc(C(C)(C)C)s/c1=N\C(=O)c1ccccc1OC[C@@H]1CCCN1C</t>
  </si>
  <si>
    <t xml:space="preserve">CHEMBL3650091</t>
  </si>
  <si>
    <t xml:space="preserve">CC(C)Cn1nc(C(C)(C)C)s/c1=N\C(=O)c1cc(C(F)(F)F)ccc1ONC(C)(C)C</t>
  </si>
  <si>
    <t xml:space="preserve">CHEMBL255904</t>
  </si>
  <si>
    <t xml:space="preserve">CC(C)Cn1nnc(Cc2ccc(-c3ccccc3)cc2)n1</t>
  </si>
  <si>
    <t xml:space="preserve">CHEMBL255903</t>
  </si>
  <si>
    <t xml:space="preserve">CC(C)Cn1nnnc1Cc1ccc(-c2ccccc2)cc1</t>
  </si>
  <si>
    <t xml:space="preserve">CHEMBL3116282</t>
  </si>
  <si>
    <t xml:space="preserve">CC(C)N(CCn1nc(OCc2cccc3ccccc23)c2ccccc21)C(C)C</t>
  </si>
  <si>
    <t xml:space="preserve">CHEMBL3686309</t>
  </si>
  <si>
    <t xml:space="preserve">CC(C)N1CCC[C@H]1COc1ccc(C(F)(F)F)cc1C(=O)/N=c1\sc(C(C)(C)C)cn1C[C@H]1CCCO1</t>
  </si>
  <si>
    <t xml:space="preserve">CHEMBL2180221</t>
  </si>
  <si>
    <t xml:space="preserve">CC(C)NC(=O)NC1(c2ccccc2)CCN(c2ncnc3c2nc(-c2ccccc2Cl)n3-c2ccc(Cl)cc2)CC1</t>
  </si>
  <si>
    <t xml:space="preserve">CHEMBL2180207</t>
  </si>
  <si>
    <t xml:space="preserve">CC(C)NC(=O)NC1CCN(c2ncnc3c2nc(-c2ccccc2Cl)n3-c2ccc(Cl)cc2)CC1</t>
  </si>
  <si>
    <t xml:space="preserve">CHEMBL3686329</t>
  </si>
  <si>
    <t xml:space="preserve">CC(C)NOc1ccc(C(F)(F)F)cc1C(=O)/N=c1\sc(C(C)(C)C)cn1C[C@H]1CCCO1</t>
  </si>
  <si>
    <t xml:space="preserve">CHEMBL2179766</t>
  </si>
  <si>
    <t xml:space="preserve">CC(C)Oc1ccc(C(NC(=O)Cc2ccccc2)NC(=O)Cc2ccccc2)cc1</t>
  </si>
  <si>
    <t xml:space="preserve">CHEMBL2183177</t>
  </si>
  <si>
    <t xml:space="preserve">CHEMBL2177038</t>
  </si>
  <si>
    <t xml:space="preserve">Displacement of [3H]CP55940 from human CB2 receptor expressed in CHO cells incubated for 1 hr</t>
  </si>
  <si>
    <t xml:space="preserve">CHEMBL4244992</t>
  </si>
  <si>
    <t xml:space="preserve">CC(C)S(=O)(=O)N1CCN(c2ncnc3c2nc(-c2ccccc2Cl)n3-c2ccc(Cl)cc2)CC1</t>
  </si>
  <si>
    <t xml:space="preserve">CHEMBL248342</t>
  </si>
  <si>
    <t xml:space="preserve">CC(C)SC(=S)N1CC(C)(C)CS/C1=N\c1ccccc1C(C)C</t>
  </si>
  <si>
    <t xml:space="preserve">CHEMBL888169</t>
  </si>
  <si>
    <t xml:space="preserve">CHEMBL1140004</t>
  </si>
  <si>
    <t xml:space="preserve">CHEMBL2163926</t>
  </si>
  <si>
    <t xml:space="preserve">CC(C)[C@@H]1COc2cccc3c(=O)c(C(=O)NC45CC6CC(CC(C6)C4)C5)cn1c23</t>
  </si>
  <si>
    <t xml:space="preserve">CHEMBL2023044</t>
  </si>
  <si>
    <t xml:space="preserve">CC(C)[C@H](NC(=O)c1cc2c(n(CC3CCCCC3)c1=O)CCCCCC2)C(=O)O</t>
  </si>
  <si>
    <t xml:space="preserve">CHEMBL2025418</t>
  </si>
  <si>
    <t xml:space="preserve">CHEMBL2021918</t>
  </si>
  <si>
    <t xml:space="preserve">Displacement of [3H]CP55940 from human CB2 receptor membrane fractions</t>
  </si>
  <si>
    <t xml:space="preserve">CHEMBL571344</t>
  </si>
  <si>
    <t xml:space="preserve">CC(C)[C@H]1CC[C@H](C(=O)c2cn(CCN3CCOCC3)c3ccccc23)CC1</t>
  </si>
  <si>
    <t xml:space="preserve">CHEMBL2163927</t>
  </si>
  <si>
    <t xml:space="preserve">CC(C)[C@H]1COc2cccc3c(=O)c(C(=O)NC45CC6CC(CC(C6)C4)C5)cn1c23</t>
  </si>
  <si>
    <t xml:space="preserve">CHEMBL3605043</t>
  </si>
  <si>
    <t xml:space="preserve">CC(C)c1ccc(C(=O)c2cc(O)c(-c3cc(Cl)cc(Cl)c3)c(O)c2)cc1</t>
  </si>
  <si>
    <t xml:space="preserve">CHEMBL2179763</t>
  </si>
  <si>
    <t xml:space="preserve">CC(C)c1ccc(C(NC(=O)Cc2ccccc2)NC(=O)Cc2ccccc2)cc1</t>
  </si>
  <si>
    <t xml:space="preserve">CHEMBL5542965</t>
  </si>
  <si>
    <t xml:space="preserve">CC(C)c1ccc(Cn2c(NCCc3c[nH]c4ccccc34)nc3c2c(=O)n(C)c(=O)n3C)cc1</t>
  </si>
  <si>
    <t xml:space="preserve">CHEMBL5504245</t>
  </si>
  <si>
    <t xml:space="preserve">CHEMBL5500402</t>
  </si>
  <si>
    <t xml:space="preserve">Displacement of [3H]-CP55940 from human CB2 receptor expressed in CHO cells assessed as inhibition constant by radioligand competition binding assay</t>
  </si>
  <si>
    <t xml:space="preserve">CHEMBL247543</t>
  </si>
  <si>
    <t xml:space="preserve">CC(C)c1ccccc1/N=C1\SCC(C)(C)CN1Cc1ccccc1</t>
  </si>
  <si>
    <t xml:space="preserve">CHEMBL3932295</t>
  </si>
  <si>
    <t xml:space="preserve">CC(C)c1nc2ccccc2n1C(=O)c1cccc2ccccc12</t>
  </si>
  <si>
    <t xml:space="preserve">CHEMBL4518631</t>
  </si>
  <si>
    <t xml:space="preserve">CC(C)n1c(=O)sc2cc(C(=O)C34CC5CC(CC(C5)C3)C4)ccc21</t>
  </si>
  <si>
    <t xml:space="preserve">CHEMBL4480765</t>
  </si>
  <si>
    <t xml:space="preserve">Displacement of [3H]-CP-55940 from human CB2 receptor expressed in CHO cell membranes after 1 hr by beta-counting analysis</t>
  </si>
  <si>
    <t xml:space="preserve">CHEMBL4542489</t>
  </si>
  <si>
    <t xml:space="preserve">CC(Cn1c(=O)sc2cc(C(=O)C34CC5CC(CC(C5)C3)C4)ccc21)N(C)C</t>
  </si>
  <si>
    <t xml:space="preserve">CHEMBL493804</t>
  </si>
  <si>
    <t xml:space="preserve">CC(NC(=O)n1c(=O)n(CCN2CCOCC2)c2ccccc21)c1ccc(F)cc1</t>
  </si>
  <si>
    <t xml:space="preserve">CHEMBL197825</t>
  </si>
  <si>
    <t xml:space="preserve">CC(NS(C)(=O)=O)c1ccc(C(=O)c2ccc(Cl)cc2S(=O)(=O)c2ccc(Cl)cc2)cc1</t>
  </si>
  <si>
    <t xml:space="preserve">CHEMBL198552</t>
  </si>
  <si>
    <t xml:space="preserve">CC(NS(C)(=O)=O)c1ccc(C(=O)c2ccc(OC(F)(F)F)cc2S(=O)(=O)c2ccccc2F)cc1</t>
  </si>
  <si>
    <t xml:space="preserve">CHEMBL593595</t>
  </si>
  <si>
    <t xml:space="preserve">CC(O)C1(CNS(=O)(=O)C(F)(F)F)CCN(S(=O)(=O)c2ccc(Cl)cc2S(=O)(=O)c2ccccc2F)CC1</t>
  </si>
  <si>
    <t xml:space="preserve">CHEMBL4227354</t>
  </si>
  <si>
    <t xml:space="preserve">CC(c1ccccc1)N1CCN(c2ncnc3c2nc(-c2ccccc2Cl)n3-c2ccc(Cl)cc2)CC1</t>
  </si>
  <si>
    <t xml:space="preserve">CHEMBL4224016</t>
  </si>
  <si>
    <t xml:space="preserve">CHEMBL4219244</t>
  </si>
  <si>
    <t xml:space="preserve">Displacement of [3H]CP55940 from human CB2 expressed in CHOK1 cell membranes</t>
  </si>
  <si>
    <t xml:space="preserve">CHEMBL4229155</t>
  </si>
  <si>
    <t xml:space="preserve">CC(c1ccncc1)N1CCN(c2ncnc3c2nc(-c2ccccc2Cl)n3-c2ccc(Cl)cc2)CC1</t>
  </si>
  <si>
    <t xml:space="preserve">CHEMBL2413161</t>
  </si>
  <si>
    <t xml:space="preserve">CC/C=C\C/C=C\C/C=C\CCCCCCCC(=O)NCc1ccccc1</t>
  </si>
  <si>
    <t xml:space="preserve">CHEMBL372697</t>
  </si>
  <si>
    <t xml:space="preserve">CC/N=C(\NS(=O)(=O)N(CC)CC)N1CC(c2ccccc2)C(c2ccc(Cl)cc2)=N1</t>
  </si>
  <si>
    <t xml:space="preserve">CHEMBL584528</t>
  </si>
  <si>
    <t xml:space="preserve">CC1(C(=O)c2cn(CC3CCOCC3)c3ccccc23)CC(F)(F)C1(F)F</t>
  </si>
  <si>
    <t xml:space="preserve">CHEMBL570660</t>
  </si>
  <si>
    <t xml:space="preserve">CC1(C(=O)c2cn(CC3CCOCC3)c3ccccc23)CC1(Cl)Cl</t>
  </si>
  <si>
    <t xml:space="preserve">CHEMBL569994</t>
  </si>
  <si>
    <t xml:space="preserve">CC1(C)C(C(=O)c2cn(CC3CCOC3)c3ccccc23)C1(C)C</t>
  </si>
  <si>
    <t xml:space="preserve">CHEMBL1836186</t>
  </si>
  <si>
    <t xml:space="preserve">CC1(C)C(C(=O)c2cn(CC3CCOCC3)c3c(CC4CCOCC4)c4c(cc23)OCO4)C1(C)C</t>
  </si>
  <si>
    <t xml:space="preserve">CHEMBL1837632</t>
  </si>
  <si>
    <t xml:space="preserve">CHEMBL1833961</t>
  </si>
  <si>
    <t xml:space="preserve">Displacement of [3H]-WIN 55,212-2 from human CB2 receptor expressed in human HEK293 cells after 90 mins by radioligand assay</t>
  </si>
  <si>
    <t xml:space="preserve">CHEMBL1668396</t>
  </si>
  <si>
    <t xml:space="preserve">CC1(C)C(C(=O)c2cn(CC3CCOCC3)c3c(COc4ccccc4)cccc23)C1(C)C</t>
  </si>
  <si>
    <t xml:space="preserve">CHEMBL409669</t>
  </si>
  <si>
    <t xml:space="preserve">CC1(C)C(C(=O)c2cn(CC3CCOCC3)c3c(F)c(F)c(F)c(F)c23)C1(C)C</t>
  </si>
  <si>
    <t xml:space="preserve">CHEMBL931641</t>
  </si>
  <si>
    <t xml:space="preserve">CHEMBL1144013</t>
  </si>
  <si>
    <t xml:space="preserve">CHEMBL270082</t>
  </si>
  <si>
    <t xml:space="preserve">CC1(C)C(C(=O)c2cn(CC3CCOCC3)c3c(O)cccc23)C1(C)C</t>
  </si>
  <si>
    <t xml:space="preserve">CHEMBL271565</t>
  </si>
  <si>
    <t xml:space="preserve">CC1(C)C(C(=O)c2cn(CC3CCOCC3)c3c(OCc4ccccc4)cccc23)C1(C)C</t>
  </si>
  <si>
    <t xml:space="preserve">CHEMBL411244</t>
  </si>
  <si>
    <t xml:space="preserve">CC1(C)C(C(=O)c2cn(CC3CCOCC3)c3cc(-c4ccccc4)ccc23)C1(C)C</t>
  </si>
  <si>
    <t xml:space="preserve">CHEMBL271838</t>
  </si>
  <si>
    <t xml:space="preserve">CC1(C)C(C(=O)c2cn(CC3CCOCC3)c3cc(Br)ccc23)C1(C)C</t>
  </si>
  <si>
    <t xml:space="preserve">CHEMBL410655</t>
  </si>
  <si>
    <t xml:space="preserve">CC1(C)C(C(=O)c2cn(CC3CCOCC3)c3cc(C#N)ccc23)C1(C)C</t>
  </si>
  <si>
    <t xml:space="preserve">CHEMBL410441</t>
  </si>
  <si>
    <t xml:space="preserve">CC1(C)C(C(=O)c2cn(CC3CCOCC3)c3cc(C(F)(F)F)ccc23)C1(C)C</t>
  </si>
  <si>
    <t xml:space="preserve">CHEMBL270968</t>
  </si>
  <si>
    <t xml:space="preserve">CC1(C)C(C(=O)c2cn(CC3CCOCC3)c3cc(CN)ccc23)C1(C)C</t>
  </si>
  <si>
    <t xml:space="preserve">CHEMBL411674</t>
  </si>
  <si>
    <t xml:space="preserve">CC1(C)C(C(=O)c2cn(CC3CCOCC3)c3cc(Cl)ccc23)C1(C)C</t>
  </si>
  <si>
    <t xml:space="preserve">CHEMBL272176</t>
  </si>
  <si>
    <t xml:space="preserve">CC1(C)C(C(=O)c2cn(CC3CCOCC3)c3cc(O)c(O)cc23)C1(C)C</t>
  </si>
  <si>
    <t xml:space="preserve">CHEMBL409491</t>
  </si>
  <si>
    <t xml:space="preserve">CC1(C)C(C(=O)c2cn(CC3CCOCC3)c3cc(O)ccc23)C1(C)C</t>
  </si>
  <si>
    <t xml:space="preserve">CHEMBL270546</t>
  </si>
  <si>
    <t xml:space="preserve">CC1(C)C(C(=O)c2cn(CC3CCOCC3)c3cc(OCc4ccccc4)ccc23)C1(C)C</t>
  </si>
  <si>
    <t xml:space="preserve">CHEMBL271527</t>
  </si>
  <si>
    <t xml:space="preserve">CC1(C)C(C(=O)c2cn(CC3CCOCC3)c3cc(S(C)(=O)=O)ccc23)C1(C)C</t>
  </si>
  <si>
    <t xml:space="preserve">CHEMBL272868</t>
  </si>
  <si>
    <t xml:space="preserve">CC1(C)C(C(=O)c2cn(CC3CCOCC3)c3cc4c(cc23)OCO4)C1(C)C</t>
  </si>
  <si>
    <t xml:space="preserve">CHEMBL272189</t>
  </si>
  <si>
    <t xml:space="preserve">CC1(C)C(C(=O)c2cn(CC3CCOCC3)c3ccc(-c4ccccc4)cc23)C1(C)C</t>
  </si>
  <si>
    <t xml:space="preserve">CHEMBL259463</t>
  </si>
  <si>
    <t xml:space="preserve">CC1(C)C(C(=O)c2cn(CC3CCOCC3)c3ccc(Br)cc23)C1(C)C</t>
  </si>
  <si>
    <t xml:space="preserve">CHEMBL409647</t>
  </si>
  <si>
    <t xml:space="preserve">CC1(C)C(C(=O)c2cn(CC3CCOCC3)c3ccc(C#N)cc23)C1(C)C</t>
  </si>
  <si>
    <t xml:space="preserve">CHEMBL410313</t>
  </si>
  <si>
    <t xml:space="preserve">CC1(C)C(C(=O)c2cn(CC3CCOCC3)c3ccc(CO)cc23)C1(C)C</t>
  </si>
  <si>
    <t xml:space="preserve">CHEMBL410676</t>
  </si>
  <si>
    <t xml:space="preserve">CC1(C)C(C(=O)c2cn(CC3CCOCC3)c3ccc(Cl)cc23)C1(C)C</t>
  </si>
  <si>
    <t xml:space="preserve">CHEMBL410677</t>
  </si>
  <si>
    <t xml:space="preserve">CC1(C)C(C(=O)c2cn(CC3CCOCC3)c3ccc(F)cc23)C1(C)C</t>
  </si>
  <si>
    <t xml:space="preserve">CHEMBL259462</t>
  </si>
  <si>
    <t xml:space="preserve">CC1(C)C(C(=O)c2cn(CC3CCOCC3)c3ccc(N)cc23)C1(C)C</t>
  </si>
  <si>
    <t xml:space="preserve">CHEMBL270955</t>
  </si>
  <si>
    <t xml:space="preserve">CC1(C)C(C(=O)c2cn(CC3CCOCC3)c3ccc(O)cc23)C1(C)C</t>
  </si>
  <si>
    <t xml:space="preserve">CHEMBL272658</t>
  </si>
  <si>
    <t xml:space="preserve">CC1(C)C(C(=O)c2cn(CC3CCOCC3)c3ccc(OCCCCBr)cc23)C1(C)C</t>
  </si>
  <si>
    <t xml:space="preserve">CHEMBL272659</t>
  </si>
  <si>
    <t xml:space="preserve">CC1(C)C(C(=O)c2cn(CC3CCOCC3)c3ccc(OCCCCO)cc23)C1(C)C</t>
  </si>
  <si>
    <t xml:space="preserve">CHEMBL272876</t>
  </si>
  <si>
    <t xml:space="preserve">CC1(C)C(C(=O)c2cn(CC3CCOCC3)c3ccc(OCc4ccccc4)cc23)C1(C)C</t>
  </si>
  <si>
    <t xml:space="preserve">CHEMBL259253</t>
  </si>
  <si>
    <t xml:space="preserve">CC1(C)C(C(=O)c2cn(CC3CCOCC3)c3cccc(O)c23)C1(C)C</t>
  </si>
  <si>
    <t xml:space="preserve">CHEMBL410842</t>
  </si>
  <si>
    <t xml:space="preserve">CC1(C)C(C(=O)c2cn(CC3CCOCC3)c3cccc(OCc4ccccc4)c23)C1(C)C</t>
  </si>
  <si>
    <t xml:space="preserve">CHEMBL271158</t>
  </si>
  <si>
    <t xml:space="preserve">CC1(C)C(C(=O)c2cn(CC3CCOCC3)c3ccccc23)C1(C)C</t>
  </si>
  <si>
    <t xml:space="preserve">CHEMBL570454</t>
  </si>
  <si>
    <t xml:space="preserve">CC1(C)C(C(=O)c2cn(CC3OCCO3)c3ccccc23)C1(C)C</t>
  </si>
  <si>
    <t xml:space="preserve">CHEMBL571097</t>
  </si>
  <si>
    <t xml:space="preserve">CC1(C)C(C(=O)c2cn(CCC(N)=O)c3ccccc23)C1(C)C</t>
  </si>
  <si>
    <t xml:space="preserve">CHEMBL572192</t>
  </si>
  <si>
    <t xml:space="preserve">CC1(C)C(C(=O)c2cn(CCC3CCOCC3)c3ccccc23)C1(C)C</t>
  </si>
  <si>
    <t xml:space="preserve">CHEMBL569082</t>
  </si>
  <si>
    <t xml:space="preserve">CC1(C)C(C(=O)c2cn(CCCC(F)(F)F)c3ccccc23)C1(C)C</t>
  </si>
  <si>
    <t xml:space="preserve">CHEMBL5217404</t>
  </si>
  <si>
    <t xml:space="preserve">CHEMBL5214968</t>
  </si>
  <si>
    <t xml:space="preserve">Displacement of [3H]CP55940 from human CB2 receptor expressed in CHO cell membrane incubated for 1 hr by liquid scintillation spectrophotometric analysis</t>
  </si>
  <si>
    <t xml:space="preserve">CHEMBL571131</t>
  </si>
  <si>
    <t xml:space="preserve">CC1(C)C(C(=O)c2cn(CCCCCO)c3ccccc23)C1(C)C</t>
  </si>
  <si>
    <t xml:space="preserve">CHEMBL576706</t>
  </si>
  <si>
    <t xml:space="preserve">CC1(C)C(C(=O)c2cn(CCCCO)c3ccccc23)C1(C)C</t>
  </si>
  <si>
    <t xml:space="preserve">CHEMBL569299</t>
  </si>
  <si>
    <t xml:space="preserve">CC1(C)C(C(=O)c2cn(CCCO)c3ccccc23)C1(C)C</t>
  </si>
  <si>
    <t xml:space="preserve">CHEMBL570679</t>
  </si>
  <si>
    <t xml:space="preserve">CC1(C)C(C(=O)c2cn(CCN3C(=O)CCC3=O)c3ccccc23)C1(C)C</t>
  </si>
  <si>
    <t xml:space="preserve">CHEMBL568807</t>
  </si>
  <si>
    <t xml:space="preserve">CC1(C)C(C(=O)c2cn(CCN3CCCC3)c3ccccc23)C1(C)C</t>
  </si>
  <si>
    <t xml:space="preserve">CHEMBL583244</t>
  </si>
  <si>
    <t xml:space="preserve">CC1(C)C(C(=O)c2cn(CCN3CCCC3=O)c3ccccc23)C1(C)C</t>
  </si>
  <si>
    <t xml:space="preserve">CHEMBL570876</t>
  </si>
  <si>
    <t xml:space="preserve">CC1(C)C(C(=O)c2cn(CCN3CCCCC3)c3ccccc23)C1(C)C</t>
  </si>
  <si>
    <t xml:space="preserve">CHEMBL571559</t>
  </si>
  <si>
    <t xml:space="preserve">CC1(C)C(C(=O)c2cn(CCN3CCCCCC3)c3ccccc23)C1(C)C</t>
  </si>
  <si>
    <t xml:space="preserve">CHEMBL584742</t>
  </si>
  <si>
    <t xml:space="preserve">CC1(C)C(C(=O)c2cn(CCN3CCOC3=O)c3ccccc23)C1(C)C</t>
  </si>
  <si>
    <t xml:space="preserve">CHEMBL271837</t>
  </si>
  <si>
    <t xml:space="preserve">CC1(C)C(C(=O)c2cn(CCN3CCOCC3)c3cc(O)ccc23)C1(C)C</t>
  </si>
  <si>
    <t xml:space="preserve">CHEMBL411937</t>
  </si>
  <si>
    <t xml:space="preserve">CC1(C)C(C(=O)c2cn(CCN3CCOCC3)c3cc(OCc4ccccc4)ccc23)C1(C)C</t>
  </si>
  <si>
    <t xml:space="preserve">CHEMBL411673</t>
  </si>
  <si>
    <t xml:space="preserve">CC1(C)C(C(=O)c2cn(CCN3CCOCC3)c3ccc(O)cc23)C1(C)C</t>
  </si>
  <si>
    <t xml:space="preserve">CHEMBL271814</t>
  </si>
  <si>
    <t xml:space="preserve">CC1(C)C(C(=O)c2cn(CCN3CCOCC3)c3cccc(N)c23)C1(C)C</t>
  </si>
  <si>
    <t xml:space="preserve">CHEMBL411888</t>
  </si>
  <si>
    <t xml:space="preserve">CC1(C)C(C(=O)c2cn(CCN3CCOCC3)c3cccc([N+](=O)[O-])c23)C1(C)C</t>
  </si>
  <si>
    <t xml:space="preserve">CHEMBL262865</t>
  </si>
  <si>
    <t xml:space="preserve">CC1(C)C(C(=O)c2cn(CCN3CCOCC3)c3ccccc23)C1(C)C</t>
  </si>
  <si>
    <t xml:space="preserve">CHEMBL576920</t>
  </si>
  <si>
    <t xml:space="preserve">CC1(C)C(C(=O)c2cn(CCO)c3ccccc23)C1(C)C</t>
  </si>
  <si>
    <t xml:space="preserve">CHEMBL582810</t>
  </si>
  <si>
    <t xml:space="preserve">CC1(C)C(C(=O)c2cn(CCc3ccccn3)c3ccccc23)C1(C)C</t>
  </si>
  <si>
    <t xml:space="preserve">CHEMBL578179</t>
  </si>
  <si>
    <t xml:space="preserve">CC1(C)C(C(=O)c2cn(CCc3cccnc3)c3ccccc23)C1(C)C</t>
  </si>
  <si>
    <t xml:space="preserve">CHEMBL569300</t>
  </si>
  <si>
    <t xml:space="preserve">CC1(C)C(C(=O)c2cn(CCc3cccs3)c3ccccc23)C1(C)C</t>
  </si>
  <si>
    <t xml:space="preserve">CHEMBL569524</t>
  </si>
  <si>
    <t xml:space="preserve">CC1(C)C(C(=O)c2cn(CCc3ccncc3)c3ccccc23)C1(C)C</t>
  </si>
  <si>
    <t xml:space="preserve">CHEMBL571342</t>
  </si>
  <si>
    <t xml:space="preserve">CC1(C)C(C(=O)c2cn(CCc3ccsc3)c3ccccc23)C1(C)C</t>
  </si>
  <si>
    <t xml:space="preserve">CHEMBL568796</t>
  </si>
  <si>
    <t xml:space="preserve">CC1(C)C(C(=O)c2cn(CCc3nsc(Cl)n3)c3ccccc23)C1(C)C</t>
  </si>
  <si>
    <t xml:space="preserve">CHEMBL570198</t>
  </si>
  <si>
    <t xml:space="preserve">CC1(C)C(C(=O)c2cn(CCn3cccc3)c3ccccc23)C1(C)C</t>
  </si>
  <si>
    <t xml:space="preserve">CHEMBL571777</t>
  </si>
  <si>
    <t xml:space="preserve">CC1(C)C(C(=O)c2cn(C[C@@H]3CCCO3)c3ccccc23)C1(C)C</t>
  </si>
  <si>
    <t xml:space="preserve">CHEMBL583680</t>
  </si>
  <si>
    <t xml:space="preserve">CC1(C)C(C(=O)c2cn(C[C@H]3CCCO3)c3ccccc23)C1(C)C</t>
  </si>
  <si>
    <t xml:space="preserve">CHEMBL571774</t>
  </si>
  <si>
    <t xml:space="preserve">CC1(C)C(C(=O)c2cn(Cc3ccccc3)c3ccccc23)C1(C)C</t>
  </si>
  <si>
    <t xml:space="preserve">CHEMBL578178</t>
  </si>
  <si>
    <t xml:space="preserve">CC1(C)C(C(=O)c2cn(Cc3cccnc3)c3ccccc23)C1(C)C</t>
  </si>
  <si>
    <t xml:space="preserve">CHEMBL570908</t>
  </si>
  <si>
    <t xml:space="preserve">CC1(C)C(C(=O)c2cn(Cc3ccncc3)c3ccccc23)C1(C)C</t>
  </si>
  <si>
    <t xml:space="preserve">CHEMBL3978981</t>
  </si>
  <si>
    <t xml:space="preserve">CC1(C)C2CCC(CNC(=O)c3nn(-c4ccc(Cl)cc4Cl)c4c3CCCc3cc(Cl)ccc3-4)C1C2</t>
  </si>
  <si>
    <t xml:space="preserve">CHEMBL3857710</t>
  </si>
  <si>
    <t xml:space="preserve">CHEMBL3856211</t>
  </si>
  <si>
    <t xml:space="preserve">Displacement of [3H]-CP55,940 from human CB2 receptor transfected in CHO cell membranes after 60 mins by liquid scintillation spectrometry</t>
  </si>
  <si>
    <t xml:space="preserve">CHEMBL3914728</t>
  </si>
  <si>
    <t xml:space="preserve">CC1(C)C2CCC(CNC(=O)c3nn(-c4ccc(Cl)cc4Cl)c4c3CCCc3ccc(Cl)cc3-4)C1C2</t>
  </si>
  <si>
    <t xml:space="preserve">CHEMBL4448088</t>
  </si>
  <si>
    <t xml:space="preserve">CC1(C)C2CC[C@@H](CNC(=O)c3cc4c5cccnc5cc(-c5ccc(Cl)cc5Cl)n4n3)C1C2</t>
  </si>
  <si>
    <t xml:space="preserve">CHEMBL4430865</t>
  </si>
  <si>
    <t xml:space="preserve">CHEMBL4428116</t>
  </si>
  <si>
    <t xml:space="preserve">Displacement of [3H]CP-55,940 from human CB2 receptor expressed in CHO cell membrane after 60 mins by scintillation counting method</t>
  </si>
  <si>
    <t xml:space="preserve">CHEMBL3781252</t>
  </si>
  <si>
    <t xml:space="preserve">CC1(C)C2CC[C@@](C)(C2)C1NC(=O)c1nn(-c2ccc(Cl)cc2Cl)c2c1CCc1cc(C3CC3)ccc1-2</t>
  </si>
  <si>
    <t xml:space="preserve">CHEMBL3782504</t>
  </si>
  <si>
    <t xml:space="preserve">CHEMBL3779789</t>
  </si>
  <si>
    <t xml:space="preserve">Displacement of [3H]CP55940 from human CB2 receptor expressed in HEK293-EBNA cell membrane incubated for 90 mins by liquid scintillation counting method</t>
  </si>
  <si>
    <t xml:space="preserve">CHEMBL3781131</t>
  </si>
  <si>
    <t xml:space="preserve">CC1(C)C2CC[C@@](C)(C2)C1NC(=O)c1nn(-c2ccc(Cl)cc2Cl)c2c1Cc1cc(C3CC3)ccc1-2</t>
  </si>
  <si>
    <t xml:space="preserve">CHEMBL2151057</t>
  </si>
  <si>
    <t xml:space="preserve">CC1(C)C2CC[C@](C)(C2)[C@@H]1NC(=O)c1c[nH]c2cc(F)ccc2c1=O</t>
  </si>
  <si>
    <t xml:space="preserve">CHEMBL2152808</t>
  </si>
  <si>
    <t xml:space="preserve">CC1(C)C2CC[C@](C)(C2)[C@@H]1NC(=O)c1cn(CCCCO)c2cc(F)ccc2c1=O</t>
  </si>
  <si>
    <t xml:space="preserve">CHEMBL2152818</t>
  </si>
  <si>
    <t xml:space="preserve">CC1(C)C2CC[C@](C)(C2)[C@@H]1NC(=O)c1cn(CCCCO)c2cc(Sc3ccccc3)ccc2c1=O</t>
  </si>
  <si>
    <t xml:space="preserve">CHEMBL2152817</t>
  </si>
  <si>
    <t xml:space="preserve">CC1(C)C2CC[C@](C)(C2)[C@@H]1NC(=O)c1cn(CCCCSc2ccccc2)c2cc(Sc3ccccc3)ccc2c1=O</t>
  </si>
  <si>
    <t xml:space="preserve">CHEMBL2338181</t>
  </si>
  <si>
    <t xml:space="preserve">CC1(C)CN(C(=O)C23CC4CC(CC(C4)C2)C3)c2ccccc21</t>
  </si>
  <si>
    <t xml:space="preserve">CHEMBL2343735</t>
  </si>
  <si>
    <t xml:space="preserve">CHEMBL2331316</t>
  </si>
  <si>
    <t xml:space="preserve">CHEMBL2163945</t>
  </si>
  <si>
    <t xml:space="preserve">CC1(C)COc2cccc3c(=O)c(C(=O)NC45CC6CC(CC(C6)C4)C5)cn1c23</t>
  </si>
  <si>
    <t xml:space="preserve">CHEMBL3234672</t>
  </si>
  <si>
    <t xml:space="preserve">CC1(C)Cc2ccc(C#N)cc2[C@@H]1NC(=O)c1cc2cc(Cl)ccc2[nH]1</t>
  </si>
  <si>
    <t xml:space="preserve">CHEMBL3239857</t>
  </si>
  <si>
    <t xml:space="preserve">CHEMBL3232786</t>
  </si>
  <si>
    <t xml:space="preserve">Binding affinity to CB2 receptor (unknown origin)</t>
  </si>
  <si>
    <t xml:space="preserve">CHEMBL1214377</t>
  </si>
  <si>
    <t xml:space="preserve">CC1(C)Oc2cc(C(=O)N3C4CC5CC3CC(C4)O5)cc(O)c2[C@@H]2C[C@@H](O)CC[C@H]21</t>
  </si>
  <si>
    <t xml:space="preserve">CHEMBL1217109</t>
  </si>
  <si>
    <t xml:space="preserve">CHEMBL1212819</t>
  </si>
  <si>
    <t xml:space="preserve">Displacement of [3H]CP-55940 from human CB2 receptor expressed in HEK293 cell membranes</t>
  </si>
  <si>
    <t xml:space="preserve">CHEMBL1214376</t>
  </si>
  <si>
    <t xml:space="preserve">CC1(C)Oc2cc(C(=O)N3C4CC5CC3CC(C4)O5)cc(O)c2[C@@H]2C[C@H](O)CC[C@H]21</t>
  </si>
  <si>
    <t xml:space="preserve">CHEMBL1214437</t>
  </si>
  <si>
    <t xml:space="preserve">CC1(C)Oc2cc(C(=O)NC34CC5CC(CC(C5)C3)C4)cc(O)c2[C@@H]2C[C@@H](O)CC[C@H]21</t>
  </si>
  <si>
    <t xml:space="preserve">CHEMBL1214436</t>
  </si>
  <si>
    <t xml:space="preserve">CC1(C)Oc2cc(C(=O)NC34CC5CC(CC(C5)C3)C4)cc(O)c2[C@@H]2C[C@H](O)CC[C@H]21</t>
  </si>
  <si>
    <t xml:space="preserve">CHEMBL1214501</t>
  </si>
  <si>
    <t xml:space="preserve">CC1(C)Oc2cc(C(=O)NC3C4CC5CC(C4)CC3C5)cc(O)c2[C@@H]2C[C@@H](O)CC[C@H]21</t>
  </si>
  <si>
    <t xml:space="preserve">CHEMBL1214500</t>
  </si>
  <si>
    <t xml:space="preserve">CC1(C)Oc2cc(C(=O)NC3C4CC5CC(C4)CC3C5)cc(O)c2[C@@H]2C[C@H](O)CC[C@H]21</t>
  </si>
  <si>
    <t xml:space="preserve">CHEMBL2064069</t>
  </si>
  <si>
    <t xml:space="preserve">CC1(C)Oc2cc(C(=O)c3c[nH]c4ccccc34)cc(O)c2[C@@H]2C[C@H](O)CC[C@H]21</t>
  </si>
  <si>
    <t xml:space="preserve">CHEMBL2065392</t>
  </si>
  <si>
    <t xml:space="preserve">CHEMBL2062418</t>
  </si>
  <si>
    <t xml:space="preserve">Displacement of [3H]CP-55,940 from human CB2 receptor expressed in HEK293 cells</t>
  </si>
  <si>
    <t xml:space="preserve">CHEMBL2064055</t>
  </si>
  <si>
    <t xml:space="preserve">CC1(C)Oc2cc(C(=O)c3cc4ccccc4o3)cc(O)c2[C@@H]2C[C@H](O)CC[C@H]21</t>
  </si>
  <si>
    <t xml:space="preserve">CHEMBL2064059</t>
  </si>
  <si>
    <t xml:space="preserve">CC1(C)Oc2cc(C(=O)c3cc4ccccc4s3)cc(O)c2[C@@H]2C[C@H](O)CC[C@H]21</t>
  </si>
  <si>
    <t xml:space="preserve">CHEMBL2064068</t>
  </si>
  <si>
    <t xml:space="preserve">CC1(C)Oc2cc(C(=O)c3cccc(C(F)(F)F)c3)cc(O)c2[C@@H]2C[C@H](O)CC[C@H]21</t>
  </si>
  <si>
    <t xml:space="preserve">CHEMBL2064052</t>
  </si>
  <si>
    <t xml:space="preserve">CC1(C)Oc2cc(C(=O)c3ccccc3)cc(O)c2[C@@H]2C[C@H](O)CC[C@H]21</t>
  </si>
  <si>
    <t xml:space="preserve">CHEMBL2064058</t>
  </si>
  <si>
    <t xml:space="preserve">CC1(C)Oc2cc(C(=O)c3ccsc3)cc(O)c2[C@@H]2C[C@H](O)CC[C@H]21</t>
  </si>
  <si>
    <t xml:space="preserve">CHEMBL2064056</t>
  </si>
  <si>
    <t xml:space="preserve">CC1(C)Oc2cc(C(=O)c3coc4ccccc34)cc(O)c2[C@@H]2C[C@H](O)CC[C@H]21</t>
  </si>
  <si>
    <t xml:space="preserve">CHEMBL2064060</t>
  </si>
  <si>
    <t xml:space="preserve">CC1(C)Oc2cc(C(=O)c3csc4ccccc34)cc(O)c2[C@@H]2C[C@H](O)CC[C@H]21</t>
  </si>
  <si>
    <t xml:space="preserve">CHEMBL1259057</t>
  </si>
  <si>
    <t xml:space="preserve">CC1(C)Oc2cc(C3(CCCCCBr)CCC3)cc(O)c2[C@@H]2CC(=O)CC[C@H]21</t>
  </si>
  <si>
    <t xml:space="preserve">CHEMBL1259271</t>
  </si>
  <si>
    <t xml:space="preserve">CHEMBL1255228</t>
  </si>
  <si>
    <t xml:space="preserve">Displacement of [3H]CP55940 from human CB2 receptor expressed in HEK293 cells</t>
  </si>
  <si>
    <t xml:space="preserve">CHEMBL1259092</t>
  </si>
  <si>
    <t xml:space="preserve">CC1(C)Oc2cc(C3(CCCCCBr)CCC3)cc(O)c2[C@@H]2C[C@@H](O)CC[C@H]21</t>
  </si>
  <si>
    <t xml:space="preserve">CHEMBL1259091</t>
  </si>
  <si>
    <t xml:space="preserve">CC1(C)Oc2cc(C3(CCCCCBr)CCC3)cc(O)c2[C@@H]2C[C@H](O)CC[C@H]21</t>
  </si>
  <si>
    <t xml:space="preserve">CHEMBL1259037</t>
  </si>
  <si>
    <t xml:space="preserve">CC1(C)Oc2cc(C3(CCCCCBr)CCCC3)cc(O)c2[C@@H]2CC(=O)CC[C@H]21</t>
  </si>
  <si>
    <t xml:space="preserve">CHEMBL1259038</t>
  </si>
  <si>
    <t xml:space="preserve">CC1(C)Oc2cc(C3(CCCCCCBr)CCCC3)cc(O)c2[C@@H]2CC(=O)CC[C@H]21</t>
  </si>
  <si>
    <t xml:space="preserve">CHEMBL5071417</t>
  </si>
  <si>
    <t xml:space="preserve">CC1(C)Oc2cc(C3(CCCCCCC#N)CCCC3)cc(O)c2[C@@H]2C[C@H](CO)CC[C@H]21</t>
  </si>
  <si>
    <t xml:space="preserve">CHEMBL5087407</t>
  </si>
  <si>
    <t xml:space="preserve">CC1(C)Oc2cc(C3(CCCCCCCC#N)CCCC3)cc(O)c2[C@@H]2C[C@H](CN=C=S)CC[C@H]21</t>
  </si>
  <si>
    <t xml:space="preserve">CHEMBL5084325</t>
  </si>
  <si>
    <t xml:space="preserve">CC1(C)Oc2cc(C3(CCCCCCCC#N)CCCC3)cc(O)c2[C@@H]2C[C@H](CN=[N+]=[N-])CC[C@H]21</t>
  </si>
  <si>
    <t xml:space="preserve">CHEMBL5080279</t>
  </si>
  <si>
    <t xml:space="preserve">CC1(C)Oc2cc(C3(CCCCCCCC#N)CCCC3)cc(O)c2[C@@H]2C[C@H](CO)CC[C@H]21</t>
  </si>
  <si>
    <t xml:space="preserve">CHEMBL5080187</t>
  </si>
  <si>
    <t xml:space="preserve">CC1(C)Oc2cc(C3(CCCCCCCN=C=S)CCCC3)cc(O)c2[C@@H]2C[C@H](CN=C=S)CC[C@H]21</t>
  </si>
  <si>
    <t xml:space="preserve">CHEMBL5074603</t>
  </si>
  <si>
    <t xml:space="preserve">CC1(C)Oc2cc(C3(CCCCCCCN=C=S)CCCC3)cc(O)c2[C@@H]2C[C@H](CO)CC[C@H]21</t>
  </si>
  <si>
    <t xml:space="preserve">CHEMBL5081699</t>
  </si>
  <si>
    <t xml:space="preserve">CC1(C)Oc2cc(C3(CCCCCCCN=[N+]=[N-])CCCC3)cc(O)c2[C@@H]2C[C@H](CN=[N+]=[N-])CC[C@H]21</t>
  </si>
  <si>
    <t xml:space="preserve">CHEMBL5080450</t>
  </si>
  <si>
    <t xml:space="preserve">CC1(C)Oc2cc(C3(CCCCCCCN=[N+]=[N-])CCCC3)cc(O)c2[C@@H]2C[C@H](CO)CC[C@H]21</t>
  </si>
  <si>
    <t xml:space="preserve">CHEMBL5092703</t>
  </si>
  <si>
    <t xml:space="preserve">CC1(C)Oc2cc(C3(CCCCCCN=C=S)CCCC3)cc(O)c2[C@@H]2C[C@H](CO)CC[C@H]21</t>
  </si>
  <si>
    <t xml:space="preserve">CHEMBL5077315</t>
  </si>
  <si>
    <t xml:space="preserve">CC1(C)Oc2cc(C3(CCCCCCN=[N+]=[N-])CCCC3)cc(O)c2[C@@H]2C[C@H](CO)CC[C@H]21</t>
  </si>
  <si>
    <t xml:space="preserve">CHEMBL4779775</t>
  </si>
  <si>
    <t xml:space="preserve">CC1(C)Oc2cc(C34CC5CC(CC(C#N)(C5)O3)C4)cc(O)c2[C@@H]2C[C@H](O)CC[C@H]21</t>
  </si>
  <si>
    <t xml:space="preserve">CHEMBL4714300</t>
  </si>
  <si>
    <t xml:space="preserve">CHEMBL4706700</t>
  </si>
  <si>
    <t xml:space="preserve">Displacement of [3H]CP55940 from human CB2 receptor expressed in HEK293 cell membrane by scintillation counting method</t>
  </si>
  <si>
    <t xml:space="preserve">CHEMBL4744219</t>
  </si>
  <si>
    <t xml:space="preserve">CC1(C)Oc2cc(C34CC5CC(CC(C(N)=O)(C5)O3)C4)cc(O)c2[C@@H]2C[C@H](CO)CC[C@H]21</t>
  </si>
  <si>
    <t xml:space="preserve">CHEMBL4764017</t>
  </si>
  <si>
    <t xml:space="preserve">CC1(C)Oc2cc(C34CC5CC(CC(C(N)=O)(C5)O3)C4)cc(O)c2[C@@H]2C[C@H](O)CC[C@H]21</t>
  </si>
  <si>
    <t xml:space="preserve">CHEMBL2348473</t>
  </si>
  <si>
    <t xml:space="preserve">CC1(C)Oc2cc(C34CC5CC(CC(C5)C3)C4)cc(O)c2-c2cc(CO)ccc21</t>
  </si>
  <si>
    <t xml:space="preserve">CHEMBL2348476</t>
  </si>
  <si>
    <t xml:space="preserve">CC1(C)Oc2cc(C34CC5CC(CC(C5)C3)C4)cc(O)c2-c2cc(O)ccc21</t>
  </si>
  <si>
    <t xml:space="preserve">CHEMBL2348458</t>
  </si>
  <si>
    <t xml:space="preserve">CC1(C)Oc2cc(C34CC5CC(CC(C5)C3)C4)cc(O)c2[C@@H]2CC(=O)CC[C@H]21</t>
  </si>
  <si>
    <t xml:space="preserve">CHEMBL2348472</t>
  </si>
  <si>
    <t xml:space="preserve">CC1(C)Oc2cc(C34CC5CC(CC(C5)C3)C4)cc(O)c2[C@@H]2CC(CO)=CC[C@H]21</t>
  </si>
  <si>
    <t xml:space="preserve">CHEMBL2348460</t>
  </si>
  <si>
    <t xml:space="preserve">CC1(C)Oc2cc(C34CC5CC(CC(C5)C3)C4)cc(O)c2[C@@H]2C[C@@H](C=O)CC[C@H]21</t>
  </si>
  <si>
    <t xml:space="preserve">CHEMBL2348469</t>
  </si>
  <si>
    <t xml:space="preserve">CC1(C)Oc2cc(C34CC5CC(CC(C5)C3)C4)cc(O)c2[C@@H]2C[C@@H](CC=O)CC[C@H]21</t>
  </si>
  <si>
    <t xml:space="preserve">CHEMBL2348470</t>
  </si>
  <si>
    <t xml:space="preserve">CC1(C)Oc2cc(C34CC5CC(CC(C5)C3)C4)cc(O)c2[C@@H]2C[C@@H](CCO)CC[C@H]21</t>
  </si>
  <si>
    <t xml:space="preserve">CHEMBL2348468</t>
  </si>
  <si>
    <t xml:space="preserve">CC1(C)Oc2cc(C34CC5CC(CC(C5)C3)C4)cc(O)c2[C@@H]2C[C@@H](CO)CC[C@H]21</t>
  </si>
  <si>
    <t xml:space="preserve">CHEMBL2346682</t>
  </si>
  <si>
    <t xml:space="preserve">CC1(C)Oc2cc(C34CC5CC(CC(C5)C3)C4)cc(O)c2[C@@H]2C[C@@H](O)CC[C@H]21</t>
  </si>
  <si>
    <t xml:space="preserve">CHEMBL2348459</t>
  </si>
  <si>
    <t xml:space="preserve">CC1(C)Oc2cc(C34CC5CC(CC(C5)C3)C4)cc(O)c2[C@@H]2C[C@H](C=O)CC[C@H]21</t>
  </si>
  <si>
    <t xml:space="preserve">CHEMBL2348464</t>
  </si>
  <si>
    <t xml:space="preserve">CC1(C)Oc2cc(C34CC5CC(CC(C5)C3)C4)cc(O)c2[C@@H]2C[C@H](CC#N)CC[C@H]21</t>
  </si>
  <si>
    <t xml:space="preserve">CHEMBL2348466</t>
  </si>
  <si>
    <t xml:space="preserve">CC1(C)Oc2cc(C34CC5CC(CC(C5)C3)C4)cc(O)c2[C@@H]2C[C@H](CC=O)CC[C@H]21</t>
  </si>
  <si>
    <t xml:space="preserve">CHEMBL2348467</t>
  </si>
  <si>
    <t xml:space="preserve">CC1(C)Oc2cc(C34CC5CC(CC(C5)C3)C4)cc(O)c2[C@@H]2C[C@H](CCO)CC[C@H]21</t>
  </si>
  <si>
    <t xml:space="preserve">CHEMBL2348463</t>
  </si>
  <si>
    <t xml:space="preserve">CC1(C)Oc2cc(C34CC5CC(CC(C5)C3)C4)cc(O)c2[C@@H]2C[C@H](CI)CC[C@H]21</t>
  </si>
  <si>
    <t xml:space="preserve">CHEMBL2348462</t>
  </si>
  <si>
    <t xml:space="preserve">CC1(C)Oc2cc(C34CC5CC(CC(C5)C3)C4)cc(O)c2[C@@H]2C[C@H](CO)CC[C@H]21</t>
  </si>
  <si>
    <t xml:space="preserve">CHEMBL2348461</t>
  </si>
  <si>
    <t xml:space="preserve">CC1(C)Oc2cc(C34CC5CC(CC(C5)C3)C4)cc(O)c2[C@@H]2C[C@H](O)CC[C@H]21</t>
  </si>
  <si>
    <t xml:space="preserve">CHEMBL1214560</t>
  </si>
  <si>
    <t xml:space="preserve">CC1(C)Oc2cc(C34CC5CC(CC(C5)O3)C4)cc(O)c2[C@@H]2C[C@@H](O)CC[C@H]21</t>
  </si>
  <si>
    <t xml:space="preserve">CHEMBL1214559</t>
  </si>
  <si>
    <t xml:space="preserve">CC1(C)Oc2cc(C34CC5CC(CC(C5)O3)C4)cc(O)c2[C@@H]2C[C@H](O)CC[C@H]21</t>
  </si>
  <si>
    <t xml:space="preserve">CHEMBL4760082</t>
  </si>
  <si>
    <t xml:space="preserve">CC1(C)Oc2cc(C34CC5CC(CC(CN=C=S)(C5)O3)C4)cc(O)c2[C@@H]2C[C@H](CO)CC[C@H]21</t>
  </si>
  <si>
    <t xml:space="preserve">CHEMBL4779296</t>
  </si>
  <si>
    <t xml:space="preserve">CC1(C)Oc2cc(C34CC5CC(CC(CN=C=S)(C5)O3)C4)cc(O)c2[C@@H]2C[C@H](O)CC[C@H]21</t>
  </si>
  <si>
    <t xml:space="preserve">CHEMBL4787347</t>
  </si>
  <si>
    <t xml:space="preserve">CC1(C)Oc2cc(C34CC5CC(CC(CN=[N+]=[N-])(C5)O3)C4)cc(O)c2[C@@H]2C[C@H](CO)CC[C@H]21</t>
  </si>
  <si>
    <t xml:space="preserve">CHEMBL4795739</t>
  </si>
  <si>
    <t xml:space="preserve">CC1(C)Oc2cc(C34CC5CC(CC(CN=[N+]=[N-])(C5)O3)C4)cc(O)c2[C@@H]2C[C@H](O)CC[C@H]21</t>
  </si>
  <si>
    <t xml:space="preserve">CHEMBL1214435</t>
  </si>
  <si>
    <t xml:space="preserve">CC1(C)Oc2cc(CN3C4CC5CC3CC(C4)O5)cc(O)c2[C@@H]2C[C@@H](O)CC[C@H]21</t>
  </si>
  <si>
    <t xml:space="preserve">CHEMBL1214434</t>
  </si>
  <si>
    <t xml:space="preserve">CC1(C)Oc2cc(CN3C4CC5CC3CC(C4)O5)cc(O)c2[C@@H]2C[C@H](O)CC[C@H]21</t>
  </si>
  <si>
    <t xml:space="preserve">CHEMBL1214503</t>
  </si>
  <si>
    <t xml:space="preserve">CC1(C)Oc2cc(CNC34CC5CC(CC(C5)C3)C4)cc(O)c2[C@@H]2C[C@@H](O)CC[C@H]21</t>
  </si>
  <si>
    <t xml:space="preserve">CHEMBL1214502</t>
  </si>
  <si>
    <t xml:space="preserve">CC1(C)Oc2cc(CNC34CC5CC(CC(C5)C3)C4)cc(O)c2[C@@H]2C[C@H](O)CC[C@H]21</t>
  </si>
  <si>
    <t xml:space="preserve">CHEMBL1214558</t>
  </si>
  <si>
    <t xml:space="preserve">CC1(C)Oc2cc(CNC3C4CC5CC(C4)CC3C5)cc(O)c2[C@@H]2C[C@@H](O)CC[C@H]21</t>
  </si>
  <si>
    <t xml:space="preserve">CHEMBL1214557</t>
  </si>
  <si>
    <t xml:space="preserve">CC1(C)Oc2cc(CNC3C4CC5CC(C4)CC3C5)cc(O)c2[C@@H]2C[C@H](O)CC[C@H]21</t>
  </si>
  <si>
    <t xml:space="preserve">CHEMBL1214375</t>
  </si>
  <si>
    <t xml:space="preserve">CC1(C)Oc2cc(N3C4CC5CC3CC(C4)O5)cc(O)c2[C@@H]2C[C@@H](O)CC[C@H]21</t>
  </si>
  <si>
    <t xml:space="preserve">CHEMBL1214374</t>
  </si>
  <si>
    <t xml:space="preserve">CC1(C)Oc2cc(N3C4CC5CC3CC(C4)O5)cc(O)c2[C@@H]2C[C@H](O)CC[C@H]21</t>
  </si>
  <si>
    <t xml:space="preserve">CHEMBL3416122</t>
  </si>
  <si>
    <t xml:space="preserve">CC1(C)Oc2cc([C@]34CC5CC(C[C@@](C#N)(C5)C3)C4)cc(O)c2[C@@H]2C[C@H](O)CC[C@H]21</t>
  </si>
  <si>
    <t xml:space="preserve">CHEMBL3419675</t>
  </si>
  <si>
    <t xml:space="preserve">CHEMBL3414564</t>
  </si>
  <si>
    <t xml:space="preserve">Displacement of [3H]CP-55,940 from human CB2 receptor expressed in HEK293 cell membranes</t>
  </si>
  <si>
    <t xml:space="preserve">CHEMBL3416120</t>
  </si>
  <si>
    <t xml:space="preserve">CC1(C)Oc2cc([C@]34CC5CC(C[C@@](C(N)=O)(C5)C3)C4)cc(O)c2[C@@H]2C[C@H](O)CC[C@H]21</t>
  </si>
  <si>
    <t xml:space="preserve">CHEMBL3416126</t>
  </si>
  <si>
    <t xml:space="preserve">CC1(C)Oc2cc([C@]34CC5CC(C[C@@](CC#N)(C5)C3)C4)cc(O)c2[C@@H]2C[C@H](O)CC[C@H]21</t>
  </si>
  <si>
    <t xml:space="preserve">CHEMBL3416128</t>
  </si>
  <si>
    <t xml:space="preserve">CC1(C)Oc2cc([C@]34CC5CC(C[C@@](CN=C=S)(C5)C3)C4)cc(O)c2[C@@H]2C[C@H](O)CC[C@H]21</t>
  </si>
  <si>
    <t xml:space="preserve">CHEMBL3416129</t>
  </si>
  <si>
    <t xml:space="preserve">CC1(C)Oc2cc([C@]34CC5CC(C[C@@](CN=[N+]=[N-])(C5)C3)C4)cc(O)c2[C@@H]2C[C@H](O)CC[C@H]21</t>
  </si>
  <si>
    <t xml:space="preserve">CHEMBL3416124</t>
  </si>
  <si>
    <t xml:space="preserve">CC1(C)Oc2cc([C@]34CC5CC(C[C@@](N=C=S)(C5)C3)C4)cc(O)c2[C@@H]2C[C@H](O)CC[C@H]21</t>
  </si>
  <si>
    <t xml:space="preserve">CHEMBL3416125</t>
  </si>
  <si>
    <t xml:space="preserve">CC1(C)Oc2cc([C@]34CC5CC(C[C@@](N=[N+]=[N-])(C5)C3)C4)cc(O)c2[C@@H]2C[C@H](O)CC[C@H]21</t>
  </si>
  <si>
    <t xml:space="preserve">CHEMBL3780792</t>
  </si>
  <si>
    <t xml:space="preserve">CC1(C)[C@@H]2CC[C@]1(C)[C@H](NC(=O)c1nn(-c3ccc(Cl)cc3Cl)c3c1Cc1cc(C4CC4)ccc1-3)C2</t>
  </si>
  <si>
    <t xml:space="preserve">CHEMBL256753</t>
  </si>
  <si>
    <t xml:space="preserve">CC1(C)[C@H]2CC[C@](C)(C2)[C@@H]1NC(=O)c1ccc(Br)c(S(=O)(=O)N2CCCC2)c1</t>
  </si>
  <si>
    <t xml:space="preserve">CHEMBL256752</t>
  </si>
  <si>
    <t xml:space="preserve">CC1(C)[C@H]2CC[C@](C)(C2)[C@@H]1NC(=O)c1ccc(Br)c(S(=O)(=O)N2CCCCC2)c1</t>
  </si>
  <si>
    <t xml:space="preserve">CHEMBL256962</t>
  </si>
  <si>
    <t xml:space="preserve">CC1(C)[C@H]2CC[C@](C)(C2)[C@@H]1NC(=O)c1ccc(Br)c(S(=O)(=O)N2CCOCC2)c1</t>
  </si>
  <si>
    <t xml:space="preserve">CHEMBL596387</t>
  </si>
  <si>
    <t xml:space="preserve">CC1(CNS(=O)(=O)C(F)(F)F)CCN(S(=O)(=O)c2ccc(Cl)cc2S(=O)(=O)c2ccccc2F)CC1</t>
  </si>
  <si>
    <t xml:space="preserve">CHEMBL495528</t>
  </si>
  <si>
    <t xml:space="preserve">CC1(Cc2ccccc2)COc2cc(C(=O)N3CCCCC3)ccc21</t>
  </si>
  <si>
    <t xml:space="preserve">CHEMBL394230</t>
  </si>
  <si>
    <t xml:space="preserve">CC12CC3CC(C)(C1)CC(NC(=O)c1cn(CCCc4ccccc4)c4ccccc4c1=O)(C3)C2</t>
  </si>
  <si>
    <t xml:space="preserve">CHEMBL900693</t>
  </si>
  <si>
    <t xml:space="preserve">CHEMBL1137569</t>
  </si>
  <si>
    <t xml:space="preserve">Inhibition of human CB2 receptor expressed in CHO cells</t>
  </si>
  <si>
    <t xml:space="preserve">CHEMBL235900</t>
  </si>
  <si>
    <t xml:space="preserve">CC12CC3CC(C)(C1)CC(NC(=O)c1cn(CCN4CCOCC4)c4ccccc4c1=O)(C3)C2</t>
  </si>
  <si>
    <t xml:space="preserve">CHEMBL238048</t>
  </si>
  <si>
    <t xml:space="preserve">CC12CC3CC(C)(C1)CC(NC(=O)c1cn(CCc4ccccc4)c4ccccc4c1=O)(C3)C2</t>
  </si>
  <si>
    <t xml:space="preserve">CHEMBL238047</t>
  </si>
  <si>
    <t xml:space="preserve">CC12CC3CC(C)(C1)CC(NC(=O)c1cn(Cc4ccc(F)cc4)c4ccccc4c1=O)(C3)C2</t>
  </si>
  <si>
    <t xml:space="preserve">CHEMBL381431</t>
  </si>
  <si>
    <t xml:space="preserve">CC12CC3CC(C)(C1)CC(NC(=O)c1cn(Cc4ccccc4)c4ccccc4c1=O)(C3)C2</t>
  </si>
  <si>
    <t xml:space="preserve">CHEMBL854384</t>
  </si>
  <si>
    <t xml:space="preserve">CHEMBL1148594</t>
  </si>
  <si>
    <t xml:space="preserve">CHEMBL2163952</t>
  </si>
  <si>
    <t xml:space="preserve">CC12CC3CC(C)(C1)CC(NC(=O)c1cn4c5c(cccc5c1=O)OCC4c1ccccc1)(C3)C2</t>
  </si>
  <si>
    <t xml:space="preserve">CHEMBL4439452</t>
  </si>
  <si>
    <t xml:space="preserve">CC1=C(C(=O)c2cccc3ccccc23)C2C=CC=C3OC[C@@H](CN4CCOCC4)N1C32</t>
  </si>
  <si>
    <t xml:space="preserve">CHEMBL5752505</t>
  </si>
  <si>
    <t xml:space="preserve">CC1=CC[C@@H]2[C@@H](C1)c1c(O)cc(C(C)(C)C(=O)CCCCBr)cc1OC2(C)C</t>
  </si>
  <si>
    <t xml:space="preserve">CHEMBL4084380</t>
  </si>
  <si>
    <t xml:space="preserve">CC1=CC[C@@H]2[C@@H](C1)c1c(O)cc(C(C)(C)C(=O)OCCBr)cc1OC2(C)C</t>
  </si>
  <si>
    <t xml:space="preserve">CHEMBL4000263</t>
  </si>
  <si>
    <t xml:space="preserve">CHEMBL4000142</t>
  </si>
  <si>
    <t xml:space="preserve">Displacement of [3H]CP-55,940 from human CB2 receptor expressed in HEK293 cells by scintillation counting method</t>
  </si>
  <si>
    <t xml:space="preserve">CHEMBL4102348</t>
  </si>
  <si>
    <t xml:space="preserve">CC1=CC[C@@H]2[C@@H](C1)c1c(O)cc(C(C)(C)C(=O)OCCCBr)cc1OC2(C)C</t>
  </si>
  <si>
    <t xml:space="preserve">CHEMBL4071389</t>
  </si>
  <si>
    <t xml:space="preserve">CC1=CC[C@@H]2[C@@H](C1)c1c(O)cc(C(C)(C)C(=O)OCCCC#N)cc1OC2(C)C</t>
  </si>
  <si>
    <t xml:space="preserve">CHEMBL4074070</t>
  </si>
  <si>
    <t xml:space="preserve">CC1=CC[C@@H]2[C@@H](C1)c1c(O)cc(C(C)(C)C(=O)OCCCCBr)cc1OC2(C)C</t>
  </si>
  <si>
    <t xml:space="preserve">CHEMBL4062745</t>
  </si>
  <si>
    <t xml:space="preserve">CC1=CC[C@@H]2[C@@H](C1)c1c(O)cc(C(C)(C)C(=O)OCCCCC#N)cc1OC2(C)C</t>
  </si>
  <si>
    <t xml:space="preserve">CHEMBL4094603</t>
  </si>
  <si>
    <t xml:space="preserve">CC1=CC[C@@H]2[C@@H](C1)c1c(O)cc(C(C)(C)C(=O)OCCCCCBr)cc1OC2(C)C</t>
  </si>
  <si>
    <t xml:space="preserve">CHEMBL5870042</t>
  </si>
  <si>
    <t xml:space="preserve">CC1=CC[C@@H]2[C@@H](C1)c1c(O)cc(C(C)(C)C(=O)OCCCCN3CCOCC3)cc1OC2(C)C</t>
  </si>
  <si>
    <t xml:space="preserve">CHEMBL4090703</t>
  </si>
  <si>
    <t xml:space="preserve">CC1=CC[C@@H]2[C@@H](C1)c1c(O)cc(C(C)(C)C(=O)OCCCCn3ccnc3)cc1OC2(C)C</t>
  </si>
  <si>
    <t xml:space="preserve">CHEMBL5828611</t>
  </si>
  <si>
    <t xml:space="preserve">CC1=CC[C@@H]2[C@@H](C1)c1c(O)cc(C(C)(C)C(=O)OCCCN=[N+]=[N-])cc1OC2(C)C</t>
  </si>
  <si>
    <t xml:space="preserve">CHEMBL4098428</t>
  </si>
  <si>
    <t xml:space="preserve">CC1=CC[C@@H]2[C@@H](C1)c1c(O)cc(C(C)(C)C(=O)OCCCn3ccnc3)cc1OC2(C)C</t>
  </si>
  <si>
    <t xml:space="preserve">CHEMBL471296</t>
  </si>
  <si>
    <t xml:space="preserve">CC1=CC[C@@H]2[C@@H](C1)c1c(O)cc(C(C)(C)c3cc(C)cc(C)c3)cc1OC2(C)C</t>
  </si>
  <si>
    <t xml:space="preserve">CHEMBL964505</t>
  </si>
  <si>
    <t xml:space="preserve">CHEMBL1157458</t>
  </si>
  <si>
    <t xml:space="preserve">Displacement of [3H]CP-55940 from human CB2 receptor expressed in CHO-K1 cells</t>
  </si>
  <si>
    <t xml:space="preserve">CHEMBL487463</t>
  </si>
  <si>
    <t xml:space="preserve">CC1=CC[C@@H]2[C@@H](C1)c1c(O)cc(C(C)(C)c3ccc(Br)cc3)cc1OC2(C)C</t>
  </si>
  <si>
    <t xml:space="preserve">CHEMBL472115</t>
  </si>
  <si>
    <t xml:space="preserve">CC1=CC[C@@H]2[C@@H](C1)c1c(O)cc(C(C)(C)c3ccc(C#N)cc3)cc1OC2(C)C</t>
  </si>
  <si>
    <t xml:space="preserve">CHEMBL471367</t>
  </si>
  <si>
    <t xml:space="preserve">CC1=CC[C@@H]2[C@@H](C1)c1c(O)cc(C(C)(C)c3ccc(C(N)=O)cc3)cc1OC2(C)C</t>
  </si>
  <si>
    <t xml:space="preserve">CHEMBL512511</t>
  </si>
  <si>
    <t xml:space="preserve">CC1=CC[C@@H]2[C@@H](C1)c1c(O)cc(C(C)(C)c3ccc(C)cc3)cc1OC2(C)C</t>
  </si>
  <si>
    <t xml:space="preserve">CHEMBL471988</t>
  </si>
  <si>
    <t xml:space="preserve">CC1=CC[C@@H]2[C@@H](C1)c1c(O)cc(C(C)(C)c3ccc(Cl)cc3)cc1OC2(C)C</t>
  </si>
  <si>
    <t xml:space="preserve">CHEMBL471123</t>
  </si>
  <si>
    <t xml:space="preserve">CC1=CC[C@@H]2[C@@H](C1)c1c(O)cc(C(C)(C)c3ccc(F)cc3)cc1OC2(C)C</t>
  </si>
  <si>
    <t xml:space="preserve">CHEMBL487464</t>
  </si>
  <si>
    <t xml:space="preserve">CC1=CC[C@@H]2[C@@H](C1)c1c(O)cc(C(C)(C)c3cccc(Br)c3)cc1OC2(C)C</t>
  </si>
  <si>
    <t xml:space="preserve">CHEMBL471366</t>
  </si>
  <si>
    <t xml:space="preserve">CC1=CC[C@@H]2[C@@H](C1)c1c(O)cc(C(C)(C)c3cccc(C#N)c3)cc1OC2(C)C</t>
  </si>
  <si>
    <t xml:space="preserve">CHEMBL471295</t>
  </si>
  <si>
    <t xml:space="preserve">CC1=CC[C@@H]2[C@@H](C1)c1c(O)cc(C(C)(C)c3cccc(C)c3)cc1OC2(C)C</t>
  </si>
  <si>
    <t xml:space="preserve">CHEMBL521366</t>
  </si>
  <si>
    <t xml:space="preserve">CC1=CC[C@@H]2[C@@H](C1)c1c(O)cc(C(C)(C)c3cccc(Cl)c3)cc1OC2(C)C</t>
  </si>
  <si>
    <t xml:space="preserve">CHEMBL512531</t>
  </si>
  <si>
    <t xml:space="preserve">CC1=CC[C@@H]2[C@@H](C1)c1c(O)cc(C(C)(C)c3cccc(F)c3)cc1OC2(C)C</t>
  </si>
  <si>
    <t xml:space="preserve">CHEMBL512343</t>
  </si>
  <si>
    <t xml:space="preserve">CC1=CC[C@@H]2[C@@H](C1)c1c(O)cc(C(C)(C)c3ccccc3C)cc1OC2(C)C</t>
  </si>
  <si>
    <t xml:space="preserve">CHEMBL519575</t>
  </si>
  <si>
    <t xml:space="preserve">CC1=CC[C@@H]2[C@@H](C1)c1c(O)cc(C(C)(C)c3cccs3)cc1OC2(C)C</t>
  </si>
  <si>
    <t xml:space="preserve">CHEMBL4085404</t>
  </si>
  <si>
    <t xml:space="preserve">CC1=CC[C@@H]2[C@@H](C1)c1c(O)cc(C3(C(=O)OCCCCBr)CCC3)cc1OC2(C)C</t>
  </si>
  <si>
    <t xml:space="preserve">CHEMBL4063822</t>
  </si>
  <si>
    <t xml:space="preserve">CC1=CC[C@@H]2[C@@H](C1)c1c(O)cc(C3(C(=O)OCCCCC#N)CCC3)cc1OC2(C)C</t>
  </si>
  <si>
    <t xml:space="preserve">CHEMBL5923292</t>
  </si>
  <si>
    <t xml:space="preserve">CC1=CC[C@@H]2[C@@H](C1)c1c(O)cc(C3(C(=O)OCCCCN=[N+]=[N-])CCC3)cc1OC2(C)C</t>
  </si>
  <si>
    <t xml:space="preserve">CHEMBL4071457</t>
  </si>
  <si>
    <t xml:space="preserve">CC1=CC[C@@H]2[C@@H](C1)c1c(O)cc(CC(=O)OCCCCBr)cc1OC2(C)C</t>
  </si>
  <si>
    <t xml:space="preserve">CHEMBL4098489</t>
  </si>
  <si>
    <t xml:space="preserve">CC1=CC[C@@H]2[C@@H](C1)c1c(O)cc(CC(=O)OCCCCC#N)cc1OC2(C)C</t>
  </si>
  <si>
    <t xml:space="preserve">CHEMBL3233403</t>
  </si>
  <si>
    <t xml:space="preserve">CC1=CC[C@@H]2[C@@H](C1)c1c(OC(=O)CCCN3CCOCC3)cc(C(C)(C)CCCCC#N)cc1OC2(C)C</t>
  </si>
  <si>
    <t xml:space="preserve">CHEMBL3239831</t>
  </si>
  <si>
    <t xml:space="preserve">Displacement of [3H]-CP55940 from human CB2 receptor transfected in CHO cells after 30 mins by liquid scintillation spectrometry</t>
  </si>
  <si>
    <t xml:space="preserve">CHEMBL1668516</t>
  </si>
  <si>
    <t xml:space="preserve">CHEMBL5924346</t>
  </si>
  <si>
    <t xml:space="preserve">CC1=CC[C@@H]2[C@@H](C1)c1ccc(C(C)(C)C(=O)OCCCN3CCOCC3)cc1OC2(C)C</t>
  </si>
  <si>
    <t xml:space="preserve">CHEMBL5790887</t>
  </si>
  <si>
    <t xml:space="preserve">CC1=CC[C@H]2[C@@H](C1)c1c(O)cc(C(C)(C)C(=O)OCCCCC#N)cc1OC2(C)C</t>
  </si>
  <si>
    <t xml:space="preserve">CHEMBL5758408</t>
  </si>
  <si>
    <t xml:space="preserve">CC1=CC[C@H]2[C@@H](C1)c1c(O)cc(C(C)(C)C(=O)OCCCCCBr)cc1OC2(C)C</t>
  </si>
  <si>
    <t xml:space="preserve">CHEMBL4249273</t>
  </si>
  <si>
    <t xml:space="preserve">CC1=CC[C@H]2[C@H](C1)c1c(O)cc(/C(C)=N/OCCCC#N)cc1OC2(C)C</t>
  </si>
  <si>
    <t xml:space="preserve">CHEMBL4236331</t>
  </si>
  <si>
    <t xml:space="preserve">CHEMBL4229545</t>
  </si>
  <si>
    <t xml:space="preserve">Displacement of [3H]CP-55,940 from recombinant human Cb2 receptor expressed in HEK293 cells</t>
  </si>
  <si>
    <t xml:space="preserve">CHEMBL4240671</t>
  </si>
  <si>
    <t xml:space="preserve">CC1=CC[C@H]2[C@H](C1)c1c(O)cc(/C(C)=N/OCCCC(F)(F)F)cc1OC2(C)C</t>
  </si>
  <si>
    <t xml:space="preserve">CHEMBL4242964</t>
  </si>
  <si>
    <t xml:space="preserve">CC1=CC[C@H]2[C@H](C1)c1c(O)cc(/C(C)=N/OCCCCF)cc1OC2(C)C</t>
  </si>
  <si>
    <t xml:space="preserve">CHEMBL4237501</t>
  </si>
  <si>
    <t xml:space="preserve">CC1=CC[C@H]2[C@H](C1)c1c(O)cc(/C(C)=N/OCCCc3ccccc3)cc1OC2(C)C</t>
  </si>
  <si>
    <t xml:space="preserve">CHEMBL4238224</t>
  </si>
  <si>
    <t xml:space="preserve">CC1=CC[C@H]2[C@H](C1)c1c(O)cc(/C(C)=N/OCCCn3ccnc3)cc1OC2(C)C</t>
  </si>
  <si>
    <t xml:space="preserve">CHEMBL4239541</t>
  </si>
  <si>
    <t xml:space="preserve">CC1=CC[C@H]2[C@H](C1)c1c(O)cc(/C(C)=N/OCCN3CCCC3)cc1OC2(C)C</t>
  </si>
  <si>
    <t xml:space="preserve">CHEMBL4243768</t>
  </si>
  <si>
    <t xml:space="preserve">CC1=CC[C@H]2[C@H](C1)c1c(O)cc(/C(C)=N/OCCN3CCCCC3)cc1OC2(C)C</t>
  </si>
  <si>
    <t xml:space="preserve">CHEMBL4246445</t>
  </si>
  <si>
    <t xml:space="preserve">CC1=CC[C@H]2[C@H](C1)c1c(O)cc(/C(C)=N/OCCN3CCOCC3)cc1OC2(C)C</t>
  </si>
  <si>
    <t xml:space="preserve">CHEMBL4249729</t>
  </si>
  <si>
    <t xml:space="preserve">CC1=CC[C@H]2[C@H](C1)c1c(O)cc(/C(C)=N/OCCOc3ccccc3)cc1OC2(C)C</t>
  </si>
  <si>
    <t xml:space="preserve">CHEMBL4239190</t>
  </si>
  <si>
    <t xml:space="preserve">CC1=CC[C@H]2[C@H](C1)c1c(O)cc(/C(C)=N\OCCCC#N)cc1OC2(C)C</t>
  </si>
  <si>
    <t xml:space="preserve">CHEMBL4245472</t>
  </si>
  <si>
    <t xml:space="preserve">CC1=CC[C@H]2[C@H](C1)c1c(O)cc(/C(C)=N\OCCCc3ccccc3)cc1OC2(C)C</t>
  </si>
  <si>
    <t xml:space="preserve">CHEMBL559035</t>
  </si>
  <si>
    <t xml:space="preserve">CC1CC(C)CN(S(=O)(=O)c2ccc(F)c(C(=O)NC(c3ccccc3)c3ccccc3)c2)C1</t>
  </si>
  <si>
    <t xml:space="preserve">CHEMBL1059681</t>
  </si>
  <si>
    <t xml:space="preserve">CHEMBL1152367</t>
  </si>
  <si>
    <t xml:space="preserve">Displacement of [3H]rimonabant from human CB2 receptor expressed in HEK293 cells by liquid scintillation counting</t>
  </si>
  <si>
    <t xml:space="preserve">CHEMBL3422793</t>
  </si>
  <si>
    <t xml:space="preserve">CC1CCC(NC(=O)c2c(O)c3cccnc3n(CCCO)c2=O)CC1</t>
  </si>
  <si>
    <t xml:space="preserve">CHEMBL3425330</t>
  </si>
  <si>
    <t xml:space="preserve">CHEMBL3421611</t>
  </si>
  <si>
    <t xml:space="preserve">Displacement of [3H]-CP-55940 from recombinant human CB2 receptor overexpressed in HEK293 cell membranes after 90 mins</t>
  </si>
  <si>
    <t xml:space="preserve">CHEMBL3422791</t>
  </si>
  <si>
    <t xml:space="preserve">CC1CCC(NC(=O)c2c(O)c3cccnc3n(CCN3CCOCC3)c2=O)CC1</t>
  </si>
  <si>
    <t xml:space="preserve">CHEMBL3422790</t>
  </si>
  <si>
    <t xml:space="preserve">CC1CCC(NC(=O)c2c(O)c3cccnc3n(Cc3ccc(F)cc3)c2=O)CC1</t>
  </si>
  <si>
    <t xml:space="preserve">CHEMBL3353453</t>
  </si>
  <si>
    <t xml:space="preserve">CC1CCC(NC(=O)c2cc3cc(-c4ccc(F)cc4)cnc3n(CCN3CCOCC3)c2=O)CC1</t>
  </si>
  <si>
    <t xml:space="preserve">CHEMBL3383059</t>
  </si>
  <si>
    <t xml:space="preserve">CHEMBL3352718</t>
  </si>
  <si>
    <t xml:space="preserve">Displacement of [3H]CP-55,940 from human recombinant CB2R expressed in HEK-293 cells after 90 mins by liquid scintillation counting</t>
  </si>
  <si>
    <t xml:space="preserve">CHEMBL3353447</t>
  </si>
  <si>
    <t xml:space="preserve">CC1CCC(NC(=O)c2cc3cc(-c4ccc(F)cc4)cnc3n(Cc3ccc(F)cc3)c2=O)CC1</t>
  </si>
  <si>
    <t xml:space="preserve">CHEMBL3353454</t>
  </si>
  <si>
    <t xml:space="preserve">CC1CCC(NC(=O)c2cc3cc(-c4ccco4)cnc3n(CCN3CCOCC3)c2=O)CC1</t>
  </si>
  <si>
    <t xml:space="preserve">CHEMBL3353448</t>
  </si>
  <si>
    <t xml:space="preserve">CC1CCC(NC(=O)c2cc3cc(-c4ccco4)cnc3n(Cc3ccc(F)cc3)c2=O)CC1</t>
  </si>
  <si>
    <t xml:space="preserve">CHEMBL3353452</t>
  </si>
  <si>
    <t xml:space="preserve">CC1CCC(NC(=O)c2cc3cc(-c4cccs4)cnc3n(CCN3CCOCC3)c2=O)CC1</t>
  </si>
  <si>
    <t xml:space="preserve">CHEMBL3353444</t>
  </si>
  <si>
    <t xml:space="preserve">CC1CCC(NC(=O)c2cc3cc(-c4cccs4)cnc3n(Cc3ccc(F)cc3)c2=O)CC1</t>
  </si>
  <si>
    <t xml:space="preserve">CHEMBL3353442</t>
  </si>
  <si>
    <t xml:space="preserve">CC1CCC(NC(=O)c2cc3cc(Br)cnc3n(CCN3CCOCC3)c2=O)CC1</t>
  </si>
  <si>
    <t xml:space="preserve">CHEMBL3353439</t>
  </si>
  <si>
    <t xml:space="preserve">CC1CCC(NC(=O)c2cc3cc(Br)cnc3n(Cc3ccc(F)cc3)c2=O)CC1</t>
  </si>
  <si>
    <t xml:space="preserve">CHEMBL3422789</t>
  </si>
  <si>
    <t xml:space="preserve">CC1CCC(NC(=O)c2cc3ccccc3n(CCCO)c2=O)CC1</t>
  </si>
  <si>
    <t xml:space="preserve">CHEMBL3422785</t>
  </si>
  <si>
    <t xml:space="preserve">CC1CCC(NC(=O)c2cc3ccccc3n(CCN3CCOCC3)c2=O)CC1</t>
  </si>
  <si>
    <t xml:space="preserve">CHEMBL3422784</t>
  </si>
  <si>
    <t xml:space="preserve">CC1CCC(NC(=O)c2cc3ccccc3n(Cc3ccc(F)cc3)c2=O)CC1</t>
  </si>
  <si>
    <t xml:space="preserve">CHEMBL3353433</t>
  </si>
  <si>
    <t xml:space="preserve">CC1CCC(NC(=O)c2cc3cccnc3n(CCC(=O)O)c2=O)CC1</t>
  </si>
  <si>
    <t xml:space="preserve">CHEMBL3353434</t>
  </si>
  <si>
    <t xml:space="preserve">CC1CCC(NC(=O)c2cc3cccnc3n(CCCC(=O)O)c2=O)CC1</t>
  </si>
  <si>
    <t xml:space="preserve">CHEMBL3353435</t>
  </si>
  <si>
    <t xml:space="preserve">CC1CCC(NC(=O)c2cc3cccnc3n(CCCCC(=O)O)c2=O)CC1</t>
  </si>
  <si>
    <t xml:space="preserve">CHEMBL3353438</t>
  </si>
  <si>
    <t xml:space="preserve">CC1CCC(NC(=O)c2cc3cccnc3n(CCCCCCF)c2=O)CC1</t>
  </si>
  <si>
    <t xml:space="preserve">CHEMBL3353429</t>
  </si>
  <si>
    <t xml:space="preserve">CC1CCC(NC(=O)c2cc3cccnc3n(CCCCCCO)c2=O)CC1</t>
  </si>
  <si>
    <t xml:space="preserve">CHEMBL3353437</t>
  </si>
  <si>
    <t xml:space="preserve">CC1CCC(NC(=O)c2cc3cccnc3n(CCCCCF)c2=O)CC1</t>
  </si>
  <si>
    <t xml:space="preserve">CHEMBL3353428</t>
  </si>
  <si>
    <t xml:space="preserve">CC1CCC(NC(=O)c2cc3cccnc3n(CCCCCO)c2=O)CC1</t>
  </si>
  <si>
    <t xml:space="preserve">CHEMBL3353436</t>
  </si>
  <si>
    <t xml:space="preserve">CC1CCC(NC(=O)c2cc3cccnc3n(CCCCF)c2=O)CC1</t>
  </si>
  <si>
    <t xml:space="preserve">CHEMBL3353427</t>
  </si>
  <si>
    <t xml:space="preserve">CC1CCC(NC(=O)c2cc3cccnc3n(CCCCO)c2=O)CC1</t>
  </si>
  <si>
    <t xml:space="preserve">CHEMBL3353426</t>
  </si>
  <si>
    <t xml:space="preserve">CC1CCC(NC(=O)c2cc3cccnc3n(CCCO)c2=O)CC1</t>
  </si>
  <si>
    <t xml:space="preserve">CHEMBL466223</t>
  </si>
  <si>
    <t xml:space="preserve">CC1CCC(NC(=O)c2cc3cccnc3n(CCN3CCOCC3)c2=O)CC1</t>
  </si>
  <si>
    <t xml:space="preserve">CHEMBL998034</t>
  </si>
  <si>
    <t xml:space="preserve">CHEMBL1136929</t>
  </si>
  <si>
    <t xml:space="preserve">CHEMBL3353425</t>
  </si>
  <si>
    <t xml:space="preserve">CC1CCC(NC(=O)c2cc3cccnc3n(CCO)c2=O)CC1</t>
  </si>
  <si>
    <t xml:space="preserve">CHEMBL466651</t>
  </si>
  <si>
    <t xml:space="preserve">CC1CCC(NC(=O)c2cc3cccnc3n(Cc3ccc(F)cc3)c2=O)CC1</t>
  </si>
  <si>
    <t xml:space="preserve">CHEMBL467476</t>
  </si>
  <si>
    <t xml:space="preserve">CC1CCC(NC(=O)c2cc3cccnc3n(Cc3ccccc3)c2=O)CC1</t>
  </si>
  <si>
    <t xml:space="preserve">CHEMBL3114172</t>
  </si>
  <si>
    <t xml:space="preserve">CC1CCC(NC(=O)c2cccn(Cc3ccc(F)cc3)c2=O)CC1</t>
  </si>
  <si>
    <t xml:space="preserve">CHEMBL3119423</t>
  </si>
  <si>
    <t xml:space="preserve">CHEMBL3112511</t>
  </si>
  <si>
    <t xml:space="preserve">Displacement of [3H]CP55,940 from human recombinant CB2 receptor expressed in HEK293 cell membranes after 90 mins</t>
  </si>
  <si>
    <t xml:space="preserve">CHEMBL3114173</t>
  </si>
  <si>
    <t xml:space="preserve">CC1CCC(NC(=O)c2cccn(Cc3ccccc3)c2=O)CC1</t>
  </si>
  <si>
    <t xml:space="preserve">CHEMBL3114346</t>
  </si>
  <si>
    <t xml:space="preserve">CC1CCC(NC(=O)c2cccnc2OCc2ccc(F)cc2)CC1</t>
  </si>
  <si>
    <t xml:space="preserve">CHEMBL3114347</t>
  </si>
  <si>
    <t xml:space="preserve">CC1CCC(NC(=O)c2cccnc2OCc2ccccc2)CC1</t>
  </si>
  <si>
    <t xml:space="preserve">CHEMBL399248</t>
  </si>
  <si>
    <t xml:space="preserve">CC1CCN(C(=O)c2ccc3[nH]c4c(c3c2)CN(C2CCCC2)C4)CC1</t>
  </si>
  <si>
    <t xml:space="preserve">CHEMBL249827</t>
  </si>
  <si>
    <t xml:space="preserve">CC1CCN(C(=O)c2ccc3c(c2)c2c(n3C)CN(C3CCCC3)C2)CC1</t>
  </si>
  <si>
    <t xml:space="preserve">CHEMBL400887</t>
  </si>
  <si>
    <t xml:space="preserve">CC1CCN(C(=O)c2ccc3c(c2)c2c(n3Cc3ccccc3)CN(C3CCCC3)C2)CC1</t>
  </si>
  <si>
    <t xml:space="preserve">CHEMBL401480</t>
  </si>
  <si>
    <t xml:space="preserve">CC1CCN(C(=O)c2ccc3c(c2)c2c(n3S(=O)(=O)C(C)C)CN(C3CCCC3)C2)CC1</t>
  </si>
  <si>
    <t xml:space="preserve">CHEMBL404211</t>
  </si>
  <si>
    <t xml:space="preserve">CC1CCN(C(=O)c2ccc3c(c2)c2c(n3S(=O)(=O)C3CC3)CN(C3CCCC3)C2)CC1</t>
  </si>
  <si>
    <t xml:space="preserve">CHEMBL250626</t>
  </si>
  <si>
    <t xml:space="preserve">CC1CCN(C(=O)c2ccc3c(c2)c2c(n3S(=O)(=O)c3ccccc3)CN(C3CCCC3)C2)CC1</t>
  </si>
  <si>
    <t xml:space="preserve">CHEMBL249024</t>
  </si>
  <si>
    <t xml:space="preserve">CC1CCN(C(=O)c2ccc3c(c2)c2c(n3S(C)(=O)=O)CN(C3CCCC3)C2)CC1</t>
  </si>
  <si>
    <t xml:space="preserve">CHEMBL2163962</t>
  </si>
  <si>
    <t xml:space="preserve">CC1COc2cccc3c(=O)c(C(=O)NC45CC6CC(CC(C6)C4)C5)cn1c23</t>
  </si>
  <si>
    <t xml:space="preserve">CHEMBL2163960</t>
  </si>
  <si>
    <t xml:space="preserve">CC1COc2cccc3c(=O)c(C(=O)NC4CCCCC4)cn1c23</t>
  </si>
  <si>
    <t xml:space="preserve">CHEMBL2163961</t>
  </si>
  <si>
    <t xml:space="preserve">CC1COc2cccc3c(=O)c(C(=O)NC4CCCCCC4)cn1c23</t>
  </si>
  <si>
    <t xml:space="preserve">CHEMBL2163954</t>
  </si>
  <si>
    <t xml:space="preserve">CC1Oc2cccc3c(=O)c(C(=O)NC45CC6CC(CC(C6)C4)C5)cn(c23)C1c1ccccc1</t>
  </si>
  <si>
    <t xml:space="preserve">CHEMBL2163953</t>
  </si>
  <si>
    <t xml:space="preserve">CC1Oc2cccc3c(=O)c(C(=O)NC4CCCCC4)cn(c23)C1c1ccccc1</t>
  </si>
  <si>
    <t xml:space="preserve">CHEMBL248136</t>
  </si>
  <si>
    <t xml:space="preserve">CCC(=O)N1CC(C)(C)CS/C1=N\c1ccccc1C(C)C</t>
  </si>
  <si>
    <t xml:space="preserve">CHEMBL2063235</t>
  </si>
  <si>
    <t xml:space="preserve">CCC(=O)NC1CCCOc2c1nn(-c1ccccc1Cl)c2-c1ccc(Cl)cc1</t>
  </si>
  <si>
    <t xml:space="preserve">CHEMBL1668514</t>
  </si>
  <si>
    <t xml:space="preserve">CCC(C)(C)C(=O)Cc1cc(C)c(C)c(S(=O)(=O)N2CCCCC2)c1</t>
  </si>
  <si>
    <t xml:space="preserve">CHEMBL1668513</t>
  </si>
  <si>
    <t xml:space="preserve">CCC(C)(C)C(=O)Cc1cc(C)c(C)c(S(=O)(=O)N2CCCCCC2)c1</t>
  </si>
  <si>
    <t xml:space="preserve">CHEMBL602105</t>
  </si>
  <si>
    <t xml:space="preserve">CCC(C)(C)C(=O)Nc1cc(C)c(C)c(S(=O)(=O)N2CCCCC2)c1</t>
  </si>
  <si>
    <t xml:space="preserve">CHEMBL1071855</t>
  </si>
  <si>
    <t xml:space="preserve">CHEMBL1153132</t>
  </si>
  <si>
    <t xml:space="preserve">CHEMBL602591</t>
  </si>
  <si>
    <t xml:space="preserve">CCC(C)(C)C(=O)Nc1cc(C)c(C)c(S(=O)(=O)N2CCCCCC2)c1</t>
  </si>
  <si>
    <t xml:space="preserve">CHEMBL591572</t>
  </si>
  <si>
    <t xml:space="preserve">CCC(C)(C)C(=O)Nc1cc(C)c(C)c(S(=O)(=O)N2CCC[C@@H]2CO)c1</t>
  </si>
  <si>
    <t xml:space="preserve">CHEMBL596401</t>
  </si>
  <si>
    <t xml:space="preserve">CCC(C)(C)C(=O)Nc1cc(C)c(C)c(S(=O)(=O)N2CCOCC2)c1</t>
  </si>
  <si>
    <t xml:space="preserve">CHEMBL605199</t>
  </si>
  <si>
    <t xml:space="preserve">CCC(C)(C)C(=O)Nc1cc(C)c(C)c(S(=O)(=O)N2CCS(=O)(=O)CC2)c1</t>
  </si>
  <si>
    <t xml:space="preserve">CHEMBL602128</t>
  </si>
  <si>
    <t xml:space="preserve">CCC(C)(C)C(=O)Nc1cc(C)c(C)c(S(=O)(=O)N2CCSC2)c1</t>
  </si>
  <si>
    <t xml:space="preserve">CHEMBL591795</t>
  </si>
  <si>
    <t xml:space="preserve">CCC(C)(C)C(=O)Nc1cc(C)c(C)c(S(=O)(=O)N2CC[C@H](O)C2)c1</t>
  </si>
  <si>
    <t xml:space="preserve">CHEMBL592264</t>
  </si>
  <si>
    <t xml:space="preserve">CCC(C)(C)C(=O)Nc1cc(C)c(C)c(S(=O)(=O)NC2CCCC2)c1</t>
  </si>
  <si>
    <t xml:space="preserve">CHEMBL571323</t>
  </si>
  <si>
    <t xml:space="preserve">CCC(C)(C)C(=O)Nc1cc(C)c(C)c(S(=O)(=O)NCC2CC2)c1</t>
  </si>
  <si>
    <t xml:space="preserve">CHEMBL568157</t>
  </si>
  <si>
    <t xml:space="preserve">CCC(C)(C)C(=O)Nc1cc(CN2CCOCC2)c(C#N)cn1</t>
  </si>
  <si>
    <t xml:space="preserve">CHEMBL1049670</t>
  </si>
  <si>
    <t xml:space="preserve">CHEMBL1156044</t>
  </si>
  <si>
    <t xml:space="preserve">Displacement of [3H]CP55960 from human cloned CB2 receptor after 60 mins by scintillation spectroscopy</t>
  </si>
  <si>
    <t xml:space="preserve">CHEMBL567924</t>
  </si>
  <si>
    <t xml:space="preserve">CCC(C)(C)C(=O)Nc1cc(CN2CCOCC2)c(C)cc1C</t>
  </si>
  <si>
    <t xml:space="preserve">CHEMBL1041036</t>
  </si>
  <si>
    <t xml:space="preserve">CHEMBL1155343</t>
  </si>
  <si>
    <t xml:space="preserve">CHEMBL567795</t>
  </si>
  <si>
    <t xml:space="preserve">CCC(C)(C)C(=O)Nc1cc(CN2CCOCC2)c(C)cc1F</t>
  </si>
  <si>
    <t xml:space="preserve">CHEMBL566248</t>
  </si>
  <si>
    <t xml:space="preserve">CCC(C)(C)C(=O)Nc1cc(CN2CCOCC2)c(C)cn1</t>
  </si>
  <si>
    <t xml:space="preserve">CHEMBL572328</t>
  </si>
  <si>
    <t xml:space="preserve">CCC(C)(C)C(=O)Nc1cc(CN2CCOCC2)c(N)cn1</t>
  </si>
  <si>
    <t xml:space="preserve">CHEMBL568147</t>
  </si>
  <si>
    <t xml:space="preserve">CCC(C)(C)C(=O)Nc1cc(CN2CCOCC2)cc(C)n1</t>
  </si>
  <si>
    <t xml:space="preserve">CHEMBL584224</t>
  </si>
  <si>
    <t xml:space="preserve">CCC(C)(C)C(=O)Nc1cc(S(=O)(=O)N2CCOCC2)c(C)c(C)c1C</t>
  </si>
  <si>
    <t xml:space="preserve">CHEMBL591093</t>
  </si>
  <si>
    <t xml:space="preserve">CCC(C)(C)C(=O)Nc1cc(S(=O)(=O)N2CCOCC2)c(C)cc1C</t>
  </si>
  <si>
    <t xml:space="preserve">CHEMBL603736</t>
  </si>
  <si>
    <t xml:space="preserve">CCC(C)(C)C(=O)Nc1cc2c(c(S(=O)(=O)N3CCOCC3)c1)CCC2</t>
  </si>
  <si>
    <t xml:space="preserve">CHEMBL599878</t>
  </si>
  <si>
    <t xml:space="preserve">CCC(C)(C)C(=O)Nc1cc2c(c(S(=O)(=O)N3CCOCC3)c1)CCCC2</t>
  </si>
  <si>
    <t xml:space="preserve">CHEMBL565417</t>
  </si>
  <si>
    <t xml:space="preserve">CCC(C)(C)C(=O)Nc1ccc(C)c(CN2CCOCC2)c1</t>
  </si>
  <si>
    <t xml:space="preserve">CHEMBL568146</t>
  </si>
  <si>
    <t xml:space="preserve">CCC(C)(C)C(=O)Nc1ccc(C)c(CN2CCOCC2)n1</t>
  </si>
  <si>
    <t xml:space="preserve">CHEMBL609006</t>
  </si>
  <si>
    <t xml:space="preserve">CCC(C)(C)C(=O)Nc1ccc(C)c(S(=O)(=O)N2CCOCC2)c1</t>
  </si>
  <si>
    <t xml:space="preserve">CHEMBL1631298</t>
  </si>
  <si>
    <t xml:space="preserve">CCC(C)(C)NC(=O)c1nn(-c2ccc(Cl)cc2Cl)c(-n2c(C)ccc2C)c1C</t>
  </si>
  <si>
    <t xml:space="preserve">CHEMBL1636582</t>
  </si>
  <si>
    <t xml:space="preserve">CHEMBL1629497</t>
  </si>
  <si>
    <t xml:space="preserve">Displacement of [3H]CP-55,940 from recombinant human CB2 receptor transfected in HEK cells</t>
  </si>
  <si>
    <t xml:space="preserve">CHEMBL1629731</t>
  </si>
  <si>
    <t xml:space="preserve">CCC(C)(C)NC(=O)c1nn(-c2ccc(Cl)cc2Cl)c(-n2cccc2)c1C</t>
  </si>
  <si>
    <t xml:space="preserve">CHEMBL407763</t>
  </si>
  <si>
    <t xml:space="preserve">CCC(C)(C)c1ccc([C@@H]2CCC[C@@H](O)C2)cc1</t>
  </si>
  <si>
    <t xml:space="preserve">CHEMBL921109</t>
  </si>
  <si>
    <t xml:space="preserve">CHEMBL1144670</t>
  </si>
  <si>
    <t xml:space="preserve">CHEMBL263885</t>
  </si>
  <si>
    <t xml:space="preserve">CCC(C)(C)c1ccc([C@@H]2C[C@H](O)CC[C@H]2CCCO)cc1</t>
  </si>
  <si>
    <t xml:space="preserve">CHEMBL259293</t>
  </si>
  <si>
    <t xml:space="preserve">CCC(C)(C)c1ccc([C@H]2CCC[C@@H](O)C2)cc1</t>
  </si>
  <si>
    <t xml:space="preserve">CHEMBL5281620</t>
  </si>
  <si>
    <t xml:space="preserve">CCC(C)(C)c1ccc2c(c1)OC(C)(C)C1CC=C(C)CC21</t>
  </si>
  <si>
    <t xml:space="preserve">CHEMBL5231889</t>
  </si>
  <si>
    <t xml:space="preserve">CHEMBL5230132</t>
  </si>
  <si>
    <t xml:space="preserve">Displacement of [3H]CP55940 from human CB2 receptor expressed in HEK293 cell membrane assessed as inhibition constant incubated for 1 hr by liquid scintillation counting method</t>
  </si>
  <si>
    <t xml:space="preserve">CHEMBL519288</t>
  </si>
  <si>
    <t xml:space="preserve">CCC(CC)(CC)c1cc(/N=C2\OCC3(CCCCC3)CN2C(=S)SC)on1</t>
  </si>
  <si>
    <t xml:space="preserve">CHEMBL947739</t>
  </si>
  <si>
    <t xml:space="preserve">CHEMBL1141006</t>
  </si>
  <si>
    <t xml:space="preserve">CHEMBL3582018</t>
  </si>
  <si>
    <t xml:space="preserve">CCC(CC)(NC(=O)c1ccc(N2CC(F)(F)C2)c(OCC2CC2)n1)C(=O)NC</t>
  </si>
  <si>
    <t xml:space="preserve">CHEMBL3582019</t>
  </si>
  <si>
    <t xml:space="preserve">CCC(CC)(NC(=O)c1ccc(N2CC(F)(F)C2)c(OCC2CC2)n1)C(=O)NCCF</t>
  </si>
  <si>
    <t xml:space="preserve">CHEMBL6029500</t>
  </si>
  <si>
    <t xml:space="preserve">CCC(CC)(NC(=O)c1ccc(N2CC(F)C2)c(OC[C@@H]2C[C@H]2CO)n1)C(=O)N[C@H](CO)CC(C)C</t>
  </si>
  <si>
    <t xml:space="preserve">CHEMBL5782458</t>
  </si>
  <si>
    <t xml:space="preserve">CCC(CC)(NC(=O)c1ccc(N2CC(F)C2)c(OC[C@@H]2C[C@H]2CO)n1)C(=O)OCCCF</t>
  </si>
  <si>
    <t xml:space="preserve">CHEMBL5819350</t>
  </si>
  <si>
    <t xml:space="preserve">CCC(CC)(NC(=O)c1ccc(N2CC(F)C2)c(OC[C@H]2C[C@@H]2CO)n1)C(=O)N[C@H](CO)CC(C)C</t>
  </si>
  <si>
    <t xml:space="preserve">CHEMBL5998628</t>
  </si>
  <si>
    <t xml:space="preserve">CCC(CC)(NC(=O)c1ccc(N2CC(F)C2)c(OC[C@H]2C[C@@H]2CO)n1)C(=O)OCCCF</t>
  </si>
  <si>
    <t xml:space="preserve">CHEMBL5979018</t>
  </si>
  <si>
    <t xml:space="preserve">CCC(CC)(NC(=O)c1ccc(N2CC(O)C2)c(OC[C@H]2C[C@@H]2COCc2ccccc2)n1)C(=O)OCCCF</t>
  </si>
  <si>
    <t xml:space="preserve">CHEMBL3582012</t>
  </si>
  <si>
    <t xml:space="preserve">CCC(CC)(NC(=O)c1ccc(N2CC(OC)C2)c(OCC2CC2)n1)C(=O)N1CC(F)C1</t>
  </si>
  <si>
    <t xml:space="preserve">CHEMBL3582009</t>
  </si>
  <si>
    <t xml:space="preserve">CCC(CC)(NC(=O)c1ccc(N2CC(OC)C2)c(OCC2CC2)n1)C(=O)NC</t>
  </si>
  <si>
    <t xml:space="preserve">CHEMBL3582011</t>
  </si>
  <si>
    <t xml:space="preserve">CCC(CC)(NC(=O)c1ccc(N2CC(OC)C2)c(OCC2CC2)n1)C(=O)NCCCF</t>
  </si>
  <si>
    <t xml:space="preserve">CHEMBL3582010</t>
  </si>
  <si>
    <t xml:space="preserve">CCC(CC)(NC(=O)c1ccc(N2CC(OC)C2)c(OCC2CC2)n1)C(=O)NCCF</t>
  </si>
  <si>
    <t xml:space="preserve">CHEMBL6011448</t>
  </si>
  <si>
    <t xml:space="preserve">CCC(CC)(NC(=O)c1ccc(N2CC(OC)C2)c(OC[C@@H]2C[C@H]2CO)n1)C(=O)OCCCF</t>
  </si>
  <si>
    <t xml:space="preserve">CHEMBL5762305</t>
  </si>
  <si>
    <t xml:space="preserve">CCC(CC)(NC(=O)c1ccc(N2CC(OC)C2)c(OC[C@@H]2C[C@H]2CO)n1)C(=O)OCCF</t>
  </si>
  <si>
    <t xml:space="preserve">CHEMBL5942778</t>
  </si>
  <si>
    <t xml:space="preserve">CCC(CC)(NC(=O)c1ccc(N2CC(OC)C2)c(OC[C@H]2C[C@@H]2CO)n1)C(=O)N[C@H](CO)CC(C)C</t>
  </si>
  <si>
    <t xml:space="preserve">CHEMBL5868742</t>
  </si>
  <si>
    <t xml:space="preserve">CCC(CC)(NC(=O)c1ccc(N2CC(OC)C2)c(OC[C@H]2C[C@@H]2CO)n1)C(=O)OCCCCF</t>
  </si>
  <si>
    <t xml:space="preserve">CHEMBL5222786</t>
  </si>
  <si>
    <t xml:space="preserve">CCC(CC)(NC(=O)c1ccc(N2CC(OC)C2)c(OC[C@H]2C[C@@H]2CO)n1)C(=O)OCCCF</t>
  </si>
  <si>
    <t xml:space="preserve">CHEMBL6039450</t>
  </si>
  <si>
    <t xml:space="preserve">CCC(CC)(NC(=O)c1ccc(N2CC(OC)C2)c(OC[C@H]2C[C@@H]2CO)n1)C(=O)OCCCOS(=O)(=O)c1ccc(C)cc1</t>
  </si>
  <si>
    <t xml:space="preserve">CHEMBL5905866</t>
  </si>
  <si>
    <t xml:space="preserve">CCC(CC)(NC(=O)c1ccc(N2CC(OC)C2)c(OC[C@H]2C[C@@H]2CO)n1)C(=O)OCCF</t>
  </si>
  <si>
    <t xml:space="preserve">CHEMBL5761384</t>
  </si>
  <si>
    <t xml:space="preserve">CCC(CC)(NC(=O)c1ccc(N2CC(OC)C2)c(OC[C@H]2C[C@@H]2COCc2ccccc2)n1)C(=O)OCCCF</t>
  </si>
  <si>
    <t xml:space="preserve">CHEMBL5739617</t>
  </si>
  <si>
    <t xml:space="preserve">CCC(CC)(NC(=O)c1ccc(N2CC(OS(=O)(=O)c3ccc(C)cc3)C2)c(OC[C@H]2C[C@@H]2CO)n1)C(=O)OCCCF</t>
  </si>
  <si>
    <t xml:space="preserve">CHEMBL6009964</t>
  </si>
  <si>
    <t xml:space="preserve">CCC(CC)(NC(=O)c1ccc(N2CCCC2)c(OCC2(CO)COC2)n1)C(=O)OCCCF</t>
  </si>
  <si>
    <t xml:space="preserve">CHEMBL5943578</t>
  </si>
  <si>
    <t xml:space="preserve">CCC(CC)(NC(=O)c1ccc(N2CCCC2)c(OCC2(CO)COC2)n1)C(=O)OCCF</t>
  </si>
  <si>
    <t xml:space="preserve">CHEMBL5846886</t>
  </si>
  <si>
    <t xml:space="preserve">CCC(CC)(NC(=O)c1ccc(N2CCCC2)c(OCC2(CO)COC2)n1)C(=O)OCF</t>
  </si>
  <si>
    <t xml:space="preserve">CHEMBL198452</t>
  </si>
  <si>
    <t xml:space="preserve">CCC(c1ccc([C@H](C)NS(C)(=O)=O)cc1)c1ccc(Cl)cc1S(=O)(=O)c1ccc(Cl)cc1</t>
  </si>
  <si>
    <t xml:space="preserve">CHEMBL3314943</t>
  </si>
  <si>
    <t xml:space="preserve">CCC/C=C/C/C=C/CCC/C=C/C=C/C(=O)NCC(C)CC</t>
  </si>
  <si>
    <t xml:space="preserve">CHEMBL3314941</t>
  </si>
  <si>
    <t xml:space="preserve">CCC/C=C\C#C/C=C\C=C\CC/C=C/C=C/C(=O)NCC(C)C</t>
  </si>
  <si>
    <t xml:space="preserve">CHEMBL566260</t>
  </si>
  <si>
    <t xml:space="preserve">CCC1(C(=O)Nc2cc(CN3CCOCC3)c(C)cn2)CC1</t>
  </si>
  <si>
    <t xml:space="preserve">CHEMBL577489</t>
  </si>
  <si>
    <t xml:space="preserve">CCC1(C(=O)Nc2cc(CN3CCOCC3)c(C)cn2)CCC1</t>
  </si>
  <si>
    <t xml:space="preserve">CHEMBL567731</t>
  </si>
  <si>
    <t xml:space="preserve">CCC1(C(=O)Nc2cc(CN3CCOCC3)c(C)cn2)CCCC1</t>
  </si>
  <si>
    <t xml:space="preserve">CHEMBL567942</t>
  </si>
  <si>
    <t xml:space="preserve">CCC1(C(=O)Nc2cc(CN3CCOCC3)c(C)cn2)CCCCC1</t>
  </si>
  <si>
    <t xml:space="preserve">CHEMBL391561</t>
  </si>
  <si>
    <t xml:space="preserve">CCC1(CC)CS/C(=N\c2ccccc2C(C)C)N(C(=S)SC)C1</t>
  </si>
  <si>
    <t xml:space="preserve">CHEMBL895424</t>
  </si>
  <si>
    <t xml:space="preserve">CHEMBL1149535</t>
  </si>
  <si>
    <t xml:space="preserve">CHEMBL596388</t>
  </si>
  <si>
    <t xml:space="preserve">CCC1(CNS(=O)(=O)C(F)(F)F)CCN(S(=O)(=O)c2ccc(Cl)cc2S(=O)(=O)c2ccccc2F)CC1</t>
  </si>
  <si>
    <t xml:space="preserve">CHEMBL1668511</t>
  </si>
  <si>
    <t xml:space="preserve">CCC1CCC(C(=O)c2cn(CCN3CCOCC3)c3ccccc23)CC1</t>
  </si>
  <si>
    <t xml:space="preserve">CHEMBL2163947</t>
  </si>
  <si>
    <t xml:space="preserve">CCC1COc2c(F)c(F)cc3c(=O)c(C(=O)NC45CC6CC(CC(C6)C4)C5)cn1c23</t>
  </si>
  <si>
    <t xml:space="preserve">CHEMBL2163946</t>
  </si>
  <si>
    <t xml:space="preserve">CCC1COc2c(F)ccc3c(=O)c(C(=O)NC45CC6CC(CC(C6)C4)C5)cn1c23</t>
  </si>
  <si>
    <t xml:space="preserve">CHEMBL2163571</t>
  </si>
  <si>
    <t xml:space="preserve">CCC1COc2c(N3CCCC3)ccc3c(=O)c(C(=O)NC45CC6CC(CC(C6)C4)C5)cn1c23</t>
  </si>
  <si>
    <t xml:space="preserve">CHEMBL2163572</t>
  </si>
  <si>
    <t xml:space="preserve">CCC1COc2c(N3CCN(C)CC3)ccc3c(=O)c(C(=O)NC45CC6CC(CC(C6)C4)C5)cn1c23</t>
  </si>
  <si>
    <t xml:space="preserve">CHEMBL2163948</t>
  </si>
  <si>
    <t xml:space="preserve">CCC1COc2c(OC)ccc3c(=O)c(C(=O)NC45CC6CC(CC(C6)C4)C5)cn1c23</t>
  </si>
  <si>
    <t xml:space="preserve">CHEMBL2163934</t>
  </si>
  <si>
    <t xml:space="preserve">CCC1COc2cccc3c(=O)c(C(=O)N(C(C)C)C(C)C)cn1c23</t>
  </si>
  <si>
    <t xml:space="preserve">CHEMBL2163931</t>
  </si>
  <si>
    <t xml:space="preserve">CCC1COc2cccc3c(=O)c(C(=O)NC(C)CCC(C)C)cn1c23</t>
  </si>
  <si>
    <t xml:space="preserve">CHEMBL1814463</t>
  </si>
  <si>
    <t xml:space="preserve">CCC1COc2cccc3c(=O)c(C(=O)NC45CC6CC(CC(C6)C4)C5)cn1c23</t>
  </si>
  <si>
    <t xml:space="preserve">CHEMBL1817172</t>
  </si>
  <si>
    <t xml:space="preserve">CHEMBL1811785</t>
  </si>
  <si>
    <t xml:space="preserve">CHEMBL2163930</t>
  </si>
  <si>
    <t xml:space="preserve">CCC1COc2cccc3c(=O)c(C(=O)NC4C5CC6CC(C5)CC4C6)cn1c23</t>
  </si>
  <si>
    <t xml:space="preserve">CHEMBL2163963</t>
  </si>
  <si>
    <t xml:space="preserve">CCC1COc2cccc3c(=O)c(C(=O)NC4CCCCC4)cn1c23</t>
  </si>
  <si>
    <t xml:space="preserve">CHEMBL2163964</t>
  </si>
  <si>
    <t xml:space="preserve">CCC1COc2cccc3c(=O)c(C(=O)NC4CCCCCC4)cn1c23</t>
  </si>
  <si>
    <t xml:space="preserve">CHEMBL2163932</t>
  </si>
  <si>
    <t xml:space="preserve">CCC1COc2cccc3c(=O)c(C(=O)Nc4ccncc4)cn1c23</t>
  </si>
  <si>
    <t xml:space="preserve">CHEMBL2163933</t>
  </si>
  <si>
    <t xml:space="preserve">CCC1COc2cccc3c(=O)c(C(=O)Nc4nccs4)cn1c23</t>
  </si>
  <si>
    <t xml:space="preserve">CHEMBL595035</t>
  </si>
  <si>
    <t xml:space="preserve">CCCC(C)(C)C(=O)Nc1cc(C)c(C)c(S(=O)(=O)N2CCOCC2)c1</t>
  </si>
  <si>
    <t xml:space="preserve">CHEMBL566057</t>
  </si>
  <si>
    <t xml:space="preserve">CCCC(C)(C)C(=O)Nc1cc(CN2CCOCC2)c(C)cn1</t>
  </si>
  <si>
    <t xml:space="preserve">CHEMBL1277498</t>
  </si>
  <si>
    <t xml:space="preserve">CCCC(C)(C)c1cc(Br)c2c(c1)OC(C)(C)[C@@H]1CC=C(C)C[C@@H]21</t>
  </si>
  <si>
    <t xml:space="preserve">CHEMBL1287585</t>
  </si>
  <si>
    <t xml:space="preserve">CHEMBL1275360</t>
  </si>
  <si>
    <t xml:space="preserve">Displacement of [3H]CP-55940 from human CB2 receptor expressed in CHO cells after 1 hr by liquid scintillation spectrophotometry</t>
  </si>
  <si>
    <t xml:space="preserve">CHEMBL260005</t>
  </si>
  <si>
    <t xml:space="preserve">CCCC(C)(C)c1ccc([C@@H]2CCC[C@@H](O)C2)cc1</t>
  </si>
  <si>
    <t xml:space="preserve">CHEMBL260483</t>
  </si>
  <si>
    <t xml:space="preserve">CCCC(C)(C)c1ccc([C@@H]2C[C@H](O)CC[C@H]2CCCO)cc1</t>
  </si>
  <si>
    <t xml:space="preserve">CHEMBL408060</t>
  </si>
  <si>
    <t xml:space="preserve">CCCC(C)(C)c1ccc([C@H]2CCC[C@@H](O)C2)cc1</t>
  </si>
  <si>
    <t xml:space="preserve">CHEMBL5285808</t>
  </si>
  <si>
    <t xml:space="preserve">CCCC(C)(C)c1ccc2c(c1)OC(C)(C)C1CC=C(C)CC21</t>
  </si>
  <si>
    <t xml:space="preserve">CHEMBL1641963</t>
  </si>
  <si>
    <t xml:space="preserve">CCCC(C)(C)c1ccc2c(c1)OC(C)(C)[C@@H]1CC=C(O)C[C@@H]21</t>
  </si>
  <si>
    <t xml:space="preserve">CHEMBL1647710</t>
  </si>
  <si>
    <t xml:space="preserve">CHEMBL1641396</t>
  </si>
  <si>
    <t xml:space="preserve">Displacement of [3H]-CP55940 from human CB2 receptor expressed in CHO cells after 1 hr</t>
  </si>
  <si>
    <t xml:space="preserve">CHEMBL4238778</t>
  </si>
  <si>
    <t xml:space="preserve">CCCC(C)O/N=C(/C)c1cc(O)c2c(c1)OC(C)(C)[C@H]1CC=C(C)C[C@H]21</t>
  </si>
  <si>
    <t xml:space="preserve">CHEMBL4244186</t>
  </si>
  <si>
    <t xml:space="preserve">CCCC(C)O/N=C(\C)c1cc(O)c2c(c1)OC(C)(C)[C@H]1CC=C(C)C[C@H]21</t>
  </si>
  <si>
    <t xml:space="preserve">CHEMBL1259001</t>
  </si>
  <si>
    <t xml:space="preserve">CCCC/C=C\C1(c2cc(O)c3c(c2)OC(C)(C)[C@@H]2CCC(=O)C[C@@H]32)CCC1</t>
  </si>
  <si>
    <t xml:space="preserve">CHEMBL1259243</t>
  </si>
  <si>
    <t xml:space="preserve">CCCC/C=C\C1(c2cc(O)c3c(c2)OC(C)(C)[C@@H]2CCC(=O)C[C@@H]32)CCCC1</t>
  </si>
  <si>
    <t xml:space="preserve">CHEMBL595481</t>
  </si>
  <si>
    <t xml:space="preserve">CCCC1(CNS(=O)(=O)C(F)(F)F)CCN(S(=O)(=O)c2ccc(Cl)cc2S(=O)(=O)c2ccccc2F)CC1</t>
  </si>
  <si>
    <t xml:space="preserve">CHEMBL2163940</t>
  </si>
  <si>
    <t xml:space="preserve">CCCC1COc2ccc(C)c3c(=O)c(C(=O)NC45CC6CC(CC(C6)C4)C5)cn1c23</t>
  </si>
  <si>
    <t xml:space="preserve">CHEMBL2163939</t>
  </si>
  <si>
    <t xml:space="preserve">CCCC1COc2ccc(C)c3c(=O)c(C(=O)NC4CCCCC4)cn1c23</t>
  </si>
  <si>
    <t xml:space="preserve">CHEMBL2163938</t>
  </si>
  <si>
    <t xml:space="preserve">CCCC1COc2cccc3c(=O)c(C(=O)NC45CC6CC(C)(CC(C)(C6)C4)C5)cn1c23</t>
  </si>
  <si>
    <t xml:space="preserve">CHEMBL2163937</t>
  </si>
  <si>
    <t xml:space="preserve">CCCC1COc2cccc3c(=O)c(C(=O)NC45CC6CC(CC(C6)C4)C5)cn1c23</t>
  </si>
  <si>
    <t xml:space="preserve">CHEMBL2163935</t>
  </si>
  <si>
    <t xml:space="preserve">CCCC1COc2cccc3c(=O)c(C(=O)NC4CCCCC4)cn1c23</t>
  </si>
  <si>
    <t xml:space="preserve">CHEMBL3759440</t>
  </si>
  <si>
    <t xml:space="preserve">CCCCC(=O)N1CCC(NC(=O)c2nn(-c3ccc(Cl)cc3Cl)c(-c3ccc(Cl)cc3)c2C)CC1</t>
  </si>
  <si>
    <t xml:space="preserve">CHEMBL3760883</t>
  </si>
  <si>
    <t xml:space="preserve">CHEMBL3758084</t>
  </si>
  <si>
    <t xml:space="preserve">Displacement of [3H]CP55940 from human CB2 receptor expressed in CHO cell membranes</t>
  </si>
  <si>
    <t xml:space="preserve">CHEMBL4242001</t>
  </si>
  <si>
    <t xml:space="preserve">CCCCC(=O)N1CCN(c2ncnc3c2nc(-c2ccccc2Cl)n3-c2ccc(Cl)cc2)CC1</t>
  </si>
  <si>
    <t xml:space="preserve">CHEMBL2179733</t>
  </si>
  <si>
    <t xml:space="preserve">CCCCC(=O)NC(NC(=O)CCCC)c1ccc(N(CC)CC)cc1</t>
  </si>
  <si>
    <t xml:space="preserve">CHEMBL4475996</t>
  </si>
  <si>
    <t xml:space="preserve">CCCCC(=O)NC1CCN(c2ncnc3c2nc(-c2ccccc2Cl)n3-c2ccc(C(F)(F)F)nc2)CC1</t>
  </si>
  <si>
    <t xml:space="preserve">CHEMBL2436757</t>
  </si>
  <si>
    <t xml:space="preserve">CCCCC(=O)NC1CCN(c2ncnc3c2nc(-c2ccccc2Cl)n3-c2ccc(Cl)cc2)CC1</t>
  </si>
  <si>
    <t xml:space="preserve">CHEMBL4092136</t>
  </si>
  <si>
    <t xml:space="preserve">CCCCC(=O)OCC(C)(C)c1cc(O)c2c(c1)OC(C)(C)[C@@H]1CC=C(C)C[C@@H]21</t>
  </si>
  <si>
    <t xml:space="preserve">CHEMBL595268</t>
  </si>
  <si>
    <t xml:space="preserve">CCCCC(C)(C)C(=O)Nc1cc(C)c(C)c(S(=O)(=O)N2CCOCC2)c1</t>
  </si>
  <si>
    <t xml:space="preserve">CHEMBL1277499</t>
  </si>
  <si>
    <t xml:space="preserve">CCCCC(C)(C)c1cc(Br)c2c(c1)OC(C)(C)[C@@H]1CC=C(C)C[C@@H]21</t>
  </si>
  <si>
    <t xml:space="preserve">CHEMBL5269105</t>
  </si>
  <si>
    <t xml:space="preserve">CCCCC(C)(C)c1cc(OC)c(C2C=C(CO)C3CC2C3(C)C)c(OC)c1</t>
  </si>
  <si>
    <t xml:space="preserve">CHEMBL5231890</t>
  </si>
  <si>
    <t xml:space="preserve">Displacement of [3H]HU-243 binding to CB2 receptor in human COS-7 cells</t>
  </si>
  <si>
    <t xml:space="preserve">CHEMBL4852553</t>
  </si>
  <si>
    <t xml:space="preserve">CCCCC(C)(C)c1cc(OC)c2cc(Cc3ccccc3OC)c(=O)oc2c1</t>
  </si>
  <si>
    <t xml:space="preserve">CHEMBL4842495</t>
  </si>
  <si>
    <t xml:space="preserve">CHEMBL4842314</t>
  </si>
  <si>
    <t xml:space="preserve">Displacement of [3H]-CP55940 from human recombinant CB2 receptor expressed in CHO-K1 cell membrane measured after 3 hrs by scintillation spectrometry</t>
  </si>
  <si>
    <t xml:space="preserve">CHEMBL261494</t>
  </si>
  <si>
    <t xml:space="preserve">CCCCC(C)(C)c1ccc([C@@H]2CCC[C@@H](O)C2)cc1</t>
  </si>
  <si>
    <t xml:space="preserve">CHEMBL264412</t>
  </si>
  <si>
    <t xml:space="preserve">CCCCC(C)(C)c1ccc([C@@H]2C[C@H](O)CC[C@H]2CCCO)cc1</t>
  </si>
  <si>
    <t xml:space="preserve">CHEMBL263399</t>
  </si>
  <si>
    <t xml:space="preserve">CCCCC(C)(C)c1ccc([C@H]2CCC[C@@H](O)C2)cc1</t>
  </si>
  <si>
    <t xml:space="preserve">CHEMBL2179729</t>
  </si>
  <si>
    <t xml:space="preserve">CCCCC(NC(=O)Cc1ccccc1)NC(=O)Cc1ccccc1</t>
  </si>
  <si>
    <t xml:space="preserve">CHEMBL1928336</t>
  </si>
  <si>
    <t xml:space="preserve">CCCCC/C=C\C/C=C\C/C=C\C/C=C\CCCC(=O)N(C)c1c(C)n(C)n(-c2ccccc2)c1=O</t>
  </si>
  <si>
    <t xml:space="preserve">CHEMBL1932520</t>
  </si>
  <si>
    <t xml:space="preserve">CHEMBL1926657</t>
  </si>
  <si>
    <t xml:space="preserve">CHEMBL204403</t>
  </si>
  <si>
    <t xml:space="preserve">CCCCC/C=C\C/C=C\C/C=C\C/C=C\CCCC(=O)N(O)CCO</t>
  </si>
  <si>
    <t xml:space="preserve">CHEMBL868884</t>
  </si>
  <si>
    <t xml:space="preserve">CHEMBL1146088</t>
  </si>
  <si>
    <t xml:space="preserve">Binding affinity to human recombinant CB2 receptor expressed in COS cells</t>
  </si>
  <si>
    <t xml:space="preserve">CHEMBL373223</t>
  </si>
  <si>
    <t xml:space="preserve">CCCCC/C=C\C/C=C\C/C=C\C/C=C\CCCC(=O)N1CCN(c2ccc(C)c(C)c2)CC1</t>
  </si>
  <si>
    <t xml:space="preserve">CHEMBL863908</t>
  </si>
  <si>
    <t xml:space="preserve">CHEMBL1148545</t>
  </si>
  <si>
    <t xml:space="preserve">Displacement of [3H]CP-55940 from human recombinant CB2 receptor</t>
  </si>
  <si>
    <t xml:space="preserve">CHEMBL200049</t>
  </si>
  <si>
    <t xml:space="preserve">CCCCC/C=C\C/C=C\C/C=C\C/C=C\CCCC(=O)N1CCN(c2ccc(F)cc2)CC1</t>
  </si>
  <si>
    <t xml:space="preserve">CHEMBL151167</t>
  </si>
  <si>
    <t xml:space="preserve">CCCCC/C=C\C/C=C\C/C=C\C/C=C\CCCC(=O)NCCCl</t>
  </si>
  <si>
    <t xml:space="preserve">CHEMBL941883</t>
  </si>
  <si>
    <t xml:space="preserve">CHEMBL1140571</t>
  </si>
  <si>
    <t xml:space="preserve">CHEMBL15848</t>
  </si>
  <si>
    <t xml:space="preserve">CCCCC/C=C\C/C=C\C/C=C\C/C=C\CCCC(=O)NCCO</t>
  </si>
  <si>
    <t xml:space="preserve">CHEMBL3239003</t>
  </si>
  <si>
    <t xml:space="preserve">Binding affinity to human CB2 receptor in presence of serine protease inhibitor PMSF</t>
  </si>
  <si>
    <t xml:space="preserve">CHEMBL994489</t>
  </si>
  <si>
    <t xml:space="preserve">CHEMBL1138475</t>
  </si>
  <si>
    <t xml:space="preserve">Displacement of [3H]CP-55940 from human recombinant CB2 receptor expressed in HEK293 cell membrane</t>
  </si>
  <si>
    <t xml:space="preserve">CHEMBL425217</t>
  </si>
  <si>
    <t xml:space="preserve">CCCCC/C=C\C/C=C\C/C=C\C/C=C\CCCC(=O)NCCc1ccc(OC)cc1OC</t>
  </si>
  <si>
    <t xml:space="preserve">CHEMBL381634</t>
  </si>
  <si>
    <t xml:space="preserve">CCCCC/C=C\C/C=C\C/C=C\C/C=C\CCCC(=O)NCc1cc(OC)ccc1OC</t>
  </si>
  <si>
    <t xml:space="preserve">CHEMBL434069</t>
  </si>
  <si>
    <t xml:space="preserve">CCCCC/C=C\C/C=C\C/C=C\C/C=C\CCCC(=O)NCc1ccc(O)cc1</t>
  </si>
  <si>
    <t xml:space="preserve">CHEMBL1010063</t>
  </si>
  <si>
    <t xml:space="preserve">CHEMBL1151744</t>
  </si>
  <si>
    <t xml:space="preserve">CHEMBL198079</t>
  </si>
  <si>
    <t xml:space="preserve">CCCCC/C=C\C/C=C\C/C=C\C/C=C\CCCC(=O)NCc1ccc(OC)cc1</t>
  </si>
  <si>
    <t xml:space="preserve">CHEMBL197601</t>
  </si>
  <si>
    <t xml:space="preserve">CCCCC/C=C\C/C=C\C/C=C\C/C=C\CCCC(=O)NCc1ccc(OC)cc1OC</t>
  </si>
  <si>
    <t xml:space="preserve">CHEMBL382444</t>
  </si>
  <si>
    <t xml:space="preserve">CCCCC/C=C\C/C=C\C/C=C\C/C=C\CCCC(=O)NOCCO</t>
  </si>
  <si>
    <t xml:space="preserve">CHEMBL474488</t>
  </si>
  <si>
    <t xml:space="preserve">CCCCC/C=C\C/C=C\C/C=C\C/C=C\CCCC(=O)N[C@@H]1C[C@@H]1O</t>
  </si>
  <si>
    <t xml:space="preserve">CHEMBL475904</t>
  </si>
  <si>
    <t xml:space="preserve">CCCCC/C=C\C/C=C\C/C=C\C/C=C\CCCC(=O)N[C@@H]1C[C@H]1O</t>
  </si>
  <si>
    <t xml:space="preserve">CHEMBL120526</t>
  </si>
  <si>
    <t xml:space="preserve">CCCCC/C=C\C/C=C\C/C=C\C/C=C\CCCC(=O)N[C@H](C)CO</t>
  </si>
  <si>
    <t xml:space="preserve">CHEMBL485369</t>
  </si>
  <si>
    <t xml:space="preserve">CCCCC/C=C\C/C=C\C/C=C\C/C=C\CCCC(=O)N[C@H]1C[C@@H]1O</t>
  </si>
  <si>
    <t xml:space="preserve">CHEMBL485368</t>
  </si>
  <si>
    <t xml:space="preserve">CCCCC/C=C\C/C=C\C/C=C\C/C=C\CCCC(=O)N[C@H]1C[C@H]1O</t>
  </si>
  <si>
    <t xml:space="preserve">CHEMBL1928337</t>
  </si>
  <si>
    <t xml:space="preserve">CCCCC/C=C\C/C=C\C/C=C\C/C=C\CCCC(=O)Nc1c(C)n(C)n(-c2ccccc2)c1=O</t>
  </si>
  <si>
    <t xml:space="preserve">CHEMBL199873</t>
  </si>
  <si>
    <t xml:space="preserve">CCCCC/C=C\C/C=C\C/C=C\C/C=C\CCCC(=O)Nc1ccc(N2CCOCC2)cc1</t>
  </si>
  <si>
    <t xml:space="preserve">CHEMBL472898</t>
  </si>
  <si>
    <t xml:space="preserve">CCCCC/C=C\C/C=C\C/C=C\C/C=C\CCCC(=O)Nc1ccc(O)c(OC)c1</t>
  </si>
  <si>
    <t xml:space="preserve">CHEMBL39878</t>
  </si>
  <si>
    <t xml:space="preserve">CCCCC/C=C\C/C=C\C/C=C\C/C=C\CCCC(=O)Nc1ccc(O)cc1</t>
  </si>
  <si>
    <t xml:space="preserve">CHEMBL200094</t>
  </si>
  <si>
    <t xml:space="preserve">CCCCC/C=C\C/C=C\C/C=C\C/C=C\CCCC(=O)Nc1ccc(OC)cc1</t>
  </si>
  <si>
    <t xml:space="preserve">CHEMBL472897</t>
  </si>
  <si>
    <t xml:space="preserve">CCCCC/C=C\C/C=C\C/C=C\C/C=C\CCCC(=O)Nc1ccc2[nH]ncc2c1</t>
  </si>
  <si>
    <t xml:space="preserve">CHEMBL122972</t>
  </si>
  <si>
    <t xml:space="preserve">CCCCC/C=C\C/C=C\C/C=C\C/C=C\CCCC(=O)OC(CO)CO</t>
  </si>
  <si>
    <t xml:space="preserve">CHEMBL1926463</t>
  </si>
  <si>
    <t xml:space="preserve">CHEMBL1921750</t>
  </si>
  <si>
    <t xml:space="preserve">Displacement of [3H]CP55940 from human CB2 receptor expressed in human HEK293 cells</t>
  </si>
  <si>
    <t xml:space="preserve">CHEMBL1800730</t>
  </si>
  <si>
    <t xml:space="preserve">CCCCC/C=C\C/C=C\C/C=C\C/C=C\CCCC(=O)OC(CO)COC(=O)CCCCCNC(=O)CCCC[C@@H]1SC[C@@H]2NC(=O)N[C@@H]21</t>
  </si>
  <si>
    <t xml:space="preserve">CHEMBL203380</t>
  </si>
  <si>
    <t xml:space="preserve">CCCCC/C=C\C/C=C\C/C=C\C/C=C\CCCC(=O)ONCCO</t>
  </si>
  <si>
    <t xml:space="preserve">CHEMBL146346</t>
  </si>
  <si>
    <t xml:space="preserve">CCCCC/C=C\C/C=C\C/C=C\C/C=C\CCCCOC(CO)CO</t>
  </si>
  <si>
    <t xml:space="preserve">CHEMBL3239823</t>
  </si>
  <si>
    <t xml:space="preserve">CHEMBL1800731</t>
  </si>
  <si>
    <t xml:space="preserve">CCCCC/C=C\C/C=C\C/C=C\C/C=C\CCCCOC(CO)COC(=O)CCCCCNC(=O)CCCC[C@@H]1SC[C@@H]2NC(=O)N[C@@H]21</t>
  </si>
  <si>
    <t xml:space="preserve">CHEMBL4207686</t>
  </si>
  <si>
    <t xml:space="preserve">CCCCC/C=C\C/C=C\C/C=C\[C@@H](C)/C=C\CCCC(=O)NCCO</t>
  </si>
  <si>
    <t xml:space="preserve">CHEMBL4211106</t>
  </si>
  <si>
    <t xml:space="preserve">CCCCC/C=C\C/C=C\C/C=C\[C@@H](C)/C=C\CCCC(=O)N[C@H](C)CO</t>
  </si>
  <si>
    <t xml:space="preserve">CHEMBL4208217</t>
  </si>
  <si>
    <t xml:space="preserve">CCCCC/C=C\C/C=C\C/C=C\[C@H](C)/C=C\CCCC(=O)NCCO</t>
  </si>
  <si>
    <t xml:space="preserve">CHEMBL4213566</t>
  </si>
  <si>
    <t xml:space="preserve">CCCCC/C=C\C/C=C\C/C=C\[C@H](C)/C=C\CCCC(=O)N[C@H](C)CO</t>
  </si>
  <si>
    <t xml:space="preserve">CHEMBL2415106</t>
  </si>
  <si>
    <t xml:space="preserve">CCCCC/C=C\C/C=C\CCCCCCCC(=O)NCc1ccccc1</t>
  </si>
  <si>
    <t xml:space="preserve">CHEMBL4215369</t>
  </si>
  <si>
    <t xml:space="preserve">CCCCC/C=C\[C@H](C)/C=C\C/C=C\C/C=C\CCCC(=O)NC1CC1</t>
  </si>
  <si>
    <t xml:space="preserve">CHEMBL4206063</t>
  </si>
  <si>
    <t xml:space="preserve">CCCCC/C=C\[C@H](C)/C=C\C/C=C\C/C=C\CCCC(=O)NC1CCC1</t>
  </si>
  <si>
    <t xml:space="preserve">CHEMBL4210946</t>
  </si>
  <si>
    <t xml:space="preserve">CCCCC/C=C\[C@H](C)/C=C\C/C=C\C/C=C\CCCC(=O)NC1CCCC1</t>
  </si>
  <si>
    <t xml:space="preserve">CHEMBL4206580</t>
  </si>
  <si>
    <t xml:space="preserve">CCCCC/C=C\[C@H](C)/C=C\C/C=C\C/C=C\CCCC(=O)NCCCl</t>
  </si>
  <si>
    <t xml:space="preserve">CHEMBL4216075</t>
  </si>
  <si>
    <t xml:space="preserve">CCCCC/C=C\[C@H](C)/C=C\C/C=C\C/C=C\CCCC(=O)NCCO</t>
  </si>
  <si>
    <t xml:space="preserve">CHEMBL4208628</t>
  </si>
  <si>
    <t xml:space="preserve">CCCCC/C=C\[C@H](C)/C=C\C/C=C\C/C=C\CCCC(=O)N[C@H](C)CO</t>
  </si>
  <si>
    <t xml:space="preserve">CHEMBL4852184</t>
  </si>
  <si>
    <t xml:space="preserve">CCCCC1(c2cc(O)c3cc(C)c(=O)oc3c2)CCCC1</t>
  </si>
  <si>
    <t xml:space="preserve">CHEMBL4849400</t>
  </si>
  <si>
    <t xml:space="preserve">CCCCC1(c2cc(O)c3cc(C)c(=O)oc3c2)CCCCC1</t>
  </si>
  <si>
    <t xml:space="preserve">CHEMBL4850004</t>
  </si>
  <si>
    <t xml:space="preserve">CCCCC1(c2cc(O)c3cc(CC)c(=O)oc3c2)CCCC1</t>
  </si>
  <si>
    <t xml:space="preserve">CHEMBL4857976</t>
  </si>
  <si>
    <t xml:space="preserve">CCCCC1(c2cc(O)c3cc(CC)c(=O)oc3c2)CCCCC1</t>
  </si>
  <si>
    <t xml:space="preserve">CHEMBL4854325</t>
  </si>
  <si>
    <t xml:space="preserve">CCCCC1(c2cc(O)c3cc(CCC)c(=O)oc3c2)CCCC1</t>
  </si>
  <si>
    <t xml:space="preserve">CHEMBL4847976</t>
  </si>
  <si>
    <t xml:space="preserve">CCCCC1(c2cc(O)c3cc(CCC)c(=O)oc3c2)CCCCC1</t>
  </si>
  <si>
    <t xml:space="preserve">CHEMBL2181544</t>
  </si>
  <si>
    <t xml:space="preserve">CCCCC1(c2cc(O)c3cc(Cc4ccccc4O)c(=O)oc3c2)CCCC1</t>
  </si>
  <si>
    <t xml:space="preserve">CHEMBL2187924</t>
  </si>
  <si>
    <t xml:space="preserve">CHEMBL2176868</t>
  </si>
  <si>
    <t xml:space="preserve">Displacement of [3H]CP55,940 from human CB2 receptor expressed in CHO cells after 2 hrs by liquid scintillation counter</t>
  </si>
  <si>
    <t xml:space="preserve">CHEMBL2181546</t>
  </si>
  <si>
    <t xml:space="preserve">CCCCC1(c2cc(O)c3cc(Cc4ccccc4O)c(=O)oc3c2)CCCCC1</t>
  </si>
  <si>
    <t xml:space="preserve">CHEMBL4852456</t>
  </si>
  <si>
    <t xml:space="preserve">CCCCC1(c2cc(O)c3cc(Cc4ccccn4)c(=O)oc3c2)CCCCC1</t>
  </si>
  <si>
    <t xml:space="preserve">CHEMBL4865342</t>
  </si>
  <si>
    <t xml:space="preserve">CCCCC1(c2cc(O)c3cc(Cc4cccnc4)c(=O)oc3c2)CCCC1</t>
  </si>
  <si>
    <t xml:space="preserve">CHEMBL2181543</t>
  </si>
  <si>
    <t xml:space="preserve">CCCCC1(c2cc(OC)c3cc(Cc4ccccc4OC)c(=O)oc3c2)CCCC1</t>
  </si>
  <si>
    <t xml:space="preserve">CHEMBL1223590</t>
  </si>
  <si>
    <t xml:space="preserve">CCCCC1=NN(C(=O)NC(C)(C)c2ccc(F)cc2)CC1c1cccc(F)c1</t>
  </si>
  <si>
    <t xml:space="preserve">CHEMBL1225455</t>
  </si>
  <si>
    <t xml:space="preserve">CHEMBL1221318</t>
  </si>
  <si>
    <t xml:space="preserve">Displacement of [3H]CP-55940 from human recombinant CB2 receptor expressed in CHO cells</t>
  </si>
  <si>
    <t xml:space="preserve">CHEMBL1223591</t>
  </si>
  <si>
    <t xml:space="preserve">CCCCC1=NN(C(=O)NC(C)(C)c2ccc(F)cc2)CC1c1ccccc1F</t>
  </si>
  <si>
    <t xml:space="preserve">CHEMBL1223716</t>
  </si>
  <si>
    <t xml:space="preserve">CCCCC1=NN(C(=O)NC(C)(C)c2ccccc2)C(C)(C)C1c1ccccc1</t>
  </si>
  <si>
    <t xml:space="preserve">CHEMBL1223589</t>
  </si>
  <si>
    <t xml:space="preserve">CCCCC1=NN(C(=O)NC(C)(C)c2ccccc2)CC1c1ccccc1</t>
  </si>
  <si>
    <t xml:space="preserve">CHEMBL1223592</t>
  </si>
  <si>
    <t xml:space="preserve">CCCCC1=NN(C(=O)NC(C)(C)c2ccccc2)CC1c1ccsc1</t>
  </si>
  <si>
    <t xml:space="preserve">CHEMBL1223775</t>
  </si>
  <si>
    <t xml:space="preserve">CCCCC1=NN(C(=O)N[C@H]2C[C@H]3CC[C@]2(C)C3(C)C)C(C)(C)C1c1ccccc1</t>
  </si>
  <si>
    <t xml:space="preserve">CHEMBL2179734</t>
  </si>
  <si>
    <t xml:space="preserve">CCCCCC(=O)NC(NC(=O)CCCCC)c1ccc(N(CC)CC)cc1</t>
  </si>
  <si>
    <t xml:space="preserve">CHEMBL1277592</t>
  </si>
  <si>
    <t xml:space="preserve">CCCCCC(C)(C)c1cc(Br)c2c(c1)OC(C)(C)[C@@H]1CC=C(C)C[C@@H]21</t>
  </si>
  <si>
    <t xml:space="preserve">CHEMBL498346</t>
  </si>
  <si>
    <t xml:space="preserve">CCCCCC(C)(C)c1cc(OC)c2c(c1)OC(C)(C)[C@@H]1CCC(C)=C[C@@H]21</t>
  </si>
  <si>
    <t xml:space="preserve">CHEMBL1022320</t>
  </si>
  <si>
    <t xml:space="preserve">CHEMBL1139386</t>
  </si>
  <si>
    <t xml:space="preserve">CHEMBL261495</t>
  </si>
  <si>
    <t xml:space="preserve">CCCCCC(C)(C)c1ccc([C@@H]2CCC[C@@H](O)C2)cc1</t>
  </si>
  <si>
    <t xml:space="preserve">CHEMBL260253</t>
  </si>
  <si>
    <t xml:space="preserve">CCCCCC(C)(C)c1ccc([C@@H]2C[C@H](O)CC[C@H]2CCCO)cc1</t>
  </si>
  <si>
    <t xml:space="preserve">CHEMBL1214644</t>
  </si>
  <si>
    <t xml:space="preserve">CCCCCC(C)(C)c1ccc([C@H]2CCC[C@@H](O)C2)c(OC)c1</t>
  </si>
  <si>
    <t xml:space="preserve">CHEMBL1219990</t>
  </si>
  <si>
    <t xml:space="preserve">CHEMBL1212847</t>
  </si>
  <si>
    <t xml:space="preserve">Displacement of [3H]CP-55940 from human CB2 receptor expressed in CHO cells after 1 hr by liquid scintillation spectrometry analysis</t>
  </si>
  <si>
    <t xml:space="preserve">CHEMBL263385</t>
  </si>
  <si>
    <t xml:space="preserve">CCCCCC(C)(C)c1ccc([C@H]2CCC[C@@H](O)C2)cc1</t>
  </si>
  <si>
    <t xml:space="preserve">CHEMBL1213721</t>
  </si>
  <si>
    <t xml:space="preserve">CCCCCC(C)(C)c1ccc([C@H]2CCC[C@H](O)C2)c(OC)c1</t>
  </si>
  <si>
    <t xml:space="preserve">CHEMBL2179730</t>
  </si>
  <si>
    <t xml:space="preserve">CCCCCC(NC(=O)Cc1ccccc1)NC(=O)Cc1ccccc1</t>
  </si>
  <si>
    <t xml:space="preserve">CHEMBL5864627</t>
  </si>
  <si>
    <t xml:space="preserve">CCCCCC1(c2cc(O)c3c(c2)OC(C)(C)[C@@H]2CC=C(C)C[C@@H]32)CC(=O)O1</t>
  </si>
  <si>
    <t xml:space="preserve">CHEMBL4289543</t>
  </si>
  <si>
    <t xml:space="preserve">CCCCCC1=CC(=O)C2=C(OC(C)(C)[C@@H]3CC[C@](C)(OCC)C=C23)C1=O</t>
  </si>
  <si>
    <t xml:space="preserve">CHEMBL1224691</t>
  </si>
  <si>
    <t xml:space="preserve">CCCCCC1=NN(C(=O)NC(C)(C)c2ccccc2)CC1c1ccccc1</t>
  </si>
  <si>
    <t xml:space="preserve">CHEMBL1224629</t>
  </si>
  <si>
    <t xml:space="preserve">CCCCCC1=NN(C(=O)NC23CC4CC(CC(C4)C2)C3)CC1c1ccccc1</t>
  </si>
  <si>
    <t xml:space="preserve">CHEMBL1224630</t>
  </si>
  <si>
    <t xml:space="preserve">CCCCCC1=NN(C(=O)NC2C3CC4CC(C3)CC2C4)CC1c1ccccc1</t>
  </si>
  <si>
    <t xml:space="preserve">CHEMBL1223646</t>
  </si>
  <si>
    <t xml:space="preserve">CCCCCC1=NN(C(=O)NC2CCCCC2)CC1c1ccccc1</t>
  </si>
  <si>
    <t xml:space="preserve">CHEMBL1223647</t>
  </si>
  <si>
    <t xml:space="preserve">CCCCCC1=NN(C(=O)NC2CCCCCC2)CC1c1ccccc1</t>
  </si>
  <si>
    <t xml:space="preserve">CHEMBL1223648</t>
  </si>
  <si>
    <t xml:space="preserve">CCCCCC1=NN(C(=O)NC2CCCCCCC2)CC1c1ccccc1</t>
  </si>
  <si>
    <t xml:space="preserve">CHEMBL1223649</t>
  </si>
  <si>
    <t xml:space="preserve">CCCCCC1=NN(C(=O)NC2CCCc3ccccc32)CC1c1ccccc1</t>
  </si>
  <si>
    <t xml:space="preserve">CHEMBL1224687</t>
  </si>
  <si>
    <t xml:space="preserve">CCCCCC1=NN(C(=O)NCC23CC4CC(CC(C4)C2)C3)CC1c1ccccc1</t>
  </si>
  <si>
    <t xml:space="preserve">CHEMBL1224688</t>
  </si>
  <si>
    <t xml:space="preserve">CCCCCC1=NN(C(=O)NCC2CCCCC2)CC1c1ccccc1</t>
  </si>
  <si>
    <t xml:space="preserve">CHEMBL1224631</t>
  </si>
  <si>
    <t xml:space="preserve">CCCCCC1=NN(C(=O)NC[C@@H]2CC[C@H]3C[C@@H]2C3(C)C)CC1c1ccccc1</t>
  </si>
  <si>
    <t xml:space="preserve">CHEMBL1224689</t>
  </si>
  <si>
    <t xml:space="preserve">CCCCCC1=NN(C(=O)NCc2ccccc2)CC1c1ccccc1</t>
  </si>
  <si>
    <t xml:space="preserve">CHEMBL1223588</t>
  </si>
  <si>
    <t xml:space="preserve">CCCCCC1=NN(C(=O)N[C@H]2C[C@H]3CC[C@]2(C)C3(C)C)CC1c1ccccc1</t>
  </si>
  <si>
    <t xml:space="preserve">CHEMBL1224690</t>
  </si>
  <si>
    <t xml:space="preserve">CCCCCC1=NN(C(=O)Nc2cccc3ccccc23)CC1c1ccccc1</t>
  </si>
  <si>
    <t xml:space="preserve">CHEMBL1223650</t>
  </si>
  <si>
    <t xml:space="preserve">CCCCCC1=NN(C(=O)Nc2ccccc2C(F)(F)F)CC1c1ccccc1</t>
  </si>
  <si>
    <t xml:space="preserve">CHEMBL1223715</t>
  </si>
  <si>
    <t xml:space="preserve">CCCCCC1=NN(C(=O)c2cccc3ccccc23)CC1c1ccccc1</t>
  </si>
  <si>
    <t xml:space="preserve">CHEMBL3086346</t>
  </si>
  <si>
    <t xml:space="preserve">CCCCCCC(C)(C)C1=CC(=O)C2=C(OC(C)(C)c3c[nH]nc32)C1=O</t>
  </si>
  <si>
    <t xml:space="preserve">CHEMBL3089025</t>
  </si>
  <si>
    <t xml:space="preserve">CHEMBL3085703</t>
  </si>
  <si>
    <t xml:space="preserve">Displacement of [3H]CP55940 from human cannabinoid CB2 receptor expressed in HEK293 EBNA cells after 90 mins by liquid scintillation counting</t>
  </si>
  <si>
    <t xml:space="preserve">CHEMBL3086347</t>
  </si>
  <si>
    <t xml:space="preserve">CCCCCCC(C)(C)C1=CC(=O)C2=C(OC(C)(C)c3cn(C)nc32)C1=O</t>
  </si>
  <si>
    <t xml:space="preserve">CHEMBL3086345</t>
  </si>
  <si>
    <t xml:space="preserve">CCCCCCC(C)(C)C1=CC(=O)C2=C(OC(C)(C)c3cn(CC)nc32)C1=O</t>
  </si>
  <si>
    <t xml:space="preserve">CHEMBL3417564</t>
  </si>
  <si>
    <t xml:space="preserve">CCCCCCC(C)(C)C1=CC2=C(C(=O)C1=O)c1[nH]ncc1C(C)(C)O2</t>
  </si>
  <si>
    <t xml:space="preserve">CHEMBL3418382</t>
  </si>
  <si>
    <t xml:space="preserve">CHEMBL3414526</t>
  </si>
  <si>
    <t xml:space="preserve">Displacement of [3H]CP55940 from human CB2 receptor transfected in HEK293 cells after 90 mins by liquid scintillation spectrophotometry</t>
  </si>
  <si>
    <t xml:space="preserve">CHEMBL3417566</t>
  </si>
  <si>
    <t xml:space="preserve">CCCCCCC(C)(C)C1=CC2=C(C(=O)C1=O)c1c(cnn1CC)C(C)(C)O2</t>
  </si>
  <si>
    <t xml:space="preserve">CHEMBL3417565</t>
  </si>
  <si>
    <t xml:space="preserve">CCCCCCC(C)(C)C1=CC2=C(C(=O)C1=O)c1nn(C)cc1C(C)(C)O2</t>
  </si>
  <si>
    <t xml:space="preserve">CHEMBL1277593</t>
  </si>
  <si>
    <t xml:space="preserve">CCCCCCC(C)(C)c1cc(Br)c2c(c1)OC(C)(C)[C@@H]1CC=C(C)C[C@@H]21</t>
  </si>
  <si>
    <t xml:space="preserve">CHEMBL6143362</t>
  </si>
  <si>
    <t xml:space="preserve">CCCCCCC(C)(C)c1cc(O)c(-c2c(CO)cccc2C(C)C)c(OC)c1</t>
  </si>
  <si>
    <t xml:space="preserve">CHEMBL3234035</t>
  </si>
  <si>
    <t xml:space="preserve">CCCCCCC(C)(C)c1cc(O)c([C@H]2CC(=O)[C@H]3C[C@@H]2C3(C)C)c(OC(=O)/C=C/C(=O)O)c1</t>
  </si>
  <si>
    <t xml:space="preserve">CHEMBL2218896</t>
  </si>
  <si>
    <t xml:space="preserve">CCCCCCC(C)(C)c1cc(O)c2c(c1)OC(C)(C)C1CCC(=O)CC21</t>
  </si>
  <si>
    <t xml:space="preserve">CHEMBL1832978</t>
  </si>
  <si>
    <t xml:space="preserve">CHEMBL1828497</t>
  </si>
  <si>
    <t xml:space="preserve">Displacement of [3H]-CP55940 from human CB2 receptor expressed in CHO cells by liquid scintillation counting</t>
  </si>
  <si>
    <t xml:space="preserve">CHEMBL456341</t>
  </si>
  <si>
    <t xml:space="preserve">CCCCCCC(C)(C)c1cc(O)c2c(c1)OC(C)(C)[C@@H]1CC=C(C(=O)O)C[C@@H]21</t>
  </si>
  <si>
    <t xml:space="preserve">CHEMBL3233404</t>
  </si>
  <si>
    <t xml:space="preserve">CCCCCCC(C)(C)c1cc(O)c2c(c1)OC(C)(C)[C@@H]1CC=C(OO)C[C@@H]21</t>
  </si>
  <si>
    <t xml:space="preserve">CHEMBL3265176</t>
  </si>
  <si>
    <t xml:space="preserve">CCCCCCC(C)(C)c1cc(O)c2c(c1)OC(C)(C)[C@@H]1CCC(=O)OC[C@@H]21</t>
  </si>
  <si>
    <t xml:space="preserve">CHEMBL3266183</t>
  </si>
  <si>
    <t xml:space="preserve">CHEMBL3259710</t>
  </si>
  <si>
    <t xml:space="preserve">Displacement of [3H]CP55940 from human brain CB2 receptor expressed in HEK293 cells</t>
  </si>
  <si>
    <t xml:space="preserve">CHEMBL3265175</t>
  </si>
  <si>
    <t xml:space="preserve">CCCCCCC(C)(C)c1cc(O)c2c(c1)OC(C)(C)[C@@H]1CCOC(=O)C[C@@H]21</t>
  </si>
  <si>
    <t xml:space="preserve">CHEMBL85071</t>
  </si>
  <si>
    <t xml:space="preserve">CCCCCCC(C)(C)c1cc(O)c2c(c1)OC(C)(C)[C@@H]1CC[C@@H](CO)C[C@@H]21</t>
  </si>
  <si>
    <t xml:space="preserve">CHEMBL58501</t>
  </si>
  <si>
    <t xml:space="preserve">CCCCCCC(C)(C)c1cc(O)c2c(c1)OC(C)(C)[C@H]1CC=C(C)C[C@H]21</t>
  </si>
  <si>
    <t xml:space="preserve">CHEMBL334533</t>
  </si>
  <si>
    <t xml:space="preserve">CCCCCCC(C)(C)c1cc(O)c2c(c1)OC(C)(C)[C@H]1CC=C(CO)C[C@H]21</t>
  </si>
  <si>
    <t xml:space="preserve">CHEMBL914887</t>
  </si>
  <si>
    <t xml:space="preserve">CHEMBL1139484</t>
  </si>
  <si>
    <t xml:space="preserve">Displacement of [3H]CP-55940 from human CB2 receptor expressed in COS cells</t>
  </si>
  <si>
    <t xml:space="preserve">CHEMBL6145420</t>
  </si>
  <si>
    <t xml:space="preserve">CCCCCCC(C)(C)c1cc(O)c2c(c1)OC(C)(C)c1ccc(C)c(CO)c1-2</t>
  </si>
  <si>
    <t xml:space="preserve">CHEMBL6104555</t>
  </si>
  <si>
    <t xml:space="preserve">CHEMBL6103563</t>
  </si>
  <si>
    <t xml:space="preserve">CHEMBL4581919</t>
  </si>
  <si>
    <t xml:space="preserve">CCCCCCC(C)(C)c1cc(O)c2c(c1)OC(C)(C)c1cn(CCO)nc1-2</t>
  </si>
  <si>
    <t xml:space="preserve">CHEMBL4426137</t>
  </si>
  <si>
    <t xml:space="preserve">CHEMBL4425113</t>
  </si>
  <si>
    <t xml:space="preserve">Displacement of [3H]-CP55940 from human CB2 receptor expressed in HEK293 cell membranes after 90 mins by liquid scintillation counting method</t>
  </si>
  <si>
    <t xml:space="preserve">CHEMBL4591232</t>
  </si>
  <si>
    <t xml:space="preserve">CCCCCCC(C)(C)c1cc(O)c2c(c1)OC(C)(C)c1cn(CO)nc1-2</t>
  </si>
  <si>
    <t xml:space="preserve">CHEMBL4483721</t>
  </si>
  <si>
    <t xml:space="preserve">CCCCCCC(C)(C)c1cc(O)c2c(c1)OC(C)(C)c1cnn(-c3ccc(Cl)c(Cl)c3)c1-2</t>
  </si>
  <si>
    <t xml:space="preserve">CHEMBL4529850</t>
  </si>
  <si>
    <t xml:space="preserve">CCCCCCC(C)(C)c1cc(O)c2c(c1)OC(C)(C)c1cnn(-c3cccc(OC)c3)c1-2</t>
  </si>
  <si>
    <t xml:space="preserve">CHEMBL4474156</t>
  </si>
  <si>
    <t xml:space="preserve">CCCCCCC(C)(C)c1cc(O)c2c(c1)OC(C)(C)c1cnn(C3CCCCC3)c1-2</t>
  </si>
  <si>
    <t xml:space="preserve">CHEMBL4441649</t>
  </si>
  <si>
    <t xml:space="preserve">CCCCCCC(C)(C)c1cc(O)c2c(c1)OC(C)(C)c1cnn(CCO)c1-2</t>
  </si>
  <si>
    <t xml:space="preserve">CHEMBL4585657</t>
  </si>
  <si>
    <t xml:space="preserve">CCCCCCC(C)(C)c1cc(O)c2c(c1)OC(C)(C)c1cnoc1-2</t>
  </si>
  <si>
    <t xml:space="preserve">CHEMBL113230</t>
  </si>
  <si>
    <t xml:space="preserve">CCCCCCC(C)(C)c1cc(O)c2c(c1)oc(=O)c1ccc(C)cc12</t>
  </si>
  <si>
    <t xml:space="preserve">CHEMBL5253505</t>
  </si>
  <si>
    <t xml:space="preserve">CHEMBL5252530</t>
  </si>
  <si>
    <t xml:space="preserve">Binding affinity to CB2 (unknown origin)</t>
  </si>
  <si>
    <t xml:space="preserve">CHEMBL429797</t>
  </si>
  <si>
    <t xml:space="preserve">CCCCCCC(C)(C)c1cc(O)c2c(c1)oc(=O)c1ccc(O)cc12</t>
  </si>
  <si>
    <t xml:space="preserve">CHEMBL266712</t>
  </si>
  <si>
    <t xml:space="preserve">CCCCCCC(C)(C)c1cc(O)c2c(c1)oc(=O)c1ccc(OC)cc12</t>
  </si>
  <si>
    <t xml:space="preserve">CHEMBL2177264</t>
  </si>
  <si>
    <t xml:space="preserve">CCCCCCC(C)(C)c1cc(O)c2cc(Cc3ccccc3)c(=O)oc2c1</t>
  </si>
  <si>
    <t xml:space="preserve">CHEMBL4852077</t>
  </si>
  <si>
    <t xml:space="preserve">CCCCCCC(C)(C)c1cc(O)c2cc(Cc3ccccc3C)c(=O)oc2c1</t>
  </si>
  <si>
    <t xml:space="preserve">CHEMBL2181540</t>
  </si>
  <si>
    <t xml:space="preserve">CCCCCCC(C)(C)c1cc(O)c2cc(Cc3ccccc3O)c(=O)oc2c1</t>
  </si>
  <si>
    <t xml:space="preserve">CHEMBL3323677</t>
  </si>
  <si>
    <t xml:space="preserve">CCCCCCC(C)(C)c1cc(O)cc(OCCCCCCCC(=O)NC(CO)CO)c1</t>
  </si>
  <si>
    <t xml:space="preserve">CHEMBL490648</t>
  </si>
  <si>
    <t xml:space="preserve">CCCCCCC(C)(C)c1cc(O)cc(OCCCCCCCC(=O)NC2CC2)c1</t>
  </si>
  <si>
    <t xml:space="preserve">CHEMBL3323684</t>
  </si>
  <si>
    <t xml:space="preserve">CCCCCCC(C)(C)c1cc(O)cc(OCCCCCCCC(=O)NCC(F)(F)F)c1</t>
  </si>
  <si>
    <t xml:space="preserve">CHEMBL484887</t>
  </si>
  <si>
    <t xml:space="preserve">CCCCCCC(C)(C)c1cc(O)cc(OCCCCCCCC(=O)NCC2CC2)c1</t>
  </si>
  <si>
    <t xml:space="preserve">CHEMBL491862</t>
  </si>
  <si>
    <t xml:space="preserve">CCCCCCC(C)(C)c1cc(O)cc(OCCCCCCCC(=O)NCCO)c1</t>
  </si>
  <si>
    <t xml:space="preserve">CHEMBL3323674</t>
  </si>
  <si>
    <t xml:space="preserve">CCCCCCC(C)(C)c1cc(O)cc(OCCCCCCCC(=O)N[C@H](C)CO)c1</t>
  </si>
  <si>
    <t xml:space="preserve">CHEMBL1923762</t>
  </si>
  <si>
    <t xml:space="preserve">CCCCCCC(C)(C)c1cc(O)cc(OCCCCCCCC(=O)OC(CO)CO)c1</t>
  </si>
  <si>
    <t xml:space="preserve">CHEMBL3323678</t>
  </si>
  <si>
    <t xml:space="preserve">CCCCCCC(C)(C)c1cc(O)cc(OCCCCCCCCCCC(=O)NC(CO)CO)c1</t>
  </si>
  <si>
    <t xml:space="preserve">CHEMBL489251</t>
  </si>
  <si>
    <t xml:space="preserve">CCCCCCC(C)(C)c1cc(O)cc(OCCCCCCCCCCC(=O)NC2CC2)c1</t>
  </si>
  <si>
    <t xml:space="preserve">CHEMBL484888</t>
  </si>
  <si>
    <t xml:space="preserve">CCCCCCC(C)(C)c1cc(O)cc(OCCCCCCCCCCC(=O)NCC2CC2)c1</t>
  </si>
  <si>
    <t xml:space="preserve">CHEMBL491658</t>
  </si>
  <si>
    <t xml:space="preserve">CCCCCCC(C)(C)c1cc(O)cc(OCCCCCCCCCCC(=O)NCCO)c1</t>
  </si>
  <si>
    <t xml:space="preserve">CHEMBL488933</t>
  </si>
  <si>
    <t xml:space="preserve">CCCCCCC(C)(C)c1cc(O)cc(OCCCCCCCCCCC(=O)NCCc2ccc(O)c(O)c2)c1</t>
  </si>
  <si>
    <t xml:space="preserve">CHEMBL519043</t>
  </si>
  <si>
    <t xml:space="preserve">CCCCCCC(C)(C)c1cc(O)cc(OCCCCCCCCCCC(=O)NCc2ccc(O)c(OC)c2)c1</t>
  </si>
  <si>
    <t xml:space="preserve">CHEMBL3323675</t>
  </si>
  <si>
    <t xml:space="preserve">CCCCCCC(C)(C)c1cc(O)cc(OCCCCCCCCCCC(=O)N[C@H](C)CO)c1</t>
  </si>
  <si>
    <t xml:space="preserve">CHEMBL1923763</t>
  </si>
  <si>
    <t xml:space="preserve">CCCCCCC(C)(C)c1cc(O)cc(OCCCCCCCCCCC(=O)OC(CO)CO)c1</t>
  </si>
  <si>
    <t xml:space="preserve">CHEMBL1923778</t>
  </si>
  <si>
    <t xml:space="preserve">CCCCCCC(C)(C)c1cc(O)cc(OCCCCCCCCCCC(=O)OCC(O)CO)c1</t>
  </si>
  <si>
    <t xml:space="preserve">CHEMBL489252</t>
  </si>
  <si>
    <t xml:space="preserve">CCCCCCC(C)(C)c1cc(O)cc(OCCCCCCCCCCCC(=O)NC2CC2)c1</t>
  </si>
  <si>
    <t xml:space="preserve">CHEMBL483670</t>
  </si>
  <si>
    <t xml:space="preserve">CCCCCCC(C)(C)c1cc(O)cc(OCCCCCCCCCCCC(=O)NCC2CC2)c1</t>
  </si>
  <si>
    <t xml:space="preserve">CHEMBL490035</t>
  </si>
  <si>
    <t xml:space="preserve">CCCCCCC(C)(C)c1cc(O)cc(OCCCCCCCCCCCC(=O)NCCO)c1</t>
  </si>
  <si>
    <t xml:space="preserve">CHEMBL1923764</t>
  </si>
  <si>
    <t xml:space="preserve">CCCCCCC(C)(C)c1cc(O)cc(OCCCCCCCCCCCC(=O)OC(CO)CO)c1</t>
  </si>
  <si>
    <t xml:space="preserve">CHEMBL1923774</t>
  </si>
  <si>
    <t xml:space="preserve">CCCCCCC(C)(C)c1cc(O)cc(OCCCCCCCCCCCCOC(CO)CO)c1</t>
  </si>
  <si>
    <t xml:space="preserve">CHEMBL3323695</t>
  </si>
  <si>
    <t xml:space="preserve">CCCCCCC(C)(C)c1cc(O)cc(OCCCCCCCCCCCNC(=O)C2CC2)c1</t>
  </si>
  <si>
    <t xml:space="preserve">CHEMBL1923773</t>
  </si>
  <si>
    <t xml:space="preserve">CCCCCCC(C)(C)c1cc(O)cc(OCCCCCCCCCCOC(CO)CO)c1</t>
  </si>
  <si>
    <t xml:space="preserve">CHEMBL1923772</t>
  </si>
  <si>
    <t xml:space="preserve">CCCCCCC(C)(C)c1cc(O)cc(OCCCCCCCCOC(CO)CO)c1</t>
  </si>
  <si>
    <t xml:space="preserve">CHEMBL1923771</t>
  </si>
  <si>
    <t xml:space="preserve">CCCCCCC(C)(C)c1cc(O)cc(OCCCCCCOC(CO)CO)c1</t>
  </si>
  <si>
    <t xml:space="preserve">CHEMBL3290053</t>
  </si>
  <si>
    <t xml:space="preserve">CCCCCCC(C)(C)c1cc(OC(C)=O)c2c(c1)OC(C)(C)[C@@H]1CC=C(C(=O)O)C[C@@H]21</t>
  </si>
  <si>
    <t xml:space="preserve">CHEMBL3293671</t>
  </si>
  <si>
    <t xml:space="preserve">CHEMBL3286346</t>
  </si>
  <si>
    <t xml:space="preserve">Displacement of [3H]-CP-55940 from human CB2 receptor expressed in HEK293T cell membranes by scintillation counting</t>
  </si>
  <si>
    <t xml:space="preserve">CHEMBL495546</t>
  </si>
  <si>
    <t xml:space="preserve">CCCCCCC(C)(C)c1cc(OC)c(C2(O)CCOCC2)c(OC)c1</t>
  </si>
  <si>
    <t xml:space="preserve">CHEMBL3613118</t>
  </si>
  <si>
    <t xml:space="preserve">CCCCCCC(C)(C)c1cc(OC)c([C@@H]2C=C(CO)[C@@H]3C[C@H]2C3(C)C)c(OC)c1</t>
  </si>
  <si>
    <t xml:space="preserve">CHEMBL3615752</t>
  </si>
  <si>
    <t xml:space="preserve">CHEMBL3611977</t>
  </si>
  <si>
    <t xml:space="preserve">Displacement of [3H]-CP55940 from human CB2 receptor transfected in HEK293EBNA cell membranes after 90 mins by liquid scintillation counting analysis</t>
  </si>
  <si>
    <t xml:space="preserve">CHEMBL524058</t>
  </si>
  <si>
    <t xml:space="preserve">CCCCCCC(C)(C)c1cc(OC)c([C@@]2(O)CCC[C@@H](C)C2)c(OC)c1</t>
  </si>
  <si>
    <t xml:space="preserve">CHEMBL2179724</t>
  </si>
  <si>
    <t xml:space="preserve">CCCCCCC(C)(C)c1cc(OC)c([C@H]2C=C(CO)[C@H]3C[C@@H]2C3(C)C)c(OC)c1</t>
  </si>
  <si>
    <t xml:space="preserve">CHEMBL3239843</t>
  </si>
  <si>
    <t xml:space="preserve">Displacement of [3H]HU-243 from human CB2 receptor</t>
  </si>
  <si>
    <t xml:space="preserve">CHEMBL3234037</t>
  </si>
  <si>
    <t xml:space="preserve">CCCCCCC(C)(C)c1cc(OC)c([C@]2(O)CCC[C@@H](C)C2)c(OC)c1</t>
  </si>
  <si>
    <t xml:space="preserve">CHEMBL3239840</t>
  </si>
  <si>
    <t xml:space="preserve">CHEMBL57367</t>
  </si>
  <si>
    <t xml:space="preserve">CCCCCCC(C)(C)c1cc(OC)c2c(c1)OC(C)(C)[C@@H]1CC=C(C)C[C@@H]21</t>
  </si>
  <si>
    <t xml:space="preserve">CHEMBL4563152</t>
  </si>
  <si>
    <t xml:space="preserve">CCCCCCC(C)(C)c1cc(OC)c2c(c1)OC(C)(C)c1cn(C)nc1-2</t>
  </si>
  <si>
    <t xml:space="preserve">CHEMBL4448412</t>
  </si>
  <si>
    <t xml:space="preserve">CCCCCCC(C)(C)c1cc(OC)c2c(c1)OC(C)(C)c1cn(CC)nc1-2</t>
  </si>
  <si>
    <t xml:space="preserve">CHEMBL4577623</t>
  </si>
  <si>
    <t xml:space="preserve">CCCCCCC(C)(C)c1cc(OC)c2c(c1)OC(C)(C)c1cn[nH]c1-2</t>
  </si>
  <si>
    <t xml:space="preserve">CHEMBL4437352</t>
  </si>
  <si>
    <t xml:space="preserve">CCCCCCC(C)(C)c1cc(OC)c2c(c1)OC(C)(C)c1cnn(-c3ccc(Cl)c(Cl)c3)c1-2</t>
  </si>
  <si>
    <t xml:space="preserve">CHEMBL4450138</t>
  </si>
  <si>
    <t xml:space="preserve">CCCCCCC(C)(C)c1cc(OC)c2c(c1)OC(C)(C)c1cnn(-c3ccc(Cl)cc3Cl)c1-2</t>
  </si>
  <si>
    <t xml:space="preserve">CHEMBL4451471</t>
  </si>
  <si>
    <t xml:space="preserve">CCCCCCC(C)(C)c1cc(OC)c2c(c1)OC(C)(C)c1cnn(CC)c1-2</t>
  </si>
  <si>
    <t xml:space="preserve">CHEMBL4444725</t>
  </si>
  <si>
    <t xml:space="preserve">CCCCCCC(C)(C)c1cc(OC)c2c(c1)OC(C)(C)c1cnoc1-2</t>
  </si>
  <si>
    <t xml:space="preserve">CHEMBL2177263</t>
  </si>
  <si>
    <t xml:space="preserve">CCCCCCC(C)(C)c1cc(OC)c2cc(Cc3ccccc3)c(=O)oc2c1</t>
  </si>
  <si>
    <t xml:space="preserve">CHEMBL2181539</t>
  </si>
  <si>
    <t xml:space="preserve">CCCCCCC(C)(C)c1cc(OC)c2cc(Cc3ccccc3OC)c(=O)oc2c1</t>
  </si>
  <si>
    <t xml:space="preserve">CHEMBL4647981</t>
  </si>
  <si>
    <t xml:space="preserve">CCCCCCC(C)(C)c1cc(OC)cc(OCCCCCCCC(=O)NC2CC2)c1</t>
  </si>
  <si>
    <t xml:space="preserve">CHEMBL4633743</t>
  </si>
  <si>
    <t xml:space="preserve">CCCCCCC(C)(C)c1cc(OC)cc(OCCCCCCCC(=O)NCC(F)(F)F)c1</t>
  </si>
  <si>
    <t xml:space="preserve">CHEMBL4649418</t>
  </si>
  <si>
    <t xml:space="preserve">CCCCCCC(C)(C)c1cc(OC)cc(OCCCCCCCC(=O)NCCO)c1</t>
  </si>
  <si>
    <t xml:space="preserve">CHEMBL4641118</t>
  </si>
  <si>
    <t xml:space="preserve">CCCCCCC(C)(C)c1cc(OC)cc(OCCCCCCCCCCC(=O)NC(CO)CO)c1</t>
  </si>
  <si>
    <t xml:space="preserve">CHEMBL4643098</t>
  </si>
  <si>
    <t xml:space="preserve">CCCCCCC(C)(C)c1cc(OC)cc(OCCCCCCCCCCC(=O)NC2CC2)c1</t>
  </si>
  <si>
    <t xml:space="preserve">CHEMBL4633663</t>
  </si>
  <si>
    <t xml:space="preserve">CCCCCCC(C)(C)c1cc(OC)cc(OCCCCCCCCCCC(=O)NCC2CC2)c1</t>
  </si>
  <si>
    <t xml:space="preserve">CHEMBL4633589</t>
  </si>
  <si>
    <t xml:space="preserve">CCCCCCC(C)(C)c1cc(OC)cc(OCCCCCCCCCCC(=O)NCCO)c1</t>
  </si>
  <si>
    <t xml:space="preserve">CHEMBL4537285</t>
  </si>
  <si>
    <t xml:space="preserve">CCCCCCC(C)(C)c1cc(OCC)c2c(c1)OC(C)(C)c1cnn(-c3ccc(Cl)c(Cl)c3)c1-2</t>
  </si>
  <si>
    <t xml:space="preserve">CHEMBL4553217</t>
  </si>
  <si>
    <t xml:space="preserve">CCCCCCC(C)(C)c1cc(OCCBr)c2c(c1)OC(C)(C)c1cn(CC)nc1-2</t>
  </si>
  <si>
    <t xml:space="preserve">CHEMBL4574497</t>
  </si>
  <si>
    <t xml:space="preserve">CCCCCCC(C)(C)c1cc(OCCCBr)c2c(c1)OC(C)(C)c1cn(C)nc1-2</t>
  </si>
  <si>
    <t xml:space="preserve">CHEMBL4438938</t>
  </si>
  <si>
    <t xml:space="preserve">CCCCCCC(C)(C)c1cc(OCCCBr)c2c(c1)OC(C)(C)c1cn(CC)nc1-2</t>
  </si>
  <si>
    <t xml:space="preserve">CHEMBL4458641</t>
  </si>
  <si>
    <t xml:space="preserve">CCCCCCC(C)(C)c1cc(OCCCO)c2c(c1)OC(C)(C)c1cn(C)nc1-2</t>
  </si>
  <si>
    <t xml:space="preserve">CHEMBL4525232</t>
  </si>
  <si>
    <t xml:space="preserve">CCCCCCC(C)(C)c1cc(OCCCO)c2c(c1)OC(C)(C)c1cn(CC)nc1-2</t>
  </si>
  <si>
    <t xml:space="preserve">CHEMBL4441832</t>
  </si>
  <si>
    <t xml:space="preserve">CCCCCCC(C)(C)c1cc(OCCCO)c2c(c1)OC(C)(C)c1cn[nH]c1-2</t>
  </si>
  <si>
    <t xml:space="preserve">CHEMBL4443489</t>
  </si>
  <si>
    <t xml:space="preserve">CCCCCCC(C)(C)c1cc(OCCCO)c2c(c1)OC(C)(C)c1cnn(CC)c1-2</t>
  </si>
  <si>
    <t xml:space="preserve">CHEMBL4588694</t>
  </si>
  <si>
    <t xml:space="preserve">CCCCCCC(C)(C)c1cc(OCCCO)c2c(c1)OC(C)(C)c1cnoc1-2</t>
  </si>
  <si>
    <t xml:space="preserve">CHEMBL4475298</t>
  </si>
  <si>
    <t xml:space="preserve">CCCCCCC(C)(C)c1cc(OCCO)c2c(c1)OC(C)(C)c1cn(C)nc1-2</t>
  </si>
  <si>
    <t xml:space="preserve">CHEMBL4483043</t>
  </si>
  <si>
    <t xml:space="preserve">CCCCCCC(C)(C)c1cc(OCCO)c2c(c1)OC(C)(C)c1cn(CC)nc1-2</t>
  </si>
  <si>
    <t xml:space="preserve">CHEMBL4557358</t>
  </si>
  <si>
    <t xml:space="preserve">CCCCCCC(C)(C)c1cc(OCCO)c2c(c1)OC(C)(C)c1cn[nH]c1-2</t>
  </si>
  <si>
    <t xml:space="preserve">CHEMBL4563803</t>
  </si>
  <si>
    <t xml:space="preserve">CCCCCCC(C)(C)c1cc(OCc2ccccc2)c2c(c1)OC(C)(C)c1cn(C)nc1-2</t>
  </si>
  <si>
    <t xml:space="preserve">CHEMBL4435812</t>
  </si>
  <si>
    <t xml:space="preserve">CCCCCCC(C)(C)c1cc(OCc2ccccc2)c2c(c1)OC(C)(C)c1cn(CC)nc1-2</t>
  </si>
  <si>
    <t xml:space="preserve">CHEMBL4465748</t>
  </si>
  <si>
    <t xml:space="preserve">CCCCCCC(C)(C)c1cc(OCc2ccccc2)c2c(c1)OC(C)(C)c1cn[nH]c1-2</t>
  </si>
  <si>
    <t xml:space="preserve">CHEMBL4443532</t>
  </si>
  <si>
    <t xml:space="preserve">CCCCCCC(C)(C)c1cc(OCc2ccccc2)c2c(c1)OC(C)(C)c1cnn(-c3ccc(Cl)c(Cl)c3)c1-2</t>
  </si>
  <si>
    <t xml:space="preserve">CHEMBL4554620</t>
  </si>
  <si>
    <t xml:space="preserve">CCCCCCC(C)(C)c1cc(OCc2ccccc2)c2c(c1)OC(C)(C)c1cnn(CC)c1-2</t>
  </si>
  <si>
    <t xml:space="preserve">CHEMBL4469015</t>
  </si>
  <si>
    <t xml:space="preserve">CCCCCCC(C)(C)c1cc2c(c3c1CCCO3)-c1c(cnn1CC)C(C)(C)O2</t>
  </si>
  <si>
    <t xml:space="preserve">CHEMBL4562832</t>
  </si>
  <si>
    <t xml:space="preserve">CCCCCCC(C)(C)c1cc2c(c3c1CCCO3)-c1nn(CC)cc1C(C)(C)O2</t>
  </si>
  <si>
    <t xml:space="preserve">CHEMBL232410</t>
  </si>
  <si>
    <t xml:space="preserve">CCCCCCC(C)(C)c1ccc(-c2c(C)cccc2C)c(O)c1</t>
  </si>
  <si>
    <t xml:space="preserve">CHEMBL896458</t>
  </si>
  <si>
    <t xml:space="preserve">CHEMBL1148889</t>
  </si>
  <si>
    <t xml:space="preserve">Displacement of [3H]CP-55940 from cloned human CB2 receptor</t>
  </si>
  <si>
    <t xml:space="preserve">CHEMBL233181</t>
  </si>
  <si>
    <t xml:space="preserve">CCCCCCC(C)(C)c1ccc(-c2cc(C)cc(C)c2)c(C(N)=O)c1</t>
  </si>
  <si>
    <t xml:space="preserve">CHEMBL434390</t>
  </si>
  <si>
    <t xml:space="preserve">CCCCCCC(C)(C)c1ccc(-c2cc(C)cc(C)c2)c(CN)c1</t>
  </si>
  <si>
    <t xml:space="preserve">CHEMBL233185</t>
  </si>
  <si>
    <t xml:space="preserve">CCCCCCC(C)(C)c1ccc(-c2cc(C)cc(C)c2)c(CN2CCOCC2)c1</t>
  </si>
  <si>
    <t xml:space="preserve">CHEMBL233182</t>
  </si>
  <si>
    <t xml:space="preserve">CCCCCCC(C)(C)c1ccc(-c2cc(C)cc(C)c2)c(CO)c1</t>
  </si>
  <si>
    <t xml:space="preserve">CHEMBL233184</t>
  </si>
  <si>
    <t xml:space="preserve">CCCCCCC(C)(C)c1ccc(-c2cc(C)cc(C)c2)c(COC(=O)CN2CCOCC2)c1</t>
  </si>
  <si>
    <t xml:space="preserve">CHEMBL234239</t>
  </si>
  <si>
    <t xml:space="preserve">CCCCCCC(C)(C)c1ccc(-c2cc(C)cc(C)c2)c(N)c1</t>
  </si>
  <si>
    <t xml:space="preserve">CHEMBL56799</t>
  </si>
  <si>
    <t xml:space="preserve">CCCCCCC(C)(C)c1ccc(-c2cc(C)cc(C)c2)c(O)c1</t>
  </si>
  <si>
    <t xml:space="preserve">CHEMBL234209</t>
  </si>
  <si>
    <t xml:space="preserve">CCCCCCC(C)(C)c1ccc(-c2cc(C)cc(C)c2)c(OC)c1</t>
  </si>
  <si>
    <t xml:space="preserve">CHEMBL232411</t>
  </si>
  <si>
    <t xml:space="preserve">CCCCCCC(C)(C)c1ccc(-c2cc(C)ccc2C)c(O)c1</t>
  </si>
  <si>
    <t xml:space="preserve">CHEMBL234677</t>
  </si>
  <si>
    <t xml:space="preserve">CCCCCCC(C)(C)c1ccc(-c2ccc(C)c(C)c2)c(O)c1</t>
  </si>
  <si>
    <t xml:space="preserve">CHEMBL391136</t>
  </si>
  <si>
    <t xml:space="preserve">CCCCCCC(C)(C)c1ccc(-c2ccc(N)cc2)c(O)c1</t>
  </si>
  <si>
    <t xml:space="preserve">CHEMBL237895</t>
  </si>
  <si>
    <t xml:space="preserve">CCCCCCC(C)(C)c1ccc(-c2ccc(OC)c(OC)c2)c(O)c1</t>
  </si>
  <si>
    <t xml:space="preserve">CHEMBL238119</t>
  </si>
  <si>
    <t xml:space="preserve">CCCCCCC(C)(C)c1ccc(-c2cccc(C#N)c2)c(O)c1</t>
  </si>
  <si>
    <t xml:space="preserve">CHEMBL391134</t>
  </si>
  <si>
    <t xml:space="preserve">CCCCCCC(C)(C)c1ccc(-c2cccc(C)c2C)c(O)c1</t>
  </si>
  <si>
    <t xml:space="preserve">CHEMBL237897</t>
  </si>
  <si>
    <t xml:space="preserve">CCCCCCC(C)(C)c1ccc(-c2cccc(N)c2)c(O)c1</t>
  </si>
  <si>
    <t xml:space="preserve">CHEMBL234845</t>
  </si>
  <si>
    <t xml:space="preserve">CCCCCCC(C)(C)c1ccc(-c2cccc(OC)c2)c(O)c1</t>
  </si>
  <si>
    <t xml:space="preserve">CHEMBL427843</t>
  </si>
  <si>
    <t xml:space="preserve">CCCCCCC(C)(C)c1ccc(-c2cccc(OC)c2OC)c(O)c1</t>
  </si>
  <si>
    <t xml:space="preserve">CHEMBL234897</t>
  </si>
  <si>
    <t xml:space="preserve">CCCCCCC(C)(C)c1ccc(-c2ccccc2N)c(O)c1</t>
  </si>
  <si>
    <t xml:space="preserve">CHEMBL234678</t>
  </si>
  <si>
    <t xml:space="preserve">CCCCCCC(C)(C)c1ccc(-c2ccccc2OC)c(O)c1</t>
  </si>
  <si>
    <t xml:space="preserve">CHEMBL234207</t>
  </si>
  <si>
    <t xml:space="preserve">CCCCCCC(C)(C)c1ccc(-c2cccnc2)c(O)c1</t>
  </si>
  <si>
    <t xml:space="preserve">CHEMBL240100</t>
  </si>
  <si>
    <t xml:space="preserve">CCCCCCC(C)(C)c1ccc(OCC/C=C\C/C=C\CCCC(=O)N[C@H](C)CO)cc1</t>
  </si>
  <si>
    <t xml:space="preserve">CHEMBL925003</t>
  </si>
  <si>
    <t xml:space="preserve">CHEMBL1140469</t>
  </si>
  <si>
    <t xml:space="preserve">CHEMBL260130</t>
  </si>
  <si>
    <t xml:space="preserve">CCCCCCC(C)(C)c1ccc([C@@H]2CCC[C@@H](O)C2)cc1</t>
  </si>
  <si>
    <t xml:space="preserve">CHEMBL408777</t>
  </si>
  <si>
    <t xml:space="preserve">CCCCCCC(C)(C)c1ccc([C@@H]2C[C@H](O)CC[C@H]2CCCO)cc1</t>
  </si>
  <si>
    <t xml:space="preserve">CHEMBL1212958</t>
  </si>
  <si>
    <t xml:space="preserve">CCCCCCC(C)(C)c1ccc([C@H]2CCC[C@@H](O)C2)c(OC)c1</t>
  </si>
  <si>
    <t xml:space="preserve">CHEMBL263386</t>
  </si>
  <si>
    <t xml:space="preserve">CCCCCCC(C)(C)c1ccc([C@H]2CCC[C@@H](O)C2)cc1</t>
  </si>
  <si>
    <t xml:space="preserve">CHEMBL1213722</t>
  </si>
  <si>
    <t xml:space="preserve">CCCCCCC(C)(C)c1ccc([C@H]2CCC[C@H](O)C2)cc1</t>
  </si>
  <si>
    <t xml:space="preserve">CHEMBL240527</t>
  </si>
  <si>
    <t xml:space="preserve">CCCCCCC(C)(C)c1cccc(OCC/C=C\C/C=C\C/C=C\CCCC(=O)N[C@H](C)CO)c1</t>
  </si>
  <si>
    <t xml:space="preserve">CHEMBL391858</t>
  </si>
  <si>
    <t xml:space="preserve">CCCCCCC(C)(C)c1cccc(OCC/C=C\C/C=C\CCCC(=O)N[C@H](C)CO)c1</t>
  </si>
  <si>
    <t xml:space="preserve">CHEMBL393343</t>
  </si>
  <si>
    <t xml:space="preserve">CCCCCCC(C)(C)c1ccccc1/C=C\C/C=C\C/C=C\CCCC(=O)N[C@H](C)CO</t>
  </si>
  <si>
    <t xml:space="preserve">CHEMBL1631300</t>
  </si>
  <si>
    <t xml:space="preserve">CCCCCCC(C)NC(=O)c1nn(-c2ccc(Cl)cc2Cl)c(-n2c(C)ccc2C)c1C</t>
  </si>
  <si>
    <t xml:space="preserve">CHEMBL1631295</t>
  </si>
  <si>
    <t xml:space="preserve">CCCCCCC(C)NC(=O)c1nn(-c2ccc(Cl)cc2Cl)c(-n2cccc2)c1C</t>
  </si>
  <si>
    <t xml:space="preserve">CHEMBL5811612</t>
  </si>
  <si>
    <t xml:space="preserve">CCCCCCC(O)(CC(=O)O)c1cc(O)c2c(c1)OC(C)(C)[C@@H]1CC=C(C)C[C@@H]21</t>
  </si>
  <si>
    <t xml:space="preserve">CHEMBL426912</t>
  </si>
  <si>
    <t xml:space="preserve">CCCCCCC/C=C/C=C/C(=O)NCC(C)C</t>
  </si>
  <si>
    <t xml:space="preserve">CHEMBL904982</t>
  </si>
  <si>
    <t xml:space="preserve">CHEMBL1143678</t>
  </si>
  <si>
    <t xml:space="preserve">Displacement of [3H]CP-55940 from CB2 receptor expressed in HEK cells</t>
  </si>
  <si>
    <t xml:space="preserve">CHEMBL19847</t>
  </si>
  <si>
    <t xml:space="preserve">CCCCCCC1(c2cc(O)c3c(c2)OC(C)(C)[C@@H]2CC=C(C)C[C@@H]32)CC1</t>
  </si>
  <si>
    <t xml:space="preserve">CHEMBL120669</t>
  </si>
  <si>
    <t xml:space="preserve">CCCCCCC1(c2cc(O)c3c(c2)OC(C)(C)[C@@H]2CC=C(C)C[C@@H]32)CC1(Cl)Cl</t>
  </si>
  <si>
    <t xml:space="preserve">CHEMBL108085</t>
  </si>
  <si>
    <t xml:space="preserve">CCCCCCC1(c2cc(O)c3c(c2)OC(C)(C)[C@@H]2CC=C(C)C[C@@H]32)OCCO1</t>
  </si>
  <si>
    <t xml:space="preserve">CHEMBL1259018</t>
  </si>
  <si>
    <t xml:space="preserve">CCCCCCC1(c2cc(O)c3c(c2)OC(C)(C)[C@@H]2CCC(=O)C[C@@H]32)CCC1</t>
  </si>
  <si>
    <t xml:space="preserve">CHEMBL1259244</t>
  </si>
  <si>
    <t xml:space="preserve">CCCCCCC1(c2cc(O)c3c(c2)OC(C)(C)[C@@H]2CCC(=O)C[C@@H]32)CCCC1</t>
  </si>
  <si>
    <t xml:space="preserve">CHEMBL1259000</t>
  </si>
  <si>
    <t xml:space="preserve">CCCCCCC1(c2cc(O)c3c(c2)OC(C)(C)[C@@H]2CCC(=O)C[C@@H]32)SCCS1</t>
  </si>
  <si>
    <t xml:space="preserve">CHEMBL1259076</t>
  </si>
  <si>
    <t xml:space="preserve">CCCCCCC1(c2cc(O)c3c(c2)OC(C)(C)[C@@H]2CC[C@@H](O)C[C@@H]32)CCC1</t>
  </si>
  <si>
    <t xml:space="preserve">CHEMBL233633</t>
  </si>
  <si>
    <t xml:space="preserve">CCCCCCC1(c2ccc(-c3cc(C)cc(C)c3)c(O)c2)CC1</t>
  </si>
  <si>
    <t xml:space="preserve">CHEMBL233634</t>
  </si>
  <si>
    <t xml:space="preserve">CCCCCCC1(c2ccc(-c3cc(C)cc(C)c3)c(O)c2)CCCC1</t>
  </si>
  <si>
    <t xml:space="preserve">CHEMBL233636</t>
  </si>
  <si>
    <t xml:space="preserve">CCCCCCC1(c2ccc(-c3cc(C)cc(C)c3)c(O)c2)CCCCC1</t>
  </si>
  <si>
    <t xml:space="preserve">CHEMBL303479</t>
  </si>
  <si>
    <t xml:space="preserve">CCCCCCC1CCCc2c1cc1c(c2O)[C@@H]2CC(C)=CC[C@H]2C(C)(C)O1</t>
  </si>
  <si>
    <t xml:space="preserve">CHEMBL2326031</t>
  </si>
  <si>
    <t xml:space="preserve">CCCCCCCC(=O)N(Cc1ccc(N(CC)CC)cc1)[C@]12C[C@H]3C[C@H](C[C@H](C3)C1)C2</t>
  </si>
  <si>
    <t xml:space="preserve">CHEMBL2329721</t>
  </si>
  <si>
    <t xml:space="preserve">CHEMBL2321866</t>
  </si>
  <si>
    <t xml:space="preserve">Displacement of [3H]CP-55,940 from CB2 receptor (unknown origin) after 1 hr by scintillation counting analysis</t>
  </si>
  <si>
    <t xml:space="preserve">CHEMBL2179735</t>
  </si>
  <si>
    <t xml:space="preserve">CCCCCCCC(=O)NC(NC(=O)CCCCCCC)c1ccc(N(CC)CC)cc1</t>
  </si>
  <si>
    <t xml:space="preserve">CHEMBL2181542</t>
  </si>
  <si>
    <t xml:space="preserve">CCCCCCCC(C)(C)c1cc(O)c2cc(Cc3ccccc3O)c(=O)oc2c1</t>
  </si>
  <si>
    <t xml:space="preserve">CHEMBL2181541</t>
  </si>
  <si>
    <t xml:space="preserve">CCCCCCCC(C)(C)c1cc(OC)c2cc(Cc3ccccc3OC)c(=O)oc2c1</t>
  </si>
  <si>
    <t xml:space="preserve">CHEMBL265933</t>
  </si>
  <si>
    <t xml:space="preserve">CCCCCCCC(C)(C)c1ccc([C@@H]2CCC[C@@H](O)C2)cc1</t>
  </si>
  <si>
    <t xml:space="preserve">CHEMBL259723</t>
  </si>
  <si>
    <t xml:space="preserve">CCCCCCCC(C)(C)c1ccc([C@@H]2C[C@H](O)CC[C@H]2CCCO)cc1</t>
  </si>
  <si>
    <t xml:space="preserve">CHEMBL262336</t>
  </si>
  <si>
    <t xml:space="preserve">CCCCCCCC(C)(C)c1ccc([C@H]2CCC[C@@H](O)C2)cc1</t>
  </si>
  <si>
    <t xml:space="preserve">CHEMBL373056</t>
  </si>
  <si>
    <t xml:space="preserve">CCCCCCCC/C=C/C(=O)NCCc1cc(OC)cc(OC)c1</t>
  </si>
  <si>
    <t xml:space="preserve">CHEMBL198182</t>
  </si>
  <si>
    <t xml:space="preserve">CCCCCCCC/C=C/C(=O)NCCc1ccc(OC)cc1</t>
  </si>
  <si>
    <t xml:space="preserve">CHEMBL198132</t>
  </si>
  <si>
    <t xml:space="preserve">CCCCCCCC/C=C/C(=O)Nc1ccc(OC)cc1</t>
  </si>
  <si>
    <t xml:space="preserve">CHEMBL203189</t>
  </si>
  <si>
    <t xml:space="preserve">CCCCCCCC/C=C\CCCCCCCC(=O)N(O)CCO</t>
  </si>
  <si>
    <t xml:space="preserve">CHEMBL208270</t>
  </si>
  <si>
    <t xml:space="preserve">CCCCCCCC/C=C\CCCCCCCC(=O)NOCCO</t>
  </si>
  <si>
    <t xml:space="preserve">CHEMBL472661</t>
  </si>
  <si>
    <t xml:space="preserve">CCCCCCCC/C=C\CCCCCCCC(=O)N[C@@H]1C[C@@H]1O</t>
  </si>
  <si>
    <t xml:space="preserve">CHEMBL380925</t>
  </si>
  <si>
    <t xml:space="preserve">CCCCCCCC/C=C\CCCCCCCC(=O)ONCCO</t>
  </si>
  <si>
    <t xml:space="preserve">CHEMBL265934</t>
  </si>
  <si>
    <t xml:space="preserve">CCCCCCCCC(C)(C)c1ccc([C@@H]2CCC[C@@H](O)C2)cc1</t>
  </si>
  <si>
    <t xml:space="preserve">CHEMBL259518</t>
  </si>
  <si>
    <t xml:space="preserve">CCCCCCCCC(C)(C)c1ccc([C@@H]2C[C@H](O)CC[C@H]2CCCO)cc1</t>
  </si>
  <si>
    <t xml:space="preserve">CHEMBL262337</t>
  </si>
  <si>
    <t xml:space="preserve">CCCCCCCCC(C)(C)c1ccc([C@H]2CCC[C@@H](O)C2)cc1</t>
  </si>
  <si>
    <t xml:space="preserve">CHEMBL2179736</t>
  </si>
  <si>
    <t xml:space="preserve">CCCCCCCCCC(=O)NC(NC(=O)CCCCCCCCC)c1ccc(N(CC)CC)cc1</t>
  </si>
  <si>
    <t xml:space="preserve">CHEMBL483144</t>
  </si>
  <si>
    <t xml:space="preserve">CCCCCCCCCCCCCCCC(=O)N[C@H]1C[C@@H]1O</t>
  </si>
  <si>
    <t xml:space="preserve">CHEMBL483143</t>
  </si>
  <si>
    <t xml:space="preserve">CCCCCCCCCCCCCCCC(=O)N[C@H]1C[C@H]1O</t>
  </si>
  <si>
    <t xml:space="preserve">CHEMBL514886</t>
  </si>
  <si>
    <t xml:space="preserve">CCCCCCCCCCC[C@@H](C[C@@H]1OC(=O)[C@H]1CCCCCC)OC(=O)CCNC=O</t>
  </si>
  <si>
    <t xml:space="preserve">CHEMBL982705</t>
  </si>
  <si>
    <t xml:space="preserve">CHEMBL1142489</t>
  </si>
  <si>
    <t xml:space="preserve">Displacement of [3H]CP-55940 from human recombinant CB2 receptor expressed in HEK293 cells by scintillation counting</t>
  </si>
  <si>
    <t xml:space="preserve">CHEMBL484392</t>
  </si>
  <si>
    <t xml:space="preserve">CCCCCCCCCCC[C@@H](C[C@@H]1OC(=O)[C@H]1CCCCCC)OC(=O)[C@@H]1CCCN1C=O</t>
  </si>
  <si>
    <t xml:space="preserve">CHEMBL4443830</t>
  </si>
  <si>
    <t xml:space="preserve">CCCCCCCCN1C(=O)C2C3c4ccccc4C(c4ccccc43)C2C1=O</t>
  </si>
  <si>
    <t xml:space="preserve">CHEMBL4340152</t>
  </si>
  <si>
    <t xml:space="preserve">CHEMBL4339223</t>
  </si>
  <si>
    <t xml:space="preserve">Displacement of [3H]-CP55940 from human recombinant cannabinoid CB2 receptor expressed in HEK293 cell membranes incubated for 90 mins by Cheng-Prusoff equation analysis</t>
  </si>
  <si>
    <t xml:space="preserve">CHEMBL2326282</t>
  </si>
  <si>
    <t xml:space="preserve">CCCCCCCN(Cc1ccc(N(CC)CC)cc1)C(=O)C1CCCCC1</t>
  </si>
  <si>
    <t xml:space="preserve">CHEMBL2326280</t>
  </si>
  <si>
    <t xml:space="preserve">CCCCCCCN(Cc1ccc(N(CC)CC)cc1)C(=O)Cc1ccc(Cl)cc1</t>
  </si>
  <si>
    <t xml:space="preserve">CHEMBL2326279</t>
  </si>
  <si>
    <t xml:space="preserve">CCCCCCCN(Cc1ccc(N(CC)CC)cc1)C(=O)Cc1ccccc1</t>
  </si>
  <si>
    <t xml:space="preserve">CHEMBL2326281</t>
  </si>
  <si>
    <t xml:space="preserve">CCCCCCCN(Cc1ccc(N(CC)CC)cc1)C(=O)c1ccc(N(C)C)cc1</t>
  </si>
  <si>
    <t xml:space="preserve">CHEMBL2326278</t>
  </si>
  <si>
    <t xml:space="preserve">CCCCCCCN(Cc1ccc(N(CC)CC)cc1)S(=O)(=O)CCCC</t>
  </si>
  <si>
    <t xml:space="preserve">CHEMBL2326277</t>
  </si>
  <si>
    <t xml:space="preserve">CCCCCCCN(Cc1ccc(N(CC)CC)cc1)S(=O)(=O)Cc1ccccc1</t>
  </si>
  <si>
    <t xml:space="preserve">CHEMBL2326036</t>
  </si>
  <si>
    <t xml:space="preserve">CCCCCCCN(Cc1ccc(N(CC)CC)cc1)S(=O)(=O)c1ccc(C(C)C)cc1</t>
  </si>
  <si>
    <t xml:space="preserve">CHEMBL2326034</t>
  </si>
  <si>
    <t xml:space="preserve">CCCCCCCN(Cc1ccc(N(CC)CC)cc1)S(=O)(=O)c1ccc(C)cc1</t>
  </si>
  <si>
    <t xml:space="preserve">CHEMBL2326276</t>
  </si>
  <si>
    <t xml:space="preserve">CCCCCCCN(Cc1ccc(N(CC)CC)cc1)S(=O)(=O)c1ccc(Cl)cc1</t>
  </si>
  <si>
    <t xml:space="preserve">CHEMBL2326275</t>
  </si>
  <si>
    <t xml:space="preserve">CCCCCCCN(Cc1ccc(N(CC)CC)cc1)S(=O)(=O)c1ccc(F)cc1</t>
  </si>
  <si>
    <t xml:space="preserve">CHEMBL2326273</t>
  </si>
  <si>
    <t xml:space="preserve">CCCCCCCN(Cc1ccc(N(CC)CC)cc1)S(=O)(=O)c1ccc(OC)cc1</t>
  </si>
  <si>
    <t xml:space="preserve">CHEMBL2326035</t>
  </si>
  <si>
    <t xml:space="preserve">CCCCCCCN(Cc1ccc(N(CC)CC)cc1)S(=O)(=O)c1cccc(C)c1</t>
  </si>
  <si>
    <t xml:space="preserve">CHEMBL4448334</t>
  </si>
  <si>
    <t xml:space="preserve">CCCCCCCN1C(=O)C2C3c4ccccc4C(C)(c4ccccc43)C2C1=O</t>
  </si>
  <si>
    <t xml:space="preserve">CHEMBL4586819</t>
  </si>
  <si>
    <t xml:space="preserve">CCCCCCCN1C(=O)C2C3c4ccccc4C(Cl)(c4ccccc43)C2C1=O</t>
  </si>
  <si>
    <t xml:space="preserve">CHEMBL4578199</t>
  </si>
  <si>
    <t xml:space="preserve">CCCCCCCN1C(=O)C2C3c4ccccc4C(c4cc(Cl)ccc43)C2C1=O</t>
  </si>
  <si>
    <t xml:space="preserve">CHEMBL4457335</t>
  </si>
  <si>
    <t xml:space="preserve">CCCCCCCN1C(=O)C2C3c4ccccc4C(c4ccccc43)C2C1=O</t>
  </si>
  <si>
    <t xml:space="preserve">CHEMBL1631291</t>
  </si>
  <si>
    <t xml:space="preserve">CCCCCCCNC(=O)c1nn(-c2ccc(Cl)cc2Cl)c(-n2c(C)ccc2C)c1C</t>
  </si>
  <si>
    <t xml:space="preserve">CHEMBL1631165</t>
  </si>
  <si>
    <t xml:space="preserve">CCCCCCCNC(=O)c1nn(-c2ccc(Cl)cc2Cl)c(-n2cccc2)c1C</t>
  </si>
  <si>
    <t xml:space="preserve">CHEMBL1631292</t>
  </si>
  <si>
    <t xml:space="preserve">CCCCCCCNC(=O)c1nn(-c2ccc(F)cc2F)c(-n2c(C)ccc2C)c1C</t>
  </si>
  <si>
    <t xml:space="preserve">CHEMBL4586739</t>
  </si>
  <si>
    <t xml:space="preserve">CCCCCCCNCC12c3ccccc3C(c3ccccc31)C1C(=O)NC(=O)C12</t>
  </si>
  <si>
    <t xml:space="preserve">CHEMBL5415690</t>
  </si>
  <si>
    <t xml:space="preserve">CCCCCCCNc1ccc(-c2ccccc2)cc1C(=O)NC12CC3CC(CC(C3)C1)C2</t>
  </si>
  <si>
    <t xml:space="preserve">CHEMBL5321836</t>
  </si>
  <si>
    <t xml:space="preserve">CHEMBL5321210</t>
  </si>
  <si>
    <t xml:space="preserve">Displacement of [3H]-CP55940 from human CB2 receptor expressed in HEK293 cell membrane assessed as inhibition constant incubated for 90 mins by radioligand competition binding assay</t>
  </si>
  <si>
    <t xml:space="preserve">CHEMBL5413550</t>
  </si>
  <si>
    <t xml:space="preserve">CCCCCCCNc1ccc(-c2cccs2)cc1C(=O)NC12CC3CC(CC(C3)C1)C2</t>
  </si>
  <si>
    <t xml:space="preserve">CHEMBL4471684</t>
  </si>
  <si>
    <t xml:space="preserve">CCCCCCCNc1ccc(C(=O)c2c(-c3ccc(OC)cc3)oc3ccccc23)cc1</t>
  </si>
  <si>
    <t xml:space="preserve">CHEMBL4365105</t>
  </si>
  <si>
    <t xml:space="preserve">CHEMBL4364258</t>
  </si>
  <si>
    <t xml:space="preserve">Displacement of 3[H]-CP55940 from human recombinant CB2 receptor expressed in HEK293 cell membranes measured after 90 mins by Cheng-Prusoff equation analysis</t>
  </si>
  <si>
    <t xml:space="preserve">CHEMBL5421210</t>
  </si>
  <si>
    <t xml:space="preserve">CCCCCCCNc1ccccc1C(=O)NC12CC3CC(CC(C3)C1)C2</t>
  </si>
  <si>
    <t xml:space="preserve">CHEMBL4541878</t>
  </si>
  <si>
    <t xml:space="preserve">CCCCCCCOCC12c3ccccc3C(c3ccccc31)C1C(=O)NC(=O)C12</t>
  </si>
  <si>
    <t xml:space="preserve">CHEMBL490246</t>
  </si>
  <si>
    <t xml:space="preserve">CCCCCCCOc1cc(O)cc(OCCCCCCCCCCC(=O)NC2CC2)c1</t>
  </si>
  <si>
    <t xml:space="preserve">CHEMBL489623</t>
  </si>
  <si>
    <t xml:space="preserve">CCCCCCCOc1cc(O)cc(OCCCCCCCCCCC(=O)NCCO)c1</t>
  </si>
  <si>
    <t xml:space="preserve">CHEMBL5171161</t>
  </si>
  <si>
    <t xml:space="preserve">CCCCCCCc1cc(O)c2c(c1)OC(C)(C)[C@@H]1CCC(C)=C[C@@H]21</t>
  </si>
  <si>
    <t xml:space="preserve">CHEMBL5096684</t>
  </si>
  <si>
    <t xml:space="preserve">CHEMBL5096151</t>
  </si>
  <si>
    <t xml:space="preserve">Binding affinity to human CB2 receptor assessed as inhibition constant</t>
  </si>
  <si>
    <t xml:space="preserve">CHEMBL2441455</t>
  </si>
  <si>
    <t xml:space="preserve">CCCCCCCn1c2ccccc2c2cc(C(=O)N3CCCCC3)ccc21</t>
  </si>
  <si>
    <t xml:space="preserve">CHEMBL219970</t>
  </si>
  <si>
    <t xml:space="preserve">CCCCCCCn1cc(C(=O)c2cccc3ccccc23)cc1-c1ccccc1</t>
  </si>
  <si>
    <t xml:space="preserve">CHEMBL907004</t>
  </si>
  <si>
    <t xml:space="preserve">CHEMBL1137285</t>
  </si>
  <si>
    <t xml:space="preserve">CHEMBL453472</t>
  </si>
  <si>
    <t xml:space="preserve">CCCCCCN1C(=O)/C(=N\NC(=O)OC(C)(C)C)c2ccccc21</t>
  </si>
  <si>
    <t xml:space="preserve">CHEMBL1005584</t>
  </si>
  <si>
    <t xml:space="preserve">CHEMBL1156573</t>
  </si>
  <si>
    <t xml:space="preserve">Displacement of [3H]CP-55940 from human CB2 receptor expressed in CHOK1 cells by liquid scintillation counting</t>
  </si>
  <si>
    <t xml:space="preserve">CHEMBL497183</t>
  </si>
  <si>
    <t xml:space="preserve">CCCCCCN1C(=O)/C(=N\NC(=O)c2ccccc2)c2ccc(OC)cc21</t>
  </si>
  <si>
    <t xml:space="preserve">CHEMBL1019850</t>
  </si>
  <si>
    <t xml:space="preserve">CHEMBL1139382</t>
  </si>
  <si>
    <t xml:space="preserve">Displacement of [3H] 2-((1R,2R,5R)-5-hydroxy-2-(3-hydroxypropyl)cyclohexyl)-5-(2-methyloctan-2-yl)phenol from human CB2 receptor expressed CHO-K1 cells by liquid scintillation counting</t>
  </si>
  <si>
    <t xml:space="preserve">CHEMBL457185</t>
  </si>
  <si>
    <t xml:space="preserve">CCCCCCN1C(=O)/C(=N\NC(=O)c2ccccc2)c2ccccc21</t>
  </si>
  <si>
    <t xml:space="preserve">CHEMBL4461463</t>
  </si>
  <si>
    <t xml:space="preserve">CCCCCCN1C(=O)C2C3c4ccccc4C(C)(c4ccccc43)C2C1=O</t>
  </si>
  <si>
    <t xml:space="preserve">CHEMBL4585014</t>
  </si>
  <si>
    <t xml:space="preserve">CCCCCCN1C(=O)C2C3c4ccccc4C(c4ccccc43)C2C1=O</t>
  </si>
  <si>
    <t xml:space="preserve">CHEMBL4086412</t>
  </si>
  <si>
    <t xml:space="preserve">CCCCCCNC(=O)c1ccc2c(c1)nc(Cc1ccc(OCC)cc1)n2CCC(C)C</t>
  </si>
  <si>
    <t xml:space="preserve">CHEMBL4023567</t>
  </si>
  <si>
    <t xml:space="preserve">CHEMBL4020829</t>
  </si>
  <si>
    <t xml:space="preserve">Displacement of [3H]-CP55950 from human CB2 receptor expressed in HEK cell membranes after 3 hrs by scintillation counting method</t>
  </si>
  <si>
    <t xml:space="preserve">CHEMBL1668503</t>
  </si>
  <si>
    <t xml:space="preserve">CCCCCCNC(=O)c1cn(CCCCC)c2ccc(Br)cc2c1=O</t>
  </si>
  <si>
    <t xml:space="preserve">CHEMBL1631164</t>
  </si>
  <si>
    <t xml:space="preserve">CCCCCCNC(=O)c1nn(-c2ccc(Cl)cc2Cl)c(-n2cccc2)c1C</t>
  </si>
  <si>
    <t xml:space="preserve">CHEMBL1631290</t>
  </si>
  <si>
    <t xml:space="preserve">CCCCCCNC(=O)c1nn(-c2ccc(F)cc2F)c(-n2c(C)ccc2C)c1C</t>
  </si>
  <si>
    <t xml:space="preserve">CHEMBL5418589</t>
  </si>
  <si>
    <t xml:space="preserve">CCCCCCNc1ccc(-c2ccccc2)cc1C(=O)NC12CC3CC(CC(C3)C1)C2</t>
  </si>
  <si>
    <t xml:space="preserve">CHEMBL5437097</t>
  </si>
  <si>
    <t xml:space="preserve">CCCCCCNc1ccc(-c2cccnc2)cc1C(=O)NC12CC3CC(CC(C3)C1)C2</t>
  </si>
  <si>
    <t xml:space="preserve">CHEMBL5422404</t>
  </si>
  <si>
    <t xml:space="preserve">CCCCCCNc1ccc(-c2cccs2)cc1C(=O)NC12CC3CC(CC(C3)C1)C2</t>
  </si>
  <si>
    <t xml:space="preserve">CHEMBL5409471</t>
  </si>
  <si>
    <t xml:space="preserve">CCCCCCNc1ccccc1C(=O)NC12CC3CC(CC(C3)C1)C2</t>
  </si>
  <si>
    <t xml:space="preserve">CHEMBL2414023</t>
  </si>
  <si>
    <t xml:space="preserve">CCCCCCOc1ccccc1-c1cc(C(=O)NC23CC4CC(CC(C4)C2)C3)no1</t>
  </si>
  <si>
    <t xml:space="preserve">CHEMBL2415544</t>
  </si>
  <si>
    <t xml:space="preserve">CHEMBL2413003</t>
  </si>
  <si>
    <t xml:space="preserve">Displacement of [3H]-CP55,940 from human CB2 receptor expressed in CHO membranes after 1 hr by liquid scintillation counting</t>
  </si>
  <si>
    <t xml:space="preserve">CHEMBL5183623</t>
  </si>
  <si>
    <t xml:space="preserve">CCCCCC[Si](C)(C)c1cc(O)c(C2CCCC2)c(O)c1</t>
  </si>
  <si>
    <t xml:space="preserve">CHEMBL5186021</t>
  </si>
  <si>
    <t xml:space="preserve">CCCCCC[Si](C)(C)c1cc(O)c(C2CCCC2)c(OC)c1</t>
  </si>
  <si>
    <t xml:space="preserve">CHEMBL5176902</t>
  </si>
  <si>
    <t xml:space="preserve">CCCCCC[Si](C)(C)c1cc(O)c(C2CCCCC2)c(O)c1</t>
  </si>
  <si>
    <t xml:space="preserve">CHEMBL5196846</t>
  </si>
  <si>
    <t xml:space="preserve">CCCCCC[Si](C)(C)c1cc(O)c(C2CCCCC2)c(OC)c1</t>
  </si>
  <si>
    <t xml:space="preserve">CHEMBL5204014</t>
  </si>
  <si>
    <t xml:space="preserve">CCCCCC[Si](C)(C)c1cc(O)c(C2CCCCCC2)c(O)c1</t>
  </si>
  <si>
    <t xml:space="preserve">CHEMBL5193683</t>
  </si>
  <si>
    <t xml:space="preserve">CCCCCC[Si](C)(C)c1cc(O)c(C2CCCCCC2)c(OC)c1</t>
  </si>
  <si>
    <t xml:space="preserve">CHEMBL5186682</t>
  </si>
  <si>
    <t xml:space="preserve">CCCCCC[Si](C)(C)c1cc(O)c([C@H]2C=C(CO)[C@H]3C[C@@H]2C3(C)C)c(O)c1</t>
  </si>
  <si>
    <t xml:space="preserve">CHEMBL5187099</t>
  </si>
  <si>
    <t xml:space="preserve">CCCCCC[Si](C)(C)c1cc(O)c2c(c1)OC(C)(C)[C@@H]1CC=C(CO)C[C@@H]21</t>
  </si>
  <si>
    <t xml:space="preserve">CHEMBL5200844</t>
  </si>
  <si>
    <t xml:space="preserve">CCCCCC[Si](C)(C)c1cc(O)c2c(c1)OC(C)(C)[C@@H]1CCC(C)=C[C@@H]21</t>
  </si>
  <si>
    <t xml:space="preserve">CHEMBL5194443</t>
  </si>
  <si>
    <t xml:space="preserve">CCCCCC[Si](C)(C)c1cc(O)c2c(c1)OC(C)(C)c1ccc(C)cc1-2</t>
  </si>
  <si>
    <t xml:space="preserve">CHEMBL5183968</t>
  </si>
  <si>
    <t xml:space="preserve">CCCCCC[Si](C)(C)c1cc(O)c2c(c1)OC(C)(C)c1ccc(CO)cc1-2</t>
  </si>
  <si>
    <t xml:space="preserve">CHEMBL5202948</t>
  </si>
  <si>
    <t xml:space="preserve">CCCCCC[Si](C)(C)c1cc(OC)c([C@H]2C=C(CO)[C@H]3C[C@@H]2C3(C)C)c(OC)c1</t>
  </si>
  <si>
    <t xml:space="preserve">CHEMBL228456</t>
  </si>
  <si>
    <t xml:space="preserve">CCCCCCc1c(O)cccc1OCCCCCCCC(=O)NC1CC1</t>
  </si>
  <si>
    <t xml:space="preserve">CHEMBL906559</t>
  </si>
  <si>
    <t xml:space="preserve">CHEMBL1143734</t>
  </si>
  <si>
    <t xml:space="preserve">CHEMBL228455</t>
  </si>
  <si>
    <t xml:space="preserve">CCCCCCc1c(O)cccc1OCCCCCCCC(=O)NCCO</t>
  </si>
  <si>
    <t xml:space="preserve">CHEMBL228457</t>
  </si>
  <si>
    <t xml:space="preserve">CCCCCCc1c(O)cccc1OCCCCCCCCCCC(=O)NCC1CC1</t>
  </si>
  <si>
    <t xml:space="preserve">CHEMBL228507</t>
  </si>
  <si>
    <t xml:space="preserve">CCCCCCc1c(O)cccc1OCCCCCCCCCCC(=O)NCCc1ccc(O)c(O)c1</t>
  </si>
  <si>
    <t xml:space="preserve">CHEMBL388393</t>
  </si>
  <si>
    <t xml:space="preserve">CCCCCCc1c(O)cccc1OCCCCCCCCCCC(=O)NCc1ccc(OC)c(O)c1</t>
  </si>
  <si>
    <t xml:space="preserve">CHEMBL374369</t>
  </si>
  <si>
    <t xml:space="preserve">CCCCCCc1c(O)cccc1OCCCCCCCCCCCC(=O)NC1CC1</t>
  </si>
  <si>
    <t xml:space="preserve">CHEMBL228508</t>
  </si>
  <si>
    <t xml:space="preserve">CCCCCCc1c(O)cccc1OCCCCCCCCCCCC(=O)NCCO</t>
  </si>
  <si>
    <t xml:space="preserve">CHEMBL525381</t>
  </si>
  <si>
    <t xml:space="preserve">CCCCCCc1cc(O)c2c(c1)OC(C)(C)C1=C2CCN(C)C1</t>
  </si>
  <si>
    <t xml:space="preserve">CHEMBL224772</t>
  </si>
  <si>
    <t xml:space="preserve">CCCCCCc1ccc(O)cc1OCCCCCC(=O)NC1CC1</t>
  </si>
  <si>
    <t xml:space="preserve">CHEMBL1923760</t>
  </si>
  <si>
    <t xml:space="preserve">CCCCCCc1ccc(O)cc1OCCCCCCCC(=O)OC(CO)CO</t>
  </si>
  <si>
    <t xml:space="preserve">CHEMBL3323679</t>
  </si>
  <si>
    <t xml:space="preserve">CCCCCCc1ccc(O)cc1OCCCCCCCCCCC(=O)NC(CO)CO</t>
  </si>
  <si>
    <t xml:space="preserve">CHEMBL426923</t>
  </si>
  <si>
    <t xml:space="preserve">CCCCCCc1ccc(O)cc1OCCCCCCCCCCC(=O)NC1CC1</t>
  </si>
  <si>
    <t xml:space="preserve">CHEMBL223990</t>
  </si>
  <si>
    <t xml:space="preserve">CCCCCCc1ccc(O)cc1OCCCCCCCCCCC(=O)NCCO</t>
  </si>
  <si>
    <t xml:space="preserve">CHEMBL223223</t>
  </si>
  <si>
    <t xml:space="preserve">CCCCCCc1ccc(O)cc1OCCCCCCCCCCC(=O)Nc1ccc(O)cc1</t>
  </si>
  <si>
    <t xml:space="preserve">CHEMBL1923761</t>
  </si>
  <si>
    <t xml:space="preserve">CCCCCCc1ccc(O)cc1OCCCCCCCCCCC(=O)OC(CO)CO</t>
  </si>
  <si>
    <t xml:space="preserve">CHEMBL1923777</t>
  </si>
  <si>
    <t xml:space="preserve">CCCCCCc1ccc(O)cc1OCCCCCCCCCCC(=O)OCC(O)CO</t>
  </si>
  <si>
    <t xml:space="preserve">CHEMBL375290</t>
  </si>
  <si>
    <t xml:space="preserve">CCCCCCc1ccc(O)cc1OCCCCCCCCCCCCCCCC(=O)NC1CC1</t>
  </si>
  <si>
    <t xml:space="preserve">CHEMBL3323696</t>
  </si>
  <si>
    <t xml:space="preserve">CCCCCCc1ccc(O)cc1OCCCCCCCCCCCNC(=O)C1CC1</t>
  </si>
  <si>
    <t xml:space="preserve">CHEMBL4647926</t>
  </si>
  <si>
    <t xml:space="preserve">CCCCCCc1ccc(OC)cc1OCCCCCCCCCCC(=O)NCC1CC1</t>
  </si>
  <si>
    <t xml:space="preserve">CHEMBL223991</t>
  </si>
  <si>
    <t xml:space="preserve">CCCCCCc1ccc(OCCCCCC(=O)NC2CC2)cc1O</t>
  </si>
  <si>
    <t xml:space="preserve">CHEMBL224574</t>
  </si>
  <si>
    <t xml:space="preserve">CCCCCCc1ccc(OCCCCCC(=O)NCCO)cc1O</t>
  </si>
  <si>
    <t xml:space="preserve">CHEMBL228510</t>
  </si>
  <si>
    <t xml:space="preserve">CCCCCCc1ccc(OCCCCCCCC(=O)NC2CC2)cc1O</t>
  </si>
  <si>
    <t xml:space="preserve">CHEMBL228509</t>
  </si>
  <si>
    <t xml:space="preserve">CCCCCCc1ccc(OCCCCCCCC(=O)NCCO)cc1O</t>
  </si>
  <si>
    <t xml:space="preserve">CHEMBL1923758</t>
  </si>
  <si>
    <t xml:space="preserve">CCCCCCc1ccc(OCCCCCCCC(=O)OC(CO)CO)cc1O</t>
  </si>
  <si>
    <t xml:space="preserve">CHEMBL225496</t>
  </si>
  <si>
    <t xml:space="preserve">CCCCCCc1ccc(OCCCCCCCCCCC(=O)NC2CC2)cc1O</t>
  </si>
  <si>
    <t xml:space="preserve">CHEMBL228566</t>
  </si>
  <si>
    <t xml:space="preserve">CCCCCCc1ccc(OCCCCCCCCCCC(=O)NCC2CC2)cc1O</t>
  </si>
  <si>
    <t xml:space="preserve">CHEMBL4637806</t>
  </si>
  <si>
    <t xml:space="preserve">CCCCCCc1ccc(OCCCCCCCCCCC(=O)NCC2CC2)cc1OC</t>
  </si>
  <si>
    <t xml:space="preserve">CHEMBL224461</t>
  </si>
  <si>
    <t xml:space="preserve">CCCCCCc1ccc(OCCCCCCCCCCC(=O)NCCO)cc1O</t>
  </si>
  <si>
    <t xml:space="preserve">CHEMBL1923759</t>
  </si>
  <si>
    <t xml:space="preserve">CCCCCCc1ccc(OCCCCCCCCCCC(=O)OC(CO)CO)cc1O</t>
  </si>
  <si>
    <t xml:space="preserve">CHEMBL1923776</t>
  </si>
  <si>
    <t xml:space="preserve">CCCCCCc1ccc(OCCCCCCCCCCC(=O)OCC(O)CO)cc1O</t>
  </si>
  <si>
    <t xml:space="preserve">CHEMBL229821</t>
  </si>
  <si>
    <t xml:space="preserve">CCCCCCc1ccc(OCCCCCCCCCCCC(=O)NC2CC2)cc1O</t>
  </si>
  <si>
    <t xml:space="preserve">CHEMBL1923770</t>
  </si>
  <si>
    <t xml:space="preserve">CCCCCCc1ccc(OCCCCCCCCCCOC(CO)CO)cc1O</t>
  </si>
  <si>
    <t xml:space="preserve">CHEMBL1923769</t>
  </si>
  <si>
    <t xml:space="preserve">CCCCCCc1ccc(OCCCCCCOC(CO)CO)cc1O</t>
  </si>
  <si>
    <t xml:space="preserve">CHEMBL328379</t>
  </si>
  <si>
    <t xml:space="preserve">CCCCCCc1nc(-c2ccc(Cl)cc2)n(-c2ccc(Cl)cc2Cl)n1</t>
  </si>
  <si>
    <t xml:space="preserve">CHEMBL2353264</t>
  </si>
  <si>
    <t xml:space="preserve">CHEMBL2346571</t>
  </si>
  <si>
    <t xml:space="preserve">Displacement of [3H]-CP55940 from human CB2 receptor after 90 mins by liquid scintillation spectrophotometer analysis</t>
  </si>
  <si>
    <t xml:space="preserve">CHEMBL4550003</t>
  </si>
  <si>
    <t xml:space="preserve">CCCCCCn1c(=O)sc2cc(C(=O)C34CC5CC(CC(C5)C3)C4)ccc21</t>
  </si>
  <si>
    <t xml:space="preserve">CHEMBL2348268</t>
  </si>
  <si>
    <t xml:space="preserve">CCCCCCn1c(C)c(C)cc(Oc2nc3ccccc3o2)c1=S</t>
  </si>
  <si>
    <t xml:space="preserve">CHEMBL2352782</t>
  </si>
  <si>
    <t xml:space="preserve">CHEMBL2346633</t>
  </si>
  <si>
    <t xml:space="preserve">Displacement of [H3]-CP-55940 from human recombinant CB2 receptor expressed in CHO cells</t>
  </si>
  <si>
    <t xml:space="preserve">CHEMBL2441454</t>
  </si>
  <si>
    <t xml:space="preserve">CCCCCCn1c2ccccc2c2cc(C(=O)N3CCCCC3)ccc21</t>
  </si>
  <si>
    <t xml:space="preserve">CHEMBL1641946</t>
  </si>
  <si>
    <t xml:space="preserve">CCCCCCn1cc(C(=O)NC23CC4CC(CC(C4)C2)C3)c(=O)cc1-c1ccccc1</t>
  </si>
  <si>
    <t xml:space="preserve">CHEMBL2316291</t>
  </si>
  <si>
    <t xml:space="preserve">CCCCCCn1cc(C(=O)NC2CCCCC2)c(=O)c2c(C)nn(C)c21</t>
  </si>
  <si>
    <t xml:space="preserve">CHEMBL2319554</t>
  </si>
  <si>
    <t xml:space="preserve">CHEMBL2311525</t>
  </si>
  <si>
    <t xml:space="preserve">Displacement of [3H]CP-55,940 from human recombinant CB2 receptor expressed in CHO cell membranes after 60 mins by scintillation counting analysis</t>
  </si>
  <si>
    <t xml:space="preserve">CHEMBL1668521</t>
  </si>
  <si>
    <t xml:space="preserve">CCCCCCn1cc(C(=O)NC2CCCCC2)c(=O)c2ccc(C)nc21</t>
  </si>
  <si>
    <t xml:space="preserve">CHEMBL200100</t>
  </si>
  <si>
    <t xml:space="preserve">CCCCCCn1cc(C(=O)Nc2cccc3ccccc23)c(=O)c2ccccc21</t>
  </si>
  <si>
    <t xml:space="preserve">CHEMBL235057</t>
  </si>
  <si>
    <t xml:space="preserve">CCCCCCn1cc(C(=O)c2cccc3ccccc23)c(=O)c2ccccc21</t>
  </si>
  <si>
    <t xml:space="preserve">CHEMBL374982</t>
  </si>
  <si>
    <t xml:space="preserve">CCCCCCn1cc(C(=O)c2cccc3ccccc23)cc1-c1ccccc1</t>
  </si>
  <si>
    <t xml:space="preserve">CHEMBL3421695</t>
  </si>
  <si>
    <t xml:space="preserve">CCCCCCn1nc2c3ccccc3n(CCCCC)cc-2c1=O</t>
  </si>
  <si>
    <t xml:space="preserve">CHEMBL3425366</t>
  </si>
  <si>
    <t xml:space="preserve">CHEMBL3421616</t>
  </si>
  <si>
    <t xml:space="preserve">Displacement of [3H]-CP55940 from human CB2 receptor after 1 hr by scintillation counting analysis</t>
  </si>
  <si>
    <t xml:space="preserve">CHEMBL1836868</t>
  </si>
  <si>
    <t xml:space="preserve">CCCCCN1C(=O)/C(=N\NC(=O)CN(C)c2ccc([N+](=O)[O-])c3nonc23)c2ccc(OC)cc21</t>
  </si>
  <si>
    <t xml:space="preserve">CHEMBL1837181</t>
  </si>
  <si>
    <t xml:space="preserve">CHEMBL1833906</t>
  </si>
  <si>
    <t xml:space="preserve">Displacement of [3H]-CP55940 from human recombinant cannabinoid CB2 receptor expressed in CHO-K1 cells</t>
  </si>
  <si>
    <t xml:space="preserve">CHEMBL4637535</t>
  </si>
  <si>
    <t xml:space="preserve">CCCCCN1C(=O)C(C(=O)NC23CC4CC(CC(C4)C2)C3)=C(O)C2C1C=NN2C</t>
  </si>
  <si>
    <t xml:space="preserve">CHEMBL1223777</t>
  </si>
  <si>
    <t xml:space="preserve">CCCCCN1N=C(C(=O)NC(C)(C)c2ccc(F)cc2)CC1c1ccccc1</t>
  </si>
  <si>
    <t xml:space="preserve">CHEMBL1223776</t>
  </si>
  <si>
    <t xml:space="preserve">CCCCCN1N=C(C(=O)NC2C3CC4CC(C3)CC2C4)CC1c1ccccc1</t>
  </si>
  <si>
    <t xml:space="preserve">CHEMBL1223778</t>
  </si>
  <si>
    <t xml:space="preserve">CCCCCN1N=C(C(=O)N[C@H]2C[C@H]3CC[C@]2(C)C3(C)C)CC1c1ccccc1</t>
  </si>
  <si>
    <t xml:space="preserve">CHEMBL1223835</t>
  </si>
  <si>
    <t xml:space="preserve">CCCCCN1N=C(C(=O)N[C@H]2C[C@H]3CC[C@]2(C)C3(C)C)CC1c1ccccc1F</t>
  </si>
  <si>
    <t xml:space="preserve">CHEMBL4089791</t>
  </si>
  <si>
    <t xml:space="preserve">CCCCCNC(=O)C(C)(C)c1cc(O)c2c(c1)OC(C)(C)[C@@H]1CC=C(C)C[C@@H]21</t>
  </si>
  <si>
    <t xml:space="preserve">CHEMBL1631168</t>
  </si>
  <si>
    <t xml:space="preserve">CCCCCNC(=O)c1nn(-c2ccc(Cl)cc2Cl)c(-n2c(C)ccc2C)c1C</t>
  </si>
  <si>
    <t xml:space="preserve">CHEMBL1631162</t>
  </si>
  <si>
    <t xml:space="preserve">CCCCCNC(=O)c1nn(-c2ccc(Cl)cc2Cl)c(-n2cccc2)c1C</t>
  </si>
  <si>
    <t xml:space="preserve">CHEMBL3410826</t>
  </si>
  <si>
    <t xml:space="preserve">CCCCCNc1c(OC)ccc2c1CN(CCc1ccc(O)cc1)C2=O</t>
  </si>
  <si>
    <t xml:space="preserve">CHEMBL3411783</t>
  </si>
  <si>
    <t xml:space="preserve">CHEMBL3407392</t>
  </si>
  <si>
    <t xml:space="preserve">CHEMBL5428372</t>
  </si>
  <si>
    <t xml:space="preserve">CCCCCNc1ccc(-c2ccc(C)cc2)cc1C(=O)NC12CC3CC(CC(C3)C1)C2</t>
  </si>
  <si>
    <t xml:space="preserve">CHEMBL5419335</t>
  </si>
  <si>
    <t xml:space="preserve">CCCCCNc1ccc(-c2ccc(F)cc2)cc1C(=O)NC12CC3CC(CC(C3)C1)C2</t>
  </si>
  <si>
    <t xml:space="preserve">CHEMBL5406967</t>
  </si>
  <si>
    <t xml:space="preserve">CCCCCNc1ccc(-c2ccc(OC)cc2)cc1C(=O)NC12CC3CC(CC(C3)C1)C2</t>
  </si>
  <si>
    <t xml:space="preserve">CHEMBL5428487</t>
  </si>
  <si>
    <t xml:space="preserve">CCCCCNc1ccc(-c2cccc(F)c2)cc1C(=O)NC12CC3CC(CC(C3)C1)C2</t>
  </si>
  <si>
    <t xml:space="preserve">CHEMBL5410025</t>
  </si>
  <si>
    <t xml:space="preserve">CCCCCNc1ccc(-c2ccccc2)cc1C(=O)NC12CC3CC(CC(C3)C1)C2</t>
  </si>
  <si>
    <t xml:space="preserve">CHEMBL5409408</t>
  </si>
  <si>
    <t xml:space="preserve">CCCCCNc1ccc(-c2cccnc2)cc1C(=O)NC12CC3CC(CC(C3)C1)C2</t>
  </si>
  <si>
    <t xml:space="preserve">CHEMBL5422557</t>
  </si>
  <si>
    <t xml:space="preserve">CCCCCNc1ccc(-c2cccs2)cc1C(=O)NC12CC3CC(CC(C3)C1)C2</t>
  </si>
  <si>
    <t xml:space="preserve">CHEMBL5430360</t>
  </si>
  <si>
    <t xml:space="preserve">CCCCCNc1ccc(Br)cc1C(=O)NC12CC3CC(CC(C3)C1)C2</t>
  </si>
  <si>
    <t xml:space="preserve">CHEMBL4454301</t>
  </si>
  <si>
    <t xml:space="preserve">CCCCCNc1ccc(C(=O)c2c(-c3ccc(OC)cc3)oc3ccccc23)cc1</t>
  </si>
  <si>
    <t xml:space="preserve">CHEMBL5424370</t>
  </si>
  <si>
    <t xml:space="preserve">CCCCCNc1ccccc1C(=O)NC12CC3CC(CC(C3)C1)C2</t>
  </si>
  <si>
    <t xml:space="preserve">CHEMBL228798</t>
  </si>
  <si>
    <t xml:space="preserve">CCCCCOC(=O)c1cc(O)c(-c2cc(C)cc(C)c2)c(O)c1</t>
  </si>
  <si>
    <t xml:space="preserve">CHEMBL890772</t>
  </si>
  <si>
    <t xml:space="preserve">CHEMBL1146227</t>
  </si>
  <si>
    <t xml:space="preserve">CHEMBL436801</t>
  </si>
  <si>
    <t xml:space="preserve">CCCCCOC(=O)c1cc(O)c(-c2cc(C)cc(C)c2)c(OC)c1</t>
  </si>
  <si>
    <t xml:space="preserve">CHEMBL228852</t>
  </si>
  <si>
    <t xml:space="preserve">CCCCCOC(=O)c1cc(O)c(-c2ccccc2)c(O)c1</t>
  </si>
  <si>
    <t xml:space="preserve">CHEMBL3410822</t>
  </si>
  <si>
    <t xml:space="preserve">CCCCCOc1c(OC)ccc2c(=O)n(CCc3ccc(O)cc3)ccc12</t>
  </si>
  <si>
    <t xml:space="preserve">CHEMBL3410823</t>
  </si>
  <si>
    <t xml:space="preserve">CCCCCOc1c(OC)ccc2c(=O)n(CCc3ccncc3)ccc12</t>
  </si>
  <si>
    <t xml:space="preserve">CHEMBL3410824</t>
  </si>
  <si>
    <t xml:space="preserve">CCCCCOc1c(OC)ccc2c1C(=O)N(CCc1ccc(O)cc1)C2=O</t>
  </si>
  <si>
    <t xml:space="preserve">CHEMBL3410825</t>
  </si>
  <si>
    <t xml:space="preserve">CCCCCOc1c(OC)ccc2c1CCN(CCc1ccc(O)cc1)C2=O</t>
  </si>
  <si>
    <t xml:space="preserve">CHEMBL3410828</t>
  </si>
  <si>
    <t xml:space="preserve">CCCCCOc1c(OC)ccc2c1CN(CCc1ccc(N)cc1)C2=O</t>
  </si>
  <si>
    <t xml:space="preserve">CHEMBL3410834</t>
  </si>
  <si>
    <t xml:space="preserve">CCCCCOc1c(OC)ccc2c1CN(CCc1ccc(O)cc1)C2=O</t>
  </si>
  <si>
    <t xml:space="preserve">CHEMBL3410830</t>
  </si>
  <si>
    <t xml:space="preserve">CCCCCOc1c(OC)ccc2cc(C(=O)N3CCCC(C(=O)OCC)C3)c(=O)[nH]c12</t>
  </si>
  <si>
    <t xml:space="preserve">CHEMBL3410814</t>
  </si>
  <si>
    <t xml:space="preserve">CCCCCOc1c(OC)ccc2cc(C(=O)N3CCCc4ccccc4C3)c(=O)[nH]c12</t>
  </si>
  <si>
    <t xml:space="preserve">CHEMBL600647</t>
  </si>
  <si>
    <t xml:space="preserve">CCCCCOc1c(OC)ccc2cc(C(=O)NCCc3ccc(F)cc3)c(=O)[nH]c12</t>
  </si>
  <si>
    <t xml:space="preserve">CHEMBL3410832</t>
  </si>
  <si>
    <t xml:space="preserve">CCCCCOc1c(OC)ccc2cc(C(=O)NCCc3ccc(F)cc3)c(=O)n(C)c12</t>
  </si>
  <si>
    <t xml:space="preserve">CHEMBL3410816</t>
  </si>
  <si>
    <t xml:space="preserve">CCCCCOc1c(OC)ccc2cc(C(=O)NCCc3ccc(O)c(OC)c3)c(=O)[nH]c12</t>
  </si>
  <si>
    <t xml:space="preserve">CHEMBL204387</t>
  </si>
  <si>
    <t xml:space="preserve">CCCCCOc1c(OC)ccc2cc(C(=O)NCCc3ccc(O)cc3)c(O)nc12</t>
  </si>
  <si>
    <t xml:space="preserve">CHEMBL3410831</t>
  </si>
  <si>
    <t xml:space="preserve">CCCCCOc1c(OC)ccc2cc(C(=O)NCCc3ccccc3F)c(=O)[nH]c12</t>
  </si>
  <si>
    <t xml:space="preserve">CHEMBL1822945</t>
  </si>
  <si>
    <t xml:space="preserve">CCCCCOc1c(OC)ccc2cc(C(=O)NCCc3ccncc3)c(=O)[nH]c12</t>
  </si>
  <si>
    <t xml:space="preserve">CHEMBL3407534</t>
  </si>
  <si>
    <t xml:space="preserve">CCCCCOc1c(OC)ccc2cc(C(=O)NCCc3ccncc3)c(=O)n(C)c12</t>
  </si>
  <si>
    <t xml:space="preserve">CHEMBL3410819</t>
  </si>
  <si>
    <t xml:space="preserve">CCCCCOc1c(OC)ccc2cc(C(=O)NCc3ccc4c(c3)OCO4)c(=O)n(C)c12</t>
  </si>
  <si>
    <t xml:space="preserve">CHEMBL3410729</t>
  </si>
  <si>
    <t xml:space="preserve">CCCCCOc1c(OC)ccc2cc(C(=O)NCc3ccc4c(c3)OCO4)c(=O)oc12</t>
  </si>
  <si>
    <t xml:space="preserve">CHEMBL3410833</t>
  </si>
  <si>
    <t xml:space="preserve">CCCCCOc1cc(/C=C/C(=O)NCCc2ccc(O)cc2)ccc1OC</t>
  </si>
  <si>
    <t xml:space="preserve">CHEMBL3410821</t>
  </si>
  <si>
    <t xml:space="preserve">CCCCCOc1cc(/C=C/C(=O)NCCc2ccncc2)ccc1OC</t>
  </si>
  <si>
    <t xml:space="preserve">CHEMBL3410730</t>
  </si>
  <si>
    <t xml:space="preserve">CCCCCOc1cc(C(=O)NC2CCc3cc(O)c(O)cc3C2)ccc1OC</t>
  </si>
  <si>
    <t xml:space="preserve">CHEMBL3410829</t>
  </si>
  <si>
    <t xml:space="preserve">CCCCCOc1cc(C(=O)NCCc2ccc(O)cc2)ccc1OC</t>
  </si>
  <si>
    <t xml:space="preserve">CHEMBL3410810</t>
  </si>
  <si>
    <t xml:space="preserve">CCCCCOc1cc(C(=O)NCCc2ccncc2)ccc1OC</t>
  </si>
  <si>
    <t xml:space="preserve">CHEMBL3410812</t>
  </si>
  <si>
    <t xml:space="preserve">CCCCCOc1ccc(C(=O)NCCc2ccc(N)cc2)cc1SCCCCC</t>
  </si>
  <si>
    <t xml:space="preserve">CHEMBL3410811</t>
  </si>
  <si>
    <t xml:space="preserve">CCCCCOc1ccc(C(=O)NCCc2ccc(O)cc2)cc1OCCCCC</t>
  </si>
  <si>
    <t xml:space="preserve">CHEMBL244403</t>
  </si>
  <si>
    <t xml:space="preserve">CCCCCOc1ccc(C(=O)c2cccc3ccccc23)c2ccccc12</t>
  </si>
  <si>
    <t xml:space="preserve">CHEMBL2032794</t>
  </si>
  <si>
    <t xml:space="preserve">CHEMBL2029249</t>
  </si>
  <si>
    <t xml:space="preserve">CHEMBL3410827</t>
  </si>
  <si>
    <t xml:space="preserve">CCCCCOc1ccc2c(c1OCCCCC)CN(CCc1ccc(N)cc1)C2=O</t>
  </si>
  <si>
    <t xml:space="preserve">CHEMBL3410813</t>
  </si>
  <si>
    <t xml:space="preserve">CCCCCOc1ccc2cc(C(=O)NCCc3ccc(F)cc3)c(=O)[nH]c2c1OCCCCC</t>
  </si>
  <si>
    <t xml:space="preserve">CHEMBL1814470</t>
  </si>
  <si>
    <t xml:space="preserve">CCCCCOc1cccc2c(=O)c(C(=O)NC34CC5CC(CC(C5)C3)C4)c[nH]c12</t>
  </si>
  <si>
    <t xml:space="preserve">CHEMBL2414041</t>
  </si>
  <si>
    <t xml:space="preserve">CCCCCOc1ccccc1-c1cc(C(=O)N(CC(C)C)CC(C)C)no1</t>
  </si>
  <si>
    <t xml:space="preserve">CHEMBL2415445</t>
  </si>
  <si>
    <t xml:space="preserve">Displacement of [3H]-SR141716A from human CB1 receptor expressed in CHO membranes after 1 hr by liquid scintillation counting</t>
  </si>
  <si>
    <t xml:space="preserve">CHEMBL2414022</t>
  </si>
  <si>
    <t xml:space="preserve">CCCCCOc1ccccc1-c1cc(C(=O)NC23CC4CC(CC(C4)C2)C3)no1</t>
  </si>
  <si>
    <t xml:space="preserve">CHEMBL2414029</t>
  </si>
  <si>
    <t xml:space="preserve">CCCCCOc1ccccc1-c1cc(C(=O)NC23CC4CC(CC2C4)C3)no1</t>
  </si>
  <si>
    <t xml:space="preserve">CHEMBL2414028</t>
  </si>
  <si>
    <t xml:space="preserve">CCCCCOc1ccccc1-c1cc(C(=O)NC2C3CC4CC(C3)CC2C4)no1</t>
  </si>
  <si>
    <t xml:space="preserve">CHEMBL2414031</t>
  </si>
  <si>
    <t xml:space="preserve">CCCCCOc1ccccc1-c1cc(C(=O)NC2CCC2)no1</t>
  </si>
  <si>
    <t xml:space="preserve">CHEMBL2414032</t>
  </si>
  <si>
    <t xml:space="preserve">CCCCCOc1ccccc1-c1cc(C(=O)NC2CCCC2)no1</t>
  </si>
  <si>
    <t xml:space="preserve">CHEMBL2414033</t>
  </si>
  <si>
    <t xml:space="preserve">CCCCCOc1ccccc1-c1cc(C(=O)NC2CCCCC2)no1</t>
  </si>
  <si>
    <t xml:space="preserve">CHEMBL2414035</t>
  </si>
  <si>
    <t xml:space="preserve">CCCCCOc1ccccc1-c1cc(C(=O)NC2CCCCCC2)no1</t>
  </si>
  <si>
    <t xml:space="preserve">CHEMBL2414036</t>
  </si>
  <si>
    <t xml:space="preserve">CCCCCOc1ccccc1-c1cc(C(=O)NC2CCCCCCC2)no1</t>
  </si>
  <si>
    <t xml:space="preserve">CHEMBL2414034</t>
  </si>
  <si>
    <t xml:space="preserve">CCCCCOc1ccccc1-c1cc(C(=O)NN2CCCCC2)no1</t>
  </si>
  <si>
    <t xml:space="preserve">CHEMBL5437134</t>
  </si>
  <si>
    <t xml:space="preserve">CCCCCOc1ccccc1C(=O)NC12CC3CC(CC(C3)C1)C2</t>
  </si>
  <si>
    <t xml:space="preserve">CHEMBL5317104</t>
  </si>
  <si>
    <t xml:space="preserve">CHEMBL5316280</t>
  </si>
  <si>
    <t xml:space="preserve">Displacement of [3H]CP55940 from recombinant human CB2 receptor expressed in HEK293 cell membrane incubated for 90 mins by beta scintillation counter method</t>
  </si>
  <si>
    <t xml:space="preserve">CHEMBL3116287</t>
  </si>
  <si>
    <t xml:space="preserve">CCCCCOc1nn(CCCCC)c2ccc([N+](=O)[O-])cc12</t>
  </si>
  <si>
    <t xml:space="preserve">CHEMBL4447876</t>
  </si>
  <si>
    <t xml:space="preserve">CCCCCS(=O)(=O)NC1CCN(c2ncnc3c2nc(-c2ccccc2Cl)n3-c2ccc(Cl)cc2)CC1</t>
  </si>
  <si>
    <t xml:space="preserve">CHEMBL3410820</t>
  </si>
  <si>
    <t xml:space="preserve">CCCCCSc1cc(/C=C/C(=O)NCCc2ccc(O)cc2)ccc1OC</t>
  </si>
  <si>
    <t xml:space="preserve">CHEMBL2347041</t>
  </si>
  <si>
    <t xml:space="preserve">CCCCCc1cc(-c2ccc(Cl)cc2)n(-c2ccc(Cl)cc2Cl)n1</t>
  </si>
  <si>
    <t xml:space="preserve">CHEMBL2347040</t>
  </si>
  <si>
    <t xml:space="preserve">CCCCCc1cc(-c2ccccc2)n(-c2ccccc2)n1</t>
  </si>
  <si>
    <t xml:space="preserve">CHEMBL1277409</t>
  </si>
  <si>
    <t xml:space="preserve">CCCCCc1cc(Br)c2c(c1)OC(C)(C)[C@@H]1CC=C(C)C[C@@H]21</t>
  </si>
  <si>
    <t xml:space="preserve">CHEMBL1823117</t>
  </si>
  <si>
    <t xml:space="preserve">CCCCCc1cc(O)c(C/C=C(\C)CC/C=C(\C)CCC=C(C)C)c(O)c1</t>
  </si>
  <si>
    <t xml:space="preserve">CHEMBL1825335</t>
  </si>
  <si>
    <t xml:space="preserve">CHEMBL1821606</t>
  </si>
  <si>
    <t xml:space="preserve">Displacement of [3H]-CP-55,940 from human recombinant CB2 receptor expressed in HEK293 cells membrane incubated for 90 mins</t>
  </si>
  <si>
    <t xml:space="preserve">CHEMBL6147195</t>
  </si>
  <si>
    <t xml:space="preserve">CCCCCc1cc(O)c([C@H]2C=C(CO)CC[C@@H]2C(C)C)c(O)c1</t>
  </si>
  <si>
    <t xml:space="preserve">CHEMBL6080616</t>
  </si>
  <si>
    <t xml:space="preserve">Displacement of [3H]CP-55,940 from human CB2 receptor extracted from CHO cell membrane assessed as inhibition constant incubated for 90 mins</t>
  </si>
  <si>
    <t xml:space="preserve">CHEMBL250427</t>
  </si>
  <si>
    <t xml:space="preserve">CCCCCc1cc(O)c2c(c1)CC(C)(C)[C@@H]1CCC(C)=C[C@@H]21</t>
  </si>
  <si>
    <t xml:space="preserve">CHEMBL4286213</t>
  </si>
  <si>
    <t xml:space="preserve">CCCCCc1cc(O)c2c(c1)OC(C)(C)C1=C2C(O)C(C)(OC)CC1</t>
  </si>
  <si>
    <t xml:space="preserve">CHEMBL4294111</t>
  </si>
  <si>
    <t xml:space="preserve">CCCCCc1cc(O)c2c(c1)OC(C)(C)C1=C2C(OC(C)=O)C(C)(OC)CC1</t>
  </si>
  <si>
    <t xml:space="preserve">CHEMBL3329945</t>
  </si>
  <si>
    <t xml:space="preserve">CCCCCc1cc(O)c2c(c1)OC(C)(C)C1=C2C[C@@H](C)CC1</t>
  </si>
  <si>
    <t xml:space="preserve">CHEMBL3364789</t>
  </si>
  <si>
    <t xml:space="preserve">CHEMBL3351653</t>
  </si>
  <si>
    <t xml:space="preserve">Displacement of [3H]CP55940 from human cannabinoid CB2 receptor expressed in CHO-K1 cells by liquid scintillation counting</t>
  </si>
  <si>
    <t xml:space="preserve">CHEMBL3329946</t>
  </si>
  <si>
    <t xml:space="preserve">CCCCCc1cc(O)c2c(c1)OC(C)(C)C1=C2C[C@H](C)CC1</t>
  </si>
  <si>
    <t xml:space="preserve">CHEMBL4282822</t>
  </si>
  <si>
    <t xml:space="preserve">CCCCCc1cc(O)c2c(c1)OC(C)(C)[C@@H]1C=C[C@@](C)(O)C[C@@H]21</t>
  </si>
  <si>
    <t xml:space="preserve">CHEMBL267227</t>
  </si>
  <si>
    <t xml:space="preserve">CCCCCc1cc(O)c2c(c1)OC(C)(C)[C@@H]1CC=C(C)C[C@@H]21</t>
  </si>
  <si>
    <t xml:space="preserve">CHEMBL3586107</t>
  </si>
  <si>
    <t xml:space="preserve">CCCCCc1cc(O)c2c(c1)OC(C)(C)[C@@H]1CC=C(C)[C@@H](O)[C@@H]21</t>
  </si>
  <si>
    <t xml:space="preserve">CHEMBL3586106</t>
  </si>
  <si>
    <t xml:space="preserve">CCCCCc1cc(O)c2c(c1)OC(C)(C)[C@@H]1CC=C(C)[C@H](O)[C@@H]21</t>
  </si>
  <si>
    <t xml:space="preserve">CHEMBL4862731</t>
  </si>
  <si>
    <t xml:space="preserve">CCCCCc1cc(O)c2c(c1)OC(C)(C)[C@@H]1CCC(C)=C[C@H]21</t>
  </si>
  <si>
    <t xml:space="preserve">CHEMBL4840833</t>
  </si>
  <si>
    <t xml:space="preserve">CHEMBL4840315</t>
  </si>
  <si>
    <t xml:space="preserve">Displacement of [3H]CP55940 from human CB2 receptor transfected in CHO cells measured for 1.5 hrs by liquid scintillation counting analysis</t>
  </si>
  <si>
    <t xml:space="preserve">CHEMBL3586109</t>
  </si>
  <si>
    <t xml:space="preserve">CCCCCc1cc(O)c2c(c1)OC(C)(C)[C@@H]1CC[C@@]3(C)O[C@H]3[C@@H]21</t>
  </si>
  <si>
    <t xml:space="preserve">CHEMBL3586111</t>
  </si>
  <si>
    <t xml:space="preserve">CCCCCc1cc(O)c2c(c1)OC(C)(C)[C@@H]1CC[C@](C)(O)[C@@H](O)[C@@H]21</t>
  </si>
  <si>
    <t xml:space="preserve">CHEMBL3586105</t>
  </si>
  <si>
    <t xml:space="preserve">CCCCCc1cc(O)c2c(c1)OC(C)(C)[C@@H]1C[C@@H](O)C(C)=C[C@@H]21</t>
  </si>
  <si>
    <t xml:space="preserve">CHEMBL3586104</t>
  </si>
  <si>
    <t xml:space="preserve">CCCCCc1cc(O)c2c(c1)OC(C)(C)[C@@H]1C[C@H](O)C(C)=C[C@@H]21</t>
  </si>
  <si>
    <t xml:space="preserve">CHEMBL464679</t>
  </si>
  <si>
    <t xml:space="preserve">CCCCCc1cc(O)c2c(c1)OC(C)(C)[C@H]1CC=C(C)C[C@H]21</t>
  </si>
  <si>
    <t xml:space="preserve">CHEMBL4845760</t>
  </si>
  <si>
    <t xml:space="preserve">CCCCCc1cc(O)c2c(c1)OC(C)(C)[C@H]1CCC(C)=C[C@@H]21</t>
  </si>
  <si>
    <t xml:space="preserve">CHEMBL422704</t>
  </si>
  <si>
    <t xml:space="preserve">CCCCCc1cc(O)c2c(c1)OC(C)(CCC=C(C)C)C=C2</t>
  </si>
  <si>
    <t xml:space="preserve">CHEMBL6083335</t>
  </si>
  <si>
    <t xml:space="preserve">CHEMBL6083178</t>
  </si>
  <si>
    <t xml:space="preserve">Binding affinity to CB2 receptor (unknown origin) assessed as inhibition constant measured after 90 mins</t>
  </si>
  <si>
    <t xml:space="preserve">CHEMBL3329481</t>
  </si>
  <si>
    <t xml:space="preserve">CCCCCc1cc(O)c2c(c1)OC1=C(CC[C@@H](C)C1)C2(C)C</t>
  </si>
  <si>
    <t xml:space="preserve">CHEMBL3329480</t>
  </si>
  <si>
    <t xml:space="preserve">CCCCCc1cc(O)c2c(c1)OC1=C(CC[C@H](C)C1)C2(C)C</t>
  </si>
  <si>
    <t xml:space="preserve">CHEMBL2177256</t>
  </si>
  <si>
    <t xml:space="preserve">CCCCCc1cc(O)c2cc(Cc3cccc(C)c3)c(=O)oc2c1</t>
  </si>
  <si>
    <t xml:space="preserve">CHEMBL2177262</t>
  </si>
  <si>
    <t xml:space="preserve">CCCCCc1cc(O)c2cc(Cc3cccc(Cl)c3)c(=O)oc2c1</t>
  </si>
  <si>
    <t xml:space="preserve">CHEMBL2177250</t>
  </si>
  <si>
    <t xml:space="preserve">CCCCCc1cc(O)c2cc(Cc3cccc(O)c3)c(=O)oc2c1</t>
  </si>
  <si>
    <t xml:space="preserve">CHEMBL2177252</t>
  </si>
  <si>
    <t xml:space="preserve">CCCCCc1cc(O)c2cc(Cc3ccccc3)c(=O)oc2c1</t>
  </si>
  <si>
    <t xml:space="preserve">CHEMBL2177254</t>
  </si>
  <si>
    <t xml:space="preserve">CCCCCc1cc(O)c2cc(Cc3ccccc3C)c(=O)oc2c1</t>
  </si>
  <si>
    <t xml:space="preserve">CHEMBL2177260</t>
  </si>
  <si>
    <t xml:space="preserve">CCCCCc1cc(O)c2cc(Cc3ccccc3Cl)c(=O)oc2c1</t>
  </si>
  <si>
    <t xml:space="preserve">CHEMBL2177258</t>
  </si>
  <si>
    <t xml:space="preserve">CCCCCc1cc(O)c2cc(Cc3ccccc3O)c(=O)oc2c1</t>
  </si>
  <si>
    <t xml:space="preserve">CHEMBL224105</t>
  </si>
  <si>
    <t xml:space="preserve">CCCCCc1cc(O)cc(OCCCCCC(=O)NC2CC2)c1</t>
  </si>
  <si>
    <t xml:space="preserve">CHEMBL228347</t>
  </si>
  <si>
    <t xml:space="preserve">CCCCCc1cc(O)cc(OCCCCCCCC(=O)NC2CC2)c1</t>
  </si>
  <si>
    <t xml:space="preserve">CHEMBL228346</t>
  </si>
  <si>
    <t xml:space="preserve">CCCCCc1cc(O)cc(OCCCCCCCC(=O)NCCO)c1</t>
  </si>
  <si>
    <t xml:space="preserve">CHEMBL3323672</t>
  </si>
  <si>
    <t xml:space="preserve">CCCCCc1cc(O)cc(OCCCCCCCC(=O)N[C@H](C)CO)c1</t>
  </si>
  <si>
    <t xml:space="preserve">CHEMBL1923756</t>
  </si>
  <si>
    <t xml:space="preserve">CCCCCc1cc(O)cc(OCCCCCCCC(=O)OC(CO)CO)c1</t>
  </si>
  <si>
    <t xml:space="preserve">CHEMBL3323676</t>
  </si>
  <si>
    <t xml:space="preserve">CCCCCc1cc(O)cc(OCCCCCCCCCCC(=O)NC(CO)CO)c1</t>
  </si>
  <si>
    <t xml:space="preserve">CHEMBL225506</t>
  </si>
  <si>
    <t xml:space="preserve">CCCCCc1cc(O)cc(OCCCCCCCCCCC(=O)NC2CC2)c1</t>
  </si>
  <si>
    <t xml:space="preserve">CHEMBL3323683</t>
  </si>
  <si>
    <t xml:space="preserve">CCCCCc1cc(O)cc(OCCCCCCCCCCC(=O)NCC(F)(F)F)c1</t>
  </si>
  <si>
    <t xml:space="preserve">CHEMBL228348</t>
  </si>
  <si>
    <t xml:space="preserve">CCCCCc1cc(O)cc(OCCCCCCCCCCC(=O)NCC2CC2)c1</t>
  </si>
  <si>
    <t xml:space="preserve">CHEMBL224259</t>
  </si>
  <si>
    <t xml:space="preserve">CCCCCc1cc(O)cc(OCCCCCCCCCCC(=O)NCCO)c1</t>
  </si>
  <si>
    <t xml:space="preserve">CHEMBL228403</t>
  </si>
  <si>
    <t xml:space="preserve">CCCCCc1cc(O)cc(OCCCCCCCCCCC(=O)NCc2ccc(OC)c(O)c2)c1</t>
  </si>
  <si>
    <t xml:space="preserve">CHEMBL3323686</t>
  </si>
  <si>
    <t xml:space="preserve">CCCCCc1cc(O)cc(OCCCCCCCCCCC(=O)NCc2ccccc2)c1</t>
  </si>
  <si>
    <t xml:space="preserve">CHEMBL3323692</t>
  </si>
  <si>
    <t xml:space="preserve">CCCCCc1cc(O)cc(OCCCCCCCCCCC(=O)NN(C)C)c1</t>
  </si>
  <si>
    <t xml:space="preserve">CHEMBL3323693</t>
  </si>
  <si>
    <t xml:space="preserve">CCCCCc1cc(O)cc(OCCCCCCCCCCC(=O)NN2CCCCC2)c1</t>
  </si>
  <si>
    <t xml:space="preserve">CHEMBL3323673</t>
  </si>
  <si>
    <t xml:space="preserve">CCCCCc1cc(O)cc(OCCCCCCCCCCC(=O)N[C@H](C)CO)c1</t>
  </si>
  <si>
    <t xml:space="preserve">CHEMBL427100</t>
  </si>
  <si>
    <t xml:space="preserve">CCCCCc1cc(O)cc(OCCCCCCCCCCC(=O)Nc2ccc(O)cc2)c1</t>
  </si>
  <si>
    <t xml:space="preserve">CHEMBL3323685</t>
  </si>
  <si>
    <t xml:space="preserve">CCCCCc1cc(O)cc(OCCCCCCCCCCC(=O)Nc2ccccc2)c1</t>
  </si>
  <si>
    <t xml:space="preserve">CHEMBL1923757</t>
  </si>
  <si>
    <t xml:space="preserve">CCCCCc1cc(O)cc(OCCCCCCCCCCC(=O)OC(CO)CO)c1</t>
  </si>
  <si>
    <t xml:space="preserve">CHEMBL1923775</t>
  </si>
  <si>
    <t xml:space="preserve">CCCCCc1cc(O)cc(OCCCCCCCCCCC(=O)OCC(O)CO)c1</t>
  </si>
  <si>
    <t xml:space="preserve">CHEMBL228405</t>
  </si>
  <si>
    <t xml:space="preserve">CCCCCc1cc(O)cc(OCCCCCCCCCCCC(=O)NC2CC2)c1</t>
  </si>
  <si>
    <t xml:space="preserve">CHEMBL228404</t>
  </si>
  <si>
    <t xml:space="preserve">CCCCCc1cc(O)cc(OCCCCCCCCCCCC(=O)NCCO)c1</t>
  </si>
  <si>
    <t xml:space="preserve">CHEMBL3323694</t>
  </si>
  <si>
    <t xml:space="preserve">CCCCCc1cc(O)cc(OCCCCCCCCCCCNC(=O)C2CC2)c1</t>
  </si>
  <si>
    <t xml:space="preserve">CHEMBL3321780</t>
  </si>
  <si>
    <t xml:space="preserve">CCCCCc1cc(O)cc(OCCCCCCCCCCCNC2CC2)c1</t>
  </si>
  <si>
    <t xml:space="preserve">CHEMBL3321779</t>
  </si>
  <si>
    <t xml:space="preserve">CCCCCc1cc(O)cc(OCCCCCCCCCCCNCc2ccccc2)c1</t>
  </si>
  <si>
    <t xml:space="preserve">CHEMBL3323698</t>
  </si>
  <si>
    <t xml:space="preserve">CCCCCc1cc(O)cc(OCCCCCCCCCN[C@H](C)CO)c1</t>
  </si>
  <si>
    <t xml:space="preserve">CHEMBL1923766</t>
  </si>
  <si>
    <t xml:space="preserve">CCCCCc1cc(O)cc(OCCCCCCCCOC(CO)CO)c1</t>
  </si>
  <si>
    <t xml:space="preserve">CHEMBL1923765</t>
  </si>
  <si>
    <t xml:space="preserve">CCCCCc1cc(O)cc(OCCCCCCOC(CO)CO)c1</t>
  </si>
  <si>
    <t xml:space="preserve">CHEMBL4290707</t>
  </si>
  <si>
    <t xml:space="preserve">CCCCCc1cc(OC(C)=O)c2c(c1)OC(C)(C)C1=C2C2OC2(C)CC1</t>
  </si>
  <si>
    <t xml:space="preserve">CHEMBL4281658</t>
  </si>
  <si>
    <t xml:space="preserve">CCCCCc1cc(OC(C)=O)c2c(c1)OC(C)(C)[C@@H]1CC=C(C)C[C@@H]21</t>
  </si>
  <si>
    <t xml:space="preserve">CHEMBL2387532</t>
  </si>
  <si>
    <t xml:space="preserve">CCCCCc1cc(OC)c2cc(Cc3ccc(Br)cc3)c(=O)oc2c1</t>
  </si>
  <si>
    <t xml:space="preserve">CHEMBL2388869</t>
  </si>
  <si>
    <t xml:space="preserve">CHEMBL2384924</t>
  </si>
  <si>
    <t xml:space="preserve">Displacement of [3H]-CP55,940 from human CB2 receptor transfected in CHOK1 cells</t>
  </si>
  <si>
    <t xml:space="preserve">CHEMBL2387530</t>
  </si>
  <si>
    <t xml:space="preserve">CCCCCc1cc(OC)c2cc(Cc3ccc(Cl)cc3)c(=O)oc2c1</t>
  </si>
  <si>
    <t xml:space="preserve">CHEMBL2177255</t>
  </si>
  <si>
    <t xml:space="preserve">CCCCCc1cc(OC)c2cc(Cc3cccc(C)c3)c(=O)oc2c1</t>
  </si>
  <si>
    <t xml:space="preserve">CHEMBL2177261</t>
  </si>
  <si>
    <t xml:space="preserve">CCCCCc1cc(OC)c2cc(Cc3cccc(Cl)c3)c(=O)oc2c1</t>
  </si>
  <si>
    <t xml:space="preserve">CHEMBL2177249</t>
  </si>
  <si>
    <t xml:space="preserve">CCCCCc1cc(OC)c2cc(Cc3cccc(OC)c3)c(=O)oc2c1</t>
  </si>
  <si>
    <t xml:space="preserve">CHEMBL2177251</t>
  </si>
  <si>
    <t xml:space="preserve">CCCCCc1cc(OC)c2cc(Cc3ccccc3)c(=O)oc2c1</t>
  </si>
  <si>
    <t xml:space="preserve">CHEMBL2177253</t>
  </si>
  <si>
    <t xml:space="preserve">CCCCCc1cc(OC)c2cc(Cc3ccccc3C)c(=O)oc2c1</t>
  </si>
  <si>
    <t xml:space="preserve">CHEMBL2177259</t>
  </si>
  <si>
    <t xml:space="preserve">CCCCCc1cc(OC)c2cc(Cc3ccccc3Cl)c(=O)oc2c1</t>
  </si>
  <si>
    <t xml:space="preserve">CHEMBL2177257</t>
  </si>
  <si>
    <t xml:space="preserve">CCCCCc1cc(OC)c2cc(Cc3ccccc3OC)c(=O)oc2c1</t>
  </si>
  <si>
    <t xml:space="preserve">CHEMBL4862930</t>
  </si>
  <si>
    <t xml:space="preserve">CCCCCc1cc(OC)c2cc(Cc3ccccn3)c(=O)oc2c1</t>
  </si>
  <si>
    <t xml:space="preserve">CHEMBL4877653</t>
  </si>
  <si>
    <t xml:space="preserve">CCCCCc1cc(OC)c2cc(Cc3cccnc3)c(=O)oc2c1</t>
  </si>
  <si>
    <t xml:space="preserve">CHEMBL4644505</t>
  </si>
  <si>
    <t xml:space="preserve">CCCCCc1cc(OC)cc(OCCCCCCCC(=O)NCCO)c1</t>
  </si>
  <si>
    <t xml:space="preserve">CHEMBL4649488</t>
  </si>
  <si>
    <t xml:space="preserve">CCCCCc1cc(OC)cc(OCCCCCCCCCCC(=O)NC(CO)CO)c1</t>
  </si>
  <si>
    <t xml:space="preserve">CHEMBL4644215</t>
  </si>
  <si>
    <t xml:space="preserve">CCCCCc1cc(OC)cc(OCCCCCCCCCCC(=O)NC2CC2)c1</t>
  </si>
  <si>
    <t xml:space="preserve">CHEMBL4635444</t>
  </si>
  <si>
    <t xml:space="preserve">CCCCCc1cc(OC)cc(OCCCCCCCCCCC(=O)NCC(F)(F)F)c1</t>
  </si>
  <si>
    <t xml:space="preserve">CHEMBL4644130</t>
  </si>
  <si>
    <t xml:space="preserve">CCCCCc1cc(OC)cc(OCCCCCCCCCCC(=O)NCC2CC2)c1</t>
  </si>
  <si>
    <t xml:space="preserve">CHEMBL4639172</t>
  </si>
  <si>
    <t xml:space="preserve">CCCCCc1cc(OC)cc(OCCCCCCCCCCC(=O)NCCO)c1</t>
  </si>
  <si>
    <t xml:space="preserve">CHEMBL4644476</t>
  </si>
  <si>
    <t xml:space="preserve">CCCCCc1cc(OC)cc(OCCCCCCCCCCC(=O)Nc2ccccc2)c1</t>
  </si>
  <si>
    <t xml:space="preserve">CHEMBL4640400</t>
  </si>
  <si>
    <t xml:space="preserve">CCCCCc1cc(OCC)cc(OCCCCCCCCCCC(=O)NC2CC2)c1</t>
  </si>
  <si>
    <t xml:space="preserve">CHEMBL4648254</t>
  </si>
  <si>
    <t xml:space="preserve">CCCCCc1cc(OCCCC)cc(OCCCCCCCCCCC(=O)NC2CC2)c1</t>
  </si>
  <si>
    <t xml:space="preserve">CHEMBL4644161</t>
  </si>
  <si>
    <t xml:space="preserve">CCCCCc1cc(OCCCCCCCCCCC(=O)NC2CC2)cc(OC(C)C)c1</t>
  </si>
  <si>
    <t xml:space="preserve">CHEMBL465718</t>
  </si>
  <si>
    <t xml:space="preserve">CCCCCc1cc2c(c(O)c1C(=O)O)[C@@H]1C=C(C)CC[C@H]1C(C)(C)O2</t>
  </si>
  <si>
    <t xml:space="preserve">CHEMBL3586110</t>
  </si>
  <si>
    <t xml:space="preserve">CCCCCc1cc2c(c(O)c1C(=O)O)[C@@H]1C=C(COC(C)=O)CC[C@H]1C(C)(C)O2</t>
  </si>
  <si>
    <t xml:space="preserve">CHEMBL4291438</t>
  </si>
  <si>
    <t xml:space="preserve">CCCCCc1cc2c(c(OS(=O)(=O)c3ccc(C)cc3)c1)[C@@H]1CC(C)(OO)C=C[C@H]1C(C)(C)O2</t>
  </si>
  <si>
    <t xml:space="preserve">CHEMBL4292923</t>
  </si>
  <si>
    <t xml:space="preserve">CCCCCc1cc2c(c(OS(=O)(=O)c3ccc(C)cc3)c1)[C@@H]1[C@H](O)C(C)=CC[C@H]1C(C)(C)O2</t>
  </si>
  <si>
    <t xml:space="preserve">CHEMBL4285088</t>
  </si>
  <si>
    <t xml:space="preserve">CCCCCc1cc2c(c(OS(=O)(=O)c3ccc(C)cc3)c1)[C@H]1[C@@H](CC=C(C)[C@@H]1OO)C(C)(C)O2</t>
  </si>
  <si>
    <t xml:space="preserve">CHEMBL229872</t>
  </si>
  <si>
    <t xml:space="preserve">CCCCCc1ccc(OCCCCCCCCCCC(=O)NC2CC2)cc1O</t>
  </si>
  <si>
    <t xml:space="preserve">CHEMBL3233405</t>
  </si>
  <si>
    <t xml:space="preserve">CCCCCc1ccc2c(c1)OC(C)(C)[C@@H]1CC=C(C)C[C@@H]21</t>
  </si>
  <si>
    <t xml:space="preserve">CHEMBL4646867</t>
  </si>
  <si>
    <t xml:space="preserve">CCCCCc1cccc(OCCCCCCCCCCC(=O)NC2CC2)c1</t>
  </si>
  <si>
    <t xml:space="preserve">CHEMBL4537616</t>
  </si>
  <si>
    <t xml:space="preserve">CCCCCc1sc(NC(=O)C23CC4CC(CC(C4)C2)C3)c(C(=O)OC)c1-c1ccccc1</t>
  </si>
  <si>
    <t xml:space="preserve">CHEMBL4327232</t>
  </si>
  <si>
    <t xml:space="preserve">CHEMBL4325860</t>
  </si>
  <si>
    <t xml:space="preserve">Displacement of [3H]CP55940 from recombinant human CB2R expressed in HEK293 cell membranes measured after 90 mins</t>
  </si>
  <si>
    <t xml:space="preserve">CHEMBL3891003</t>
  </si>
  <si>
    <t xml:space="preserve">CCCCCc1sc2ccccc2c1C(=O)c1ccc(OC)cc1</t>
  </si>
  <si>
    <t xml:space="preserve">CHEMBL3944807</t>
  </si>
  <si>
    <t xml:space="preserve">CCCCCc1sc2ccccc2c1C(=O)c1cccc2ccccc12</t>
  </si>
  <si>
    <t xml:space="preserve">CHEMBL4592199</t>
  </si>
  <si>
    <t xml:space="preserve">CCCCCn1/c(=N/C(=O)c2cccc(C(F)(F)F)c2)sc2ccccc21</t>
  </si>
  <si>
    <t xml:space="preserve">CHEMBL4367879</t>
  </si>
  <si>
    <t xml:space="preserve">CHEMBL4364306</t>
  </si>
  <si>
    <t xml:space="preserve">Displacement of [3H]CP55940 from recombinant human CB2R expressed in HEK293 cell membranes incubated for 90 mins by Cheng-Prusoff equation analysis</t>
  </si>
  <si>
    <t xml:space="preserve">CHEMBL4559193</t>
  </si>
  <si>
    <t xml:space="preserve">CCCCCn1/c(=N/C(=O)c2cccc3ccccc23)sc2ccccc21</t>
  </si>
  <si>
    <t xml:space="preserve">CHEMBL4437741</t>
  </si>
  <si>
    <t xml:space="preserve">CCCCCn1/c(=N\C(=O)C23CC4CC(CC(C4)C2)C3)sc2ccccc21</t>
  </si>
  <si>
    <t xml:space="preserve">CHEMBL393931</t>
  </si>
  <si>
    <t xml:space="preserve">CCCCCn1c(-c2ccccc2)c(C(=O)NC23CC4CC(C)(CC(C)(C4)C2)C3)c(=O)c2ccccc21</t>
  </si>
  <si>
    <t xml:space="preserve">CHEMBL237171</t>
  </si>
  <si>
    <t xml:space="preserve">CCCCCn1c(-c2ccccc2)c(C(=O)NC23CC4CC(CC(C4)C2)C3)c(=O)c2ccccc21</t>
  </si>
  <si>
    <t xml:space="preserve">CHEMBL1814467</t>
  </si>
  <si>
    <t xml:space="preserve">CCCCCn1c(=O)c(C(=O)NC23CC4CC(CC(C4)C2)C3)c(O)c2cc(-c3ccco3)ccc21</t>
  </si>
  <si>
    <t xml:space="preserve">CHEMBL1814466</t>
  </si>
  <si>
    <t xml:space="preserve">CCCCCn1c(=O)c(C(=O)NC23CC4CC(CC(C4)C2)C3)c(O)c2cc(Br)ccc21</t>
  </si>
  <si>
    <t xml:space="preserve">CHEMBL3780852</t>
  </si>
  <si>
    <t xml:space="preserve">CCCCCn1c(=O)c(C(=O)NC23CC4CC(CC(C4)C2)C3)c(O)c2ccc(F)cc21</t>
  </si>
  <si>
    <t xml:space="preserve">CHEMBL5121399</t>
  </si>
  <si>
    <t xml:space="preserve">CHEMBL5120754</t>
  </si>
  <si>
    <t xml:space="preserve">Binding affinity towards human CB2 receptor</t>
  </si>
  <si>
    <t xml:space="preserve">CHEMBL4649122</t>
  </si>
  <si>
    <t xml:space="preserve">CCCCCn1c(=O)c(C(=O)NC23CC4CC(CC(C4)C2)C3)c(O)c2nn(C)cc21</t>
  </si>
  <si>
    <t xml:space="preserve">CHEMBL4636524</t>
  </si>
  <si>
    <t xml:space="preserve">CCCCCn1c(=O)c(C(=O)NC23CC4CC(CC(C4)C2)C3)c(O)c2nn(CCO)cc21</t>
  </si>
  <si>
    <t xml:space="preserve">CHEMBL1814468</t>
  </si>
  <si>
    <t xml:space="preserve">CCCCCn1c(=O)c(C(=O)NC23CC4CC(CC(C4)C2)C3)cc2ccccc21</t>
  </si>
  <si>
    <t xml:space="preserve">CHEMBL4641147</t>
  </si>
  <si>
    <t xml:space="preserve">CCCCCn1c(=O)c(C(=O)NC23CC4CC(CC(O)(C4)C2)C3)c(O)c2nn(CCO)cc21</t>
  </si>
  <si>
    <t xml:space="preserve">CHEMBL3422788</t>
  </si>
  <si>
    <t xml:space="preserve">CCCCCn1c(=O)c(C(=O)NC2CCC(C)CC2)cc2ccccc21</t>
  </si>
  <si>
    <t xml:space="preserve">CHEMBL3353424</t>
  </si>
  <si>
    <t xml:space="preserve">CCCCCn1c(=O)c(C(=O)NC2CCC(C)CC2)cc2cccnc21</t>
  </si>
  <si>
    <t xml:space="preserve">CHEMBL4539849</t>
  </si>
  <si>
    <t xml:space="preserve">CCCCCn1c(=O)sc2cc(/C(=N\O)C34CC5CC(CC(C5)C3)C4)ccc21</t>
  </si>
  <si>
    <t xml:space="preserve">CHEMBL4516391</t>
  </si>
  <si>
    <t xml:space="preserve">CCCCCn1c(=O)sc2cc(/C(=N\OC)C34CC5CC(CC(C5)C3)C4)ccc21</t>
  </si>
  <si>
    <t xml:space="preserve">CHEMBL4517991</t>
  </si>
  <si>
    <t xml:space="preserve">CCCCCn1c(=O)sc2cc(C(=O)C34CC5CC(CC(C5)C3)C4)ccc21</t>
  </si>
  <si>
    <t xml:space="preserve">CHEMBL4538593</t>
  </si>
  <si>
    <t xml:space="preserve">CCCCCn1c(=O)sc2cc(C(=O)C3CCCC3)ccc21</t>
  </si>
  <si>
    <t xml:space="preserve">CHEMBL4581598</t>
  </si>
  <si>
    <t xml:space="preserve">CCCCCn1c(=O)sc2cc(C(=O)C3CCCCC3)ccc21</t>
  </si>
  <si>
    <t xml:space="preserve">CHEMBL4533329</t>
  </si>
  <si>
    <t xml:space="preserve">CCCCCn1c(=O)sc2cc(C(O)C34CC5CC(CC(C5)C3)C4)ccc21</t>
  </si>
  <si>
    <t xml:space="preserve">CHEMBL4571345</t>
  </si>
  <si>
    <t xml:space="preserve">CCCCCn1c(=O)sc2cc(C(OC)C34CC5CC(CC(C5)C3)C4)ccc21</t>
  </si>
  <si>
    <t xml:space="preserve">CHEMBL4574224</t>
  </si>
  <si>
    <t xml:space="preserve">CCCCCn1c(=O)sc2cc(CC34CC5CC(CC(C5)C3)C4)ccc21</t>
  </si>
  <si>
    <t xml:space="preserve">CHEMBL4548364</t>
  </si>
  <si>
    <t xml:space="preserve">CCCCCn1c(=O)sc2ccc(C(=O)C34CC5CC(CC(C5)C3)C4)cc21</t>
  </si>
  <si>
    <t xml:space="preserve">CHEMBL186332</t>
  </si>
  <si>
    <t xml:space="preserve">CCCCCn1c(C)c(C(=O)Cc2ccc(Br)cc2)c2ccccc21</t>
  </si>
  <si>
    <t xml:space="preserve">CHEMBL828769</t>
  </si>
  <si>
    <t xml:space="preserve">CHEMBL1140358</t>
  </si>
  <si>
    <t xml:space="preserve">Binding affinity to displace [3H]CP-55940 from cloned human CB2 receptor</t>
  </si>
  <si>
    <t xml:space="preserve">CHEMBL187771</t>
  </si>
  <si>
    <t xml:space="preserve">CCCCCn1c(C)c(C(=O)Cc2ccc(C)cc2)c2ccccc21</t>
  </si>
  <si>
    <t xml:space="preserve">CHEMBL187813</t>
  </si>
  <si>
    <t xml:space="preserve">CCCCCn1c(C)c(C(=O)Cc2ccc(Cl)cc2)c2ccccc21</t>
  </si>
  <si>
    <t xml:space="preserve">CHEMBL190127</t>
  </si>
  <si>
    <t xml:space="preserve">CCCCCn1c(C)c(C(=O)Cc2ccc(F)cc2)c2ccccc21</t>
  </si>
  <si>
    <t xml:space="preserve">CHEMBL364111</t>
  </si>
  <si>
    <t xml:space="preserve">CCCCCn1c(C)c(C(=O)Cc2ccc(OC)cc2)c2ccccc21</t>
  </si>
  <si>
    <t xml:space="preserve">CHEMBL188910</t>
  </si>
  <si>
    <t xml:space="preserve">CCCCCn1c(C)c(C(=O)Cc2cccc(Cl)c2)c2ccccc21</t>
  </si>
  <si>
    <t xml:space="preserve">CHEMBL427524</t>
  </si>
  <si>
    <t xml:space="preserve">CCCCCn1c(C)c(C(=O)Cc2cccc(F)c2)c2ccccc21</t>
  </si>
  <si>
    <t xml:space="preserve">CHEMBL188887</t>
  </si>
  <si>
    <t xml:space="preserve">CCCCCn1c(C)c(C(=O)Cc2cccc(OC)c2)c2ccccc21</t>
  </si>
  <si>
    <t xml:space="preserve">CHEMBL186525</t>
  </si>
  <si>
    <t xml:space="preserve">CCCCCn1c(C)c(C(=O)Cc2ccccc2)c2ccccc21</t>
  </si>
  <si>
    <t xml:space="preserve">CHEMBL187559</t>
  </si>
  <si>
    <t xml:space="preserve">CCCCCn1c(C)c(C(=O)Cc2ccccc2Br)c2ccccc21</t>
  </si>
  <si>
    <t xml:space="preserve">CHEMBL188494</t>
  </si>
  <si>
    <t xml:space="preserve">CCCCCn1c(C)c(C(=O)Cc2ccccc2C)c2ccccc21</t>
  </si>
  <si>
    <t xml:space="preserve">CHEMBL361032</t>
  </si>
  <si>
    <t xml:space="preserve">CCCCCn1c(C)c(C(=O)Cc2ccccc2Cl)c2ccccc21</t>
  </si>
  <si>
    <t xml:space="preserve">CHEMBL190469</t>
  </si>
  <si>
    <t xml:space="preserve">CCCCCn1c(C)c(C(=O)Cc2ccccc2F)c2ccccc21</t>
  </si>
  <si>
    <t xml:space="preserve">CHEMBL361088</t>
  </si>
  <si>
    <t xml:space="preserve">CCCCCn1c(C)c(C(=O)Cc2ccccc2OC)c2ccccc21</t>
  </si>
  <si>
    <t xml:space="preserve">CHEMBL236551</t>
  </si>
  <si>
    <t xml:space="preserve">CCCCCn1c(C)c(C(=O)NC(C)c2ccccc2)c(=O)c2ccccc21</t>
  </si>
  <si>
    <t xml:space="preserve">CHEMBL236539</t>
  </si>
  <si>
    <t xml:space="preserve">CCCCCn1c(C)c(C(=O)NC23CC4CC(C)(CC(C)(C4)C2)C3)c(=O)c2ccccc21</t>
  </si>
  <si>
    <t xml:space="preserve">CHEMBL524822</t>
  </si>
  <si>
    <t xml:space="preserve">CCCCCn1c(C)c(C(=O)c2c(OC)ccc3ccccc23)c2ccccc21</t>
  </si>
  <si>
    <t xml:space="preserve">CHEMBL2206835</t>
  </si>
  <si>
    <t xml:space="preserve">CCCCCn1c(C)c(C(=O)c2ccc(Br)c3ccccc23)c2ccccc21</t>
  </si>
  <si>
    <t xml:space="preserve">CHEMBL2210670</t>
  </si>
  <si>
    <t xml:space="preserve">CHEMBL2203189</t>
  </si>
  <si>
    <t xml:space="preserve">Displacement of [3H]CP55940 from human CB2 receptor expressed in CHO cells after 1 hr by liquid scintillation spectrophotometry</t>
  </si>
  <si>
    <t xml:space="preserve">CHEMBL561090</t>
  </si>
  <si>
    <t xml:space="preserve">CCCCCn1c(C)c(C(=O)c2ccc(C)c3ccccc23)c2ccccc21</t>
  </si>
  <si>
    <t xml:space="preserve">CHEMBL1026911</t>
  </si>
  <si>
    <t xml:space="preserve">CHEMBL1158401</t>
  </si>
  <si>
    <t xml:space="preserve">Displacement of [3H]CP-55940 from human cloned CB2 receptor by filtration assay</t>
  </si>
  <si>
    <t xml:space="preserve">CHEMBL564622</t>
  </si>
  <si>
    <t xml:space="preserve">CCCCCn1c(C)c(C(=O)c2ccc(CC)c3ccccc23)c2ccccc21</t>
  </si>
  <si>
    <t xml:space="preserve">CHEMBL564901</t>
  </si>
  <si>
    <t xml:space="preserve">CCCCCn1c(C)c(C(=O)c2ccc(CCC)c3ccccc23)c2ccccc21</t>
  </si>
  <si>
    <t xml:space="preserve">CHEMBL1668395</t>
  </si>
  <si>
    <t xml:space="preserve">CCCCCn1c(C)c(C(=O)c2ccc(CCCC)c3ccc(C)cc23)c2ccccc21</t>
  </si>
  <si>
    <t xml:space="preserve">CHEMBL540248</t>
  </si>
  <si>
    <t xml:space="preserve">CCCCCn1c(C)c(C(=O)c2ccc(CCCC)c3ccccc23)c2ccccc21</t>
  </si>
  <si>
    <t xml:space="preserve">CHEMBL2206860</t>
  </si>
  <si>
    <t xml:space="preserve">CCCCCn1c(C)c(C(=O)c2ccc(Cl)c3ccccc23)c2ccccc21</t>
  </si>
  <si>
    <t xml:space="preserve">CHEMBL2206856</t>
  </si>
  <si>
    <t xml:space="preserve">CCCCCn1c(C)c(C(=O)c2ccc(F)c3ccccc23)c2ccccc21</t>
  </si>
  <si>
    <t xml:space="preserve">CHEMBL2206839</t>
  </si>
  <si>
    <t xml:space="preserve">CCCCCn1c(C)c(C(=O)c2ccc(I)c3ccccc23)c2ccccc21</t>
  </si>
  <si>
    <t xml:space="preserve">CHEMBL564888</t>
  </si>
  <si>
    <t xml:space="preserve">CCCCCn1c(C)c(C(=O)c2ccc(OC)c3ccccc23)c2ccccc21</t>
  </si>
  <si>
    <t xml:space="preserve">CHEMBL562549</t>
  </si>
  <si>
    <t xml:space="preserve">CCCCCn1c(C)c(C(=O)c2ccc(OCC)c3ccccc23)c2ccccc21</t>
  </si>
  <si>
    <t xml:space="preserve">CHEMBL562895</t>
  </si>
  <si>
    <t xml:space="preserve">CCCCCn1c(C)c(C(=O)c2cccc3cc(OC)ccc23)c2ccccc21</t>
  </si>
  <si>
    <t xml:space="preserve">CHEMBL564066</t>
  </si>
  <si>
    <t xml:space="preserve">CCCCCn1c(C)c(C(=O)c2cccc3ccc(C)cc23)c2ccccc21</t>
  </si>
  <si>
    <t xml:space="preserve">CHEMBL562489</t>
  </si>
  <si>
    <t xml:space="preserve">CCCCCn1c(C)c(C(=O)c2cccc3ccc(CC)cc23)c2ccccc21</t>
  </si>
  <si>
    <t xml:space="preserve">CHEMBL551351</t>
  </si>
  <si>
    <t xml:space="preserve">CCCCCn1c(C)c(C(=O)c2cccc3ccc(OC)cc23)c2ccccc21</t>
  </si>
  <si>
    <t xml:space="preserve">CHEMBL2206847</t>
  </si>
  <si>
    <t xml:space="preserve">CCCCCn1c(C)c(C(=O)c2cccc3cccc(Br)c23)c2ccccc21</t>
  </si>
  <si>
    <t xml:space="preserve">CHEMBL2206843</t>
  </si>
  <si>
    <t xml:space="preserve">CCCCCn1c(C)c(C(=O)c2cccc3cccc(Cl)c23)c2ccccc21</t>
  </si>
  <si>
    <t xml:space="preserve">CHEMBL2206851</t>
  </si>
  <si>
    <t xml:space="preserve">CCCCCn1c(C)c(C(=O)c2cccc3cccc(I)c23)c2ccccc21</t>
  </si>
  <si>
    <t xml:space="preserve">CHEMBL306529</t>
  </si>
  <si>
    <t xml:space="preserve">CCCCCn1c(C)c(C(=O)c2cccc3ccccc23)c2ccccc21</t>
  </si>
  <si>
    <t xml:space="preserve">CHEMBL2348267</t>
  </si>
  <si>
    <t xml:space="preserve">CCCCCn1c(C)c(C)cc(Oc2nc3ccccc3o2)c1=S</t>
  </si>
  <si>
    <t xml:space="preserve">CHEMBL2441475</t>
  </si>
  <si>
    <t xml:space="preserve">CCCCCn1c2ccc(C(=O)N3CCCCC3)cc2c2ccc(OC)cc21</t>
  </si>
  <si>
    <t xml:space="preserve">CHEMBL2441264</t>
  </si>
  <si>
    <t xml:space="preserve">CCCCCn1c2ccccc2c2cc(C(=O)CN3CCCCC3)ccc21</t>
  </si>
  <si>
    <t xml:space="preserve">CHEMBL2441266</t>
  </si>
  <si>
    <t xml:space="preserve">CCCCCn1c2ccccc2c2cc(C(=O)CN3CCN(C)CC3)ccc21</t>
  </si>
  <si>
    <t xml:space="preserve">CHEMBL2441265</t>
  </si>
  <si>
    <t xml:space="preserve">CCCCCn1c2ccccc2c2cc(C(=O)CN3CCS(=O)(=O)CC3)ccc21</t>
  </si>
  <si>
    <t xml:space="preserve">CHEMBL2441252</t>
  </si>
  <si>
    <t xml:space="preserve">CCCCCn1c2ccccc2c2cc(C(=O)N(CC)CC)ccc21</t>
  </si>
  <si>
    <t xml:space="preserve">CHEMBL2441251</t>
  </si>
  <si>
    <t xml:space="preserve">CCCCCn1c2ccccc2c2cc(C(=O)N3CCCCC3)ccc21</t>
  </si>
  <si>
    <t xml:space="preserve">CHEMBL2441450</t>
  </si>
  <si>
    <t xml:space="preserve">CCCCCn1c2ccccc2c2cc(C(=O)N3CCCCC3)ncc21</t>
  </si>
  <si>
    <t xml:space="preserve">CHEMBL5862802</t>
  </si>
  <si>
    <t xml:space="preserve">CCCCCn1c2ccccc2c2cc(C(=O)N3CCN(C(=O)OC(C)(C)C)CC3)ccc21</t>
  </si>
  <si>
    <t xml:space="preserve">CHEMBL5733229</t>
  </si>
  <si>
    <t xml:space="preserve">CHEMBL5726728</t>
  </si>
  <si>
    <t xml:space="preserve">radioligand binding assay: The structure-activity relationship and optimization studies have led to the discovery of selective T-type calcium channel blockers, e.g., compound 9. As used herein, the term T-type calcium channel blocker refers to a compound that can modulate, in particular inhibit or reduce activation of T-type calcium channels. In some embodiments, the IC50 of compounds of the invention for inhibiting T-type calcium channel is about 10 μM or less, typically about 2 μM or less, and often about 1 μM or less. The term about refers to ±20%, typically ±10%, and often ±5% of the numeric value.</t>
  </si>
  <si>
    <t xml:space="preserve">CHEMBL2441256</t>
  </si>
  <si>
    <t xml:space="preserve">CCCCCn1c2ccccc2c2cc(C(=O)N3CCN(C)CC3)ccc21</t>
  </si>
  <si>
    <t xml:space="preserve">CHEMBL5903696</t>
  </si>
  <si>
    <t xml:space="preserve">CCCCCn1c2ccccc2c2cc(C(=O)N3CCN(CC(=O)NC(C)(C)C)CC3)ccc21</t>
  </si>
  <si>
    <t xml:space="preserve">CHEMBL2441260</t>
  </si>
  <si>
    <t xml:space="preserve">CCCCCn1c2ccccc2c2cc(C(=O)N3CCNCC3)ccc21</t>
  </si>
  <si>
    <t xml:space="preserve">CHEMBL2441255</t>
  </si>
  <si>
    <t xml:space="preserve">CCCCCn1c2ccccc2c2cc(C(=O)N3CCOCC3)ccc21</t>
  </si>
  <si>
    <t xml:space="preserve">CHEMBL2441253</t>
  </si>
  <si>
    <t xml:space="preserve">CCCCCn1c2ccccc2c2cc(C(=O)N3CCS(=O)(=O)CC3)ccc21</t>
  </si>
  <si>
    <t xml:space="preserve">CHEMBL2441257</t>
  </si>
  <si>
    <t xml:space="preserve">CCCCCn1c2ccccc2c2cc(C(=O)NC34CC5CC(CC(C5)C3)C4)ccc21</t>
  </si>
  <si>
    <t xml:space="preserve">CHEMBL2441452</t>
  </si>
  <si>
    <t xml:space="preserve">CCCCCn1c2ccccc2c2cc(C(=O)NCC(C)(C)C)ncc21</t>
  </si>
  <si>
    <t xml:space="preserve">CHEMBL2441258</t>
  </si>
  <si>
    <t xml:space="preserve">CCCCCn1c2ccccc2c2cc(C(=O)NCCc3ccc(Cl)cc3)ccc21</t>
  </si>
  <si>
    <t xml:space="preserve">CHEMBL2441254</t>
  </si>
  <si>
    <t xml:space="preserve">CCCCCn1c2ccccc2c2cc(C(=O)NN3CCCCC3)ccc21</t>
  </si>
  <si>
    <t xml:space="preserve">CHEMBL2441451</t>
  </si>
  <si>
    <t xml:space="preserve">CCCCCn1c2ccccc2c2cc(C(=O)NN3CCCCC3)ncc21</t>
  </si>
  <si>
    <t xml:space="preserve">CHEMBL2441449</t>
  </si>
  <si>
    <t xml:space="preserve">CCCCCn1c2ccccc2c2cc(C(=O)OCC)ncc21</t>
  </si>
  <si>
    <t xml:space="preserve">CHEMBL2441262</t>
  </si>
  <si>
    <t xml:space="preserve">CCCCCn1c2ccccc2c2cc(C(=O)OCc3ccccn3)ccc21</t>
  </si>
  <si>
    <t xml:space="preserve">CHEMBL2441261</t>
  </si>
  <si>
    <t xml:space="preserve">CCCCCn1c2ccccc2c2cc(C(=O)OCc3ccncc3)ccc21</t>
  </si>
  <si>
    <t xml:space="preserve">CHEMBL2441263</t>
  </si>
  <si>
    <t xml:space="preserve">CCCCCn1c2ccccc2c2cc(C(=O)c3ccccc3)ccc21</t>
  </si>
  <si>
    <t xml:space="preserve">CHEMBL2441445</t>
  </si>
  <si>
    <t xml:space="preserve">CCCCCn1c2ccccc2c2cc(C(=S)N3CCCCC3)ccc21</t>
  </si>
  <si>
    <t xml:space="preserve">CHEMBL2441446</t>
  </si>
  <si>
    <t xml:space="preserve">CCCCCn1c2ccccc2c2cc(CN3CCCCC3)ccc21</t>
  </si>
  <si>
    <t xml:space="preserve">CHEMBL2441447</t>
  </si>
  <si>
    <t xml:space="preserve">CCCCCn1c2ccccc2c2cc(CN3CCN(C)CC3)ccc21</t>
  </si>
  <si>
    <t xml:space="preserve">CHEMBL4061179</t>
  </si>
  <si>
    <t xml:space="preserve">CCCCCn1cc(-c2cn(C34CC5CC(CC(C5)C3)C4)nn2)c(=O)c2cc(-c3ccco3)ccc21</t>
  </si>
  <si>
    <t xml:space="preserve">CHEMBL4030384</t>
  </si>
  <si>
    <t xml:space="preserve">CHEMBL4028847</t>
  </si>
  <si>
    <t xml:space="preserve">Displacement of [35S]GTPgammaS from human recombinant CB2 receptor expressed in CHO cells after 60 min by liquid scintillation spectrometry assay</t>
  </si>
  <si>
    <t xml:space="preserve">CHEMBL4756661</t>
  </si>
  <si>
    <t xml:space="preserve">CCCCCn1cc(-c2nc(C34CC5CC(CC(C5)C3)C4)no2)c(=O)c2cc(-c3ccco3)ccc21</t>
  </si>
  <si>
    <t xml:space="preserve">CHEMBL4732938</t>
  </si>
  <si>
    <t xml:space="preserve">CHEMBL4732045</t>
  </si>
  <si>
    <t xml:space="preserve">Displacement of [3H]CP-55940 from human CB2 receptor expressed in HEK cells by competitive binding assay</t>
  </si>
  <si>
    <t xml:space="preserve">CHEMBL4745169</t>
  </si>
  <si>
    <t xml:space="preserve">CCCCCn1cc(-c2nnc(C34CC5CC(CC(C5)C3)C4)o2)c(=O)c2cc(-c3ccco3)ccc21</t>
  </si>
  <si>
    <t xml:space="preserve">CHEMBL2087100</t>
  </si>
  <si>
    <t xml:space="preserve">CCCCCn1cc(C(=O)C(=O)NC23CC4CC(CC(C4)C2)C3)c2cc(-c3ccccc3)ccc21</t>
  </si>
  <si>
    <t xml:space="preserve">CHEMBL2087099</t>
  </si>
  <si>
    <t xml:space="preserve">CCCCCn1cc(C(=O)C(=O)NC23CC4CC(CC(C4)C2)C3)c2cc(-c3ccco3)ccc21</t>
  </si>
  <si>
    <t xml:space="preserve">CHEMBL2087103</t>
  </si>
  <si>
    <t xml:space="preserve">CCCCCn1cc(C(=O)C(=O)NC2CCCCC2)c2cc(-c3ccccc3)ccc21</t>
  </si>
  <si>
    <t xml:space="preserve">CHEMBL571773</t>
  </si>
  <si>
    <t xml:space="preserve">CCCCCn1cc(C(=O)C2C(C)(C)C2(C)C)c2ccccc21</t>
  </si>
  <si>
    <t xml:space="preserve">CHEMBL190305</t>
  </si>
  <si>
    <t xml:space="preserve">CCCCCn1cc(C(=O)Cc2ccc(Br)cc2)c2ccccc21</t>
  </si>
  <si>
    <t xml:space="preserve">CHEMBL187354</t>
  </si>
  <si>
    <t xml:space="preserve">CCCCCn1cc(C(=O)Cc2ccc(C)cc2)c2ccccc21</t>
  </si>
  <si>
    <t xml:space="preserve">CHEMBL188819</t>
  </si>
  <si>
    <t xml:space="preserve">CCCCCn1cc(C(=O)Cc2ccc(Cl)cc2)c2ccccc21</t>
  </si>
  <si>
    <t xml:space="preserve">CHEMBL187412</t>
  </si>
  <si>
    <t xml:space="preserve">CCCCCn1cc(C(=O)Cc2ccc(F)cc2)c2ccccc21</t>
  </si>
  <si>
    <t xml:space="preserve">CHEMBL188940</t>
  </si>
  <si>
    <t xml:space="preserve">CCCCCn1cc(C(=O)Cc2ccc(OC)cc2)c2ccccc21</t>
  </si>
  <si>
    <t xml:space="preserve">CHEMBL188822</t>
  </si>
  <si>
    <t xml:space="preserve">CCCCCn1cc(C(=O)Cc2cccc(Cl)c2)c2ccccc21</t>
  </si>
  <si>
    <t xml:space="preserve">CHEMBL189545</t>
  </si>
  <si>
    <t xml:space="preserve">CCCCCn1cc(C(=O)Cc2cccc(F)c2)c2ccccc21</t>
  </si>
  <si>
    <t xml:space="preserve">CHEMBL186674</t>
  </si>
  <si>
    <t xml:space="preserve">CCCCCn1cc(C(=O)Cc2cccc(OC)c2)c2ccccc21</t>
  </si>
  <si>
    <t xml:space="preserve">CHEMBL365878</t>
  </si>
  <si>
    <t xml:space="preserve">CCCCCn1cc(C(=O)Cc2ccccc2)c2ccccc21</t>
  </si>
  <si>
    <t xml:space="preserve">CHEMBL363471</t>
  </si>
  <si>
    <t xml:space="preserve">CCCCCn1cc(C(=O)Cc2ccccc2Br)c2ccccc21</t>
  </si>
  <si>
    <t xml:space="preserve">CHEMBL364820</t>
  </si>
  <si>
    <t xml:space="preserve">CCCCCn1cc(C(=O)Cc2ccccc2C)c2ccccc21</t>
  </si>
  <si>
    <t xml:space="preserve">CHEMBL189035</t>
  </si>
  <si>
    <t xml:space="preserve">CCCCCn1cc(C(=O)Cc2ccccc2Cl)c2ccccc21</t>
  </si>
  <si>
    <t xml:space="preserve">CHEMBL187883</t>
  </si>
  <si>
    <t xml:space="preserve">CCCCCn1cc(C(=O)Cc2ccccc2F)c2ccccc21</t>
  </si>
  <si>
    <t xml:space="preserve">CHEMBL188031</t>
  </si>
  <si>
    <t xml:space="preserve">CCCCCn1cc(C(=O)Cc2ccccc2OC)c2ccccc21</t>
  </si>
  <si>
    <t xml:space="preserve">CHEMBL2152824</t>
  </si>
  <si>
    <t xml:space="preserve">CCCCCn1cc(C(=O)N2CCC[C@H]2C(N)=O)c(=O)c2ccc(Sc3ccccc3)cc21</t>
  </si>
  <si>
    <t xml:space="preserve">CHEMBL2152821</t>
  </si>
  <si>
    <t xml:space="preserve">CCCCCn1cc(C(=O)NC(C)C)c(=O)c2ccc(Sc3ccccc3)cc21</t>
  </si>
  <si>
    <t xml:space="preserve">CHEMBL235947</t>
  </si>
  <si>
    <t xml:space="preserve">CCCCCn1cc(C(=O)NC(C)C23CC4CC(CC(C4)C2)C3)c(=O)c2cc(Cl)ccc21</t>
  </si>
  <si>
    <t xml:space="preserve">CHEMBL1641940</t>
  </si>
  <si>
    <t xml:space="preserve">CCCCCn1cc(C(=O)NC(C)C23CC4CC(CC(C4)C2)C3)c(=O)cc1-c1ccccc1</t>
  </si>
  <si>
    <t xml:space="preserve">CHEMBL2170544</t>
  </si>
  <si>
    <t xml:space="preserve">CCCCCn1cc(C(=O)NC(C)C23CC4CC(CC(C4)C2)C3)c(=O)cc1C</t>
  </si>
  <si>
    <t xml:space="preserve">CHEMBL2175894</t>
  </si>
  <si>
    <t xml:space="preserve">CHEMBL2169827</t>
  </si>
  <si>
    <t xml:space="preserve">Displacement of [3H]-CP55940 from human recombinant CB2 receptor expressed in CHO cells membrane by scintillation counting</t>
  </si>
  <si>
    <t xml:space="preserve">CHEMBL2170550</t>
  </si>
  <si>
    <t xml:space="preserve">CCCCCn1cc(C(=O)NC(C)C23CC4CC(CC(C4)C2)C3)c(=O)cc1C(C)(C)C</t>
  </si>
  <si>
    <t xml:space="preserve">CHEMBL2316301</t>
  </si>
  <si>
    <t xml:space="preserve">CCCCCn1cc(C(=O)NC(C)CCC(C)C)c(=O)c2c(C)nn(C)c21</t>
  </si>
  <si>
    <t xml:space="preserve">CHEMBL197598</t>
  </si>
  <si>
    <t xml:space="preserve">CCCCCn1cc(C(=O)NC(C)c2cccc3ccccc23)c(=O)c2ccccc21</t>
  </si>
  <si>
    <t xml:space="preserve">CHEMBL426107</t>
  </si>
  <si>
    <t xml:space="preserve">CCCCCn1cc(C(=O)NC(C)c2ccccc2)c(=O)c2ccccc21</t>
  </si>
  <si>
    <t xml:space="preserve">CHEMBL2152823</t>
  </si>
  <si>
    <t xml:space="preserve">CCCCCn1cc(C(=O)NC(CC)CO)c(=O)c2ccc(Sc3ccccc3)cc21</t>
  </si>
  <si>
    <t xml:space="preserve">CHEMBL2316300</t>
  </si>
  <si>
    <t xml:space="preserve">CCCCCn1cc(C(=O)NC23CC4CC(C)(CC(C)(C4)C2)C3)c(=O)c2c(C)nn(C)c21</t>
  </si>
  <si>
    <t xml:space="preserve">CHEMBL235732</t>
  </si>
  <si>
    <t xml:space="preserve">CCCCCn1cc(C(=O)NC23CC4CC(C)(CC(C)(C4)C2)C3)c(=O)c2cc(Cl)ccc21</t>
  </si>
  <si>
    <t xml:space="preserve">CHEMBL235733</t>
  </si>
  <si>
    <t xml:space="preserve">CCCCCn1cc(C(=O)NC23CC4CC(C)(CC(C)(C4)C2)C3)c(=O)c2ccc(Cl)cc21</t>
  </si>
  <si>
    <t xml:space="preserve">CHEMBL235946</t>
  </si>
  <si>
    <t xml:space="preserve">CCCCCn1cc(C(=O)NC23CC4CC(C)(CC(C)(C4)C2)C3)c(=O)c2cccc(Cl)c21</t>
  </si>
  <si>
    <t xml:space="preserve">CHEMBL372544</t>
  </si>
  <si>
    <t xml:space="preserve">CCCCCn1cc(C(=O)NC23CC4CC(C)(CC(C)(C4)C2)C3)c(=O)c2ccccc21</t>
  </si>
  <si>
    <t xml:space="preserve">CHEMBL235040</t>
  </si>
  <si>
    <t xml:space="preserve">CCCCCn1cc(C(=O)NC23CC4CC(C)(CC(C)(C4)C2)C3)c(=O)c2cccnc21</t>
  </si>
  <si>
    <t xml:space="preserve">CHEMBL392288</t>
  </si>
  <si>
    <t xml:space="preserve">CCCCCn1cc(C(=O)NC23CC4CC(C)(CC(C)(C4)C2)C3)c(=O)c2cnccc21</t>
  </si>
  <si>
    <t xml:space="preserve">CHEMBL429986</t>
  </si>
  <si>
    <t xml:space="preserve">CCCCCn1cc(C(=O)NC23CC4CC(C)(CC(C)(C4)C2)C3)c(=O)c2ncccc21</t>
  </si>
  <si>
    <t xml:space="preserve">CHEMBL3774565</t>
  </si>
  <si>
    <t xml:space="preserve">CCCCCn1cc(C(=O)NC23CC4CC(C)(CC(C)(C4)C2)C3)c(=O)n2nc(-c3ccccc3)nc12</t>
  </si>
  <si>
    <t xml:space="preserve">CHEMBL3775264</t>
  </si>
  <si>
    <t xml:space="preserve">CCCCCn1cc(C(=O)NC23CC4CC(C)(CC(C)(C4)C2)C3)c(=O)n2ncnc12</t>
  </si>
  <si>
    <t xml:space="preserve">CHEMBL236361</t>
  </si>
  <si>
    <t xml:space="preserve">CCCCCn1cc(C(=O)NC23CC4CC(C)(CC(C)(C4)C2)C3)c(=S)c2ccccc21</t>
  </si>
  <si>
    <t xml:space="preserve">CHEMBL2170528</t>
  </si>
  <si>
    <t xml:space="preserve">CCCCCn1cc(C(=O)NC23CC4CC(CC(C4)C2)C3)c(=O)c(-c2ccc(CC)cc2)c1C</t>
  </si>
  <si>
    <t xml:space="preserve">CHEMBL2170525</t>
  </si>
  <si>
    <t xml:space="preserve">CCCCCn1cc(C(=O)NC23CC4CC(CC(C4)C2)C3)c(=O)c(-c2ccccc2)c1C</t>
  </si>
  <si>
    <t xml:space="preserve">CHEMBL2170529</t>
  </si>
  <si>
    <t xml:space="preserve">CCCCCn1cc(C(=O)NC23CC4CC(CC(C4)C2)C3)c(=O)c(-c2ccncc2)c1C</t>
  </si>
  <si>
    <t xml:space="preserve">CHEMBL2170526</t>
  </si>
  <si>
    <t xml:space="preserve">CCCCCn1cc(C(=O)NC23CC4CC(CC(C4)C2)C3)c(=O)c(C2CC2)c1C</t>
  </si>
  <si>
    <t xml:space="preserve">CHEMBL2170530</t>
  </si>
  <si>
    <t xml:space="preserve">CCCCCn1cc(C(=O)NC23CC4CC(CC(C4)C2)C3)c(=O)c(I)c1C</t>
  </si>
  <si>
    <t xml:space="preserve">CHEMBL2316271</t>
  </si>
  <si>
    <t xml:space="preserve">CCCCCn1cc(C(=O)NC23CC4CC(CC(C4)C2)C3)c(=O)c2c(C(C)(C)C)nn(C)c21</t>
  </si>
  <si>
    <t xml:space="preserve">CHEMBL2316259</t>
  </si>
  <si>
    <t xml:space="preserve">CCCCCn1cc(C(=O)NC23CC4CC(CC(C4)C2)C3)c(=O)c2c(C)c(C)sc21</t>
  </si>
  <si>
    <t xml:space="preserve">CHEMBL2316284</t>
  </si>
  <si>
    <t xml:space="preserve">CCCCCn1cc(C(=O)NC23CC4CC(CC(C4)C2)C3)c(=O)c2c(C)csc21</t>
  </si>
  <si>
    <t xml:space="preserve">CHEMBL2316299</t>
  </si>
  <si>
    <t xml:space="preserve">CCCCCn1cc(C(=O)NC23CC4CC(CC(C4)C2)C3)c(=O)c2c(C)nn(C)c21</t>
  </si>
  <si>
    <t xml:space="preserve">CHEMBL2316281</t>
  </si>
  <si>
    <t xml:space="preserve">CCCCCn1cc(C(=O)NC23CC4CC(CC(C4)C2)C3)c(=O)c2c(C)noc21</t>
  </si>
  <si>
    <t xml:space="preserve">CHEMBL2316269</t>
  </si>
  <si>
    <t xml:space="preserve">CCCCCn1cc(C(=O)NC23CC4CC(CC(C4)C2)C3)c(=O)c2c(CC)nn(C)c21</t>
  </si>
  <si>
    <t xml:space="preserve">CHEMBL498131</t>
  </si>
  <si>
    <t xml:space="preserve">CCCCCn1cc(C(=O)NC23CC4CC(CC(C4)C2)C3)c(=O)c2c(OC)ccc(OC)c21</t>
  </si>
  <si>
    <t xml:space="preserve">CHEMBL1215901</t>
  </si>
  <si>
    <t xml:space="preserve">CCCCCn1cc(C(=O)NC23CC4CC(CC(C4)C2)C3)c(=O)c2cc(-c3c(C)noc3C)ccc21</t>
  </si>
  <si>
    <t xml:space="preserve">CHEMBL1215898</t>
  </si>
  <si>
    <t xml:space="preserve">CCCCCn1cc(C(=O)NC23CC4CC(CC(C4)C2)C3)c(=O)c2cc(-c3cc(C)c(OC)c(C)c3)ccc21</t>
  </si>
  <si>
    <t xml:space="preserve">CHEMBL1215891</t>
  </si>
  <si>
    <t xml:space="preserve">CCCCCn1cc(C(=O)NC23CC4CC(CC(C4)C2)C3)c(=O)c2cc(-c3ccc(-c4ccccc4)cc3)ccc21</t>
  </si>
  <si>
    <t xml:space="preserve">CHEMBL1215900</t>
  </si>
  <si>
    <t xml:space="preserve">CCCCCn1cc(C(=O)NC23CC4CC(CC(C4)C2)C3)c(=O)c2cc(-c3ccc(C#N)cc3)ccc21</t>
  </si>
  <si>
    <t xml:space="preserve">CHEMBL1215917</t>
  </si>
  <si>
    <t xml:space="preserve">CCCCCn1cc(C(=O)NC23CC4CC(CC(C4)C2)C3)c(=O)c2cc(-c3ccc(Cl)cc3)ccc21</t>
  </si>
  <si>
    <t xml:space="preserve">CHEMBL1215908</t>
  </si>
  <si>
    <t xml:space="preserve">CCCCCn1cc(C(=O)NC23CC4CC(CC(C4)C2)C3)c(=O)c2cc(-c3ccc(Cl)s3)ccc21</t>
  </si>
  <si>
    <t xml:space="preserve">CHEMBL1215916</t>
  </si>
  <si>
    <t xml:space="preserve">CCCCCn1cc(C(=O)NC23CC4CC(CC(C4)C2)C3)c(=O)c2cc(-c3ccc(F)cc3F)ccc21</t>
  </si>
  <si>
    <t xml:space="preserve">CHEMBL1215918</t>
  </si>
  <si>
    <t xml:space="preserve">CCCCCn1cc(C(=O)NC23CC4CC(CC(C4)C2)C3)c(=O)c2cc(-c3ccc(O)cc3)ccc21</t>
  </si>
  <si>
    <t xml:space="preserve">CHEMBL1215909</t>
  </si>
  <si>
    <t xml:space="preserve">CCCCCn1cc(C(=O)NC23CC4CC(CC(C4)C2)C3)c(=O)c2cc(-c3ccc(OC)nc3)ccc21</t>
  </si>
  <si>
    <t xml:space="preserve">CHEMBL1215899</t>
  </si>
  <si>
    <t xml:space="preserve">CCCCCn1cc(C(=O)NC23CC4CC(CC(C4)C2)C3)c(=O)c2cc(-c3ccc4cc(OC)ccc4c3)ccc21</t>
  </si>
  <si>
    <t xml:space="preserve">CHEMBL1814461</t>
  </si>
  <si>
    <t xml:space="preserve">CCCCCn1cc(C(=O)NC23CC4CC(CC(C4)C2)C3)c(=O)c2cc(-c3ccccc3)cc(OC)c21</t>
  </si>
  <si>
    <t xml:space="preserve">CHEMBL523577</t>
  </si>
  <si>
    <t xml:space="preserve">CCCCCn1cc(C(=O)NC23CC4CC(CC(C4)C2)C3)c(=O)c2cc(-c3ccccc3)ccc21</t>
  </si>
  <si>
    <t xml:space="preserve">CHEMBL1814462</t>
  </si>
  <si>
    <t xml:space="preserve">CCCCCn1cc(C(=O)NC23CC4CC(CC(C4)C2)C3)c(=O)c2cc(-c3ccco3)cc(OC)c21</t>
  </si>
  <si>
    <t xml:space="preserve">CHEMBL1215942</t>
  </si>
  <si>
    <t xml:space="preserve">CCCCCn1cc(C(=O)NC23CC4CC(CC(C4)C2)C3)c(=O)c2cc(-c3ccco3)ccc21</t>
  </si>
  <si>
    <t xml:space="preserve">CHEMBL1215941</t>
  </si>
  <si>
    <t xml:space="preserve">CCCCCn1cc(C(=O)NC23CC4CC(CC(C4)C2)C3)c(=O)c2cc(-c3cccs3)ccc21</t>
  </si>
  <si>
    <t xml:space="preserve">CHEMBL1215892</t>
  </si>
  <si>
    <t xml:space="preserve">CCCCCn1cc(C(=O)NC23CC4CC(CC(C4)C2)C3)c(=O)c2cc(-c3cnn(CC(C)C)c3)ccc21</t>
  </si>
  <si>
    <t xml:space="preserve">CHEMBL1215955</t>
  </si>
  <si>
    <t xml:space="preserve">CCCCCn1cc(C(=O)NC23CC4CC(CC(C4)C2)C3)c(=O)c2cc(-n3cccc3)ccc21</t>
  </si>
  <si>
    <t xml:space="preserve">CHEMBL1215963</t>
  </si>
  <si>
    <t xml:space="preserve">CCCCCn1cc(C(=O)NC23CC4CC(CC(C4)C2)C3)c(=O)c2cc(-n3ccnc3)ccc21</t>
  </si>
  <si>
    <t xml:space="preserve">CHEMBL1215890</t>
  </si>
  <si>
    <t xml:space="preserve">CCCCCn1cc(C(=O)NC23CC4CC(CC(C4)C2)C3)c(=O)c2cc(/C=C/C(C)(C)C)ccc21</t>
  </si>
  <si>
    <t xml:space="preserve">CHEMBL524731</t>
  </si>
  <si>
    <t xml:space="preserve">CCCCCn1cc(C(=O)NC23CC4CC(CC(C4)C2)C3)c(=O)c2cc(/C=C/c3ccc(OC)cc3)ccc21</t>
  </si>
  <si>
    <t xml:space="preserve">CHEMBL1215954</t>
  </si>
  <si>
    <t xml:space="preserve">CCCCCn1cc(C(=O)NC23CC4CC(CC(C4)C2)C3)c(=O)c2cc(/C=C/c3ccccc3)ccc21</t>
  </si>
  <si>
    <t xml:space="preserve">CHEMBL1814460</t>
  </si>
  <si>
    <t xml:space="preserve">CCCCCn1cc(C(=O)NC23CC4CC(CC(C4)C2)C3)c(=O)c2cc(Br)cc(OC)c21</t>
  </si>
  <si>
    <t xml:space="preserve">CHEMBL498297</t>
  </si>
  <si>
    <t xml:space="preserve">CCCCCn1cc(C(=O)NC23CC4CC(CC(C4)C2)C3)c(=O)c2cc(Br)ccc21</t>
  </si>
  <si>
    <t xml:space="preserve">CHEMBL1215889</t>
  </si>
  <si>
    <t xml:space="preserve">CCCCCn1cc(C(=O)NC23CC4CC(CC(C4)C2)C3)c(=O)c2cc(C#Cc3ccccc3)ccc21</t>
  </si>
  <si>
    <t xml:space="preserve">CHEMBL502276</t>
  </si>
  <si>
    <t xml:space="preserve">CCCCCn1cc(C(=O)NC23CC4CC(CC(C4)C2)C3)c(=O)c2cc(C(C)C)ccc21</t>
  </si>
  <si>
    <t xml:space="preserve">CHEMBL524884</t>
  </si>
  <si>
    <t xml:space="preserve">CCCCCn1cc(C(=O)NC23CC4CC(CC(C4)C2)C3)c(=O)c2cc(C(F)(F)F)ccc21</t>
  </si>
  <si>
    <t xml:space="preserve">CHEMBL1215919</t>
  </si>
  <si>
    <t xml:space="preserve">CCCCCn1cc(C(=O)NC23CC4CC(CC(C4)C2)C3)c(=O)c2cc(C3=CCCCC3)ccc21</t>
  </si>
  <si>
    <t xml:space="preserve">CHEMBL1215964</t>
  </si>
  <si>
    <t xml:space="preserve">CCCCCn1cc(C(=O)NC23CC4CC(CC(C4)C2)C3)c(=O)c2cc(C3CCCCC3)ccc21</t>
  </si>
  <si>
    <t xml:space="preserve">CHEMBL1215976</t>
  </si>
  <si>
    <t xml:space="preserve">CCCCCn1cc(C(=O)NC23CC4CC(CC(C4)C2)C3)c(=O)c2cc(CC)ccc21</t>
  </si>
  <si>
    <t xml:space="preserve">CHEMBL1215977</t>
  </si>
  <si>
    <t xml:space="preserve">CCCCCn1cc(C(=O)NC23CC4CC(CC(C4)C2)C3)c(=O)c2cc(CCc3ccccc3)ccc21</t>
  </si>
  <si>
    <t xml:space="preserve">CHEMBL1215952</t>
  </si>
  <si>
    <t xml:space="preserve">CCCCCn1cc(C(=O)NC23CC4CC(CC(C4)C2)C3)c(=O)c2cc(Cc3ccc(Cl)cc3Cl)ccc21</t>
  </si>
  <si>
    <t xml:space="preserve">CHEMBL497321</t>
  </si>
  <si>
    <t xml:space="preserve">CCCCCn1cc(C(=O)NC23CC4CC(CC(C4)C2)C3)c(=O)c2cc(F)c(-n3cccc3)cc21</t>
  </si>
  <si>
    <t xml:space="preserve">CHEMBL1215944</t>
  </si>
  <si>
    <t xml:space="preserve">CCCCCn1cc(C(=O)NC23CC4CC(CC(C4)C2)C3)c(=O)c2cc(I)ccc21</t>
  </si>
  <si>
    <t xml:space="preserve">CHEMBL500414</t>
  </si>
  <si>
    <t xml:space="preserve">CCCCCn1cc(C(=O)NC23CC4CC(CC(C4)C2)C3)c(=O)c2cc(Oc3ccc(F)c(Cl)c3)ccc21</t>
  </si>
  <si>
    <t xml:space="preserve">CHEMBL1215943</t>
  </si>
  <si>
    <t xml:space="preserve">CCCCCn1cc(C(=O)NC23CC4CC(CC(C4)C2)C3)c(=O)c2cc(S(=O)(=O)c3ccccc3)ccc21</t>
  </si>
  <si>
    <t xml:space="preserve">CHEMBL524456</t>
  </si>
  <si>
    <t xml:space="preserve">CCCCCn1cc(C(=O)NC23CC4CC(CC(C4)C2)C3)c(=O)c2cc(Sc3ccccc3)ccc21</t>
  </si>
  <si>
    <t xml:space="preserve">CHEMBL1215953</t>
  </si>
  <si>
    <t xml:space="preserve">CCCCCn1cc(C(=O)NC23CC4CC(CC(C4)C2)C3)c(=O)c2cc([S+]([O-])c3ccccc3)ccc21</t>
  </si>
  <si>
    <t xml:space="preserve">CHEMBL500925</t>
  </si>
  <si>
    <t xml:space="preserve">CCCCCn1cc(C(=O)NC23CC4CC(CC(C4)C2)C3)c(=O)c2ccc(Cl)c(C)c21</t>
  </si>
  <si>
    <t xml:space="preserve">CHEMBL525528</t>
  </si>
  <si>
    <t xml:space="preserve">CCCCCn1cc(C(=O)NC23CC4CC(CC(C4)C2)C3)c(=O)c2ccc(F)cc21</t>
  </si>
  <si>
    <t xml:space="preserve">CHEMBL507019</t>
  </si>
  <si>
    <t xml:space="preserve">CCCCCn1cc(C(=O)NC23CC4CC(CC(C4)C2)C3)c(=O)c2ccc(S(=O)(=O)c3ccccc3)cc21</t>
  </si>
  <si>
    <t xml:space="preserve">CHEMBL498527</t>
  </si>
  <si>
    <t xml:space="preserve">CCCCCn1cc(C(=O)NC23CC4CC(CC(C4)C2)C3)c(=O)c2ccc(Sc3ccccc3)cc21</t>
  </si>
  <si>
    <t xml:space="preserve">CHEMBL496659</t>
  </si>
  <si>
    <t xml:space="preserve">CCCCCn1cc(C(=O)NC23CC4CC(CC(C4)C2)C3)c(=O)c2ccc([S+]([O-])c3ccccc3)cc21</t>
  </si>
  <si>
    <t xml:space="preserve">CHEMBL1668518</t>
  </si>
  <si>
    <t xml:space="preserve">CCCCCn1cc(C(=O)NC23CC4CC(CC(C4)C2)C3)c(=O)c2cccc(C)c21</t>
  </si>
  <si>
    <t xml:space="preserve">CHEMBL1814458</t>
  </si>
  <si>
    <t xml:space="preserve">CCCCCn1cc(C(=O)NC23CC4CC(CC(C4)C2)C3)c(=O)c2cccc(OC)c21</t>
  </si>
  <si>
    <t xml:space="preserve">CHEMBL3413748</t>
  </si>
  <si>
    <t xml:space="preserve">CHEMBL3407340</t>
  </si>
  <si>
    <t xml:space="preserve">Displacement of [3H]-CP-55940 from human CB2 receptor transfected in CHOK1 cells after 90 mins by liquid scintillation counting analysis</t>
  </si>
  <si>
    <t xml:space="preserve">CHEMBL1814459</t>
  </si>
  <si>
    <t xml:space="preserve">CCCCCn1cc(C(=O)NC23CC4CC(CC(C4)C2)C3)c(=O)c2cccc([N+](=O)[O-])c21</t>
  </si>
  <si>
    <t xml:space="preserve">CHEMBL201571</t>
  </si>
  <si>
    <t xml:space="preserve">CCCCCn1cc(C(=O)NC23CC4CC(CC(C4)C2)C3)c(=O)c2ccccc21</t>
  </si>
  <si>
    <t xml:space="preserve">CHEMBL2316274</t>
  </si>
  <si>
    <t xml:space="preserve">CCCCCn1cc(C(=O)NC23CC4CC(CC(C4)C2)C3)c(=O)c2cnn(C)c21</t>
  </si>
  <si>
    <t xml:space="preserve">CHEMBL1641957</t>
  </si>
  <si>
    <t xml:space="preserve">CCCCCn1cc(C(=O)NC23CC4CC(CC(C4)C2)C3)c(=O)cc1-c1ccc(C)cc1</t>
  </si>
  <si>
    <t xml:space="preserve">CHEMBL1641952</t>
  </si>
  <si>
    <t xml:space="preserve">CCCCCn1cc(C(=O)NC23CC4CC(CC(C4)C2)C3)c(=O)cc1-c1ccc(Cl)cc1</t>
  </si>
  <si>
    <t xml:space="preserve">CHEMBL1641958</t>
  </si>
  <si>
    <t xml:space="preserve">CCCCCn1cc(C(=O)NC23CC4CC(CC(C4)C2)C3)c(=O)cc1-c1ccc(OC)cc1</t>
  </si>
  <si>
    <t xml:space="preserve">CHEMBL1641955</t>
  </si>
  <si>
    <t xml:space="preserve">CCCCCn1cc(C(=O)NC23CC4CC(CC(C4)C2)C3)c(=O)cc1-c1cccc(Cl)c1</t>
  </si>
  <si>
    <t xml:space="preserve">CHEMBL1641945</t>
  </si>
  <si>
    <t xml:space="preserve">CCCCCn1cc(C(=O)NC23CC4CC(CC(C4)C2)C3)c(=O)cc1-c1ccccc1</t>
  </si>
  <si>
    <t xml:space="preserve">CHEMBL1641956</t>
  </si>
  <si>
    <t xml:space="preserve">CCCCCn1cc(C(=O)NC23CC4CC(CC(C4)C2)C3)c(=O)cc1-c1ccccc1Cl</t>
  </si>
  <si>
    <t xml:space="preserve">CHEMBL1641936</t>
  </si>
  <si>
    <t xml:space="preserve">CCCCCn1cc(C(=O)NC23CC4CC(CC(C4)C2)C3)c(=O)cc1C</t>
  </si>
  <si>
    <t xml:space="preserve">CHEMBL1641937</t>
  </si>
  <si>
    <t xml:space="preserve">CCCCCn1cc(C(=O)NC23CC4CC(CC(C4)C2)C3)c(=O)cc1C(C)(C)C</t>
  </si>
  <si>
    <t xml:space="preserve">CHEMBL2381671</t>
  </si>
  <si>
    <t xml:space="preserve">CCCCCn1cc(C(=O)NC23CC4CC(CC(C4)C2)C3)c(=O)n2nc(-c3c(Cl)cccc3Cl)cc12</t>
  </si>
  <si>
    <t xml:space="preserve">CHEMBL2383561</t>
  </si>
  <si>
    <t xml:space="preserve">CHEMBL2380310</t>
  </si>
  <si>
    <t xml:space="preserve">Displacement of [3H]CP-55940 from human CB2 receptor expressed in CHO cell membrane after 60 mins by scintillation counting analysis</t>
  </si>
  <si>
    <t xml:space="preserve">CHEMBL2381779</t>
  </si>
  <si>
    <t xml:space="preserve">CCCCCn1cc(C(=O)NC23CC4CC(CC(C4)C2)C3)c(=O)n2nc(-c3cc(C)cs3)cc12</t>
  </si>
  <si>
    <t xml:space="preserve">CHEMBL2381791</t>
  </si>
  <si>
    <t xml:space="preserve">CCCCCn1cc(C(=O)NC23CC4CC(CC(C4)C2)C3)c(=O)n2nc(-c3ccc(C)cc3)cc12</t>
  </si>
  <si>
    <t xml:space="preserve">CHEMBL3774919</t>
  </si>
  <si>
    <t xml:space="preserve">CCCCCn1cc(C(=O)NC23CC4CC(CC(C4)C2)C3)c(=O)n2nc(-c3ccc(C)cc3)nc12</t>
  </si>
  <si>
    <t xml:space="preserve">CHEMBL2381780</t>
  </si>
  <si>
    <t xml:space="preserve">CCCCCn1cc(C(=O)NC23CC4CC(CC(C4)C2)C3)c(=O)n2nc(-c3ccc(C)s3)cc12</t>
  </si>
  <si>
    <t xml:space="preserve">CHEMBL2381797</t>
  </si>
  <si>
    <t xml:space="preserve">CCCCCn1cc(C(=O)NC23CC4CC(CC(C4)C2)C3)c(=O)n2nc(-c3ccc(Cl)cc3)cc12</t>
  </si>
  <si>
    <t xml:space="preserve">CHEMBL3775267</t>
  </si>
  <si>
    <t xml:space="preserve">CCCCCn1cc(C(=O)NC23CC4CC(CC(C4)C2)C3)c(=O)n2nc(-c3ccc(Cl)cc3)nc12</t>
  </si>
  <si>
    <t xml:space="preserve">CHEMBL2381800</t>
  </si>
  <si>
    <t xml:space="preserve">CCCCCn1cc(C(=O)NC23CC4CC(CC(C4)C2)C3)c(=O)n2nc(-c3ccc(Cl)cc3Cl)cc12</t>
  </si>
  <si>
    <t xml:space="preserve">CHEMBL3774717</t>
  </si>
  <si>
    <t xml:space="preserve">CCCCCn1cc(C(=O)NC23CC4CC(CC(C4)C2)C3)c(=O)n2nc(-c3ccc(OC)cc3)nc12</t>
  </si>
  <si>
    <t xml:space="preserve">CHEMBL2381786</t>
  </si>
  <si>
    <t xml:space="preserve">CCCCCn1cc(C(=O)NC23CC4CC(CC(C4)C2)C3)c(=O)n2nc(-c3ccccc3)cc12</t>
  </si>
  <si>
    <t xml:space="preserve">CHEMBL2316262</t>
  </si>
  <si>
    <t xml:space="preserve">CCCCCn1cc(C(=O)NC23CC4CC(CC(C4)C2)C3)c(=O)n2nc(-c3ccccc3)nc12</t>
  </si>
  <si>
    <t xml:space="preserve">CHEMBL2381788</t>
  </si>
  <si>
    <t xml:space="preserve">CCCCCn1cc(C(=O)NC23CC4CC(CC(C4)C2)C3)c(=O)n2nc(-c3ccccc3C)cc12</t>
  </si>
  <si>
    <t xml:space="preserve">CHEMBL2381794</t>
  </si>
  <si>
    <t xml:space="preserve">CCCCCn1cc(C(=O)NC23CC4CC(CC(C4)C2)C3)c(=O)n2nc(-c3ccccc3Cl)cc12</t>
  </si>
  <si>
    <t xml:space="preserve">CHEMBL3775089</t>
  </si>
  <si>
    <t xml:space="preserve">CCCCCn1cc(C(=O)NC23CC4CC(CC(C4)C2)C3)c(=O)n2nc(-c3cccnc3)nc12</t>
  </si>
  <si>
    <t xml:space="preserve">CHEMBL2381674</t>
  </si>
  <si>
    <t xml:space="preserve">CCCCCn1cc(C(=O)NC23CC4CC(CC(C4)C2)C3)c(=O)n2nc(-c3ccco3)cc12</t>
  </si>
  <si>
    <t xml:space="preserve">CHEMBL3774483</t>
  </si>
  <si>
    <t xml:space="preserve">CCCCCn1cc(C(=O)NC23CC4CC(CC(C4)C2)C3)c(=O)n2nc(-c3ccco3)nc12</t>
  </si>
  <si>
    <t xml:space="preserve">CHEMBL2381778</t>
  </si>
  <si>
    <t xml:space="preserve">CCCCCn1cc(C(=O)NC23CC4CC(CC(C4)C2)C3)c(=O)n2nc(-c3cccs3)cc12</t>
  </si>
  <si>
    <t xml:space="preserve">CHEMBL2381777</t>
  </si>
  <si>
    <t xml:space="preserve">CCCCCn1cc(C(=O)NC23CC4CC(CC(C4)C2)C3)c(=O)n2nc(-c3ccoc3)cc12</t>
  </si>
  <si>
    <t xml:space="preserve">CHEMBL2381812</t>
  </si>
  <si>
    <t xml:space="preserve">CCCCCn1cc(C(=O)NC23CC4CC(CC(C4)C2)C3)c(=O)n2nc(C(C)(C)C)cc12</t>
  </si>
  <si>
    <t xml:space="preserve">CHEMBL2381783</t>
  </si>
  <si>
    <t xml:space="preserve">CCCCCn1cc(C(=O)NC23CC4CC(CC(C4)C2)C3)c(=O)n2nc(C)c(-c3ccc(OC)cc3)c12</t>
  </si>
  <si>
    <t xml:space="preserve">CHEMBL2381782</t>
  </si>
  <si>
    <t xml:space="preserve">CCCCCn1cc(C(=O)NC23CC4CC(CC(C4)C2)C3)c(=O)n2nc(C)c(-c3ccccc3)c12</t>
  </si>
  <si>
    <t xml:space="preserve">CHEMBL2381781</t>
  </si>
  <si>
    <t xml:space="preserve">CCCCCn1cc(C(=O)NC23CC4CC(CC(C4)C2)C3)c(=O)n2nc(C)c(Br)c12</t>
  </si>
  <si>
    <t xml:space="preserve">CHEMBL2381804</t>
  </si>
  <si>
    <t xml:space="preserve">CCCCCn1cc(C(=O)NC23CC4CC(CC(C4)C2)C3)c(=O)n2nc(C)cc12</t>
  </si>
  <si>
    <t xml:space="preserve">CHEMBL3774406</t>
  </si>
  <si>
    <t xml:space="preserve">CCCCCn1cc(C(=O)NC23CC4CC(CC(C4)C2)C3)c(=O)n2nc(C)nc12</t>
  </si>
  <si>
    <t xml:space="preserve">CHEMBL2381809</t>
  </si>
  <si>
    <t xml:space="preserve">CCCCCn1cc(C(=O)NC23CC4CC(CC(C4)C2)C3)c(=O)n2nc(CC)cc12</t>
  </si>
  <si>
    <t xml:space="preserve">CHEMBL3774794</t>
  </si>
  <si>
    <t xml:space="preserve">CCCCCn1cc(C(=O)NC23CC4CC(CC(C4)C2)C3)c(=O)n2nc(N(C)Cc3ccccc3)nc12</t>
  </si>
  <si>
    <t xml:space="preserve">CHEMBL3775265</t>
  </si>
  <si>
    <t xml:space="preserve">CCCCCn1cc(C(=O)NC23CC4CC(CC(C4)C2)C3)c(=O)n2nc(N3CCOCC3)nc12</t>
  </si>
  <si>
    <t xml:space="preserve">CHEMBL3774454</t>
  </si>
  <si>
    <t xml:space="preserve">CCCCCn1cc(C(=O)NC23CC4CC(CC(C4)C2)C3)c(=O)n2nc(SC)nc12</t>
  </si>
  <si>
    <t xml:space="preserve">CHEMBL2316261</t>
  </si>
  <si>
    <t xml:space="preserve">CCCCCn1cc(C(=O)NC23CC4CC(CC(C4)C2)C3)c(=O)n2ncnc12</t>
  </si>
  <si>
    <t xml:space="preserve">CHEMBL1641959</t>
  </si>
  <si>
    <t xml:space="preserve">CCCCCn1cc(C(=O)NC23CC4CC(CC(C4)C2)C3)c(=S)cc1-c1ccccc1</t>
  </si>
  <si>
    <t xml:space="preserve">CHEMBL2087107</t>
  </si>
  <si>
    <t xml:space="preserve">CCCCCn1cc(C(=O)NC23CC4CC(CC(C4)C2)C3)c2cc(-c3ccccc3)ccc21</t>
  </si>
  <si>
    <t xml:space="preserve">CHEMBL2087108</t>
  </si>
  <si>
    <t xml:space="preserve">CCCCCn1cc(C(=O)NC23CC4CC(CC(C4)C2)C3)c2cc(-c3ccco3)ccc21</t>
  </si>
  <si>
    <t xml:space="preserve">CHEMBL2087109</t>
  </si>
  <si>
    <t xml:space="preserve">CCCCCn1cc(C(=O)NC23CC4CC(CC(C4)C2)C3)c2cc(-c3cccs3)ccc21</t>
  </si>
  <si>
    <t xml:space="preserve">CHEMBL2087110</t>
  </si>
  <si>
    <t xml:space="preserve">CCCCCn1cc(C(=O)NC23CC4CC(CC(C4)C2)C3)c2ccc(-c3ccccc3)cc21</t>
  </si>
  <si>
    <t xml:space="preserve">CHEMBL1668517</t>
  </si>
  <si>
    <t xml:space="preserve">CCCCCn1cc(C(=O)NC2C(C)(C)[C@@H]3CC[C@@]2(C)C3)c(=O)c2cc(-c3ccco3)ccc21</t>
  </si>
  <si>
    <t xml:space="preserve">CHEMBL264521</t>
  </si>
  <si>
    <t xml:space="preserve">CCCCCn1cc(C(=O)NC2C3CC4CC(C3)CC2C4)c(=O)c2ccccc21</t>
  </si>
  <si>
    <t xml:space="preserve">CHEMBL2170545</t>
  </si>
  <si>
    <t xml:space="preserve">CCCCCn1cc(C(=O)NC2C3CC4CC(C3)CC2C4)c(=O)cc1C</t>
  </si>
  <si>
    <t xml:space="preserve">CHEMBL2170549</t>
  </si>
  <si>
    <t xml:space="preserve">CCCCCn1cc(C(=O)NC2C3CC4CC(C3)CC2C4)c(=O)cc1C(C)(C)C</t>
  </si>
  <si>
    <t xml:space="preserve">CHEMBL2381806</t>
  </si>
  <si>
    <t xml:space="preserve">CCCCCn1cc(C(=O)NC2CCC(C)CC2)c(=O)n2nc(C)cc12</t>
  </si>
  <si>
    <t xml:space="preserve">CHEMBL2316277</t>
  </si>
  <si>
    <t xml:space="preserve">CCCCCn1cc(C(=O)NC2CCCCC2)c(=O)c2c(-c3ccc(Cl)cc3)nn(C)c21</t>
  </si>
  <si>
    <t xml:space="preserve">CHEMBL2316270</t>
  </si>
  <si>
    <t xml:space="preserve">CCCCCn1cc(C(=O)NC2CCCCC2)c(=O)c2c(C(C)(C)C)nn(C)c21</t>
  </si>
  <si>
    <t xml:space="preserve">CHEMBL2316282</t>
  </si>
  <si>
    <t xml:space="preserve">CCCCCn1cc(C(=O)NC2CCCCC2)c(=O)c2c(C)csc21</t>
  </si>
  <si>
    <t xml:space="preserve">CHEMBL2316285</t>
  </si>
  <si>
    <t xml:space="preserve">CCCCCn1cc(C(=O)NC2CCCCC2)c(=O)c2c(C)nn(C)c21</t>
  </si>
  <si>
    <t xml:space="preserve">CHEMBL2316279</t>
  </si>
  <si>
    <t xml:space="preserve">CCCCCn1cc(C(=O)NC2CCCCC2)c(=O)c2c(C)noc21</t>
  </si>
  <si>
    <t xml:space="preserve">CHEMBL2316268</t>
  </si>
  <si>
    <t xml:space="preserve">CCCCCn1cc(C(=O)NC2CCCCC2)c(=O)c2c(CC)nn(C)c21</t>
  </si>
  <si>
    <t xml:space="preserve">CHEMBL1215993</t>
  </si>
  <si>
    <t xml:space="preserve">CCCCCn1cc(C(=O)NC2CCCCC2)c(=O)c2cc(Br)ccc21</t>
  </si>
  <si>
    <t xml:space="preserve">CHEMBL2316272</t>
  </si>
  <si>
    <t xml:space="preserve">CCCCCn1cc(C(=O)NC2CCCCC2)c(=O)c2cnn(C)c21</t>
  </si>
  <si>
    <t xml:space="preserve">CHEMBL1641953</t>
  </si>
  <si>
    <t xml:space="preserve">CCCCCn1cc(C(=O)NC2CCCCC2)c(=O)cc1-c1ccc(Cl)cc1</t>
  </si>
  <si>
    <t xml:space="preserve">CHEMBL1641947</t>
  </si>
  <si>
    <t xml:space="preserve">CCCCCn1cc(C(=O)NC2CCCCC2)c(=O)cc1-c1ccccc1</t>
  </si>
  <si>
    <t xml:space="preserve">CHEMBL2170542</t>
  </si>
  <si>
    <t xml:space="preserve">CCCCCn1cc(C(=O)NC2CCCCC2)c(=O)cc1C</t>
  </si>
  <si>
    <t xml:space="preserve">CHEMBL1641938</t>
  </si>
  <si>
    <t xml:space="preserve">CCCCCn1cc(C(=O)NC2CCCCC2)c(=O)cc1C(C)(C)C</t>
  </si>
  <si>
    <t xml:space="preserve">CHEMBL2381789</t>
  </si>
  <si>
    <t xml:space="preserve">CCCCCn1cc(C(=O)NC2CCCCC2)c(=O)n2nc(-c3ccc(C)cc3)cc12</t>
  </si>
  <si>
    <t xml:space="preserve">CHEMBL3775199</t>
  </si>
  <si>
    <t xml:space="preserve">CCCCCn1cc(C(=O)NC2CCCCC2)c(=O)n2nc(-c3ccc(C)cc3)nc12</t>
  </si>
  <si>
    <t xml:space="preserve">CHEMBL2381795</t>
  </si>
  <si>
    <t xml:space="preserve">CCCCCn1cc(C(=O)NC2CCCCC2)c(=O)n2nc(-c3ccc(Cl)cc3)cc12</t>
  </si>
  <si>
    <t xml:space="preserve">CHEMBL3774980</t>
  </si>
  <si>
    <t xml:space="preserve">CCCCCn1cc(C(=O)NC2CCCCC2)c(=O)n2nc(-c3ccc(Cl)cc3)nc12</t>
  </si>
  <si>
    <t xml:space="preserve">CHEMBL2381798</t>
  </si>
  <si>
    <t xml:space="preserve">CCCCCn1cc(C(=O)NC2CCCCC2)c(=O)n2nc(-c3ccc(Cl)cc3Cl)cc12</t>
  </si>
  <si>
    <t xml:space="preserve">CHEMBL3775107</t>
  </si>
  <si>
    <t xml:space="preserve">CCCCCn1cc(C(=O)NC2CCCCC2)c(=O)n2nc(-c3ccc(OC)cc3)nc12</t>
  </si>
  <si>
    <t xml:space="preserve">CHEMBL2381784</t>
  </si>
  <si>
    <t xml:space="preserve">CCCCCn1cc(C(=O)NC2CCCCC2)c(=O)n2nc(-c3ccccc3)cc12</t>
  </si>
  <si>
    <t xml:space="preserve">CHEMBL3775966</t>
  </si>
  <si>
    <t xml:space="preserve">CCCCCn1cc(C(=O)NC2CCCCC2)c(=O)n2nc(-c3ccccc3)nc12</t>
  </si>
  <si>
    <t xml:space="preserve">CHEMBL2381787</t>
  </si>
  <si>
    <t xml:space="preserve">CCCCCn1cc(C(=O)NC2CCCCC2)c(=O)n2nc(-c3ccccc3C)cc12</t>
  </si>
  <si>
    <t xml:space="preserve">CHEMBL2381792</t>
  </si>
  <si>
    <t xml:space="preserve">CCCCCn1cc(C(=O)NC2CCCCC2)c(=O)n2nc(-c3ccccc3Cl)cc12</t>
  </si>
  <si>
    <t xml:space="preserve">CHEMBL2381672</t>
  </si>
  <si>
    <t xml:space="preserve">CCCCCn1cc(C(=O)NC2CCCCC2)c(=O)n2nc(-c3ccco3)cc12</t>
  </si>
  <si>
    <t xml:space="preserve">CHEMBL2381810</t>
  </si>
  <si>
    <t xml:space="preserve">CCCCCn1cc(C(=O)NC2CCCCC2)c(=O)n2nc(C(C)(C)C)cc12</t>
  </si>
  <si>
    <t xml:space="preserve">CHEMBL2381802</t>
  </si>
  <si>
    <t xml:space="preserve">CCCCCn1cc(C(=O)NC2CCCCC2)c(=O)n2nc(C)cc12</t>
  </si>
  <si>
    <t xml:space="preserve">CHEMBL3775313</t>
  </si>
  <si>
    <t xml:space="preserve">CCCCCn1cc(C(=O)NC2CCCCC2)c(=O)n2nc(C)nc12</t>
  </si>
  <si>
    <t xml:space="preserve">CHEMBL2381807</t>
  </si>
  <si>
    <t xml:space="preserve">CCCCCn1cc(C(=O)NC2CCCCC2)c(=O)n2nc(CC)cc12</t>
  </si>
  <si>
    <t xml:space="preserve">CHEMBL3774887</t>
  </si>
  <si>
    <t xml:space="preserve">CCCCCn1cc(C(=O)NC2CCCCC2)c(=O)n2nc(N(C)Cc3ccccc3)nc12</t>
  </si>
  <si>
    <t xml:space="preserve">CHEMBL3774459</t>
  </si>
  <si>
    <t xml:space="preserve">CCCCCn1cc(C(=O)NC2CCCCC2)c(=O)n2nc(SC)nc12</t>
  </si>
  <si>
    <t xml:space="preserve">CHEMBL1641960</t>
  </si>
  <si>
    <t xml:space="preserve">CCCCCn1cc(C(=O)NC2CCCCC2)c(=S)cc1-c1ccccc1</t>
  </si>
  <si>
    <t xml:space="preserve">CHEMBL2316278</t>
  </si>
  <si>
    <t xml:space="preserve">CCCCCn1cc(C(=O)NC2CCCCCC2)c(=O)c2c(-c3ccc(Cl)cc3)nn(C)c21</t>
  </si>
  <si>
    <t xml:space="preserve">CHEMBL2316283</t>
  </si>
  <si>
    <t xml:space="preserve">CCCCCn1cc(C(=O)NC2CCCCCC2)c(=O)c2c(C)csc21</t>
  </si>
  <si>
    <t xml:space="preserve">CHEMBL2316298</t>
  </si>
  <si>
    <t xml:space="preserve">CCCCCn1cc(C(=O)NC2CCCCCC2)c(=O)c2c(C)nn(C)c21</t>
  </si>
  <si>
    <t xml:space="preserve">CHEMBL2316280</t>
  </si>
  <si>
    <t xml:space="preserve">CCCCCn1cc(C(=O)NC2CCCCCC2)c(=O)c2c(C)noc21</t>
  </si>
  <si>
    <t xml:space="preserve">CHEMBL2316273</t>
  </si>
  <si>
    <t xml:space="preserve">CCCCCn1cc(C(=O)NC2CCCCCC2)c(=O)c2cnn(C)c21</t>
  </si>
  <si>
    <t xml:space="preserve">CHEMBL2381790</t>
  </si>
  <si>
    <t xml:space="preserve">CCCCCn1cc(C(=O)NC2CCCCCC2)c(=O)n2nc(-c3ccc(C)cc3)cc12</t>
  </si>
  <si>
    <t xml:space="preserve">CHEMBL3774721</t>
  </si>
  <si>
    <t xml:space="preserve">CCCCCn1cc(C(=O)NC2CCCCCC2)c(=O)n2nc(-c3ccc(C)cc3)nc12</t>
  </si>
  <si>
    <t xml:space="preserve">CHEMBL2381796</t>
  </si>
  <si>
    <t xml:space="preserve">CCCCCn1cc(C(=O)NC2CCCCCC2)c(=O)n2nc(-c3ccc(Cl)cc3)cc12</t>
  </si>
  <si>
    <t xml:space="preserve">CHEMBL2381799</t>
  </si>
  <si>
    <t xml:space="preserve">CCCCCn1cc(C(=O)NC2CCCCCC2)c(=O)n2nc(-c3ccc(Cl)cc3Cl)cc12</t>
  </si>
  <si>
    <t xml:space="preserve">CHEMBL2381785</t>
  </si>
  <si>
    <t xml:space="preserve">CCCCCn1cc(C(=O)NC2CCCCCC2)c(=O)n2nc(-c3ccccc3)cc12</t>
  </si>
  <si>
    <t xml:space="preserve">CHEMBL3775328</t>
  </si>
  <si>
    <t xml:space="preserve">CCCCCn1cc(C(=O)NC2CCCCCC2)c(=O)n2nc(-c3ccccc3)nc12</t>
  </si>
  <si>
    <t xml:space="preserve">CHEMBL2380327</t>
  </si>
  <si>
    <t xml:space="preserve">CCCCCn1cc(C(=O)NC2CCCCCC2)c(=O)n2nc(-c3ccccc3C)cc12</t>
  </si>
  <si>
    <t xml:space="preserve">CHEMBL2381793</t>
  </si>
  <si>
    <t xml:space="preserve">CCCCCn1cc(C(=O)NC2CCCCCC2)c(=O)n2nc(-c3ccccc3Cl)cc12</t>
  </si>
  <si>
    <t xml:space="preserve">CHEMBL2381673</t>
  </si>
  <si>
    <t xml:space="preserve">CCCCCn1cc(C(=O)NC2CCCCCC2)c(=O)n2nc(-c3ccco3)cc12</t>
  </si>
  <si>
    <t xml:space="preserve">CHEMBL2381811</t>
  </si>
  <si>
    <t xml:space="preserve">CCCCCn1cc(C(=O)NC2CCCCCC2)c(=O)n2nc(C(C)(C)C)cc12</t>
  </si>
  <si>
    <t xml:space="preserve">CHEMBL2381803</t>
  </si>
  <si>
    <t xml:space="preserve">CCCCCn1cc(C(=O)NC2CCCCCC2)c(=O)n2nc(C)cc12</t>
  </si>
  <si>
    <t xml:space="preserve">CHEMBL2381808</t>
  </si>
  <si>
    <t xml:space="preserve">CCCCCn1cc(C(=O)NC2CCCCCC2)c(=O)n2nc(CC)cc12</t>
  </si>
  <si>
    <t xml:space="preserve">CHEMBL3774589</t>
  </si>
  <si>
    <t xml:space="preserve">CCCCCn1cc(C(=O)NC2CCCCCC2)c(=O)n2nc(N3CCN(C)CC3)nc12</t>
  </si>
  <si>
    <t xml:space="preserve">CHEMBL3775054</t>
  </si>
  <si>
    <t xml:space="preserve">CCCCCn1cc(C(=O)NC2CCCCCC2)c(=O)n2nc(N3CCOCC3)nc12</t>
  </si>
  <si>
    <t xml:space="preserve">CHEMBL3775571</t>
  </si>
  <si>
    <t xml:space="preserve">CCCCCn1cc(C(=O)NC2CCCCCC2)c(=O)n2ncnc12</t>
  </si>
  <si>
    <t xml:space="preserve">CHEMBL235335</t>
  </si>
  <si>
    <t xml:space="preserve">CCCCCn1cc(C(=O)NC2CCCc3ccccc32)c(=O)c2cc(Cl)ccc21</t>
  </si>
  <si>
    <t xml:space="preserve">CHEMBL2152825</t>
  </si>
  <si>
    <t xml:space="preserve">CCCCCn1cc(C(=O)NC2CN3CCC2CC3)c(=O)c2ccc(Sc3ccccc3)cc21</t>
  </si>
  <si>
    <t xml:space="preserve">CHEMBL1641943</t>
  </si>
  <si>
    <t xml:space="preserve">CCCCCn1cc(C(=O)NCC23CC4CC(C)(CC(C)(C4)C2)C3)c(=O)cc1-c1ccccc1</t>
  </si>
  <si>
    <t xml:space="preserve">CHEMBL235487</t>
  </si>
  <si>
    <t xml:space="preserve">CCCCCn1cc(C(=O)NCC23CC4CC(CC(C4)C2)C3)c(=O)c2ccccc21</t>
  </si>
  <si>
    <t xml:space="preserve">CHEMBL1641942</t>
  </si>
  <si>
    <t xml:space="preserve">CCCCCn1cc(C(=O)NCC23CC4CC(CC(C4)C2)C3)c(=O)cc1-c1ccccc1</t>
  </si>
  <si>
    <t xml:space="preserve">CHEMBL2170546</t>
  </si>
  <si>
    <t xml:space="preserve">CCCCCn1cc(C(=O)NCC23CC4CC(CC(C4)C2)C3)c(=O)cc1C</t>
  </si>
  <si>
    <t xml:space="preserve">CHEMBL2170551</t>
  </si>
  <si>
    <t xml:space="preserve">CCCCCn1cc(C(=O)NCC23CC4CC(CC(C4)C2)C3)c(=O)cc1C(C)(C)C</t>
  </si>
  <si>
    <t xml:space="preserve">CHEMBL2170548</t>
  </si>
  <si>
    <t xml:space="preserve">CCCCCn1cc(C(=O)NCC2CC2)c(=O)cc1C(C)(C)C</t>
  </si>
  <si>
    <t xml:space="preserve">CHEMBL2316295</t>
  </si>
  <si>
    <t xml:space="preserve">CCCCCn1cc(C(=O)NCC2CCCCC2)c(=O)c2c(C)nn(C)c21</t>
  </si>
  <si>
    <t xml:space="preserve">CHEMBL2152828</t>
  </si>
  <si>
    <t xml:space="preserve">CCCCCn1cc(C(=O)NCCN2CCOCC2)c(=O)c2ccc(Sc3ccccc3)cc21</t>
  </si>
  <si>
    <t xml:space="preserve">CHEMBL201056</t>
  </si>
  <si>
    <t xml:space="preserve">CCCCCn1cc(C(=O)NCCc2ccc3c(c2)OCO3)c(=O)c2ccccc21</t>
  </si>
  <si>
    <t xml:space="preserve">CHEMBL201175</t>
  </si>
  <si>
    <t xml:space="preserve">CCCCCn1cc(C(=O)NCCc2ccccc2)c(=O)c2ccccc21</t>
  </si>
  <si>
    <t xml:space="preserve">CHEMBL2152820</t>
  </si>
  <si>
    <t xml:space="preserve">CCCCCn1cc(C(=O)NCc2ccc(Cl)c(Cl)c2)c(=O)c2ccc(Br)cc21</t>
  </si>
  <si>
    <t xml:space="preserve">CHEMBL2316267</t>
  </si>
  <si>
    <t xml:space="preserve">CCCCCn1cc(C(=O)NCc2ccccc2)c(=O)c2c(C)nn(C)c21</t>
  </si>
  <si>
    <t xml:space="preserve">CHEMBL2381805</t>
  </si>
  <si>
    <t xml:space="preserve">CCCCCn1cc(C(=O)NCc2ccccc2)c(=O)n2nc(C)cc12</t>
  </si>
  <si>
    <t xml:space="preserve">CHEMBL2152822</t>
  </si>
  <si>
    <t xml:space="preserve">CCCCCn1cc(C(=O)NN(C)C)c(=O)c2ccc(Sc3ccccc3)cc21</t>
  </si>
  <si>
    <t xml:space="preserve">CHEMBL1215992</t>
  </si>
  <si>
    <t xml:space="preserve">CCCCCn1cc(C(=O)NN2CCCCC2)c(=O)c2cc(Br)ccc21</t>
  </si>
  <si>
    <t xml:space="preserve">CHEMBL2152826</t>
  </si>
  <si>
    <t xml:space="preserve">CCCCCn1cc(C(=O)NN2CCCCC2)c(=O)c2ccc(Sc3ccccc3)cc21</t>
  </si>
  <si>
    <t xml:space="preserve">CHEMBL1641950</t>
  </si>
  <si>
    <t xml:space="preserve">CCCCCn1cc(C(=O)NN2CCCCC2)c(=O)cc1-c1ccccc1</t>
  </si>
  <si>
    <t xml:space="preserve">CHEMBL2152829</t>
  </si>
  <si>
    <t xml:space="preserve">CCCCCn1cc(C(=O)NOC)c(=O)c2ccc(Sc3ccccc3)cc21</t>
  </si>
  <si>
    <t xml:space="preserve">CHEMBL2152827</t>
  </si>
  <si>
    <t xml:space="preserve">CCCCCn1cc(C(=O)NOCc2ccccc2)c(=O)c2ccc(Sc3ccccc3)cc21</t>
  </si>
  <si>
    <t xml:space="preserve">CHEMBL200646</t>
  </si>
  <si>
    <t xml:space="preserve">CCCCCn1cc(C(=O)N[C@@H](C)c2ccccc2)c(=O)c2ccccc21</t>
  </si>
  <si>
    <t xml:space="preserve">CHEMBL5178204</t>
  </si>
  <si>
    <t xml:space="preserve">CCCCCn1cc(C(=O)N[C@@H](Cc2ccccc2)C(N)=O)c2cccnc21</t>
  </si>
  <si>
    <t xml:space="preserve">CHEMBL5108813</t>
  </si>
  <si>
    <t xml:space="preserve">CHEMBL5107959</t>
  </si>
  <si>
    <t xml:space="preserve">Displacement of [3H]-CP55940 from N-terminal 3HA-tagged human CB2 receptor expressed in human HEK293-EBNA cells incubated for 60 mins by radioligand competitive binding assay based liquid scintillation counter</t>
  </si>
  <si>
    <t xml:space="preserve">CHEMBL2152803</t>
  </si>
  <si>
    <t xml:space="preserve">CCCCCn1cc(C(=O)N[C@@H]2C(C)(C)C3CC[C@]2(C)C3)c(=O)c2ccc(F)cc21</t>
  </si>
  <si>
    <t xml:space="preserve">CHEMBL2152813</t>
  </si>
  <si>
    <t xml:space="preserve">CCCCCn1cc(C(=O)N[C@@H]2C(C)(C)C3CC[C@]2(C)C3)c(=O)c2ccc(Sc3ccccc3)cc21</t>
  </si>
  <si>
    <t xml:space="preserve">CHEMBL1641948</t>
  </si>
  <si>
    <t xml:space="preserve">CCCCCn1cc(C(=O)N[C@@H]2CCCc3ccccc32)c(=O)cc1-c1ccccc1</t>
  </si>
  <si>
    <t xml:space="preserve">CHEMBL4476642</t>
  </si>
  <si>
    <t xml:space="preserve">CCCCCn1cc(C(=O)N[C@H](C(N)=O)C(C)(C)C)c2cccnc21</t>
  </si>
  <si>
    <t xml:space="preserve">CHEMBL4472094</t>
  </si>
  <si>
    <t xml:space="preserve">CCCCCn1cc(C(=O)N[C@H](C(N)=O)C(C)C)c2cccnc21</t>
  </si>
  <si>
    <t xml:space="preserve">CHEMBL371735</t>
  </si>
  <si>
    <t xml:space="preserve">CCCCCn1cc(C(=O)N[C@H](C)c2ccc3ccccc3c2)c(=O)c2ccccc21</t>
  </si>
  <si>
    <t xml:space="preserve">CHEMBL370770</t>
  </si>
  <si>
    <t xml:space="preserve">CCCCCn1cc(C(=O)N[C@H](C)c2cccc3ccccc23)c(=O)c2ccccc21</t>
  </si>
  <si>
    <t xml:space="preserve">CHEMBL497325</t>
  </si>
  <si>
    <t xml:space="preserve">CCCCCn1cc(C(=O)N[C@H](C)c2ccccc2)c(=O)c2ccc(F)cc21</t>
  </si>
  <si>
    <t xml:space="preserve">CHEMBL497326</t>
  </si>
  <si>
    <t xml:space="preserve">CCCCCn1cc(C(=O)N[C@H](C)c2ccccc2)c(=O)c2ccc(N3CCCC3)cc21</t>
  </si>
  <si>
    <t xml:space="preserve">CHEMBL497681</t>
  </si>
  <si>
    <t xml:space="preserve">CCCCCn1cc(C(=O)N[C@H](C)c2ccccc2)c(=O)c2ccc(OCC)cc21</t>
  </si>
  <si>
    <t xml:space="preserve">CHEMBL200143</t>
  </si>
  <si>
    <t xml:space="preserve">CCCCCn1cc(C(=O)N[C@H](C)c2ccccc2)c(=O)c2ccccc21</t>
  </si>
  <si>
    <t xml:space="preserve">CHEMBL1216001</t>
  </si>
  <si>
    <t xml:space="preserve">CCCCCn1cc(C(=O)N[C@H]2C(C)(C)[C@H]3CC[C@]2(C)C3)c(=O)c2cc(-c3ccco3)ccc21</t>
  </si>
  <si>
    <t xml:space="preserve">CHEMBL1215991</t>
  </si>
  <si>
    <t xml:space="preserve">CCCCCn1cc(C(=O)N[C@H]2C(C)(C)[C@H]3CC[C@]2(C)C3)c(=O)c2cc(Br)ccc21</t>
  </si>
  <si>
    <t xml:space="preserve">CHEMBL1641949</t>
  </si>
  <si>
    <t xml:space="preserve">CCCCCn1cc(C(=O)N[C@H]2CCCc3ccccc32)c(=O)cc1-c1ccccc1</t>
  </si>
  <si>
    <t xml:space="preserve">CHEMBL2316297</t>
  </si>
  <si>
    <t xml:space="preserve">CCCCCn1cc(C(=O)N[C@H]2CC[C@@H](C)CC2)c(=O)c2c(C)nn(C)c21</t>
  </si>
  <si>
    <t xml:space="preserve">CHEMBL2316296</t>
  </si>
  <si>
    <t xml:space="preserve">CCCCCn1cc(C(=O)N[C@H]2CC[C@H](C)CC2)c(=O)c2c(C)nn(C)c21</t>
  </si>
  <si>
    <t xml:space="preserve">CHEMBL373169</t>
  </si>
  <si>
    <t xml:space="preserve">CCCCCn1cc(C(=O)Nc2ccc(C#N)cc2)c(=O)c2ccccc21</t>
  </si>
  <si>
    <t xml:space="preserve">CHEMBL1828806</t>
  </si>
  <si>
    <t xml:space="preserve">CCCCCn1cc(C(=O)Nc2ccc3ccccc3c2)c2ccccc21</t>
  </si>
  <si>
    <t xml:space="preserve">CHEMBL1641951</t>
  </si>
  <si>
    <t xml:space="preserve">CCCCCn1cc(C(=O)Nc2cccc(C(F)(F)F)c2)c(=O)cc1-c1ccccc1</t>
  </si>
  <si>
    <t xml:space="preserve">CHEMBL199907</t>
  </si>
  <si>
    <t xml:space="preserve">CCCCCn1cc(C(=O)Nc2cccc3ccccc23)c(=O)c2ccccc21</t>
  </si>
  <si>
    <t xml:space="preserve">CHEMBL1828805</t>
  </si>
  <si>
    <t xml:space="preserve">CCCCCn1cc(C(=O)Nc2cccc3ccccc23)c2ccccc21</t>
  </si>
  <si>
    <t xml:space="preserve">CHEMBL2316264</t>
  </si>
  <si>
    <t xml:space="preserve">CCCCCn1cc(C(=O)Nc2ccccc2)c(=O)c2c(C)nn(C)c21</t>
  </si>
  <si>
    <t xml:space="preserve">CHEMBL2170547</t>
  </si>
  <si>
    <t xml:space="preserve">CCCCCn1cc(C(=O)Nc2ccccc2)c(=O)cc1C(C)(C)C</t>
  </si>
  <si>
    <t xml:space="preserve">CHEMBL564543</t>
  </si>
  <si>
    <t xml:space="preserve">CCCCCn1cc(C(=O)c2c(OC)ccc3ccccc23)c2ccccc21</t>
  </si>
  <si>
    <t xml:space="preserve">CHEMBL236972</t>
  </si>
  <si>
    <t xml:space="preserve">CCCCCn1cc(C(=O)c2c3ccccc3cc3ccccc23)c(=O)c2ccccc21</t>
  </si>
  <si>
    <t xml:space="preserve">CHEMBL1828799</t>
  </si>
  <si>
    <t xml:space="preserve">CCCCCn1cc(C(=O)c2ccc(-c3ccccc3)cc2)c2ccccc21</t>
  </si>
  <si>
    <t xml:space="preserve">CHEMBL2206834</t>
  </si>
  <si>
    <t xml:space="preserve">CCCCCn1cc(C(=O)c2ccc(Br)c3ccccc23)c2ccccc21</t>
  </si>
  <si>
    <t xml:space="preserve">CHEMBL557004</t>
  </si>
  <si>
    <t xml:space="preserve">CCCCCn1cc(C(=O)c2ccc(C)c3ccccc23)c2ccccc21</t>
  </si>
  <si>
    <t xml:space="preserve">CHEMBL549603</t>
  </si>
  <si>
    <t xml:space="preserve">CCCCCn1cc(C(=O)c2ccc(CC)c3ccccc23)c2ccccc21</t>
  </si>
  <si>
    <t xml:space="preserve">CHEMBL564302</t>
  </si>
  <si>
    <t xml:space="preserve">CCCCCn1cc(C(=O)c2ccc(CCC)c3ccccc23)c2ccccc21</t>
  </si>
  <si>
    <t xml:space="preserve">CHEMBL558474</t>
  </si>
  <si>
    <t xml:space="preserve">CCCCCn1cc(C(=O)c2ccc(CCCC)c3ccccc23)c2ccccc21</t>
  </si>
  <si>
    <t xml:space="preserve">CHEMBL2206859</t>
  </si>
  <si>
    <t xml:space="preserve">CCCCCn1cc(C(=O)c2ccc(Cl)c3ccccc23)c2ccccc21</t>
  </si>
  <si>
    <t xml:space="preserve">CHEMBL2206855</t>
  </si>
  <si>
    <t xml:space="preserve">CCCCCn1cc(C(=O)c2ccc(F)c3ccccc23)c2ccccc21</t>
  </si>
  <si>
    <t xml:space="preserve">CHEMBL2206838</t>
  </si>
  <si>
    <t xml:space="preserve">CCCCCn1cc(C(=O)c2ccc(I)c3ccccc23)c2ccccc21</t>
  </si>
  <si>
    <t xml:space="preserve">CHEMBL565042</t>
  </si>
  <si>
    <t xml:space="preserve">CCCCCn1cc(C(=O)c2ccc(OC)c3ccccc23)c2ccccc21</t>
  </si>
  <si>
    <t xml:space="preserve">CHEMBL540759</t>
  </si>
  <si>
    <t xml:space="preserve">CCCCCn1cc(C(=O)c2ccc(OCC)c3ccccc23)c2ccccc21</t>
  </si>
  <si>
    <t xml:space="preserve">CHEMBL4856192</t>
  </si>
  <si>
    <t xml:space="preserve">CCCCCn1cc(C(=O)c2ccc3c(c2)CC(C)(C)C3)c2ccccc21</t>
  </si>
  <si>
    <t xml:space="preserve">CHEMBL236961</t>
  </si>
  <si>
    <t xml:space="preserve">CCCCCn1cc(C(=O)c2ccc3ccccc3c2)c(=O)c2ccccc21</t>
  </si>
  <si>
    <t xml:space="preserve">CHEMBL1828800</t>
  </si>
  <si>
    <t xml:space="preserve">CCCCCn1cc(C(=O)c2cccc(-c3ccccc3)c2)c2ccccc21</t>
  </si>
  <si>
    <t xml:space="preserve">CHEMBL4860950</t>
  </si>
  <si>
    <t xml:space="preserve">CCCCCn1cc(C(=O)c2cccc3c2CC(C)(C)C3)c2ccccc21</t>
  </si>
  <si>
    <t xml:space="preserve">CHEMBL563929</t>
  </si>
  <si>
    <t xml:space="preserve">CCCCCn1cc(C(=O)c2cccc3cc(OC)ccc23)c2ccccc21</t>
  </si>
  <si>
    <t xml:space="preserve">CHEMBL539994</t>
  </si>
  <si>
    <t xml:space="preserve">CCCCCn1cc(C(=O)c2cccc3ccc(CC)cc23)c2ccccc21</t>
  </si>
  <si>
    <t xml:space="preserve">CHEMBL552088</t>
  </si>
  <si>
    <t xml:space="preserve">CCCCCn1cc(C(=O)c2cccc3ccc(OC)cc23)c2ccccc21</t>
  </si>
  <si>
    <t xml:space="preserve">CHEMBL2206846</t>
  </si>
  <si>
    <t xml:space="preserve">CCCCCn1cc(C(=O)c2cccc3cccc(Br)c23)c2ccccc21</t>
  </si>
  <si>
    <t xml:space="preserve">CHEMBL2206842</t>
  </si>
  <si>
    <t xml:space="preserve">CCCCCn1cc(C(=O)c2cccc3cccc(Cl)c23)c2ccccc21</t>
  </si>
  <si>
    <t xml:space="preserve">CHEMBL2206850</t>
  </si>
  <si>
    <t xml:space="preserve">CCCCCn1cc(C(=O)c2cccc3cccc(I)c23)c2ccccc21</t>
  </si>
  <si>
    <t xml:space="preserve">CHEMBL235908</t>
  </si>
  <si>
    <t xml:space="preserve">CCCCCn1cc(C(=O)c2cccc3ccccc23)c(=O)c2ccccc21</t>
  </si>
  <si>
    <t xml:space="preserve">CHEMBL4438072</t>
  </si>
  <si>
    <t xml:space="preserve">CCCCCn1cc(C(=O)c2cccc3ccccc23)c2c(F)cccc21</t>
  </si>
  <si>
    <t xml:space="preserve">CHEMBL4519883</t>
  </si>
  <si>
    <t xml:space="preserve">CCCCCn1cc(C(=O)c2cccc3ccccc23)c2cc(F)ccc21</t>
  </si>
  <si>
    <t xml:space="preserve">CHEMBL4435655</t>
  </si>
  <si>
    <t xml:space="preserve">CCCCCn1cc(C(=O)c2cccc3ccccc23)c2ccc(F)cc21</t>
  </si>
  <si>
    <t xml:space="preserve">CHEMBL4516360</t>
  </si>
  <si>
    <t xml:space="preserve">CCCCCn1cc(C(=O)c2cccc3ccccc23)c2cccc(F)c21</t>
  </si>
  <si>
    <t xml:space="preserve">CHEMBL561013</t>
  </si>
  <si>
    <t xml:space="preserve">CCCCCn1cc(C(=O)c2cccc3ccccc23)c2ccccc21</t>
  </si>
  <si>
    <t xml:space="preserve">CHEMBL1828809</t>
  </si>
  <si>
    <t xml:space="preserve">CCCCCn1cc(C(=O)c2cccc3ccccc23)c2cccnc21</t>
  </si>
  <si>
    <t xml:space="preserve">CHEMBL1828632</t>
  </si>
  <si>
    <t xml:space="preserve">CCCCCn1cc(C(=O)c2cccc3ccccc23)c2ccncc21</t>
  </si>
  <si>
    <t xml:space="preserve">CHEMBL1828812</t>
  </si>
  <si>
    <t xml:space="preserve">CCCCCn1cc(C(=O)c2cccc3ccccc23)c2cnccc21</t>
  </si>
  <si>
    <t xml:space="preserve">CHEMBL375791</t>
  </si>
  <si>
    <t xml:space="preserve">CCCCCn1cc(C(=O)c2cccc3ccccc23)cc1-c1ccc(C(F)(F)F)cc1</t>
  </si>
  <si>
    <t xml:space="preserve">CHEMBL385653</t>
  </si>
  <si>
    <t xml:space="preserve">CCCCCn1cc(C(=O)c2cccc3ccccc23)cc1-c1ccc(C)cc1</t>
  </si>
  <si>
    <t xml:space="preserve">CHEMBL426706</t>
  </si>
  <si>
    <t xml:space="preserve">CCCCCn1cc(C(=O)c2cccc3ccccc23)cc1-c1ccc(CC)cc1</t>
  </si>
  <si>
    <t xml:space="preserve">CHEMBL219580</t>
  </si>
  <si>
    <t xml:space="preserve">CCCCCn1cc(C(=O)c2cccc3ccccc23)cc1-c1ccc(CCCC)cc1</t>
  </si>
  <si>
    <t xml:space="preserve">CHEMBL219027</t>
  </si>
  <si>
    <t xml:space="preserve">CCCCCn1cc(C(=O)c2cccc3ccccc23)cc1-c1ccc(Cl)cc1</t>
  </si>
  <si>
    <t xml:space="preserve">CHEMBL374292</t>
  </si>
  <si>
    <t xml:space="preserve">CCCCCn1cc(C(=O)c2cccc3ccccc23)cc1-c1ccc(F)cc1</t>
  </si>
  <si>
    <t xml:space="preserve">CHEMBL220413</t>
  </si>
  <si>
    <t xml:space="preserve">CCCCCn1cc(C(=O)c2cccc3ccccc23)cc1-c1ccc(OC)cc1</t>
  </si>
  <si>
    <t xml:space="preserve">CHEMBL374254</t>
  </si>
  <si>
    <t xml:space="preserve">CCCCCn1cc(C(=O)c2cccc3ccccc23)cc1-c1ccc2ccccc2c1</t>
  </si>
  <si>
    <t xml:space="preserve">CHEMBL219556</t>
  </si>
  <si>
    <t xml:space="preserve">CCCCCn1cc(C(=O)c2cccc3ccccc23)cc1-c1cccc(C(F)(F)F)c1</t>
  </si>
  <si>
    <t xml:space="preserve">CHEMBL219243</t>
  </si>
  <si>
    <t xml:space="preserve">CCCCCn1cc(C(=O)c2cccc3ccccc23)cc1-c1cccc(C)c1</t>
  </si>
  <si>
    <t xml:space="preserve">CHEMBL374937</t>
  </si>
  <si>
    <t xml:space="preserve">CCCCCn1cc(C(=O)c2cccc3ccccc23)cc1-c1cccc(Cl)c1</t>
  </si>
  <si>
    <t xml:space="preserve">CHEMBL220304</t>
  </si>
  <si>
    <t xml:space="preserve">CCCCCn1cc(C(=O)c2cccc3ccccc23)cc1-c1cccc(F)c1</t>
  </si>
  <si>
    <t xml:space="preserve">CHEMBL385994</t>
  </si>
  <si>
    <t xml:space="preserve">CCCCCn1cc(C(=O)c2cccc3ccccc23)cc1-c1cccc(OC)c1</t>
  </si>
  <si>
    <t xml:space="preserve">CHEMBL218253</t>
  </si>
  <si>
    <t xml:space="preserve">CCCCCn1cc(C(=O)c2cccc3ccccc23)cc1-c1cccc([N+](=O)[O-])c1</t>
  </si>
  <si>
    <t xml:space="preserve">CHEMBL376028</t>
  </si>
  <si>
    <t xml:space="preserve">CCCCCn1cc(C(=O)c2cccc3ccccc23)cc1-c1cccc2ccccc12</t>
  </si>
  <si>
    <t xml:space="preserve">CHEMBL385940</t>
  </si>
  <si>
    <t xml:space="preserve">CCCCCn1cc(C(=O)c2cccc3ccccc23)cc1-c1ccccc1</t>
  </si>
  <si>
    <t xml:space="preserve">CHEMBL220180</t>
  </si>
  <si>
    <t xml:space="preserve">CCCCCn1cc(C(=O)c2cccc3ccccc23)cc1-c1ccccc1C</t>
  </si>
  <si>
    <t xml:space="preserve">CHEMBL384897</t>
  </si>
  <si>
    <t xml:space="preserve">CCCCCn1cc(C(=O)c2cccc3ccccc23)cc1-c1ccccc1C(F)(F)F</t>
  </si>
  <si>
    <t xml:space="preserve">CHEMBL220352</t>
  </si>
  <si>
    <t xml:space="preserve">CCCCCn1cc(C(=O)c2cccc3ccccc23)cc1-c1ccccc1CC</t>
  </si>
  <si>
    <t xml:space="preserve">CHEMBL375802</t>
  </si>
  <si>
    <t xml:space="preserve">CCCCCn1cc(C(=O)c2cccc3ccccc23)cc1-c1ccccc1CCCC</t>
  </si>
  <si>
    <t xml:space="preserve">CHEMBL216837</t>
  </si>
  <si>
    <t xml:space="preserve">CCCCCn1cc(C(=O)c2cccc3ccccc23)cc1-c1ccccc1Cl</t>
  </si>
  <si>
    <t xml:space="preserve">CHEMBL216857</t>
  </si>
  <si>
    <t xml:space="preserve">CCCCCn1cc(C(=O)c2cccc3ccccc23)cc1-c1ccccc1F</t>
  </si>
  <si>
    <t xml:space="preserve">CHEMBL218202</t>
  </si>
  <si>
    <t xml:space="preserve">CCCCCn1cc(C(=O)c2cccc3ccccc23)cc1-c1ccccc1OC</t>
  </si>
  <si>
    <t xml:space="preserve">CHEMBL218956</t>
  </si>
  <si>
    <t xml:space="preserve">CCCCCn1cc(C(=O)c2cccc3ccccc23)cc1-c1cccnc1</t>
  </si>
  <si>
    <t xml:space="preserve">CHEMBL237166</t>
  </si>
  <si>
    <t xml:space="preserve">CCCCCn1cc(C(=O)c2ccccc2)c(=O)c2ccccc21</t>
  </si>
  <si>
    <t xml:space="preserve">CHEMBL1828801</t>
  </si>
  <si>
    <t xml:space="preserve">CCCCCn1cc(C(=O)c2ccccc2-c2ccccc2)c2ccccc21</t>
  </si>
  <si>
    <t xml:space="preserve">CHEMBL2087097</t>
  </si>
  <si>
    <t xml:space="preserve">CCCCCn1cc(CC(=O)NC23CC4CC(CC(C4)C2)C3)c2cc(-c3ccccc3)ccc21</t>
  </si>
  <si>
    <t xml:space="preserve">CHEMBL2087090</t>
  </si>
  <si>
    <t xml:space="preserve">CCCCCn1cc(CC(=O)NC23CC4CC(CC(C4)C2)C3)c2cc(-c3ccco3)ccc21</t>
  </si>
  <si>
    <t xml:space="preserve">CHEMBL2087112</t>
  </si>
  <si>
    <t xml:space="preserve">CCCCCn1cc(CC(=O)NC23CC4CC(CC(C4)C2)C3)c2cc(Br)ccc21</t>
  </si>
  <si>
    <t xml:space="preserve">CHEMBL236156</t>
  </si>
  <si>
    <t xml:space="preserve">CCCCCn1cc(CNC23CC4CC(CC(C4)C2)C3)c(=O)c2ccccc21</t>
  </si>
  <si>
    <t xml:space="preserve">CHEMBL393792</t>
  </si>
  <si>
    <t xml:space="preserve">CCCCCn1cc(NC(=O)C23CC4CC(CC(C4)C2)C3)c(=O)c2ccccc21</t>
  </si>
  <si>
    <t xml:space="preserve">CHEMBL1641962</t>
  </si>
  <si>
    <t xml:space="preserve">CCCCCn1cc(NC(=O)C2CCCCC2)c(=O)cc1-c1ccccc1</t>
  </si>
  <si>
    <t xml:space="preserve">CHEMBL397762</t>
  </si>
  <si>
    <t xml:space="preserve">CCCCCn1cc(NC(=O)CCc2ccccc2)c(=O)c2ccccc21</t>
  </si>
  <si>
    <t xml:space="preserve">CHEMBL1641961</t>
  </si>
  <si>
    <t xml:space="preserve">CCCCCn1cc(NC(=O)OC(C)(C)C)c(=O)cc1-c1ccccc1</t>
  </si>
  <si>
    <t xml:space="preserve">CHEMBL428553</t>
  </si>
  <si>
    <t xml:space="preserve">CCCCCn1cc(NC(=O)c2cccc3ccccc23)c(=O)c2ccccc21</t>
  </si>
  <si>
    <t xml:space="preserve">CHEMBL3421688</t>
  </si>
  <si>
    <t xml:space="preserve">CCCCCn1cc2c(=O)n(-c3cccc(C(F)(F)F)c3)nc-2c2ccccc21</t>
  </si>
  <si>
    <t xml:space="preserve">CHEMBL3421686</t>
  </si>
  <si>
    <t xml:space="preserve">CCCCCn1cc2c(=O)n(-c3ccccc3)nc-2c2ccccc21</t>
  </si>
  <si>
    <t xml:space="preserve">CHEMBL3421689</t>
  </si>
  <si>
    <t xml:space="preserve">CCCCCn1cc2c(=O)n(C3CCCCC3)nc-2c2ccccc21</t>
  </si>
  <si>
    <t xml:space="preserve">CHEMBL3421699</t>
  </si>
  <si>
    <t xml:space="preserve">CCCCCn1cc2c(=O)n(CC34CC5CC(CC(C5)C3)C4)nc-2c2ccccc21</t>
  </si>
  <si>
    <t xml:space="preserve">CHEMBL3421696</t>
  </si>
  <si>
    <t xml:space="preserve">CCCCCn1cc2c(=O)n(CC3CC3)nc-2c2ccccc21</t>
  </si>
  <si>
    <t xml:space="preserve">CHEMBL3421697</t>
  </si>
  <si>
    <t xml:space="preserve">CCCCCn1cc2c(=O)n(CC3CCCCC3)nc-2c2ccccc21</t>
  </si>
  <si>
    <t xml:space="preserve">CHEMBL3421700</t>
  </si>
  <si>
    <t xml:space="preserve">CCCCCn1cc2c(=O)n(CCC34CC5CC(CC(C5)C3)C4)nc-2c2ccccc21</t>
  </si>
  <si>
    <t xml:space="preserve">CHEMBL3421698</t>
  </si>
  <si>
    <t xml:space="preserve">CCCCCn1cc2c(=O)n(CCC3CCCCC3)nc-2c2ccccc21</t>
  </si>
  <si>
    <t xml:space="preserve">CHEMBL235042</t>
  </si>
  <si>
    <t xml:space="preserve">CCCCCn1nc(C(=O)NC23CC4CC(C)(CC(C)(C4)C2)C3)c(=O)c2ccccc21</t>
  </si>
  <si>
    <t xml:space="preserve">CHEMBL5273987</t>
  </si>
  <si>
    <t xml:space="preserve">CCCCCn1nc(C(=O)NC23CC4CC(CC(C4)C2)C3)c(C)c1-c1ccccc1</t>
  </si>
  <si>
    <t xml:space="preserve">CHEMBL5224277</t>
  </si>
  <si>
    <t xml:space="preserve">CHEMBL5223099</t>
  </si>
  <si>
    <t xml:space="preserve">Binding affinity to wild type human CB2R expressed in HEK293 cells assessed as inhibition constant</t>
  </si>
  <si>
    <t xml:space="preserve">CHEMBL3116289</t>
  </si>
  <si>
    <t xml:space="preserve">CCCCCn1nc(OCc2ccc(OC)cc2)c2cc([N+](=O)[O-])ccc21</t>
  </si>
  <si>
    <t xml:space="preserve">CHEMBL3116293</t>
  </si>
  <si>
    <t xml:space="preserve">CCCCCn1nc(OCc2ccc3ccccc3c2)c2cc([N+](=O)[O-])ccc21</t>
  </si>
  <si>
    <t xml:space="preserve">CHEMBL3421694</t>
  </si>
  <si>
    <t xml:space="preserve">CCCCCn1nc2c3ccccc3n(CCCCC)cc-2c1=O</t>
  </si>
  <si>
    <t xml:space="preserve">CHEMBL399949</t>
  </si>
  <si>
    <t xml:space="preserve">CCCCN(C)C(=O)c1ccc2c(c1)c1c(n2S(=O)(=O)CC)CN(C2CCCC2)C1</t>
  </si>
  <si>
    <t xml:space="preserve">CHEMBL2179752</t>
  </si>
  <si>
    <t xml:space="preserve">CCCCN(CCCC)c1ccc(C(NC(=O)Cc2ccccc2)NC(=O)Cc2ccccc2)cc1</t>
  </si>
  <si>
    <t xml:space="preserve">CHEMBL456803</t>
  </si>
  <si>
    <t xml:space="preserve">CCCCN1C(=O)/C(=N\NC(=O)c2ccccc2)c2ccccc21</t>
  </si>
  <si>
    <t xml:space="preserve">CHEMBL4635230</t>
  </si>
  <si>
    <t xml:space="preserve">CCCCN1C(=O)C(C(=O)NC23CC4CC(CC(C4)C2)C3)=C(O)C2C1C=NN2C</t>
  </si>
  <si>
    <t xml:space="preserve">CHEMBL4646331</t>
  </si>
  <si>
    <t xml:space="preserve">CCCCN1C(=O)C(C(=O)NC23CC4CC(CC(O)(C4)C2)C3)=C(O)C2C1C=NN2C</t>
  </si>
  <si>
    <t xml:space="preserve">CHEMBL250808</t>
  </si>
  <si>
    <t xml:space="preserve">CCCCN1Cc2c(n(S(=O)(=O)CC)c3ccc(C(=O)N4CCC(C)CC4)cc23)C1</t>
  </si>
  <si>
    <t xml:space="preserve">CHEMBL1089718</t>
  </si>
  <si>
    <t xml:space="preserve">CCCCNC(=O)N1CCN(C(c2ccccc2)c2ccc(Cl)cc2Cl)CC1</t>
  </si>
  <si>
    <t xml:space="preserve">CHEMBL1107821</t>
  </si>
  <si>
    <t xml:space="preserve">CHEMBL1154878</t>
  </si>
  <si>
    <t xml:space="preserve">Displacement of [3H]CP-55940 from human recombinant cannabinoid CB2 receptor expressed in CHO cells after 3 hrs by liquid scintillation counting</t>
  </si>
  <si>
    <t xml:space="preserve">CHEMBL1087032</t>
  </si>
  <si>
    <t xml:space="preserve">CCCCNC(=O)N1CCN(C(c2ccccc2)c2ccccc2)CC1</t>
  </si>
  <si>
    <t xml:space="preserve">CHEMBL2180209</t>
  </si>
  <si>
    <t xml:space="preserve">CCCCNC(=O)NC1CCN(c2ncnc3c2nc(-c2ccccc2Cl)n3-c2ccc(Cl)cc2)CC1</t>
  </si>
  <si>
    <t xml:space="preserve">CHEMBL520349</t>
  </si>
  <si>
    <t xml:space="preserve">CCCCNC(=O)c1ccc2c(c1)N=C(c1ccc(F)c(Cl)c1)c1ccccc1S2</t>
  </si>
  <si>
    <t xml:space="preserve">CHEMBL1002989</t>
  </si>
  <si>
    <t xml:space="preserve">CHEMBL1138444</t>
  </si>
  <si>
    <t xml:space="preserve">Displacement of [3H]SR141716 from human recombinant CB2 receptor expressed in HEK293 cells</t>
  </si>
  <si>
    <t xml:space="preserve">CHEMBL482771</t>
  </si>
  <si>
    <t xml:space="preserve">CCCCNC(=O)c1ccc2c(c1)N=C(c1ccccc1Cl)c1ccccc1S2</t>
  </si>
  <si>
    <t xml:space="preserve">CHEMBL1631167</t>
  </si>
  <si>
    <t xml:space="preserve">CCCCNC(=O)c1nn(-c2ccc(Cl)cc2Cl)c(-n2c(C)ccc2C)c1C</t>
  </si>
  <si>
    <t xml:space="preserve">CHEMBL1631161</t>
  </si>
  <si>
    <t xml:space="preserve">CCCCNC(=O)c1nn(-c2ccc(Cl)cc2Cl)c(-n2cccc2)c1C</t>
  </si>
  <si>
    <t xml:space="preserve">CHEMBL409343</t>
  </si>
  <si>
    <t xml:space="preserve">CCCCNC(=O)c1oc2ccc(S(=O)(=O)N3CC(C)CC(C)C3)cc2c1C</t>
  </si>
  <si>
    <t xml:space="preserve">CHEMBL950088</t>
  </si>
  <si>
    <t xml:space="preserve">CHEMBL1142334</t>
  </si>
  <si>
    <t xml:space="preserve">Displacement of radioligand from human CB2 receptor expressed in HEK293 cells</t>
  </si>
  <si>
    <t xml:space="preserve">CHEMBL4240996</t>
  </si>
  <si>
    <t xml:space="preserve">CCCCO/N=C(\C)c1cc(O)c2c(c1)OC(C)(C)[C@H]1CC=C(C)C[C@H]21</t>
  </si>
  <si>
    <t xml:space="preserve">CHEMBL3104360</t>
  </si>
  <si>
    <t xml:space="preserve">CCCCOC(=O)C(C)(C)c1cc(O)c2c(c1)OC(C)(C)[C@@H]1CC=C(C)C[C@@H]21</t>
  </si>
  <si>
    <t xml:space="preserve">CHEMBL3106284</t>
  </si>
  <si>
    <t xml:space="preserve">CHEMBL3102697</t>
  </si>
  <si>
    <t xml:space="preserve">Displacement of [3H]CP-55,940 from human CB2 receptor expressed in HEK293 cell membranes by scintillation counting analysis</t>
  </si>
  <si>
    <t xml:space="preserve">CHEMBL4475022</t>
  </si>
  <si>
    <t xml:space="preserve">CCCCOC(=O)C(C)(C)c1cc(O)c2c(c1)OC(C)(C)[C@@H]1CC=C(CO)C[C@@H]21</t>
  </si>
  <si>
    <t xml:space="preserve">CHEMBL4426859</t>
  </si>
  <si>
    <t xml:space="preserve">CHEMBL4425135</t>
  </si>
  <si>
    <t xml:space="preserve">Displacement of [3H]CP55940 from human CB2 receptor expressed in HEK293 cell membranes by scintillation counting method</t>
  </si>
  <si>
    <t xml:space="preserve">CHEMBL6024443</t>
  </si>
  <si>
    <t xml:space="preserve">CCCCOC(=O)C(C)(C)c1cc(O)c2c(c1)OC(C)(C)[C@@H]1CCC(=O)C[C@@H]21</t>
  </si>
  <si>
    <t xml:space="preserve">CHEMBL4470925</t>
  </si>
  <si>
    <t xml:space="preserve">CCCCOC(=O)C(C)(C)c1cc(O)c2c(c1)OC(C)(C)[C@@H]1CC[C@@H](CO)C[C@@H]21</t>
  </si>
  <si>
    <t xml:space="preserve">CHEMBL6052758</t>
  </si>
  <si>
    <t xml:space="preserve">CCCCOC(=O)C(C)(C)c1cc(O)c2c(c1)OC(C)(C)[C@@H]1CC[C@@H](CO)C[C@H]21</t>
  </si>
  <si>
    <t xml:space="preserve">CHEMBL4465566</t>
  </si>
  <si>
    <t xml:space="preserve">CCCCOC(=O)C(C)(C)c1cc(O)c2c(c1)OC(C)(C)[C@@H]1CC[C@@H](O)C[C@@H]21</t>
  </si>
  <si>
    <t xml:space="preserve">CHEMBL4519051</t>
  </si>
  <si>
    <t xml:space="preserve">CCCCOC(=O)C(C)(C)c1cc(O)c2c(c1)OC(C)(C)[C@@H]1CC[C@H](O)C[C@@H]21</t>
  </si>
  <si>
    <t xml:space="preserve">CHEMBL5974702</t>
  </si>
  <si>
    <t xml:space="preserve">CCCCOC(=O)C(C)(C)c1cc(O)c2c(c1)OC(C)(C)[C@H]1CC=C(C)C[C@@H]21</t>
  </si>
  <si>
    <t xml:space="preserve">CHEMBL5844491</t>
  </si>
  <si>
    <t xml:space="preserve">CCCCOC(=O)C(C)c1cc(O)c2c(c1)OC(C)(C)[C@@H]1CC=C(C)C[C@@H]21</t>
  </si>
  <si>
    <t xml:space="preserve">CHEMBL3104362</t>
  </si>
  <si>
    <t xml:space="preserve">CCCCOC(=O)C1(c2cc(O)c3c(c2)OC(C)(C)[C@@H]2CC=C(C)C[C@@H]32)CCC1</t>
  </si>
  <si>
    <t xml:space="preserve">CHEMBL3104354</t>
  </si>
  <si>
    <t xml:space="preserve">CCCCOC(=O)Cc1cc(O)c2c(c1)OC(C)(C)[C@@H]1CC=C(C)C[C@@H]21</t>
  </si>
  <si>
    <t xml:space="preserve">CHEMBL5873750</t>
  </si>
  <si>
    <t xml:space="preserve">CCCCOC(=O)Cc1cc(O)c2c(c1)OC(C)(C)[C@@H]1CCC(=O)C[C@@H]21</t>
  </si>
  <si>
    <t xml:space="preserve">CHEMBL4444434</t>
  </si>
  <si>
    <t xml:space="preserve">CCCCOC(=O)Cc1cc(O)c2c(c1)OC(C)(C)[C@@H]1CC[C@@H](O)C[C@@H]21</t>
  </si>
  <si>
    <t xml:space="preserve">CHEMBL4472516</t>
  </si>
  <si>
    <t xml:space="preserve">CCCCOC(=O)Cc1cc(O)c2c(c1)OC(C)(C)[C@@H]1CC[C@H](O)C[C@@H]21</t>
  </si>
  <si>
    <t xml:space="preserve">CHEMBL3104358</t>
  </si>
  <si>
    <t xml:space="preserve">CCCCOC(=O)[C@@H](C)c1cc(O)c2c(c1)OC(C)(C)[C@@H]1CC=C(C)C[C@@H]21</t>
  </si>
  <si>
    <t xml:space="preserve">CHEMBL3104356</t>
  </si>
  <si>
    <t xml:space="preserve">CCCCOC(=O)[C@H](C)c1cc(O)c2c(c1)OC(C)(C)[C@@H]1CC=C(C)C[C@@H]21</t>
  </si>
  <si>
    <t xml:space="preserve">CHEMBL228372</t>
  </si>
  <si>
    <t xml:space="preserve">CCCCOC(=O)c1cc(O)c(-c2cc(C)cc(C)c2)c(O)c1</t>
  </si>
  <si>
    <t xml:space="preserve">CHEMBL1822933</t>
  </si>
  <si>
    <t xml:space="preserve">CCCCOc1c(OC)c([N+](=O)[O-])cc2cc(C(=O)NCCc3ccc(F)cc3)c(=O)[nH]c12</t>
  </si>
  <si>
    <t xml:space="preserve">CHEMBL1825306</t>
  </si>
  <si>
    <t xml:space="preserve">CHEMBL1821585</t>
  </si>
  <si>
    <t xml:space="preserve">Displacement of [3H]CP-55940 from human CB2 receptor expressed in human U87 cells after 1 hr by scintillation counting</t>
  </si>
  <si>
    <t xml:space="preserve">CHEMBL1081610</t>
  </si>
  <si>
    <t xml:space="preserve">CCCCOc1c(OC)ccc2cc(C(=O)NC3CCCCC3)c(=O)[nH]c12</t>
  </si>
  <si>
    <t xml:space="preserve">CHEMBL1101969</t>
  </si>
  <si>
    <t xml:space="preserve">CHEMBL1154937</t>
  </si>
  <si>
    <t xml:space="preserve">CHEMBL2068805</t>
  </si>
  <si>
    <t xml:space="preserve">CHEMBL5152285</t>
  </si>
  <si>
    <t xml:space="preserve">CHEMBL5150013</t>
  </si>
  <si>
    <t xml:space="preserve">Binding affinity to human CB2R assessed as inhibition constant</t>
  </si>
  <si>
    <t xml:space="preserve">CHEMBL1822932</t>
  </si>
  <si>
    <t xml:space="preserve">CCCCOc1c(OC)ccc2cc(C(=O)NCC(F)c3ccccc3)c(=O)[nH]c12</t>
  </si>
  <si>
    <t xml:space="preserve">CHEMBL1822936</t>
  </si>
  <si>
    <t xml:space="preserve">CCCCOc1c(OC)ccc2cc(C(=O)NCCCF)c(=O)[nH]c12</t>
  </si>
  <si>
    <t xml:space="preserve">CHEMBL1822935</t>
  </si>
  <si>
    <t xml:space="preserve">CCCCOc1c(OC)ccc2cc(C(=O)NCCF)c(=O)[nH]c12</t>
  </si>
  <si>
    <t xml:space="preserve">CHEMBL1822930</t>
  </si>
  <si>
    <t xml:space="preserve">CCCCOc1c(OC)ccc2cc(C(=O)NCCc3ccc(F)cc3)c(=O)[nH]c12</t>
  </si>
  <si>
    <t xml:space="preserve">CHEMBL3410815</t>
  </si>
  <si>
    <t xml:space="preserve">CCCCOc1c(OC)ccc2cc(C(=O)NCCc3ccccc3)c(=O)[nH]c12</t>
  </si>
  <si>
    <t xml:space="preserve">CHEMBL1822938</t>
  </si>
  <si>
    <t xml:space="preserve">CCCCOc1c(OC)ccc2cc(C(=O)NCCc3cn(CCF)nn3)c(=O)[nH]c12</t>
  </si>
  <si>
    <t xml:space="preserve">CHEMBL1822928</t>
  </si>
  <si>
    <t xml:space="preserve">CCCCOc1c(OC)ccc2cc(C(=O)NCc3ccc(F)cc3)c(=O)[nH]c12</t>
  </si>
  <si>
    <t xml:space="preserve">CHEMBL3093358</t>
  </si>
  <si>
    <t xml:space="preserve">CHEMBL3097436</t>
  </si>
  <si>
    <t xml:space="preserve">CHEMBL3091446</t>
  </si>
  <si>
    <t xml:space="preserve">Binding affinity to human cannabinoid CB2 receptor</t>
  </si>
  <si>
    <t xml:space="preserve">CHEMBL1822937</t>
  </si>
  <si>
    <t xml:space="preserve">CCCCOc1c(OC)ccc2cc(C(=O)NCc3cn(CCF)nn3)c(=O)[nH]c12</t>
  </si>
  <si>
    <t xml:space="preserve">CHEMBL1081622</t>
  </si>
  <si>
    <t xml:space="preserve">CCCCOc1c(OCCF)ccc2cc(C(=O)NC3CCCCC3)c(=O)[nH]c12</t>
  </si>
  <si>
    <t xml:space="preserve">CHEMBL490245</t>
  </si>
  <si>
    <t xml:space="preserve">CCCCOc1cc(O)cc(OCCCCCCCCCCC(=O)NC2CC2)c1</t>
  </si>
  <si>
    <t xml:space="preserve">CHEMBL489834</t>
  </si>
  <si>
    <t xml:space="preserve">CCCCOc1cc(O)cc(OCCCCCCCCCCC(=O)NCCO)c1</t>
  </si>
  <si>
    <t xml:space="preserve">CHEMBL2414021</t>
  </si>
  <si>
    <t xml:space="preserve">CCCCOc1ccccc1-c1cc(C(=O)NC23CC4CC(CC(C4)C2)C3)no1</t>
  </si>
  <si>
    <t xml:space="preserve">CHEMBL3114348</t>
  </si>
  <si>
    <t xml:space="preserve">CCCCOc1ncc(Br)cc1C(=O)NC1CCCCCC1</t>
  </si>
  <si>
    <t xml:space="preserve">CHEMBL4242477</t>
  </si>
  <si>
    <t xml:space="preserve">CCCCS(=O)(=O)N1CCN(c2ncnc3c2nc(-c2ccccc2Cl)n3-c2ccc(Cl)cc2)CC1</t>
  </si>
  <si>
    <t xml:space="preserve">CHEMBL5205332</t>
  </si>
  <si>
    <t xml:space="preserve">CCCC[Si](C)(C)c1cc(O)c(C2CCCC2)c(O)c1</t>
  </si>
  <si>
    <t xml:space="preserve">CHEMBL5170767</t>
  </si>
  <si>
    <t xml:space="preserve">CCCC[Si](C)(C)c1cc(O)c(C2CCCC2)c(OC)c1</t>
  </si>
  <si>
    <t xml:space="preserve">CHEMBL5179308</t>
  </si>
  <si>
    <t xml:space="preserve">CCCC[Si](C)(C)c1cc(O)c(C2CCCCC2)c(O)c1</t>
  </si>
  <si>
    <t xml:space="preserve">CHEMBL5175157</t>
  </si>
  <si>
    <t xml:space="preserve">CCCC[Si](C)(C)c1cc(O)c(C2CCCCC2)c(OC)c1</t>
  </si>
  <si>
    <t xml:space="preserve">CHEMBL5195978</t>
  </si>
  <si>
    <t xml:space="preserve">CCCC[Si](C)(C)c1cc(O)c(C2CCCCCC2)c(O)c1</t>
  </si>
  <si>
    <t xml:space="preserve">CHEMBL5177602</t>
  </si>
  <si>
    <t xml:space="preserve">CCCC[Si](C)(C)c1cc(O)c(C2CCCCCC2)c(OC)c1</t>
  </si>
  <si>
    <t xml:space="preserve">CHEMBL5178491</t>
  </si>
  <si>
    <t xml:space="preserve">CCCC[Si](C)(C)c1cc(O)c2c(c1)OC(C)(C)[C@@H]1CC=C(CO)C[C@@H]21</t>
  </si>
  <si>
    <t xml:space="preserve">CHEMBL5189892</t>
  </si>
  <si>
    <t xml:space="preserve">CCCC[Si](C)(C)c1cc(O)c2c(c1)OC(C)(C)[C@@H]1CCC(C)=C[C@@H]21</t>
  </si>
  <si>
    <t xml:space="preserve">CHEMBL5188087</t>
  </si>
  <si>
    <t xml:space="preserve">CCCC[Si](C)(C)c1cc(O)c2c(c1)OC(C)(C)c1ccc(C)cc1-2</t>
  </si>
  <si>
    <t xml:space="preserve">CHEMBL5192756</t>
  </si>
  <si>
    <t xml:space="preserve">CCCC[Si](C)(C)c1cc(O)c2c(c1)OC(C)(C)c1ccc(CO)cc1-2</t>
  </si>
  <si>
    <t xml:space="preserve">CHEMBL5188683</t>
  </si>
  <si>
    <t xml:space="preserve">CCCC[Si](C)(C)c1cc(OC)c([C@H]2C=C(CO)[C@H]3C[C@@H]2C3(C)C)c(OC)c1</t>
  </si>
  <si>
    <t xml:space="preserve">CHEMBL1814465</t>
  </si>
  <si>
    <t xml:space="preserve">CCCCc1[nH]c2ccc(-c3ccco3)cc2c(=O)c1C(=O)NC12CC3CC(CC(C3)C1)C2</t>
  </si>
  <si>
    <t xml:space="preserve">CHEMBL1814464</t>
  </si>
  <si>
    <t xml:space="preserve">CCCCc1[nH]c2ccc(Br)cc2c(=O)c1C(=O)NC12CC3CC(CC(C3)C1)C2</t>
  </si>
  <si>
    <t xml:space="preserve">CHEMBL597438</t>
  </si>
  <si>
    <t xml:space="preserve">CCCCc1c(C(=O)NC23CC4CC(CC(C4)C2)C3)nc(C)n1-c1ccccc1</t>
  </si>
  <si>
    <t xml:space="preserve">CHEMBL1069384</t>
  </si>
  <si>
    <t xml:space="preserve">CHEMBL1158524</t>
  </si>
  <si>
    <t xml:space="preserve">CHEMBL3799151</t>
  </si>
  <si>
    <t xml:space="preserve">CCCCc1cc(-c2ccc(F)cc2)cc(C(=O)NC2CCCCCC2)c1OC</t>
  </si>
  <si>
    <t xml:space="preserve">CHEMBL3798087</t>
  </si>
  <si>
    <t xml:space="preserve">CCCCc1cc(-c2ccc(F)cc2)cc(C(=O)N[C@H]2CC[C@@H](C)CC2)c1OC</t>
  </si>
  <si>
    <t xml:space="preserve">CHEMBL3798374</t>
  </si>
  <si>
    <t xml:space="preserve">CCCCc1cc(-c2ccc(F)cc2)cc(C(=O)N[C@H]2CC[C@H](C)CC2)c1OC</t>
  </si>
  <si>
    <t xml:space="preserve">CHEMBL3397522</t>
  </si>
  <si>
    <t xml:space="preserve">CCCCc1cc(-c2ccc(OC)cc2)cc(C(=O)N[C@H]2CC[C@@H](C)CC2)c1OC</t>
  </si>
  <si>
    <t xml:space="preserve">CHEMBL3399659</t>
  </si>
  <si>
    <t xml:space="preserve">CHEMBL3397007</t>
  </si>
  <si>
    <t xml:space="preserve">CHEMBL3397521</t>
  </si>
  <si>
    <t xml:space="preserve">CCCCc1cc(-c2ccc(OC)cc2)cc(C(=O)N[C@H]2CC[C@H](C)CC2)c1OC</t>
  </si>
  <si>
    <t xml:space="preserve">CHEMBL3798158</t>
  </si>
  <si>
    <t xml:space="preserve">CCCCc1cc(-c2ccccc2)cc(C(=O)NC2CCCCCC2)c1OC</t>
  </si>
  <si>
    <t xml:space="preserve">CHEMBL3800192</t>
  </si>
  <si>
    <t xml:space="preserve">CCCCc1cc(-c2ccccc2)cc(C(=O)N[C@H]2CC[C@@H](C)CC2)c1OC</t>
  </si>
  <si>
    <t xml:space="preserve">CHEMBL3800638</t>
  </si>
  <si>
    <t xml:space="preserve">CCCCc1cc(-c2ccccc2)cc(C(=O)N[C@H]2CC[C@H](C)CC2)c1OC</t>
  </si>
  <si>
    <t xml:space="preserve">CHEMBL4437290</t>
  </si>
  <si>
    <t xml:space="preserve">CCCCc1cc(O)c2c(c1)OC(C)(C)[C@@H]1CCC(C)=C[C@@H]21</t>
  </si>
  <si>
    <t xml:space="preserve">CHEMBL4344063</t>
  </si>
  <si>
    <t xml:space="preserve">CHEMBL4342449</t>
  </si>
  <si>
    <t xml:space="preserve">Displacement of [3H]WIN 55212-2 from human CB2 receptor incubated for 120 mins by scintillation counting method</t>
  </si>
  <si>
    <t xml:space="preserve">CHEMBL4846991</t>
  </si>
  <si>
    <t xml:space="preserve">CCCCc1cc2c(O)cc(C3(CCCC)CCCC3)cc2oc1=O</t>
  </si>
  <si>
    <t xml:space="preserve">CHEMBL4863350</t>
  </si>
  <si>
    <t xml:space="preserve">CCCCc1cc2c(O)cc(C3(CCCC)CCCCC3)cc2oc1=O</t>
  </si>
  <si>
    <t xml:space="preserve">CHEMBL552150</t>
  </si>
  <si>
    <t xml:space="preserve">CCCCc1ccc(C(=O)c2c(C)n(CCC)c3ccccc23)c2ccccc12</t>
  </si>
  <si>
    <t xml:space="preserve">CHEMBL3605044</t>
  </si>
  <si>
    <t xml:space="preserve">CCCCc1ccc(C(=O)c2cc(O)c(-c3cc(Cl)cc(Cl)c3)c(O)c2)cc1</t>
  </si>
  <si>
    <t xml:space="preserve">CHEMBL552499</t>
  </si>
  <si>
    <t xml:space="preserve">CCCCc1ccc(C(=O)c2cn(CCC)c3ccccc23)c2ccccc12</t>
  </si>
  <si>
    <t xml:space="preserve">CHEMBL2336557</t>
  </si>
  <si>
    <t xml:space="preserve">CCCCc1ccc(CN(Cc2ccccc2)S(=O)(=O)c2ccc(C)cc2)cc1</t>
  </si>
  <si>
    <t xml:space="preserve">CHEMBL3904520</t>
  </si>
  <si>
    <t xml:space="preserve">CCCCc1nc2ccccc2n1C(=O)c1ccc(OC)cc1</t>
  </si>
  <si>
    <t xml:space="preserve">CHEMBL3920181</t>
  </si>
  <si>
    <t xml:space="preserve">CCCCc1nc2ccccc2n1C(=O)c1cccc2ccccc12</t>
  </si>
  <si>
    <t xml:space="preserve">CHEMBL4462947</t>
  </si>
  <si>
    <t xml:space="preserve">CCCCc1sc(NC(=O)C23CC4CC(CC(C4)C2)C3)c(C(=O)OC)c1C</t>
  </si>
  <si>
    <t xml:space="preserve">CHEMBL3650134</t>
  </si>
  <si>
    <t xml:space="preserve">CCCCn1/c(=N/C(=O)c2cc(C(F)(F)F)ccc2NNC(=O)C(C)(C)C)cc(C(C)(C)C)n1C</t>
  </si>
  <si>
    <t xml:space="preserve">CHEMBL3650135</t>
  </si>
  <si>
    <t xml:space="preserve">CCCCn1/c(=N/C(=O)c2cc(C(F)(F)F)ccc2NNC(=O)c2cccnc2)cc(C(C)(C)C)n1C</t>
  </si>
  <si>
    <t xml:space="preserve">CHEMBL3650136</t>
  </si>
  <si>
    <t xml:space="preserve">CCCCn1/c(=N/C(=O)c2cc(C(F)(F)F)ccc2NNC(=O)c2ccncc2)cc(C(C)(C)C)n1C</t>
  </si>
  <si>
    <t xml:space="preserve">CHEMBL3650131</t>
  </si>
  <si>
    <t xml:space="preserve">CCCCn1/c(=N/C(=O)c2cc(C(F)(F)F)ccc2O/N=C(\C)C(F)(F)F)cc(C(C)(C)C)n1C</t>
  </si>
  <si>
    <t xml:space="preserve">CHEMBL3647320</t>
  </si>
  <si>
    <t xml:space="preserve">CCCCn1/c(=N/C(=O)c2cc(C(F)(F)F)ccc2OCC(C)(C)O)sc2ccncc21</t>
  </si>
  <si>
    <t xml:space="preserve">CHEMBL3639461</t>
  </si>
  <si>
    <t xml:space="preserve">CCCCn1/c(=N/C(=O)c2cc(C(F)(F)F)ccc2OCC(C)(C)O)sc2ncccc21</t>
  </si>
  <si>
    <t xml:space="preserve">CHEMBL3647319</t>
  </si>
  <si>
    <t xml:space="preserve">CCCCn1/c(=N/C(=O)c2cc(C(F)(F)F)ccc2OCCC(C)(C)O)sc2ccncc21</t>
  </si>
  <si>
    <t xml:space="preserve">CHEMBL3647324</t>
  </si>
  <si>
    <t xml:space="preserve">CCCCn1/c(=N/C(=O)c2cc(C(F)(F)F)ccc2OCCNC(C)=O)sc2ccncc21</t>
  </si>
  <si>
    <t xml:space="preserve">CHEMBL3647327</t>
  </si>
  <si>
    <t xml:space="preserve">CCCCn1/c(=N/C(=O)c2cc(C(F)(F)F)ccc2OC[C@@H](C)O)sc2ccncc21</t>
  </si>
  <si>
    <t xml:space="preserve">CHEMBL3647332</t>
  </si>
  <si>
    <t xml:space="preserve">CCCCn1/c(=N/C(=O)c2cc(C(F)(F)F)ccc2OC[C@@H]2CCCN2C)sc2ccncc21</t>
  </si>
  <si>
    <t xml:space="preserve">CHEMBL3647328</t>
  </si>
  <si>
    <t xml:space="preserve">CCCCn1/c(=N/C(=O)c2cc(C(F)(F)F)ccc2OC[C@H](C)O)sc2ccncc21</t>
  </si>
  <si>
    <t xml:space="preserve">CHEMBL3647333</t>
  </si>
  <si>
    <t xml:space="preserve">CCCCn1/c(=N/C(=O)c2cc(C(F)(F)F)ccc2OC[C@H](C)O)sc2ncccc21</t>
  </si>
  <si>
    <t xml:space="preserve">CHEMBL3647321</t>
  </si>
  <si>
    <t xml:space="preserve">CCCCn1/c(=N/C(=O)c2cc(C(F)(F)F)ccc2ONC(C)(C)C)sc2ccncc21</t>
  </si>
  <si>
    <t xml:space="preserve">CHEMBL3650098</t>
  </si>
  <si>
    <t xml:space="preserve">CCCCn1/c(=N/C(=O)c2cc(C(F)(F)F)ccc2ONC(C)C)cc(C(C)(C)C)n1C</t>
  </si>
  <si>
    <t xml:space="preserve">CHEMBL3650088</t>
  </si>
  <si>
    <t xml:space="preserve">CCCCn1/c(=N\C(=O)c2cc(C(F)(F)F)ccc2ONC(C)(C)C)cc(C(C)(C)C)n1C</t>
  </si>
  <si>
    <t xml:space="preserve">CHEMBL4633168</t>
  </si>
  <si>
    <t xml:space="preserve">CCCCn1c(=O)c(C(=O)NC23CC4CC(CC(C4)C2)C3)c(O)c2c1cnn2CCO</t>
  </si>
  <si>
    <t xml:space="preserve">CHEMBL4640659</t>
  </si>
  <si>
    <t xml:space="preserve">CCCCn1c(=O)c(C(=O)NC23CC4CC(CC(C4)C2)C3)c(O)c2nn(C)cc21</t>
  </si>
  <si>
    <t xml:space="preserve">CHEMBL4643391</t>
  </si>
  <si>
    <t xml:space="preserve">CCCCn1c(=O)c(C(=O)NC23CC4CC(CC(C4)C2)C3)c(O)c2nn(CCO)cc21</t>
  </si>
  <si>
    <t xml:space="preserve">CHEMBL4649714</t>
  </si>
  <si>
    <t xml:space="preserve">CCCCn1c(=O)c(C(=O)NC23CC4CC(CC(O)(C4)C2)C3)c(O)c2nn(C)cc21</t>
  </si>
  <si>
    <t xml:space="preserve">CHEMBL3422792</t>
  </si>
  <si>
    <t xml:space="preserve">CCCCn1c(=O)c(C(=O)NC2CCC(C)CC2)c(O)c2cccnc21</t>
  </si>
  <si>
    <t xml:space="preserve">CHEMBL3422787</t>
  </si>
  <si>
    <t xml:space="preserve">CCCCn1c(=O)c(C(=O)NC2CCC(C)CC2)cc2ccccc21</t>
  </si>
  <si>
    <t xml:space="preserve">CHEMBL3353423</t>
  </si>
  <si>
    <t xml:space="preserve">CCCCn1c(=O)c(C(=O)NC2CCC(C)CC2)cc2cccnc21</t>
  </si>
  <si>
    <t xml:space="preserve">CHEMBL513298</t>
  </si>
  <si>
    <t xml:space="preserve">CCCCn1c(=O)c(C(=O)NC2CCCCC2)cc2cccnc21</t>
  </si>
  <si>
    <t xml:space="preserve">CHEMBL4519981</t>
  </si>
  <si>
    <t xml:space="preserve">CCCCn1c(=O)sc2cc(C(=O)C34CC5CC(CC(C5)C3)C4)ccc21</t>
  </si>
  <si>
    <t xml:space="preserve">CHEMBL3647336</t>
  </si>
  <si>
    <t xml:space="preserve">CCCCn1c(C(=O)OC)c(C(C)C)s/c1=N\C(=O)c1cc(C(F)(F)F)ccc1NC(C)(C)C</t>
  </si>
  <si>
    <t xml:space="preserve">CHEMBL2387073</t>
  </si>
  <si>
    <t xml:space="preserve">CCCCn1c(C)c(C)cc(C(=O)NCc2ccccc2)c1=O</t>
  </si>
  <si>
    <t xml:space="preserve">CHEMBL2348273</t>
  </si>
  <si>
    <t xml:space="preserve">CCCCn1c(C)c(C)cc(NC(=O)Cc2ccccc2)c1=O</t>
  </si>
  <si>
    <t xml:space="preserve">CHEMBL2348281</t>
  </si>
  <si>
    <t xml:space="preserve">CCCCn1c(C)c(C)cc(NC(=O)c2ccc3ccccc3c2)c1=O</t>
  </si>
  <si>
    <t xml:space="preserve">CHEMBL2348278</t>
  </si>
  <si>
    <t xml:space="preserve">CCCCn1c(C)c(C)cc(NC(=O)c2cccc(C)c2)c1=O</t>
  </si>
  <si>
    <t xml:space="preserve">CHEMBL2352784</t>
  </si>
  <si>
    <t xml:space="preserve">Displacement of [H3]-CP-55940 from human recombinant CB1 receptor expressed in CHO cells</t>
  </si>
  <si>
    <t xml:space="preserve">CHEMBL2348280</t>
  </si>
  <si>
    <t xml:space="preserve">CCCCn1c(C)c(C)cc(NC(=O)c2cccc3ccccc23)c1=O</t>
  </si>
  <si>
    <t xml:space="preserve">CHEMBL2348275</t>
  </si>
  <si>
    <t xml:space="preserve">CCCCn1c(C)c(C)cc(NC(=O)c2ccccc2F)c1=O</t>
  </si>
  <si>
    <t xml:space="preserve">CHEMBL2348062</t>
  </si>
  <si>
    <t xml:space="preserve">CCCCn1c(C)c(C)cc(Oc2nc3ccccc3o2)c1=O</t>
  </si>
  <si>
    <t xml:space="preserve">CHEMBL2348063</t>
  </si>
  <si>
    <t xml:space="preserve">CCCCn1c(C)c(C)cc(Oc2nc3ccccc3o2)c1=S</t>
  </si>
  <si>
    <t xml:space="preserve">CHEMBL2019088</t>
  </si>
  <si>
    <t xml:space="preserve">CCCCn1c(CC)c(C)cc(C(=O)NC2(C(=O)O)CCCCC2)c1=O</t>
  </si>
  <si>
    <t xml:space="preserve">CHEMBL2020075</t>
  </si>
  <si>
    <t xml:space="preserve">CHEMBL2016545</t>
  </si>
  <si>
    <t xml:space="preserve">Displacement of [3H]-CP55940 from human recombinant CB2 receptor after 60 mins</t>
  </si>
  <si>
    <t xml:space="preserve">CHEMBL2387074</t>
  </si>
  <si>
    <t xml:space="preserve">CCCCn1c(CC)c(C)cc(C(=O)NCc2ccccc2)c1=O</t>
  </si>
  <si>
    <t xml:space="preserve">CHEMBL2019089</t>
  </si>
  <si>
    <t xml:space="preserve">CCCCn1c(CCC)c(Br)cc(C(=O)NC2(C(=O)O)CCCCC2)c1=O</t>
  </si>
  <si>
    <t xml:space="preserve">CHEMBL3325937</t>
  </si>
  <si>
    <t xml:space="preserve">CCCCn1c(Cc2ccc(Cl)c(Cl)c2)nc2cc(C(F)(F)F)ccc21</t>
  </si>
  <si>
    <t xml:space="preserve">CHEMBL4369514</t>
  </si>
  <si>
    <t xml:space="preserve">CHEMBL4368878</t>
  </si>
  <si>
    <t xml:space="preserve">Displacement of [3H]CP55940 from recombinant human CB2 receptor expressed in HEK293 cell membranes measured after 90 mins</t>
  </si>
  <si>
    <t xml:space="preserve">CHEMBL2387185</t>
  </si>
  <si>
    <t xml:space="preserve">CCCCn1c2c(cc(C(=O)NC(C)(C)c3ccccc3)c1=O)CCCCCC2</t>
  </si>
  <si>
    <t xml:space="preserve">CHEMBL2387182</t>
  </si>
  <si>
    <t xml:space="preserve">CCCCn1c2c(cc(C(=O)NC(C)C)c1=O)CCCCCC2</t>
  </si>
  <si>
    <t xml:space="preserve">CHEMBL2019083</t>
  </si>
  <si>
    <t xml:space="preserve">CCCCn1c2c(cc(C(=O)NC3(C(=O)O)CCCCC3)c1=O)CCCCCC2</t>
  </si>
  <si>
    <t xml:space="preserve">CHEMBL2387183</t>
  </si>
  <si>
    <t xml:space="preserve">CCCCn1c2c(cc(C(=O)NC3CCCCC3)c1=O)CCCCCC2</t>
  </si>
  <si>
    <t xml:space="preserve">CHEMBL2387184</t>
  </si>
  <si>
    <t xml:space="preserve">CCCCn1c2c(cc(C(=O)NC3CCN(C)CC3)c1=O)CCCCCC2</t>
  </si>
  <si>
    <t xml:space="preserve">CHEMBL2387186</t>
  </si>
  <si>
    <t xml:space="preserve">CCCCn1c2c(cc(C(=O)NCCc3ccccc3)c1=O)CCCCCC2</t>
  </si>
  <si>
    <t xml:space="preserve">CHEMBL2387075</t>
  </si>
  <si>
    <t xml:space="preserve">CCCCn1c2c(cc(C(=O)NCc3ccccc3)c1=O)CCC2</t>
  </si>
  <si>
    <t xml:space="preserve">CHEMBL2387076</t>
  </si>
  <si>
    <t xml:space="preserve">CCCCn1c2c(cc(C(=O)NCc3ccccc3)c1=O)CCCC2</t>
  </si>
  <si>
    <t xml:space="preserve">CHEMBL2387078</t>
  </si>
  <si>
    <t xml:space="preserve">CCCCn1c2c(cc(C(=O)NCc3ccccc3)c1=O)CCCCCC2</t>
  </si>
  <si>
    <t xml:space="preserve">CHEMBL2387077</t>
  </si>
  <si>
    <t xml:space="preserve">CCCCn1c2c(cc(C(=O)NCc3ccccc3)c1=O)COCC2</t>
  </si>
  <si>
    <t xml:space="preserve">CHEMBL2387181</t>
  </si>
  <si>
    <t xml:space="preserve">CCCCn1c2c(cc(C(N)=O)c1=O)CCCCCC2</t>
  </si>
  <si>
    <t xml:space="preserve">CHEMBL2441456</t>
  </si>
  <si>
    <t xml:space="preserve">CCCCn1c2ccccc2c2cc(C(=O)N3CCCCC3)ccc21</t>
  </si>
  <si>
    <t xml:space="preserve">CHEMBL3114180</t>
  </si>
  <si>
    <t xml:space="preserve">CCCCn1cc(Br)cc(C(=O)NC2CCCCCC2)c1=O</t>
  </si>
  <si>
    <t xml:space="preserve">CHEMBL571550</t>
  </si>
  <si>
    <t xml:space="preserve">CCCCn1cc(C(=O)C2C(C)(C)C2(C)C)c2ccccc21</t>
  </si>
  <si>
    <t xml:space="preserve">CHEMBL3409150</t>
  </si>
  <si>
    <t xml:space="preserve">CCCCn1cc(C(=O)NC(C)(C)C)c(=O)c2cccc(OC)c21</t>
  </si>
  <si>
    <t xml:space="preserve">CHEMBL3409149</t>
  </si>
  <si>
    <t xml:space="preserve">CCCCn1cc(C(=O)NC23CC4CC(CC(C4)C2)C3)c(=O)c2cccc(OC)c21</t>
  </si>
  <si>
    <t xml:space="preserve">CHEMBL1641944</t>
  </si>
  <si>
    <t xml:space="preserve">CCCCn1cc(C(=O)NC23CC4CC(CC(C4)C2)C3)c(=O)cc1-c1ccccc1</t>
  </si>
  <si>
    <t xml:space="preserve">CHEMBL3409151</t>
  </si>
  <si>
    <t xml:space="preserve">CCCCn1cc(C(=O)NC2CCCC2)c(=O)c2cccc(OC)c21</t>
  </si>
  <si>
    <t xml:space="preserve">CHEMBL2316286</t>
  </si>
  <si>
    <t xml:space="preserve">CCCCn1cc(C(=O)NC2CCCCC2)c(=O)c2c(C)nn(C)c21</t>
  </si>
  <si>
    <t xml:space="preserve">CHEMBL3409152</t>
  </si>
  <si>
    <t xml:space="preserve">CCCCn1cc(C(=O)NCC2CC2)c(=O)c2cccc(OC)c21</t>
  </si>
  <si>
    <t xml:space="preserve">CHEMBL5199876</t>
  </si>
  <si>
    <t xml:space="preserve">CCCCn1cc(C(=O)N[C@@H](Cc2ccccc2)C(N)=O)c2ccccc21</t>
  </si>
  <si>
    <t xml:space="preserve">CHEMBL5209051</t>
  </si>
  <si>
    <t xml:space="preserve">CCCCn1cc(C(=O)N[C@@H](Cc2ccccc2)C(N)=O)c2cccnc21</t>
  </si>
  <si>
    <t xml:space="preserve">CHEMBL2152802</t>
  </si>
  <si>
    <t xml:space="preserve">CCCCn1cc(C(=O)N[C@@H]2C(C)(C)C3CC[C@]2(C)C3)c(=O)c2ccc(F)cc21</t>
  </si>
  <si>
    <t xml:space="preserve">CHEMBL2152812</t>
  </si>
  <si>
    <t xml:space="preserve">CCCCn1cc(C(=O)N[C@@H]2C(C)(C)C3CC[C@]2(C)C3)c(=O)c2ccc(Sc3ccccc3)cc21</t>
  </si>
  <si>
    <t xml:space="preserve">CHEMBL5202843</t>
  </si>
  <si>
    <t xml:space="preserve">CCCCn1cc(C(=O)N[C@H](C(N)=O)C(C)(C)C)c2ccccc21</t>
  </si>
  <si>
    <t xml:space="preserve">CHEMBL5181997</t>
  </si>
  <si>
    <t xml:space="preserve">CCCCn1cc(C(=O)N[C@H](C(N)=O)C(C)(C)C)c2cccnc21</t>
  </si>
  <si>
    <t xml:space="preserve">CHEMBL5208741</t>
  </si>
  <si>
    <t xml:space="preserve">CCCCn1cc(C(=O)N[C@H](C(N)=O)C(C)C)c2ccccc21</t>
  </si>
  <si>
    <t xml:space="preserve">CHEMBL5206032</t>
  </si>
  <si>
    <t xml:space="preserve">CCCCn1cc(C(=O)N[C@H](C(N)=O)C(C)C)c2cccnc21</t>
  </si>
  <si>
    <t xml:space="preserve">CHEMBL200179</t>
  </si>
  <si>
    <t xml:space="preserve">CCCCn1cc(C(=O)Nc2cccc3ccccc23)c(=O)c2ccccc21</t>
  </si>
  <si>
    <t xml:space="preserve">CHEMBL235698</t>
  </si>
  <si>
    <t xml:space="preserve">CCCCn1cc(C(=O)c2cccc3ccccc23)c(=O)c2ccccc21</t>
  </si>
  <si>
    <t xml:space="preserve">CHEMBL216836</t>
  </si>
  <si>
    <t xml:space="preserve">CCCCn1cc(C(=O)c2cccc3ccccc23)cc1-c1ccccc1</t>
  </si>
  <si>
    <t xml:space="preserve">CHEMBL3650099</t>
  </si>
  <si>
    <t xml:space="preserve">CCCCn1cc(C(C)(C)C)cc/c1=N\C(=O)c1cc(C(F)(F)F)ccc1ONC(C)(C)C</t>
  </si>
  <si>
    <t xml:space="preserve">CHEMBL3647334</t>
  </si>
  <si>
    <t xml:space="preserve">CCCCn1cc(C(C)(C)C)s/c1=N\C(=O)c1cc(C(F)(F)F)ccc1NNC(=O)c1cccnc1</t>
  </si>
  <si>
    <t xml:space="preserve">CHEMBL3647335</t>
  </si>
  <si>
    <t xml:space="preserve">CCCCn1cc(C(C)(C)C)s/c1=N\C(=O)c1cc(C(F)(F)F)ccc1NNC(=O)c1ccncc1</t>
  </si>
  <si>
    <t xml:space="preserve">CHEMBL3647331</t>
  </si>
  <si>
    <t xml:space="preserve">CCCCn1cc(C(C)(C)C)s/c1=N\C(=O)c1cc(C(F)(F)F)ccc1OCC(C)(C)O</t>
  </si>
  <si>
    <t xml:space="preserve">CHEMBL3647308</t>
  </si>
  <si>
    <t xml:space="preserve">CCCCn1cc(C(C)(C)C)s/c1=N\C(=O)c1cc(C(F)(F)F)ccc1OC[C@@H]1CCCN1C</t>
  </si>
  <si>
    <t xml:space="preserve">CHEMBL3647322</t>
  </si>
  <si>
    <t xml:space="preserve">CCCCn1cc(C(C)(C)C)s/c1=N\C(=O)c1cc(C(F)(F)F)ccc1ONC(C)(C)C</t>
  </si>
  <si>
    <t xml:space="preserve">CHEMBL3647301</t>
  </si>
  <si>
    <t xml:space="preserve">CCCCn1cc(C(C)(C)C)s/c1=N\C(=O)c1cc(Cl)ccc1OCC(N)=O</t>
  </si>
  <si>
    <t xml:space="preserve">CHEMBL2348271</t>
  </si>
  <si>
    <t xml:space="preserve">CCCCn1cc(C)cc(Oc2nc3ccccc3o2)c1=S</t>
  </si>
  <si>
    <t xml:space="preserve">CHEMBL2087095</t>
  </si>
  <si>
    <t xml:space="preserve">CCCCn1cc(CC(=O)NC23CC4CC(CC(C4)C2)C3)c2cc(-c3ccccc3)ccc21</t>
  </si>
  <si>
    <t xml:space="preserve">CHEMBL3650096</t>
  </si>
  <si>
    <t xml:space="preserve">CCCCn1ccc(C(C)(C)C)c/c1=N\C(=O)c1cc(C(F)(F)F)ccc1ONC(C)(C)C</t>
  </si>
  <si>
    <t xml:space="preserve">CHEMBL2348270</t>
  </si>
  <si>
    <t xml:space="preserve">CCCCn1ccc(C)c(Oc2nc3ccccc3o2)c1=S</t>
  </si>
  <si>
    <t xml:space="preserve">CHEMBL3114175</t>
  </si>
  <si>
    <t xml:space="preserve">CCCCn1cccc(C(=O)NC2CCC(C)CC2)c1=O</t>
  </si>
  <si>
    <t xml:space="preserve">CHEMBL2348269</t>
  </si>
  <si>
    <t xml:space="preserve">CCCCn1cccc(Oc2nc3ccccc3o2)c1=S</t>
  </si>
  <si>
    <t xml:space="preserve">CHEMBL5184576</t>
  </si>
  <si>
    <t xml:space="preserve">CCCCn1nc(C(=O)N[C@@H](Cc2ccccc2)C(N)=O)c2ccccc21</t>
  </si>
  <si>
    <t xml:space="preserve">CHEMBL5169682</t>
  </si>
  <si>
    <t xml:space="preserve">CCCCn1nc(C(=O)N[C@H](C(N)=O)C(C)(C)C)c2ccccc21</t>
  </si>
  <si>
    <t xml:space="preserve">CHEMBL5180182</t>
  </si>
  <si>
    <t xml:space="preserve">CCCCn1nc(C(=O)N[C@H](C(N)=O)C(C)C)c2ccccc21</t>
  </si>
  <si>
    <t xml:space="preserve">CHEMBL3650141</t>
  </si>
  <si>
    <t xml:space="preserve">CCCCn1nc(C(C)(C)C)s/c1=N/C(=O)c1cc(C(F)(F)F)ccc1N(/N=C/c1cccc(C)n1)C(=O)OC(C)(C)C</t>
  </si>
  <si>
    <t xml:space="preserve">CHEMBL3650121</t>
  </si>
  <si>
    <t xml:space="preserve">CCCCn1nc(C(C)(C)C)s/c1=N/C(=O)c1cc(C(F)(F)F)ccc1N(C)N(C)C(=O)OC(C)(C)C</t>
  </si>
  <si>
    <t xml:space="preserve">CHEMBL3967152</t>
  </si>
  <si>
    <t xml:space="preserve">CCCCn1nc(C(C)(C)C)s/c1=N/C(=O)c1cc(C(F)(F)F)ccc1N/N=C\c1cccc(C)n1</t>
  </si>
  <si>
    <t xml:space="preserve">CHEMBL3650129</t>
  </si>
  <si>
    <t xml:space="preserve">CCCCn1nc(C(C)(C)C)s/c1=N/C(=O)c1cc(C(F)(F)F)ccc1NNC(=O)OC</t>
  </si>
  <si>
    <t xml:space="preserve">CHEMBL3650118</t>
  </si>
  <si>
    <t xml:space="preserve">CCCCn1nc(C(C)(C)C)s/c1=N/C(=O)c1cc(C(F)(F)F)ccc1NNC(=O)OC(C)(C)C</t>
  </si>
  <si>
    <t xml:space="preserve">CHEMBL3650113</t>
  </si>
  <si>
    <t xml:space="preserve">CCCCn1nc(C(C)(C)C)s/c1=N/C(=O)c1cc(C(F)(F)F)ccc1O/N=C(\CC)C(=O)ON</t>
  </si>
  <si>
    <t xml:space="preserve">CHEMBL3650109</t>
  </si>
  <si>
    <t xml:space="preserve">CCCCn1nc(C(C)(C)C)s/c1=N/C(=O)c1cc(C(F)(F)F)ccc1ON(C)C</t>
  </si>
  <si>
    <t xml:space="preserve">CHEMBL3650081</t>
  </si>
  <si>
    <t xml:space="preserve">CCCCn1nc(C(C)(C)C)s/c1=N/C(=O)c1cc(C(F)(F)F)ccc1ONC(=O)OC(C)(C)C</t>
  </si>
  <si>
    <t xml:space="preserve">CHEMBL3650087</t>
  </si>
  <si>
    <t xml:space="preserve">CCCCn1nc(C(C)(C)C)s/c1=N\C(=O)c1cc(C(F)(F)F)ccc1/N=N/C(C)(C)C</t>
  </si>
  <si>
    <t xml:space="preserve">CHEMBL3234700</t>
  </si>
  <si>
    <t xml:space="preserve">CCCCn1nc(C(C)(C)C)s/c1=N\C(=O)c1cc(C(F)(F)F)ccc1CN1CC(O)C1</t>
  </si>
  <si>
    <t xml:space="preserve">CHEMBL3238922</t>
  </si>
  <si>
    <t xml:space="preserve">Displacement of [3H]-CP55940 from human CB2 receptor expressed in CHO-K1 cells by liquid scintillation counting</t>
  </si>
  <si>
    <t xml:space="preserve">CHEMBL3650124</t>
  </si>
  <si>
    <t xml:space="preserve">CCCCn1nc(C(C)(C)C)s/c1=N\C(=O)c1cc(C(F)(F)F)ccc1NN=C(C)C</t>
  </si>
  <si>
    <t xml:space="preserve">CHEMBL3650130</t>
  </si>
  <si>
    <t xml:space="preserve">CCCCn1nc(C(C)(C)C)s/c1=N\C(=O)c1cc(C(F)(F)F)ccc1NNC(=O)C(C)(C)C</t>
  </si>
  <si>
    <t xml:space="preserve">CHEMBL3650133</t>
  </si>
  <si>
    <t xml:space="preserve">CCCCn1nc(C(C)(C)C)s/c1=N\C(=O)c1cc(C(F)(F)F)ccc1NNC(=O)c1cccnc1</t>
  </si>
  <si>
    <t xml:space="preserve">CHEMBL3650128</t>
  </si>
  <si>
    <t xml:space="preserve">CCCCn1nc(C(C)(C)C)s/c1=N\C(=O)c1cc(C(F)(F)F)ccc1NNC(=O)c1ccncc1</t>
  </si>
  <si>
    <t xml:space="preserve">CHEMBL3650137</t>
  </si>
  <si>
    <t xml:space="preserve">CCCCn1nc(C(C)(C)C)s/c1=N\C(=O)c1cc(C(F)(F)F)ccc1NNC(N)=O</t>
  </si>
  <si>
    <t xml:space="preserve">CHEMBL3650138</t>
  </si>
  <si>
    <t xml:space="preserve">CCCCn1nc(C(C)(C)C)s/c1=N\C(=O)c1cc(C(F)(F)F)ccc1NNCc1ccccc1</t>
  </si>
  <si>
    <t xml:space="preserve">CHEMBL3650120</t>
  </si>
  <si>
    <t xml:space="preserve">CCCCn1nc(C(C)(C)C)s/c1=N\C(=O)c1cc(C(F)(F)F)ccc1NNc1ccccn1</t>
  </si>
  <si>
    <t xml:space="preserve">CHEMBL3650089</t>
  </si>
  <si>
    <t xml:space="preserve">CCCCn1nc(C(C)(C)C)s/c1=N\C(=O)c1cc(C(F)(F)F)ccc1O/N=C(\C)C(C)(C)C</t>
  </si>
  <si>
    <t xml:space="preserve">CHEMBL3650117</t>
  </si>
  <si>
    <t xml:space="preserve">CCCCn1nc(C(C)(C)C)s/c1=N\C(=O)c1cc(C(F)(F)F)ccc1O/N=C(\C)C(C)=O</t>
  </si>
  <si>
    <t xml:space="preserve">CHEMBL3650110</t>
  </si>
  <si>
    <t xml:space="preserve">CCCCn1nc(C(C)(C)C)s/c1=N\C(=O)c1cc(C(F)(F)F)ccc1O/N=C(\C)C(F)(F)F</t>
  </si>
  <si>
    <t xml:space="preserve">CHEMBL3650122</t>
  </si>
  <si>
    <t xml:space="preserve">CCCCn1nc(C(C)(C)C)s/c1=N\C(=O)c1cc(C(F)(F)F)ccc1O/N=C(\C)N</t>
  </si>
  <si>
    <t xml:space="preserve">CHEMBL3639489</t>
  </si>
  <si>
    <t xml:space="preserve">CCCCn1nc(C(C)(C)C)s/c1=N\C(=O)c1cc(C(F)(F)F)ccc1O/N=C(\N)C(C)(C)C</t>
  </si>
  <si>
    <t xml:space="preserve">CHEMBL3650112</t>
  </si>
  <si>
    <t xml:space="preserve">CCCCn1nc(C(C)(C)C)s/c1=N\C(=O)c1cc(C(F)(F)F)ccc1O/N=C(\N)C(C)C</t>
  </si>
  <si>
    <t xml:space="preserve">CHEMBL3650125</t>
  </si>
  <si>
    <t xml:space="preserve">CCCCn1nc(C(C)(C)C)s/c1=N\C(=O)c1cc(C(F)(F)F)ccc1O/N=C(\N)C1CC1</t>
  </si>
  <si>
    <t xml:space="preserve">CHEMBL3650123</t>
  </si>
  <si>
    <t xml:space="preserve">CCCCn1nc(C(C)(C)C)s/c1=N\C(=O)c1cc(C(F)(F)F)ccc1O/N=C(\N)CC</t>
  </si>
  <si>
    <t xml:space="preserve">CHEMBL3650119</t>
  </si>
  <si>
    <t xml:space="preserve">CCCCn1nc(C(C)(C)C)s/c1=N\C(=O)c1cc(C(F)(F)F)ccc1O/N=C(\N)c1ccc(F)cc1</t>
  </si>
  <si>
    <t xml:space="preserve">CHEMBL3650132</t>
  </si>
  <si>
    <t xml:space="preserve">CCCCn1nc(C(C)(C)C)s/c1=N\C(=O)c1cc(C(F)(F)F)ccc1O/N=C(\N)c1ccccn1</t>
  </si>
  <si>
    <t xml:space="preserve">CHEMBL3650140</t>
  </si>
  <si>
    <t xml:space="preserve">CCCCn1nc(C(C)(C)C)s/c1=N\C(=O)c1cc(C(F)(F)F)ccc1O/N=C(\N)c1cccnc1</t>
  </si>
  <si>
    <t xml:space="preserve">CHEMBL3650139</t>
  </si>
  <si>
    <t xml:space="preserve">CCCCn1nc(C(C)(C)C)s/c1=N\C(=O)c1cc(C(F)(F)F)ccc1O/N=C(\N)c1ccncc1</t>
  </si>
  <si>
    <t xml:space="preserve">CHEMBL3650126</t>
  </si>
  <si>
    <t xml:space="preserve">CCCCn1nc(C(C)(C)C)s/c1=N\C(=O)c1cc(C(F)(F)F)ccc1O/N=C1/CCCCCN1</t>
  </si>
  <si>
    <t xml:space="preserve">CHEMBL3650105</t>
  </si>
  <si>
    <t xml:space="preserve">CCCCn1nc(C(C)(C)C)s/c1=N\C(=O)c1cc(C(F)(F)F)ccc1ON=C(C)C</t>
  </si>
  <si>
    <t xml:space="preserve">CHEMBL3650127</t>
  </si>
  <si>
    <t xml:space="preserve">CCCCn1nc(C(C)(C)C)s/c1=N\C(=O)c1cc(C(F)(F)F)ccc1ON=C1CCCC1</t>
  </si>
  <si>
    <t xml:space="preserve">CHEMBL3650107</t>
  </si>
  <si>
    <t xml:space="preserve">CCCCn1nc(C(C)(C)C)s/c1=N\C(=O)c1cc(C(F)(F)F)ccc1ONC(=O)C(C)(C)C</t>
  </si>
  <si>
    <t xml:space="preserve">CHEMBL3650079</t>
  </si>
  <si>
    <t xml:space="preserve">CCCCn1nc(C(C)(C)C)s/c1=N\C(=O)c1cc(C(F)(F)F)ccc1ONC(C)(C)C</t>
  </si>
  <si>
    <t xml:space="preserve">CHEMBL3650093</t>
  </si>
  <si>
    <t xml:space="preserve">CCCCn1nc(C(C)(C)C)s/c1=N\C(=O)c1cc(C(F)(F)F)ccc1ONC(C)=O</t>
  </si>
  <si>
    <t xml:space="preserve">CHEMBL3650083</t>
  </si>
  <si>
    <t xml:space="preserve">CCCCn1nc(C(C)(C)C)s/c1=N\C(=O)c1cc(C(F)(F)F)ccc1ONC(C)C</t>
  </si>
  <si>
    <t xml:space="preserve">CHEMBL3650101</t>
  </si>
  <si>
    <t xml:space="preserve">CCCCn1nc(C(C)(C)C)s/c1=N\C(=O)c1cc(Cl)ccc1ONC(C)(C)C</t>
  </si>
  <si>
    <t xml:space="preserve">CHEMBL3650108</t>
  </si>
  <si>
    <t xml:space="preserve">CCCCn1nc(C(C)(C)C)s/c1=N\C(=O)c1ccc(C(F)(F)F)cc1ONC(C)(C)C</t>
  </si>
  <si>
    <t xml:space="preserve">CHEMBL3650084</t>
  </si>
  <si>
    <t xml:space="preserve">CCCCn1nc(C2(C)CC2)s/c1=N\C(=O)c1cc(C(F)(F)F)ccc1ONC(C)(C)C</t>
  </si>
  <si>
    <t xml:space="preserve">CHEMBL454607</t>
  </si>
  <si>
    <t xml:space="preserve">CCCN(C)C(=O)c1ccc2c(c1)nc(Cc1ccc(OCC)cc1)n2CC1CC1</t>
  </si>
  <si>
    <t xml:space="preserve">CHEMBL953972</t>
  </si>
  <si>
    <t xml:space="preserve">CHEMBL1157439</t>
  </si>
  <si>
    <t xml:space="preserve">CHEMBL507572</t>
  </si>
  <si>
    <t xml:space="preserve">CCCN(CCC)C(=O)c1ccc2c(c1)nc(Cc1ccc(OCC)cc1)n2CC1CC1</t>
  </si>
  <si>
    <t xml:space="preserve">CHEMBL2179751</t>
  </si>
  <si>
    <t xml:space="preserve">CCCN(CCC)c1ccc(C(NC(=O)Cc2ccccc2)NC(=O)Cc2ccccc2)cc1</t>
  </si>
  <si>
    <t xml:space="preserve">CHEMBL247542</t>
  </si>
  <si>
    <t xml:space="preserve">CCCN1CC(C)(C)CS/C1=N\c1ccccc1C(C)C</t>
  </si>
  <si>
    <t xml:space="preserve">CHEMBL400399</t>
  </si>
  <si>
    <t xml:space="preserve">CCCN1Cc2c(n(S(=O)(=O)CC)c3ccc(C(=O)N4CCC(C)CC4)cc23)C1</t>
  </si>
  <si>
    <t xml:space="preserve">CHEMBL2180222</t>
  </si>
  <si>
    <t xml:space="preserve">CCCNC(=O)NC1(c2ccccc2)CCN(c2ncnc3c2nc(-c2ccccc2Cl)n3-c2ccc(Cl)cc2)CC1</t>
  </si>
  <si>
    <t xml:space="preserve">CHEMBL2180208</t>
  </si>
  <si>
    <t xml:space="preserve">CCCNC(=O)NC1CCN(c2ncnc3c2nc(-c2ccccc2Cl)n3-c2ccc(Cl)cc2)CC1</t>
  </si>
  <si>
    <t xml:space="preserve">CHEMBL2010907</t>
  </si>
  <si>
    <t xml:space="preserve">CCCNC(=O)c1c(NC(=O)C23CC4CC(CC(C4)C2)C3)sc2c1CCOC2</t>
  </si>
  <si>
    <t xml:space="preserve">CHEMBL2013472</t>
  </si>
  <si>
    <t xml:space="preserve">CHEMBL2010740</t>
  </si>
  <si>
    <t xml:space="preserve">Displacement of [3H]CP-55940 from human recombinant CB2 receptor expressed in HEK293 cells after 90 mins</t>
  </si>
  <si>
    <t xml:space="preserve">CHEMBL2010908</t>
  </si>
  <si>
    <t xml:space="preserve">CCCNC(=O)c1c(NC(=O)C23CC4CC(CC(C4)O2)C3)sc2c1CCOC2</t>
  </si>
  <si>
    <t xml:space="preserve">CHEMBL2010902</t>
  </si>
  <si>
    <t xml:space="preserve">CCCNC(=O)c1c(NC(=O)C23CC4CC(CC2C4)C3)sc2c1CCCC2</t>
  </si>
  <si>
    <t xml:space="preserve">CHEMBL2010904</t>
  </si>
  <si>
    <t xml:space="preserve">CCCNC(=O)c1c(NC(=O)C23CC4CC(CC2C4)C3)sc2c1CCN(C)C2</t>
  </si>
  <si>
    <t xml:space="preserve">CHEMBL2010898</t>
  </si>
  <si>
    <t xml:space="preserve">CCCNC(=O)c1c(NC(=O)C23CC4CC(CC2C4)C3)sc2c1CCOC2</t>
  </si>
  <si>
    <t xml:space="preserve">CHEMBL2010905</t>
  </si>
  <si>
    <t xml:space="preserve">CCCNC(=O)c1c(NC(=O)C2C(C)(C)C2(C)C)sc2c1CCOC2</t>
  </si>
  <si>
    <t xml:space="preserve">CHEMBL2010906</t>
  </si>
  <si>
    <t xml:space="preserve">CCCNC(=O)c1c(NC(=O)C2CC3CCC2C3)sc2c1CCOC2</t>
  </si>
  <si>
    <t xml:space="preserve">CHEMBL2010909</t>
  </si>
  <si>
    <t xml:space="preserve">CCCNC(=O)c1c(NC(=O)c2c(F)cccc2C(F)(F)F)sc2c1CCOC2</t>
  </si>
  <si>
    <t xml:space="preserve">CHEMBL1631166</t>
  </si>
  <si>
    <t xml:space="preserve">CCCNC(=O)c1nn(-c2ccc(Cl)cc2Cl)c(-n2c(C)ccc2C)c1C</t>
  </si>
  <si>
    <t xml:space="preserve">CHEMBL1631160</t>
  </si>
  <si>
    <t xml:space="preserve">CCCNC(=O)c1nn(-c2ccc(Cl)cc2Cl)c(-n2cccc2)c1C</t>
  </si>
  <si>
    <t xml:space="preserve">CHEMBL3759222</t>
  </si>
  <si>
    <t xml:space="preserve">CCCOC(=O)N1CCC(NC(=O)c2nn(-c3ccc(Cl)cc3Cl)c(-c3ccc(Cl)cc3)c2C)CC1</t>
  </si>
  <si>
    <t xml:space="preserve">CHEMBL3410817</t>
  </si>
  <si>
    <t xml:space="preserve">CCCOc1c(OC)ccc2cc(C(=O)NCCc3ccccc3)c(=O)[nH]c12</t>
  </si>
  <si>
    <t xml:space="preserve">CHEMBL4287330</t>
  </si>
  <si>
    <t xml:space="preserve">CCCOc1ccc2c(c1)c(C(=O)c1ccc(OC)cc1)cn2CC1CCOCC1</t>
  </si>
  <si>
    <t xml:space="preserve">CHEMBL4255269</t>
  </si>
  <si>
    <t xml:space="preserve">CHEMBL4251662</t>
  </si>
  <si>
    <t xml:space="preserve">Displacement of [3H]CP55,940 from N-terminal HA-tagged human CB2 receptor expressed in HEK293 cell membranes after 1 hr by microbeta scintillation counting method</t>
  </si>
  <si>
    <t xml:space="preserve">CHEMBL4294558</t>
  </si>
  <si>
    <t xml:space="preserve">CCCOc1cccc2c(C(=O)c3ccc(OC)cc3)cn(CC3CCOCC3)c12</t>
  </si>
  <si>
    <t xml:space="preserve">CHEMBL2414020</t>
  </si>
  <si>
    <t xml:space="preserve">CCCOc1ccccc1-c1cc(C(=O)NC23CC4CC(CC(C4)C2)C3)no1</t>
  </si>
  <si>
    <t xml:space="preserve">CHEMBL4248795</t>
  </si>
  <si>
    <t xml:space="preserve">CCCS(=O)(=O)N1CCN(c2ncnc3c2nc(-c2ccccc2Cl)n3-c2ccc(Cl)cc2)CC1</t>
  </si>
  <si>
    <t xml:space="preserve">CHEMBL250491</t>
  </si>
  <si>
    <t xml:space="preserve">CCCS(=O)(=O)n1c2c(c3cc(C(=O)N4CCC(C)CC4)ccc31)CN(C1CCCC1)C2</t>
  </si>
  <si>
    <t xml:space="preserve">CHEMBL4068675</t>
  </si>
  <si>
    <t xml:space="preserve">CCCSC(=O)C(C)(C)c1cc(O)c2c(c1)OC(C)(C)[C@@H]1CC=C(C)C[C@@H]21</t>
  </si>
  <si>
    <t xml:space="preserve">CHEMBL248341</t>
  </si>
  <si>
    <t xml:space="preserve">CCCSC(=S)N1CC(C)(C)CS/C1=N\c1ccccc1C(C)C</t>
  </si>
  <si>
    <t xml:space="preserve">CHEMBL230801</t>
  </si>
  <si>
    <t xml:space="preserve">CCCc1c(C(=O)N[C@H]2CCCC[C@@H]2O)nc(-c2ccccc2Cl)n1-c1ccc(Cl)cc1</t>
  </si>
  <si>
    <t xml:space="preserve">CHEMBL887659</t>
  </si>
  <si>
    <t xml:space="preserve">CHEMBL1144643</t>
  </si>
  <si>
    <t xml:space="preserve">Displacement of [3H]CP-559440 from human CB2 receptor expressed in HEK293 cells</t>
  </si>
  <si>
    <t xml:space="preserve">CHEMBL4441693</t>
  </si>
  <si>
    <t xml:space="preserve">CCCc1c(C)sc(NC(=O)C23CC4CC(CC(C4)C2)C3)c1C(=O)OC</t>
  </si>
  <si>
    <t xml:space="preserve">CHEMBL2019091</t>
  </si>
  <si>
    <t xml:space="preserve">CCCc1c(CC)cc(C(=O)NC2(C(=O)O)CCCCC2)c(=O)n1Cc1ccc(F)cc1</t>
  </si>
  <si>
    <t xml:space="preserve">CHEMBL4545068</t>
  </si>
  <si>
    <t xml:space="preserve">CCCc1cc(C(=O)OC)c(NC(=O)C23CC4CC(CC(C4)C2)C3)s1</t>
  </si>
  <si>
    <t xml:space="preserve">CHEMBL4747880</t>
  </si>
  <si>
    <t xml:space="preserve">CCCc1cc(O)c2c(c1)OC(C)(C)[C@@H]1CCC(C(=O)O)=C[C@@H]21</t>
  </si>
  <si>
    <t xml:space="preserve">CHEMBL4668801</t>
  </si>
  <si>
    <t xml:space="preserve">CHEMBL4665697</t>
  </si>
  <si>
    <t xml:space="preserve">Displacement of [3H]-CP-55,940 from recombinant human CB2R expressed in HEK293 cell membranes after 90 mins</t>
  </si>
  <si>
    <t xml:space="preserve">CHEMBL4747195</t>
  </si>
  <si>
    <t xml:space="preserve">CCCc1cc(O)c2c(c1)OC(C)(C)[C@@H]1CCC(CO)=C[C@@H]21</t>
  </si>
  <si>
    <t xml:space="preserve">CHEMBL4760215</t>
  </si>
  <si>
    <t xml:space="preserve">CCCc1cc(O)c2c(c1)OC(C)(C)[C@@H]1C[C@H](O)C(C)=C[C@@H]21</t>
  </si>
  <si>
    <t xml:space="preserve">CHEMBL4443660</t>
  </si>
  <si>
    <t xml:space="preserve">CCCc1ccc(/C=C2\C=C(CCN3CCOCC3)c3ccccc32)c2ccccc12</t>
  </si>
  <si>
    <t xml:space="preserve">CHEMBL231934</t>
  </si>
  <si>
    <t xml:space="preserve">CCCc1ccc(/N=C2\SCC3(CCCCC3)CN2C(=S)SC)cc1</t>
  </si>
  <si>
    <t xml:space="preserve">CHEMBL565194</t>
  </si>
  <si>
    <t xml:space="preserve">CCCc1ccc(C(=O)c2c(C)n(CCC)c3ccccc23)c2ccccc12</t>
  </si>
  <si>
    <t xml:space="preserve">CHEMBL3605042</t>
  </si>
  <si>
    <t xml:space="preserve">CCCc1ccc(C(=O)c2cc(O)c(-c3cc(Cl)cc(Cl)c3)c(O)c2)cc1</t>
  </si>
  <si>
    <t xml:space="preserve">CHEMBL539479</t>
  </si>
  <si>
    <t xml:space="preserve">CCCc1ccc(C(=O)c2cn(CCC)c3ccccc23)c2ccccc12</t>
  </si>
  <si>
    <t xml:space="preserve">CHEMBL471122</t>
  </si>
  <si>
    <t xml:space="preserve">CCCc1ccc(C(C)(C)c2cc(O)c3c(c2)OC(C)(C)[C@@H]2CC=C(C)C[C@@H]32)cc1</t>
  </si>
  <si>
    <t xml:space="preserve">CHEMBL2336555</t>
  </si>
  <si>
    <t xml:space="preserve">CCCc1ccc(CN(Cc2ccccc2)S(=O)(=O)c2ccc(C)cc2)cc1</t>
  </si>
  <si>
    <t xml:space="preserve">CHEMBL32362</t>
  </si>
  <si>
    <t xml:space="preserve">CCCc1ccc(O)c(-c2cc(CCC)ccc2O)c1</t>
  </si>
  <si>
    <t xml:space="preserve">CHEMBL395159</t>
  </si>
  <si>
    <t xml:space="preserve">CCCc1ccccc1/N=C1\SCC(C)(C)CN1C(=S)SC</t>
  </si>
  <si>
    <t xml:space="preserve">CHEMBL3905573</t>
  </si>
  <si>
    <t xml:space="preserve">CCCc1nc2ccccc2n1C(=O)c1ccc(OC)cc1</t>
  </si>
  <si>
    <t xml:space="preserve">CHEMBL4081467</t>
  </si>
  <si>
    <t xml:space="preserve">CCCc1sc(NC(=O)C23CC4CC(CC(C4)C2)C3)c(C(=O)OC)c1C</t>
  </si>
  <si>
    <t xml:space="preserve">CHEMBL4030393</t>
  </si>
  <si>
    <t xml:space="preserve">CHEMBL3907898</t>
  </si>
  <si>
    <t xml:space="preserve">CCCc1sc2ccccc2c1C(=O)c1ccc(OC)cc1</t>
  </si>
  <si>
    <t xml:space="preserve">CHEMBL3889952</t>
  </si>
  <si>
    <t xml:space="preserve">CCCc1sc2ccccc2c1C(=O)c1cccc2ccccc12</t>
  </si>
  <si>
    <t xml:space="preserve">CHEMBL4641784</t>
  </si>
  <si>
    <t xml:space="preserve">CCCn1c(=O)c(C(=O)NC23CC4CC(CC(C4)C2)C3)c(O)c2nn(CCO)cc21</t>
  </si>
  <si>
    <t xml:space="preserve">CHEMBL4636552</t>
  </si>
  <si>
    <t xml:space="preserve">CCCn1c(=O)c(C(=O)NC23CC4CC(CC(C4)C2)C3)c(O)c2nn(CCOC(C)=O)cc21</t>
  </si>
  <si>
    <t xml:space="preserve">CHEMBL3422786</t>
  </si>
  <si>
    <t xml:space="preserve">CCCn1c(=O)c(C(=O)NC2CCC(C)CC2)cc2ccccc21</t>
  </si>
  <si>
    <t xml:space="preserve">CHEMBL368432</t>
  </si>
  <si>
    <t xml:space="preserve">CCCn1c(C)c(C(=O)c2cc(N)cc3ccccc23)c2ccccc21</t>
  </si>
  <si>
    <t xml:space="preserve">CHEMBL830208</t>
  </si>
  <si>
    <t xml:space="preserve">CHEMBL1142781</t>
  </si>
  <si>
    <t xml:space="preserve">In vitro inhibitory activity towards human cannabinoid receptors 2 using fluorescence assay</t>
  </si>
  <si>
    <t xml:space="preserve">CHEMBL555145</t>
  </si>
  <si>
    <t xml:space="preserve">CCCn1c(C)c(C(=O)c2cc(NC(=O)CN)cc3ccccc23)c2ccccc21</t>
  </si>
  <si>
    <t xml:space="preserve">CHEMBL178918</t>
  </si>
  <si>
    <t xml:space="preserve">CCCn1c(C)c(C(=O)c2cc([N+](=O)[O-])cc3ccccc23)c2ccccc21</t>
  </si>
  <si>
    <t xml:space="preserve">CHEMBL2206833</t>
  </si>
  <si>
    <t xml:space="preserve">CCCn1c(C)c(C(=O)c2ccc(Br)c3ccccc23)c2ccccc21</t>
  </si>
  <si>
    <t xml:space="preserve">CHEMBL561089</t>
  </si>
  <si>
    <t xml:space="preserve">CCCn1c(C)c(C(=O)c2ccc(C)c3ccccc23)c2ccccc21</t>
  </si>
  <si>
    <t xml:space="preserve">CHEMBL562350</t>
  </si>
  <si>
    <t xml:space="preserve">CCCn1c(C)c(C(=O)c2ccc(CC)c3ccccc23)c2ccccc21</t>
  </si>
  <si>
    <t xml:space="preserve">CHEMBL2206858</t>
  </si>
  <si>
    <t xml:space="preserve">CCCn1c(C)c(C(=O)c2ccc(Cl)c3ccccc23)c2ccccc21</t>
  </si>
  <si>
    <t xml:space="preserve">CHEMBL2206854</t>
  </si>
  <si>
    <t xml:space="preserve">CCCn1c(C)c(C(=O)c2ccc(F)c3ccccc23)c2ccccc21</t>
  </si>
  <si>
    <t xml:space="preserve">CHEMBL2206837</t>
  </si>
  <si>
    <t xml:space="preserve">CCCn1c(C)c(C(=O)c2ccc(I)c3ccccc23)c2ccccc21</t>
  </si>
  <si>
    <t xml:space="preserve">CHEMBL550949</t>
  </si>
  <si>
    <t xml:space="preserve">CCCn1c(C)c(C(=O)c2ccc(OC)c3ccccc23)c2ccccc21</t>
  </si>
  <si>
    <t xml:space="preserve">CHEMBL550419</t>
  </si>
  <si>
    <t xml:space="preserve">CCCn1c(C)c(C(=O)c2ccc(OCC)c3ccccc23)c2ccccc21</t>
  </si>
  <si>
    <t xml:space="preserve">CHEMBL1338358</t>
  </si>
  <si>
    <t xml:space="preserve">CCCn1c(C)c(C(=O)c2ccc3ccccc3c2)c2ccccc21</t>
  </si>
  <si>
    <t xml:space="preserve">CHEMBL5231897</t>
  </si>
  <si>
    <t xml:space="preserve">CHEMBL522550</t>
  </si>
  <si>
    <t xml:space="preserve">CCCn1c(C)c(C(=O)c2cccc3cc(OC)ccc23)c2ccccc21</t>
  </si>
  <si>
    <t xml:space="preserve">CHEMBL558801</t>
  </si>
  <si>
    <t xml:space="preserve">CCCn1c(C)c(C(=O)c2cccc3ccc(C)cc23)c2ccccc21</t>
  </si>
  <si>
    <t xml:space="preserve">CHEMBL564623</t>
  </si>
  <si>
    <t xml:space="preserve">CCCn1c(C)c(C(=O)c2cccc3ccc(CC)cc23)c2ccccc21</t>
  </si>
  <si>
    <t xml:space="preserve">CHEMBL563670</t>
  </si>
  <si>
    <t xml:space="preserve">CCCn1c(C)c(C(=O)c2cccc3ccc(OC)cc23)c2ccccc21</t>
  </si>
  <si>
    <t xml:space="preserve">CHEMBL2206845</t>
  </si>
  <si>
    <t xml:space="preserve">CCCn1c(C)c(C(=O)c2cccc3cccc(Br)c23)c2ccccc21</t>
  </si>
  <si>
    <t xml:space="preserve">CHEMBL2206841</t>
  </si>
  <si>
    <t xml:space="preserve">CCCn1c(C)c(C(=O)c2cccc3cccc(Cl)c23)c2ccccc21</t>
  </si>
  <si>
    <t xml:space="preserve">CHEMBL2206849</t>
  </si>
  <si>
    <t xml:space="preserve">CCCn1c(C)c(C(=O)c2cccc3cccc(I)c23)c2ccccc21</t>
  </si>
  <si>
    <t xml:space="preserve">CHEMBL306764</t>
  </si>
  <si>
    <t xml:space="preserve">CCCn1c(C)c(C(=O)c2cccc3ccccc23)c2ccccc21</t>
  </si>
  <si>
    <t xml:space="preserve">CHEMBL2348065</t>
  </si>
  <si>
    <t xml:space="preserve">CCCn1c(C)c(C)cc(Oc2nc3ccccc3o2)c1=S</t>
  </si>
  <si>
    <t xml:space="preserve">CHEMBL2441453</t>
  </si>
  <si>
    <t xml:space="preserve">CCCn1c2ccccc2c2cc(C(=O)N3CCCCC3)ccc21</t>
  </si>
  <si>
    <t xml:space="preserve">CHEMBL579241</t>
  </si>
  <si>
    <t xml:space="preserve">CCCn1cc(C(=O)C2C(C)(C)C2(C)C)c2ccccc21</t>
  </si>
  <si>
    <t xml:space="preserve">CHEMBL2316287</t>
  </si>
  <si>
    <t xml:space="preserve">CCCn1cc(C(=O)NC2CCCCC2)c(=O)c2c(C)nn(C)c21</t>
  </si>
  <si>
    <t xml:space="preserve">CHEMBL2152801</t>
  </si>
  <si>
    <t xml:space="preserve">CCCn1cc(C(=O)N[C@@H]2C(C)(C)C3CC[C@]2(C)C3)c(=O)c2ccc(F)cc21</t>
  </si>
  <si>
    <t xml:space="preserve">CHEMBL2152811</t>
  </si>
  <si>
    <t xml:space="preserve">CCCn1cc(C(=O)N[C@@H]2C(C)(C)C3CC[C@]2(C)C3)c(=O)c2ccc(Sc3ccccc3)cc21</t>
  </si>
  <si>
    <t xml:space="preserve">CHEMBL556101</t>
  </si>
  <si>
    <t xml:space="preserve">CCCn1cc(C(=O)c2c(OC)ccc3ccccc23)c2ccccc21</t>
  </si>
  <si>
    <t xml:space="preserve">CHEMBL2206861</t>
  </si>
  <si>
    <t xml:space="preserve">CCCn1cc(C(=O)c2ccc(Br)c3ccccc23)c2ccccc21</t>
  </si>
  <si>
    <t xml:space="preserve">CHEMBL497811</t>
  </si>
  <si>
    <t xml:space="preserve">CCCn1cc(C(=O)c2ccc(C)c3ccccc23)c2ccccc21</t>
  </si>
  <si>
    <t xml:space="preserve">CHEMBL557627</t>
  </si>
  <si>
    <t xml:space="preserve">CCCn1cc(C(=O)c2ccc(CC)c3ccccc23)c2ccccc21</t>
  </si>
  <si>
    <t xml:space="preserve">CHEMBL2206857</t>
  </si>
  <si>
    <t xml:space="preserve">CCCn1cc(C(=O)c2ccc(Cl)c3ccccc23)c2ccccc21</t>
  </si>
  <si>
    <t xml:space="preserve">CHEMBL2206853</t>
  </si>
  <si>
    <t xml:space="preserve">CCCn1cc(C(=O)c2ccc(F)c3ccccc23)c2ccccc21</t>
  </si>
  <si>
    <t xml:space="preserve">CHEMBL2206836</t>
  </si>
  <si>
    <t xml:space="preserve">CCCn1cc(C(=O)c2ccc(I)c3ccccc23)c2ccccc21</t>
  </si>
  <si>
    <t xml:space="preserve">CHEMBL561349</t>
  </si>
  <si>
    <t xml:space="preserve">CCCn1cc(C(=O)c2ccc(OC)c3ccccc23)c2ccccc21</t>
  </si>
  <si>
    <t xml:space="preserve">CHEMBL562704</t>
  </si>
  <si>
    <t xml:space="preserve">CCCn1cc(C(=O)c2ccc(OCC)c3ccccc23)c2ccccc21</t>
  </si>
  <si>
    <t xml:space="preserve">CHEMBL4872576</t>
  </si>
  <si>
    <t xml:space="preserve">CCCn1cc(C(=O)c2ccc3c(c2)CC(C)(C)C3)c2ccccc21</t>
  </si>
  <si>
    <t xml:space="preserve">CHEMBL552087</t>
  </si>
  <si>
    <t xml:space="preserve">CCCn1cc(C(=O)c2cccc3cc(OC)ccc23)c2ccccc21</t>
  </si>
  <si>
    <t xml:space="preserve">CHEMBL551833</t>
  </si>
  <si>
    <t xml:space="preserve">CCCn1cc(C(=O)c2cccc3ccc(C)cc23)c2ccccc21</t>
  </si>
  <si>
    <t xml:space="preserve">CHEMBL561894</t>
  </si>
  <si>
    <t xml:space="preserve">CCCn1cc(C(=O)c2cccc3ccc(CC)cc23)c2ccccc21</t>
  </si>
  <si>
    <t xml:space="preserve">CHEMBL564407</t>
  </si>
  <si>
    <t xml:space="preserve">CCCn1cc(C(=O)c2cccc3ccc(OC)cc23)c2ccccc21</t>
  </si>
  <si>
    <t xml:space="preserve">CHEMBL2206844</t>
  </si>
  <si>
    <t xml:space="preserve">CCCn1cc(C(=O)c2cccc3cccc(Br)c23)c2ccccc21</t>
  </si>
  <si>
    <t xml:space="preserve">CHEMBL2206840</t>
  </si>
  <si>
    <t xml:space="preserve">CCCn1cc(C(=O)c2cccc3cccc(Cl)c23)c2ccccc21</t>
  </si>
  <si>
    <t xml:space="preserve">CHEMBL2206848</t>
  </si>
  <si>
    <t xml:space="preserve">CCCn1cc(C(=O)c2cccc3cccc(I)c23)c2ccccc21</t>
  </si>
  <si>
    <t xml:space="preserve">CHEMBL563390</t>
  </si>
  <si>
    <t xml:space="preserve">CCCn1cc(C(=O)c2cccc3ccccc23)c2ccccc21</t>
  </si>
  <si>
    <t xml:space="preserve">CHEMBL217969</t>
  </si>
  <si>
    <t xml:space="preserve">CCCn1cc(C(=O)c2cccc3ccccc23)cc1-c1ccccc1</t>
  </si>
  <si>
    <t xml:space="preserve">CHEMBL2087093</t>
  </si>
  <si>
    <t xml:space="preserve">CCCn1cc(CC(=O)NC23CC4CC(CC(C4)C2)C3)c2cc(-c3ccccc3)ccc21</t>
  </si>
  <si>
    <t xml:space="preserve">CHEMBL3114174</t>
  </si>
  <si>
    <t xml:space="preserve">CCCn1cccc(C(=O)NC2CCC(C)CC2)c1=O</t>
  </si>
  <si>
    <t xml:space="preserve">CHEMBL4795398</t>
  </si>
  <si>
    <t xml:space="preserve">CCCn1nc(OCc2ccc3ccccc3c2)c2cc(N)ccc21</t>
  </si>
  <si>
    <t xml:space="preserve">CHEMBL4730271</t>
  </si>
  <si>
    <t xml:space="preserve">CHEMBL4725407</t>
  </si>
  <si>
    <t xml:space="preserve">Displacement of [3H]CP55940 from human CB2R transfected in HEK293EBNA cell membrane incubated for 90 mins by Microbeta TriLux based luminescence analysis</t>
  </si>
  <si>
    <t xml:space="preserve">CHEMBL4785803</t>
  </si>
  <si>
    <t xml:space="preserve">CCCn1nc(OCc2ccc3ccccc3c2)c2cc([N+](=O)[O-])ccc21</t>
  </si>
  <si>
    <t xml:space="preserve">CHEMBL364300</t>
  </si>
  <si>
    <t xml:space="preserve">CCN(C)S(=O)(=O)N/C(=N\C)N1CC(c2ccccc2)C(c2ccc(Cl)cc2)=N1</t>
  </si>
  <si>
    <t xml:space="preserve">CHEMBL486438</t>
  </si>
  <si>
    <t xml:space="preserve">CCN(CC)C(=O)c1ccc2c(c1)nc(Cc1ccc(O)cc1)n2CCC(C)C</t>
  </si>
  <si>
    <t xml:space="preserve">CHEMBL453846</t>
  </si>
  <si>
    <t xml:space="preserve">CCN(CC)C(=O)c1ccc2c(c1)nc(Cc1ccc(OC(C)C)cc1)n2CCC(C)C</t>
  </si>
  <si>
    <t xml:space="preserve">CHEMBL451779</t>
  </si>
  <si>
    <t xml:space="preserve">CCN(CC)C(=O)c1ccc2c(c1)nc(Cc1ccc(OC(F)(F)F)cc1)n2CCC(C)C</t>
  </si>
  <si>
    <t xml:space="preserve">CHEMBL487629</t>
  </si>
  <si>
    <t xml:space="preserve">CCN(CC)C(=O)c1ccc2c(c1)nc(Cc1ccc(OC)cc1)n2CCC(C)C</t>
  </si>
  <si>
    <t xml:space="preserve">CHEMBL453847</t>
  </si>
  <si>
    <t xml:space="preserve">CCN(CC)C(=O)c1ccc2c(c1)nc(Cc1ccc(OC3CCC3)cc1)n2CCC(C)C</t>
  </si>
  <si>
    <t xml:space="preserve">CHEMBL452803</t>
  </si>
  <si>
    <t xml:space="preserve">CCN(CC)C(=O)c1ccc2c(c1)nc(Cc1ccc(OC3CCCC3)cc1)n2CCC(C)C</t>
  </si>
  <si>
    <t xml:space="preserve">CHEMBL452804</t>
  </si>
  <si>
    <t xml:space="preserve">CCN(CC)C(=O)c1ccc2c(c1)nc(Cc1ccc(OC3CCCCC3)cc1)n2CCC(C)C</t>
  </si>
  <si>
    <t xml:space="preserve">CHEMBL452039</t>
  </si>
  <si>
    <t xml:space="preserve">CCN(CC)C(=O)c1ccc2c(c1)nc(Cc1ccc(OCC(F)(F)F)cc1)n2CCC(C)C</t>
  </si>
  <si>
    <t xml:space="preserve">CHEMBL511021</t>
  </si>
  <si>
    <t xml:space="preserve">CCN(CC)C(=O)c1ccc2c(c1)nc(Cc1ccc(OCC3CC3)cc1)n2CCC(C)C</t>
  </si>
  <si>
    <t xml:space="preserve">CHEMBL510072</t>
  </si>
  <si>
    <t xml:space="preserve">CCN(CC)C(=O)c1ccc2c(c1)nc(Cc1ccc(Oc3ccccc3)cc1)n2CCC(C)C</t>
  </si>
  <si>
    <t xml:space="preserve">CHEMBL4100917</t>
  </si>
  <si>
    <t xml:space="preserve">CCN(CC)C(=O)c1ccc2c(c1)nc(Nc1ccc(Oc3ccccc3)cc1)n2CCC(C)C</t>
  </si>
  <si>
    <t xml:space="preserve">CHEMBL4074747</t>
  </si>
  <si>
    <t xml:space="preserve">CCN(CC)C(=O)c1ccc2c(c1)nc(Nc1ccc(Oc3ccccc3)cc1)n2CCN1CCCCC1</t>
  </si>
  <si>
    <t xml:space="preserve">CHEMBL369314</t>
  </si>
  <si>
    <t xml:space="preserve">CCN(CC)C(=O)c1nc(-c2ccc(Cl)cc2Cl)n(-c2ccc(Cl)cc2)c1C</t>
  </si>
  <si>
    <t xml:space="preserve">CHEMBL829669</t>
  </si>
  <si>
    <t xml:space="preserve">CHEMBL1145197</t>
  </si>
  <si>
    <t xml:space="preserve">In vitro displacement of CP-55940 binding to human CB2 receptor expressed in CHO cells</t>
  </si>
  <si>
    <t xml:space="preserve">CHEMBL3581225</t>
  </si>
  <si>
    <t xml:space="preserve">CCN(CC)C1(c2nc(-c3cc(C(C)(C)C)c(O)c(C(C)(C)C)c3)cs2)CCOCC1</t>
  </si>
  <si>
    <t xml:space="preserve">CHEMBL2160224</t>
  </si>
  <si>
    <t xml:space="preserve">CCN(CC)CCOc1ccc(C(=O)c2c(-c3ccc(OCCCCCCCN(C)Cc4ccccc4)cc3)oc3ccccc23)cc1</t>
  </si>
  <si>
    <t xml:space="preserve">CHEMBL2162732</t>
  </si>
  <si>
    <t xml:space="preserve">CHEMBL2157903</t>
  </si>
  <si>
    <t xml:space="preserve">CHEMBL2160223</t>
  </si>
  <si>
    <t xml:space="preserve">CCN(CC)CCOc1cccc(C(=O)c2c(-c3ccc(OCCCCCCCN(C)Cc4ccccc4)cc3)oc3ccccc23)c1</t>
  </si>
  <si>
    <t xml:space="preserve">CHEMBL4581847</t>
  </si>
  <si>
    <t xml:space="preserve">CCN(CC)CCn1c(Cc2ccc(OC)cc2)nc2cc(C(F)(F)F)ccc21</t>
  </si>
  <si>
    <t xml:space="preserve">CHEMBL4470914</t>
  </si>
  <si>
    <t xml:space="preserve">CCN(CC)CCn1c(Cc2ccccc2)nc2cc(C(F)(F)F)ccc21</t>
  </si>
  <si>
    <t xml:space="preserve">CHEMBL2160222</t>
  </si>
  <si>
    <t xml:space="preserve">CCN(CC)Cc1ccc(C(=O)c2c(-c3ccc(OCCCCCCCN(C)Cc4ccccc4)cc3)oc3ccccc23)cc1</t>
  </si>
  <si>
    <t xml:space="preserve">CHEMBL3686328</t>
  </si>
  <si>
    <t xml:space="preserve">CCN(CC)Oc1ccc(C(F)(F)F)cc1C(=O)/N=c1\sc(C(C)(C)C)cn1C[C@H]1CCCO1</t>
  </si>
  <si>
    <t xml:space="preserve">CHEMBL5085017</t>
  </si>
  <si>
    <t xml:space="preserve">CCN(CC)S(=O)(=O)/N=C(/N=C(/C)N)N1C[C@H](c2ccccc2)C(c2ccc(Cl)cc2)=N1</t>
  </si>
  <si>
    <t xml:space="preserve">CHEMBL5081180</t>
  </si>
  <si>
    <t xml:space="preserve">CCN(CC)S(=O)(=O)/N=C(/N=C(\N)SC)N1CC(c2ccccc2)C(c2ccc(Cl)cc2)=N1</t>
  </si>
  <si>
    <t xml:space="preserve">CHEMBL5086960</t>
  </si>
  <si>
    <t xml:space="preserve">CCN(CC)S(=O)(=O)/N=C(/N=C(\N)c1ccc(Cl)cc1)N1CC(c2ccccc2)C(c2ccc(Cl)cc2)=N1</t>
  </si>
  <si>
    <t xml:space="preserve">CHEMBL194566</t>
  </si>
  <si>
    <t xml:space="preserve">CCN(CC)S(=O)(=O)N/C(=N\C(C)C)N1CC(c2ccccc2)C(c2ccc(Cl)cc2)=N1</t>
  </si>
  <si>
    <t xml:space="preserve">CHEMBL195050</t>
  </si>
  <si>
    <t xml:space="preserve">CCN(CC)S(=O)(=O)N/C(=N\C)N1CC(c2ccccc2)C(c2ccc(Cl)cc2)=N1</t>
  </si>
  <si>
    <t xml:space="preserve">CHEMBL196048</t>
  </si>
  <si>
    <t xml:space="preserve">CCN(CC)S(=O)(=O)N/C(=N\C)N1CC(c2cccnc2)C(c2ccc(Cl)cc2)=N1</t>
  </si>
  <si>
    <t xml:space="preserve">CHEMBL2179728</t>
  </si>
  <si>
    <t xml:space="preserve">CCN(CC)c1ccc(C(NC(=O)/C=C/c2ccccc2)NC(=O)/C=C/c2ccccc2)cc1</t>
  </si>
  <si>
    <t xml:space="preserve">CHEMBL2179732</t>
  </si>
  <si>
    <t xml:space="preserve">CCN(CC)c1ccc(C(NC(=O)C(C)(C)C)NC(=O)C(C)(C)C)cc1</t>
  </si>
  <si>
    <t xml:space="preserve">CHEMBL2179731</t>
  </si>
  <si>
    <t xml:space="preserve">CCN(CC)c1ccc(C(NC(=O)C(C)C)NC(=O)C(C)C)cc1</t>
  </si>
  <si>
    <t xml:space="preserve">CHEMBL2179727</t>
  </si>
  <si>
    <t xml:space="preserve">CCN(CC)c1ccc(C(NC(=O)CCc2ccccc2)NC(=O)CCc2ccccc2)cc1</t>
  </si>
  <si>
    <t xml:space="preserve">CHEMBL2179771</t>
  </si>
  <si>
    <t xml:space="preserve">CCN(CC)c1ccc(C(NC(=O)Cc2ccccc2)NC(=O)Cc2ccccc2)cc1</t>
  </si>
  <si>
    <t xml:space="preserve">CHEMBL2179726</t>
  </si>
  <si>
    <t xml:space="preserve">CCN(CC)c1ccc(C(NC(=O)c2ccccc2)NC(=O)c2ccccc2)cc1</t>
  </si>
  <si>
    <t xml:space="preserve">CHEMBL2321921</t>
  </si>
  <si>
    <t xml:space="preserve">CCN(CC)c1ccc(CN(C(=O)C2CCCCC2)[C@]23C[C@H]4C[C@H](C[C@H](C4)C2)C3)cc1</t>
  </si>
  <si>
    <t xml:space="preserve">CHEMBL2326303</t>
  </si>
  <si>
    <t xml:space="preserve">CCN(CC)c1ccc(CN(C(=O)C2CCCCC2)c2ccc(C)cc2)cc1</t>
  </si>
  <si>
    <t xml:space="preserve">CHEMBL2326293</t>
  </si>
  <si>
    <t xml:space="preserve">CCN(CC)c1ccc(CN(C(=O)C2CCCCC2)c2ccc(Cl)cc2)cc1</t>
  </si>
  <si>
    <t xml:space="preserve">CHEMBL2326032</t>
  </si>
  <si>
    <t xml:space="preserve">CCN(CC)c1ccc(CN(C(=O)Cc2ccc(Cl)cc2)[C@]23C[C@H]4C[C@H](C[C@H](C4)C2)C3)cc1</t>
  </si>
  <si>
    <t xml:space="preserve">CHEMBL2326302</t>
  </si>
  <si>
    <t xml:space="preserve">CCN(CC)c1ccc(CN(C(=O)Cc2ccc(Cl)cc2)c2ccc(C)cc2)cc1</t>
  </si>
  <si>
    <t xml:space="preserve">CHEMBL2326292</t>
  </si>
  <si>
    <t xml:space="preserve">CCN(CC)c1ccc(CN(C(=O)Cc2ccc(Cl)cc2)c2ccc(Cl)cc2)cc1</t>
  </si>
  <si>
    <t xml:space="preserve">CHEMBL2326033</t>
  </si>
  <si>
    <t xml:space="preserve">CCN(CC)c1ccc(CN(C(=O)Cc2ccccc2)[C@]23C[C@H]4C[C@H](C[C@H](C4)C2)C3)cc1</t>
  </si>
  <si>
    <t xml:space="preserve">CHEMBL2326301</t>
  </si>
  <si>
    <t xml:space="preserve">CCN(CC)c1ccc(CN(C(=O)Cc2ccccc2)c2ccc(C)cc2)cc1</t>
  </si>
  <si>
    <t xml:space="preserve">CHEMBL2336541</t>
  </si>
  <si>
    <t xml:space="preserve">CCN(CC)c1ccc(CN(C2CCCC2)S(=O)(=O)c2ccc(C)cc2)cc1</t>
  </si>
  <si>
    <t xml:space="preserve">CHEMBL2336548</t>
  </si>
  <si>
    <t xml:space="preserve">CCN(CC)c1ccc(CN(C2CCCCC2)S(=O)(=O)c2ccc(C(C)C)cc2)cc1</t>
  </si>
  <si>
    <t xml:space="preserve">CHEMBL2336539</t>
  </si>
  <si>
    <t xml:space="preserve">CCN(CC)c1ccc(CN(C2CCCCC2)S(=O)(=O)c2ccc(C)cc2)cc1</t>
  </si>
  <si>
    <t xml:space="preserve">CHEMBL2336547</t>
  </si>
  <si>
    <t xml:space="preserve">CCN(CC)c1ccc(CN(C2CCCCC2)S(=O)(=O)c2ccc(OC)cc2)cc1</t>
  </si>
  <si>
    <t xml:space="preserve">CHEMBL2336535</t>
  </si>
  <si>
    <t xml:space="preserve">CCN(CC)c1ccc(CN(CC2CCCCC2)S(=O)(=O)c2ccc(C)cc2)cc1</t>
  </si>
  <si>
    <t xml:space="preserve">CHEMBL2336530</t>
  </si>
  <si>
    <t xml:space="preserve">CCN(CC)c1ccc(CN(CCc2ccccc2)S(=O)(=O)c2ccc(C)cc2)cc1</t>
  </si>
  <si>
    <t xml:space="preserve">CHEMBL2336533</t>
  </si>
  <si>
    <t xml:space="preserve">CCN(CC)c1ccc(CN(Cc2ccc(Cl)c(Cl)c2)S(=O)(=O)c2ccc(C)cc2)cc1</t>
  </si>
  <si>
    <t xml:space="preserve">CHEMBL2336532</t>
  </si>
  <si>
    <t xml:space="preserve">CCN(CC)c1ccc(CN(Cc2ccc(Cl)cc2)S(=O)(=O)c2ccc(C)cc2)cc1</t>
  </si>
  <si>
    <t xml:space="preserve">CHEMBL2336534</t>
  </si>
  <si>
    <t xml:space="preserve">CCN(CC)c1ccc(CN(Cc2ccc(F)cc2)S(=O)(=O)c2ccc(C)cc2)cc1</t>
  </si>
  <si>
    <t xml:space="preserve">CHEMBL2336531</t>
  </si>
  <si>
    <t xml:space="preserve">CCN(CC)c1ccc(CN(Cc2ccc(N(CC)CC)cc2)S(=O)(=O)c2ccc(C)cc2)cc1</t>
  </si>
  <si>
    <t xml:space="preserve">CHEMBL2336559</t>
  </si>
  <si>
    <t xml:space="preserve">CCN(CC)c1ccc(CN(Cc2ccccc2)Cc2ccccc2)cc1</t>
  </si>
  <si>
    <t xml:space="preserve">CHEMBL2336560</t>
  </si>
  <si>
    <t xml:space="preserve">CCN(CC)c1ccc(CN(Cc2ccccc2)S(=O)(=O)Cc2ccccc2)cc1</t>
  </si>
  <si>
    <t xml:space="preserve">CHEMBL2336570</t>
  </si>
  <si>
    <t xml:space="preserve">CCN(CC)c1ccc(CN(Cc2ccccc2)S(=O)(=O)c2ccc(-c3ccccc3)cc2)cc1</t>
  </si>
  <si>
    <t xml:space="preserve">CHEMBL2336565</t>
  </si>
  <si>
    <t xml:space="preserve">CCN(CC)c1ccc(CN(Cc2ccccc2)S(=O)(=O)c2ccc(C(C)C)cc2)cc1</t>
  </si>
  <si>
    <t xml:space="preserve">CHEMBL2336573</t>
  </si>
  <si>
    <t xml:space="preserve">CCN(CC)c1ccc(CN(Cc2ccccc2)S(=O)(=O)c2ccc(C)cc2)cc1</t>
  </si>
  <si>
    <t xml:space="preserve">CHEMBL2336561</t>
  </si>
  <si>
    <t xml:space="preserve">CCN(CC)c1ccc(CN(Cc2ccccc2)S(=O)(=O)c2ccc(Cl)cc2)cc1</t>
  </si>
  <si>
    <t xml:space="preserve">CHEMBL2336562</t>
  </si>
  <si>
    <t xml:space="preserve">CCN(CC)c1ccc(CN(Cc2ccccc2)S(=O)(=O)c2ccc(F)cc2)cc1</t>
  </si>
  <si>
    <t xml:space="preserve">CHEMBL2336564</t>
  </si>
  <si>
    <t xml:space="preserve">CCN(CC)c1ccc(CN(Cc2ccccc2)S(=O)(=O)c2ccc(NC(C)=O)cc2)cc1</t>
  </si>
  <si>
    <t xml:space="preserve">CHEMBL2336567</t>
  </si>
  <si>
    <t xml:space="preserve">CCN(CC)c1ccc(CN(Cc2ccccc2)S(=O)(=O)c2ccc(OC(C)C)cc2)cc1</t>
  </si>
  <si>
    <t xml:space="preserve">CHEMBL2336568</t>
  </si>
  <si>
    <t xml:space="preserve">CCN(CC)c1ccc(CN(Cc2ccccc2)S(=O)(=O)c2ccc(OC(F)(F)F)cc2)cc1</t>
  </si>
  <si>
    <t xml:space="preserve">CHEMBL2336566</t>
  </si>
  <si>
    <t xml:space="preserve">CCN(CC)c1ccc(CN(Cc2ccccc2)S(=O)(=O)c2ccc(OC)cc2)cc1</t>
  </si>
  <si>
    <t xml:space="preserve">CHEMBL2336569</t>
  </si>
  <si>
    <t xml:space="preserve">CCN(CC)c1ccc(CN(Cc2ccccc2)S(=O)(=O)c2ccc3ccccc3c2)cc1</t>
  </si>
  <si>
    <t xml:space="preserve">CHEMBL2336563</t>
  </si>
  <si>
    <t xml:space="preserve">CCN(CC)c1ccc(CN(Cc2ccccc2)S(=O)(=O)c2ccccc2)cc1</t>
  </si>
  <si>
    <t xml:space="preserve">CHEMBL2336546</t>
  </si>
  <si>
    <t xml:space="preserve">CCN(CC)c1ccc(CN(Cc2ccco2)S(=O)(=O)c2ccc(C(C)C)cc2)cc1</t>
  </si>
  <si>
    <t xml:space="preserve">CHEMBL2336536</t>
  </si>
  <si>
    <t xml:space="preserve">CCN(CC)c1ccc(CN(Cc2ccco2)S(=O)(=O)c2ccc(C)cc2)cc1</t>
  </si>
  <si>
    <t xml:space="preserve">CHEMBL2336545</t>
  </si>
  <si>
    <t xml:space="preserve">CCN(CC)c1ccc(CN(Cc2ccco2)S(=O)(=O)c2ccc(OC)cc2)cc1</t>
  </si>
  <si>
    <t xml:space="preserve">CHEMBL2336537</t>
  </si>
  <si>
    <t xml:space="preserve">CCN(CC)c1ccc(CN(Cc2cccs2)S(=O)(=O)c2ccc(C)cc2)cc1</t>
  </si>
  <si>
    <t xml:space="preserve">CHEMBL2326312</t>
  </si>
  <si>
    <t xml:space="preserve">CCN(CC)c1ccc(CN([C@]23C[C@H]4C[C@H](C[C@H](C4)C2)C3)S(=O)(=O)c2ccc(C(C)C)cc2)cc1</t>
  </si>
  <si>
    <t xml:space="preserve">CHEMBL2326310</t>
  </si>
  <si>
    <t xml:space="preserve">CCN(CC)c1ccc(CN([C@]23C[C@H]4C[C@H](C[C@H](C4)C2)C3)S(=O)(=O)c2ccc(C)cc2)cc1</t>
  </si>
  <si>
    <t xml:space="preserve">CHEMBL2326308</t>
  </si>
  <si>
    <t xml:space="preserve">CCN(CC)c1ccc(CN([C@]23C[C@H]4C[C@H](C[C@H](C4)C2)C3)S(=O)(=O)c2ccc(Cl)cc2)cc1</t>
  </si>
  <si>
    <t xml:space="preserve">CHEMBL2326307</t>
  </si>
  <si>
    <t xml:space="preserve">CCN(CC)c1ccc(CN([C@]23C[C@H]4C[C@H](C[C@H](C4)C2)C3)S(=O)(=O)c2ccc(F)cc2)cc1</t>
  </si>
  <si>
    <t xml:space="preserve">CHEMBL2326309</t>
  </si>
  <si>
    <t xml:space="preserve">CCN(CC)c1ccc(CN([C@]23C[C@H]4C[C@H](C[C@H](C4)C2)C3)S(=O)(=O)c2ccc(OC)cc2)cc1</t>
  </si>
  <si>
    <t xml:space="preserve">CHEMBL2326311</t>
  </si>
  <si>
    <t xml:space="preserve">CCN(CC)c1ccc(CN([C@]23C[C@H]4C[C@H](C[C@H](C4)C2)C3)S(=O)(=O)c2cccc(C)c2)cc1</t>
  </si>
  <si>
    <t xml:space="preserve">CHEMBL2326306</t>
  </si>
  <si>
    <t xml:space="preserve">CCN(CC)c1ccc(CN([C@]23C[C@H]4C[C@H](C[C@H](C4)C2)C3)S(=O)(=O)c2ccccc2)cc1</t>
  </si>
  <si>
    <t xml:space="preserve">CHEMBL2326300</t>
  </si>
  <si>
    <t xml:space="preserve">CCN(CC)c1ccc(CN(c2ccc(C)cc2)S(=O)(=O)c2ccc(C(C)C)cc2)cc1</t>
  </si>
  <si>
    <t xml:space="preserve">CHEMBL2326298</t>
  </si>
  <si>
    <t xml:space="preserve">CCN(CC)c1ccc(CN(c2ccc(C)cc2)S(=O)(=O)c2ccc(C)cc2)cc1</t>
  </si>
  <si>
    <t xml:space="preserve">CHEMBL2326296</t>
  </si>
  <si>
    <t xml:space="preserve">CCN(CC)c1ccc(CN(c2ccc(C)cc2)S(=O)(=O)c2ccc(Cl)cc2)cc1</t>
  </si>
  <si>
    <t xml:space="preserve">CHEMBL2326295</t>
  </si>
  <si>
    <t xml:space="preserve">CCN(CC)c1ccc(CN(c2ccc(C)cc2)S(=O)(=O)c2ccc(F)cc2)cc1</t>
  </si>
  <si>
    <t xml:space="preserve">CHEMBL2326297</t>
  </si>
  <si>
    <t xml:space="preserve">CCN(CC)c1ccc(CN(c2ccc(C)cc2)S(=O)(=O)c2ccc(OC)cc2)cc1</t>
  </si>
  <si>
    <t xml:space="preserve">CHEMBL2326299</t>
  </si>
  <si>
    <t xml:space="preserve">CCN(CC)c1ccc(CN(c2ccc(C)cc2)S(=O)(=O)c2cccc(C)c2)cc1</t>
  </si>
  <si>
    <t xml:space="preserve">CHEMBL2326294</t>
  </si>
  <si>
    <t xml:space="preserve">CCN(CC)c1ccc(CN(c2ccc(C)cc2)S(=O)(=O)c2ccccc2)cc1</t>
  </si>
  <si>
    <t xml:space="preserve">CHEMBL2326291</t>
  </si>
  <si>
    <t xml:space="preserve">CCN(CC)c1ccc(CN(c2ccc(Cl)cc2)S(=O)(=O)c2ccc(C(C)C)cc2)cc1</t>
  </si>
  <si>
    <t xml:space="preserve">CHEMBL2326289</t>
  </si>
  <si>
    <t xml:space="preserve">CCN(CC)c1ccc(CN(c2ccc(Cl)cc2)S(=O)(=O)c2ccc(C)cc2)cc1</t>
  </si>
  <si>
    <t xml:space="preserve">CHEMBL2326287</t>
  </si>
  <si>
    <t xml:space="preserve">CCN(CC)c1ccc(CN(c2ccc(Cl)cc2)S(=O)(=O)c2ccc(Cl)cc2)cc1</t>
  </si>
  <si>
    <t xml:space="preserve">CHEMBL2326286</t>
  </si>
  <si>
    <t xml:space="preserve">CCN(CC)c1ccc(CN(c2ccc(Cl)cc2)S(=O)(=O)c2ccc(F)cc2)cc1</t>
  </si>
  <si>
    <t xml:space="preserve">CHEMBL2326288</t>
  </si>
  <si>
    <t xml:space="preserve">CCN(CC)c1ccc(CN(c2ccc(Cl)cc2)S(=O)(=O)c2ccc(OC)cc2)cc1</t>
  </si>
  <si>
    <t xml:space="preserve">CHEMBL2326290</t>
  </si>
  <si>
    <t xml:space="preserve">CCN(CC)c1ccc(CN(c2ccc(Cl)cc2)S(=O)(=O)c2cccc(C)c2)cc1</t>
  </si>
  <si>
    <t xml:space="preserve">CHEMBL2326285</t>
  </si>
  <si>
    <t xml:space="preserve">CCN(CC)c1ccc(CN(c2ccc(Cl)cc2)S(=O)(=O)c2ccccc2)cc1</t>
  </si>
  <si>
    <t xml:space="preserve">CHEMBL2336544</t>
  </si>
  <si>
    <t xml:space="preserve">CCN(CC)c1ccc(CN(c2ccccc2)S(=O)(=O)c2ccc(C(C)C)cc2)cc1</t>
  </si>
  <si>
    <t xml:space="preserve">CHEMBL2336538</t>
  </si>
  <si>
    <t xml:space="preserve">CCN(CC)c1ccc(CN(c2ccccc2)S(=O)(=O)c2ccc(C)cc2)cc1</t>
  </si>
  <si>
    <t xml:space="preserve">CHEMBL2336543</t>
  </si>
  <si>
    <t xml:space="preserve">CCN(CC)c1ccc(CN(c2ccccc2)S(=O)(=O)c2ccc(OC)cc2)cc1</t>
  </si>
  <si>
    <t xml:space="preserve">CHEMBL2336540</t>
  </si>
  <si>
    <t xml:space="preserve">CCN(CC)c1ccc(CN(c2ncc(C)s2)S(=O)(=O)c2ccc(C)cc2)cc1</t>
  </si>
  <si>
    <t xml:space="preserve">CHEMBL2336549</t>
  </si>
  <si>
    <t xml:space="preserve">CCN(CC)c1ccc(CN(c2ncc(C)s2)S(=O)(=O)c2ccc(OC)cc2)cc1</t>
  </si>
  <si>
    <t xml:space="preserve">CHEMBL2336571</t>
  </si>
  <si>
    <t xml:space="preserve">CCN(CC)c1ccc(CNS(=O)(=O)c2ccc(C)cc2)cc1</t>
  </si>
  <si>
    <t xml:space="preserve">CHEMBL2326305</t>
  </si>
  <si>
    <t xml:space="preserve">CCN(CC)c1ccc(CN[C@]23C[C@H]4C[C@H](C[C@H](C4)C2)C3)cc1</t>
  </si>
  <si>
    <t xml:space="preserve">CHEMBL2326284</t>
  </si>
  <si>
    <t xml:space="preserve">CCN(CC)c1ccc(CNc2ccc(Cl)cc2)cc1</t>
  </si>
  <si>
    <t xml:space="preserve">CHEMBL428779</t>
  </si>
  <si>
    <t xml:space="preserve">CCN(Cc1ccccc1)C(=O)c1oc2ccc(S(=O)(=O)N3CC(C)CC(C)C3)cc2c1C</t>
  </si>
  <si>
    <t xml:space="preserve">CHEMBL2348061</t>
  </si>
  <si>
    <t xml:space="preserve">CCN1C(=O)C(Sc2nc3ccccc3o2)c2ccccc2C1C</t>
  </si>
  <si>
    <t xml:space="preserve">CHEMBL247345</t>
  </si>
  <si>
    <t xml:space="preserve">CCN1CC(C)(C)CS/C1=N\c1ccccc1C(C)C</t>
  </si>
  <si>
    <t xml:space="preserve">CHEMBL2019085</t>
  </si>
  <si>
    <t xml:space="preserve">CCN1CCCC1Cn1c2c(cc(C(=O)NC3(C(=O)O)CCCCC3)c1=O)CCCCCC2</t>
  </si>
  <si>
    <t xml:space="preserve">CHEMBL3686308</t>
  </si>
  <si>
    <t xml:space="preserve">CCN1CCC[C@H]1COc1ccc(C(F)(F)F)cc1C(=O)/N=c1\sc(C(C)(C)C)cn1C[C@H]1CCCO1</t>
  </si>
  <si>
    <t xml:space="preserve">CHEMBL1209573</t>
  </si>
  <si>
    <t xml:space="preserve">CCN1CCN(C(=O)c2cn3c4c(cccc24)OC[C@H]3C2CCCCC2)CC1</t>
  </si>
  <si>
    <t xml:space="preserve">CHEMBL1212094</t>
  </si>
  <si>
    <t xml:space="preserve">CHEMBL1208772</t>
  </si>
  <si>
    <t xml:space="preserve">Displacement of [3H]CP-55940 from human cannabinoid CB2 receptor expressed in insect Sf9 cells</t>
  </si>
  <si>
    <t xml:space="preserve">CHEMBL2057799</t>
  </si>
  <si>
    <t xml:space="preserve">CCN1CCN(c2nc(C)nc3[nH]c(-c4ccccc4Cl)nc23)CC1</t>
  </si>
  <si>
    <t xml:space="preserve">CHEMBL3092906</t>
  </si>
  <si>
    <t xml:space="preserve">CHEMBL3096230</t>
  </si>
  <si>
    <t xml:space="preserve">CHEMBL3091283</t>
  </si>
  <si>
    <t xml:space="preserve">Displacement of [3H]-CP-55940 from human CB2 receptor expressed in CHO cells after 90 mins</t>
  </si>
  <si>
    <t xml:space="preserve">CHEMBL3092905</t>
  </si>
  <si>
    <t xml:space="preserve">CCN1CCN(c2nc(C)nc3c2nc(-c2ccccc2Cl)n3C)CC1</t>
  </si>
  <si>
    <t xml:space="preserve">CHEMBL3092900</t>
  </si>
  <si>
    <t xml:space="preserve">CCN1CCN(c2nc(C)nc3c2nc(-c2ccccc2Cl)n3CC2CCOCC2)CC1</t>
  </si>
  <si>
    <t xml:space="preserve">CHEMBL3092908</t>
  </si>
  <si>
    <t xml:space="preserve">CCN1CCN(c2nc(C)nc3c2nc(-c2ccccc2Cl)n3CCOC)CC1</t>
  </si>
  <si>
    <t xml:space="preserve">CHEMBL4174271</t>
  </si>
  <si>
    <t xml:space="preserve">CCN1CCN(c2nc(C)nc3oc(-c4ccccc4Cl)nc23)CC1</t>
  </si>
  <si>
    <t xml:space="preserve">CHEMBL2057795</t>
  </si>
  <si>
    <t xml:space="preserve">CCN1CCN(c2nc(C)nc3sc(-c4ccccc4)cc23)CC1</t>
  </si>
  <si>
    <t xml:space="preserve">CHEMBL2060624</t>
  </si>
  <si>
    <t xml:space="preserve">CHEMBL2057154</t>
  </si>
  <si>
    <t xml:space="preserve">Displacement of [3H]-CP-55,940 from human CB2 receptor expressed in CHO cells</t>
  </si>
  <si>
    <t xml:space="preserve">CHEMBL4169388</t>
  </si>
  <si>
    <t xml:space="preserve">CCN1CCN(c2ncnc3oc(-c4ccccc4C(F)(F)F)nc23)CC1</t>
  </si>
  <si>
    <t xml:space="preserve">CHEMBL4176159</t>
  </si>
  <si>
    <t xml:space="preserve">CCN1CCN(c2ncnc3oc(-c4ccccc4Cl)nc23)CC1</t>
  </si>
  <si>
    <t xml:space="preserve">CHEMBL2180220</t>
  </si>
  <si>
    <t xml:space="preserve">CCNC(=O)NC1(c2ccccc2)CCN(c2ncnc3c2nc(-c2ccccc2Cl)n3-c2ccc(Cl)cc2)CC1</t>
  </si>
  <si>
    <t xml:space="preserve">CHEMBL2063245</t>
  </si>
  <si>
    <t xml:space="preserve">CCNC(=O)NC1CCCOc2c1nn(-c1ccccc1Cl)c2-c1ccc(Cl)cc1</t>
  </si>
  <si>
    <t xml:space="preserve">CHEMBL3596756</t>
  </si>
  <si>
    <t xml:space="preserve">CCNC(=O)NCCCCCSc1ccc2ccccc2c1</t>
  </si>
  <si>
    <t xml:space="preserve">CHEMBL3598595</t>
  </si>
  <si>
    <t xml:space="preserve">CHEMBL3596121</t>
  </si>
  <si>
    <t xml:space="preserve">Displacement of human recombinant CB2 receptor expressed in HEK293 cell membranes incubated for 90 mins by Cheng-Prusoff equation based analysis</t>
  </si>
  <si>
    <t xml:space="preserve">CHEMBL2010897</t>
  </si>
  <si>
    <t xml:space="preserve">CCNC(=O)c1c(NC(=O)C23CC4CC(CC2C4)C3)sc2c1CCOC2</t>
  </si>
  <si>
    <t xml:space="preserve">CHEMBL454096</t>
  </si>
  <si>
    <t xml:space="preserve">CCNC(=O)c1ccc2c(c1)nc(Cc1ccc(OCC)cc1)n2CC1CC1</t>
  </si>
  <si>
    <t xml:space="preserve">CHEMBL562668</t>
  </si>
  <si>
    <t xml:space="preserve">CCNC1(C(N)=O)CCN(c2ncnc3c2nc(-c2ccccc2Cl)n3-c2ccc(Cl)cc2)CC1</t>
  </si>
  <si>
    <t xml:space="preserve">CHEMBL1836188</t>
  </si>
  <si>
    <t xml:space="preserve">CCOC(=O)/C(=C/c1cn(CCN2CCCCC2)c2ccccc12)C(=O)c1ccccc1</t>
  </si>
  <si>
    <t xml:space="preserve">CHEMBL1836121</t>
  </si>
  <si>
    <t xml:space="preserve">CCOC(=O)/C(=C/c1cn(CCN2CCOCC2)c2ccccc12)C(=O)c1ccccc1</t>
  </si>
  <si>
    <t xml:space="preserve">CHEMBL3114344</t>
  </si>
  <si>
    <t xml:space="preserve">CCOC(=O)/C=C/c1cc(C(=O)NC2CCCCCC2)c(=O)n(Cc2ccc(F)cc2)c1</t>
  </si>
  <si>
    <t xml:space="preserve">CHEMBL5896172</t>
  </si>
  <si>
    <t xml:space="preserve">CCOC(=O)C(C)(C)c1cc(O)c(-c2cc(C)cc(C)c2)c(O)c1</t>
  </si>
  <si>
    <t xml:space="preserve">CHEMBL5807776</t>
  </si>
  <si>
    <t xml:space="preserve">CCOC(=O)C(C)(C)c1cc(O)c(-c2cc(C)cc(C)c2)c(OC)c1</t>
  </si>
  <si>
    <t xml:space="preserve">CHEMBL5803688</t>
  </si>
  <si>
    <t xml:space="preserve">CCOC(=O)C(C)(C)c1cc(O)c(-c2cc(Cl)cc(Cl)c2)c(O)c1</t>
  </si>
  <si>
    <t xml:space="preserve">CHEMBL5901287</t>
  </si>
  <si>
    <t xml:space="preserve">CCOC(=O)C(C)(C)c1cc(O)c(-c2cc(Cl)cc(Cl)c2)c(OC)c1</t>
  </si>
  <si>
    <t xml:space="preserve">CHEMBL5918377</t>
  </si>
  <si>
    <t xml:space="preserve">CCOC(=O)C(C)(C)c1cc(O)c(-c2cccc(C#N)c2)c(O)c1</t>
  </si>
  <si>
    <t xml:space="preserve">CHEMBL4073011</t>
  </si>
  <si>
    <t xml:space="preserve">CCOC(=O)C(C)(C)c1cc(O)c2c(c1)OC(C)(C)[C@@H]1CC=C(C)C[C@@H]21</t>
  </si>
  <si>
    <t xml:space="preserve">CHEMBL5794334</t>
  </si>
  <si>
    <t xml:space="preserve">CCOC(=O)C(C)(C)c1cc(OC)c(-c2cc(C)cc(C)c2)c(OC)c1</t>
  </si>
  <si>
    <t xml:space="preserve">CHEMBL5926639</t>
  </si>
  <si>
    <t xml:space="preserve">CCOC(=O)C(C)(C)c1cc(OC)c(-c2cc(Cl)cc(Cl)c2)c(OC)c1</t>
  </si>
  <si>
    <t xml:space="preserve">CHEMBL5856089</t>
  </si>
  <si>
    <t xml:space="preserve">CCOC(=O)C(CC)(CC)NC(=O)c1cc(F)c(N2CC(OC)C2)c(OCC2CC2)n1</t>
  </si>
  <si>
    <t xml:space="preserve">CHEMBL3582024</t>
  </si>
  <si>
    <t xml:space="preserve">CCOC(=O)C(CC)(CC)NC(=O)c1ccc(C2CCCC2)c(OCC2CC2)n1</t>
  </si>
  <si>
    <t xml:space="preserve">CHEMBL5904009</t>
  </si>
  <si>
    <t xml:space="preserve">CCOC(=O)C(CC)(CC)NC(=O)c1ccc(N2CC(OC)C2)c(OCC(C)(C)COCF)n1</t>
  </si>
  <si>
    <t xml:space="preserve">CHEMBL3582029</t>
  </si>
  <si>
    <t xml:space="preserve">CCOC(=O)C(CC)(CC)NC(=O)c1ccc(N2CC(OC)C2)c(OCC2CC2)n1</t>
  </si>
  <si>
    <t xml:space="preserve">CHEMBL3582008</t>
  </si>
  <si>
    <t xml:space="preserve">CHEMBL5959219</t>
  </si>
  <si>
    <t xml:space="preserve">CCOC(=O)C(CC)(CC)NC(=O)c1ccc(N2CC(OC)C2)c(OC[C@@H]2C[C@@H]2CF)n1</t>
  </si>
  <si>
    <t xml:space="preserve">CHEMBL5774934</t>
  </si>
  <si>
    <t xml:space="preserve">CCOC(=O)C(CC)(CC)NC(=O)c1ccc(N2CC(OC)C2)c(OC[C@@H]2C[C@@H]2COCCF)n1</t>
  </si>
  <si>
    <t xml:space="preserve">CHEMBL5989285</t>
  </si>
  <si>
    <t xml:space="preserve">CCOC(=O)C(CC)(CC)NC(=O)c1ccc(N2CC(OC)C2)c(OC[C@@H]2C[C@@H]2COCF)n1</t>
  </si>
  <si>
    <t xml:space="preserve">CHEMBL5814017</t>
  </si>
  <si>
    <t xml:space="preserve">CCOC(=O)C(CC)(CC)NC(=O)c1ccc(N2CC(OC)C2)c(OC[C@@H]2C[C@H]2COCF)n1</t>
  </si>
  <si>
    <t xml:space="preserve">CHEMBL5850296</t>
  </si>
  <si>
    <t xml:space="preserve">CCOC(=O)C(CC)(CC)NC(=O)c1ccc(N2CC(OC)C2)c(OC[C@H]2C[C@@H]2CF)n1</t>
  </si>
  <si>
    <t xml:space="preserve">CHEMBL5811411</t>
  </si>
  <si>
    <t xml:space="preserve">CCOC(=O)C(CC)(CC)NC(=O)c1ccc(N2CC(OC)C2)c(OC[C@H]2C[C@@H]2COCCF)n1</t>
  </si>
  <si>
    <t xml:space="preserve">CHEMBL5744011</t>
  </si>
  <si>
    <t xml:space="preserve">CCOC(=O)C(CC)(CC)NC(=O)c1ccc(N2CC(OC)C2)c(OC[C@H]2C[C@@H]2COCF)n1</t>
  </si>
  <si>
    <t xml:space="preserve">CHEMBL3353431</t>
  </si>
  <si>
    <t xml:space="preserve">CCOC(=O)CCCn1c(=O)c(C(=O)NC2CCC(C)CC2)cc2cccnc21</t>
  </si>
  <si>
    <t xml:space="preserve">CHEMBL3114170</t>
  </si>
  <si>
    <t xml:space="preserve">CCOC(=O)CCCn1cccc(C(=O)NC2CCCCCC2)c1=O</t>
  </si>
  <si>
    <t xml:space="preserve">CHEMBL3353430</t>
  </si>
  <si>
    <t xml:space="preserve">CCOC(=O)CCn1c(=O)c(C(=O)NC2CCC(C)CC2)cc2cccnc21</t>
  </si>
  <si>
    <t xml:space="preserve">CHEMBL2441457</t>
  </si>
  <si>
    <t xml:space="preserve">CCOC(=O)CCn1c2ccccc2c2cc(C(=O)N3CCCCC3)ccc21</t>
  </si>
  <si>
    <t xml:space="preserve">CHEMBL2441476</t>
  </si>
  <si>
    <t xml:space="preserve">CCOC(=O)CCn1c2ccccc2c2cc(C(=O)N3CCN(C)CC3)ccc21</t>
  </si>
  <si>
    <t xml:space="preserve">CHEMBL3596744</t>
  </si>
  <si>
    <t xml:space="preserve">CCOC(=O)CNC(=O)/C=C/C=C/c1ccc2c(c1)OCCO2</t>
  </si>
  <si>
    <t xml:space="preserve">CHEMBL1288150</t>
  </si>
  <si>
    <t xml:space="preserve">CCOC(=O)CNC(=O)CCC(=O)/C=C/c1ccc2ccccc2c1</t>
  </si>
  <si>
    <t xml:space="preserve">CHEMBL1292717</t>
  </si>
  <si>
    <t xml:space="preserve">CHEMBL1287804</t>
  </si>
  <si>
    <t xml:space="preserve">Displacement of [3H]-CP-55940 from human recombinant CB2 receptor expressed in HEK293 cells</t>
  </si>
  <si>
    <t xml:space="preserve">CHEMBL248135</t>
  </si>
  <si>
    <t xml:space="preserve">CCOC(=O)N1CC(C)(C)CS/C1=N\c1ccccc1C(C)C</t>
  </si>
  <si>
    <t xml:space="preserve">CHEMBL6192877</t>
  </si>
  <si>
    <t xml:space="preserve">CCOC(=O)N1CCC(N[C@H]2CCCOc3c2nn(-c2ccccc2Cl)c3-c2ccc(Cl)cc2)CC1</t>
  </si>
  <si>
    <t xml:space="preserve">CHEMBL6180267</t>
  </si>
  <si>
    <t xml:space="preserve">CHEMBL6177974</t>
  </si>
  <si>
    <t xml:space="preserve">Displacement of [3H]CP-55940 from human CB2R by beta-counter analysis</t>
  </si>
  <si>
    <t xml:space="preserve">CHEMBL557921</t>
  </si>
  <si>
    <t xml:space="preserve">CCOC(=O)N1CCN(C(=O)c2cc(-c3ccccc3Cl)nn2-c2ccc(C)cc2C)CC1</t>
  </si>
  <si>
    <t xml:space="preserve">CHEMBL2436754</t>
  </si>
  <si>
    <t xml:space="preserve">CCOC(=O)NC1CCN(c2ncnc3c2nc(-c2ccccc2Cl)n3-c2ccc(Cl)cc2)CC1</t>
  </si>
  <si>
    <t xml:space="preserve">CHEMBL3909238</t>
  </si>
  <si>
    <t xml:space="preserve">CCOC(=O)c1c(NC(=O)C23CC4CC(CC(C4)C2)C3)sc2c1CCCC2</t>
  </si>
  <si>
    <t xml:space="preserve">CHEMBL3866932</t>
  </si>
  <si>
    <t xml:space="preserve">CHEMBL3865825</t>
  </si>
  <si>
    <t xml:space="preserve">Displacement of [3H]-CP-55940 from human CB2 receptor expressed in HEK293 cell membranes after 90 mins by radioligand binding assay</t>
  </si>
  <si>
    <t xml:space="preserve">CHEMBL3910349</t>
  </si>
  <si>
    <t xml:space="preserve">CCOC(=O)c1c(NC(=O)CCc2ccccc2)sc2c1CCCC2</t>
  </si>
  <si>
    <t xml:space="preserve">CHEMBL3943735</t>
  </si>
  <si>
    <t xml:space="preserve">CCOC(=O)c1c(NC(=O)c2ccc3ccccc3c2)sc2c1CCCC2</t>
  </si>
  <si>
    <t xml:space="preserve">CHEMBL3930225</t>
  </si>
  <si>
    <t xml:space="preserve">CCOC(=O)c1c(NC(=O)c2cccc3ccccc23)sc2c1CCCC2</t>
  </si>
  <si>
    <t xml:space="preserve">CHEMBL3984867</t>
  </si>
  <si>
    <t xml:space="preserve">CCOC(=O)c1c(NS(=O)(=O)c2cccc3ccccc23)sc2c1CCCC2</t>
  </si>
  <si>
    <t xml:space="preserve">CHEMBL1991218</t>
  </si>
  <si>
    <t xml:space="preserve">CCOC(=O)c1c(NS(=O)(=O)c2ccccc2)sc2c1CCCC2</t>
  </si>
  <si>
    <t xml:space="preserve">CHEMBL3892329</t>
  </si>
  <si>
    <t xml:space="preserve">CCOC(=O)c1cc(-c2ccccc2)sc1NC(=O)c1cccc2ccccc12</t>
  </si>
  <si>
    <t xml:space="preserve">CHEMBL248340</t>
  </si>
  <si>
    <t xml:space="preserve">CCOC(=S)N1CC(C)(C)CS/C1=N\c1ccccc1C(C)C</t>
  </si>
  <si>
    <t xml:space="preserve">CHEMBL2338175</t>
  </si>
  <si>
    <t xml:space="preserve">CCOC1CCN(C(=O)C23CC4CC(CC(C4)C2)C3)c2ccccc21</t>
  </si>
  <si>
    <t xml:space="preserve">CHEMBL2063242</t>
  </si>
  <si>
    <t xml:space="preserve">CCOCC(=O)NC1CCCOc2c1nn(-c1ccccc1Cl)c2-c1ccc(Cl)cc1</t>
  </si>
  <si>
    <t xml:space="preserve">CHEMBL3582027</t>
  </si>
  <si>
    <t xml:space="preserve">CCOCCOCC(C)(C)c1cc(NC(=O)c2ccc(C3CCCC3)c(OCC3CC3)n2)on1</t>
  </si>
  <si>
    <t xml:space="preserve">CHEMBL3409318</t>
  </si>
  <si>
    <t xml:space="preserve">CCOCCn1cc(C(=O)NC23CC4CC(CC(C4)C2)C3)c(=O)c2cccc(OC)c21</t>
  </si>
  <si>
    <t xml:space="preserve">CHEMBL3409321</t>
  </si>
  <si>
    <t xml:space="preserve">CHEMBL3409320</t>
  </si>
  <si>
    <t xml:space="preserve">CCOCCn1cc(C(=O)NC23CC4CC(CC(O)(C4)C2)C3)c(=O)c2cccc(OC)c21</t>
  </si>
  <si>
    <t xml:space="preserve">CHEMBL3409319</t>
  </si>
  <si>
    <t xml:space="preserve">CCOCCn1cc(C(=O)NCCc2ccccc2)c(=O)c2cccc(OC)c21</t>
  </si>
  <si>
    <t xml:space="preserve">CHEMBL3410818</t>
  </si>
  <si>
    <t xml:space="preserve">CCOc1c(OC)ccc2cc(C(=O)NCc3ccc4c(c3)OCO4)c(=O)[nH]c12</t>
  </si>
  <si>
    <t xml:space="preserve">CHEMBL527208</t>
  </si>
  <si>
    <t xml:space="preserve">CCOc1ccc(C(=O)c2nc3cc(C(=O)N(CC)CC)ccc3n2CCC(C)C)cc1</t>
  </si>
  <si>
    <t xml:space="preserve">CHEMBL2179765</t>
  </si>
  <si>
    <t xml:space="preserve">CCOc1ccc(C(NC(=O)Cc2ccccc2)NC(=O)Cc2ccccc2)cc1</t>
  </si>
  <si>
    <t xml:space="preserve">CHEMBL488816</t>
  </si>
  <si>
    <t xml:space="preserve">CCOc1ccc(C(O)c2nc3cc(C(=O)N(CC)CC)ccc3n2CCC(C)C)cc1</t>
  </si>
  <si>
    <t xml:space="preserve">CHEMBL2336554</t>
  </si>
  <si>
    <t xml:space="preserve">CCOc1ccc(CN(Cc2ccccc2)S(=O)(=O)c2ccc(C)cc2)cc1</t>
  </si>
  <si>
    <t xml:space="preserve">CHEMBL4075256</t>
  </si>
  <si>
    <t xml:space="preserve">CCOc1ccc(CNc2nc3cc(C(=O)N(CC)CC)ccc3n2CCC(C)C)cc1</t>
  </si>
  <si>
    <t xml:space="preserve">CHEMBL453842</t>
  </si>
  <si>
    <t xml:space="preserve">CCOc1ccc(Cc2nc3cc(C(=O)N(C)C4CCCCC4)ccc3n2CC2CC2)cc1</t>
  </si>
  <si>
    <t xml:space="preserve">CHEMBL3127262</t>
  </si>
  <si>
    <t xml:space="preserve">CCOc1ccc(Cc2nc3cc(C(=O)N(C)CC)ccc3n2CCC(C)C)cc1</t>
  </si>
  <si>
    <t xml:space="preserve">CHEMBL3128911</t>
  </si>
  <si>
    <t xml:space="preserve">CHEMBL3124825</t>
  </si>
  <si>
    <t xml:space="preserve">CHEMBL510854</t>
  </si>
  <si>
    <t xml:space="preserve">CCOc1ccc(Cc2nc3cc(C(=O)N(CC(F)(F)F)CC(F)(F)F)ccc3n2CC2CC2)cc1</t>
  </si>
  <si>
    <t xml:space="preserve">CHEMBL511134</t>
  </si>
  <si>
    <t xml:space="preserve">CCOc1ccc(Cc2nc3cc(C(=O)N(CC)CC)ccc3n2CC23CC4CC(CC(C4)C2)C3)cc1</t>
  </si>
  <si>
    <t xml:space="preserve">CHEMBL472157</t>
  </si>
  <si>
    <t xml:space="preserve">CCOc1ccc(Cc2nc3cc(C(=O)N(CC)CC)ccc3n2CC2CC2)cc1</t>
  </si>
  <si>
    <t xml:space="preserve">CHEMBL461920</t>
  </si>
  <si>
    <t xml:space="preserve">CCOc1ccc(Cc2nc3cc(C(=O)N(CC)CC)ccc3n2CC2CC2)cn1</t>
  </si>
  <si>
    <t xml:space="preserve">CHEMBL453843</t>
  </si>
  <si>
    <t xml:space="preserve">CCOc1ccc(Cc2nc3cc(C(=O)N(CC)CC)ccc3n2CC2CC2)nc1</t>
  </si>
  <si>
    <t xml:space="preserve">CHEMBL472506</t>
  </si>
  <si>
    <t xml:space="preserve">CCOc1ccc(Cc2nc3cc(C(=O)N(CC)CC)ccc3n2CC2CCC2)cc1</t>
  </si>
  <si>
    <t xml:space="preserve">CHEMBL471129</t>
  </si>
  <si>
    <t xml:space="preserve">CCOc1ccc(Cc2nc3cc(C(=O)N(CC)CC)ccc3n2CC2CCCC2)cc1</t>
  </si>
  <si>
    <t xml:space="preserve">CHEMBL470965</t>
  </si>
  <si>
    <t xml:space="preserve">CCOc1ccc(Cc2nc3cc(C(=O)N(CC)CC)ccc3n2CC2CCCCC2)cc1</t>
  </si>
  <si>
    <t xml:space="preserve">CHEMBL469693</t>
  </si>
  <si>
    <t xml:space="preserve">CCOc1ccc(Cc2nc3cc(C(=O)N(CC)CC)ccc3n2CC2CCNCC2)cc1</t>
  </si>
  <si>
    <t xml:space="preserve">CHEMBL471374</t>
  </si>
  <si>
    <t xml:space="preserve">CCOc1ccc(Cc2nc3cc(C(=O)N(CC)CC)ccc3n2CC2CCOCC2)cc1</t>
  </si>
  <si>
    <t xml:space="preserve">CHEMBL471980</t>
  </si>
  <si>
    <t xml:space="preserve">CCOc1ccc(Cc2nc3cc(C(=O)N(CC)CC)ccc3n2CCC(C)C)cc1</t>
  </si>
  <si>
    <t xml:space="preserve">CHEMBL4082785</t>
  </si>
  <si>
    <t xml:space="preserve">CCOc1ccc(Cc2nc3cc(C(=O)N(CC)CC)ccc3n2CCCCCCN2CCCCC2)cc1</t>
  </si>
  <si>
    <t xml:space="preserve">CHEMBL4456083</t>
  </si>
  <si>
    <t xml:space="preserve">CCOc1ccc(Cc2nc3cc(C(=O)N(CC)CC)ccc3n2CCCCCCNc2c3c(nc4ccccc24)CCCC3)cc1</t>
  </si>
  <si>
    <t xml:space="preserve">CHEMBL4356276</t>
  </si>
  <si>
    <t xml:space="preserve">CHEMBL4354814</t>
  </si>
  <si>
    <t xml:space="preserve">Displacement of [3H]-CP55940 from human recombinant cannabinoid CB2 receptor expressed in human HEK cells by radioligand binding assay</t>
  </si>
  <si>
    <t xml:space="preserve">CHEMBL4583716</t>
  </si>
  <si>
    <t xml:space="preserve">CCOc1ccc(Cc2nc3cc(C(=O)N(CC)CC)ccc3n2CCCCCNc2c3c(nc4ccccc24)CCCC3)cc1</t>
  </si>
  <si>
    <t xml:space="preserve">CHEMBL4085482</t>
  </si>
  <si>
    <t xml:space="preserve">CCOc1ccc(Cc2nc3cc(C(=O)N(CC)CC)ccc3n2CCCCN2CCCCC2)cc1</t>
  </si>
  <si>
    <t xml:space="preserve">CHEMBL4473438</t>
  </si>
  <si>
    <t xml:space="preserve">CCOc1ccc(Cc2nc3cc(C(=O)N(CC)CC)ccc3n2CCCCNc2c3c(nc4ccccc24)CCCC3)cc1</t>
  </si>
  <si>
    <t xml:space="preserve">CHEMBL4458929</t>
  </si>
  <si>
    <t xml:space="preserve">CCOc1ccc(Cc2nc3cc(C(=O)N(CC)CC)ccc3n2CCCNc2c3c(nc4ccccc24)CCCC3)cc1</t>
  </si>
  <si>
    <t xml:space="preserve">CHEMBL458143</t>
  </si>
  <si>
    <t xml:space="preserve">CCOc1ccc(Cc2nc3cc(C(=O)N(CC)CC)ccc3n2CCN(C)C)cc1</t>
  </si>
  <si>
    <t xml:space="preserve">CHEMBL4082936</t>
  </si>
  <si>
    <t xml:space="preserve">CCOc1ccc(Cc2nc3cc(C(=O)N(CC)CC)ccc3n2CCN2CCCCC2)cc1</t>
  </si>
  <si>
    <t xml:space="preserve">CHEMBL4458217</t>
  </si>
  <si>
    <t xml:space="preserve">CCOc1ccc(Cc2nc3cc(C(=O)N(CC)CC)ccc3n2CCNc2c3c(nc4ccccc24)CCCC3)cc1</t>
  </si>
  <si>
    <t xml:space="preserve">CHEMBL4456433</t>
  </si>
  <si>
    <t xml:space="preserve">CCOc1ccc(Cc2nc3cc(C(=O)N(CC)CC)ccc3n2CCOCCOCCNc2c3c(nc4ccccc24)CCCC3)cc1</t>
  </si>
  <si>
    <t xml:space="preserve">CHEMBL486440</t>
  </si>
  <si>
    <t xml:space="preserve">CCOc1ccc(Cc2nc3cc(C(=O)N(CC)CC)ccc3n2C[C@@H]2CCCCN2)cc1</t>
  </si>
  <si>
    <t xml:space="preserve">CHEMBL519592</t>
  </si>
  <si>
    <t xml:space="preserve">CCOc1ccc(Cc2nc3cc(C(=O)N(CC)CC)ccc3n2C[C@@H]2CCCN2C)cc1</t>
  </si>
  <si>
    <t xml:space="preserve">CHEMBL471558</t>
  </si>
  <si>
    <t xml:space="preserve">CCOc1ccc(Cc2nc3cc(C(=O)N(CC)CC)ccc3n2C[C@@H]2CCCO2)cc1</t>
  </si>
  <si>
    <t xml:space="preserve">CHEMBL487456</t>
  </si>
  <si>
    <t xml:space="preserve">CCOc1ccc(Cc2nc3cc(C(=O)N(CC)CC)ccc3n2C[C@H]2CCCCN2)cc1</t>
  </si>
  <si>
    <t xml:space="preserve">CHEMBL488310</t>
  </si>
  <si>
    <t xml:space="preserve">CCOc1ccc(Cc2nc3cc(C(=O)N(CC)CC)ccc3n2C[C@H]2CCCCN2C)cc1</t>
  </si>
  <si>
    <t xml:space="preserve">CHEMBL512886</t>
  </si>
  <si>
    <t xml:space="preserve">CCOc1ccc(Cc2nc3cc(C(=O)N(CC)CC)ccc3n2C[C@H]2CCCO2)cc1</t>
  </si>
  <si>
    <t xml:space="preserve">CHEMBL471984</t>
  </si>
  <si>
    <t xml:space="preserve">CCOc1ccc(Cc2nc3cc(C(=O)N(CC)CC)ccc3n2Cc2cc[n+]([O-])cc2)cc1</t>
  </si>
  <si>
    <t xml:space="preserve">CHEMBL471992</t>
  </si>
  <si>
    <t xml:space="preserve">CCOc1ccc(Cc2nc3cc(C(=O)N(CC)CC)ccc3n2Cc2ccccc2)cc1</t>
  </si>
  <si>
    <t xml:space="preserve">CHEMBL472165</t>
  </si>
  <si>
    <t xml:space="preserve">CCOc1ccc(Cc2nc3cc(C(=O)N(CC)CC)ccc3n2Cc2ccccn2)cc1</t>
  </si>
  <si>
    <t xml:space="preserve">CHEMBL472121</t>
  </si>
  <si>
    <t xml:space="preserve">CCOc1ccc(Cc2nc3cc(C(=O)N(CC)CC)ccc3n2Cc2ccco2)cc1</t>
  </si>
  <si>
    <t xml:space="preserve">CHEMBL512906</t>
  </si>
  <si>
    <t xml:space="preserve">CCOc1ccc(Cc2nc3cc(C(=O)N(CC)CC)ccc3n2Cc2ccncc2)cc1</t>
  </si>
  <si>
    <t xml:space="preserve">CHEMBL4545532</t>
  </si>
  <si>
    <t xml:space="preserve">CCOc1ccc(Cc2nc3cc(C(=O)N(CC)CCCCNc4c5c(nc6ccccc46)CCCC5)ccc3n2CCC(C)C)cc1</t>
  </si>
  <si>
    <t xml:space="preserve">CHEMBL454864</t>
  </si>
  <si>
    <t xml:space="preserve">CCOc1ccc(Cc2nc3cc(C(=O)N4CCCC4)ccc3n2CC2CC2)cc1</t>
  </si>
  <si>
    <t xml:space="preserve">CHEMBL453844</t>
  </si>
  <si>
    <t xml:space="preserve">CCOc1ccc(Cc2nc3cc(C(=O)N4CCCCC4)ccc3n2CC2CC2)cc1</t>
  </si>
  <si>
    <t xml:space="preserve">CHEMBL4104311</t>
  </si>
  <si>
    <t xml:space="preserve">CCOc1ccc(Cc2nc3cc(C(=O)N4CCCCC4)ccc3n2CCC(C)C)cc1</t>
  </si>
  <si>
    <t xml:space="preserve">CHEMBL4063907</t>
  </si>
  <si>
    <t xml:space="preserve">CCOc1ccc(Cc2nc3cc(C(=O)NC45CC6CC(CC(C6)C4)C5)ccc3n2CCC(C)C)cc1</t>
  </si>
  <si>
    <t xml:space="preserve">CHEMBL4061358</t>
  </si>
  <si>
    <t xml:space="preserve">CCOc1ccc(Cc2nc3cc(C(=O)NCCC(C)C)ccc3n2CCC(C)C)cc1</t>
  </si>
  <si>
    <t xml:space="preserve">CHEMBL4558335</t>
  </si>
  <si>
    <t xml:space="preserve">CCOc1ccc(Cc2nc3cc(C(=O)NCCCCCCNc4c5c(nc6ccccc46)CCCC5)ccc3n2CCC(C)C)cc1</t>
  </si>
  <si>
    <t xml:space="preserve">CHEMBL4453905</t>
  </si>
  <si>
    <t xml:space="preserve">CCOc1ccc(Cc2nc3cc(C(=O)NCCCCCNc4c5c(nc6ccccc46)CCCC5)ccc3n2CCC(C)C)cc1</t>
  </si>
  <si>
    <t xml:space="preserve">CHEMBL4464883</t>
  </si>
  <si>
    <t xml:space="preserve">CCOc1ccc(Cc2nc3cc(C(=O)NCCCCNc4c5c(nc6ccccc46)CCCC5)ccc3n2CCC(C)C)cc1</t>
  </si>
  <si>
    <t xml:space="preserve">CHEMBL4441666</t>
  </si>
  <si>
    <t xml:space="preserve">CCOc1ccc(Cc2nc3cc(C(=O)NCCCNc4c5c(nc6ccccc46)CCCC5)ccc3n2CCC(C)C)cc1</t>
  </si>
  <si>
    <t xml:space="preserve">CHEMBL4588547</t>
  </si>
  <si>
    <t xml:space="preserve">CCOc1ccc(Cc2nc3cc(C(=O)NCCNc4c5c(nc6ccccc46)CCCC5)ccc3n2CCC(C)C)cc1</t>
  </si>
  <si>
    <t xml:space="preserve">CHEMBL4555887</t>
  </si>
  <si>
    <t xml:space="preserve">CCOc1ccc(Cc2nc3cc(C(=O)NCCOCCOCCNc4c5c(nc6ccccc46)CCCC5)ccc3n2CCC(C)C)cc1</t>
  </si>
  <si>
    <t xml:space="preserve">CHEMBL4447210</t>
  </si>
  <si>
    <t xml:space="preserve">CCOc1ccc(Cc2nc3cc(C(=O)NCCSSCCNc4c5c(nc6ccccc46)CCCC5)ccc3n2CCC(C)C)cc1</t>
  </si>
  <si>
    <t xml:space="preserve">CHEMBL4076334</t>
  </si>
  <si>
    <t xml:space="preserve">CCOc1ccc(Cc2nc3cc(C(=O)Nc4ccccc4)ccc3n2CCC(C)C)cc1</t>
  </si>
  <si>
    <t xml:space="preserve">CHEMBL4468889</t>
  </si>
  <si>
    <t xml:space="preserve">CCOc1ccc(Cc2nc3cc(C(C)=O)ccc3n2CCN(CC)CC)cc1</t>
  </si>
  <si>
    <t xml:space="preserve">CHEMBL4516385</t>
  </si>
  <si>
    <t xml:space="preserve">CCOc1ccc(Cc2nc3cc(C(F)(F)F)ccc3n2CCN(CC)CC)cc1</t>
  </si>
  <si>
    <t xml:space="preserve">CHEMBL517283</t>
  </si>
  <si>
    <t xml:space="preserve">CCOc1ccc(Cc2nc3cc(N(C)C(=O)CC(C)C)ccc3n2CC2CC2)cc1</t>
  </si>
  <si>
    <t xml:space="preserve">CHEMBL462329</t>
  </si>
  <si>
    <t xml:space="preserve">CCOc1ccc(Cc2nc3cc(N(C)C(=O)N(C)C)ccc3n2CC2CC2)cc1</t>
  </si>
  <si>
    <t xml:space="preserve">CHEMBL462330</t>
  </si>
  <si>
    <t xml:space="preserve">CCOc1ccc(Cc2nc3cc(N(C)C(=O)N(CC)CC)ccc3n2CC2CC2)cc1</t>
  </si>
  <si>
    <t xml:space="preserve">CHEMBL458142</t>
  </si>
  <si>
    <t xml:space="preserve">CCOc1ccc(Cc2nc3cc(N(C)C(=O)N4CCCCC4)ccc3n2CC2CC2)cc1</t>
  </si>
  <si>
    <t xml:space="preserve">CHEMBL462533</t>
  </si>
  <si>
    <t xml:space="preserve">CCOc1ccc(Cc2nc3cc(N(C)C(=O)NC(C)C)ccc3n2CC2CC2)cc1</t>
  </si>
  <si>
    <t xml:space="preserve">CHEMBL518206</t>
  </si>
  <si>
    <t xml:space="preserve">CCOc1ccc(Cc2nc3cc(N(C)C(=O)c4cccs4)ccc3n2CC2CC2)cc1</t>
  </si>
  <si>
    <t xml:space="preserve">CHEMBL461921</t>
  </si>
  <si>
    <t xml:space="preserve">CCOc1ccc(Cc2nc3cc(N(C)C(C)=O)ccc3n2CC2CC2)cc1</t>
  </si>
  <si>
    <t xml:space="preserve">CHEMBL1950329</t>
  </si>
  <si>
    <t xml:space="preserve">CCOc1ccc(Cc2nc3cc(N(C)S(=O)(=O)c4cccs4)ccc3n2CC2CCCCC2)nc1</t>
  </si>
  <si>
    <t xml:space="preserve">CHEMBL4070526</t>
  </si>
  <si>
    <t xml:space="preserve">CCOc1ccc(Cc2nc3cc(N)ccc3n2CCC(C)C)cc1</t>
  </si>
  <si>
    <t xml:space="preserve">CHEMBL4099175</t>
  </si>
  <si>
    <t xml:space="preserve">CCOc1ccc(Cc2nc3cc(NC(=O)c4ccccc4)ccc3n2CCC(C)C)cc1</t>
  </si>
  <si>
    <t xml:space="preserve">CHEMBL462119</t>
  </si>
  <si>
    <t xml:space="preserve">CCOc1ccc(Cc2nc3cc(NC)ccc3n2CC2CC2)cc1</t>
  </si>
  <si>
    <t xml:space="preserve">CHEMBL4104374</t>
  </si>
  <si>
    <t xml:space="preserve">CCOc1ccc(Cc2nc3cc([N+](=O)[O-])ccc3n2CCC(C)C)cc1</t>
  </si>
  <si>
    <t xml:space="preserve">CHEMBL4079520</t>
  </si>
  <si>
    <t xml:space="preserve">CCOc1ccc(Nc2nc3cc(C(=O)N(CC)CC)ccc3n2CCC(C)C)cc1</t>
  </si>
  <si>
    <t xml:space="preserve">CHEMBL4095946</t>
  </si>
  <si>
    <t xml:space="preserve">CCOc1ccc(Nc2nc3cc(C(=O)N(CC)CC)ccc3n2CCN2CCCCC2)cc1</t>
  </si>
  <si>
    <t xml:space="preserve">CHEMBL396153</t>
  </si>
  <si>
    <t xml:space="preserve">CCOc1ccccc1/N=C1\SCC(C)(C)CN1C(=S)SC</t>
  </si>
  <si>
    <t xml:space="preserve">CHEMBL232130</t>
  </si>
  <si>
    <t xml:space="preserve">CCOc1ccccc1/N=C1\SCC2(CCCCC2)CN1C(=S)SC</t>
  </si>
  <si>
    <t xml:space="preserve">CHEMBL257713</t>
  </si>
  <si>
    <t xml:space="preserve">CCOc1ccccc1CNC(=O)c1oc2ccc(S(=O)(=O)N3CC(C)CC(C)C3)cc2c1C</t>
  </si>
  <si>
    <t xml:space="preserve">CHEMBL3758753</t>
  </si>
  <si>
    <t xml:space="preserve">CCS(=O)(=O)N1CCC(NC(=O)c2nn(-c3ccc(Cl)cc3Cl)c(-c3ccc(Cl)cc3)c2C)CC1</t>
  </si>
  <si>
    <t xml:space="preserve">CHEMBL4245455</t>
  </si>
  <si>
    <t xml:space="preserve">CCS(=O)(=O)N1CCN(c2ncnc3c2nc(-c2ccccc2Cl)n3-c2ccc(Cl)cc2)CC1</t>
  </si>
  <si>
    <t xml:space="preserve">CHEMBL3596755</t>
  </si>
  <si>
    <t xml:space="preserve">CCS(=O)(=O)NCCCCCSc1ccc2ccccc2c1</t>
  </si>
  <si>
    <t xml:space="preserve">CHEMBL4550236</t>
  </si>
  <si>
    <t xml:space="preserve">CCS(=O)(=O)Nc1ccc2c(c1)nc(C(C)(C)C)n2CC1CCC(F)(F)CC1</t>
  </si>
  <si>
    <t xml:space="preserve">CHEMBL249786</t>
  </si>
  <si>
    <t xml:space="preserve">CCS(=O)(=O)n1c2c(c3cc(C(=O)N(C)C(C)C)ccc31)CN(C1CCCC1)C2</t>
  </si>
  <si>
    <t xml:space="preserve">CHEMBL249992</t>
  </si>
  <si>
    <t xml:space="preserve">CCS(=O)(=O)n1c2c(c3cc(C(=O)N(C)CCC(C)C)ccc31)CN(C1CCCC1)C2</t>
  </si>
  <si>
    <t xml:space="preserve">CHEMBL250609</t>
  </si>
  <si>
    <t xml:space="preserve">CCS(=O)(=O)n1c2c(c3cc(C(=O)N4CCC(C)CC4)ccc31)CN(C(C)C)C2</t>
  </si>
  <si>
    <t xml:space="preserve">CHEMBL249025</t>
  </si>
  <si>
    <t xml:space="preserve">CCS(=O)(=O)n1c2c(c3cc(C(=O)N4CCC(C)CC4)ccc31)CN(C1CCCC1)C2</t>
  </si>
  <si>
    <t xml:space="preserve">CHEMBL250607</t>
  </si>
  <si>
    <t xml:space="preserve">CCS(=O)(=O)n1c2c(c3cc(C(=O)N4CCC(C)CC4)ccc31)CN(C1CCCCO1)C2</t>
  </si>
  <si>
    <t xml:space="preserve">CHEMBL399346</t>
  </si>
  <si>
    <t xml:space="preserve">CCS(=O)(=O)n1c2c(c3cc(C(=O)N4CCC(C)CC4)ccc31)CN(C1CCOC1)C2</t>
  </si>
  <si>
    <t xml:space="preserve">CHEMBL250194</t>
  </si>
  <si>
    <t xml:space="preserve">CCS(=O)(=O)n1c2c(c3cc(C(=O)N4CCC(C)CC4)ccc31)CN(C1CCOCC1)C2</t>
  </si>
  <si>
    <t xml:space="preserve">CHEMBL1950351</t>
  </si>
  <si>
    <t xml:space="preserve">CCS(=O)(=O)n1c2c(c3cc(C(=O)N4CCC(C)CC4)ccc31)CN(C1CCOCC1)CC2</t>
  </si>
  <si>
    <t xml:space="preserve">CHEMBL250809</t>
  </si>
  <si>
    <t xml:space="preserve">CCS(=O)(=O)n1c2c(c3cc(C(=O)N4CCC(C)CC4)ccc31)CN(CC1CC1)C2</t>
  </si>
  <si>
    <t xml:space="preserve">CHEMBL250810</t>
  </si>
  <si>
    <t xml:space="preserve">CCS(=O)(=O)n1c2c(c3cc(C(=O)N4CCC(C)CC4)ccc31)CN(CC1CCCCC1)C2</t>
  </si>
  <si>
    <t xml:space="preserve">CHEMBL251003</t>
  </si>
  <si>
    <t xml:space="preserve">CCS(=O)(=O)n1c2c(c3cc(C(=O)N4CCC(C)CC4)ccc31)CN(CCC1CCCCC1)C2</t>
  </si>
  <si>
    <t xml:space="preserve">CHEMBL251004</t>
  </si>
  <si>
    <t xml:space="preserve">CCS(=O)(=O)n1c2c(c3cc(C(=O)N4CCC(C)CC4)ccc31)CN(Cc1ccccc1)C2</t>
  </si>
  <si>
    <t xml:space="preserve">CHEMBL399316</t>
  </si>
  <si>
    <t xml:space="preserve">CCS(=O)(=O)n1c2c(c3cc(C(=O)N4CCC(F)CC4)ccc31)CN(C1CCCC1)C2</t>
  </si>
  <si>
    <t xml:space="preserve">CHEMBL399948</t>
  </si>
  <si>
    <t xml:space="preserve">CCS(=O)(=O)n1c2c(c3cc(C(=O)N4CCC(OC)CC4)ccc31)CN(C1CCCC1)C2</t>
  </si>
  <si>
    <t xml:space="preserve">CHEMBL250493</t>
  </si>
  <si>
    <t xml:space="preserve">CCS(=O)(=O)n1c2c(c3cc(C(=O)N4CCCCC4)ccc31)CN(C1CCCC1)C2</t>
  </si>
  <si>
    <t xml:space="preserve">CHEMBL249383</t>
  </si>
  <si>
    <t xml:space="preserve">CCS(=O)(=O)n1c2c(c3cc(C(=O)N4CCOCC4)ccc31)CN(C1CCCC1)C2</t>
  </si>
  <si>
    <t xml:space="preserve">CHEMBL248137</t>
  </si>
  <si>
    <t xml:space="preserve">CCSC(=O)N1CC(C)(C)CS/C1=N\c1ccccc1C(C)C</t>
  </si>
  <si>
    <t xml:space="preserve">CHEMBL392416</t>
  </si>
  <si>
    <t xml:space="preserve">CCSC(=S)N1CC(C)(C)CS/C1=N\c1ccccc1C(C)C</t>
  </si>
  <si>
    <t xml:space="preserve">CHEMBL2163579</t>
  </si>
  <si>
    <t xml:space="preserve">CC[C@@H]1COc2cccc3c(=O)c(C(=O)NC45CC6CC(CC(C6)C4)C5)cn1c23</t>
  </si>
  <si>
    <t xml:space="preserve">CHEMBL2163577</t>
  </si>
  <si>
    <t xml:space="preserve">CC[C@@H]1COc2cccc3c(=O)c(C(=O)NC4CCCCCC4)cn1c23</t>
  </si>
  <si>
    <t xml:space="preserve">CHEMBL495391</t>
  </si>
  <si>
    <t xml:space="preserve">CC[C@H](C)[C@H](NC(=O)n1c(=O)n(CCN2CCOCC2)c2ccccc21)C(N)=O</t>
  </si>
  <si>
    <t xml:space="preserve">CHEMBL584738</t>
  </si>
  <si>
    <t xml:space="preserve">CC[C@H]1CC[C@H](C(=O)c2cn(CCN3CCOCC3)c3ccccc23)CC1</t>
  </si>
  <si>
    <t xml:space="preserve">CHEMBL2163580</t>
  </si>
  <si>
    <t xml:space="preserve">CC[C@H]1COc2cccc3c(=O)c(C(=O)NC45CC6CC(CC(C6)C4)C5)cn1c23</t>
  </si>
  <si>
    <t xml:space="preserve">CHEMBL2163578</t>
  </si>
  <si>
    <t xml:space="preserve">CC[C@H]1COc2cccc3c(=O)c(C(=O)NC4CCCCCC4)cn1c23</t>
  </si>
  <si>
    <t xml:space="preserve">CHEMBL5187789</t>
  </si>
  <si>
    <t xml:space="preserve">CC[Si](C)(C)c1cc(O)c2c(c1)OC(C)(C)[C@@H]1CCC(C)=C[C@@H]21</t>
  </si>
  <si>
    <t xml:space="preserve">CHEMBL3897733</t>
  </si>
  <si>
    <t xml:space="preserve">CCc1c(C(=O)NC(C)c2ccccc2)cc(C)n1-c1ccccc1</t>
  </si>
  <si>
    <t xml:space="preserve">CHEMBL3962080</t>
  </si>
  <si>
    <t xml:space="preserve">CCc1c(C(=O)NC23CC4CC(CC(C4)C2)C3)cc(C)n1-c1ccccc1</t>
  </si>
  <si>
    <t xml:space="preserve">CHEMBL600683</t>
  </si>
  <si>
    <t xml:space="preserve">CCc1c(C(=O)NC23CC4CC(CC(C4)C2)C3)nc(C)n1-c1ccccc1</t>
  </si>
  <si>
    <t xml:space="preserve">CHEMBL304043</t>
  </si>
  <si>
    <t xml:space="preserve">CCc1c(C(=O)NC2C(C)(C)[C@@H]3CC[C@@]2(C)C3)c2cccc(OC)c2n1CCN1CCOCC1</t>
  </si>
  <si>
    <t xml:space="preserve">CHEMBL659748</t>
  </si>
  <si>
    <t xml:space="preserve">CHEMBL1144952</t>
  </si>
  <si>
    <t xml:space="preserve">Binding affinity against human cannabinoid receptor 2 in chinese hamster ovary cells using WIN-55212-2 mesylate[57-3H]</t>
  </si>
  <si>
    <t xml:space="preserve">CHEMBL3906742</t>
  </si>
  <si>
    <t xml:space="preserve">CCc1c(C(=O)NC2CCCCC2)cc(C)n1-c1ccccc1</t>
  </si>
  <si>
    <t xml:space="preserve">CHEMBL1909957</t>
  </si>
  <si>
    <t xml:space="preserve">CCc1c(C(=O)NC2CCCCC2)nn(-c2ccc(Cl)c(Cl)c2)c1-n1c(C)ccc1C</t>
  </si>
  <si>
    <t xml:space="preserve">CHEMBL1912501</t>
  </si>
  <si>
    <t xml:space="preserve">CHEMBL1909537</t>
  </si>
  <si>
    <t xml:space="preserve">Displacement of [3H]CP-55,940 from recombinant human CB2 receptor expressed in HEK cells</t>
  </si>
  <si>
    <t xml:space="preserve">CHEMBL1909860</t>
  </si>
  <si>
    <t xml:space="preserve">CCc1c(C(=O)NC2CCCCC2)nn(-c2ccc(Cl)c(Cl)c2)c1-n1cccc1</t>
  </si>
  <si>
    <t xml:space="preserve">CHEMBL1909852</t>
  </si>
  <si>
    <t xml:space="preserve">CCc1c(C(=O)NC2CCCCC2)nn(-c2ccc(Cl)cc2Cl)c1-n1c(C)ccc1C</t>
  </si>
  <si>
    <t xml:space="preserve">CHEMBL1909850</t>
  </si>
  <si>
    <t xml:space="preserve">CCc1c(C(=O)NC2CCCCC2)nn(-c2ccc(Cl)cc2Cl)c1-n1cccc1</t>
  </si>
  <si>
    <t xml:space="preserve">CHEMBL3935661</t>
  </si>
  <si>
    <t xml:space="preserve">CCc1c(C(=O)NCCc2ccccc2)cc(C)n1-c1ccccc1</t>
  </si>
  <si>
    <t xml:space="preserve">CHEMBL1909861</t>
  </si>
  <si>
    <t xml:space="preserve">CCc1c(C(=O)NCc2ccc(Cl)c(Cl)c2)nn(-c2ccc(Cl)c(Cl)c2)c1-n1c(C)ccc1C</t>
  </si>
  <si>
    <t xml:space="preserve">CHEMBL1909859</t>
  </si>
  <si>
    <t xml:space="preserve">CCc1c(C(=O)NCc2ccc(Cl)c(Cl)c2)nn(-c2ccc(Cl)c(Cl)c2)c1-n1cccc1</t>
  </si>
  <si>
    <t xml:space="preserve">CHEMBL1909851</t>
  </si>
  <si>
    <t xml:space="preserve">CCc1c(C(=O)NCc2ccc(Cl)c(Cl)c2)nn(-c2ccc(Cl)cc2Cl)c1-n1c(C)ccc1C</t>
  </si>
  <si>
    <t xml:space="preserve">CHEMBL1909849</t>
  </si>
  <si>
    <t xml:space="preserve">CCc1c(C(=O)NCc2ccc(Cl)c(Cl)c2)nn(-c2ccc(Cl)cc2Cl)c1-n1cccc1</t>
  </si>
  <si>
    <t xml:space="preserve">CHEMBL426585</t>
  </si>
  <si>
    <t xml:space="preserve">CCc1c(C(=O)NN2CCCCC2)nc(-c2ccc(Cl)cc2Cl)n1-c1ccc(Cl)cc1</t>
  </si>
  <si>
    <t xml:space="preserve">CHEMBL189676</t>
  </si>
  <si>
    <t xml:space="preserve">CCc1c(C(=O)NN2CCCCC2)nn(-c2ccc(Cl)cc2Cl)c1-c1ccc(Br)cc1</t>
  </si>
  <si>
    <t xml:space="preserve">CHEMBL829667</t>
  </si>
  <si>
    <t xml:space="preserve">CHEMBL1140350</t>
  </si>
  <si>
    <t xml:space="preserve">Inhibition of [3H]CP-55940 binding to human cannabinoid receptor 2</t>
  </si>
  <si>
    <t xml:space="preserve">CHEMBL231118</t>
  </si>
  <si>
    <t xml:space="preserve">CCc1c(C(=O)N[C@H]2CCCC[C@@H]2O)nc(-c2ccccc2Cl)n1-c1ccc(Br)cc1</t>
  </si>
  <si>
    <t xml:space="preserve">CHEMBL230800</t>
  </si>
  <si>
    <t xml:space="preserve">CCc1c(C(=O)N[C@H]2CCCC[C@@H]2O)nc(-c2ccccc2Cl)n1-c1ccc(Cl)cc1</t>
  </si>
  <si>
    <t xml:space="preserve">CHEMBL3953330</t>
  </si>
  <si>
    <t xml:space="preserve">CCc1c(C(=O)Nc2ccc3ccccc3c2)cc(C)n1-c1ccccc1</t>
  </si>
  <si>
    <t xml:space="preserve">CHEMBL3981080</t>
  </si>
  <si>
    <t xml:space="preserve">CCc1c(C(=O)Nc2cccc3ccccc23)cc(C)n1-c1ccccc1</t>
  </si>
  <si>
    <t xml:space="preserve">CHEMBL2019090</t>
  </si>
  <si>
    <t xml:space="preserve">CCc1c(C)cc(C(=O)NC2(C(=O)O)CCCCC2)c(=O)n1Cc1ccc(F)cc1</t>
  </si>
  <si>
    <t xml:space="preserve">CHEMBL2349625</t>
  </si>
  <si>
    <t xml:space="preserve">CCc1c(C)sc(NC(=O)C23CC4CC(CC(C4)C2)C3)c1C(=O)OC</t>
  </si>
  <si>
    <t xml:space="preserve">CHEMBL2349633</t>
  </si>
  <si>
    <t xml:space="preserve">CCc1c(C)sc(NC(=O)c2ccc(Cl)cc2)c1C(=O)OC</t>
  </si>
  <si>
    <t xml:space="preserve">CHEMBL4464850</t>
  </si>
  <si>
    <t xml:space="preserve">CCc1c(C)sc(NC(=O)c2ccc(F)cc2)c1C(=O)OC</t>
  </si>
  <si>
    <t xml:space="preserve">CHEMBL3329479</t>
  </si>
  <si>
    <t xml:space="preserve">CCc1cc2c(cc1O)OC1=C(CC[C@@H](C)C1)C2(C)C</t>
  </si>
  <si>
    <t xml:space="preserve">CHEMBL4483714</t>
  </si>
  <si>
    <t xml:space="preserve">CCc1ccc(/C=C2\C=C(CCN3CCOCC3)c3ccccc32)c2ccccc12</t>
  </si>
  <si>
    <t xml:space="preserve">CHEMBL392842</t>
  </si>
  <si>
    <t xml:space="preserve">CCc1ccc(/N=C2\SCC3(CCCCC3)CN2C(=S)SC)cc1</t>
  </si>
  <si>
    <t xml:space="preserve">CHEMBL3605040</t>
  </si>
  <si>
    <t xml:space="preserve">CCc1ccc(C(=O)c2cc(O)c(-c3cc(Cl)cc(Cl)c3)c(O)c2)cc1</t>
  </si>
  <si>
    <t xml:space="preserve">CHEMBL471297</t>
  </si>
  <si>
    <t xml:space="preserve">CCc1ccc(C(C)(C)c2cc(O)c3c(c2)OC(C)(C)[C@@H]2CC=C(C)C[C@@H]32)cc1</t>
  </si>
  <si>
    <t xml:space="preserve">CHEMBL1909854</t>
  </si>
  <si>
    <t xml:space="preserve">CCc1ccc(CC)n1-c1c(C)c(C(=O)NC2CCCCC2)nn1-c1ccc(Cl)c(Cl)c1</t>
  </si>
  <si>
    <t xml:space="preserve">CHEMBL3605041</t>
  </si>
  <si>
    <t xml:space="preserve">CCc1cccc(C(=O)c2cc(O)c(-c3cc(Cl)cc(Cl)c3)c(O)c2)c1</t>
  </si>
  <si>
    <t xml:space="preserve">CHEMBL3092889</t>
  </si>
  <si>
    <t xml:space="preserve">CCc1ccccc1-c1nc2c(N3CCN(C)CC3)nc(C)nc2n1C1CCOCC1</t>
  </si>
  <si>
    <t xml:space="preserve">CHEMBL245909</t>
  </si>
  <si>
    <t xml:space="preserve">CCc1ccccc1/N=C1\SCC(C)(C)CN1C(=S)SC</t>
  </si>
  <si>
    <t xml:space="preserve">CHEMBL496781</t>
  </si>
  <si>
    <t xml:space="preserve">CCc1ccccc1NC(=O)CSc1nnc(-c2ccccc2OC)n1-c1ccccc1</t>
  </si>
  <si>
    <t xml:space="preserve">CHEMBL570792</t>
  </si>
  <si>
    <t xml:space="preserve">CCc1cnc(NC(=O)C(C)(C)CC)cc1CN1CCOCC1</t>
  </si>
  <si>
    <t xml:space="preserve">CHEMBL599882</t>
  </si>
  <si>
    <t xml:space="preserve">CCc1nc(C(=O)NC23CC4CC(CC(C4)C2)C3)c(C)n1-c1ccccc1</t>
  </si>
  <si>
    <t xml:space="preserve">CHEMBL604120</t>
  </si>
  <si>
    <t xml:space="preserve">CCc1nc(C(=O)NC23CC4CC(CC(C4)C2)C3)cn1-c1ccccc1</t>
  </si>
  <si>
    <t xml:space="preserve">CHEMBL4476681</t>
  </si>
  <si>
    <t xml:space="preserve">CCc1sc(NC(=O)C23CC4CC(CC(C4)C2)C3)c(C(=O)OC)c1C</t>
  </si>
  <si>
    <t xml:space="preserve">CHEMBL3935866</t>
  </si>
  <si>
    <t xml:space="preserve">CCc1sc2ccccc2c1C(=O)c1ccc(OC)cc1</t>
  </si>
  <si>
    <t xml:space="preserve">CHEMBL3917967</t>
  </si>
  <si>
    <t xml:space="preserve">CCc1sc2ccccc2c1C(=O)c1cccc2ccccc12</t>
  </si>
  <si>
    <t xml:space="preserve">CHEMBL2348064</t>
  </si>
  <si>
    <t xml:space="preserve">CCn1c(C)c(C)cc(Oc2nc3ccccc3o2)c1=S</t>
  </si>
  <si>
    <t xml:space="preserve">CHEMBL499324</t>
  </si>
  <si>
    <t xml:space="preserve">CCn1c2ccccc2c2cc(NC(=O)CCc3nc(-c4ccc(F)cc4C#N)no3)ccc21</t>
  </si>
  <si>
    <t xml:space="preserve">CHEMBL3097433</t>
  </si>
  <si>
    <t xml:space="preserve">Displacement of [3H]CP-55,940 from human recombinant cannabinoid CB2 receptor expressed in CHO cells</t>
  </si>
  <si>
    <t xml:space="preserve">CHEMBL1641939</t>
  </si>
  <si>
    <t xml:space="preserve">CCn1cc(C(=O)NC(C)C23CC4CC(CC(C4)C2)C3)c(=O)cc1-c1ccccc1</t>
  </si>
  <si>
    <t xml:space="preserve">CHEMBL2152800</t>
  </si>
  <si>
    <t xml:space="preserve">CCn1cc(C(=O)N[C@@H]2C(C)(C)C3CC[C@]2(C)C3)c(=O)c2ccc(F)cc21</t>
  </si>
  <si>
    <t xml:space="preserve">CHEMBL2152810</t>
  </si>
  <si>
    <t xml:space="preserve">CCn1cc(C(=O)N[C@@H]2C(C)(C)C3CC[C@]2(C)C3)c(=O)c2ccc(Sc3ccccc3)cc21</t>
  </si>
  <si>
    <t xml:space="preserve">CHEMBL2087092</t>
  </si>
  <si>
    <t xml:space="preserve">CCn1cc(CC(=O)NC23CC4CC(CC(C4)C2)C3)c2cc(-c3ccccc3)ccc21</t>
  </si>
  <si>
    <t xml:space="preserve">CHEMBL522675</t>
  </si>
  <si>
    <t xml:space="preserve">CN(C)C(=O)[C@@H](NC(=O)n1c(=O)n(CCN2CCOCC2)c2ccccc21)C(C)(C)C</t>
  </si>
  <si>
    <t xml:space="preserve">CHEMBL3581228</t>
  </si>
  <si>
    <t xml:space="preserve">CN(C)C1(c2nc(-c3cc(C(C)(C)C)c(O)c(C(C)(C)C)c3)co2)CCOCC1</t>
  </si>
  <si>
    <t xml:space="preserve">CHEMBL3581222</t>
  </si>
  <si>
    <t xml:space="preserve">CN(C)C1(c2nc(-c3cc(C(C)(C)C)c(O)c(C(C)(C)C)c3)cs2)CCOCC1</t>
  </si>
  <si>
    <t xml:space="preserve">CHEMBL3581220</t>
  </si>
  <si>
    <t xml:space="preserve">CN(C)C1(c2nc(-c3cc(C(C)(C)C)c(O)c(C(C)(C)C)c3)cs2)CCSCC1</t>
  </si>
  <si>
    <t xml:space="preserve">CHEMBL3581229</t>
  </si>
  <si>
    <t xml:space="preserve">CN(C)C1(c2nc(-c3cc(C(C)(C)C)cc(C(C)(C)C)c3)cs2)CCOCC1</t>
  </si>
  <si>
    <t xml:space="preserve">CHEMBL2441469</t>
  </si>
  <si>
    <t xml:space="preserve">CN(C)CCCn1c2ccccc2c2cc(C(=O)N3CCCCC3)ccc21</t>
  </si>
  <si>
    <t xml:space="preserve">CHEMBL2018661</t>
  </si>
  <si>
    <t xml:space="preserve">CN(C)CCNC(=O)C(C)(C)NC(=O)c1cc2c(n(CC3CCCCC3)c1=O)CCCCCC2</t>
  </si>
  <si>
    <t xml:space="preserve">CHEMBL3234707</t>
  </si>
  <si>
    <t xml:space="preserve">CN(C)CCNc1cnn(C2CC(C)(C)CC(C)(C)C2)c(=O)c1Br</t>
  </si>
  <si>
    <t xml:space="preserve">CHEMBL3238918</t>
  </si>
  <si>
    <t xml:space="preserve">Displacement of [3H]-CP55940 from human CB2 receptor expressed in HEK293 cells after 90 mins by liquid scintillation counting</t>
  </si>
  <si>
    <t xml:space="preserve">CHEMBL498152</t>
  </si>
  <si>
    <t xml:space="preserve">CN(C)CCn1c(=O)n(C(=O)N[C@H](C(N)=O)C(C)(C)C)c2ccccc21</t>
  </si>
  <si>
    <t xml:space="preserve">CHEMBL3325451</t>
  </si>
  <si>
    <t xml:space="preserve">CN(C)CCn1c(Cc2ccc(Cl)c(Cl)c2)nc2cc(C(F)(F)F)ccc21</t>
  </si>
  <si>
    <t xml:space="preserve">CHEMBL569993</t>
  </si>
  <si>
    <t xml:space="preserve">CN(C)CCn1cc(C(=O)C2C(C)(C)C2(C)C)c2ccccc21</t>
  </si>
  <si>
    <t xml:space="preserve">CHEMBL3781544</t>
  </si>
  <si>
    <t xml:space="preserve">CN(C)CCn1cc(C(=O)NC23CC4CC(CC(C4)C2)C3)c(=O)c2ccc(F)cc21</t>
  </si>
  <si>
    <t xml:space="preserve">CHEMBL2152805</t>
  </si>
  <si>
    <t xml:space="preserve">CN(C)CCn1cc(C(=O)N[C@@H]2C(C)(C)C3CC[C@]2(C)C3)c(=O)c2ccc(F)cc21</t>
  </si>
  <si>
    <t xml:space="preserve">CHEMBL2152815</t>
  </si>
  <si>
    <t xml:space="preserve">CN(C)CCn1cc(C(=O)N[C@@H]2C(C)(C)C3CC[C@]2(C)C3)c(=O)c2ccc(Sc3ccccc3)cc21</t>
  </si>
  <si>
    <t xml:space="preserve">CHEMBL3581221</t>
  </si>
  <si>
    <t xml:space="preserve">CN(C)Cc1nc(-c2cc(C(C)(C)C)c(O)c(C(C)(C)C)c2)cs1</t>
  </si>
  <si>
    <t xml:space="preserve">CHEMBL3221185</t>
  </si>
  <si>
    <t xml:space="preserve">CN(C)c1ccc(/C=C2\N=C3SCCCN3C2=O)cc1</t>
  </si>
  <si>
    <t xml:space="preserve">CHEMBL3222513</t>
  </si>
  <si>
    <t xml:space="preserve">CHEMBL3217528</t>
  </si>
  <si>
    <t xml:space="preserve">Displacement of [3H]CP55,940 from human recombinant CB2 receptor expressed in HEK293 cells</t>
  </si>
  <si>
    <t xml:space="preserve">CHEMBL2179776</t>
  </si>
  <si>
    <t xml:space="preserve">CN(C)c1ccc(C(NC(=O)Cc2ccccc2)NC(=O)Cc2ccccc2)cc1</t>
  </si>
  <si>
    <t xml:space="preserve">CHEMBL400268</t>
  </si>
  <si>
    <t xml:space="preserve">CN(C)c1ccc2c(=O)c(C(=O)NC3CCCCC3)cn(CCN3CCOCC3)c2n1</t>
  </si>
  <si>
    <t xml:space="preserve">CHEMBL2029721</t>
  </si>
  <si>
    <t xml:space="preserve">CN(CC(=O)NC1CC1)C(=O)c1ccc2c(c1)c1c(n2C)CCC(C2CCOCC2)C1</t>
  </si>
  <si>
    <t xml:space="preserve">CHEMBL2029725</t>
  </si>
  <si>
    <t xml:space="preserve">CN(CC(=O)NC1CC1)C(=O)c1ccc2c(c1)c1c(n2C)CC[C@@H](C2CCOCC2)C1</t>
  </si>
  <si>
    <t xml:space="preserve">CHEMBL2029726</t>
  </si>
  <si>
    <t xml:space="preserve">CN(CC(=O)NC1CC1)C(=O)c1ccc2c(c1)c1c(n2C)CC[C@H](C2CCOCC2)C1</t>
  </si>
  <si>
    <t xml:space="preserve">CHEMBL1682272</t>
  </si>
  <si>
    <t xml:space="preserve">CN(CC(N)=O)Cc1nc(-c2cn(CC3CCOCC3)c3c(Cl)cccc23)no1</t>
  </si>
  <si>
    <t xml:space="preserve">CHEMBL1686909</t>
  </si>
  <si>
    <t xml:space="preserve">CHEMBL1681724</t>
  </si>
  <si>
    <t xml:space="preserve">Displacement of [3H]CP55940 from human cannabinoid CB2 receptor expressed in insect Sf9 cells</t>
  </si>
  <si>
    <t xml:space="preserve">CHEMBL2160219</t>
  </si>
  <si>
    <t xml:space="preserve">CN(CCCCCCCOc1ccc(-c2oc3ccccc3c2C(=O)c2ccc(-c3ccccc3)cc2)cc1)Cc1ccccc1</t>
  </si>
  <si>
    <t xml:space="preserve">CHEMBL2160225</t>
  </si>
  <si>
    <t xml:space="preserve">CN(CCCCCCCOc1ccc(-c2oc3ccccc3c2C(=O)c2ccc(OCCN3CCOCC3)cc2)cc1)Cc1ccccc1</t>
  </si>
  <si>
    <t xml:space="preserve">CHEMBL2018657</t>
  </si>
  <si>
    <t xml:space="preserve">CN(CCO)C(=O)C(C)(C)NC(=O)c1cc2c(n(CC3CCCCC3)c1=O)CCCCCC2</t>
  </si>
  <si>
    <t xml:space="preserve">CHEMBL3686299</t>
  </si>
  <si>
    <t xml:space="preserve">CN(CCOc1ccc(C(F)(F)F)cc1C(=O)/N=c1\sc(C(C)(C)C)cn1C[C@H]1CCCO1)c1ccccc1</t>
  </si>
  <si>
    <t xml:space="preserve">CHEMBL1952280</t>
  </si>
  <si>
    <t xml:space="preserve">CN(Cc1ccccc1)C(=O)N1CC(O[C@@H](c2ccc(Cl)cc2)c2cccnc2Cl)C1</t>
  </si>
  <si>
    <t xml:space="preserve">CHEMBL1954242</t>
  </si>
  <si>
    <t xml:space="preserve">CHEMBL1949530</t>
  </si>
  <si>
    <t xml:space="preserve">Displacement of [3H]CP55940 from human CB2 receptor</t>
  </si>
  <si>
    <t xml:space="preserve">CHEMBL1952279</t>
  </si>
  <si>
    <t xml:space="preserve">CN(Cc1ccccc1)C(=O)N1CC(O[C@H](c2ccc(Cl)cc2)c2cccnc2Cl)C1</t>
  </si>
  <si>
    <t xml:space="preserve">CHEMBL4455631</t>
  </si>
  <si>
    <t xml:space="preserve">CN(Cc1ccccc1)C1CCN(c2ncnc3c2nc(-c2ccccc2Cl)n3-c2ccc(Cl)cc2)CC1</t>
  </si>
  <si>
    <t xml:space="preserve">CHEMBL255923</t>
  </si>
  <si>
    <t xml:space="preserve">CN(Cc1ccccc1)S(=O)(=O)c1cc(C(=O)NCC(C)(C)C)ccc1Br</t>
  </si>
  <si>
    <t xml:space="preserve">CHEMBL256754</t>
  </si>
  <si>
    <t xml:space="preserve">CN(Cc1ccccc1)S(=O)(=O)c1cc(C(=O)N[C@@H]2C(C)(C)[C@H]3CC[C@]2(C)C3)ccc1Br</t>
  </si>
  <si>
    <t xml:space="preserve">CHEMBL1081992</t>
  </si>
  <si>
    <t xml:space="preserve">CN/C(=N\S(=O)(=O)N1CCC(C(F)(F)F)CC1)C1=NN(c2ccc(Cl)cc2)C(c2ccccc2)C1</t>
  </si>
  <si>
    <t xml:space="preserve">CHEMBL1101964</t>
  </si>
  <si>
    <t xml:space="preserve">CHEMBL1154936</t>
  </si>
  <si>
    <t xml:space="preserve">Displacement of [3H]CP-55940 from human cannabinoid CB2 receptor expressed in CHO cells</t>
  </si>
  <si>
    <t xml:space="preserve">CHEMBL1080156</t>
  </si>
  <si>
    <t xml:space="preserve">CN/C(=N\S(=O)(=O)N1CCC(C(F)(F)F)CC1)C1=NN(c2ccc(Cl)cc2)[C@@H](c2ccccc2)C1</t>
  </si>
  <si>
    <t xml:space="preserve">CHEMBL1080545</t>
  </si>
  <si>
    <t xml:space="preserve">CN/C(=N\S(=O)(=O)N1CCC(C(F)(F)F)CC1)N1C[C@H](c2ccccc2)C(c2ccc(Cl)cc2)=N1</t>
  </si>
  <si>
    <t xml:space="preserve">CHEMBL578421</t>
  </si>
  <si>
    <t xml:space="preserve">CN/C(=N\S(=O)(=O)N1CCC(F)(F)CC1)N1CC(c2ccccc2)C(c2ccc(Cl)cc2)=N1</t>
  </si>
  <si>
    <t xml:space="preserve">CHEMBL1050126</t>
  </si>
  <si>
    <t xml:space="preserve">CHEMBL1155183</t>
  </si>
  <si>
    <t xml:space="preserve">CHEMBL574172</t>
  </si>
  <si>
    <t xml:space="preserve">CN/C(=N\S(=O)(=O)N1CCC(F)(F)CC1)N1CCC(c2ccccc2)C(c2ccc(Cl)cc2)=N1</t>
  </si>
  <si>
    <t xml:space="preserve">CHEMBL1081650</t>
  </si>
  <si>
    <t xml:space="preserve">CN/C(=N\S(=O)(=O)N1CCCCC1)C1=NN(c2ccc(Cl)cc2)C(c2ccccc2)C1</t>
  </si>
  <si>
    <t xml:space="preserve">CHEMBL195958</t>
  </si>
  <si>
    <t xml:space="preserve">CN/C(=N\S(=O)(=O)N1CCCCC1)N1CC(c2ccccc2)C(c2ccc(Cl)cc2)=N1</t>
  </si>
  <si>
    <t xml:space="preserve">CHEMBL575680</t>
  </si>
  <si>
    <t xml:space="preserve">CN/C(=N\S(=O)(=O)N1CCCCC1)N1CCC(c2ccccc2)C(c2ccc(Cl)cc2)=N1</t>
  </si>
  <si>
    <t xml:space="preserve">CHEMBL1081285</t>
  </si>
  <si>
    <t xml:space="preserve">CN/C(=N\S(=O)(=O)N1CCCCC1)N1C[C@H](c2ccccc2)C(c2ccc(Cl)cc2)=N1</t>
  </si>
  <si>
    <t xml:space="preserve">CHEMBL1081306</t>
  </si>
  <si>
    <t xml:space="preserve">CN/C(=N\S(=O)(=O)c1ccc(C(F)(F)F)cc1)C1=NN(c2ccc(Cl)cc2Cl)C(c2ccccc2)C1</t>
  </si>
  <si>
    <t xml:space="preserve">CHEMBL1081305</t>
  </si>
  <si>
    <t xml:space="preserve">CN/C(=N\S(=O)(=O)c1ccc(Cl)cc1)C1=NN(c2ccc(Cl)cc2Cl)C(c2ccccc2)C1</t>
  </si>
  <si>
    <t xml:space="preserve">CHEMBL158784</t>
  </si>
  <si>
    <t xml:space="preserve">CN/C(=N\S(=O)(=O)c1ccc(Cl)cc1)N1CC(c2ccccc2)C(c2ccc(Cl)cc2)=N1</t>
  </si>
  <si>
    <t xml:space="preserve">CHEMBL577384</t>
  </si>
  <si>
    <t xml:space="preserve">CN/C(=N\S(=O)(=O)c1ccc(Cl)cc1)N1CCC(c2ccccc2)C(c2ccc(Cl)cc2)=N1</t>
  </si>
  <si>
    <t xml:space="preserve">CHEMBL412262</t>
  </si>
  <si>
    <t xml:space="preserve">CN/C(=N\S(=O)(=O)c1ccc(Cl)cc1)N1C[C@H](c2ccccc2)C(c2ccc(Cl)cc2)=N1</t>
  </si>
  <si>
    <t xml:space="preserve">CHEMBL1081304</t>
  </si>
  <si>
    <t xml:space="preserve">CN/C(=N\S(=O)(=O)c1cccc(Cl)c1)C1=NN(c2ccc(Cl)cc2Cl)C(c2ccccc2)C1</t>
  </si>
  <si>
    <t xml:space="preserve">CHEMBL4169940</t>
  </si>
  <si>
    <t xml:space="preserve">CN1C(=N)NC(=O)/C1=C/c1cccc(OCc2ccc(Cl)cc2)c1</t>
  </si>
  <si>
    <t xml:space="preserve">CHEMBL4155954</t>
  </si>
  <si>
    <t xml:space="preserve">CHEMBL4152303</t>
  </si>
  <si>
    <t xml:space="preserve">Displacement of [3H]CP55940 from recombinant human CB2 receptor expressed in CHO cell membranes after 2 hrs by liquid scintillation counting method</t>
  </si>
  <si>
    <t xml:space="preserve">CHEMBL3686306</t>
  </si>
  <si>
    <t xml:space="preserve">CN1C(=O)CC[C@H]1COc1ccc(C(F)(F)F)cc1C(=O)/N=c1\sc(C(C)(C)C)cn1C[C@H]1CCCO1</t>
  </si>
  <si>
    <t xml:space="preserve">CHEMBL3686287</t>
  </si>
  <si>
    <t xml:space="preserve">CN1CC(COc2ccc(C(F)(F)F)cc2C(=O)/N=c2\sc(C(C)(C)C)cn2C[C@H]2CCCO2)C1</t>
  </si>
  <si>
    <t xml:space="preserve">CHEMBL3686288</t>
  </si>
  <si>
    <t xml:space="preserve">CN1CCC(COc2ccc(C(F)(F)F)cc2C(=O)/N=c2\sc(C(C)(C)C)cn2C[C@H]2CCCO2)CC1</t>
  </si>
  <si>
    <t xml:space="preserve">CHEMBL571330</t>
  </si>
  <si>
    <t xml:space="preserve">CN1CCCCC1Cn1cc(C(=O)C2C(C)(C)C2(C)C)c2ccccc21</t>
  </si>
  <si>
    <t xml:space="preserve">CHEMBL408430</t>
  </si>
  <si>
    <t xml:space="preserve">CN1CCCCC1Cn1cc(C(=O)c2cc([N+](=O)[O-])ccc2I)c2ccccc21</t>
  </si>
  <si>
    <t xml:space="preserve">CHEMBL3239861</t>
  </si>
  <si>
    <t xml:space="preserve">Displacement of [3H]-CP55940 from human CB2 receptor expressed in HEK cells by liquid scintillation counting</t>
  </si>
  <si>
    <t xml:space="preserve">CHEMBL2429349</t>
  </si>
  <si>
    <t xml:space="preserve">CHEMBL2424594</t>
  </si>
  <si>
    <t xml:space="preserve">CHEMBL3686285</t>
  </si>
  <si>
    <t xml:space="preserve">CN1CCCC[C@@H]1COc1ccc(C(F)(F)F)cc1C(=O)/N=c1\sc(C(C)(C)C)cn1C[C@H]1CCCO1</t>
  </si>
  <si>
    <t xml:space="preserve">CHEMBL3686335</t>
  </si>
  <si>
    <t xml:space="preserve">CN1CCCC[C@H]1COc1ccc(C(F)(F)F)cc1C(=O)/N=c1\sc(C(C)(C)C)cn1C[C@H]1CCCO1</t>
  </si>
  <si>
    <t xml:space="preserve">CHEMBL3686295</t>
  </si>
  <si>
    <t xml:space="preserve">CN1CCC[C@@H]1COc1ccc(C(F)(F)F)cc1C(=O)/N=c1\sc(C(C)(C)C)cn1C[C@H]1CCCO1</t>
  </si>
  <si>
    <t xml:space="preserve">CHEMBL3686313</t>
  </si>
  <si>
    <t xml:space="preserve">CN1CCC[C@H]1CNc1ccc(C(F)(F)F)cc1C(=O)/N=c1\sc(C(C)(C)C)cn1C[C@H]1CCCO1</t>
  </si>
  <si>
    <t xml:space="preserve">CHEMBL3686318</t>
  </si>
  <si>
    <t xml:space="preserve">CN1CCC[C@H]1COc1ccc(C#N)cc1C(=O)/N=c1\sc(C(C)(C)C)cn1C[C@H]1CCCO1</t>
  </si>
  <si>
    <t xml:space="preserve">CHEMBL3647310</t>
  </si>
  <si>
    <t xml:space="preserve">CN1CCC[C@H]1COc1ccc(C(F)(F)F)cc1C(=O)/N=c1\sc(C(C)(C)C)cn1CC1(O)CCC1</t>
  </si>
  <si>
    <t xml:space="preserve">CHEMBL3686294</t>
  </si>
  <si>
    <t xml:space="preserve">CN1CCC[C@H]1COc1ccc(C(F)(F)F)cc1C(=O)/N=c1\sc(C(C)(C)C)cn1C[C@H]1CCCO1</t>
  </si>
  <si>
    <t xml:space="preserve">CHEMBL3686316</t>
  </si>
  <si>
    <t xml:space="preserve">CN1CCC[C@H]1COc1ccc(C(F)(F)F)cc1C(=O)/N=c1\scc(C(C)(C)C)n1C[C@H]1CCCO1</t>
  </si>
  <si>
    <t xml:space="preserve">CHEMBL3686311</t>
  </si>
  <si>
    <t xml:space="preserve">CN1CCC[C@H]1COc1ccc(C(F)(F)F)cc1C(=S)/N=c1\sc(C(C)(C)C)cn1C[C@H]1CCCO1</t>
  </si>
  <si>
    <t xml:space="preserve">CHEMBL2338177</t>
  </si>
  <si>
    <t xml:space="preserve">CN1CCN(C(=O)C23CC4CC(CC(C4)C2)C3)c2ccccc21</t>
  </si>
  <si>
    <t xml:space="preserve">CHEMBL3686337</t>
  </si>
  <si>
    <t xml:space="preserve">CN1CCN(C)[C@@H](COc2ccc(C(F)(F)F)cc2C(=O)/N=c2\sc(C(C)(C)C)cn2C[C@H]2CCCO2)C1</t>
  </si>
  <si>
    <t xml:space="preserve">CHEMBL453106</t>
  </si>
  <si>
    <t xml:space="preserve">CN1CCN(NC(=O)c2cnn(-c3ccc(Cl)cc3Cl)c2-c2ccc(Br)cc2)CC1</t>
  </si>
  <si>
    <t xml:space="preserve">CHEMBL962784</t>
  </si>
  <si>
    <t xml:space="preserve">CHEMBL1140988</t>
  </si>
  <si>
    <t xml:space="preserve">Displacement of [3H]WIN-55212-2 from human CB2 receptor expressed in CHO cells</t>
  </si>
  <si>
    <t xml:space="preserve">CHEMBL4177237</t>
  </si>
  <si>
    <t xml:space="preserve">CN1CCN(c2ncnc3oc(-c4ccccc4C(F)(F)F)nc23)CC1</t>
  </si>
  <si>
    <t xml:space="preserve">CHEMBL4165549</t>
  </si>
  <si>
    <t xml:space="preserve">CN1CCN(c2ncnc3oc(-c4ccccc4Cl)nc23)CC1</t>
  </si>
  <si>
    <t xml:space="preserve">CHEMBL3686296</t>
  </si>
  <si>
    <t xml:space="preserve">CN1CC[C@@H](COc2ccc(C(F)(F)F)cc2C(=O)/N=c2\sc(C(C)(C)C)cn2C[C@H]2CCCO2)C1</t>
  </si>
  <si>
    <t xml:space="preserve">CHEMBL3686286</t>
  </si>
  <si>
    <t xml:space="preserve">CN1CC[C@@H]1COc1ccc(C(F)(F)F)cc1C(=O)/N=c1\sc(C(C)(C)C)cn1C[C@H]1CCCO1</t>
  </si>
  <si>
    <t xml:space="preserve">CHEMBL3686297</t>
  </si>
  <si>
    <t xml:space="preserve">CN1CC[C@H](COc2ccc(C(F)(F)F)cc2C(=O)/N=c2\sc(C(C)(C)C)cn2C[C@H]2CCCO2)C1</t>
  </si>
  <si>
    <t xml:space="preserve">CHEMBL3686283</t>
  </si>
  <si>
    <t xml:space="preserve">CN1CC[C@H]1COc1ccc(C(F)(F)F)cc1C(=O)/N=c1\sc(C(C)(C)C)cn1C[C@H]1CCCO1</t>
  </si>
  <si>
    <t xml:space="preserve">CHEMBL3686312</t>
  </si>
  <si>
    <t xml:space="preserve">CN1C[C@@H](F)C[C@H]1COc1ccc(C(F)(F)F)cc1C(=O)/N=c1\sc(C(C)(C)C)cn1C[C@H]1CCCO1</t>
  </si>
  <si>
    <t xml:space="preserve">CHEMBL3686314</t>
  </si>
  <si>
    <t xml:space="preserve">CN1C[C@H](F)C[C@H]1COc1ccc(C(F)(F)F)cc1C(=O)/N=c1\sc(C(C)(C)C)cn1C[C@H]1CCCO1</t>
  </si>
  <si>
    <t xml:space="preserve">CHEMBL4647226</t>
  </si>
  <si>
    <t xml:space="preserve">CN1N=CC2C1C(O)=C(C(=O)NC13CC4CC(CC(C4)C1)C3)C(=O)N2CCCCF</t>
  </si>
  <si>
    <t xml:space="preserve">CHEMBL4639191</t>
  </si>
  <si>
    <t xml:space="preserve">CN1N=CC2C1C(O)=C(C(=O)NC13CC4CC(CC(O)(C4)C1)C3)C(=O)N2CCCCF</t>
  </si>
  <si>
    <t xml:space="preserve">CHEMBL234842</t>
  </si>
  <si>
    <t xml:space="preserve">CNC(=O)CCC(C)(C)c1ccc(-c2cc(C)cc(C)c2)c(O)c1</t>
  </si>
  <si>
    <t xml:space="preserve">CHEMBL391133</t>
  </si>
  <si>
    <t xml:space="preserve">CNC(=O)CCCCC(C)(C)c1ccc(-c2cc(C)cc(C)c2)c(O)c1</t>
  </si>
  <si>
    <t xml:space="preserve">CHEMBL2029729</t>
  </si>
  <si>
    <t xml:space="preserve">CNC(=O)CCCN(C)C(=O)c1ccc2c(c1)c1c(n2C)CC[C@@H](C2CCOCC2)C1</t>
  </si>
  <si>
    <t xml:space="preserve">CHEMBL6052404</t>
  </si>
  <si>
    <t xml:space="preserve">CNC(=O)[C@@H](NC(=O)c1nn(-c2c[n+]([O-])ccn2)c2c1C[C@@H]1C[C@H]21)C(C)(C)C</t>
  </si>
  <si>
    <t xml:space="preserve">CHEMBL494207</t>
  </si>
  <si>
    <t xml:space="preserve">CNC(=O)[C@@H](NC(=O)n1c(=O)n(CCN2CCOCC2)c2ccccc21)C(C)(C)C</t>
  </si>
  <si>
    <t xml:space="preserve">CHEMBL3581224</t>
  </si>
  <si>
    <t xml:space="preserve">CNC1(c2nc(-c3cc(C(C)(C)C)c(O)c(C(C)(C)C)c3)cs2)CCOCC1</t>
  </si>
  <si>
    <t xml:space="preserve">CHEMBL2348465</t>
  </si>
  <si>
    <t xml:space="preserve">CO/C=C\[C@@H]1CC[C@@H]2[C@@H](C1)c1c(O)cc(C34CC5CC(CC(C5)C3)C4)cc1OC2(C)C</t>
  </si>
  <si>
    <t xml:space="preserve">CHEMBL383349</t>
  </si>
  <si>
    <t xml:space="preserve">CO/N=C(\c1ccc([C@H](C)NS(C)(=O)=O)cc1)c1ccc(Cl)cc1S(=O)(=O)c1ccc(Cl)cc1</t>
  </si>
  <si>
    <t xml:space="preserve">CHEMBL2018655</t>
  </si>
  <si>
    <t xml:space="preserve">COC(=O)C(C)(C)NC(=O)c1cc2c(n(CC3CCCCC3)c1=O)CCCCCC2</t>
  </si>
  <si>
    <t xml:space="preserve">CHEMBL4099883</t>
  </si>
  <si>
    <t xml:space="preserve">COC(=O)C(C)(C)c1cc(O)c2c(c1)OC(C)(C)[C@@H]1CC=C(C)C[C@@H]21</t>
  </si>
  <si>
    <t xml:space="preserve">CHEMBL391380</t>
  </si>
  <si>
    <t xml:space="preserve">COC(=O)C(C)(C)c1ccc(-c2cc(C)cc(C)c2)c(O)c1</t>
  </si>
  <si>
    <t xml:space="preserve">CHEMBL3354396</t>
  </si>
  <si>
    <t xml:space="preserve">COC(=O)CCC(=O)n1c2ccccc2c2nnc(SCc3ccccc3C#N)nc21</t>
  </si>
  <si>
    <t xml:space="preserve">CHEMBL3375409</t>
  </si>
  <si>
    <t xml:space="preserve">CHEMBL3352243</t>
  </si>
  <si>
    <t xml:space="preserve">Displacement of [3H]WIN-55212-2 from human CB2R expressed in CHO cells</t>
  </si>
  <si>
    <t xml:space="preserve">CHEMBL234014</t>
  </si>
  <si>
    <t xml:space="preserve">COC(=O)CCC(C)(C)c1ccc(-c2cc(C)cc(C)c2)c(O)c1</t>
  </si>
  <si>
    <t xml:space="preserve">CHEMBL233637</t>
  </si>
  <si>
    <t xml:space="preserve">COC(=O)CCCCC(C)(C)c1ccc(-c2cc(C)cc(C)c2)c(O)c1</t>
  </si>
  <si>
    <t xml:space="preserve">CHEMBL4283967</t>
  </si>
  <si>
    <t xml:space="preserve">COC(=O)CCCCOc1cccc2c(C(=O)c3ccc(OC)cc3)cn(CC3CCOCC3)c12</t>
  </si>
  <si>
    <t xml:space="preserve">CHEMBL3353432</t>
  </si>
  <si>
    <t xml:space="preserve">COC(=O)CCCCn1c(=O)c(C(=O)NC2CCC(C)CC2)cc2cccnc21</t>
  </si>
  <si>
    <t xml:space="preserve">CHEMBL2441468</t>
  </si>
  <si>
    <t xml:space="preserve">COC(=O)CCCn1c2ccccc2c2cc(C(=O)N3CCCCC3)ccc21</t>
  </si>
  <si>
    <t xml:space="preserve">CHEMBL570877</t>
  </si>
  <si>
    <t xml:space="preserve">COC(=O)CCn1cc(C(=O)C2C(C)(C)C2(C)C)c2ccccc21</t>
  </si>
  <si>
    <t xml:space="preserve">CHEMBL258164</t>
  </si>
  <si>
    <t xml:space="preserve">COC(=O)Cn1nnc(Cc2ccc(-c3ccccc3)cc2)n1</t>
  </si>
  <si>
    <t xml:space="preserve">CHEMBL3416121</t>
  </si>
  <si>
    <t xml:space="preserve">COC(=O)N[C@]12CC3CC(C1)C[C@](c1cc(O)c4c(c1)OC(C)(C)[C@@H]1CC[C@@H](O)C[C@@H]41)(C3)C2</t>
  </si>
  <si>
    <t xml:space="preserve">CHEMBL4593144</t>
  </si>
  <si>
    <t xml:space="preserve">COC(=O)c1[nH]ccc1NC(=O)C12CC3CC(CC(C3)C1)C2</t>
  </si>
  <si>
    <t xml:space="preserve">CHEMBL4456199</t>
  </si>
  <si>
    <t xml:space="preserve">COC(=O)c1c(-c2ccccc2)csc1NC(=O)C12CC3CC(CC(C3)C1)C2</t>
  </si>
  <si>
    <t xml:space="preserve">CHEMBL4471569</t>
  </si>
  <si>
    <t xml:space="preserve">COC(=O)c1c(C)noc1NC(=O)C12CC3CC(CC(C3)C1)C2</t>
  </si>
  <si>
    <t xml:space="preserve">CHEMBL4437336</t>
  </si>
  <si>
    <t xml:space="preserve">COC(=O)c1c(NC(=O)C23CC4CC(CC(C4)C2)C3)cnn1C</t>
  </si>
  <si>
    <t xml:space="preserve">CHEMBL4440363</t>
  </si>
  <si>
    <t xml:space="preserve">COC(=O)c1c(NC(=O)C23CC4CC(CC(C4)C2)C3)sc(C)c1C</t>
  </si>
  <si>
    <t xml:space="preserve">CHEMBL4471470</t>
  </si>
  <si>
    <t xml:space="preserve">COC(=O)c1c(NC(=O)C23CC4CC(CC(C4)C2)C3)sc2c1CCCC2</t>
  </si>
  <si>
    <t xml:space="preserve">CHEMBL4448698</t>
  </si>
  <si>
    <t xml:space="preserve">COC(=O)c1c(NC(=O)C23CC4CC(CC(C4)C2)C3)sc2c1CCS(=O)(=O)C2</t>
  </si>
  <si>
    <t xml:space="preserve">CHEMBL4437727</t>
  </si>
  <si>
    <t xml:space="preserve">COC(=O)c1c(NC(=O)C23CC4CC(CC(C4)C2)C3)sc2c1CCSC2</t>
  </si>
  <si>
    <t xml:space="preserve">CHEMBL4099487</t>
  </si>
  <si>
    <t xml:space="preserve">COC(=O)c1c(NC(=O)C23CC4CC(CC(O)(C4)C2)C3)sc2c1CCCC2</t>
  </si>
  <si>
    <t xml:space="preserve">CHEMBL4117628</t>
  </si>
  <si>
    <t xml:space="preserve">CHEMBL5152288</t>
  </si>
  <si>
    <t xml:space="preserve">Binding affinity to human CB2R assessed as inhibition constant and incubated for 90 mins</t>
  </si>
  <si>
    <t xml:space="preserve">CHEMBL4565110</t>
  </si>
  <si>
    <t xml:space="preserve">COC(=O)c1c(NC(=O)N2CCCCC2)sc2c1CCCC2</t>
  </si>
  <si>
    <t xml:space="preserve">CHEMBL4468403</t>
  </si>
  <si>
    <t xml:space="preserve">COC(=O)c1c(NC(=O)N2CCOCC2)sc2c1CCCC2</t>
  </si>
  <si>
    <t xml:space="preserve">CHEMBL4437411</t>
  </si>
  <si>
    <t xml:space="preserve">COC(=O)c1c(NC(=O)NC23CC4CC(CC(C4)C2)C3)sc2c1CCCC2</t>
  </si>
  <si>
    <t xml:space="preserve">CHEMBL4449619</t>
  </si>
  <si>
    <t xml:space="preserve">COC(=O)c1c(NC(=O)Oc2ccccc2)sc2c1CCCC2</t>
  </si>
  <si>
    <t xml:space="preserve">CHEMBL4557732</t>
  </si>
  <si>
    <t xml:space="preserve">COC(=O)c1cc(-c2ccccc2)sc1NC(=O)C12CC3CC(CC(C3)C1)C2</t>
  </si>
  <si>
    <t xml:space="preserve">CHEMBL4472381</t>
  </si>
  <si>
    <t xml:space="preserve">COC(=O)c1cc(C)sc1NC(=O)C12CC3CC(CC(C3)C1)C2</t>
  </si>
  <si>
    <t xml:space="preserve">CHEMBL228373</t>
  </si>
  <si>
    <t xml:space="preserve">COC(=O)c1cc(O)c(-c2cc(C)cc(C)c2)c(O)c1</t>
  </si>
  <si>
    <t xml:space="preserve">CHEMBL228374</t>
  </si>
  <si>
    <t xml:space="preserve">COC(=O)c1cc(O)c(-c2cc(C)cc(C)c2)c(OC)c1</t>
  </si>
  <si>
    <t xml:space="preserve">CHEMBL2346978</t>
  </si>
  <si>
    <t xml:space="preserve">COC(=O)c1ccc(Cn2cc(/C=C3/C(=O)C4CCN3CC4)c3ccccc32)cc1</t>
  </si>
  <si>
    <t xml:space="preserve">CHEMBL2352675</t>
  </si>
  <si>
    <t xml:space="preserve">CHEMBL2346574</t>
  </si>
  <si>
    <t xml:space="preserve">Displacement of [3H]CP 55940 from human CB2 receptor expressed in CHO cells after 90 mins by liquid scintillation counting</t>
  </si>
  <si>
    <t xml:space="preserve">CHEMBL2346979</t>
  </si>
  <si>
    <t xml:space="preserve">COC(=O)c1ccc2c(/C=C3/C(=O)C4CCN3CC4)cn(Cc3ccccc3)c2c1</t>
  </si>
  <si>
    <t xml:space="preserve">CHEMBL271810</t>
  </si>
  <si>
    <t xml:space="preserve">COC(=O)c1ccc2c(C(=O)C3C(C)(C)C3(C)C)cn(CC3CCOCC3)c2c1</t>
  </si>
  <si>
    <t xml:space="preserve">CHEMBL271805</t>
  </si>
  <si>
    <t xml:space="preserve">COC(=O)c1ccc2c(c1)c(C(=O)C1C(C)(C)C1(C)C)cn2CC1CCOCC1</t>
  </si>
  <si>
    <t xml:space="preserve">CHEMBL4561828</t>
  </si>
  <si>
    <t xml:space="preserve">COC(=O)c1cccnc1NC(=O)C12CC3CC(CC(C3)C1)C2</t>
  </si>
  <si>
    <t xml:space="preserve">CHEMBL4542322</t>
  </si>
  <si>
    <t xml:space="preserve">COC(=O)c1ccsc1NC(=O)C12CC3CC(CC(C3)C1)C2</t>
  </si>
  <si>
    <t xml:space="preserve">CHEMBL4516896</t>
  </si>
  <si>
    <t xml:space="preserve">COC(=O)c1nn(C)cc1NC(=O)C12CC3CC(CC(C3)C1)C2</t>
  </si>
  <si>
    <t xml:space="preserve">CHEMBL2338174</t>
  </si>
  <si>
    <t xml:space="preserve">COC1CCN(C(=O)C23CC4CC(CC(C4)C2)C3)c2ccccc21</t>
  </si>
  <si>
    <t xml:space="preserve">CHEMBL2205588</t>
  </si>
  <si>
    <t xml:space="preserve">COC1CN(C(=O)c2c(NC(=O)c3ccccc3C(F)(F)F)sc3c2CCOC3)C1</t>
  </si>
  <si>
    <t xml:space="preserve">CHEMBL2212765</t>
  </si>
  <si>
    <t xml:space="preserve">CHEMBL2203203</t>
  </si>
  <si>
    <t xml:space="preserve">Displacement of [3H]-CP55,940 from human CB2 receptor after 60 mins by microscintillation counting analysis</t>
  </si>
  <si>
    <t xml:space="preserve">CHEMBL3582015</t>
  </si>
  <si>
    <t xml:space="preserve">COC1CN(c2ccc(C(=O)NC(C)(C)Cc3nnc(-c4ccc(F)cc4)o3)nc2OCC2CC2)C1</t>
  </si>
  <si>
    <t xml:space="preserve">CHEMBL3582013</t>
  </si>
  <si>
    <t xml:space="preserve">COC1CN(c2ccc(C(=O)NC3(CC(N)=O)COC3)nc2OCC2CC2)C1</t>
  </si>
  <si>
    <t xml:space="preserve">CHEMBL3582016</t>
  </si>
  <si>
    <t xml:space="preserve">COC1CN(c2ccc(C(=O)NCC3(O)CCCCC3)nc2OCC2CC2)C1</t>
  </si>
  <si>
    <t xml:space="preserve">CHEMBL5854244</t>
  </si>
  <si>
    <t xml:space="preserve">COC1CN(c2ccc(C(=O)N[C@H](COCCF)CC(C)C)nc2OCC2COC2)C1</t>
  </si>
  <si>
    <t xml:space="preserve">CHEMBL2063241</t>
  </si>
  <si>
    <t xml:space="preserve">COCC(=O)NC1CCCOc2c1nn(-c1ccccc1Cl)c2-c1ccc(Cl)cc1</t>
  </si>
  <si>
    <t xml:space="preserve">CHEMBL6193707</t>
  </si>
  <si>
    <t xml:space="preserve">COCC(C)(NC(=O)c1ccc(N2CCCCC2)c(S(=O)(=O)N2CCCCC2)c1)C1CC1</t>
  </si>
  <si>
    <t xml:space="preserve">CHEMBL6179108</t>
  </si>
  <si>
    <t xml:space="preserve">CHEMBL6177941</t>
  </si>
  <si>
    <t xml:space="preserve">CHEMBL611937</t>
  </si>
  <si>
    <t xml:space="preserve">COCCC(C)(C)C(=O)Nc1cc(C)c(C)c(S(=O)(=O)N2CCOCC2)c1</t>
  </si>
  <si>
    <t xml:space="preserve">CHEMBL2441466</t>
  </si>
  <si>
    <t xml:space="preserve">COCCCn1c2ccccc2c2cc(C(=O)N3CCCCC3)ccc21</t>
  </si>
  <si>
    <t xml:space="preserve">CHEMBL572000</t>
  </si>
  <si>
    <t xml:space="preserve">COCCCn1cc(C(=O)C2C(C)(C)C2(C)C)c2ccccc21</t>
  </si>
  <si>
    <t xml:space="preserve">CHEMBL2010899</t>
  </si>
  <si>
    <t xml:space="preserve">COCCNC(=O)c1c(NC(=O)C23CC4CC(CC2C4)C3)sc2c1CCOC2</t>
  </si>
  <si>
    <t xml:space="preserve">CHEMBL2205584</t>
  </si>
  <si>
    <t xml:space="preserve">COCCNC(=O)c1c(NC(=O)c2c(F)cccc2C(F)(F)F)sc2c1CCOC2</t>
  </si>
  <si>
    <t xml:space="preserve">CHEMBL2205620</t>
  </si>
  <si>
    <t xml:space="preserve">COCCNC(=O)c1c(NC(=O)c2ccccc2C(F)(F)F)sc2c1CCOC2</t>
  </si>
  <si>
    <t xml:space="preserve">CHEMBL2338176</t>
  </si>
  <si>
    <t xml:space="preserve">COCCOC1CCN(C(=O)C23CC4CC(CC(C4)C2)C3)c2ccccc21</t>
  </si>
  <si>
    <t xml:space="preserve">CHEMBL3582026</t>
  </si>
  <si>
    <t xml:space="preserve">COCCOCC(C)(C)c1cc(NC(=O)c2ccc(C3CCCC3)c(OCC3CC3)n2)on1</t>
  </si>
  <si>
    <t xml:space="preserve">CHEMBL3092892</t>
  </si>
  <si>
    <t xml:space="preserve">COCCn1c(-c2ccccc2Cl)nc2c(N3CCN(C(C)=O)CC3)nc(C)nc21</t>
  </si>
  <si>
    <t xml:space="preserve">CHEMBL3092891</t>
  </si>
  <si>
    <t xml:space="preserve">COCCn1c(-c2ccccc2Cl)nc2c(N3CCN(CCF)CC3)nc(C)nc21</t>
  </si>
  <si>
    <t xml:space="preserve">CHEMBL3092893</t>
  </si>
  <si>
    <t xml:space="preserve">COCCn1c(-c2ccccc2Cl)nc2c(N3CCN4C(=O)CCC4C3)nc(C)nc21</t>
  </si>
  <si>
    <t xml:space="preserve">CHEMBL1668507</t>
  </si>
  <si>
    <t xml:space="preserve">COCCn1c(C)c(C(C)(C)C)s/c1=N\C(=O)c1ccc(C(F)(F)F)cc1</t>
  </si>
  <si>
    <t xml:space="preserve">CHEMBL1668519</t>
  </si>
  <si>
    <t xml:space="preserve">COCCn1c(C)c(C)s/c1=N\C(=O)C1C(C)(C)C1(C)C</t>
  </si>
  <si>
    <t xml:space="preserve">CHEMBL1254015</t>
  </si>
  <si>
    <t xml:space="preserve">CHEMBL3325938</t>
  </si>
  <si>
    <t xml:space="preserve">COCCn1c(Cc2ccc(Cl)c(Cl)c2)nc2cc(C(F)(F)F)ccc21</t>
  </si>
  <si>
    <t xml:space="preserve">CHEMBL2019092</t>
  </si>
  <si>
    <t xml:space="preserve">COCCn1c2c(cc(C(=O)NC3(C(=O)O)CCCCC3)c1=O)CCCCCC2</t>
  </si>
  <si>
    <t xml:space="preserve">CHEMBL2387179</t>
  </si>
  <si>
    <t xml:space="preserve">COCCn1c2c(cc(C(=O)NCc3ccccc3)c1=O)CCCCCC2</t>
  </si>
  <si>
    <t xml:space="preserve">CHEMBL570690</t>
  </si>
  <si>
    <t xml:space="preserve">COCCn1cc(C(=O)C2C(C)(C)C2(C)C)c2ccccc21</t>
  </si>
  <si>
    <t xml:space="preserve">CHEMBL2152806</t>
  </si>
  <si>
    <t xml:space="preserve">COCCn1cc(C(=O)N[C@@H]2C(C)(C)C3CC[C@]2(C)C3)c(=O)c2ccc(F)cc21</t>
  </si>
  <si>
    <t xml:space="preserve">CHEMBL2152816</t>
  </si>
  <si>
    <t xml:space="preserve">COCCn1cc(C(=O)N[C@@H]2C(C)(C)C3CC[C@]2(C)C3)c(=O)c2ccc(Sc3ccccc3)cc21</t>
  </si>
  <si>
    <t xml:space="preserve">CHEMBL1828808</t>
  </si>
  <si>
    <t xml:space="preserve">COCCn1cc(C(=O)Nc2ccc3ccccc3c2)c2ccccc21</t>
  </si>
  <si>
    <t xml:space="preserve">CHEMBL1828807</t>
  </si>
  <si>
    <t xml:space="preserve">COCCn1cc(C(=O)Nc2cccc3ccccc23)c2ccccc21</t>
  </si>
  <si>
    <t xml:space="preserve">CHEMBL1828810</t>
  </si>
  <si>
    <t xml:space="preserve">COCCn1cc(C(=O)c2cccc3ccccc23)c2cccnc21</t>
  </si>
  <si>
    <t xml:space="preserve">CHEMBL1828811</t>
  </si>
  <si>
    <t xml:space="preserve">COCCn1cc(C(=O)c2cccc3ccccc23)c2ccncc21</t>
  </si>
  <si>
    <t xml:space="preserve">CHEMBL1828804</t>
  </si>
  <si>
    <t xml:space="preserve">COCCn1cc(C(=O)c2ccccc2-c2ccccc2)c2ccccc21</t>
  </si>
  <si>
    <t xml:space="preserve">CHEMBL3686305</t>
  </si>
  <si>
    <t xml:space="preserve">COCCn1cc(C(C)(C)C)s/c1=N\C(=O)c1cc(C(F)(F)F)ccc1OCc1cnccn1</t>
  </si>
  <si>
    <t xml:space="preserve">CHEMBL3650097</t>
  </si>
  <si>
    <t xml:space="preserve">COCCn1nc(C(C)(C)C)s/c1=N\C(=O)c1cc(C(F)(F)F)ccc1ONC(C)(C)C</t>
  </si>
  <si>
    <t xml:space="preserve">CHEMBL3597331</t>
  </si>
  <si>
    <t xml:space="preserve">COC[C@@H](COC(C)=O)N(C)C(=O)CC/C=C/CCCCC(Cl)CCCCCC(Cl)Cl</t>
  </si>
  <si>
    <t xml:space="preserve">CHEMBL3598794</t>
  </si>
  <si>
    <t xml:space="preserve">CHEMBL3596185</t>
  </si>
  <si>
    <t xml:space="preserve">Displacement of [3H]-CP55940 from human recombinant CB2 receptor expressed in HEK293 cells after 90 mins by scintillation counting analysis</t>
  </si>
  <si>
    <t xml:space="preserve">CHEMBL3597330</t>
  </si>
  <si>
    <t xml:space="preserve">COC[C@@H](COC(C)=O)N(C)C(=O)CC/C=C/CCCCC(Cl)CCCCCCCl</t>
  </si>
  <si>
    <t xml:space="preserve">CHEMBL406399</t>
  </si>
  <si>
    <t xml:space="preserve">COCc1ccc2c(c1)c(C(=O)C1C(C)(C)C1(C)C)cn2CC1CCOCC1</t>
  </si>
  <si>
    <t xml:space="preserve">CHEMBL5863557</t>
  </si>
  <si>
    <t xml:space="preserve">CONC(=O)[C@@H](NC(=O)c1nn(-c2c[n+]([O-])ccn2)c2c1C[C@H]1C[C@@H]21)C(C)(C)C</t>
  </si>
  <si>
    <t xml:space="preserve">CHEMBL2387536</t>
  </si>
  <si>
    <t xml:space="preserve">COc1c(C)c(C)c2oc(=O)c(Cc3ccc(F)cc3)cc2c1C</t>
  </si>
  <si>
    <t xml:space="preserve">CHEMBL2387534</t>
  </si>
  <si>
    <t xml:space="preserve">COc1c(C)c(C)c2oc(=O)c(Cc3ccccc3)cc2c1C</t>
  </si>
  <si>
    <t xml:space="preserve">CHEMBL2387538</t>
  </si>
  <si>
    <t xml:space="preserve">COc1c(C)c(C)c2oc(=O)c(Cc3ccccc3C)cc2c1C</t>
  </si>
  <si>
    <t xml:space="preserve">CHEMBL3397517</t>
  </si>
  <si>
    <t xml:space="preserve">COc1c(C)cc(-c2ccc(F)cc2)cc1C(=O)NC1CCCCCC1</t>
  </si>
  <si>
    <t xml:space="preserve">CHEMBL3397519</t>
  </si>
  <si>
    <t xml:space="preserve">COc1c(C)cc(-c2ccc(F)cc2)cc1C(=O)N[C@H]1CC[C@@H](C)CC1</t>
  </si>
  <si>
    <t xml:space="preserve">CHEMBL3397518</t>
  </si>
  <si>
    <t xml:space="preserve">COc1c(C)cc(-c2ccc(F)cc2)cc1C(=O)N[C@H]1CC[C@H](C)CC1</t>
  </si>
  <si>
    <t xml:space="preserve">CHEMBL3397448</t>
  </si>
  <si>
    <t xml:space="preserve">COc1c(C)cc(-c2ccccc2)cc1C(=O)NC1CCCCCC1</t>
  </si>
  <si>
    <t xml:space="preserve">CHEMBL3397450</t>
  </si>
  <si>
    <t xml:space="preserve">COc1c(C)cc(-c2ccccc2)cc1C(=O)N[C@H]1CC[C@@H](C)CC1</t>
  </si>
  <si>
    <t xml:space="preserve">CHEMBL3397449</t>
  </si>
  <si>
    <t xml:space="preserve">COc1c(C)cc(-c2ccccc2)cc1C(=O)N[C@H]1CC[C@H](C)CC1</t>
  </si>
  <si>
    <t xml:space="preserve">CHEMBL3798133</t>
  </si>
  <si>
    <t xml:space="preserve">COc1c(Cc2ccc(F)cc2)cc(-c2ccc(F)cc2)cc1C(=O)NC1CCCCCC1</t>
  </si>
  <si>
    <t xml:space="preserve">CHEMBL3797787</t>
  </si>
  <si>
    <t xml:space="preserve">COc1c(Cc2ccc(F)cc2)cc(-c2ccc(F)cc2)cc1C(=O)N[C@H]1CC[C@@H](C)CC1</t>
  </si>
  <si>
    <t xml:space="preserve">CHEMBL3799406</t>
  </si>
  <si>
    <t xml:space="preserve">COc1c(Cc2ccc(F)cc2)cc(-c2ccc(F)cc2)cc1C(=O)N[C@H]1CC[C@H](C)CC1</t>
  </si>
  <si>
    <t xml:space="preserve">CHEMBL3799936</t>
  </si>
  <si>
    <t xml:space="preserve">COc1c(Cc2ccc(F)cc2)cc(-c2ccccc2)cc1C(=O)NC1CCCCCC1</t>
  </si>
  <si>
    <t xml:space="preserve">CHEMBL3799040</t>
  </si>
  <si>
    <t xml:space="preserve">COc1c(Cc2ccc(F)cc2)cc(-c2ccccc2)cc1C(=O)N[C@H]1CC[C@@H](C)CC1</t>
  </si>
  <si>
    <t xml:space="preserve">CHEMBL3797270</t>
  </si>
  <si>
    <t xml:space="preserve">COc1c(Cc2ccc(F)cc2)cc(-c2ccccc2)cc1C(=O)N[C@H]1CC[C@H](C)CC1</t>
  </si>
  <si>
    <t xml:space="preserve">CHEMBL3798776</t>
  </si>
  <si>
    <t xml:space="preserve">COc1c(Cc2ccccc2)cc(-c2ccccc2)cc1C(=O)NC1CCCCCC1</t>
  </si>
  <si>
    <t xml:space="preserve">CHEMBL3797248</t>
  </si>
  <si>
    <t xml:space="preserve">COc1c(Cc2ccccc2)cc(-c2ccccc2)cc1C(=O)N[C@H]1CC[C@@H](C)CC1</t>
  </si>
  <si>
    <t xml:space="preserve">CHEMBL3798474</t>
  </si>
  <si>
    <t xml:space="preserve">COc1c(Cc2ccccc2)cc(-c2ccccc2)cc1C(=O)N[C@H]1CC[C@H](C)CC1</t>
  </si>
  <si>
    <t xml:space="preserve">CHEMBL5409074</t>
  </si>
  <si>
    <t xml:space="preserve">COc1cc(Br)cc(C(=O)NC23CC4CC(CC(C4)C2)C3)c1OC</t>
  </si>
  <si>
    <t xml:space="preserve">CHEMBL5405774</t>
  </si>
  <si>
    <t xml:space="preserve">COc1cc(Br)cc(C(=O)NC23CC4CC(CC(C4)C2)C3)c1OCc1ccccc1</t>
  </si>
  <si>
    <t xml:space="preserve">CHEMBL228429</t>
  </si>
  <si>
    <t xml:space="preserve">COc1cc(C(=O)O)cc(OC)c1-c1cc(C)cc(C)c1</t>
  </si>
  <si>
    <t xml:space="preserve">CHEMBL460754</t>
  </si>
  <si>
    <t xml:space="preserve">COc1cc(C(=O)c2ccccc2)cc(O)c1-c1cc(Cl)cc(Cl)c1</t>
  </si>
  <si>
    <t xml:space="preserve">CHEMBL6152899</t>
  </si>
  <si>
    <t xml:space="preserve">COc1cc(C(C)(C)CCCCCCN=C=S)cc(OC)c1[C@@H]1C=C(CO)[C@@H]2C[C@H]1C2(C)C</t>
  </si>
  <si>
    <t xml:space="preserve">CHEMBL6133219</t>
  </si>
  <si>
    <t xml:space="preserve">COc1cc(C(C)(C)CCCCCCN=C=S)cc(OC)c1[C@H]1C=C(CO)[C@H]2C[C@@H]1C2(C)C</t>
  </si>
  <si>
    <t xml:space="preserve">CHEMBL460544</t>
  </si>
  <si>
    <t xml:space="preserve">COc1cc(C(O)c2ccccc2)cc(OC)c1-c1cc(Cl)cc(Cl)c1</t>
  </si>
  <si>
    <t xml:space="preserve">CHEMBL470619</t>
  </si>
  <si>
    <t xml:space="preserve">COc1cc(C)cc2oc(=O)c(Cc3ccc(C)cc3)cc12</t>
  </si>
  <si>
    <t xml:space="preserve">CHEMBL959188</t>
  </si>
  <si>
    <t xml:space="preserve">CHEMBL1153953</t>
  </si>
  <si>
    <t xml:space="preserve">Displacement of [3H]CP-55940 from human recombinant cannabinoid CB2 receptor expressed in HEK293 cells</t>
  </si>
  <si>
    <t xml:space="preserve">CHEMBL513034</t>
  </si>
  <si>
    <t xml:space="preserve">COc1cc(C)cc2oc(=O)c(Cc3ccc(Cl)cc3)cc12</t>
  </si>
  <si>
    <t xml:space="preserve">CHEMBL470618</t>
  </si>
  <si>
    <t xml:space="preserve">COc1cc(C)cc2oc(=O)c(Cc3ccccc3C)cc12</t>
  </si>
  <si>
    <t xml:space="preserve">CHEMBL470602</t>
  </si>
  <si>
    <t xml:space="preserve">COc1cc(C)cc2oc(=O)c(Cc3ccccc3Cl)cc12</t>
  </si>
  <si>
    <t xml:space="preserve">CHEMBL470212</t>
  </si>
  <si>
    <t xml:space="preserve">COc1cc(C)cc2oc(=O)c(Cc3ccccc3O)cc12</t>
  </si>
  <si>
    <t xml:space="preserve">CHEMBL574965</t>
  </si>
  <si>
    <t xml:space="preserve">COc1cc(CNC(=O)c2nn(-c3ccc(Cl)cc3Cl)c(-n3c(C)ccc3C)c2C)c(Br)c(OC)c1OC</t>
  </si>
  <si>
    <t xml:space="preserve">CHEMBL1049259</t>
  </si>
  <si>
    <t xml:space="preserve">CHEMBL1154113</t>
  </si>
  <si>
    <t xml:space="preserve">CHEMBL574959</t>
  </si>
  <si>
    <t xml:space="preserve">COc1cc(CNC(=O)c2nn(-c3ccc(Cl)cc3Cl)c(-n3cccc3)c2C)c(Br)c(OC)c1OC</t>
  </si>
  <si>
    <t xml:space="preserve">CHEMBL574970</t>
  </si>
  <si>
    <t xml:space="preserve">COc1cc(CNC(=O)c2nn(-c3ccc(F)cc3F)c(-n3c(C)ccc3C)c2C)c(Br)c(OC)c1OC</t>
  </si>
  <si>
    <t xml:space="preserve">CHEMBL573098</t>
  </si>
  <si>
    <t xml:space="preserve">COc1cc(CNC(=O)c2nn(-c3ccc(F)cc3F)c(-n3cccc3)c2C)c(Br)c(OC)c1OC</t>
  </si>
  <si>
    <t xml:space="preserve">CHEMBL270125</t>
  </si>
  <si>
    <t xml:space="preserve">COc1cc2c(cc1O)c(C(=O)C1C(C)(C)C1(C)C)cn2CC1CCOCC1</t>
  </si>
  <si>
    <t xml:space="preserve">CHEMBL270987</t>
  </si>
  <si>
    <t xml:space="preserve">COc1cc2c(cc1OCc1ccccc1)c(C(=O)C1C(C)(C)C1(C)C)cn2CC1CCOCC1</t>
  </si>
  <si>
    <t xml:space="preserve">CHEMBL231202</t>
  </si>
  <si>
    <t xml:space="preserve">COc1ccc(-c2c(C)c3c(n2-c2ccccc2Cl)CCN(N2CCCCC2)C3=O)cc1</t>
  </si>
  <si>
    <t xml:space="preserve">CHEMBL905970</t>
  </si>
  <si>
    <t xml:space="preserve">CHEMBL1143786</t>
  </si>
  <si>
    <t xml:space="preserve">CHEMBL3114181</t>
  </si>
  <si>
    <t xml:space="preserve">COc1ccc(-c2cc(C(=O)NC3CCCCCC3)c(=O)n(Cc3ccc(F)cc3)c2)cc1</t>
  </si>
  <si>
    <t xml:space="preserve">CHEMBL4781965</t>
  </si>
  <si>
    <t xml:space="preserve">COc1ccc(-c2cc(C(=O)NC3CCCCCC3)c(=O)n(Cc3ccc(F)cc3)c2C)cc1</t>
  </si>
  <si>
    <t xml:space="preserve">CHEMBL4711356</t>
  </si>
  <si>
    <t xml:space="preserve">CHEMBL4706601</t>
  </si>
  <si>
    <t xml:space="preserve">Displacement of [3H]CP55940 from recombinant human CB2R expressed in CHO cell membranes incubated for 90 mins</t>
  </si>
  <si>
    <t xml:space="preserve">CHEMBL4753784</t>
  </si>
  <si>
    <t xml:space="preserve">COc1ccc(-c2cc(C(=O)NC3CCCCCC3)c(OCc3ccc(F)cc3)nc2C)cc1</t>
  </si>
  <si>
    <t xml:space="preserve">CHEMBL3397445</t>
  </si>
  <si>
    <t xml:space="preserve">COc1ccc(-c2cc(C)c(OC)c(C(=O)NC3CCCCCC3)c2)cc1</t>
  </si>
  <si>
    <t xml:space="preserve">CHEMBL3799538</t>
  </si>
  <si>
    <t xml:space="preserve">COc1ccc(-c2cc(Cc3ccc(F)cc3)c(OC)c(C(=O)N[C@H]3CC[C@@H](C)CC3)c2)cc1</t>
  </si>
  <si>
    <t xml:space="preserve">CHEMBL3797983</t>
  </si>
  <si>
    <t xml:space="preserve">COc1ccc(-c2cc(Cc3ccc(F)cc3)c(OC)c(C(=O)N[C@H]3CC[C@H](C)CC3)c2)cc1</t>
  </si>
  <si>
    <t xml:space="preserve">CHEMBL4175177</t>
  </si>
  <si>
    <t xml:space="preserve">COc1ccc(-c2cn(Cc3ccc(F)cc3)c(=O)c(C(=O)NC3CCCCCC3)c2C)cc1</t>
  </si>
  <si>
    <t xml:space="preserve">CHEMBL4155182</t>
  </si>
  <si>
    <t xml:space="preserve">CHEMBL4152271</t>
  </si>
  <si>
    <t xml:space="preserve">Displacement of [3H]-CP55940 from human CB2 receptor expressed in CHO cell membranes after 90 mins</t>
  </si>
  <si>
    <t xml:space="preserve">CHEMBL3353451</t>
  </si>
  <si>
    <t xml:space="preserve">COc1ccc(-c2cnc3c(c2)cc(C(=O)NC2CCC(C)CC2)c(=O)n3CCN2CCOCC2)cc1</t>
  </si>
  <si>
    <t xml:space="preserve">CHEMBL3353443</t>
  </si>
  <si>
    <t xml:space="preserve">COc1ccc(-c2cnc3c(c2)cc(C(=O)NC2CCC(C)CC2)c(=O)n3Cc2ccc(F)cc2)cc1</t>
  </si>
  <si>
    <t xml:space="preserve">CHEMBL3984372</t>
  </si>
  <si>
    <t xml:space="preserve">COc1ccc(-c2nc3ccccc3n2C(=O)c2cccc3ccccc23)cc1</t>
  </si>
  <si>
    <t xml:space="preserve">CHEMBL411481</t>
  </si>
  <si>
    <t xml:space="preserve">COc1ccc(-c2oc3cc(OC)ccc3c2C(=O)c2ccc(C#N)cc2)cc1</t>
  </si>
  <si>
    <t xml:space="preserve">CHEMBL4530405</t>
  </si>
  <si>
    <t xml:space="preserve">COc1ccc(-c2oc3ccccc3c2C(=O)c2ccc(N(C)Cc3ccc(F)cc3)cc2)cc1</t>
  </si>
  <si>
    <t xml:space="preserve">CHEMBL4543379</t>
  </si>
  <si>
    <t xml:space="preserve">COc1ccc(-c2oc3ccccc3c2C(=O)c2ccc(N(Cc3ccc(F)cc3)Cc3ccc(F)cc3)cc2)cc1</t>
  </si>
  <si>
    <t xml:space="preserve">CHEMBL4532907</t>
  </si>
  <si>
    <t xml:space="preserve">COc1ccc(-c2oc3ccccc3c2C(=O)c2ccc(N(Cc3ccccc3)Cc3ccccc3)cc2)cc1</t>
  </si>
  <si>
    <t xml:space="preserve">CHEMBL4520615</t>
  </si>
  <si>
    <t xml:space="preserve">COc1ccc(-c2oc3ccccc3c2C(=O)c2ccc(NCC3CC3)cc2)cc1</t>
  </si>
  <si>
    <t xml:space="preserve">CHEMBL4473103</t>
  </si>
  <si>
    <t xml:space="preserve">COc1ccc(-c2oc3ccccc3c2C(=O)c2ccc(NCc3cc(F)cc(F)c3)cc2)cc1</t>
  </si>
  <si>
    <t xml:space="preserve">CHEMBL4473425</t>
  </si>
  <si>
    <t xml:space="preserve">COc1ccc(-c2oc3ccccc3c2C(=O)c2ccc(NCc3ccc(C#N)cc3)cc2)cc1</t>
  </si>
  <si>
    <t xml:space="preserve">CHEMBL4442990</t>
  </si>
  <si>
    <t xml:space="preserve">COc1ccc(-c2oc3ccccc3c2C(=O)c2ccc(NCc3ccc(F)cc3)cc2)cc1</t>
  </si>
  <si>
    <t xml:space="preserve">CHEMBL4464357</t>
  </si>
  <si>
    <t xml:space="preserve">COc1ccc(-c2oc3ccccc3c2C(=O)c2ccc(NCc3ccccc3)cc2)cc1</t>
  </si>
  <si>
    <t xml:space="preserve">CHEMBL4566417</t>
  </si>
  <si>
    <t xml:space="preserve">COc1ccc(-c2oc3ccccc3c2C(=O)c2ccc(NCc3ccccn3)cc2)cc1</t>
  </si>
  <si>
    <t xml:space="preserve">CHEMBL4527727</t>
  </si>
  <si>
    <t xml:space="preserve">COc1ccc(-c2oc3ccccc3c2C(=O)c2ccc(OCCCN(C)Cc3ccccc3)cc2)cc1</t>
  </si>
  <si>
    <t xml:space="preserve">CHEMBL4587421</t>
  </si>
  <si>
    <t xml:space="preserve">COc1ccc(-c2oc3ccccc3c2C(=O)c2ccc(OCCN(C)Cc3ccccc3)cc2)cc1</t>
  </si>
  <si>
    <t xml:space="preserve">CHEMBL3907434</t>
  </si>
  <si>
    <t xml:space="preserve">COc1ccc(-c2sc3ccccc3c2C(=O)c2cccc3ccccc23)cc1</t>
  </si>
  <si>
    <t xml:space="preserve">CHEMBL175369</t>
  </si>
  <si>
    <t xml:space="preserve">COc1ccc(-n2c(-c3ccc(Cl)cc3Cl)nc(C(=O)NN3CCCCC3)c2C)cc1</t>
  </si>
  <si>
    <t xml:space="preserve">CHEMBL123515</t>
  </si>
  <si>
    <t xml:space="preserve">COc1ccc(/C=C2\C=C(CCN3CCOCC3)c3ccccc32)c2ccccc12</t>
  </si>
  <si>
    <t xml:space="preserve">CHEMBL3221183</t>
  </si>
  <si>
    <t xml:space="preserve">COc1ccc(/C=C2\N=C3SCCCN3C2=O)c(OC)c1</t>
  </si>
  <si>
    <t xml:space="preserve">CHEMBL231933</t>
  </si>
  <si>
    <t xml:space="preserve">COc1ccc(/N=C2\SCC3(CCCCC3)CN2C(=S)SC)cc1</t>
  </si>
  <si>
    <t xml:space="preserve">CHEMBL1698484</t>
  </si>
  <si>
    <t xml:space="preserve">COc1ccc(C(=O)NC23CC4CC(CC(C4)C2)C3)cc1</t>
  </si>
  <si>
    <t xml:space="preserve">CHEMBL1451130</t>
  </si>
  <si>
    <t xml:space="preserve">COc1ccc(C(=O)NC23CC4CC(CC(C4)C2)C3)cc1OC</t>
  </si>
  <si>
    <t xml:space="preserve">CHEMBL594935</t>
  </si>
  <si>
    <t xml:space="preserve">COc1ccc(C(=O)c2c(-c3ccc(OC)cc3)sc3ccccc23)cc1</t>
  </si>
  <si>
    <t xml:space="preserve">CHEMBL181633</t>
  </si>
  <si>
    <t xml:space="preserve">COc1ccc(C(=O)c2c(C)n(CCN3CCOCC3)c3cc(I)ccc23)cc1</t>
  </si>
  <si>
    <t xml:space="preserve">CHEMBL840162</t>
  </si>
  <si>
    <t xml:space="preserve">CHEMBL1144302</t>
  </si>
  <si>
    <t xml:space="preserve">Binding affinity for human cannabinoid receptor 2 was determined by using [3H]CP-55940 as radioligand</t>
  </si>
  <si>
    <t xml:space="preserve">CHEMBL3960083</t>
  </si>
  <si>
    <t xml:space="preserve">COc1ccc(C(=O)c2c(CC(C)C)sc3ccccc23)cc1</t>
  </si>
  <si>
    <t xml:space="preserve">CHEMBL4282604</t>
  </si>
  <si>
    <t xml:space="preserve">COc1ccc(C(=O)c2cn(CC3CCOCC3)c3c(O)cccc23)cc1</t>
  </si>
  <si>
    <t xml:space="preserve">CHEMBL4279405</t>
  </si>
  <si>
    <t xml:space="preserve">COc1ccc(C(=O)c2cn(CC3CCOCC3)c3c(OCC(=O)O)cccc23)cc1</t>
  </si>
  <si>
    <t xml:space="preserve">CHEMBL4291156</t>
  </si>
  <si>
    <t xml:space="preserve">COc1ccc(C(=O)c2cn(CC3CCOCC3)c3c(OCCCCC(=O)O)cccc23)cc1</t>
  </si>
  <si>
    <t xml:space="preserve">CHEMBL4294653</t>
  </si>
  <si>
    <t xml:space="preserve">COc1ccc(C(=O)c2cn(CC3CCOCC3)c3c(OCCCCCCNC(C)=O)cccc23)cc1</t>
  </si>
  <si>
    <t xml:space="preserve">CHEMBL4284943</t>
  </si>
  <si>
    <t xml:space="preserve">COc1ccc(C(=O)c2cn(CC3CCOCC3)c3ccc(O)cc23)cc1</t>
  </si>
  <si>
    <t xml:space="preserve">CHEMBL4295181</t>
  </si>
  <si>
    <t xml:space="preserve">COc1ccc(C(=O)c2cn(CC3CCOCC3)c3ccc(OCC(=O)O)cc23)cc1</t>
  </si>
  <si>
    <t xml:space="preserve">CHEMBL4277575</t>
  </si>
  <si>
    <t xml:space="preserve">COc1ccc(C(=O)c2cn(CCN3CCOCC3)c3ccc(O)cc23)cc1</t>
  </si>
  <si>
    <t xml:space="preserve">CHEMBL3926929</t>
  </si>
  <si>
    <t xml:space="preserve">COc1ccc(C(=O)n2c(-c3ccc(OC)cc3)nc3ccccc32)cc1</t>
  </si>
  <si>
    <t xml:space="preserve">CHEMBL3898882</t>
  </si>
  <si>
    <t xml:space="preserve">COc1ccc(C(=O)n2c(C(C)(C)C)nc3ccccc32)cc1</t>
  </si>
  <si>
    <t xml:space="preserve">CHEMBL3895577</t>
  </si>
  <si>
    <t xml:space="preserve">COc1ccc(C(=O)n2c(C(C)C)nc3ccccc32)cc1</t>
  </si>
  <si>
    <t xml:space="preserve">CHEMBL3898880</t>
  </si>
  <si>
    <t xml:space="preserve">COc1ccc(C(=O)n2c(C3CCC3)nc3ccccc32)cc1</t>
  </si>
  <si>
    <t xml:space="preserve">CHEMBL3950235</t>
  </si>
  <si>
    <t xml:space="preserve">COc1ccc(C(=O)n2c(C3CCCC3)nc3ccccc32)cc1</t>
  </si>
  <si>
    <t xml:space="preserve">CHEMBL3922512</t>
  </si>
  <si>
    <t xml:space="preserve">COc1ccc(C(=O)n2c(C3CCCCC3)nc3ccccc32)cc1</t>
  </si>
  <si>
    <t xml:space="preserve">CHEMBL478210</t>
  </si>
  <si>
    <t xml:space="preserve">COc1ccc(C(C(=O)NCCC(c2ccccc2)c2ccccc2)c2ccccc2)cc1</t>
  </si>
  <si>
    <t xml:space="preserve">CHEMBL2179738</t>
  </si>
  <si>
    <t xml:space="preserve">COc1ccc(C(NC(=O)Cc2ccc(Cl)cc2)NC(=O)Cc2ccc(Cl)cc2)cc1</t>
  </si>
  <si>
    <t xml:space="preserve">CHEMBL2179764</t>
  </si>
  <si>
    <t xml:space="preserve">COc1ccc(C(NC(=O)Cc2ccccc2)NC(=O)Cc2ccccc2)cc1</t>
  </si>
  <si>
    <t xml:space="preserve">CHEMBL1091813</t>
  </si>
  <si>
    <t xml:space="preserve">COc1ccc(C(c2ccc(Cl)cc2Cl)N2CCN(C(=O)NC3CCCCC3)CC2)cc1</t>
  </si>
  <si>
    <t xml:space="preserve">CHEMBL410337</t>
  </si>
  <si>
    <t xml:space="preserve">COc1ccc(C2C(CCS(=O)(=O)c3ccccc3)C(=O)N2c2ccccc2)cc1</t>
  </si>
  <si>
    <t xml:space="preserve">CHEMBL565190</t>
  </si>
  <si>
    <t xml:space="preserve">COc1ccc(C2c3cccn3-c3ccccc3N2C(=O)CN(C(=O)NC(C)(C)C)C(C)C)cc1</t>
  </si>
  <si>
    <t xml:space="preserve">CHEMBL573796</t>
  </si>
  <si>
    <t xml:space="preserve">COc1ccc(CCNC(=O)c2nn(-c3ccc(Cl)cc3Cl)c(-n3c(C)ccc3C)c2C)cc1Cl</t>
  </si>
  <si>
    <t xml:space="preserve">CHEMBL578003</t>
  </si>
  <si>
    <t xml:space="preserve">COc1ccc(CCNC(=O)c2nn(-c3ccc(Cl)cc3Cl)c(-n3cccc3)c2C)cc1Cl</t>
  </si>
  <si>
    <t xml:space="preserve">CHEMBL575164</t>
  </si>
  <si>
    <t xml:space="preserve">COc1ccc(CCNC(=O)c2nn(-c3ccc(F)cc3F)c(-n3cccc3)c2C)cc1Cl</t>
  </si>
  <si>
    <t xml:space="preserve">CHEMBL4537149</t>
  </si>
  <si>
    <t xml:space="preserve">COc1ccc(CNc2ccc(C(=O)c3c(-c4ccc(OC)cc4)oc4ccccc34)cc2)cc1</t>
  </si>
  <si>
    <t xml:space="preserve">CHEMBL4744663</t>
  </si>
  <si>
    <t xml:space="preserve">COc1ccc(COc2n[nH]c3ccc([N+](=O)[O-])cc23)cc1</t>
  </si>
  <si>
    <t xml:space="preserve">CHEMBL4786935</t>
  </si>
  <si>
    <t xml:space="preserve">COc1ccc(COc2n[nH]c3ccccc23)cc1</t>
  </si>
  <si>
    <t xml:space="preserve">CHEMBL3116290</t>
  </si>
  <si>
    <t xml:space="preserve">COc1ccc(COc2nn(CCN(C(C)C)C(C)C)c3ccc([N+](=O)[O-])cc23)cc1</t>
  </si>
  <si>
    <t xml:space="preserve">CHEMBL3116280</t>
  </si>
  <si>
    <t xml:space="preserve">COc1ccc(COc2nn(CCN(C(C)C)C(C)C)c3ccccc23)cc1</t>
  </si>
  <si>
    <t xml:space="preserve">CHEMBL3116281</t>
  </si>
  <si>
    <t xml:space="preserve">COc1ccc(COc2nn(Cc3ccc(OC)cc3)c3ccccc23)cc1</t>
  </si>
  <si>
    <t xml:space="preserve">CHEMBL470016</t>
  </si>
  <si>
    <t xml:space="preserve">COc1ccc(Cc2cc3c(OC)cc(C)cc3oc2=O)c(OC)c1</t>
  </si>
  <si>
    <t xml:space="preserve">CHEMBL471249</t>
  </si>
  <si>
    <t xml:space="preserve">COc1ccc(Cc2cc3c(OC)cc(C)cc3oc2=O)cc1</t>
  </si>
  <si>
    <t xml:space="preserve">CHEMBL1531383</t>
  </si>
  <si>
    <t xml:space="preserve">COc1ccc(Cn2c(-c3ccc(OC)cc3)nc3ccccc32)cc1</t>
  </si>
  <si>
    <t xml:space="preserve">CHEMBL522719</t>
  </si>
  <si>
    <t xml:space="preserve">COc1ccc(OC)c(N(CC(=O)NCc2ccncc2)S(=O)(=O)c2ccc(C)cc2)c1</t>
  </si>
  <si>
    <t xml:space="preserve">CHEMBL1668509</t>
  </si>
  <si>
    <t xml:space="preserve">COc1ccc(OC)c2c(=O)c(C(=O)NC34CC5CC(CC(C5)C3)C4)c[nH]c12</t>
  </si>
  <si>
    <t xml:space="preserve">CHEMBL2336528</t>
  </si>
  <si>
    <t xml:space="preserve">COc1ccc(S(=O)(=O)N(Cc2ccc(N3CCCCC3)cc2)c2ccccc2)cc1</t>
  </si>
  <si>
    <t xml:space="preserve">CHEMBL2113156</t>
  </si>
  <si>
    <t xml:space="preserve">COc1ccc(S(=O)(=O)c2cc(OC)ccc2C(=O)c2ccc([C@H](C)NS(C)(=O)=O)cc2)cc1</t>
  </si>
  <si>
    <t xml:space="preserve">CHEMBL199048</t>
  </si>
  <si>
    <t xml:space="preserve">COc1ccc(S(=O)(=O)c2cc(OC)ccc2Cc2ccc([C@H](C)NS(C)(=O)=O)cc2)cc1</t>
  </si>
  <si>
    <t xml:space="preserve">CHEMBL198252</t>
  </si>
  <si>
    <t xml:space="preserve">COc1ccc(S(=O)(=O)c2cc(OC)ccc2S(=O)(=O)c2ccc(C(C)(C)NS(C)(=O)=O)cc2)cc1</t>
  </si>
  <si>
    <t xml:space="preserve">CHEMBL1081623</t>
  </si>
  <si>
    <t xml:space="preserve">COc1ccc(S(=O)(=O)c2cc(OC)ccc2S(=O)(=O)c2ccc(C(C)NS(C)(=O)=O)cc2)cc1</t>
  </si>
  <si>
    <t xml:space="preserve">CHEMBL197777</t>
  </si>
  <si>
    <t xml:space="preserve">COc1ccc(S(=O)(=O)c2cc(OC)ccc2S(=O)(=O)c2ccc(CNS(C)(=O)=O)cc2)cc1</t>
  </si>
  <si>
    <t xml:space="preserve">CHEMBL198062</t>
  </si>
  <si>
    <t xml:space="preserve">COc1ccc(S(=O)(=O)c2cc(OC)ccc2S(=O)(=O)c2ccc([C@@H](C)NS(C)(=O)=O)cc2)cc1</t>
  </si>
  <si>
    <t xml:space="preserve">CHEMBL595705</t>
  </si>
  <si>
    <t xml:space="preserve">COc1ccc(S(=O)(=O)c2ccc(Cl)cc2S(=O)(=O)N2CCC3(CC2)CC3NS(=O)(=O)C(F)(F)F)cc1</t>
  </si>
  <si>
    <t xml:space="preserve">CHEMBL370824</t>
  </si>
  <si>
    <t xml:space="preserve">COc1ccc(S(=O)(=O)c2ccc([C@H](C)NS(C)(=O)=O)cc2)c(S(=O)(=O)c2ccc(Cl)cc2)c1</t>
  </si>
  <si>
    <t xml:space="preserve">CHEMBL197955</t>
  </si>
  <si>
    <t xml:space="preserve">COc1ccc(S(=O)(=O)c2ccc([C@H](C)NS(C)(=O)=O)cc2)c(S(=O)(=O)c2ccccc2)c1</t>
  </si>
  <si>
    <t xml:space="preserve">CHEMBL261595</t>
  </si>
  <si>
    <t xml:space="preserve">COc1ccc([C@@H]2[C@@H](CCCc3cccnc3)C(=O)N2c2ccccc2)cc1</t>
  </si>
  <si>
    <t xml:space="preserve">CHEMBL259646</t>
  </si>
  <si>
    <t xml:space="preserve">COc1ccc([C@@H]2[C@@H](Cc3cc4ccccc4o3)C(=O)N2c2ccccc2)cc1</t>
  </si>
  <si>
    <t xml:space="preserve">CHEMBL398446</t>
  </si>
  <si>
    <t xml:space="preserve">COc1ccc2c(=O)c(C(=O)NC3CCCCC3)cn(CCN3CCOCC3)c2c1</t>
  </si>
  <si>
    <t xml:space="preserve">CHEMBL250767</t>
  </si>
  <si>
    <t xml:space="preserve">COc1ccc2c(=O)c(C(=O)NC3CCCCC3)cn(Cc3ccccc3)c2c1</t>
  </si>
  <si>
    <t xml:space="preserve">CHEMBL250565</t>
  </si>
  <si>
    <t xml:space="preserve">COc1ccc2c(=O)c(C(=O)NC3CCCCC3)cn(Cc3ccccc3)c2n1</t>
  </si>
  <si>
    <t xml:space="preserve">CHEMBL269851</t>
  </si>
  <si>
    <t xml:space="preserve">COc1ccc2c(C(=O)C3C(C)(C)C3(C)C)cn(CC3CCOCC3)c2c1</t>
  </si>
  <si>
    <t xml:space="preserve">CHEMBL2348475</t>
  </si>
  <si>
    <t xml:space="preserve">COc1ccc2c(c1)-c1c(O)cc(C34CC5CC(CC(C5)C3)C4)cc1OC2(C)C</t>
  </si>
  <si>
    <t xml:space="preserve">CHEMBL3234036</t>
  </si>
  <si>
    <t xml:space="preserve">COc1ccc2c(c1)N(C)C(C)(C)[C@@H]1CC[C@@H](C)C[C@@H]21</t>
  </si>
  <si>
    <t xml:space="preserve">CHEMBL3239838</t>
  </si>
  <si>
    <t xml:space="preserve">Displacement of [3H]Win55212-2 from human CB2 receptor expressed in CHO-K1 cells by liquid scintillation counting</t>
  </si>
  <si>
    <t xml:space="preserve">CHEMBL3781521</t>
  </si>
  <si>
    <t xml:space="preserve">COc1ccc2c(c1)OC(C)(C)c1cn(CCN3CCN(C(=O)C(C)(C)C)CC3)nc1-2</t>
  </si>
  <si>
    <t xml:space="preserve">CHEMBL3783895</t>
  </si>
  <si>
    <t xml:space="preserve">CHEMBL3779839</t>
  </si>
  <si>
    <t xml:space="preserve">Displacement of [3H]CP55940 from human CB2 receptor expressed in HEK293 EBNA cells after 90 mins by liquid scintillation spectrophotometer</t>
  </si>
  <si>
    <t xml:space="preserve">CHEMBL3780020</t>
  </si>
  <si>
    <t xml:space="preserve">COc1ccc2c(c1)OC(C)(C)c1cn(CCN3CCN(C(=O)C4CCCCC4)CC3)nc1-2</t>
  </si>
  <si>
    <t xml:space="preserve">CHEMBL3781437</t>
  </si>
  <si>
    <t xml:space="preserve">COc1ccc2c(c1)OC(C)(C)c1cn(CCN3CCN(C(=O)C4CCCO4)CC3)nc1-2</t>
  </si>
  <si>
    <t xml:space="preserve">CHEMBL3779969</t>
  </si>
  <si>
    <t xml:space="preserve">COc1ccc2c(c1)OC(C)(C)c1cn(CCN3CCN(C(=O)c4ccccc4)CC3)nc1-2</t>
  </si>
  <si>
    <t xml:space="preserve">CHEMBL3781158</t>
  </si>
  <si>
    <t xml:space="preserve">COc1ccc2c(c1)OC(C)(C)c1cn(CCN3CCN(C(=O)c4ccco4)CC3)nc1-2</t>
  </si>
  <si>
    <t xml:space="preserve">CHEMBL3781953</t>
  </si>
  <si>
    <t xml:space="preserve">COc1ccc2c(c1)OC(C)(C)c1cn(CCN3CCN(C(=O)c4cccs4)CC3)nc1-2</t>
  </si>
  <si>
    <t xml:space="preserve">CHEMBL3781085</t>
  </si>
  <si>
    <t xml:space="preserve">COc1ccc2c(c1)OC(C)(C)c1cn(CNC(=O)CN3CCN(c4ccccc4)CC3)nc1-2</t>
  </si>
  <si>
    <t xml:space="preserve">CHEMBL3781210</t>
  </si>
  <si>
    <t xml:space="preserve">COc1ccc2c(c1)OC(C)(C)c1cnn(CNC(=O)CN3CCN(c4ccccc4)CC3)c1-2</t>
  </si>
  <si>
    <t xml:space="preserve">CHEMBL272882</t>
  </si>
  <si>
    <t xml:space="preserve">COc1ccc2c(c1)c(C(=O)C1C(C)(C)C1(C)C)cn2CC1CCOCC1</t>
  </si>
  <si>
    <t xml:space="preserve">CHEMBL409231</t>
  </si>
  <si>
    <t xml:space="preserve">COc1ccc2c(c1)c(C(=O)C1C(C)(C)C1(C)C)cn2CCN1CCOCC1</t>
  </si>
  <si>
    <t xml:space="preserve">CHEMBL3409322</t>
  </si>
  <si>
    <t xml:space="preserve">COc1ccc2c(c1)c(CCN1CCOCC1)c(C)n2C(=O)c1ccc(Cl)cc1Cl</t>
  </si>
  <si>
    <t xml:space="preserve">CHEMBL3413754</t>
  </si>
  <si>
    <t xml:space="preserve">CHEMBL1807842</t>
  </si>
  <si>
    <t xml:space="preserve">COc1ccc2c(c1)c(CCN1CCOCC1)c(C)n2C(=O)c1cccc(Cl)c1Cl</t>
  </si>
  <si>
    <t xml:space="preserve">CHEMBL73711</t>
  </si>
  <si>
    <t xml:space="preserve">CHEMBL1763798</t>
  </si>
  <si>
    <t xml:space="preserve">CHEMBL1759910</t>
  </si>
  <si>
    <t xml:space="preserve">CHEMBL3239864</t>
  </si>
  <si>
    <t xml:space="preserve">CHEMBL1822931</t>
  </si>
  <si>
    <t xml:space="preserve">COc1ccc2cc(C(=O)NCC(F)c3ccccc3)c(=O)[nH]c2c1OC</t>
  </si>
  <si>
    <t xml:space="preserve">CHEMBL1822929</t>
  </si>
  <si>
    <t xml:space="preserve">COc1ccc2cc(C(=O)NCCc3ccc(F)cc3)c(=O)[nH]c2c1OC</t>
  </si>
  <si>
    <t xml:space="preserve">CHEMBL231932</t>
  </si>
  <si>
    <t xml:space="preserve">COc1cccc(/N=C2\SCC3(CCCCC3)CN2C(=S)SC)c1</t>
  </si>
  <si>
    <t xml:space="preserve">CHEMBL1476320</t>
  </si>
  <si>
    <t xml:space="preserve">COc1cccc(C(=O)NC23CC4CC(CC(C4)C2)C3)c1</t>
  </si>
  <si>
    <t xml:space="preserve">CHEMBL5417553</t>
  </si>
  <si>
    <t xml:space="preserve">COc1cccc(C(=O)NC23CC4CC(CC(C4)C2)C3)c1Cc1ccccc1</t>
  </si>
  <si>
    <t xml:space="preserve">CHEMBL5398394</t>
  </si>
  <si>
    <t xml:space="preserve">COc1cccc(C(=O)NC23CC4CC(CC(C4)C2)C3)c1O</t>
  </si>
  <si>
    <t xml:space="preserve">CHEMBL5401744</t>
  </si>
  <si>
    <t xml:space="preserve">COc1cccc(C(=O)NC23CC4CC(CC(C4)C2)C3)c1OC</t>
  </si>
  <si>
    <t xml:space="preserve">CHEMBL256749</t>
  </si>
  <si>
    <t xml:space="preserve">COc1cccc(CNC(=O)c2ccc(Br)c(S(=O)(=O)N3CCCCC3)c2)c1</t>
  </si>
  <si>
    <t xml:space="preserve">CHEMBL2181551</t>
  </si>
  <si>
    <t xml:space="preserve">COc1cccc(Cc2cc3c(OC)cc(Br)cc3oc2=O)c1</t>
  </si>
  <si>
    <t xml:space="preserve">CHEMBL511304</t>
  </si>
  <si>
    <t xml:space="preserve">COc1cccc(Cc2cc3c(OC)cc(C)cc3oc2=O)c1</t>
  </si>
  <si>
    <t xml:space="preserve">CHEMBL2181552</t>
  </si>
  <si>
    <t xml:space="preserve">COc1cccc(Cc2cc3c(OC)cc(CBr)cc3oc2=O)c1</t>
  </si>
  <si>
    <t xml:space="preserve">CHEMBL554943</t>
  </si>
  <si>
    <t xml:space="preserve">COc1cccc(N2C(C(C)=O)=NN(c3ccc(Cl)cc3)C2c2ccc(N3CCOCC3)cc2)c1</t>
  </si>
  <si>
    <t xml:space="preserve">CHEMBL2017678</t>
  </si>
  <si>
    <t xml:space="preserve">COc1cccc2c(-c3nsc(CN4CCN(CC(N)=O)CC4)n3)cn(CC3CCOCC3)c12</t>
  </si>
  <si>
    <t xml:space="preserve">CHEMBL2019456</t>
  </si>
  <si>
    <t xml:space="preserve">CHEMBL2016544</t>
  </si>
  <si>
    <t xml:space="preserve">Displacement of [3H]CP 55,940 from human CB2 receptor expressed in insect sf9 membranes</t>
  </si>
  <si>
    <t xml:space="preserve">CHEMBL3409317</t>
  </si>
  <si>
    <t xml:space="preserve">COc1cccc2c(=O)c(C(=O)NC(C)(C)C)cn(CCCF)c12</t>
  </si>
  <si>
    <t xml:space="preserve">CHEMBL1814469</t>
  </si>
  <si>
    <t xml:space="preserve">COc1cccc2c(=O)c(C(=O)NC34CC5CC(CC(C5)C3)C4)c[nH]c12</t>
  </si>
  <si>
    <t xml:space="preserve">CHEMBL5182619</t>
  </si>
  <si>
    <t xml:space="preserve">COc1cccc2c(=O)c(C(=O)NC34CC5CC(CC(C5)C3)C4)cn(CCOCCCF)c12</t>
  </si>
  <si>
    <t xml:space="preserve">CHEMBL5149230</t>
  </si>
  <si>
    <t xml:space="preserve">CHEMBL5143730</t>
  </si>
  <si>
    <t xml:space="preserve">Displacement of [3H]-WIN55212-2 from human CB2 receptor transfected in CHO-K1 cell membrane incubated for 90 mins by Liquid scintillation counter analysis</t>
  </si>
  <si>
    <t xml:space="preserve">CHEMBL4070881</t>
  </si>
  <si>
    <t xml:space="preserve">COc1cccc2c(=O)c(C(=O)NC34CC5CC(CC(C5)C3)C4)cn(CCOCCF)c12</t>
  </si>
  <si>
    <t xml:space="preserve">CHEMBL411631</t>
  </si>
  <si>
    <t xml:space="preserve">COc1cccc2c(C(=O)C3C(C)(C)C3(C)C)cn(CC3CCOCC3)c12</t>
  </si>
  <si>
    <t xml:space="preserve">CHEMBL67006</t>
  </si>
  <si>
    <t xml:space="preserve">COc1cccc2c(C(=O)N(Cc3c(F)cccc3Cl)C(C)C)nn(CCN3CCOCC3)c12</t>
  </si>
  <si>
    <t xml:space="preserve">CHEMBL3347369</t>
  </si>
  <si>
    <t xml:space="preserve">COc1cccc2c(C(=O)N3CCN(C)[C@@H](C)C3)cn(CC3CCCCC3)c12</t>
  </si>
  <si>
    <t xml:space="preserve">CHEMBL3391582</t>
  </si>
  <si>
    <t xml:space="preserve">CHEMBL3390831</t>
  </si>
  <si>
    <t xml:space="preserve">Displacement of [3H]-CP55940 from human cannabinoid CB2 receptor expressed in Sf9 insect cells after 70 mins by scintillation counting</t>
  </si>
  <si>
    <t xml:space="preserve">CHEMBL1287846</t>
  </si>
  <si>
    <t xml:space="preserve">COc1cccc2c(C(=O)N3CCN4CCCC[C@H]4C3)cn(CC3CCCCC3)c12</t>
  </si>
  <si>
    <t xml:space="preserve">CHEMBL1292552</t>
  </si>
  <si>
    <t xml:space="preserve">CHEMBL1287799</t>
  </si>
  <si>
    <t xml:space="preserve">Displacement of [3H]-CP55940 from human CB2 expressed in insect Sf9 membranes</t>
  </si>
  <si>
    <t xml:space="preserve">CHEMBL1209708</t>
  </si>
  <si>
    <t xml:space="preserve">COc1cccc2c(C(=O)N3C[C@@H](C)N(C)[C@@H](C)C3)cn(CC3CCCCC3)c12</t>
  </si>
  <si>
    <t xml:space="preserve">CHEMBL3347370</t>
  </si>
  <si>
    <t xml:space="preserve">CHEMBL66956</t>
  </si>
  <si>
    <t xml:space="preserve">COc1cccc2c(C(=O)NC(c3ccccc3)c3ccccn3)nn(CCN3CCOCC3)c12</t>
  </si>
  <si>
    <t xml:space="preserve">CHEMBL431363</t>
  </si>
  <si>
    <t xml:space="preserve">COc1cccc2c(C(=O)NC3C(C)(C)[C@@H]4CC[C@@]3(C)C4)c(C)n(CCN3CCOCC3)c12</t>
  </si>
  <si>
    <t xml:space="preserve">CHEMBL68288</t>
  </si>
  <si>
    <t xml:space="preserve">COc1cccc2c(C(=O)NC3C(C)(C)[C@@H]4CC[C@@]3(C)C4)cn(CCN3CCOCC3)c12</t>
  </si>
  <si>
    <t xml:space="preserve">CHEMBL294591</t>
  </si>
  <si>
    <t xml:space="preserve">COc1cccc2c(C(=O)NC3C(C)(C)[C@@H]4CC[C@@]3(C)C4)nn(CCN3CCOCC3)c12</t>
  </si>
  <si>
    <t xml:space="preserve">CHEMBL3234671</t>
  </si>
  <si>
    <t xml:space="preserve">COc1cccc2c(C(=O)N[C@@H]3C(C)(C)[C@@H]4CC[C@@]3(C)C4)cn(CCN3CCOCC3)c12</t>
  </si>
  <si>
    <t xml:space="preserve">CHEMBL3235057</t>
  </si>
  <si>
    <t xml:space="preserve">COc1cccc2c(C(=O)N[C@@H]3C(C)(C)[C@@H]4CC[C@@]3(C)C4)nn(CCN3CCOCC3)c12</t>
  </si>
  <si>
    <t xml:space="preserve">CHEMBL3234669</t>
  </si>
  <si>
    <t xml:space="preserve">COc1cccc2c(C(=O)c3ccc(Br)c4ccccc34)c(C)n(CCN3CCOCC3)c12</t>
  </si>
  <si>
    <t xml:space="preserve">CHEMBL408964</t>
  </si>
  <si>
    <t xml:space="preserve">COc1cccc2c1c(C(=O)C1C(C)(C)C1(C)C)cn2CC1CCOCC1</t>
  </si>
  <si>
    <t xml:space="preserve">CHEMBL527031</t>
  </si>
  <si>
    <t xml:space="preserve">COc1cccc2c3c(=O)n([C@@H]4C(C)(C)[C@@H]5CC[C@@]4(C)C5)ccc3n(CCN3CCOCC3)c12</t>
  </si>
  <si>
    <t xml:space="preserve">CHEMBL2414018</t>
  </si>
  <si>
    <t xml:space="preserve">COc1ccccc1-c1cc(C(=O)NC23CC4CC(CC(C4)C2)C3)no1</t>
  </si>
  <si>
    <t xml:space="preserve">CHEMBL469895</t>
  </si>
  <si>
    <t xml:space="preserve">COc1ccccc1/N=C1\OCC2(CCCCC2)CN1C(=S)SC</t>
  </si>
  <si>
    <t xml:space="preserve">CHEMBL245449</t>
  </si>
  <si>
    <t xml:space="preserve">COc1ccccc1/N=C1\SCC(C)(C)CN1C(=S)SC</t>
  </si>
  <si>
    <t xml:space="preserve">CHEMBL231721</t>
  </si>
  <si>
    <t xml:space="preserve">COc1ccccc1/N=C1\SCC2(CCCCC2)CN1C(=S)SC</t>
  </si>
  <si>
    <t xml:space="preserve">CHEMBL5432986</t>
  </si>
  <si>
    <t xml:space="preserve">COc1ccccc1C(=O)NC12CC3CC(CC(C3)C1)C2</t>
  </si>
  <si>
    <t xml:space="preserve">CHEMBL63365</t>
  </si>
  <si>
    <t xml:space="preserve">COc1ccccc1CNC(=O)c1nn(CCN2CCOCC2)c2c(OC)cccc12</t>
  </si>
  <si>
    <t xml:space="preserve">CHEMBL257715</t>
  </si>
  <si>
    <t xml:space="preserve">COc1ccccc1CNC(=O)c1oc2ccc(S(=O)(=O)N3CC(C)CC(C)C3)cc2c1C</t>
  </si>
  <si>
    <t xml:space="preserve">CHEMBL470018</t>
  </si>
  <si>
    <t xml:space="preserve">COc1ccccc1Cc1cc2c(C(C)C)ccc(C)c2oc1=O</t>
  </si>
  <si>
    <t xml:space="preserve">CHEMBL2387533</t>
  </si>
  <si>
    <t xml:space="preserve">COc1ccccc1Cc1cc2c(C)c(OC)c(C)c(C)c2oc1=O</t>
  </si>
  <si>
    <t xml:space="preserve">CHEMBL2387744</t>
  </si>
  <si>
    <t xml:space="preserve">COc1ccccc1Cc1cc2c(C)ccc(C(C)C)c2oc1=O</t>
  </si>
  <si>
    <t xml:space="preserve">CHEMBL2387743</t>
  </si>
  <si>
    <t xml:space="preserve">COc1ccccc1Cc1cc2c(C)ccc(C)c2oc1=O</t>
  </si>
  <si>
    <t xml:space="preserve">CHEMBL471248</t>
  </si>
  <si>
    <t xml:space="preserve">COc1ccccc1Cc1cc2c(OC)cc(C)cc2oc1=O</t>
  </si>
  <si>
    <t xml:space="preserve">CHEMBL470017</t>
  </si>
  <si>
    <t xml:space="preserve">COc1ccccc1Cc1cc2c(OC)ccc(C)c2oc1=O</t>
  </si>
  <si>
    <t xml:space="preserve">CHEMBL505327</t>
  </si>
  <si>
    <t xml:space="preserve">COc1ccccc1Cc1cc2c(OC)cccc2oc1=O</t>
  </si>
  <si>
    <t xml:space="preserve">CHEMBL469340</t>
  </si>
  <si>
    <t xml:space="preserve">COc1ccccc1Cc1cc2c(ccc3ccccc32)oc1=O</t>
  </si>
  <si>
    <t xml:space="preserve">CHEMBL63561</t>
  </si>
  <si>
    <t xml:space="preserve">COc1ccccc1Cn1ccc2c(c1=O)c1cccc(OC)c1n2CCN1CCOCC1</t>
  </si>
  <si>
    <t xml:space="preserve">CHEMBL4226066</t>
  </si>
  <si>
    <t xml:space="preserve">COc1ccccc1N1CCN(c2ncnc3c2nc(-c2ccccc2Cl)n3-c2ccc(Cl)cc2)CC1</t>
  </si>
  <si>
    <t xml:space="preserve">CHEMBL560463</t>
  </si>
  <si>
    <t xml:space="preserve">COc1ccccc1NC(=O)C(C)Sc1nc(-c2ccc(C)cc2)nc2c1COC(C)(C)C2</t>
  </si>
  <si>
    <t xml:space="preserve">CHEMBL2063250</t>
  </si>
  <si>
    <t xml:space="preserve">CS(=O)(=O)CC(=O)NC1CCCOc2c1nn(-c1ccccc1Cl)c2-c1ccc(Cl)cc1</t>
  </si>
  <si>
    <t xml:space="preserve">CHEMBL6192315</t>
  </si>
  <si>
    <t xml:space="preserve">CS(=O)(=O)N1CCC(N[C@H]2CCCOc3c2nn(-c2ccccc2Cl)c3-c2ccc(Cl)cc2)CC1</t>
  </si>
  <si>
    <t xml:space="preserve">CHEMBL4241237</t>
  </si>
  <si>
    <t xml:space="preserve">CS(=O)(=O)N1CCN(c2ncnc3c2nc(-c2ccccc2Cl)n3-c2ccc(Cl)cc2)CC1</t>
  </si>
  <si>
    <t xml:space="preserve">CHEMBL2180218</t>
  </si>
  <si>
    <t xml:space="preserve">CS(=O)(=O)NC1(c2ccccc2)CCN(c2ncnc3c2nc(-c2ccccc2Cl)n3-c2ccc(Cl)cc2)CC1</t>
  </si>
  <si>
    <t xml:space="preserve">CHEMBL2180211</t>
  </si>
  <si>
    <t xml:space="preserve">CS(=O)(=O)NC1CCN(c2ncnc3c2nc(-c2ccccc2Cl)n3-c2ccc(Cl)cc2)CC1</t>
  </si>
  <si>
    <t xml:space="preserve">CHEMBL2441464</t>
  </si>
  <si>
    <t xml:space="preserve">CS(=O)(=O)NCCCn1c2ccccc2c2cc(C(=O)N3CCCCC3)ccc21</t>
  </si>
  <si>
    <t xml:space="preserve">CHEMBL5070349</t>
  </si>
  <si>
    <t xml:space="preserve">CS/C(N)=N/C(=N/S(=O)(=O)N1CCC(C(F)(F)F)CC1)N1C[C@H](c2ccccc2)C(c2ccc(Cl)cc2)=N1</t>
  </si>
  <si>
    <t xml:space="preserve">CHEMBL515604</t>
  </si>
  <si>
    <t xml:space="preserve">CSC(=O)N1CC2(CCCCC2)CN/C1=N\c1cccc2ccccc12</t>
  </si>
  <si>
    <t xml:space="preserve">CHEMBL475610</t>
  </si>
  <si>
    <t xml:space="preserve">CSC(=O)N1CC2(CCCCC2)CO/C1=N\c1cccc2ccccc12</t>
  </si>
  <si>
    <t xml:space="preserve">CHEMBL475772</t>
  </si>
  <si>
    <t xml:space="preserve">CSC(=O)N1CC2(CCCCC2)CS/C1=N\c1cccc2ccccc12</t>
  </si>
  <si>
    <t xml:space="preserve">CHEMBL246516</t>
  </si>
  <si>
    <t xml:space="preserve">CSC(=S)N1CC(C)(C)CS/C1=N\c1ccc(C(C)C)cc1</t>
  </si>
  <si>
    <t xml:space="preserve">CHEMBL246310</t>
  </si>
  <si>
    <t xml:space="preserve">CSC(=S)N1CC(C)(C)CS/C1=N\c1cccc(C(C)C)c1</t>
  </si>
  <si>
    <t xml:space="preserve">CHEMBL245702</t>
  </si>
  <si>
    <t xml:space="preserve">CSC(=S)N1CC(C)(C)CS/C1=N\c1ccccc1</t>
  </si>
  <si>
    <t xml:space="preserve">CHEMBL438507</t>
  </si>
  <si>
    <t xml:space="preserve">CSC(=S)N1CC(C)(C)CS/C1=N\c1ccccc1-c1ccccc1</t>
  </si>
  <si>
    <t xml:space="preserve">CHEMBL248514</t>
  </si>
  <si>
    <t xml:space="preserve">CSC(=S)N1CC(C)(C)CS/C1=N\c1ccccc1Br</t>
  </si>
  <si>
    <t xml:space="preserve">CHEMBL245706</t>
  </si>
  <si>
    <t xml:space="preserve">CSC(=S)N1CC(C)(C)CS/C1=N\c1ccccc1C</t>
  </si>
  <si>
    <t xml:space="preserve">CHEMBL245910</t>
  </si>
  <si>
    <t xml:space="preserve">CSC(=S)N1CC(C)(C)CS/C1=N\c1ccccc1C(C)(C)C</t>
  </si>
  <si>
    <t xml:space="preserve">CHEMBL232730</t>
  </si>
  <si>
    <t xml:space="preserve">CSC(=S)N1CC(C)(C)CS/C1=N\c1ccccc1C(C)C</t>
  </si>
  <si>
    <t xml:space="preserve">CHEMBL245450</t>
  </si>
  <si>
    <t xml:space="preserve">CSC(=S)N1CC(C)(C)CS/C1=N\c1ccccc1C(F)(F)F</t>
  </si>
  <si>
    <t xml:space="preserve">CHEMBL396152</t>
  </si>
  <si>
    <t xml:space="preserve">CSC(=S)N1CC(C)(C)CS/C1=N\c1ccccc1Cl</t>
  </si>
  <si>
    <t xml:space="preserve">CHEMBL248513</t>
  </si>
  <si>
    <t xml:space="preserve">CSC(=S)N1CC(C)(C)CS/C1=N\c1ccccc1F</t>
  </si>
  <si>
    <t xml:space="preserve">CHEMBL394122</t>
  </si>
  <si>
    <t xml:space="preserve">CSC(=S)N1CC(C)(C)CS/C1=N\c1ccccc1Oc1ccccc1</t>
  </si>
  <si>
    <t xml:space="preserve">CHEMBL245453</t>
  </si>
  <si>
    <t xml:space="preserve">CSC(=S)N1CC(C)CS/C1=N\c1ccccc1C(C)C</t>
  </si>
  <si>
    <t xml:space="preserve">CHEMBL232928</t>
  </si>
  <si>
    <t xml:space="preserve">CSC(=S)N1CC2(CC2)CS/C1=N\c1ccccc1C(C)C</t>
  </si>
  <si>
    <t xml:space="preserve">CHEMBL232929</t>
  </si>
  <si>
    <t xml:space="preserve">CSC(=S)N1CC2(CCCC2)CS/C1=N\c1ccccc1C(C)C</t>
  </si>
  <si>
    <t xml:space="preserve">CHEMBL481508</t>
  </si>
  <si>
    <t xml:space="preserve">CSC(=S)N1CC2(CCCCC2)CO/C1=N\c1cc(C(C)(C)C)no1</t>
  </si>
  <si>
    <t xml:space="preserve">CHEMBL449624</t>
  </si>
  <si>
    <t xml:space="preserve">CSC(=S)N1CC2(CCCCC2)CO/C1=N\c1cc(C(C)(C)C)on1</t>
  </si>
  <si>
    <t xml:space="preserve">CHEMBL481888</t>
  </si>
  <si>
    <t xml:space="preserve">CSC(=S)N1CC2(CCCCC2)CO/C1=N\c1ccc(C#N)c2c1CCCC2</t>
  </si>
  <si>
    <t xml:space="preserve">CHEMBL482357</t>
  </si>
  <si>
    <t xml:space="preserve">CSC(=S)N1CC2(CCCCC2)CO/C1=N\c1ccc(C#N)c2ccccc12</t>
  </si>
  <si>
    <t xml:space="preserve">CHEMBL480579</t>
  </si>
  <si>
    <t xml:space="preserve">CSC(=S)N1CC2(CCCCC2)CO/C1=N\c1ccc(Cl)c2c1CCCC2</t>
  </si>
  <si>
    <t xml:space="preserve">CHEMBL482356</t>
  </si>
  <si>
    <t xml:space="preserve">CSC(=S)N1CC2(CCCCC2)CO/C1=N\c1ccc(Cl)c2ccccc12</t>
  </si>
  <si>
    <t xml:space="preserve">CHEMBL482355</t>
  </si>
  <si>
    <t xml:space="preserve">CSC(=S)N1CC2(CCCCC2)CO/C1=N\c1ccc(F)c2ccccc12</t>
  </si>
  <si>
    <t xml:space="preserve">CHEMBL481716</t>
  </si>
  <si>
    <t xml:space="preserve">CSC(=S)N1CC2(CCCCC2)CO/C1=N\c1ccc(N(C)C)c2ccccc12</t>
  </si>
  <si>
    <t xml:space="preserve">CHEMBL519635</t>
  </si>
  <si>
    <t xml:space="preserve">CSC(=S)N1CC2(CCCCC2)CO/C1=N\c1ccc([N+](=O)[O-])c2ccccc12</t>
  </si>
  <si>
    <t xml:space="preserve">CHEMBL480578</t>
  </si>
  <si>
    <t xml:space="preserve">CSC(=S)N1CC2(CCCCC2)CO/C1=N\c1cccc2c1CCCC2</t>
  </si>
  <si>
    <t xml:space="preserve">CHEMBL516406</t>
  </si>
  <si>
    <t xml:space="preserve">CSC(=S)N1CC2(CCCCC2)CO/C1=N\c1cccc2ccccc12</t>
  </si>
  <si>
    <t xml:space="preserve">CHEMBL469896</t>
  </si>
  <si>
    <t xml:space="preserve">CSC(=S)N1CC2(CCCCC2)CO/C1=N\c1cccc2nonc12</t>
  </si>
  <si>
    <t xml:space="preserve">CHEMBL475611</t>
  </si>
  <si>
    <t xml:space="preserve">CSC(=S)N1CC2(CCCCC2)CO/C1=N\c1ccccc1</t>
  </si>
  <si>
    <t xml:space="preserve">CHEMBL511790</t>
  </si>
  <si>
    <t xml:space="preserve">CSC(=S)N1CC2(CCCCC2)CO/C1=N\c1nc(C(C)(C)C)cs1</t>
  </si>
  <si>
    <t xml:space="preserve">CHEMBL393045</t>
  </si>
  <si>
    <t xml:space="preserve">CSC(=S)N1CC2(CCCCC2)CS/C1=N\c1ccc(C#N)cc1</t>
  </si>
  <si>
    <t xml:space="preserve">CHEMBL392841</t>
  </si>
  <si>
    <t xml:space="preserve">CSC(=S)N1CC2(CCCCC2)CS/C1=N\c1ccc(C(C)C)cc1</t>
  </si>
  <si>
    <t xml:space="preserve">CHEMBL231935</t>
  </si>
  <si>
    <t xml:space="preserve">CSC(=S)N1CC2(CCCCC2)CS/C1=N\c1ccc(C(F)(F)F)cc1</t>
  </si>
  <si>
    <t xml:space="preserve">CHEMBL232129</t>
  </si>
  <si>
    <t xml:space="preserve">CSC(=S)N1CC2(CCCCC2)CS/C1=N\c1ccc(OC(F)(F)F)cc1</t>
  </si>
  <si>
    <t xml:space="preserve">CHEMBL232118</t>
  </si>
  <si>
    <t xml:space="preserve">CSC(=S)N1CC2(CCCCC2)CS/C1=N\c1ccc2c(c1)CCCC2</t>
  </si>
  <si>
    <t xml:space="preserve">CHEMBL231719</t>
  </si>
  <si>
    <t xml:space="preserve">CSC(=S)N1CC2(CCCCC2)CS/C1=N\c1cccc(C(C)C)c1</t>
  </si>
  <si>
    <t xml:space="preserve">CHEMBL232132</t>
  </si>
  <si>
    <t xml:space="preserve">CSC(=S)N1CC2(CCCCC2)CS/C1=N\c1cccc(C)c1C</t>
  </si>
  <si>
    <t xml:space="preserve">CHEMBL234175</t>
  </si>
  <si>
    <t xml:space="preserve">CSC(=S)N1CC2(CCCCC2)CS/C1=N\c1cccc2c1CCC2</t>
  </si>
  <si>
    <t xml:space="preserve">CHEMBL232116</t>
  </si>
  <si>
    <t xml:space="preserve">CSC(=S)N1CC2(CCCCC2)CS/C1=N\c1cccc2c1CCCC2</t>
  </si>
  <si>
    <t xml:space="preserve">CHEMBL233139</t>
  </si>
  <si>
    <t xml:space="preserve">CSC(=S)N1CC2(CCCCC2)CS/C1=N\c1cccc2c1CCCN2C</t>
  </si>
  <si>
    <t xml:space="preserve">CHEMBL232328</t>
  </si>
  <si>
    <t xml:space="preserve">CSC(=S)N1CC2(CCCCC2)CS/C1=N\c1cccc2ccccc12</t>
  </si>
  <si>
    <t xml:space="preserve">CHEMBL398145</t>
  </si>
  <si>
    <t xml:space="preserve">CSC(=S)N1CC2(CCCCC2)CS/C1=N\c1cccc2ncccc12</t>
  </si>
  <si>
    <t xml:space="preserve">CHEMBL232538</t>
  </si>
  <si>
    <t xml:space="preserve">CSC(=S)N1CC2(CCCCC2)CS/C1=N\c1cccc2nonc12</t>
  </si>
  <si>
    <t xml:space="preserve">CHEMBL232336</t>
  </si>
  <si>
    <t xml:space="preserve">CSC(=S)N1CC2(CCCCC2)CS/C1=N\c1cccc2nsnc12</t>
  </si>
  <si>
    <t xml:space="preserve">CHEMBL443842</t>
  </si>
  <si>
    <t xml:space="preserve">CSC(=S)N1CC2(CCCCC2)CS/C1=N\c1ccccc1C(C)C</t>
  </si>
  <si>
    <t xml:space="preserve">CHEMBL232131</t>
  </si>
  <si>
    <t xml:space="preserve">CSC(=S)N1CC2(CCCCC2)CS/C1=N\c1ccccc1C(F)(F)F</t>
  </si>
  <si>
    <t xml:space="preserve">CHEMBL393188</t>
  </si>
  <si>
    <t xml:space="preserve">CSC(=S)N1CC2(CCCCC2)CS/C1=N\c1ccccc1OC(F)(F)F</t>
  </si>
  <si>
    <t xml:space="preserve">CHEMBL248517</t>
  </si>
  <si>
    <t xml:space="preserve">CSC(=S)N1CCCS/C1=N\c1ccccc1C(C)C</t>
  </si>
  <si>
    <t xml:space="preserve">CHEMBL4163505</t>
  </si>
  <si>
    <t xml:space="preserve">CSC1=NC(=O)/C(=C/c2cccc(OCc3ccc(Cl)cc3)c2)N1</t>
  </si>
  <si>
    <t xml:space="preserve">CHEMBL569301</t>
  </si>
  <si>
    <t xml:space="preserve">CSCCCCn1cc(C(=O)C2C(C)(C)C2(C)C)c2ccccc21</t>
  </si>
  <si>
    <t xml:space="preserve">CHEMBL5789679</t>
  </si>
  <si>
    <t xml:space="preserve">CSSC1CCN(c2nc(C(F)(F)c3ccccc3)nc3c2nnn3Cc2ccccc2Cl)C1</t>
  </si>
  <si>
    <t xml:space="preserve">CHEMBL6023053</t>
  </si>
  <si>
    <t xml:space="preserve">CSSC1CCN(c2nc(C(F)(F)c3ccccc3)nc3c2nnn3Cc2nonc2C)C1</t>
  </si>
  <si>
    <t xml:space="preserve">CHEMBL596671</t>
  </si>
  <si>
    <t xml:space="preserve">CSc1c(C(=O)NC23CC4CC(CC(C4)C2)C3)nc(C)n1-c1ccccc1</t>
  </si>
  <si>
    <t xml:space="preserve">CHEMBL1088244</t>
  </si>
  <si>
    <t xml:space="preserve">CSc1c(C(=O)NN2CCCC2)nn(-c2ccc(Cl)cc2Cl)c1-c1ccc(Cl)cc1</t>
  </si>
  <si>
    <t xml:space="preserve">CHEMBL1103906</t>
  </si>
  <si>
    <t xml:space="preserve">CHEMBL1157923</t>
  </si>
  <si>
    <t xml:space="preserve">CHEMBL1088221</t>
  </si>
  <si>
    <t xml:space="preserve">CSc1c(C(=O)NN2CCCCC2)nc(-c2ccc(Cl)cc2Cl)n1-c1ccc(Cl)cc1</t>
  </si>
  <si>
    <t xml:space="preserve">CHEMBL1088245</t>
  </si>
  <si>
    <t xml:space="preserve">CSc1c(C(=O)NN2CCCCC2)nn(-c2ccc(Cl)cc2Cl)c1-c1ccc(Cl)cc1</t>
  </si>
  <si>
    <t xml:space="preserve">CHEMBL1088507</t>
  </si>
  <si>
    <t xml:space="preserve">CSc1c(C(=O)NN2CCCCCC2)nc(-c2ccc(Cl)cc2Cl)n1-c1ccc(Cl)cc1</t>
  </si>
  <si>
    <t xml:space="preserve">CHEMBL1088376</t>
  </si>
  <si>
    <t xml:space="preserve">CSc1c(C(=O)NN2CCCCCC2)nn(-c2ccc(Cl)cc2Cl)c1-c1ccc(Cl)cc1</t>
  </si>
  <si>
    <t xml:space="preserve">CHEMBL3686331</t>
  </si>
  <si>
    <t xml:space="preserve">C[C@@H](O)COc1ccc(C(F)(F)F)cc1C(=O)/N=c1\sc(C(C)(C)C)cn1C[C@H]1CCCO1</t>
  </si>
  <si>
    <t xml:space="preserve">CHEMBL3329478</t>
  </si>
  <si>
    <t xml:space="preserve">C[C@@H]1CCC2=C(C1)Oc1cc(O)ccc1C2(C)C</t>
  </si>
  <si>
    <t xml:space="preserve">CHEMBL2163575</t>
  </si>
  <si>
    <t xml:space="preserve">C[C@@H]1COc2cccc3c(=O)c(C(=O)NC45CC6CC(CC(C6)C4)C5)cn1c23</t>
  </si>
  <si>
    <t xml:space="preserve">CHEMBL2163573</t>
  </si>
  <si>
    <t xml:space="preserve">C[C@@H]1COc2cccc3c(=O)c(C(=O)NC4CCCCC4)cn1c23</t>
  </si>
  <si>
    <t xml:space="preserve">CHEMBL4218835</t>
  </si>
  <si>
    <t xml:space="preserve">C[C@H](/C=C\C/C=C\C/C=C\CCCC(=O)NC1CC1)/C=C\CCCCCN=C=S</t>
  </si>
  <si>
    <t xml:space="preserve">CHEMBL4213900</t>
  </si>
  <si>
    <t xml:space="preserve">C[C@H](/C=C\C/C=C\C/C=C\CCCC(=O)NC1CC1)/C=C\CCCCCN=[N+]=[N-]</t>
  </si>
  <si>
    <t xml:space="preserve">CHEMBL4203180</t>
  </si>
  <si>
    <t xml:space="preserve">C[C@H](/C=C\C/C=C\C/C=C\CCCC(=O)N[C@H](C)CO)/C=C\CCCOc1ccccc1</t>
  </si>
  <si>
    <t xml:space="preserve">CHEMBL208548</t>
  </si>
  <si>
    <t xml:space="preserve">C[C@H](CO)NC(=O)CCC/C=C\C/C=C\C/C=C\C/C=C\CCOC(=O)c1cc(I)ccc1N=[N+]=[N-]</t>
  </si>
  <si>
    <t xml:space="preserve">CHEMBL870295</t>
  </si>
  <si>
    <t xml:space="preserve">CHEMBL1138953</t>
  </si>
  <si>
    <t xml:space="preserve">Displacement of [3H]CP-55-940 from human recombinant CB2 receptor in COS cells</t>
  </si>
  <si>
    <t xml:space="preserve">CHEMBL513597</t>
  </si>
  <si>
    <t xml:space="preserve">C[C@H](CO)NC(=O)CCC/C=C\C/C=C\C/C=C\C/C=C\CCOC(=O)c1cccc2c1OC(C)(C(C)(C)C)O2</t>
  </si>
  <si>
    <t xml:space="preserve">CHEMBL941186</t>
  </si>
  <si>
    <t xml:space="preserve">CHEMBL1140909</t>
  </si>
  <si>
    <t xml:space="preserve">Displacement of [3H]CP-55-940 from human recombinant CB2 receptor expressed in COS cells</t>
  </si>
  <si>
    <t xml:space="preserve">CHEMBL393344</t>
  </si>
  <si>
    <t xml:space="preserve">C[C@H](CO)NC(=O)CCC/C=C\C/C=C\CCOc1cccc(C(C)(C)CCCC#N)c1</t>
  </si>
  <si>
    <t xml:space="preserve">CHEMBL240314</t>
  </si>
  <si>
    <t xml:space="preserve">C[C@H](CO)NC(=O)CCC/C=C\C/C=C\CCOc1cccc(C(C)(C)CCCCBr)c1</t>
  </si>
  <si>
    <t xml:space="preserve">CHEMBL240315</t>
  </si>
  <si>
    <t xml:space="preserve">C[C@H](CO)NC(=O)CCC/C=C\C/C=C\CCOc1cccc(C(C)(C)CCCCN=[N+]=[N-])c1</t>
  </si>
  <si>
    <t xml:space="preserve">CHEMBL240313</t>
  </si>
  <si>
    <t xml:space="preserve">C[C@H](CO)NC(=O)CCC/C=C\C/C=C\CCOc1cccc(C(C)(C)CCCCO)c1</t>
  </si>
  <si>
    <t xml:space="preserve">CHEMBL220360</t>
  </si>
  <si>
    <t xml:space="preserve">C[C@H](NC(=O)C(C)(C)Oc1ccc(C(F)(F)F)cn1)[C@@H](Cc1ccc(Cl)cc1)c1cccc(C#N)c1</t>
  </si>
  <si>
    <t xml:space="preserve">CHEMBL245742</t>
  </si>
  <si>
    <t xml:space="preserve">C[C@H](NS(=O)(=O)C(F)(F)F)c1ccc(S(=O)(=O)c2ccc(Cl)cc2S(=O)(=O)c2ccccc2F)cc1</t>
  </si>
  <si>
    <t xml:space="preserve">CHEMBL197904</t>
  </si>
  <si>
    <t xml:space="preserve">C[C@H](NS(C)(=O)=O)c1ccc(Cc2ccc(C(F)(F)F)cc2S(=O)(=O)c2c(F)cccc2F)cc1</t>
  </si>
  <si>
    <t xml:space="preserve">CHEMBL198251</t>
  </si>
  <si>
    <t xml:space="preserve">C[C@H](NS(C)(=O)=O)c1ccc(Cc2ccc(C(F)(F)F)cc2S(=O)(=O)c2cccc(F)c2)cc1</t>
  </si>
  <si>
    <t xml:space="preserve">CHEMBL199102</t>
  </si>
  <si>
    <t xml:space="preserve">C[C@H](NS(C)(=O)=O)c1ccc(Cc2ccc(C(F)(F)F)cc2S(=O)(=O)c2ccccc2F)cc1</t>
  </si>
  <si>
    <t xml:space="preserve">CHEMBL198304</t>
  </si>
  <si>
    <t xml:space="preserve">C[C@H](NS(C)(=O)=O)c1ccc(Cc2ccc(Cl)cc2S(=O)(=O)c2ccc(Cl)cc2)cc1</t>
  </si>
  <si>
    <t xml:space="preserve">CHEMBL199089</t>
  </si>
  <si>
    <t xml:space="preserve">C[C@H](NS(C)(=O)=O)c1ccc(Cc2ccc(OC(F)(F)F)cc2S(=O)(=O)c2cccc(C(F)(F)F)c2)cc1</t>
  </si>
  <si>
    <t xml:space="preserve">CHEMBL381669</t>
  </si>
  <si>
    <t xml:space="preserve">C[C@H](NS(C)(=O)=O)c1ccc(Cc2ccc(OC(F)(F)F)cc2S(=O)(=O)c2ccccc2F)cc1</t>
  </si>
  <si>
    <t xml:space="preserve">CHEMBL199029</t>
  </si>
  <si>
    <t xml:space="preserve">C[C@H](NS(C)(=O)=O)c1ccc(Cc2ccc(OC(F)(F)F)cc2S(=O)(=O)c2ccccc2OC(F)(F)F)cc1</t>
  </si>
  <si>
    <t xml:space="preserve">CHEMBL196518</t>
  </si>
  <si>
    <t xml:space="preserve">C[C@H](NS(C)(=O)=O)c1ccc(S(=O)(=O)c2ccc(C(F)(F)F)cc2S(=O)(=O)c2ccc(Cl)cc2)cc1</t>
  </si>
  <si>
    <t xml:space="preserve">CHEMBL198246</t>
  </si>
  <si>
    <t xml:space="preserve">C[C@H](NS(C)(=O)=O)c1ccc(S(=O)(=O)c2ccc(C(F)(F)F)cc2S(=O)(=O)c2ccccc2F)cc1</t>
  </si>
  <si>
    <t xml:space="preserve">CHEMBL197940</t>
  </si>
  <si>
    <t xml:space="preserve">C[C@H](NS(C)(=O)=O)c1ccc(S(=O)(=O)c2ccc(Cl)cc2C(=O)c2ccc(Cl)cc2)cc1</t>
  </si>
  <si>
    <t xml:space="preserve">CHEMBL373177</t>
  </si>
  <si>
    <t xml:space="preserve">C[C@H](NS(C)(=O)=O)c1ccc(S(=O)(=O)c2ccc(Cl)cc2C(C)(O)c2ccc(Cl)cc2)cc1</t>
  </si>
  <si>
    <t xml:space="preserve">CHEMBL371040</t>
  </si>
  <si>
    <t xml:space="preserve">C[C@H](NS(C)(=O)=O)c1ccc(S(=O)(=O)c2ccc(Cl)cc2C(C)(O)c2ccccc2F)cc1</t>
  </si>
  <si>
    <t xml:space="preserve">CHEMBL381212</t>
  </si>
  <si>
    <t xml:space="preserve">C[C@H](NS(C)(=O)=O)c1ccc(S(=O)(=O)c2ccc(Cl)cc2Cc2ccc(Cl)cc2)cc1</t>
  </si>
  <si>
    <t xml:space="preserve">CHEMBL198128</t>
  </si>
  <si>
    <t xml:space="preserve">C[C@H](NS(C)(=O)=O)c1ccc(S(=O)(=O)c2ccc(Cl)cc2Nc2ccc(Cl)cc2)cc1</t>
  </si>
  <si>
    <t xml:space="preserve">CHEMBL199243</t>
  </si>
  <si>
    <t xml:space="preserve">C[C@H](NS(C)(=O)=O)c1ccc(S(=O)(=O)c2ccc(Cl)cc2Oc2ccc(Cl)cc2)cc1</t>
  </si>
  <si>
    <t xml:space="preserve">CHEMBL197985</t>
  </si>
  <si>
    <t xml:space="preserve">C[C@H](NS(C)(=O)=O)c1ccc(S(=O)(=O)c2ccc(Cl)cc2S(=O)(=O)c2ccc(Cl)cc2)cc1</t>
  </si>
  <si>
    <t xml:space="preserve">CHEMBL381211</t>
  </si>
  <si>
    <t xml:space="preserve">C[C@H](NS(C)(=O)=O)c1ccc(S(=O)(=O)c2ccc(Cl)cc2S(=O)(=O)c2cccc(Cl)c2)cc1</t>
  </si>
  <si>
    <t xml:space="preserve">CHEMBL198164</t>
  </si>
  <si>
    <t xml:space="preserve">C[C@H](NS(C)(=O)=O)c1ccc(S(=O)(=O)c2ccc(Cl)cc2S(=O)(=O)c2ccccc2)cc1</t>
  </si>
  <si>
    <t xml:space="preserve">CHEMBL198253</t>
  </si>
  <si>
    <t xml:space="preserve">C[C@H](NS(C)(=O)=O)c1ccc(S(=O)(=O)c2ccc(Cl)cc2S(=O)(=O)c2ccccc2Cl)cc1</t>
  </si>
  <si>
    <t xml:space="preserve">CHEMBL382728</t>
  </si>
  <si>
    <t xml:space="preserve">C[C@H](NS(C)(=O)=O)c1ccc(S(=O)(=O)c2ccc(Cl)cc2S(=O)(=O)c2ccccc2F)cc1</t>
  </si>
  <si>
    <t xml:space="preserve">CHEMBL369948</t>
  </si>
  <si>
    <t xml:space="preserve">C[C@H](NS(C)(=O)=O)c1ccc(S(=O)(=O)c2ccc(Cl)cc2S(=O)(=O)c2ccccc2OC(F)(F)F)cc1</t>
  </si>
  <si>
    <t xml:space="preserve">CHEMBL198616</t>
  </si>
  <si>
    <t xml:space="preserve">C[C@H](NS(C)(=O)=O)c1ccc(S(=O)(=O)c2ccc(O)cc2S(=O)(=O)c2ccc(Cl)cc2)cc1</t>
  </si>
  <si>
    <t xml:space="preserve">CHEMBL383182</t>
  </si>
  <si>
    <t xml:space="preserve">C[C@H](NS(C)(=O)=O)c1ccc(S(=O)(=O)c2ccc(OC3CCCC3)cc2S(=O)(=O)c2ccc(Cl)cc2)cc1</t>
  </si>
  <si>
    <t xml:space="preserve">CHEMBL194999</t>
  </si>
  <si>
    <t xml:space="preserve">C[C@H](NS(C)(=O)=O)c1ccc(S(=O)(=O)c2ccccc2S(=O)(=O)c2ccc(Cl)cc2)cc1</t>
  </si>
  <si>
    <t xml:space="preserve">CHEMBL199139</t>
  </si>
  <si>
    <t xml:space="preserve">C[C@H](NS(C)(=O)=O)c1ccc(S(=O)(=O)c2ccccc2S(=O)(=O)c2ccccc2F)cc1</t>
  </si>
  <si>
    <t xml:space="preserve">CHEMBL593434</t>
  </si>
  <si>
    <t xml:space="preserve">C[C@H]1CC(CNS(=O)(=O)C(F)(F)F)CCN1S(=O)(=O)c1ccc(Cl)cc1S(=O)(=O)c1ccccc1F</t>
  </si>
  <si>
    <t xml:space="preserve">CHEMBL4094388</t>
  </si>
  <si>
    <t xml:space="preserve">C[C@H]1CC[C@@H](NC(=O)c2cc(-c3ccccc3)nn(Cc3ccc(F)cc3)c2=O)CC1</t>
  </si>
  <si>
    <t xml:space="preserve">CHEMBL3998733</t>
  </si>
  <si>
    <t xml:space="preserve">CHEMBL3997787</t>
  </si>
  <si>
    <t xml:space="preserve">Displacement of [3H]CP55940 from human CB2 receptor expressed in HEK293 EBNA cell membranes after 90 mins by liquid scintillation and luminescence counting method</t>
  </si>
  <si>
    <t xml:space="preserve">CHEMBL3353446</t>
  </si>
  <si>
    <t xml:space="preserve">C[C@H]1CC[C@@H](NC(=O)c2cc3cc(-c4cccs4)cnc3n(Cc3ccc(F)cc3)c2=O)CC1</t>
  </si>
  <si>
    <t xml:space="preserve">CHEMBL3353441</t>
  </si>
  <si>
    <t xml:space="preserve">C[C@H]1CC[C@@H](NC(=O)c2cc3cc(Br)cnc3n(Cc3ccc(F)cc3)c2=O)CC1</t>
  </si>
  <si>
    <t xml:space="preserve">CHEMBL466047</t>
  </si>
  <si>
    <t xml:space="preserve">C[C@H]1CC[C@@H](NC(=O)c2cc3cccnc3n(Cc3ccc(F)cc3)c2=O)CC1</t>
  </si>
  <si>
    <t xml:space="preserve">CHEMBL467681</t>
  </si>
  <si>
    <t xml:space="preserve">C[C@H]1CC[C@@H](NC(=O)c2cc3cccnc3n(Cc3ccccc3)c2=O)CC1</t>
  </si>
  <si>
    <t xml:space="preserve">CHEMBL4104545</t>
  </si>
  <si>
    <t xml:space="preserve">C[C@H]1CC[C@H](NC(=O)c2cc(-c3ccccc3)nn(Cc3ccc(F)cc3)c2=O)CC1</t>
  </si>
  <si>
    <t xml:space="preserve">CHEMBL3353449</t>
  </si>
  <si>
    <t xml:space="preserve">C[C@H]1CC[C@H](NC(=O)c2cc3cc(-c4ccco4)cnc3n(Cc3ccc(F)cc3)c2=O)CC1</t>
  </si>
  <si>
    <t xml:space="preserve">CHEMBL3353445</t>
  </si>
  <si>
    <t xml:space="preserve">C[C@H]1CC[C@H](NC(=O)c2cc3cc(-c4cccs4)cnc3n(Cc3ccc(F)cc3)c2=O)CC1</t>
  </si>
  <si>
    <t xml:space="preserve">CHEMBL3353440</t>
  </si>
  <si>
    <t xml:space="preserve">C[C@H]1CC[C@H](NC(=O)c2cc3cc(Br)cnc3n(Cc3ccc(F)cc3)c2=O)CC1</t>
  </si>
  <si>
    <t xml:space="preserve">CHEMBL512063</t>
  </si>
  <si>
    <t xml:space="preserve">C[C@H]1CC[C@H](NC(=O)c2cc3cccnc3n(Cc3ccc(F)cc3)c2=O)CC1</t>
  </si>
  <si>
    <t xml:space="preserve">CHEMBL467680</t>
  </si>
  <si>
    <t xml:space="preserve">C[C@H]1CC[C@H](NC(=O)c2cc3cccnc3n(Cc3ccccc3)c2=O)CC1</t>
  </si>
  <si>
    <t xml:space="preserve">CHEMBL1209710</t>
  </si>
  <si>
    <t xml:space="preserve">C[C@H]1CN(C(=O)c2cn3c4c(cccc24)OC[C@H]3C2CCCCC2)CCN1C</t>
  </si>
  <si>
    <t xml:space="preserve">CHEMBL595460</t>
  </si>
  <si>
    <t xml:space="preserve">C[C@H]1CN(S(=O)(=O)c2ccc(Cl)cc2S(=O)(=O)c2ccccc2F)CC[C@@H]1CNS(=O)(=O)C(F)(F)F</t>
  </si>
  <si>
    <t xml:space="preserve">CHEMBL2163576</t>
  </si>
  <si>
    <t xml:space="preserve">C[C@H]1COc2cccc3c(=O)c(C(=O)NC45CC6CC(CC(C6)C4)C5)cn1c23</t>
  </si>
  <si>
    <t xml:space="preserve">CHEMBL2163574</t>
  </si>
  <si>
    <t xml:space="preserve">C[C@H]1COc2cccc3c(=O)c(C(=O)NC4CCCCC4)cn1c23</t>
  </si>
  <si>
    <t xml:space="preserve">CHEMBL231943</t>
  </si>
  <si>
    <t xml:space="preserve">C[C@H]1OC(=O)[C@@H]2C[C@@H]3CCCC[C@H]3[C@H](/C=C/c3ccc(-c4cccnc4)cn3)[C@H]12</t>
  </si>
  <si>
    <t xml:space="preserve">CHEMBL896771</t>
  </si>
  <si>
    <t xml:space="preserve">CHEMBL1149566</t>
  </si>
  <si>
    <t xml:space="preserve">Binding affinity to cannabinoid CB2 receptor</t>
  </si>
  <si>
    <t xml:space="preserve">CHEMBL233343</t>
  </si>
  <si>
    <t xml:space="preserve">C[C@H]1OC(=O)[C@@H]2C[C@@H]3CCCC[C@H]3[C@H](/C=C/c3ccc(N4CCCC4)cn3)[C@H]12</t>
  </si>
  <si>
    <t xml:space="preserve">CHEMBL1098696</t>
  </si>
  <si>
    <t xml:space="preserve">C[S+]([O-])c1c(C(=O)NN2CCCCC2)nn(-c2ccc(Cl)cc2Cl)c1-c1ccc(Cl)cc1</t>
  </si>
  <si>
    <t xml:space="preserve">CHEMBL4757488</t>
  </si>
  <si>
    <t xml:space="preserve">Cc1c(-c2ccc(F)cc2)cc(C(=O)NC2CCCCCC2)c(=O)n1Cc1ccc(F)cc1</t>
  </si>
  <si>
    <t xml:space="preserve">CHEMBL4782654</t>
  </si>
  <si>
    <t xml:space="preserve">Cc1c(-c2ccccc2)cc(C(=O)NC2CCCCCC2)c(=O)n1Cc1ccc(F)cc1</t>
  </si>
  <si>
    <t xml:space="preserve">CHEMBL4167303</t>
  </si>
  <si>
    <t xml:space="preserve">Cc1c(-c2ccccc2)cn(Cc2ccc(F)cc2)c(=O)c1C(=O)NC1CCCCCC1</t>
  </si>
  <si>
    <t xml:space="preserve">CHEMBL4753891</t>
  </si>
  <si>
    <t xml:space="preserve">Cc1c(Br)cc(C(=O)NC2CCCCCC2)c(=O)n1Cc1ccc(F)cc1</t>
  </si>
  <si>
    <t xml:space="preserve">CHEMBL5149622</t>
  </si>
  <si>
    <t xml:space="preserve">CHEMBL5143741</t>
  </si>
  <si>
    <t xml:space="preserve">Displacement of [3H]-CP55,940 from human CB2R expressed in CHO-K1 cell membranes assessed as inhibition constant incubated for 2 hrs by liquid scintillation spectrometry</t>
  </si>
  <si>
    <t xml:space="preserve">CHEMBL5193398</t>
  </si>
  <si>
    <t xml:space="preserve">Cc1c(Br)cn(CCCc2cn(CCCCCn3c(C)c(Br)cc(C(=O)NC4CCCCCC4)c3=O)nn2)c(=O)c1NC(=O)C1CCCCCC1</t>
  </si>
  <si>
    <t xml:space="preserve">CHEMBL4164954</t>
  </si>
  <si>
    <t xml:space="preserve">Cc1c(Br)cn(Cc2ccc(F)cc2)c(=O)c1C(=O)NC1CCCCCC1</t>
  </si>
  <si>
    <t xml:space="preserve">CHEMBL4467500</t>
  </si>
  <si>
    <t xml:space="preserve">Cc1c(Br)cn(Cc2ccc(F)cc2)c(=O)c1NC(=O)C1CCCCCC1</t>
  </si>
  <si>
    <t xml:space="preserve">CHEMBL4174442</t>
  </si>
  <si>
    <t xml:space="preserve">Cc1c(Br)cnc(OCc2ccc(F)cc2)c1C(=O)NC1CCCCCC1</t>
  </si>
  <si>
    <t xml:space="preserve">CHEMBL1203961</t>
  </si>
  <si>
    <t xml:space="preserve">Cc1c(C(=O)C2C(C)(C)C2(C)C)c2ccccc2n1CCN1CCOCC1</t>
  </si>
  <si>
    <t xml:space="preserve">CHEMBL270910</t>
  </si>
  <si>
    <t xml:space="preserve">CHEMBL272138</t>
  </si>
  <si>
    <t xml:space="preserve">Cc1c(C(=O)N(C)Cc2ccccc2)oc2ccc(S(=O)(=O)N3CC(C)CC(C)C3)cc12</t>
  </si>
  <si>
    <t xml:space="preserve">CHEMBL2030738</t>
  </si>
  <si>
    <t xml:space="preserve">Cc1c(C(=O)N2CCC(C(N)=O)(c3ccccc3)CC2)nn(-c2ccc(Cl)cc2Cl)c1-c1ccc(Cl)cc1</t>
  </si>
  <si>
    <t xml:space="preserve">CHEMBL173662</t>
  </si>
  <si>
    <t xml:space="preserve">Cc1c(C(=O)N2CCC(O)CC2)nc(-c2ccc(Cl)cc2Cl)n1-c1ccc(Cl)cc1</t>
  </si>
  <si>
    <t xml:space="preserve">CHEMBL272944</t>
  </si>
  <si>
    <t xml:space="preserve">Cc1c(C(=O)N2CCCCCC2)oc2ccc(S(=O)(=O)N3CC(C)CC(C)C3)cc12</t>
  </si>
  <si>
    <t xml:space="preserve">CHEMBL175291</t>
  </si>
  <si>
    <t xml:space="preserve">Cc1c(C(=O)N2CCc3ccccc3C2)nc(-c2ccc(Cl)cc2Cl)n1-c1ccc(Cl)cc1</t>
  </si>
  <si>
    <t xml:space="preserve">CHEMBL1631297</t>
  </si>
  <si>
    <t xml:space="preserve">Cc1c(C(=O)NC(C)(C)C)nn(-c2ccc(Cl)cc2Cl)c1-n1c(C)ccc1C</t>
  </si>
  <si>
    <t xml:space="preserve">CHEMBL1631294</t>
  </si>
  <si>
    <t xml:space="preserve">Cc1c(C(=O)NC(C)(C)C)nn(-c2ccc(Cl)cc2Cl)c1-n1cccc1</t>
  </si>
  <si>
    <t xml:space="preserve">CHEMBL1631296</t>
  </si>
  <si>
    <t xml:space="preserve">Cc1c(C(=O)NC(C)C)nn(-c2ccc(Cl)cc2Cl)c1-n1c(C)ccc1C</t>
  </si>
  <si>
    <t xml:space="preserve">CHEMBL1631293</t>
  </si>
  <si>
    <t xml:space="preserve">Cc1c(C(=O)NC(C)C)nn(-c2ccc(Cl)cc2Cl)c1-n1cccc1</t>
  </si>
  <si>
    <t xml:space="preserve">CHEMBL574270</t>
  </si>
  <si>
    <t xml:space="preserve">Cc1c(C(=O)NC(C)c2ccccc2)nn(-c2ccc(Cl)c(Cl)c2)c1-n1c(C)ccc1C</t>
  </si>
  <si>
    <t xml:space="preserve">CHEMBL575382</t>
  </si>
  <si>
    <t xml:space="preserve">Cc1c(C(=O)NC23CC4CC(CC(C4)C2)C3)nn(-c2ccc(Cl)c(Cl)c2)c1-n1c(C)ccc1C</t>
  </si>
  <si>
    <t xml:space="preserve">CHEMBL578848</t>
  </si>
  <si>
    <t xml:space="preserve">Cc1c(C(=O)NC23CC4CC(CC(C4)C2)C3)nn(-c2ccc(Cl)c(Cl)c2)c1-n1cccc1</t>
  </si>
  <si>
    <t xml:space="preserve">CHEMBL5266788</t>
  </si>
  <si>
    <t xml:space="preserve">Cc1c(C(=O)NC23CC4CC(CC(C4)C2)C3)nn(CCCCCO)c1-c1ccccc1</t>
  </si>
  <si>
    <t xml:space="preserve">CHEMBL5224278</t>
  </si>
  <si>
    <t xml:space="preserve">Antagonist activity at human CB2R assessed as beta arrestin-2 recruitment by measuring inhibition constant</t>
  </si>
  <si>
    <t xml:space="preserve">CHEMBL177393</t>
  </si>
  <si>
    <t xml:space="preserve">Cc1c(C(=O)NC2CC3CCC2C3)nc(-c2ccc(Cl)cc2Cl)n1-c1ccc(Cl)cc1</t>
  </si>
  <si>
    <t xml:space="preserve">CHEMBL368547</t>
  </si>
  <si>
    <t xml:space="preserve">Cc1c(C(=O)NC2CCCC2)nc(-c2ccc(Cl)cc2Cl)n1-c1ccc(Cl)cc1</t>
  </si>
  <si>
    <t xml:space="preserve">CHEMBL575395</t>
  </si>
  <si>
    <t xml:space="preserve">Cc1c(C(=O)NC2CCCC2)nn(-c2ccc(Cl)c(Cl)c2)c1-n1c(C)ccc1C</t>
  </si>
  <si>
    <t xml:space="preserve">CHEMBL577165</t>
  </si>
  <si>
    <t xml:space="preserve">Cc1c(C(=O)NC2CCCC2)nn(-c2ccc(Cl)c(Cl)c2)c1-n1cccc1</t>
  </si>
  <si>
    <t xml:space="preserve">CHEMBL573805</t>
  </si>
  <si>
    <t xml:space="preserve">Cc1c(C(=O)NC2CCCC2)nn(-c2ccc(Cl)cc2Cl)c1-n1c(C)ccc1C</t>
  </si>
  <si>
    <t xml:space="preserve">CHEMBL579247</t>
  </si>
  <si>
    <t xml:space="preserve">Cc1c(C(=O)NC2CCCC2)nn(-c2ccc(Cl)cc2Cl)c1-n1cccc1</t>
  </si>
  <si>
    <t xml:space="preserve">CHEMBL576142</t>
  </si>
  <si>
    <t xml:space="preserve">Cc1c(C(=O)NC2CCCC2)nn(-c2ccc(F)cc2F)c1-n1c(C)ccc1C</t>
  </si>
  <si>
    <t xml:space="preserve">CHEMBL573087</t>
  </si>
  <si>
    <t xml:space="preserve">Cc1c(C(=O)NC2CCCC2)nn(-c2ccc(F)cc2F)c1-n1cccc1</t>
  </si>
  <si>
    <t xml:space="preserve">CHEMBL271500</t>
  </si>
  <si>
    <t xml:space="preserve">Cc1c(C(=O)NC2CCCC2)oc2ccc(S(=O)(=O)N3CC(C)CC(C)C3)cc12</t>
  </si>
  <si>
    <t xml:space="preserve">CHEMBL175650</t>
  </si>
  <si>
    <t xml:space="preserve">Cc1c(C(=O)NC2CCCCC2)nc(-c2ccc(Cl)cc2Cl)n1-c1ccc(Cl)cc1</t>
  </si>
  <si>
    <t xml:space="preserve">CHEMBL271782</t>
  </si>
  <si>
    <t xml:space="preserve">Cc1c(C(=O)NC2CCCCC2)nn(-c2c(Cl)cc(Cl)cc2Cl)c1-n1c(C)ccc1C</t>
  </si>
  <si>
    <t xml:space="preserve">CHEMBL933207</t>
  </si>
  <si>
    <t xml:space="preserve">CHEMBL1142276</t>
  </si>
  <si>
    <t xml:space="preserve">CHEMBL271824</t>
  </si>
  <si>
    <t xml:space="preserve">Cc1c(C(=O)NC2CCCCC2)nn(-c2ccc(Cl)c(Cl)c2)c1-n1c(C)ccc1C</t>
  </si>
  <si>
    <t xml:space="preserve">CHEMBL1909858</t>
  </si>
  <si>
    <t xml:space="preserve">Cc1c(C(=O)NC2CCCCC2)nn(-c2ccc(Cl)c(Cl)c2)c1-n1c(Cl)ccc1Cl</t>
  </si>
  <si>
    <t xml:space="preserve">CHEMBL272203</t>
  </si>
  <si>
    <t xml:space="preserve">Cc1c(C(=O)NC2CCCCC2)nn(-c2ccc(Cl)c(Cl)c2)c1-n1cccc1</t>
  </si>
  <si>
    <t xml:space="preserve">CHEMBL1909856</t>
  </si>
  <si>
    <t xml:space="preserve">Cc1c(C(=O)NC2CCCCC2)nn(-c2ccc(Cl)c(Cl)c2)c1-n1cccc1Cl</t>
  </si>
  <si>
    <t xml:space="preserve">CHEMBL261382</t>
  </si>
  <si>
    <t xml:space="preserve">Cc1c(C(=O)NC2CCCCC2)nn(-c2ccc(Cl)cc2Cl)c1-n1c(C)ccc1C</t>
  </si>
  <si>
    <t xml:space="preserve">CHEMBL1909846</t>
  </si>
  <si>
    <t xml:space="preserve">Cc1c(C(=O)NC2CCCCC2)nn(-c2ccc(Cl)cc2Cl)c1-n1c(Cl)ccc1Cl</t>
  </si>
  <si>
    <t xml:space="preserve">CHEMBL1909848</t>
  </si>
  <si>
    <t xml:space="preserve">Cc1c(C(=O)NC2CCCCC2)nn(-c2ccc(Cl)cc2Cl)c1-n1cc2c(c1)CCCC2</t>
  </si>
  <si>
    <t xml:space="preserve">CHEMBL406924</t>
  </si>
  <si>
    <t xml:space="preserve">Cc1c(C(=O)NC2CCCCC2)nn(-c2ccc(Cl)cc2Cl)c1-n1cccc1</t>
  </si>
  <si>
    <t xml:space="preserve">CHEMBL1909844</t>
  </si>
  <si>
    <t xml:space="preserve">Cc1c(C(=O)NC2CCCCC2)nn(-c2ccc(Cl)cc2Cl)c1-n1cccc1Cl</t>
  </si>
  <si>
    <t xml:space="preserve">CHEMBL269919</t>
  </si>
  <si>
    <t xml:space="preserve">Cc1c(C(=O)NC2CCCCC2)nn(-c2ccc(F)cc2F)c1-n1c(C)ccc1C</t>
  </si>
  <si>
    <t xml:space="preserve">CHEMBL410912</t>
  </si>
  <si>
    <t xml:space="preserve">Cc1c(C(=O)NC2CCCCC2)nn(-c2ccc(F)cc2F)c1-n1cccc1</t>
  </si>
  <si>
    <t xml:space="preserve">CHEMBL404574</t>
  </si>
  <si>
    <t xml:space="preserve">Cc1c(C(=O)NC2CCCCC2)oc2ccc(S(=O)(=O)N3CC(C)CC(C)C3)cc12</t>
  </si>
  <si>
    <t xml:space="preserve">CHEMBL176022</t>
  </si>
  <si>
    <t xml:space="preserve">Cc1c(C(=O)NC2CCCCCC2)nc(-c2ccc(Cl)cc2Cl)n1-c1ccc(Cl)cc1</t>
  </si>
  <si>
    <t xml:space="preserve">CHEMBL579249</t>
  </si>
  <si>
    <t xml:space="preserve">Cc1c(C(=O)NC2CCCCCC2)nn(-c2ccc(Cl)c(Cl)c2)c1-n1c(C)ccc1C</t>
  </si>
  <si>
    <t xml:space="preserve">CHEMBL576549</t>
  </si>
  <si>
    <t xml:space="preserve">Cc1c(C(=O)NC2CCCCCC2)nn(-c2ccc(Cl)c(Cl)c2)c1-n1cccc1</t>
  </si>
  <si>
    <t xml:space="preserve">CHEMBL574052</t>
  </si>
  <si>
    <t xml:space="preserve">Cc1c(C(=O)NC2CCCCCC2)nn(-c2ccc(Cl)cc2Cl)c1-n1c(C)ccc1C</t>
  </si>
  <si>
    <t xml:space="preserve">CHEMBL572887</t>
  </si>
  <si>
    <t xml:space="preserve">Cc1c(C(=O)NC2CCCCCC2)nn(-c2ccc(Cl)cc2Cl)c1-n1cccc1</t>
  </si>
  <si>
    <t xml:space="preserve">CHEMBL572860</t>
  </si>
  <si>
    <t xml:space="preserve">Cc1c(C(=O)NC2CCCCCC2)nn(-c2ccc(F)cc2F)c1-n1c(C)ccc1C</t>
  </si>
  <si>
    <t xml:space="preserve">CHEMBL572620</t>
  </si>
  <si>
    <t xml:space="preserve">Cc1c(C(=O)NC2CCCCCC2)nn(-c2ccc(F)cc2F)c1-n1cccc1</t>
  </si>
  <si>
    <t xml:space="preserve">CHEMBL272139</t>
  </si>
  <si>
    <t xml:space="preserve">Cc1c(C(=O)NC2CCCc3ccccc32)oc2ccc(S(=O)(=O)N3CC(C)CC(C)C3)cc12</t>
  </si>
  <si>
    <t xml:space="preserve">CHEMBL3758534</t>
  </si>
  <si>
    <t xml:space="preserve">Cc1c(C(=O)NC2CCN(C(=O)C(F)(F)F)CC2)nn(-c2ccc(Cl)cc2Cl)c1-c1ccc(Cl)cc1</t>
  </si>
  <si>
    <t xml:space="preserve">CHEMBL3759255</t>
  </si>
  <si>
    <t xml:space="preserve">Cc1c(C(=O)NC2CCN(C(=O)C3CCCC3)CC2)nn(-c2ccc(Cl)cc2Cl)c1-c1ccc(Cl)cc1</t>
  </si>
  <si>
    <t xml:space="preserve">CHEMBL3758338</t>
  </si>
  <si>
    <t xml:space="preserve">Cc1c(C(=O)NC2CCN(C(=O)CC(C)C)CC2)nn(-c2ccc(Cl)cc2Cl)c1-c1ccc(Cl)cc1</t>
  </si>
  <si>
    <t xml:space="preserve">CHEMBL3759785</t>
  </si>
  <si>
    <t xml:space="preserve">Cc1c(C(=O)NC2CCN(C(=O)OC(C)C)CC2)nn(-c2ccc(Cl)cc2Cl)c1-c1ccc(Cl)cc1</t>
  </si>
  <si>
    <t xml:space="preserve">CHEMBL3758884</t>
  </si>
  <si>
    <t xml:space="preserve">Cc1c(C(=O)NC2CCN(C(=O)c3ccccc3)CC2)nn(-c2ccc(Cl)cc2Cl)c1-c1ccc(Cl)cc1</t>
  </si>
  <si>
    <t xml:space="preserve">CHEMBL3758491</t>
  </si>
  <si>
    <t xml:space="preserve">Cc1c(C(=O)NC2CCN(S(=O)(=O)CC(C)C)CC2)nn(-c2ccc(Cl)cc2Cl)c1-c1ccc(Cl)cc1</t>
  </si>
  <si>
    <t xml:space="preserve">CHEMBL3759254</t>
  </si>
  <si>
    <t xml:space="preserve">Cc1c(C(=O)NC2CCN(S(=O)(=O)CCC(F)(F)F)CC2)nn(-c2ccc(Cl)cc2Cl)c1-c1ccc(Cl)cc1</t>
  </si>
  <si>
    <t xml:space="preserve">CHEMBL1834019</t>
  </si>
  <si>
    <t xml:space="preserve">Cc1c(C(=O)NCC2CCC(CNS(C)(=O)=O)CC2)nn(-c2ccc(Cl)cc2Cl)c1-c1ccc(Cl)cc1</t>
  </si>
  <si>
    <t xml:space="preserve">CHEMBL1838496</t>
  </si>
  <si>
    <t xml:space="preserve">CHEMBL1833971</t>
  </si>
  <si>
    <t xml:space="preserve">Displacement of [3H]-CP55940 from human CB2 receptor expressed in CHO-K1 cells after 1 hr by liquid scintillation spectrometry</t>
  </si>
  <si>
    <t xml:space="preserve">CHEMBL1834020</t>
  </si>
  <si>
    <t xml:space="preserve">Cc1c(C(=O)NCC2CCC(CNS(N)(=O)=O)CC2)nn(-c2ccc(Cl)cc2Cl)c1-c1ccc(Cl)cc1</t>
  </si>
  <si>
    <t xml:space="preserve">CHEMBL271783</t>
  </si>
  <si>
    <t xml:space="preserve">Cc1c(C(=O)NCC2CCCCC2)nn(-c2ccc(Cl)cc2)c1-n1cccc1</t>
  </si>
  <si>
    <t xml:space="preserve">CHEMBL1631299</t>
  </si>
  <si>
    <t xml:space="preserve">Cc1c(C(=O)NCCC(C)(C)C)nn(-c2ccc(Cl)cc2Cl)c1-n1c(C)ccc1C</t>
  </si>
  <si>
    <t xml:space="preserve">CHEMBL1631289</t>
  </si>
  <si>
    <t xml:space="preserve">Cc1c(C(=O)NCCC(C)(C)C)nn(-c2ccc(Cl)cc2Cl)c1-n1cccc1</t>
  </si>
  <si>
    <t xml:space="preserve">CHEMBL1631301</t>
  </si>
  <si>
    <t xml:space="preserve">Cc1c(C(=O)NCCC(C)(C)C)nn(-c2ccc(F)cc2F)c1-n1c(C)ccc1C</t>
  </si>
  <si>
    <t xml:space="preserve">CHEMBL1269776</t>
  </si>
  <si>
    <t xml:space="preserve">Cc1c(C(=O)NCCCCCCCCCCCN(C)CCCCCCCCCCCN)nn(-c2ccc(Cl)cc2Cl)c1-c1ccc(Cl)cc1</t>
  </si>
  <si>
    <t xml:space="preserve">CHEMBL1275186</t>
  </si>
  <si>
    <t xml:space="preserve">CHEMBL1268814</t>
  </si>
  <si>
    <t xml:space="preserve">Displacement of [3H]CP55940 from human CB2 receptor expressed in CHOK1 cells</t>
  </si>
  <si>
    <t xml:space="preserve">CHEMBL1269774</t>
  </si>
  <si>
    <t xml:space="preserve">Cc1c(C(=O)NCCCCCCCCCCCNCCCCCCCCCCCN)nn(-c2ccc(Cl)cc2Cl)c1-c1ccc(Cl)cc1</t>
  </si>
  <si>
    <t xml:space="preserve">CHEMBL1269775</t>
  </si>
  <si>
    <t xml:space="preserve">Cc1c(C(=O)NCCCCCCCCCN(C)CCCCCCCCCN)nn(-c2ccc(Cl)cc2Cl)c1-c1ccc(Cl)cc1</t>
  </si>
  <si>
    <t xml:space="preserve">CHEMBL1269773</t>
  </si>
  <si>
    <t xml:space="preserve">Cc1c(C(=O)NCCCCCCCCCNCCCCCCCCCN)nn(-c2ccc(Cl)cc2Cl)c1-c1ccc(Cl)cc1</t>
  </si>
  <si>
    <t xml:space="preserve">CHEMBL3322476</t>
  </si>
  <si>
    <t xml:space="preserve">Cc1c(C(=O)NCCCCCCCCNCc2ccccc2)nn(-c2ccc(Cl)cc2Cl)c1-c1ccc(Cl)cc1</t>
  </si>
  <si>
    <t xml:space="preserve">CHEMBL3378768</t>
  </si>
  <si>
    <t xml:space="preserve">CHEMBL3351293</t>
  </si>
  <si>
    <t xml:space="preserve">Displacement of [3H] CP-55,940 from human CB2 receptor expressed in HEK cells at 10 uM after 3 hrs by scintillation counting</t>
  </si>
  <si>
    <t xml:space="preserve">CHEMBL1270662</t>
  </si>
  <si>
    <t xml:space="preserve">Cc1c(C(=O)NCCCCCCCN(C)CCCCCCCN)nn(-c2ccc(Cl)cc2Cl)c1-c1ccc(Cl)cc1</t>
  </si>
  <si>
    <t xml:space="preserve">CHEMBL1269770</t>
  </si>
  <si>
    <t xml:space="preserve">Cc1c(C(=O)NCCCCCCCN(C)CCCCCCCNC(=O)c2nn(-c3ccc(Cl)cc3Cl)c(-c3ccc(Cl)cc3)c2C)nn(-c2ccc(Cl)cc2Cl)c1-c1ccc(Cl)cc1</t>
  </si>
  <si>
    <t xml:space="preserve">CHEMBL1270463</t>
  </si>
  <si>
    <t xml:space="preserve">Cc1c(C(=O)NCCCCCCCNCCCCCCCN)nn(-c2ccc(Cl)cc2Cl)c1-c1ccc(Cl)cc1</t>
  </si>
  <si>
    <t xml:space="preserve">CHEMBL1269766</t>
  </si>
  <si>
    <t xml:space="preserve">Cc1c(C(=O)NCCCCCCCNCCCCCCCNC(=O)c2nn(-c3ccc(Cl)cc3Cl)c(-c3ccc(Cl)cc3)c2C)nn(-c2ccc(Cl)cc2Cl)c1-c1ccc(Cl)cc1</t>
  </si>
  <si>
    <t xml:space="preserve">CHEMBL1834013</t>
  </si>
  <si>
    <t xml:space="preserve">Cc1c(C(=O)NCCCCCCCNS(C)(=O)=O)nn(-c2ccc(Cl)cc2Cl)c1-c1ccc(Cl)cc1</t>
  </si>
  <si>
    <t xml:space="preserve">CHEMBL1834014</t>
  </si>
  <si>
    <t xml:space="preserve">Cc1c(C(=O)NCCCCCCCNS(N)(=O)=O)nn(-c2ccc(Cl)cc2Cl)c1-c1ccc(Cl)cc1</t>
  </si>
  <si>
    <t xml:space="preserve">CHEMBL1269769</t>
  </si>
  <si>
    <t xml:space="preserve">Cc1c(C(=O)NCCCCCN(C)CCCCCNC(=O)c2nn(-c3ccc(Cl)cc3Cl)c(-c3ccc(Cl)cc3)c2C)nn(-c2ccc(Cl)cc2Cl)c1-c1ccc(Cl)cc1</t>
  </si>
  <si>
    <t xml:space="preserve">CHEMBL1269765</t>
  </si>
  <si>
    <t xml:space="preserve">Cc1c(C(=O)NCCCCCNCCCCCNC(=O)c2nn(-c3ccc(Cl)cc3Cl)c(-c3ccc(Cl)cc3)c2C)nn(-c2ccc(Cl)cc2Cl)c1-c1ccc(Cl)cc1</t>
  </si>
  <si>
    <t xml:space="preserve">CHEMBL1631169</t>
  </si>
  <si>
    <t xml:space="preserve">Cc1c(C(=O)NCCCCCO)nn(-c2ccc(Cl)cc2Cl)c1-n1c(C)ccc1C</t>
  </si>
  <si>
    <t xml:space="preserve">CHEMBL1631163</t>
  </si>
  <si>
    <t xml:space="preserve">Cc1c(C(=O)NCCCCCO)nn(-c2ccc(Cl)cc2Cl)c1-n1cccc1</t>
  </si>
  <si>
    <t xml:space="preserve">CHEMBL3322470</t>
  </si>
  <si>
    <t xml:space="preserve">Cc1c(C(=O)NCCCCNCc2ccc(CNCCCCNC(=O)c3nn(-c4ccc(Cl)cc4Cl)c(-c4ccc(Cl)cc4)c3C)cc2)nn(-c2ccc(Cl)cc2Cl)c1-c1ccc(Cl)cc1</t>
  </si>
  <si>
    <t xml:space="preserve">CHEMBL3322475</t>
  </si>
  <si>
    <t xml:space="preserve">Cc1c(C(=O)NCCCCNCc2ccccc2)nn(-c2ccc(Cl)cc2Cl)c1-c1ccc(Cl)cc1</t>
  </si>
  <si>
    <t xml:space="preserve">CHEMBL1269019</t>
  </si>
  <si>
    <t xml:space="preserve">Cc1c(C(=O)NCCCNCCCNC(=O)c2nn(-c3ccc(Cl)cc3Cl)c(-c3ccc(Cl)cc3)c2C)nn(-c2ccc(Cl)cc2Cl)c1-c1ccc(Cl)cc1</t>
  </si>
  <si>
    <t xml:space="preserve">CHEMBL1269764</t>
  </si>
  <si>
    <t xml:space="preserve">Cc1c(C(=O)NCCNCCNC(=O)c2nn(-c3ccc(Cl)cc3Cl)c(-c3ccc(Cl)cc3)c2C)nn(-c2ccc(Cl)cc2Cl)c1-c1ccc(Cl)cc1</t>
  </si>
  <si>
    <t xml:space="preserve">CHEMBL575163</t>
  </si>
  <si>
    <t xml:space="preserve">Cc1c(C(=O)NCCc2ccc(Cl)c(Cl)c2)nn(-c2ccc(F)cc2F)c1-n1cccc1</t>
  </si>
  <si>
    <t xml:space="preserve">CHEMBL575186</t>
  </si>
  <si>
    <t xml:space="preserve">Cc1c(C(=O)NCCc2ccc(Cl)cc2)nn(-c2ccc(Cl)c(Cl)c2)c1-n1cccc1</t>
  </si>
  <si>
    <t xml:space="preserve">CHEMBL574036</t>
  </si>
  <si>
    <t xml:space="preserve">Cc1c(C(=O)NCCc2ccc(Cl)cc2Cl)nn(-c2ccc(F)cc2F)c1-n1c(C)ccc1C</t>
  </si>
  <si>
    <t xml:space="preserve">CHEMBL585177</t>
  </si>
  <si>
    <t xml:space="preserve">Cc1c(C(=O)NCCc2ccc(Cl)cc2Cl)nn(-c2ccc(F)cc2F)c1-n1cccc1</t>
  </si>
  <si>
    <t xml:space="preserve">CHEMBL256036</t>
  </si>
  <si>
    <t xml:space="preserve">Cc1c(C(=O)NCCc2ccccc2)oc2ccc(S(=O)(=O)N3CC(C)CC(C)C3)cc12</t>
  </si>
  <si>
    <t xml:space="preserve">CHEMBL1834021</t>
  </si>
  <si>
    <t xml:space="preserve">Cc1c(C(=O)NC[C@H]2CC[C@@H](CNS(C)(=O)=O)CC2)nn(-c2ccc(Cl)cc2Cl)c1-c1ccc(Cl)cc1</t>
  </si>
  <si>
    <t xml:space="preserve">CHEMBL1834277</t>
  </si>
  <si>
    <t xml:space="preserve">Cc1c(C(=O)NC[C@H]2CC[C@@H](CNS(N)(=O)=O)CC2)nn(-c2ccc(Cl)cc2Cl)c1-c1ccc(Cl)cc1</t>
  </si>
  <si>
    <t xml:space="preserve">CHEMBL603476</t>
  </si>
  <si>
    <t xml:space="preserve">Cc1c(C(=O)NC[C@H]2C[C@@H]3C[C@H](C2)C3(C)C)ncn1-c1ccccc1</t>
  </si>
  <si>
    <t xml:space="preserve">CHEMBL178799</t>
  </si>
  <si>
    <t xml:space="preserve">Cc1c(C(=O)NCc2ccc(C(F)(F)F)cc2)nc(-c2ccc(Cl)cc2Cl)n1-c1ccc(Cl)cc1</t>
  </si>
  <si>
    <t xml:space="preserve">CHEMBL259042</t>
  </si>
  <si>
    <t xml:space="preserve">Cc1c(C(=O)NCc2ccc(Cl)c(Cl)c2)nn(-c2ccc(Cl)c(Cl)c2)c1-n1c(C)ccc1C</t>
  </si>
  <si>
    <t xml:space="preserve">CHEMBL1909857</t>
  </si>
  <si>
    <t xml:space="preserve">Cc1c(C(=O)NCc2ccc(Cl)c(Cl)c2)nn(-c2ccc(Cl)c(Cl)c2)c1-n1c(Cl)ccc1Cl</t>
  </si>
  <si>
    <t xml:space="preserve">CHEMBL272035</t>
  </si>
  <si>
    <t xml:space="preserve">Cc1c(C(=O)NCc2ccc(Cl)c(Cl)c2)nn(-c2ccc(Cl)c(Cl)c2)c1-n1cccc1</t>
  </si>
  <si>
    <t xml:space="preserve">CHEMBL1909855</t>
  </si>
  <si>
    <t xml:space="preserve">Cc1c(C(=O)NCc2ccc(Cl)c(Cl)c2)nn(-c2ccc(Cl)c(Cl)c2)c1-n1cccc1Cl</t>
  </si>
  <si>
    <t xml:space="preserve">CHEMBL410727</t>
  </si>
  <si>
    <t xml:space="preserve">Cc1c(C(=O)NCc2ccc(Cl)c(Cl)c2)nn(-c2ccc(Cl)cc2Cl)c1-n1c(C)ccc1C</t>
  </si>
  <si>
    <t xml:space="preserve">CHEMBL1909845</t>
  </si>
  <si>
    <t xml:space="preserve">Cc1c(C(=O)NCc2ccc(Cl)c(Cl)c2)nn(-c2ccc(Cl)cc2Cl)c1-n1c(Cl)ccc1Cl</t>
  </si>
  <si>
    <t xml:space="preserve">CHEMBL1909847</t>
  </si>
  <si>
    <t xml:space="preserve">Cc1c(C(=O)NCc2ccc(Cl)c(Cl)c2)nn(-c2ccc(Cl)cc2Cl)c1-n1cc2c(c1)CCCC2</t>
  </si>
  <si>
    <t xml:space="preserve">CHEMBL259684</t>
  </si>
  <si>
    <t xml:space="preserve">Cc1c(C(=O)NCc2ccc(Cl)c(Cl)c2)nn(-c2ccc(Cl)cc2Cl)c1-n1cccc1</t>
  </si>
  <si>
    <t xml:space="preserve">CHEMBL1909843</t>
  </si>
  <si>
    <t xml:space="preserve">Cc1c(C(=O)NCc2ccc(Cl)c(Cl)c2)nn(-c2ccc(Cl)cc2Cl)c1-n1cccc1Cl</t>
  </si>
  <si>
    <t xml:space="preserve">CHEMBL409150</t>
  </si>
  <si>
    <t xml:space="preserve">Cc1c(C(=O)NCc2ccc(Cl)c(Cl)c2)nn(-c2ccc(F)cc2F)c1-n1c(C)ccc1C</t>
  </si>
  <si>
    <t xml:space="preserve">CHEMBL410913</t>
  </si>
  <si>
    <t xml:space="preserve">Cc1c(C(=O)NCc2ccc(Cl)c(Cl)c2)nn(-c2ccc(F)cc2F)c1-n1cccc1</t>
  </si>
  <si>
    <t xml:space="preserve">CHEMBL577361</t>
  </si>
  <si>
    <t xml:space="preserve">Cc1c(C(=O)NCc2ccc(Cl)cc2)nn(-c2ccc(Cl)c(Cl)c2)c1-n1c(C)ccc1C</t>
  </si>
  <si>
    <t xml:space="preserve">CHEMBL575193</t>
  </si>
  <si>
    <t xml:space="preserve">Cc1c(C(=O)NCc2ccc(Cl)cc2)nn(-c2ccc(Cl)c(Cl)c2)c1-n1cccc1</t>
  </si>
  <si>
    <t xml:space="preserve">CHEMBL574722</t>
  </si>
  <si>
    <t xml:space="preserve">Cc1c(C(=O)NCc2ccc(Cl)cc2)nn(-c2ccc(Cl)cc2Cl)c1-n1cccc1</t>
  </si>
  <si>
    <t xml:space="preserve">CHEMBL574053</t>
  </si>
  <si>
    <t xml:space="preserve">Cc1c(C(=O)NCc2ccc(Cl)cc2)nn(-c2ccc(F)cc2F)c1-n1cccc1</t>
  </si>
  <si>
    <t xml:space="preserve">CHEMBL407462</t>
  </si>
  <si>
    <t xml:space="preserve">Cc1c(C(=O)NCc2ccc(F)cc2)oc2ccc(S(=O)(=O)N3CC(C)CC(C)C3)cc12</t>
  </si>
  <si>
    <t xml:space="preserve">CHEMBL272350</t>
  </si>
  <si>
    <t xml:space="preserve">Cc1c(C(=O)NCc2ccccc2)oc2ccc(S(=O)(=O)N3CC(C)CC(C)C3)cc12</t>
  </si>
  <si>
    <t xml:space="preserve">CHEMBL406675</t>
  </si>
  <si>
    <t xml:space="preserve">Cc1c(C(=O)NCc2ccccc2Cl)oc2ccc(S(=O)(=O)N3CC(C)CC(C)C3)cc12</t>
  </si>
  <si>
    <t xml:space="preserve">CHEMBL418721</t>
  </si>
  <si>
    <t xml:space="preserve">Cc1c(C(=O)NN2CC3CCCC3C2)nc(-c2ccc(Cl)cc2Cl)n1-c1ccc(Cl)cc1</t>
  </si>
  <si>
    <t xml:space="preserve">CHEMBL369205</t>
  </si>
  <si>
    <t xml:space="preserve">Cc1c(C(=O)NN2CCCC2)nc(-c2ccc(Cl)cc2Cl)n1-c1ccc(Cl)cc1</t>
  </si>
  <si>
    <t xml:space="preserve">CHEMBL439657</t>
  </si>
  <si>
    <t xml:space="preserve">Cc1c(C(=O)NN2CCCCC2)nc(-c2ccc(Cl)cc2)n1-c1ccc(Cl)cc1Cl</t>
  </si>
  <si>
    <t xml:space="preserve">CHEMBL829820</t>
  </si>
  <si>
    <t xml:space="preserve">CHEMBL175292</t>
  </si>
  <si>
    <t xml:space="preserve">Cc1c(C(=O)NN2CCCCC2)nc(-c2ccc(Cl)cc2Cl)n1-c1ccc(Br)cc1</t>
  </si>
  <si>
    <t xml:space="preserve">CHEMBL174163</t>
  </si>
  <si>
    <t xml:space="preserve">Cc1c(C(=O)NN2CCCCC2)nc(-c2ccc(Cl)cc2Cl)n1-c1ccc(C(F)(F)F)cc1</t>
  </si>
  <si>
    <t xml:space="preserve">CHEMBL368749</t>
  </si>
  <si>
    <t xml:space="preserve">Cc1c(C(=O)NN2CCCCC2)nc(-c2ccc(Cl)cc2Cl)n1-c1ccc(Cl)cc1</t>
  </si>
  <si>
    <t xml:space="preserve">CHEMBL368660</t>
  </si>
  <si>
    <t xml:space="preserve">Cc1c(C(=O)NN2CCCCC2)nc(-c2ccc(Cl)cc2Cl)n1-c1ccc(Cl)cn1</t>
  </si>
  <si>
    <t xml:space="preserve">CHEMBL175368</t>
  </si>
  <si>
    <t xml:space="preserve">Cc1c(C(=O)NN2CCCCC2)nc(-c2ccc(Cl)cc2Cl)n1-c1ccc(F)cc1</t>
  </si>
  <si>
    <t xml:space="preserve">CHEMBL519011</t>
  </si>
  <si>
    <t xml:space="preserve">Cc1c(C(=O)NN2CCCCC2)nn(-c2c(Cl)cc(Cl)cc2Cl)c1-c1ccc(Cl)cc1Cl</t>
  </si>
  <si>
    <t xml:space="preserve">CHEMBL957299</t>
  </si>
  <si>
    <t xml:space="preserve">CHEMBL1150768</t>
  </si>
  <si>
    <t xml:space="preserve">CHEMBL271611</t>
  </si>
  <si>
    <t xml:space="preserve">Cc1c(C(=O)NN2CCCCC2)nn(-c2c(Cl)cc(Cl)cc2Cl)c1-n1c(C)ccc1C</t>
  </si>
  <si>
    <t xml:space="preserve">CHEMBL259255</t>
  </si>
  <si>
    <t xml:space="preserve">Cc1c(C(=O)NN2CCCCC2)nn(-c2ccc(Cl)c(Cl)c2)c1-n1c(C)ccc1C</t>
  </si>
  <si>
    <t xml:space="preserve">CHEMBL261381</t>
  </si>
  <si>
    <t xml:space="preserve">Cc1c(C(=O)NN2CCCCC2)nn(-c2ccc(Cl)c(Cl)c2)c1-n1cccc1</t>
  </si>
  <si>
    <t xml:space="preserve">CHEMBL271988</t>
  </si>
  <si>
    <t xml:space="preserve">Cc1c(C(=O)NN2CCCCC2)nn(-c2ccc(Cl)cc2)c1-n1cccc1</t>
  </si>
  <si>
    <t xml:space="preserve">CHEMBL484504</t>
  </si>
  <si>
    <t xml:space="preserve">Cc1c(C(=O)NN2CCCCC2)nn(-c2ccc(Cl)cc2Cl)c1-c1ccc(Cl)cc1Cl</t>
  </si>
  <si>
    <t xml:space="preserve">CHEMBL285932</t>
  </si>
  <si>
    <t xml:space="preserve">Cc1c(C(=O)NN2CCCCC2)nn(-c2ccc(Cl)cc2Cl)c1-c1ccc(I)cc1</t>
  </si>
  <si>
    <t xml:space="preserve">CHEMBL259476</t>
  </si>
  <si>
    <t xml:space="preserve">Cc1c(C(=O)NN2CCCCC2)nn(-c2ccc(Cl)cc2Cl)c1-n1c(C)ccc1C</t>
  </si>
  <si>
    <t xml:space="preserve">CHEMBL410728</t>
  </si>
  <si>
    <t xml:space="preserve">Cc1c(C(=O)NN2CCCCC2)nn(-c2ccc(Cl)cc2Cl)c1-n1cccc1</t>
  </si>
  <si>
    <t xml:space="preserve">CHEMBL272616</t>
  </si>
  <si>
    <t xml:space="preserve">Cc1c(C(=O)NN2CCCCC2)nn(-c2ccc(F)cc2F)c1-n1c(C)ccc1C</t>
  </si>
  <si>
    <t xml:space="preserve">CHEMBL408968</t>
  </si>
  <si>
    <t xml:space="preserve">Cc1c(C(=O)NN2CCCCC2)nn(-c2ccc(F)cc2F)c1-n1cccc1</t>
  </si>
  <si>
    <t xml:space="preserve">CHEMBL2347048</t>
  </si>
  <si>
    <t xml:space="preserve">Cc1c(C(=O)NN2CCCCC2)nn(-c2ccccc2)c1-c1ccccc1</t>
  </si>
  <si>
    <t xml:space="preserve">CHEMBL175478</t>
  </si>
  <si>
    <t xml:space="preserve">Cc1c(C(=O)NN2CCCCCC2)nc(-c2ccc(Cl)cc2Cl)n1-c1ccc(Cl)cc1</t>
  </si>
  <si>
    <t xml:space="preserve">CHEMBL367672</t>
  </si>
  <si>
    <t xml:space="preserve">Cc1c(C(=O)NN2CCOCC2)nc(-c2ccc(Cl)cc2Cl)n1-c1ccc(Cl)cc1</t>
  </si>
  <si>
    <t xml:space="preserve">CHEMBL476833</t>
  </si>
  <si>
    <t xml:space="preserve">Cc1c(C(=O)NN2CCOCC2)nn(-c2ccc(Cl)cc2Cl)c1-c1ccc(I)cc1</t>
  </si>
  <si>
    <t xml:space="preserve">CHEMBL360138</t>
  </si>
  <si>
    <t xml:space="preserve">Cc1c(C(=O)NOC(C)(C)C)nc(-c2ccc(Cl)cc2Cl)n1-c1ccc(Cl)cc1</t>
  </si>
  <si>
    <t xml:space="preserve">CHEMBL573546</t>
  </si>
  <si>
    <t xml:space="preserve">Cc1c(C(=O)N[C@@H](C)C2CCCCC2)nn(-c2ccc(Cl)c(Cl)c2)c1-n1cccc1</t>
  </si>
  <si>
    <t xml:space="preserve">CHEMBL574480</t>
  </si>
  <si>
    <t xml:space="preserve">Cc1c(C(=O)N[C@H](C)C2CCCCC2)nn(-c2ccc(Cl)c(Cl)c2)c1-n1cccc1</t>
  </si>
  <si>
    <t xml:space="preserve">CHEMBL176198</t>
  </si>
  <si>
    <t xml:space="preserve">Cc1c(C(=O)N[C@H]2CC[C@H](O)CC2)nc(-c2ccc(Cl)cc2Cl)n1-c1ccc(Cl)cc1</t>
  </si>
  <si>
    <t xml:space="preserve">CHEMBL1834006</t>
  </si>
  <si>
    <t xml:space="preserve">Cc1c(C(=O)Nc2cc[n+]([O-])cc2)nn(-c2ccc(Cl)cc2Cl)c1-c1ccc(Cl)cc1</t>
  </si>
  <si>
    <t xml:space="preserve">CHEMBL1834008</t>
  </si>
  <si>
    <t xml:space="preserve">Cc1c(C(=O)Nc2ccc(C)[n+](C)c2)nn(-c2ccc(Cl)cc2Cl)c1-c1ccc(Cl)cc1</t>
  </si>
  <si>
    <t xml:space="preserve">CHEMBL574740</t>
  </si>
  <si>
    <t xml:space="preserve">Cc1c(C(=O)Nc2ccc(Cl)cc2)nn(-c2ccc(Cl)c(Cl)c2)c1-n1cccc1</t>
  </si>
  <si>
    <t xml:space="preserve">CHEMBL572613</t>
  </si>
  <si>
    <t xml:space="preserve">Cc1c(C(=O)Nc2ccc(Cl)cc2)nn(-c2ccc(Cl)cc2Cl)c1-n1cccc1</t>
  </si>
  <si>
    <t xml:space="preserve">CHEMBL428693</t>
  </si>
  <si>
    <t xml:space="preserve">Cc1c(C(=O)Nc2ccncc2)nn(-c2ccc(Cl)cc2Cl)c1-c1ccc(Cl)cc1</t>
  </si>
  <si>
    <t xml:space="preserve">CHEMBL178428</t>
  </si>
  <si>
    <t xml:space="preserve">Cc1c(C(=O)OC(C)(C)C)nc(-c2ccc(Cl)cc2Cl)n1-c1ccc(Cl)cc1</t>
  </si>
  <si>
    <t xml:space="preserve">CHEMBL2381801</t>
  </si>
  <si>
    <t xml:space="preserve">Cc1c(C(=O)c2ccc3ccccc3c2)c2cccc3c2n1[C@H](CN1CCOCC1)CO3</t>
  </si>
  <si>
    <t xml:space="preserve">CHEMBL1668505</t>
  </si>
  <si>
    <t xml:space="preserve">Cc1c(C(C)(C)C)s/c(=N\C(=O)c2ccc(Br)cc2)n1CC1CC1</t>
  </si>
  <si>
    <t xml:space="preserve">CHEMBL1668506</t>
  </si>
  <si>
    <t xml:space="preserve">Cc1c(C(C)(C)C)s/c(=N\C(=O)c2ccc(OC(F)(F)F)cc2)n1CC1CC1</t>
  </si>
  <si>
    <t xml:space="preserve">CHEMBL1668520</t>
  </si>
  <si>
    <t xml:space="preserve">Cc1c(C(C)(C)C)s/c(=N\S(=O)(=O)c2cccc3ccccc23)n1C1CC1</t>
  </si>
  <si>
    <t xml:space="preserve">CHEMBL1807841</t>
  </si>
  <si>
    <t xml:space="preserve">Cc1c(CCN2CCOCC2)c2cc(OCCF)ccc2n1C(=O)c1cccc(Cl)c1Cl</t>
  </si>
  <si>
    <t xml:space="preserve">CHEMBL1810142</t>
  </si>
  <si>
    <t xml:space="preserve">CHEMBL1806389</t>
  </si>
  <si>
    <t xml:space="preserve">Displacement of [3H]-CP55940 from human CB2 receptor expressed in CHO cells after 1 hrs by beta counting</t>
  </si>
  <si>
    <t xml:space="preserve">CHEMBL4225343</t>
  </si>
  <si>
    <t xml:space="preserve">Cc1c(CN2CCN(c3ncnc4c3nc(-c3ccccc3Cl)n4-c3ccc(Cl)cc3)CC2)cnn1C</t>
  </si>
  <si>
    <t xml:space="preserve">CHEMBL579194</t>
  </si>
  <si>
    <t xml:space="preserve">Cc1c(CN2CCOCC2)cc(NC(=O)C2CCCCC2C)cc1C(F)(F)F</t>
  </si>
  <si>
    <t xml:space="preserve">CHEMBL4781952</t>
  </si>
  <si>
    <t xml:space="preserve">Cc1c(Cl)cc(C(=O)NC2CCCCCC2)c(=O)n1Cc1ccc(F)cc1</t>
  </si>
  <si>
    <t xml:space="preserve">CHEMBL1668510</t>
  </si>
  <si>
    <t xml:space="preserve">Cc1c(Cl)ccc2c(=O)c(C(=O)NC34CC5CC(CC(C5)C3)C4)c[nH]c12</t>
  </si>
  <si>
    <t xml:space="preserve">CHEMBL4760014</t>
  </si>
  <si>
    <t xml:space="preserve">Cc1c(F)cc(C(=O)NC2CCCCCC2)c(=O)n1Cc1ccc(F)cc1</t>
  </si>
  <si>
    <t xml:space="preserve">CHEMBL2387537</t>
  </si>
  <si>
    <t xml:space="preserve">Cc1c(O)c(C)c2cc(Cc3ccc(F)cc3)c(=O)oc2c1C</t>
  </si>
  <si>
    <t xml:space="preserve">CHEMBL2387535</t>
  </si>
  <si>
    <t xml:space="preserve">Cc1c(O)c(C)c2cc(Cc3ccccc3)c(=O)oc2c1C</t>
  </si>
  <si>
    <t xml:space="preserve">CHEMBL3329482</t>
  </si>
  <si>
    <t xml:space="preserve">Cc1c(O)ccc2c1OC1=C(CC[C@@H](C)C1)C2(C)C</t>
  </si>
  <si>
    <t xml:space="preserve">CHEMBL396798</t>
  </si>
  <si>
    <t xml:space="preserve">Cc1c2c(n(-c3ccc(Cl)cc3Cl)c1-c1ccc(Cl)cc1)CCN(C1CCCCC1)C2=O</t>
  </si>
  <si>
    <t xml:space="preserve">CHEMBL230356</t>
  </si>
  <si>
    <t xml:space="preserve">Cc1c2c(n(-c3ccc(Cl)cc3Cl)c1-c1ccc(Cl)cc1)CCN(N1CCCCC1)C2=O</t>
  </si>
  <si>
    <t xml:space="preserve">CHEMBL231201</t>
  </si>
  <si>
    <t xml:space="preserve">Cc1c2c(n(-c3ccccc3Cl)c1-c1ccc(Cl)cc1)CCN(N1CCCCC1)C2=O</t>
  </si>
  <si>
    <t xml:space="preserve">CHEMBL3234708</t>
  </si>
  <si>
    <t xml:space="preserve">Cc1c2n(c(=O)c3cc(OC(=O)C(C)(C)C)cc(OC(=O)C(C)(C)C)c13)CCCC2</t>
  </si>
  <si>
    <t xml:space="preserve">CHEMBL4091845</t>
  </si>
  <si>
    <t xml:space="preserve">Cc1cc(-c2cc(C(=O)NC34CC5CC(CC(C5)C3)C4)c(=O)n(Cc3ccc(F)cc3)n2)ccc1Cl</t>
  </si>
  <si>
    <t xml:space="preserve">CHEMBL1800082</t>
  </si>
  <si>
    <t xml:space="preserve">Cc1cc(-c2cc(C(=O)NC3C4(C)CCC(C4)C3(C)C)nn2Cc2ccc(CNCCCCCCN)cc2)ccc1Cl</t>
  </si>
  <si>
    <t xml:space="preserve">CHEMBL4084087</t>
  </si>
  <si>
    <t xml:space="preserve">Cc1cc(-c2cc(C(=O)NC3CCCCC3)c(=O)n(Cc3ccc(F)cc3)n2)ccc1Cl</t>
  </si>
  <si>
    <t xml:space="preserve">CHEMBL4071007</t>
  </si>
  <si>
    <t xml:space="preserve">Cc1cc(-c2cc(C(=O)NC3CCCCCC3)c(=O)n(Cc3ccc(F)cc3)n2)ccc1Cl</t>
  </si>
  <si>
    <t xml:space="preserve">CHEMBL4064165</t>
  </si>
  <si>
    <t xml:space="preserve">Cc1cc(-c2cc(C(=O)NCCN3CCOCC3)c(=O)n(Cc3ccc(F)cc3)n2)ccc1Cl</t>
  </si>
  <si>
    <t xml:space="preserve">CHEMBL4067246</t>
  </si>
  <si>
    <t xml:space="preserve">Cc1cc(-c2cc(C(=O)N[C@@H]3C(C)(C)[C@@H]4CC[C@@]3(C)C4)c(=O)n(Cc3ccc(F)cc3)n2)ccc1Cl</t>
  </si>
  <si>
    <t xml:space="preserve">CHEMBL2420252</t>
  </si>
  <si>
    <t xml:space="preserve">Cc1cc(-c2cc(C(=O)N[C@@H]3C(C)(C)[C@@H]4CC[C@@]3(C)C4)nn2-c2ccccc2)ccc1Cl</t>
  </si>
  <si>
    <t xml:space="preserve">CHEMBL2421943</t>
  </si>
  <si>
    <t xml:space="preserve">CHEMBL2417473</t>
  </si>
  <si>
    <t xml:space="preserve">Displacement of [3H]CP-55,940 from human CB2 receptor after 1 hr by competitive binding assay</t>
  </si>
  <si>
    <t xml:space="preserve">CHEMBL4088509</t>
  </si>
  <si>
    <t xml:space="preserve">Cc1cc(-c2cc(C(=O)N[C@H]3CC[C@@H](C)CC3)c(=O)n(Cc3ccc(F)cc3)n2)ccc1Cl</t>
  </si>
  <si>
    <t xml:space="preserve">CHEMBL4085733</t>
  </si>
  <si>
    <t xml:space="preserve">Cc1cc(-c2cc(C(=O)N[C@H]3CC[C@H](C)CC3)c(=O)n(Cc3ccc(F)cc3)n2)ccc1Cl</t>
  </si>
  <si>
    <t xml:space="preserve">CHEMBL2170534</t>
  </si>
  <si>
    <t xml:space="preserve">Cc1cc(=O)c(C(=O)NC23CC4CC(CC(C4)C2)C3)cn1CC1CCOCC1</t>
  </si>
  <si>
    <t xml:space="preserve">CHEMBL2170533</t>
  </si>
  <si>
    <t xml:space="preserve">Cc1cc(=O)c(C(=O)NC23CC4CC(CC(C4)C2)C3)cn1CCC1CCOCC1</t>
  </si>
  <si>
    <t xml:space="preserve">CHEMBL2170532</t>
  </si>
  <si>
    <t xml:space="preserve">Cc1cc(=O)c(C(=O)NC23CC4CC(CC(C4)C2)C3)cn1CCCC(F)(F)F</t>
  </si>
  <si>
    <t xml:space="preserve">CHEMBL3965599</t>
  </si>
  <si>
    <t xml:space="preserve">Cc1cc(C(=O)NC(C)c2ccccc2)c(C)n1-c1ccccc1</t>
  </si>
  <si>
    <t xml:space="preserve">CHEMBL3982062</t>
  </si>
  <si>
    <t xml:space="preserve">Cc1cc(C(=O)NC23CC4CC(CC(C4)C2)C3)c(C)n1-c1ccccc1</t>
  </si>
  <si>
    <t xml:space="preserve">CHEMBL3968899</t>
  </si>
  <si>
    <t xml:space="preserve">Cc1cc(C(=O)NC2CCCCC2)c(C)n1-c1ccccc1</t>
  </si>
  <si>
    <t xml:space="preserve">CHEMBL3893062</t>
  </si>
  <si>
    <t xml:space="preserve">Cc1cc(C(=O)NCCc2ccccc2)c(C)n1-c1ccccc1</t>
  </si>
  <si>
    <t xml:space="preserve">CHEMBL3921132</t>
  </si>
  <si>
    <t xml:space="preserve">Cc1cc(C(=O)Nc2ccc3ccccc3c2)c(C)n1-c1ccccc1</t>
  </si>
  <si>
    <t xml:space="preserve">CHEMBL3963856</t>
  </si>
  <si>
    <t xml:space="preserve">Cc1cc(C(=O)Nc2cccc3ccccc23)c(C)n1-c1ccccc1</t>
  </si>
  <si>
    <t xml:space="preserve">CHEMBL565515</t>
  </si>
  <si>
    <t xml:space="preserve">Cc1cc(C)c(NC(=O)C2CCCCC2C)cc1CN1CCOCC1</t>
  </si>
  <si>
    <t xml:space="preserve">CHEMBL560383</t>
  </si>
  <si>
    <t xml:space="preserve">Cc1cc(C)c(OCC(=O)Nc2sc3c(c2C(=O)NC2CCS(=O)(=O)C2)CCCC3)c(C)c1</t>
  </si>
  <si>
    <t xml:space="preserve">CHEMBL234675</t>
  </si>
  <si>
    <t xml:space="preserve">Cc1cc(C)cc(-c2ccc(C(C)(C)CCCCCO)cc2O)c1</t>
  </si>
  <si>
    <t xml:space="preserve">CHEMBL396628</t>
  </si>
  <si>
    <t xml:space="preserve">Cc1cc(C)cc(-c2ccc(C(C)(C)CCCO)cc2O)c1</t>
  </si>
  <si>
    <t xml:space="preserve">CHEMBL234016</t>
  </si>
  <si>
    <t xml:space="preserve">Cc1cc(C)cc(-c2ccc(C(C)(C)CO)cc2O)c1</t>
  </si>
  <si>
    <t xml:space="preserve">CHEMBL2151377</t>
  </si>
  <si>
    <t xml:space="preserve">Cc1cc(C2=NN(C(=O)NC3C4(C)CCC(C4)C3(C)C)CC2Cc2ccccc2)ccc1Cl</t>
  </si>
  <si>
    <t xml:space="preserve">CHEMBL2154447</t>
  </si>
  <si>
    <t xml:space="preserve">CHEMBL2150847</t>
  </si>
  <si>
    <t xml:space="preserve">Displacement of [3H]CP55940 from human CB2 receptor expressed in CHO cell membranes after 1 hr by scintillation counting</t>
  </si>
  <si>
    <t xml:space="preserve">CHEMBL2151381</t>
  </si>
  <si>
    <t xml:space="preserve">Cc1cc(C2=NN(C(=O)NC3CCCCC3)CC2C2CCCC2)ccc1Cl</t>
  </si>
  <si>
    <t xml:space="preserve">CHEMBL478160</t>
  </si>
  <si>
    <t xml:space="preserve">Cc1cc(Cl)cc(C)c1-c1c(C)c(C(=O)NN2CCCCC2)nn1-c1ccc(Cl)cc1Cl</t>
  </si>
  <si>
    <t xml:space="preserve">CHEMBL484506</t>
  </si>
  <si>
    <t xml:space="preserve">Cc1cc(Cl)ccc1-c1c(C)c(C(=O)NN2CCCCC2)nn1-c1c(Cl)cc(Cl)cc1Cl</t>
  </si>
  <si>
    <t xml:space="preserve">CHEMBL484505</t>
  </si>
  <si>
    <t xml:space="preserve">Cc1cc(Cl)ccc1-c1c(C)c(C(=O)NN2CCCCC2)nn1-c1ccc(Cl)cc1Cl</t>
  </si>
  <si>
    <t xml:space="preserve">CHEMBL577487</t>
  </si>
  <si>
    <t xml:space="preserve">Cc1cc(F)c(NC(=O)C2CCCCC2C)cc1CN1CCOCC1</t>
  </si>
  <si>
    <t xml:space="preserve">CHEMBL568467</t>
  </si>
  <si>
    <t xml:space="preserve">Cc1cc(NC(=O)C(C)(C(F)(F)F)C(F)(F)F)cc(CN2CCOCC2)c1C</t>
  </si>
  <si>
    <t xml:space="preserve">CHEMBL593625</t>
  </si>
  <si>
    <t xml:space="preserve">Cc1cc(NC(=O)C(C)(C(F)(F)F)C(F)(F)F)cc(S(=O)(=O)N2CCOCC2)c1C</t>
  </si>
  <si>
    <t xml:space="preserve">CHEMBL594553</t>
  </si>
  <si>
    <t xml:space="preserve">Cc1cc(NC(=O)C(C)(C)C)cc(S(=O)(=O)N2CCOCC2)c1C</t>
  </si>
  <si>
    <t xml:space="preserve">CHEMBL593622</t>
  </si>
  <si>
    <t xml:space="preserve">Cc1cc(NC(=O)C(C)(C)O)cc(S(=O)(=O)N2CCOCC2)c1C</t>
  </si>
  <si>
    <t xml:space="preserve">CHEMBL593167</t>
  </si>
  <si>
    <t xml:space="preserve">Cc1cc(NC(=O)C(C)(C)c2ccccc2)cc(S(=O)(=O)N2CCOCC2)c1C</t>
  </si>
  <si>
    <t xml:space="preserve">CHEMBL593166</t>
  </si>
  <si>
    <t xml:space="preserve">Cc1cc(NC(=O)C2C(C)(C)C2(C)C)cc(S(=O)(=O)N2CCOCC2)c1C</t>
  </si>
  <si>
    <t xml:space="preserve">CHEMBL568468</t>
  </si>
  <si>
    <t xml:space="preserve">Cc1cc(NC(=O)C2CCCCC2C)cc(CN2CCOCC2)c1C</t>
  </si>
  <si>
    <t xml:space="preserve">CHEMBL3329483</t>
  </si>
  <si>
    <t xml:space="preserve">Cc1cc(O)c2c(c1)OC(C)(C)C1=C2C[C@H](C)CC1</t>
  </si>
  <si>
    <t xml:space="preserve">CHEMBL5415150</t>
  </si>
  <si>
    <t xml:space="preserve">Cc1cc([N+](=O)[O-])c2oc(-c3ccc(OCCOCCNC(=O)OC(C)(C)C)cc3)cc(=O)c2c1</t>
  </si>
  <si>
    <t xml:space="preserve">CHEMBL2163958</t>
  </si>
  <si>
    <t xml:space="preserve">Cc1cc2c3c(c1)c(=O)c(C(=O)NC1CCCCC1)cn3C(c1ccccc1)CO2</t>
  </si>
  <si>
    <t xml:space="preserve">CHEMBL4086649</t>
  </si>
  <si>
    <t xml:space="preserve">Cc1ccc(-c2cc(C(=O)NC34CC5CC(CC(C5)C3)C4)c(=O)n(C3CCCC3)n2)cc1Cl</t>
  </si>
  <si>
    <t xml:space="preserve">CHEMBL474506</t>
  </si>
  <si>
    <t xml:space="preserve">Cc1ccc(-c2cc(C(C)(C)C)[nH]n2)cc1S(=O)(=O)N1CCOCC1</t>
  </si>
  <si>
    <t xml:space="preserve">CHEMBL1030616</t>
  </si>
  <si>
    <t xml:space="preserve">CHEMBL1136835</t>
  </si>
  <si>
    <t xml:space="preserve">Displacement of [3H]CP-55940 from human cloned CB2 receptor by scintillation spectrometry</t>
  </si>
  <si>
    <t xml:space="preserve">CHEMBL474080</t>
  </si>
  <si>
    <t xml:space="preserve">Cc1ccc(-c2cc(CC(C)(C)C)[nH]n2)cc1S(=O)(=O)N1CCOCC1</t>
  </si>
  <si>
    <t xml:space="preserve">CHEMBL514324</t>
  </si>
  <si>
    <t xml:space="preserve">Cc1ccc(-c2cc(CC3CCCCC3)[nH]n2)cc1S(=O)(=O)N1CCOCC1</t>
  </si>
  <si>
    <t xml:space="preserve">CHEMBL4458732</t>
  </si>
  <si>
    <t xml:space="preserve">Cc1ccc(-c2cc3ncccc3c3cc(C(=O)NC45CC6CC(CC(C6)C4)C5)nn23)cc1</t>
  </si>
  <si>
    <t xml:space="preserve">CHEMBL4549921</t>
  </si>
  <si>
    <t xml:space="preserve">Cc1ccc(-c2cc3ncccc3c3cc(C(=O)NC4C5CC(C[C@@H]4C)C5(C)C)nn23)cc1</t>
  </si>
  <si>
    <t xml:space="preserve">CHEMBL4528488</t>
  </si>
  <si>
    <t xml:space="preserve">Cc1ccc(-c2cc3ncccc3c3cc(C(=O)NC4C5CC6CC(C5)CC4C6)nn23)cc1</t>
  </si>
  <si>
    <t xml:space="preserve">CHEMBL4461183</t>
  </si>
  <si>
    <t xml:space="preserve">Cc1ccc(-c2cc3ncccc3c3cc(C(=O)NC4CCCCC4)nn23)cc1</t>
  </si>
  <si>
    <t xml:space="preserve">CHEMBL4525460</t>
  </si>
  <si>
    <t xml:space="preserve">Cc1ccc(-c2cc3ncccc3c3cc(C(=O)NC[C@@H]4CCC5CC4C5(C)C)nn23)cc1</t>
  </si>
  <si>
    <t xml:space="preserve">CHEMBL4520356</t>
  </si>
  <si>
    <t xml:space="preserve">Cc1ccc(-c2cc3ncccc3c3cc(C(=O)N[C@@H]4C[C@H](C)CC[C@H]4C(C)C)nn23)cc1</t>
  </si>
  <si>
    <t xml:space="preserve">CHEMBL4443516</t>
  </si>
  <si>
    <t xml:space="preserve">Cc1ccc(-c2cc3ncccc3c3cc(C(=O)N[C@H]4C5(C)CCC(C5)C4(C)C)nn23)cc1</t>
  </si>
  <si>
    <t xml:space="preserve">CHEMBL4453164</t>
  </si>
  <si>
    <t xml:space="preserve">Cc1ccc(-c2cc3ncccc3c3cc(C(=O)N[C@H]4CC5CCC4(C)C5(C)C)nn23)cc1</t>
  </si>
  <si>
    <t xml:space="preserve">CHEMBL475719</t>
  </si>
  <si>
    <t xml:space="preserve">Cc1ccc(-c2cnc(C(C)(C)C)[nH]2)cc1S(=O)(=O)N1CCOCC1</t>
  </si>
  <si>
    <t xml:space="preserve">CHEMBL473698</t>
  </si>
  <si>
    <t xml:space="preserve">Cc1ccc(-c2n[nH]c(C(C)(C)C)n2)cc1S(=O)(=O)N1CCOCC1</t>
  </si>
  <si>
    <t xml:space="preserve">CHEMBL473697</t>
  </si>
  <si>
    <t xml:space="preserve">Cc1ccc(-c2n[nH]c(CC(C)(C)C)n2)cc1S(=O)(=O)N1CCOCC1</t>
  </si>
  <si>
    <t xml:space="preserve">CHEMBL503518</t>
  </si>
  <si>
    <t xml:space="preserve">Cc1ccc(-c2n[nH]c(CC3CCCCC3)n2)cc1S(=O)(=O)N1CCOCC1</t>
  </si>
  <si>
    <t xml:space="preserve">CHEMBL500856</t>
  </si>
  <si>
    <t xml:space="preserve">Cc1ccc(-c2nc(C(C)(C)C)c[nH]2)cc1S(=O)(=O)N1CCOCC1</t>
  </si>
  <si>
    <t xml:space="preserve">CHEMBL475093</t>
  </si>
  <si>
    <t xml:space="preserve">Cc1ccc(-c2nc(C(C)(C)C)cs2)cc1S(=O)(=O)N1CCOCC1</t>
  </si>
  <si>
    <t xml:space="preserve">CHEMBL474300</t>
  </si>
  <si>
    <t xml:space="preserve">Cc1ccc(-c2nc(CC(C)(C)C)c[nH]2)cc1S(=O)(=O)N1CCOCC1</t>
  </si>
  <si>
    <t xml:space="preserve">CHEMBL474897</t>
  </si>
  <si>
    <t xml:space="preserve">Cc1ccc(-c2nc(CC(C)(C)C)cs2)cc1S(=O)(=O)N1CCOCC1</t>
  </si>
  <si>
    <t xml:space="preserve">CHEMBL474896</t>
  </si>
  <si>
    <t xml:space="preserve">Cc1ccc(-c2nc(CC3CCCCC3)cs2)cc1S(=O)(=O)N1CCOCC1</t>
  </si>
  <si>
    <t xml:space="preserve">CHEMBL515102</t>
  </si>
  <si>
    <t xml:space="preserve">Cc1ccc(-c2nnn(CC(C)(C)C)n2)cc1S(=O)(=O)N1CCOCC1</t>
  </si>
  <si>
    <t xml:space="preserve">CHEMBL475100</t>
  </si>
  <si>
    <t xml:space="preserve">Cc1ccc(-c2nnn(CC3CCCCC3)n2)cc1S(=O)(=O)N1CCOCC1</t>
  </si>
  <si>
    <t xml:space="preserve">CHEMBL508362</t>
  </si>
  <si>
    <t xml:space="preserve">Cc1ccc(-c2noc(C(C)(C)C)n2)cc1S(=O)(=O)N1CCOCC1</t>
  </si>
  <si>
    <t xml:space="preserve">CHEMBL472679</t>
  </si>
  <si>
    <t xml:space="preserve">Cc1ccc(-c2noc(CC(C)(C)C)n2)cc1S(=O)(=O)N1CCOCC1</t>
  </si>
  <si>
    <t xml:space="preserve">CHEMBL472680</t>
  </si>
  <si>
    <t xml:space="preserve">Cc1ccc(-c2noc(CC3CCCCC3)n2)cc1S(=O)(=O)N1CCOCC1</t>
  </si>
  <si>
    <t xml:space="preserve">CHEMBL3093381</t>
  </si>
  <si>
    <t xml:space="preserve">Cc1ccc(-c2noc(CCC(=O)Nc3ccc4c(c3)c3ccccc3n4CCF)n2)cc1</t>
  </si>
  <si>
    <t xml:space="preserve">CHEMBL258242</t>
  </si>
  <si>
    <t xml:space="preserve">Cc1ccc(C(=O)NC(C(C)(C)C)C(C)(C)C)cc1S(=O)(=O)N1CCOCC1</t>
  </si>
  <si>
    <t xml:space="preserve">CHEMBL404457</t>
  </si>
  <si>
    <t xml:space="preserve">Cc1ccc(C(=O)NC(C)C(C)(C)C)cc1S(=O)(=O)N1CCOCC1</t>
  </si>
  <si>
    <t xml:space="preserve">CHEMBL442447</t>
  </si>
  <si>
    <t xml:space="preserve">Cc1ccc(C(=O)NC(C)C23CC4CC(CC(C4)C2)C3)cc1S(=O)(=O)N1CCOCC1</t>
  </si>
  <si>
    <t xml:space="preserve">CHEMBL258244</t>
  </si>
  <si>
    <t xml:space="preserve">Cc1ccc(C(=O)NC23CC4CC(CC(C4)C2)C3)cc1S(=O)(=O)N1CCOCC1</t>
  </si>
  <si>
    <t xml:space="preserve">CHEMBL576814</t>
  </si>
  <si>
    <t xml:space="preserve">Cc1ccc(C(=O)NC2C(C)(C)[C@@H]3CC[C@@]2(C)C3)cc1C(=O)N1CCOCC1</t>
  </si>
  <si>
    <t xml:space="preserve">CHEMBL568683</t>
  </si>
  <si>
    <t xml:space="preserve">Cc1ccc(C(=O)NC2C(C)(C)[C@@H]3CC[C@@]2(C)C3)cc1CCC(=O)N1CCOCC1</t>
  </si>
  <si>
    <t xml:space="preserve">CHEMBL583654</t>
  </si>
  <si>
    <t xml:space="preserve">Cc1ccc(C(=O)NC2C(C)(C)[C@@H]3CC[C@@]2(C)C3)cc1CCCN1CCOCC1</t>
  </si>
  <si>
    <t xml:space="preserve">CHEMBL567593</t>
  </si>
  <si>
    <t xml:space="preserve">Cc1ccc(C(=O)NC2C(C)(C)[C@@H]3CC[C@@]2(C)C3)cc1CCN1CCOCC1</t>
  </si>
  <si>
    <t xml:space="preserve">CHEMBL579193</t>
  </si>
  <si>
    <t xml:space="preserve">Cc1ccc(C(=O)NC2C(C)(C)[C@@H]3CC[C@@]2(C)C3)cc1CN1CCOCC1</t>
  </si>
  <si>
    <t xml:space="preserve">CHEMBL568682</t>
  </si>
  <si>
    <t xml:space="preserve">Cc1ccc(C(=O)NC2C(C)(C)[C@@H]3CC[C@@]2(C)C3)cc1N1CCOCC1</t>
  </si>
  <si>
    <t xml:space="preserve">CHEMBL565969</t>
  </si>
  <si>
    <t xml:space="preserve">Cc1ccc(C(=O)NC2C(C)(C)[C@@H]3CC[C@@]2(C)C3)cc1S(=O)(=O)N1CCOCC1</t>
  </si>
  <si>
    <t xml:space="preserve">CHEMBL1668512</t>
  </si>
  <si>
    <t xml:space="preserve">Cc1ccc(C(=O)NC2C(C)(C)[C@@H]3CC[C@]2(C)C3)cc1S(=O)(=O)N1CCOCC1</t>
  </si>
  <si>
    <t xml:space="preserve">CHEMBL255681</t>
  </si>
  <si>
    <t xml:space="preserve">Cc1ccc(C(=O)NC2C(C)CCCC2C)cc1S(=O)(=O)N1CCOCC1</t>
  </si>
  <si>
    <t xml:space="preserve">CHEMBL576227</t>
  </si>
  <si>
    <t xml:space="preserve">Cc1ccc(C(=O)NC2C3(C)CCC(C3)C2(C)C)cc1CC(=O)N1CCOCC1</t>
  </si>
  <si>
    <t xml:space="preserve">CHEMBL256110</t>
  </si>
  <si>
    <t xml:space="preserve">Cc1ccc(C(=O)NC2C3CC4CC(C3)CC2C4)cc1S(=O)(=O)N1CCOCC1</t>
  </si>
  <si>
    <t xml:space="preserve">CHEMBL4779298</t>
  </si>
  <si>
    <t xml:space="preserve">Cc1ccc(C(=O)NC2CCCCCC2)c(=O)n1Cc1ccc(F)cc1</t>
  </si>
  <si>
    <t xml:space="preserve">CHEMBL4756103</t>
  </si>
  <si>
    <t xml:space="preserve">Cc1ccc(C(=O)NC2CCCCCC2)c(OCc2ccc(F)cc2)n1</t>
  </si>
  <si>
    <t xml:space="preserve">CHEMBL429851</t>
  </si>
  <si>
    <t xml:space="preserve">Cc1ccc(C(=O)NCC(C)(C)C)cc1S(=O)(=O)N1CCOCC1</t>
  </si>
  <si>
    <t xml:space="preserve">CHEMBL258243</t>
  </si>
  <si>
    <t xml:space="preserve">Cc1ccc(C(=O)NCC23CC4CC(CC(C4)C2)C3)cc1S(=O)(=O)N1CCOCC1</t>
  </si>
  <si>
    <t xml:space="preserve">CHEMBL516388</t>
  </si>
  <si>
    <t xml:space="preserve">Cc1ccc(C(=O)N[C@@H]2C(C)(C)[C@@H]3CC[C@@]2(C)C3)cc1S(=O)(=O)N1CCOCC1</t>
  </si>
  <si>
    <t xml:space="preserve">CHEMBL255474</t>
  </si>
  <si>
    <t xml:space="preserve">Cc1ccc(C(=O)N[C@@H]2C(C)(C)[C@H]3CC[C@]2(C)C3)cc1S(=O)(=O)N1CCOCC1</t>
  </si>
  <si>
    <t xml:space="preserve">CHEMBL473063</t>
  </si>
  <si>
    <t xml:space="preserve">Cc1ccc(C(=O)N[C@H]2C(C)(C)[C@@H]3CC[C@@]2(C)C3)cc1S(=O)(=O)N1CCOCC1</t>
  </si>
  <si>
    <t xml:space="preserve">CHEMBL404650</t>
  </si>
  <si>
    <t xml:space="preserve">Cc1ccc(C(=O)N[C@H]2C(C)(C)[C@H]3CC[C@]2(C)C3)cc1S(=O)(=O)N1CCOCC1</t>
  </si>
  <si>
    <t xml:space="preserve">CHEMBL255096</t>
  </si>
  <si>
    <t xml:space="preserve">Cc1ccc(C(=O)N[C@H]2CC3CC[C@@]2(C)C3(C)C)cc1S(=O)(=O)N1CCOCC1</t>
  </si>
  <si>
    <t xml:space="preserve">CHEMBL3220943</t>
  </si>
  <si>
    <t xml:space="preserve">Cc1ccc(C(=O)Oc2cccc(/C=C3\N=C4SCCCCN4C3=O)c2)cc1</t>
  </si>
  <si>
    <t xml:space="preserve">CHEMBL245876</t>
  </si>
  <si>
    <t xml:space="preserve">Cc1ccc(C(=O)Oc2cccc3cccnc23)cc1S(=O)(=O)N1CCCCC1</t>
  </si>
  <si>
    <t xml:space="preserve">CHEMBL928502</t>
  </si>
  <si>
    <t xml:space="preserve">CHEMBL1141512</t>
  </si>
  <si>
    <t xml:space="preserve">CHEMBL3605035</t>
  </si>
  <si>
    <t xml:space="preserve">Cc1ccc(C(=O)c2cc(O)c(-c3cc(Cl)cc(Cl)c3)c(O)c2)cc1</t>
  </si>
  <si>
    <t xml:space="preserve">CHEMBL476576</t>
  </si>
  <si>
    <t xml:space="preserve">Cc1ccc(C(C(=O)NCCC(c2ccccc2)c2ccccc2)c2ccccc2)cc1</t>
  </si>
  <si>
    <t xml:space="preserve">CHEMBL470224</t>
  </si>
  <si>
    <t xml:space="preserve">Cc1ccc(C(C)C)c2cc(Cc3ccccc3)c(=O)oc12</t>
  </si>
  <si>
    <t xml:space="preserve">CHEMBL2179737</t>
  </si>
  <si>
    <t xml:space="preserve">Cc1ccc(C(NC(=O)Cc2ccc(Cl)cc2)NC(=O)Cc2ccc(Cl)cc2)cc1</t>
  </si>
  <si>
    <t xml:space="preserve">CHEMBL2179762</t>
  </si>
  <si>
    <t xml:space="preserve">Cc1ccc(C(NC(=O)Cc2ccccc2)NC(=O)Cc2ccccc2)cc1</t>
  </si>
  <si>
    <t xml:space="preserve">CHEMBL1093735</t>
  </si>
  <si>
    <t xml:space="preserve">Cc1ccc(C(c2ccc(Cl)cc2Cl)N2CCN(C(=O)NC3CCCCC3)CC2)cc1</t>
  </si>
  <si>
    <t xml:space="preserve">CHEMBL1091812</t>
  </si>
  <si>
    <t xml:space="preserve">Cc1ccc(C(c2ccc(Cl)cc2Cl)N2CCN(C(=O)NN3CCCCC3)CC2)cc1</t>
  </si>
  <si>
    <t xml:space="preserve">CHEMBL2163957</t>
  </si>
  <si>
    <t xml:space="preserve">Cc1ccc(C2COc3cccc4c(=O)c(C(=O)NC56CC7CC(CC(C7)C5)C6)cn2c34)cc1</t>
  </si>
  <si>
    <t xml:space="preserve">CHEMBL2163956</t>
  </si>
  <si>
    <t xml:space="preserve">Cc1ccc(C2COc3cccc4c(=O)c(C(=O)NC5CCCCC5)cn2c34)cc1</t>
  </si>
  <si>
    <t xml:space="preserve">CHEMBL550309</t>
  </si>
  <si>
    <t xml:space="preserve">Cc1ccc(C2c3cccn3-c3ccccc3N2C(=O)CN(C(=O)C2CCCC2)C2CC2)cc1</t>
  </si>
  <si>
    <t xml:space="preserve">CHEMBL2151380</t>
  </si>
  <si>
    <t xml:space="preserve">Cc1ccc(CC2CN(C(=O)NC3C4(C)CCC(C4)C3(C)C)N=C2c2ccc(Cl)c(C)c2)cc1</t>
  </si>
  <si>
    <t xml:space="preserve">CHEMBL2151379</t>
  </si>
  <si>
    <t xml:space="preserve">Cc1ccc(CC2CN(C(=O)NC3CCCCC3)N=C2c2ccc(Cl)c(C)c2)cc1</t>
  </si>
  <si>
    <t xml:space="preserve">CHEMBL257714</t>
  </si>
  <si>
    <t xml:space="preserve">Cc1ccc(CNC(=O)c2oc3ccc(S(=O)(=O)N4CC(C)CC(C)C4)cc3c2C)cc1</t>
  </si>
  <si>
    <t xml:space="preserve">CHEMBL5557729</t>
  </si>
  <si>
    <t xml:space="preserve">Cc1ccc(Cn2c(NCCc3c[nH]c4ccccc34)nc3c2c(=O)n(C)c(=O)n3C)cc1</t>
  </si>
  <si>
    <t xml:space="preserve">CHEMBL2420250</t>
  </si>
  <si>
    <t xml:space="preserve">Cc1ccc(Cn2cc(/C=C/[C@@H]3C(C)(C)[C@@H]4CC[C@@]3(C)C4)cc2-c2ccc(Cl)c(C)c2)cc1</t>
  </si>
  <si>
    <t xml:space="preserve">CHEMBL3613108</t>
  </si>
  <si>
    <t xml:space="preserve">Cc1ccc(Cn2cc(C(=O)N3CCCCC3)cc2-c2ccc(Cl)c(C)c2)cc1</t>
  </si>
  <si>
    <t xml:space="preserve">CHEMBL3613109</t>
  </si>
  <si>
    <t xml:space="preserve">Cc1ccc(Cn2cc(C(=O)N3CCN(c4ccccc4Cl)CC3)cc2-c2ccc(Cl)c(C)c2)cc1</t>
  </si>
  <si>
    <t xml:space="preserve">CHEMBL3613107</t>
  </si>
  <si>
    <t xml:space="preserve">Cc1ccc(Cn2cc(C(=O)NC3CCCCC3)cc2-c2ccc(Cl)c(C)c2)cc1</t>
  </si>
  <si>
    <t xml:space="preserve">CHEMBL3613101</t>
  </si>
  <si>
    <t xml:space="preserve">Cc1ccc(Cn2cc(C(=O)NC[C@@H]3CCC4C[C@@H]3C4(C)C)cc2-c2ccc(Cl)c(C)c2)cc1</t>
  </si>
  <si>
    <t xml:space="preserve">CHEMBL3613112</t>
  </si>
  <si>
    <t xml:space="preserve">Cc1ccc(Cn2cc(C(=O)NN3CCCCCC3)cc2-c2ccc(Cl)c(C)c2)cc1</t>
  </si>
  <si>
    <t xml:space="preserve">CHEMBL3613106</t>
  </si>
  <si>
    <t xml:space="preserve">Cc1ccc(Cn2cc(C(=O)N[C@@H](C)C3CCCCC3)cc2-c2ccc(Cl)c(C)c2)cc1</t>
  </si>
  <si>
    <t xml:space="preserve">CHEMBL3613116</t>
  </si>
  <si>
    <t xml:space="preserve">Cc1ccc(Cn2cc(C(=O)N[C@@H]3C(C)(C)C4CC[C@@]3(C)C4)c3c2-c2ccc(Cl)c(C)c2C3)cc1</t>
  </si>
  <si>
    <t xml:space="preserve">CHEMBL3613097</t>
  </si>
  <si>
    <t xml:space="preserve">Cc1ccc(Cn2cc(C(=O)N[C@@H]3C(C)(C)C4CC[C@@]3(C)C4)cc2-c2ccc(Cl)c(C)c2)cc1</t>
  </si>
  <si>
    <t xml:space="preserve">CHEMBL2420249</t>
  </si>
  <si>
    <t xml:space="preserve">Cc1ccc(Cn2cc(C(=O)N[C@@H]3C(C)(C)[C@@H]4CC[C@@]3(C)C4)cc2-c2ccc(Cl)c(C)c2)cc1</t>
  </si>
  <si>
    <t xml:space="preserve">CHEMBL3613099</t>
  </si>
  <si>
    <t xml:space="preserve">Cc1ccc(Cn2cc(C(=O)N[C@@H]3CC4CC[C@@]3(C)C4(C)C)cc2-c2ccc(Cl)c(C)c2)cc1</t>
  </si>
  <si>
    <t xml:space="preserve">CHEMBL3613104</t>
  </si>
  <si>
    <t xml:space="preserve">Cc1ccc(Cn2cc(C(=O)N[C@H]3C[C@@H](C)CC[C@@H]3C(C)C)cc2-c2ccc(Cl)c(C)c2)cc1</t>
  </si>
  <si>
    <t xml:space="preserve">CHEMBL3613098</t>
  </si>
  <si>
    <t xml:space="preserve">Cc1ccc(Cn2cc(CN[C@@H]3C(C)(C)C4CC[C@@]3(C)C4)cc2-c2ccc(Cl)c(C)c2)cc1</t>
  </si>
  <si>
    <t xml:space="preserve">CHEMBL4202505</t>
  </si>
  <si>
    <t xml:space="preserve">Cc1ccc(Cn2nc(-c3ccc(C)cc3)cc(S(=O)(=O)NC3CCCCCC3)c2=O)cc1</t>
  </si>
  <si>
    <t xml:space="preserve">CHEMBL4186782</t>
  </si>
  <si>
    <t xml:space="preserve">CHEMBL4184183</t>
  </si>
  <si>
    <t xml:space="preserve">Displacement of [3H]CP,55-940 from recombinant human CB2 receptor expressed in HEK293 EBNA cell membranes after 90 mins by microbeta scintillation counting method</t>
  </si>
  <si>
    <t xml:space="preserve">CHEMBL4094331</t>
  </si>
  <si>
    <t xml:space="preserve">Cc1ccc(Cn2nc(-c3ccc(Cl)c(C)c3)cc(C(=O)NC3CCCCC3)c2=O)cc1</t>
  </si>
  <si>
    <t xml:space="preserve">CHEMBL2420248</t>
  </si>
  <si>
    <t xml:space="preserve">Cc1ccc(Cn2nc(/C=C/[C@@H]3C(C)(C)[C@@H]4CC[C@@]3(C)C4)cc2-c2ccc(Cl)c(C)c2)cc1</t>
  </si>
  <si>
    <t xml:space="preserve">CHEMBL3924830</t>
  </si>
  <si>
    <t xml:space="preserve">Cc1ccc(Cn2nc(C(=O)NCC3CCC4CC3C4(C)C)c3c2-c2cc(Cl)ccc2CCC3)cc1</t>
  </si>
  <si>
    <t xml:space="preserve">CHEMBL3984538</t>
  </si>
  <si>
    <t xml:space="preserve">Cc1ccc(Cn2nc(C(=O)NCC3CCC4CC3C4(C)C)c3c2-c2ccc(Cl)cc2CCC3)cc1</t>
  </si>
  <si>
    <t xml:space="preserve">CHEMBL3613117</t>
  </si>
  <si>
    <t xml:space="preserve">Cc1ccc(Cn2nc(C(=O)N[C@@H]3CC4CC[C@@]3(C)C4(C)C)cc2-c2ccc(Cl)c(C)c2)cc1</t>
  </si>
  <si>
    <t xml:space="preserve">CHEMBL2420251</t>
  </si>
  <si>
    <t xml:space="preserve">Cc1ccc(Cn2nc(C(=O)N[C@@H]3C[C@@H]4CC[C@@]3(C)C4(C)C)cc2-c2ccc(Cl)c(C)c2)cc1</t>
  </si>
  <si>
    <t xml:space="preserve">CHEMBL471671</t>
  </si>
  <si>
    <t xml:space="preserve">Cc1ccc(NC(=O)C(C(C)(C)C)C(C)(C)C)cc1S(=O)(=O)N1CCOCC1</t>
  </si>
  <si>
    <t xml:space="preserve">CHEMBL576855</t>
  </si>
  <si>
    <t xml:space="preserve">Cc1ccc(NC(=O)C(C)(C(F)(F)F)C(F)(F)F)cc1CN1CCOCC1</t>
  </si>
  <si>
    <t xml:space="preserve">CHEMBL511150</t>
  </si>
  <si>
    <t xml:space="preserve">Cc1ccc(NC(=O)C(C)(C(F)(F)F)C(F)(F)F)cc1S(=O)(=O)N1CCOCC1</t>
  </si>
  <si>
    <t xml:space="preserve">CHEMBL470232</t>
  </si>
  <si>
    <t xml:space="preserve">Cc1ccc(NC(=O)C(C)(C)C)cc1S(=O)(=O)N1CCOCC1</t>
  </si>
  <si>
    <t xml:space="preserve">CHEMBL515866</t>
  </si>
  <si>
    <t xml:space="preserve">Cc1ccc(NC(=O)C2(C)CCCCC2)cc1S(=O)(=O)N1CCOCC1</t>
  </si>
  <si>
    <t xml:space="preserve">CHEMBL472856</t>
  </si>
  <si>
    <t xml:space="preserve">Cc1ccc(NC(=O)C2C(C)(C)C2(C)C)cc1S(=O)(=O)N1CCOCC1</t>
  </si>
  <si>
    <t xml:space="preserve">CHEMBL474692</t>
  </si>
  <si>
    <t xml:space="preserve">Cc1ccc(NC(=O)C2CCCCC2(C)C)cc1S(=O)(=O)N1CCOCC1</t>
  </si>
  <si>
    <t xml:space="preserve">CHEMBL470231</t>
  </si>
  <si>
    <t xml:space="preserve">Cc1ccc(NC(=O)C2CCCCC2)cc1S(=O)(=O)N1CCOCC1</t>
  </si>
  <si>
    <t xml:space="preserve">CHEMBL577686</t>
  </si>
  <si>
    <t xml:space="preserve">Cc1ccc(NC(=O)C2CCCCC2C)cc1CN1CCOCC1</t>
  </si>
  <si>
    <t xml:space="preserve">CHEMBL514490</t>
  </si>
  <si>
    <t xml:space="preserve">Cc1ccc(NC(=O)C2CCCCC2C)cc1S(=O)(=O)N1CCOCC1</t>
  </si>
  <si>
    <t xml:space="preserve">CHEMBL515090</t>
  </si>
  <si>
    <t xml:space="preserve">Cc1ccc(NC(=O)[C@@H]2C(C)(C)[C@@H]3CC[C@@]2(C)C3)cc1S(=O)(=O)N1CCOCC1</t>
  </si>
  <si>
    <t xml:space="preserve">CHEMBL525791</t>
  </si>
  <si>
    <t xml:space="preserve">Cc1ccc(NC(=O)[C@@H]2C[C@@]3(C)CC[C@]2(C)O3)cc1S(=O)(=O)N1CCOCC1</t>
  </si>
  <si>
    <t xml:space="preserve">CHEMBL516057</t>
  </si>
  <si>
    <t xml:space="preserve">Cc1ccc(NC(=O)[C@H]2C(C)(C)[C@@H]3CC[C@@]2(C)C3)cc1S(=O)(=O)N1CCOCC1</t>
  </si>
  <si>
    <t xml:space="preserve">CHEMBL475500</t>
  </si>
  <si>
    <t xml:space="preserve">Cc1ccc(NC(=O)[C@H]2C[C@@]3(C)CC[C@]2(C)O3)cc1S(=O)(=O)N1CCOCC1</t>
  </si>
  <si>
    <t xml:space="preserve">CHEMBL516078</t>
  </si>
  <si>
    <t xml:space="preserve">Cc1ccc(NC(=O)c2ccc(Cl)cc2)cc1S(=O)(=O)N1CCOCC1</t>
  </si>
  <si>
    <t xml:space="preserve">CHEMBL470233</t>
  </si>
  <si>
    <t xml:space="preserve">Cc1ccc(NC(=O)c2cccc(Cl)c2)cc1S(=O)(=O)N1CCOCC1</t>
  </si>
  <si>
    <t xml:space="preserve">CHEMBL516368</t>
  </si>
  <si>
    <t xml:space="preserve">Cc1ccc(NC(=O)c2ccccc2Cl)cc1S(=O)(=O)N1CCOCC1</t>
  </si>
  <si>
    <t xml:space="preserve">CHEMBL5557872</t>
  </si>
  <si>
    <t xml:space="preserve">Cc1ccc(NC(=O)c2cccn2Cc2ccc(F)cc2)cc1</t>
  </si>
  <si>
    <t xml:space="preserve">CHEMBL1834007</t>
  </si>
  <si>
    <t xml:space="preserve">Cc1ccc(NC(=O)c2nn(-c3ccc(Cl)cc3Cl)c(-c3ccc(Cl)cc3)c2C)cn1</t>
  </si>
  <si>
    <t xml:space="preserve">CHEMBL2326304</t>
  </si>
  <si>
    <t xml:space="preserve">Cc1ccc(S(=O)(=O)N(CCc2ccc(Cl)cc2)S(=O)(=O)c2ccc(C)cc2)cc1</t>
  </si>
  <si>
    <t xml:space="preserve">CHEMBL2336572</t>
  </si>
  <si>
    <t xml:space="preserve">Cc1ccc(S(=O)(=O)N(CCc2ccccc2)Cc2ccccc2)cc1</t>
  </si>
  <si>
    <t xml:space="preserve">CHEMBL2339601</t>
  </si>
  <si>
    <t xml:space="preserve">CHEMBL2336527</t>
  </si>
  <si>
    <t xml:space="preserve">Cc1ccc(S(=O)(=O)N(Cc2ccc(N3CCCCC3)cc2)c2ccccc2)cc1</t>
  </si>
  <si>
    <t xml:space="preserve">CHEMBL2336558</t>
  </si>
  <si>
    <t xml:space="preserve">Cc1ccc(S(=O)(=O)N(Cc2ccccc2)Cc2ccc(C(C)C)cc2)cc1</t>
  </si>
  <si>
    <t xml:space="preserve">CHEMBL2336550</t>
  </si>
  <si>
    <t xml:space="preserve">Cc1ccc(S(=O)(=O)N(Cc2ccccc2)Cc2ccc(N(C)C)cc2)cc1</t>
  </si>
  <si>
    <t xml:space="preserve">CHEMBL2336551</t>
  </si>
  <si>
    <t xml:space="preserve">Cc1ccc(S(=O)(=O)N(Cc2ccccc2)Cc2ccc(N(CCCl)CCCl)cc2)cc1</t>
  </si>
  <si>
    <t xml:space="preserve">CHEMBL2336552</t>
  </si>
  <si>
    <t xml:space="preserve">Cc1ccc(S(=O)(=O)N(Cc2ccccc2)Cc2ccc(N3CCCCC3)cc2)cc1</t>
  </si>
  <si>
    <t xml:space="preserve">CHEMBL2336553</t>
  </si>
  <si>
    <t xml:space="preserve">Cc1ccc(S(=O)(=O)N(Cc2ccccc2)Cc2ccc(OC(C)C)cc2)cc1</t>
  </si>
  <si>
    <t xml:space="preserve">CHEMBL6192882</t>
  </si>
  <si>
    <t xml:space="preserve">Cc1ccc(S(=O)(=O)N[C@H]2CCCOc3c2nn(-c2ccccc2Cl)c3-c2ccc(Cl)cc2)cc1</t>
  </si>
  <si>
    <t xml:space="preserve">CHEMBL371575</t>
  </si>
  <si>
    <t xml:space="preserve">Cc1ccc(S(=O)(=O)c2ccc([C@H](C)NS(C)(=O)=O)cc2)c(S(=O)(=O)c2ccccc2F)c1</t>
  </si>
  <si>
    <t xml:space="preserve">CHEMBL1910035</t>
  </si>
  <si>
    <t xml:space="preserve">Cc1ccc([C@@H](c2ccc(Cl)cc2Cl)N2CCN(C(=O)NC3CCCCC3)CC2)cc1</t>
  </si>
  <si>
    <t xml:space="preserve">CHEMBL1912190</t>
  </si>
  <si>
    <t xml:space="preserve">CHEMBL1909527</t>
  </si>
  <si>
    <t xml:space="preserve">Displacement of [3H]-CP-55940 from human CB2 receptor expressed in CHO cells pretreated for 10 mins measured after 3 hrs by scintillation counting</t>
  </si>
  <si>
    <t xml:space="preserve">CHEMBL1910034</t>
  </si>
  <si>
    <t xml:space="preserve">Cc1ccc([C@H](c2ccc(Cl)cc2Cl)N2CCN(C(=O)NC3CCCCC3)CC2)cc1</t>
  </si>
  <si>
    <t xml:space="preserve">CHEMBL385508</t>
  </si>
  <si>
    <t xml:space="preserve">Cc1ccc2c(=O)c(C(=O)NC3CCCC3)cn(CCN3CCOCC3)c2n1</t>
  </si>
  <si>
    <t xml:space="preserve">CHEMBL271839</t>
  </si>
  <si>
    <t xml:space="preserve">Cc1ccc2c(C(=O)C3C(C)(C)C3(C)C)cn(CC3CCOCC3)c2c1</t>
  </si>
  <si>
    <t xml:space="preserve">CHEMBL2348474</t>
  </si>
  <si>
    <t xml:space="preserve">Cc1ccc2c(c1)-c1c(O)cc(C34CC5CC(CC(C5)C3)C4)cc1OC2(C)C</t>
  </si>
  <si>
    <t xml:space="preserve">CHEMBL216735</t>
  </si>
  <si>
    <t xml:space="preserve">Cc1ccc2c(c1)Cc1c(C(=O)NC3CCCCC3)nn(-c3ccc(Cl)cc3Cl)c1-2</t>
  </si>
  <si>
    <t xml:space="preserve">CHEMBL216276</t>
  </si>
  <si>
    <t xml:space="preserve">Cc1ccc2c(c1)Cc1c(C(=O)NN3CCCCC3)nn(-c3ccc(Cl)cc3Cl)c1-2</t>
  </si>
  <si>
    <t xml:space="preserve">CHEMBL3907723</t>
  </si>
  <si>
    <t xml:space="preserve">Cc1cccc(-c2c(O)cc(C(=O)c3ccccc3)cc2O)c1</t>
  </si>
  <si>
    <t xml:space="preserve">CHEMBL4724910</t>
  </si>
  <si>
    <t xml:space="preserve">CHEMBL4715916</t>
  </si>
  <si>
    <t xml:space="preserve">Displacement of [3H]-CP55940 from human recombinant cannabinoid CB2 receptor expressed in HEK cell membranes incubated for 1.5 hrs by liquid scintillation counting method</t>
  </si>
  <si>
    <t xml:space="preserve">CHEMBL4759054</t>
  </si>
  <si>
    <t xml:space="preserve">Cc1cccc(-c2c(O)cc(C(=O)c3cccs3)cc2O)c1</t>
  </si>
  <si>
    <t xml:space="preserve">CHEMBL3605036</t>
  </si>
  <si>
    <t xml:space="preserve">Cc1cccc(C(=O)c2cc(O)c(-c3cc(Cl)cc(Cl)c3)c(O)c2)c1</t>
  </si>
  <si>
    <t xml:space="preserve">CHEMBL2152804</t>
  </si>
  <si>
    <t xml:space="preserve">Cc1cccc(Cn2cc(C(=O)N[C@@H]3C(C)(C)C4CC[C@]3(C)C4)c(=O)c3ccc(F)cc32)c1</t>
  </si>
  <si>
    <t xml:space="preserve">CHEMBL2152814</t>
  </si>
  <si>
    <t xml:space="preserve">Cc1cccc(Cn2cc(C(=O)N[C@@H]3C(C)(C)C4CC[C@]3(C)C4)c(=O)c3ccc(Sc4ccccc4)cc32)c1</t>
  </si>
  <si>
    <t xml:space="preserve">CHEMBL2338182</t>
  </si>
  <si>
    <t xml:space="preserve">Cc1cccc2c1CCN2C(=O)C12CC3CC(CC(C3)C1)C2</t>
  </si>
  <si>
    <t xml:space="preserve">CHEMBL2338185</t>
  </si>
  <si>
    <t xml:space="preserve">Cc1cccc2c1N(C(=O)C13CC4CC(CC(C4)C1)C3)CC2</t>
  </si>
  <si>
    <t xml:space="preserve">CHEMBL4227013</t>
  </si>
  <si>
    <t xml:space="preserve">Cc1ccccc1CN1CCN(c2ncnc3c2nc(-c2ccccc2Cl)n3-c2ccc(Cl)cc2)CC1</t>
  </si>
  <si>
    <t xml:space="preserve">CHEMBL2387539</t>
  </si>
  <si>
    <t xml:space="preserve">Cc1ccccc1Cc1cc2c(C)c(O)c(C)c(C)c2oc1=O</t>
  </si>
  <si>
    <t xml:space="preserve">CHEMBL4175577</t>
  </si>
  <si>
    <t xml:space="preserve">Cc1ccn(Cc2ccc(F)cc2)c(=O)c1C(=O)NC1CCCCCC1</t>
  </si>
  <si>
    <t xml:space="preserve">CHEMBL4163771</t>
  </si>
  <si>
    <t xml:space="preserve">Cc1ccnc(OCc2ccc(F)cc2)c1C(=O)NC1CCCCCC1</t>
  </si>
  <si>
    <t xml:space="preserve">CHEMBL566456</t>
  </si>
  <si>
    <t xml:space="preserve">Cc1cnc(NC(=O)C(C)(C)C)cc1CN1CCOCC1</t>
  </si>
  <si>
    <t xml:space="preserve">CHEMBL568564</t>
  </si>
  <si>
    <t xml:space="preserve">Cc1cnc(NC(=O)C2(C)CCCCC2C)cc1CN1CCOCC1</t>
  </si>
  <si>
    <t xml:space="preserve">CHEMBL232782</t>
  </si>
  <si>
    <t xml:space="preserve">Cc1nc(-c2ccccc2)c(-c2ccccc2)n1CCCCCCNC(=O)Oc1ccccc1F</t>
  </si>
  <si>
    <t xml:space="preserve">CHEMBL894557</t>
  </si>
  <si>
    <t xml:space="preserve">CHEMBL1148024</t>
  </si>
  <si>
    <t xml:space="preserve">Displacement of [3H]CP-55940 from CB2 receptor expressed in CHO cells</t>
  </si>
  <si>
    <t xml:space="preserve">CHEMBL606377</t>
  </si>
  <si>
    <t xml:space="preserve">Cc1nc(C(=O)NC23CC4CC(CC(C4)C2)C3)c(Br)n1-c1ccccc1</t>
  </si>
  <si>
    <t xml:space="preserve">CHEMBL599071</t>
  </si>
  <si>
    <t xml:space="preserve">Cc1nc(C(=O)NC23CC4CC(CC(C4)C2)C3)c(C)n1-c1ccccc1</t>
  </si>
  <si>
    <t xml:space="preserve">CHEMBL597084</t>
  </si>
  <si>
    <t xml:space="preserve">Cc1nc(C(=O)NC23CC4CC(CC(C4)C2)C3)c(C)n1C1CCCCC1</t>
  </si>
  <si>
    <t xml:space="preserve">CHEMBL596626</t>
  </si>
  <si>
    <t xml:space="preserve">Cc1nc(C(=O)NC23CC4CC(CC(C4)C2)C3)c(Cl)n1-c1ccccc1</t>
  </si>
  <si>
    <t xml:space="preserve">CHEMBL1668515</t>
  </si>
  <si>
    <t xml:space="preserve">Cc1nc(C(=O)NC23CC4CC(CC2C4)C3)c(C)n1-c1ccccc1</t>
  </si>
  <si>
    <t xml:space="preserve">CHEMBL598252</t>
  </si>
  <si>
    <t xml:space="preserve">Cc1nc(C(=O)NC2C3CC4CC(C3)C2C4)c(C)n1-c1ccccc1</t>
  </si>
  <si>
    <t xml:space="preserve">CHEMBL604307</t>
  </si>
  <si>
    <t xml:space="preserve">Cc1nc(C(=O)NC2C3CC4CC(C3)CC2C4)c(C)n1-c1ccccc1</t>
  </si>
  <si>
    <t xml:space="preserve">CHEMBL599070</t>
  </si>
  <si>
    <t xml:space="preserve">Cc1nc(C(=O)NC[C@H]2C[C@@H]3C[C@H](C2)C3(C)C)c(C)n1-c1ccccc1</t>
  </si>
  <si>
    <t xml:space="preserve">CHEMBL598463</t>
  </si>
  <si>
    <t xml:space="preserve">Cc1nc(C(=O)NCc2ccccc2C(F)(F)F)c(C)n1-c1ccccc1</t>
  </si>
  <si>
    <t xml:space="preserve">CHEMBL1668504</t>
  </si>
  <si>
    <t xml:space="preserve">Cc1nc(C(=O)Nc2ccccc2C(F)(F)F)c(C)n1-c1ccccc1</t>
  </si>
  <si>
    <t xml:space="preserve">CHEMBL4227549</t>
  </si>
  <si>
    <t xml:space="preserve">Cc1nc(CN2CCN(c3ncnc4c3nc(-c3ccccc3Cl)n4-c3ccc(Cl)cc3)CC2)no1</t>
  </si>
  <si>
    <t xml:space="preserve">CHEMBL3092903</t>
  </si>
  <si>
    <t xml:space="preserve">Cc1nc(N2CCN(C)CC2)c2nc(-c3ccccc3C(F)(F)F)n(C3CCOCC3)c2n1</t>
  </si>
  <si>
    <t xml:space="preserve">CHEMBL3092888</t>
  </si>
  <si>
    <t xml:space="preserve">Cc1nc(N2CCN(C)CC2)c2nc(-c3ccccc3C)n(C3CCOCC3)c2n1</t>
  </si>
  <si>
    <t xml:space="preserve">CHEMBL3092887</t>
  </si>
  <si>
    <t xml:space="preserve">Cc1nc(N2CCN(C)CC2)c2nc(-c3ccccc3C3CC3)n(C3CCOCC3)c2n1</t>
  </si>
  <si>
    <t xml:space="preserve">CHEMBL3092897</t>
  </si>
  <si>
    <t xml:space="preserve">Cc1nc(N2CCN(C)CC2)c2nc(-c3ccccc3Cl)n(C3CC3)c2n1</t>
  </si>
  <si>
    <t xml:space="preserve">CHEMBL3092901</t>
  </si>
  <si>
    <t xml:space="preserve">Cc1nc(N2CCN(C)CC2)c2nc(-c3ccccc3Cl)n(C3CCOCC3)c2n1</t>
  </si>
  <si>
    <t xml:space="preserve">CHEMBL3139186</t>
  </si>
  <si>
    <t xml:space="preserve">CHEMBL3380972</t>
  </si>
  <si>
    <t xml:space="preserve">CHEMBL3352465</t>
  </si>
  <si>
    <t xml:space="preserve">CHEMBL3092895</t>
  </si>
  <si>
    <t xml:space="preserve">Cc1nc(N2CCN(C)CC2)c2nc(-c3ccccc3Cl)n(CCN3CCCC3=O)c2n1</t>
  </si>
  <si>
    <t xml:space="preserve">CHEMBL3092896</t>
  </si>
  <si>
    <t xml:space="preserve">Cc1nc(N2CCN(C)CC2)c2nc(-c3ccccc3Cl)n(CCS(C)(=O)=O)c2n1</t>
  </si>
  <si>
    <t xml:space="preserve">CHEMBL2057803</t>
  </si>
  <si>
    <t xml:space="preserve">Cc1nc(N2CCN(C)CC2)c2nc(-c3ccccc3Cl)n([C@@H]3CCOC3)c2n1</t>
  </si>
  <si>
    <t xml:space="preserve">CHEMBL3092899</t>
  </si>
  <si>
    <t xml:space="preserve">CHEMBL3092898</t>
  </si>
  <si>
    <t xml:space="preserve">Cc1nc(N2CCN(C)CC2)c2nc(-c3ccccc3Cl)n([C@H]3CCOC3)c2n1</t>
  </si>
  <si>
    <t xml:space="preserve">CHEMBL2057804</t>
  </si>
  <si>
    <t xml:space="preserve">CHEMBL4163588</t>
  </si>
  <si>
    <t xml:space="preserve">Cc1nc(N2CCN(C)CC2)c2nc(-c3ccccc3Cl)oc2n1</t>
  </si>
  <si>
    <t xml:space="preserve">CHEMBL5204176</t>
  </si>
  <si>
    <t xml:space="preserve">Cc1nc(OCCCCCn2cc(CCCn3cc(Br)c(C)c(NC(=O)C4CCCCCC4)c3=O)nn2)c(C(=O)NC2CCCCCC2)cc1Br</t>
  </si>
  <si>
    <t xml:space="preserve">CHEMBL4792271</t>
  </si>
  <si>
    <t xml:space="preserve">Cc1nc(OCc2ccc(F)cc2)c(C(=O)NC2CCCCCC2)cc1-c1ccc(F)cc1</t>
  </si>
  <si>
    <t xml:space="preserve">CHEMBL4780771</t>
  </si>
  <si>
    <t xml:space="preserve">Cc1nc(OCc2ccc(F)cc2)c(C(=O)NC2CCCCCC2)cc1Br</t>
  </si>
  <si>
    <t xml:space="preserve">CHEMBL571095</t>
  </si>
  <si>
    <t xml:space="preserve">Cc1ncsc1CCn1cc(C(=O)C2C(C)(C)C2(C)C)c2ccccc21</t>
  </si>
  <si>
    <t xml:space="preserve">CHEMBL2316292</t>
  </si>
  <si>
    <t xml:space="preserve">Cc1nn(C)c2c1c(=O)c(C(=O)NC1CCCCC1)cn2Cc1ccccc1</t>
  </si>
  <si>
    <t xml:space="preserve">CHEMBL495881</t>
  </si>
  <si>
    <t xml:space="preserve">Cc1noc([C@@H](NC(=O)n2c(=O)n(CCN3CCOCC3)c3ccccc32)C(C)(C)C)n1</t>
  </si>
  <si>
    <t xml:space="preserve">CHEMBL5778004</t>
  </si>
  <si>
    <t xml:space="preserve">Cc1nonc1Cn1nnc2c(N3CCC(N=C=S)C3)nc(C(C)(C)C)nc21</t>
  </si>
  <si>
    <t xml:space="preserve">CHEMBL5784790</t>
  </si>
  <si>
    <t xml:space="preserve">Cc1nonc1Cn1nnc2c(N3CCC(N=C=S)C3)nc(C(F)(F)c3ccccc3)nc21</t>
  </si>
  <si>
    <t xml:space="preserve">CHEMBL5841818</t>
  </si>
  <si>
    <t xml:space="preserve">Cc1nonc1Cn1nnc2c(N3CCC(N=[N+]=[N-])C3)nc(C(C)(C)C)nc21</t>
  </si>
  <si>
    <t xml:space="preserve">CHEMBL5822748</t>
  </si>
  <si>
    <t xml:space="preserve">Cc1nonc1Cn1nnc2c(N3CCC(N=[N+]=[N-])C3)nc(C(F)(F)c3ccccc3)nc21</t>
  </si>
  <si>
    <t xml:space="preserve">CHEMBL5922843</t>
  </si>
  <si>
    <t xml:space="preserve">Cc1nonc1Cn1nnc2c(N3CCC4(C3)N=N4)nc(C(C)(C)C)nc21</t>
  </si>
  <si>
    <t xml:space="preserve">CHEMBL6018220</t>
  </si>
  <si>
    <t xml:space="preserve">Cc1nonc1Cn1nnc2c(N3CCC4(C3)N=N4)nc(C(F)(F)c3ccccc3)nc21</t>
  </si>
  <si>
    <t xml:space="preserve">CHEMBL5844382</t>
  </si>
  <si>
    <t xml:space="preserve">Cc1nonc1Cn1nnc2c(N3CC[C@@H](S)C3)nc(C(C)(C)C)nc21</t>
  </si>
  <si>
    <t xml:space="preserve">CHEMBL5816178</t>
  </si>
  <si>
    <t xml:space="preserve">Cc1nonc1Cn1nnc2c(N3CC[C@H](S)C3)nc(C(C)(C)C)nc21</t>
  </si>
  <si>
    <t xml:space="preserve">CHEMBL5181335</t>
  </si>
  <si>
    <t xml:space="preserve">Cc1s/c(=N\C(=O)C2C(C)(C)C2(C)C)n(CCCCF)c1C</t>
  </si>
  <si>
    <t xml:space="preserve">CHEMBL5149207</t>
  </si>
  <si>
    <t xml:space="preserve">Displacement of [3H]-WIN55212-2 from human CB2 receptor transfected in CHO cells membrane incubated for 90 mins</t>
  </si>
  <si>
    <t xml:space="preserve">CHEMBL3647323</t>
  </si>
  <si>
    <t xml:space="preserve">Cc1s/c(=N\C(=O)c2cc(C(F)(F)F)ccc2OC[C@@H]2CCCN2C)n(CC2CC2)c1C</t>
  </si>
  <si>
    <t xml:space="preserve">CHEMBL4437469</t>
  </si>
  <si>
    <t xml:space="preserve">Clc1ccc(-n2c(-c3ccccc3Cl)nc3c(N4CCC(Nc5ccccn5)CC4)ncnc32)cc1</t>
  </si>
  <si>
    <t xml:space="preserve">CHEMBL4457031</t>
  </si>
  <si>
    <t xml:space="preserve">Clc1ccc(-n2c(-c3ccccc3Cl)nc3c(N4CCC(c5nc6ccccc6[nH]5)CC4)ncnc32)cc1</t>
  </si>
  <si>
    <t xml:space="preserve">CHEMBL4225049</t>
  </si>
  <si>
    <t xml:space="preserve">Clc1ccc(-n2c(-c3ccccc3Cl)nc3c(N4CCN(C5CCCCC5)CC4)ncnc32)cc1</t>
  </si>
  <si>
    <t xml:space="preserve">CHEMBL4226777</t>
  </si>
  <si>
    <t xml:space="preserve">Clc1ccc(-n2c(-c3ccccc3Cl)nc3c(N4CCN(CCc5ccccc5)CC4)ncnc32)cc1</t>
  </si>
  <si>
    <t xml:space="preserve">CHEMBL4229050</t>
  </si>
  <si>
    <t xml:space="preserve">Clc1ccc(-n2c(-c3ccccc3Cl)nc3c(N4CCN(CCc5ccncc5)CC4)ncnc32)cc1</t>
  </si>
  <si>
    <t xml:space="preserve">CHEMBL4225260</t>
  </si>
  <si>
    <t xml:space="preserve">Clc1ccc(-n2c(-c3ccccc3Cl)nc3c(N4CCN(Cc5ccccc5)CC4)ncnc32)cc1</t>
  </si>
  <si>
    <t xml:space="preserve">CHEMBL4225661</t>
  </si>
  <si>
    <t xml:space="preserve">Clc1ccc(-n2c(-c3ccccc3Cl)nc3c(N4CCN(Cc5ccncc5)CC4)ncnc32)cc1</t>
  </si>
  <si>
    <t xml:space="preserve">CHEMBL4229172</t>
  </si>
  <si>
    <t xml:space="preserve">Clc1ccc(-n2c(-c3ccccc3Cl)nc3c(N4CCN(c5ccccn5)CC4)ncnc32)cc1</t>
  </si>
  <si>
    <t xml:space="preserve">CHEMBL492373</t>
  </si>
  <si>
    <t xml:space="preserve">Clc1ccc(Nc2ccc(CN3CCO[C@@H](c4ccccc4)C3)cn2)c(Cl)c1</t>
  </si>
  <si>
    <t xml:space="preserve">CHEMBL1029953</t>
  </si>
  <si>
    <t xml:space="preserve">CHEMBL1153325</t>
  </si>
  <si>
    <t xml:space="preserve">Displacement of [3H]Win55212 form human CB2 receptor transfected in HEK cells</t>
  </si>
  <si>
    <t xml:space="preserve">CHEMBL494994</t>
  </si>
  <si>
    <t xml:space="preserve">Clc1cccc(-c2ccc(CN3CCO[C@@H](c4ccccc4)C3)cc2)c1Cl</t>
  </si>
  <si>
    <t xml:space="preserve">CHEMBL1029952</t>
  </si>
  <si>
    <t xml:space="preserve">Displacement of [3H]CP-55940 form human CB2 receptor transfected in HEK cells</t>
  </si>
  <si>
    <t xml:space="preserve">CHEMBL5556102</t>
  </si>
  <si>
    <t xml:space="preserve">Cn1c(=O)c2c(nc(NCCc3c[nH]c4ccccc34)n2Cc2ccc(Cl)cc2)n(C)c1=O</t>
  </si>
  <si>
    <t xml:space="preserve">CHEMBL5517636</t>
  </si>
  <si>
    <t xml:space="preserve">Cn1c(=O)c2c(nc(NCCc3c[nH]c4ccccc34)n2Cc2cccc(Br)c2)n(C)c1=O</t>
  </si>
  <si>
    <t xml:space="preserve">CHEMBL5512594</t>
  </si>
  <si>
    <t xml:space="preserve">Cn1c(=O)c2c(nc(NCCc3c[nH]c4ccccc34)n2Cc2cccc(Cl)c2)n(C)c1=O</t>
  </si>
  <si>
    <t xml:space="preserve">CHEMBL5555055</t>
  </si>
  <si>
    <t xml:space="preserve">Cn1c(=O)c2c(nc(NCCc3c[nH]c4ccccc34)n2Cc2ccccc2Br)n(C)c1=O</t>
  </si>
  <si>
    <t xml:space="preserve">CHEMBL3650085</t>
  </si>
  <si>
    <t xml:space="preserve">Cn1c(C(C)(C)C)c/c(=N/C(=O)c2cc(C(F)(F)F)ccc2ONC(C)(C)C)n1CC1CC1</t>
  </si>
  <si>
    <t xml:space="preserve">CHEMBL3650094</t>
  </si>
  <si>
    <t xml:space="preserve">Cn1c(C(C)(C)C)c/c(=N/C(=O)c2cc(C(F)(F)F)ccc2ONC(C)(C)C)n1CC1CCC1</t>
  </si>
  <si>
    <t xml:space="preserve">CHEMBL3650095</t>
  </si>
  <si>
    <t xml:space="preserve">Cn1c(C(C)(C)C)c/c(=N/C(=O)c2cc(C(F)(F)F)ccc2ONC(C)(C)C)n1CCC(F)(F)F</t>
  </si>
  <si>
    <t xml:space="preserve">CHEMBL3650082</t>
  </si>
  <si>
    <t xml:space="preserve">Cn1c(C(C)(C)C)c/c(=N/C(=O)c2cc(C(F)(F)F)ccc2ONC(C)(C)C)n1C[C@H]1CCCO1</t>
  </si>
  <si>
    <t xml:space="preserve">CHEMBL3650100</t>
  </si>
  <si>
    <t xml:space="preserve">Cn1c(C(C)(C)C)c/c(=N\C(=O)c2cc(C#N)ccc2ONC(C)(C)C)n1C[C@H]1CCCO1</t>
  </si>
  <si>
    <t xml:space="preserve">CHEMBL4761606</t>
  </si>
  <si>
    <t xml:space="preserve">Cn1c(C(C)(C)C)c/c(=N\C(=O)c2cc(C(F)(F)F)ccc2OCC(C)(C)O)n1C[C@H]1CCCO1</t>
  </si>
  <si>
    <t xml:space="preserve">CHEMBL3650106</t>
  </si>
  <si>
    <t xml:space="preserve">Cn1c(C(C)(C)C)c/c(=N\C(=O)c2cc(Cl)ccc2ONC(C)(C)C)n1C[C@H]1CCCO1</t>
  </si>
  <si>
    <t xml:space="preserve">CHEMBL2152799</t>
  </si>
  <si>
    <t xml:space="preserve">Cn1cc(C(=O)N[C@@H]2C(C)(C)C3CC[C@]2(C)C3)c(=O)c2ccc(F)cc21</t>
  </si>
  <si>
    <t xml:space="preserve">CHEMBL2152809</t>
  </si>
  <si>
    <t xml:space="preserve">Cn1cc(C(=O)N[C@@H]2C(C)(C)C3CC[C@]2(C)C3)c(=O)c2ccc(Sc3ccccc3)cc21</t>
  </si>
  <si>
    <t xml:space="preserve">CHEMBL2064070</t>
  </si>
  <si>
    <t xml:space="preserve">Cn1cc(C(=O)c2cc(O)c3c(c2)OC(C)(C)[C@@H]2CC[C@@H](O)C[C@@H]32)c2ccccc21</t>
  </si>
  <si>
    <t xml:space="preserve">CHEMBL2087091</t>
  </si>
  <si>
    <t xml:space="preserve">Cn1cc(CC(=O)NC23CC4CC(CC(C4)C2)C3)c2cc(-c3ccccc3)ccc21</t>
  </si>
  <si>
    <t xml:space="preserve">CHEMBL4633927</t>
  </si>
  <si>
    <t xml:space="preserve">Cn1cc2c(n1)c(O)c(C(=O)NC13CC4CC(CC(C4)C1)C3)c(=O)n2CCCCF</t>
  </si>
  <si>
    <t xml:space="preserve">CHEMBL4641494</t>
  </si>
  <si>
    <t xml:space="preserve">Cn1cc2c(n1)c(O)c(C(=O)NC13CC4CC(CC(C4)C1)C3)c(=O)n2CCCCO</t>
  </si>
  <si>
    <t xml:space="preserve">CHEMBL4641997</t>
  </si>
  <si>
    <t xml:space="preserve">Cn1cc2c(n1)c(O)c(C(=O)NC13CC4CC(CC(O)(C4)C1)C3)c(=O)n2CCCCF</t>
  </si>
  <si>
    <t xml:space="preserve">CHEMBL568755</t>
  </si>
  <si>
    <t xml:space="preserve">Cn1ccnc1CCn1cc(C(=O)C2C(C)(C)C2(C)C)c2ccccc21</t>
  </si>
  <si>
    <t xml:space="preserve">CHEMBL3686289</t>
  </si>
  <si>
    <t xml:space="preserve">Cn1ccnc1COc1ccc(C(F)(F)F)cc1C(=O)/N=c1\sc(C(C)(C)C)cn1C[C@H]1CCCO1</t>
  </si>
  <si>
    <t xml:space="preserve">CHEMBL3686320</t>
  </si>
  <si>
    <t xml:space="preserve">Cn1cncc1COc1ccc(C(F)(F)F)cc1C(=O)/N=c1\sc(C(C)(C)C)cn1C[C@H]1CCCO1</t>
  </si>
  <si>
    <t xml:space="preserve">CHEMBL2153701</t>
  </si>
  <si>
    <t xml:space="preserve">Cn1nc(OCCc2ccccc2)c2cc([N+](=O)[O-])ccc21</t>
  </si>
  <si>
    <t xml:space="preserve">CHEMBL2153700</t>
  </si>
  <si>
    <t xml:space="preserve">Cn1nc(OCc2ccc3ccccc3c2)c2cc([N+](=O)[O-])ccc21</t>
  </si>
  <si>
    <t xml:space="preserve">CHEMBL4783870</t>
  </si>
  <si>
    <t xml:space="preserve">Cn1nc(OCc2ccc3ccccc3c2)c2ccccc21</t>
  </si>
  <si>
    <t xml:space="preserve">CHEMBL4739932</t>
  </si>
  <si>
    <t xml:space="preserve">Cn1nc(OCc2cccc3ccccc23)c2cc([N+](=O)[O-])ccc21</t>
  </si>
  <si>
    <t xml:space="preserve">CHEMBL522553</t>
  </si>
  <si>
    <t xml:space="preserve">Cn1nnc([C@@H](NC(=O)n2c(=O)n(CCN3CCOCC3)c3ccccc32)C(C)(C)C)n1</t>
  </si>
  <si>
    <t xml:space="preserve">CHEMBL1644675</t>
  </si>
  <si>
    <t xml:space="preserve">FC(F)(F)c1cccc(-c2c[nH]c(-c3cccc(CN4CCOCC4)c3)n2)c1</t>
  </si>
  <si>
    <t xml:space="preserve">CHEMBL1648852</t>
  </si>
  <si>
    <t xml:space="preserve">CHEMBL1641542</t>
  </si>
  <si>
    <t xml:space="preserve">Displacement of [3H]-CP55940 from human cloned CB2 receptor expressed in CHO cells</t>
  </si>
  <si>
    <t xml:space="preserve">CHEMBL5986124</t>
  </si>
  <si>
    <t xml:space="preserve">FC(F)(F)c1ccccc1Cn1nnc2c(N3CCC4(C3)N=N4)nc(C(F)(F)c3ccccc3)nc21</t>
  </si>
  <si>
    <t xml:space="preserve">CHEMBL5957754</t>
  </si>
  <si>
    <t xml:space="preserve">FC(F)(c1ccccc1)c1nc(N2CCC(N=C=S)C2)c2nnn(Cc3ccccc3Cl)c2n1</t>
  </si>
  <si>
    <t xml:space="preserve">CHEMBL5769708</t>
  </si>
  <si>
    <t xml:space="preserve">FC(F)(c1ccccc1)c1nc(N2CCC3(C2)N=N3)c2nnn(Cc3ccccc3Cl)c2n1</t>
  </si>
  <si>
    <t xml:space="preserve">CHEMBL5928300</t>
  </si>
  <si>
    <t xml:space="preserve">FC1(F)CCN(c2nc(C(F)(F)c3ccccc3)nc3c2nnn3Cc2ccccc2CCSSc2ccccn2)C1</t>
  </si>
  <si>
    <t xml:space="preserve">CHEMBL4224946</t>
  </si>
  <si>
    <t xml:space="preserve">Fc1ccc(N2CCN(c3ncnc4c3nc(-c3ccccc3Cl)n4-c3ccc(Cl)cc3)CC2)cc1</t>
  </si>
  <si>
    <t xml:space="preserve">CHEMBL4225409</t>
  </si>
  <si>
    <t xml:space="preserve">Fc1ccccc1CN1CCN(c2ncnc3c2nc(-c2ccccc2Cl)n3-c2ccc(Cl)cc2)CC1</t>
  </si>
  <si>
    <t xml:space="preserve">CHEMBL3353834</t>
  </si>
  <si>
    <t xml:space="preserve">Fc1ccccc1CSc1nnc2c3ccccc3n(Cc3ccccc3)c2n1</t>
  </si>
  <si>
    <t xml:space="preserve">CHEMBL1836187</t>
  </si>
  <si>
    <t xml:space="preserve">N#C/C(=C\c1cn(CCN2CCCCC2)c2ccccc12)S(=O)(=O)c1ccccc1</t>
  </si>
  <si>
    <t xml:space="preserve">CHEMBL1836189</t>
  </si>
  <si>
    <t xml:space="preserve">N#C/C(=C\c1cn(CCN2CCOCC2)c2ccccc12)S(=O)(=O)c1ccccc1</t>
  </si>
  <si>
    <t xml:space="preserve">CHEMBL4225446</t>
  </si>
  <si>
    <t xml:space="preserve">N#CC(c1ccccc1)N1CCN(c2ncnc3c2nc(-c2ccccc2Cl)n3-c2ccc(Cl)cc2)CC1</t>
  </si>
  <si>
    <t xml:space="preserve">CHEMBL2063246</t>
  </si>
  <si>
    <t xml:space="preserve">N#CC1(C(=O)NC2CCCOc3c2nn(-c2ccccc2Cl)c3-c2ccc(Cl)cc2)CC1</t>
  </si>
  <si>
    <t xml:space="preserve">CHEMBL593838</t>
  </si>
  <si>
    <t xml:space="preserve">N#CC1(CNS(=O)(=O)C(F)(F)F)CCN(S(=O)(=O)c2ccc(Cl)cc2S(=O)(=O)c2ccccc2F)CC1</t>
  </si>
  <si>
    <t xml:space="preserve">CHEMBL257157</t>
  </si>
  <si>
    <t xml:space="preserve">N#CCn1nnc(Cc2ccc(-c3ccccc3)cc2)n1</t>
  </si>
  <si>
    <t xml:space="preserve">CHEMBL411112</t>
  </si>
  <si>
    <t xml:space="preserve">N#Cc1c(C(=O)NCc2ccc(Cl)c(Cl)c2)nn(-c2ccccc2)c1-n1cccc1</t>
  </si>
  <si>
    <t xml:space="preserve">CHEMBL369072</t>
  </si>
  <si>
    <t xml:space="preserve">N#Cc1c(C(=O)NN2CCCCC2)nc(-c2ccc(Cl)cc2Cl)n1-c1ccc(Cl)cc1</t>
  </si>
  <si>
    <t xml:space="preserve">CHEMBL1834526</t>
  </si>
  <si>
    <t xml:space="preserve">N#Cc1c(C(F)(F)F)ccc2c1Oc1c(cccc1OS(=O)(=O)CCCC(F)(F)F)C2</t>
  </si>
  <si>
    <t xml:space="preserve">CHEMBL1838792</t>
  </si>
  <si>
    <t xml:space="preserve">CHEMBL1833867</t>
  </si>
  <si>
    <t xml:space="preserve">Displacement of [3H]CP55940 from human cannabinoid CB2 receptor</t>
  </si>
  <si>
    <t xml:space="preserve">CHEMBL1834525</t>
  </si>
  <si>
    <t xml:space="preserve">N#Cc1c(C(F)(F)F)ccc2c1oc1c(OS(=O)(=O)CCCC(F)(F)F)cccc12</t>
  </si>
  <si>
    <t xml:space="preserve">CHEMBL1834524</t>
  </si>
  <si>
    <t xml:space="preserve">N#Cc1c(C(F)(F)F)ccc2c1oc1cc(OS(=O)(=O)CCCC(F)(F)F)ccc12</t>
  </si>
  <si>
    <t xml:space="preserve">CHEMBL1834523</t>
  </si>
  <si>
    <t xml:space="preserve">N#Cc1c(C(F)(F)F)ccc2c1oc1ccc(OS(=O)(=O)CCCC(F)(F)F)cc12</t>
  </si>
  <si>
    <t xml:space="preserve">CHEMBL1834522</t>
  </si>
  <si>
    <t xml:space="preserve">N#Cc1c(C(F)(F)F)ccc2c1oc1cccc(OS(=O)(=O)CCCC(F)(F)F)c12</t>
  </si>
  <si>
    <t xml:space="preserve">CHEMBL1354658</t>
  </si>
  <si>
    <t xml:space="preserve">N#Cc1c(Oc2cccc(OS(=O)(=O)CCCC(F)(F)F)c2)cccc1C(F)(F)F</t>
  </si>
  <si>
    <t xml:space="preserve">CHEMBL1838784</t>
  </si>
  <si>
    <t xml:space="preserve">Displacement of [3H]BAY-38-7271 from recombinant human CB2 receptor expressed in CHO cells after 90 mins by scintillation counting</t>
  </si>
  <si>
    <t xml:space="preserve">CHEMBL4752997</t>
  </si>
  <si>
    <t xml:space="preserve">N#Cc1cc(-c2c(O)cc(C(=O)c3ccccc3)cc2O)ccc1F</t>
  </si>
  <si>
    <t xml:space="preserve">CHEMBL4282404</t>
  </si>
  <si>
    <t xml:space="preserve">N#Cc1cc(F)ccc1-c1nnc(CCC(=O)Nc2ccc3c(c2)c2ccccc2n3CCF)o1</t>
  </si>
  <si>
    <t xml:space="preserve">CHEMBL4263063</t>
  </si>
  <si>
    <t xml:space="preserve">CHEMBL4261554</t>
  </si>
  <si>
    <t xml:space="preserve">Displacement of [3H]CP55940 from beta-galactosidase reporter fused human CB2 receptor expressed in CHOK1 cell membranes after 1 hr by scintillation spectrometric analysis</t>
  </si>
  <si>
    <t xml:space="preserve">CHEMBL3093383</t>
  </si>
  <si>
    <t xml:space="preserve">N#Cc1cc(F)ccc1-c1noc(CCC(=O)Nc2ccc3c(c2)c2ccccc2n3CCF)n1</t>
  </si>
  <si>
    <t xml:space="preserve">CHEMBL3093365</t>
  </si>
  <si>
    <t xml:space="preserve">N#Cc1cc(F)ccc1-c1noc(CCC(=O)Nc2ccc3c(c2)c2ccccc2n3CCO)n1</t>
  </si>
  <si>
    <t xml:space="preserve">CHEMBL591542</t>
  </si>
  <si>
    <t xml:space="preserve">N#Cc1ccc(C(=O)NC[C@@H]2CC[C@@H](c3ccc(Cl)cc3Cl)N(c3ccc(Cl)cc3)C2)cc1</t>
  </si>
  <si>
    <t xml:space="preserve">CHEMBL2019087</t>
  </si>
  <si>
    <t xml:space="preserve">N#Cc1ccc(Cn2c3c(cc(C(=O)NC4(C(=O)O)CCCCC4)c2=O)CCCCCC3)cc1</t>
  </si>
  <si>
    <t xml:space="preserve">CHEMBL2346977</t>
  </si>
  <si>
    <t xml:space="preserve">N#Cc1ccc(Cn2cc(/C=C3/C(=O)C4CCN3CC4)c3ccccc32)cc1</t>
  </si>
  <si>
    <t xml:space="preserve">CHEMBL3353822</t>
  </si>
  <si>
    <t xml:space="preserve">N#Cc1ccccc1CSc1nnc2c(n1)[nH]c1cccc(Br)c12</t>
  </si>
  <si>
    <t xml:space="preserve">CHEMBL3353802</t>
  </si>
  <si>
    <t xml:space="preserve">N#Cc1ccccc1CSc1nnc2c(n1)[nH]c1ccccc12</t>
  </si>
  <si>
    <t xml:space="preserve">CHEMBL3353842</t>
  </si>
  <si>
    <t xml:space="preserve">N#Cc1ccccc1CSc1nnc2c3ccccc3n(C(=O)C3CCCC3)c2n1</t>
  </si>
  <si>
    <t xml:space="preserve">CHEMBL3354395</t>
  </si>
  <si>
    <t xml:space="preserve">N#Cc1ccccc1CSc1nnc2c3ccccc3n(C(=O)C3CCCCC3)c2n1</t>
  </si>
  <si>
    <t xml:space="preserve">CHEMBL3354403</t>
  </si>
  <si>
    <t xml:space="preserve">N#Cc1ccccc1CSc1nnc2c3ccccc3n(C(=O)c3ccc(OC(F)(F)F)cc3)c2n1</t>
  </si>
  <si>
    <t xml:space="preserve">CHEMBL3354398</t>
  </si>
  <si>
    <t xml:space="preserve">N#Cc1ccccc1CSc1nnc2c3ccccc3n(C(=O)c3ccccc3)c2n1</t>
  </si>
  <si>
    <t xml:space="preserve">CHEMBL3354406</t>
  </si>
  <si>
    <t xml:space="preserve">N#Cc1ccccc1CSc1nnc2c3ccccc3n(C(=O)c3ccco3)c2n1</t>
  </si>
  <si>
    <t xml:space="preserve">CHEMBL3354407</t>
  </si>
  <si>
    <t xml:space="preserve">N#Cc1ccccc1CSc1nnc2c3ccccc3n(C(=O)c3ccno3)c2n1</t>
  </si>
  <si>
    <t xml:space="preserve">CHEMBL3353833</t>
  </si>
  <si>
    <t xml:space="preserve">N#Cc1ccccc1CSc1nnc2c3ccccc3n(Cc3ccccc3)c2n1</t>
  </si>
  <si>
    <t xml:space="preserve">CHEMBL3353835</t>
  </si>
  <si>
    <t xml:space="preserve">N#Cc1ccccc1CSc1nnc2c3ccccc3n(Cc3ccccc3[N+](=O)[O-])c2n1</t>
  </si>
  <si>
    <t xml:space="preserve">CHEMBL5089095</t>
  </si>
  <si>
    <t xml:space="preserve">N/C(=N/C(=N/S(=O)(=O)N1CCCCC1)N1CC(c2ccccc2)C(c2ccc(Cl)cc2)=N1)c1ccc(Cl)cc1</t>
  </si>
  <si>
    <t xml:space="preserve">CHEMBL5084492</t>
  </si>
  <si>
    <t xml:space="preserve">N/C(=N/C(=N/S(=O)(=O)N1CCCCC1)N1CC(c2ccccc2)C(c2ccc(Cl)cc2)=N1)c1ccc(F)cc1</t>
  </si>
  <si>
    <t xml:space="preserve">CHEMBL5071344</t>
  </si>
  <si>
    <t xml:space="preserve">N/C(=N\C(=N\S(=O)(=O)N1CCC(C(F)(F)F)CC1)N1CC(c2ccccc2)C(c2ccc(Cl)cc2)=N1)c1ccc(Cl)cc1</t>
  </si>
  <si>
    <t xml:space="preserve">CHEMBL5088686</t>
  </si>
  <si>
    <t xml:space="preserve">N/C(=N\C(=N\S(=O)(=O)N1CCC(C(F)(F)F)CC1)N1CC(c2ccccc2)C(c2ccc(Cl)cc2)=N1)c1ccc(F)cc1</t>
  </si>
  <si>
    <t xml:space="preserve">CHEMBL5092394</t>
  </si>
  <si>
    <t xml:space="preserve">N/C(=N\C(=N\S(=O)(=O)N1CCC(F)(F)CC1)N1CC(c2ccccc2)C(c2ccc(Cl)cc2)=N1)c1ccc(F)cc1</t>
  </si>
  <si>
    <t xml:space="preserve">CHEMBL2180215</t>
  </si>
  <si>
    <t xml:space="preserve">NC(=O)C1(c2ccccc2)CCN(c2ncnc3c2nc(-c2ccccc2Cl)n3-c2ccc(Cl)cc2)CC1</t>
  </si>
  <si>
    <t xml:space="preserve">CHEMBL2017684</t>
  </si>
  <si>
    <t xml:space="preserve">NC(=O)CN1CCN(Cc2nc(-c3cn(CC4CCOCC4)c4c(Cl)cccc34)no2)CC1</t>
  </si>
  <si>
    <t xml:space="preserve">CHEMBL2180217</t>
  </si>
  <si>
    <t xml:space="preserve">NC1(c2ccccc2)CCN(c2ncnc3c2nc(-c2ccccc2Cl)n3-c2ccc(Cl)cc2)CC1</t>
  </si>
  <si>
    <t xml:space="preserve">CHEMBL607032</t>
  </si>
  <si>
    <t xml:space="preserve">NCC1(CNS(=O)(=O)C(F)(F)F)CCN(S(=O)(=O)c2ccc(Cl)cc2S(=O)(=O)c2ccccc2F)CC1</t>
  </si>
  <si>
    <t xml:space="preserve">CHEMBL5405532</t>
  </si>
  <si>
    <t xml:space="preserve">NCCOCCOc1ccc(-c2cc(=O)c3ccccc3o2)cc1</t>
  </si>
  <si>
    <t xml:space="preserve">CHEMBL5838945</t>
  </si>
  <si>
    <t xml:space="preserve">NCCSSCCc1ccccc1Cn1nnc2c(N3CCC(F)(F)C3)nc(C(F)(F)c3ccccc3)nc21</t>
  </si>
  <si>
    <t xml:space="preserve">CHEMBL479095</t>
  </si>
  <si>
    <t xml:space="preserve">Nc1ccc(C(C(=O)NCCC(c2ccccc2)c2ccccc2)c2ccccc2)cc1</t>
  </si>
  <si>
    <t xml:space="preserve">CHEMBL2179770</t>
  </si>
  <si>
    <t xml:space="preserve">Nc1ccc(C(NC(=O)Cc2ccccc2)NC(=O)Cc2ccccc2)cc1</t>
  </si>
  <si>
    <t xml:space="preserve">CHEMBL250965</t>
  </si>
  <si>
    <t xml:space="preserve">Nc1ccc2c(=O)cc(C(=O)NC3CCCCC3)n(Cc3ccccc3)c2n1</t>
  </si>
  <si>
    <t xml:space="preserve">CHEMBL3116300</t>
  </si>
  <si>
    <t xml:space="preserve">Nc1ccc2c(c1)c(OCc1ccc3ccccc3c1)nn2CCN1CCCCC1</t>
  </si>
  <si>
    <t xml:space="preserve">CHEMBL3116299</t>
  </si>
  <si>
    <t xml:space="preserve">Nc1ccc2c(c1)c(OCc1cccc3ccccc13)nn2CCN1CCCC1</t>
  </si>
  <si>
    <t xml:space="preserve">CHEMBL3116298</t>
  </si>
  <si>
    <t xml:space="preserve">Nc1ccc2c(c1)c(OCc1ccccc1)nn2Cc1ccccc1</t>
  </si>
  <si>
    <t xml:space="preserve">CHEMBL2346981</t>
  </si>
  <si>
    <t xml:space="preserve">O/N=C1/C(=C/c2cn(Cc3ccc(Cl)cc3)c3ccccc23)N2CCC1CC2</t>
  </si>
  <si>
    <t xml:space="preserve">CHEMBL2346980</t>
  </si>
  <si>
    <t xml:space="preserve">O/N=C1/C(=C/c2cn(Cc3ccccc3)c3ccccc23)N2CCC1CC2</t>
  </si>
  <si>
    <t xml:space="preserve">CHEMBL3596738</t>
  </si>
  <si>
    <t xml:space="preserve">O=C(/C=C/C=C/c1ccc2ccccc2c1)NC1CC1</t>
  </si>
  <si>
    <t xml:space="preserve">CHEMBL3596737</t>
  </si>
  <si>
    <t xml:space="preserve">O=C(/C=C/C=C/c1ccc2ccccc2c1)NCCO</t>
  </si>
  <si>
    <t xml:space="preserve">CHEMBL1288120</t>
  </si>
  <si>
    <t xml:space="preserve">O=C(/C=C/c1ccc2ccccc2c1)CCC(=O)NCCO</t>
  </si>
  <si>
    <t xml:space="preserve">CHEMBL1288209</t>
  </si>
  <si>
    <t xml:space="preserve">O=C(/C=C/c1ccc2ccccc2c1)CCCC(=O)NC1CC1</t>
  </si>
  <si>
    <t xml:space="preserve">CHEMBL1288208</t>
  </si>
  <si>
    <t xml:space="preserve">O=C(/C=C/c1ccc2ccccc2c1)CCCC(=O)NCCO</t>
  </si>
  <si>
    <t xml:space="preserve">CHEMBL2338188</t>
  </si>
  <si>
    <t xml:space="preserve">O=C(C1C2CC3CC(C2)CC1C3)N1CCc2ccccc21</t>
  </si>
  <si>
    <t xml:space="preserve">CHEMBL1076884</t>
  </si>
  <si>
    <t xml:space="preserve">O=C(C1CCC1)N1CCN(C(c2ccccc2)c2ccc(Cl)cc2Cl)CC1</t>
  </si>
  <si>
    <t xml:space="preserve">CHEMBL1087521</t>
  </si>
  <si>
    <t xml:space="preserve">O=C(C1CCCC1)N1CCN(C(c2ccccc2)c2ccc(Cl)cc2Cl)CC1</t>
  </si>
  <si>
    <t xml:space="preserve">CHEMBL1087644</t>
  </si>
  <si>
    <t xml:space="preserve">O=C(C1CCCCC1)N1CCN(C(c2ccccc2)c2ccc(Cl)cc2Cl)CC1</t>
  </si>
  <si>
    <t xml:space="preserve">CHEMBL1088730</t>
  </si>
  <si>
    <t xml:space="preserve">O=C(C1CCCCC1)N1CCN(C(c2ccccc2)c2ccccc2)CC1</t>
  </si>
  <si>
    <t xml:space="preserve">CHEMBL4249233</t>
  </si>
  <si>
    <t xml:space="preserve">O=C(C1CCSCC1)N1CCN(c2ncnc3c2nc(-c2ccccc2Cl)n3-c2ccc(Cl)cc2)CC1</t>
  </si>
  <si>
    <t xml:space="preserve">CHEMBL4237291</t>
  </si>
  <si>
    <t xml:space="preserve">O=C(C1COc2ccccc2O1)N1CCN(c2ncnc3c2nc(-c2ccccc2Cl)n3-c2ccc(Cl)cc2)CC1</t>
  </si>
  <si>
    <t xml:space="preserve">CHEMBL2436762</t>
  </si>
  <si>
    <t xml:space="preserve">O=C(CC1CCCC1)NC1CCN(c2ncnc3c2nc(-c2ccccc2Cl)n3-c2ccc(Cl)cc2)CC1</t>
  </si>
  <si>
    <t xml:space="preserve">CHEMBL2436758</t>
  </si>
  <si>
    <t xml:space="preserve">O=C(CC1CCCCC1)NC1CCN(c2ncnc3c2nc(-c2ccccc2Cl)n3-c2ccc(Cl)cc2)CC1</t>
  </si>
  <si>
    <t xml:space="preserve">CHEMBL3895744</t>
  </si>
  <si>
    <t xml:space="preserve">O=C(CC1CCCCC1)c1nn(-c2ccc(Cl)cc2Cl)c2c1CCCc1cc(Cl)ccc1-2</t>
  </si>
  <si>
    <t xml:space="preserve">CHEMBL4240555</t>
  </si>
  <si>
    <t xml:space="preserve">O=C(CC1CCOC1)N1CCN(c2ncnc3c2nc(-c2ccccc2Cl)n3-c2ccc(Cl)cc2)CC1</t>
  </si>
  <si>
    <t xml:space="preserve">CHEMBL1288239</t>
  </si>
  <si>
    <t xml:space="preserve">O=C(CCC(=O)NCCO)CCc1ccc(-c2ccccc2)cc1</t>
  </si>
  <si>
    <t xml:space="preserve">CHEMBL224058</t>
  </si>
  <si>
    <t xml:space="preserve">O=C(CCCCCCCCCCCCCCCOc1cccc(O)c1)Nc1ccc(O)cc1</t>
  </si>
  <si>
    <t xml:space="preserve">CHEMBL490046</t>
  </si>
  <si>
    <t xml:space="preserve">O=C(CCCCCCCCCCOc1cc(O)cc(O)c1)NC1CC1</t>
  </si>
  <si>
    <t xml:space="preserve">CHEMBL522123</t>
  </si>
  <si>
    <t xml:space="preserve">O=C(CCCCCCCCCCOc1cc(O)cc(O)c1)NCC1CC1</t>
  </si>
  <si>
    <t xml:space="preserve">CHEMBL489835</t>
  </si>
  <si>
    <t xml:space="preserve">O=C(CCCCCCCCCCOc1cc(O)cc(O)c1)NCCO</t>
  </si>
  <si>
    <t xml:space="preserve">CHEMBL225342</t>
  </si>
  <si>
    <t xml:space="preserve">O=C(CCCCCCCCCCOc1cccc(O)c1)NC1CC1</t>
  </si>
  <si>
    <t xml:space="preserve">CHEMBL3686341</t>
  </si>
  <si>
    <t xml:space="preserve">O=C(CCCOc1ccc(Cl)cc1Cl)NN/C=C1\C=CC=CC1=O</t>
  </si>
  <si>
    <t xml:space="preserve">CHEMBL3093372</t>
  </si>
  <si>
    <t xml:space="preserve">O=C(CCCc1nc(-c2ccc(Cl)cc2)no1)Nc1ccc2c(c1)c1ccccc1n2CCO</t>
  </si>
  <si>
    <t xml:space="preserve">CHEMBL3093389</t>
  </si>
  <si>
    <t xml:space="preserve">O=C(CCCc1nc(-c2ccc(F)cc2Br)no1)Nc1ccc2c(c1)c1ccccc1n2CCF</t>
  </si>
  <si>
    <t xml:space="preserve">CHEMBL3093382</t>
  </si>
  <si>
    <t xml:space="preserve">O=C(CCc1nc(-c2ccc(Br)cc2F)no1)Nc1ccc2c(c1)c1ccccc1n2CCF</t>
  </si>
  <si>
    <t xml:space="preserve">CHEMBL3093380</t>
  </si>
  <si>
    <t xml:space="preserve">O=C(CCc1nc(-c2ccc(Cl)cc2)no1)Nc1ccc2c(c1)c1ccccc1n2CCF</t>
  </si>
  <si>
    <t xml:space="preserve">CHEMBL3093362</t>
  </si>
  <si>
    <t xml:space="preserve">O=C(CCc1nc(-c2ccc(Cl)cc2)no1)Nc1ccc2c(c1)c1ccccc1n2CCO</t>
  </si>
  <si>
    <t xml:space="preserve">CHEMBL3093367</t>
  </si>
  <si>
    <t xml:space="preserve">O=C(CCc1nc(-c2ccc(F)cc2)no1)Nc1ccc2c(c1)c1ccccc1n2CCCO</t>
  </si>
  <si>
    <t xml:space="preserve">CHEMBL3093379</t>
  </si>
  <si>
    <t xml:space="preserve">O=C(CCc1nc(-c2ccc(F)cc2)no1)Nc1ccc2c(c1)c1ccccc1n2CCF</t>
  </si>
  <si>
    <t xml:space="preserve">CHEMBL3093361</t>
  </si>
  <si>
    <t xml:space="preserve">O=C(CCc1nc(-c2ccc(F)cc2)no1)Nc1ccc2c(c1)c1ccccc1n2CCO</t>
  </si>
  <si>
    <t xml:space="preserve">CHEMBL3093369</t>
  </si>
  <si>
    <t xml:space="preserve">O=C(CCc1nc(-c2ccc(F)cc2Br)no1)Nc1ccc2c(c1)c1ccccc1n2CCCCO</t>
  </si>
  <si>
    <t xml:space="preserve">CHEMBL3093384</t>
  </si>
  <si>
    <t xml:space="preserve">O=C(CCc1nc(-c2ccc(F)cc2Br)no1)Nc1ccc2c(c1)c1ccccc1n2CCCF</t>
  </si>
  <si>
    <t xml:space="preserve">CHEMBL3093366</t>
  </si>
  <si>
    <t xml:space="preserve">O=C(CCc1nc(-c2ccc(F)cc2Br)no1)Nc1ccc2c(c1)c1ccccc1n2CCCO</t>
  </si>
  <si>
    <t xml:space="preserve">CHEMBL3093378</t>
  </si>
  <si>
    <t xml:space="preserve">O=C(CCc1nc(-c2ccc(F)cc2Br)no1)Nc1ccc2c(c1)c1ccccc1n2CCF</t>
  </si>
  <si>
    <t xml:space="preserve">CHEMBL3093360</t>
  </si>
  <si>
    <t xml:space="preserve">O=C(CCc1nc(-c2ccc(F)cc2Br)no1)Nc1ccc2c(c1)c1ccccc1n2CCO</t>
  </si>
  <si>
    <t xml:space="preserve">CHEMBL4277065</t>
  </si>
  <si>
    <t xml:space="preserve">O=C(CCc1nnc(-c2ccc(Br)cc2F)o1)Nc1ccc2c(c1)c1ccccc1n2CCF</t>
  </si>
  <si>
    <t xml:space="preserve">CHEMBL4287703</t>
  </si>
  <si>
    <t xml:space="preserve">O=C(CCc1nnc(-c2ccc(F)cc2Br)o1)Nc1ccc2c(c1)c1ccccc1n2CCF</t>
  </si>
  <si>
    <t xml:space="preserve">CHEMBL4239666</t>
  </si>
  <si>
    <t xml:space="preserve">O=C(CN1CCCCC1)N1CCN(c2ncnc3c2nc(-c2ccccc2Cl)n3-c2ccc(Cl)cc2)CC1</t>
  </si>
  <si>
    <t xml:space="preserve">CHEMBL2087113</t>
  </si>
  <si>
    <t xml:space="preserve">O=C(Cc1c[nH]c2ccc(-c3ccccc3)cc12)NC12CC3CC(CC(C3)C1)C2</t>
  </si>
  <si>
    <t xml:space="preserve">CHEMBL517815</t>
  </si>
  <si>
    <t xml:space="preserve">O=C(Cc1ccc(Br)cc1)NCCC(c1ccccc1)c1ccccc1</t>
  </si>
  <si>
    <t xml:space="preserve">CHEMBL2179740</t>
  </si>
  <si>
    <t xml:space="preserve">O=C(Cc1ccc(Cl)cc1)NC(NC(=O)Cc1ccc(Cl)cc1)c1ccc(C(F)(F)F)cc1</t>
  </si>
  <si>
    <t xml:space="preserve">CHEMBL2179759</t>
  </si>
  <si>
    <t xml:space="preserve">O=C(Cc1ccc(Cl)cc1)NC(NC(=O)Cc1ccc(Cl)cc1)c1ccc(Cl)cc1</t>
  </si>
  <si>
    <t xml:space="preserve">CHEMBL2179739</t>
  </si>
  <si>
    <t xml:space="preserve">O=C(Cc1ccc(Cl)cc1)NC(NC(=O)Cc1ccc(Cl)cc1)c1ccccc1C(F)(F)F</t>
  </si>
  <si>
    <t xml:space="preserve">CHEMBL2179757</t>
  </si>
  <si>
    <t xml:space="preserve">O=C(Cc1ccc(Cl)cc1)NC(NC(=O)Cc1ccc(Cl)cc1)c1ccccc1F</t>
  </si>
  <si>
    <t xml:space="preserve">CHEMBL478856</t>
  </si>
  <si>
    <t xml:space="preserve">O=C(Cc1ccc(Cl)cc1)NCCC(c1ccccc1)c1ccccc1</t>
  </si>
  <si>
    <t xml:space="preserve">CHEMBL2179725</t>
  </si>
  <si>
    <t xml:space="preserve">O=C(Cc1ccccc1)NC(/C=C/c1ccccc1)NC(=O)Cc1ccccc1</t>
  </si>
  <si>
    <t xml:space="preserve">CHEMBL2179750</t>
  </si>
  <si>
    <t xml:space="preserve">O=C(Cc1ccccc1)NC(CCc1ccccc1)NC(=O)Cc1ccccc1</t>
  </si>
  <si>
    <t xml:space="preserve">CHEMBL2179761</t>
  </si>
  <si>
    <t xml:space="preserve">O=C(Cc1ccccc1)NC(NC(=O)Cc1ccccc1)c1ccc(Br)cc1</t>
  </si>
  <si>
    <t xml:space="preserve">CHEMBL2179768</t>
  </si>
  <si>
    <t xml:space="preserve">O=C(Cc1ccccc1)NC(NC(=O)Cc1ccccc1)c1ccc(C(F)(F)F)cc1</t>
  </si>
  <si>
    <t xml:space="preserve">CHEMBL2179760</t>
  </si>
  <si>
    <t xml:space="preserve">O=C(Cc1ccccc1)NC(NC(=O)Cc1ccccc1)c1ccc(Cl)cc1</t>
  </si>
  <si>
    <t xml:space="preserve">CHEMBL2179775</t>
  </si>
  <si>
    <t xml:space="preserve">O=C(Cc1ccccc1)NC(NC(=O)Cc1ccccc1)c1ccc(F)cc1</t>
  </si>
  <si>
    <t xml:space="preserve">CHEMBL2179753</t>
  </si>
  <si>
    <t xml:space="preserve">O=C(Cc1ccccc1)NC(NC(=O)Cc1ccccc1)c1ccc(N(Cc2ccccc2)Cc2ccccc2)cc1</t>
  </si>
  <si>
    <t xml:space="preserve">CHEMBL2179754</t>
  </si>
  <si>
    <t xml:space="preserve">O=C(Cc1ccccc1)NC(NC(=O)Cc1ccccc1)c1ccc(N2CCCC2)cc1</t>
  </si>
  <si>
    <t xml:space="preserve">CHEMBL2179755</t>
  </si>
  <si>
    <t xml:space="preserve">O=C(Cc1ccccc1)NC(NC(=O)Cc1ccccc1)c1ccc(N2CCCCC2)cc1</t>
  </si>
  <si>
    <t xml:space="preserve">CHEMBL2179774</t>
  </si>
  <si>
    <t xml:space="preserve">O=C(Cc1ccccc1)NC(NC(=O)Cc1ccccc1)c1cccc(F)c1</t>
  </si>
  <si>
    <t xml:space="preserve">CHEMBL2179772</t>
  </si>
  <si>
    <t xml:space="preserve">O=C(Cc1ccccc1)NC(NC(=O)Cc1ccccc1)c1ccccc1</t>
  </si>
  <si>
    <t xml:space="preserve">CHEMBL2179767</t>
  </si>
  <si>
    <t xml:space="preserve">O=C(Cc1ccccc1)NC(NC(=O)Cc1ccccc1)c1ccccc1C(F)(F)F</t>
  </si>
  <si>
    <t xml:space="preserve">CHEMBL2179773</t>
  </si>
  <si>
    <t xml:space="preserve">O=C(Cc1ccccc1)NC(NC(=O)Cc1ccccc1)c1ccccc1F</t>
  </si>
  <si>
    <t xml:space="preserve">CHEMBL2087098</t>
  </si>
  <si>
    <t xml:space="preserve">O=C(Cc1cn(Cc2ccccc2)c2ccc(-c3ccccc3)cc12)NC12CC3CC(CC(C3)C1)C2</t>
  </si>
  <si>
    <t xml:space="preserve">CHEMBL514406</t>
  </si>
  <si>
    <t xml:space="preserve">O=C(N/N=C1\C(=O)N(CCC2CCCCC2)c2ccccc21)c1ccccc1</t>
  </si>
  <si>
    <t xml:space="preserve">CHEMBL456535</t>
  </si>
  <si>
    <t xml:space="preserve">O=C(N/N=C1\C(=O)N(Cc2ccccc2)c2ccccc21)c1ccccc1</t>
  </si>
  <si>
    <t xml:space="preserve">CHEMBL555563</t>
  </si>
  <si>
    <t xml:space="preserve">O=C(N1CCCCC1)N1CC(O[C@@H](c2ccc(Cl)cc2)c2cccnc2Cl)C1</t>
  </si>
  <si>
    <t xml:space="preserve">CHEMBL1064170</t>
  </si>
  <si>
    <t xml:space="preserve">CHEMBL1153042</t>
  </si>
  <si>
    <t xml:space="preserve">CHEMBL558709</t>
  </si>
  <si>
    <t xml:space="preserve">O=C(N1CCCCC1)N1CC(O[C@H](c2ccc(Cl)cc2)c2cccnc2Cl)C1</t>
  </si>
  <si>
    <t xml:space="preserve">CHEMBL1089716</t>
  </si>
  <si>
    <t xml:space="preserve">O=C(N1CCCCC1)N1CCN(C(c2ccccc2)c2ccc(Cl)cc2Cl)CC1</t>
  </si>
  <si>
    <t xml:space="preserve">CHEMBL246952</t>
  </si>
  <si>
    <t xml:space="preserve">O=C(N1CCCc2ccccc21)C12CC3CC(CC(C3)C1)C2</t>
  </si>
  <si>
    <t xml:space="preserve">CHEMBL1095690</t>
  </si>
  <si>
    <t xml:space="preserve">O=C(N1CCN(C(c2ccccc2)c2ccc(Cl)cc2Cl)CC1)C12CC3CC(CC(C3)C1)C2</t>
  </si>
  <si>
    <t xml:space="preserve">CHEMBL4250064</t>
  </si>
  <si>
    <t xml:space="preserve">O=C(N1CCN(c2ncnc3c2nc(-c2ccccc2Cl)n3-c2ccc(Cl)cc2)CC1)C(F)(F)F</t>
  </si>
  <si>
    <t xml:space="preserve">CHEMBL1089717</t>
  </si>
  <si>
    <t xml:space="preserve">O=C(N1CCOCC1)N1CCN(C(c2ccccc2)c2ccc(Cl)cc2Cl)CC1</t>
  </si>
  <si>
    <t xml:space="preserve">CHEMBL2338183</t>
  </si>
  <si>
    <t xml:space="preserve">O=C(N1CCc2cc(F)ccc21)C12CC3CC(CC(C3)C1)C2</t>
  </si>
  <si>
    <t xml:space="preserve">CHEMBL2338184</t>
  </si>
  <si>
    <t xml:space="preserve">O=C(N1CCc2ccc(C(F)(F)F)cc21)C12CC3CC(CC(C3)C1)C2</t>
  </si>
  <si>
    <t xml:space="preserve">CHEMBL2338178</t>
  </si>
  <si>
    <t xml:space="preserve">O=C(N1CCc2ccccc21)C12CC3CC(CC(C3)C1)C2</t>
  </si>
  <si>
    <t xml:space="preserve">CHEMBL2338187</t>
  </si>
  <si>
    <t xml:space="preserve">O=C(N1CCc2ccccc21)C12CC3CC(CC1C3)C2</t>
  </si>
  <si>
    <t xml:space="preserve">CHEMBL2338179</t>
  </si>
  <si>
    <t xml:space="preserve">O=C(N1Cc2ccccc2C1)C12CC3CC(CC(C3)C1)C2</t>
  </si>
  <si>
    <t xml:space="preserve">CHEMBL2019080</t>
  </si>
  <si>
    <t xml:space="preserve">O=C(NC1(C(=O)O)CCCC1)c1cc2c(n(CC3CCCCC3)c1=O)CCCCCC2</t>
  </si>
  <si>
    <t xml:space="preserve">CHEMBL2019081</t>
  </si>
  <si>
    <t xml:space="preserve">O=C(NC1(C(=O)O)CCCCC1)c1cc2c(n(CC3CCCCC3)c1=O)CCCCCC2</t>
  </si>
  <si>
    <t xml:space="preserve">CHEMBL2019084</t>
  </si>
  <si>
    <t xml:space="preserve">O=C(NC1(C(=O)O)CCCCC1)c1cc2c(n(CC3CCCO3)c1=O)CCCCCC2</t>
  </si>
  <si>
    <t xml:space="preserve">CHEMBL2019086</t>
  </si>
  <si>
    <t xml:space="preserve">O=C(NC1(C(=O)O)CCCCC1)c1cc2c(n(Cc3ccc(F)cc3)c1=O)CCCCCC2</t>
  </si>
  <si>
    <t xml:space="preserve">CHEMBL2019078</t>
  </si>
  <si>
    <t xml:space="preserve">O=C(NC1(C(=O)O)CCCCCCC1)c1cc2c(n(CC3CCCCC3)c1=O)CCCCCC2</t>
  </si>
  <si>
    <t xml:space="preserve">CHEMBL4242177</t>
  </si>
  <si>
    <t xml:space="preserve">O=C(NC1(C(F)(F)F)CCCC1)N1CCN(c2ncnc3c2nc(-c2ccccc2Cl)n3-c2ccc(Cl)cc2)CC1</t>
  </si>
  <si>
    <t xml:space="preserve">CHEMBL5988829</t>
  </si>
  <si>
    <t xml:space="preserve">O=C(NC1(c2ccccc2)CC1)c1nn(-c2ccc(F)cc2F)c2c1C[C@@H]1C[C@H]21</t>
  </si>
  <si>
    <t xml:space="preserve">CHEMBL5816598</t>
  </si>
  <si>
    <t xml:space="preserve">O=C(NC1(c2ccccn2)CCC1)c1nn(CC2CCOCC2)c2c1C[C@H]1C[C@@H]21</t>
  </si>
  <si>
    <t xml:space="preserve">CHEMBL2338186</t>
  </si>
  <si>
    <t xml:space="preserve">O=C(NC12CC3CC(CC(C3)C1)C2)N1Cc2ccccc2C1</t>
  </si>
  <si>
    <t xml:space="preserve">CHEMBL1814471</t>
  </si>
  <si>
    <t xml:space="preserve">O=C(NC12CC3CC(CC(C3)C1)C2)c1c[nH]c2c(-c3ccccc3)cccc2c1=O</t>
  </si>
  <si>
    <t xml:space="preserve">CHEMBL4071738</t>
  </si>
  <si>
    <t xml:space="preserve">O=C(NC12CC3CC(CC(C3)C1)C2)c1cc(-c2ccccc2)nn(C2CCCC2)c1=O</t>
  </si>
  <si>
    <t xml:space="preserve">CHEMBL5426853</t>
  </si>
  <si>
    <t xml:space="preserve">O=C(NC12CC3CC(CC(C3)C1)C2)c1ccc(O)cc1</t>
  </si>
  <si>
    <t xml:space="preserve">CHEMBL5396327</t>
  </si>
  <si>
    <t xml:space="preserve">O=C(NC12CC3CC(CC(C3)C1)C2)c1ccc(OCc2ccccc2)cc1</t>
  </si>
  <si>
    <t xml:space="preserve">CHEMBL5402475</t>
  </si>
  <si>
    <t xml:space="preserve">O=C(NC12CC3CC(CC(C3)C1)C2)c1cccc(OCc2ccccc2)c1</t>
  </si>
  <si>
    <t xml:space="preserve">CHEMBL5441096</t>
  </si>
  <si>
    <t xml:space="preserve">O=C(NC12CC3CC(CC(C3)C1)C2)c1ccccc1OCC1CCCCC1</t>
  </si>
  <si>
    <t xml:space="preserve">CHEMBL5421995</t>
  </si>
  <si>
    <t xml:space="preserve">O=C(NC12CC3CC(CC(C3)C1)C2)c1ccccc1OCc1ccccc1</t>
  </si>
  <si>
    <t xml:space="preserve">CHEMBL5565060</t>
  </si>
  <si>
    <t xml:space="preserve">O=C(NC12CC3CC(CC(C3)C1)C2)c1cccn1Cc1ccc(F)cc1</t>
  </si>
  <si>
    <t xml:space="preserve">CHEMBL392952</t>
  </si>
  <si>
    <t xml:space="preserve">O=C(NC12CC3CC(CC(C3)C1)C2)c1cn(CCN2CCOCC2)c2ccccc2c1=O</t>
  </si>
  <si>
    <t xml:space="preserve">CHEMBL2163943</t>
  </si>
  <si>
    <t xml:space="preserve">O=C(NC12CC3CC(CC(C3)C1)C2)c1cn2c3c(cccc3c1=O)OCC2C1CC1</t>
  </si>
  <si>
    <t xml:space="preserve">CHEMBL2163951</t>
  </si>
  <si>
    <t xml:space="preserve">O=C(NC12CC3CC(CC(C3)C1)C2)c1cn2c3c(cccc3c1=O)OCC2c1ccccc1</t>
  </si>
  <si>
    <t xml:space="preserve">CHEMBL2163929</t>
  </si>
  <si>
    <t xml:space="preserve">O=C(NC12CC3CC(CC(C3)C1)C2)c1cn2c3c(cccc3c1=O)OC[C@H]2Cc1ccccc1</t>
  </si>
  <si>
    <t xml:space="preserve">CHEMBL597083</t>
  </si>
  <si>
    <t xml:space="preserve">O=C(NC12CC3CC(CC(C3)C1)C2)c1nc(Cl)n(-c2ccccc2)c1Cl</t>
  </si>
  <si>
    <t xml:space="preserve">CHEMBL3781178</t>
  </si>
  <si>
    <t xml:space="preserve">O=C(NC12CC3CC(CC(C3)C1)C2)c1nn(-c2ccc(Cl)cc2Cl)c2c1Cc1cc(C3CC3)ccc1-2</t>
  </si>
  <si>
    <t xml:space="preserve">CHEMBL2338173</t>
  </si>
  <si>
    <t xml:space="preserve">O=C(NC12CC3CC(CC(C3)C1)C2)c1nn(CCN2CCOCC2)c2ccccc12</t>
  </si>
  <si>
    <t xml:space="preserve">CHEMBL2343727</t>
  </si>
  <si>
    <t xml:space="preserve">CHEMBL454951</t>
  </si>
  <si>
    <t xml:space="preserve">O=C(NC1CC1)c1cnn(-c2ccc(Cl)cc2Cl)c1-c1ccc(Cl)cc1</t>
  </si>
  <si>
    <t xml:space="preserve">CHEMBL609266</t>
  </si>
  <si>
    <t xml:space="preserve">O=C(NC1CCC1)[C@@H]1CC[C@@H](c2ccc(Cl)cc2Cl)N(c2ccc(Cl)cc2)C1</t>
  </si>
  <si>
    <t xml:space="preserve">CHEMBL4245429</t>
  </si>
  <si>
    <t xml:space="preserve">O=C(NC1CCCC1)N1CCN(c2ncnc3c2nc(-c2ccccc2Cl)n3-c2ccc(Cl)cc2)CC1</t>
  </si>
  <si>
    <t xml:space="preserve">CHEMBL2163965</t>
  </si>
  <si>
    <t xml:space="preserve">O=C(NC1CCCC1)c1cn2c3c(cccc3c1=O)OCC2c1ccccc1</t>
  </si>
  <si>
    <t xml:space="preserve">CHEMBL2151370</t>
  </si>
  <si>
    <t xml:space="preserve">O=C(NC1CCCCC1)N1CC(Cc2ccccc2)C(c2ccccc2)=N1</t>
  </si>
  <si>
    <t xml:space="preserve">CHEMBL1084429</t>
  </si>
  <si>
    <t xml:space="preserve">O=C(NC1CCCCC1)N1CCN(C(c2ccc(C(F)(F)F)cc2)c2ccc(Cl)cc2Cl)CC1</t>
  </si>
  <si>
    <t xml:space="preserve">CHEMBL529436</t>
  </si>
  <si>
    <t xml:space="preserve">O=C(NC1CCCCC1)N1CCN(C(c2ccc(Cl)cc2)c2ccc(Cl)cc2Cl)CC1</t>
  </si>
  <si>
    <t xml:space="preserve">CHEMBL1084695</t>
  </si>
  <si>
    <t xml:space="preserve">O=C(NC1CCCCC1)N1CCN(C(c2ccc(F)cc2)c2ccc(Cl)cc2Cl)CC1</t>
  </si>
  <si>
    <t xml:space="preserve">CHEMBL1091814</t>
  </si>
  <si>
    <t xml:space="preserve">O=C(NC1CCCCC1)N1CCN(C(c2ccc(Oc3ccccc3)cc2)c2ccc(Cl)cc2Cl)CC1</t>
  </si>
  <si>
    <t xml:space="preserve">CHEMBL1093378</t>
  </si>
  <si>
    <t xml:space="preserve">O=C(NC1CCCCC1)N1CCN(C(c2cccc(Cl)c2)c2ccc(Cl)cc2Cl)CC1</t>
  </si>
  <si>
    <t xml:space="preserve">CHEMBL1087250</t>
  </si>
  <si>
    <t xml:space="preserve">O=C(NC1CCCCC1)N1CCN(C(c2ccccc2)c2c(Cl)cccc2Cl)CC1</t>
  </si>
  <si>
    <t xml:space="preserve">CHEMBL1087874</t>
  </si>
  <si>
    <t xml:space="preserve">O=C(NC1CCCCC1)N1CCN(C(c2ccccc2)c2cc(Cl)ccc2Cl)CC1</t>
  </si>
  <si>
    <t xml:space="preserve">CHEMBL1087251</t>
  </si>
  <si>
    <t xml:space="preserve">O=C(NC1CCCCC1)N1CCN(C(c2ccccc2)c2ccc(Br)cc2F)CC1</t>
  </si>
  <si>
    <t xml:space="preserve">CHEMBL1087875</t>
  </si>
  <si>
    <t xml:space="preserve">O=C(NC1CCCCC1)N1CCN(C(c2ccccc2)c2ccc(Cl)c(Cl)c2)CC1</t>
  </si>
  <si>
    <t xml:space="preserve">CHEMBL1088728</t>
  </si>
  <si>
    <t xml:space="preserve">O=C(NC1CCCCC1)N1CCN(C(c2ccccc2)c2ccc(Cl)cc2Cl)CC1</t>
  </si>
  <si>
    <t xml:space="preserve">CHEMBL1088161</t>
  </si>
  <si>
    <t xml:space="preserve">O=C(NC1CCCCC1)N1CCN(C(c2ccccc2)c2ccc(Cl)cc2F)CC1</t>
  </si>
  <si>
    <t xml:space="preserve">CHEMBL1086605</t>
  </si>
  <si>
    <t xml:space="preserve">O=C(NC1CCCCC1)N1CCN(C(c2ccccc2)c2ccc(F)cc2Cl)CC1</t>
  </si>
  <si>
    <t xml:space="preserve">CHEMBL1086903</t>
  </si>
  <si>
    <t xml:space="preserve">O=C(NC1CCCCC1)N1CCN(C(c2ccccc2)c2ccccc2)CC1</t>
  </si>
  <si>
    <t xml:space="preserve">CHEMBL4246283</t>
  </si>
  <si>
    <t xml:space="preserve">O=C(NC1CCCCC1)N1CCN(c2ncnc3c2nc(-c2ccccc2Cl)n3-c2ccc(Cl)cc2)CC1</t>
  </si>
  <si>
    <t xml:space="preserve">CHEMBL592703</t>
  </si>
  <si>
    <t xml:space="preserve">O=C(NC1CCCCC1)[C@@H]1CC[C@@H](c2ccc(Cl)cc2Cl)N(c2ccc(Cl)cc2)C1</t>
  </si>
  <si>
    <t xml:space="preserve">CHEMBL2022692</t>
  </si>
  <si>
    <t xml:space="preserve">O=C(NC1CCCCC1)c1c(O)c2cccnc2n(CCN2CCOCC2)c1=O</t>
  </si>
  <si>
    <t xml:space="preserve">CHEMBL2027757</t>
  </si>
  <si>
    <t xml:space="preserve">CHEMBL2021892</t>
  </si>
  <si>
    <t xml:space="preserve">Displacement of [3H]CP55940 from recombinant human CB2 receptor expressed in human HEK293 cell membrane after 90 mins</t>
  </si>
  <si>
    <t xml:space="preserve">CHEMBL2022365</t>
  </si>
  <si>
    <t xml:space="preserve">O=C(NC1CCCCC1)c1c(O)c2cccnc2n(Cc2ccccc2)c1=O</t>
  </si>
  <si>
    <t xml:space="preserve">CHEMBL4077875</t>
  </si>
  <si>
    <t xml:space="preserve">O=C(NC1CCCCC1)c1cc(-c2ccccc2)nn(Cc2ccc(F)cc2)c1=O</t>
  </si>
  <si>
    <t xml:space="preserve">CHEMBL410496</t>
  </si>
  <si>
    <t xml:space="preserve">O=C(NC1CCCCC1)c1cc(-n2cccc2)n(-c2ccc(Cl)cc2)n1</t>
  </si>
  <si>
    <t xml:space="preserve">CHEMBL2022362</t>
  </si>
  <si>
    <t xml:space="preserve">O=C(NC1CCCCC1)c1cc2ccccc2n(CCN2CCOCC2)c1=O</t>
  </si>
  <si>
    <t xml:space="preserve">CHEMBL2022361</t>
  </si>
  <si>
    <t xml:space="preserve">O=C(NC1CCCCC1)c1cc2ccccc2n(Cc2ccc(F)cc2)c1=O</t>
  </si>
  <si>
    <t xml:space="preserve">CHEMBL2022360</t>
  </si>
  <si>
    <t xml:space="preserve">O=C(NC1CCCCC1)c1cc2ccccc2n(Cc2ccccc2)c1=O</t>
  </si>
  <si>
    <t xml:space="preserve">CHEMBL2022700</t>
  </si>
  <si>
    <t xml:space="preserve">O=C(NC1CCCCC1)c1cc2ccccc2nc1OCc1ccc(F)cc1</t>
  </si>
  <si>
    <t xml:space="preserve">CHEMBL466623</t>
  </si>
  <si>
    <t xml:space="preserve">O=C(NC1CCCCC1)c1cc2cccnc2n(CCN2CCOCC2)c1=O</t>
  </si>
  <si>
    <t xml:space="preserve">CHEMBL508336</t>
  </si>
  <si>
    <t xml:space="preserve">O=C(NC1CCCCC1)c1cc2cccnc2n(Cc2ccc(F)cc2)c1=O</t>
  </si>
  <si>
    <t xml:space="preserve">CHEMBL446993</t>
  </si>
  <si>
    <t xml:space="preserve">O=C(NC1CCCCC1)c1cc2cccnc2n(Cc2ccccc2)c1=O</t>
  </si>
  <si>
    <t xml:space="preserve">CHEMBL2022697</t>
  </si>
  <si>
    <t xml:space="preserve">O=C(NC1CCCCC1)c1cccn(CCN2CCOCC2)c1=O</t>
  </si>
  <si>
    <t xml:space="preserve">CHEMBL2022696</t>
  </si>
  <si>
    <t xml:space="preserve">O=C(NC1CCCCC1)c1cccn(Cc2ccc(F)cc2)c1=O</t>
  </si>
  <si>
    <t xml:space="preserve">CHEMBL2022695</t>
  </si>
  <si>
    <t xml:space="preserve">O=C(NC1CCCCC1)c1cccn(Cc2ccccc2)c1=O</t>
  </si>
  <si>
    <t xml:space="preserve">CHEMBL2022702</t>
  </si>
  <si>
    <t xml:space="preserve">O=C(NC1CCCCC1)c1cccnc1OCc1ccc(F)cc1</t>
  </si>
  <si>
    <t xml:space="preserve">CHEMBL2022701</t>
  </si>
  <si>
    <t xml:space="preserve">O=C(NC1CCCCC1)c1cccnc1OCc1ccccc1</t>
  </si>
  <si>
    <t xml:space="preserve">CHEMBL276312</t>
  </si>
  <si>
    <t xml:space="preserve">O=C(NC1CCCCC1)c1cn(-c2ccc(Cl)cc2)c(-c2ccc(Cl)cc2Cl)n1</t>
  </si>
  <si>
    <t xml:space="preserve">CHEMBL389175</t>
  </si>
  <si>
    <t xml:space="preserve">O=C(NC1CCCCC1)c1cn(-c2ccc(Cl)cc2)c(-c2ccccc2Cl)n1</t>
  </si>
  <si>
    <t xml:space="preserve">CHEMBL2163941</t>
  </si>
  <si>
    <t xml:space="preserve">O=C(NC1CCCCC1)c1cn2c3c(cccc3c1=O)OCC2C1CC1</t>
  </si>
  <si>
    <t xml:space="preserve">CHEMBL2163949</t>
  </si>
  <si>
    <t xml:space="preserve">O=C(NC1CCCCC1)c1cn2c3c(cccc3c1=O)OCC2c1ccccc1</t>
  </si>
  <si>
    <t xml:space="preserve">CHEMBL225622</t>
  </si>
  <si>
    <t xml:space="preserve">O=C(NC1CCCCC1)c1nn(-c2ccc(Cl)cc2Cl)c2c1CCCc1cc(Cl)ccc1-2</t>
  </si>
  <si>
    <t xml:space="preserve">CHEMBL494627</t>
  </si>
  <si>
    <t xml:space="preserve">O=C(NC1CCCCC1)n1c(=O)n(CCN2CCOCC2)c2ccccc21</t>
  </si>
  <si>
    <t xml:space="preserve">CHEMBL389198</t>
  </si>
  <si>
    <t xml:space="preserve">O=C(NC1CCCCC1O)c1cn(-c2ccc(Cl)cc2)c(-c2ccc(Cl)cc2Cl)n1</t>
  </si>
  <si>
    <t xml:space="preserve">CHEMBL4165369</t>
  </si>
  <si>
    <t xml:space="preserve">O=C(NC1CCCCCC1)c1c(-c2ccccc2)c(Br)cn(Cc2ccc(F)cc2)c1=O</t>
  </si>
  <si>
    <t xml:space="preserve">CHEMBL4163852</t>
  </si>
  <si>
    <t xml:space="preserve">O=C(NC1CCCCCC1)c1c(-c2ccccc2)ccn(Cc2ccc(F)cc2)c1=O</t>
  </si>
  <si>
    <t xml:space="preserve">CHEMBL2022694</t>
  </si>
  <si>
    <t xml:space="preserve">O=C(NC1CCCCCC1)c1c(O)c2cccnc2n(CCN2CCOCC2)c1=O</t>
  </si>
  <si>
    <t xml:space="preserve">CHEMBL3114342</t>
  </si>
  <si>
    <t xml:space="preserve">O=C(NC1CCCCCC1)c1cc(-c2ccc(F)cc2)cn(CCN2CCOCC2)c1=O</t>
  </si>
  <si>
    <t xml:space="preserve">CHEMBL3114341</t>
  </si>
  <si>
    <t xml:space="preserve">O=C(NC1CCCCCC1)c1cc(-c2ccc(F)cc2)cn(Cc2ccc(F)cc2)c1=O</t>
  </si>
  <si>
    <t xml:space="preserve">CHEMBL3114182</t>
  </si>
  <si>
    <t xml:space="preserve">O=C(NC1CCCCCC1)c1cc(-c2ccccc2)cn(Cc2ccc(F)cc2)c1=O</t>
  </si>
  <si>
    <t xml:space="preserve">CHEMBL4098746</t>
  </si>
  <si>
    <t xml:space="preserve">O=C(NC1CCCCCC1)c1cc(-c2ccccc2)nn(C2CCCC2)c1=O</t>
  </si>
  <si>
    <t xml:space="preserve">CHEMBL4102128</t>
  </si>
  <si>
    <t xml:space="preserve">O=C(NC1CCCCCC1)c1cc(-c2ccccc2)nn(Cc2ccc(F)cc2)c1=O</t>
  </si>
  <si>
    <t xml:space="preserve">CHEMBL3114343</t>
  </si>
  <si>
    <t xml:space="preserve">O=C(NC1CCCCCC1)c1cc(/C=C/c2ccccc2)cn(Cc2ccc(F)cc2)c1=O</t>
  </si>
  <si>
    <t xml:space="preserve">CHEMBL3114179</t>
  </si>
  <si>
    <t xml:space="preserve">O=C(NC1CCCCCC1)c1cc(Br)cn(CCN2CCOCC2)c1=O</t>
  </si>
  <si>
    <t xml:space="preserve">CHEMBL3114178</t>
  </si>
  <si>
    <t xml:space="preserve">O=C(NC1CCCCCC1)c1cc(Br)cn(Cc2ccc(F)cc2)c1=O</t>
  </si>
  <si>
    <t xml:space="preserve">CHEMBL2022364</t>
  </si>
  <si>
    <t xml:space="preserve">O=C(NC1CCCCCC1)c1cc2ccccc2n(CCN2CCOCC2)c1=O</t>
  </si>
  <si>
    <t xml:space="preserve">CHEMBL2022363</t>
  </si>
  <si>
    <t xml:space="preserve">O=C(NC1CCCCCC1)c1cc2ccccc2n(Cc2ccc(F)cc2)c1=O</t>
  </si>
  <si>
    <t xml:space="preserve">CHEMBL467475</t>
  </si>
  <si>
    <t xml:space="preserve">O=C(NC1CCCCCC1)c1cc2cccnc2n(CCN2CCOCC2)c1=O</t>
  </si>
  <si>
    <t xml:space="preserve">CHEMBL467896</t>
  </si>
  <si>
    <t xml:space="preserve">O=C(NC1CCCCCC1)c1cc2cccnc2n(Cc2ccc(F)cc2)c1=O</t>
  </si>
  <si>
    <t xml:space="preserve">CHEMBL511253</t>
  </si>
  <si>
    <t xml:space="preserve">O=C(NC1CCCCCC1)c1cc2cccnc2n(Cc2ccccc2)c1=O</t>
  </si>
  <si>
    <t xml:space="preserve">CHEMBL2022699</t>
  </si>
  <si>
    <t xml:space="preserve">O=C(NC1CCCCCC1)c1cccn(CCN2CCOCC2)c1=O</t>
  </si>
  <si>
    <t xml:space="preserve">CHEMBL3114350</t>
  </si>
  <si>
    <t xml:space="preserve">O=C(NC1CCCCCC1)c1cccn(Cc2ccc(Cl)cc2)c1=O</t>
  </si>
  <si>
    <t xml:space="preserve">CHEMBL2022698</t>
  </si>
  <si>
    <t xml:space="preserve">O=C(NC1CCCCCC1)c1cccn(Cc2ccc(F)cc2)c1=O</t>
  </si>
  <si>
    <t xml:space="preserve">CHEMBL3114351</t>
  </si>
  <si>
    <t xml:space="preserve">O=C(NC1CCCCCC1)c1cccn(Cc2ccc(I)cc2)c1=O</t>
  </si>
  <si>
    <t xml:space="preserve">CHEMBL3114169</t>
  </si>
  <si>
    <t xml:space="preserve">O=C(NC1CCCCCC1)c1cccn(Cc2cccc(I)c2)c1=O</t>
  </si>
  <si>
    <t xml:space="preserve">CHEMBL3114349</t>
  </si>
  <si>
    <t xml:space="preserve">O=C(NC1CCCCCC1)c1cccn(Cc2ccccc2)c1=O</t>
  </si>
  <si>
    <t xml:space="preserve">CHEMBL2022703</t>
  </si>
  <si>
    <t xml:space="preserve">O=C(NC1CCCCCC1)c1cccnc1OCc1ccc(F)cc1</t>
  </si>
  <si>
    <t xml:space="preserve">CHEMBL3114345</t>
  </si>
  <si>
    <t xml:space="preserve">O=C(NC1CCCCCC1)c1cccnc1OCc1ccccc1</t>
  </si>
  <si>
    <t xml:space="preserve">CHEMBL250769</t>
  </si>
  <si>
    <t xml:space="preserve">O=C(NC1CCCCCC1)c1cn(CCN2CCOCC2)c2ccccc2c1=O</t>
  </si>
  <si>
    <t xml:space="preserve">CHEMBL250768</t>
  </si>
  <si>
    <t xml:space="preserve">O=C(NC1CCCCCC1)c1cn(Cc2ccccc2)c2ccccc2c1=O</t>
  </si>
  <si>
    <t xml:space="preserve">CHEMBL2163942</t>
  </si>
  <si>
    <t xml:space="preserve">O=C(NC1CCCCCC1)c1cn2c3c(cccc3c1=O)OCC2C1CC1</t>
  </si>
  <si>
    <t xml:space="preserve">CHEMBL2163950</t>
  </si>
  <si>
    <t xml:space="preserve">O=C(NC1CCCCCC1)c1cn2c3c(cccc3c1=O)OCC2c1ccccc1</t>
  </si>
  <si>
    <t xml:space="preserve">CHEMBL2063239</t>
  </si>
  <si>
    <t xml:space="preserve">O=C(NC1CCCOc2c1nn(-c1ccccc1Cl)c2-c1ccc(Cl)cc1)C1CCCCC1</t>
  </si>
  <si>
    <t xml:space="preserve">CHEMBL2063240</t>
  </si>
  <si>
    <t xml:space="preserve">O=C(NC1CCCOc2c1nn(-c1ccccc1Cl)c2-c1ccc(Cl)cc1)C1CCOCC1</t>
  </si>
  <si>
    <t xml:space="preserve">CHEMBL2063248</t>
  </si>
  <si>
    <t xml:space="preserve">O=C(NC1CCCOc2c1nn(-c1ccccc1Cl)c2-c1ccc(Cl)cc1)c1ccno1</t>
  </si>
  <si>
    <t xml:space="preserve">CHEMBL2063247</t>
  </si>
  <si>
    <t xml:space="preserve">O=C(NC1CCCOc2c1nn(-c1ccccc1Cl)c2-c1ccc(Cl)cc1)c1ccon1</t>
  </si>
  <si>
    <t xml:space="preserve">CHEMBL4450995</t>
  </si>
  <si>
    <t xml:space="preserve">O=C(NC1CCCc2ccccc21)c1nc2ccccc2s1</t>
  </si>
  <si>
    <t xml:space="preserve">CHEMBL4520766</t>
  </si>
  <si>
    <t xml:space="preserve">O=C(NC1CCN(c2ncnc3c2nc(-c2ccccc2Cl)n3-c2ccc(C(F)(F)F)nc2)CC1)c1ccccc1</t>
  </si>
  <si>
    <t xml:space="preserve">CHEMBL2436760</t>
  </si>
  <si>
    <t xml:space="preserve">O=C(NC1CCN(c2ncnc3c2nc(-c2ccccc2Cl)n3-c2ccc(Cl)cc2)CC1)C1CCCC1</t>
  </si>
  <si>
    <t xml:space="preserve">CHEMBL2436756</t>
  </si>
  <si>
    <t xml:space="preserve">O=C(NC1CCN(c2ncnc3c2nc(-c2ccccc2Cl)n3-c2ccc(Cl)cc2)CC1)C1CCCCC1</t>
  </si>
  <si>
    <t xml:space="preserve">CHEMBL4445108</t>
  </si>
  <si>
    <t xml:space="preserve">O=C(NC1CCN(c2ncnc3c2nc(-c2ccccc2Cl)n3-c2ccc(Cl)cc2)CC1)C1CCSCC1</t>
  </si>
  <si>
    <t xml:space="preserve">CHEMBL4580498</t>
  </si>
  <si>
    <t xml:space="preserve">O=C(NC1CCN(c2ncnc3c2nc(-c2ccccc2Cl)n3-c2ccc(Cl)cc2)CC1)OC1CCC1</t>
  </si>
  <si>
    <t xml:space="preserve">CHEMBL4555424</t>
  </si>
  <si>
    <t xml:space="preserve">O=C(NC1CCN(c2ncnc3c2nc(-c2ccccc2Cl)n3-c2ccc(Cl)cc2)CC1)OCc1ccccc1</t>
  </si>
  <si>
    <t xml:space="preserve">CHEMBL2436755</t>
  </si>
  <si>
    <t xml:space="preserve">O=C(NC1CCN(c2ncnc3c2nc(-c2ccccc2Cl)n3-c2ccc(Cl)cc2)CC1)Oc1ccccc1</t>
  </si>
  <si>
    <t xml:space="preserve">CHEMBL4532772</t>
  </si>
  <si>
    <t xml:space="preserve">O=C(NC1CCN(c2ncnc3c2nc(-c2ccccc2Cl)n3-c2ccc(Cl)cc2)CC1)c1ccc(F)c(F)c1</t>
  </si>
  <si>
    <t xml:space="preserve">CHEMBL4472410</t>
  </si>
  <si>
    <t xml:space="preserve">O=C(NC1CCN(c2ncnc3c2nc(-c2ccccc2Cl)n3-c2ccc(Cl)cc2)CC1)c1ccc(F)cc1</t>
  </si>
  <si>
    <t xml:space="preserve">CHEMBL4567814</t>
  </si>
  <si>
    <t xml:space="preserve">O=C(NC1CCN(c2ncnc3c2nc(-c2ccccc2Cl)n3-c2ccc(Cl)cc2)CC1)c1ccccc1F</t>
  </si>
  <si>
    <t xml:space="preserve">CHEMBL495407</t>
  </si>
  <si>
    <t xml:space="preserve">O=C(NC1CCOc2ccccc21)n1c(=O)n(CCN2CCOCC2)c2ccccc21</t>
  </si>
  <si>
    <t xml:space="preserve">CHEMBL494563</t>
  </si>
  <si>
    <t xml:space="preserve">O=C(NC1c2ccccc2CCC1O)n1c(=O)n(CCN2CCOCC2)c2ccccc21</t>
  </si>
  <si>
    <t xml:space="preserve">CHEMBL3889602</t>
  </si>
  <si>
    <t xml:space="preserve">O=C(NCC12CC3CC(CC(C3)C1)C2)c1nn(-c2ccc(Cl)cc2Cl)c2c1CCCc1cc(Cl)ccc1-2</t>
  </si>
  <si>
    <t xml:space="preserve">CHEMBL4239762</t>
  </si>
  <si>
    <t xml:space="preserve">O=C(NCC1CCCCC1)N1CCN(c2ncnc3c2nc(-c2ccccc2Cl)n3-c2ccc(Cl)cc2)CC1</t>
  </si>
  <si>
    <t xml:space="preserve">CHEMBL3917142</t>
  </si>
  <si>
    <t xml:space="preserve">O=C(NCC1CCCCC1)c1nn(-c2ccc(Cl)cc2Cl)c2c1CCCc1cc(Cl)ccc1-2</t>
  </si>
  <si>
    <t xml:space="preserve">CHEMBL476317</t>
  </si>
  <si>
    <t xml:space="preserve">O=C(NCCC(c1ccccc1)c1ccccc1)C(Cl)(c1ccccc1)c1ccccc1</t>
  </si>
  <si>
    <t xml:space="preserve">CHEMBL478625</t>
  </si>
  <si>
    <t xml:space="preserve">O=C(NCCC(c1ccccc1)c1ccccc1)C(O)(c1ccccc1)c1ccccc1</t>
  </si>
  <si>
    <t xml:space="preserve">CHEMBL518595</t>
  </si>
  <si>
    <t xml:space="preserve">O=C(NCCC(c1ccccc1)c1ccccc1)C(c1ccccc1)c1ccc(O)cc1</t>
  </si>
  <si>
    <t xml:space="preserve">CHEMBL479094</t>
  </si>
  <si>
    <t xml:space="preserve">O=C(NCCC(c1ccccc1)c1ccccc1)C(c1ccccc1)c1ccc([N+](=O)[O-])cc1</t>
  </si>
  <si>
    <t xml:space="preserve">CHEMBL476529</t>
  </si>
  <si>
    <t xml:space="preserve">O=C(NCCC(c1ccccc1)c1ccccc1)C(c1ccccc1)c1ccccc1</t>
  </si>
  <si>
    <t xml:space="preserve">CHEMBL478643</t>
  </si>
  <si>
    <t xml:space="preserve">O=C(NCCCc1ccccc1)C(c1ccccc1)c1ccc(Br)cc1</t>
  </si>
  <si>
    <t xml:space="preserve">CHEMBL476545</t>
  </si>
  <si>
    <t xml:space="preserve">O=C(NCCCc1ccccc1)C(c1ccccc1)c1ccc(Cl)cc1</t>
  </si>
  <si>
    <t xml:space="preserve">CHEMBL1682275</t>
  </si>
  <si>
    <t xml:space="preserve">O=C(NCCO)C1CCN(Cc2nc(-c3cn(CC4CCOCC4)c4c(Cl)cccc34)no2)CC1</t>
  </si>
  <si>
    <t xml:space="preserve">CHEMBL2017682</t>
  </si>
  <si>
    <t xml:space="preserve">O=C(NCCO)[C@H]1CCCN(Cc2nc(-c3cn(CC4CCS(=O)(=O)CC4)c4c(Cl)cccc34)ns2)C1</t>
  </si>
  <si>
    <t xml:space="preserve">CHEMBL466429</t>
  </si>
  <si>
    <t xml:space="preserve">O=C(NCCc1ccc(F)cc1)c1cc2cccnc2n(Cc2ccccc2)c1=O</t>
  </si>
  <si>
    <t xml:space="preserve">CHEMBL3949933</t>
  </si>
  <si>
    <t xml:space="preserve">O=C(NC[C@H]1CCCO1)c1nn(-c2ccc(Cl)cc2Cl)c2c1CCCc1cc(Cl)ccc1-2</t>
  </si>
  <si>
    <t xml:space="preserve">CHEMBL590346</t>
  </si>
  <si>
    <t xml:space="preserve">O=C(NCc1ccc(Cl)cc1)[C@@H]1CC[C@@H](c2ccc(Cl)cc2Cl)N(c2ccc(Cl)cc2)C1</t>
  </si>
  <si>
    <t xml:space="preserve">CHEMBL482567</t>
  </si>
  <si>
    <t xml:space="preserve">O=C(NCc1cccc(Cl)c1)c1ccc2c(c1)N=C(N1CCC(F)(F)CC1)c1ccccc1S2</t>
  </si>
  <si>
    <t xml:space="preserve">CHEMBL2387180</t>
  </si>
  <si>
    <t xml:space="preserve">O=C(NCc1ccccc1)c1cc2c(n(CCCN3CCOCC3)c1=O)CCCCCC2</t>
  </si>
  <si>
    <t xml:space="preserve">CHEMBL403627</t>
  </si>
  <si>
    <t xml:space="preserve">O=C(NCc1ccccc1)c1ccc(Br)c(S(=O)(=O)N2CCCCC2)c1</t>
  </si>
  <si>
    <t xml:space="preserve">CHEMBL475493</t>
  </si>
  <si>
    <t xml:space="preserve">O=C(NCc1ccccc1)c1ccc(Br)c(S(=O)(=O)N2CCOCC2)c1</t>
  </si>
  <si>
    <t xml:space="preserve">CHEMBL5532224</t>
  </si>
  <si>
    <t xml:space="preserve">O=C(NCc1ccccc1)c1cccn1Cc1ccc(F)cc1</t>
  </si>
  <si>
    <t xml:space="preserve">CHEMBL256748</t>
  </si>
  <si>
    <t xml:space="preserve">O=C(NCc1cccnc1)c1ccc(Br)c(S(=O)(=O)N2CCCCC2)c1</t>
  </si>
  <si>
    <t xml:space="preserve">CHEMBL5558215</t>
  </si>
  <si>
    <t xml:space="preserve">O=C(NCc1ccco1)c1cccn1Cc1ccc(-c2ccccc2)cc1</t>
  </si>
  <si>
    <t xml:space="preserve">CHEMBL374933</t>
  </si>
  <si>
    <t xml:space="preserve">O=C(NN1CCCC1)c1nn(-c2ccc(Cl)cc2Cl)c2c1CCCc1cc(Cl)ccc1-2</t>
  </si>
  <si>
    <t xml:space="preserve">CHEMBL3780457</t>
  </si>
  <si>
    <t xml:space="preserve">O=C(NN1CCCC1)c1nn(-c2ccc(Cl)cc2Cl)c2c1Cc1cc(C3CC3)ccc1-2</t>
  </si>
  <si>
    <t xml:space="preserve">CHEMBL3780680</t>
  </si>
  <si>
    <t xml:space="preserve">O=C(NN1CCCC1)c1nn(-c2ccc(Cl)cc2Cl)c2c1Cc1cc(C3CCCCC3)ccc1-2</t>
  </si>
  <si>
    <t xml:space="preserve">CHEMBL1093078</t>
  </si>
  <si>
    <t xml:space="preserve">O=C(NN1CCCCC1)N1CCN(C(c2ccccc2)c2ccc(Cl)cc2Cl)CC1</t>
  </si>
  <si>
    <t xml:space="preserve">CHEMBL2347045</t>
  </si>
  <si>
    <t xml:space="preserve">O=C(NN1CCCCC1)c1cc(-c2ccccc2)n(-c2ccccc2)n1</t>
  </si>
  <si>
    <t xml:space="preserve">CHEMBL15399</t>
  </si>
  <si>
    <t xml:space="preserve">O=C(NN1CCCCC1)c1cn(-c2ccc(Cl)cc2)c(-c2ccc(Cl)cc2Cl)n1</t>
  </si>
  <si>
    <t xml:space="preserve">CHEMBL4644088</t>
  </si>
  <si>
    <t xml:space="preserve">O=C(NN1CCCCC1)c1cn(-c2ccc(Cl)cc2Cl)c(-c2ccc(C#Cc3ccc(C(F)(F)F)cc3)s2)c1CNS(=O)(=O)N1CCCC1</t>
  </si>
  <si>
    <t xml:space="preserve">CHEMBL4602756</t>
  </si>
  <si>
    <t xml:space="preserve">CHEMBL4602601</t>
  </si>
  <si>
    <t xml:space="preserve">Antagonist activity at human cannabinoid CB2 receptor</t>
  </si>
  <si>
    <t xml:space="preserve">CHEMBL461737</t>
  </si>
  <si>
    <t xml:space="preserve">O=C(NN1CCCCC1)c1cnn(-c2ccc(Cl)cc2Cl)c1-c1ccc(I)cc1</t>
  </si>
  <si>
    <t xml:space="preserve">CHEMBL177656</t>
  </si>
  <si>
    <t xml:space="preserve">O=C(NN1CCCCC1)c1nc(-c2ccc(Cl)cc2)c(-c2ccc(Cl)cc2Cl)s1</t>
  </si>
  <si>
    <t xml:space="preserve">CHEMBL558564</t>
  </si>
  <si>
    <t xml:space="preserve">O=C(NN1CCCCC1)c1nc(-c2ccc(Cl)cc2)n(-c2ccc(Cl)cc2Cl)n1</t>
  </si>
  <si>
    <t xml:space="preserve">CHEMBL177403</t>
  </si>
  <si>
    <t xml:space="preserve">O=C(NN1CCCCC1)c1nc(-c2ccc(Cl)cc2Cl)c(-c2ccc(Cl)cc2)s1</t>
  </si>
  <si>
    <t xml:space="preserve">CHEMBL427497</t>
  </si>
  <si>
    <t xml:space="preserve">O=C(NN1CCCCC1)c1nc(-c2ccc(Cl)cc2Cl)n(-c2ccc(Cl)cc2)c1Br</t>
  </si>
  <si>
    <t xml:space="preserve">CHEMBL177990</t>
  </si>
  <si>
    <t xml:space="preserve">O=C(NN1CCCCC1)c1nc(-c2ccc(Cl)cc2Cl)n(-c2ccc(Cl)cc2)c1CF</t>
  </si>
  <si>
    <t xml:space="preserve">CHEMBL1087721</t>
  </si>
  <si>
    <t xml:space="preserve">O=C(NN1CCCCC1)c1nc(-c2ccc(Cl)cc2Cl)n(-c2ccc(Cl)cc2)c1CO</t>
  </si>
  <si>
    <t xml:space="preserve">CHEMBL436471</t>
  </si>
  <si>
    <t xml:space="preserve">O=C(NN1CCCCC1)c1nc(-c2ccc(Cl)cc2Cl)n(-c2ccc(Cl)cc2)c1Cl</t>
  </si>
  <si>
    <t xml:space="preserve">CHEMBL1088220</t>
  </si>
  <si>
    <t xml:space="preserve">O=C(NN1CCCCC1)c1nc(-c2ccc(Cl)cc2Cl)n(-c2ccc(Cl)cc2)c1I</t>
  </si>
  <si>
    <t xml:space="preserve">CHEMBL558785</t>
  </si>
  <si>
    <t xml:space="preserve">O=C(NN1CCCCC1)c1nc(-c2ccc(Cl)cc2Cl)n(-c2ccc(Cl)cc2)n1</t>
  </si>
  <si>
    <t xml:space="preserve">CHEMBL1196954</t>
  </si>
  <si>
    <t xml:space="preserve">CHEMBL5510360</t>
  </si>
  <si>
    <t xml:space="preserve">CHEMBL5506030</t>
  </si>
  <si>
    <t xml:space="preserve">Binding affinity to CB2 (unknown origin) assessed as inhibition constant</t>
  </si>
  <si>
    <t xml:space="preserve">CHEMBL518598</t>
  </si>
  <si>
    <t xml:space="preserve">O=C(NN1CCCCC1)c1nn(-c2ccc(Cl)cc2Cl)c2c1CCCCc1cc(Cl)ccc1-2</t>
  </si>
  <si>
    <t xml:space="preserve">CHEMBL376700</t>
  </si>
  <si>
    <t xml:space="preserve">O=C(NN1CCCCC1)c1nn(-c2ccc(Cl)cc2Cl)c2c1CCCc1cc(Cl)ccc1-2</t>
  </si>
  <si>
    <t xml:space="preserve">CHEMBL3781726</t>
  </si>
  <si>
    <t xml:space="preserve">O=C(NN1CCCCC1)c1nn(-c2ccc(Cl)cc2Cl)c2c1CCc1cc(C3CC3)ccc1-2</t>
  </si>
  <si>
    <t xml:space="preserve">CHEMBL3781781</t>
  </si>
  <si>
    <t xml:space="preserve">O=C(NN1CCCCC1)c1nn(-c2ccc(Cl)cc2Cl)c2c1Cc1cc(C3CC3)ccc1-2</t>
  </si>
  <si>
    <t xml:space="preserve">CHEMBL3781351</t>
  </si>
  <si>
    <t xml:space="preserve">O=C(NN1CCCCC1)c1nn(-c2ccc(Cl)cc2Cl)c2c1Cc1cc(C3CCCCC3)ccc1-2</t>
  </si>
  <si>
    <t xml:space="preserve">CHEMBL3780775</t>
  </si>
  <si>
    <t xml:space="preserve">O=C(NN1CCCCC1)c1nn(-c2ccc(Cl)cc2Cl)c2c1ccc1cc(C3CC3)ccc12</t>
  </si>
  <si>
    <t xml:space="preserve">CHEMBL223278</t>
  </si>
  <si>
    <t xml:space="preserve">O=C(NN1CCCCCC1)c1nn(-c2ccc(Cl)cc2Cl)c2c1CCCc1cc(Cl)ccc1-2</t>
  </si>
  <si>
    <t xml:space="preserve">CHEMBL239703</t>
  </si>
  <si>
    <t xml:space="preserve">O=C(NN1CCOCC1)C1=NN(c2ccc(Cl)cc2Cl)C(c2ccc(Cl)cc2)C1</t>
  </si>
  <si>
    <t xml:space="preserve">CHEMBL901032</t>
  </si>
  <si>
    <t xml:space="preserve">CHEMBL1138302</t>
  </si>
  <si>
    <t xml:space="preserve">Displacement of [3H]WIN-552122 from human recombinant CB2 receptor expressed in CHOK1 cells</t>
  </si>
  <si>
    <t xml:space="preserve">CHEMBL3781707</t>
  </si>
  <si>
    <t xml:space="preserve">O=C(NN1CCOCC1)c1nn(-c2ccc(Cl)cc2Cl)c2c1Cc1cc(C3CC3)ccc1-2</t>
  </si>
  <si>
    <t xml:space="preserve">CHEMBL2023046</t>
  </si>
  <si>
    <t xml:space="preserve">O=C(N[C@@H](C(=O)O)c1ccccc1)c1cc2c(n(CC3CCCCC3)c1=O)CCCCCC2</t>
  </si>
  <si>
    <t xml:space="preserve">CHEMBL2023047</t>
  </si>
  <si>
    <t xml:space="preserve">O=C(N[C@@H](Cc1ccccc1)C(=O)O)c1cc2c(n(CC3CCCCC3)c1=O)CCCCCC2</t>
  </si>
  <si>
    <t xml:space="preserve">CHEMBL3109759</t>
  </si>
  <si>
    <t xml:space="preserve">O=C(N[C@@H]1CCCC[C@H]1O)c1cc(-c2ccc(Cl)cc2)c(OCC2CC2)cn1</t>
  </si>
  <si>
    <t xml:space="preserve">CHEMBL3111770</t>
  </si>
  <si>
    <t xml:space="preserve">CHEMBL3108674</t>
  </si>
  <si>
    <t xml:space="preserve">Displacement of [3H]CP55940 from human CB2 receptor expressed in CHOK1 cells after 1 hr by liquid scintillation counting analysis</t>
  </si>
  <si>
    <t xml:space="preserve">CHEMBL3109760</t>
  </si>
  <si>
    <t xml:space="preserve">O=C(N[C@@H]1CCCC[C@H]1O)c1ccc(OCC2CC2)c(-c2ccc(Cl)cc2)n1</t>
  </si>
  <si>
    <t xml:space="preserve">CHEMBL3109744</t>
  </si>
  <si>
    <t xml:space="preserve">O=C(N[C@@H]1CCCC[C@H]1O)c1cnc(OCC2CC2)c(-c2cc(C(F)(F)F)ccc2Cl)c1</t>
  </si>
  <si>
    <t xml:space="preserve">CHEMBL3109784</t>
  </si>
  <si>
    <t xml:space="preserve">O=C(N[C@@H]1CCCC[C@H]1O)c1cnc(OCC2CC2)c(-c2ccc(Cl)c(Cl)c2)c1</t>
  </si>
  <si>
    <t xml:space="preserve">CHEMBL3109761</t>
  </si>
  <si>
    <t xml:space="preserve">O=C(N[C@@H]1CCCC[C@H]1O)c1cnc(OCC2CC2)c(-c2ccc(Cl)cc2)n1</t>
  </si>
  <si>
    <t xml:space="preserve">CHEMBL521668</t>
  </si>
  <si>
    <t xml:space="preserve">O=C(N[C@@H]1CCCc2ccccc21)N1Cc2ccccc2N(CCN2CCOCC2)C1=O</t>
  </si>
  <si>
    <t xml:space="preserve">CHEMBL523708</t>
  </si>
  <si>
    <t xml:space="preserve">O=C(N[C@@H]1CCCc2ccccc21)n1c(=O)n(CCN2CCOCC2)c2ccccc21</t>
  </si>
  <si>
    <t xml:space="preserve">CHEMBL395321</t>
  </si>
  <si>
    <t xml:space="preserve">O=C(N[C@@H]1c2ccccc2C[C@@H]1O)c1cn(-c2ccc(Cl)cc2)c(-c2ccccc2Cl)n1</t>
  </si>
  <si>
    <t xml:space="preserve">CHEMBL2019082</t>
  </si>
  <si>
    <t xml:space="preserve">O=C(N[C@H](C(=O)O)C1CCCCC1)c1cc2c(n(CC3CCCCC3)c1=O)CCCCCC2</t>
  </si>
  <si>
    <t xml:space="preserve">CHEMBL2023045</t>
  </si>
  <si>
    <t xml:space="preserve">O=C(N[C@H](C(=O)O)c1ccccc1)c1cc2c(n(CC3CCCCC3)c1=O)CCCCCC2</t>
  </si>
  <si>
    <t xml:space="preserve">CHEMBL229914</t>
  </si>
  <si>
    <t xml:space="preserve">O=C(N[C@H]1CCCC[C@@H]1O)c1cn(-c2ccc(Cl)cc2)c(-c2ccccc2Cl)n1</t>
  </si>
  <si>
    <t xml:space="preserve">CHEMBL3109756</t>
  </si>
  <si>
    <t xml:space="preserve">O=C(N[C@H]1CCCC[C@@H]1O)c1cnc(OCC2CC2)c(-c2ccc(Cl)cc2)c1</t>
  </si>
  <si>
    <t xml:space="preserve">CHEMBL494564</t>
  </si>
  <si>
    <t xml:space="preserve">O=C(N[C@H]1CCCC[C@@H]1O)n1c(=O)n(CCN2CCOCC2)c2ccccc21</t>
  </si>
  <si>
    <t xml:space="preserve">CHEMBL229965</t>
  </si>
  <si>
    <t xml:space="preserve">O=C(N[C@H]1CCC[C@@H]1O)c1cn(-c2ccc(Cl)cc2)c(-c2ccccc2Cl)n1</t>
  </si>
  <si>
    <t xml:space="preserve">CHEMBL229967</t>
  </si>
  <si>
    <t xml:space="preserve">O=C(N[C@H]1c2ccccc2C[C@H]1O)c1cn(-c2ccc(Cl)cc2)c(-c2ccccc2Cl)n1</t>
  </si>
  <si>
    <t xml:space="preserve">CHEMBL4215809</t>
  </si>
  <si>
    <t xml:space="preserve">O=C(Nc1ccc(Cl)cc1)Nc1cccc(-c2cccc(N3CCCC3)c2)c1</t>
  </si>
  <si>
    <t xml:space="preserve">CHEMBL4180667</t>
  </si>
  <si>
    <t xml:space="preserve">CHEMBL4177633</t>
  </si>
  <si>
    <t xml:space="preserve">Displacement of [3H]CP55,940 from human CB2 receptor expressed in CHO-K1 cell membranes after 1.5 hrs by liquid scintillation counting assay</t>
  </si>
  <si>
    <t xml:space="preserve">CHEMBL4206416</t>
  </si>
  <si>
    <t xml:space="preserve">O=C(Nc1ccc(Cl)cc1)Nc1cccc(Nc2cccc(N3CCCC3)n2)c1</t>
  </si>
  <si>
    <t xml:space="preserve">CHEMBL4238830</t>
  </si>
  <si>
    <t xml:space="preserve">O=C(Nc1ccc(F)c(F)c1)N1CCN(c2ncnc3c2nc(-c2ccccc2Cl)n3-c2ccc(Cl)cc2)CC1</t>
  </si>
  <si>
    <t xml:space="preserve">CHEMBL4248870</t>
  </si>
  <si>
    <t xml:space="preserve">O=C(Nc1ccc(F)cc1)N1CCN(c2ncnc3c2nc(-c2ccccc2Cl)n3-c2ccc(Cl)cc2)CC1</t>
  </si>
  <si>
    <t xml:space="preserve">CHEMBL4245076</t>
  </si>
  <si>
    <t xml:space="preserve">O=C(Nc1ccc(F)cc1F)N1CCN(c2ncnc3c2nc(-c2ccccc2Cl)n3-c2ccc(Cl)cc2)CC1</t>
  </si>
  <si>
    <t xml:space="preserve">CHEMBL5564027</t>
  </si>
  <si>
    <t xml:space="preserve">O=C(Nc1cccc(-c2ccccc2)c1)c1cccn1Cc1ccc(F)cc1</t>
  </si>
  <si>
    <t xml:space="preserve">CHEMBL5564992</t>
  </si>
  <si>
    <t xml:space="preserve">O=C(Nc1cccc(CO)c1)c1cccn1Cc1ccc(F)cc1</t>
  </si>
  <si>
    <t xml:space="preserve">CHEMBL494619</t>
  </si>
  <si>
    <t xml:space="preserve">O=C(Nc1cccc2ccccc12)N1Cc2ccccc2N(CCN2CCOCC2)C1=O</t>
  </si>
  <si>
    <t xml:space="preserve">CHEMBL5548838</t>
  </si>
  <si>
    <t xml:space="preserve">O=C(Nc1cccc2ccccc12)c1cccn1Cc1ccc(F)cc1</t>
  </si>
  <si>
    <t xml:space="preserve">CHEMBL494787</t>
  </si>
  <si>
    <t xml:space="preserve">O=C(Nc1cccc2ccccc12)n1c(=O)n(CCN2CCOCC2)c2ccccc21</t>
  </si>
  <si>
    <t xml:space="preserve">CHEMBL4245522</t>
  </si>
  <si>
    <t xml:space="preserve">O=C(Nc1ccccc1)N1CCN(c2ncnc3c2nc(-c2ccccc2Cl)n3-c2ccc(Cl)cc2)CC1</t>
  </si>
  <si>
    <t xml:space="preserve">CHEMBL4249329</t>
  </si>
  <si>
    <t xml:space="preserve">O=C(Nc1ccccc1F)N1CCN(c2ncnc3c2nc(-c2ccccc2Cl)n3-c2ccc(Cl)cc2)CC1</t>
  </si>
  <si>
    <t xml:space="preserve">CHEMBL560462</t>
  </si>
  <si>
    <t xml:space="preserve">O=C(Nc1ccccc1Oc1ccccc1)c1ccc(S(=O)(=O)N2CCc3ccccc32)cc1</t>
  </si>
  <si>
    <t xml:space="preserve">CHEMBL4241316</t>
  </si>
  <si>
    <t xml:space="preserve">O=C(Nc1ccccn1)N1CCN(c2ncnc3c2nc(-c2ccccc2Cl)n3-c2ccc(Cl)cc2)CC1</t>
  </si>
  <si>
    <t xml:space="preserve">CHEMBL1651534</t>
  </si>
  <si>
    <t xml:space="preserve">O=C(Nc1cccnn1)N1CCC(=Cc2cccc(Oc3ccc(C(F)(F)F)cn3)c2)CC1</t>
  </si>
  <si>
    <t xml:space="preserve">CHEMBL4883104</t>
  </si>
  <si>
    <t xml:space="preserve">CHEMBL4507297</t>
  </si>
  <si>
    <t xml:space="preserve">CB2 (h) CEREP ligand profiling</t>
  </si>
  <si>
    <t xml:space="preserve">CHEMBL2205593</t>
  </si>
  <si>
    <t xml:space="preserve">O=C(Nc1sc2c(c1C(=O)N1CC(F)(F)C1)CCOC2)c1c(F)cccc1C(F)(F)F</t>
  </si>
  <si>
    <t xml:space="preserve">CHEMBL2205591</t>
  </si>
  <si>
    <t xml:space="preserve">O=C(Nc1sc2c(c1C(=O)N1CC(F)(F)C1)CCOC2)c1ccccc1C(F)(F)F</t>
  </si>
  <si>
    <t xml:space="preserve">CHEMBL2205592</t>
  </si>
  <si>
    <t xml:space="preserve">O=C(Nc1sc2c(c1C(=O)N1CC(F)(F)C1)CCOC2)c1ccccc1OC(F)(F)F</t>
  </si>
  <si>
    <t xml:space="preserve">CHEMBL2205615</t>
  </si>
  <si>
    <t xml:space="preserve">O=C(Nc1sc2c(c1C(=O)N1CCCCC1)CCOC2)c1ccccc1C(F)(F)F</t>
  </si>
  <si>
    <t xml:space="preserve">CHEMBL2205616</t>
  </si>
  <si>
    <t xml:space="preserve">O=C(Nc1sc2c(c1C(=O)N1CCCCC1)CCOC2)c1ccccc1OC(F)(F)F</t>
  </si>
  <si>
    <t xml:space="preserve">CHEMBL2023583</t>
  </si>
  <si>
    <t xml:space="preserve">O=C(O)CCc1csc(NC(=O)c2cc3c(n(CC4CCCCC4)c2=O)CCCCCC3)n1</t>
  </si>
  <si>
    <t xml:space="preserve">CHEMBL2019079</t>
  </si>
  <si>
    <t xml:space="preserve">O=C(O)CNC(=O)c1cc2c(n(CC3CCCCC3)c1=O)CCCCCC2</t>
  </si>
  <si>
    <t xml:space="preserve">CHEMBL2023577</t>
  </si>
  <si>
    <t xml:space="preserve">O=C(O)Cc1ccc(NC(=O)c2cc3c(n(CC4CCCCC4)c2=O)CCCCCC3)cc1</t>
  </si>
  <si>
    <t xml:space="preserve">CHEMBL2023576</t>
  </si>
  <si>
    <t xml:space="preserve">O=C(O)Cc1cccc(NC(=O)c2cc3c(n(CC4CCCCC4)c2=O)CCCCCC3)c1</t>
  </si>
  <si>
    <t xml:space="preserve">CHEMBL2023575</t>
  </si>
  <si>
    <t xml:space="preserve">O=C(O)Cc1ccccc1NC(=O)c1cc2c(n(CC3CCCCC3)c1=O)CCCCCC2</t>
  </si>
  <si>
    <t xml:space="preserve">CHEMBL2023582</t>
  </si>
  <si>
    <t xml:space="preserve">O=C(O)Cc1cnc(NC(=O)c2cc3c(n(CC4CCCCC4)c2=O)CCCCCC3)s1</t>
  </si>
  <si>
    <t xml:space="preserve">CHEMBL2023581</t>
  </si>
  <si>
    <t xml:space="preserve">O=C(O)Cc1csc(NC(=O)c2cc3c(n(CC4CCCCC4)c2=O)CCCCCC3)n1</t>
  </si>
  <si>
    <t xml:space="preserve">CHEMBL2023578</t>
  </si>
  <si>
    <t xml:space="preserve">O=C(O)c1ccc(CNC(=O)c2cc3c(n(CC4CCCCC4)c2=O)CCCCCC3)cc1</t>
  </si>
  <si>
    <t xml:space="preserve">CHEMBL2023574</t>
  </si>
  <si>
    <t xml:space="preserve">O=C(O)c1ccc(NC(=O)c2cc3c(n(CC4CCCCC4)c2=O)CCCCCC3)cc1</t>
  </si>
  <si>
    <t xml:space="preserve">CHEMBL2023049</t>
  </si>
  <si>
    <t xml:space="preserve">O=C(O)c1cccc(NC(=O)c2cc3c(n(CC4CCCCC4)c2=O)CCCCCC3)c1</t>
  </si>
  <si>
    <t xml:space="preserve">CHEMBL2023048</t>
  </si>
  <si>
    <t xml:space="preserve">O=C(O)c1ccccc1NC(=O)c1cc2c(n(CC3CCCCC3)c1=O)CCCCCC2</t>
  </si>
  <si>
    <t xml:space="preserve">CHEMBL2023580</t>
  </si>
  <si>
    <t xml:space="preserve">O=C(O)c1cnc(NC(=O)c2cc3c(n(CC4CCCCC4)c2=O)CCCCCC3)s1</t>
  </si>
  <si>
    <t xml:space="preserve">CHEMBL4237943</t>
  </si>
  <si>
    <t xml:space="preserve">O=C(OC1CCC1)N1CCN(c2ncnc3c2nc(-c2ccccc2Cl)n3-c2ccc(Cl)cc2)CC1</t>
  </si>
  <si>
    <t xml:space="preserve">CHEMBL4237503</t>
  </si>
  <si>
    <t xml:space="preserve">O=C(OCC1CCC1)N1CCN(c2ncnc3c2nc(-c2ccccc2Cl)n3-c2ccc(Cl)cc2)CC1</t>
  </si>
  <si>
    <t xml:space="preserve">CHEMBL2441463</t>
  </si>
  <si>
    <t xml:space="preserve">O=C(OCCCn1c2ccccc2c2cc(C(=O)N3CCCCC3)ccc21)N1CCS(=O)(=O)CC1</t>
  </si>
  <si>
    <t xml:space="preserve">CHEMBL297453</t>
  </si>
  <si>
    <t xml:space="preserve">O=C(O[C@@H]1Cc2c(O)cc(O)cc2O[C@@H]1c1cc(O)c(O)c(O)c1)c1cc(O)c(O)c(O)c1</t>
  </si>
  <si>
    <t xml:space="preserve">CHEMBL4425001</t>
  </si>
  <si>
    <t xml:space="preserve">Displacement of [3H]-CP55940 from CB2 receptor (unknown origin)</t>
  </si>
  <si>
    <t xml:space="preserve">CHEMBL36327</t>
  </si>
  <si>
    <t xml:space="preserve">O=C(O[C@@H]1Cc2c(O)cc(O)cc2O[C@@H]1c1ccc(O)c(O)c1)c1cc(O)c(O)c(O)c1</t>
  </si>
  <si>
    <t xml:space="preserve">CHEMBL2010900</t>
  </si>
  <si>
    <t xml:space="preserve">O=C(c1c(NC(=O)C23CC4CC(CC2C4)C3)sc2c1CCOC2)N1CC(F)(F)C1</t>
  </si>
  <si>
    <t xml:space="preserve">CHEMBL2010901</t>
  </si>
  <si>
    <t xml:space="preserve">O=C(c1c(NC(=O)C23CC4CC(CC2C4)C3)sc2c1CCOC2)N1CCOCC1</t>
  </si>
  <si>
    <t xml:space="preserve">CHEMBL4793741</t>
  </si>
  <si>
    <t xml:space="preserve">O=C(c1cc(O)c(-c2cc(C(F)(F)F)cc(C(F)(F)F)c2)c(O)c1)c1cccs1</t>
  </si>
  <si>
    <t xml:space="preserve">CHEMBL3605034</t>
  </si>
  <si>
    <t xml:space="preserve">O=C(c1cc(O)c(-c2cc(Cl)cc(Cl)c2)c(O)c1)C1CCCCC1</t>
  </si>
  <si>
    <t xml:space="preserve">CHEMBL4776518</t>
  </si>
  <si>
    <t xml:space="preserve">O=C(c1cc(O)c(-c2cc(Cl)ccc2Cl)c(O)c1)c1cccs1</t>
  </si>
  <si>
    <t xml:space="preserve">CHEMBL4796513</t>
  </si>
  <si>
    <t xml:space="preserve">O=C(c1cc(O)c(-c2cccc(C(F)(F)F)c2)c(O)c1)c1cccs1</t>
  </si>
  <si>
    <t xml:space="preserve">CHEMBL4741108</t>
  </si>
  <si>
    <t xml:space="preserve">O=C(c1cc(O)c(-c2cccc(CO)c2)c(O)c1)c1cccs1</t>
  </si>
  <si>
    <t xml:space="preserve">CHEMBL3916164</t>
  </si>
  <si>
    <t xml:space="preserve">O=C(c1cc2ccccc2s1)c1cccc2ccccc12</t>
  </si>
  <si>
    <t xml:space="preserve">CHEMBL3605047</t>
  </si>
  <si>
    <t xml:space="preserve">O=C(c1ccc(Cl)cc1)c1cc(O)c(-c2cc(Cl)cc(Cl)c2)c(O)c1</t>
  </si>
  <si>
    <t xml:space="preserve">CHEMBL2441467</t>
  </si>
  <si>
    <t xml:space="preserve">O=C(c1ccc2c(c1)c1ccccc1n2CC1CCOCC1)N1CCCCC1</t>
  </si>
  <si>
    <t xml:space="preserve">CHEMBL2441459</t>
  </si>
  <si>
    <t xml:space="preserve">O=C(c1ccc2c(c1)c1ccccc1n2CCCCl)N1CCCCC1</t>
  </si>
  <si>
    <t xml:space="preserve">CHEMBL2441461</t>
  </si>
  <si>
    <t xml:space="preserve">O=C(c1ccc2c(c1)c1ccccc1n2CCCN1CCCCC1)N1CCCCC1</t>
  </si>
  <si>
    <t xml:space="preserve">CHEMBL2441462</t>
  </si>
  <si>
    <t xml:space="preserve">O=C(c1ccc2c(c1)c1ccccc1n2CCCN1CCS(=O)(=O)CC1)N1CCCCC1</t>
  </si>
  <si>
    <t xml:space="preserve">CHEMBL2441458</t>
  </si>
  <si>
    <t xml:space="preserve">O=C(c1ccc2c(c1)c1ccccc1n2CCCl)N1CCCCC1</t>
  </si>
  <si>
    <t xml:space="preserve">CHEMBL2441474</t>
  </si>
  <si>
    <t xml:space="preserve">O=C(c1ccc2c(c1)c1ccccc1n2Cc1ccccn1)N1CCCCC1</t>
  </si>
  <si>
    <t xml:space="preserve">CHEMBL2441473</t>
  </si>
  <si>
    <t xml:space="preserve">O=C(c1ccc2c(c1)c1ccccc1n2Cc1cccnc1)N1CCCCC1</t>
  </si>
  <si>
    <t xml:space="preserve">CHEMBL2441472</t>
  </si>
  <si>
    <t xml:space="preserve">O=C(c1ccc2c(c1)c1ccccc1n2Cc1ccncc1)N1CCCCC1</t>
  </si>
  <si>
    <t xml:space="preserve">CHEMBL5270707</t>
  </si>
  <si>
    <t xml:space="preserve">O=C(c1ccc2ccccc2c1)c1cn2c3c(cccc13)OCC2CN1CCOCC1</t>
  </si>
  <si>
    <t xml:space="preserve">CHEMBL5231899</t>
  </si>
  <si>
    <t xml:space="preserve">CHEMBL4293194</t>
  </si>
  <si>
    <t xml:space="preserve">O=C(c1cccc2ccccc12)c1cn(CC2CCOCC2)c2ccc(O)cc12</t>
  </si>
  <si>
    <t xml:space="preserve">CHEMBL78627</t>
  </si>
  <si>
    <t xml:space="preserve">O=C(c1cccc2ccccc12)c1cn(CCN2CCOCC2)c2ccc(O)cc12</t>
  </si>
  <si>
    <t xml:space="preserve">CHEMBL3898407</t>
  </si>
  <si>
    <t xml:space="preserve">O=C(c1cccc2ccccc12)c1csc2ccccc12</t>
  </si>
  <si>
    <t xml:space="preserve">CHEMBL3914550</t>
  </si>
  <si>
    <t xml:space="preserve">O=C(c1cccc2ccccc12)n1c(C2CCC2)nc2ccccc21</t>
  </si>
  <si>
    <t xml:space="preserve">CHEMBL3915743</t>
  </si>
  <si>
    <t xml:space="preserve">O=C(c1cccc2ccccc12)n1c(C2CCCC2)nc2ccccc21</t>
  </si>
  <si>
    <t xml:space="preserve">CHEMBL3938131</t>
  </si>
  <si>
    <t xml:space="preserve">O=C(c1cccc2ccccc12)n1c(C2CCCCC2)nc2ccccc21</t>
  </si>
  <si>
    <t xml:space="preserve">CHEMBL4777102</t>
  </si>
  <si>
    <t xml:space="preserve">O=C(c1ccccc1)c1cc(O)c(-c2cc(C(F)(F)F)cc(C(F)(F)F)c2)c(O)c1</t>
  </si>
  <si>
    <t xml:space="preserve">CHEMBL4756251</t>
  </si>
  <si>
    <t xml:space="preserve">O=C(c1ccccc1)c1cc(O)c(-c2cc(Cl)ccc2Cl)c(O)c1</t>
  </si>
  <si>
    <t xml:space="preserve">CHEMBL4764314</t>
  </si>
  <si>
    <t xml:space="preserve">O=C(c1ccccc1)c1cc(O)c(-c2cc(F)cc(F)c2)c(O)c1</t>
  </si>
  <si>
    <t xml:space="preserve">CHEMBL4747418</t>
  </si>
  <si>
    <t xml:space="preserve">O=C(c1ccccc1)c1cc(O)c(-c2ccc3c(c2)OCCO3)c(O)c1</t>
  </si>
  <si>
    <t xml:space="preserve">CHEMBL4749825</t>
  </si>
  <si>
    <t xml:space="preserve">O=C(c1ccccc1)c1cc(O)c(-c2cccc(C(F)(F)F)c2)c(O)c1</t>
  </si>
  <si>
    <t xml:space="preserve">CHEMBL4792566</t>
  </si>
  <si>
    <t xml:space="preserve">O=C(c1ccccc1)c1cc(O)c(-c2cccc(CO)c2)c(O)c1</t>
  </si>
  <si>
    <t xml:space="preserve">CHEMBL4741155</t>
  </si>
  <si>
    <t xml:space="preserve">O=C(c1ccccc1)c1cc(O)c(-c2ccoc2)c(O)c1</t>
  </si>
  <si>
    <t xml:space="preserve">CHEMBL3354399</t>
  </si>
  <si>
    <t xml:space="preserve">O=C(c1ccccc1)n1c2ccccc2c2nnc(SCc3ccccc3[N+](=O)[O-])nc21</t>
  </si>
  <si>
    <t xml:space="preserve">CHEMBL5564958</t>
  </si>
  <si>
    <t xml:space="preserve">O=C(c1ccccc1Cl)c1cccn1CC12CC3CC(CC(C3)C1)C2</t>
  </si>
  <si>
    <t xml:space="preserve">CHEMBL569992</t>
  </si>
  <si>
    <t xml:space="preserve">O=C(c1cn(CC2CCOCC2)c2ccccc12)C12CC3CC(CC(C3)O1)C2</t>
  </si>
  <si>
    <t xml:space="preserve">CHEMBL571999</t>
  </si>
  <si>
    <t xml:space="preserve">O=C(c1cn(CC2CCOCC2)c2ccccc12)C12CC3CC(CC1C3)C2</t>
  </si>
  <si>
    <t xml:space="preserve">CHEMBL570907</t>
  </si>
  <si>
    <t xml:space="preserve">O=C(c1cn(CC2CCOCC2)c2ccccc12)C1CCCC1</t>
  </si>
  <si>
    <t xml:space="preserve">CHEMBL3085420</t>
  </si>
  <si>
    <t xml:space="preserve">O=C(c1cn(CC2CCOCC2)c2ccccc12)[C@@H]1CC12CCCCC2</t>
  </si>
  <si>
    <t xml:space="preserve">CHEMBL236962</t>
  </si>
  <si>
    <t xml:space="preserve">O=C(c1cn(CCC2CCCCC2)c2ccccc2c1=O)c1cccc2ccccc12</t>
  </si>
  <si>
    <t xml:space="preserve">CHEMBL4292807</t>
  </si>
  <si>
    <t xml:space="preserve">O=C(c1cn(CCN2CCOCC2)c2ccc(O)cc12)C1CCCCC1</t>
  </si>
  <si>
    <t xml:space="preserve">CHEMBL583473</t>
  </si>
  <si>
    <t xml:space="preserve">O=C(c1cn(CCN2CCOCC2)c2ccccc12)C12CC3CC(CC1C3)C2</t>
  </si>
  <si>
    <t xml:space="preserve">CHEMBL570874</t>
  </si>
  <si>
    <t xml:space="preserve">O=C(c1cn(CCN2CCOCC2)c2ccccc12)C1CCCCC1</t>
  </si>
  <si>
    <t xml:space="preserve">CHEMBL570659</t>
  </si>
  <si>
    <t xml:space="preserve">O=C(c1cn(CCN2CCOCC2)c2ccccc12)C1CCCCCC1</t>
  </si>
  <si>
    <t xml:space="preserve">CHEMBL3085421</t>
  </si>
  <si>
    <t xml:space="preserve">O=C(c1cn(CCN2CCOCC2)c2ccccc12)[C@@H]1CC12CCCCC2</t>
  </si>
  <si>
    <t xml:space="preserve">CHEMBL236548</t>
  </si>
  <si>
    <t xml:space="preserve">O=C(c1cn(Cc2ccc(Br)cc2)c2ccccc2c1=O)c1cccc2ccccc12</t>
  </si>
  <si>
    <t xml:space="preserve">CHEMBL394140</t>
  </si>
  <si>
    <t xml:space="preserve">O=C(c1cn(Cc2ccc(Cl)cc2)c2ccccc2c1=O)c1cccc2ccccc12</t>
  </si>
  <si>
    <t xml:space="preserve">CHEMBL235278</t>
  </si>
  <si>
    <t xml:space="preserve">O=C(c1cn(Cc2ccc(F)cc2)c2ccccc2c1=O)c1cccc2ccccc12</t>
  </si>
  <si>
    <t xml:space="preserve">CHEMBL393615</t>
  </si>
  <si>
    <t xml:space="preserve">O=C(c1cn(Cc2ccccc2)c2ccccc2c1=O)c1cccc2ccccc12</t>
  </si>
  <si>
    <t xml:space="preserve">CHEMBL1287847</t>
  </si>
  <si>
    <t xml:space="preserve">O=C(c1cn2c3c(cccc13)OC[C@H]2C1CCCCC1)N1CCN2CCCC[C@H]2C1</t>
  </si>
  <si>
    <t xml:space="preserve">CHEMBL3780282</t>
  </si>
  <si>
    <t xml:space="preserve">O=C(c1nn(-c2ccc(Cl)cc2Cl)c2c1Cc1cc(C3CC3)ccc1-2)N1CCCCC1</t>
  </si>
  <si>
    <t xml:space="preserve">CHEMBL3221195</t>
  </si>
  <si>
    <t xml:space="preserve">O=C1/C(=C/c2ccc(-c3ccccc3)cc2)N=C2SCCCCN12</t>
  </si>
  <si>
    <t xml:space="preserve">CHEMBL3221198</t>
  </si>
  <si>
    <t xml:space="preserve">O=C1/C(=C/c2cccc(OCc3ccc(Cl)cc3)c2)N=C2SCCCCN12</t>
  </si>
  <si>
    <t xml:space="preserve">CHEMBL3221188</t>
  </si>
  <si>
    <t xml:space="preserve">O=C1/C(=C/c2cccc(OCc3ccc(Cl)cc3)c2)N=C2SCCCN12</t>
  </si>
  <si>
    <t xml:space="preserve">CHEMBL3221201</t>
  </si>
  <si>
    <t xml:space="preserve">O=C1/C(=C/c2cccc(OCc3ccc(Cl)cc3Cl)c2)N=C2SCCCCN12</t>
  </si>
  <si>
    <t xml:space="preserve">CHEMBL3221190</t>
  </si>
  <si>
    <t xml:space="preserve">O=C1/C(=C/c2cccc(OCc3ccc(Cl)cc3Cl)c2)N=C2SCCCN12</t>
  </si>
  <si>
    <t xml:space="preserve">CHEMBL3221202</t>
  </si>
  <si>
    <t xml:space="preserve">O=C1/C(=C/c2cccc(OCc3ccc(F)cc3)c2)N=C2SCCCCN12</t>
  </si>
  <si>
    <t xml:space="preserve">CHEMBL3221197</t>
  </si>
  <si>
    <t xml:space="preserve">O=C1/C(=C/c2cccc(OCc3ccccc3)c2)N=C2SCCCCN12</t>
  </si>
  <si>
    <t xml:space="preserve">CHEMBL3221187</t>
  </si>
  <si>
    <t xml:space="preserve">O=C1/C(=C/c2cccc(OCc3ccccc3)c2)N=C2SCCCN12</t>
  </si>
  <si>
    <t xml:space="preserve">CHEMBL3221200</t>
  </si>
  <si>
    <t xml:space="preserve">O=C1/C(=C/c2cccc(OCc3ccccc3Cl)c2)N=C2SCCCCN12</t>
  </si>
  <si>
    <t xml:space="preserve">CHEMBL4780917</t>
  </si>
  <si>
    <t xml:space="preserve">O=C1/C(=C/c2cn(Cc3ccc(Br)cc3)c3ncccc23)N2CCC1CC2</t>
  </si>
  <si>
    <t xml:space="preserve">CHEMBL4701639</t>
  </si>
  <si>
    <t xml:space="preserve">CHEMBL4699478</t>
  </si>
  <si>
    <t xml:space="preserve">Displacement of [3H]CP-55940 from CB2 receptor (unknown origin) by competitive binding assay</t>
  </si>
  <si>
    <t xml:space="preserve">CHEMBL240697</t>
  </si>
  <si>
    <t xml:space="preserve">O=C1/C(=C/c2cn(Cc3ccc(Cl)cc3)c3ccccc23)N2CCC1CC2</t>
  </si>
  <si>
    <t xml:space="preserve">CHEMBL4794483</t>
  </si>
  <si>
    <t xml:space="preserve">O=C1/C(=C/c2cn(Cc3ccc(Cl)cc3)c3ncccc23)N2CCC1CC2</t>
  </si>
  <si>
    <t xml:space="preserve">CHEMBL240913</t>
  </si>
  <si>
    <t xml:space="preserve">O=C1/C(=C/c2cn(Cc3ccc(F)cc3)c3ccccc23)N2CCC1CC2</t>
  </si>
  <si>
    <t xml:space="preserve">CHEMBL4747163</t>
  </si>
  <si>
    <t xml:space="preserve">O=C1/C(=C/c2cn(Cc3ccc(F)cc3)c3ncccc23)N2CCC1CC2</t>
  </si>
  <si>
    <t xml:space="preserve">CHEMBL238082</t>
  </si>
  <si>
    <t xml:space="preserve">O=C1/C(=C/c2cn(Cc3ccccc3)c3ccccc23)N2CCC1CC2</t>
  </si>
  <si>
    <t xml:space="preserve">CHEMBL4741229</t>
  </si>
  <si>
    <t xml:space="preserve">O=C1/C(=C/c2cn(Cc3ccccc3)c3ncccc23)N2CCC1CC2</t>
  </si>
  <si>
    <t xml:space="preserve">CHEMBL2346668</t>
  </si>
  <si>
    <t xml:space="preserve">O=C1/C(=C/c2cn(Cc3ccccc3Br)c3ccccc23)N2CCC1CC2</t>
  </si>
  <si>
    <t xml:space="preserve">CHEMBL2063252</t>
  </si>
  <si>
    <t xml:space="preserve">O=C1CCCN1C1CCCOc2c1nn(-c1ccccc1Cl)c2-c1ccc(Cl)cc1</t>
  </si>
  <si>
    <t xml:space="preserve">CHEMBL592470</t>
  </si>
  <si>
    <t xml:space="preserve">O=C1[C@@H](Cc2ccc(F)c(F)c2)CC[C@H](c2ccc(Cl)cc2)N1c1ccc(Cl)cc1</t>
  </si>
  <si>
    <t xml:space="preserve">CHEMBL4249248</t>
  </si>
  <si>
    <t xml:space="preserve">O=S(=O)(C1CC1)N1CCN(c2ncnc3c2nc(-c2ccccc2Cl)n3-c2ccc(Cl)cc2)CC1</t>
  </si>
  <si>
    <t xml:space="preserve">CHEMBL4244624</t>
  </si>
  <si>
    <t xml:space="preserve">O=S(=O)(CC1CCCCC1)N1CCN(c2ncnc3c2nc(-c2ccccc2Cl)n3-c2ccc(Cl)cc2)CC1</t>
  </si>
  <si>
    <t xml:space="preserve">CHEMBL4245443</t>
  </si>
  <si>
    <t xml:space="preserve">O=S(=O)(CC1CCOCC1)N1CCN(c2ncnc3c2nc(-c2ccccc2Cl)n3-c2ccc(Cl)cc2)CC1</t>
  </si>
  <si>
    <t xml:space="preserve">CHEMBL4238756</t>
  </si>
  <si>
    <t xml:space="preserve">O=S(=O)(CCC(F)(F)F)N1CCN(c2ncnc3c2nc(-c2ccccc2Cl)n3-c2ccc(Cl)cc2)CC1</t>
  </si>
  <si>
    <t xml:space="preserve">CHEMBL4544209</t>
  </si>
  <si>
    <t xml:space="preserve">O=S(=O)(CCC(F)(F)F)NC1CCN(c2ncnc3c2nc(-c2ccccc2Cl)n3-c2ccc(Cl)cc2)CC1</t>
  </si>
  <si>
    <t xml:space="preserve">CHEMBL1668508</t>
  </si>
  <si>
    <t xml:space="preserve">O=S(=O)(CCCC(F)(F)F)Oc1cccc(Oc2cccc3c2C[C@H](CO)C3)c1</t>
  </si>
  <si>
    <t xml:space="preserve">CHEMBL5814935</t>
  </si>
  <si>
    <t xml:space="preserve">O=S(=O)(F)c1ccccc1Cn1nnc2c(N3CCC(F)(F)C3)nc(C(F)(F)c3ccccc3)nc21</t>
  </si>
  <si>
    <t xml:space="preserve">CHEMBL6024919</t>
  </si>
  <si>
    <t xml:space="preserve">O=S(=O)(F)c1ccccc1Cn1nnc2c(N3CC[C@H](O)C3)nc(C(F)(F)c3ccccc3)nc21</t>
  </si>
  <si>
    <t xml:space="preserve">CHEMBL4476491</t>
  </si>
  <si>
    <t xml:space="preserve">O=S(=O)(NC1CCCCC1)NC1CCN(c2ncnc3c2nc(-c2ccccc2Cl)n3-c2ccc(Cl)cc2)CC1</t>
  </si>
  <si>
    <t xml:space="preserve">CHEMBL607977</t>
  </si>
  <si>
    <t xml:space="preserve">O=S(=O)(NC1CCCCC1)[C@@H]1CC[C@@H](c2ccc(Cl)cc2Cl)N(c2ccc(Cl)cc2)C1</t>
  </si>
  <si>
    <t xml:space="preserve">CHEMBL4466325</t>
  </si>
  <si>
    <t xml:space="preserve">O=S(=O)(NC1CCN(c2ncnc3c2nc(-c2ccccc2Cl)n3-c2ccc(C(F)(F)F)nc2)CC1)c1ccccc1F</t>
  </si>
  <si>
    <t xml:space="preserve">CHEMBL2436766</t>
  </si>
  <si>
    <t xml:space="preserve">O=S(=O)(NC1CCN(c2ncnc3c2nc(-c2ccccc2Cl)n3-c2ccc(Cl)cc2)CC1)C(F)(F)F</t>
  </si>
  <si>
    <t xml:space="preserve">CHEMBL4445915</t>
  </si>
  <si>
    <t xml:space="preserve">O=S(=O)(NC1CCN(c2ncnc3c2nc(-c2ccccc2Cl)n3-c2ccc(Cl)cc2)CC1)c1ccc(F)cc1</t>
  </si>
  <si>
    <t xml:space="preserve">CHEMBL2180214</t>
  </si>
  <si>
    <t xml:space="preserve">O=S(=O)(NC1CCN(c2ncnc3c2nc(-c2ccccc2Cl)n3-c2ccc(Cl)cc2)CC1)c1ccccc1</t>
  </si>
  <si>
    <t xml:space="preserve">CHEMBL4520650</t>
  </si>
  <si>
    <t xml:space="preserve">O=S(=O)(NC1CCN(c2ncnc3c2nc(-c2ccccc2Cl)n3-c2ccc(Cl)cc2)CC1)c1ccccc1F</t>
  </si>
  <si>
    <t xml:space="preserve">CHEMBL4475337</t>
  </si>
  <si>
    <t xml:space="preserve">O=S(=O)(NC1CCN(c2ncnc3c2nc(-c2ccccc2Cl)n3-c2ccc(OC(F)F)nc2)CC1)c1ccc(F)c(F)c1</t>
  </si>
  <si>
    <t xml:space="preserve">CHEMBL4440527</t>
  </si>
  <si>
    <t xml:space="preserve">O=S(=O)(NC1CCN(c2ncnc3c2nc(-c2ccccc2Cl)n3-c2ccc(OC(F)F)nc2)CC1)c1ccccc1F</t>
  </si>
  <si>
    <t xml:space="preserve">CHEMBL594535</t>
  </si>
  <si>
    <t xml:space="preserve">O=S(=O)(NCCCCNS(=O)(=O)C(F)(F)F)c1ccc(Cl)cc1S(=O)(=O)c1ccccc1F</t>
  </si>
  <si>
    <t xml:space="preserve">CHEMBL6188438</t>
  </si>
  <si>
    <t xml:space="preserve">O=S(=O)(N[C@H]1CCCOc2c1nn(-c1ccccc1Cl)c2-c1ccc(Cl)cc1)c1ccc(Cl)cc1</t>
  </si>
  <si>
    <t xml:space="preserve">CHEMBL595452</t>
  </si>
  <si>
    <t xml:space="preserve">O=S(=O)(N[C@H]1CC[C@@H](NS(=O)(=O)C(F)(F)F)CC1)c1ccc(Cl)cc1S(=O)(=O)c1ccccc1F</t>
  </si>
  <si>
    <t xml:space="preserve">CHEMBL604683</t>
  </si>
  <si>
    <t xml:space="preserve">O=S(=O)(N[C@H]1CC[C@H](CNS(=O)(=O)C(F)(F)F)CC1)c1ccc(Cl)cc1S(=O)(=O)c1ccccc1F</t>
  </si>
  <si>
    <t xml:space="preserve">CHEMBL594513</t>
  </si>
  <si>
    <t xml:space="preserve">O=S(=O)(N[C@H]1CC[C@H](NS(=O)(=O)C(F)(F)F)CC1)c1ccc(Cl)cc1S(=O)(=O)c1ccccc1F</t>
  </si>
  <si>
    <t xml:space="preserve">CHEMBL589093</t>
  </si>
  <si>
    <t xml:space="preserve">O=S(=O)([C@@H]1CC[C@@H](c2ccc(Cl)cc2Cl)N(c2ccc(Cl)cc2)C1)N1CCCCC1</t>
  </si>
  <si>
    <t xml:space="preserve">CHEMBL2336529</t>
  </si>
  <si>
    <t xml:space="preserve">O=S(=O)(c1ccc(Cl)cc1)N(Cc1ccc(N2CCCCC2)cc1)c1ccccc1</t>
  </si>
  <si>
    <t xml:space="preserve">CHEMBL6191845</t>
  </si>
  <si>
    <t xml:space="preserve">O=S(=O)(c1ccc(Cl)cc1)N1CCC(N[C@H]2CCCOc3c2nn(-c2ccccc2Cl)c3-c2ccc(Cl)cc2)CC1</t>
  </si>
  <si>
    <t xml:space="preserve">CHEMBL594536</t>
  </si>
  <si>
    <t xml:space="preserve">O=S(=O)(c1ccccc1F)c1cc(Cl)ccc1S(=O)(=O)N1CC(CCNS(=O)(=O)C(F)(F)F)C1</t>
  </si>
  <si>
    <t xml:space="preserve">CHEMBL595913</t>
  </si>
  <si>
    <t xml:space="preserve">O=S(=O)(c1ccccc1F)c1cc(Cl)ccc1S(=O)(=O)N1CCC(CNS(=O)(=O)C(F)(F)F)(c2ccccc2)CC1</t>
  </si>
  <si>
    <t xml:space="preserve">CHEMBL603321</t>
  </si>
  <si>
    <t xml:space="preserve">O=S(=O)(c1ccccc1F)c1cc(Cl)ccc1S(=O)(=O)N1CCC(CNS(=O)(=O)C(F)(F)F)CC1</t>
  </si>
  <si>
    <t xml:space="preserve">CHEMBL594300</t>
  </si>
  <si>
    <t xml:space="preserve">O=S(=O)(c1ccccc1F)c1cc(Cl)ccc1S(=O)(=O)N1CCC(CO)(CNS(=O)(=O)C(F)(F)F)CC1</t>
  </si>
  <si>
    <t xml:space="preserve">CHEMBL593596</t>
  </si>
  <si>
    <t xml:space="preserve">O=S(=O)(c1ccccc1F)c1cc(Cl)ccc1S(=O)(=O)N1CCC(F)(CNS(=O)(=O)C(F)(F)F)CC1</t>
  </si>
  <si>
    <t xml:space="preserve">CHEMBL595451</t>
  </si>
  <si>
    <t xml:space="preserve">O=S(=O)(c1ccccc1F)c1cc(Cl)ccc1S(=O)(=O)N1CCC(NS(=O)(=O)C(F)(F)F)C1</t>
  </si>
  <si>
    <t xml:space="preserve">CHEMBL596579</t>
  </si>
  <si>
    <t xml:space="preserve">O=S(=O)(c1ccccc1F)c1cc(Cl)ccc1S(=O)(=O)N1CCC2(CC1)CC2NS(=O)(=O)C(F)(F)F</t>
  </si>
  <si>
    <t xml:space="preserve">CHEMBL605719</t>
  </si>
  <si>
    <t xml:space="preserve">O=S(=O)(c1ccccc1F)c1cc(Cl)ccc1S(=O)(=O)N1CCC2(CC1)CCN(S(=O)(=O)C(F)(F)F)C2</t>
  </si>
  <si>
    <t xml:space="preserve">CHEMBL604704</t>
  </si>
  <si>
    <t xml:space="preserve">O=S(=O)(c1ccccc1F)c1cc(Cl)ccc1S(=O)(=O)N1C[C@@H]2[C@H](C1)[C@H]2NS(=O)(=O)C(F)(F)F</t>
  </si>
  <si>
    <t xml:space="preserve">CHEMBL595706</t>
  </si>
  <si>
    <t xml:space="preserve">O=S(=O)(c1ccccc1F)c1ccc(C(F)(F)F)cc1S(=O)(=O)N1CCC2(CC1)CC2NS(=O)(=O)C(F)(F)F</t>
  </si>
  <si>
    <t xml:space="preserve">CHEMBL596356</t>
  </si>
  <si>
    <t xml:space="preserve">O=S(=O)(c1ccccc1F)c1ccc(OC(F)(F)F)cc1S(=O)(=O)N1CCC2(CC1)CC2NS(=O)(=O)C(F)(F)F</t>
  </si>
  <si>
    <t xml:space="preserve">CHEMBL596135</t>
  </si>
  <si>
    <t xml:space="preserve">O=S(=O)(c1ccccn1)c1ccc(C(F)(F)F)cc1S(=O)(=O)N1CCC2(CC1)CC2NS(=O)(=O)C(F)(F)F</t>
  </si>
  <si>
    <t xml:space="preserve">CHEMBL592896</t>
  </si>
  <si>
    <t xml:space="preserve">O=S(=O)(c1ccccn1)c1ccc(Cl)cc1S(=O)(=O)N1CCC2(CC1)CC2NS(=O)(=O)C(F)(F)F</t>
  </si>
  <si>
    <t xml:space="preserve">CHEMBL595223</t>
  </si>
  <si>
    <t xml:space="preserve">O=S(=O)(c1ccccn1)c1ccc(OC(F)(F)F)cc1S(=O)(=O)N1CCC2(CC1)CC2NS(=O)(=O)C(F)(F)F</t>
  </si>
  <si>
    <t xml:space="preserve">CHEMBL592895</t>
  </si>
  <si>
    <t xml:space="preserve">O=S(=O)(c1ccccn1)c1ccccc1S(=O)(=O)N1CCC2(CC1)CC2NS(=O)(=O)C(F)(F)F</t>
  </si>
  <si>
    <t xml:space="preserve">CHEMBL585736</t>
  </si>
  <si>
    <t xml:space="preserve">O=S1(=O)CCN(/C(=N\S(=O)(=O)c2ccc(Cl)cc2)N2CC(c3ccccc3)C(c3ccc(Cl)cc3)=N2)CC1</t>
  </si>
  <si>
    <t xml:space="preserve">CHEMBL1041654</t>
  </si>
  <si>
    <t xml:space="preserve">CHEMBL1156813</t>
  </si>
  <si>
    <t xml:space="preserve">CHEMBL4762930</t>
  </si>
  <si>
    <t xml:space="preserve">O=[N+]([O-])c1ccc2[nH]nc(OCc3ccc4ccccc4c3)c2c1</t>
  </si>
  <si>
    <t xml:space="preserve">CHEMBL4741527</t>
  </si>
  <si>
    <t xml:space="preserve">O=[N+]([O-])c1ccc2[nH]nc(OCc3cccc4ccccc34)c2c1</t>
  </si>
  <si>
    <t xml:space="preserve">CHEMBL3116288</t>
  </si>
  <si>
    <t xml:space="preserve">O=[N+]([O-])c1ccc2c(c1)c(OCC1CCCCC1)nn2Cc1ccccc1</t>
  </si>
  <si>
    <t xml:space="preserve">CHEMBL3116294</t>
  </si>
  <si>
    <t xml:space="preserve">O=[N+]([O-])c1ccc2c(c1)c(OCc1ccc3ccccc3c1)nn2CCN1CCCCC1</t>
  </si>
  <si>
    <t xml:space="preserve">CHEMBL3116295</t>
  </si>
  <si>
    <t xml:space="preserve">O=[N+]([O-])c1ccc2c(c1)c(OCc1ccc3ccccc3c1)nn2CCN1CCOCC1</t>
  </si>
  <si>
    <t xml:space="preserve">CHEMBL3116296</t>
  </si>
  <si>
    <t xml:space="preserve">O=[N+]([O-])c1ccc2c(c1)c(OCc1ccc3ccccc3c1)nn2Cc1ccccc1</t>
  </si>
  <si>
    <t xml:space="preserve">CHEMBL3116291</t>
  </si>
  <si>
    <t xml:space="preserve">O=[N+]([O-])c1ccc2c(c1)c(OCc1cccc3ccccc13)nn2CCN1CCCC1</t>
  </si>
  <si>
    <t xml:space="preserve">CHEMBL3116292</t>
  </si>
  <si>
    <t xml:space="preserve">O=[N+]([O-])c1ccc2c(c1)c(OCc1cccc3ccccc13)nn2Cc1cccc2ccccc12</t>
  </si>
  <si>
    <t xml:space="preserve">CHEMBL1973869</t>
  </si>
  <si>
    <t xml:space="preserve">O=[N+]([O-])c1ccc2c(c1)c(OCc1ccccc1)nn2Cc1ccccc1</t>
  </si>
  <si>
    <t xml:space="preserve">CHEMBL3353812</t>
  </si>
  <si>
    <t xml:space="preserve">O=[N+]([O-])c1ccccc1CSc1nnc2c(n1)[nH]c1ccccc12</t>
  </si>
  <si>
    <t xml:space="preserve">CHEMBL251163</t>
  </si>
  <si>
    <t xml:space="preserve">O=c1c2cn(CCN3CCOCC3)c3ccccc3c-2nn1-c1ccccc1</t>
  </si>
  <si>
    <t xml:space="preserve">CHEMBL250966</t>
  </si>
  <si>
    <t xml:space="preserve">O=c1c2cn(Cc3ccccc3)c3cc(Cl)ccc3c-2nn1C1CCCCC1</t>
  </si>
  <si>
    <t xml:space="preserve">CHEMBL398646</t>
  </si>
  <si>
    <t xml:space="preserve">O=c1c2cn(Cc3ccccc3)c3ccccc3c-2nn1C1CCCCC1</t>
  </si>
  <si>
    <t xml:space="preserve">CHEMBL3927357</t>
  </si>
  <si>
    <t xml:space="preserve">OC(CC1CCCCC1)c1nn(-c2ccc(Cl)cc2Cl)c2c1CCCc1cc(Cl)ccc1-2</t>
  </si>
  <si>
    <t xml:space="preserve">CHEMBL391430</t>
  </si>
  <si>
    <t xml:space="preserve">OC1/C(=C/c2cn(Cc3ccc(Cl)cc3)c3ccccc23)N2CCC1CC2</t>
  </si>
  <si>
    <t xml:space="preserve">CHEMBL238083</t>
  </si>
  <si>
    <t xml:space="preserve">OC1/C(=C/c2cn(Cc3ccccc3)c3ccccc23)N2CCC1CC2</t>
  </si>
  <si>
    <t xml:space="preserve">CHEMBL5873678</t>
  </si>
  <si>
    <t xml:space="preserve">OCCSSCCc1ccccc1Cn1nnc2c(N3CCC(F)(F)C3)nc(C(F)(F)c3ccccc3)nc21</t>
  </si>
  <si>
    <t xml:space="preserve">CHEMBL1093377</t>
  </si>
  <si>
    <t xml:space="preserve">S=C(NC1CCCCC1)N1CCN(C(c2ccccc2)c2ccc(Cl)cc2Cl)CC1</t>
  </si>
  <si>
    <t xml:space="preserve">CHEMBL1088729</t>
  </si>
  <si>
    <t xml:space="preserve">S=C(NC1CCCCC1)N1CCN(C(c2ccccc2)c2ccccc2)CC1</t>
  </si>
  <si>
    <t xml:space="preserve">CHEMBL5905150</t>
  </si>
  <si>
    <t xml:space="preserve">[N-]=[N+]=NC1CCN(c2nc(C(F)(F)c3ccccc3)nc3c2nnn3Cc2ccccc2Cl)C1</t>
  </si>
  <si>
    <t xml:space="preserve">CHEMBL3116279</t>
  </si>
  <si>
    <t xml:space="preserve">c1ccc(COc2nn(Cc3ccccc3)c3ccccc23)cc1</t>
  </si>
  <si>
    <t xml:space="preserve">CHEMBL4777086</t>
  </si>
  <si>
    <t xml:space="preserve">c1ccc2c(COc3n[nH]c4ccccc34)cccc2c1</t>
  </si>
  <si>
    <t xml:space="preserve">CHEMBL3116283</t>
  </si>
  <si>
    <t xml:space="preserve">c1ccc2c(COc3nn(CCN4CCCC4)c4ccccc34)cccc2c1</t>
  </si>
  <si>
    <t xml:space="preserve">CHEMBL3116284</t>
  </si>
  <si>
    <t xml:space="preserve">c1ccc2c(COc3nn(CCN4CCCCC4)c4ccccc34)cccc2c1</t>
  </si>
  <si>
    <t xml:space="preserve">CHEMBL3116278</t>
  </si>
  <si>
    <t xml:space="preserve">c1ccc2c(c1)c(OCC1CCCCC1)nn2CC1CCCCC1</t>
  </si>
  <si>
    <t xml:space="preserve">CHEMBL4744845</t>
  </si>
  <si>
    <t xml:space="preserve">c1ccc2cc(COc3n[nH]c4ccccc34)ccc2c1</t>
  </si>
  <si>
    <t xml:space="preserve">CHEMBL3116286</t>
  </si>
  <si>
    <t xml:space="preserve">c1ccc2cc(COc3nn(CCN4CCCCC4)c4ccccc34)ccc2c1</t>
  </si>
  <si>
    <t xml:space="preserve">The 146 measurements removed from Dataset v1 (cb2_v1_quarantined_measurements.csv). Grouped by structure so the disagreeing values sit together.</t>
  </si>
  <si>
    <t xml:space="preserve">Reason for every row: the same standardized structure was measured more than once and the values differ by 1 pKi unit (10x in Ki) or more.</t>
  </si>
  <si>
    <t xml:space="preserve">Structure's pKi range</t>
  </si>
  <si>
    <t xml:space="preserve">Quarantine reason</t>
  </si>
  <si>
    <t xml:space="preserve">CHEMBL190461</t>
  </si>
  <si>
    <t xml:space="preserve">C=C(C)[C@@H]1CCC(C)=C[C@H]1c1c(O)cc(CCCCC)cc1O</t>
  </si>
  <si>
    <t xml:space="preserve">CHEMBL1117767</t>
  </si>
  <si>
    <t xml:space="preserve">CHEMBL1155461</t>
  </si>
  <si>
    <t xml:space="preserve">Standardized parent structure has a pKi range of at least 1.0</t>
  </si>
  <si>
    <t xml:space="preserve">CHEMBL5527148</t>
  </si>
  <si>
    <t xml:space="preserve">CHEMBL5523761</t>
  </si>
  <si>
    <t xml:space="preserve">CHEMBL567594</t>
  </si>
  <si>
    <t xml:space="preserve">CC(C(=O)Nc1ccc2c(c1)C(N1CCOCC1)CCC2)(C(F)(F)F)C(F)(F)F</t>
  </si>
  <si>
    <t xml:space="preserve">CHEMBL3686342</t>
  </si>
  <si>
    <t xml:space="preserve">CC(C)(C)NOc1ccc(C(F)(F)F)cc1C(=O)/N=c1\sc(C(C)(C)C)cn1C[C@H]1CCCO1</t>
  </si>
  <si>
    <t xml:space="preserve">CHEMBL5910368</t>
  </si>
  <si>
    <t xml:space="preserve">CCC(CC)(NC(=O)c1ccc(N2CC(OC)C2)c(OC[C@@H]2C[C@H]2CO)n1)C(=O)OCF</t>
  </si>
  <si>
    <t xml:space="preserve">CHEMBL371214</t>
  </si>
  <si>
    <t xml:space="preserve">CCCC(C)(C)c1ccc2c(c1)OC(C)(C)[C@@H]1CC=C(C)C[C@@H]21</t>
  </si>
  <si>
    <t xml:space="preserve">CHEMBL307696</t>
  </si>
  <si>
    <t xml:space="preserve">CCCCCCC(C)(C)c1cc(O)c2c(c1)OC(C)(C)[C@@H]1CC=C(CO)C[C@@H]21</t>
  </si>
  <si>
    <t xml:space="preserve">CHEMBL4426887</t>
  </si>
  <si>
    <t xml:space="preserve">CHEMBL233180</t>
  </si>
  <si>
    <t xml:space="preserve">CCCCCCC(C)(C)c1ccc(-c2cc(C)cc(C)c2)c(C(=O)OC)c1</t>
  </si>
  <si>
    <t xml:space="preserve">CHEMBL559612</t>
  </si>
  <si>
    <t xml:space="preserve">CCCCCCC(C)(C)c1ccc([C@@H]2C[C@H](O)CC[C@H]2CCCO)c(O)c1</t>
  </si>
  <si>
    <t xml:space="preserve">CHEMBL472662</t>
  </si>
  <si>
    <t xml:space="preserve">CCCCCCCC/C=C\CCCCCCCC(=O)N[C@@H]1C[C@H]1O</t>
  </si>
  <si>
    <t xml:space="preserve">CHEMBL178372</t>
  </si>
  <si>
    <t xml:space="preserve">CCCCCOc1c(OC)ccc2cc(C(=O)NCc3ccc4c(c3)OCO4)c(=O)[nH]c12</t>
  </si>
  <si>
    <t xml:space="preserve">CHEMBL839539</t>
  </si>
  <si>
    <t xml:space="preserve">Binding affinity for cannabinoid receptor 2</t>
  </si>
  <si>
    <t xml:space="preserve">CHEMBL497318</t>
  </si>
  <si>
    <t xml:space="preserve">CCCCCc1cc(O)c(C/C=C(\C)CCC=C(C)C)c(O)c1</t>
  </si>
  <si>
    <t xml:space="preserve">CHEMBL5096673</t>
  </si>
  <si>
    <t xml:space="preserve">Displacement of [3H]-CP55940 from CB2 receptor (unknown origin) expressed in CHO cells</t>
  </si>
  <si>
    <t xml:space="preserve">CHEMBL5096672</t>
  </si>
  <si>
    <t xml:space="preserve">Displacement of [3H]-WIN55212-2 from human CB2 receptor transfected in CHO cell membrane incubated for 90 mins by Liquid scintillation counter analysis</t>
  </si>
  <si>
    <t xml:space="preserve">CHEMBL6083333</t>
  </si>
  <si>
    <t xml:space="preserve">Displacement of [3H]HU-243 from human CB2 receptor assessed as inhibition constant</t>
  </si>
  <si>
    <t xml:space="preserve">CHEMBL465</t>
  </si>
  <si>
    <t xml:space="preserve">CCCCCc1cc(O)c2c(c1)OC(C)(C)[C@@H]1CCC(C)=C[C@@H]21</t>
  </si>
  <si>
    <t xml:space="preserve">CHEMBL74415</t>
  </si>
  <si>
    <t xml:space="preserve">CCCCCc1cc(O)c2c(c1)OC(C)(C)c1ccc(C)cc1-2</t>
  </si>
  <si>
    <t xml:space="preserve">CHEMBL5096663</t>
  </si>
  <si>
    <t xml:space="preserve">Binding affinity to to CB2 receptor (unknown origin) expressed in AtT20 cells assessed as inhibition constant</t>
  </si>
  <si>
    <t xml:space="preserve">CHEMBL5096662</t>
  </si>
  <si>
    <t xml:space="preserve">Binding affinity to to CB2 receptor (unknown origin) expressed in CHO -k1 cells assessed as inhibition constant</t>
  </si>
  <si>
    <t xml:space="preserve">CHEMBL237010</t>
  </si>
  <si>
    <t xml:space="preserve">CCCCCn1cc(C(=O)NC(C)C23CC4CC(CC(C4)C2)C3)c(=O)c2ccc(Cl)cc21</t>
  </si>
  <si>
    <t xml:space="preserve">CHEMBL236333</t>
  </si>
  <si>
    <t xml:space="preserve">CCCCCn1cc(C(=O)NC(C)C23CC4CC(CC(C4)C2)C3)c(=O)c2ccccc21</t>
  </si>
  <si>
    <t xml:space="preserve">CHEMBL380610</t>
  </si>
  <si>
    <t xml:space="preserve">CCCCCn1cc(C(=O)NC2CCCc3ccccc32)c(=O)c2ccccc21</t>
  </si>
  <si>
    <t xml:space="preserve">CHEMBL3397520</t>
  </si>
  <si>
    <t xml:space="preserve">CCCCc1cc(-c2ccc(OC)cc2)cc(C(=O)NC2CCCCCC2)c1OC</t>
  </si>
  <si>
    <t xml:space="preserve">CHEMBL2348279</t>
  </si>
  <si>
    <t xml:space="preserve">CCCCn1c(C)c(C)cc(NC(=O)c2ccc(C)cc2)c1=O</t>
  </si>
  <si>
    <t xml:space="preserve">CHEMBL2348274</t>
  </si>
  <si>
    <t xml:space="preserve">CCCCn1c(C)c(C)cc(NC(=O)c2ccccc2)c1=O</t>
  </si>
  <si>
    <t xml:space="preserve">CHEMBL2348277</t>
  </si>
  <si>
    <t xml:space="preserve">CCCCn1c(C)c(C)cc(NC(=O)c2ccccc2C)c1=O</t>
  </si>
  <si>
    <t xml:space="preserve">CHEMBL2348276</t>
  </si>
  <si>
    <t xml:space="preserve">CCCCn1c(C)c(C)cc(NC(=O)c2ccccc2Cl)c1=O</t>
  </si>
  <si>
    <t xml:space="preserve">CHEMBL2387541</t>
  </si>
  <si>
    <t xml:space="preserve">CCCc1cc(O)c2c(c1)OC(C)(C)[C@@H]1CCC(C)=C[C@@H]21</t>
  </si>
  <si>
    <t xml:space="preserve">CHEMBL4424972</t>
  </si>
  <si>
    <t xml:space="preserve">Displacement of [3H]-CP55940 from recombinant human CB2 receptor expressed in CHO cell membranes measured after 60 mins by liquid scintillation counting method</t>
  </si>
  <si>
    <t xml:space="preserve">CHEMBL3093359</t>
  </si>
  <si>
    <t xml:space="preserve">COc1ccc(S(=O)(=O)c2cc(OC)ccc2S(=O)(=O)c2ccc([C@H](C)NS(C)(=O)=O)cc2)cc1</t>
  </si>
  <si>
    <t xml:space="preserve">CHEMBL180465</t>
  </si>
  <si>
    <t xml:space="preserve">CHEMBL409265</t>
  </si>
  <si>
    <t xml:space="preserve">COc1ccc2c(C(=O)C3C(C)(C)C3(C)C)cn(CCN3CCOCC3)c2c1</t>
  </si>
  <si>
    <t xml:space="preserve">CHEMBL596133</t>
  </si>
  <si>
    <t xml:space="preserve">CS(=O)(=O)NC1CC12CCN(S(=O)(=O)c1cc(Cl)ccc1S(=O)(=O)c1ccccc1F)CC2</t>
  </si>
  <si>
    <t xml:space="preserve">CHEMBL3353450</t>
  </si>
  <si>
    <t xml:space="preserve">C[C@H]1CC[C@@H](NC(=O)c2cc3cc(-c4ccco4)cnc3n(Cc3ccc(F)cc3)c2=O)CC1</t>
  </si>
  <si>
    <t xml:space="preserve">CHEMBL111</t>
  </si>
  <si>
    <t xml:space="preserve">Cc1c(C(=O)NN2CCCCC2)nn(-c2ccc(Cl)cc2Cl)c1-c1ccc(Cl)cc1</t>
  </si>
  <si>
    <t xml:space="preserve">CHEMBL4235206</t>
  </si>
  <si>
    <t xml:space="preserve">Displacement of [3H]-CP55940 from human CB2 receptor expressed in CHO cell membranes after 1 hr by liquid scintillation spectrometry</t>
  </si>
  <si>
    <t xml:space="preserve">CHEMBL558598</t>
  </si>
  <si>
    <t xml:space="preserve">CHEMBL1764460</t>
  </si>
  <si>
    <t xml:space="preserve">CHEMBL1759935</t>
  </si>
  <si>
    <t xml:space="preserve">Displacement of [3H]CP55940 from human recombinant CB2 receptor expressed in Sf9 cells</t>
  </si>
  <si>
    <t xml:space="preserve">CHEMBL188</t>
  </si>
  <si>
    <t xml:space="preserve">Cc1c(C(=O)c2cccc3ccccc23)c2cccc3c2n1[C@H](CN1CCOCC1)CO3</t>
  </si>
  <si>
    <t xml:space="preserve">CHEMBL1222317</t>
  </si>
  <si>
    <t xml:space="preserve">CHEMBL381689</t>
  </si>
  <si>
    <t xml:space="preserve">Cc1ccc(Cn2nc(C(=O)NC3C4(C)CCC(C4)C3(C)C)cc2-c2ccc(Cl)c(C)c2)cc1</t>
  </si>
  <si>
    <t xml:space="preserve">CHEMBL3293297</t>
  </si>
  <si>
    <t xml:space="preserve">CHEMBL3286155</t>
  </si>
  <si>
    <t xml:space="preserve">Displacement of [3H]-CP-55,940 from CB2 receptor (unknown origin)</t>
  </si>
  <si>
    <t xml:space="preserve">CHEMBL381791</t>
  </si>
  <si>
    <t xml:space="preserve">Cc1ccc(Cn2nc(C(=O)N[C@@H]3C(C)(C)[C@@H]4CC[C@@]3(C)C4)cc2-c2ccc(Cl)c(C)c2)cc1</t>
  </si>
  <si>
    <t xml:space="preserve">CHEMBL4255271</t>
  </si>
  <si>
    <t xml:space="preserve">Displacement of [3H]CP55,940 from human CB2 receptor</t>
  </si>
  <si>
    <t xml:space="preserve">CHEMBL4023599</t>
  </si>
  <si>
    <t xml:space="preserve">Displacement of [3H]-CP55950 from human CB2 receptor expressed in HEK cell membranes after 90 mins</t>
  </si>
  <si>
    <t xml:space="preserve">CHEMBL2421945</t>
  </si>
  <si>
    <t xml:space="preserve">Binding affinity to human CB2 receptor expressed in CHO cells</t>
  </si>
  <si>
    <t xml:space="preserve">CHEMBL460545</t>
  </si>
  <si>
    <t xml:space="preserve">O=C(c1ccccc1)c1cc(O)c(-c2cc(Cl)cc(Cl)c2)c(O)c1</t>
  </si>
  <si>
    <t xml:space="preserve">All 1,551 CB2 experiments in the download (chembl_cb2_assay.json). Sorted so the assays that feed Dataset v1 come first.</t>
  </si>
  <si>
    <t xml:space="preserve">Assay type: B = binding, F = functional, A = ADME, T = toxicity. Relationship: D = direct target, H = homologous (e.g. non-human CB2).</t>
  </si>
  <si>
    <t xml:space="preserve">Type</t>
  </si>
  <si>
    <t xml:space="preserve">Organism</t>
  </si>
  <si>
    <t xml:space="preserve">Confidence</t>
  </si>
  <si>
    <t xml:space="preserve">Confidence meaning</t>
  </si>
  <si>
    <t xml:space="preserve">Relationship</t>
  </si>
  <si>
    <t xml:space="preserve">Format</t>
  </si>
  <si>
    <t xml:space="preserve">Cell type</t>
  </si>
  <si>
    <t xml:space="preserve">Description</t>
  </si>
  <si>
    <t xml:space="preserve">Document</t>
  </si>
  <si>
    <t xml:space="preserve">Measurements in Dataset v1</t>
  </si>
  <si>
    <t xml:space="preserve">Used in v1?</t>
  </si>
  <si>
    <t xml:space="preserve">B</t>
  </si>
  <si>
    <t xml:space="preserve">Homo sapiens</t>
  </si>
  <si>
    <t xml:space="preserve">Direct single protein target assigned</t>
  </si>
  <si>
    <t xml:space="preserve">D</t>
  </si>
  <si>
    <t xml:space="preserve">cell-based format</t>
  </si>
  <si>
    <t xml:space="preserve">HEK293</t>
  </si>
  <si>
    <t xml:space="preserve">single protein format</t>
  </si>
  <si>
    <t xml:space="preserve">CHO</t>
  </si>
  <si>
    <t xml:space="preserve">assay format</t>
  </si>
  <si>
    <t xml:space="preserve">COS</t>
  </si>
  <si>
    <t xml:space="preserve">cell membrane format</t>
  </si>
  <si>
    <t xml:space="preserve">CHO-K1</t>
  </si>
  <si>
    <t xml:space="preserve">HEK293-EBNA</t>
  </si>
  <si>
    <t xml:space="preserve">EBNA</t>
  </si>
  <si>
    <t xml:space="preserve">HEK</t>
  </si>
  <si>
    <t xml:space="preserve">U-87MG ATCC</t>
  </si>
  <si>
    <t xml:space="preserve">COS-7</t>
  </si>
  <si>
    <t xml:space="preserve">Sf9</t>
  </si>
  <si>
    <t xml:space="preserve">HEK-293T</t>
  </si>
  <si>
    <t xml:space="preserve">COS7</t>
  </si>
  <si>
    <t xml:space="preserve">CHEMBL1002990</t>
  </si>
  <si>
    <t xml:space="preserve">Displacement of [3H]SR141716 from human recombinant CB2 receptor expressed in HEK293 cells at 10 uM</t>
  </si>
  <si>
    <t xml:space="preserve">CHEMBL1003145</t>
  </si>
  <si>
    <t xml:space="preserve">CHEMBL1140049</t>
  </si>
  <si>
    <t xml:space="preserve">CHEMBL1005572</t>
  </si>
  <si>
    <t xml:space="preserve">Displacement of [3H](R)-3-methyl-2-(3-(morpholinomethyl)-3,4-dihydro-2H-benzo[b][1,4]oxazin-5-yl)-1-(naphthalen-1-yl)but-2-en-1-one from human CB2 receptor expressed in CHO cells at 10 uM by liquid scintillation counting</t>
  </si>
  <si>
    <t xml:space="preserve">CHEMBL1005576</t>
  </si>
  <si>
    <t xml:space="preserve">F</t>
  </si>
  <si>
    <t xml:space="preserve">Agonist activity at human CB2 receptor expressed in CHO cells by [35S]GTPgammaS assay</t>
  </si>
  <si>
    <t xml:space="preserve">CHEMBL1005577</t>
  </si>
  <si>
    <t xml:space="preserve">Agonist activity at human CB2 receptor expressed in CHO cells by [35S]GTPgammaS assay relative to CP-55940</t>
  </si>
  <si>
    <t xml:space="preserve">CHEMBL1005578</t>
  </si>
  <si>
    <t xml:space="preserve">Agonist activity at human CB2 receptor expressed in CHO cells at 10 uM by [35S]GTPgammaS assay</t>
  </si>
  <si>
    <t xml:space="preserve">CHEMBL1005581</t>
  </si>
  <si>
    <t xml:space="preserve">Displacement of [3H](R)-3-methyl-2-(3-(morpholinomethyl)-3,4-dihydro-2H-benzo[b][1,4]oxazin-5-yl)-1-(naphthalen-1-yl)but-2-en-1-one from human CB2 receptor expressed in CHO cells at 1 uM by liquid scintillation counting</t>
  </si>
  <si>
    <t xml:space="preserve">CHEMBL1005583</t>
  </si>
  <si>
    <t xml:space="preserve">Agonist activity at human CB2 receptor expressed in CHO cells at 3 uM by [35S]GTPgammaS assay relative to CP-55940</t>
  </si>
  <si>
    <t xml:space="preserve">CHEMBL1006417</t>
  </si>
  <si>
    <t xml:space="preserve">Agonist activity at human recombinant CB2 receptor expressed in Sf9 cells by GTP-europium binding assay</t>
  </si>
  <si>
    <t xml:space="preserve">CHEMBL1156631</t>
  </si>
  <si>
    <t xml:space="preserve">CHEMBL1006419</t>
  </si>
  <si>
    <t xml:space="preserve">Agonist activity at human recombinant CB2 receptor expressed in Sf9 cells by GTP-europium binding assay relative to CP-55940</t>
  </si>
  <si>
    <t xml:space="preserve">CHEMBL1006421</t>
  </si>
  <si>
    <t xml:space="preserve">Agonist activity at human recombinant CB2 receptor expressed in CHO-K1 cells assessed as inhibition of forskolin-stimulated intracellular cAMP level</t>
  </si>
  <si>
    <t xml:space="preserve">CHEMBL1006423</t>
  </si>
  <si>
    <t xml:space="preserve">Agonist activity at human recombinant CB2 receptor expressed in CHO-K1 cells assessed as inhibition of forskolin-stimulated intracellular cAMP level relative to CP-55940</t>
  </si>
  <si>
    <t xml:space="preserve">CHEMBL1006428</t>
  </si>
  <si>
    <t xml:space="preserve">Homologous single protein target assigned</t>
  </si>
  <si>
    <t xml:space="preserve">H</t>
  </si>
  <si>
    <t xml:space="preserve">Binding affinity to CB2 receptor</t>
  </si>
  <si>
    <t xml:space="preserve">CHEMBL1009870</t>
  </si>
  <si>
    <t xml:space="preserve">CHEMBL1009872</t>
  </si>
  <si>
    <t xml:space="preserve">Antagonist activity at human CB2 receptor expressed in CHO-K1 cells assessed as blockade of WIN-55212-2-induced inhibition of forskolin-stimulated cAMP release at 20 uM</t>
  </si>
  <si>
    <t xml:space="preserve">CHEMBL1009873</t>
  </si>
  <si>
    <t xml:space="preserve">Agonist activity at human CB2 receptor expressed in CHO-K1 cells assessed as forskolin-stimulated cAMP release</t>
  </si>
  <si>
    <t xml:space="preserve">CHEMBL1009874</t>
  </si>
  <si>
    <t xml:space="preserve">Inverse agonist activity at human CB2 receptor expressed in CHO-K1 cells assessed as forskolin-stimulated cAMP release</t>
  </si>
  <si>
    <t xml:space="preserve">CHEMBL1010067</t>
  </si>
  <si>
    <t xml:space="preserve">Displacement of [3H]CP-55940 from human recombinant CB2 receptor expressed in HEK293 cells at 10 uM</t>
  </si>
  <si>
    <t xml:space="preserve">CHEMBL1011884</t>
  </si>
  <si>
    <t xml:space="preserve">Displacement of [3H]CP-55940 from human recombinant CB2R expressed in CHO cells</t>
  </si>
  <si>
    <t xml:space="preserve">CHEMBL1153427</t>
  </si>
  <si>
    <t xml:space="preserve">CHEMBL1014609</t>
  </si>
  <si>
    <t xml:space="preserve">Agonist activity at human CB2 receptor expressed in yeast cells assessed as degradation of FDGlu to fluorescein after 24 hrs relative to HU210</t>
  </si>
  <si>
    <t xml:space="preserve">CHEMBL1139246</t>
  </si>
  <si>
    <t xml:space="preserve">CHEMBL1014610</t>
  </si>
  <si>
    <t xml:space="preserve">Agonist activity at human CB2 receptor expressed in yeast cells assessed as degradation of FDGlu to fluorescein after 24 hrs</t>
  </si>
  <si>
    <t xml:space="preserve">CHEMBL1015426</t>
  </si>
  <si>
    <t xml:space="preserve">Agonist activity at human CB2 receptor expressed CHO cells by [35S]GTPgamma binding assay</t>
  </si>
  <si>
    <t xml:space="preserve">CHEMBL1015803</t>
  </si>
  <si>
    <t xml:space="preserve">Inhibition of CB2 receptor at 10 uM</t>
  </si>
  <si>
    <t xml:space="preserve">CHEMBL1136869</t>
  </si>
  <si>
    <t xml:space="preserve">CHEMBL1019848</t>
  </si>
  <si>
    <t xml:space="preserve">Inverse agonist activity at human recombinant CB2 receptor expressed CHO cells membrane by [35S]GTPgamma binding assay</t>
  </si>
  <si>
    <t xml:space="preserve">CHEMBL1019849</t>
  </si>
  <si>
    <t xml:space="preserve">Inverse agonist activity at human recombinant CB2 receptor expressed CHO cells membrane by [35S]GTPgamma binding assay relative to 2-((1R,2R,5R)-5-hydroxy-2-(3-hydroxypropyl)cyclohexyl)-5-(2-methyloctan-2-yl)phenol</t>
  </si>
  <si>
    <t xml:space="preserve">CHEMBL1019856</t>
  </si>
  <si>
    <t xml:space="preserve">CHEMBL1019857</t>
  </si>
  <si>
    <t xml:space="preserve">Inverse agonist activity at CB2 receptor</t>
  </si>
  <si>
    <t xml:space="preserve">CHEMBL1019858</t>
  </si>
  <si>
    <t xml:space="preserve">Binding affinity to CB2 receptor by competition binding assay</t>
  </si>
  <si>
    <t xml:space="preserve">CHEMBL1020742</t>
  </si>
  <si>
    <t xml:space="preserve">Displacement of [3H]CP-55940 from human recombinant CB2R expressed in HEK293 cells</t>
  </si>
  <si>
    <t xml:space="preserve">CHEMBL1137779</t>
  </si>
  <si>
    <t xml:space="preserve">CHEMBL1021556</t>
  </si>
  <si>
    <t xml:space="preserve">Agonist activity at human CB2 receptor expressed in SF9 cells assessed as inhibition of CP-55940-stimulated GTP binding</t>
  </si>
  <si>
    <t xml:space="preserve">CHEMBL1139336</t>
  </si>
  <si>
    <t xml:space="preserve">CHEMBL1021557</t>
  </si>
  <si>
    <t xml:space="preserve">Agonist activity at human CB2 receptor expressed in SF9 cells assessed as inhibition of CP-55940-stimulated GTP binding relative to control</t>
  </si>
  <si>
    <t xml:space="preserve">CHEMBL1021560</t>
  </si>
  <si>
    <t xml:space="preserve">Agonist activity at human CB2 receptor expressed in CHO cells assessed as suppression of forskolin-stimulated cAMP accumulation</t>
  </si>
  <si>
    <t xml:space="preserve">CHEMBL1021561</t>
  </si>
  <si>
    <t xml:space="preserve">Agonist activity at human CB2 receptor expressed in CHO cells assessed as suppression of forskolin-stimulated cAMP accumulation relative to control</t>
  </si>
  <si>
    <t xml:space="preserve">CHEMBL1022443</t>
  </si>
  <si>
    <t xml:space="preserve">CHEMBL1022444</t>
  </si>
  <si>
    <t xml:space="preserve">Agonist activity at human CB2 receptor relative to control</t>
  </si>
  <si>
    <t xml:space="preserve">CHEMBL1022899</t>
  </si>
  <si>
    <t xml:space="preserve">Antagonist activity at human cannabinoid CB2 receptor expressed in CHOK1 cells assessed as cAMP activity</t>
  </si>
  <si>
    <t xml:space="preserve">CHEMBL1138591</t>
  </si>
  <si>
    <t xml:space="preserve">CHEMBL1029936</t>
  </si>
  <si>
    <t xml:space="preserve">Displacement of [3H]CP-55940 form human CB2 receptor transfected in HEK cells at 50 nM</t>
  </si>
  <si>
    <t xml:space="preserve">CHEMBL1029937</t>
  </si>
  <si>
    <t xml:space="preserve">Agonist activity at human CB2 receptor expressed in CHO cells assessed as inhibition of forskolin-induced cAMP release</t>
  </si>
  <si>
    <t xml:space="preserve">CHEMBL1029938</t>
  </si>
  <si>
    <t xml:space="preserve">Agonist activity at human CB2 receptor expressed in CHO cells assessed as inhibition of forskolin-induced cAMP release relative to CP-55940</t>
  </si>
  <si>
    <t xml:space="preserve">CHEMBL1029951</t>
  </si>
  <si>
    <t xml:space="preserve">Inverse agonist activity at human CB2 receptor expressed in CHO cells assessed as change in forskolin-induced cAMP release</t>
  </si>
  <si>
    <t xml:space="preserve">CHEMBL1031455</t>
  </si>
  <si>
    <t xml:space="preserve">Agonist activity at human cloned CB2 receptor assessed as stimulation of [35S]GTPgammaS binding</t>
  </si>
  <si>
    <t xml:space="preserve">CHEMBL1031457</t>
  </si>
  <si>
    <t xml:space="preserve">Agonist activity at human cloned CB2 receptor assessed as stimulation of [35S]GTPgammaS binding at 10 uM relative to basal [35S]GTPgammaS binding</t>
  </si>
  <si>
    <t xml:space="preserve">CHEMBL1033008</t>
  </si>
  <si>
    <t xml:space="preserve">Displacement of [3H]CP-55940 from human CB2 receptor expressed in CHO cells at 10 uM</t>
  </si>
  <si>
    <t xml:space="preserve">CHEMBL1158494</t>
  </si>
  <si>
    <t xml:space="preserve">CHEMBL1034819</t>
  </si>
  <si>
    <t xml:space="preserve">CHEMBL1141022</t>
  </si>
  <si>
    <t xml:space="preserve">CHEMBL1038202</t>
  </si>
  <si>
    <t xml:space="preserve">Displacement of [3H]WIN-552122 from human CB2 receptor expressed in CHOK1 cells</t>
  </si>
  <si>
    <t xml:space="preserve">CHEMBL1156125</t>
  </si>
  <si>
    <t xml:space="preserve">CHEMBL1038208</t>
  </si>
  <si>
    <t xml:space="preserve">Binding affinity to human CB2 receptor expressed in CHO cells by luciferase reporter gene assay</t>
  </si>
  <si>
    <t xml:space="preserve">CHEMBL1040878</t>
  </si>
  <si>
    <t xml:space="preserve">Agonist activity at human recombinant CB2 receptor expressed in HEK293 cells coexpressing Galphaq/o5 assessed as calcium mobilization by FLIPR assay</t>
  </si>
  <si>
    <t xml:space="preserve">CHEMBL1040879</t>
  </si>
  <si>
    <t xml:space="preserve">Agonist activity at human recombinant CB2 receptor expressed in HEK293 cells coexpressing Galphaq/o5 assessed as calcium mobilization by FLIPR assay relative to CP-55940</t>
  </si>
  <si>
    <t xml:space="preserve">CHEMBL1040882</t>
  </si>
  <si>
    <t xml:space="preserve">Agonist activity at human recombinant CB2 receptor expressed in HEK293 cells assessed as inhibition of forskolin-induced cAMP production</t>
  </si>
  <si>
    <t xml:space="preserve">CHEMBL1040883</t>
  </si>
  <si>
    <t xml:space="preserve">Agonist activity at human recombinant CB2 receptor expressed in HEK293 cells assessed as inhibition of forskolin-induced cAMP production relative to CP-55940</t>
  </si>
  <si>
    <t xml:space="preserve">CHEMBL1041037</t>
  </si>
  <si>
    <t xml:space="preserve">Agonist activity at human CB2 receptor expressed in CHO cells by [35S]GTPgammaS binding assay</t>
  </si>
  <si>
    <t xml:space="preserve">CHEMBL1043502</t>
  </si>
  <si>
    <t xml:space="preserve">Agonist activity at human CB2 receptor expressed in yeast cells</t>
  </si>
  <si>
    <t xml:space="preserve">CHEMBL1156134</t>
  </si>
  <si>
    <t xml:space="preserve">CHEMBL1043503</t>
  </si>
  <si>
    <t xml:space="preserve">Agonist activity at human CB2 receptor expressed in yeast cells relative to HU210</t>
  </si>
  <si>
    <t xml:space="preserve">CHEMBL1044349</t>
  </si>
  <si>
    <t xml:space="preserve">Displacement of [3H]CP-55940 from recombinant human CB2 receptor expressed in CHO cell</t>
  </si>
  <si>
    <t xml:space="preserve">CHEMBL1155311</t>
  </si>
  <si>
    <t xml:space="preserve">CHEMBL1048892</t>
  </si>
  <si>
    <t xml:space="preserve">Agonist activity at human recombinant cannabinoid CB2 receptor expressed in MMY23 Saccharomyces cerevisiae assessed as degradation of FDGlu to fluorescein after 24 hrs by spectrofluorimetry</t>
  </si>
  <si>
    <t xml:space="preserve">CHEMBL1156052</t>
  </si>
  <si>
    <t xml:space="preserve">CHEMBL1048893</t>
  </si>
  <si>
    <t xml:space="preserve">Agonist activity at human recombinant cannabinoid CB2 receptor expressed in MMY23 Saccharomyces cerevisiae assessed as degradation of FDGlu to fluorescein after 24 hrs by spectrofluorimetry relative to HU210</t>
  </si>
  <si>
    <t xml:space="preserve">CHEMBL1048909</t>
  </si>
  <si>
    <t xml:space="preserve">Agonist activity at human recombinant cannabinoid CB2 receptor expressed in CHOK1 cells assessed as forskolin-induced cAMP production by luciferase assay</t>
  </si>
  <si>
    <t xml:space="preserve">CHEMBL1048910</t>
  </si>
  <si>
    <t xml:space="preserve">Agonist activity at human recombinant cannabinoid CB2 receptor expressed in CHOK1 cells assessed as forskolin-induced cAMP production at 20 uM by luciferase assay relative to HU210</t>
  </si>
  <si>
    <t xml:space="preserve">CHEMBL1049671</t>
  </si>
  <si>
    <t xml:space="preserve">Inhibition of [3H]CP55960 binding to human cloned CB2 receptor at 10 uM after 60 mins by scintillation spectroscopy</t>
  </si>
  <si>
    <t xml:space="preserve">CHEMBL1050973</t>
  </si>
  <si>
    <t xml:space="preserve">Agonist activity at human CB2 receptor expressed in CHO cells at 10 uM by [35]GTPgammaS binding assay relative to HU210</t>
  </si>
  <si>
    <t xml:space="preserve">CHEMBL1153027</t>
  </si>
  <si>
    <t xml:space="preserve">CHEMBL1050974</t>
  </si>
  <si>
    <t xml:space="preserve">Agonist activity at human CB2 receptor expressed in CHO cells by [35]GTPgammaS binding assay</t>
  </si>
  <si>
    <t xml:space="preserve">CHEMBL1060015</t>
  </si>
  <si>
    <t xml:space="preserve">Displacement of [3H]WIN-55212-2 from human recombinant CB2 receptor expressed in CHOK1 cells by liquid scintillation spectrometry</t>
  </si>
  <si>
    <t xml:space="preserve">CHEMBL1154032</t>
  </si>
  <si>
    <t xml:space="preserve">CHEMBL1061737</t>
  </si>
  <si>
    <t xml:space="preserve">Agonist activity at human recombinant CB2 receptor expressed in CHO cells assessed as inhibition forskolin-induced cAMP release</t>
  </si>
  <si>
    <t xml:space="preserve">CHEMBL1153626</t>
  </si>
  <si>
    <t xml:space="preserve">CHEMBL1063338</t>
  </si>
  <si>
    <t xml:space="preserve">Agonist activity at human CB2 receptor expressed in CHO cells at 10 uM by [35]GTPgammaS binding assay relative to basal level</t>
  </si>
  <si>
    <t xml:space="preserve">CHEMBL1065037</t>
  </si>
  <si>
    <t xml:space="preserve">Displacement of [3H]CP-55940 from CB2 receptor</t>
  </si>
  <si>
    <t xml:space="preserve">CHEMBL1156861</t>
  </si>
  <si>
    <t xml:space="preserve">CHEMBL1068368</t>
  </si>
  <si>
    <t xml:space="preserve">Displacement of [3H]CP-55940 from human recombinant CB2 receptor expressed in HEK293 cells up to 50 uM after 90 mins</t>
  </si>
  <si>
    <t xml:space="preserve">CHEMBL1158500</t>
  </si>
  <si>
    <t xml:space="preserve">CHEMBL1068370</t>
  </si>
  <si>
    <t xml:space="preserve">CHEMBL1069109</t>
  </si>
  <si>
    <t xml:space="preserve">CHEMBL1153172</t>
  </si>
  <si>
    <t xml:space="preserve">CHEMBL1069387</t>
  </si>
  <si>
    <t xml:space="preserve">Antagonist activity at human CB2 receptor assessed as inhibition of forskolin-stimulated cAMP accumulation after 20 mins</t>
  </si>
  <si>
    <t xml:space="preserve">CHEMBL1069388</t>
  </si>
  <si>
    <t xml:space="preserve">Inverse agonist activity at human CB2 receptor assessed as inhibition of forskolin-stimulated cAMP accumulation after 4 hrs</t>
  </si>
  <si>
    <t xml:space="preserve">CHEMBL1069389</t>
  </si>
  <si>
    <t xml:space="preserve">Antagonist activity at human CB2 receptor assessed as inhibition of forskolin-stimulated cAMP accumulation in presence of JWH133</t>
  </si>
  <si>
    <t xml:space="preserve">CHEMBL1070562</t>
  </si>
  <si>
    <t xml:space="preserve">CHEMBL1153230</t>
  </si>
  <si>
    <t xml:space="preserve">CHEMBL1070563</t>
  </si>
  <si>
    <t xml:space="preserve">Agonist activity at human CB2 receptor relative to HU210</t>
  </si>
  <si>
    <t xml:space="preserve">CHEMBL1070894</t>
  </si>
  <si>
    <t xml:space="preserve">Binding affinity to human CB2 receptor at 1 uM</t>
  </si>
  <si>
    <t xml:space="preserve">CHEMBL1072260</t>
  </si>
  <si>
    <t xml:space="preserve">Displacement of [3H]CP-55940 from CB2 receptor at 10 uM</t>
  </si>
  <si>
    <t xml:space="preserve">CHEMBL1157654</t>
  </si>
  <si>
    <t xml:space="preserve">CHEMBL1072262</t>
  </si>
  <si>
    <t xml:space="preserve">CHEMBL1072937</t>
  </si>
  <si>
    <t xml:space="preserve">Displacement of [3H]WIN-55212-2 from human recombinant CB2 receptor expressed in CHO cells at 10 uM</t>
  </si>
  <si>
    <t xml:space="preserve">CHEMBL1157731</t>
  </si>
  <si>
    <t xml:space="preserve">CHEMBL1074128</t>
  </si>
  <si>
    <t xml:space="preserve">Displacement of [3H]WIN-55212-2 from human recombinant CB2 receptor expressed in CHO-K1 cell membrane</t>
  </si>
  <si>
    <t xml:space="preserve">CHEMBL1159084</t>
  </si>
  <si>
    <t xml:space="preserve">CHEMBL1105737</t>
  </si>
  <si>
    <t xml:space="preserve">Displacement of [3H]CP-55940 from human recombinant cannabinoid CB2 receptor expressed in CHO cells</t>
  </si>
  <si>
    <t xml:space="preserve">CHEMBL1157794</t>
  </si>
  <si>
    <t xml:space="preserve">CHEMBL1105739</t>
  </si>
  <si>
    <t xml:space="preserve">Inverse agonist activity at human recombinant cannabinoid CB2 receptor expressed in CHO cellssassessed as inhibition of forskolin-stimulated increase in intracellular cAMP level</t>
  </si>
  <si>
    <t xml:space="preserve">CHEMBL1105742</t>
  </si>
  <si>
    <t xml:space="preserve">Inhibition of cannabinoid CB2 receptor</t>
  </si>
  <si>
    <t xml:space="preserve">CHEMBL1111399</t>
  </si>
  <si>
    <t xml:space="preserve">Displacement of [3H]CP-55940 from CB2 receptor by scintillation counting</t>
  </si>
  <si>
    <t xml:space="preserve">CHEMBL1154290</t>
  </si>
  <si>
    <t xml:space="preserve">CHEMBL1115256</t>
  </si>
  <si>
    <t xml:space="preserve">Inhibition of human CB2 receptor</t>
  </si>
  <si>
    <t xml:space="preserve">CHEMBL1156265</t>
  </si>
  <si>
    <t xml:space="preserve">CHEMBL1117763</t>
  </si>
  <si>
    <t xml:space="preserve">Antagonist activity at cannabinoid CB2 receptor</t>
  </si>
  <si>
    <t xml:space="preserve">CHEMBL1117884</t>
  </si>
  <si>
    <t xml:space="preserve">CHEMBL1120213</t>
  </si>
  <si>
    <t xml:space="preserve">CHEMBL1158602</t>
  </si>
  <si>
    <t xml:space="preserve">CHEMBL1219440</t>
  </si>
  <si>
    <t xml:space="preserve">Antagonist activity at human CB2 receptor expressed in CHO cells assessed as inhibition of forskolin-stimulated cAMP level by [35S]GTPgammaS binding assay</t>
  </si>
  <si>
    <t xml:space="preserve">CHEMBL1219445</t>
  </si>
  <si>
    <t xml:space="preserve">Antagonist activity at human CB2 receptor expressed in CHO cells assessed as inhibition of forskolin-stimulated cAMP level at &lt; 100 uM by [35S]GTPgammaS binding assay</t>
  </si>
  <si>
    <t xml:space="preserve">CHEMBL1219446</t>
  </si>
  <si>
    <t xml:space="preserve">Antagonist activity at human CB2 receptor expressed in CHO cells assessed as inhibition of forskolin-stimulated cAMP level up to 20 uM by [35S]GTPgammaS binding assay</t>
  </si>
  <si>
    <t xml:space="preserve">CHEMBL1225457</t>
  </si>
  <si>
    <t xml:space="preserve">Antagonist activity at human recombinant CB2 receptor expressed in forskolin-stimulated CHOK1 cells assessed as inhibition of JWH-133-induced adenylate cyclase activity by cAMP accumulation assay</t>
  </si>
  <si>
    <t xml:space="preserve">CHEMBL1225458</t>
  </si>
  <si>
    <t xml:space="preserve">Inverse agonist activity at human recombinant CB2 receptor expressed in CHOK1 cells assessed as effect on forskolin-stimulated adenylate cyclase activity by cAMP accumulation assay</t>
  </si>
  <si>
    <t xml:space="preserve">CHEMBL1227204</t>
  </si>
  <si>
    <t xml:space="preserve">Displacement of [3H]WIN-55212-2 from human CB2 receptor expressed in CHO-K1 cells after 1 hr by liquid scintillation counting</t>
  </si>
  <si>
    <t xml:space="preserve">CHEMBL1221281</t>
  </si>
  <si>
    <t xml:space="preserve">CHEMBL1227522</t>
  </si>
  <si>
    <t xml:space="preserve">Displacement of [3H]CP-55940 from CB2 expressed in CHO cells after 90 mins by liquid scintillation</t>
  </si>
  <si>
    <t xml:space="preserve">CHEMBL1221219</t>
  </si>
  <si>
    <t xml:space="preserve">CHEMBL1252556</t>
  </si>
  <si>
    <t xml:space="preserve">Agonist activity at CB2 receptor</t>
  </si>
  <si>
    <t xml:space="preserve">CHEMBL1250427</t>
  </si>
  <si>
    <t xml:space="preserve">CHEMBL1274726</t>
  </si>
  <si>
    <t xml:space="preserve">Inhibition of beta-arrestin binding to recombinant cannabinoid CB2 receptor</t>
  </si>
  <si>
    <t xml:space="preserve">CHEMBL1268834</t>
  </si>
  <si>
    <t xml:space="preserve">CHEMBL1287587</t>
  </si>
  <si>
    <t xml:space="preserve">Agonist activity at human CB2 receptor expressed in CHO cells assessed as stimulation of [35S]GTPgammaS binding after 1.5 hrs by liquid scintillation spectrophotometry</t>
  </si>
  <si>
    <t xml:space="preserve">CHEMBL1287588</t>
  </si>
  <si>
    <t xml:space="preserve">Agonist activity at human CB2 receptor expressed in CHO cells assessed as stimulation of [35S]GTPgammaS binding after 1.5 hrs by liquid scintillation spectrophotometry relative to CP-55940</t>
  </si>
  <si>
    <t xml:space="preserve">CHEMBL1287590</t>
  </si>
  <si>
    <t xml:space="preserve">CHEMBL1292716</t>
  </si>
  <si>
    <t xml:space="preserve">Displacement of [3H]-CP-55940 from human recombinant CB2 receptor expressed in HEK293 cells at 10 uM</t>
  </si>
  <si>
    <t xml:space="preserve">CHEMBL1647712</t>
  </si>
  <si>
    <t xml:space="preserve">Agonist activity at human CB2 receptor expressed in CHO cells assessed as stimulation of [35S]-GTPgammaS binding</t>
  </si>
  <si>
    <t xml:space="preserve">CHEMBL1647713</t>
  </si>
  <si>
    <t xml:space="preserve">Agonist activity at human CB2 receptor expressed in CHO cells assessed as stimulation of [35S]-GTPgammaS binding relative to basal activity</t>
  </si>
  <si>
    <t xml:space="preserve">CHEMBL1648449</t>
  </si>
  <si>
    <t xml:space="preserve">Agonist activity at human recombinant cannabinoid CB2 receptor expressed in CHO cells at 10 uM by [35S]GTPgammaS binding assay</t>
  </si>
  <si>
    <t xml:space="preserve">CHEMBL1641511</t>
  </si>
  <si>
    <t xml:space="preserve">CHEMBL1648450</t>
  </si>
  <si>
    <t xml:space="preserve">Agonist activity at human recombinant cannabinoid CB2 receptor expressed in CHO cells by [35S]GTPgammaS binding assay relative to HU-210</t>
  </si>
  <si>
    <t xml:space="preserve">CHEMBL1648451</t>
  </si>
  <si>
    <t xml:space="preserve">Agonist activity at human recombinant cannabinoid CB2 receptor expressed in CHO cells by [35S]GTPgammaS binding assay</t>
  </si>
  <si>
    <t xml:space="preserve">CHEMBL1648855</t>
  </si>
  <si>
    <t xml:space="preserve">Agonist activity at human cloned CB2 receptor expressed in CHO cells assessed as inhibition of forskolin-induced cAMP accumulation</t>
  </si>
  <si>
    <t xml:space="preserve">CHEMBL1648856</t>
  </si>
  <si>
    <t xml:space="preserve">Agonist activity at human cloned CB2 receptor expressed in CHO cells assessed as inhibition of forskolin-induced cAMP accumulation relative to control</t>
  </si>
  <si>
    <t xml:space="preserve">CHEMBL1737948</t>
  </si>
  <si>
    <t xml:space="preserve">PUBCHEM_BIOASSAY: SAR analysis of antagonists of the Cannabinoid Receptor 2 using an Image-Based Assay - Set 2. (Class of assay: confirmatory) [Related pubchem assays (depositor defined):AID1961, AID1965]</t>
  </si>
  <si>
    <t xml:space="preserve">CHEMBL1201862</t>
  </si>
  <si>
    <t xml:space="preserve">CHEMBL1738041</t>
  </si>
  <si>
    <t xml:space="preserve">PUBCHEM_BIOASSAY: SAR analysis of antagonists of the Cannabinoid Receptor 2 using an Image-Based Assay. (Class of assay: confirmatory) [Related pubchem assays (depositor defined):AID2013, AID2026]</t>
  </si>
  <si>
    <t xml:space="preserve">CHEMBL1738165</t>
  </si>
  <si>
    <t xml:space="preserve">PUBCHEM_BIOASSAY: SAR analysis of agonists of the Cannabinoid Receptor 2 using an Image-Based Assay - Set 2. (Class of assay: confirmatory) [Related pubchem assays (depositor defined):AID1961, AID1965]</t>
  </si>
  <si>
    <t xml:space="preserve">CHEMBL1738548</t>
  </si>
  <si>
    <t xml:space="preserve">PUBCHEM_BIOASSAY: SAR analysis of antagonists of the Cannabinoid Receptor 2 using an Image-Based Assay - Set 3. (Class of assay: confirmatory) [Related pubchem assays (depositor defined):AID2013, AID2026]</t>
  </si>
  <si>
    <t xml:space="preserve">CHEMBL1738601</t>
  </si>
  <si>
    <t xml:space="preserve">PUBCHEM_BIOASSAY: SAR analysis of agonists of the Cannabinoid Receptor 2 using an Image-Based Assay. (Class of assay: confirmatory) [Related pubchem assays (depositor defined):AID2013, AID2026]</t>
  </si>
  <si>
    <t xml:space="preserve">CHEMBL1738621</t>
  </si>
  <si>
    <t xml:space="preserve">PUBCHEM_BIOASSAY: SAR analysis of agonists of the Cannabinoid Receptor 2 using an Image-Based Assay - Set 3. (Class of assay: confirmatory) [Related pubchem assays (depositor defined):AID2013, AID2026]</t>
  </si>
  <si>
    <t xml:space="preserve">CHEMBL1763214</t>
  </si>
  <si>
    <t xml:space="preserve">Agonist activity at human CB2 receptor transfected in CHO cells assessed as inhibition of forskolin-stimulated cAMP production</t>
  </si>
  <si>
    <t xml:space="preserve">CHEMBL1759893</t>
  </si>
  <si>
    <t xml:space="preserve">CHEMBL1763228</t>
  </si>
  <si>
    <t xml:space="preserve">Agonist activity at human CB2 receptor transfected in CHO cells assessed as inhibition of forskolin-stimulated cAMP production relative to CP-55940</t>
  </si>
  <si>
    <t xml:space="preserve">CHEMBL1763230</t>
  </si>
  <si>
    <t xml:space="preserve">Displacement of [3H]CP55940 from human CB2 receptor expressed in HEK cells upto 5 uM by scintillation counting</t>
  </si>
  <si>
    <t xml:space="preserve">CHEMBL1763799</t>
  </si>
  <si>
    <t xml:space="preserve">Agonist activity at human CB2 receptor expressed in CHO-K1 cells assessed as inhibition of forskolin-stimulated cAMP level</t>
  </si>
  <si>
    <t xml:space="preserve">CHEMBL1763800</t>
  </si>
  <si>
    <t xml:space="preserve">Agonist activity at human CB2 receptor expressed in CHO-K1 cells assessed as inhibition of forskolin-stimulated cAMP level relative to control</t>
  </si>
  <si>
    <t xml:space="preserve">CHEMBL1767554</t>
  </si>
  <si>
    <t xml:space="preserve">Displacement of [3H]CP55940 from CB2 receptor</t>
  </si>
  <si>
    <t xml:space="preserve">CHEMBL1764973</t>
  </si>
  <si>
    <t xml:space="preserve">CHEMBL1767773</t>
  </si>
  <si>
    <t xml:space="preserve">Agonist activity at human CB2 receptor expressed in CHOK1 cells assessed as inhibition of forskolin-induced cAMP production treated 15 mins before forskolin challenge measured after 1 hr by HTRF assay relative to control</t>
  </si>
  <si>
    <t xml:space="preserve">CHEMBL1765069</t>
  </si>
  <si>
    <t xml:space="preserve">CHEMBL1767776</t>
  </si>
  <si>
    <t xml:space="preserve">Agonist activity at human CB2 receptor expressed in CHOK1 cells assessed as inhibition of forskolin-induced cAMP production treated 15 mins before forskolin challenge measured after 1 hr by HTRF assay</t>
  </si>
  <si>
    <t xml:space="preserve">CHEMBL1775457</t>
  </si>
  <si>
    <t xml:space="preserve">CHEMBL1772941</t>
  </si>
  <si>
    <t xml:space="preserve">CHEMBL1775461</t>
  </si>
  <si>
    <t xml:space="preserve">Agonist activity at CB2 receptor relative to control</t>
  </si>
  <si>
    <t xml:space="preserve">CHEMBL1776286</t>
  </si>
  <si>
    <t xml:space="preserve">Binding affinity to CB2 receptor at 20 uM by radioligand displacement assay</t>
  </si>
  <si>
    <t xml:space="preserve">CHEMBL1772939</t>
  </si>
  <si>
    <t xml:space="preserve">CHEMBL1803275</t>
  </si>
  <si>
    <t xml:space="preserve">CHEMBL1800012</t>
  </si>
  <si>
    <t xml:space="preserve">CHEMBL1803285</t>
  </si>
  <si>
    <t xml:space="preserve">Agonist activity at human recombinant CB2 receptor expressed in CHO cells assessed as inhibition forskolin-induced cAMP release relative to control</t>
  </si>
  <si>
    <t xml:space="preserve">CHEMBL1804297</t>
  </si>
  <si>
    <t xml:space="preserve">Displacement of radioligand from human CB2 receptor expressed in CHO cells</t>
  </si>
  <si>
    <t xml:space="preserve">CHEMBL1800002</t>
  </si>
  <si>
    <t xml:space="preserve">CHEMBL1804450</t>
  </si>
  <si>
    <t xml:space="preserve">Inhibition of human CB2 receptor expressed in CHO cells assessed as inhibition of forskolin-stimulated cAMP production</t>
  </si>
  <si>
    <t xml:space="preserve">CHEMBL1800049</t>
  </si>
  <si>
    <t xml:space="preserve">CHEMBL1804451</t>
  </si>
  <si>
    <t xml:space="preserve">Inhibition of human CB2 receptor expressed in CHO cells assessed as inhibition of forskolin-stimulated cAMP production relative to CP-55940</t>
  </si>
  <si>
    <t xml:space="preserve">CHEMBL1809613</t>
  </si>
  <si>
    <t xml:space="preserve">Inhibition of cannabinoid CB2 receptor at 4 uM</t>
  </si>
  <si>
    <t xml:space="preserve">CHEMBL1806459</t>
  </si>
  <si>
    <t xml:space="preserve">CHEMBL1810143</t>
  </si>
  <si>
    <t xml:space="preserve">Inverse agonist activity at human CB2 receptor expressed in CHO cells assessed as effect on [35S]-GTPgammaS binding after 1 hrs by beta counting</t>
  </si>
  <si>
    <t xml:space="preserve">CHEMBL1810242</t>
  </si>
  <si>
    <t xml:space="preserve">Inverse agonist activity at human CB2 receptor expressed in CHO cells assessed as effect on [35S]-GTPgammaS binding after 1 hrs by beta counting relative to control</t>
  </si>
  <si>
    <t xml:space="preserve">CHEMBL1814855</t>
  </si>
  <si>
    <t xml:space="preserve">Binding affinity at human CB2 receptor expressed in CHO-K1 cells at 10 uM</t>
  </si>
  <si>
    <t xml:space="preserve">CHEMBL1811804</t>
  </si>
  <si>
    <t xml:space="preserve">CHEMBL1814857</t>
  </si>
  <si>
    <t xml:space="preserve">Displacement of [3H]CP-55,940 from human CB2 receptor expressed in CHO-K1 cells after 90 mins by scintillation counting</t>
  </si>
  <si>
    <t xml:space="preserve">CHEMBL1816879</t>
  </si>
  <si>
    <t xml:space="preserve">Displacement of [3H]CP55940 from human cannabinoid CB2 receptor expressed in CHO cells at 1 uM at pH 7.4 after 1 hr by liquid scintillation counting</t>
  </si>
  <si>
    <t xml:space="preserve">CHEMBL1811766</t>
  </si>
  <si>
    <t xml:space="preserve">CHEMBL1816991</t>
  </si>
  <si>
    <t xml:space="preserve">Displacement of [3H]CP55940 from human cannabinoid CB2 receptor expressed in CHO cells at pH 7.4 after 1 hr by liquid scintillation counting</t>
  </si>
  <si>
    <t xml:space="preserve">CHEMBL1825304</t>
  </si>
  <si>
    <t xml:space="preserve">CHEMBL1831378</t>
  </si>
  <si>
    <t xml:space="preserve">Displacement of radioligand from cannabinoid CB2 receptor assessed as 50% receptor inhibition at 10'-5 M</t>
  </si>
  <si>
    <t xml:space="preserve">CHEMBL1828538</t>
  </si>
  <si>
    <t xml:space="preserve">CHEMBL1832982</t>
  </si>
  <si>
    <t xml:space="preserve">Agonist activity at human CB2 receptor expressed in CHO cells assessed as increase of forskolin-stimulated cAMP accumulation after 20 mins</t>
  </si>
  <si>
    <t xml:space="preserve">CHEMBL1833381</t>
  </si>
  <si>
    <t xml:space="preserve">Displacement of radioligand from cannabinoid CB2 receptor assessed as 50% receptor inhibition at 10'-7 M</t>
  </si>
  <si>
    <t xml:space="preserve">CHEMBL1837182</t>
  </si>
  <si>
    <t xml:space="preserve">CHEMBL1837353</t>
  </si>
  <si>
    <t xml:space="preserve">Agonist activity at human recombinant CB2 receptor expressed in CHO cells assessed as inhibition of forskolin-induced cAMP formation after 45 mins by fluorescence assay</t>
  </si>
  <si>
    <t xml:space="preserve">CHEMBL1833934</t>
  </si>
  <si>
    <t xml:space="preserve">CHEMBL1837633</t>
  </si>
  <si>
    <t xml:space="preserve">Displacement of [3H]-WIN 55,212-2 from human CB2 receptor expressed in human HEK293 cells at 10 uM after 90 mins by radioligand assay</t>
  </si>
  <si>
    <t xml:space="preserve">CHEMBL1837634</t>
  </si>
  <si>
    <t xml:space="preserve">Displacement of [3H]-WIN 55,212-2 from human CB2 receptor expressed in human HEK293 cells at 1 uM after 90 mins by radioligand assay</t>
  </si>
  <si>
    <t xml:space="preserve">CHEMBL1912836</t>
  </si>
  <si>
    <t xml:space="preserve">CHEMBL1909595</t>
  </si>
  <si>
    <t xml:space="preserve">CHEMBL1932156</t>
  </si>
  <si>
    <t xml:space="preserve">Displacement of [3H]CP55940 from human recombinant CB2 receptor expressed in HEK293 cells after 90 mins</t>
  </si>
  <si>
    <t xml:space="preserve">CHEMBL1926606</t>
  </si>
  <si>
    <t xml:space="preserve">CHEMBL1954911</t>
  </si>
  <si>
    <t xml:space="preserve">CHEMBL1949649</t>
  </si>
  <si>
    <t xml:space="preserve">CHEMBL2013478</t>
  </si>
  <si>
    <t xml:space="preserve">Agonist activity at human recombinant CB2 receptor expressed in HEK293 cells co-expressing chimeric Gaq/o protein by FLIPR assay</t>
  </si>
  <si>
    <t xml:space="preserve">CHEMBL2013479</t>
  </si>
  <si>
    <t xml:space="preserve">Agonist activity at human recombinant CB2 receptor expressed in HEK293 cells co-expressing chimeric Gaq/o protein by FLIPR assay relative to CP55940</t>
  </si>
  <si>
    <t xml:space="preserve">CHEMBL2013482</t>
  </si>
  <si>
    <t xml:space="preserve">Agonist activity at human recombinant CB2 receptor expressed in HEK293 cells assessed as inhibition of forskolin-induced cAMP production after 20 mins by ELISA</t>
  </si>
  <si>
    <t xml:space="preserve">CHEMBL2013483</t>
  </si>
  <si>
    <t xml:space="preserve">Agonist activity at human recombinant CB2 receptor expressed in HEK293 cells assessed as inhibition of forskolin-induced cAMP production after 20 mins by ELISA relative to CP55940</t>
  </si>
  <si>
    <t xml:space="preserve">CHEMBL2020077</t>
  </si>
  <si>
    <t xml:space="preserve">Agonist activity at human CB2 receptor expressed in CHO cells assessed as inhibition of forskolin-induced cAMP release after 45 mins</t>
  </si>
  <si>
    <t xml:space="preserve">CHEMBL2020150</t>
  </si>
  <si>
    <t xml:space="preserve">CHEMBL2025419</t>
  </si>
  <si>
    <t xml:space="preserve">Agonist activity at human CB2 receptor expressed in CHO cells assessed as increase in forskolin-induced cAMP levels after 20 mins</t>
  </si>
  <si>
    <t xml:space="preserve">CHEMBL2025424</t>
  </si>
  <si>
    <t xml:space="preserve">Partial agonist activity at human CB2 receptor expressed in CHO cells assessed as increase in forskolin-induced cAMP levels after 20 mins</t>
  </si>
  <si>
    <t xml:space="preserve">CHEMBL2026515</t>
  </si>
  <si>
    <t xml:space="preserve">Displacement of [3H]CP55940 from CB2 receptor at 10 uM</t>
  </si>
  <si>
    <t xml:space="preserve">CHEMBL2021777</t>
  </si>
  <si>
    <t xml:space="preserve">CHEMBL2027070</t>
  </si>
  <si>
    <t xml:space="preserve">Displacement of [3H]CP55940 from human recombinant CB2 receptor expressed in CHO cells at 10 uM after 2 hrs by liquid scintillation counting</t>
  </si>
  <si>
    <t xml:space="preserve">CHEMBL2021922</t>
  </si>
  <si>
    <t xml:space="preserve">CHEMBL2027599</t>
  </si>
  <si>
    <t xml:space="preserve">Displacement of [3H]-CP55940 from CB2 receptor after 90 mins by liquid scintillation counting</t>
  </si>
  <si>
    <t xml:space="preserve">CHEMBL2021878</t>
  </si>
  <si>
    <t xml:space="preserve">CHEMBL2033720</t>
  </si>
  <si>
    <t xml:space="preserve">Displacement of [3H]CP55940 from CB2 receptor expressed in CHO-K1 cells</t>
  </si>
  <si>
    <t xml:space="preserve">CHEMBL2029271</t>
  </si>
  <si>
    <t xml:space="preserve">CHEMBL2060580</t>
  </si>
  <si>
    <t xml:space="preserve">Agonist activity at human CB2 receptor expressed in CHO cells assessed as [35S]-GTPgammaS binding preincubated for 25 mins measured after 30 mins by scintillation proximity assay</t>
  </si>
  <si>
    <t xml:space="preserve">CHEMBL2060581</t>
  </si>
  <si>
    <t xml:space="preserve">Agonist activity at human CB2 receptor expressed in CHO cells assessed as [35S]-GTPgammaS binding preincubated for 25 mins measured after 30 mins by scintillation proximity assay relative to control</t>
  </si>
  <si>
    <t xml:space="preserve">CHEMBL2073233</t>
  </si>
  <si>
    <t xml:space="preserve">Allosteric modulation of human recombinant CB2 receptor expressed in HEK293 cells assessed as inhibition of [3H]CP55940 binding at 10 uM</t>
  </si>
  <si>
    <t xml:space="preserve">CHEMBL2069250</t>
  </si>
  <si>
    <t xml:space="preserve">CHEMBL2073234</t>
  </si>
  <si>
    <t xml:space="preserve">Allosteric modulation of human recombinant CB2 receptor expressed in HEK293 cells assessed as stimulation of [3H]CP55940 binding at 10 uM</t>
  </si>
  <si>
    <t xml:space="preserve">CHEMBL2073235</t>
  </si>
  <si>
    <t xml:space="preserve">Allosteric modulation of human recombinant CB2 receptor expressed in HEK293 cells assessed as stimulation of [3H]CP55940 binding</t>
  </si>
  <si>
    <t xml:space="preserve">CHEMBL2073236</t>
  </si>
  <si>
    <t xml:space="preserve">Allosteric modulation of human recombinant CB2 receptor expressed in HEK293 cells assessed as inhibition of [3H]CP55940 binding</t>
  </si>
  <si>
    <t xml:space="preserve">CHEMBL2090511</t>
  </si>
  <si>
    <t xml:space="preserve">Inverse agonist activity at human CB2 receptor expressed in CHO cells assessed as increase of forskolin-induced cAMP level at 1 uM by scintillation counting</t>
  </si>
  <si>
    <t xml:space="preserve">CHEMBL2090512</t>
  </si>
  <si>
    <t xml:space="preserve">Inverse agonist activity at human CB2 receptor expressed in CHO cells assessed as increase of forskolin-induced cAMP level at 10 uM by scintillation counting</t>
  </si>
  <si>
    <t xml:space="preserve">CHEMBL2090513</t>
  </si>
  <si>
    <t xml:space="preserve">Agonist activity at human CB2 receptor expressed in CHO cells assessed as inhibition of forskolin-induced cAMP level at 1 uM by scintillation counting</t>
  </si>
  <si>
    <t xml:space="preserve">CHEMBL2090518</t>
  </si>
  <si>
    <t xml:space="preserve">Agonist activity at human CB2 receptor expressed in CHO cells assessed as inhibition of forskolin-induced cAMP level at 10 uM by scintillation counting</t>
  </si>
  <si>
    <t xml:space="preserve">CHEMBL2092356</t>
  </si>
  <si>
    <t xml:space="preserve">Inhibition of human CB2 receptor at 5 uM by cell based assay</t>
  </si>
  <si>
    <t xml:space="preserve">CHEMBL2086382</t>
  </si>
  <si>
    <t xml:space="preserve">CHEMBL2154449</t>
  </si>
  <si>
    <t xml:space="preserve">Agonist activity at human CB2 receptor expressed in CHO cell membranes after 1 hr by [35S]GTPgammaS binding assay</t>
  </si>
  <si>
    <t xml:space="preserve">CHEMBL2154450</t>
  </si>
  <si>
    <t xml:space="preserve">Antagonist activity at human CB2 receptor expressed in CHO cell membranes after 1 hr by [35S]GTPgammaS binding assay</t>
  </si>
  <si>
    <t xml:space="preserve">CHEMBL2154451</t>
  </si>
  <si>
    <t xml:space="preserve">Agonist activity at human CB2 receptor expressed in CHO cell membranes after 1 hr by [35S]GTPgammaS binding assay relative to baseline</t>
  </si>
  <si>
    <t xml:space="preserve">CHEMBL2154767</t>
  </si>
  <si>
    <t xml:space="preserve">Agonist activity at human CB2 receptor transfected in CHO cell membranes by [35S]GTPgammaS binding assay</t>
  </si>
  <si>
    <t xml:space="preserve">CHEMBL2154769</t>
  </si>
  <si>
    <t xml:space="preserve">Agonist activity at human CB2 receptor transfected in CHO cell membranes at 0.001 to 10 uM by [35S]GTPgammaS binding assay relative to CP55940</t>
  </si>
  <si>
    <t xml:space="preserve">CHEMBL2156597</t>
  </si>
  <si>
    <t xml:space="preserve">Displacement of 3[H]ligand from recombinant human CB2 receptor</t>
  </si>
  <si>
    <t xml:space="preserve">CHEMBL2150881</t>
  </si>
  <si>
    <t xml:space="preserve">CHEMBL2162733</t>
  </si>
  <si>
    <t xml:space="preserve">Displacement of [3H]CP-55940 from human recombinant CB2 receptor expressed in HEK293 cells at 10 uM after 90 mins</t>
  </si>
  <si>
    <t xml:space="preserve">CHEMBL2162734</t>
  </si>
  <si>
    <t xml:space="preserve">Displacement of [3H]CP-55940 from human recombinant CB2 receptor expressed in HEK293 cells at 25 uM after 90 mins</t>
  </si>
  <si>
    <t xml:space="preserve">CHEMBL2169617</t>
  </si>
  <si>
    <t xml:space="preserve">Agonist activity at human recombinant CB2 receptor expressed in CHO cell membranes assessed as inhibition of forskolin-induced cAMP accumulation</t>
  </si>
  <si>
    <t xml:space="preserve">CHEMBL2175896</t>
  </si>
  <si>
    <t xml:space="preserve">Displacement of [3H]-CP55940 from human recombinant CB2 receptor expressed in CHO cells membrane at 1 uM by scintillation counting</t>
  </si>
  <si>
    <t xml:space="preserve">CHEMBL2175897</t>
  </si>
  <si>
    <t xml:space="preserve">Agonist activity at human recombinant CB2 receptor expressed in CHO cells membrane by [35S]-GTPgammaS assay</t>
  </si>
  <si>
    <t xml:space="preserve">CHEMBL2175898</t>
  </si>
  <si>
    <t xml:space="preserve">Agonist activity at human recombinant CB2 receptor expressed in CHO cells membrane by [35S]-GTPgammaS assay relative to control</t>
  </si>
  <si>
    <t xml:space="preserve">CHEMBL2175916</t>
  </si>
  <si>
    <t xml:space="preserve">Binding affinity to CB2 receptor at 1 uM by radioligand displacement assay</t>
  </si>
  <si>
    <t xml:space="preserve">CHEMBL2169877</t>
  </si>
  <si>
    <t xml:space="preserve">CHEMBL2176374</t>
  </si>
  <si>
    <t xml:space="preserve">CHEMBL2169869</t>
  </si>
  <si>
    <t xml:space="preserve">CHEMBL2182815</t>
  </si>
  <si>
    <t xml:space="preserve">Agonist activity at human CB2 receptor expressed in CHO cells assessed as reduction in forskolin-induced cAMP accumulation incubated for 45 mins by TR-FRET method based LANCE cAMP assay</t>
  </si>
  <si>
    <t xml:space="preserve">CHEMBL2182816</t>
  </si>
  <si>
    <t xml:space="preserve">Inverse agonist activity at human CB2 receptor expressed in CHO cells assessed as increase in forskolin-induced cAMP accumulation incubated for 45 mins by TR-FRET method based LANCE cAMP assay</t>
  </si>
  <si>
    <t xml:space="preserve">CHEMBL2187920</t>
  </si>
  <si>
    <t xml:space="preserve">Agonist activity at human CB2 receptor expressed in CHO cells assessed as inhibition of forskolin-stimulated cAMP accumulation using [3H]-cAMP at 1 uM after 5 mins by liquid scintillation counter relative to CP55940</t>
  </si>
  <si>
    <t xml:space="preserve">CHEMBL2187922</t>
  </si>
  <si>
    <t xml:space="preserve">Displacement of [3H]CP55,940 from human CB2 receptor expressed in CHO cells at 10 uM after 2 hrs by liquid scintillation counter</t>
  </si>
  <si>
    <t xml:space="preserve">CHEMBL2187926</t>
  </si>
  <si>
    <t xml:space="preserve">Agonist activity at human CB2 receptor expressed in CHO cells assessed as inhibition of forskolin-stimulated cAMP accumulation using [3H]-cAMP after 5 mins by liquid scintillation counter</t>
  </si>
  <si>
    <t xml:space="preserve">CHEMBL2210674</t>
  </si>
  <si>
    <t xml:space="preserve">Binding affinity to human CB2 receptor by filtration assay</t>
  </si>
  <si>
    <t xml:space="preserve">CHEMBL2213228</t>
  </si>
  <si>
    <t xml:space="preserve">Agonist activity at human CB2 receptor after 4 hrs by luciferase reporter gene assay relative to control</t>
  </si>
  <si>
    <t xml:space="preserve">CHEMBL2213232</t>
  </si>
  <si>
    <t xml:space="preserve">Agonist activity at human CB2 receptor after 4 hrs by luciferase reporter gene assay</t>
  </si>
  <si>
    <t xml:space="preserve">CHEMBL2215975</t>
  </si>
  <si>
    <t xml:space="preserve">Inhibition of human CB2 receptor at 10 uM by CEREP assay</t>
  </si>
  <si>
    <t xml:space="preserve">CHEMBL2203234</t>
  </si>
  <si>
    <t xml:space="preserve">CHEMBL2317163</t>
  </si>
  <si>
    <t xml:space="preserve">Displacement of [3H]-CP55,940 from human CB2 receptor expressed in Sf9 cell membranes by scintillation counting analysis</t>
  </si>
  <si>
    <t xml:space="preserve">CHEMBL2311293</t>
  </si>
  <si>
    <t xml:space="preserve">CHEMBL2317840</t>
  </si>
  <si>
    <t xml:space="preserve">Agonist activity at human CB2 receptor expressed in CHO cells assessed as forskolin-stimulated [3H]cyclic-AMP accumulation by scintillation counting analysis relative to WIN 55,212-2</t>
  </si>
  <si>
    <t xml:space="preserve">CHEMBL2317841</t>
  </si>
  <si>
    <t xml:space="preserve">Agonist activity at human CB2 receptor expressed in CHO cells assessed as forskolin-stimulated [3H]cyclic-AMP accumulation by scintillation counting analysis</t>
  </si>
  <si>
    <t xml:space="preserve">CHEMBL2317842</t>
  </si>
  <si>
    <t xml:space="preserve">Displacement of [3H]CP-55,940 from human recombinant CB2 receptor expressed in CHO cell membranes at 1 to 10000 nM after 60 mins by scintillation counting analysis</t>
  </si>
  <si>
    <t xml:space="preserve">CHEMBL2329173</t>
  </si>
  <si>
    <t xml:space="preserve">Displacement of [3H]WIN-55,212-2 from human recombinant CB2 receptor expressed in CHO-K1 cells at 10 uM relative to control</t>
  </si>
  <si>
    <t xml:space="preserve">CHEMBL2321853</t>
  </si>
  <si>
    <t xml:space="preserve">CHEMBL2329720</t>
  </si>
  <si>
    <t xml:space="preserve">Inverse agonist activity at human CB2 receptor expressed in CHO cells assessed as increase in forskolin-induced cAMP production after 45 mins in presence of phosphodiesterase inhibitor RO20-1724</t>
  </si>
  <si>
    <t xml:space="preserve">CHEMBL2339463</t>
  </si>
  <si>
    <t xml:space="preserve">Ratio of manolol EC50 to compound EC50 for recombinant human CB2 receptor expressed in CHO cells assessed as inhibition of forskolin-induced cAMP accumulation after 5 mins by cAMP-competition binding assay</t>
  </si>
  <si>
    <t xml:space="preserve">CHEMBL2339466</t>
  </si>
  <si>
    <t xml:space="preserve">Inverse agonist activity at recombinant human CB2 receptor expressed in CHO cells assessed as forskolin-induced cAMP accumulation at 100 uM after 5 mins by cAMP-competition binding assay relative to CP55,940</t>
  </si>
  <si>
    <t xml:space="preserve">CHEMBL2339468</t>
  </si>
  <si>
    <t xml:space="preserve">Partial agonist activity at recombinant human CB2 receptor expressed in CHO cells assessed as inhibition of forskolin-induced cAMP accumulation at 100 uM after 5 mins by cAMP-competition binding assay relative to CP55,940</t>
  </si>
  <si>
    <t xml:space="preserve">CHEMBL2339472</t>
  </si>
  <si>
    <t xml:space="preserve">Agonist activity at recombinant human CB2 receptor expressed in CHO cells assessed as inhibition of forskolin-induced cAMP accumulation at 10 uM after 5 mins by cAMP-competition binding assay relative to CP55,940</t>
  </si>
  <si>
    <t xml:space="preserve">CHEMBL2339880</t>
  </si>
  <si>
    <t xml:space="preserve">Agonist activity at recombinant human CB2 receptor expressed in CHO cells assessed as inhibition of forskolin-induced cAMP accumulation at 100 uM after 5 mins by cAMP-competition binding assay relative to CP55,940</t>
  </si>
  <si>
    <t xml:space="preserve">CHEMBL2339882</t>
  </si>
  <si>
    <t xml:space="preserve">Agonist activity at recombinant human CB2 receptor expressed in CHO cells assessed as inhibition of forskolin-induced cAMP accumulation after 5 mins by cAMP-competition binding assay</t>
  </si>
  <si>
    <t xml:space="preserve">CHEMBL2341541</t>
  </si>
  <si>
    <t xml:space="preserve">Agonist activity at human CB2 receptor expressed in CHO cell membranes assessed as increase in forskolin-stimulated cAMP production after 45 mins by TR-FRET assay</t>
  </si>
  <si>
    <t xml:space="preserve">CHEMBL2341542</t>
  </si>
  <si>
    <t xml:space="preserve">Inverse agonist activity at human CB2 receptor expressed in CHO cell membranes assessed as inhibition of forskolin-stimulated cAMP production after 45 mins by TR-FRET assay</t>
  </si>
  <si>
    <t xml:space="preserve">CHEMBL2343736</t>
  </si>
  <si>
    <t xml:space="preserve">Agonist activity at human CB2 receptor Q63R mutant</t>
  </si>
  <si>
    <t xml:space="preserve">CHEMBL2343739</t>
  </si>
  <si>
    <t xml:space="preserve">Agonist activity at human CB2 receptor by beta-arrestin recruitment assay</t>
  </si>
  <si>
    <t xml:space="preserve">CHEMBL2343740</t>
  </si>
  <si>
    <t xml:space="preserve">Agonist activity at human CB2 receptor by cAMP read-out assay</t>
  </si>
  <si>
    <t xml:space="preserve">CHEMBL2352678</t>
  </si>
  <si>
    <t xml:space="preserve">CHEMBL2352785</t>
  </si>
  <si>
    <t xml:space="preserve">Agonist activity at human recombinant CB2 receptor expressed in CHO cells assessed as inhibition of forskolin-induced accumulation of cAMP</t>
  </si>
  <si>
    <t xml:space="preserve">CHEMBL2378215</t>
  </si>
  <si>
    <t xml:space="preserve">Displacement of [3H]-CP55940 from human recombinant CB2 receptor transfected in HEK293 cells at 10 uM after 90 mins relative to control</t>
  </si>
  <si>
    <t xml:space="preserve">CHEMBL2375316</t>
  </si>
  <si>
    <t xml:space="preserve">CHEMBL2383351</t>
  </si>
  <si>
    <t xml:space="preserve">Agonist activity at human CB2 receptor transfected in CHO cells assessed as inhibition of forskolin-stimulated adenylyl cyclase activity after 15 mins by liquid scintillation spectrophotometry</t>
  </si>
  <si>
    <t xml:space="preserve">CHEMBL2380217</t>
  </si>
  <si>
    <t xml:space="preserve">CHEMBL2383353</t>
  </si>
  <si>
    <t xml:space="preserve">Agonist activity at human CB2 receptor transfected in CHO cells assessed as inhibition of forskolin-stimulated adenylyl cyclase activity at 10 uM after 15 mins by liquid scintillation spectrophotometry</t>
  </si>
  <si>
    <t xml:space="preserve">CHEMBL2383556</t>
  </si>
  <si>
    <t xml:space="preserve">Inverse agonist activity at human CB2 receptor expressed in CHO cell membrane assessed as increase in forskolin-stimulated cAMP production by scintillation counting analysis</t>
  </si>
  <si>
    <t xml:space="preserve">CHEMBL2383557</t>
  </si>
  <si>
    <t xml:space="preserve">Inverse agonist activity at human CB2 receptor expressed in CHO cell membrane assessed as increase in forskolin-stimulated cAMP production at 1 to 10 uM by scintillation counting analysis in presence of WIN55212-2</t>
  </si>
  <si>
    <t xml:space="preserve">CHEMBL2383558</t>
  </si>
  <si>
    <t xml:space="preserve">Inverse agonist activity at human CB2 receptor expressed in CHO cell membrane assessed as increase in forskolin-stimulated cAMP production at 10 uM by scintillation counting analysis relative to WIN55212-2</t>
  </si>
  <si>
    <t xml:space="preserve">CHEMBL2383559</t>
  </si>
  <si>
    <t xml:space="preserve">Inverse agonist activity at human CB2 receptor expressed in CHO cell membrane assessed as increase in forskolin-stimulated cAMP production at 1 uM by scintillation counting analysis relative to WIN55212-2</t>
  </si>
  <si>
    <t xml:space="preserve">CHEMBL2384667</t>
  </si>
  <si>
    <t xml:space="preserve">Inhibition of CB2 receptor (unknown origin) at 20 ug/mL relative to control</t>
  </si>
  <si>
    <t xml:space="preserve">CHEMBL2380296</t>
  </si>
  <si>
    <t xml:space="preserve">CHEMBL2388859</t>
  </si>
  <si>
    <t xml:space="preserve">Agonist activity at human CB2 receptor expressed in CHOK1 cells assessed as increase of forskolin-stimulated cAMP level</t>
  </si>
  <si>
    <t xml:space="preserve">CHEMBL2388860</t>
  </si>
  <si>
    <t xml:space="preserve">Antagonist activity at human CB2 receptor expressed in CHOK1 cells assessed as inhibition of forskolin-stimulated cAMP level at 10 uM</t>
  </si>
  <si>
    <t xml:space="preserve">CHEMBL2388862</t>
  </si>
  <si>
    <t xml:space="preserve">Agonist activity at human CB2 receptor expressed in CHOK1 cells assessed as increase of forskolin-stimulated cAMP level at 10 uM</t>
  </si>
  <si>
    <t xml:space="preserve">CHEMBL2388868</t>
  </si>
  <si>
    <t xml:space="preserve">Displacement of [3H]-CP55,940 from human CB2 receptor transfected in CHOK1 cells at 10 uM</t>
  </si>
  <si>
    <t xml:space="preserve">CHEMBL2388890</t>
  </si>
  <si>
    <t xml:space="preserve">CHEMBL2385021</t>
  </si>
  <si>
    <t xml:space="preserve">CHEMBL2389077</t>
  </si>
  <si>
    <t xml:space="preserve">Agonist activity at human CB2 receptor expressed in CHO cells assessed as inhibition of forskolin-induced cAMP production at 0.02 uM relative to control</t>
  </si>
  <si>
    <t xml:space="preserve">CHEMBL2389078</t>
  </si>
  <si>
    <t xml:space="preserve">Agonist activity at human CB2 receptor expressed in CHO cells assessed as inhibition of forskolin-induced cAMP production at 0.2 uM relative to control</t>
  </si>
  <si>
    <t xml:space="preserve">CHEMBL2389079</t>
  </si>
  <si>
    <t xml:space="preserve">Agonist activity at human CB2 receptor expressed in CHO cells assessed as inhibition of forskolin-induced cAMP production at 2 uM relative to control</t>
  </si>
  <si>
    <t xml:space="preserve">CHEMBL2389080</t>
  </si>
  <si>
    <t xml:space="preserve">Agonist activity at human CB2 receptor expressed in CHO cells assessed as inhibition of forskolin-induced cAMP production</t>
  </si>
  <si>
    <t xml:space="preserve">CHEMBL2395255</t>
  </si>
  <si>
    <t xml:space="preserve">Binding affinity to CB2 receptor (unknown origin) at 25 uM relative to control</t>
  </si>
  <si>
    <t xml:space="preserve">CHEMBL2390921</t>
  </si>
  <si>
    <t xml:space="preserve">CHEMBL2395830</t>
  </si>
  <si>
    <t xml:space="preserve">Displacement of [3H]CP55940 from human recombinant CB2 receptor expressed in HEK293 cells coexpressing FLP-IN after 1 to 1.5 hrs by scintillation counting analysis</t>
  </si>
  <si>
    <t xml:space="preserve">CHEMBL2390840</t>
  </si>
  <si>
    <t xml:space="preserve">CHEMBL2399678</t>
  </si>
  <si>
    <t xml:space="preserve">Agonist activity at CB2 receptor (unknown origin)</t>
  </si>
  <si>
    <t xml:space="preserve">CHEMBL2396634</t>
  </si>
  <si>
    <t xml:space="preserve">CHEMBL2415401</t>
  </si>
  <si>
    <t xml:space="preserve">Agonist activity at human CB2 receptor expressed in CHO membranes assessed as [35S]-GTPgammaS binding after 1 hr relative to basal constitutive activity</t>
  </si>
  <si>
    <t xml:space="preserve">CHEMBL2415441</t>
  </si>
  <si>
    <t xml:space="preserve">Agonist activity at human CB2 receptor expressed in CHO membranes assessed as [35S]-GTPgammaS binding after 1 hr</t>
  </si>
  <si>
    <t xml:space="preserve">CHEMBL2415442</t>
  </si>
  <si>
    <t xml:space="preserve">Displacement of [3H]-SR141716A from human CB1 receptor expressed in CHO membranes at 10 uM after 1 hr by liquid scintillation counting</t>
  </si>
  <si>
    <t xml:space="preserve">CHEMBL2421940</t>
  </si>
  <si>
    <t xml:space="preserve">Antagonist activity at CB2 receptor in HEK293 cells assessed as increase in CP-55,940 EC50 measuring inhibition of forskolin-stimulated cAMP accumulation at 1 uM incubated 20 mins prior to CP-55,940 addition measured after 7 mins by spectrophotometry (Rvb = 4.21+/-1.16 nM)</t>
  </si>
  <si>
    <t xml:space="preserve">CHEMBL2421941</t>
  </si>
  <si>
    <t xml:space="preserve">Agonist activity at CB2 receptor in HEK293 cells assessed as inhibition of forskolin-stimulated cAMP accumulation</t>
  </si>
  <si>
    <t xml:space="preserve">CHEMBL2432526</t>
  </si>
  <si>
    <t xml:space="preserve">Displacement of [3H]WIN55212-2 from CB2 receptor (unknown origin) at 1 uM after 120 mins</t>
  </si>
  <si>
    <t xml:space="preserve">CHEMBL2429786</t>
  </si>
  <si>
    <t xml:space="preserve">CHEMBL2445199</t>
  </si>
  <si>
    <t xml:space="preserve">Inverse agonist activity at human recombinant CB2 receptor expressed in CHO cells after 1 hr by [35S]GTPgammaS binding assay relative to CP55940</t>
  </si>
  <si>
    <t xml:space="preserve">CHEMBL2445200</t>
  </si>
  <si>
    <t xml:space="preserve">Inverse agonist activity at human recombinant CB2 receptor expressed in CHO cells after 1 hr by [35S]GTPgammaS binding assay</t>
  </si>
  <si>
    <t xml:space="preserve">CHEMBL2445203</t>
  </si>
  <si>
    <t xml:space="preserve">Agonist activity at human recombinant CB2 receptor expressed in CHO cells after 1 hr by [35S]GTPgammaS binding assay</t>
  </si>
  <si>
    <t xml:space="preserve">CHEMBL2445204</t>
  </si>
  <si>
    <t xml:space="preserve">Agonist activity at human recombinant CB2 receptor expressed in CHO cells after 1 hr by [35S]GTPgammaS binding assay relative to CP55940</t>
  </si>
  <si>
    <t xml:space="preserve">CHEMBL2445206</t>
  </si>
  <si>
    <t xml:space="preserve">Agonist activity at human recombinant CB1 receptor expressed in CHO cells at 1 uM after 1 hr by [35S]GTPgammaS binding assay</t>
  </si>
  <si>
    <t xml:space="preserve">CHEMBL2445207</t>
  </si>
  <si>
    <t xml:space="preserve">Antagonist activity at human recombinant CB1 receptor expressed in CHO cells at 1 uM after 1 hr by [35S]GTPgammaS binding assay</t>
  </si>
  <si>
    <t xml:space="preserve">CHEMBL2445208</t>
  </si>
  <si>
    <t xml:space="preserve">Reduction of CP55940-induced human CB2 receptor internalization expressed in HEK293 cells at 3 uM relative to control</t>
  </si>
  <si>
    <t xml:space="preserve">CHEMBL2445509</t>
  </si>
  <si>
    <t xml:space="preserve">Induction of human CB2 receptor internalization expressed in HEK293 cells at 10 uM relative to CP55940</t>
  </si>
  <si>
    <t xml:space="preserve">CHEMBL2445511</t>
  </si>
  <si>
    <t xml:space="preserve">Partial agonist activity at human recombinant CB2 receptor expressed in CHO cells after 1 hr by [35S]GTPgammaS binding assay relative to CP55940</t>
  </si>
  <si>
    <t xml:space="preserve">CHEMBL2445746</t>
  </si>
  <si>
    <t xml:space="preserve">Partial agonist activity at human recombinant CB2 receptor expressed in CHO cells after 1 hr by [35S]GTPgammaS binding assay</t>
  </si>
  <si>
    <t xml:space="preserve">CHEMBL3088908</t>
  </si>
  <si>
    <t xml:space="preserve">Agonist activity at CB2 receptor (unknown origin) at 10 uM after 90 to 180 mins by beta-arrestin assay relative to control</t>
  </si>
  <si>
    <t xml:space="preserve">CHEMBL3085628</t>
  </si>
  <si>
    <t xml:space="preserve">CHEMBL3089338</t>
  </si>
  <si>
    <t xml:space="preserve">Antagonist activity at CB2 receptor (unknown origin) at 10 uM after 3 to 5 hrs by beta-arrestin assay relative to control</t>
  </si>
  <si>
    <t xml:space="preserve">CHEMBL3089348</t>
  </si>
  <si>
    <t xml:space="preserve">Agonist activity at CB2 receptor (unknown origin) after 90 to 180 mins by beta-arrestin assay</t>
  </si>
  <si>
    <t xml:space="preserve">CHEMBL3089350</t>
  </si>
  <si>
    <t xml:space="preserve">Inhibition of human CB2 receptor internalization expressed in CHO cells assessed as inhibition of [3H]-CP55940 uptake preincubated for 1 hr followed by radioligand addition measured after 1 hr by liquid scintillation counting analysis relative to control</t>
  </si>
  <si>
    <t xml:space="preserve">CHEMBL3089351</t>
  </si>
  <si>
    <t xml:space="preserve">Displacement of [3H]-CP55940 from human CB2 receptor expressed in CHO cells preincubated for 1 hr followed by radioligand addition measured after 1 hr by liquid scintillation counting analysis</t>
  </si>
  <si>
    <t xml:space="preserve">CHEMBL3089723</t>
  </si>
  <si>
    <t xml:space="preserve">Agonist activity at human CB2 receptor expressed in CHO cell membranes up to 10 uM incubated for 10 mins prior to testing by [35S]GTPgammaS binding assay</t>
  </si>
  <si>
    <t xml:space="preserve">CHEMBL3085700</t>
  </si>
  <si>
    <t xml:space="preserve">CHEMBL3096235</t>
  </si>
  <si>
    <t xml:space="preserve">Agonist activity at human CB2 receptor expressed in CHO cells assessed as stimulation of [35S]GTPgamma binding after 30 mins by scintillation proximity assay relative to methanandamide</t>
  </si>
  <si>
    <t xml:space="preserve">CHEMBL3096236</t>
  </si>
  <si>
    <t xml:space="preserve">Agonist activity at human CB2 receptor expressed in CHO cells assessed as stimulation of [35S]GTPgamma binding after 30 mins by scintillation proximity assay</t>
  </si>
  <si>
    <t xml:space="preserve">CHEMBL3097432</t>
  </si>
  <si>
    <t xml:space="preserve">Displacement of [3H]CP-55,940 from human recombinant cannabinoid CB2 receptor expressed in CHO cells at 1 uM</t>
  </si>
  <si>
    <t xml:space="preserve">CHEMBL3100456</t>
  </si>
  <si>
    <t xml:space="preserve">Inhibition of human CB2 receptor at 10 uM relative to control</t>
  </si>
  <si>
    <t xml:space="preserve">CHEMBL3098111</t>
  </si>
  <si>
    <t xml:space="preserve">CHEMBL3101343</t>
  </si>
  <si>
    <t xml:space="preserve">CRE-luc</t>
  </si>
  <si>
    <t xml:space="preserve">Agonist activity at human CB2 receptor expressed in CHO CRE-luc cells</t>
  </si>
  <si>
    <t xml:space="preserve">CHEMBL3098084</t>
  </si>
  <si>
    <t xml:space="preserve">CHEMBL3101345</t>
  </si>
  <si>
    <t xml:space="preserve">CHEMBL3101346</t>
  </si>
  <si>
    <t xml:space="preserve">CHEMBL3107353</t>
  </si>
  <si>
    <t xml:space="preserve">Binding affinity to CB2 receptor (unknown origin) up to 10 ug/ml</t>
  </si>
  <si>
    <t xml:space="preserve">CHEMBL3102742</t>
  </si>
  <si>
    <t xml:space="preserve">CHEMBL3117774</t>
  </si>
  <si>
    <t xml:space="preserve">Agonist activity at human CB2 receptor expressed in CHO-K1 cells assessed as forskolin-induced cAMP accumulation after 1 hr relative to control</t>
  </si>
  <si>
    <t xml:space="preserve">CHEMBL3112571</t>
  </si>
  <si>
    <t xml:space="preserve">CHEMBL3117775</t>
  </si>
  <si>
    <t xml:space="preserve">Agonist activity at human CB2 receptor expressed in CHO-K1 cells assessed as forskolin-induced cAMP accumulation after 1 hr</t>
  </si>
  <si>
    <t xml:space="preserve">CHEMBL3119412</t>
  </si>
  <si>
    <t xml:space="preserve">Neutral antagonist activity at human CB2 receptor expressed in CHO membranes by [35S]GTPgammaS binding assay in presence of SR144528</t>
  </si>
  <si>
    <t xml:space="preserve">CHEMBL3119414</t>
  </si>
  <si>
    <t xml:space="preserve">Competitive antagonist activity at human CB2 receptor expressed in CHO membranes assessed as inhibition of HU-210-induced [35S]GTPgammaS binding</t>
  </si>
  <si>
    <t xml:space="preserve">CHEMBL3119415</t>
  </si>
  <si>
    <t xml:space="preserve">Inverse agonist activity at human CB2 receptor expressed in CHO membranes by [35S]GTPgammaS binding assay relative to basal control</t>
  </si>
  <si>
    <t xml:space="preserve">CHEMBL3119416</t>
  </si>
  <si>
    <t xml:space="preserve">Partial inverse agonist activity at human CB2 receptor expressed in CHO membranes by [35S]GTPgammaS binding assay relative to basal control</t>
  </si>
  <si>
    <t xml:space="preserve">CHEMBL3119417</t>
  </si>
  <si>
    <t xml:space="preserve">Antagonist activity at human CB2 receptor expressed in CHO membranes assessed as inhibition of HU-210-induced [35S]GTPgammaS binding</t>
  </si>
  <si>
    <t xml:space="preserve">CHEMBL3119419</t>
  </si>
  <si>
    <t xml:space="preserve">Inverse agonist activity at human CB2 receptor expressed in CHO membranes by [35S]GTPgammaS binding assay</t>
  </si>
  <si>
    <t xml:space="preserve">CHEMBL3119420</t>
  </si>
  <si>
    <t xml:space="preserve">Agonist activity at human CB2 receptor expressed in CHO membranes by [35S]GTPgammaS binding assay</t>
  </si>
  <si>
    <t xml:space="preserve">CHEMBL3122871</t>
  </si>
  <si>
    <t xml:space="preserve">Agonist activity at human CB2 receptor by [35S]-GTPgammaS binding assay</t>
  </si>
  <si>
    <t xml:space="preserve">CHEMBL3120148</t>
  </si>
  <si>
    <t xml:space="preserve">CHEMBL3122872</t>
  </si>
  <si>
    <t xml:space="preserve">Agonist activity at human CB2 receptor by [35S]-GTPgammaS binding assay relative to control</t>
  </si>
  <si>
    <t xml:space="preserve">CHEMBL3122874</t>
  </si>
  <si>
    <t xml:space="preserve">CHEMBL3124130</t>
  </si>
  <si>
    <t xml:space="preserve">Antagonist activity at CB2 receptor (unknown origin) at 1 x 10'-6 M</t>
  </si>
  <si>
    <t xml:space="preserve">CHEMBL3120110</t>
  </si>
  <si>
    <t xml:space="preserve">CHEMBL3124133</t>
  </si>
  <si>
    <t xml:space="preserve">Antagonist activity at cloned human CB2 receptor</t>
  </si>
  <si>
    <t xml:space="preserve">CHEMBL3124135</t>
  </si>
  <si>
    <t xml:space="preserve">Antagonist activity at CB2 receptor (unknown origin) stably expressed in CHO cells co-expressing co-expressing Ga15/16 assessed as calcium current after 45 mins by fluo-4 AM assay</t>
  </si>
  <si>
    <t xml:space="preserve">CHEMBL3124136</t>
  </si>
  <si>
    <t xml:space="preserve">Antagonist activity at CB2 receptor (unknown origin) stably expressed in CHO cells co-expressing co-expressing Ga15/16 assessed as calcium current at 10 uM after 45 mins by fluo-4 AM assay relative to basal control</t>
  </si>
  <si>
    <t xml:space="preserve">CHEMBL3124695</t>
  </si>
  <si>
    <t xml:space="preserve">Antagonist activity at human CB2 receptor expressed in CHO cells assessed as inhibition of forskolin-induced cAMP accumulation incubated for 5 mins followed by forskolin challenge measured after 15 mins by liquid scintillation counting analysis in presence of [3H]cAMP</t>
  </si>
  <si>
    <t xml:space="preserve">CHEMBL3222487</t>
  </si>
  <si>
    <t xml:space="preserve">Intrinsic activity at human recombinant CB2 receptor expressed in HEK293 cell membranes assessed as stimulation of [35S]GTPgammaS binding at 10 uM by liquid scintillation counting method relative to CP55,940</t>
  </si>
  <si>
    <t xml:space="preserve">CHEMBL3222500</t>
  </si>
  <si>
    <t xml:space="preserve">Agonist activity at human recombinant CB2 receptor expressed in CHO-K1 cell membranes assessed effect on forskolin-induced cAMP accumulation at 10 uM</t>
  </si>
  <si>
    <t xml:space="preserve">CHEMBL3222512</t>
  </si>
  <si>
    <t xml:space="preserve">Displacement of [3H]CP55,940 from human recombinant CB2 receptor expressed in HEK293 cells at 10 uM</t>
  </si>
  <si>
    <t xml:space="preserve">CHEMBL3227836</t>
  </si>
  <si>
    <t xml:space="preserve">Agonist activity at human recombinant CB2 receptor expressed in HEK293 cell membranes assessed as stimulation of [35S]GTPgammaS binding at 10 uM by liquid scintillation counting method</t>
  </si>
  <si>
    <t xml:space="preserve">CHEMBL3238893</t>
  </si>
  <si>
    <t xml:space="preserve">Agonist activity at human CB2 receptor transfected in CHO-K1 cells assessed as cAMP change</t>
  </si>
  <si>
    <t xml:space="preserve">CHEMBL3238895</t>
  </si>
  <si>
    <t xml:space="preserve">Agonist activity at human CB2 receptor assessed as inhibition of forskolin-induced cAMP production preincubated for 15 mins followed by forskolin challenge measured after 30 mins by HTRF assay</t>
  </si>
  <si>
    <t xml:space="preserve">CHEMBL3238896</t>
  </si>
  <si>
    <t xml:space="preserve">Agonist activity at human CB2 receptor assessed as inhibition of forskolin-induced cAMP production preincubated for 15 mins followed by forskolin challenge measured after 30 mins by HTRF assay relative to control</t>
  </si>
  <si>
    <t xml:space="preserve">CHEMBL3238898</t>
  </si>
  <si>
    <t xml:space="preserve">Agonist activity at human CB2 receptor assessed as inhibition of forskolin-induced cAMP production</t>
  </si>
  <si>
    <t xml:space="preserve">CHEMBL3238908</t>
  </si>
  <si>
    <t xml:space="preserve">SK-N-MC</t>
  </si>
  <si>
    <t xml:space="preserve">Agonist activity at human CB2 receptor expressed in human SK-N-MC cells by CRE-beta galactosidase reporter gene assay</t>
  </si>
  <si>
    <t xml:space="preserve">CHEMBL3238911</t>
  </si>
  <si>
    <t xml:space="preserve">CHEMBL3238913</t>
  </si>
  <si>
    <t xml:space="preserve">Agonist activity at human CB2 receptor expressed in Sf9 membranes assessed as effect on [35S]-GTPgammaS binding after 30 mins by scintillation counting</t>
  </si>
  <si>
    <t xml:space="preserve">CHEMBL3238915</t>
  </si>
  <si>
    <t xml:space="preserve">Agonist activity at human CB2 receptor expressed in CHO-K1 cells assessed as inhibition of forskolin-induced cAMP accumulation by TR-FRET assay</t>
  </si>
  <si>
    <t xml:space="preserve">CHEMBL3238917</t>
  </si>
  <si>
    <t xml:space="preserve">Agonist activity at human CB2 receptor expressed in Saccharomyces cerevisiae MMY23 using fluorescein di-beta-D-glucopyranoside as substrate after 24 hrs by fluorescence-based assay</t>
  </si>
  <si>
    <t xml:space="preserve">CHEMBL3266201</t>
  </si>
  <si>
    <t xml:space="preserve">Sf21</t>
  </si>
  <si>
    <t xml:space="preserve">Inhibition of [3H]CP-55940 binding to N-terminal FLAG-tagged/C-terminal 6His-tagged recombinant human CB2 receptor overexpressed in baculovirus infected insect Sf21 cells assessed as reduction of receptor Bmax at 10 nM after 1 hr relative to control</t>
  </si>
  <si>
    <t xml:space="preserve">CHEMBL3259803</t>
  </si>
  <si>
    <t xml:space="preserve">CHEMBL3293294</t>
  </si>
  <si>
    <t xml:space="preserve">CHEMBL3293302</t>
  </si>
  <si>
    <t xml:space="preserve">HL-60</t>
  </si>
  <si>
    <t xml:space="preserve">Intrinsic activity at CB2 receptor in human HL60 cells assessed as upregulation of phosphorylated ERK1/2 expression at 50 nM after 15 mins by Western blotting analysis relative to control</t>
  </si>
  <si>
    <t xml:space="preserve">CHEMBL3293303</t>
  </si>
  <si>
    <t xml:space="preserve">Intrinsic activity at CB2 receptor in human HL60 cells assessed as upregulation of phosphorylated ERK1/2 expression at 75 nM after 15 mins by Western blotting analysis relative to control</t>
  </si>
  <si>
    <t xml:space="preserve">CHEMBL3293304</t>
  </si>
  <si>
    <t xml:space="preserve">Intrinsic activity at CB2 receptor in human HL60 cells assessed as upregulation of phosphorylated ERK1/2 expression at 5 nM after 15 mins by Western blotting analysis relative to control</t>
  </si>
  <si>
    <t xml:space="preserve">CHEMBL3293305</t>
  </si>
  <si>
    <t xml:space="preserve">Intrinsic activity at CB2 receptor in human HL60 cells assessed as upregulation of phosphorylated ERK1/2 expression at 10 nM after 15 mins by Western blotting analysis relative to control</t>
  </si>
  <si>
    <t xml:space="preserve">CHEMBL3293306</t>
  </si>
  <si>
    <t xml:space="preserve">Intrinsic activity at CB2 receptor in human HL60 cells assessed as upregulation of phosphorylated ERK1/2 expression at 50 nM after 15 mins by Western blotting analysis in presence of CB2 receptor antagonist AM630</t>
  </si>
  <si>
    <t xml:space="preserve">CHEMBL3293307</t>
  </si>
  <si>
    <t xml:space="preserve">Intrinsic activity at CB2 receptor in human HL60 cells assessed as upregulation of phosphorylated ERK1/2 expression at 5 nM after 15 mins by Western blotting analysis in presence of CB2 receptor antagonist AM630</t>
  </si>
  <si>
    <t xml:space="preserve">CHEMBL3293308</t>
  </si>
  <si>
    <t xml:space="preserve">Intrinsic activity at CB2 receptor in human HL60 cells assessed as upregulation of phosphorylated ERK1/2 expression at 75 nM after 15 mins by Western blotting analysis in presence of CB2 receptor antagonist AM630</t>
  </si>
  <si>
    <t xml:space="preserve">CHEMBL3293309</t>
  </si>
  <si>
    <t xml:space="preserve">Intrinsic activity at CB2 receptor in human HL60 cells assessed as upregulation of phosphorylated ERK1/2 expression at 10 nM after 15 mins by Western blotting analysis in presence of CB2 receptor antagonist AM630</t>
  </si>
  <si>
    <t xml:space="preserve">CHEMBL3364790</t>
  </si>
  <si>
    <t xml:space="preserve">Partial agonist activity at human cannabinoid CB2 receptor expressed in CHO-K1 cells assessed as [S35]GTPgammaS binding by scintillation counting</t>
  </si>
  <si>
    <t xml:space="preserve">CHEMBL3364791</t>
  </si>
  <si>
    <t xml:space="preserve">Partial agonist activity at human cannabinoid CB2 receptor expressed in CHO-K1 cells assessed as [S35]GTPgammaS binding by scintillation counting relative to vehicle treated control</t>
  </si>
  <si>
    <t xml:space="preserve">CHEMBL3366075</t>
  </si>
  <si>
    <t xml:space="preserve">RD-HGA16</t>
  </si>
  <si>
    <t xml:space="preserve">Antagonist activity at human CB2 receptor stably expressed in CHO-RD-HGA16 cells assessed as inhibition of CP55,940-induced calcium mobilization after 15 mins by FLIPR assay</t>
  </si>
  <si>
    <t xml:space="preserve">CHEMBL3351332</t>
  </si>
  <si>
    <t xml:space="preserve">CHEMBL3366076</t>
  </si>
  <si>
    <t xml:space="preserve">Antagonist activity at human CB2 receptor stably expressed in CHO-RD-HGA16 cells assessed as inhibition of CP55,940-induced calcium mobilization at 10000 nM after 15 mins by FLIPR assay</t>
  </si>
  <si>
    <t xml:space="preserve">CHEMBL3369617</t>
  </si>
  <si>
    <t xml:space="preserve">Inhibition of CB2 receptor in HL60 cells assessed as inhibition of ERK1/2 phosphorylation after 15 mins by Western blotting analysis</t>
  </si>
  <si>
    <t xml:space="preserve">CHEMBL3351751</t>
  </si>
  <si>
    <t xml:space="preserve">CHEMBL3373286</t>
  </si>
  <si>
    <t xml:space="preserve">Binding affinity to cannabinoid CB2 receptor (unknown origin)</t>
  </si>
  <si>
    <t xml:space="preserve">CHEMBL3352436</t>
  </si>
  <si>
    <t xml:space="preserve">CHEMBL3373562</t>
  </si>
  <si>
    <t xml:space="preserve">Displacement of [3H]-WIN-55,212-2 from human CB2 receptor expressed in HEK293 cell membranes cells by SPA</t>
  </si>
  <si>
    <t xml:space="preserve">CHEMBL3352390</t>
  </si>
  <si>
    <t xml:space="preserve">CHEMBL3373564</t>
  </si>
  <si>
    <t xml:space="preserve">Agonist activity at human CB2 receptor expressed in CHO cells assessed as inhibition of forskolin-stimulated cAMP production after 30 mins</t>
  </si>
  <si>
    <t xml:space="preserve">CHEMBL3373668</t>
  </si>
  <si>
    <t xml:space="preserve">CHEMBL3352700</t>
  </si>
  <si>
    <t xml:space="preserve">CHEMBL3375407</t>
  </si>
  <si>
    <t xml:space="preserve">Agonist activity at human CB2R expressed in CHO cells assessed as reduction in forskolin-induced cAMP accumulation by beta-galactosidase based complementation immunoassay</t>
  </si>
  <si>
    <t xml:space="preserve">CHEMBL3376015</t>
  </si>
  <si>
    <t xml:space="preserve">Agonist activity at human CB2R expressed in CHO cells assessed as reduction in forskolin-induced cAMP accumulation at 3 uM by beta-galactosidase based complementation immunoassay</t>
  </si>
  <si>
    <t xml:space="preserve">CHEMBL3376221</t>
  </si>
  <si>
    <t xml:space="preserve">Agonist activity at human CB2 receptor expressed in Sf9 cells coexpressing Galpha i2 assessed as Galpha GTPase activity using [gamma-33P]GTP at 100 uM by scintillation counting (Rvb = 0 +/- 1%)</t>
  </si>
  <si>
    <t xml:space="preserve">CHEMBL3352263</t>
  </si>
  <si>
    <t xml:space="preserve">CHEMBL3376222</t>
  </si>
  <si>
    <t xml:space="preserve">Antagonist activity at human CB2 receptor expressed in Sf9 cells coexpressing Galpha i2 assessed as Galpha GTPase activity using [gamma-33P]GTP at 100 uM by scintillation counting in presence of 30 nM CP55940 (Rvb = 0 +/- 5%)</t>
  </si>
  <si>
    <t xml:space="preserve">CHEMBL3376223</t>
  </si>
  <si>
    <t xml:space="preserve">Inverse agonist activity at human CB2 receptor expressed in Sf9 cells coexpressing Galpha i2 assessed as Galpha GTPase activity using [gamma-33P]GTP by scintillation counting in presence of CP55940</t>
  </si>
  <si>
    <t xml:space="preserve">CHEMBL3376224</t>
  </si>
  <si>
    <t xml:space="preserve">Agonist activity at human CB2 receptor expressed in Sf9 cells coexpressing Galpha i2 assessed as Galpha GTPase activity using [gamma-33P]GTP by scintillation counting</t>
  </si>
  <si>
    <t xml:space="preserve">CHEMBL3376649</t>
  </si>
  <si>
    <t xml:space="preserve">Agonist activity at human recombinant CB2 receptor expressing CHO cells assessed as inhibition of forskolin-induced cAMP accumulation incubated for 30 mins</t>
  </si>
  <si>
    <t xml:space="preserve">CHEMBL3352656</t>
  </si>
  <si>
    <t xml:space="preserve">CHEMBL3378463</t>
  </si>
  <si>
    <t xml:space="preserve">Agonist activity at human recombinant CB2 receptor expressed in CHOK1 cells assessed as cAMP accumulation by HTRF method</t>
  </si>
  <si>
    <t xml:space="preserve">CHEMBL3351614</t>
  </si>
  <si>
    <t xml:space="preserve">CHEMBL3378464</t>
  </si>
  <si>
    <t xml:space="preserve">Agonist activity at human recombinant CB2 receptor expressed in CHOK1 cells assessed as cAMP accumulation by HTRF method relative to CP-55940</t>
  </si>
  <si>
    <t xml:space="preserve">CHEMBL3379273</t>
  </si>
  <si>
    <t xml:space="preserve">Antagonist activity at human CB2 receptor expressed in Sf9 cells coexpressing Galpha i2 assessed as Galpha GTPase activity using [gamma-33P]GTP by scintillation counting in presence of 30 nM CP55940</t>
  </si>
  <si>
    <t xml:space="preserve">CHEMBL3379646</t>
  </si>
  <si>
    <t xml:space="preserve">Agonist activity at human CB2 receptor expressed in CHO cells by [35S]-GTPgammaS binding assay</t>
  </si>
  <si>
    <t xml:space="preserve">CHEMBL3379647</t>
  </si>
  <si>
    <t xml:space="preserve">Agonist activity at human CB2 receptor expressed in CHO cells by [35S]-GTPgammaS binding assay relative to control</t>
  </si>
  <si>
    <t xml:space="preserve">CHEMBL3379971</t>
  </si>
  <si>
    <t xml:space="preserve">Agonist activity at human recombinant CB2 receptor expressed in CHO cell membranes by [35S]GTPgammaS binding assay</t>
  </si>
  <si>
    <t xml:space="preserve">CHEMBL3379972</t>
  </si>
  <si>
    <t xml:space="preserve">Agonist activity at human recombinant CB2 receptor expressed in CHO cell membranes assessed as stimulation of [35S]GTPgammaS binding relative to basal level</t>
  </si>
  <si>
    <t xml:space="preserve">CHEMBL3379973</t>
  </si>
  <si>
    <t xml:space="preserve">Antagonist activity against human recombinant CB2 receptor expressed in CHO cell membranes assessed as induction of rightward shift of CP-55,940-induced response by [35S]GTPgammaS binding assay</t>
  </si>
  <si>
    <t xml:space="preserve">CHEMBL3379974</t>
  </si>
  <si>
    <t xml:space="preserve">Competitive inverse agonist activity at human recombinant CB2 receptor expressed in CHO cell membranes assessed as induction of rightward shift of CP-55,940-induced response by [35S]GTPgammaS binding assay</t>
  </si>
  <si>
    <t xml:space="preserve">CHEMBL3383061</t>
  </si>
  <si>
    <t xml:space="preserve">U2OS</t>
  </si>
  <si>
    <t xml:space="preserve">Antagonist activity at human recombinant CB2R expressed in U2OS cells assessed as inhibition of WIN-55212-induced beta-arrestin-GFP binding to receptor preincubated for 15 mins by fluorescent microscopy</t>
  </si>
  <si>
    <t xml:space="preserve">CHEMBL3383062</t>
  </si>
  <si>
    <t xml:space="preserve">Agonist activity at human recombinant CB2R expressed in U2OS cells assessed as beta-arrestin-GFP binding to receptor after 25 mins by fluorescent microscopy</t>
  </si>
  <si>
    <t xml:space="preserve">CHEMBL3383063</t>
  </si>
  <si>
    <t xml:space="preserve">Agonist activity at human recombinant CB2R expressed in WIN-55212-stimulated U2OS cells assessed as reduction in forskolin-mediated cAMP level after 30 mins by time-resolved fluorescence assay</t>
  </si>
  <si>
    <t xml:space="preserve">CHEMBL3383064</t>
  </si>
  <si>
    <t xml:space="preserve">Antagonist activity at human recombinant CB2R expressed in WIN-55212-stimulated U2OS cells assessed as increase in forskolin-mediated cAMP level after 30 mins by time-resolved fluorescence assay</t>
  </si>
  <si>
    <t xml:space="preserve">CHEMBL3385477</t>
  </si>
  <si>
    <t xml:space="preserve">Displacement of [3H]-CP-55940 from human CB2 receptor expressed in HEK cells at 1 uM after 90 mins by liquid scintillation counting analysis</t>
  </si>
  <si>
    <t xml:space="preserve">CHEMBL3351343</t>
  </si>
  <si>
    <t xml:space="preserve">CHEMBL3399661</t>
  </si>
  <si>
    <t xml:space="preserve">Agonist activity at human CB2 receptor expressed in CHO cell membranes by [35S]GTPgammaS binding assay</t>
  </si>
  <si>
    <t xml:space="preserve">CHEMBL3399665</t>
  </si>
  <si>
    <t xml:space="preserve">Antagonist activity at human CB2 receptor expressed in CHO cell membranes assessed as inhibition of HU-210-induced [35S]GTPgammaS binding</t>
  </si>
  <si>
    <t xml:space="preserve">CHEMBL3399666</t>
  </si>
  <si>
    <t xml:space="preserve">Activity at human CB2 receptor expressed in CHO cell membranes by [35S]GTPgammaS binding assay</t>
  </si>
  <si>
    <t xml:space="preserve">CHEMBL3399667</t>
  </si>
  <si>
    <t xml:space="preserve">Neutral antagonist activity at human CB2 receptor expressed in CHO membranes assessed as inhibition of inverse agonist SR144528-induced responses by [35S]GTPgammaS binding assay</t>
  </si>
  <si>
    <t xml:space="preserve">CHEMBL3399668</t>
  </si>
  <si>
    <t xml:space="preserve">Neutral antagonist activity at human CB2 receptor expressed in CHO membranes assessed as inhibition of agonist HU-210-induced responses by [35S]GTPgammaS binding assay</t>
  </si>
  <si>
    <t xml:space="preserve">CHEMBL3399669</t>
  </si>
  <si>
    <t xml:space="preserve">Competitive antagonist activity at human CB2 receptor expressed in CHO membranes assessed as inhibition of HU-210-induced [35S]GTPgammaS binding by Schild-plot</t>
  </si>
  <si>
    <t xml:space="preserve">CHEMBL3399690</t>
  </si>
  <si>
    <t xml:space="preserve">CHEMBL3397036</t>
  </si>
  <si>
    <t xml:space="preserve">CHEMBL3405825</t>
  </si>
  <si>
    <t xml:space="preserve">Agonist activity at human cannabinoid CB2 receptor introduced into CHO cells assessed as [35S]GTPgammaS binding relative to control</t>
  </si>
  <si>
    <t xml:space="preserve">CHEMBL3400077</t>
  </si>
  <si>
    <t xml:space="preserve">CHEMBL3405826</t>
  </si>
  <si>
    <t xml:space="preserve">Agonist activity at human cannabinoid CB2 receptor introduced into CHO cells assessed as [35S]GTPgammaS binding at 10 nM relative to control</t>
  </si>
  <si>
    <t xml:space="preserve">CHEMBL3405827</t>
  </si>
  <si>
    <t xml:space="preserve">Agonist activity at human cannabinoid CB2 receptor introduced into CHO cells assessed as [35S]GTPgammaS binding at 1 microM relative to control</t>
  </si>
  <si>
    <t xml:space="preserve">CHEMBL3406632</t>
  </si>
  <si>
    <t xml:space="preserve">Inhibition of human CB2 receptor expressed in CHO cells assessed as inhibition of forskolin-induced cAMP accumulation after 30 mins</t>
  </si>
  <si>
    <t xml:space="preserve">CHEMBL3399936</t>
  </si>
  <si>
    <t xml:space="preserve">CHEMBL3406633</t>
  </si>
  <si>
    <t xml:space="preserve">Partial agonist activity at human CB2 receptor expressed in CHO cells assessed as cAMP accumulation after 30 mins</t>
  </si>
  <si>
    <t xml:space="preserve">CHEMBL3406925</t>
  </si>
  <si>
    <t xml:space="preserve">Displacement of [3H]HU-243 from CB2 receptor (unknown origin) transfected in human COS7 cells</t>
  </si>
  <si>
    <t xml:space="preserve">CHEMBL3399934</t>
  </si>
  <si>
    <t xml:space="preserve">CHEMBL3406967</t>
  </si>
  <si>
    <t xml:space="preserve">Antagonist activity at human CB2 receptor expressed in CHO-RD-HGA16 cells assessed as inhibition of CP55940-induced calcium mobilization at 10 uM incubated for 15 mins prior to CP55940 addition by FLIPR assay</t>
  </si>
  <si>
    <t xml:space="preserve">CHEMBL3399946</t>
  </si>
  <si>
    <t xml:space="preserve">CHEMBL3406969</t>
  </si>
  <si>
    <t xml:space="preserve">Agonist activity at human CB2 receptor expressed in CHO-RD-HGA16 cells at 10 uM after 15 mins by FLIPR assay relative to CP55940</t>
  </si>
  <si>
    <t xml:space="preserve">CHEMBL3411779</t>
  </si>
  <si>
    <t xml:space="preserve">Agonist activity at CB2 receptor (unknown origin) expressed in CHO cells by calcium mobilization assay</t>
  </si>
  <si>
    <t xml:space="preserve">CHEMBL3411780</t>
  </si>
  <si>
    <t xml:space="preserve">Agonist activity at CB2 receptor (unknown origin) expressed in CHO cells at 10 uM by calcium mobilization assay relative to control</t>
  </si>
  <si>
    <t xml:space="preserve">CHEMBL3411784</t>
  </si>
  <si>
    <t xml:space="preserve">Antagonist activity at CB2 receptor (unknown origin) expressed in CHO cells up to 10 uM incubated for 10 mins prior to CP55940 addition by calcium mobilization assay</t>
  </si>
  <si>
    <t xml:space="preserve">CHEMBL3419683</t>
  </si>
  <si>
    <t xml:space="preserve">Inverse agonist activity at human CB2 receptor expressed in HEK293 cells assessed as inhibition of forskolin-induced cAMP accumulation incubated for 60 mins</t>
  </si>
  <si>
    <t xml:space="preserve">CHEMBL3419684</t>
  </si>
  <si>
    <t xml:space="preserve">Inverse agonist activity at human CB2 receptor expressed in HEK293 cells assessed as inhibition of forskolin-induced cAMP accumulation incubated for 60 mins relative to 500 nM CP-55,940</t>
  </si>
  <si>
    <t xml:space="preserve">CHEMBL3419685</t>
  </si>
  <si>
    <t xml:space="preserve">Activity at human CB2 receptor expressed in HEK293 cells assessed as inhibition of forskolin-induced cAMP accumulation up to 3 uM incubated for 60 mins</t>
  </si>
  <si>
    <t xml:space="preserve">CHEMBL3419686</t>
  </si>
  <si>
    <t xml:space="preserve">Agonist activity at human CB2 receptor expressed in HEK293 cells assessed as inhibition of forskolin-induced cAMP accumulation incubated for 60 mins</t>
  </si>
  <si>
    <t xml:space="preserve">CHEMBL3419688</t>
  </si>
  <si>
    <t xml:space="preserve">Covalent binding affinity to human CB2 receptor expressed in HEK293 cell membranes assessed as covalent labeling at 10 times Ki level incubated for 30 mins at 37 degC followed by UV irradiation by [3H]CP-55,940 radioligand binding assay</t>
  </si>
  <si>
    <t xml:space="preserve">CHEMBL3425332</t>
  </si>
  <si>
    <t xml:space="preserve">Agonist activity at human CB2 receptor transfected in CHO cell membranes after 90 mins by [35S]-GTPgammaS assay</t>
  </si>
  <si>
    <t xml:space="preserve">CHEMBL3425368</t>
  </si>
  <si>
    <t xml:space="preserve">Agonist activity at human CB2 receptor after 1 hr by [35S]-GTPgammaS binding assay</t>
  </si>
  <si>
    <t xml:space="preserve">CHEMBL3583841</t>
  </si>
  <si>
    <t xml:space="preserve">Binding affinity to CB2 receptor (unknown origin) at 10 uM</t>
  </si>
  <si>
    <t xml:space="preserve">CHEMBL3580567</t>
  </si>
  <si>
    <t xml:space="preserve">CHEMBL3583995</t>
  </si>
  <si>
    <t xml:space="preserve">Agonist activity at human CB2 receptor expressed in CHO-K1 cells assessed as inhibition of forskolin-stimulated cAMP production</t>
  </si>
  <si>
    <t xml:space="preserve">CHEMBL3583997</t>
  </si>
  <si>
    <t xml:space="preserve">Ratio of AM1241 EC50 to compound EC50 for human CB2 receptor expressed in CHO-K1 cells assessed as inhibition of forskolin-stimulated cAMP production</t>
  </si>
  <si>
    <t xml:space="preserve">CHEMBL3584847</t>
  </si>
  <si>
    <t xml:space="preserve">Activity at human CB2 receptor expressed in CHO cells assessed as cAMP accumulation incubated for 30 mins by time-resolved FRET assay</t>
  </si>
  <si>
    <t xml:space="preserve">CHEMBL3584848</t>
  </si>
  <si>
    <t xml:space="preserve">Activity at human CB1 receptor expressed in CHO cells assessed as cAMP accumulation incubated for 30 mins by time-resolved FRET assay</t>
  </si>
  <si>
    <t xml:space="preserve">CHEMBL3584874</t>
  </si>
  <si>
    <t xml:space="preserve">CHEMBL3587787</t>
  </si>
  <si>
    <t xml:space="preserve">Displacement of [3H]-CP55940 from human CB2 receptor transfected into HEK293 cells at 10 uM by microplate scintillation counting</t>
  </si>
  <si>
    <t xml:space="preserve">CHEMBL3585296</t>
  </si>
  <si>
    <t xml:space="preserve">CHEMBL3591166</t>
  </si>
  <si>
    <t xml:space="preserve">Agonist activity at CB2R (unknown origin) CHO cells stably expressing Galpha16 assessed as increase in intracellular calcium level by microplate reader based assay</t>
  </si>
  <si>
    <t xml:space="preserve">CHEMBL3588836</t>
  </si>
  <si>
    <t xml:space="preserve">CHEMBL3591167</t>
  </si>
  <si>
    <t xml:space="preserve">Agonist activity at CB2R (unknown origin) CHO cells stably expressing Galpha16 assessed as increase in intracellular calcium level by microplate reader based assay relative to CP55940</t>
  </si>
  <si>
    <t xml:space="preserve">CHEMBL3591170</t>
  </si>
  <si>
    <t xml:space="preserve">Antagonist activity against CB2R (unknown origin) CHO cells stably expressing Galpha16 assessed as inhibition of CP55940-induced increase in intracellular calcium level pre-treated 10 mins before CP55940 stimulation by microplate reader based assay</t>
  </si>
  <si>
    <t xml:space="preserve">CHEMBL3591171</t>
  </si>
  <si>
    <t xml:space="preserve">Antagonist activity against CB2R (unknown origin) CHO cells stably expressing Galpha16 assessed as inhibition of CP55940-induced increase in intracellular calcium level pre-treated 10 mins before CP55940 stimulation by microplate reader based assay relative to SR141716A</t>
  </si>
  <si>
    <t xml:space="preserve">CHEMBL3591207</t>
  </si>
  <si>
    <t xml:space="preserve">Activity at hemagglutinin-tagged human CB2 receptor expressed in HEK293 cells assessed as inhibition of forskolin-induced cAMP accumulation in absence of CP55,940 by cAMP BRET assay</t>
  </si>
  <si>
    <t xml:space="preserve">CHEMBL3588815</t>
  </si>
  <si>
    <t xml:space="preserve">CHEMBL3591208</t>
  </si>
  <si>
    <t xml:space="preserve">Activity at hemagglutinin-tagged human CB2 receptor expressed in HEK293 cells assessed as increase in forskolin-induced cAMP accumulation in absence of CP55,940 by cAMP BRET assay</t>
  </si>
  <si>
    <t xml:space="preserve">CHEMBL3591209</t>
  </si>
  <si>
    <t xml:space="preserve">Antagonist activity against hemagglutinin-tagged human CB2 receptor expressed in HEK293 cells assessed as suppression of CP55,940-induced inhibition of forskolin-induced cAMP accumulation by cAMP BRET assay</t>
  </si>
  <si>
    <t xml:space="preserve">CHEMBL3592882</t>
  </si>
  <si>
    <t xml:space="preserve">Agonist activity at human CB2 receptor expressed in HEK cells assessed as inhibition of forskolin-induced cAMP accumulation</t>
  </si>
  <si>
    <t xml:space="preserve">CHEMBL3592885</t>
  </si>
  <si>
    <t xml:space="preserve">Allosteric modulator activity at hemagglutinin-tagged human CB2 receptor expressed in Flp-In-293 cells assessed as effect on CP55,940-induced inhibition of forskolin-induced cAMP accumulation by kinetic cAMP assay</t>
  </si>
  <si>
    <t xml:space="preserve">CHEMBL3592886</t>
  </si>
  <si>
    <t xml:space="preserve">Allosteric agonist activity at hemagglutinin-tagged human CB2 receptor expressed in HEK293 cells assessed as effect on forskolin-induced cAMP accumulation at 10 uM by kinetic cAMP assay</t>
  </si>
  <si>
    <t xml:space="preserve">CHEMBL3598593</t>
  </si>
  <si>
    <t xml:space="preserve">Maximum displacement of human recombinant CB2 receptor expressed in HEK293 cell membranes at 10 uM incubated for 90 mins by radioligand binding assay</t>
  </si>
  <si>
    <t xml:space="preserve">CHEMBL3598594</t>
  </si>
  <si>
    <t xml:space="preserve">Displacement of human recombinant CB2 receptor expressed in HEK293 cell membranes incubated for 90 mins by radioligand binding assay</t>
  </si>
  <si>
    <t xml:space="preserve">CHEMBL3606866</t>
  </si>
  <si>
    <t xml:space="preserve">Inverse agonist activity at CB2 receptor (unknown origin) expressed in HEK cells assessed as increase in cAMP production measured at 50 mins by ACTOne dye-based fluorescence assay in presence of forskolin and Ro 20-1724</t>
  </si>
  <si>
    <t xml:space="preserve">CHEMBL3606867</t>
  </si>
  <si>
    <t xml:space="preserve">Inverse agonist activity at CB2 receptor (unknown origin) expressed in HEK cells assessed as increase in cAMP production at 5 x 10'-6 to 5 x 10'-10 M measured at 50 mins by ACTOne dye-based fluorescence assay in presence of forskolin and Ro 20-1724 relative to control</t>
  </si>
  <si>
    <t xml:space="preserve">CHEMBL3606868</t>
  </si>
  <si>
    <t xml:space="preserve">Non-competitive antagonist activity at CB2 receptor (unknown origin) expressed in HEK cells incubated in dark condition for 30 mins prior to CP55940 addition measured at 50 mins by Schild plot analysis</t>
  </si>
  <si>
    <t xml:space="preserve">CHEMBL3610150</t>
  </si>
  <si>
    <t xml:space="preserve">CHEMBL3608284</t>
  </si>
  <si>
    <t xml:space="preserve">CHEMBL3614944</t>
  </si>
  <si>
    <t xml:space="preserve">Agonist activity at human CB2R expressed in CHO cell membranes at 10 uM by [35S]GTPgammaS binding assay</t>
  </si>
  <si>
    <t xml:space="preserve">CHEMBL3612019</t>
  </si>
  <si>
    <t xml:space="preserve">CHEMBL3614945</t>
  </si>
  <si>
    <t xml:space="preserve">Agonist activity at human CB2R expressed in CHO cell membranes at 10 nM by [35S]GTPgammaS binding assay</t>
  </si>
  <si>
    <t xml:space="preserve">CHEMBL3614946</t>
  </si>
  <si>
    <t xml:space="preserve">Agonist activity at human CB2R expressed in CHO cell membranes at 1 uM by [35S]GTPgammaS binding assay</t>
  </si>
  <si>
    <t xml:space="preserve">CHEMBL3615750</t>
  </si>
  <si>
    <t xml:space="preserve">Chem4</t>
  </si>
  <si>
    <t xml:space="preserve">Antagonist/inverse agonist activity at human CB2 receptor transfected in Chem4 cell membranes after 30 mins by [35S]-GTPgammaS binding assay</t>
  </si>
  <si>
    <t xml:space="preserve">CHEMBL3615754</t>
  </si>
  <si>
    <t xml:space="preserve">Displacement of [3H]-CP55940 from human CB2 receptor transfected in CHO cell membranes by liquid scintillation counting analysis</t>
  </si>
  <si>
    <t xml:space="preserve">CHEMBL3706285</t>
  </si>
  <si>
    <t xml:space="preserve">Binding Assay: Affinity binding tests were performed according to the experimental conditions described by M. Rinaldi-Carmona in J. Pharmacol. Exp. Therap. 1998, 287, 644-650, with membranes derived either from rodent tissues or from recombinant cell lines in which the human CB2 receptors were expressed (Munro et al., Nature 1993, 365, 61-65). The affinity of the compounds is expressed in the form of the IC50 (concentration causing 50% inhibition of specific binding of the tritiated ligand used in vitro).</t>
  </si>
  <si>
    <t xml:space="preserve">CHEMBL3638626</t>
  </si>
  <si>
    <t xml:space="preserve">CHEMBL3707717</t>
  </si>
  <si>
    <t xml:space="preserve">cell-free format</t>
  </si>
  <si>
    <t xml:space="preserve">Radioligand Binding Assay: Plasma membranes prepared from HEK 293 EBNA cells transfected with human CB1 or CB2 cannabinoid receptors (3.7 or 3.3 .mu.mol/mg protein, receptor concentration; PerkinElmer) were used for the radioligand binding studies. The composition of incubation buffer for CB1 assay was 50 mM Tris base, 2.5 mM EDTA, 5 mM MgCl.sub.2 and 0.5 mg/ml fatty acid free BSA and for CB2 assay was 50 mM Tris base, 2.5 mM EGTA, 5 mM MgCl.sub.2 and 1 mg/ml fatty acid free BSA; pH was adjusted to 7.4 by adding 1N HCl. Plasma membranes were diluted with incubation buffer to provide a final protein concentration of 2.4 .mu.g (CB1) or 8 .mu.g (CB2) per well in non-binding surface polystyrene 96-well assay plates (Corning). Compound solutions were prepared in silanized glass tubes and dispensed using pipette tips with SUPERSLIK.TM. surface. Competition studies were performed using a final concentration of 0.72 nM [.sup.3H]-CP 55,940 (100-180 Ci/mmol, specific activity; PerkinElmer) against test compounds.</t>
  </si>
  <si>
    <t xml:space="preserve">CHEMBL3638668</t>
  </si>
  <si>
    <t xml:space="preserve">CHEMBL3743341</t>
  </si>
  <si>
    <t xml:space="preserve">Agonist activity at human recombinant CB2 receptor expressed in CHO cells assessed as cAMP level at 10 uM after 4 hrs by luciferase reporter gene assay</t>
  </si>
  <si>
    <t xml:space="preserve">CHEMBL3739407</t>
  </si>
  <si>
    <t xml:space="preserve">CHEMBL3743562</t>
  </si>
  <si>
    <t xml:space="preserve">Antagonist activity at human recombinant CB2 receptor expressed in CHO cells assessed as cAMP level at 10 uM after 4 hrs by luciferase reporter gene assay</t>
  </si>
  <si>
    <t xml:space="preserve">CHEMBL3749320</t>
  </si>
  <si>
    <t xml:space="preserve">Antagonist activity at human CBR2 assessed as [35S]GTPgammaS binding at 10 uM by luminescence assay relative to control</t>
  </si>
  <si>
    <t xml:space="preserve">CHEMBL3745614</t>
  </si>
  <si>
    <t xml:space="preserve">CHEMBL3749321</t>
  </si>
  <si>
    <t xml:space="preserve">Agonist activity at CBR2 (unknown origin) assessed as [35S]GTPgammaS binding at 10 uM by luminescence assay relative to control</t>
  </si>
  <si>
    <t xml:space="preserve">CHEMBL3749741</t>
  </si>
  <si>
    <t xml:space="preserve">Agonist activity at CBR2 (unknown origin) assessed as [35S]GTPgammaS binding at 10 nM by luminescence assay relative to control</t>
  </si>
  <si>
    <t xml:space="preserve">CHEMBL3772167</t>
  </si>
  <si>
    <t xml:space="preserve">Displacement of [3H]-CP 55,940 from human CB2 receptor expressed in CHO cells by liquid scintillation counting method</t>
  </si>
  <si>
    <t xml:space="preserve">CHEMBL3769395</t>
  </si>
  <si>
    <t xml:space="preserve">CHEMBL3772169</t>
  </si>
  <si>
    <t xml:space="preserve">Displacement of [3H]-WIN-55,212-2 from human CB2 receptor at 10 uM</t>
  </si>
  <si>
    <t xml:space="preserve">CHEMBL3772171</t>
  </si>
  <si>
    <t xml:space="preserve">Displacement of [3H]-WIN-55,212-2 from human CB2 receptor</t>
  </si>
  <si>
    <t xml:space="preserve">CHEMBL3773870</t>
  </si>
  <si>
    <t xml:space="preserve">Agonist activity at human CB2 receptor at &lt;5 uM by Yeast FDLu assay</t>
  </si>
  <si>
    <t xml:space="preserve">CHEMBL3769376</t>
  </si>
  <si>
    <t xml:space="preserve">CHEMBL3778965</t>
  </si>
  <si>
    <t xml:space="preserve">Inverse agonist activity at human CB2 receptor transfected in CHO cells assessed as increase in forksolin stimulated cAMP production at 10 uM by scintillation counting analysis relative to control</t>
  </si>
  <si>
    <t xml:space="preserve">CHEMBL3778966</t>
  </si>
  <si>
    <t xml:space="preserve">Inverse agonist activity at human CB2 receptor transfected in CHO cells assessed as increase in forksolin stimulated cAMP production at 1 uM by scintillation counting analysis relative to control</t>
  </si>
  <si>
    <t xml:space="preserve">CHEMBL3778967</t>
  </si>
  <si>
    <t xml:space="preserve">Inverse agonist activity at human CB2 receptor transfected in CHO cells assessed as increase in forksolin stimulated cAMP production by scintillation counting analysis</t>
  </si>
  <si>
    <t xml:space="preserve">CHEMBL3778968</t>
  </si>
  <si>
    <t xml:space="preserve">Antagonist activity at human CB2 receptor transfected in CHO cells assessed as inhibition of WIN 55,212-2 mediated suppression of forksolin induced cAMP production by scintillation counting analysis</t>
  </si>
  <si>
    <t xml:space="preserve">CHEMBL3778969</t>
  </si>
  <si>
    <t xml:space="preserve">Partial agonist activity at human CB2 receptor transfected in CHO cells assessed as forksolin stimulated cAMP production by scintillation counting analysis relative to control</t>
  </si>
  <si>
    <t xml:space="preserve">CHEMBL3779469</t>
  </si>
  <si>
    <t xml:space="preserve">Binding affinity to human cannabinoid receptor 2 at 10 uM by radioligand binding assay</t>
  </si>
  <si>
    <t xml:space="preserve">CHEMBL3774360</t>
  </si>
  <si>
    <t xml:space="preserve">CHEMBL3782259</t>
  </si>
  <si>
    <t xml:space="preserve">Displacement of [3H]-CP-55940 from human recombinant CB2 receptor expressed in HEK293 cells after 90 mins by Competition binding assay</t>
  </si>
  <si>
    <t xml:space="preserve">CHEMBL3779817</t>
  </si>
  <si>
    <t xml:space="preserve">CHEMBL3782261</t>
  </si>
  <si>
    <t xml:space="preserve">Inverse agonist activity at recombinant human CB2 receptor expressed in CHO-K1 cells assessed as increase in NHK477-induced cAMP production by luminescence assay</t>
  </si>
  <si>
    <t xml:space="preserve">CHEMBL3782265</t>
  </si>
  <si>
    <t xml:space="preserve">Inverse agonist activity at recombinant human CB2 receptor expressed in CHO-K1 cells assessed as increase in NHK477-induced cAMP production by luminescence assay relative to AM630</t>
  </si>
  <si>
    <t xml:space="preserve">CHEMBL3782506</t>
  </si>
  <si>
    <t xml:space="preserve">Displacement of [3H]CP55940 from human CB2 receptor expressed in HEK293-EBNA cell membrane at 40 uM incubated for 90 mins by liquid scintillation counting method relative to control</t>
  </si>
  <si>
    <t xml:space="preserve">CHEMBL3782508</t>
  </si>
  <si>
    <t xml:space="preserve">Antagonist/inverse agonist activity at human CB2 receptors expressed in human Chem4 cell membrane incubated for 30 mins by [35S]GTPgammaS binding assay</t>
  </si>
  <si>
    <t xml:space="preserve">CHEMBL3783897</t>
  </si>
  <si>
    <t xml:space="preserve">Displacement of [3H]CP55940 from human CB2 receptor expressed in HEK293 EBNA cells at 40 uM after 90 mins by liquid scintillation spectrophotometer</t>
  </si>
  <si>
    <t xml:space="preserve">CHEMBL3783898</t>
  </si>
  <si>
    <t xml:space="preserve">Agonist activity at human CB2 receptor expressed in CHO cells after 30 mins by [35S]-GTPgammaS binding assay relative to control</t>
  </si>
  <si>
    <t xml:space="preserve">CHEMBL3791992</t>
  </si>
  <si>
    <t xml:space="preserve">Displacement of [3H]-CP-55940 from human recombinant CB2 receptor expressed in HEK293 cells after 90 mins</t>
  </si>
  <si>
    <t xml:space="preserve">CHEMBL3785023</t>
  </si>
  <si>
    <t xml:space="preserve">CHEMBL3802222</t>
  </si>
  <si>
    <t xml:space="preserve">Inverse agonist activity at human CB2 receptor expressed in CHO cell membranes after 90 mins by [35S]GTPgammaS binding assay</t>
  </si>
  <si>
    <t xml:space="preserve">CHEMBL3802223</t>
  </si>
  <si>
    <t xml:space="preserve">Neutral antagonist activity at human CB2 receptor expressed in CHO cell membranes after 90 mins by [35S]GTPgammaS binding assay</t>
  </si>
  <si>
    <t xml:space="preserve">CHEMBL3802224</t>
  </si>
  <si>
    <t xml:space="preserve">Agonist activity at human CB2 receptor expressed in CHO cell membranes after 90 mins by [35S]GTPgammaS binding assay</t>
  </si>
  <si>
    <t xml:space="preserve">CHEMBL3802225</t>
  </si>
  <si>
    <t xml:space="preserve">Protean agonist activity at human CB2 receptor expressed in CHO cell membranes after 90 mins by [35S]GTPgammaS binding assay</t>
  </si>
  <si>
    <t xml:space="preserve">CHEMBL3802226</t>
  </si>
  <si>
    <t xml:space="preserve">Neutral antagonist activity at human CB2 receptor expressed in CHO cell membranes up to 10 uM after 90 mins by [35S]GTPgammaS binding assay</t>
  </si>
  <si>
    <t xml:space="preserve">CHEMBL3802227</t>
  </si>
  <si>
    <t xml:space="preserve">Antagonist activity at human CB2 receptor expressed in CHO cell membranes assessed as inhibition of HU-210 mediated-stimulation at 1 to 10 uM by [35S]GTPgammaS binding assay</t>
  </si>
  <si>
    <t xml:space="preserve">CHEMBL3802228</t>
  </si>
  <si>
    <t xml:space="preserve">Competitive antagonist activity at human CB2 receptor expressed in CHO cell membranes assessed as inhibition of N-cycloheptyl-4-methoxy-5-methylbiphenyl-3-carboxamide-mediated receptor stimulation by [35S]GTPgammaS binding assay</t>
  </si>
  <si>
    <t xml:space="preserve">CHEMBL3802229</t>
  </si>
  <si>
    <t xml:space="preserve">Inhibition of N-cycloheptyl-4-methoxy-5-methylbiphenyl-3-carboxamide maximal response at human CB2 receptor expressed in CHO cell membranes by [35S]GTPgammaS binding assay</t>
  </si>
  <si>
    <t xml:space="preserve">CHEMBL3806912</t>
  </si>
  <si>
    <t xml:space="preserve">CHEMBL3804799</t>
  </si>
  <si>
    <t xml:space="preserve">CHEMBL3812867</t>
  </si>
  <si>
    <t xml:space="preserve">Displacement of [3H]WIN 55212-2 from human recombinant CB2 receptor expressed in CHO cell membranes at 10 uM after 120 mins by scintillation counting analysis</t>
  </si>
  <si>
    <t xml:space="preserve">CHEMBL3808335</t>
  </si>
  <si>
    <t xml:space="preserve">CHEMBL3819831</t>
  </si>
  <si>
    <t xml:space="preserve">CHEMBL3817762</t>
  </si>
  <si>
    <t xml:space="preserve">CHEMBL3863166</t>
  </si>
  <si>
    <t xml:space="preserve">Inverse agonist activity at human cannabinoid receptor 2 expressed in HEK293 cells assessed as increase in forskolin-induced cAMP production preincubated with cells followed by forskolin stimulation measured after 30 mins in presence of D2-labeled cAMP and Eu3+-TBP-NHS cryptate by HTRF assay</t>
  </si>
  <si>
    <t xml:space="preserve">CHEMBL3862000</t>
  </si>
  <si>
    <t xml:space="preserve">CHEMBL3863180</t>
  </si>
  <si>
    <t xml:space="preserve">Inverse agonist activity at human CB2 receptor transfected in HEK293 cells assessed as increase of forskolin-induced cAMP production incubated for 30 mins followed by d2 labeled cAMP addition measured after 60 mins by HTRF assay</t>
  </si>
  <si>
    <t xml:space="preserve">CHEMBL3862001</t>
  </si>
  <si>
    <t xml:space="preserve">CHEMBL3866934</t>
  </si>
  <si>
    <t xml:space="preserve">Agonist activity at human CB2 receptor expressed in CHO-K1 cells assessed as reduction in NKH-477-induced intracellular cAMP levels after 30 mins in presence of NKH-477 by luminescence assay</t>
  </si>
  <si>
    <t xml:space="preserve">CHEMBL3866935</t>
  </si>
  <si>
    <t xml:space="preserve">Inverse agonist activity at human CB2 receptor expressed in CHO-K1 cells assessed as increase in NKH-477-induced intracellular cAMP levels after 30 mins by luminescence assay</t>
  </si>
  <si>
    <t xml:space="preserve">CHEMBL3866936</t>
  </si>
  <si>
    <t xml:space="preserve">Antagonist activity at human CB2 receptor expressed in CHO-K1 cells assessed as increase in NKH-477-induced intracellular cAMP levels preincubated for 15 mins followed by JWH-133 addition after 30 mins by luminescence assay</t>
  </si>
  <si>
    <t xml:space="preserve">CHEMBL3866938</t>
  </si>
  <si>
    <t xml:space="preserve">Displacement of [3H]-CP-55940 from human CB2 receptor expressed in HEK293 cell membranes at 1 to 10 uM after 90 mins relative to control</t>
  </si>
  <si>
    <t xml:space="preserve">CHEMBL3873273</t>
  </si>
  <si>
    <t xml:space="preserve">Displacement of [3H]CP-55940 from human recombinant CB2 receptor expressed in HEK293 cell membranes at 1 uM incubated for 1.5 hrs relative to control</t>
  </si>
  <si>
    <t xml:space="preserve">CHEMBL3873282</t>
  </si>
  <si>
    <t xml:space="preserve">CHEMBL3873283</t>
  </si>
  <si>
    <t xml:space="preserve">Inverse agonist activity at CB2 receptor (unknown origin)</t>
  </si>
  <si>
    <t xml:space="preserve">CHEMBL3887171</t>
  </si>
  <si>
    <t xml:space="preserve">Competition Receptor Binding Assay: Competition receptor binding was performed as previously described [Shoemaker et al., J. Pharmacol. Exp. Ther., 314:868-75]. Briefly, 50 μg of mouse brain homogenates were incubated for 90 minutes to attain equilibrium binding at room temperature with 0.2 nM [3H]CP-55,940, 5 mM MgCl2, and either increasing cannabinoid concentrations (0.1 nM to 10 μM), 10 Î¼M WIN-55,212-2 (for non-specific binding) or vehicle (for total binding), in triplicate, in a volume of 1 mL of buffer containing 50 mM Tris, 0.05% bovine serum albumin (BSA) and 1% ethanol vehicle. Reactions were terminated by rapid vacuum filtration through Whatman GF/B glass fiber filters, followed by five washes with ice-cold buffer (50 mM Tris, 0.05% BSA). Filters were immediately placed into 7 mL scintillation vials to which 4 mL of ScintiVerse™ BD Cocktail scintillation fluid (Fisher Scientific, Fair Lawn, N.J.) was added. Bound radioactivity was determined after overnight incubation at room temperature and shaking, by liquid scintillation spectrophotometry with an efficiency of 44% (Tri Carb 2100 TR Liquid Scintillation Analyzer, Packard Instrument Company, Meriden, Conn.).</t>
  </si>
  <si>
    <t xml:space="preserve">CHEMBL3886203</t>
  </si>
  <si>
    <t xml:space="preserve">CHEMBL3887286</t>
  </si>
  <si>
    <t xml:space="preserve">CB2 Receptor Binding Protocol: 15.3 ug of membranes (20 ul of 1:20 dilution in incubation buffer) was incubated with 5 ul of drug solution (10E-4M to 10E-12M) and 5ul of 5.4 nM [3H]CP55,940 in a total volume of 200 ul for 90 mins at 30 C. Non-specific binding was determined using 10 uM WIN55,212-2 (Ki=4.4 nM). The membranes were filtered and the filters washed 7x with 0.2 ml ice-cold incubation buffer and allowed to air dry under vacuum.</t>
  </si>
  <si>
    <t xml:space="preserve">CHEMBL3886258</t>
  </si>
  <si>
    <t xml:space="preserve">CHEMBL3887607</t>
  </si>
  <si>
    <t xml:space="preserve">Radioligand Displacement Assay (CP55940): Further characterization of select compounds was performed using radioligand displacement of [3H]1 and equilibrium dissociation constant (Ki) values were determined. Selectivity of these compounds at CB1 versus CB2 was also determined by obtaining Ki values at either receptor using displacement of [3H]CP55940 in membranes of CHO-K1 cells over-expressing either receptor. Data reported are average values from 3-6 measurements.</t>
  </si>
  <si>
    <t xml:space="preserve">CHEMBL3886375</t>
  </si>
  <si>
    <t xml:space="preserve">CHEMBL3888024</t>
  </si>
  <si>
    <t xml:space="preserve">cAMP Assay: The following mixtures and buffer solutions were prepared: (a) Buffer 1: HBSS (Mediatech Cat#21-023-CV) with 5 mM HEPES (1 mM stock, Gibco BRL Cat#15630-056) and 0.1% BSA (7.5% stock, Invitrogen Cat#15260-037); (b) Buffer 2: 0.5 mM IBMX (200 mM stock in DMSO, Sigma 15879) in Buffer 1; (c) 1 uM cAMP Standard (50 uM stock, Perkin Elmer Cat# AD0262) diluted in Buffer 2 and serially diluted in Buffer 2, 12 doses at 1/2 dilutions resulting in a dose range of 1 uM to 0.5 nM; (d) d2 labelled cAMP (CisBio HTRF Detection Kit Cat #62AM4PEB reconstituted with 6 ml dH2O) diluted 1/20 with lysis buffer (CisBio HTRF Detection Kit Cat #62AM4PEB); (e) anti-cAMP (CisBio HTRF Detection Kit Cat #62AM4PEB reconstituted with 5 ml dH2O) diluted 1/20 with lysis buffer (CisBio HTRF Detection Kit Cat #62AM4PEB); and (f) Forskolin (Sigma Cat# F6886, 10 mM in DMSO) diluted first in DMSO to 1 mM and then to 1.5 uM in Buffer 2.</t>
  </si>
  <si>
    <t xml:space="preserve">CHEMBL3886543</t>
  </si>
  <si>
    <t xml:space="preserve">CHEMBL3888026</t>
  </si>
  <si>
    <t xml:space="preserve">Binding Assay: Experimental Procedure CB-2 Membrane Binding: Into Greiner V bottom polypropylene plates, hCB2-HEK293 membranes (2 ug/well final concentration) in assay buffer (50 mM Tris-HCl pH 7.4, 5 mM MgCl2 and 0.5 mg/ml (0.05%) Ultra fatty acid free BSA) were dispensed. Membranes were prepared as described in FELDER, C. C., et al., Molecular Pharmacology, 1992, pp 838-845, Vol. 42. Test compounds were then added to each well and then [3H] CP 55, 940 (0.5 nM final well concentration) in assay buffer (50 mM Tris-HCl pH 7.4, 5 mM MgCl2 and 0.5 mg/ml (0.05%) Ultra fatty acid free BSA) was added. Samples were mixed and incubated for 90 min at 30° C. in the Greiner V Bottom Polypropylene plate. After incubation, assay reagents were transferred to a blocked 384 well polypropylene filter plates. The binding reaction was stopped by filtration and washed nine times with ice cold rinse buffer. Filter plates were then dried overnight at room temperature. The next day, plate bottoms were sealed with plate tape and 15 ul MicroScint 20 was added to each well. Plates were incubated for 2 h and radioactivity was measured by Topcount.</t>
  </si>
  <si>
    <t xml:space="preserve">CHEMBL3888087</t>
  </si>
  <si>
    <t xml:space="preserve">cAMP Assay: CHO cells expressing human CB1 or CB2 receptors are seeded 17-24 hours prior to the experiment 50.000 cells per well in a black 96 well plate with flat clear bottom (Corning Costar #3904) in DMEM (Invitrogen No. 31331), 1.times.HT supplement, with 10% fetal calf serum and incubated at 5% CO2 and 37° C. in a humidified incubator. The growth medium was exchanged with Krebs Ringer Bicarbonate buffer with 1 mM IBMX and incubated at 30.degree. C. for 30 min Compounds were added to a final assay volume of 100 ul and incubated for 30 min at 30° C. Using the cAMP-Nano-TRF detection kit the assay (Roche Diagnostics) was stopped by the addition of 50 ul lysis reagent (Tris, NaCl, 1.5% Triton X100, 2.5% NP40, 10% NaN.sub.3) and 50 ul detection solutions (20 uM mAb Alexa700-cAMP 1:1, and 48 uM Ruthenium-2-AHA-cAMP) and shaken for 2 h at room temperature. The time-resolved energy transfer is measured by a TRF reader (Evotec Technologies GmbH), equipped with a ND:YAG laser as excitation source. The plate is measured twice with the excitation at 355 nm and at the emission with a delay of 100 ns and a gate of 100 ns, total exposure time 10 s at 730 (bandwidth 30 nm) or 645 nm (bandwidth 75 nm), respectively. The FRET signal is calculated.</t>
  </si>
  <si>
    <t xml:space="preserve">CHEMBL3886568</t>
  </si>
  <si>
    <t xml:space="preserve">CHEMBL3888278</t>
  </si>
  <si>
    <t xml:space="preserve">cAMP Assay: CHO cells expressing human CB1 or CB2 receptors are seeded 17-24 hours prior to the experiment 50.000 cells per well in a black 96 well plate with flat clear bottom (Corning Costar #3904) in DMEM (Invitrogen No. 31331), 1×HT supplement, with 10% fetal calf serum and incubated at 5% CO2 and 37 °C. in a humidified incubator. The growth medium was exchanged with Krebs Ringer Bicarbonate buffer with 1 mM IBMX and incubated at 30 °C. for 30 min. Compounds were added to a final assay volume of 100 μl and incubated for 30 min at 30 °C. Using the cAMP-Nano-TRF detection kit the assay (Roche Diagnostics) was stopped by the addition of 50 μl lysis reagent (Tris, NaCl, 1.5% Triton X100, 2.5% NP40, 10% NaN3) and 50 μl detection solutions (20 μM mAb Alexa700-cAMP 1:1, and 48 μM Ruthenium-2-AHA-cAMP) and shaken for 2 h at room temperature. The time-resolved energy transfer is measured by a TRF reader (Evotec Technologies GmbH), equipped with a ND:YAG laser as excitation source. The plate is measured twice with the excitation at 355 nm and at the emission with a delay of 100 ns and a gate of 100 ns, total exposure time 10 s at 730 (bandwidth 30 nm) or 645 nm (bandwidth 75 nm), respectively. The FRET signal is calculated as follows: FRET=T730-Alexa730-P(T645-B645) with P=Ru730-B730/Ru645-B645, where T730 is the test well measured at 730 nM, T645 is the test well measured at 645 nm, B730 and B645 are the buffer controls at 730 nm and 645 nm, respectively. cAMP content is determined from the function of a standard curve spanning from 10 μM to 0.13 nM cAMP.</t>
  </si>
  <si>
    <t xml:space="preserve">CHEMBL3886637</t>
  </si>
  <si>
    <t xml:space="preserve">CHEMBL3888393</t>
  </si>
  <si>
    <t xml:space="preserve">GTPγ[35S] Functional Assay: Functional activity was evaluated using GTPγ[35S] assay in CHO membrane extracts expressing recombinant hCB1 (human CB1) receptors or hCB2 (human CB2) receptors. The assay relies on the binding of GTPγ[35S], a radiolabeled nonhydrolyzable GTP analogue, to the G protein upon binding of an agonist of the G-protein-coupled receptor. In this system, agonists stimulate GTPγ[35S] binding whereas neutral antagonist have no effect and inverse agonists decrease GTPγ[35S] basal binding.</t>
  </si>
  <si>
    <t xml:space="preserve">CHEMBL3886694</t>
  </si>
  <si>
    <t xml:space="preserve">CHEMBL3888395</t>
  </si>
  <si>
    <t xml:space="preserve">Binding Assay: Cell membrane homogenates (15 μg protein) were incubated for 120 min at 37° C. with 0.8 nM [3H]WIN 55212-2 (the reference standard [Munro, 1993 #1321]) in the absence or presence of the test compound in a buffer containing 50 mM HEPES/Tris HCL (pH 7.4), 5 mM MgCl2, 2.5 mM EGTA, and 0.1% BSA. Nonspecific binding was determined in the presence of 10 μM WIN 55212-2. After being incubated, the samples were filtered rapidly under vacuum through glass fiber filters (GF/B; Packard) presoaked with 0.3% PEI and rinsed several times with ice-cold buffer containing 50 mM Tris HCl (pH 7.4) and 0.5% BSA using a 96-sample cell harvester (Unifilter; Packard). The filters were dried then counted for radioactivity in a scintillation counter (Topcount; Packard) using a scintillation cocktail (Microscint 0; Packard).</t>
  </si>
  <si>
    <t xml:space="preserve">CHEMBL3888622</t>
  </si>
  <si>
    <t xml:space="preserve">Competition Binding Assay: The Kd of CP 55,940 in the isolated CB1 and CB2 receptor expressing membranes was previously determined to be 2.3 nM and 1.5 nM, respectively (see Pertwee, R. G. Current Medicinal Chemistry 6 635-664 (1999)). Competition binding assays at 2.5 nM [3H]-CP 55,940 (PerkinElmer) were carried out to determine the K1 values for tested compounds. Membranes (5-10 μg) were incubated with radioligand and a range of concentrations of test compounds in binding buffer (50 mM Tris pH 7.4, 5 mM MgCl2, 1 mM EDTA) with 0.5% (w/v) bovine serum albumin (BSA) (ICP Bio, New Zealand), at 30° C. for 60 min. Stock solutions of putative cannabinoid ligands were prepared in dimethyl sulfoxide to a concentration of 10 mM. Six different final concentrations of compounds were used ranging from 50 μM to 0.1 nM. Non-specific binding was determined in the presence of 1 μM non-radioactive CP 55,940 (Tocris Cookson). Assays were terminated by addition of 2 ml ice cold binding buffer and filtration through GF/C filters (Whatman) pre-soaked in cold binding buffer, followed by two washes in the same buffer.</t>
  </si>
  <si>
    <t xml:space="preserve">CHEMBL3886783</t>
  </si>
  <si>
    <t xml:space="preserve">CHEMBL3888624</t>
  </si>
  <si>
    <t xml:space="preserve">cAMP Assay: Cells were seeded at a density of 10,000 cells per well in poly-L-lysine treated 96-well culture plates (BD Biosciences). The following day wells were incubated with 40 μl DMEM/F12 containing 0.5% (w/v) BSA and 0.5 mM 3-isobutyl-1-methylxanthine (Sigma-Aldrich) for 30 minutes prior to 15 min stimulation with 50 μM forskolin (Tocris Cookson) and varying concentrations of indicated compounds at 37° C., 5% CO2. Assays were stopped by removal of media and addition of 100% ice cold ethanol. Plates were then frozen for a minimum of two hours before complete evaporation of ethanol. The well contents were then reconstituted in 50 μl cAMP assay buffer (20 mM HEPES pH 7.5 and 5 mM EDTA). Half of the reconstituted sample was transferred to round bottom 96-well plates (Greiner Bio-One GmbH) with 50 μl 0.01% w/v PKA (cAMP dependent protein kinase (Sigma-Aldrich) in 1 mM Na citrate pH 6.5 with 2 mM dithiothreitol) and 25 μl [3H]-cAMP (at 22 nM in cAMP assay buffer) (GE Healthcare, Life Sciences). This was allowed to equilibrate for 3-18 hours. Following this a charcoal slurry (5% (w/v) activated charcoal and 0.2% (w/v) BSA in cAMP assay buffer) was added to the samples and the plates centrifuged at 3000×g, 4° C. for 5 min.</t>
  </si>
  <si>
    <t xml:space="preserve">CHEMBL3888626</t>
  </si>
  <si>
    <t xml:space="preserve">[35S]GTPγS Binding Assay: Human CB2 expressing CHO-K1 membranes (5 μg per incubation mixture) were diluted in 50 mM Tris-HCl (pH 7.5) and 0.5 mM EDTA and added to HU compounds in a pre-mixed incubation cocktail. Final incubation concentrations were 55 mM Tris-HCl (pH 7.4), 1 mM EDTA, 100 mM NaCl, 5 mM MgCl2, 0.5% BSA, 50 μM GDP, 0.2 nM [35S]GTPγS (PerkinElmer) with varied HU compound concentration and 5 μg membrane. Incubations were continued for 60 minutes at 30° C. in a shaking water bath. Assays were terminated by addition of 2 ml ice cold wash buffer (50 mM Tris-HCl, pH 7.5 and 5 mM MgCl2) and filtration through pre-soaked GF/C filters (Whatman), followed by two further washes.</t>
  </si>
  <si>
    <t xml:space="preserve">CHEMBL3888824</t>
  </si>
  <si>
    <t xml:space="preserve">Functional Assay: A functional assay screen for the inhibition of adenylate cyclase (AC) activity was chosen as the subsequent assay. This screen would allow us to gain a better understanding of the intrinsic activity of the analogues that displayed moderate to high sub-micromolar affinity for the CBRs. Reaching full-receptor occupancy, which is predicted to produce maximal efficacy, is desirable at 10 μM concentration of all the compounds was used. The non-selective CB1R/CB2R full agonist CP-55,940 was used as a positive control and it produced 45% AC-inhibition at CB1Rs endogenously expressed in Neuro2A cells (FIG. 19A) and 37% AC-inhibition in CHO cell transfected with hCB2 receptors (FIG. 19B). Most compounds tested exhibit AC-inhibition similar to that produced by the full agonist CP-55,940. TV-5-129, TV-6-249, and TV-6-41, however, produce lower AC-inhibition at CB1Rs than the full agonist CP-55,940 with −4, 18, and 16% inhibition, respectively (FIG. 19A). Despite little or no AC-inhibition observed at CB1Rs, these compounds behaved differently at CB2Rs. Specifically, the three compounds in question exhibited AC-inhibition that was in the range of the inhibition seen with CP-55,940 and were shown to inhibit adenylate cyclase with 22.1, 33.2, and 20.8%, respectively (FIG. 19B).</t>
  </si>
  <si>
    <t xml:space="preserve">CHEMBL3888839</t>
  </si>
  <si>
    <t xml:space="preserve">cAMP Assay: CHO cells expressing human CB1 or CB2 receptors are seeded 17-24 hours prior to the experiment 50.000 cells per well in a black 96 well plate with flat clear bottom (Corning Costar #3904) in DMEM (Invitrogen No. 31331), 1×HT supplement, with 10% fetal calf serum and incubated at 5% CO2 and 37° C. in a humidified incubator. The growth medium was exchanged with Krebs Ringer Bicarbonate buffer with 1 mM IBMX and incubated at 30° C. for 30 min. Compounds were added to a final assay volume of 100 μl and incubated for 30 min at 30° C. Using the cAMP-Nano-TRF detection kit the assay (Roche Diagnostics) was stopped by the addition of 50 μl lysis reagent (Tris, NaCl, 1.5% Triton X100, 2.5% NP40, 10% NaN3) and 50 μl detection solutions (20 μM mAb Alexa700-cAMP 1:1, and 48 μM Ruthenium-2-AHA-cAMP) and shaken for 2 h at room temperature. The time-resolved energy transfer is measured by a TRF reader (Evotec Technologies GmbH), equipped with a ND:YAG laser as excitation source. The plate is measured twice with the excitation at 355 nm and at the emission with a delay of 100 ns and a gate of 100 ns, total exposure time 10s at 730 (bandwidth 30 nm) or 645 nm (bandwidth 75 nm), respectively.</t>
  </si>
  <si>
    <t xml:space="preserve">CHEMBL3886855</t>
  </si>
  <si>
    <t xml:space="preserve">CHEMBL3888845</t>
  </si>
  <si>
    <t xml:space="preserve">cAMP Assay: CHO cells expressing human CB1 or CB2 receptors are seeded 17-24 hours prior to the experiment 50.000 cells per well in a black 96 well plate with flat clear bottom (Corning Costar #3904) in DMEM (Invitrogen No. 31331), 1×HT supplement, with 10% fetal calf serum and incubated at 5% CO2 and 37° C. in a humidified incubator. The growth medium was exchanged with Krebs Ringer Bicarbonate buffer with 1 mM IBMX and incubated at 30° C. for 30 min. Compounds were added to a final assay volume of 100 μl and incubated for 30 min at 30° C. Using the cAMP-Nano-TRF detection kit the assay (Roche Diagnostics) was stopped by the addition of 50 μl lysis reagent (Tris, NaCl, 1.5% Triton X100, 2.5% NP40, 10% NaN3) and 50 μl detection solutions (20 μM mAb Alexa700-cAMP 1:1, and 48 μM Ruthenium-2-AHA-cAMP) and shaken for 2 h at room temperature. The time-resolved energy transfer is measured by a TRF reader (Evotec Technologies GmbH), equipped with a ND:YAG laser as excitation source. The plate is measured twice with the excitation at 355 nm and at the emission with a delay of 100 ns and a gate of 100 ns, total exposure time 10 s at 730 (bandwidth 30 nm) or 645 nm (bandwidth 75 nm), respectively. The FRET signal is calculated as follows: FRET=T730-Alexa730-P(T645-B645) with P=Ru730-B730/Ru645-B645, where T730 is the test well measured at 730 nM, T645 is the test well measured at 645 nm, B730 and B645 are the buffer controls at 730 nm and 645 nm, respectively. cAMP content is determined from the function of a standard curve spanning from 10 μM to 0.13 nM cAMP.</t>
  </si>
  <si>
    <t xml:space="preserve">CHEMBL3886858</t>
  </si>
  <si>
    <t xml:space="preserve">CHEMBL3888919</t>
  </si>
  <si>
    <t xml:space="preserve">Binding Assay: The binding assays were performed by testing the ability of the new compounds to displace the radiolabeled synthetic non-selective cannabinoid agonist [3H]CP55940 (168 Ci/mmol; PerkinElmer) from the human CB1 (hCB1) or human CB2 (hCB2) receptors on membranes derived from stably transfected HEK-293 cells (PerkinElmer). Membranes were diluted in assay buffer (50 mM Tris-HCl, 1 mM EDTA, 1 mM MgCl2, 1 mg/ml BSA, pH=7.4). The amount of membrane was determined for each batch of membranes according to protein binding assay. The minimum amount of membrane that gave 50% specific binding was used for the binding assay. In most assays, binding was tested using 8 μg and 4 μg protein of hCB1 and hCB2 membranes, respectively. The tested compounds were dissolved in DMSO and diluted in assay buffer to a final concentration of 0.1% solvent. Total binding of [3H]CP55940 was evaluated with 1.5 nM to hCB1 and with 0.5 nM to hCB2, according to Kd affinity of [3H]CP55940 for the respective membranes. The ability of the tested compounds to displace [3H]CP55940 was evaluated first at a single concentration point of 100 nM for binding toward hCB2 or hCB1. In certain cases, the displacement was tested at compound concentrations ranging from 0.03 nM to 10 μM. Non-specific binding was measured by the addition of 1 μM of unlabelled CP55940 to the tubes. Binding assays were performed in triplicate in a total volume of 500 μl for 60 minutes at 30° C., in a shaking bath. Free and bound radioligands were separated by rapid filtration through GF/C filter plates (PerkinElmer) that had been presoaked with 0.1% Polyethylenimine (Sigma). Filters were shaken for 1 hour in 7 ml scintillation fluid (PerkinElmer) and radioactivity was determined by liquid scintillation counter (Wallac; PerkinElmer).</t>
  </si>
  <si>
    <t xml:space="preserve">CHEMBL3886886</t>
  </si>
  <si>
    <t xml:space="preserve">CHEMBL3889115</t>
  </si>
  <si>
    <t xml:space="preserve">PathHunter Beta-Arrestin Assay: Compound 1 was screened for agonist activity against the human CB2 receptor using the DiscoveRx PathHunter β-arrestin assay which measures the β-arrestin binding to the CB2 receptor upon its activation. CB2 was cloned into the pCMV-PK vector (DiscoveRx, Fremont, Calif.; catalog #93-0167) and transfected into the CHO-K1 EA-Arrestin parental cell line (DiscoveRx, Fremont, Calif.; catalog #93-0164). CHO-K1 positive clones stably expressing the CB2-ProLink fusion protein were identified by their responses to the CB2 agonist CP55,940. Clone #61 was chosen for its big agonist window and homogenous expression as detected by anti-HA flow cytometry.</t>
  </si>
  <si>
    <t xml:space="preserve">CHEMBL3886949</t>
  </si>
  <si>
    <t xml:space="preserve">CHEMBL3998731</t>
  </si>
  <si>
    <t xml:space="preserve">Displacement of [3H]CP55940 from human CB2 receptor expressed in HEK293 EBNA cell membranes at 4 uM after 90 mins by liquid scintillation and luminescence counting method relative to control</t>
  </si>
  <si>
    <t xml:space="preserve">CHEMBL3998735</t>
  </si>
  <si>
    <t xml:space="preserve">Inverse agonist activity at human CB2 receptor expressed in HEK293 EBNA cell membranes after 30 mins by [35S]-GTPgammaS binding assay</t>
  </si>
  <si>
    <t xml:space="preserve">CHEMBL4023568</t>
  </si>
  <si>
    <t xml:space="preserve">Displacement of [3H]-CP55950 from human CB2 receptor expressed in HEK cell membranes at 10 uM after 3 hrs by scintillation counting method relative to control</t>
  </si>
  <si>
    <t xml:space="preserve">CHEMBL4023576</t>
  </si>
  <si>
    <t xml:space="preserve">Agonist activity at CB2 receptor in human U266 cells assessed as decrease in cAMP accumulation at 50 uM after 2 hrs by ELISA</t>
  </si>
  <si>
    <t xml:space="preserve">CHEMBL4023577</t>
  </si>
  <si>
    <t xml:space="preserve">Agonist activity at CB2 receptor in human U266 cells assessed as decrease in AM630-induced cAMP accumulation at 50 uM after 2 hrs by ELISA</t>
  </si>
  <si>
    <t xml:space="preserve">CHEMBL4023578</t>
  </si>
  <si>
    <t xml:space="preserve">Agonist activity at CB2 receptor in human U266 cells assessed as decrease in MIF mRNA expression at 50 uM after 2 hrs by qRT-PCR method</t>
  </si>
  <si>
    <t xml:space="preserve">CHEMBL4023579</t>
  </si>
  <si>
    <t xml:space="preserve">Agonist activity at CB2 receptor in human U266 cells assessed as decrease in STAT3 mRNA expression at 50 uM after 2 hrs by qRT-PCR method</t>
  </si>
  <si>
    <t xml:space="preserve">CHEMBL4023580</t>
  </si>
  <si>
    <t xml:space="preserve">Agonist activity at CB2 receptor in human U266 cells assessed as decrease in AM630-induced MIF mRNA expression at 50 uM after 2 hrs by qRT-PCR method</t>
  </si>
  <si>
    <t xml:space="preserve">CHEMBL4023581</t>
  </si>
  <si>
    <t xml:space="preserve">Agonist activity at CB2 receptor in human U266 cells assessed as decrease in AM630-induced STAT3 mRNA expression at 50 uM after 2 hrs by qRT-PCR method</t>
  </si>
  <si>
    <t xml:space="preserve">CHEMBL4030387</t>
  </si>
  <si>
    <t xml:space="preserve">Agonist activity at human CB2 receptor expressed in mouse AtT-20 cells co expressing GIRK by FLIPR assay</t>
  </si>
  <si>
    <t xml:space="preserve">CHEMBL4030389</t>
  </si>
  <si>
    <t xml:space="preserve">Activity at CB2 receptor (unknown origin)</t>
  </si>
  <si>
    <t xml:space="preserve">CHEMBL4030391</t>
  </si>
  <si>
    <t xml:space="preserve">CHEMBL4031019</t>
  </si>
  <si>
    <t xml:space="preserve">Antagonist activity at human CB2 receptor expressed in rat hematopoietic Chem-4 cells assessed as inhibition of CP55940 induced calcium flux at 10 uM by fluorescence assay</t>
  </si>
  <si>
    <t xml:space="preserve">CHEMBL4028856</t>
  </si>
  <si>
    <t xml:space="preserve">CHEMBL4031046</t>
  </si>
  <si>
    <t xml:space="preserve">Agonist activity at human CB2 receptor expressed in rat hematopoietic Chem-4 cells assessed as induction of calcium flux at 12.5 uM by fluorescence assay</t>
  </si>
  <si>
    <t xml:space="preserve">CHEMBL4036854</t>
  </si>
  <si>
    <t xml:space="preserve">Agonist activity at CB2 receptor (unknown origin) expressed in CHO cells co-expressing G-alpha16 incubated for 24 hrs by fluo-4 AM dye based whole-cell calcium mobilization assay</t>
  </si>
  <si>
    <t xml:space="preserve">CHEMBL4033762</t>
  </si>
  <si>
    <t xml:space="preserve">CHEMBL4036855</t>
  </si>
  <si>
    <t xml:space="preserve">Agonist activity at CB2 receptor (unknown origin) expressed in CHO cells co-expressing G-alpha16 incubated for 24 hrs by fluo-4 AM dye based whole-cell calcium mobilization assay relative to CP55940</t>
  </si>
  <si>
    <t xml:space="preserve">CHEMBL4037469</t>
  </si>
  <si>
    <t xml:space="preserve">Displacement of [3H]CP55,940 from human CB2 receptor expressed in CHOK1 cell membranes after 90 mins</t>
  </si>
  <si>
    <t xml:space="preserve">CHEMBL4033784</t>
  </si>
  <si>
    <t xml:space="preserve">CHEMBL4037474</t>
  </si>
  <si>
    <t xml:space="preserve">Displacement of [3H]CP55,940 from human CB2 receptor expressed in CHOK1 cell membranes at 10 uM after 90 mins relative to control</t>
  </si>
  <si>
    <t xml:space="preserve">CHEMBL4040536</t>
  </si>
  <si>
    <t xml:space="preserve">Agonist activity at human CB2 receptor expressed in CHO cells assessed as induction of Ca2+ flux after 10 mins by Fluor-4 AM dye based assay</t>
  </si>
  <si>
    <t xml:space="preserve">CHEMBL4038324</t>
  </si>
  <si>
    <t xml:space="preserve">CHEMBL4040537</t>
  </si>
  <si>
    <t xml:space="preserve">Agonist activity at human CB2 receptor expressed in CHO cells assessed as induction of Ca2+ flux at 10 uM after 10 mins by Fluor-4 AM dye based assay</t>
  </si>
  <si>
    <t xml:space="preserve">CHEMBL4040538</t>
  </si>
  <si>
    <t xml:space="preserve">Agonist activity at human CB2 receptor expressed in CHO cells assessed as induction of Ca2+ flux after 10 mins by Fluor-4 AM dye based assay relative to CP55940</t>
  </si>
  <si>
    <t xml:space="preserve">CHEMBL4040540</t>
  </si>
  <si>
    <t xml:space="preserve">Antagonist activity at human CB2 receptor expressed in CHO cells assessed as inhibition of CP55940-induced Ca2+ flux at 10 uM preincubated for 10 mins followed by agonist addition by Fluor-4 AM dye based assay</t>
  </si>
  <si>
    <t xml:space="preserve">CHEMBL4040541</t>
  </si>
  <si>
    <t xml:space="preserve">Antagonist activity at human CB2 receptor expressed in CHO cells assessed as inhibition of CP55940-induced Ca2+ flux preincubated for 10 mins followed by agonist addition by Fluor-4 AM dye based assay</t>
  </si>
  <si>
    <t xml:space="preserve">CHEMBL4040542</t>
  </si>
  <si>
    <t xml:space="preserve">Agonist activity at human CB2 receptor expressed in CHO cells assessed as inhibition of forskolin-induced cAMP accumulation preincubated for 20 mins followed by forskolin addition measured after 30 mins by HTRF assay</t>
  </si>
  <si>
    <t xml:space="preserve">CHEMBL4040557</t>
  </si>
  <si>
    <t xml:space="preserve">Agonist activity at human N-terminal HA-tagged CB2 receptor expressed in mouse AtT20 cells by FLIPR membrane potential assay</t>
  </si>
  <si>
    <t xml:space="preserve">CHEMBL4041236</t>
  </si>
  <si>
    <t xml:space="preserve">Antagonist activity at human CB2 receptor expressed in CHO cells co-expressing Galpha16 assessed as inhibition of CP55,940-induced calcium mobilization preincubated for 15 mins followed by CP55,490 addition measured at 1 sec interval for 90 secs by calcium-5 dye based FLIPR assay</t>
  </si>
  <si>
    <t xml:space="preserve">CHEMBL4038344</t>
  </si>
  <si>
    <t xml:space="preserve">CHEMBL4041237</t>
  </si>
  <si>
    <t xml:space="preserve">Agonist activity at human CB2 receptor expressed in CHO cells co-expressing Galpha16 assessed as increase in calcium mobilization at 10 uM measured at 1 sec interval for 90 secs by calcium-5 dye based FLIPR assay relative to CP55,940</t>
  </si>
  <si>
    <t xml:space="preserve">CHEMBL4041238</t>
  </si>
  <si>
    <t xml:space="preserve">Antagonist activity at human CB2 receptor expressed in CHO cells co-expressing Galpha16 assessed as inhibition of CP55,940-induced calcium mobilization at 10 uM preincubated for 15 mins followed by CP55,490 addition measured at 1 sec interval for 90 secs by calcium-5 dye based FLIPR assay relative to CP55,940</t>
  </si>
  <si>
    <t xml:space="preserve">CHEMBL4043614</t>
  </si>
  <si>
    <t xml:space="preserve">Displacement of [3H]CP55,940 from human CB2 receptor expressed in CHOK1 cell membranes at 1 uM after 2 hrs by liquid scintillation counting method relative to control</t>
  </si>
  <si>
    <t xml:space="preserve">CHEMBL4043078</t>
  </si>
  <si>
    <t xml:space="preserve">CHEMBL4043616</t>
  </si>
  <si>
    <t xml:space="preserve">Binding affinity to human CB2 receptor expressed in CHOK1 cells</t>
  </si>
  <si>
    <t xml:space="preserve">CHEMBL4043617</t>
  </si>
  <si>
    <t xml:space="preserve">Displacement of [3H]CP55,940 from human CB2 receptor expressed in CHOK1 cell membranes after 2 hrs by liquid scintillation counting method</t>
  </si>
  <si>
    <t xml:space="preserve">CHEMBL4056821</t>
  </si>
  <si>
    <t xml:space="preserve">Agonist activity at human CB2 receptor expressed in U2OS cells assessed as increase in GFP-tagged beta arrestin recruitment after 75 mins by fluorescence assay</t>
  </si>
  <si>
    <t xml:space="preserve">CHEMBL4052732</t>
  </si>
  <si>
    <t xml:space="preserve">CHEMBL4119682</t>
  </si>
  <si>
    <t xml:space="preserve">Agonist activity at CB2 receptor (unknown origin) expressed in CHO cells assessed as induction of calcium mobilization at 10 uM by fluo-4 AM dye-based fluorescence assay relative to CP55940</t>
  </si>
  <si>
    <t xml:space="preserve">CHEMBL4118078</t>
  </si>
  <si>
    <t xml:space="preserve">CHEMBL4119683</t>
  </si>
  <si>
    <t xml:space="preserve">Antagonist activity at CB2 receptor (unknown origin) expressed in CHO cells assessed as inhibition of CP55940-induced calcium mobilization at 10 uM preincubated for 10 mins followed by CP55940-induction by fluo-4 AM dye-based fluorescence assay relative to SR141716A</t>
  </si>
  <si>
    <t xml:space="preserve">CHEMBL4119685</t>
  </si>
  <si>
    <t xml:space="preserve">Agonist activity at CB2 receptor (unknown origin) expressed in CHO cells assessed as induction of calcium mobilization by fluo-4 AM dye-based fluorescence assay</t>
  </si>
  <si>
    <t xml:space="preserve">CHEMBL4119686</t>
  </si>
  <si>
    <t xml:space="preserve">Agonist activity at CB2 receptor (unknown origin) expressed in CHO cells assessed as induction of calcium mobilization by fluo-4 AM dye-based fluorescence assay relative to CP55940</t>
  </si>
  <si>
    <t xml:space="preserve">CHEMBL4119688</t>
  </si>
  <si>
    <t xml:space="preserve">Potency index, ratio of GW842166X EC50 to test compound EC50 for agonist activity at CB2 receptor (unknown origin)</t>
  </si>
  <si>
    <t xml:space="preserve">CHEMBL4119689</t>
  </si>
  <si>
    <t xml:space="preserve">Potency index, ratio of CP55940 EC50 to test compound EC50 for agonist activity at CB2 receptor (unknown origin)</t>
  </si>
  <si>
    <t xml:space="preserve">CHEMBL4122559</t>
  </si>
  <si>
    <t xml:space="preserve">Inhibition of human Cannabinoid CB2 receptor at 10 uM relative to control</t>
  </si>
  <si>
    <t xml:space="preserve">CHEMBL4118152</t>
  </si>
  <si>
    <t xml:space="preserve">CHEMBL4143889</t>
  </si>
  <si>
    <t xml:space="preserve">Displacement of 3H-CP-55940 from recombinant full length human CB2 receptor expressed in HEK293 cell membranes after 90 mins by topcount scintillation counting analysis</t>
  </si>
  <si>
    <t xml:space="preserve">CHEMBL4138251</t>
  </si>
  <si>
    <t xml:space="preserve">CHEMBL4143893</t>
  </si>
  <si>
    <t xml:space="preserve">Activation of recombinant full length human CB2 receptor expressed in HEK293 cell membranes at 10 uM after 90 mins by topcount scintillation counting analysis relative to control</t>
  </si>
  <si>
    <t xml:space="preserve">CHEMBL4144128</t>
  </si>
  <si>
    <t xml:space="preserve">Agonist activity at recombinant human CB2 receptor expressed in HEK293 cells assessed as increase in beta arrestin recruitment measured after 2 to 3 hrs by PathHunter assay</t>
  </si>
  <si>
    <t xml:space="preserve">CHEMBL4138258</t>
  </si>
  <si>
    <t xml:space="preserve">CHEMBL4144129</t>
  </si>
  <si>
    <t xml:space="preserve">Agonist activity at recombinant human CB2 receptor expressed in HEK293 cells assessed as increase in beta arrestin recruitment measured after 2 to 3 hrs by PathHunter assay relative to CP55940</t>
  </si>
  <si>
    <t xml:space="preserve">CHEMBL4145171</t>
  </si>
  <si>
    <t xml:space="preserve">Agonist activity at N-terminal FLAG-tagged human CB2 receptor transfected in human HTLA cells assessed as induction of beta-arrestin-recruitment after 8 to 14 hrs by bright-glo luminescence based assay</t>
  </si>
  <si>
    <t xml:space="preserve">CHEMBL4138311</t>
  </si>
  <si>
    <t xml:space="preserve">CHEMBL4147286</t>
  </si>
  <si>
    <t xml:space="preserve">Agonist activity at human CB2 receptor expressed in CHO cells assessed as forskolin-induced cAMP accumulation preincubated for 15 mins followed by forskolin addition for 30 mins measured after 1 hr by HTRF assay (Rvb = 100%)</t>
  </si>
  <si>
    <t xml:space="preserve">CHEMBL4147293</t>
  </si>
  <si>
    <t xml:space="preserve">Neutral antagonist activity at human CB2 assessed as inhibition of WIN552122-induced suppression of cAMP formation at 1 uM preincubated for 15 mins followed by forskolin addition for 30 mins measured after 1 hr by HTRF assay</t>
  </si>
  <si>
    <t xml:space="preserve">CHEMBL4147294</t>
  </si>
  <si>
    <t xml:space="preserve">Neutral antagonist activity at human CB2 assessed as restoration of forskolin-induced cAMP formation at 10 uM preincubated for 15 mins followed by forskolin addition for 30 mins measured after 1 hr by HTRF assay</t>
  </si>
  <si>
    <t xml:space="preserve">CHEMBL4147299</t>
  </si>
  <si>
    <t xml:space="preserve">Neutral antagonist activity at human CB2 assessed as inhibition of WIN552122-induced suppression of cAMP formation preincubated for 15 mins followed by forskolin addition for 30 mins measured after 1 hr by HTRF assay</t>
  </si>
  <si>
    <t xml:space="preserve">CHEMBL4147300</t>
  </si>
  <si>
    <t xml:space="preserve">Neutral antagonist activity at human CB2 assessed as restoration of forskolin-induced cAMP formation preincubated for 15 mins followed by forskolin addition for 30 mins measured after 1 hr by HTRF assay</t>
  </si>
  <si>
    <t xml:space="preserve">CHEMBL4153170</t>
  </si>
  <si>
    <t xml:space="preserve">Displacement of [3H]WIN 55212-2 from human recombinant CB2 receptor at 10 uM after 120 mins by scintillation counting analysis relative to control</t>
  </si>
  <si>
    <t xml:space="preserve">CHEMBL4152207</t>
  </si>
  <si>
    <t xml:space="preserve">CHEMBL4155186</t>
  </si>
  <si>
    <t xml:space="preserve">CHEMBL4155187</t>
  </si>
  <si>
    <t xml:space="preserve">Agonist activity at human CB2 receptor expressed in CHO cell membranes after 90 mins by [35S]GTPgammaS binding assay relative to control</t>
  </si>
  <si>
    <t xml:space="preserve">CHEMBL4157964</t>
  </si>
  <si>
    <t xml:space="preserve">Displacement of [3H]CP55940 from membrane bound human CB2 receptor at 100 uM after 1 hr by beta scintillation counting method relative to control</t>
  </si>
  <si>
    <t xml:space="preserve">CHEMBL4152361</t>
  </si>
  <si>
    <t xml:space="preserve">CHEMBL4157965</t>
  </si>
  <si>
    <t xml:space="preserve">Displacement of [3H]CP55940 from membrane bound human CB2 receptor at 10 uM after 1 hr by beta scintillation counting method relative to control</t>
  </si>
  <si>
    <t xml:space="preserve">CHEMBL4157966</t>
  </si>
  <si>
    <t xml:space="preserve">Displacement of [3H]CP55940 from membrane bound human CB2 receptor after 1 hr by beta scintillation counting method</t>
  </si>
  <si>
    <t xml:space="preserve">CHEMBL4186784</t>
  </si>
  <si>
    <t xml:space="preserve">Displacement of [3H]CP,55-940 from recombinant human CB2 receptor expressed in HEK293 EBNA cell membranes at 40 uM after 90 mins by microbeta scintillation counting method relative to control</t>
  </si>
  <si>
    <t xml:space="preserve">CHEMBL4236334</t>
  </si>
  <si>
    <t xml:space="preserve">Agonist activity at recombinant human Cb2 receptor expressed in HEK293 cells assessed as inhibition of forskolin-stimulated cAMP levels</t>
  </si>
  <si>
    <t xml:space="preserve">CHEMBL4236336</t>
  </si>
  <si>
    <t xml:space="preserve">Agonist activity at recombinant human Cb2 receptor expressed in HEK293 cells assessed as inhibition of forskolin-stimulated cAMP levels relative to CP-55940</t>
  </si>
  <si>
    <t xml:space="preserve">CHEMBL4253360</t>
  </si>
  <si>
    <t xml:space="preserve">Agonist activity at recombinant human full length CB2 receptor expressed in HEK293 cell membranes after 2 hrs by [35S]GTP-gammaS binding assay</t>
  </si>
  <si>
    <t xml:space="preserve">CHEMBL4253362</t>
  </si>
  <si>
    <t xml:space="preserve">Agonist activity at recombinant human full length CB2 receptor expressed in HEK293 cell membranes at 100 uM after 2 hrs by [35S]GTP-gammaS binding assay relative to CP-55,940</t>
  </si>
  <si>
    <t xml:space="preserve">CHEMBL4255266</t>
  </si>
  <si>
    <t xml:space="preserve">Inverse agonist activity at human CB2 receptor</t>
  </si>
  <si>
    <t xml:space="preserve">CHEMBL4255268</t>
  </si>
  <si>
    <t xml:space="preserve">Displacement of [3H]CP55,940 from N-terminal HA-tagged human CB2 receptor expressed in HEK293 cell membranes at 10 uM after 1 hr by microbeta scintillation counting method relative to control</t>
  </si>
  <si>
    <t xml:space="preserve">CHEMBL4255275</t>
  </si>
  <si>
    <t xml:space="preserve">Agonist activity at N-terminal HA-tagged human CB2 receptor expressed in HEK293 cells transfected with YFP-Epac-RLuc assessed as decrease in forskolin-stimulated cAMP level by BRET assay</t>
  </si>
  <si>
    <t xml:space="preserve">CHEMBL4255276</t>
  </si>
  <si>
    <t xml:space="preserve">Inverse agonist activity at N-terminal HA-tagged human CB2 receptor expressed in HEK293 cells transfected with YFP-Epac-RLuc assessed as increase in forskolin-stimulated cAMP level by BRET assay</t>
  </si>
  <si>
    <t xml:space="preserve">CHEMBL4255277</t>
  </si>
  <si>
    <t xml:space="preserve">Activity at N-terminal HA-tagged human CB2 receptor expressed in HEK293 cells transfected with YFP-Epac-RLuc assessed as effect on forskolin-stimulated cAMP level by BRET assay</t>
  </si>
  <si>
    <t xml:space="preserve">CHEMBL4255278</t>
  </si>
  <si>
    <t xml:space="preserve">Agonist activity at N-terminal HA-tagged human CB2 receptor expressed in HEK293 cells transfected with YFP-Epac-RLuc assessed as decrease in forskolin-stimulated cAMP level by BRET assay relative to control</t>
  </si>
  <si>
    <t xml:space="preserve">CHEMBL4255279</t>
  </si>
  <si>
    <t xml:space="preserve">Inverse agonist activity at N-terminal HA-tagged human CB2 receptor expressed in HEK293 cells transfected with YFP-Epac-RLuc assessed as increase in forskolin-stimulated cAMP level by BRET assay relative to control</t>
  </si>
  <si>
    <t xml:space="preserve">CHEMBL4255280</t>
  </si>
  <si>
    <t xml:space="preserve">Activity at N-terminal HA-tagged human CB2 receptor expressed in HEK293 cells transfected with YFP-Epac-RLuc assessed as effect on forskolin-stimulated cAMP level by BRET assay relative to control</t>
  </si>
  <si>
    <t xml:space="preserve">CHEMBL4255285</t>
  </si>
  <si>
    <t xml:space="preserve">Agonist activity at N-terminal HA-tagged human CB2 receptor expressed in HEK293 cells transfected with YFP-Epac-RLuc assessed as decrease in forskolin-stimulated cAMP level at 10 uM by BRET assay</t>
  </si>
  <si>
    <t xml:space="preserve">CHEMBL4255286</t>
  </si>
  <si>
    <t xml:space="preserve">Inverse agonist activity at N-terminal HA-tagged human CB2 receptor expressed in HEK293 cells transfected with YFP-Epac-RLuc assessed as increase in forskolin-stimulated cAMP level at 10 uM by BRET assay</t>
  </si>
  <si>
    <t xml:space="preserve">CHEMBL4263065</t>
  </si>
  <si>
    <t xml:space="preserve">Displacement of [3H]CP55940 from beta-galactosidase reporter fused human CB2 receptor expressed in CHOK1 cell membranes at 1 uM after 1 hr by scintillation spectrometric analysis</t>
  </si>
  <si>
    <t xml:space="preserve">CHEMBL4275255</t>
  </si>
  <si>
    <t xml:space="preserve">Displacement of [3H]CP55940 from recombinant human CB2 expressed crude membranes after 90 mins by liquid scintillation counting method</t>
  </si>
  <si>
    <t xml:space="preserve">CHEMBL4270621</t>
  </si>
  <si>
    <t xml:space="preserve">CHEMBL4275257</t>
  </si>
  <si>
    <t xml:space="preserve">Displacement of [3H]CP55940 from recombinant human CB2 expressed in crude membranes at 10 uM after 90 mins by liquid scintillation counting method relative to control</t>
  </si>
  <si>
    <t xml:space="preserve">CHEMBL4276263</t>
  </si>
  <si>
    <t xml:space="preserve">Inverse agonist activity at human CB2 receptor expressed in HEK293 cells assessed as inhibition of forskolin-induced cAMP accumulation after 30 mins by HTRF assay</t>
  </si>
  <si>
    <t xml:space="preserve">CHEMBL4270663</t>
  </si>
  <si>
    <t xml:space="preserve">CHEMBL4309440</t>
  </si>
  <si>
    <t xml:space="preserve">Positive allosteric modulation of human CB2R expressed in CHO cell membranes assessed as increase in [3H]CP55940 binding after 60 mins by liquid scintillation spectrometric method</t>
  </si>
  <si>
    <t xml:space="preserve">CHEMBL4308840</t>
  </si>
  <si>
    <t xml:space="preserve">CHEMBL4309442</t>
  </si>
  <si>
    <t xml:space="preserve">Positive allosteric modulation of human CB2R expressed in CHO cell membranes assessed as increase in CP55940-stimulated [35S]GTPgammaS binding at 100 nM after 90 mins by liquid scintillation counting method</t>
  </si>
  <si>
    <t xml:space="preserve">CHEMBL4309443</t>
  </si>
  <si>
    <t xml:space="preserve">Inhibition of [35S]GTPgammaS binding to human CB2R expressed in CHO cell membranes at 100 nM after 90 mins by liquid scintillation counting method</t>
  </si>
  <si>
    <t xml:space="preserve">CHEMBL4309444</t>
  </si>
  <si>
    <t xml:space="preserve">Stimulation of [35S]GTPgammaS binding to human CB2R expressed in CHO cell membranes at 100 nM after 90 mins by liquid scintillation counting method</t>
  </si>
  <si>
    <t xml:space="preserve">CHEMBL4309445</t>
  </si>
  <si>
    <t xml:space="preserve">Positive allosteric modulation of human CB2R expressed in CHO cell membranes assessed as increase in 2-AG-stimulated [35S]GTPgammaS binding at 100 nM after 90 mins by liquid scintillation counting method</t>
  </si>
  <si>
    <t xml:space="preserve">CHEMBL4309446</t>
  </si>
  <si>
    <t xml:space="preserve">Positive allosteric modulation of human CB2R expressed in CHO cell membranes assessed as increase in AEA-stimulated [35S]GTPgammaS binding at 100 nM after 90 mins by liquid scintillation counting method</t>
  </si>
  <si>
    <t xml:space="preserve">CHEMBL4309447</t>
  </si>
  <si>
    <t xml:space="preserve">Positive allosteric modulation of human CB2R expressed in CHO cell membranes assessed as decrease in [3H]CP55940 dissociation at 100 nM up to 2 hrs by liquid scintillation spectrometric method</t>
  </si>
  <si>
    <t xml:space="preserve">CHEMBL4311103</t>
  </si>
  <si>
    <t xml:space="preserve">CHEMBL4308884</t>
  </si>
  <si>
    <t xml:space="preserve">CHEMBL4312727</t>
  </si>
  <si>
    <t xml:space="preserve">Activity at human CB2 receptor at 10 uM</t>
  </si>
  <si>
    <t xml:space="preserve">CHEMBL4311943</t>
  </si>
  <si>
    <t xml:space="preserve">CHEMBL4327234</t>
  </si>
  <si>
    <t xml:space="preserve">Displacement of [3H]CP55940 from recombinant human CB2R expressed in HEK293 cell membranes at 10 uM measured after 90 mins relative to control</t>
  </si>
  <si>
    <t xml:space="preserve">CHEMBL4327236</t>
  </si>
  <si>
    <t xml:space="preserve">Agonist activity at recombinant human CB2R expressed in CHOK1 cells assessed as inhibition of NKH477-stimulated intracellular cAMP levels after 30 mins by chemiluminescent assay</t>
  </si>
  <si>
    <t xml:space="preserve">CHEMBL4327237</t>
  </si>
  <si>
    <t xml:space="preserve">Agonist activity at recombinant human CB2R expressed in CHOK1 cells assessed as inhibition of NKH477-stimulated intracellular cAMP levels preincubated for 15 mins followed by CB2R agonist JWH133 addition and measured after 30 mins by chemiluminescent assay</t>
  </si>
  <si>
    <t xml:space="preserve">CHEMBL4327238</t>
  </si>
  <si>
    <t xml:space="preserve">Activity at recombinant human CB2R expressed in CHOK1 cells assessed as effect on basal intracellular cAMP levels at higher concentration measured after 30 mins by chemiluminescent assay</t>
  </si>
  <si>
    <t xml:space="preserve">CHEMBL4340151</t>
  </si>
  <si>
    <t xml:space="preserve">Displacement of [3H]-CP55940 from human recombinant cannabinoid CB2 receptor expressed in HEK293 cell membranes incubated for 90 mins</t>
  </si>
  <si>
    <t xml:space="preserve">CHEMBL4340153</t>
  </si>
  <si>
    <t xml:space="preserve">Noncompetitive antagonist activity at human recombinant cannabinoid CB2 receptor expressed in CHOK1 cells assessed as inhibition of NKH-477-induced cAMP accumulation pre-incubated for 15 mins before NKH-477 stimulation for 30 mins by chemiluminescent detection based cAMP Hunter assay</t>
  </si>
  <si>
    <t xml:space="preserve">CHEMBL4340154</t>
  </si>
  <si>
    <t xml:space="preserve">Activity at human recombinant cannabinoid CB2 receptor expressed in CHOK1 cells assessed as induction of cAMP content back to basal condition up to 25 uM pre-incubated for 15 mins before NKH-477 stimulation for 30 mins by chemiluminescent detection based cAMP Hunter assay</t>
  </si>
  <si>
    <t xml:space="preserve">CHEMBL4340155</t>
  </si>
  <si>
    <t xml:space="preserve">Noncompetitive antagonist activity at human recombinant cannabinoid CB2 receptor expressed in CHOK1 cells assessed as inhibition of NKH-477-induced cAMP accumulation by measuring parallel shifts of NKH-477 concentration-response curves pre-incubated for 15 mins before NKH-477 stimulation for 30 mins by chemiluminescent detection based cAMP Hunter assay based Schild plot analysis</t>
  </si>
  <si>
    <t xml:space="preserve">CHEMBL4344216</t>
  </si>
  <si>
    <t xml:space="preserve">Antagonist activity at human Gi/o-coupled CNR2 expressed in CHOK1 cells assessed as inhibition in CP55940-induced beta-arrestin 2 recruitment at 20 uM incubated for 30 mins followed by CP55940 addition and measured after 90 or 180 mins by pathhunter beta-arrestin assay relative to control</t>
  </si>
  <si>
    <t xml:space="preserve">CHEMBL4342456</t>
  </si>
  <si>
    <t xml:space="preserve">CHEMBL4344226</t>
  </si>
  <si>
    <t xml:space="preserve">Antagonist activity at human Gi/o-coupled CNR2 expressed in CHOK1 cells assessed as inhibition in CP55940-induced beta-arrestin 2 recruitment incubated for 30 mins followed by CP55940 addition and measured after 90 or 180 mins by pathhunter beta-arrestin assay</t>
  </si>
  <si>
    <t xml:space="preserve">CHEMBL4354886</t>
  </si>
  <si>
    <t xml:space="preserve">Inhibition of 3H-CP55,940 tracer binding to human CB2 receptor expressed in Sf9 insect cell membranes after 1 hr by scintillation counting method</t>
  </si>
  <si>
    <t xml:space="preserve">CHEMBL4356270</t>
  </si>
  <si>
    <t xml:space="preserve">Binding affinity in human CB2R expressed in human HEK cells incubated for 3 hrs by microbeta scintillation counting</t>
  </si>
  <si>
    <t xml:space="preserve">CHEMBL4356278</t>
  </si>
  <si>
    <t xml:space="preserve">Displacement of [3H]-CP55940 from human recombinant cannabinoid CB2 receptor expressed in human HEK cells at 10 uM by radioligand binding assay relative to control</t>
  </si>
  <si>
    <t xml:space="preserve">CHEMBL4356280</t>
  </si>
  <si>
    <t xml:space="preserve">Agonist activity at CB2R in human U266 cells assessed as reduction in MIF gene expression at 50 uM incubated for 2 hrs by qRT-PCR analysis</t>
  </si>
  <si>
    <t xml:space="preserve">CHEMBL4356281</t>
  </si>
  <si>
    <t xml:space="preserve">Agonist activity at CB2R in human U266 cells assessed as reduction in STAT3 gene expression at 50 uM incubated for 2 hrs by qRT-PCR analysis</t>
  </si>
  <si>
    <t xml:space="preserve">CHEMBL4356282</t>
  </si>
  <si>
    <t xml:space="preserve">Agonist activity at CB2R in human U266 cells assessed as reduction in MIF gene expression at 50 uM pretreated for 30 mins with AM630 and incubated for 2 hrs by qRT-PCR analysis</t>
  </si>
  <si>
    <t xml:space="preserve">CHEMBL4356283</t>
  </si>
  <si>
    <t xml:space="preserve">Agonist activity at CB2R in human U266 cells assessed as reduction in STAT3 gene expression at 50 uM pretreated for 30 mins with AM630 incubated for 2 hrs by qRT-PCR analysis</t>
  </si>
  <si>
    <t xml:space="preserve">CHEMBL4356284</t>
  </si>
  <si>
    <t xml:space="preserve">Agonist activity at human CB2R expressed in CHO-K1 cells assessed as increase in intracellular calcium mobilization by calcein4-AM dye based fluorescence assay</t>
  </si>
  <si>
    <t xml:space="preserve">CHEMBL4356285</t>
  </si>
  <si>
    <t xml:space="preserve">Agonist activity at human CB2R expressed in CHO-K1 cells assessed as increase in intracellular calcium mobilization by calcein4-AM dye based fluorescence assay relative to control</t>
  </si>
  <si>
    <t xml:space="preserve">CHEMBL4358606</t>
  </si>
  <si>
    <t xml:space="preserve">Activity at human CB2 receptor up to 10 uM</t>
  </si>
  <si>
    <t xml:space="preserve">CHEMBL4354855</t>
  </si>
  <si>
    <t xml:space="preserve">CHEMBL4361908</t>
  </si>
  <si>
    <t xml:space="preserve">Agonist activity at human CB2 receptor expressed in AtT-20 cells measured every 2 secs for 2 mins by FLIPR assay</t>
  </si>
  <si>
    <t xml:space="preserve">CHEMBL4359856</t>
  </si>
  <si>
    <t xml:space="preserve">CHEMBL4361909</t>
  </si>
  <si>
    <t xml:space="preserve">Agonist activity at human CB2 receptor expressed in AtT-20 cells at 10 uM measured every 2 secs for 2 mins by FLIPR assay relative to control</t>
  </si>
  <si>
    <t xml:space="preserve">CHEMBL4361910</t>
  </si>
  <si>
    <t xml:space="preserve">Agonist activity at human CB2 receptor expressed in AtT-20 cells at 1 uM measured every 2 secs for 2 mins by FLIPR assay relative to control</t>
  </si>
  <si>
    <t xml:space="preserve">CHEMBL4364100</t>
  </si>
  <si>
    <t xml:space="preserve">Displacement of [3H]CP55940 from human CB2 receptor expressed in HEK293 cells by competition-equilibrium binding analysis</t>
  </si>
  <si>
    <t xml:space="preserve">CHEMBL4359929</t>
  </si>
  <si>
    <t xml:space="preserve">CHEMBL4364975</t>
  </si>
  <si>
    <t xml:space="preserve">A</t>
  </si>
  <si>
    <t xml:space="preserve">Displacement of [3H]CP55940 from human CB2 receptor expressed in HEK293 cell membranes</t>
  </si>
  <si>
    <t xml:space="preserve">CHEMBL4364254</t>
  </si>
  <si>
    <t xml:space="preserve">CHEMBL4365010</t>
  </si>
  <si>
    <t xml:space="preserve">Displacement of [3H]WIN55212-2 from recombinant human CB2 receptor after 120 mins by scintillation counting analysis</t>
  </si>
  <si>
    <t xml:space="preserve">CHEMBL4365104</t>
  </si>
  <si>
    <t xml:space="preserve">Displacement of 3[H]-CP55940 from human recombinant CB2 receptor expressed in HEK293 cell membranes measured after 90 mins</t>
  </si>
  <si>
    <t xml:space="preserve">CHEMBL4365107</t>
  </si>
  <si>
    <t xml:space="preserve">Inverse agonist activity at recombinant human CB2R expressed in CHOK1 cells assessed as increase in NKH477-stimulated intracellular cAMP levels after 30 mins by chemiluminescent based cAMP Hunter assay</t>
  </si>
  <si>
    <t xml:space="preserve">CHEMBL4365108</t>
  </si>
  <si>
    <t xml:space="preserve">Inverse agonist activity at recombinant human CB2R expressed in CHOK1 cells assessed as increase in NKH477-stimulated intracellular cAMP levels preincubated for 15 mins followed by CB2 agonist JWH-133 addition and measured after 30 mins by chemiluminescent based cAMP Hunter assay</t>
  </si>
  <si>
    <t xml:space="preserve">CHEMBL4365115</t>
  </si>
  <si>
    <t xml:space="preserve">Potency index, ratio of SR144528 Ki to compound Ki for displacement of 3[H]-CP55940 from human recombinant CB2</t>
  </si>
  <si>
    <t xml:space="preserve">CHEMBL4367881</t>
  </si>
  <si>
    <t xml:space="preserve">Agonist activity at N-terminal Flag epitope tagged CB2 (unknown origin) expressed in HTLA cells assessed as increase of beta-arrestin recruitment by Tango assay</t>
  </si>
  <si>
    <t xml:space="preserve">CHEMBL4367882</t>
  </si>
  <si>
    <t xml:space="preserve">Antagonist activity at N-terminal Flag epitope tagged CB2 (unknown origin) expressed in HTLA cells assessed as decrease in CP55940-induced beta-arrestin recruitment pretreated with non-selective cannabinoid receptor agonist CP55940 for 30 mins and measured after 20 mins by Tango assay</t>
  </si>
  <si>
    <t xml:space="preserve">CHEMBL4367885</t>
  </si>
  <si>
    <t xml:space="preserve">Agonist activity at recombinant human CB2R expressed in CHOK1 cells assessed as inhibition of NKH477-stimulated intracellular cAMP levels after 30 mins by chemiluminescent detection based cAMP Hunter assay</t>
  </si>
  <si>
    <t xml:space="preserve">CHEMBL4367897</t>
  </si>
  <si>
    <t xml:space="preserve">Displacement of [3H]CP55940 from recombinant human CB2R expressed in HEK293 cell membranes at 10 uM incubated for 90 mins relative to control</t>
  </si>
  <si>
    <t xml:space="preserve">CHEMBL4369515</t>
  </si>
  <si>
    <t xml:space="preserve">Displacement of [3H]CP55940 from recombinant human CB2 receptor expressed in HEK293 cell membranes at 50 uM measured after 90 mins relative to control</t>
  </si>
  <si>
    <t xml:space="preserve">CHEMBL4369516</t>
  </si>
  <si>
    <t xml:space="preserve">Displacement of [3H]CP55940 from recombinant human CB2 receptor expressed in HEK293 cell membranes at 25 uM measured after 90 mins relative to control</t>
  </si>
  <si>
    <t xml:space="preserve">CHEMBL4369517</t>
  </si>
  <si>
    <t xml:space="preserve">Displacement of [3H]CP55940 from recombinant human CB2 receptor expressed in HEK293 cell membranes at 10 uM measured after 90 mins relative to control</t>
  </si>
  <si>
    <t xml:space="preserve">CHEMBL4369519</t>
  </si>
  <si>
    <t xml:space="preserve">Agonist activity at recombinant human CB2 receptor expressed in HEK293 cell membranes assessed as reduction in NKH-477-induced cAMP accumulation measured after 30 mins by luminescence assay</t>
  </si>
  <si>
    <t xml:space="preserve">CHEMBL4369520</t>
  </si>
  <si>
    <t xml:space="preserve">Antagonist/inverse agonist activity at recombinant human CB2 receptor expressed in HEK293 cell membranes assessed as increase in NKH-477-induced cAMP accumulation measured after 30 mins by luminescence assay</t>
  </si>
  <si>
    <t xml:space="preserve">CHEMBL4369521</t>
  </si>
  <si>
    <t xml:space="preserve">Antagonist/inverse agonist activity at recombinant human CB2 receptor expressed in HEK293 cell membranes assessed as increase in NKH-477-induced cAMP accumulation preincubated followed by CB2 agonist JWH-133 addition and measured after 30 mins by luminescence assay</t>
  </si>
  <si>
    <t xml:space="preserve">CHEMBL4374200</t>
  </si>
  <si>
    <t xml:space="preserve">Agonist activity at human CB2 receptor expressed in CHO cells coexpressing Galpha16 assessed as reduction in forsklin-induced cAMP production incubated for 30 mins by cAMP Hunter assay based fluorometric analysis</t>
  </si>
  <si>
    <t xml:space="preserve">CHEMBL4373651</t>
  </si>
  <si>
    <t xml:space="preserve">CHEMBL4374869</t>
  </si>
  <si>
    <t xml:space="preserve">Agonist activity at human CB2-receptor expressed in CHO-K1 cells coexpressing G-alpha16 by Fluo-4-AM dye based calcium mobilization assay</t>
  </si>
  <si>
    <t xml:space="preserve">CHEMBL4373687</t>
  </si>
  <si>
    <t xml:space="preserve">CHEMBL4374870</t>
  </si>
  <si>
    <t xml:space="preserve">Agonist activity at human CB2-receptor expressed in CHO-K1 cells coexpressing G-alpha16 assessed as maximum efficacy by Fluo-4-AM dye based calcium mobilization assay relative to CP55940</t>
  </si>
  <si>
    <t xml:space="preserve">CHEMBL4374872</t>
  </si>
  <si>
    <t xml:space="preserve">Antagonist activity at human CB2-receptor expressed in CHO-K1 cells coexpressing G-alpha16 pre-incubated for 10 mins and later treated with 100 nM CB-receptor agonist, CP55940 by Fluo-4-AM dye based calcium mobilization assay</t>
  </si>
  <si>
    <t xml:space="preserve">CHEMBL4374880</t>
  </si>
  <si>
    <t xml:space="preserve">Agonist activity at human CB2-receptor expressed in CHO-K1 cells coexpressing G-alpha16 at 10 uM by Fluo-4-AM dye based calcium mobilization assay</t>
  </si>
  <si>
    <t xml:space="preserve">CHEMBL4374881</t>
  </si>
  <si>
    <t xml:space="preserve">Antagonist activity at human CB2-receptor expressed in CHO-K1 cells coexpressing G-alpha16 at 10 uM pre-incubated for 10 mins and later treated with 100 nM CB-receptor agonist, CP55940 by Fluo-4-AM dye based calcium mobilization assay</t>
  </si>
  <si>
    <t xml:space="preserve">CHEMBL4383898</t>
  </si>
  <si>
    <t xml:space="preserve">Displacement of [3H]CP-55,940 from recombinant human CB2 receptor expressed in HEK293 cells at &gt;1 uM after 1 hr by scintillation counting method</t>
  </si>
  <si>
    <t xml:space="preserve">CHEMBL4382224</t>
  </si>
  <si>
    <t xml:space="preserve">CHEMBL4388182</t>
  </si>
  <si>
    <t xml:space="preserve">Displacement of [3H]WIN55212-2 from full-length recombinant human CB2 receptor expressed in human Chem1 cells at 10 uM measured after 90 mins by scintillation counting method relative to control</t>
  </si>
  <si>
    <t xml:space="preserve">CHEMBL4387706</t>
  </si>
  <si>
    <t xml:space="preserve">CHEMBL4388772</t>
  </si>
  <si>
    <t xml:space="preserve">Agonist activity at human CB2 receptor assessed as reduction in PEG2 level at 20 uM incubated for 10 mins relative to control</t>
  </si>
  <si>
    <t xml:space="preserve">CHEMBL4387731</t>
  </si>
  <si>
    <t xml:space="preserve">CHEMBL4388777</t>
  </si>
  <si>
    <t xml:space="preserve">Agonist activity at human CB2 receptor assessed as inhibition of capsaicin-induced depolarization at 20 uM incubated for 10 mins relative to control</t>
  </si>
  <si>
    <t xml:space="preserve">CHEMBL4402261</t>
  </si>
  <si>
    <t xml:space="preserve">Inhibition of CB2 receptor (unknown origin) up to 10000 nM</t>
  </si>
  <si>
    <t xml:space="preserve">CHEMBL4400569</t>
  </si>
  <si>
    <t xml:space="preserve">CHEMBL4411493</t>
  </si>
  <si>
    <t xml:space="preserve">Agonist activity at recombinant human Cb2 receptor expressed in CHOK1 cells assessed as inhibition of forskolin-stimulated cAMP levels measured up to 30 mins by luminescence assay</t>
  </si>
  <si>
    <t xml:space="preserve">CHEMBL4416369</t>
  </si>
  <si>
    <t xml:space="preserve">Antagonist activity at human CB2 receptor expressed in CHO cells co-expressing Galpha16 assessed as inhibition of EC80 CP55,940-induced calcium mobilization preincubated for 15 mins followed by CP55,490 addition measured at 1 sec interval for 90 secs by calcium-5 dye based FLIPR assay</t>
  </si>
  <si>
    <t xml:space="preserve">CHEMBL4414612</t>
  </si>
  <si>
    <t xml:space="preserve">CHEMBL4416380</t>
  </si>
  <si>
    <t xml:space="preserve">CHEMBL4416381</t>
  </si>
  <si>
    <t xml:space="preserve">Antagonist activity at human CB2 receptor expressed in CHO cells co-expressing Galpha16 assessed as inhibition of EC80 CP55,940-induced calcium mobilization at 10 uM preincubated for 15 mins followed by CP55,490 addition measured at 1 sec interval for 90 secs by calcium-5 dye based FLIPR assay relative to CP55,940</t>
  </si>
  <si>
    <t xml:space="preserve">CHEMBL4424605</t>
  </si>
  <si>
    <t xml:space="preserve">Displacement of [3H]CP55,940 to human CB2 receptor expressed in cell membranes after 90 mins by liquid scintillation counting</t>
  </si>
  <si>
    <t xml:space="preserve">CHEMBL4422672</t>
  </si>
  <si>
    <t xml:space="preserve">CHEMBL4424606</t>
  </si>
  <si>
    <t xml:space="preserve">Displacement of [3H]CP55,940 to human CB2 receptor expressed in cell membranes at 10 uM after 90 mins by liquid scintillation counting relative to control</t>
  </si>
  <si>
    <t xml:space="preserve">CHEMBL4426141</t>
  </si>
  <si>
    <t xml:space="preserve">Displacement of [3H]-CP55940 from human CB2 receptor expressed in HEK293 cell membranes after 1 hr by liquid scintillation spectrometric method</t>
  </si>
  <si>
    <t xml:space="preserve">CHEMBL4426144</t>
  </si>
  <si>
    <t xml:space="preserve">Agonist activity at human CB2 receptor expressed in HEK293 cell membranes assessed as inhibition of forskolin-stimulated cAMP accumulation at 200 nM after 60 mins by HTRF assay</t>
  </si>
  <si>
    <t xml:space="preserve">CHEMBL4426145</t>
  </si>
  <si>
    <t xml:space="preserve">Agonist activity at human CB2 receptor expressed in HEK293 cell membranes assessed as inhibition of forskolin-stimulated cAMP accumulation at 1 uM after 60 mins by HTRF assay</t>
  </si>
  <si>
    <t xml:space="preserve">CHEMBL4426146</t>
  </si>
  <si>
    <t xml:space="preserve">Partial agonist activity at human CB2 receptor expressed in HEK293 cell membranes assessed as inhibition of forskolin-stimulated cAMP accumulation at 200 nM after 60 mins by HTRF assay</t>
  </si>
  <si>
    <t xml:space="preserve">CHEMBL4426147</t>
  </si>
  <si>
    <t xml:space="preserve">Partial agonist activity at human CB2 receptor expressed in HEK293 cell membranes assessed as inhibition of forskolin-stimulated cAMP accumulation at 1 uM after 60 mins by HTRF assay</t>
  </si>
  <si>
    <t xml:space="preserve">CHEMBL4426148</t>
  </si>
  <si>
    <t xml:space="preserve">Agonist activity at human CB2 receptor expressed in HEK293 cell membranes assessed as inhibition of forskolin-stimulated cAMP accumulation after 60 mins by HTRF assay</t>
  </si>
  <si>
    <t xml:space="preserve">CHEMBL4426149</t>
  </si>
  <si>
    <t xml:space="preserve">Agonist activity at human CB2 receptor expressed in HEK293 cell membranes assessed as induction of [35S]-GTPgammaS binding after 60 mins by liquid scintillation spectrometric method</t>
  </si>
  <si>
    <t xml:space="preserve">CHEMBL4426151</t>
  </si>
  <si>
    <t xml:space="preserve">Antagonist activity at human CB2 receptor expressed in HEK293 cell membranes assessed as inhibition of CP55940-mediated suppression of forskolin-stimulated cAMP accumulation at 200 nM after 60 mins by HTRF assay</t>
  </si>
  <si>
    <t xml:space="preserve">CHEMBL4426152</t>
  </si>
  <si>
    <t xml:space="preserve">Antagonist activity at human CB2 receptor expressed in HEK293 cell membranes assessed as inhibition of CP55940-mediated suppression of forskolin-stimulated cAMP accumulation at 1 uM after 60 mins by HTRF assay</t>
  </si>
  <si>
    <t xml:space="preserve">CHEMBL4426864</t>
  </si>
  <si>
    <t xml:space="preserve">Agonist activity at human CB2 receptor expressed in HEK293 cells assessed as decrease in forskolin-stimulated cAMP levels after 30 mins</t>
  </si>
  <si>
    <t xml:space="preserve">CHEMBL4426865</t>
  </si>
  <si>
    <t xml:space="preserve">Agonist activity at human CB2 receptor expressed in HEK293 cells assessed as decrease in forskolin-stimulated cAMP levels at 500 nM after 30 mins relative to CP-55940</t>
  </si>
  <si>
    <t xml:space="preserve">CHEMBL4430867</t>
  </si>
  <si>
    <t xml:space="preserve">Antagonist activity at human CB2 receptor expressed in CHO cells assessed as inhibition of WIN 55,212-2-induced reduction in forskolin-stimulated cAMP accumulation at 0.1 to 10 uM by immunoassay</t>
  </si>
  <si>
    <t xml:space="preserve">CHEMBL4430868</t>
  </si>
  <si>
    <t xml:space="preserve">Antagonist activity at human CB2 receptor expressed in CHO cells assessed as inhibition of WIN 55,212-2-induced reduction in forskolin-stimulated cAMP accumulation by immunoassay</t>
  </si>
  <si>
    <t xml:space="preserve">CHEMBL4430869</t>
  </si>
  <si>
    <t xml:space="preserve">Antagonist activity at human CB2 receptor expressed in CHO cells assessed as inhibition of WIN 55,212-2-induced reduction in forskolin-stimulated cAMP accumulation by Schild plot analysis</t>
  </si>
  <si>
    <t xml:space="preserve">CHEMBL4430870</t>
  </si>
  <si>
    <t xml:space="preserve">Inverse agonist activity at human CB2 receptor expressed in CHO cells assessed as increase in forskolin-stimulated cAMP production at 1 to 10 uM by immunoassay</t>
  </si>
  <si>
    <t xml:space="preserve">CHEMBL4430871</t>
  </si>
  <si>
    <t xml:space="preserve">Inverse agonist activity at human CB2 receptor expressed in CHO cells assessed as increase in forskolin-stimulated cAMP production at 0.1 uM by immunoassay</t>
  </si>
  <si>
    <t xml:space="preserve">CHEMBL4430873</t>
  </si>
  <si>
    <t xml:space="preserve">CHEMBL4430875</t>
  </si>
  <si>
    <t xml:space="preserve">Displacement of [3H]CP-55,940 from human frontal cortex CB2 receptor expressed in CHO cell membrane after 1 hr by scintillation counting method</t>
  </si>
  <si>
    <t xml:space="preserve">CHEMBL4432236</t>
  </si>
  <si>
    <t xml:space="preserve">Agonist activity at human CB2R expressed in CHO cells by Ca2+ flux assay</t>
  </si>
  <si>
    <t xml:space="preserve">CHEMBL4480769</t>
  </si>
  <si>
    <t xml:space="preserve">Agonist activity at human CB2 receptor expressed in CHO cell membranes assessed as [35S]GTPgammaS binding after 1 hr by beta-counting analysis</t>
  </si>
  <si>
    <t xml:space="preserve">CHEMBL4480770</t>
  </si>
  <si>
    <t xml:space="preserve">Agonist activity at human CB2 receptor expressed in CHO cell membranes assessed as [35S]GTPgammaS binding after 1 hr by beta-counting analysis relative to control</t>
  </si>
  <si>
    <t xml:space="preserve">CHEMBL4480787</t>
  </si>
  <si>
    <t xml:space="preserve">Displacement of [3H]-CP-55940 from human CB2 receptor expressed in CHO cell membranes at 10 uM after 1 hr by beta-counting analysis</t>
  </si>
  <si>
    <t xml:space="preserve">CHEMBL4481238</t>
  </si>
  <si>
    <t xml:space="preserve">CHEMBL4480400</t>
  </si>
  <si>
    <t xml:space="preserve">CHEMBL4481239</t>
  </si>
  <si>
    <t xml:space="preserve">Antagonist activity at human CB2 receptor</t>
  </si>
  <si>
    <t xml:space="preserve">CHEMBL4602880</t>
  </si>
  <si>
    <t xml:space="preserve">Inhibition of human CB2 receptor at 10 uM</t>
  </si>
  <si>
    <t xml:space="preserve">CHEMBL4602604</t>
  </si>
  <si>
    <t xml:space="preserve">CHEMBL4603399</t>
  </si>
  <si>
    <t xml:space="preserve">Displacement of [3H]WIN55212-2 from recombinant full length human recombinant CB2 receptor expressed in CHOK1 cells at 10 uM measured after 90 mins by radiometric scintillation analysis relative to control</t>
  </si>
  <si>
    <t xml:space="preserve">CHEMBL4602617</t>
  </si>
  <si>
    <t xml:space="preserve">CHEMBL4615448</t>
  </si>
  <si>
    <t xml:space="preserve">Inhibition of CB2 receptor (unknown origin) expressed in Flpin-CHO cells incubated for 10 mins by Eu-cAMP tracer based cAMP accumulation assay</t>
  </si>
  <si>
    <t xml:space="preserve">CHEMBL4613273</t>
  </si>
  <si>
    <t xml:space="preserve">CHEMBL4615449</t>
  </si>
  <si>
    <t xml:space="preserve">Inhibition of CB2 receptor (unknown origin) expressed in Flpin-CHO cells at 100 uM incubated for 10 mins by Eu-cAMP tracer based cAMP accumulation assay relative to control</t>
  </si>
  <si>
    <t xml:space="preserve">CHEMBL4618691</t>
  </si>
  <si>
    <t xml:space="preserve">CHEMBL4618692</t>
  </si>
  <si>
    <t xml:space="preserve">CHEMBL4618707</t>
  </si>
  <si>
    <t xml:space="preserve">Antagonist activity at TNF-alpha induced CB2R in human HC-OA cells assessed as decreased in IL-1beta mRNA production preincubated for 1 hr followed by TNF-alpha stimulation measured after 5 hrs by RT-PCR analysis</t>
  </si>
  <si>
    <t xml:space="preserve">CHEMBL4618708</t>
  </si>
  <si>
    <t xml:space="preserve">Antagonist activity at TNF-alpha induced CB2R in human HC-OA cells assessed as decreased in IL-1beta mRNA production preincubated for 1 hr followed by TNF-alpha stimulation measured after 5 hrs in presence of AM-630 by RT-PCR analysis</t>
  </si>
  <si>
    <t xml:space="preserve">CHEMBL4622310</t>
  </si>
  <si>
    <t xml:space="preserve">CHEMBL4619807</t>
  </si>
  <si>
    <t xml:space="preserve">CHEMBL4622311</t>
  </si>
  <si>
    <t xml:space="preserve">Antagonist activity at CB2 receptor (unknown origin)</t>
  </si>
  <si>
    <t xml:space="preserve">CHEMBL4623514</t>
  </si>
  <si>
    <t xml:space="preserve">Agonist activity at human CB2 receptor at 1 nM to 1 uM expressed in CHO cell membrane assessed as stimulation of [35S]-GTPgammaS binding incubated for 1 hr by by liquid scintillation counting assay</t>
  </si>
  <si>
    <t xml:space="preserve">CHEMBL4623515</t>
  </si>
  <si>
    <t xml:space="preserve">Agonist activity at human CB2 receptor expressed in CHO cell membrane assessed as inhibition of [35S]-GTPgammaS binding incubated for 1 hr by by liquid scintillation counting assay</t>
  </si>
  <si>
    <t xml:space="preserve">CHEMBL4623516</t>
  </si>
  <si>
    <t xml:space="preserve">Agonist activity at human CB2 receptor at 10 uM expressed in CHO cell membrane assessed as stimulation of [35S]-GTPgammaS binding incubated for 1 hr by by liquid scintillation counting assay relative to control</t>
  </si>
  <si>
    <t xml:space="preserve">CHEMBL4623517</t>
  </si>
  <si>
    <t xml:space="preserve">Antagonist activity at human CB2 receptor expressed in CHO cell membrane assessed as inhibition of CP55940-induced [35S]-GTPgammaS binding incubated for 1 hr by liquid scintillation counting</t>
  </si>
  <si>
    <t xml:space="preserve">CHEMBL4623525</t>
  </si>
  <si>
    <t xml:space="preserve">Agonist activity at human CB2 receptor expressed in CHO cell membrane assessed as stimulation of [35S]-GTPgammaS binding incubated for 1 hr by by liquid scintillation counting assay relative to control</t>
  </si>
  <si>
    <t xml:space="preserve">CHEMBL4624589</t>
  </si>
  <si>
    <t xml:space="preserve">CHEMBL4622904</t>
  </si>
  <si>
    <t xml:space="preserve">CHEMBL4624893</t>
  </si>
  <si>
    <t xml:space="preserve">Displacement of [3H]-CP55940 from human CB2 receptor expressed in HEK-Flp-In cell membranes at 10 uM incubated for 90 mins under dark condition by scintillation counting analysis relative to control</t>
  </si>
  <si>
    <t xml:space="preserve">CHEMBL4622923</t>
  </si>
  <si>
    <t xml:space="preserve">CHEMBL4626924</t>
  </si>
  <si>
    <t xml:space="preserve">Displacement of [3H]CP55940 from human CB2 receptor expressed in CHOK1 cell membranes at 10 uM by liquid scintillation spectrometry analysis</t>
  </si>
  <si>
    <t xml:space="preserve">CHEMBL4622983</t>
  </si>
  <si>
    <t xml:space="preserve">CHEMBL4673109</t>
  </si>
  <si>
    <t xml:space="preserve">Inverse agonist activity at human CB2 receptor expressed in HEK293 cells assessed as forskolin-stimulated cAMP accumulation after 30 mins by HTRF assay</t>
  </si>
  <si>
    <t xml:space="preserve">CHEMBL4665918</t>
  </si>
  <si>
    <t xml:space="preserve">CHEMBL4683847</t>
  </si>
  <si>
    <t xml:space="preserve">Displacement of [3H]-CP55940 from recombinant human CB2 receptor expressed in CHO cells incubated for 90 mins by scintillation counting method</t>
  </si>
  <si>
    <t xml:space="preserve">CHEMBL4680160</t>
  </si>
  <si>
    <t xml:space="preserve">CHEMBL4687647</t>
  </si>
  <si>
    <t xml:space="preserve">Displacement of [3H]CP-55,940 from human CB2 receptor expressed in CHO cells incubated for 1 hr by liquid scintillation spectrometry</t>
  </si>
  <si>
    <t xml:space="preserve">CHEMBL4701641</t>
  </si>
  <si>
    <t xml:space="preserve">Displacement of [3H]CP-55940 from CB2 receptor (unknown origin) at 1 uM by competitive binding assay</t>
  </si>
  <si>
    <t xml:space="preserve">CHEMBL4701643</t>
  </si>
  <si>
    <t xml:space="preserve">Agonist activity at human CB2 receptor expressed in CHO cell membrane assessed as increase in GTPgammaS binding at 10 uM by [35S]GTP-gammaS binding assay</t>
  </si>
  <si>
    <t xml:space="preserve">CHEMBL4701648</t>
  </si>
  <si>
    <t xml:space="preserve">Neutral antagonist activity at human CB2 receptor expressed in CHO cell membrane at 10 uM by [35S]GTP-gammaS binding assay</t>
  </si>
  <si>
    <t xml:space="preserve">CHEMBL4701649</t>
  </si>
  <si>
    <t xml:space="preserve">Inverse agonist activity at human CB2 receptor expressed in CHO cell membrane assessed as reduction in GTPgammaS binding at 10 uM by [35S]GTP-gammaS binding assay</t>
  </si>
  <si>
    <t xml:space="preserve">CHEMBL4701650</t>
  </si>
  <si>
    <t xml:space="preserve">Binding affinity to human CB2 receptor expressed in CHO cell membrane at 10 uM by [35S]GTP-gammaS binding assay</t>
  </si>
  <si>
    <t xml:space="preserve">CHEMBL4704139</t>
  </si>
  <si>
    <t xml:space="preserve">Agonist activity at human cannabinoid receptor 2 at 2 uM by cell based cAMP assay</t>
  </si>
  <si>
    <t xml:space="preserve">CHEMBL4699583</t>
  </si>
  <si>
    <t xml:space="preserve">CHEMBL4704140</t>
  </si>
  <si>
    <t xml:space="preserve">Antagonist activity at human cannabinoid receptor 2 at 2 uM by cell based cAMP assay</t>
  </si>
  <si>
    <t xml:space="preserve">CHEMBL4707378</t>
  </si>
  <si>
    <t xml:space="preserve">Inhibition of cannabinoid receptor 2 (unknown origin) at 10 uM relative to control</t>
  </si>
  <si>
    <t xml:space="preserve">CHEMBL4706479</t>
  </si>
  <si>
    <t xml:space="preserve">CHEMBL4708601</t>
  </si>
  <si>
    <t xml:space="preserve">Positive allosteric modulation of human CB2 receptor expressed in CHO cell membranes assessed as increase in binding [3H]CP55940 to the receptor &gt; 1 uM after 60 mins by liquid scintillation spectrometric method</t>
  </si>
  <si>
    <t xml:space="preserve">CHEMBL4706514</t>
  </si>
  <si>
    <t xml:space="preserve">CHEMBL4708602</t>
  </si>
  <si>
    <t xml:space="preserve">Positive allosteric modulation of human CB2 receptor expressed in CHO cell membranes assessed as increase in binding [3H]CP55940 to the receptor at 0.001 to 10 uM after 60 mins by liquid scintillation spectrometric method</t>
  </si>
  <si>
    <t xml:space="preserve">CHEMBL4708760</t>
  </si>
  <si>
    <t xml:space="preserve">Binding affinity to CB2 (unknown origin) 10 umol/L by radioligand binding assay</t>
  </si>
  <si>
    <t xml:space="preserve">CHEMBL4706518</t>
  </si>
  <si>
    <t xml:space="preserve">CHEMBL4711364</t>
  </si>
  <si>
    <t xml:space="preserve">Agonist activity at human CB2R expressed in CHO cell membranes after 90 mins by [35S]GTPgammaS assay</t>
  </si>
  <si>
    <t xml:space="preserve">CHEMBL4711365</t>
  </si>
  <si>
    <t xml:space="preserve">Inverse agonist activity at human CB2R expressed in CHO cell membranes after 90 mins by [35S]GTPgammaS assay</t>
  </si>
  <si>
    <t xml:space="preserve">CHEMBL4711366</t>
  </si>
  <si>
    <t xml:space="preserve">Antagonist activity at human CB2R expressed in CHO cell membranes preincubated for 30 mins followed by GTPgammaS addition and measured after 90 mins by [35S]GTPgammaS assay</t>
  </si>
  <si>
    <t xml:space="preserve">CHEMBL4711368</t>
  </si>
  <si>
    <t xml:space="preserve">Competitive antagonist activity at human CB2R expressed in CHO cell membranes assessed as rightward shift of N-cycloheptyl-1,2-dihydro-5-bromo-1-(4-fluoro benzyl)-6-methyl-2-oxo-pyridine-3-carboxamide-induced GTPgammaS binding by measuring N-cycloheptyl-1,2-dihydro-5-bromo-1-(4-fluoro benzyl)-6-methyl-2-oxo-pyridine-3-carboxamide EC50 at 100 nM preincubated with compound for 30 mins followed by GTPgammaS addition and measured after 90 mins by [35S]GTPgammaS assay (Rvb = 11.6 nM)</t>
  </si>
  <si>
    <t xml:space="preserve">CHEMBL4711369</t>
  </si>
  <si>
    <t xml:space="preserve">Competitive antagonist activity at human CB2R expressed in CHO cell membranes assessed as rightward shift of N-cycloheptyl-1,2-dihydro-5-bromo-1-(4-fluoro benzyl)-6-methyl-2-oxo-pyridine-3-carboxamide-induced GTPgammaS binding by measuring N-cycloheptyl-1,2-dihydro-5-bromo-1-(4-fluoro benzyl)-6-methyl-2-oxo-pyridine-3-carboxamide EC50 at 300 nM preincubated with compound for 30 mins followed by GTPgammaS addition and measured after 90 mins by [35S]GTPgammaS assay (Rvb = 11.6 nM)</t>
  </si>
  <si>
    <t xml:space="preserve">CHEMBL4711370</t>
  </si>
  <si>
    <t xml:space="preserve">Competitive antagonist activity at human CB2R expressed in CHO cell membranes assessed as rightward shift of N-cycloheptyl-1,2-dihydro-5-bromo-1-(4-fluoro benzyl)-6-methyl-2-oxo-pyridine-3-carboxamide-induced GTPgammaS binding by measuring N-cycloheptyl-1,2-dihydro-5-bromo-1-(4-fluoro benzyl)-6-methyl-2-oxo-pyridine-3-carboxamide EC50 at 1000 nM preincubated with compound for 30 mins followed by GTPgammaS addition and measured after 90 mins by [35S]GTPgammaS assay (Rvb = 11.6 nM)</t>
  </si>
  <si>
    <t xml:space="preserve">CHEMBL4711371</t>
  </si>
  <si>
    <t xml:space="preserve">Non-competitive antagonist activity at human CB2R expressed in CHO cell membranes assessed as N-cycloheptyl-1,2-dihydro-1-(4-fluorobenzyl)-6-methyl-2-oxo-5-phenyl-pyridine-3-carboxamide EC50 at 100 nM preincubated with compound for 30 mins followed by GTPgammaS addition and measured after 90 mins by [35S]GTPgammaS assay (Rvb = 19.4 nM)</t>
  </si>
  <si>
    <t xml:space="preserve">CHEMBL4711372</t>
  </si>
  <si>
    <t xml:space="preserve">Non-competitive antagonist activity at human CB2R expressed in CHO cell membranes assessed as N-cycloheptyl-1,2-dihydro-1-(4-fluorobenzyl)-6-methyl-2-oxo-5-phenyl-pyridine-3-carboxamide EC50 at 300 nM preincubated with compound for 30 mins followed by GTPgammaS addition and measured after 90 mins by [35S]GTPgammaS assay (Rvb = 19.4 nM)</t>
  </si>
  <si>
    <t xml:space="preserve">CHEMBL4711373</t>
  </si>
  <si>
    <t xml:space="preserve">Non-competitive antagonist activity at human CB2R expressed in CHO cell membranes assessed as N-cycloheptyl-1,2-dihydro-1-(4-fluorobenzyl)-6-methyl-2-oxo-5-phenyl-pyridine-3-carboxamide EC50 at 1000 nM preincubated with compound for 30 mins followed by GTPgammaS addition and measured after 90 mins by [35S]GTPgammaS assay (Rvb = 19.4 nM)</t>
  </si>
  <si>
    <t xml:space="preserve">CHEMBL4711393</t>
  </si>
  <si>
    <t xml:space="preserve">Competitive antagonist activity at human CB2R expressed in CHO cell membranes assessed as N-cycloheptyl-1,2-dihydro-5-bromo-1-(4-fluoro benzyl)-6-methyl-2-oxo-pyridine-3-carboxamide Emax at 100 nM preincubated with compound for 30 mins followed by GTPgammaS addition and measured after 90 mins by [35S]GTPgammaS assay (Rvb = 210%)</t>
  </si>
  <si>
    <t xml:space="preserve">CHEMBL4711394</t>
  </si>
  <si>
    <t xml:space="preserve">Competitive antagonist activity at human CB2R expressed in CHO cell membranes assessed as N-cycloheptyl-1,2-dihydro-5-bromo-1-(4-fluoro benzyl)-6-methyl-2-oxo-pyridine-3-carboxamide Emax at 300 nM preincubated with compound for 30 mins followed by GTPgammaS addition and measured after 90 mins by [35S]GTPgammaS assay (Rvb = 210%)</t>
  </si>
  <si>
    <t xml:space="preserve">CHEMBL4711395</t>
  </si>
  <si>
    <t xml:space="preserve">Competitive antagonist activity at human CB2R expressed in CHO cell membranes assessed as N-cycloheptyl-1,2-dihydro-5-bromo-1-(4-fluoro benzyl)-6-methyl-2-oxo-pyridine-3-carboxamide Emax at 1000 nM preincubated with compound for 30 mins followed by GTPgammaS addition and measured after 90 mins by [35S]GTPgammaS assay (Rvb = 210%)</t>
  </si>
  <si>
    <t xml:space="preserve">CHEMBL4711396</t>
  </si>
  <si>
    <t xml:space="preserve">Non-competitive antagonist activity at human CB2R expressed in CHO cell membranes assessed as N-cycloheptyl-1,2-dihydro-1-(4-fluorobenzyl)-6-methyl-2-oxo-5-phenyl-pyridine-3-carboxamide Emax at 100 nM preincubated with compound for 30 mins followed by GTPgammaS addition and measured after 90 mins by [35S]GTPgammaS assay (Rvb = -49.9%)</t>
  </si>
  <si>
    <t xml:space="preserve">CHEMBL4711397</t>
  </si>
  <si>
    <t xml:space="preserve">Non-competitive antagonist activity at human CB2R expressed in CHO cell membranes assessed as N-cycloheptyl-1,2-dihydro-1-(4-fluorobenzyl)-6-methyl-2-oxo-5-phenyl-pyridine-3-carboxamide Emax at 300 nM preincubated with compound for 30 mins followed by GTPgammaS addition and measured after 90 mins by [35S]GTPgammaS assay (Rvb = -49.9%)</t>
  </si>
  <si>
    <t xml:space="preserve">CHEMBL4711398</t>
  </si>
  <si>
    <t xml:space="preserve">Non-competitive antagonist activity at human CB2R expressed in CHO cell membranes assessed as N-cycloheptyl-1,2-dihydro-1-(4-fluorobenzyl)-6-methyl-2-oxo-5-phenyl-pyridine-3-carboxamide Emax at 1000 nM preincubated with compound for 30 mins followed by GTPgammaS addition and measured after 90 mins by [35S]GTPgammaS assay (Rvb = -49.9%)</t>
  </si>
  <si>
    <t xml:space="preserve">CHEMBL4711399</t>
  </si>
  <si>
    <t xml:space="preserve">Competitive antagonist activity at human CB2R expressed in CHO cell membranes assessed as rightward shift of N-cycloheptyl-1,2-dihydro-5-bromo-1-(4-fluoro benzyl)-6-methyl-2-oxo-pyridine-3-carboxamide-induced GTPgammaS binding by measuring fold change in N-cycloheptyl-1,2-dihydro-5-bromo-1-(4-fluoro benzyl)-6-methyl-2-oxo-pyridine-3-carboxamide EC50 at 100 nM preincubated with compound for 30 mins followed by GTPgammaS addition and measured after 90 mins by [35S]GTPgammaS assay</t>
  </si>
  <si>
    <t xml:space="preserve">CHEMBL4711400</t>
  </si>
  <si>
    <t xml:space="preserve">Competitive antagonist activity at human CB2R expressed in CHO cell membranes assessed as rightward shift of N-cycloheptyl-1,2-dihydro-5-bromo-1-(4-fluoro benzyl)-6-methyl-2-oxo-pyridine-3-carboxamide-induced GTPgammaS binding by measuring fold change in N-cycloheptyl-1,2-dihydro-5-bromo-1-(4-fluoro benzyl)-6-methyl-2-oxo-pyridine-3-carboxamide EC50 at 300 nM preincubated with compound for 30 mins followed by GTPgammaS addition and measured after 90 mins by [35S]GTPgammaS assay</t>
  </si>
  <si>
    <t xml:space="preserve">CHEMBL4711401</t>
  </si>
  <si>
    <t xml:space="preserve">Competitive antagonist activity at human CB2R expressed in CHO cell membranes assessed as rightward shift of N-cycloheptyl-1,2-dihydro-5-bromo-1-(4-fluoro benzyl)-6-methyl-2-oxo-pyridine-3-carboxamide-induced GTPgammaS binding by measuring fold change in N-cycloheptyl-1,2-dihydro-5-bromo-1-(4-fluoro benzyl)-6-methyl-2-oxo-pyridine-3-carboxamide EC50 at 1000 nM preincubated with compound for 30 mins followed by GTPgammaS addition and measured after 90 mins by [35S]GTPgammaS assay</t>
  </si>
  <si>
    <t xml:space="preserve">CHEMBL4714303</t>
  </si>
  <si>
    <t xml:space="preserve">Agonist activity at human CB2 receptor expressed in HEK293 cells assessed as decrease in forskolin-stimulated cAMP level stimulated for 30 mins followed by Eu-cAMP tracer addition and measured after 60 mins</t>
  </si>
  <si>
    <t xml:space="preserve">CHEMBL4714304</t>
  </si>
  <si>
    <t xml:space="preserve">Agonist activity at human CB2 receptor expressed in HEK293 cells assessed as inhibition of forskolin-stimulated cAMP level at 500 nM stimulated for 30 mins followed by Eu-cAMP tracer addition and measured after 60 mins relative to control</t>
  </si>
  <si>
    <t xml:space="preserve">CHEMBL4714305</t>
  </si>
  <si>
    <t xml:space="preserve">Agonist activity at human CB2 receptor expressed in HEK293 cells assessed as decrease in forskolin-stimulated cAMP level up to 2.3 uM stimulated for 30 mins followed by Eu-cAMP tracer addition and measured after 60 mins</t>
  </si>
  <si>
    <t xml:space="preserve">CHEMBL4714310</t>
  </si>
  <si>
    <t xml:space="preserve">Irreversible binding affinity to human CB2 receptor expressed in HEK293 cells assessed as inhibition of [3H]CP55940 binding to receptor at 10 fold Ki by saturation curve assay relative to control</t>
  </si>
  <si>
    <t xml:space="preserve">CHEMBL4720025</t>
  </si>
  <si>
    <t xml:space="preserve">Inverse agonist activity at human CB2 receptor expressed in HEK293 cells assessed as forskolin-stimulated cAMP accumulation measured after 30 mins by HTRF assay</t>
  </si>
  <si>
    <t xml:space="preserve">CHEMBL4715810</t>
  </si>
  <si>
    <t xml:space="preserve">CHEMBL4724914</t>
  </si>
  <si>
    <t xml:space="preserve">Inverse agonist activity at human recombinant cannabinoid CB2 receptor expressed in HEK cells transfected with CNG assessed as increase in cAMP level measured up to 1 hr by ACTOne membrane potential dye based assay</t>
  </si>
  <si>
    <t xml:space="preserve">CHEMBL4724915</t>
  </si>
  <si>
    <t xml:space="preserve">Inverse agonist activity at human recombinant cannabinoid CB2 receptor expressed in HEK cells transfected with CNG assessed as increase in cAMP level measured up to 1 hr by ACTOne membrane potential dye based assay relative to control</t>
  </si>
  <si>
    <t xml:space="preserve">CHEMBL4724918</t>
  </si>
  <si>
    <t xml:space="preserve">Agonist activity at human recombinant cannabinoid CB2 receptor expressed in HEK cells transfected with CNG assessed as decrease in cAMP level measured up to 1 hr by ACTOne membrane potential dye based assay</t>
  </si>
  <si>
    <t xml:space="preserve">CHEMBL4724919</t>
  </si>
  <si>
    <t xml:space="preserve">Agonist activity at human recombinant cannabinoid CB2 receptor expressed in HEK cells transfected with CNG assessed as decrease in cAMP level measured up to 1 hr by ACTOne membrane potential dye based assay relative to control</t>
  </si>
  <si>
    <t xml:space="preserve">CHEMBL4724922</t>
  </si>
  <si>
    <t xml:space="preserve">Agonist activity at cannabinoid CB2 receptor in human U2OS cells assessed as induction of beta-arrestin recruitment using CCF4/AM as substrate preincubated for 5 hrs followed by substrate addition and measured after 2 hrs by Tango assay</t>
  </si>
  <si>
    <t xml:space="preserve">CHEMBL4724923</t>
  </si>
  <si>
    <t xml:space="preserve">Agonist activity at cannabinoid CB2 receptor in human U2OS cells assessed as emission ratio using CCF4/AM as substrate preincubated for 5 hrs followed by substrate addition and measured after 2 hrs by Tango assay</t>
  </si>
  <si>
    <t xml:space="preserve">CHEMBL4724926</t>
  </si>
  <si>
    <t xml:space="preserve">Inverse agonist activity at cannabinoid CB2 receptor in human U2OS cells assessed as induction of beta-arrestin recruitment using CCF4/AM as substrate preincubated for 5 hrs followed by substrate addition and measured after 2 hrs by Tango assay</t>
  </si>
  <si>
    <t xml:space="preserve">CHEMBL4724927</t>
  </si>
  <si>
    <t xml:space="preserve">Inverse agonist activity at cannabinoid CB2 receptor in human U2OS cells assessed as emission ratio using CCF4/AM as substrate preincubated for 5 hrs followed by substrate addition and measured after 2 hrs by Tango assay</t>
  </si>
  <si>
    <t xml:space="preserve">CHEMBL4731309</t>
  </si>
  <si>
    <t xml:space="preserve">Displacement of [3H]CP55,940 from human CB2 receptor expressed in CHO cell membranes after 2 hrs by liquid scintillation analysis</t>
  </si>
  <si>
    <t xml:space="preserve">CHEMBL4725451</t>
  </si>
  <si>
    <t xml:space="preserve">CHEMBL4731310</t>
  </si>
  <si>
    <t xml:space="preserve">Displacement of [3H]CP55,940 from human CB2 receptor expressed in CHO cell membranes at 10 uM after 2 hrs by liquid scintillation analysis relative to control</t>
  </si>
  <si>
    <t xml:space="preserve">CHEMBL4733348</t>
  </si>
  <si>
    <t xml:space="preserve">Displacement of [3H]CP55940 from human CB2 receptor at 10 uM incubated for 90 mins by radioligand binding assay</t>
  </si>
  <si>
    <t xml:space="preserve">CHEMBL4732057</t>
  </si>
  <si>
    <t xml:space="preserve">CHEMBL4733366</t>
  </si>
  <si>
    <t xml:space="preserve">Displacement of [3H]CP55940 from human CB2 receptor incubated for 90 mins by radioligand binding assay</t>
  </si>
  <si>
    <t xml:space="preserve">CHEMBL4735794</t>
  </si>
  <si>
    <t xml:space="preserve">Agonist activity at CB2 (unknown origin)</t>
  </si>
  <si>
    <t xml:space="preserve">CHEMBL4735797</t>
  </si>
  <si>
    <t xml:space="preserve">AtT20</t>
  </si>
  <si>
    <t xml:space="preserve">Agonist activity at human CB2 expressed in mouse AtT20 cells assessed as activation of G-protein gated inwardly rectifying K+ channels measured every 2 sec for 2 mins by FLIPR membrane potential assay</t>
  </si>
  <si>
    <t xml:space="preserve">CHEMBL4735798</t>
  </si>
  <si>
    <t xml:space="preserve">Agonist activity at human CB2 expressed in mouse AtT20 cells assessed as maximal activation of G-protein gated inwardly rectifying K+ channels measured every 2 sec for 2 mins by FLIPR membrane potential assay relative to control</t>
  </si>
  <si>
    <t xml:space="preserve">CHEMBL4735799</t>
  </si>
  <si>
    <t xml:space="preserve">Agonist activity at human CB2 expressed in mouse AtT20 cells assessed as activation of G-protein gated inwardly rectifying K+ channels at 10 uM measured every 2 sec for 2 mins by FLIPR membrane potential assay relative to control</t>
  </si>
  <si>
    <t xml:space="preserve">CHEMBL4735803</t>
  </si>
  <si>
    <t xml:space="preserve">Agonist activity at human CB2 expressed in mouse AtT20 cells assessed as activation of G-protein gated inwardly rectifying K+ channels at 10 uM measured every 2 sec for 2 mins by FLIPR membrane potential assay</t>
  </si>
  <si>
    <t xml:space="preserve">CHEMBL4768244</t>
  </si>
  <si>
    <t xml:space="preserve">Inhibition of CB2 receptor (unknown origin) at 1 uM relative to control</t>
  </si>
  <si>
    <t xml:space="preserve">CHEMBL4765270</t>
  </si>
  <si>
    <t xml:space="preserve">CHEMBL4775757</t>
  </si>
  <si>
    <t xml:space="preserve">Antagonist activity at human CB2 receptor expressing CHO cells co-expressing Galpha16 assessed as inhibition of CP55940-induced calcium mobilization pre-incubated for 15 mins before CP55940 addition</t>
  </si>
  <si>
    <t xml:space="preserve">CHEMBL4765487</t>
  </si>
  <si>
    <t xml:space="preserve">CHEMBL4775759</t>
  </si>
  <si>
    <t xml:space="preserve">CHEMBL4775760</t>
  </si>
  <si>
    <t xml:space="preserve">Agonist activity at CB2 receptor (unknown origin) relative to control</t>
  </si>
  <si>
    <t xml:space="preserve">CHEMBL4775763</t>
  </si>
  <si>
    <t xml:space="preserve">Agonist activity at human CB2 receptor expressing CHO cells co-expressing Galpha16 by calcium mobilization assay</t>
  </si>
  <si>
    <t xml:space="preserve">CHEMBL4775764</t>
  </si>
  <si>
    <t xml:space="preserve">Agonist activity at human CB2 receptor expressing CHO cells co-expressing Galpha16 by calcium mobilization assay relative to CP55940</t>
  </si>
  <si>
    <t xml:space="preserve">CHEMBL4775765</t>
  </si>
  <si>
    <t xml:space="preserve">Agonist activity at human CB2 receptor expressing CHO cells co-expressing Galpha16 in presence of CB2 antagonist AM630 by calcium mobilization assay</t>
  </si>
  <si>
    <t xml:space="preserve">CHEMBL4775781</t>
  </si>
  <si>
    <t xml:space="preserve">Agonist activity at human CB2 receptor expressed in HEK293 cells assessed as inhibition of forskolin-induced cAMP production incubated for 15 mins by cAMP HTRF assay</t>
  </si>
  <si>
    <t xml:space="preserve">CHEMBL4775782</t>
  </si>
  <si>
    <t xml:space="preserve">Agonist activity at human CB2 receptor expressed in CHO cells assessed as increase in ERK1/2 Thr202/Tyr204 phosphorylation at 0.1 to 10 uM incubated for 15 mins by Western blot analysis</t>
  </si>
  <si>
    <t xml:space="preserve">CHEMBL4775784</t>
  </si>
  <si>
    <t xml:space="preserve">Agonist activity at human CB2 receptor expressed in CHO cells assessed as increase in ERK1/2 Thr202/Tyr204 phosphorylation at 10 uM incubated for 15 mins in presence of CB2 antagonist AM630 by Western blot analysis</t>
  </si>
  <si>
    <t xml:space="preserve">CHEMBL4775786</t>
  </si>
  <si>
    <t xml:space="preserve">Agonist activity at human CB2 receptor expressed in HEK293 cells after 24 hrs by luciferase reporter gene assay based Tango beta-arrestin recruitment method</t>
  </si>
  <si>
    <t xml:space="preserve">CHEMBL4810586</t>
  </si>
  <si>
    <t xml:space="preserve">Displacement of [3H]CP55940 from human Cannabinoid CB2 receptor expressed in CHO-K1 cells at 10 uM after 2 hrs by liquid scintillation analysis</t>
  </si>
  <si>
    <t xml:space="preserve">CHEMBL4808222</t>
  </si>
  <si>
    <t xml:space="preserve">CHEMBL4820318</t>
  </si>
  <si>
    <t xml:space="preserve">Inhibition of [35S]GTPgammaS binding at human CB2R expressed in CHO-K1 cell membrane at 0.001 to 10 uM measured after 90 mins by liquid scintillation counting analysis</t>
  </si>
  <si>
    <t xml:space="preserve">CHEMBL4819018</t>
  </si>
  <si>
    <t xml:space="preserve">CHEMBL4820319</t>
  </si>
  <si>
    <t xml:space="preserve">Stimulation of [35S]GTPgammaS binding at human CB2R expressed in CHO-K1 cell membrane at 0.001 to 10 uM measured after 90 mins by liquid scintillation counting analysis</t>
  </si>
  <si>
    <t xml:space="preserve">CHEMBL4820320</t>
  </si>
  <si>
    <t xml:space="preserve">Positive allosteric modulator activity at human CB2R expressed in CHO-K1 cells assessed as potentiation of CP55940-stimulated inhibition of forskolin-induced cAMP accumulation measured after 90 mins by HitHunter cAMP assay</t>
  </si>
  <si>
    <t xml:space="preserve">CHEMBL4820321</t>
  </si>
  <si>
    <t xml:space="preserve">Positive allosteric modulator activity at human CB2R expressed in CHO-K1 cell membrane assessed as increase in [3H]CP55940 binding at 100 nM measured after 60 mins by liquid scintillation spectrometry</t>
  </si>
  <si>
    <t xml:space="preserve">CHEMBL4820322</t>
  </si>
  <si>
    <t xml:space="preserve">Positive allosteric modulator activity at human CB2R expressed in CHO-K1 cell membrane assessed as increase in [3H]CP55940 binding at 0.001 to 1 microM measured after 60 mins by liquid scintillation spectrometry</t>
  </si>
  <si>
    <t xml:space="preserve">CHEMBL4820323</t>
  </si>
  <si>
    <t xml:space="preserve">Positive allosteric modulator activity at human CB2R expressed in CHO-K1 cell membrane assessed as increase in [3H]CP55940 binding at 10 uM measured after 60 mins by liquid scintillation spectrometry</t>
  </si>
  <si>
    <t xml:space="preserve">CHEMBL4820324</t>
  </si>
  <si>
    <t xml:space="preserve">Inverse agonist activity at human CB2R expressed in CHO-K1 cell membrane assessed as decrease in [35S]GTPgammaS binding at 1 to 10 uM measured after 90 mins by liquid scintillation counting analysis</t>
  </si>
  <si>
    <t xml:space="preserve">CHEMBL4820325</t>
  </si>
  <si>
    <t xml:space="preserve">Positive allosteric modulator activity at human CB2R expressed in CHO-K1 cells assessed as potentiation of CP55940-stimulated beta-arrestin2 recruitment measured after 90 mins by PathHunter assay relative to control</t>
  </si>
  <si>
    <t xml:space="preserve">CHEMBL4820326</t>
  </si>
  <si>
    <t xml:space="preserve">Positive allosteric modulator activity at human CB2R expressed in CHO-K1 cell membrane assessed as CP55940 EC50 for [35S]GTPgammaS binding at 1 nM measured after 90 mins by liquid scintillation counting analysis (Rvb = 1.9 nM)</t>
  </si>
  <si>
    <t xml:space="preserve">CHEMBL4820327</t>
  </si>
  <si>
    <t xml:space="preserve">Positive allosteric modulator activity at human CB2R expressed in CHO-K1 cell membrane assessed as CP55940 EC50 for [35S]GTPgammaS binding at 100 nM measured after 90 mins by liquid scintillation counting analysis (Rvb = 1.9 nM)</t>
  </si>
  <si>
    <t xml:space="preserve">CHEMBL4820328</t>
  </si>
  <si>
    <t xml:space="preserve">Positive allosteric modulator activity at human CB2R expressed in CHO-K1 cells assessed as potentiation of CP55940-stimulated beta-arrestin2 recruitment measured after 90 mins by PathHunter assay</t>
  </si>
  <si>
    <t xml:space="preserve">CHEMBL4820329</t>
  </si>
  <si>
    <t xml:space="preserve">Positive allosteric modulator activity at human CB2R expressed in CHO-K1 cells assessed as potentiation of CP55940-stimulated inhibition of forskolin-induced cAMP accumulation measured after 90 mins by HitHunter cAMP assay relative to control</t>
  </si>
  <si>
    <t xml:space="preserve">CHEMBL4820331</t>
  </si>
  <si>
    <t xml:space="preserve">Positive allosteric modulator activity at human CB2R expressed in CHO-K1 cell membrane assessed as CP55940 Emax for [35S]GTPgammaS binding at 1 nM measured after 90 mins by liquid scintillation counting analysis (Rvb = 57 +/-1.5%)</t>
  </si>
  <si>
    <t xml:space="preserve">CHEMBL4820332</t>
  </si>
  <si>
    <t xml:space="preserve">Positive allosteric modulator activity at human CB2R expressed in CHO-K1 cell membrane assessed as CP55940 Emax for [35S]GTPgammaS binding at 100 nM measured after 90 mins by liquid scintillation counting analysis (Rvb = 57 +/-1.5%)</t>
  </si>
  <si>
    <t xml:space="preserve">CHEMBL4821205</t>
  </si>
  <si>
    <t xml:space="preserve">Displacement of [3H]-CP-55,940 from full-length recombinant human CB2R expressed in CHO-K1 cell membranes at 10 uM incubated for 90 mins by TopCount scintillation counting method relative to control</t>
  </si>
  <si>
    <t xml:space="preserve">CHEMBL4819054</t>
  </si>
  <si>
    <t xml:space="preserve">CHEMBL4826242</t>
  </si>
  <si>
    <t xml:space="preserve">Displacement of [3H]-CP55940 from human CB2 receptor expressed in CHO cells at 1 uM incubated for 90 mins by liquid scintillation spectrophotometry relative to control</t>
  </si>
  <si>
    <t xml:space="preserve">CHEMBL4826246</t>
  </si>
  <si>
    <t xml:space="preserve">Binding affinity to human CB2 receptor assessed as free binding energy</t>
  </si>
  <si>
    <t xml:space="preserve">CHEMBL4826248</t>
  </si>
  <si>
    <t xml:space="preserve">Antagonist activity at human CB2 receptor expressed in CHO cell membrane assessed as stimulation of [35S]GTPgammaS binding at 10 uM by liquid scintillation spectrophotometry (Rvb = 100%)</t>
  </si>
  <si>
    <t xml:space="preserve">CHEMBL4826249</t>
  </si>
  <si>
    <t xml:space="preserve">Antagonist activity at human CB2 receptor expressed in CHO cell membrane assessed as reduction in CP55940-induced [35S]GTPgammaS binding by liquid scintillation spectrophotometry</t>
  </si>
  <si>
    <t xml:space="preserve">CHEMBL4828004</t>
  </si>
  <si>
    <t xml:space="preserve">Agonist activity at human CB2 receptor expressed in CHO-K1 cells assessed as increase in cAMP level incubated for 20 mins measured after 60 mins addition of cAMP detect reagent by HTRF analysis</t>
  </si>
  <si>
    <t xml:space="preserve">CHEMBL4825739</t>
  </si>
  <si>
    <t xml:space="preserve">CHEMBL4828006</t>
  </si>
  <si>
    <t xml:space="preserve">Agonist activity at human CB2 receptor expressed in CHO-K1 cells assessed as maximum efficacy incubated for 20 mins measured after 60 mins addition of cAMP detect reagent by HTRF analysis relative to control</t>
  </si>
  <si>
    <t xml:space="preserve">CHEMBL4835839</t>
  </si>
  <si>
    <t xml:space="preserve">Displacement of [3H]-CP55940 from human CB2 receptor expressed in HEK293 cell membrane at 10 uM</t>
  </si>
  <si>
    <t xml:space="preserve">CHEMBL4834430</t>
  </si>
  <si>
    <t xml:space="preserve">CHEMBL4836431</t>
  </si>
  <si>
    <t xml:space="preserve">CHO-RD-HGA16</t>
  </si>
  <si>
    <t xml:space="preserve">Antagonist activity at human CB2 receptor expressed in CHO-RD-HGA16 cells overexpressing Galpha16 assessed as inhibition of CP55940-stimulated calcium mobilization at 10 uM preincubated for 15 mins followed by agonist addition and measured every 1 sec for 90 secs by Calcium-3 dye based FLIPR assay</t>
  </si>
  <si>
    <t xml:space="preserve">CHEMBL4834454</t>
  </si>
  <si>
    <t xml:space="preserve">CHEMBL4836432</t>
  </si>
  <si>
    <t xml:space="preserve">Antagonist activity at human CB2 receptor expressed in CHO-RD-HGA16 cells overexpressing Galpha16 assessed as inhibition of CP55940-stimulated calcium mobilization preincubated for 15 mins followed by agonist addition and measured every 1 sec for 90 secs by Calcium-3 dye based FLIPR assay</t>
  </si>
  <si>
    <t xml:space="preserve">CHEMBL4836433</t>
  </si>
  <si>
    <t xml:space="preserve">Agonist activity at human CB2 receptor expressed in CHO-RD-HGA16 cells overexpressing Galpha16 assessed as stimulation of calcium mobilization measured every 1 sec for 90 secs by Calcium-3 dye based FLIPR assay relative to Emax of CP55940</t>
  </si>
  <si>
    <t xml:space="preserve">CHEMBL4840835</t>
  </si>
  <si>
    <t xml:space="preserve">Partial agonist activity at human CB2 receptor transfected in CHO cells incubated for 90 mins by scintillation counting based [35S]GTP-gamma-S-binding assay</t>
  </si>
  <si>
    <t xml:space="preserve">CHEMBL4840845</t>
  </si>
  <si>
    <t xml:space="preserve">Agonist activity at human CB2 receptor transfected in CHO cells incubated for 90 mins by scintillation counting based [35S]GTP-gamma-S-binding assay</t>
  </si>
  <si>
    <t xml:space="preserve">CHEMBL4842497</t>
  </si>
  <si>
    <t xml:space="preserve">Displacement of [3H]-CP55940 from human recombinant CB2 receptor expressed in CHO-K1 cell membrane at 1 uM measured after 3 hrs by scintillation spectrometry</t>
  </si>
  <si>
    <t xml:space="preserve">CHEMBL4842499</t>
  </si>
  <si>
    <t xml:space="preserve">Agonist activity at human recombinant CB2 receptor expressed in CHO-K1 cell membrane assessed as increase in GTPgammaS binding at 1 uM pretreated for 30 mins followed by [35S]GTPgammaS addition for 90 mins by [35S]GTP-gammaS binding assay relative to CP55940</t>
  </si>
  <si>
    <t xml:space="preserve">CHEMBL4842501</t>
  </si>
  <si>
    <t xml:space="preserve">Agonist activity at human recombinant CB2 receptor expressed in CHO-K1 cell membrane assessed as increase in GTPgammaS binding pretreated for 30 mins followed by [35S]GTPgammaS addition for 90 mins by [35S]GTP-gammaS binding assay</t>
  </si>
  <si>
    <t xml:space="preserve">CHEMBL4880175</t>
  </si>
  <si>
    <t xml:space="preserve">CB2 (h) (peripheral) Ligand binding assay</t>
  </si>
  <si>
    <t xml:space="preserve">CHEMBL4507257</t>
  </si>
  <si>
    <t xml:space="preserve">CHEMBL4880254</t>
  </si>
  <si>
    <t xml:space="preserve">Cannabinoid CB2  receptor (h)    CEREP ligand profiling</t>
  </si>
  <si>
    <t xml:space="preserve">CHEMBL4507258</t>
  </si>
  <si>
    <t xml:space="preserve">CHEMBL4880337</t>
  </si>
  <si>
    <t xml:space="preserve">CB2 CEREP ligand profiling</t>
  </si>
  <si>
    <t xml:space="preserve">CHEMBL4507260</t>
  </si>
  <si>
    <t xml:space="preserve">CHEMBL4880424</t>
  </si>
  <si>
    <t xml:space="preserve">CB2 (h)  Eurofins-Cerep binding assay</t>
  </si>
  <si>
    <t xml:space="preserve">CHEMBL4507261</t>
  </si>
  <si>
    <t xml:space="preserve">CHEMBL4880506</t>
  </si>
  <si>
    <t xml:space="preserve">CHEMBL4507262</t>
  </si>
  <si>
    <t xml:space="preserve">CHEMBL4881638</t>
  </si>
  <si>
    <t xml:space="preserve">CB2/PERIPH/H Cerep selectivity data (BI)</t>
  </si>
  <si>
    <t xml:space="preserve">CHEMBL4507275</t>
  </si>
  <si>
    <t xml:space="preserve">CHEMBL4881714</t>
  </si>
  <si>
    <t xml:space="preserve">CHEMBL4507276</t>
  </si>
  <si>
    <t xml:space="preserve">CHEMBL4882621</t>
  </si>
  <si>
    <t xml:space="preserve">Radioligand Binding Assay (CNR2)</t>
  </si>
  <si>
    <t xml:space="preserve">CHEMBL4507287</t>
  </si>
  <si>
    <t xml:space="preserve">CHEMBL4882961</t>
  </si>
  <si>
    <t xml:space="preserve">Inhibition of Cannabinoid CB2 at compound concentration of 10.0 uM in the Eurofins-Panlabs radioligand binding assay (Eurofins_assay_217100)</t>
  </si>
  <si>
    <t xml:space="preserve">CHEMBL4507332</t>
  </si>
  <si>
    <t xml:space="preserve">CHEMBL4883347</t>
  </si>
  <si>
    <t xml:space="preserve">PRESTO-Tango GPCRome screening (CNR2)</t>
  </si>
  <si>
    <t xml:space="preserve">CHEMBL4507309</t>
  </si>
  <si>
    <t xml:space="preserve">CHEMBL4883648</t>
  </si>
  <si>
    <t xml:space="preserve">CHEMBL4507310</t>
  </si>
  <si>
    <t xml:space="preserve">CHEMBL4883729</t>
  </si>
  <si>
    <t xml:space="preserve">CHEMBL4507311</t>
  </si>
  <si>
    <t xml:space="preserve">CHEMBL4885565</t>
  </si>
  <si>
    <t xml:space="preserve">CB2/PERIPH/H Eurofins SafetyScreen44 (BI)</t>
  </si>
  <si>
    <t xml:space="preserve">CHEMBL4630903</t>
  </si>
  <si>
    <t xml:space="preserve">CHEMBL4885612</t>
  </si>
  <si>
    <t xml:space="preserve">CHEMBL4630904</t>
  </si>
  <si>
    <t xml:space="preserve">CHEMBL4886437</t>
  </si>
  <si>
    <t xml:space="preserve">hCB2 Cerep panel</t>
  </si>
  <si>
    <t xml:space="preserve">CHEMBL4800727</t>
  </si>
  <si>
    <t xml:space="preserve">CHEMBL4886515</t>
  </si>
  <si>
    <t xml:space="preserve">CB2 (h)  CEREP ligand profiling</t>
  </si>
  <si>
    <t xml:space="preserve">CHEMBL4507259</t>
  </si>
  <si>
    <t xml:space="preserve">CHEMBL4886721</t>
  </si>
  <si>
    <t xml:space="preserve">CHEMBL4886967</t>
  </si>
  <si>
    <t xml:space="preserve">CHEMBL4507298</t>
  </si>
  <si>
    <t xml:space="preserve">CHEMBL4887188</t>
  </si>
  <si>
    <t xml:space="preserve">CB2/H Eurofins SafetyScreen44 (BI)</t>
  </si>
  <si>
    <t xml:space="preserve">CHEMBL4800722</t>
  </si>
  <si>
    <t xml:space="preserve">CHEMBL4887711</t>
  </si>
  <si>
    <t xml:space="preserve">CHEMBL4800723</t>
  </si>
  <si>
    <t xml:space="preserve">CHEMBL5034659</t>
  </si>
  <si>
    <t xml:space="preserve">CHEMBL5034007</t>
  </si>
  <si>
    <t xml:space="preserve">CHEMBL5039171</t>
  </si>
  <si>
    <t xml:space="preserve">Displacement of [3H]CP55940 from CB2 (unknown origin) assessed as reduction in maximum binding capacity at 4 nM incubated for 1 hr by TopCount scintillation counting method relative to control</t>
  </si>
  <si>
    <t xml:space="preserve">CHEMBL5039173</t>
  </si>
  <si>
    <t xml:space="preserve">Agonist activity at 3xHA tagged human CB2 receptor expressed in CHO-K1 cells assessed as reduction in forskolin-stimulated cAMP accumulation by measuring maximal efficacy incubated for 30 mins by cAMP assay relative to CP-55940</t>
  </si>
  <si>
    <t xml:space="preserve">CHEMBL5039175</t>
  </si>
  <si>
    <t xml:space="preserve">Agonist activity at 3xHA tagged human CB2 receptor expressed in CHO-K1 cells assessed as reduction in forskolin-stimulated cAMP accumulation incubated for 30 mins by cAMP assay</t>
  </si>
  <si>
    <t xml:space="preserve">CHEMBL5043707</t>
  </si>
  <si>
    <t xml:space="preserve">Agonist activity at human CB2 receptor CP55940-stimulated calcium mobilization at 10 uM incubated for 15 mins FLIPR assay relative to control</t>
  </si>
  <si>
    <t xml:space="preserve">CHEMBL5042498</t>
  </si>
  <si>
    <t xml:space="preserve">CHEMBL5043708</t>
  </si>
  <si>
    <t xml:space="preserve">Antagonist activity at human CB2 receptor CP55940-stimulated calcium mobilization incubated for 15 mins FLIPR assay</t>
  </si>
  <si>
    <t xml:space="preserve">CHEMBL5051298</t>
  </si>
  <si>
    <t xml:space="preserve">Inhibition of CB2 receptor (unknown origin) at 10 uM relative to control</t>
  </si>
  <si>
    <t xml:space="preserve">CHEMBL5050846</t>
  </si>
  <si>
    <t xml:space="preserve">CHEMBL5051299</t>
  </si>
  <si>
    <t xml:space="preserve">CHEMBL5054059</t>
  </si>
  <si>
    <t xml:space="preserve">Antagonist activity at human CB2 Receptor expressed in CHO cell membranes measured after 24 hrs by HTRF assay</t>
  </si>
  <si>
    <t xml:space="preserve">CHEMBL5053505</t>
  </si>
  <si>
    <t xml:space="preserve">CHEMBL5054061</t>
  </si>
  <si>
    <t xml:space="preserve">Antagonist activity at human CB2 Receptor expressed in CHO-K1 cells assessed as reduction in CP55940-induced ERK1/2 phosphorylation measured Western blot analysis</t>
  </si>
  <si>
    <t xml:space="preserve">CHEMBL5058708</t>
  </si>
  <si>
    <t xml:space="preserve">CNR2 Eurofins SafetyScan (Receptor)</t>
  </si>
  <si>
    <t xml:space="preserve">CHEMBL5058641</t>
  </si>
  <si>
    <t xml:space="preserve">CHEMBL5058709</t>
  </si>
  <si>
    <t xml:space="preserve">CHEMBL5058865</t>
  </si>
  <si>
    <t xml:space="preserve">CHEMBL5058643</t>
  </si>
  <si>
    <t xml:space="preserve">CHEMBL5096609</t>
  </si>
  <si>
    <t xml:space="preserve">Agonist activity at CB2 receptor (unknown origin) expressed in CHO cell membranes assessed as increase in [35S]GTPgammaS binding incubated for 60 mins by liquid scintillation spectrometry analysis</t>
  </si>
  <si>
    <t xml:space="preserve">CHEMBL5096611</t>
  </si>
  <si>
    <t xml:space="preserve">Agonist activity at human CB2 receptor transfected in CHO cells assessed as inhibition of cyclic AMP production</t>
  </si>
  <si>
    <t xml:space="preserve">CHEMBL5096614</t>
  </si>
  <si>
    <t xml:space="preserve">Agonist activity at CB2 receptor (unknown origin) expressed in CHO cell membranes assessed as increase in [35S]GTPgammaS binding by measuring efficacy incubated for 60 mins by liquid scintillation spectrometry analysis relative to control</t>
  </si>
  <si>
    <t xml:space="preserve">CHEMBL5096618</t>
  </si>
  <si>
    <t xml:space="preserve">CHEMBL5096620</t>
  </si>
  <si>
    <t xml:space="preserve">Displacement of [3H]CP55940 from human CB2 receptor transfected in CHO cells assessed as inhibition constant</t>
  </si>
  <si>
    <t xml:space="preserve">CHEMBL5096622</t>
  </si>
  <si>
    <t xml:space="preserve">Displacement of 35S]GTPgammaS from human CB2 receptor assessed as equilibrium binding constant</t>
  </si>
  <si>
    <t xml:space="preserve">CHEMBL5096659</t>
  </si>
  <si>
    <t xml:space="preserve">Displacement of 35S]GTPgammaS from human CB2 receptor transfected in CHO cells assessed as inhibition forskolin-stimulated cyclic AMP production</t>
  </si>
  <si>
    <t xml:space="preserve">CHEMBL5098111</t>
  </si>
  <si>
    <t xml:space="preserve">HEK293T</t>
  </si>
  <si>
    <t xml:space="preserve">Partial agonist activity at wild type CB2 receptor (unknown origin) stably expressed in HEK293T assessed as decrease in forskolin induced cAMP level preincubated for 15 mins followed by forskolin addition incubated for 15 mins by HTRF assay</t>
  </si>
  <si>
    <t xml:space="preserve">CHEMBL5096191</t>
  </si>
  <si>
    <t xml:space="preserve">CHEMBL5098112</t>
  </si>
  <si>
    <t xml:space="preserve">Partial agonist activity at wild type CB2 receptor (unknown origin) stably expressed in HEK293T assessed as decrease in forskolin induced cAMP level preincubated for 15 mins followed by forskolin addition incubated for 15 mins by HTRF assay relative to control</t>
  </si>
  <si>
    <t xml:space="preserve">CHEMBL5098113</t>
  </si>
  <si>
    <t xml:space="preserve">Partial agonist activity at wild type CB2 receptor (unknown origin) stably expressed in HEK293T assessed as decrease in forskolin induced cAMP level preincubated for 15 mins followed by forskolin addition incubated for 15 mins in presence of cannabidiol by HTRF assay</t>
  </si>
  <si>
    <t xml:space="preserve">CHEMBL5098114</t>
  </si>
  <si>
    <t xml:space="preserve">Partial agonist activity at wild type CB2 receptor (unknown origin) stably expressed in HEK293T assessed as decrease in forskolin induced cAMP level preincubated for 15 mins followed by forskolin addition incubated for 15 mins in presence of JWH-133 by HTRF assay</t>
  </si>
  <si>
    <t xml:space="preserve">CHEMBL5098115</t>
  </si>
  <si>
    <t xml:space="preserve">Partial agonist activity at wild type CB2 receptor (unknown origin) stably expressed in HEK293T assessed as decrease in forskolin induced cAMP level preincubated for 15 mins followed by forskolin addition incubated for 15 mins in presence of cannabidiol by HTRF assay relative to control</t>
  </si>
  <si>
    <t xml:space="preserve">CHEMBL5098116</t>
  </si>
  <si>
    <t xml:space="preserve">Partial agonist activity at wild type CB2 receptor (unknown origin) stably expressed in HEK293T assessed as decrease in forskolin induced cAMP level preincubated for 15 mins followed by forskolin addition incubated for 15 mins in presence of JWH-133 by HTRF assay relative to control</t>
  </si>
  <si>
    <t xml:space="preserve">CHEMBL5098117</t>
  </si>
  <si>
    <t xml:space="preserve">Partial agonist activity at CBR2 V1133.32M mutant (unknown origin) stably expressed in HEK293T assessed as decrease in forskolin induced cAMP level preincubated for 15 mins followed by forskolin addition incubated for 15 mins by HTRF assay</t>
  </si>
  <si>
    <t xml:space="preserve">CHEMBL5098118</t>
  </si>
  <si>
    <t xml:space="preserve">Partial agonist activity at CBR2 V1133.32M mutant (unknown origin) stably expressed in HEK293T assessed as decrease in forskolin induced cAMP level preincubated for 15 mins followed by forskolin addition incubated for 15 mins in presence of cannabidiol by HTRF assay</t>
  </si>
  <si>
    <t xml:space="preserve">CHEMBL5098119</t>
  </si>
  <si>
    <t xml:space="preserve">Partial agonist activity at CBR2 V1133.32M mutant (unknown origin) stably expressed in HEK293T assessed as decrease in forskolin induced cAMP level preincubated for 15 mins followed by forskolin addition incubated for 15 mins in presence of JWH-133 by HTRF assay</t>
  </si>
  <si>
    <t xml:space="preserve">CHEMBL5098120</t>
  </si>
  <si>
    <t xml:space="preserve">Partial agonist activity at CBR2 V1133.32M mutant (unknown origin) stably expressed in HEK293T assessed as decrease in forskolin induced cAMP level preincubated for 15 mins followed by forskolin addition incubated for 15 mins by HTRF assay relative to control</t>
  </si>
  <si>
    <t xml:space="preserve">CHEMBL5098121</t>
  </si>
  <si>
    <t xml:space="preserve">Partial agonist activity at CBR2 V1133.32M mutant (unknown origin) stably expressed in HEK293T assessed as decrease in forskolin induced cAMP level preincubated for 15 mins followed by forskolin addition incubated for 15 mins in presence of cannabidiol by HTRF assay relative to control</t>
  </si>
  <si>
    <t xml:space="preserve">CHEMBL5098122</t>
  </si>
  <si>
    <t xml:space="preserve">Partial agonist activity at CBR2 V1133.32M mutant (unknown origin) stably expressed in HEK293T assessed as decrease in forskolin induced cAMP level preincubated for 15 mins followed by forskolin addition incubated for 15 mins in presence of JWH-133 by HTRF assay relative to control</t>
  </si>
  <si>
    <t xml:space="preserve">CHEMBL5098123</t>
  </si>
  <si>
    <t xml:space="preserve">Partial agonist activity at CBR2 V361.35M mutant (unknown origin) stably expressed in HEK293T assessed as decrease in forskolin induced cAMP level preincubated for 15 mins followed by forskolin addition incubated for 15 mins by HTRF assay</t>
  </si>
  <si>
    <t xml:space="preserve">CHEMBL5098124</t>
  </si>
  <si>
    <t xml:space="preserve">Partial agonist activity at CBR2 V361.35M mutant (unknown origin) stably expressed in HEK293T assessed as decrease in forskolin induced cAMP level preincubated for 15 mins followed by forskolin addition incubated for 15 mins in presence of cannabidiol by HTRF assay</t>
  </si>
  <si>
    <t xml:space="preserve">CHEMBL5098125</t>
  </si>
  <si>
    <t xml:space="preserve">Partial agonist activity at CBR2 V361.35M mutant (unknown origin) stably expressed in HEK293T assessed as decrease in forskolin induced cAMP level preincubated for 15 mins followed by forskolin addition incubated for 15 mins in presence of JWH-133 by HTRF assay</t>
  </si>
  <si>
    <t xml:space="preserve">CHEMBL5098126</t>
  </si>
  <si>
    <t xml:space="preserve">Partial agonist activity at CBR2 V361.35M mutant (unknown origin) stably expressed in HEK293T assessed as decrease in forskolin induced cAMP level preincubated for 15 mins followed by forskolin addition incubated for 15 mins by HTRF assay relative to control</t>
  </si>
  <si>
    <t xml:space="preserve">CHEMBL5098127</t>
  </si>
  <si>
    <t xml:space="preserve">Partial agonist activity at CBR2 V361.35M mutant (unknown origin) stably expressed in HEK293T assessed as decrease in forskolin induced cAMP level preincubated for 15 mins followed by forskolin addition incubated for 15 mins in presence of cannabidiol by HTRF assay relative to control</t>
  </si>
  <si>
    <t xml:space="preserve">CHEMBL5098128</t>
  </si>
  <si>
    <t xml:space="preserve">Partial agonist activity at CBR2 V361.35M mutant (unknown origin) stably expressed in HEK293T assessed as decrease in forskolin induced cAMP level preincubated for 15 mins followed by forskolin addition incubated for 15 mins in presence of JWH-133 by HTRF assay relative to control</t>
  </si>
  <si>
    <t xml:space="preserve">CHEMBL5098129</t>
  </si>
  <si>
    <t xml:space="preserve">Positive allosteric modulation of JWH-133-induced agonist activity at wild type CB2 receptor (unknown origin) stably expressed in HEK293T cells assessed as decrease in cAMP levels preincubated for 15 mins followed by forskolin addition incubated for 15 mins by HTRF assay relative to JWH-133</t>
  </si>
  <si>
    <t xml:space="preserve">CHEMBL5098130</t>
  </si>
  <si>
    <t xml:space="preserve">Partial agonist activity at CBR2 A2827.36M mutant (unknown origin) stably expressed in HEK293T assessed as decrease in forskolin induced cAMP level preincubated for 15 mins followed by forskolin addition incubated for 15 mins by HTRF assay</t>
  </si>
  <si>
    <t xml:space="preserve">CHEMBL5098131</t>
  </si>
  <si>
    <t xml:space="preserve">Partial agonist activity at CBR2 A2827.36M mutant (unknown origin) stably expressed in HEK293T assessed as decrease in forskolin induced cAMP level preincubated for 15 mins followed by forskolin addition incubated for 15 mins in presence of cannabidiol by HTRF assay</t>
  </si>
  <si>
    <t xml:space="preserve">CHEMBL5098132</t>
  </si>
  <si>
    <t xml:space="preserve">Partial agonist activity at CBR2 A2827.36M mutant (unknown origin) stably expressed in HEK293T assessed as decrease in forskolin induced cAMP level preincubated for 15 mins followed by forskolin addition incubated for 15 mins in presence of JWH-133 by HTRF assay</t>
  </si>
  <si>
    <t xml:space="preserve">CHEMBL5098133</t>
  </si>
  <si>
    <t xml:space="preserve">Partial agonist activity at CBR2 A2827.36M mutant (unknown origin) stably expressed in HEK293T assessed as decrease in forskolin induced cAMP level preincubated for 15 mins followed by forskolin addition incubated for 15 mins by HTRF assay relative to control</t>
  </si>
  <si>
    <t xml:space="preserve">CHEMBL5098134</t>
  </si>
  <si>
    <t xml:space="preserve">Partial agonist activity at CBR2 A2827.36M mutant (unknown origin) stably expressed in HEK293T assessed as decrease in forskolin induced cAMP level preincubated for 15 mins followed by forskolin addition incubated for 15 mins in presence of cannabidiol by HTRF assay relative to control</t>
  </si>
  <si>
    <t xml:space="preserve">CHEMBL5098135</t>
  </si>
  <si>
    <t xml:space="preserve">Partial agonist activity at CBR2 A2827.36M mutant (unknown origin) stably expressed in HEK293T assessed as decrease in forskolin induced cAMP level preincubated for 15 mins followed by forskolin addition incubated for 15 mins in presence of JWH-133 by HTRF assay relative to control</t>
  </si>
  <si>
    <t xml:space="preserve">CHEMBL5098136</t>
  </si>
  <si>
    <t xml:space="preserve">Partial agonist activity at CBR2 S2857.39L mutant (unknown origin) stably expressed in HEK293T assessed as decrease in forskolin induced cAMP level preincubated for 15 mins followed by forskolin addition incubated for 15 mins by HTRF assay</t>
  </si>
  <si>
    <t xml:space="preserve">CHEMBL5098137</t>
  </si>
  <si>
    <t xml:space="preserve">Partial agonist activity at CBR2 S2857.39L mutant (unknown origin) stably expressed in HEK293T assessed as decrease in forskolin induced cAMP level preincubated for 15 mins followed by forskolin addition incubated for 15 mins in presence of cannabidiol by HTRF assay</t>
  </si>
  <si>
    <t xml:space="preserve">CHEMBL5098138</t>
  </si>
  <si>
    <t xml:space="preserve">Partial agonist activity at CBR2 S2857.39L mutant (unknown origin) stably expressed in HEK293T assessed as decrease in forskolin induced cAMP level preincubated for 15 mins followed by forskolin addition incubated for 15 mins in presence of JWH-133 by HTRF assay</t>
  </si>
  <si>
    <t xml:space="preserve">CHEMBL5098139</t>
  </si>
  <si>
    <t xml:space="preserve">Partial agonist activity at CBR2 S2857.39L mutant (unknown origin) stably expressed in HEK293T assessed as decrease in forskolin induced cAMP level preincubated for 15 mins followed by forskolin addition incubated for 15 mins by HTRF assay relative to control</t>
  </si>
  <si>
    <t xml:space="preserve">CHEMBL5098140</t>
  </si>
  <si>
    <t xml:space="preserve">Partial agonist activity at CBR2 S2857.39L mutant (unknown origin) stably expressed in HEK293T assessed as decrease in forskolin induced cAMP level preincubated for 15 mins followed by forskolin addition incubated for 15 mins in presence of cannabidiol by HTRF assay relative to control</t>
  </si>
  <si>
    <t xml:space="preserve">CHEMBL5098141</t>
  </si>
  <si>
    <t xml:space="preserve">Partial agonist activity at CBR2 S2857.39L mutant (unknown origin) stably expressed in HEK293T assessed as decrease in forskolin induced cAMP level preincubated for 15 mins followed by forskolin addition incubated for 15 mins in presence of JWH-133 by HTRF assay relative to control</t>
  </si>
  <si>
    <t xml:space="preserve">CHEMBL5098142</t>
  </si>
  <si>
    <t xml:space="preserve">Partial agonist activity at wild type CB2 receptor (unknown origin) expressed in HEK293T assessed as increase in ERK1/2 phosphorylation incubated for 7 mins by AlphaScreenSureFire method</t>
  </si>
  <si>
    <t xml:space="preserve">CHEMBL5098143</t>
  </si>
  <si>
    <t xml:space="preserve">Partial agonist activity at wild type CB2 receptor (unknown origin) expressed in HEK293T assessed as increase in ERK1/2 phosphorylation incubated for 7 mins in presence of cannabidiol by AlphaScreenSureFire method</t>
  </si>
  <si>
    <t xml:space="preserve">CHEMBL5098144</t>
  </si>
  <si>
    <t xml:space="preserve">Partial agonist activity at wild type CB2 receptor (unknown origin) expressed in HEK293T assessed as increase in ERK1/2 phosphorylation incubated for 7 mins in presence of JWH-133 by AlphaScreenSureFire method</t>
  </si>
  <si>
    <t xml:space="preserve">CHEMBL5098145</t>
  </si>
  <si>
    <t xml:space="preserve">Partial agonist activity at wild type CB2 receptor (unknown origin) expressed in HEK293T assessed as increase in ERK1/2 phosphorylation incubated for 7 mins by AlphaScreenSureFire method relative to control</t>
  </si>
  <si>
    <t xml:space="preserve">CHEMBL5098146</t>
  </si>
  <si>
    <t xml:space="preserve">Partial agonist activity at wild type CB2 receptor (unknown origin) expressed in HEK293T assessed as increase in ERK1/2 phosphorylation incubated for 7 mins in presence of cannabidiol by AlphaScreenSureFire method relative to control</t>
  </si>
  <si>
    <t xml:space="preserve">CHEMBL5098147</t>
  </si>
  <si>
    <t xml:space="preserve">Partial agonist activity at wild type CB2 receptor (unknown origin) expressed in HEK293T assessed as increase in ERK1/2 phosphorylation incubated for 7 mins in presence of JWH-133 by AlphaScreenSureFire method relative to control</t>
  </si>
  <si>
    <t xml:space="preserve">CHEMBL5098148</t>
  </si>
  <si>
    <t xml:space="preserve">Partial agonist activity at CBR2 V1133.32M mutant (unknown origin) expressed in HEK293T assessed as increase in ERK1/2 phosphorylation incubated for 7 mins by AlphaScreenSureFire method</t>
  </si>
  <si>
    <t xml:space="preserve">CHEMBL5098149</t>
  </si>
  <si>
    <t xml:space="preserve">Partial agonist activity at CBR2 V1133.32M mutant (unknown origin) expressed in HEK293T assessed as increase in ERK1/2 phosphorylation incubated for 7 mins in presence of cannabidiol by AlphaScreenSureFire method</t>
  </si>
  <si>
    <t xml:space="preserve">CHEMBL5098150</t>
  </si>
  <si>
    <t xml:space="preserve">Partial agonist activity at CBR2 V1133.32M mutant (unknown origin) expressed in HEK293T assessed as increase in ERK1/2 phosphorylation incubated for 7 mins in presence of JWH-133 by AlphaScreenSureFire method</t>
  </si>
  <si>
    <t xml:space="preserve">CHEMBL5098151</t>
  </si>
  <si>
    <t xml:space="preserve">Partial agonist activity at CBR2 V1133.32M mutant (unknown origin) expressed in HEK293T assessed as increase in ERK1/2 phosphorylation incubated for 7 mins by AlphaScreenSureFire method relative to control</t>
  </si>
  <si>
    <t xml:space="preserve">CHEMBL5098152</t>
  </si>
  <si>
    <t xml:space="preserve">Partial agonist activity at CBR2 V1133.32M mutant (unknown origin) expressed in HEK293T assessed as increase in ERK1/2 phosphorylation incubated for 7 mins in presence of cannabidiol by AlphaScreenSureFire method relative to control</t>
  </si>
  <si>
    <t xml:space="preserve">CHEMBL5098153</t>
  </si>
  <si>
    <t xml:space="preserve">Partial agonist activity at CBR2 V1133.32M mutant (unknown origin) expressed in HEK293T assessed as increase in ERK1/2 phosphorylation incubated for 7 mins in presence of JWH-133 by AlphaScreenSureFire method relative to control</t>
  </si>
  <si>
    <t xml:space="preserve">CHEMBL5098154</t>
  </si>
  <si>
    <t xml:space="preserve">Partial agonist activity at CBR2 V361.35M mutant (unknown origin) expressed in HEK293T assessed as increase in ERK1/2 phosphorylation incubated for 7 mins by AlphaScreenSureFire method</t>
  </si>
  <si>
    <t xml:space="preserve">CHEMBL5098155</t>
  </si>
  <si>
    <t xml:space="preserve">Partial agonist activity at CBR2 V361.35M mutant (unknown origin) expressed in HEK293T assessed as increase in ERK1/2 phosphorylation incubated for 7 mins in presence of cannabidiol by AlphaScreenSureFire method</t>
  </si>
  <si>
    <t xml:space="preserve">CHEMBL5098156</t>
  </si>
  <si>
    <t xml:space="preserve">Partial agonist activity at CBR2 V361.35M mutant (unknown origin) expressed in HEK293T assessed as increase in ERK1/2 phosphorylation incubated for 7 mins in presence of JWH-133 by AlphaScreenSureFire method</t>
  </si>
  <si>
    <t xml:space="preserve">CHEMBL5098157</t>
  </si>
  <si>
    <t xml:space="preserve">Partial agonist activity at CBR2 V361.35M mutant (unknown origin) expressed in HEK293T assessed as increase in ERK1/2 phosphorylation incubated for 7 mins by AlphaScreenSureFire method relative to control</t>
  </si>
  <si>
    <t xml:space="preserve">CHEMBL5098158</t>
  </si>
  <si>
    <t xml:space="preserve">Partial agonist activity at CBR2 V361.35M mutant (unknown origin) expressed in HEK293T assessed as increase in ERK1/2 phosphorylation incubated for 7 mins in presence of cannabidiol by AlphaScreenSureFire method relative to control</t>
  </si>
  <si>
    <t xml:space="preserve">CHEMBL5098159</t>
  </si>
  <si>
    <t xml:space="preserve">Partial agonist activity at CBR2 V361.35M mutant (unknown origin) expressed in HEK293T assessed as increase in ERK1/2 phosphorylation incubated for 7 mins in presence of JWH-133 by AlphaScreenSureFire method relative to control</t>
  </si>
  <si>
    <t xml:space="preserve">CHEMBL5098160</t>
  </si>
  <si>
    <t xml:space="preserve">Partial agonist activity at CBR2 A2827.36M mutant (unknown origin) expressed in HEK293T assessed as increase in ERK1/2 phosphorylation incubated for 7 mins by AlphaScreenSureFire method</t>
  </si>
  <si>
    <t xml:space="preserve">CHEMBL5098161</t>
  </si>
  <si>
    <t xml:space="preserve">Partial agonist activity at CBR2 A2827.36M mutant (unknown origin) expressed in HEK293T assessed as increase in ERK1/2 phosphorylation incubated for 7 mins in presence of cannabidiol by AlphaScreenSureFire method</t>
  </si>
  <si>
    <t xml:space="preserve">CHEMBL5098162</t>
  </si>
  <si>
    <t xml:space="preserve">Partial agonist activity at CBR2 A2827.36M mutant (unknown origin) expressed in HEK293T assessed as increase in ERK1/2 phosphorylation incubated for 7 mins in presence of JWH-133 by AlphaScreenSureFire method</t>
  </si>
  <si>
    <t xml:space="preserve">CHEMBL5098163</t>
  </si>
  <si>
    <t xml:space="preserve">Positive allosteric modulation of JWH-133-induced agonist activity at wild type CB2 receptor (unknown origin) stably expressed in HEK293T cells assessed as inhibition of forskolin-stimulated cAMP levels preincubated for 15 mins followed by forskolin addition incubated for 15 mins by HTRF assay relative to control</t>
  </si>
  <si>
    <t xml:space="preserve">CHEMBL5098164</t>
  </si>
  <si>
    <t xml:space="preserve">Partial agonist activity at CBR2 A2827.36M mutant (unknown origin) expressed in HEK293T assessed as increase in ERK1/2 phosphorylation incubated for 7 mins by AlphaScreenSureFire method relative to control</t>
  </si>
  <si>
    <t xml:space="preserve">CHEMBL5098165</t>
  </si>
  <si>
    <t xml:space="preserve">Partial agonist activity at CBR2 A2827.36M mutant (unknown origin) expressed in HEK293T assessed as increase in ERK1/2 phosphorylation incubated for 7 mins in presence of cannabidiol by AlphaScreenSureFire method relative to control</t>
  </si>
  <si>
    <t xml:space="preserve">CHEMBL5098166</t>
  </si>
  <si>
    <t xml:space="preserve">Partial agonist activity at CBR2 A2827.36M mutant (unknown origin) expressed in HEK293T assessed as increase in ERK1/2 phosphorylation incubated for 7 mins in presence of JWH-133 by AlphaScreenSureFire method relative to control</t>
  </si>
  <si>
    <t xml:space="preserve">CHEMBL5098167</t>
  </si>
  <si>
    <t xml:space="preserve">Partial agonist activity at CBR2 S2857.39L mutant (unknown origin) expressed in HEK293T assessed as increase in ERK1/2 phosphorylation incubated for 7 mins by AlphaScreenSureFire method</t>
  </si>
  <si>
    <t xml:space="preserve">CHEMBL5098168</t>
  </si>
  <si>
    <t xml:space="preserve">Partial agonist activity at CBR2 S2857.39L mutant (unknown origin) expressed in HEK293T assessed as increase in ERK1/2 phosphorylation incubated for 7 mins in presence of cannabidiol by AlphaScreenSureFire method</t>
  </si>
  <si>
    <t xml:space="preserve">CHEMBL5098169</t>
  </si>
  <si>
    <t xml:space="preserve">Partial agonist activity at CBR2 S2857.39L mutant (unknown origin) expressed in HEK293T assessed as increase in ERK1/2 phosphorylation incubated for 7 mins in presence of JWH-133 by AlphaScreenSureFire method</t>
  </si>
  <si>
    <t xml:space="preserve">CHEMBL5098170</t>
  </si>
  <si>
    <t xml:space="preserve">Partial agonist activity at CBR2 S2857.39L mutant (unknown origin) expressed in HEK293T assessed as increase in ERK1/2 phosphorylation incubated for 7 mins by AlphaScreenSureFire method relative to control</t>
  </si>
  <si>
    <t xml:space="preserve">CHEMBL5098171</t>
  </si>
  <si>
    <t xml:space="preserve">Partial agonist activity at CBR2 S2857.39L mutant (unknown origin) expressed in HEK293T assessed as increase in ERK1/2 phosphorylation incubated for 7 mins in presence of cannabidiol by AlphaScreenSureFire method relative to control</t>
  </si>
  <si>
    <t xml:space="preserve">CHEMBL5098172</t>
  </si>
  <si>
    <t xml:space="preserve">Partial agonist activity at CBR2 S2857.39L mutant (unknown origin) expressed in HEK293T assessed as increase in ERK1/2 phosphorylation incubated for 7 mins in presence of JWH-133 by AlphaScreenSureFire method relative to control</t>
  </si>
  <si>
    <t xml:space="preserve">CHEMBL5098173</t>
  </si>
  <si>
    <t xml:space="preserve">Partial agonist activity at wild type CB2 receptor (unknown origin) expressed in HEK293T assessed as increase in picometer shifts of reflected light wavelengths by DMR assay</t>
  </si>
  <si>
    <t xml:space="preserve">CHEMBL5098174</t>
  </si>
  <si>
    <t xml:space="preserve">Partial agonist activity at wild type CB2 receptor (unknown origin) expressed in HEK293T assessed as increase in picometer shifts of reflected light wavelengths in presence of cannabidiol by DMR assay</t>
  </si>
  <si>
    <t xml:space="preserve">CHEMBL5098175</t>
  </si>
  <si>
    <t xml:space="preserve">Partial agonist activity at wild type CB2 receptor (unknown origin) expressed in HEK293T assessed as increase in picometer shifts of reflected light wavelengths in presence of JWH-133 by DMR assay</t>
  </si>
  <si>
    <t xml:space="preserve">CHEMBL5098176</t>
  </si>
  <si>
    <t xml:space="preserve">Partial agonist activity at wild type CB2 receptor (unknown origin) expressed in HEK293T assessed as increase in picometer shifts of reflected light wavelengths by DMR assay relative to control</t>
  </si>
  <si>
    <t xml:space="preserve">CHEMBL5098177</t>
  </si>
  <si>
    <t xml:space="preserve">Partial agonist activity at wild type CB2 receptor (unknown origin) expressed in HEK293T assessed as increase in picometer shifts of reflected light wavelengths in presence of cannabidiol by DMR assay relative to control</t>
  </si>
  <si>
    <t xml:space="preserve">CHEMBL5098178</t>
  </si>
  <si>
    <t xml:space="preserve">Partial agonist activity at wild type CB2 receptor (unknown origin) expressed in HEK293T assessed as increase in picometer shifts of reflected light wavelengths in presence of JWH-133 by DMR assay relative to control</t>
  </si>
  <si>
    <t xml:space="preserve">CHEMBL5098179</t>
  </si>
  <si>
    <t xml:space="preserve">Positive allosteric modulation of JWH-133-induced agonist activity at wild type CB2 receptor (unknown origin) stably expressed in HEK293T cells assessed as inhibition of forskolin-stimulated cAMP levels preincubated for 15 mins followed by forskolin addition incubated for 15 mins by HTRF assay</t>
  </si>
  <si>
    <t xml:space="preserve">CHEMBL5098180</t>
  </si>
  <si>
    <t xml:space="preserve">Partial agonist activity at CBR2 V1133.32M mutant (unknown origin) expressed in HEK293T assessed as increase in picometer shifts of reflected light wavelengths by DMR assay</t>
  </si>
  <si>
    <t xml:space="preserve">CHEMBL5098181</t>
  </si>
  <si>
    <t xml:space="preserve">Partial agonist activity at CBR2 V1133.32M mutant (unknown origin) expressed in HEK293T assessed as increase in picometer shifts of reflected light wavelengths in presence of cannabidiol by DMR assay</t>
  </si>
  <si>
    <t xml:space="preserve">CHEMBL5098182</t>
  </si>
  <si>
    <t xml:space="preserve">Partial agonist activity at CBR2 V1133.32M mutant (unknown origin) expressed in HEK293T assessed as increase in picometer shifts of reflected light wavelengths in presence of JWH-133 by DMR assay</t>
  </si>
  <si>
    <t xml:space="preserve">CHEMBL5098183</t>
  </si>
  <si>
    <t xml:space="preserve">Partial agonist activity at CBR2 V1133.32M mutant (unknown origin) expressed in HEK293T assessed as increase in picometer shifts of reflected light wavelengths by DMR assay relative to control</t>
  </si>
  <si>
    <t xml:space="preserve">CHEMBL5098184</t>
  </si>
  <si>
    <t xml:space="preserve">Partial agonist activity at CBR2 V1133.32M mutant (unknown origin) expressed in HEK293T assessed as increase in picometer shifts of reflected light wavelengths in presence of cannabidiol by DMR assay relative to control</t>
  </si>
  <si>
    <t xml:space="preserve">CHEMBL5098185</t>
  </si>
  <si>
    <t xml:space="preserve">Partial agonist activity at CBR2 V1133.32M mutant (unknown origin) expressed in HEK293T assessed as increase in picometer shifts of reflected light wavelengths in presence of JWH-133 by DMR assay relative to control</t>
  </si>
  <si>
    <t xml:space="preserve">CHEMBL5098186</t>
  </si>
  <si>
    <t xml:space="preserve">Partial agonist activity at CBR2 V361.35M mutant (unknown origin) expressed in HEK293T assessed as increase in picometer shifts of reflected light wavelengths by DMR assay</t>
  </si>
  <si>
    <t xml:space="preserve">CHEMBL5098187</t>
  </si>
  <si>
    <t xml:space="preserve">Partial agonist activity at CBR2 V361.35M mutant (unknown origin) expressed in HEK293T assessed as increase in picometer shifts of reflected light wavelengths in presence of cannabidiol by DMR assay</t>
  </si>
  <si>
    <t xml:space="preserve">CHEMBL5098188</t>
  </si>
  <si>
    <t xml:space="preserve">Partial agonist activity at CBR2 V361.35M mutant (unknown origin) expressed in HEK293T assessed as increase in picometer shifts of reflected light wavelengths in presence of JWH-133 by DMR assay</t>
  </si>
  <si>
    <t xml:space="preserve">CHEMBL5098189</t>
  </si>
  <si>
    <t xml:space="preserve">Partial agonist activity at CBR2 V361.35M mutant (unknown origin) expressed in HEK293T assessed as increase in picometer shifts of reflected light wavelengths by DMR assay relative to control</t>
  </si>
  <si>
    <t xml:space="preserve">CHEMBL5098190</t>
  </si>
  <si>
    <t xml:space="preserve">Partial agonist activity at CBR2 V361.35M mutant (unknown origin) expressed in HEK293T assessed as increase in picometer shifts of reflected light wavelengths in presence of cannabidiol by DMR assay relative to control</t>
  </si>
  <si>
    <t xml:space="preserve">CHEMBL5098191</t>
  </si>
  <si>
    <t xml:space="preserve">Partial agonist activity at CBR2 V361.35M mutant (unknown origin) expressed in HEK293T assessed as increase in picometer shifts of reflected light wavelengths in presence of JWH-133 by DMR assay relative to control</t>
  </si>
  <si>
    <t xml:space="preserve">CHEMBL5098192</t>
  </si>
  <si>
    <t xml:space="preserve">Partial agonist activity at CBR2 A2827.36M mutant (unknown origin) expressed in HEK293T assessed as increase in picometer shifts of reflected light wavelengths by DMR assay</t>
  </si>
  <si>
    <t xml:space="preserve">CHEMBL5098193</t>
  </si>
  <si>
    <t xml:space="preserve">Partial agonist activity at CBR2 A2827.36M mutant (unknown origin) expressed in HEK293T assessed as increase in picometer shifts of reflected light wavelengths in presence of cannabidiol by DMR assay</t>
  </si>
  <si>
    <t xml:space="preserve">CHEMBL5098194</t>
  </si>
  <si>
    <t xml:space="preserve">Partial agonist activity at CBR2 A2827.36M mutant (unknown origin) expressed in HEK293T assessed as increase in picometer shifts of reflected light wavelengths in presence of JWH-133 by DMR assay</t>
  </si>
  <si>
    <t xml:space="preserve">CHEMBL5098195</t>
  </si>
  <si>
    <t xml:space="preserve">Partial agonist activity at CBR2 A2827.36M mutant (unknown origin) expressed in HEK293T assessed as increase in picometer shifts of reflected light wavelengths by DMR assay relative to control</t>
  </si>
  <si>
    <t xml:space="preserve">CHEMBL5098196</t>
  </si>
  <si>
    <t xml:space="preserve">Partial agonist activity at CBR2 A2827.36M mutant (unknown origin) expressed in HEK293T assessed as increase in picometer shifts of reflected light wavelengths in presence of cannabidiol by DMR assay relative to control</t>
  </si>
  <si>
    <t xml:space="preserve">CHEMBL5098197</t>
  </si>
  <si>
    <t xml:space="preserve">Partial agonist activity at CBR2 A2827.36M mutant (unknown origin) expressed in HEK293T assessed as increase in picometer shifts of reflected light wavelengths in presence of JWH-133 by DMR assay relative to control</t>
  </si>
  <si>
    <t xml:space="preserve">CHEMBL5098198</t>
  </si>
  <si>
    <t xml:space="preserve">Partial agonist activity at CBR2 S2857.39L mutant (unknown origin) expressed in HEK293T assessed as increase in picometer shifts of reflected light wavelengths by DMR assay</t>
  </si>
  <si>
    <t xml:space="preserve">CHEMBL5098199</t>
  </si>
  <si>
    <t xml:space="preserve">Partial agonist activity at CBR2 S2857.39L mutant (unknown origin) expressed in HEK293T assessed as increase in picometer shifts of reflected light wavelengths in presence of cannabidiol by DMR assay</t>
  </si>
  <si>
    <t xml:space="preserve">CHEMBL5098200</t>
  </si>
  <si>
    <t xml:space="preserve">Partial agonist activity at CBR2 S2857.39L mutant (unknown origin) expressed in HEK293T assessed as increase in picometer shifts of reflected light wavelengths in presence of JWH-133 by DMR assay</t>
  </si>
  <si>
    <t xml:space="preserve">CHEMBL5098201</t>
  </si>
  <si>
    <t xml:space="preserve">Partial agonist activity at CBR2 S2857.39L mutant (unknown origin) expressed in HEK293T assessed as increase in picometer shifts of reflected light wavelengths by DMR assay relative to control</t>
  </si>
  <si>
    <t xml:space="preserve">CHEMBL5098202</t>
  </si>
  <si>
    <t xml:space="preserve">Partial agonist activity at CBR2 S2857.39L mutant (unknown origin) expressed in HEK293T assessed as increase in picometer shifts of reflected light wavelengths in presence of cannabidiol by DMR assay relative to control</t>
  </si>
  <si>
    <t xml:space="preserve">CHEMBL5098203</t>
  </si>
  <si>
    <t xml:space="preserve">Partial agonist activity at CBR2 S2857.39L mutant (unknown origin) expressed in HEK293T assessed as increase in picometer shifts of reflected light wavelengths in presence of JWH-133 by DMR assay relative to control</t>
  </si>
  <si>
    <t xml:space="preserve">CHEMBL5098204</t>
  </si>
  <si>
    <t xml:space="preserve">Negative allosteric modulation of JWH-133-induced agonist activity at wild type CB2 receptor (unknown origin) stably expressed in HEK293T cells assessed as decrease in cAMP levels preincubated for 15 mins followed by forskolin addition incubated for 15 mins by HTRF assay relative to JWH-133</t>
  </si>
  <si>
    <t xml:space="preserve">CHEMBL5098550</t>
  </si>
  <si>
    <t xml:space="preserve">Agonist activity at recombinant human CB2 receptor expressed in CHO cells assessed as inhibition of forskolin-induced cAMP accumulation by measuring maximum efficacy preincubated for 15 mins followed by forskolin stimulation and measured after 15 mins by HTRF assay relative to control</t>
  </si>
  <si>
    <t xml:space="preserve">CHEMBL5098554</t>
  </si>
  <si>
    <t xml:space="preserve">Displacement of [3H]-CP55940 from recombinant human CB2 receptor expressed in CHO cells at 10 uM incubated for 120 mins by radioligand binding assay</t>
  </si>
  <si>
    <t xml:space="preserve">CHEMBL5098556</t>
  </si>
  <si>
    <t xml:space="preserve">Agonist activity at recombinant human CB2 receptor expressed in CHO cells assessed as inhibition of forskolin-induced cAMP accumulation preincubated for 15 mins followed by forskolin stimulation and measured after 15 mins by HTRF assay</t>
  </si>
  <si>
    <t xml:space="preserve">CHEMBL5098559</t>
  </si>
  <si>
    <t xml:space="preserve">Agonist activity at recombinant human CB2 receptor expressed in CHO cells assessed as inhibition of forskolin-induced cAMP accumulation at 10 uM preincubated for 15 mins followed by forskolin stimulation and measured after 15 mins by HTRF assay</t>
  </si>
  <si>
    <t xml:space="preserve">CHEMBL5107686</t>
  </si>
  <si>
    <t xml:space="preserve">Agonist activity at human CB2 receptor expressed in CHO cells assessed as inhibition of accumulation of forskolin-stimulated cAMP level incubated for 35 mins by chemiluminescence based assay</t>
  </si>
  <si>
    <t xml:space="preserve">CHEMBL5104219</t>
  </si>
  <si>
    <t xml:space="preserve">CHEMBL5107687</t>
  </si>
  <si>
    <t xml:space="preserve">Agonist activity at human CB2 receptor expressed in CHO cells assessed as inhibition of accumulation of forskolin-stimulated cAMP level by measuring maximum activation incubated for 35 mins by chemiluminescence based assay relative to control</t>
  </si>
  <si>
    <t xml:space="preserve">CHEMBL5107688</t>
  </si>
  <si>
    <t xml:space="preserve">Agonist activity at human CB2 receptor expressed in PathHunter CHO-K1 CNR2 beta-arrestin cells assessed as beta-arrestin recruitment incubated for 3 hrs by plate reader analysis</t>
  </si>
  <si>
    <t xml:space="preserve">CHEMBL5108116</t>
  </si>
  <si>
    <t xml:space="preserve">Agonist activity at human CB2R expressed in mouse AtT20 cells by FLIPR membrane potential assay</t>
  </si>
  <si>
    <t xml:space="preserve">CHEMBL5107937</t>
  </si>
  <si>
    <t xml:space="preserve">CHEMBL5108118</t>
  </si>
  <si>
    <t xml:space="preserve">Antagonist activity at human CB2R expressed in mouse AtT20 cells by FLIPR membrane potential assay</t>
  </si>
  <si>
    <t xml:space="preserve">CHEMBL5108125</t>
  </si>
  <si>
    <t xml:space="preserve">Agonist activity at human CB2R expressed in mouse AtT20 cells at 10 uM by FLIPR membrane potential assay</t>
  </si>
  <si>
    <t xml:space="preserve">CHEMBL5108127</t>
  </si>
  <si>
    <t xml:space="preserve">Antagonist activity at human CB2R expressed in mouse AtT20 cells at 10 uM by FLIPR membrane potential assay</t>
  </si>
  <si>
    <t xml:space="preserve">CHEMBL5108815</t>
  </si>
  <si>
    <t xml:space="preserve">Agonist activity at human CB2 receptor expressed in mouse AtT20 cells incubated for 60 mins by FLIPR membrane potential assay</t>
  </si>
  <si>
    <t xml:space="preserve">CHEMBL5108817</t>
  </si>
  <si>
    <t xml:space="preserve">Agonist activity at human CB2 receptor expressed in mouse AtT20 cells assessed as maximal agonist effect by measuring fluorescence at 10 uM incubated for 60 mins by FLIPR membrane potential assay relative to CP55940</t>
  </si>
  <si>
    <t xml:space="preserve">CHEMBL5108819</t>
  </si>
  <si>
    <t xml:space="preserve">Agonist activity at CB2 receptor (unknown origin) expressed in human HEK293T cells co-expressing beta-arrestin2 assessed as beta-arrestin2 recruitment using furimazine as substrate by Nano-Glo live cell reagent assay</t>
  </si>
  <si>
    <t xml:space="preserve">CHEMBL5108821</t>
  </si>
  <si>
    <t xml:space="preserve">Agonist activity at CB2 receptor (unknown origin) expressed in human HEK293T cells co-expressing beta-arrestin2 assessed as beta-arrestin2 recruitment by measuring maximal luminescence using furimazine as substrate at 100 uM by Nano-Glo live cell reagent assay relative to CP55940</t>
  </si>
  <si>
    <t xml:space="preserve">CHEMBL5110344</t>
  </si>
  <si>
    <t xml:space="preserve">Binding affinity to CB2 receptor (unknown origin) at 1 uM measured by radioligand binding assay relative to control</t>
  </si>
  <si>
    <t xml:space="preserve">CHEMBL5108017</t>
  </si>
  <si>
    <t xml:space="preserve">CHEMBL5111270</t>
  </si>
  <si>
    <t xml:space="preserve">Binding affinity to human CB2 receptor expressed in HEK cells at 10 uM relative to control</t>
  </si>
  <si>
    <t xml:space="preserve">CHEMBL5108043</t>
  </si>
  <si>
    <t xml:space="preserve">CHEMBL5111271</t>
  </si>
  <si>
    <t xml:space="preserve">Displacement of [3H]CP55940 from human CB2 receptor expressed in HEK cells incubated for 3 hrs by competitive assay</t>
  </si>
  <si>
    <t xml:space="preserve">CHEMBL5133348</t>
  </si>
  <si>
    <t xml:space="preserve">Inhibition of CB2 receptor (unknown origin) at 50 uM by radioligand receptor binding assay relative to control</t>
  </si>
  <si>
    <t xml:space="preserve">CHEMBL5131414</t>
  </si>
  <si>
    <t xml:space="preserve">CHEMBL5149210</t>
  </si>
  <si>
    <t xml:space="preserve">Displacement of [18F]-LU13 from human CB2 receptor transfected in CHO cells membrane homogenate incubated for 90 mins by competitive radioligand binding assay</t>
  </si>
  <si>
    <t xml:space="preserve">CHEMBL5149231</t>
  </si>
  <si>
    <t xml:space="preserve">Inhibition of human CB2 receptor assessed as inhibition constant</t>
  </si>
  <si>
    <t xml:space="preserve">CHEMBL5149613</t>
  </si>
  <si>
    <t xml:space="preserve">Agonist activity at human CB2 receptor expressed in CHO-K1 cells assessed as inhibition of froskolin-stimulated cAMP accumulation incubated for 90 mins by HitHunter chemiluminescence based assay</t>
  </si>
  <si>
    <t xml:space="preserve">CHEMBL5149614</t>
  </si>
  <si>
    <t xml:space="preserve">Agonist activity at human CB2 receptor expressed in CHO-K1 cells assessed as inhibition of froskolin-stimulated cAMP accumulation at 10 uM incubated for 90 mins by HitHunter chemiluminescence based assay relative to CP55,940</t>
  </si>
  <si>
    <t xml:space="preserve">CHEMBL5149615</t>
  </si>
  <si>
    <t xml:space="preserve">Agonist activity at human CB2 receptor expressed in CHO-K1 cells assessed as enhancement of beta arrestin-2 recruitment incubated for 90 mins by HitHunter chemiluminescence based assay</t>
  </si>
  <si>
    <t xml:space="preserve">CHEMBL5149616</t>
  </si>
  <si>
    <t xml:space="preserve">Agonist activity at human CB2 receptor expressed in CHO-K1 cells assessed as enhancement of beta arrestin-2 recruitment at 10 uM incubated for 90 mins by HitHunter chemiluminescence based assay relative to CP55,940</t>
  </si>
  <si>
    <t xml:space="preserve">CHEMBL5149617</t>
  </si>
  <si>
    <t xml:space="preserve">Agonist activity at human CB2 receptor expressed in CHO-K1 cells assessed as inhibition of froskolin-stimulated cAMP accumulation incubated for 90 mins in presence of EC-21a by HitHunter chemiluminescence based assay</t>
  </si>
  <si>
    <t xml:space="preserve">CHEMBL5149618</t>
  </si>
  <si>
    <t xml:space="preserve">Agonist activity at human CB2 receptor expressed in CHO-K1 cells assessed as inhibition of froskolin-stimulated cAMP accumulation at 50 nM incubated for 90 mins in presence of EC-21a by HitHunter chemiluminescence based assay relative to CP55,940</t>
  </si>
  <si>
    <t xml:space="preserve">CHEMBL5149619</t>
  </si>
  <si>
    <t xml:space="preserve">Agonist activity at human CB2 receptor expressed in CHO-k1 cells assessed as inhibition of froskolin-stimulated cAMP accumulation at 5 nM incubated for 90 mins in presence of EC-21a by HitHunter chemiluminescence based assay relative to CP55,940</t>
  </si>
  <si>
    <t xml:space="preserve">CHEMBL5149620</t>
  </si>
  <si>
    <t xml:space="preserve">Agonist activity at human CB2 receptor expressed in CHO-K1 cells assessed as inhibition of froskolin-stimulated cAMP accumulation incubated for 90 mins in presence of SR144528 by HitHunter chemiluminescence based assay</t>
  </si>
  <si>
    <t xml:space="preserve">CHEMBL5149623</t>
  </si>
  <si>
    <t xml:space="preserve">Displacement of [3H]-CP55,940 from human CB2R expressed in CHO-K1 cell membranes incubated for 2 hrs by liquid scintillation spectrophotometry relative to CP55,940</t>
  </si>
  <si>
    <t xml:space="preserve">CHEMBL5164125</t>
  </si>
  <si>
    <t xml:space="preserve">Agonist activity at human CB2 receptor at 10 uM relative to control</t>
  </si>
  <si>
    <t xml:space="preserve">CHEMBL5154849</t>
  </si>
  <si>
    <t xml:space="preserve">CHEMBL5164149</t>
  </si>
  <si>
    <t xml:space="preserve">Antagonist activity at human CB2 receptor at 10 uM relative to control</t>
  </si>
  <si>
    <t xml:space="preserve">CHEMBL5166876</t>
  </si>
  <si>
    <t xml:space="preserve">Displacement of [3H]-CP55940 from human CB2 receptor incubated for 90 mins</t>
  </si>
  <si>
    <t xml:space="preserve">CHEMBL5154905</t>
  </si>
  <si>
    <t xml:space="preserve">CHEMBL5214268</t>
  </si>
  <si>
    <t xml:space="preserve">Selectivity interaction (Radioligand binding assay) EUB0000296b CNR2</t>
  </si>
  <si>
    <t xml:space="preserve">CHEMBL5212743</t>
  </si>
  <si>
    <t xml:space="preserve">CHEMBL5214269</t>
  </si>
  <si>
    <t xml:space="preserve">CHEMBL5217393</t>
  </si>
  <si>
    <t xml:space="preserve">Agonist activity at human CB2 receptor expressed in mouse AtT20 cells by FLIPR assay</t>
  </si>
  <si>
    <t xml:space="preserve">CHEMBL5224281</t>
  </si>
  <si>
    <t xml:space="preserve">Antagonist activity at human CB2R expressed in CHO cells assessed as inhibition of forskolin stimulated cyclic AMP production</t>
  </si>
  <si>
    <t xml:space="preserve">CHEMBL5225733</t>
  </si>
  <si>
    <t xml:space="preserve">Displacement of [3H]CP55940 from human CB2 receptor expressed in HEK293 cell membranes assessed as inhibition constant incubated for 90 mins by liquid scintillation spectrometry analysis</t>
  </si>
  <si>
    <t xml:space="preserve">CHEMBL5223166</t>
  </si>
  <si>
    <t xml:space="preserve">CHEMBL5228809</t>
  </si>
  <si>
    <t xml:space="preserve">Inhibition of CB2 receptor (unknown origin) at 10 uM</t>
  </si>
  <si>
    <t xml:space="preserve">CHEMBL5226342</t>
  </si>
  <si>
    <t xml:space="preserve">CHEMBL5231893</t>
  </si>
  <si>
    <t xml:space="preserve">Displacement of [3H]CP55940 from CB2 receptor (unknown origin) expressed in HEK cell membrane measured after 90 mins by competitive binding assay</t>
  </si>
  <si>
    <t xml:space="preserve">CHEMBL5231895</t>
  </si>
  <si>
    <t xml:space="preserve">Binding affinity to human recombinant CB2 receptor</t>
  </si>
  <si>
    <t xml:space="preserve">CHEMBL5231901</t>
  </si>
  <si>
    <t xml:space="preserve">Binding affinity to human CB2 receptor stably expressing HEK cells assessed as inhibition constant</t>
  </si>
  <si>
    <t xml:space="preserve">CHEMBL5231905</t>
  </si>
  <si>
    <t xml:space="preserve">Binding affinity to human CB2 receptor stably expressed in HEK cells assessed as inhibition constant by GTPgammaS assay</t>
  </si>
  <si>
    <t xml:space="preserve">CHEMBL5244756</t>
  </si>
  <si>
    <t xml:space="preserve">CHEMBL5244216</t>
  </si>
  <si>
    <t xml:space="preserve">CHEMBL5256344</t>
  </si>
  <si>
    <t xml:space="preserve">Agonist activity at CB2 receptor (unknown origin) at 10 uM</t>
  </si>
  <si>
    <t xml:space="preserve">CHEMBL5252644</t>
  </si>
  <si>
    <t xml:space="preserve">CHEMBL5303788</t>
  </si>
  <si>
    <t xml:space="preserve">Cross screening panel</t>
  </si>
  <si>
    <t xml:space="preserve">CHEMBL4630908</t>
  </si>
  <si>
    <t xml:space="preserve">CHEMBL5303836</t>
  </si>
  <si>
    <t xml:space="preserve">CHEMBL4630909</t>
  </si>
  <si>
    <t xml:space="preserve">CHEMBL5303885</t>
  </si>
  <si>
    <t xml:space="preserve">CHEMBL4630907</t>
  </si>
  <si>
    <t xml:space="preserve">CHEMBL5303941</t>
  </si>
  <si>
    <t xml:space="preserve">CHEMBL5303761</t>
  </si>
  <si>
    <t xml:space="preserve">CHEMBL5303985</t>
  </si>
  <si>
    <t xml:space="preserve">CHEMBL5304061</t>
  </si>
  <si>
    <t xml:space="preserve">CHEMBL5303762</t>
  </si>
  <si>
    <t xml:space="preserve">CHEMBL5304081</t>
  </si>
  <si>
    <t xml:space="preserve">CHEMBL5304127</t>
  </si>
  <si>
    <t xml:space="preserve">CHEMBL5303763</t>
  </si>
  <si>
    <t xml:space="preserve">CHEMBL5304231</t>
  </si>
  <si>
    <t xml:space="preserve">CHEMBL5303764</t>
  </si>
  <si>
    <t xml:space="preserve">CHEMBL5304329</t>
  </si>
  <si>
    <t xml:space="preserve">CHEMBL5304417</t>
  </si>
  <si>
    <t xml:space="preserve">Cannabinoid CB2 Eurofins Panlabs panel</t>
  </si>
  <si>
    <t xml:space="preserve">CHEMBL5303765</t>
  </si>
  <si>
    <t xml:space="preserve">CHEMBL5304939</t>
  </si>
  <si>
    <t xml:space="preserve">Safety47 Scan (DiscoverX - Eurofins)</t>
  </si>
  <si>
    <t xml:space="preserve">CHEMBL5303768</t>
  </si>
  <si>
    <t xml:space="preserve">CHEMBL5304940</t>
  </si>
  <si>
    <t xml:space="preserve">CHEMBL5317109</t>
  </si>
  <si>
    <t xml:space="preserve">Agonist activity at human CB2 receptor overexpressed in CHO-K1 cells assessed as cAMP level incubated for 30 mins by luminescence based assay</t>
  </si>
  <si>
    <t xml:space="preserve">CHEMBL5317110</t>
  </si>
  <si>
    <t xml:space="preserve">Agonist activity at human CB2 receptor overexpressed in CHO-K1 cells assessed as cAMP level incubated for 30 mins by luminescence based assay relative to control</t>
  </si>
  <si>
    <t xml:space="preserve">CHEMBL5321838</t>
  </si>
  <si>
    <t xml:space="preserve">Displacement of [3H]-CP55940 from human CB2 receptor expressed in HEK293 cell membrane at 1 uM incubated for 90 mins by radioligand competition binding assay relative to control</t>
  </si>
  <si>
    <t xml:space="preserve">CHEMBL5321840</t>
  </si>
  <si>
    <t xml:space="preserve">Agonist activity at human CB2 receptor expressed in CHO-K1 cells assessed as inhibition of NKH-477 induced cAMP production incubated for 30 mins by luminescence based analysis</t>
  </si>
  <si>
    <t xml:space="preserve">CHEMBL5321841</t>
  </si>
  <si>
    <t xml:space="preserve">Agonist activity at human CB2 receptor expressed in CHO-K1 cells assessed as inhibition of NKH-477 induced cAMP production by measuring maximal efficacy incubated for 30 mins by luminescence based analysis relative to control</t>
  </si>
  <si>
    <t xml:space="preserve">CHEMBL5321842</t>
  </si>
  <si>
    <t xml:space="preserve">Antagonist activity at human CB2 receptor expressed in CHO-K1 cells assessed as reversal of JWH-133 mediated cAMP reduction preincubated with compound for 15 mins followed by JWH-133 addition and measured after 30 mins in the presence of NKH-477 by luminescence based analysis</t>
  </si>
  <si>
    <t xml:space="preserve">CHEMBL5328503</t>
  </si>
  <si>
    <t xml:space="preserve">Inhibition of CB2 (unknown origin) at 1 uM relative to control</t>
  </si>
  <si>
    <t xml:space="preserve">CHEMBL5325493</t>
  </si>
  <si>
    <t xml:space="preserve">CHEMBL5332645</t>
  </si>
  <si>
    <t xml:space="preserve">Displacement of [3H]-CP55940 from human CB2 receptor expressed in CHO cells assessed as inhibition constant incubated for 60 mins by liquid scintillation counter analysis</t>
  </si>
  <si>
    <t xml:space="preserve">CHEMBL5331072</t>
  </si>
  <si>
    <t xml:space="preserve">CHEMBL5341189</t>
  </si>
  <si>
    <t xml:space="preserve">Displacement of [3H]CP55940 from human CB2 receptor expressed in HEK293 cell membrane incubated for 3 hrs by scintillation counter analysis</t>
  </si>
  <si>
    <t xml:space="preserve">CHEMBL5341190</t>
  </si>
  <si>
    <t xml:space="preserve">Displacement of [3H]CP55940 from human CB2 receptor expressed in HEK293 cell membrane at 10 uM incubated for 3 hrs by scintillation counter analysis relative to control</t>
  </si>
  <si>
    <t xml:space="preserve">CHEMBL5341199</t>
  </si>
  <si>
    <t xml:space="preserve">Agonist activity at human CB2 receptor stably expressed in CHO-K1 cells co-expressing Galphaq16 by Fluo-4AM dye based calcium mobilization assay</t>
  </si>
  <si>
    <t xml:space="preserve">CHEMBL5341200</t>
  </si>
  <si>
    <t xml:space="preserve">Agonist activity at human CB2 receptor stably expressed in CHO-K1 cells co-expressing Galphaq16 by Fluo-4AM dye based calcium mobilization assay relative to CP55940</t>
  </si>
  <si>
    <t xml:space="preserve">CHEMBL5341201</t>
  </si>
  <si>
    <t xml:space="preserve">Agonist activity at human CB2 receptor stably expressed in HEK293 cells assessed as induction of beta-arrestin 2 recruitment incubated for 2 hrs by luminescence based assay</t>
  </si>
  <si>
    <t xml:space="preserve">CHEMBL5341202</t>
  </si>
  <si>
    <t xml:space="preserve">Agonist activity at human CB2 receptor stably expressed in HEK293 cells assessed as induction of beta-arrestin 2 recruitment at 10 uM incubated for 2 hrs by luminescence based assay relative to CP55940</t>
  </si>
  <si>
    <t xml:space="preserve">CHEMBL5344958</t>
  </si>
  <si>
    <t xml:space="preserve">Agonist activity at human CB2 receptor expressed in CHO cells assessed as inhibition of forskolin-stimulated intracellular cAMP accumulation measured after 30 mins by Glosensor assay</t>
  </si>
  <si>
    <t xml:space="preserve">CHEMBL5344413</t>
  </si>
  <si>
    <t xml:space="preserve">CHEMBL5344959</t>
  </si>
  <si>
    <t xml:space="preserve">Agonist activity at human CB2 receptor expressed in CHO cells assessed as inhibition of forskolin-stimulated intracellular cAMP accumulation measured after 30 mins by Glosensor assay relative to control</t>
  </si>
  <si>
    <t xml:space="preserve">CHEMBL5344963</t>
  </si>
  <si>
    <t xml:space="preserve">Inverse agonist activity at human CB2 receptor expressed in CHO cells assessed as forskolin-stimulated intracellular cAMP accumulation measured after 30 mins by Glosensor assay</t>
  </si>
  <si>
    <t xml:space="preserve">CHEMBL5345002</t>
  </si>
  <si>
    <t xml:space="preserve">Agonist activity at LgBiT-fused CB2 receptor (unknown origin) coexpressed with miniGalphai-SmBiT in HEK293T cells assessed as G-protein recruitment measured after 10 mins in presence of CB2 receptor antagonist, AM630 by NanoBiT luciferase assay</t>
  </si>
  <si>
    <t xml:space="preserve">CHEMBL5345003</t>
  </si>
  <si>
    <t xml:space="preserve">Agonist activity at LgBiT-fused CB2 receptor (unknown origin) coexpressed with miniGalphai-SmBiT in HEK293T cells assessed as G-protein recruitment by measuring complementation measured after 10 mins by NanoBiT luciferase assay</t>
  </si>
  <si>
    <t xml:space="preserve">CHEMBL5345004</t>
  </si>
  <si>
    <t xml:space="preserve">Agonist activity at N-terminal HA/Flag-tagged CB2 receptor (unknown origin) expressed in CHO cells assessed as increase in ERK1/2 phosphorylation measured after 15 mins by western blot analysis</t>
  </si>
  <si>
    <t xml:space="preserve">CHEMBL5345005</t>
  </si>
  <si>
    <t xml:space="preserve">Agonist activity at N-terminal HA/Flag-tagged CB2 receptor (unknown origin) expressed in CHO cells assessed as increase in Akt phosphorylation measured after 15 mins by western blot analysis</t>
  </si>
  <si>
    <t xml:space="preserve">CHEMBL5345008</t>
  </si>
  <si>
    <t xml:space="preserve">Agonist activity at N-terminal HA/Flag-tagged CB2 receptor (unknown origin) expressed in CHO cells assessed as increase in ERK1/2 phosphorylation at 300 nM measured after 15 mins in presence of CB2 receptor antagonist, AM630 by western blot analysis</t>
  </si>
  <si>
    <t xml:space="preserve">CHEMBL5345009</t>
  </si>
  <si>
    <t xml:space="preserve">Agonist activity at N-terminal HA/Flag-tagged CB2 receptor (unknown origin) expressed in CHO cells assessed as increase in Akt phosphorylation at 300 nM measured after 15 mins in presence of CB2 receptor antagonist, AM630 by western blot analysis</t>
  </si>
  <si>
    <t xml:space="preserve">CHEMBL5345015</t>
  </si>
  <si>
    <t xml:space="preserve">CHEMBL5345019</t>
  </si>
  <si>
    <t xml:space="preserve">Agonist activity at CB2 receptor F183ECL2A mutant (unknown origin) expressed in CHO cells assessed as inhibition of forskolin-stimulated intracellular cAMP accumulation measured after 30 mins by Glosensor assay</t>
  </si>
  <si>
    <t xml:space="preserve">CHEMBL5345732</t>
  </si>
  <si>
    <t xml:space="preserve">Agonist activity at human lipid sensing CB2 receptor expressed in CHO cells assessed as increase in calcium flux by FLIPR assay</t>
  </si>
  <si>
    <t xml:space="preserve">CHEMBL5344435</t>
  </si>
  <si>
    <t xml:space="preserve">CHEMBL5357865</t>
  </si>
  <si>
    <t xml:space="preserve">Inverse agonist activity at human CB2 receptor expressed in CHO-K1 cell membrane in presence of CP55940 by GTP-gamma-S assay</t>
  </si>
  <si>
    <t xml:space="preserve">CHEMBL5356956</t>
  </si>
  <si>
    <t xml:space="preserve">CHEMBL5359055</t>
  </si>
  <si>
    <t xml:space="preserve">Displacement of [3H]CP55940 from human CB2 receptor expressed in Sf9 cell membranes assessed as inhibition constant incubated for 90 mins by by scintillation counter analysis</t>
  </si>
  <si>
    <t xml:space="preserve">CHEMBL5357003</t>
  </si>
  <si>
    <t xml:space="preserve">CHEMBL5360494</t>
  </si>
  <si>
    <t xml:space="preserve">CHEMBL5357085</t>
  </si>
  <si>
    <t xml:space="preserve">CHEMBL5368569</t>
  </si>
  <si>
    <t xml:space="preserve">Displacement of 3H]WIN-55212-2 from recombinant human CB2 receptor at 10 uM by radioligand binding assay</t>
  </si>
  <si>
    <t xml:space="preserve">CHEMBL5365484</t>
  </si>
  <si>
    <t xml:space="preserve">CHEMBL5369137</t>
  </si>
  <si>
    <t xml:space="preserve">Displacement of [3H]WIN 55212-2 from human recombinant CB2 receptor assessed as inhibition at 10 uM by scintillation analysis relative to control</t>
  </si>
  <si>
    <t xml:space="preserve">CHEMBL5365501</t>
  </si>
  <si>
    <t xml:space="preserve">CHEMBL5377608</t>
  </si>
  <si>
    <t xml:space="preserve">Agonist activity at CB2 receptor (unknown origin) expressed in CHO cells assessed as inhibition of intracellular cAMP production at 1 uM measured after 45 mins by HTRF-based assay</t>
  </si>
  <si>
    <t xml:space="preserve">CHEMBL5375969</t>
  </si>
  <si>
    <t xml:space="preserve">CHEMBL5377620</t>
  </si>
  <si>
    <t xml:space="preserve">Agonist activity at CB2 receptor (unknown origin) expressed in CHO cells assessed as inhibition of intracellular cAMP production measured after 45 mins by HTRF-based assay</t>
  </si>
  <si>
    <t xml:space="preserve">CHEMBL5390635</t>
  </si>
  <si>
    <t xml:space="preserve">SH-SY5Y</t>
  </si>
  <si>
    <t xml:space="preserve">Agonist activity at CB2 receptor (unknown origin) expressed in human SH-SY5Y cells assessed as increase in intracellular calcium flux at 3.2 to 10 uM incubated for 3 mins by Fluo-4AM dye based fluorescence analysis</t>
  </si>
  <si>
    <t xml:space="preserve">CHEMBL5390637</t>
  </si>
  <si>
    <t xml:space="preserve">Displacement of [3H]-CP55940 from human CB2 receptor expressed in CHO cell membranes at 10 uM incubated for 1 hr by TopCount liquid scintillation counting analysis relative to control</t>
  </si>
  <si>
    <t xml:space="preserve">CHEMBL5390640</t>
  </si>
  <si>
    <t xml:space="preserve">Agonist activity at CB2 receptor (unknown origin) expressed in human SH-SY5Y cells assessed as increase in intracellular calcium flux at 3.2 to 10 uM incubated for 3 mins in presence of 60 nM AM-630 by Fluo-4AM dye based fluorescence analysis</t>
  </si>
  <si>
    <t xml:space="preserve">CHEMBL5390641</t>
  </si>
  <si>
    <t xml:space="preserve">Agonist activity at CB2 receptor (unknown origin) expressed in human SH-SY5Y cells assessed as increase in intracellular calcium flux at 3.2 to 10 uM incubated for 3 mins in presence of 10 uM raloxifene by Fluo-4AM dye based fluorescence analysis</t>
  </si>
  <si>
    <t xml:space="preserve">CHEMBL5390642</t>
  </si>
  <si>
    <t xml:space="preserve">Agonist activity at CB2 receptor (unknown origin) expressed in human SH-SY5Y cells assessed as increase in intracellular calcium flux at 0.032 to 0.1 uM incubated for 3 mins by Fluo-4AM dye based fluorescence analysis</t>
  </si>
  <si>
    <t xml:space="preserve">CHEMBL5390643</t>
  </si>
  <si>
    <t xml:space="preserve">Agonist activity at CB2 receptor (unknown origin) expressed in human SH-SY5Y cells assessed as increase in intracellular calcium flux at 0.032 to 0.1 uM incubated for 3 mins in presence of 60 nM AM-630 by Fluo-4AM dye based fluorescence analysis</t>
  </si>
  <si>
    <t xml:space="preserve">CHEMBL5390644</t>
  </si>
  <si>
    <t xml:space="preserve">Agonist activity at CB2 receptor (unknown origin) expressed in human SH-SY5Y cells assessed as increase in intracellular calcium flux at 0.032 to 0.1 uM incubated for 3 mins in presence of 10 uM raloxifene by Fluo-4AM dye based fluorescence analysis</t>
  </si>
  <si>
    <t xml:space="preserve">CHEMBL5390645</t>
  </si>
  <si>
    <t xml:space="preserve">Potency index, ratio of alpha-santalol Ki to test compound Ki for displacement of [3H]-CP55940 from human CB2 receptor expressed in CHO cell membranes incubated for 1 hr by TopCount liquid scintillation counting analysis</t>
  </si>
  <si>
    <t xml:space="preserve">CHEMBL5442341</t>
  </si>
  <si>
    <t xml:space="preserve">SafetyScreen: CB2 Human Cannabinoid GPCR Binding Agonist Radioligand LeadHunter Assay, catalogue number: 37</t>
  </si>
  <si>
    <t xml:space="preserve">CHEMBL5442334</t>
  </si>
  <si>
    <t xml:space="preserve">CHEMBL5463752</t>
  </si>
  <si>
    <t xml:space="preserve">Activity against CB2/PERIPH/H in the  Eurofins Cerep SafetyScreen44 (BI) by Radioactive Assay (Cerep_37)</t>
  </si>
  <si>
    <t xml:space="preserve">CHEMBL5723586</t>
  </si>
  <si>
    <t xml:space="preserve">CHEMBL5464073</t>
  </si>
  <si>
    <t xml:space="preserve">Inhibition of Cannabinoid CB2 at 10.0 µM in the Eurofins Panlabs Safety Screen</t>
  </si>
  <si>
    <t xml:space="preserve">CHEMBL5463725</t>
  </si>
  <si>
    <t xml:space="preserve">CHEMBL5464194</t>
  </si>
  <si>
    <t xml:space="preserve">CHEMBL5476538</t>
  </si>
  <si>
    <t xml:space="preserve">Selectivity interaction (Panel of kinases, GPCRs, ion channels and transporters (enzymatic assay)) EUB0000266bCl CNR2</t>
  </si>
  <si>
    <t xml:space="preserve">CHEMBL5465560</t>
  </si>
  <si>
    <t xml:space="preserve">CHEMBL5476588</t>
  </si>
  <si>
    <t xml:space="preserve">Selectivity interaction (Panel of kinases, GPCRs, ion channels and transporters (enzymatic assay)) EUB0000223bCl CNR2</t>
  </si>
  <si>
    <t xml:space="preserve">CHEMBL5476761</t>
  </si>
  <si>
    <t xml:space="preserve">Selectivity interaction (Panel of non-epigenetic targets (kinases, GPCRs, ion channels, and transporters, Eurofins) ) EUB0000271b CNR2</t>
  </si>
  <si>
    <t xml:space="preserve">CHEMBL5478127</t>
  </si>
  <si>
    <t xml:space="preserve">Selectivity interaction (Eurofins CEREP Diversity Profile (receptors and ion channels)) EUB0000279b CNR2</t>
  </si>
  <si>
    <t xml:space="preserve">CHEMBL5504247</t>
  </si>
  <si>
    <t xml:space="preserve">Displacement of [3H]-CP55940 from human CB2 receptor expressed in CHO cells assessed as maximal displacement by radioligand competition binding assay</t>
  </si>
  <si>
    <t xml:space="preserve">CHEMBL5504250</t>
  </si>
  <si>
    <t xml:space="preserve">Agonist activity at human CB2 receptor expressed in CHO-K1 cells assessed as activation by measuring beta-arrestin recruitment</t>
  </si>
  <si>
    <t xml:space="preserve">CHEMBL5504251</t>
  </si>
  <si>
    <t xml:space="preserve">Agonist activity at human CB2 receptor expressed in CHO-K1 cells assessed as maximal activation by measuring beta-arrestin recruitment relative to CP55940</t>
  </si>
  <si>
    <t xml:space="preserve">CHEMBL5504252</t>
  </si>
  <si>
    <t xml:space="preserve">Agonist activity at human CB2 receptor expressed in CHO cells assessed as maximal cAMP accumulation measured after 30 mins by liquid scintillation counting analysis relative to forskolin</t>
  </si>
  <si>
    <t xml:space="preserve">CHEMBL5514611</t>
  </si>
  <si>
    <t xml:space="preserve">Displacement of [3H]CP55940 from recombinant human CB2 receptor expressed in HEK293 cell membrane incubated for 90 mins by competition binding assay</t>
  </si>
  <si>
    <t xml:space="preserve">CHEMBL5514614</t>
  </si>
  <si>
    <t xml:space="preserve">Agonist activity at human CB2 receptor expressed in CHO-K1 cells assessed as reduction in NKH-477 induced cAMP production by chemiluminescence based cAMP hunter assay</t>
  </si>
  <si>
    <t xml:space="preserve">CHEMBL5514615</t>
  </si>
  <si>
    <t xml:space="preserve">Agonist activity at human CB2 receptor expressed in CHO-K1 cells assessed as reduction in NKH-477 induced cAMP production by measuring maximal efficacy by chemiluminescence based cAMP hunter assay relative to control</t>
  </si>
  <si>
    <t xml:space="preserve">CHEMBL5514616</t>
  </si>
  <si>
    <t xml:space="preserve">Partial agonist activity at human CB2 receptor expressed in CHO-K1 cells assessed as reduction in NKH-477 induced cAMP production by chemiluminescence based cAMP hunter assay</t>
  </si>
  <si>
    <t xml:space="preserve">CHEMBL5514617</t>
  </si>
  <si>
    <t xml:space="preserve">Partial agonist activity at human CB2 receptor expressed in CHO-K1 cells assessed as reduction in NKH-477 induced cAMP production by measuring maximal efficacy by chemiluminescence based cAMP hunter assay relative to control</t>
  </si>
  <si>
    <t xml:space="preserve">CHEMBL5527149</t>
  </si>
  <si>
    <t xml:space="preserve">CHEMBL5529044</t>
  </si>
  <si>
    <t xml:space="preserve">CHEMBL5528023</t>
  </si>
  <si>
    <t xml:space="preserve">CHEMBL5529047</t>
  </si>
  <si>
    <t xml:space="preserve">Agonist activity at human CB2 receptor expressed in CHO cells assessed as forskolin-stimulated cAMP formation preincubated with compound for 10 mins followed by forskolin induction and measured after 30 mins by HTRF analysis</t>
  </si>
  <si>
    <t xml:space="preserve">CHEMBL5529048</t>
  </si>
  <si>
    <t xml:space="preserve">Agonist activity at human CB2 receptor expressed in CHO cells assessed as forskolin-stimulated cAMP formation preincubated with compound for 10 mins followed by forskolin induction and measured after 30 mins by HTRF analysis relative to control</t>
  </si>
  <si>
    <t xml:space="preserve">CHEMBL5529049</t>
  </si>
  <si>
    <t xml:space="preserve">Partial agonist activity at human CB2 receptor expressed in CHO cells assessed as forskolin-stimulated cAMP formation preincubated with compound for 10 mins followed by forskolin induction and measured after 30 mins by HTRF analysis</t>
  </si>
  <si>
    <t xml:space="preserve">CHEMBL5529050</t>
  </si>
  <si>
    <t xml:space="preserve">Partial agonist activity at human CB2 receptor expressed in CHO cells assessed as forskolin-stimulated cAMP formation preincubated with compound for 10 mins followed by forskolin induction and measured after 30 mins by HTRF analysis relative to control</t>
  </si>
  <si>
    <t xml:space="preserve">CHEMBL5533644</t>
  </si>
  <si>
    <t xml:space="preserve">Displacement of [3H]CP55940 from human CB2 receptor at 10 uM incubated for 90 mins</t>
  </si>
  <si>
    <t xml:space="preserve">CHEMBL5532647</t>
  </si>
  <si>
    <t xml:space="preserve">CHEMBL5536611</t>
  </si>
  <si>
    <t xml:space="preserve">Agonist activity at human CB2 receptor stably transfected in AtT20 cells incubated for 60 mins by FLIPR membrane potential assay</t>
  </si>
  <si>
    <t xml:space="preserve">CHEMBL5532749</t>
  </si>
  <si>
    <t xml:space="preserve">CHEMBL5536613</t>
  </si>
  <si>
    <t xml:space="preserve">Agonist activity at human CB2 receptor stably transfected in AtT20 cells assessed as maximal efficacy at 30 uM incubated for 60 mins by FLIPR membrane potential assay relative to control</t>
  </si>
  <si>
    <t xml:space="preserve">CHEMBL5536615</t>
  </si>
  <si>
    <t xml:space="preserve">Agonist activity at human CB2 receptor stably transfected in AtT20 cells assessed as maximal efficacy at 10 uM incubated for 60 mins by FLIPR membrane potential assay relative to control</t>
  </si>
  <si>
    <t xml:space="preserve">CHEMBL5536617</t>
  </si>
  <si>
    <t xml:space="preserve">Agonist activity at HA-tagged human CB2 receptor stably transfected in AtT20 cells incubated for 60 mins by FLIPR membrane potential assay</t>
  </si>
  <si>
    <t xml:space="preserve">CHEMBL5536619</t>
  </si>
  <si>
    <t xml:space="preserve">Agonist activity at HA-tagged human CB2 receptor stably transfected in AtT20 cells assessed as maximal efficacy at 30 uM incubated for 60 mins by FLIPR membrane potential assay relative to control</t>
  </si>
  <si>
    <t xml:space="preserve">CHEMBL5541068</t>
  </si>
  <si>
    <t xml:space="preserve">Agonist activity at human CB2 receptor at 10 uM by TR-FRET assay</t>
  </si>
  <si>
    <t xml:space="preserve">CHEMBL5537190</t>
  </si>
  <si>
    <t xml:space="preserve">CHEMBL5541069</t>
  </si>
  <si>
    <t xml:space="preserve">Agonist activity at human CB2 receptor by TR-FRET assay</t>
  </si>
  <si>
    <t xml:space="preserve">CHEMBL5545183</t>
  </si>
  <si>
    <t xml:space="preserve">Agonist activity at CB2R (unknown origin) at 10 uM relative to control</t>
  </si>
  <si>
    <t xml:space="preserve">CHEMBL5543107</t>
  </si>
  <si>
    <t xml:space="preserve">CHEMBL5547766</t>
  </si>
  <si>
    <t xml:space="preserve">Agonist activity at human CB2 receptor assessed as cAMP accumulation at 10 uM by SAFETYscan analysis</t>
  </si>
  <si>
    <t xml:space="preserve">CHEMBL5543141</t>
  </si>
  <si>
    <t xml:space="preserve">CHEMBL5547780</t>
  </si>
  <si>
    <t xml:space="preserve">Antagonist activity at human CB2 receptor assessed as cAMP accumulation at 10 uM by SAFETYscan analysis</t>
  </si>
  <si>
    <t xml:space="preserve">CHEMBL5549287</t>
  </si>
  <si>
    <t xml:space="preserve">CHEMBL5543172</t>
  </si>
  <si>
    <t xml:space="preserve">CHEMBL5549306</t>
  </si>
  <si>
    <t xml:space="preserve">Activation of CB2 receptor (unknown origin) at 1 uM relative to control</t>
  </si>
  <si>
    <t xml:space="preserve">CHEMBL5553571</t>
  </si>
  <si>
    <t xml:space="preserve">Inhibition of CB2 (unknown origin)</t>
  </si>
  <si>
    <t xml:space="preserve">CHEMBL5550190</t>
  </si>
  <si>
    <t xml:space="preserve">CHEMBL5584469</t>
  </si>
  <si>
    <t xml:space="preserve">CHEMBL5584206</t>
  </si>
  <si>
    <t xml:space="preserve">CHEMBL5584475</t>
  </si>
  <si>
    <t xml:space="preserve">Antagonist activity at CB2 (unknown origin)</t>
  </si>
  <si>
    <t xml:space="preserve">CHEMBL5609601</t>
  </si>
  <si>
    <t xml:space="preserve">Activation of CB2 (unknown origin) expressed in CHO cells at 1 to 10 uM</t>
  </si>
  <si>
    <t xml:space="preserve">CHEMBL5608194</t>
  </si>
  <si>
    <t xml:space="preserve">CHEMBL5624311</t>
  </si>
  <si>
    <t xml:space="preserve">Binding affinity to CBR2 (unknown origin)</t>
  </si>
  <si>
    <t xml:space="preserve">CHEMBL5620435</t>
  </si>
  <si>
    <t xml:space="preserve">CHEMBL5626331</t>
  </si>
  <si>
    <t xml:space="preserve">Agonist activity at human recombinant Cannabinoid receptor 2 by GTPgammaS binding assay</t>
  </si>
  <si>
    <t xml:space="preserve">CHEMBL5625181</t>
  </si>
  <si>
    <t xml:space="preserve">CHEMBL5626341</t>
  </si>
  <si>
    <t xml:space="preserve">Binding affinity to human Cannabinoid receptor 2 assessed as inhibition constant</t>
  </si>
  <si>
    <t xml:space="preserve">CHEMBL5626349</t>
  </si>
  <si>
    <t xml:space="preserve">BT-549</t>
  </si>
  <si>
    <t xml:space="preserve">Agonist activity at human Cannabinoid receptor 2 in BT-549 cells assessed as downregulation in ERK1/2 phosphorylation level at 10 uM by westernblot analysis</t>
  </si>
  <si>
    <t xml:space="preserve">CHEMBL5626350</t>
  </si>
  <si>
    <t xml:space="preserve">Agonist activity at human Cannabinoid receptor 2 in BT-549 cells assessed as downregulation in ERK1/2 phosphorylation level at 10 uM and observed within 5 min by Western blot analysis relative to control</t>
  </si>
  <si>
    <t xml:space="preserve">CHEMBL5626351</t>
  </si>
  <si>
    <t xml:space="preserve">Agonist activity at human Cannabinoid receptor 2 in BT-549 cells assessed as change in ERK1/2 phosphorylation level at 10 uM and observed after 10 min by westernblot analysis</t>
  </si>
  <si>
    <t xml:space="preserve">CHEMBL5626352</t>
  </si>
  <si>
    <t xml:space="preserve">Agonist activity at human Cannabinoid receptor 2 in BT-549 cells transfected with CNR2 siRNA assessed as downregulation in ERK1/2 phosphorylation level at 10 uM and observed after 5 mins by Western blot analysis relative to control</t>
  </si>
  <si>
    <t xml:space="preserve">CHEMBL5626353</t>
  </si>
  <si>
    <t xml:space="preserve">Displacement of [3H]CP55,940 from human CB2 receptor expressed in CHO cells membrane assessed as residual activity at 0.1 uM by scintillation counting analysis relative to control</t>
  </si>
  <si>
    <t xml:space="preserve">CHEMBL5626354</t>
  </si>
  <si>
    <t xml:space="preserve">Agonist activity at human recombinant Cannabinoid receptor 2 assessed as stimulation of GTPgammaS binding at 1 uM by GTPgammaS binding assay relative to control</t>
  </si>
  <si>
    <t xml:space="preserve">CHEMBL5650460</t>
  </si>
  <si>
    <t xml:space="preserve">Inhibition of human CB2 at 10 uM by radioligand binding assay relative to control</t>
  </si>
  <si>
    <t xml:space="preserve">CHEMBL5649168</t>
  </si>
  <si>
    <t xml:space="preserve">CHEMBL5665243</t>
  </si>
  <si>
    <t xml:space="preserve">Agonist activity at CNR2 receptor (unknown origin)</t>
  </si>
  <si>
    <t xml:space="preserve">CHEMBL5661985</t>
  </si>
  <si>
    <t xml:space="preserve">CHEMBL5678849</t>
  </si>
  <si>
    <t xml:space="preserve">Displacement of [3H]WIN 55212-2 from human recombinant cannabinoid CB2 receptor at 10 uM incubated for 120 mins by radiometric based scintillation counter assay relative to control</t>
  </si>
  <si>
    <t xml:space="preserve">CHEMBL5678795</t>
  </si>
  <si>
    <t xml:space="preserve">CHEMBL5680933</t>
  </si>
  <si>
    <t xml:space="preserve">Inhibition of CB2 receptor (unknown origin) at 10 micromol/L by radioligand binding assay relative to control</t>
  </si>
  <si>
    <t xml:space="preserve">CHEMBL5678803</t>
  </si>
  <si>
    <t xml:space="preserve">CHEMBL5682657</t>
  </si>
  <si>
    <t xml:space="preserve">Agonist activity at human cannabinoid CB2 receptor by Yeast FDGlu assay</t>
  </si>
  <si>
    <t xml:space="preserve">CHEMBL5678807</t>
  </si>
  <si>
    <t xml:space="preserve">CHEMBL5709342</t>
  </si>
  <si>
    <t xml:space="preserve">CHEMBL5705898</t>
  </si>
  <si>
    <t xml:space="preserve">CHEMBL5710495</t>
  </si>
  <si>
    <t xml:space="preserve">Agonist activity at Cannabinoid CB2 receptor (unknown origin)</t>
  </si>
  <si>
    <t xml:space="preserve">CHEMBL5705903</t>
  </si>
  <si>
    <t xml:space="preserve">CHEMBL5723642</t>
  </si>
  <si>
    <t xml:space="preserve">RLU of CNR2 at 1.0 µM in the Aequorin PRESTO-Tango GPCRome screen</t>
  </si>
  <si>
    <t xml:space="preserve">CHEMBL5723582</t>
  </si>
  <si>
    <t xml:space="preserve">CHEMBL5723963</t>
  </si>
  <si>
    <t xml:space="preserve">Inhibition of Cannabinoid CB2  at 10.0 µM in the Eurofins-Panlabs selectivity screen</t>
  </si>
  <si>
    <t xml:space="preserve">CHEMBL5723583</t>
  </si>
  <si>
    <t xml:space="preserve">CHEMBL5730114</t>
  </si>
  <si>
    <t xml:space="preserve">Radioligand Binding Assay: Plasma membranes prepared from HEK 293 EBNA cells transfected with human CB1 or CB2 cannabinoid receptors (3.7 or 3.3 pmol/mg protein, receptor concentration; PerkinElmer) were used for the radioligand binding studies. The composition of incubation buffer for CB1 assay was 50 mM Tris base, 2.5 mM EDTA, 5 mM MgCl2 and 0.5 mg/ml fatty acid free BSA and for CB2 assay was 50 mM Tris base, 2.5 mM EGTA, 5 mM MgCl2 and 1 mg/ml fatty acid free BSA; pH was adjusted to 7.4 by adding 1N HCl. Plasma membranes were diluted with incubation buffer to provide a final protein concentration of 2.4 μg (CB1) or 8 μg (CB2) per well in non-binding surface polystyrene 96-well assay plates (Corning). Compound solutions were prepared in silanized glass tubes and dispensed using pipette tips with SUPERSLIK¿ surface. Competition studies were performed using a final concentration of 0.72 nM [3H]-CP 55,940 (100-180 Ci/mmol, specific activity; PerkinElmer) against test compounds. Non-specific binding was determined using 10 uM of unlabeled CP 55,940. Incubations were performed in 96-well assay plates at a final volume of 200 ul for 90 min (CB1) or 60 min (CB2) at room temperature. Binding reactions were terminated by the addition of ice-cold incubation buffer and rapid filtration through a glass fiber filter using a cell harvester (Inotech). This was followed by 8 additional washes. The glass fiber filter (0.26 mm thickness, 1-1.5 um retention; Inotech) was presoaked in cold incubation buffer containing 0.05% polyethylenimine. The filters were oven-dried at 50° C. for 60 min and counting performed using a Beckman Coulter LS 6500 Multi-Purpose Scintillation Counter (Beckman-Coulter). Binding was determined in duplicate for at least 4 separate experiments.</t>
  </si>
  <si>
    <t xml:space="preserve">CHEMBL5725215</t>
  </si>
  <si>
    <t xml:space="preserve">CHEMBL5730418</t>
  </si>
  <si>
    <t xml:space="preserve">cAMP Assay: CHO cells expressing human CB1 or CB2 receptors are seeded 17-24 hours prior to the experiment 50.000 cells per well in a black 96 well plate with flat clear bottom (Corning Costar #3904) in DMEM (Invitrogen No. 31331), 1x HT supplement, with 10% fetal calf serum and incubated at 5% CO2 and 37° C. in a humidified incubator. The growth medium was exchanged with Krebs Ringer Bicarbonate buffer with 1 mM IBMX and incubated at 30° C. for 30 min. Compounds were added to a final assay volume of 100 ul and incubated for 30 min at 30° C. Using the cAMP-Nano-TRF detection kit the assay (Roche Diagnostics) was stopped by the addition of 50 ul lysis reagent (Tris, NaCl, 1.5% Triton X100, 2.5% NP40, 10% NaN3) and 50 ul detection solutions (20 uM mAb Alexa700-cAMP 1:1, and 48 uM Ruthenium-2-AHA-cAMP) and shaken for 2 h at room temperature. The time-resolved energy transfer is measured by a TRF reader (Evotec Technologies GmbH), equipped with a ND:YAG laser as excitation source. The plate is measured twice with the excitation at 355 nm and at the emission with a delay of 100 ns and a gate of 100 ns, total exposure time 10 s at 730 (bandwidth 30 nm) or 645 nm (bandwidth 75 nm), respectively. The FRET signal is calculated as follows: FRET=T730-Alexa730-P(T645-B645) with P=Ru730-B730/Ru645-B645, where T730 is the test well measured at 730 nM, T645 is the test well measured at 645 nm, B730 and B645 are the buffer controls at 730 nm and 645 nm, respectively. cAMP content is determined from the function of a standard curve spanning from 10 uM to 0.13 nM cAMP. EC50 values were determined using Activity Base analysis (ID Business Solution, Limited). The EC50 values for a wide range of cannabinoid agonists generated from this assay were in agreement with the values published in the scientific literature. The compounds of the invention are CB2 receptor agonists with EC50 below 1 uM and selectivity versus CB1 in the corresponding assay of at least 10 fold. Particular compound of the invention are CB2 receptor agonists with EC50 below 0.05 uM and selectivity versus CB1 in the corresponding assay of at least 500 fold.</t>
  </si>
  <si>
    <t xml:space="preserve">CHEMBL5725272</t>
  </si>
  <si>
    <t xml:space="preserve">CHEMBL5730435</t>
  </si>
  <si>
    <t xml:space="preserve">cAMP Assay: CHO cells expressing human CB1 or CB2 receptors are seeded 17-24 hours prior to the experiment 50.000 cells per well in a black 96 well plate with flat clear bottom (Corning Costar #3904) in DMEM (Invitrogen No. 31331), lx HT supplement, with 10% fetal calf serum and incubated at 5% CO2 and 37° C. in a humidified incubator. The growth medium was exchanged with Krebs Ringer Bicarbonate buffer with 1 mM IBMX and incubated at 30° C. for 30 min. Compounds were added to a final assay volume of 100 ul and incubated for 30 min at 30° C. Using the cAMP-Nano-TRF detection kit the assay (Roche Diagnostics) was stopped by the addition of 50 ul lysis reagent (Tris, NaCl, 1.5% Triton X100, 2.5% NP40, 10% NaN3) and 50 ul detection solutions (20 uM mAb Alexa700-cAMP 1:1, and 48 uM Ruthenium-2-AHA-cAMP) and shaken for 2 h at room temperature. The time-resolved energy transfer is measured by a TRF reader (Evotec Technologies GmbH), equipped with a ND:YAG laser as excitation source. The plate is measured twice with the excitation at 355 nm and at the emission with a delay of 100 ns and a gate of 100 ns, total exposure time 10 s at 730 (bandwidth 30 nm) or 645 nm (bandwidth 75 nm), respectively. The FRET signal is calculated as follows: FRET=T730-Alexa730-P(T645-B645) with P=Ru730-B730/Ru645-B645, where T730 is the test well measured at 730 nM, T645 is the test well measured at 645 nm, B730 and B645 are the buffer controls at 730 nm and 645 nm, respectively. cAMP content is determined from the function of a standard curve spanning from 10 uM to 0.13 nM cAMP. EC50 values were determined using Activity Base analysis (ID Business Solution, Limited). The EC50 values for a wide range of cannabinoid agonists generated from this assay were in agreement with the values published in the scientific literature.</t>
  </si>
  <si>
    <t xml:space="preserve">CHEMBL5725276</t>
  </si>
  <si>
    <t xml:space="preserve">CHEMBL5730437</t>
  </si>
  <si>
    <t xml:space="preserve">cAMP Assay: CHO cells expressing human CB1 or CB2 receptors are seeded 17-24 hours prior to the experiment 50.000 cells per well in a black 96 well plate with flat clear bottom (Corning Costar #3904) in DMEM (Invitrogen No. 31331), 1xHT supplement, with 10% fetal calf serum and incubated at 5% CO2 and 37° C. in a humidified incubator. The growth medium was exchanged with Krebs Ringer Bicarbonate buffer with 1 mM IBMX and incubated at 30° C. for 30 min. Compounds were added to a final assay volume of 100 ul and incubated for 30 min at 30° C. Using the cAMP-Nano-TRF detection kit the assay (Roche Diagnostics) was stopped by the addition of 50 ul lysis reagent (Tris, NaCl, 1.5% Triton X100, 2.5% NP40, 10% NaN3) and 50 ul detection solutions (20 uM mAb Alexa700-cAMP 1:1, and 48 uM Ruthenium-2-AHA-cAMP) and shaken for 2 h at room temperature. The time-resolved energy transfer is measured by a TRF reader (Evotec Technologies GmbH), equipped with a ND:YAG laser as excitation source. The plate is measured twice with the excitation at 355 nm and at the emission with a delay of 100 ns and a gate of 100 ns, total exposure time 10 s at 730 (bandwidth 30 nm) or 645 nm (bandwidth 75 nm), respectively. The FRET signal is calculated as follows: FRET=T730-Alexa730-P (T645-B645) with P=Ru730-B730/Ru645-B645, where T730 is the test well measured at 730 nM, T645 is the test well measured at 645 nm, B730 and B645 are the buffer controls at 730 nm and 645 nm, respectively. cAMP content is determined from the function of a standard curve spanning from 10 uM to 0.13 nM cAMP. EC50 values were determined using Activity Base analysis (ID Business Solution, Limited). The EC50 values for a wide range of cannabinoid agonists generated from this assay were in agreement with the values published in the scientific literature.</t>
  </si>
  <si>
    <t xml:space="preserve">CHEMBL5725277</t>
  </si>
  <si>
    <t xml:space="preserve">CHEMBL5730462</t>
  </si>
  <si>
    <t xml:space="preserve">cAMP Assay: CHO cells expressing human CB1 or CB2 receptors are seeded 17-24 hours prior to the experiment 50.000 cells per well in a black 96 well plate with flat clear bottom (Corning Costar #3904) in DMEM (Invitrogen No. 31331), 1xHT supplement, with 10% fetal calf serum and incubated at 5% CO2 and 37° C. in a humidified incubator. The growth medium was exchanged with Krebs Ringer Bicarbonate buffer with 1 mM IBMX and incubated at 30° C. for 30 min. Compounds were added to a final assay volume of 100 ul and incubated for 30 min at 30° C. Using the cAMP-Nano-TRF detection kit the assay (Roche Diagnostics) was stopped by the addition of 50 ul lysis reagent (Tris, NaCl, 1.5% Triton X100, 2.5% NP40, 10% NaN3) and 50 ul detection solutions (20 uM mAb Alexa700-cAMP 1:1, and 48 uM Ruthenium-2-AHA-cAMP) and shaken for 2 h at room temperature. The time-resolved energy transfer is measured by a TRF reader (Evotec Technologies GmbH), equipped with a ND:YAG laser as excitation source. The plate is measured twice with the excitation at 355 nm and at the emission with a delay of 100 ns and a gate of 100 ns, total exposure time 10 s at 730 (bandwidth 30 nm) or 645 nm (bandwidth 75 nm), respectively. The FRET signal is calculated as follows: FRET=T730-Alexa730-P(T645-B645) with P=Ru730-B730/Ru645-B645, where T730 is the test well measured at 730 nM, T645 is the test well measured at 645 nm, B730 and B645 are the buffer controls at 730 nm and 645 nm, respectively. cAMP content is determined from the function of a standard curve spanning from 10 uM to 0.13 nM cAMP. EC50 values were determined using Activity Base analysis (ID Business Solution, Limited). The EC50 values for a wide range of cannabinoid agonists generated from this assay were in agreement with the values published in the scientific literature. The compounds of the invention are CB2 receptor agonists with EC50 below 1 uM and selectivity versus CB1 in the corresponding assay of at least 10 fold.</t>
  </si>
  <si>
    <t xml:space="preserve">CHEMBL5725279</t>
  </si>
  <si>
    <t xml:space="preserve">CHEMBL5730489</t>
  </si>
  <si>
    <t xml:space="preserve">cAMP Assay: CHO cells expressing human CB1 or CB2 receptors are seeded 17-24 hours prior to the experiment 50,000 cells per well in a black 96 well plate with flat clear bottom (Corning Costar #3904) in DMEM (Invitrogen No. 31331), 1×HT supplement, with 10% fetal calf serum and incubated at 5% CO2 and 37° C. in a humidified incubator. The growth medium was exchanged with Krebs Ringer Bicarbonate buffer with 1 mM IBMX and incubated at 30° C. for 30 min. Compounds were added to a final assay volume of 100 μl and incubated for 30 min at 30° C. Using the cAMP-Nano-TRF detection kit the assay (Roche Diagnostics) was stopped by the addition of 50 μl lysis reagent (Tris, NaCl, 1.5% Triton X100, 2.5% NP40, 10% NaN3) and 50 μl detection solutions (20 μM mAb Alexa700-cAMP 1:1, and 48 μM Ruthenium-2-AHA-cAMP) and shaken for 2 h at room temperature. The time-resolved energy transfer is measured by a TRF reader (Evotec Technologies GmbH), equipped with a ND:YAG laser as excitation source. The plate is measured twice with the excitation at 355 nm and at the emission with a delay of 100 ns and a gate of 100 ns, total exposure time 10 s at 730 (bandwidth 30 nm) or 645 nm (bandwidth 75 nm), respectively.</t>
  </si>
  <si>
    <t xml:space="preserve">CHEMBL5725294</t>
  </si>
  <si>
    <t xml:space="preserve">CHEMBL5730565</t>
  </si>
  <si>
    <t xml:space="preserve">Biological Assay: CB1 and CB2 receptors are Gi-coupled GPCR. Activation of CB1 and CB2 receptors results in a decrease in cAMP production. An inverse agonist of the CB1 or CB2 receptor results in the opposite effect, an increase of cAMP production. The principle of this assay is based on HTRF® technology (Homogeneous Time-Resolved Fluorescence). The method is a competitive immunoassay between native cAMP produced by cells and the cAMP labeled with the fluorophore d2. The tracer binding is quantified by a Mab anti-cAMP labeled with Eu3+TBP-NHS Cryptate (supplied as part of the assay kit). The specific signal (i.e. energy transfer) is inversely proportional to the concentration of cAMP in the standard or sample.</t>
  </si>
  <si>
    <t xml:space="preserve">CHEMBL5725209</t>
  </si>
  <si>
    <t xml:space="preserve">CHEMBL5730574</t>
  </si>
  <si>
    <t xml:space="preserve">cAMP Assay: The following mixtures and buffer solutions were prepared: (a) Buffer 1: HBSS (Mediatech Cat#21-023-CV) with 5 mM HEPES (1 mM stock, Gibco BRL Cat#15630-056) and 0.1% BSA (7.5% stock, Invitrogen Cat#15260-037); (b) Buffer 2: 0.5 mM IBMX (200 mM stock in DMSO, Sigma 15879) in Buffer 1; (c) 1 uM cAMP Standard (50 uM stock, Perkin Elmer Cat#AD0262) diluted in Buffer 2 and serially diluted in Buffer 2, 12 doses @1/2 dilutions resulting in a dose range of 1 uM to 0.5 nM; (d) d2 labelled cAMP (CisBio HTRF Detection Kit Cat #62AM4PEB reconstituted with 6 ml dH2O) diluted 1/20 with lysis buffer (CisBio HTRF Detection Kit Cat #62AM4PEB); (e) anti-cAMP (CisBio HTRF Detection Kit Cat #62AM4PEB reconstituted with 5 ml dH2O) diluted 1/20 with lysis buffer (CisBio HTRF Detection Kit Cat #62AM4PEB); and (f) Forskolin (Sigma Cat#F6886, 10 mM in DMSO) diluted first in DMSO to 1 mM and then to 1.5 uM in Buffer 2. A FLEXDROP (Perkin Elmer) was cleaned with ethanol then water, and primed with Buffer 2. A 384 well V bottom polypropylene plate containing d2 labelled cAMP and a second 384 well V bottom polypropylene plate containing anti-cAMP was prepared (50 ul per well). Media as "dumped~ from the cell plate and 30 uL Buffer 1 was added to each well using a Multidrop. The content of the cell plate was again "dumped" and 10 uL Buffer 2 was added to each well using a Flexdrop. 12.5 nL test compound dilutions or control compound dilutions (10 mM to 0.5 uM) were added to the cell plate using an ECHO 555 (Labcyte). The cell plate was mixed (Speed 6, Lab-Line Instruments Titer Plate Shaker) and centrifugated (1000 RPMs, 1 min). Using the Flexdrop, 2 ul additions were made into the cell plate: Buffer 2 was added to Column 24; and, 1.5 uM Forskolin was added to columns 1 through 23. Final volume of the cell plate was 12 ul with 250 nM Forskolin in all wells except column 12, and serial dilutions of test compound or control ranging from 10 uM to 0.5 nM. The cell plate was again mixed (speed 6) and centrifugated (1000 RPMs, 1 min). The cell plate was incubated for 30 minutes at room temperature (~27° C.). The contents of row P were removed and the cAMP standard dilutions were added in duplicate to Row P (P1-12 and P13-24). After incubation, 6 uL d2 labelled cAMP and 6 uL of Anti-cAMP were added to all wells of the cell plate using a BioMek FX (Beckman Coulter). The cell plate was again mixed (speed 6) and centrifugated (1000 RPMs, 1 min) and was incubated for 60 minutes in the dark at room Temp (~27° C.). After this final incubation, the cell plate was read in HTRF mode (fluorescence at 665 nm and 620 nm) on an Envision plate Reader (Perkin Elmer). The Envision reader outputs a ratio of channel 1/channel 2 fluorescenceÃ¿10,000 (Normalized signal (NS)). Amount of cAMP in nM was calculated for each well (based on NS) from a cAMP standard curve located on each plate (at P1-12 and P13-24).</t>
  </si>
  <si>
    <t xml:space="preserve">CHEMBL5725327</t>
  </si>
  <si>
    <t xml:space="preserve">CHEMBL5731590</t>
  </si>
  <si>
    <t xml:space="preserve">CB2 cAMP (Assay 1): CHO cells expressing human CB2R (Euroscreen) were plated at a density of 10,000 cells per well in 384 well plates and incubated overnight at 37° C. After removing the media, the cells were treated with test compounds diluted in stimulation buffer containing 1 mM IBMX, 0.25% BSA and 10 uM Forskolin. The assay was incubated for 30 minutes at 37° C. Cells were lysed and the cAMP concentration was measured using DiscoverX-XS cAMP kit, following the manufacturer's protocol. In this setting, agonists will decrease forskolin induced production of cAMP while inverse agonists will further increase forskolin induced production of cAMP. EC50 of agonists were calculated as follows. The maximal amount of cAMP produced by forskolin compared to the level of cAMP inhibited by 1 uM CP55940 is defined as 100%. The EC50 value of each test compound was determined as the concentration at which 50% of the forskolin-stimulated cAMP synthesis was inhibited. Data was analyzed using a four-parameter logistic model. (Model 205 of XLfit 4.0).</t>
  </si>
  <si>
    <t xml:space="preserve">CHEMBL5725843</t>
  </si>
  <si>
    <t xml:space="preserve">CHEMBL5731654</t>
  </si>
  <si>
    <t xml:space="preserve">CHEMBL5725892</t>
  </si>
  <si>
    <t xml:space="preserve">CHEMBL5732246</t>
  </si>
  <si>
    <t xml:space="preserve">cAMP Assay: CHO cells expressing human CB1 or CB2 receptors are seeded 17-24 hours prior to the experiment 50.000 cells per well in a black 96 well plate with flat clear bottom (Corning Costar #3904) in DMEM (Invitrogen No. 31331), 1×HT supplement, with 10% fetal calf serum and incubated at 5% CO2 and 37° C. in a humidified incubator. The growth medium was exchanged with Krebs Ringer Bicarbonate buffer with 1 mM IBMX and incubated at 30° C. for 30 min. Compounds were added to a final assay volume of 100 μl and incubated for 30 min at 30° C. Using the cAMP-Nano-TRF detection kit the assay (Roche Diagnostics) was stopped by the addition of 50 μl lysis reagent (Tris, NaCl, 1.5% Triton X100, 2.5% NP40, 10% NaN3) and 50 μl detection solutions (20 μM mAb Alexa700-cAMP 1:1, and 48 μM Ruthenium-2-AHA-cAMP) and shaken for 2 h at room temperature. The time-resolved energy transfer is measured by a TRF reader (Evotec Technologies GmbH), equipped with a ND:YAG laser as excitation source. The plate is measured twice with the excitation at 355 nm and at the emission with a delay of 100 ns and a gate of 100 ns, total exposure time 10 s at 730 (bandwidth 30 nm) or 645 nm (bandwidth 75 nm), respectively. The FRET signal is calculated as follows: FRET=T730-Alexa730-P(T645-B645) with P=Ru730-B730/Ru645-B645, where T730 is the test well measured at 730 nM, T645 is the test well measured at 645 nm, B730 and B645 are the buffer controls at 730 nm and 645 nm, respectively. cAMP content is determined from the function of a standard curve spanning from 10 μM to 0.13 nM cAMP.EC50 values were determined using Activity Base analysis (ID Business Solution, Limited). The EC50 values for a wide range of cannabinoid agonists generated from this assay were in agreement with the values published in the scientific literature.The compounds of the invention are CB2 receptor agonists with EC50 below 1 μM and selectivity versus CB1 in the corresponding assay of at least 10 fold. Particular compound of the invention are CB2 receptor agonists with EC50 below 0.05 μM and selectivity versus CB1 in the corresponding assay of at least 500 fold.</t>
  </si>
  <si>
    <t xml:space="preserve">CHEMBL5726188</t>
  </si>
  <si>
    <t xml:space="preserve">CHEMBL5732487</t>
  </si>
  <si>
    <t xml:space="preserve">In Vitro Assay: The following mixtures and buffer solutions were prepared: (a) Buffer 1: HBSS (Mediatech Cat#21-023-CV) with 5 mM HEPES (1 mM stock, Gibco BRL Cat#15630-056) and 0.1% BSA (7.5% stock, Invitrogen Cat#15260-037); (b) Buffer 2: 0.5 mM IBMX (200 mM stock in DMSO, Sigma 15879) in Buffer 1; (c) 1 μM cAMP Standard (50 μM stock, Perkin Elmer Cat#AD0262) diluted in Buffer 2 and serially diluted in Buffer 2, 12 doses @½ dilutions resulting in a dose range of 1 μM to 0.5 nM; (d) d2 labelled cAMP (CisBio HTRF Detection Kit Cat #62AM4PEB reconstituted with 6 ml dH2O) diluted 1/20 with lysis buffer (CisBio HTRF Detection Kit Cat #62AM4PEB); (e) anti-cAMP (CisBio HTRF Detection Kit Cat #62AM4PEB reconstituted with 5 ml dH2O) diluted 1/20 with lysis buffer (CisBio HTRF Detection Kit Cat #62AM4PEB); and (f) Forskolin (Sigma Cat#F6886, 10 mM in DMSO) diluted first in DMSO to 1 mM and then to 1.5 μM in Buffer 2.</t>
  </si>
  <si>
    <t xml:space="preserve">CHEMBL5726326</t>
  </si>
  <si>
    <t xml:space="preserve">CHEMBL5732958</t>
  </si>
  <si>
    <t xml:space="preserve">cAMP Assay : Cells plated the day prior to the assay in clear bottom plates were viewed on an inverse microscope to ensure confluency in the range of 60-75%. The following mixtures and buffer solutions were prepared: (a) Buffer 1: HBSS (Mediatech Cat#21-023-CV) with 5 mM HEPES (1 mM stock, Gibco BRL Cat#15630-056) and 0.1% BSA (7.5% stock, Invitrogen Cat#15260-037); (b) Buffer 2: 0.5 mM IBMX (200 mM stock in DMSO, Sigma 15879) in Buffer 1; (c) 1 μM cAMP Standard (50 μM stock, Perkin Elmer Cat# AD0262) diluted in Buffer 2 and serially diluted in Buffer 2, 12 doses @ ½ dilutions resulting in a dose range of 1 μM to 0.5 nM; (d) d2 labelled cAMP (CisBio HTRF Detection Kit Cat #62AM4PEB reconstituted with 6 mL d-H2O) diluted 1/20 with lysis buffer (CisBio HTRF Detection Kit Cat #62AM4PEB); (e) anti-cAMP (CisBio HTRF Detection Kit Cat # 62AM4PEB reconstituted with 5 mL d-H2O) diluted 1/20 with lysis buffer (CisBio HTRF Detection Kit Cat #62AM4PEB); and (f) Forskolin (Sigma Cat# F6886, 10 mM in DMSO) diluted first in DMSO to 1 mM and then to 1.5 μM in Buffer 2.</t>
  </si>
  <si>
    <t xml:space="preserve">CHEMBL5726588</t>
  </si>
  <si>
    <t xml:space="preserve">CHEMBL5733952</t>
  </si>
  <si>
    <t xml:space="preserve">Radioligand Binding Assay: The affinity of the compounds of the invention for cannabinoid CB1 receptors was determined using recommended amounts of membrane preparations (PerkinElmer) of human embryonic kidney (HEK) cells expressing the human CNR1 or CNR2 receptors in conjunction with 1.5 or 2.6 nM [3H]-CP-55,940 (Perkin Elmer) as radioligand, respectively. Binding was performed in binding buffer (50 mM Tris, 5 mM MgCl2, 2.5 mM EDTA, and 0.5% (wt/vol) fatty acid free BSA, pH 7.4 for CB1 receptor and 50 mM Tris, 5 mM MgCl2, 2.5 mM EGTA, and 0.1% (wt/vol) fatty acid free BSA, pH 7.4 for CB2 receptor) in a total volume of 0.2 ml for 1 h at 30° C. shaking. The reaction was terminated by rapid filtration through microfiltration plates coated with 0.5% polyethylenimine (UniFilter GF/B filter plate; Packard). Bound radioactivity was analyzed for Ki using nonlinear regression analysis (Activity Base, ID Business Solution, Limited), with the Kd values for [3H]CP55,940 determined from saturation experiments. The compounds of formula (I) show an excellent affinity for the CB2 receptor with affinities below 10 μM, more particularly of 1 nM to 3 μM and most particularly of 1 nM to 100 nM.</t>
  </si>
  <si>
    <t xml:space="preserve">CHEMBL5727065</t>
  </si>
  <si>
    <t xml:space="preserve">CHEMBL5734991</t>
  </si>
  <si>
    <t xml:space="preserve">In Vitro Assay: CB2: CHO cells expressing human CB2R (Euroscreen) were plated at a density of 10,000 cells per well in 384 well plates and incubated overnight at 37° C. After removing the media, the cells were treated with test compounds diluted in stimulation buffer containing 1 mM IBMX, 0.25% BSA and 10 uM Forskolin. The assay was incubated for 30 minutes at 37° C. Cells were lysed and the cAMP concentration was measured using DiscoverX-XS cAMP kit, following the manufacturer's protocol. In this setting, agonists will decrease forskolin induced production of cAMP while inverse agonists will further increase forskolin induced production of cAMP. EC50 of agonists were calculated as follows. The maximal amount of cAMP produced by forskolin compared to the level of cAMP inhibited by 1 uM CP55940 is defined as 100%. The EC50 value of each test compound was determined as the concentration at which 50% of the forskolin-stimulated cAMP synthesis was inhibited. Data was analyzed using a four-parameter logistic model. (Model 205 of XLfit 4.0).</t>
  </si>
  <si>
    <t xml:space="preserve">CHEMBL5727604</t>
  </si>
  <si>
    <t xml:space="preserve">CHEMBL5737135</t>
  </si>
  <si>
    <t xml:space="preserve">In Vitro Assay: CHO cells expressing human CB2R (Euroscreen) were plated at a density of 10,000 cells per well in 384 well plates and incubated overnight at 37° C. After removing the media, the cells were treated with test compounds diluted in stimulation buffer containing 1 mM IBMX, 0.25% BSA and 10 uM Forskolin. The assay was incubated for 30 minutes at 37° C. Cells were lysed and the cAMP concentration was measured using DiscoverX-XS cAMP kit, following the manufacturer's protocol. In this setting, agonists will decrease forskolin induced production of cAMP while inverse agonists will further increase forskolin induced production of cAMP. EC50 of agonists were calculated as follows. The maximal amount of cAMP produced by forskolin compared to the level of cAMP inhibited by 1 uM CP55940 is defined as 100%. The EC50 value of each test compound was determined as the concentration at which 50% of the forskolin-stimulated cAMP synthesis was inhibited. Data was analyzed using a four-parameter logistic model. (Model 205 of XLfit 4.0).</t>
  </si>
  <si>
    <t xml:space="preserve">CHEMBL5728633</t>
  </si>
  <si>
    <t xml:space="preserve">CHEMBL5737658</t>
  </si>
  <si>
    <t xml:space="preserve">FAAH, CB1, and CB2 Inhibition Assay: The ability of the compounds according to some embodiments of the present invention to inhibit a radiolabeled cannabinoid ligand, CP-55,940, [Side chain-2,3,4(N)-3H(N)]-(Perkin-Elmer Cat. # NET1051) to either the human CB1 receptor or CB2 receptor was determined according to the manufacturer's instructions in the commercially available membrane preparations from Perkin Elmer (Cat Nos. RBHCB1M400UA and RBXCB2M400UA). Briefly, pre-treatment of the glass fiber membrane of a Matrix 96 well GFC filtration microtiter plate was done in order to help reduce non-specific binding of the radioligand to the GFC membrane. This was done by adding 150 μl of 0.5% polyethylimine (PEI) to each well and letting this remain in the plate for at least 4 hours before using it to terminate the binding reaction. The actual binding reaction was performed in a polypropylene (PP) round bottom 96-well microtiter plate. Briefly, 55 μl of assay buffer (50 mM TRIS pH7.4, 2.5 mM EGTA, 5 mM MgCl2, 120 mM NaCl, 0.1% Fatty acid free BSA) was added to each well, followed by 20 μl of a 0.4 mg/ml CB1 or CB2 membrane suspension (8 μg membrane per well). To initiate the reaction, 20 μl of 5 nM 3H CP-55,940 (1 nM final concentration) was added to each well. Nonspecific binding was defined in the presence of 20 μM unlabeled WIN 55212 (Sigma cat. W-102). ACEA was routinely used as a positive control for both assays. The plate was shaken on an orbital plate shaker and the binding reaction proceeded until equilibrium was reached after 3 hours at room temperature. Using a Multiscreen vacuum manifold, the PEI was filtered through the GFC filter plate. The binding reaction in the PP plate was mixed by aspirating the reaction contents of each well and dispensing back into the plate. This was repeated 4 times and then 75 μl of the reaction mixture was transferred to the GFC plate. This procedure could be done row by row with the use of a multichannel pipette, or all at once if using automation. Once the entire content of the PP plate was transferred to the GFC plate, the binding reactions were terminated by filtering thru the GFC plate. The filter plate was then washed by adding 100 μl ice-cold wash buffer 50 mM TRIS pH 7.4, 2.5 mM EGTA, 5 mM MgCl2, 120 mM NaCl, 2% Fatty acid free BSA) to each well and filtering through.</t>
  </si>
  <si>
    <t xml:space="preserve">CHEMBL5728877</t>
  </si>
  <si>
    <t xml:space="preserve">CHEMBL5738575</t>
  </si>
  <si>
    <t xml:space="preserve">Presto-Tango -Arrestin Recruitment Assay: Binding of the parent compounds to putative receptors CNR1 and CNR2 (cannabinoid receptors 1&amp; 2) was measured by a Presto-Tango assay (FIG. 5A and FIG. 5B). These receptors are responsible for many downstream effects of marijuana derivatives as well as other endocannabinoids that have been previously reported in literature and this study explores if our compounds bind to these receptors. HTLA were received from the Roth Lab and CNR1 and CNR2 plasmids were purchased from Addgene. HTLA cells were maintained in DMEM with 10% FBS containing 2 μg/mL of puromycin and 100 μg/mL of hygromycin B at 37° C. in a 5% CO2 humidified air atmosphere and grown to 80-90% confluency. Cells were then seeded at 20,000 cells per 100 uL into poly-L-lysine coated 96-well plate. After 18-24 hrs, cells were transfected with CNR2 (0.1 ug/well) using Calfectin as the transfection reagent. Transfection media was replaced after 12-18 hours with serum-media and proceeded for 36 hours. On the day of the assay, serum-media was replaced with serum-free media for 4 hours, then the compounds were added in a log dose manner in DMSO to a final well volume of 200 uL and incubated overnight. The next day, media was removed and 20 μL of Bright-Glo solution was added to the cells and incubated for 20 min at room temperature in the dark and measured for luminescence. Relative luminescence units (RLU) values were normalized to % receptor response, plotted as a function of compound concentration and analyzed using DoseResp in OriginPro.</t>
  </si>
  <si>
    <t xml:space="preserve">CHEMBL5729379</t>
  </si>
  <si>
    <t xml:space="preserve">CHEMBL5738980</t>
  </si>
  <si>
    <t xml:space="preserve">CB1 and CB2 Receptor Binding Assay: CB1R binding protocol involves the use of the same solution buffer used for both incubation and washing reaction (Tris-HCl, 50 mM; EDTA, 2.5 mM; MgCl2, 2.5 mM; BSA, 0.5 mg/mL at pH 7.4), 0.4 nM for [3H]CP-55,940, test compounds (concentrations from 0.001 to 10 μM), and finally 8 μg/sample membrane in a total volume of 200 μL. CB2R binding assays were carried out with two different buffers: incubation buffer (Tris-HCl, 50 mM; MgCl2, 5 mM; CaCl2 1 mM; BSA, 0.2% at pH 7.4) and washing buffer (Tris-HCl, 50 mM; NaCl 500 mM; BSA, 0.1% at pH 7.4). The assay mixture contained incubation buffer, 0.4 nM [3H]CP-55,940, test substances (concentrations from 0.001 to 10 μM), and 4 μg/sample membrane in a total assay volume of 200 μL. Assays were performed in duplicate and incubated for 120 mM at 37° C. After the incubation, the assay mixture is filtered through 96 GF/C filter plates (Perkin Elmer #6005174) using Perkin Elmer Filtermate Harvester, and then washed four times with ice-cold washing buffer.</t>
  </si>
  <si>
    <t xml:space="preserve">CHEMBL5729564</t>
  </si>
  <si>
    <t xml:space="preserve">CHEMBL6072902</t>
  </si>
  <si>
    <t xml:space="preserve">HEK293-CNG</t>
  </si>
  <si>
    <t xml:space="preserve">Agonist activity at recombinant human CB2 receptor expressed in HEK293-CNG cells assessed as reduction in forskolin-induced cAMP accumulation at 1 uM incubated for 60 mins by fluorescence based analysis relative to control</t>
  </si>
  <si>
    <t xml:space="preserve">CHEMBL6071163</t>
  </si>
  <si>
    <t xml:space="preserve">CHEMBL6072903</t>
  </si>
  <si>
    <t xml:space="preserve">Agonist activity at recombinant human CB2 receptor expressed in HEK293-CNG cells assessed as reduction in forskolin-induced cAMP accumulation at &gt;200 uM incubated for 60 mins by fluorescence based analysis</t>
  </si>
  <si>
    <t xml:space="preserve">CHEMBL6072904</t>
  </si>
  <si>
    <t xml:space="preserve">Agonist activity at recombinant human CB2 receptor expressed in HEK293-CNG cells assessed as reduction in forskolin-induced cAMP accumulation incubated for 60 mins by fluorescence based analysis</t>
  </si>
  <si>
    <t xml:space="preserve">CHEMBL6072905</t>
  </si>
  <si>
    <t xml:space="preserve">Antagonist activity at recombinant human CB2 receptor expressed in HEK293-CNG cells assessed as cAMP accumulation incubated for 60 mins in presence of forskolin by fluorescence based analysis</t>
  </si>
  <si>
    <t xml:space="preserve">CHEMBL6072907</t>
  </si>
  <si>
    <t xml:space="preserve">Inverse agonist activity at recombinant human CB2 receptor expressed in HEK293-CNG cells assessed as reduction in forskolin-induced cAMP accumulation at 25 to 200 uM incubated for 60 mins by fluorescence based analysis</t>
  </si>
  <si>
    <t xml:space="preserve">CHEMBL6080621</t>
  </si>
  <si>
    <t xml:space="preserve">Agonist activity at human CB2 receptor expressed in HEK293T cells co-transfected with pCRE-Luc plasmid preincubated with compound for 30 mins followed by forskolin addition and measured after 6 hrs by Dual-luciferase assay</t>
  </si>
  <si>
    <t xml:space="preserve">CHEMBL6080626</t>
  </si>
  <si>
    <t xml:space="preserve">Agonist activity at human CB2 receptor extracted from CHO cell membrane assessed as increase in [35S]GTPgammaS binding incubated for 60 mins by liquid scintillation spectrometric analysis</t>
  </si>
  <si>
    <t xml:space="preserve">CHEMBL6080630</t>
  </si>
  <si>
    <t xml:space="preserve">Displacement of [3H]HU-243 from CB2 receptor (unknown origin) extracted from green monkey COS-7 cells assessed as inhibition constant</t>
  </si>
  <si>
    <t xml:space="preserve">CHEMBL6081549</t>
  </si>
  <si>
    <t xml:space="preserve">Agonist activity at human CB2 receptor expressed in CHO-K1 cells co-transfected with human Galpha16 assessed as intracellular calcium flux</t>
  </si>
  <si>
    <t xml:space="preserve">CHEMBL6078695</t>
  </si>
  <si>
    <t xml:space="preserve">CHEMBL6081550</t>
  </si>
  <si>
    <t xml:space="preserve">Agonist activity at human CB2 receptor expressed in CHO-K1 cells co-transfected with human Galpha16 assessed as intracellular calcium flux at 10 uM relative to control</t>
  </si>
  <si>
    <t xml:space="preserve">CHEMBL6081552</t>
  </si>
  <si>
    <t xml:space="preserve">Antagonist activity at human CB2 receptor expressed in CHO-K1 cells co-transfected with human Galpha16 assessed as intracellular calcium flux</t>
  </si>
  <si>
    <t xml:space="preserve">CHEMBL6081553</t>
  </si>
  <si>
    <t xml:space="preserve">Agonist activity at human CB2 receptor expressed in HEK293 cells assessed as forskolin-stimulated cAMP accumulation preincubated with compound for 10 mins followed by forskolin induction and measured after 2 hrs by HTRF analysis</t>
  </si>
  <si>
    <t xml:space="preserve">CHEMBL6081554</t>
  </si>
  <si>
    <t xml:space="preserve">Agonist activity at human CB2 receptor expressed in CHO-K1 cells co-transfected with human Galpha16 assessed as intracellular calcium flux at 10 uM</t>
  </si>
  <si>
    <t xml:space="preserve">CHEMBL6081555</t>
  </si>
  <si>
    <t xml:space="preserve">Partial agonist activity at human CB2 receptor expressed in CHO-K1 cells co-transfected with human Galpha16 assessed as intracellular calcium flux at 10 uM</t>
  </si>
  <si>
    <t xml:space="preserve">CHEMBL6081558</t>
  </si>
  <si>
    <t xml:space="preserve">Partial agonist activity at human CB2 receptor expressed in CHO-K1 cells co-transfected with human Galpha16 assessed as intracellular calcium flux</t>
  </si>
  <si>
    <t xml:space="preserve">CHEMBL6081559</t>
  </si>
  <si>
    <t xml:space="preserve">Partial agonist activity at human CB2 receptor expressed in CHO-K1 cells co-transfected with human Galpha16 assessed as intracellular calcium flux at 10 uM relative to control</t>
  </si>
  <si>
    <t xml:space="preserve">CHEMBL6081560</t>
  </si>
  <si>
    <t xml:space="preserve">Agonist activity at human CB2 receptor expressed in CHO cells assessed as reduction in ERK1/2 phosphorylation at 10 uM by Western blot analysis</t>
  </si>
  <si>
    <t xml:space="preserve">CHEMBL6081561</t>
  </si>
  <si>
    <t xml:space="preserve">Antagonist activity at human CB2 receptor expressed in CHO cells co-transfected with human Galpha16 assessed as increase in intracellular calcium mobilization at 10 uM</t>
  </si>
  <si>
    <t xml:space="preserve">CHEMBL6081562</t>
  </si>
  <si>
    <t xml:space="preserve">Antagonist activity at human CB2 receptor expressed in CHO cells co-transfected with human Galpha16 assessed as increase in intracellular calcium mobilization</t>
  </si>
  <si>
    <t xml:space="preserve">CHEMBL6081563</t>
  </si>
  <si>
    <t xml:space="preserve">Antagonist activity at human CB2 receptor expressed in CHO cells co-transfected with human Galpha16 assessed as increase in intracellular calcium mobilization at 10 uM preincubated with compound for 10 mins followed by HBSS buffer wash and re-treated with compound at same concentration</t>
  </si>
  <si>
    <t xml:space="preserve">CHEMBL6081564</t>
  </si>
  <si>
    <t xml:space="preserve">Antagonist activity at human CB2 receptor expressed in CHO cells co-transfected with human Galpha16 assessed as receptor desensitization by measuring reduction in calcium response at 10 uM</t>
  </si>
  <si>
    <t xml:space="preserve">CHEMBL6081565</t>
  </si>
  <si>
    <t xml:space="preserve">Antagonist activity at human CB2 receptor expressed in CHO cells co-transfected with human Galpha16 assessed as receptor desensitization by measuring reduction in calcium response</t>
  </si>
  <si>
    <t xml:space="preserve">CHEMBL6099145</t>
  </si>
  <si>
    <t xml:space="preserve">Displacement of [3H]CP55940 from human CB2 receptor expressed in CHO cells at 10 uM</t>
  </si>
  <si>
    <t xml:space="preserve">CHEMBL6096683</t>
  </si>
  <si>
    <t xml:space="preserve">CHEMBL6099146</t>
  </si>
  <si>
    <t xml:space="preserve">Displacement of [3H]CP55940 from human CB2 receptor expressed in CHO cells upto 1 uM</t>
  </si>
  <si>
    <t xml:space="preserve">CHEMBL6099148</t>
  </si>
  <si>
    <t xml:space="preserve">CHEMBL6099151</t>
  </si>
  <si>
    <t xml:space="preserve">Displacement of [3H]CP55940 from human CB2 receptor expressed in CHO cell membrane incubated for 2 hrs</t>
  </si>
  <si>
    <t xml:space="preserve">CHEMBL6099152</t>
  </si>
  <si>
    <t xml:space="preserve">Displacement of [3H]CP55940 from human CB2 receptor expressed in CHO cell membrane at 0.001 to 10 uM incubated for 2 hrs relative to control</t>
  </si>
  <si>
    <t xml:space="preserve">CHEMBL6099154</t>
  </si>
  <si>
    <t xml:space="preserve">Agonist activity at human CB2 receptor expressed in CHO cells assessed as inhibition of forskolin-induced cAMP production at 1.8 nM incubated for 90 mins by HitHunter assay relative to control</t>
  </si>
  <si>
    <t xml:space="preserve">CHEMBL6099155</t>
  </si>
  <si>
    <t xml:space="preserve">Agonist activity at human CB2 receptor expressed in CHO cells assessed as inhibition of forskolin-induced cAMP production at 0.001 to 10 uM incubated for 90 mins by HitHunter assay</t>
  </si>
  <si>
    <t xml:space="preserve">CHEMBL6099159</t>
  </si>
  <si>
    <t xml:space="preserve">Positive allosteric modulation at human CB2 receptor expressed in CHO cells assessed as inhibition of forskolin-induced cAMP production incubated for 90 mins in presence of FM6b by HitHunter assay</t>
  </si>
  <si>
    <t xml:space="preserve">CHEMBL6099160</t>
  </si>
  <si>
    <t xml:space="preserve">Positive allosteric modulation at human CB2 receptor expressed in CHO cells assessed as inhibition of forskolin-induced cAMP production incubated for 90 mins in presence of FM6b by HitHunter assay relative to control</t>
  </si>
  <si>
    <t xml:space="preserve">CHEMBL6099161</t>
  </si>
  <si>
    <t xml:space="preserve">Positive allosteric modulation at human CB2 receptor expressed in CHO cells assessed as inhibition of forskolin-induced cAMP production incubated for 90 mins in presence of CP55940 ligand by HitHunter assay</t>
  </si>
  <si>
    <t xml:space="preserve">CHEMBL6099162</t>
  </si>
  <si>
    <t xml:space="preserve">Positive allosteric modulation at human CB2 receptor expressed in CHO cells assessed as inhibition of forskolin-induced cAMP production incubated for 90 mins in presence of CP55940 ligand by HitHunter assay relative to control</t>
  </si>
  <si>
    <t xml:space="preserve">CHEMBL6099163</t>
  </si>
  <si>
    <t xml:space="preserve">Agonist activity at human CB2 receptor expressed in CHO cells assessed as inhibition of forskolin-induced cAMP production at 10 uM incubated for 90 mins by HitHunter assay</t>
  </si>
  <si>
    <t xml:space="preserve">CHEMBL6099164</t>
  </si>
  <si>
    <t xml:space="preserve">Agonist activity at human CB2 receptor expressed in CHO cells assessed as inhibition of forskolin-induced cAMP production incubated for 90 mins in presence of CP55940 ligand by HitHunter assay</t>
  </si>
  <si>
    <t xml:space="preserve">CHEMBL6099165</t>
  </si>
  <si>
    <t xml:space="preserve">Agonist activity at human CB2 receptor expressed in CHO cells assessed as inhibition of forskolin-induced cAMP production at 100 nM incubated for 90 mins in presence of CP55940 ligand by HitHunter assay relative to control</t>
  </si>
  <si>
    <t xml:space="preserve">CHEMBL6099167</t>
  </si>
  <si>
    <t xml:space="preserve">Agonist activity at human CB2 receptor expressed in CHO cells assessed as inhibition of forskolin-induced cAMP production at 100 nM incubated for 90 mins in presence of FM6b ligand by HitHunter assay relative to control</t>
  </si>
  <si>
    <t xml:space="preserve">CHEMBL6099169</t>
  </si>
  <si>
    <t xml:space="preserve">Agonist activity at human CB2 receptor expressed in CHO cells assessed as inhibition of forskolin-induced cAMP production incubated for 90 mins in presence of FM6b ligand by HitHunter assay</t>
  </si>
  <si>
    <t xml:space="preserve">CHEMBL6113140</t>
  </si>
  <si>
    <t xml:space="preserve">Binding affinity to CB2 (unknown origin) at 10 uM by radioligand binding assay relative to control</t>
  </si>
  <si>
    <t xml:space="preserve">CHEMBL6109139</t>
  </si>
  <si>
    <t xml:space="preserve">CHEMBL6113706</t>
  </si>
  <si>
    <t xml:space="preserve">Antagonist activity at human CB2 receptor stably expressed in CHO-RD-HGA16 cells assessed as inhibition of CP55940-induced intracellular calcium mobilization at 10 uM by FLIPR assay relative to CP55940</t>
  </si>
  <si>
    <t xml:space="preserve">CHEMBL6109148</t>
  </si>
  <si>
    <t xml:space="preserve">CHEMBL6125264</t>
  </si>
  <si>
    <t xml:space="preserve">Displacement of [3H]-CP55940 from cannabinoid CB2 receptor (unknown origin) at 10 uM incubated for 90 mins by Radioligand binding assay relative to control</t>
  </si>
  <si>
    <t xml:space="preserve">CHEMBL6121035</t>
  </si>
  <si>
    <t xml:space="preserve">CHEMBL6125265</t>
  </si>
  <si>
    <t xml:space="preserve">Displacement of [3H]-CP55940 from cannabinoid CB2 receptor (unknown origin) at 1 uM incubated for 90 mins by Radioligand binding assay</t>
  </si>
  <si>
    <t xml:space="preserve">CHEMBL6140130</t>
  </si>
  <si>
    <t xml:space="preserve">T</t>
  </si>
  <si>
    <t xml:space="preserve">Inhibition of CB2 (unknown origin) at 10 uM relative to control</t>
  </si>
  <si>
    <t xml:space="preserve">CHEMBL6134892</t>
  </si>
  <si>
    <t xml:space="preserve">CHEMBL6194306</t>
  </si>
  <si>
    <t xml:space="preserve">Binding affinity to cannabinoid receptor cb2 at compound concentration of 10.0 uM using Cerep panel</t>
  </si>
  <si>
    <t xml:space="preserve">CHEMBL6193874</t>
  </si>
  <si>
    <t xml:space="preserve">CHEMBL6194369</t>
  </si>
  <si>
    <t xml:space="preserve">Activity against CB2/PERIPH/H at compound concentration of 30.0 uM using a Eurofins SafetyScreen44 (BI) by Radioactive Assay</t>
  </si>
  <si>
    <t xml:space="preserve">CHEMBL6193876</t>
  </si>
  <si>
    <t xml:space="preserve">CHEMBL6194460</t>
  </si>
  <si>
    <t xml:space="preserve">Activity against CB2/PERIPH/H at compound concentration of 10.0 uM using a Eurofins SafetyScreen44 (BI) by Radioactive Assay</t>
  </si>
  <si>
    <t xml:space="preserve">CHEMBL6194588</t>
  </si>
  <si>
    <t xml:space="preserve">Binding affinity to hCB2 at compound concentration of 10.0 uM using Eurofins-Cerep binding assay</t>
  </si>
  <si>
    <t xml:space="preserve">CHEMBL6193878</t>
  </si>
  <si>
    <t xml:space="preserve">CHEMBL653699</t>
  </si>
  <si>
    <t xml:space="preserve">Binding affinity against human CB2 receptor expressed in CHO cells by using WIN-55212-2 Mesylate [573H] as Radioactive tracer</t>
  </si>
  <si>
    <t xml:space="preserve">CHEMBL1134897</t>
  </si>
  <si>
    <t xml:space="preserve">CHEMBL657301</t>
  </si>
  <si>
    <t xml:space="preserve">Cavia porcellus</t>
  </si>
  <si>
    <t xml:space="preserve">tissue-based format</t>
  </si>
  <si>
    <t xml:space="preserve">Compound was evaluated for its binding affinity against Cannabinoid receptor 2 in Guinea pig ileum (GPI) using [3H]CP-55940 ligand</t>
  </si>
  <si>
    <t xml:space="preserve">CHEMBL1131433</t>
  </si>
  <si>
    <t xml:space="preserve">CHEMBL657302</t>
  </si>
  <si>
    <t xml:space="preserve">Effective concentration for inhibition of human Cannabinoid receptor 2-mediated adenylyl cyclase using African green monkey (COS-7) cells transfected with the cDNA of human CB2 receptor</t>
  </si>
  <si>
    <t xml:space="preserve">CHEMBL1130395</t>
  </si>
  <si>
    <t xml:space="preserve">CHEMBL657303</t>
  </si>
  <si>
    <t xml:space="preserve">ovary</t>
  </si>
  <si>
    <t xml:space="preserve">Percent inhibition of specific binding of [3H]WIN-55212-2 towards human cannabinoid receptor 2 from Chinese hamster ovary cell membranes at the concentration of 10 uM</t>
  </si>
  <si>
    <t xml:space="preserve">CHEMBL1136715</t>
  </si>
  <si>
    <t xml:space="preserve">CHEMBL657304</t>
  </si>
  <si>
    <t xml:space="preserve">% inhibition of specific binding of [3H]Win55,212-2 towards human Cannabinoid receptor 2 from Chinese hamster ovary cell membranes at 10 uM</t>
  </si>
  <si>
    <t xml:space="preserve">CHEMBL657305</t>
  </si>
  <si>
    <t xml:space="preserve">Binding affinity against human CB2 receptor by using CHO-hCB2 transfected cell membrane [3H]WIN-55212-2 as radioligand at 10 uM</t>
  </si>
  <si>
    <t xml:space="preserve">CHEMBL1145119</t>
  </si>
  <si>
    <t xml:space="preserve">CHEMBL657306</t>
  </si>
  <si>
    <t xml:space="preserve">Inhibitory activity of 1 uM against human Cannabinoid receptor 2-mediated adenylyl cyclase using African green monkey (COS-7) cells transfected with the cDNA of human CB2 receptor</t>
  </si>
  <si>
    <t xml:space="preserve">CHEMBL657307</t>
  </si>
  <si>
    <t xml:space="preserve">Inhibitory affect of 1 uM against African green monkey (COS-7) cells Chinese hamster ovary(CHO) cells transfected with the cDNA of human Cannabinoid receptor 2</t>
  </si>
  <si>
    <t xml:space="preserve">CHEMBL657308</t>
  </si>
  <si>
    <t xml:space="preserve">Inhibitory affect of 1 uM of the substance against African green monkey (COS-7) cells Chinese hamster ovary(CHO) cells transfected with the cDNA of human Cannabinoid receptor 2</t>
  </si>
  <si>
    <t xml:space="preserve">CHEMBL658836</t>
  </si>
  <si>
    <t xml:space="preserve">Displacement of WIN-55212-2-Mesylate [573H] from human CB2 receptor expressed in CHO cells at 100 nM</t>
  </si>
  <si>
    <t xml:space="preserve">CHEMBL658874</t>
  </si>
  <si>
    <t xml:space="preserve">Inhibitory affect of 1 uM of the substance against human Cannabinoid receptor 2-mediated adenylyl cyclase using African green monkey (COS-7) cells transfected with the cDNA of human CB2 receptor; No inhibition</t>
  </si>
  <si>
    <t xml:space="preserve">CHEMBL658875</t>
  </si>
  <si>
    <t xml:space="preserve">Percent Inhibition of binding at 100 nM against human cannabinoid receptor 2 in chinese hamster ovary cells by using a radioligand WIN-55212-2 mesylate[57-3H]</t>
  </si>
  <si>
    <t xml:space="preserve">CHEMBL658876</t>
  </si>
  <si>
    <t xml:space="preserve">Percent Inhibition of binding at 500 uM against human cannabinoid receptor 2 in chinese hamster ovary cells by using a radioligand WIN-55212-2 mesylate[57-3H]</t>
  </si>
  <si>
    <t xml:space="preserve">CHEMBL658877</t>
  </si>
  <si>
    <t xml:space="preserve">Inhibitory effect of 1 uM of the substance against African green monkey (COS-7) cells Chinese hamster ovary(CHO) cells transfected with the cDNA of human Cannabinoid receptor 2</t>
  </si>
  <si>
    <t xml:space="preserve">CHEMBL658878</t>
  </si>
  <si>
    <t xml:space="preserve">Ability to bind with Cannabinoid receptor 2 using [H]CP-55940 as radioligand from cloned human receptor preparation</t>
  </si>
  <si>
    <t xml:space="preserve">CHEMBL1129053</t>
  </si>
  <si>
    <t xml:space="preserve">CHEMBL658953</t>
  </si>
  <si>
    <t xml:space="preserve">Binding affinity of compound was determined against to human cannabinoid receptor 2 in chinese hamster ovary cells</t>
  </si>
  <si>
    <t xml:space="preserve">CHEMBL658954</t>
  </si>
  <si>
    <t xml:space="preserve">Binding affinity against G protein coupled human Cannabinoid receptor 2 using [3H]CP-55940 in HEK293 EBNA transfected cells</t>
  </si>
  <si>
    <t xml:space="preserve">CHEMBL1136766</t>
  </si>
  <si>
    <t xml:space="preserve">CHEMBL658955</t>
  </si>
  <si>
    <t xml:space="preserve">Binding affinity to human CB2 cannabinoid receptor using [3H]CP-55940 in HEK293 EBNA transfected cells</t>
  </si>
  <si>
    <t xml:space="preserve">CHEMBL1134315</t>
  </si>
  <si>
    <t xml:space="preserve">CHEMBL658956</t>
  </si>
  <si>
    <t xml:space="preserve">Binding affinity to Cannabinoid receptor 2 using African green monkey (COS-7) cells Chinese hamster ovary(CHO) cells transfected with the cDNA of human CB2</t>
  </si>
  <si>
    <t xml:space="preserve">CHEMBL658957</t>
  </si>
  <si>
    <t xml:space="preserve">Binding affinity towards Cannabinoid receptor 2</t>
  </si>
  <si>
    <t xml:space="preserve">CHEMBL1136287</t>
  </si>
  <si>
    <t xml:space="preserve">CHEMBL658958</t>
  </si>
  <si>
    <t xml:space="preserve">Binding affinity towards Cannabinoid receptor 2 using CP-55940 as radioligand in HEK293 EBNA cells</t>
  </si>
  <si>
    <t xml:space="preserve">CHEMBL658959</t>
  </si>
  <si>
    <t xml:space="preserve">Binding affinity was determined for Cannabinoid receptor 2</t>
  </si>
  <si>
    <t xml:space="preserve">CHEMBL1133684</t>
  </si>
  <si>
    <t xml:space="preserve">CHEMBL658960</t>
  </si>
  <si>
    <t xml:space="preserve">Binding affinity was determined for cannabinoid receptor 2</t>
  </si>
  <si>
    <t xml:space="preserve">CHEMBL658961</t>
  </si>
  <si>
    <t xml:space="preserve">Binding affinity against human Cannabinoid receptor 2 by using radioligand ([3H]CP-55940) assay.</t>
  </si>
  <si>
    <t xml:space="preserve">CHEMBL1129188</t>
  </si>
  <si>
    <t xml:space="preserve">CHEMBL658962</t>
  </si>
  <si>
    <t xml:space="preserve">Evaluated for binding affinity against recombinant human peripheral cannabinoid receptor 2</t>
  </si>
  <si>
    <t xml:space="preserve">CHEMBL1129173</t>
  </si>
  <si>
    <t xml:space="preserve">CHEMBL658963</t>
  </si>
  <si>
    <t xml:space="preserve">Compound was tested for inhibition of Adenylyl cyclase in cannabinoid receptor 2 (CB2). </t>
  </si>
  <si>
    <t xml:space="preserve">CHEMBL658964</t>
  </si>
  <si>
    <t xml:space="preserve">Binding affinity towards cloned human cannabinoid receptor 2</t>
  </si>
  <si>
    <t xml:space="preserve">CHEMBL1133740</t>
  </si>
  <si>
    <t xml:space="preserve">CHEMBL659744</t>
  </si>
  <si>
    <t xml:space="preserve">Affinity to displace CP-55940 binding from Cannabinoid receptor 2 of human expressed in CHO cells</t>
  </si>
  <si>
    <t xml:space="preserve">CHEMBL1148395</t>
  </si>
  <si>
    <t xml:space="preserve">CHEMBL659745</t>
  </si>
  <si>
    <t xml:space="preserve">Affinity to displace CP-55940 binding from Cannabinoid receptor 2 of human expressed in CHO cells; Not determined</t>
  </si>
  <si>
    <t xml:space="preserve">CHEMBL659746</t>
  </si>
  <si>
    <t xml:space="preserve">Binding affinity against human Cannabinoid receptor 2 expressed in CHO cells by using WIN-55212-2 Mesylate [573H] as Radioactive tracer</t>
  </si>
  <si>
    <t xml:space="preserve">CHEMBL659747</t>
  </si>
  <si>
    <t xml:space="preserve">Binding affinity at cannabinoid receptor 2 in a competition assay with [3H]CP-55940 as radioligand</t>
  </si>
  <si>
    <t xml:space="preserve">CHEMBL1135582</t>
  </si>
  <si>
    <t xml:space="preserve">CHEMBL659749</t>
  </si>
  <si>
    <t xml:space="preserve">Binding affinity of compound towards Cannabinoid receptor 2 in african green monkey COS-7 cells transfected with cDNA of human CB2 receptor</t>
  </si>
  <si>
    <t xml:space="preserve">CHEMBL827164</t>
  </si>
  <si>
    <t xml:space="preserve">Inhibitory concentration tested against human Cannabinoid receptor 2 (hCB2)</t>
  </si>
  <si>
    <t xml:space="preserve">CHEMBL1144282</t>
  </si>
  <si>
    <t xml:space="preserve">CHEMBL832074</t>
  </si>
  <si>
    <t xml:space="preserve">CHEMBL1145211</t>
  </si>
  <si>
    <t xml:space="preserve">CHEMBL834042</t>
  </si>
  <si>
    <t xml:space="preserve">Effective concentration for stimulation of [35S]GTP-gamma-S, binding at CB2 receptor in presence of 3 uM CP-55940</t>
  </si>
  <si>
    <t xml:space="preserve">CHEMBL835325</t>
  </si>
  <si>
    <t xml:space="preserve">In vitro inhibitory activity towards human cannabinoid receptors 2 using fluorescence assay at 10 uM concentration</t>
  </si>
  <si>
    <t xml:space="preserve">CHEMBL835588</t>
  </si>
  <si>
    <t xml:space="preserve">Percentage ([35S]GTP-gamma-S binding was determined from basal towards human cannabinoid receptor 2 at 1 uM concentration using fluorescence assay</t>
  </si>
  <si>
    <t xml:space="preserve">CHEMBL837521</t>
  </si>
  <si>
    <t xml:space="preserve">Percent maximal effectiveness for stimulation of [35S]GTP-gamma-S, binding at CB2 receptor in presence of 3 uM CP-55940</t>
  </si>
  <si>
    <t xml:space="preserve">CHEMBL853263</t>
  </si>
  <si>
    <t xml:space="preserve">Displacement of [3H]CP-55940 from human CB2 receptor at 10 uM</t>
  </si>
  <si>
    <t xml:space="preserve">CHEMBL853352</t>
  </si>
  <si>
    <t xml:space="preserve">Inhibition of CB2 receptor at 1 uM</t>
  </si>
  <si>
    <t xml:space="preserve">CHEMBL1138064</t>
  </si>
  <si>
    <t xml:space="preserve">CHEMBL854080</t>
  </si>
  <si>
    <t xml:space="preserve">Binding affinity at the CB2 receptor</t>
  </si>
  <si>
    <t xml:space="preserve">CHEMBL1149424</t>
  </si>
  <si>
    <t xml:space="preserve">CHEMBL854387</t>
  </si>
  <si>
    <t xml:space="preserve">Effect on human CB2 receptor stimulation by [35S]GTP-gamma-S binding at 10 uM (basal value set at 100%)</t>
  </si>
  <si>
    <t xml:space="preserve">CHEMBL856672</t>
  </si>
  <si>
    <t xml:space="preserve">Activity at CB2 receptor assessed as reduction in CD203c expression in activated human basophil</t>
  </si>
  <si>
    <t xml:space="preserve">CHEMBL1137375</t>
  </si>
  <si>
    <t xml:space="preserve">CHEMBL859080</t>
  </si>
  <si>
    <t xml:space="preserve">CHEMBL1149436</t>
  </si>
  <si>
    <t xml:space="preserve">CHEMBL861409</t>
  </si>
  <si>
    <t xml:space="preserve">Inhibition of [35S]GTP-gamma-S binding to human CB2 receptor expressed in CHO cells</t>
  </si>
  <si>
    <t xml:space="preserve">CHEMBL1139010</t>
  </si>
  <si>
    <t xml:space="preserve">CHEMBL862781</t>
  </si>
  <si>
    <t xml:space="preserve">Effect on [35S]GTP-gamma-S binding to human CB2 receptor</t>
  </si>
  <si>
    <t xml:space="preserve">CHEMBL864627</t>
  </si>
  <si>
    <t xml:space="preserve">Displacement of [3H]CP-55940 from human CB2 expressed in CHO cells at 10 uM</t>
  </si>
  <si>
    <t xml:space="preserve">CHEMBL1148583</t>
  </si>
  <si>
    <t xml:space="preserve">CHEMBL867692</t>
  </si>
  <si>
    <t xml:space="preserve">Inhibition of [35S]GTP-gamma-S binding to human CB2 receptor expressed in CHO cells relative to SR-144528</t>
  </si>
  <si>
    <t xml:space="preserve">CHEMBL868785</t>
  </si>
  <si>
    <t xml:space="preserve">CHEMBL1148600</t>
  </si>
  <si>
    <t xml:space="preserve">CHEMBL871144</t>
  </si>
  <si>
    <t xml:space="preserve">CHEMBL1148623</t>
  </si>
  <si>
    <t xml:space="preserve">CHEMBL872426</t>
  </si>
  <si>
    <t xml:space="preserve">Binding affinity for Cannabinoid receptor 2</t>
  </si>
  <si>
    <t xml:space="preserve">CHEMBL1130181</t>
  </si>
  <si>
    <t xml:space="preserve">CHEMBL881342</t>
  </si>
  <si>
    <t xml:space="preserve">Displacement of specific CP-55940 binding in CHO cells stably transfected with human cannabinoid receptor 2; nd=not determined</t>
  </si>
  <si>
    <t xml:space="preserve">CHEMBL887422</t>
  </si>
  <si>
    <t xml:space="preserve">CHEMBL1144613</t>
  </si>
  <si>
    <t xml:space="preserve">CHEMBL888167</t>
  </si>
  <si>
    <t xml:space="preserve">Agonist activity at human CB2 in CHO cells assessed as inhibition of cAMP production</t>
  </si>
  <si>
    <t xml:space="preserve">CHEMBL889637</t>
  </si>
  <si>
    <t xml:space="preserve">Agonist activity at human CB2R</t>
  </si>
  <si>
    <t xml:space="preserve">CHEMBL1146232</t>
  </si>
  <si>
    <t xml:space="preserve">CHEMBL891073</t>
  </si>
  <si>
    <t xml:space="preserve">CHEMBL1147027</t>
  </si>
  <si>
    <t xml:space="preserve">CHEMBL895090</t>
  </si>
  <si>
    <t xml:space="preserve">Agonist activity at human CB2 receptor expressed in CHOK1 cells assessed as reversal of forskolin-evoked cAMP accumulation relative to CP-55940</t>
  </si>
  <si>
    <t xml:space="preserve">CHEMBL1148711</t>
  </si>
  <si>
    <t xml:space="preserve">CHEMBL895094</t>
  </si>
  <si>
    <t xml:space="preserve">Displacement of [3H]CP-55940 human CB2 receptor expressed in CHOK1 cells</t>
  </si>
  <si>
    <t xml:space="preserve">CHEMBL895097</t>
  </si>
  <si>
    <t xml:space="preserve">Agonist activity at human CB2 receptor expressed in CHOK1 cells assessed as reversal of forskolin-evoked cAMP accumulation</t>
  </si>
  <si>
    <t xml:space="preserve">CHEMBL895534</t>
  </si>
  <si>
    <t xml:space="preserve">Inhibition of human CB2 receptor at 1 uM</t>
  </si>
  <si>
    <t xml:space="preserve">CHEMBL1148818</t>
  </si>
  <si>
    <t xml:space="preserve">CHEMBL897874</t>
  </si>
  <si>
    <t xml:space="preserve">CHEMBL1149669</t>
  </si>
  <si>
    <t xml:space="preserve">CHEMBL897876</t>
  </si>
  <si>
    <t xml:space="preserve">Agonist activity at human CB2 receptor expressed in CHO cells by [35S]GTP-gamma-S binding assay</t>
  </si>
  <si>
    <t xml:space="preserve">CHEMBL897877</t>
  </si>
  <si>
    <t xml:space="preserve">Agonist activity at human CB2 receptor expressed in CHO cells by [35S]GTP-gamma-S binding assay relative to CP-55940</t>
  </si>
  <si>
    <t xml:space="preserve">CHEMBL900690</t>
  </si>
  <si>
    <t xml:space="preserve">Displacement of [3H]SR-141716A from human CB2 receptor expressed in CHO cells at 10 uM</t>
  </si>
  <si>
    <t xml:space="preserve">CHEMBL900692</t>
  </si>
  <si>
    <t xml:space="preserve">CHEMBL900694</t>
  </si>
  <si>
    <t xml:space="preserve">Activity at human CB2 receptor expressed in CHO cells assessed as stimulated [35S]GTP-gamma-S binding relative to control</t>
  </si>
  <si>
    <t xml:space="preserve">CHEMBL902155</t>
  </si>
  <si>
    <t xml:space="preserve">CHEMBL1138374</t>
  </si>
  <si>
    <t xml:space="preserve">CHEMBL903521</t>
  </si>
  <si>
    <t xml:space="preserve">Binding affinity at CB2 receptor</t>
  </si>
  <si>
    <t xml:space="preserve">CHEMBL1139131</t>
  </si>
  <si>
    <t xml:space="preserve">CHEMBL904754</t>
  </si>
  <si>
    <t xml:space="preserve">Agonist activity at human recombinant CB2 receptor expressed in Saccharomyces cerevisiae cells</t>
  </si>
  <si>
    <t xml:space="preserve">CHEMBL1143658</t>
  </si>
  <si>
    <t xml:space="preserve">CHEMBL904755</t>
  </si>
  <si>
    <t xml:space="preserve">Efficacy at human recombinant CB2 receptor expressed in Saccharomyces cerevisiae cells relative to HU210</t>
  </si>
  <si>
    <t xml:space="preserve">CHEMBL904981</t>
  </si>
  <si>
    <t xml:space="preserve">Displacement of [3H]CP-55940 from CB2 receptor expressed in HEK cells at 10 to 80 nM</t>
  </si>
  <si>
    <t xml:space="preserve">CHEMBL906562</t>
  </si>
  <si>
    <t xml:space="preserve">CHEMBL910417</t>
  </si>
  <si>
    <t xml:space="preserve">Intrinsic activity at CB2 receptor assessed as induction of ERK1/2 phosphorylation in HL60 cells at 100 nM after 10 mins relative to control</t>
  </si>
  <si>
    <t xml:space="preserve">CHEMBL1138202</t>
  </si>
  <si>
    <t xml:space="preserve">CHEMBL910418</t>
  </si>
  <si>
    <t xml:space="preserve">Intrinsic activity at CB2 receptor assessed as inhibition of CP-55940-induced ERK1/2 phosphorylation in HL60 cells at 50 nM after 5 mins relative to control</t>
  </si>
  <si>
    <t xml:space="preserve">CHEMBL910421</t>
  </si>
  <si>
    <t xml:space="preserve">Intrinsic activity at CB2 receptor assessed as induction of ERK1/2 phosphorylation in HL60 cells at 10 nM after 10 mins relative to control</t>
  </si>
  <si>
    <t xml:space="preserve">CHEMBL911627</t>
  </si>
  <si>
    <t xml:space="preserve">Inhibition of [3H]CP-55940 binding to human recombinant CB2 receptor in CHO cells</t>
  </si>
  <si>
    <t xml:space="preserve">CHEMBL1138208</t>
  </si>
  <si>
    <t xml:space="preserve">CHEMBL914638</t>
  </si>
  <si>
    <t xml:space="preserve">Agonist activity at CB2 receptor expressed in HL60 cells assessed as increase in intracellular free calcium concentrations</t>
  </si>
  <si>
    <t xml:space="preserve">CHEMBL1144569</t>
  </si>
  <si>
    <t xml:space="preserve">CHEMBL914639</t>
  </si>
  <si>
    <t xml:space="preserve">Antagonist activity at CB2 receptor expressed in HL60 cells assessed as abrogation of 2-archidonoylglycerol-induced increase in intracellular free calcium levels</t>
  </si>
  <si>
    <t xml:space="preserve">CHEMBL917773</t>
  </si>
  <si>
    <t xml:space="preserve">CHEMBL1140299</t>
  </si>
  <si>
    <t xml:space="preserve">CHEMBL920036</t>
  </si>
  <si>
    <t xml:space="preserve">Agonist activity at human CB2 receptor transfected in CHO cells by [35]GTPgamma binding assay</t>
  </si>
  <si>
    <t xml:space="preserve">CHEMBL1139468</t>
  </si>
  <si>
    <t xml:space="preserve">CHEMBL920995</t>
  </si>
  <si>
    <t xml:space="preserve">CHEMBL1143973</t>
  </si>
  <si>
    <t xml:space="preserve">CHEMBL920997</t>
  </si>
  <si>
    <t xml:space="preserve">Agonist activity at human recombinant CB2 receptor expressed in CHO cells by [35S]GTP-gamma-S binding assay</t>
  </si>
  <si>
    <t xml:space="preserve">CHEMBL920998</t>
  </si>
  <si>
    <t xml:space="preserve">Agonist activity at human recombinant CB2 receptor expressed in CHO cells by [35S]GTP-gamma-S binding assay relative to CP-55940</t>
  </si>
  <si>
    <t xml:space="preserve">CHEMBL921011</t>
  </si>
  <si>
    <t xml:space="preserve">CHEMBL921013</t>
  </si>
  <si>
    <t xml:space="preserve">CHEMBL921111</t>
  </si>
  <si>
    <t xml:space="preserve">CHEMBL921112</t>
  </si>
  <si>
    <t xml:space="preserve">CHEMBL921113</t>
  </si>
  <si>
    <t xml:space="preserve">Agonist activity at human CB2 receptor expressed in CHO cells at 3 uM by [35S]GTP-gamma-S binding assay</t>
  </si>
  <si>
    <t xml:space="preserve">CHEMBL924304</t>
  </si>
  <si>
    <t xml:space="preserve">Agonist activity at human CB2 receptor by GTPgamma[35S] assay</t>
  </si>
  <si>
    <t xml:space="preserve">CHEMBL924305</t>
  </si>
  <si>
    <t xml:space="preserve">Agonist activity at human CB2 receptor by GTPgamma[35S] assay relative to WIN-55212-2</t>
  </si>
  <si>
    <t xml:space="preserve">CHEMBL925156</t>
  </si>
  <si>
    <t xml:space="preserve">CHEMBL1140633</t>
  </si>
  <si>
    <t xml:space="preserve">CHEMBL925386</t>
  </si>
  <si>
    <t xml:space="preserve">Displacement of [3H]CP-55940 form human CB2 receptor expressed in CHO cells</t>
  </si>
  <si>
    <t xml:space="preserve">CHEMBL1140512</t>
  </si>
  <si>
    <t xml:space="preserve">CHEMBL925387</t>
  </si>
  <si>
    <t xml:space="preserve">Displacement of [3H]CP-55940 form human CB2 receptor expressed in CHO cells at 100 nM</t>
  </si>
  <si>
    <t xml:space="preserve">CHEMBL925389</t>
  </si>
  <si>
    <t xml:space="preserve">CHEMBL925390</t>
  </si>
  <si>
    <t xml:space="preserve">Efficacy at human CB2 receptor expressed in CHO cells by [35S]GTP-gamma-S binding assay relative to CP-55940</t>
  </si>
  <si>
    <t xml:space="preserve">CHEMBL928140</t>
  </si>
  <si>
    <t xml:space="preserve">Displacement of [3H]Win 55212-2 from cannabinoid CB2 receptor</t>
  </si>
  <si>
    <t xml:space="preserve">CHEMBL1142222</t>
  </si>
  <si>
    <t xml:space="preserve">CHEMBL928177</t>
  </si>
  <si>
    <t xml:space="preserve">CHEMBL1144814</t>
  </si>
  <si>
    <t xml:space="preserve">CHEMBL928504</t>
  </si>
  <si>
    <t xml:space="preserve">Agonist activity at human CB2 receptor expressed in CHO cells assessed as inhibition of forskolin-stimulated cAMP level</t>
  </si>
  <si>
    <t xml:space="preserve">CHEMBL928505</t>
  </si>
  <si>
    <t xml:space="preserve">Agonist activity at human CB2 receptor expressed in CHO cells assessed as inhibition of forskolin-stimulated cAMP level relative to CP-55940</t>
  </si>
  <si>
    <t xml:space="preserve">CHEMBL929255</t>
  </si>
  <si>
    <t xml:space="preserve">Agonist activity at human cloned CB2 receptor by [35S]GTP-gamma-S binding assay</t>
  </si>
  <si>
    <t xml:space="preserve">CHEMBL932401</t>
  </si>
  <si>
    <t xml:space="preserve">Binding affinity to human CB2R</t>
  </si>
  <si>
    <t xml:space="preserve">CHEMBL1142431</t>
  </si>
  <si>
    <t xml:space="preserve">CHEMBL932920</t>
  </si>
  <si>
    <t xml:space="preserve">Agonist activity at human recombinant CB2 receptor expressed in HEK cells assessed as calcium mobilization by FLIPR</t>
  </si>
  <si>
    <t xml:space="preserve">CHEMBL932921</t>
  </si>
  <si>
    <t xml:space="preserve">Agonist activity at human recombinant CB2 receptor expressed in HEK cells assessed as calcium mobilization by FLIPR relative to CP-55940</t>
  </si>
  <si>
    <t xml:space="preserve">CHEMBL936659</t>
  </si>
  <si>
    <t xml:space="preserve">CHEMBL940411</t>
  </si>
  <si>
    <t xml:space="preserve">Displacement of [3H]WIN-55212-2 from human CB2 receptor expressed in CHOK1 cells by liquid scintillation spectrometry</t>
  </si>
  <si>
    <t xml:space="preserve">CHEMBL1152292</t>
  </si>
  <si>
    <t xml:space="preserve">CHEMBL950211</t>
  </si>
  <si>
    <t xml:space="preserve">Displacement of [3H]WIN-55212-2 from human cannabinoid CB2 receptor expressed in CHO cells</t>
  </si>
  <si>
    <t xml:space="preserve">CHEMBL1143900</t>
  </si>
  <si>
    <t xml:space="preserve">CHEMBL953974</t>
  </si>
  <si>
    <t xml:space="preserve">Agonist activity at cloned human CB2 receptor in Sf9 cells assessed as stimulation of [35S]GTPgammaS binding assay</t>
  </si>
  <si>
    <t xml:space="preserve">CHEMBL953975</t>
  </si>
  <si>
    <t xml:space="preserve">Agonist activity at cloned human CB2 receptor in Sf9 cells assessed by [35S]GTPgammaS binding assay relative to delta9-THC</t>
  </si>
  <si>
    <t xml:space="preserve">CHEMBL954091</t>
  </si>
  <si>
    <t xml:space="preserve">Antagonist activity at human CB2 receptor in SF9 cells assessed as inhibition of CP-55940-stimulated GTPgammaS binding</t>
  </si>
  <si>
    <t xml:space="preserve">CHEMBL1150322</t>
  </si>
  <si>
    <t xml:space="preserve">CHEMBL957520</t>
  </si>
  <si>
    <t xml:space="preserve">Displacement of [3H]WIN-55212-2 from human recombinant cannabinoid CB2 receptor expressed in CHOK1 cells by liquid scintillation spectrometry</t>
  </si>
  <si>
    <t xml:space="preserve">CHEMBL1153946</t>
  </si>
  <si>
    <t xml:space="preserve">CHEMBL958036</t>
  </si>
  <si>
    <t xml:space="preserve">CHEMBL959189</t>
  </si>
  <si>
    <t xml:space="preserve">Displacement of [3H]CP-55940 from human recombinant cannabinoid CB2 receptor expressed in HEK293 cells at 10 uM</t>
  </si>
  <si>
    <t xml:space="preserve">CHEMBL961832</t>
  </si>
  <si>
    <t xml:space="preserve">Displacement of [3H]CP-55940 form human CB2 receptor expressed in HEK cells at 10 uM</t>
  </si>
  <si>
    <t xml:space="preserve">CHEMBL962380</t>
  </si>
  <si>
    <t xml:space="preserve">CHEMBL1153934</t>
  </si>
  <si>
    <t xml:space="preserve">CHEMBL962783</t>
  </si>
  <si>
    <t xml:space="preserve">Displacement of [3H]WIN-55212-2 from human CB2 receptor expressed in CHO cells at 10 uM</t>
  </si>
  <si>
    <t xml:space="preserve">CHEMBL963902</t>
  </si>
  <si>
    <t xml:space="preserve">CHEMBL1139276</t>
  </si>
  <si>
    <t xml:space="preserve">CHEMBL966860</t>
  </si>
  <si>
    <t xml:space="preserve">Antagonist activity at CB2 receptor expressed in HEK293 cells assessed as blockade of secreted alkaline phosphatase activity at 1 uM after 6 hrs relative to control</t>
  </si>
  <si>
    <t xml:space="preserve">CHEMBL1156534</t>
  </si>
  <si>
    <t xml:space="preserve">CHEMBL966869</t>
  </si>
  <si>
    <t xml:space="preserve">Neuro 2A</t>
  </si>
  <si>
    <t xml:space="preserve">Antagonist activity at CB2 receptor expressed in Neuro 2A cells assessed as blockade of Hu210-mediated increase in number of neurite outgrowth at 10 uM after 16 hrs</t>
  </si>
  <si>
    <t xml:space="preserve">CHEMBL966990</t>
  </si>
  <si>
    <t xml:space="preserve">Binding affinity to human CB2 receptor by [35S]GTPgammaS binding assay</t>
  </si>
  <si>
    <t xml:space="preserve">CHEMBL1140076</t>
  </si>
  <si>
    <t xml:space="preserve">CHEMBL967714</t>
  </si>
  <si>
    <t xml:space="preserve">Antagonist activity at CB2 receptor expressed in HEK293 cells assessed as blockade of Hu210-mediated decrease in secreted alkaline phosphatase activity at 1 uM after 6 hrs relative to control</t>
  </si>
  <si>
    <t xml:space="preserve">CHEMBL975422</t>
  </si>
  <si>
    <t xml:space="preserve">Binding affinity to human cannabinoid 2 receptor at &lt;3 uM</t>
  </si>
  <si>
    <t xml:space="preserve">CHEMBL1155900</t>
  </si>
  <si>
    <t xml:space="preserve">CHEMBL976337</t>
  </si>
  <si>
    <t xml:space="preserve">Agonist activity at human CB2 receptor expressed in insect Sf9 cells assessed as effect on Eu-GTP binding</t>
  </si>
  <si>
    <t xml:space="preserve">CHEMBL1155906</t>
  </si>
  <si>
    <t xml:space="preserve">CHEMBL976338</t>
  </si>
  <si>
    <t xml:space="preserve">Agonist activity at human CB2 receptor expressed in insect Sf9 cells assessed as effect on Eu-GTP binding at 10 uM</t>
  </si>
  <si>
    <t xml:space="preserve">CHEMBL976339</t>
  </si>
  <si>
    <t xml:space="preserve">Agonist activity at human CB2 receptor expressed in insect Sf9 cells assessed as effect on Eu-GTP binding relative to CP-55940</t>
  </si>
  <si>
    <t xml:space="preserve">CHEMBL976345</t>
  </si>
  <si>
    <t xml:space="preserve">Agonist activity at human CB2 receptor assessed as inhibition of forskolin-induced increase in intracellular cAMP</t>
  </si>
  <si>
    <t xml:space="preserve">CHEMBL976346</t>
  </si>
  <si>
    <t xml:space="preserve">Agonist activity at human CB2 receptor assessed as inhibition of forskolin-induced increase in intracellular cAMP relative to CP-55940</t>
  </si>
  <si>
    <t xml:space="preserve">CHEMBL980656</t>
  </si>
  <si>
    <t xml:space="preserve">Binding affinity to human cannabinoid CB2R expressed in CHO cells</t>
  </si>
  <si>
    <t xml:space="preserve">CHEMBL1138592</t>
  </si>
  <si>
    <t xml:space="preserve">CHEMBL981472</t>
  </si>
  <si>
    <t xml:space="preserve">Displacement of [3H]WIN-55212-2 from human CB2 receptor expressed in CHO-K1 cells by liquid scintillation counting</t>
  </si>
  <si>
    <t xml:space="preserve">CHEMBL1143356</t>
  </si>
  <si>
    <t xml:space="preserve">CHEMBL982787</t>
  </si>
  <si>
    <t xml:space="preserve">Antagonist activity at human CB2 receptor in Sf9 cells assessed as GTPgammaS binding</t>
  </si>
  <si>
    <t xml:space="preserve">CHEMBL1140137</t>
  </si>
  <si>
    <t xml:space="preserve">CHEMBL983967</t>
  </si>
  <si>
    <t xml:space="preserve">CHEMBL1138462</t>
  </si>
  <si>
    <t xml:space="preserve">CHEMBL988124</t>
  </si>
  <si>
    <t xml:space="preserve">Displacement of [3H]WIN-55212-2 from human CB2 receptor expressed in CHOK1 cells</t>
  </si>
  <si>
    <t xml:space="preserve">CHEMBL1157137</t>
  </si>
  <si>
    <t xml:space="preserve">CHEMBL989056</t>
  </si>
  <si>
    <t xml:space="preserve">CHEMBL1140165</t>
  </si>
  <si>
    <t xml:space="preserve">CHEMBL989725</t>
  </si>
  <si>
    <t xml:space="preserve">Activity at CB2 receptor</t>
  </si>
  <si>
    <t xml:space="preserve">CHEMBL1149787</t>
  </si>
  <si>
    <t xml:space="preserve">CHEMBL992343</t>
  </si>
  <si>
    <t xml:space="preserve">SKNSH</t>
  </si>
  <si>
    <t xml:space="preserve">Antagonist activity at CB2 receptor expressed in SKNSH cells at 100 nM by ELISA relative to control</t>
  </si>
  <si>
    <t xml:space="preserve">CHEMBL992350</t>
  </si>
  <si>
    <t xml:space="preserve">Antagonist activity at CB2 receptor expressed in SKNSH cells assessed as blockade of Hu210-induced increase in antibody recognition at 100 nM by ELISA relative to control</t>
  </si>
  <si>
    <t xml:space="preserve">CHEMBL993560</t>
  </si>
  <si>
    <t xml:space="preserve">CHEMBL1155800</t>
  </si>
  <si>
    <t xml:space="preserve">CHEMBL995595</t>
  </si>
  <si>
    <t xml:space="preserve">Agonist activity at human CB2 receptor assessed as inhibition of forskolin-stimulated cAMP production</t>
  </si>
  <si>
    <t xml:space="preserve">CHEMBL995596</t>
  </si>
  <si>
    <t xml:space="preserve">Agonist activity at human CB2 receptor assessed as inhibition of forskolin-stimulated cAMP production relative to 2-arachidonoylglycerol</t>
  </si>
  <si>
    <t xml:space="preserve">CHEMBL995597</t>
  </si>
  <si>
    <t xml:space="preserve">Agonist activity at human CB2 receptor assessed as inhibition of forskolin-stimulated cAMP production at 30 nM relative to 2-arachidonoylglycerol</t>
  </si>
  <si>
    <t xml:space="preserve">CHEMBL998036</t>
  </si>
  <si>
    <t xml:space="preserve">Activity at CB2 receptor in human basophil assessed as reduction of anti-IgE-FITC conjugated antibody-stimulated CD203c expression after 30 mins by flow cytometric analysis</t>
  </si>
  <si>
    <t xml:space="preserve">CHEMBL998037</t>
  </si>
  <si>
    <t xml:space="preserve">Activity at CB2 receptor in human basophil assessed as reduction of anti-IgE-FITC conjugated antibody-stimulated CD203c expression after 30 mins by flow cytometric analysis in presence of 100 nM SR-144528</t>
  </si>
  <si>
    <t xml:space="preserve">CHEMBL998038</t>
  </si>
  <si>
    <t xml:space="preserve">Activity at CB2 receptor in human basophil assessed as reduction of anti-IgE-FITC conjugated antibody-stimulated CD203c expression after 30 mins by flow cytometric analysis in presence of 100 nM AM251</t>
  </si>
  <si>
    <t xml:space="preserve">All 653 papers, patents and datasets behind the CB2 records (chembl_cb2_documents.json). Sorted so the sources that feed Dataset v1 come first.</t>
  </si>
  <si>
    <t xml:space="preserve">Title</t>
  </si>
  <si>
    <t xml:space="preserve">Authors</t>
  </si>
  <si>
    <t xml:space="preserve">PubMed ID</t>
  </si>
  <si>
    <t xml:space="preserve">Patent ID</t>
  </si>
  <si>
    <t xml:space="preserve">PUBLICATION</t>
  </si>
  <si>
    <t xml:space="preserve">J Med Chem</t>
  </si>
  <si>
    <t xml:space="preserve">Indol-3-ylcycloalkyl ketones: effects of N1 substituted indole side chain variations on CB(2) cannabinoid receptor activity.</t>
  </si>
  <si>
    <t xml:space="preserve">Frost JM, Dart MJ, Tietje KR, Garrison TR, Grayson GK, Daza AV, El-Kouhen OF, Yao BB, Hsieh GC, Pai M, Zhu CZ, Chandran P, Meyer MD.</t>
  </si>
  <si>
    <t xml:space="preserve">10.1021/jm901214q</t>
  </si>
  <si>
    <t xml:space="preserve">Indol-3-yl-tetramethylcyclopropyl ketones: effects of indole ring substitution on CB2 cannabinoid receptor activity.</t>
  </si>
  <si>
    <t xml:space="preserve">Frost JM, Dart MJ, Tietje KR, Garrison TR, Grayson GK, Daza AV, El-Kouhen OF, Miller LN, Li L, Yao BB, Hsieh GC, Pai M, Zhu CZ, Chandran P, Meyer MD.</t>
  </si>
  <si>
    <t xml:space="preserve">10.1021/jm7011613</t>
  </si>
  <si>
    <t xml:space="preserve">Novel triaryl sulfonamide derivatives as selective cannabinoid receptor 2 inverse agonists and osteoclast inhibitors: discovery, optimization, and biological evaluation.</t>
  </si>
  <si>
    <t xml:space="preserve">Yang P, Wang L, Feng R, Almehizia AA, Tong Q, Myint KZ, Ouyang Q, Alqarni MH, Wang L, Xie XQ.</t>
  </si>
  <si>
    <t xml:space="preserve">10.1021/jm3017464</t>
  </si>
  <si>
    <t xml:space="preserve">Lead discovery, chemistry optimization, and biological evaluation studies of novel biamide derivatives as CB2 receptor inverse agonists and osteoclast inhibitors.</t>
  </si>
  <si>
    <t xml:space="preserve">Yang P, Myint KZ, Tong Q, Feng R, Cao H, Almehizia AA, Alqarni MH, Wang L, Bartlow P, Gao Y, Gertsch J, Teramachi J, Kurihara N, Roodman GD, Cheng T, Xie XQ.</t>
  </si>
  <si>
    <t xml:space="preserve">10.1021/jm301212u</t>
  </si>
  <si>
    <t xml:space="preserve">PATENT</t>
  </si>
  <si>
    <t xml:space="preserve">Compounds as cannabinoid receptor ligands</t>
  </si>
  <si>
    <t xml:space="preserve">US-8846730-B2</t>
  </si>
  <si>
    <t xml:space="preserve">Eur J Med Chem</t>
  </si>
  <si>
    <t xml:space="preserve">Design, syntheses, structure-activity relationships and docking studies of coumarin derivatives as novel selective ligands for the CB2 receptor.</t>
  </si>
  <si>
    <t xml:space="preserve">Han S, Zhang FF, Qian HY, Chen LL, Pu JB, Xie X, Chen JZ.</t>
  </si>
  <si>
    <t xml:space="preserve">10.1016/j.ejmech.2015.01.054</t>
  </si>
  <si>
    <t xml:space="preserve">US-8859596-B2</t>
  </si>
  <si>
    <t xml:space="preserve">Bioorg Med Chem Lett</t>
  </si>
  <si>
    <t xml:space="preserve">Novel benzimidazole derivatives as selective CB2 agonists.</t>
  </si>
  <si>
    <t xml:space="preserve">Pagé D, Balaux E, Boisvert L, Liu Z, Milburn C, Tremblay M, Wei Z, Woo S, Luo X, Cheng YX, Yang H, Srivastava S, Zhou F, Brown W, Tomaszewski M, Walpole C, Hodzic L, St-Onge S, Godbout C, Salois D, Payza K.</t>
  </si>
  <si>
    <t xml:space="preserve">10.1016/j.bmcl.2008.05.073</t>
  </si>
  <si>
    <t xml:space="preserve">7-Oxo-[1,4]oxazino[2,3,4-ij]quinoline-6-carboxamides as selective CB(2) cannabinoid receptor ligands: structural investigations around a novel class of full agonists.</t>
  </si>
  <si>
    <t xml:space="preserve">Baraldi PG, Saponaro G, Moorman AR, Romagnoli R, Preti D, Baraldi S, Ruggiero E, Varani K, Targa M, Vincenzi F, Borea PA, Aghazadeh Tabrizi M.</t>
  </si>
  <si>
    <t xml:space="preserve">10.1021/jm300763w</t>
  </si>
  <si>
    <t xml:space="preserve">ACS Med Chem Lett</t>
  </si>
  <si>
    <t xml:space="preserve">Trisubstituted Sulfonamides: a New Chemotype for Development of Potent and Selective CB2 Receptor Inverse Agonists.</t>
  </si>
  <si>
    <t xml:space="preserve">Ouyang Q, Tong Q, Feng R, Myint KZ, Yang P, Xie XQ.</t>
  </si>
  <si>
    <t xml:space="preserve">10.1021/ml3004236</t>
  </si>
  <si>
    <t xml:space="preserve">Development of CoMFA and CoMSIA models of affinity and selectivity for indole ligands of cannabinoid CB1 and CB2 receptors.</t>
  </si>
  <si>
    <t xml:space="preserve">De Freitas GB, da Silva LL, Romeiro NC, Fraga CA.</t>
  </si>
  <si>
    <t xml:space="preserve">10.1016/j.ejmech.2009.01.026</t>
  </si>
  <si>
    <t xml:space="preserve">Mastering tricyclic ring systems for desirable functional cannabinoid activity.</t>
  </si>
  <si>
    <t xml:space="preserve">Petrov RR, Knight L, Chen SR, Wager-Miller J, McDaniel SW, Diaz F, Barth F, Pan HL, Mackie K, Cavasotto CN, Diaz P.</t>
  </si>
  <si>
    <t xml:space="preserve">10.1016/j.ejmech.2013.09.038</t>
  </si>
  <si>
    <t xml:space="preserve">Discovery of 7-oxopyrazolo[1,5-a]pyrimidine-6-carboxamides as potent and selective CB(2) cannabinoid receptor inverse agonists.</t>
  </si>
  <si>
    <t xml:space="preserve">Aghazadeh Tabrizi M, Baraldi PG, Saponaro G, Moorman AR, Romagnoli R, Preti D, Baraldi S, Ruggiero E, Tintori C, Tuccinardi T, Vincenzi F, Borea PA, Varani K.</t>
  </si>
  <si>
    <t xml:space="preserve">10.1021/jm400182t</t>
  </si>
  <si>
    <t xml:space="preserve">Triaryl bis-sulfones as cannabinoid-2 receptor ligands: SAR studies.</t>
  </si>
  <si>
    <t xml:space="preserve">Shankar BB, Lavey BJ, Zhou G, Spitler JA, Tong L, Rizvi R, Yang DY, Wolin R, Kozlowski JA, Shih NY, Wu J, Hipkin RW, Gonsiorek W, Lunn CA.</t>
  </si>
  <si>
    <t xml:space="preserve">10.1016/j.bmcl.2005.07.023</t>
  </si>
  <si>
    <t xml:space="preserve">Pharmacomodulations around the 4-oxo-1,4-dihydroquinoline-3-carboxamides, a class of potent CB2-selective cannabinoid receptor ligands: consequences in receptor affinity and functionality.</t>
  </si>
  <si>
    <t xml:space="preserve">Stern E, Muccioli GG, Bosier B, Hamtiaux L, Millet R, Poupaert JH, Hénichart JP, Depreux P, Goossens JF, Lambert DM.</t>
  </si>
  <si>
    <t xml:space="preserve">10.1021/jm070387h</t>
  </si>
  <si>
    <t xml:space="preserve">Three-dimensional quantitative structure-selectivity relationships analysis guided rational design of a highly selective ligand for the cannabinoid receptor 2.</t>
  </si>
  <si>
    <t xml:space="preserve">Brogi S, Corelli F, Di Marzo V, Ligresti A, Mugnaini C, Pasquini S, Tafi A.</t>
  </si>
  <si>
    <t xml:space="preserve">10.1016/j.ejmech.2010.11.034</t>
  </si>
  <si>
    <t xml:space="preserve">US-8895592-B2</t>
  </si>
  <si>
    <t xml:space="preserve">[1,2,3]triazolo[4,5-D]pyrimidine derivatives with affinity for the type-2 cannabinoid receptor</t>
  </si>
  <si>
    <t xml:space="preserve">US-10457685-B2</t>
  </si>
  <si>
    <t xml:space="preserve">New resorcinol-anandamide "hybrids" as potent cannabinoid receptor ligands endowed with antinociceptive activity in vivo.</t>
  </si>
  <si>
    <t xml:space="preserve">Brizzi A, Brizzi V, Cascio MG, Corelli F, Guida F, Ligresti A, Maione S, Martinelli A, Pasquini S, Tuccinardi T, Di Marzo V.</t>
  </si>
  <si>
    <t xml:space="preserve">10.1021/jm8016255</t>
  </si>
  <si>
    <t xml:space="preserve">CB2 selective sulfamoyl benzamides: optimization of the amide functionality.</t>
  </si>
  <si>
    <t xml:space="preserve">Goodman AJ, Ajello CW, Worm K, Le Bourdonnec B, Savolainen MA, O'Hare H, Cassel JA, Stabley GJ, Dehaven RN, Labuda CJ, Koblish M, Little PJ, Brogdon BL, Smith SA, Dolle RE.</t>
  </si>
  <si>
    <t xml:space="preserve">10.1016/j.bmcl.2008.11.091</t>
  </si>
  <si>
    <t xml:space="preserve">Cannabinergic compounds and uses thereof</t>
  </si>
  <si>
    <t xml:space="preserve">US-10882838-B2</t>
  </si>
  <si>
    <t xml:space="preserve">Bioorg Med Chem</t>
  </si>
  <si>
    <t xml:space="preserve">Synthesis, cannabinoid receptor affinity, molecular modeling studies and in vivo pharmacological evaluation of new substituted 1-aryl-5-(1H-pyrrol-1-yl)-1H-pyrazole-3-carboxamides. 2. Effect of the 3-carboxamide substituent on the affinity and selectivity profile.</t>
  </si>
  <si>
    <t xml:space="preserve">Silvestri R, Ligresti A, La Regina G, Piscitelli F, Gatti V, Brizzi A, Pasquini S, Lavecchia A, Allarà M, Fantini N, Carai MA, Novellino E, Colombo G, Di Marzo V, Corelli F.</t>
  </si>
  <si>
    <t xml:space="preserve">10.1016/j.bmc.2009.06.027</t>
  </si>
  <si>
    <t xml:space="preserve">Investigations on the 4-quinolone-3-carboxylic acid motif. 3. Synthesis, structure-affinity relationships, and pharmacological characterization of 6-substituted 4-quinolone-3-carboxamides as highly selective cannabinoid-2 receptor ligands.</t>
  </si>
  <si>
    <t xml:space="preserve">Pasquini S, Ligresti A, Mugnaini C, Semeraro T, Cicione L, De Rosa M, Guida F, Luongo L, De Chiaro M, Cascio MG, Bolognini D, Marini P, Pertwee R, Maione S, Di Marzo V, Corelli F.</t>
  </si>
  <si>
    <t xml:space="preserve">10.1021/jm100123x</t>
  </si>
  <si>
    <t xml:space="preserve">Chromenopyrazole, a Versatile Cannabinoid Scaffold with in Vivo Activity in a Model of Multiple Sclerosis.</t>
  </si>
  <si>
    <t xml:space="preserve">Morales P, Gómez-Cañas M, Navarro G, Hurst DP, Carrillo-Salinas FJ, Lagartera L, Pazos R, Goya P, Reggio PH, Guaza C, Franco R, Fernández-Ruiz J, Jagerovic N.</t>
  </si>
  <si>
    <t xml:space="preserve">10.1021/acs.jmedchem.6b00397</t>
  </si>
  <si>
    <t xml:space="preserve">Bioisosteric replacements of the pyrazole moiety of rimonabant: synthesis, biological properties, and molecular modeling investigations of thiazoles, triazoles, and imidazoles as potent and selective CB1 cannabinoid receptor antagonists.</t>
  </si>
  <si>
    <t xml:space="preserve">Lange JH, van Stuivenberg HH, Coolen HK, Adolfs TJ, McCreary AC, Keizer HG, Wals HC, Veerman W, Borst AJ, de Looff W, Verveer PC, Kruse CG.</t>
  </si>
  <si>
    <t xml:space="preserve">10.1021/jm040843r</t>
  </si>
  <si>
    <t xml:space="preserve">Biaryl cannabinoid mimetics--synthesis and structure-activity relationship.</t>
  </si>
  <si>
    <t xml:space="preserve">Worm K, Zhou QJ, Stabley GJ, DeHaven RN, Dolle RE.</t>
  </si>
  <si>
    <t xml:space="preserve">10.1016/j.bmcl.2007.04.059</t>
  </si>
  <si>
    <t xml:space="preserve">Design, synthesis, and pharmacological properties of new heteroarylpyridine/heteroarylpyrimidine derivatives as CB(2) cannabinoid receptor partial agonists.</t>
  </si>
  <si>
    <t xml:space="preserve">Aghazadeh Tabrizi M, Baraldi PG, Saponaro G, Moorman AR, Romagnoli R, Preti D, Baraldi S, Corciulo C, Vincenzi F, Borea PA, Varani K.</t>
  </si>
  <si>
    <t xml:space="preserve">10.1021/jm301527r</t>
  </si>
  <si>
    <t xml:space="preserve">Pyridine and pyrazine derivatives as preferential cannabinoid 2 agonists</t>
  </si>
  <si>
    <t xml:space="preserve">US-11655243-B2</t>
  </si>
  <si>
    <t xml:space="preserve">Non-aromatic A-ring replacement in the triaryl bis-sulfone CB2 receptor inhibitors.</t>
  </si>
  <si>
    <t xml:space="preserve">Gilbert EJ, Zhou G, Wong MK, Tong L, Shankar BB, Huang C, Kelly J, Lavey BJ, McCombie SW, Chen L, Rizvi R, Dong Y, Shu Y, Kozlowski JA, Shih NY, Hipkin RW, Gonsiorek W, Malikzay A, Lunn CA, Favreau L, Lundell DJ.</t>
  </si>
  <si>
    <t xml:space="preserve">10.1016/j.bmcl.2009.11.084</t>
  </si>
  <si>
    <t xml:space="preserve">Investigations on the 4-quinolone-3-carboxylic acid motif. 6. Synthesis and pharmacological evaluation of 7-substituted quinolone-3-carboxamide derivatives as high affinity ligands for cannabinoid receptors.</t>
  </si>
  <si>
    <t xml:space="preserve">Pasquini S, De Rosa M, Ligresti A, Mugnaini C, Brizzi A, Caradonna NP, Cascio MG, Bolognini D, Pertwee RG, Di Marzo V, Corelli F.</t>
  </si>
  <si>
    <t xml:space="preserve">10.1016/j.ejmech.2012.09.035</t>
  </si>
  <si>
    <t xml:space="preserve">CB2-selective cannabinoid receptor ligands: synthesis, pharmacological evaluation, and molecular modeling investigation of 1,8-Naphthyridin-2(1H)-one-3-carboxamides.</t>
  </si>
  <si>
    <t xml:space="preserve">Lucchesi V, Hurst DP, Shore DM, Bertini S, Ehrmann BM, Allarà M, Lawrence L, Ligresti A, Minutolo F, Saccomanni G, Sharir H, Macchia M, Di Marzo V, Abood ME, Reggio PH, Manera C.</t>
  </si>
  <si>
    <t xml:space="preserve">10.1021/jm500807e</t>
  </si>
  <si>
    <t xml:space="preserve">Synthesis and pharmacological characterization of functionalized 6-piperazin-1-yl-purines as cannabinoid receptor 1 (CB1) inverse agonists.</t>
  </si>
  <si>
    <t xml:space="preserve">Amato GS, Manke A, Vasukuttan V, Wiethe RW, Snyder RW, Runyon SP, Maitra R.</t>
  </si>
  <si>
    <t xml:space="preserve">10.1016/j.bmc.2018.07.043</t>
  </si>
  <si>
    <t xml:space="preserve">New 1,2,3,4-tetrahydropyrrolo[3,4-b]indole derivatives as selective CB2 receptor agonists.</t>
  </si>
  <si>
    <t xml:space="preserve">Pagé D, Yang H, Brown W, Walpole C, Fleurent M, Fyfe M, Gaudreault F, St-Onge S.</t>
  </si>
  <si>
    <t xml:space="preserve">10.1016/j.bmcl.2007.09.019</t>
  </si>
  <si>
    <t xml:space="preserve">Synthesis, binding assays, cytotoxic activity and docking studies of benzimidazole and benzothiophene derivatives with selective affinity for the CB2 cannabinoid receptor.</t>
  </si>
  <si>
    <t xml:space="preserve">Romero-Parra J, Mella-Raipán J, Palmieri V, Allarà M, Torres MJ, Pessoa-Mahana H, Iturriaga-Vásquez P, Escobar R, Faúndez M, Di Marzo V, Pessoa-Mahana CD.</t>
  </si>
  <si>
    <t xml:space="preserve">10.1016/j.ejmech.2016.08.005</t>
  </si>
  <si>
    <t xml:space="preserve">1-Alkyl-2-aryl-4-(1-naphthoyl)pyrroles: new high affinity ligands for the cannabinoid CB1 and CB2 receptors.</t>
  </si>
  <si>
    <t xml:space="preserve">Huffman JW, Padgett LW, Isherwood ML, Wiley JL, Martin BR.</t>
  </si>
  <si>
    <t xml:space="preserve">10.1016/j.bmcl.2006.07.051</t>
  </si>
  <si>
    <t xml:space="preserve">2-Arylimino-5,6-dihydro-4H-1,3-thiazines as a new class of cannabinoid receptor agonists. Part 1: discovery of CB2 receptor selective compounds.</t>
  </si>
  <si>
    <t xml:space="preserve">Kai H, Morioka Y, Murashi T, Morita K, Shinonome S, Nakazato H, Kawamoto K, Hanasaki K, Takahashi F, Mihara S, Arai T, Abe K, Okabe H, Baba T, Yoshikawa T, Takenaka H.</t>
  </si>
  <si>
    <t xml:space="preserve">10.1016/j.bmcl.2007.04.093</t>
  </si>
  <si>
    <t xml:space="preserve">1-Pentyl-3-phenylacetylindoles, a new class of cannabimimetic indoles.</t>
  </si>
  <si>
    <t xml:space="preserve">Huffman JW, Szklennik PV, Almond A, Bushell K, Selley DE, He H, Cassidy MP, Wiley JL, Martin BR.</t>
  </si>
  <si>
    <t xml:space="preserve">10.1016/j.bmcl.2005.06.008</t>
  </si>
  <si>
    <t xml:space="preserve">Discovery of benzhydrylpiperazine derivatives as CB1 receptor inverse agonists via privileged structure-based approach.</t>
  </si>
  <si>
    <t xml:space="preserve">Meng T, Wang J, Peng H, Fang G, Li M, Xiong B, Xie X, Zhang Y, Wang X, Shen J.</t>
  </si>
  <si>
    <t xml:space="preserve">10.1016/j.ejmech.2009.12.018</t>
  </si>
  <si>
    <t xml:space="preserve">Two distinct classes of novel pyrazolinecarboxamides as potent cannabinoid CB1 receptor agonists.</t>
  </si>
  <si>
    <t xml:space="preserve">Lange JH, Attali A, van der Neut MA, Wals HC, Mulder A, Zilaout H, Duursma A, van Aken HH, van Vliet BJ.</t>
  </si>
  <si>
    <t xml:space="preserve">10.1016/j.bmcl.2010.07.056</t>
  </si>
  <si>
    <t xml:space="preserve">Synthesis and pharmacology of 1-alkyl-3-(1-naphthoyl)indoles: steric and electronic effects of 4- and 8-halogenated naphthoyl substituents.</t>
  </si>
  <si>
    <t xml:space="preserve">Wiley JL, Smith VJ, Chen J, Martin BR, Huffman JW.</t>
  </si>
  <si>
    <t xml:space="preserve">10.1016/j.bmc.2012.01.038</t>
  </si>
  <si>
    <t xml:space="preserve">Design, synthesis, and pharmacological characterization of indol-3-ylacetamides, indol-3-yloxoacetamides, and indol-3-ylcarboxamides: potent and selective CB2 cannabinoid receptor inverse agonists.</t>
  </si>
  <si>
    <t xml:space="preserve">Pasquini S, Mugnaini C, Ligresti A, Tafi A, Brogi S, Falciani C, Pedani V, Pesco N, Guida F, Luongo L, Varani K, Borea PA, Maione S, Di Marzo V, Corelli F.</t>
  </si>
  <si>
    <t xml:space="preserve">10.1021/jm3003334</t>
  </si>
  <si>
    <t xml:space="preserve">Synthesis and SAR evaluation of coumarin derivatives as potent cannabinoid receptor agonists.</t>
  </si>
  <si>
    <t xml:space="preserve">Mohr F, Hurrle T, Burggraaff L, Langer L, Bemelmans MP, Knab M, Nieger M, van Westen GJP, Heitman LH, Bräse S.</t>
  </si>
  <si>
    <t xml:space="preserve">10.1016/j.ejmech.2021.113354</t>
  </si>
  <si>
    <t xml:space="preserve">Carbon-silicon switch led to the discovery of novel synthetic cannabinoids with therapeutic effects in a mouse model of multiple sclerosis.</t>
  </si>
  <si>
    <t xml:space="preserve">Duan W, Sun Y, Wu M, Zhang Z, Zhang T, Wang H, Li F, Yang L, Xu Y, Liu ZJ, Hua T, Nie H, Cheng J.</t>
  </si>
  <si>
    <t xml:space="preserve">10.1016/j.ejmech.2021.113878</t>
  </si>
  <si>
    <t xml:space="preserve">2-Arylimino-5,6-dihydro-4H-1,3-thiazines as a new class of cannabinoid receptor agonists. Part 2: orally bioavailable compounds.</t>
  </si>
  <si>
    <t xml:space="preserve">Kai H, Morioka Y, Tomida M, Takahashi T, Hattori M, Hanasaki K, Koike K, Chiba H, Shinohara S, Kanemasa T, Iwamoto Y, Takahashi K, Yamaguchi Y, Baba T, Yoshikawa T, Takenaka H.</t>
  </si>
  <si>
    <t xml:space="preserve">10.1016/j.bmcl.2007.04.099</t>
  </si>
  <si>
    <t xml:space="preserve">The SAR studies of novel CB2 selective agonists, benzimidazolone derivatives.</t>
  </si>
  <si>
    <t xml:space="preserve">Omura H, Kawai M, Shima A, Iwata Y, Ito F, Masuda T, Ohta A, Makita N, Omoto K, Sugimoto H, Kikuchi A, Iwata H, Ando K.</t>
  </si>
  <si>
    <t xml:space="preserve">10.1016/j.bmcl.2008.04.032</t>
  </si>
  <si>
    <t xml:space="preserve">4-Oxo-1,4-dihydropyridines as selective CB2 cannabinoid receptor ligands: structural insights into the design of a novel inverse agonist series.</t>
  </si>
  <si>
    <t xml:space="preserve">El Bakali J, Muccioli GG, Renault N, Pradal D, Body-Malapel M, Djouina M, Hamtiaux L, Andrzejak V, Desreumaux P, Chavatte P, Lambert DM, Millet R.</t>
  </si>
  <si>
    <t xml:space="preserve">10.1021/jm100286k</t>
  </si>
  <si>
    <t xml:space="preserve">RSC Med Chem</t>
  </si>
  <si>
    <t xml:space="preserve">Structure-activity relationships of valine, &lt;i&gt;tert&lt;/i&gt;-leucine, and phenylalanine amino acid-derived synthetic cannabinoid receptor agonists related to ADB-BUTINACA, APP-BUTINACA, and ADB-P7AICA.</t>
  </si>
  <si>
    <t xml:space="preserve">Sparkes E, Cairns EA, Kevin RC, Lai F, Grafinger KE, Chen S, Deventer MH, Ellison R, Boyd R, Martin LJ, McGregor IS, Gerona RR, Hibbs DE, Auwärter V, Glass M, Stove C, Banister SD.</t>
  </si>
  <si>
    <t xml:space="preserve">10.1039/d1md00242b</t>
  </si>
  <si>
    <t xml:space="preserve">7-Alkyl-3-benzylcoumarins: a versatile scaffold for the development of potent and selective cannabinoid receptor agonists and antagonists.</t>
  </si>
  <si>
    <t xml:space="preserve">Rempel V, Volz N, Hinz S, Karcz T, Meliciani I, Nieger M, Wenzel W, Bräse S, Müller CE.</t>
  </si>
  <si>
    <t xml:space="preserve">10.1021/jm3008213</t>
  </si>
  <si>
    <t xml:space="preserve">Synthesis and structure activity relationship investigation of triazolo[1,5-a]pyrimidines as CB2 cannabinoid receptor inverse agonists.</t>
  </si>
  <si>
    <t xml:space="preserve">Aghazadeh Tabrizi M, Baraldi PG, Ruggiero E, Saponaro G, Baraldi S, Poli G, Tuccinardi T, Ravani A, Vincenzi F, Borea PA, Varani K.</t>
  </si>
  <si>
    <t xml:space="preserve">10.1016/j.ejmech.2016.02.032</t>
  </si>
  <si>
    <t xml:space="preserve">Synthesis of novel 2-(1-adamantanylcarboxamido)thiophene derivatives. Selective cannabinoid type 2 (CB2) receptor agonists as potential agents for the treatment of skin inflammatory disease.</t>
  </si>
  <si>
    <t xml:space="preserve">Mugnaini C, Rabbito A, Brizzi A, Palombi N, Petrosino S, Verde R, Di Marzo V, Ligresti A, Corelli F.</t>
  </si>
  <si>
    <t xml:space="preserve">10.1016/j.ejmech.2018.09.070</t>
  </si>
  <si>
    <t xml:space="preserve">Synthesis, cannabinoid receptor affinity, and molecular modeling studies of substituted 1-aryl-5-(1H-pyrrol-1-yl)-1H-pyrazole-3-carboxamides.</t>
  </si>
  <si>
    <t xml:space="preserve">Silvestri R, Cascio MG, La Regina G, Piscitelli F, Lavecchia A, Brizzi A, Pasquini S, Botta M, Novellino E, Di Marzo V, Corelli F.</t>
  </si>
  <si>
    <t xml:space="preserve">10.1021/jm070566z</t>
  </si>
  <si>
    <t xml:space="preserve">Sulfamoyl benzamides as novel CB2 cannabinoid receptor ligands.</t>
  </si>
  <si>
    <t xml:space="preserve">Worm K, Zhou QJ, Saeui CT, Green RC, Cassel JA, Stabley GJ, DeHaven RN, Conway-James N, LaBuda CJ, Koblish M, Little PJ, Dolle RE.</t>
  </si>
  <si>
    <t xml:space="preserve">10.1016/j.bmcl.2008.04.006</t>
  </si>
  <si>
    <t xml:space="preserve">Synthesis and biological evaluation of new N-alkyl 1-aryl-5-(1H-pyrrol-1-yl)-1H-pyrazole-3-carboxamides as cannabinoid receptor ligands.</t>
  </si>
  <si>
    <t xml:space="preserve">Silvestri R, Ligresti A, La Regina G, Piscitelli F, Gatti V, Lavecchia A, Brizzi A, Pasquini S, Allarà M, Fantini N, Carai MA, Bigogno C, Rozio MG, Sinisi R, Novellino E, Colombo G, Di Marzo V, Dondio G, Corelli F.</t>
  </si>
  <si>
    <t xml:space="preserve">10.1016/j.ejmech.2010.09.053</t>
  </si>
  <si>
    <t xml:space="preserve">Cannabinoid agonists showing BuChE inhibition as potential therapeutic agents for Alzheimer's disease.</t>
  </si>
  <si>
    <t xml:space="preserve">González-Naranjo P, Pérez-Macias N, Campillo NE, Pérez C, Arán VJ, Girón R, Sánchez-Robles E, Martín MI, Gómez-Cañas M, García-Arencibia M, Fernández-Ruiz J, Páez JA.</t>
  </si>
  <si>
    <t xml:space="preserve">10.1016/j.ejmech.2013.11.026</t>
  </si>
  <si>
    <t xml:space="preserve">Structure-affinity relationships and pharmacological characterization of new alkyl-resorcinol cannabinoid receptor ligands: Identification of a dual cannabinoid receptor/TRPA1 channel agonist.</t>
  </si>
  <si>
    <t xml:space="preserve">Brizzi A, Aiello F, Marini P, Cascio MG, Corelli F, Brizzi V, De Petrocellis L, Ligresti A, Luongo L, Lamponi S, Maione S, Pertwee RG, Di Marzo V.</t>
  </si>
  <si>
    <t xml:space="preserve">10.1016/j.bmc.2014.07.006</t>
  </si>
  <si>
    <t xml:space="preserve">Synthetic bioactive olivetol-related amides: The influence of the phenolic group in cannabinoid receptor activity.</t>
  </si>
  <si>
    <t xml:space="preserve">Brizzi A, Aiello F, Boccella S, Cascio MG, De Petrocellis L, Frosini M, Gado F, Ligresti A, Luongo L, Marini P, Mugnaini C, Pessina F, Corelli F, Maione S, Manera C, Pertwee RG, Di Marzo V.</t>
  </si>
  <si>
    <t xml:space="preserve">10.1016/j.bmc.2020.115513</t>
  </si>
  <si>
    <t xml:space="preserve">Novel sulfamoyl benzamides as selective CB(2) agonists with improved in vitro metabolic stability.</t>
  </si>
  <si>
    <t xml:space="preserve">Sellitto I, Le Bourdonnec B, Worm K, Goodman A, Savolainen MA, Chu GH, Ajello CW, Saeui CT, Leister LK, Cassel JA, Dehaven RN, Labuda CJ, Koblish M, Little PJ, Brogdon BL, Smith SA, Dolle RE.</t>
  </si>
  <si>
    <t xml:space="preserve">10.1016/j.bmcl.2009.10.062</t>
  </si>
  <si>
    <t xml:space="preserve">Resorcinol-sn-glycerol derivatives: novel 2-arachidonoylglycerol mimetics endowed with high affinity and selectivity for cannabinoid type 1 receptor.</t>
  </si>
  <si>
    <t xml:space="preserve">Brizzi A, Cascio MG, Frosini M, Ligresti A, Aiello F, Biotti I, Brizzi V, Pertwee RG, Corelli F, Di Marzo V.</t>
  </si>
  <si>
    <t xml:space="preserve">10.1021/jm200529h</t>
  </si>
  <si>
    <t xml:space="preserve">1,2-Dihydro-2-oxopyridine-3-carboxamides: the C-5 substituent is responsible for functionality switch at CB2 cannabinoid receptor.</t>
  </si>
  <si>
    <t xml:space="preserve">Lucchesi V, Parkkari T, Savinainen JR, Malfitano AM, Allarà M, Bertini S, Castelli F, Del Carlo S, Laezza C, Ligresti A, Saccomanni G, Bifulco M, Di Marzo V, Macchia M, Manera C.</t>
  </si>
  <si>
    <t xml:space="preserve">10.1016/j.ejmech.2013.10.070</t>
  </si>
  <si>
    <t xml:space="preserve">Therapeutic utility of cannabinoid receptor type 2 (CB(2)) selective agonists.</t>
  </si>
  <si>
    <t xml:space="preserve">Han S, Thatte J, Buzard DJ, Jones RM.</t>
  </si>
  <si>
    <t xml:space="preserve">10.1021/jm4005626</t>
  </si>
  <si>
    <t xml:space="preserve">Synthesis and pharmacological evaluation of new biphenylic derivatives as CB2 receptor ligands.</t>
  </si>
  <si>
    <t xml:space="preserve">Bertini S, Chicca A, Arena C, Chicca S, Saccomanni G, Gertsch J, Manera C, Macchia M.</t>
  </si>
  <si>
    <t xml:space="preserve">10.1016/j.ejmech.2016.03.072</t>
  </si>
  <si>
    <t xml:space="preserve">Functionalized 6-(piperidin-1-yl)-8,9-diphenyl purines as inverse agonists of the CB1 receptor - SAR efforts towards selectivity and peripheralization.</t>
  </si>
  <si>
    <t xml:space="preserve">Amato G, Wiethe R, Manke A, Vasukuttan V, Snyder R, Runyon S, Maitra R.</t>
  </si>
  <si>
    <t xml:space="preserve">10.1016/j.bmc.2019.07.002</t>
  </si>
  <si>
    <t xml:space="preserve">Synthesis and pharmacology of 1-deoxy analogs of CP-47,497 and CP-55,940.</t>
  </si>
  <si>
    <t xml:space="preserve">Huffman JW, Thompson AL, Wiley JL, Martin BR.</t>
  </si>
  <si>
    <t xml:space="preserve">10.1016/j.bmc.2007.09.033</t>
  </si>
  <si>
    <t xml:space="preserve">Investigations on the 4-quinolone-3-carboxylic acid motif. 2. Synthesis and structure-activity relationship of potent and selective cannabinoid-2 receptor agonists endowed with analgesic activity in vivo.</t>
  </si>
  <si>
    <t xml:space="preserve">Pasquini S, Botta L, Semeraro T, Mugnaini C, Ligresti A, Palazzo E, Maione S, Di Marzo V, Corelli F.</t>
  </si>
  <si>
    <t xml:space="preserve">10.1021/jm800552f</t>
  </si>
  <si>
    <t xml:space="preserve">Novel adamantyl cannabinoids as CB1 receptor probes.</t>
  </si>
  <si>
    <t xml:space="preserve">Thakur GA, Bajaj S, Paronis C, Peng Y, Bowman AL, Barak LS, Caron MG, Parrish D, Deschamps JR, Makriyannis A.</t>
  </si>
  <si>
    <t xml:space="preserve">10.1021/jm4000775</t>
  </si>
  <si>
    <t xml:space="preserve">Development of fluorinated CB(2) receptor agonists for PET studies.</t>
  </si>
  <si>
    <t xml:space="preserve">Lueg C, Schepmann D, Günther R, Brust P, Wünsch B.</t>
  </si>
  <si>
    <t xml:space="preserve">10.1016/j.bmc.2013.09.040</t>
  </si>
  <si>
    <t xml:space="preserve">2-Arylimino-5,6-dihydro-4H-1,3-thiazines as a new class of cannabinoid receptor agonists. Part 3: Synthesis and activity of isosteric analogs.</t>
  </si>
  <si>
    <t xml:space="preserve">Kai H, Morioka Y, Koriyama Y, Okamoto K, Hasegawa Y, Hattori M, Koike K, Chiba H, Shinohara S, Iwamoto Y, Takahashi K, Tanimoto N.</t>
  </si>
  <si>
    <t xml:space="preserve">10.1016/j.bmcl.2008.10.070</t>
  </si>
  <si>
    <t xml:space="preserve">1-Aryl-5-(1H-pyrrol-1-yl)-1H-pyrazole-3-carboxamide: an effective scaffold for the design of either CB1 or CB2 receptor ligands.</t>
  </si>
  <si>
    <t xml:space="preserve">Piscitelli F, Ligresti A, La Regina G, Gatti V, Brizzi A, Pasquini S, Allarà M, Carai MA, Novellino E, Colombo G, Di Marzo V, Corelli F, Silvestri R.</t>
  </si>
  <si>
    <t xml:space="preserve">10.1016/j.ejmech.2011.09.037</t>
  </si>
  <si>
    <t xml:space="preserve">Discovery of novel Tetrahydrobenzo[b]thiophene and pyrrole based scaffolds as potent and selective CB2 receptor ligands: The structural elements controlling binding affinity, selectivity and functionality.</t>
  </si>
  <si>
    <t xml:space="preserve">Osman NA, Ligresti A, Klein CD, Allarà M, Rabbito A, Di Marzo V, Abouzid KA, Abadi AH.</t>
  </si>
  <si>
    <t xml:space="preserve">10.1016/j.ejmech.2016.07.012</t>
  </si>
  <si>
    <t xml:space="preserve">Stereoisomers of cannabidiols and their pharmacological activities - A potentially novel direction for cannabinoids.</t>
  </si>
  <si>
    <t xml:space="preserve">Rao VK, Lewis-Bakker MM, Wasilewski E, Clarke HA, Kotra LP.</t>
  </si>
  <si>
    <t xml:space="preserve">10.1016/j.bmc.2024.118019</t>
  </si>
  <si>
    <t xml:space="preserve">Design, synthesis, binding, and molecular modeling studies of new potent ligands of cannabinoid receptors.</t>
  </si>
  <si>
    <t xml:space="preserve">Brizzi A, Cascio MG, Brizzi V, Bisogno T, Dinatolo MT, Martinelli A, Tuccinardi T, Di Marzo V.</t>
  </si>
  <si>
    <t xml:space="preserve">10.1016/j.bmc.2007.05.060</t>
  </si>
  <si>
    <t xml:space="preserve">Discovery of N-(3-(morpholinomethyl)-phenyl)-amides as potent and selective CB2 agonists.</t>
  </si>
  <si>
    <t xml:space="preserve">Worm K, Weaver DG, Green RC, Saeui CT, Dulay DM, Barker WM, Cassel JA, Stabley GJ, DeHaven RN, LaBuda CJ, Koblish M, Brogdon BL, Smith SA, Dolle RE.</t>
  </si>
  <si>
    <t xml:space="preserve">10.1016/j.bmcl.2009.07.057</t>
  </si>
  <si>
    <t xml:space="preserve">Design, synthesis, and binding mode prediction of 2-pyridone-based selective CB2 receptor agonists.</t>
  </si>
  <si>
    <t xml:space="preserve">Kusakabe K, Tada Y, Iso Y, Sakagami M, Morioka Y, Chomei N, Shinonome S, Kawamoto K, Takenaka H, Yasui K, Hamana H, Hanasaki K.</t>
  </si>
  <si>
    <t xml:space="preserve">10.1016/j.bmc.2013.01.006</t>
  </si>
  <si>
    <t xml:space="preserve">Discovery of a high affinity and selective pyridine analog as a potential positron emission tomography imaging agent for cannabinoid type 2 receptor.</t>
  </si>
  <si>
    <t xml:space="preserve">Slavik R, Grether U, Müller Herde A, Gobbi L, Fingerle J, Ullmer C, Krämer SD, Schibli R, Mu L, Ametamey SM.</t>
  </si>
  <si>
    <t xml:space="preserve">10.1021/acs.jmedchem.5b00283</t>
  </si>
  <si>
    <t xml:space="preserve">Design, Synthesis, and Physicochemical and Pharmacological Profiling of 7-Hydroxy-5-oxopyrazolo[4,3-&lt;i&gt;b&lt;/i&gt;]pyridine-6-carboxamide Derivatives with Antiosteoarthritic Activity In Vivo.</t>
  </si>
  <si>
    <t xml:space="preserve">Mugnaini C, Kostrzewa M, Bryk M, Mahmoud AM, Brizzi A, Lamponi S, Giorgi G, Ferlenghi F, Vacondio F, Maccioni P, Colombo G, Mor M, Starowicz K, Di Marzo V, Ligresti A, Corelli F.</t>
  </si>
  <si>
    <t xml:space="preserve">10.1021/acs.jmedchem.0c00595</t>
  </si>
  <si>
    <t xml:space="preserve">N-adamantyl-anthranil amide derivatives: New selective ligands for the cannabinoid receptor subtype 2 (CB2R).</t>
  </si>
  <si>
    <t xml:space="preserve">Graziano G, Delre P, Carofiglio F, Brea J, Ligresti A, Kostrzewa M, Riganti C, Gioè-Gallo C, Majellaro M, Nicolotti O, Colabufo NA, Abate C, Loza MI, Sotelo E, Mangiatordi GF, Contino M, Stefanachi A, Leonetti F.</t>
  </si>
  <si>
    <t xml:space="preserve">10.1016/j.ejmech.2023.115109</t>
  </si>
  <si>
    <t xml:space="preserve">Exploring the substituent effects on a novel series of C1'-dimethyl-aryl Delta8-tetrahydrocannabinol analogs.</t>
  </si>
  <si>
    <t xml:space="preserve">Krishnamurthy M, Gurley S, Moore BM.</t>
  </si>
  <si>
    <t xml:space="preserve">10.1016/j.bmc.2008.05.034</t>
  </si>
  <si>
    <t xml:space="preserve">CB 1/2 dual agonists with 3-carbamoyl 2-pyridone derivatives as antipruritics: reduction of CNS side effects by introducing polar functional groups.</t>
  </si>
  <si>
    <t xml:space="preserve">Odan M, Ishizuka N, Hiramatsu Y, Inagaki M, Hashizume H, Fujii Y, Mitsumori S, Morioka Y, Soga M, Deguchi M, Yasui K, Arimura A.</t>
  </si>
  <si>
    <t xml:space="preserve">10.1016/j.bmcl.2012.02.054</t>
  </si>
  <si>
    <t xml:space="preserve">Rational design, synthesis and anti-proliferative properties of new CB2 selective cannabinoid receptor ligands: an investigation of the 1,8-naphthyridin-2(1H)-one scaffold.</t>
  </si>
  <si>
    <t xml:space="preserve">Manera C, Saccomanni G, Malfitano AM, Bertini S, Castelli F, Laezza C, Ligresti A, Lucchesi V, Tuccinardi T, Rizzolio F, Bifulco M, Di Marzo V, Giordano A, Macchia M, Martinelli A.</t>
  </si>
  <si>
    <t xml:space="preserve">10.1016/j.ejmech.2012.03.031</t>
  </si>
  <si>
    <t xml:space="preserve">4-Oxo-1,4-dihydropyridines as selective CB₂ cannabinoid receptor ligands. Part 2: discovery of new agonists endowed with protective effect against experimental colitis.</t>
  </si>
  <si>
    <t xml:space="preserve">El Bakali J, Gilleron P, Body-Malapel M, Mansouri R, Muccioli GG, Djouina M, Barczyk A, Klupsch F, Andrzejak V, Lipka E, Furman C, Lambert DM, Chavatte P, Desreumaux P, Millet R.</t>
  </si>
  <si>
    <t xml:space="preserve">10.1021/jm3008568</t>
  </si>
  <si>
    <t xml:space="preserve">Selective cannabinoid receptor type 2 (CB2) agonists: optimization of a series of purines leading to the identification of a clinical candidate for the treatment of osteoarthritic pain.</t>
  </si>
  <si>
    <t xml:space="preserve">Hollinshead SP, Tidwell MW, Palmer J, Guidetti R, Sanderson A, Johnson MP, Chambers MG, Oskins J, Stratford R, Astles PC.</t>
  </si>
  <si>
    <t xml:space="preserve">10.1021/jm400305d</t>
  </si>
  <si>
    <t xml:space="preserve">Probing the carboxyester side chain in controlled deactivation (-)-δ(8)-tetrahydrocannabinols.</t>
  </si>
  <si>
    <t xml:space="preserve">Nikas SP, Sharma R, Paronis CA, Kulkarni S, Thakur GA, Hurst D, Wood JT, Gifford RS, Rajarshi G, Liu Y, Raghav JG, Guo JJ, Järbe TU, Reggio PH, Bergman J, Makriyannis A.</t>
  </si>
  <si>
    <t xml:space="preserve">10.1021/jm501165d</t>
  </si>
  <si>
    <t xml:space="preserve">Structure-Activity Relationships and Computational Investigations into the Development of Potent and Balanced Dual-Acting Butyrylcholinesterase Inhibitors and Human Cannabinoid Receptor 2 Ligands with Pro-Cognitive in Vivo Profiles.</t>
  </si>
  <si>
    <t xml:space="preserve">Dolles D, Hoffmann M, Gunesch S, Marinelli O, Möller J, Santoni G, Chatonnet A, Lohse MJ, Wittmann HJ, Strasser A, Nabissi M, Maurice T, Decker M.</t>
  </si>
  <si>
    <t xml:space="preserve">10.1021/acs.jmedchem.7b01760</t>
  </si>
  <si>
    <t xml:space="preserve">Design, synthesis, and binding studies of new potent ligands of cannabinoid receptors.</t>
  </si>
  <si>
    <t xml:space="preserve">Brizzi A, Brizzi V, Cascio MG, Bisogno T, Sirianni R, Di Marzo V.</t>
  </si>
  <si>
    <t xml:space="preserve">10.1021/jm0501533</t>
  </si>
  <si>
    <t xml:space="preserve">Novel 4-oxo-1,4-dihydroquinoline-3-carboxamide derivatives as new CB2 cannabinoid receptors agonists: synthesis, pharmacological properties and molecular modeling.</t>
  </si>
  <si>
    <t xml:space="preserve">Stern E, Muccioli GG, Millet R, Goossens JF, Farce A, Chavatte P, Poupaert JH, Lambert DM, Depreux P, Hénichart JP.</t>
  </si>
  <si>
    <t xml:space="preserve">10.1021/jm050467q</t>
  </si>
  <si>
    <t xml:space="preserve">Synthesis and SAR of novel imidazoles as potent and selective cannabinoid CB2 receptor antagonists with high binding efficiencies.</t>
  </si>
  <si>
    <t xml:space="preserve">Lange JH, van der Neut MA, Wals HC, Kuil GD, Borst AJ, Mulder A, den Hartog AP, Zilaout H, Goutier W, van Stuivenberg HH, van Vliet BJ.</t>
  </si>
  <si>
    <t xml:space="preserve">10.1016/j.bmcl.2009.12.032</t>
  </si>
  <si>
    <t xml:space="preserve">Heteroadamantyl cannabinoids.</t>
  </si>
  <si>
    <t xml:space="preserve">Dixon DD, Sethumadhavan D, Benneche T, Banaag AR, Tius MA, Thakur GA, Bowman A, Wood JT, Makriyannis A.</t>
  </si>
  <si>
    <t xml:space="preserve">10.1021/jm100390h</t>
  </si>
  <si>
    <t xml:space="preserve">Discovery of S-444823, a potent CB1/CB2 dual agonist as an antipruritic agent.</t>
  </si>
  <si>
    <t xml:space="preserve">10.1016/j.bmcl.2012.02.050</t>
  </si>
  <si>
    <t xml:space="preserve">Design of a Potent CB1 Receptor Antagonist Series: Potential Scaffold for Peripherally-Targeted Agents.</t>
  </si>
  <si>
    <t xml:space="preserve">Dow RL, Carpino PA, Gautreau D, Hadcock JR, Iredale PA, Kelly-Sullivan D, Lizano JS, O'Connor RE, Schneider SR, Scott DO, Ward KM.</t>
  </si>
  <si>
    <t xml:space="preserve">10.1021/ml3000325</t>
  </si>
  <si>
    <t xml:space="preserve">Diphenyl purine derivatives as peripherally selective cannabinoid receptor 1 antagonists.</t>
  </si>
  <si>
    <t xml:space="preserve">Fulp A, Bortoff K, Zhang Y, Seltzman H, Mathews J, Snyder R, Fennell T, Maitra R.</t>
  </si>
  <si>
    <t xml:space="preserve">10.1021/jm301181r</t>
  </si>
  <si>
    <t xml:space="preserve">Highly potent and selective cannabinoid receptor 2 agonists: initial hit optimization of an adamantyl hit series identified from high-through-put screening.</t>
  </si>
  <si>
    <t xml:space="preserve">Nettekoven M, Fingerle J, Grether U, Grüner S, Kimbara A, Püllmann B, Rogers-Evans M, Röver S, Schuler F, Schulz-Gasch T, Ullmer C.</t>
  </si>
  <si>
    <t xml:space="preserve">10.1016/j.bmcl.2013.01.044</t>
  </si>
  <si>
    <t xml:space="preserve">( R)- N-(1-Methyl-2-hydroxyethyl)-13-( S)-methyl-arachidonamide (AMG315): A Novel Chiral Potent Endocannabinoid Ligand with Stability to Metabolizing Enzymes.</t>
  </si>
  <si>
    <t xml:space="preserve">Liu Y, Ji L, Eno M, Kudalkar S, Li AL, Schimpgen M, Benchama O, Morales P, Xu S, Hurst D, Wu S, Mohammad KA, Wood JT, Zvonok N, Papahatjis DP, Zhou H, Honrao C, Mackie K, Reggio P, Hohmann AG, Marnett LJ, Makriyannis A, Nikas SP.</t>
  </si>
  <si>
    <t xml:space="preserve">10.1021/acs.jmedchem.8b00611</t>
  </si>
  <si>
    <t xml:space="preserve">Blocking Alcoholic Steatosis in Mice with a Peripherally Restricted Purine Antagonist of the Type 1 Cannabinoid Receptor.</t>
  </si>
  <si>
    <t xml:space="preserve">Amato GS, Manke A, Harris DL, Wiethe RW, Vasukuttan V, Snyder RW, Lefever TW, Cortes R, Zhang Y, Wang S, Runyon SP, Maitra R.</t>
  </si>
  <si>
    <t xml:space="preserve">10.1021/acs.jmedchem.7b01820</t>
  </si>
  <si>
    <t xml:space="preserve">Oximes short-acting CB1 receptor agonists.</t>
  </si>
  <si>
    <t xml:space="preserve">Malamas MS, Raghav JG, Ma X, Honrao C, Wood JT, Benchama O, Zhou H, Mallipeddi S, Makriyannis A.</t>
  </si>
  <si>
    <t xml:space="preserve">10.1016/j.bmc.2018.08.003</t>
  </si>
  <si>
    <t xml:space="preserve">Rational design, synthesis, and pharmacological properties of new 1,8-naphthyridin-2(1H)-on-3-carboxamide derivatives as highly selective cannabinoid-2 receptor agonists.</t>
  </si>
  <si>
    <t xml:space="preserve">Manera C, Saccomanni G, Adinolfi B, Benetti V, Ligresti A, Cascio MG, Tuccinardi T, Lucchesi V, Martinelli A, Nieri P, Masini E, Di Marzo V, Ferrarini PL.</t>
  </si>
  <si>
    <t xml:space="preserve">10.1021/jm801563d</t>
  </si>
  <si>
    <t xml:space="preserve">Novel 3,4-diarylpyrazolines as potent cannabinoid CB1 receptor antagonists with lower lipophilicity.</t>
  </si>
  <si>
    <t xml:space="preserve">Lange JH, van Stuivenberg HH, Veerman W, Wals HC, Stork B, Coolen HK, McCreary AC, Adolfs TJ, Kruse CG.</t>
  </si>
  <si>
    <t xml:space="preserve">10.1016/j.bmcl.2005.07.054</t>
  </si>
  <si>
    <t xml:space="preserve">Synthesis and pharmacological evaluation of coumarin derivatives as cannabinoid receptor antagonists and inverse agonists.</t>
  </si>
  <si>
    <t xml:space="preserve">Behrenswerth A, Volz N, Toräng J, Hinz S, Bräse S, Müller CE.</t>
  </si>
  <si>
    <t xml:space="preserve">10.1016/j.bmc.2009.02.027</t>
  </si>
  <si>
    <t xml:space="preserve">Investigations on the 4-quinolone-3-carboxylic acid motif. 4. Identification of new potent and selective ligands for the cannabinoid type 2 receptor with diverse substitution patterns and antihyperalgesic effects in mice.</t>
  </si>
  <si>
    <t xml:space="preserve">Pasquini S, De Rosa M, Pedani V, Mugnaini C, Guida F, Luongo L, De Chiaro M, Maione S, Dragoni S, Frosini M, Ligresti A, Di Marzo V, Corelli F.</t>
  </si>
  <si>
    <t xml:space="preserve">10.1021/jm200476p</t>
  </si>
  <si>
    <t xml:space="preserve">Novel indole and azaindole (pyrrolopyridine) cannabinoid (CB) receptor agonists: design, synthesis, structure-activity relationships, physicochemical properties and biological activity.</t>
  </si>
  <si>
    <t xml:space="preserve">Blaazer AR, Lange JH, van der Neut MA, Mulder A, den Boon FS, Werkman TR, Kruse CG, Wadman WJ.</t>
  </si>
  <si>
    <t xml:space="preserve">10.1016/j.ejmech.2011.08.021</t>
  </si>
  <si>
    <t xml:space="preserve">Selective CB2 agonists with anti-pruritic activity: discovery of potent and orally available bicyclic 2-pyridones.</t>
  </si>
  <si>
    <t xml:space="preserve">Kusakabe K, Iso Y, Tada Y, Sakagami M, Morioka Y, Chomei N, Shinonome S, Kawamoto K, Takenaka H, Yasui K, Hamana H, Hanasaki K.</t>
  </si>
  <si>
    <t xml:space="preserve">10.1016/j.bmc.2013.03.030</t>
  </si>
  <si>
    <t xml:space="preserve">3-Carboxamido-5-aryl-isoxazoles as new CB2 agonists for the treatment of colitis.</t>
  </si>
  <si>
    <t xml:space="preserve">Tourteau A, Andrzejak V, Body-Malapel M, Lemaire L, Lemoine A, Mansouri R, Djouina M, Renault N, El Bakali J, Desreumaux P, Muccioli GG, Lambert DM, Chavatte P, Rigo B, Leleu-Chavain N, Millet R.</t>
  </si>
  <si>
    <t xml:space="preserve">10.1016/j.bmc.2013.06.010</t>
  </si>
  <si>
    <t xml:space="preserve">New pyridazinone-4-carboxamides as new cannabinoid receptor type-2 inverse agonists: Synthesis, pharmacological data and molecular docking.</t>
  </si>
  <si>
    <t xml:space="preserve">Ragusa G, Gómez-Cañas M, Morales P, Rodríguez-Cueto C, Pazos MR, Asproni B, Cichero E, Fossa P, Pinna GA, Jagerovic N, Fernández-Ruiz J, Murineddu G.</t>
  </si>
  <si>
    <t xml:space="preserve">10.1016/j.ejmech.2017.01.002</t>
  </si>
  <si>
    <t xml:space="preserve">Benzo[d]thiazol-2(3H)-ones as new potent selective CB&lt;sub&gt;2&lt;/sub&gt; agonists with anti-inflammatory properties.</t>
  </si>
  <si>
    <t xml:space="preserve">Leleu-Chavain N, Baudelet D, Heloire VM, Rocha DE, Renault N, Barczyk A, Djouina M, Body-Malapel M, Carato P, Millet R.</t>
  </si>
  <si>
    <t xml:space="preserve">10.1016/j.ejmech.2018.12.008</t>
  </si>
  <si>
    <t xml:space="preserve">Development of &lt;i&gt;N&lt;/i&gt;-(1-Adamantyl)benzamides as Novel Anti-Inflammatory Multitarget Agents Acting as Dual Modulators of the Cannabinoid CB2 Receptor and Fatty Acid Amide Hydrolase.</t>
  </si>
  <si>
    <t xml:space="preserve">Intranuovo F, Brunetti L, DelRe P, Mangiatordi GF, Stefanachi A, Laghezza A, Niso M, Leonetti F, Loiodice F, Ligresti A, Kostrzewa M, Brea J, Loza MI, Sotelo E, Saviano M, Colabufo NA, Riganti C, Abate C, Contino M.</t>
  </si>
  <si>
    <t xml:space="preserve">10.1021/acs.jmedchem.2c01084</t>
  </si>
  <si>
    <t xml:space="preserve">[1,2,3]triazolo[4,5-d]pyrimidine derivatives</t>
  </si>
  <si>
    <t xml:space="preserve">US-10457684-B2</t>
  </si>
  <si>
    <t xml:space="preserve">Discovery of a novel class of selective human CB1 inverse agonists.</t>
  </si>
  <si>
    <t xml:space="preserve">Foloppe N, Allen NH, Bentley CH, Brooks TD, Kennett G, Knight AR, Leonardi S, Misra A, Monck NJ, Sellwood DM.</t>
  </si>
  <si>
    <t xml:space="preserve">10.1016/j.bmcl.2007.11.133</t>
  </si>
  <si>
    <t xml:space="preserve">Novel sterically hindered cannabinoid CB1 receptor ligands.</t>
  </si>
  <si>
    <t xml:space="preserve">Urbani P, Cascio MG, Ramunno A, Bisogno T, Saturnino C, Di Marzo V.</t>
  </si>
  <si>
    <t xml:space="preserve">10.1016/j.bmc.2008.06.001</t>
  </si>
  <si>
    <t xml:space="preserve">Discovery of S-777469: an orally available CB2 agonist as an antipruritic agent.</t>
  </si>
  <si>
    <t xml:space="preserve">10.1016/j.bmcl.2012.02.072</t>
  </si>
  <si>
    <t xml:space="preserve">Ligand-based virtual screening identifies a family of selective cannabinoid receptor 2 agonists.</t>
  </si>
  <si>
    <t xml:space="preserve">Gianella-Borradori M, Christou I, Bataille CJ, Cross RL, Wynne GM, Greaves DR, Russell AJ.</t>
  </si>
  <si>
    <t xml:space="preserve">10.1016/j.bmc.2014.11.002</t>
  </si>
  <si>
    <t xml:space="preserve">A critical review of both the synthesis approach and the receptor profile of the 8-chloro-1-(2',4'-dichlorophenyl)-N-piperidin-1-yl-1,4,5,6-tetrahydrobenzo[6,7]cyclohepta[1,2-c]pyrazole-3-carboxamide and analogue derivatives.</t>
  </si>
  <si>
    <t xml:space="preserve">Lazzari P, Distinto R, Manca I, Baillie G, Murineddu G, Pira M, Falzoi M, Sani M, Morales P, Ross R, Zanda M, Jagerovic N, Pinna GA.</t>
  </si>
  <si>
    <t xml:space="preserve">10.1016/j.ejmech.2016.05.011</t>
  </si>
  <si>
    <t xml:space="preserve">Dual-Acting Cholinesterase-Human Cannabinoid Receptor 2 Ligands Show Pronounced Neuroprotection in Vitro and Overadditive and Disease-Modifying Neuroprotective Effects in Vivo.</t>
  </si>
  <si>
    <t xml:space="preserve">Scheiner M, Dolles D, Gunesch S, Hoffmann M, Nabissi M, Marinelli O, Naldi M, Bartolini M, Petralla S, Poeta E, Monti B, Falkeis C, Vieth M, Hübner H, Gmeiner P, Maitra R, Maurice T, Decker M.</t>
  </si>
  <si>
    <t xml:space="preserve">10.1021/acs.jmedchem.9b00623</t>
  </si>
  <si>
    <t xml:space="preserve">Discovery of novel benzofuran-based compounds with neuroprotective and immunomodulatory properties for Alzheimer's disease treatment.</t>
  </si>
  <si>
    <t xml:space="preserve">Montanari S, Mahmoud AM, Pruccoli L, Rabbito A, Naldi M, Petralla S, Moraleda I, Bartolini M, Monti B, Iriepa I, Belluti F, Gobbi S, Di Marzo V, Bisi A, Tarozzi A, Ligresti A, Rampa A.</t>
  </si>
  <si>
    <t xml:space="preserve">10.1016/j.ejmech.2019.05.080</t>
  </si>
  <si>
    <t xml:space="preserve">Synthesis and biological evaluation of a ring analogs of the selective CB2 inverse agonist SMM-189.</t>
  </si>
  <si>
    <t xml:space="preserve">Alghamdi SS,Mustafa SM,Moore Ii BM</t>
  </si>
  <si>
    <t xml:space="preserve">10.1016/j.bmc.2021.116035</t>
  </si>
  <si>
    <t xml:space="preserve">Novel Functionalized Cannabinoid Receptor Probes: Development of Exceptionally Potent Agonists.</t>
  </si>
  <si>
    <t xml:space="preserve">Jiang S, Iliopoulos-Tsoutsouvas C, Tong F, Brust CA, Keenan CM, Raghav JG, Hua T, Wu S, Ho JH, Wu Y, Grim TW, Zvonok N, Thakur GA, Liu ZJ, Sharkey KA, Bohn LM, Nikas SP, Makriyannis A.</t>
  </si>
  <si>
    <t xml:space="preserve">10.1021/acs.jmedchem.0c02053</t>
  </si>
  <si>
    <t xml:space="preserve">Novel pyridine derivatives as potent and selective CB2 cannabinoid receptor agonists.</t>
  </si>
  <si>
    <t xml:space="preserve">Chu GH, Saeui CT, Worm K, Weaver DG, Goodman AJ, Broadrup RL, Cassel JA, DeHaven RN, LaBuda CJ, Koblish M, Brogdon B, Smith S, Le Bourdonnec B, Dolle RE.</t>
  </si>
  <si>
    <t xml:space="preserve">10.1016/j.bmcl.2009.08.063</t>
  </si>
  <si>
    <t xml:space="preserve">Synthesis, pharmacological evaluation and docking studies of pyrrole structure-based CB2 receptor antagonists.</t>
  </si>
  <si>
    <t xml:space="preserve">Ragusa G, Gómez-Cañas M, Morales P, Hurst DP, Deligia F, Pazos R, Pinna GA, Fernández-Ruiz J, Goya P, Reggio PH, Jagerovic N, García-Arencibia M, Murineddu G.</t>
  </si>
  <si>
    <t xml:space="preserve">10.1016/j.ejmech.2015.06.057</t>
  </si>
  <si>
    <t xml:space="preserve">Alkyl indole-based cannabinoid type 2 receptor tools: Exploration of linker and fluorophore attachment.</t>
  </si>
  <si>
    <t xml:space="preserve">Cooper AG, MacDonald C, Glass M, Hook S, Tyndall JDA, Vernall AJ.</t>
  </si>
  <si>
    <t xml:space="preserve">10.1016/j.ejmech.2017.11.076</t>
  </si>
  <si>
    <t xml:space="preserve">New 1,8-naphthyridine and quinoline derivatives as CB2 selective agonists.</t>
  </si>
  <si>
    <t xml:space="preserve">Manera C, Cascio MG, Benetti V, Allarà M, Tuccinardi T, Martinelli A, Saccomanni G, Vivoli E, Ghelardini C, Di Marzo V, Ferrarini PL.</t>
  </si>
  <si>
    <t xml:space="preserve">10.1016/j.bmcl.2007.09.089</t>
  </si>
  <si>
    <t xml:space="preserve">New metabolically stable fatty acid amide ligands of cannabinoid receptors: Synthesis and receptor affinity studies.</t>
  </si>
  <si>
    <t xml:space="preserve">Urbani P, Cavallo P, Cascio MG, Buonerba M, De Martino G, Di Marzo V, Saturnino C.</t>
  </si>
  <si>
    <t xml:space="preserve">10.1016/j.bmcl.2005.09.023</t>
  </si>
  <si>
    <t xml:space="preserve">Synthesis and biological evaluation of bivalent ligands for the cannabinoid 1 receptor.</t>
  </si>
  <si>
    <t xml:space="preserve">Zhang Y, Gilliam A, Maitra R, Damaj MI, Tajuba JM, Seltzman HH, Thomas BF.</t>
  </si>
  <si>
    <t xml:space="preserve">10.1021/jm1006676</t>
  </si>
  <si>
    <t xml:space="preserve">Synthesis and evaluation of 2-amido-3-carboxamide thiophene CB₂ receptor agonists for pain management.</t>
  </si>
  <si>
    <t xml:space="preserve">Nelson DW, Frost JM, Tietje KR, Florjancic AS, Ryther K, Carroll WA, Dart MJ, Daza AV, Hooker BA, Grayson GK, Fan Y, Garrison TR, El-Kouhen OF, Yao B, Pai M, Chandran P, Zhu C, Hsieh GC, Meyer MD.</t>
  </si>
  <si>
    <t xml:space="preserve">10.1016/j.bmcl.2012.01.121</t>
  </si>
  <si>
    <t xml:space="preserve">Medchemcomm</t>
  </si>
  <si>
    <t xml:space="preserve">Bicyclic imidazole-4-one derivatives: a new class of antagonists for the orphan G protein-coupled receptors GPR18 and GPR55</t>
  </si>
  <si>
    <t xml:space="preserve">Rempel V, Atzler K, Behrenswerth A, Karcz T, Schoeder C, Hinz S, Kaleta M, Thimm D, Kiec-Kononowicz K, Muller CE</t>
  </si>
  <si>
    <t xml:space="preserve">10.1039/C3MD00394A</t>
  </si>
  <si>
    <t xml:space="preserve">Tricyclic pyrazoles. Part 8. Synthesis, biological evaluation and modelling of tricyclic pyrazole carboxamides as potential CB2 receptor ligands with antagonist/inverse agonist properties.</t>
  </si>
  <si>
    <t xml:space="preserve">Deiana V, Gómez-Cañas M, Pazos MR, Fernández-Ruiz J, Asproni B, Cichero E, Fossa P, Muñoz E, Deligia F, Murineddu G, García-Arencibia M, Pinna GA.</t>
  </si>
  <si>
    <t xml:space="preserve">10.1016/j.ejmech.2016.02.005</t>
  </si>
  <si>
    <t xml:space="preserve">New cannabinoid receptor antagonists as pharmacological tool.</t>
  </si>
  <si>
    <t xml:space="preserve">González-Naranjo P,Pérez C,Girón R,Sánchez-Robles EM,Martín-Fontelles MI,Carrillo-López N,Martín-Vírgala J,Naves M,Campillo NE,Páez JA</t>
  </si>
  <si>
    <t xml:space="preserve">10.1016/j.bmc.2020.115672</t>
  </si>
  <si>
    <t xml:space="preserve">Conformationally constrained fatty acid ethanolamides as cannabinoid and vanilloid receptor probes.</t>
  </si>
  <si>
    <t xml:space="preserve">Appendino G, Ligresti A, Minassi A, Cascio MG, Allarà M, Taglialatela-Scafati O, Pertwee RG, De Petrocellis L, Di Marzo V.</t>
  </si>
  <si>
    <t xml:space="preserve">10.1021/jm900130m</t>
  </si>
  <si>
    <t xml:space="preserve">Novel 1',1'-chain substituted hexahydrocannabinols: 9β-hydroxy-3-(1-hexyl-cyclobut-1-yl)-hexahydrocannabinol (AM2389) a highly potent cannabinoid receptor 1 (CB1) agonist.</t>
  </si>
  <si>
    <t xml:space="preserve">Nikas SP, Alapafuja SO, Papanastasiou I, Paronis CA, Shukla VG, Papahatjis DP, Bowman AL, Halikhedkar A, Han X, Makriyannis A.</t>
  </si>
  <si>
    <t xml:space="preserve">10.1021/jm100641g</t>
  </si>
  <si>
    <t xml:space="preserve">Evaluation of (Z)-2-((1-benzyl-1H-indol-3-yl)methylene)-quinuclidin-3-one analogues as novel, high affinity ligands for CB1 and CB2 cannabinoid receptors.</t>
  </si>
  <si>
    <t xml:space="preserve">Madadi NR, Penthala NR, Brents LK, Ford BM, Prather PL, Crooks PA.</t>
  </si>
  <si>
    <t xml:space="preserve">10.1016/j.bmcl.2013.02.025</t>
  </si>
  <si>
    <t xml:space="preserve">Antagonists for the orphan G-protein-coupled receptor GPR55 based on a coumarin scaffold.</t>
  </si>
  <si>
    <t xml:space="preserve">Rempel V, Volz N, Gläser F, Nieger M, Bräse S, Müller CE.</t>
  </si>
  <si>
    <t xml:space="preserve">10.1021/jm4005175</t>
  </si>
  <si>
    <t xml:space="preserve">Conformational Restriction Leading to a Selective CB2 Cannabinoid Receptor Agonist Orally Active Against Colitis.</t>
  </si>
  <si>
    <t xml:space="preserve">El Bakali J, Muccioli GG, Body-Malapel M, Djouina M, Klupsch F, Ghinet A, Barczyk A, Renault N, Chavatte P, Desreumaux P, Lambert DM, Millet R.</t>
  </si>
  <si>
    <t xml:space="preserve">10.1021/ml500439x</t>
  </si>
  <si>
    <t xml:space="preserve">Novel azoles as potent and selective cannabinoid CB2 receptor agonists.</t>
  </si>
  <si>
    <t xml:space="preserve">Harnett JJ, Dolo C, Viossat I, Auger F, Ferrandis E, Bigg D, Auguet M, Auvin S, Chabrier PE.</t>
  </si>
  <si>
    <t xml:space="preserve">10.1016/j.bmcl.2014.11.003</t>
  </si>
  <si>
    <t xml:space="preserve">J Nat Prod</t>
  </si>
  <si>
    <t xml:space="preserve">Plant-Based Modulators of Endocannabinoid Signaling.</t>
  </si>
  <si>
    <t xml:space="preserve">Cunningham CW.</t>
  </si>
  <si>
    <t xml:space="preserve">10.1021/acs.jnatprod.8b00874</t>
  </si>
  <si>
    <t xml:space="preserve">The endocannabinoid system dual-target ligand N-cycloheptyl-1,2-dihydro-5-bromo-1-(4-fluorobenzyl)-6-methyl-2-oxo-pyridine-3-carboxamide improves disease severity in a mouse model of multiple sclerosis.</t>
  </si>
  <si>
    <t xml:space="preserve">Arena C,Gado F,Di Cesare Mannelli L,Cervetto C,Carpi S,Reynoso-Moreno I,Polini B,Vallini E,Chicca S,Lucarini E,Bertini S,D'Andrea F,Digiacomo M,Poli G,Tuccinardi T,Macchia M,Gertsch J,Marcoli M,Nieri P,Ghelardini C,Chicca A,Manera C</t>
  </si>
  <si>
    <t xml:space="preserve">10.1016/j.ejmech.2020.112858</t>
  </si>
  <si>
    <t xml:space="preserve">Discovery of novel CB2 receptor ligands by a pharmacophore-based virtual screening workflow.</t>
  </si>
  <si>
    <t xml:space="preserve">Markt P, Feldmann C, Rollinger JM, Raduner S, Schuster D, Kirchmair J, Distinto S, Spitzer GM, Wolber G, Laggner C, Altmann KH, Langer T, Gertsch J.</t>
  </si>
  <si>
    <t xml:space="preserve">10.1021/jm801044g</t>
  </si>
  <si>
    <t xml:space="preserve">Optimization of imidazole amide derivatives as cannabinoid-1 receptor antagonists for the treatment of obesity.</t>
  </si>
  <si>
    <t xml:space="preserve">Smith RA, Fathi Z, Achebe F, Akuche C, Brown SE, Choi S, Fan J, Jenkins S, Kluender HC, Konkar A, Lavoie R, Mays R, Natoli J, O'Connor SJ, Ortiz AA, Su N, Taing C, Tomlinson S, Tritto T, Wang G, Wirtz SN, Wong W, Yang XF, Ying S, Zhang Z.</t>
  </si>
  <si>
    <t xml:space="preserve">10.1016/j.bmcl.2007.03.011</t>
  </si>
  <si>
    <t xml:space="preserve">Diaryl piperidines as CB1 receptor antagonists.</t>
  </si>
  <si>
    <t xml:space="preserve">Scott JD, Li SW, Wang H, Xia Y, Jayne CL, Miller MW, Duffy RA, Boykow GC, Kowalski TJ, Spar BD, Stamford AW, Chackalamannil S, Lachowicz JE, Greenlee WJ.</t>
  </si>
  <si>
    <t xml:space="preserve">10.1016/j.bmcl.2009.11.075</t>
  </si>
  <si>
    <t xml:space="preserve">Fluorinated cannabinoid CB2 receptor ligands: synthesis and in vitro binding characteristics of 2-oxoquinoline derivatives.</t>
  </si>
  <si>
    <t xml:space="preserve">Turkman N, Shavrin A, Ivanov RA, Rabinovich B, Volgin A, Gelovani JG, Alauddin MM.</t>
  </si>
  <si>
    <t xml:space="preserve">10.1016/j.bmc.2011.07.062</t>
  </si>
  <si>
    <t xml:space="preserve">Homology modeling in tandem with 3D-QSAR analyses: a computational approach to depict the agonist binding site of the human CB2 receptor.</t>
  </si>
  <si>
    <t xml:space="preserve">Cichero E, Ligresti A, Allarà M, di Marzo V, Lazzati Z, D'Ursi P, Marabotti A, Milanesi L, Spallarossa A, Ranise A, Fossa P.</t>
  </si>
  <si>
    <t xml:space="preserve">10.1016/j.ejmech.2011.07.023</t>
  </si>
  <si>
    <t xml:space="preserve">Towards rational design of cannabinoid receptor 1 (CB1) antagonists for peripheral selectivity.</t>
  </si>
  <si>
    <t xml:space="preserve">Fulp A, Bortoff K, Zhang Y, Seltzman H, Snyder R, Maitra R.</t>
  </si>
  <si>
    <t xml:space="preserve">10.1016/j.bmcl.2011.08.032</t>
  </si>
  <si>
    <t xml:space="preserve">Peripherally selective diphenyl purine antagonist of the CB1 receptor.</t>
  </si>
  <si>
    <t xml:space="preserve">Fulp A, Bortoff K, Zhang Y, Snyder R, Fennell T, Marusich JA, Wiley JL, Seltzman H, Maitra R.</t>
  </si>
  <si>
    <t xml:space="preserve">10.1021/jm401129n</t>
  </si>
  <si>
    <t xml:space="preserve">Synthesis, radiolabeling and evaluation of novel 4-oxo-quinoline derivatives as PET tracers for imaging cannabinoid type 2 receptor.</t>
  </si>
  <si>
    <t xml:space="preserve">Slavik R, Herde AM, Bieri D, Weber M, Schibli R, Krämer SD, Ametamey SM, Mu L.</t>
  </si>
  <si>
    <t xml:space="preserve">10.1016/j.ejmech.2015.01.028</t>
  </si>
  <si>
    <t xml:space="preserve">New quinolone- and 1,8-naphthyridine-3-carboxamides as selective CB2 receptor agonists with anticancer and immuno-modulatory activity.</t>
  </si>
  <si>
    <t xml:space="preserve">Manera C, Malfitano AM, Parkkari T, Lucchesi V, Carpi S, Fogli S, Bertini S, Laezza C, Ligresti A, Saccomanni G, Savinainen JR, Ciaglia E, Pisanti S, Gazzerro P, Di Marzo V, Nieri P, Macchia M, Bifulco M.</t>
  </si>
  <si>
    <t xml:space="preserve">10.1016/j.ejmech.2015.04.034</t>
  </si>
  <si>
    <t xml:space="preserve">Synthesis and biological evaluation of (3',5'-dichloro-2,6-dihydroxy-biphenyl-4-yl)-aryl/alkyl-methanone selective CB2 inverse agonist.</t>
  </si>
  <si>
    <t xml:space="preserve">Presley CS, Mustafa SM, Abidi AH, Moore BM.</t>
  </si>
  <si>
    <t xml:space="preserve">10.1016/j.bmc.2015.07.057</t>
  </si>
  <si>
    <t xml:space="preserve">Pyrazole antagonists of the CB1 receptor with reduced brain penetration.</t>
  </si>
  <si>
    <t xml:space="preserve">Fulp A, Zhang Y, Bortoff K, Seltzman H, Snyder R, Wiethe R, Amato G, Maitra R.</t>
  </si>
  <si>
    <t xml:space="preserve">10.1016/j.bmc.2016.01.033</t>
  </si>
  <si>
    <t xml:space="preserve">Development of novel oxazolo[5,4-d]pyrimidines as competitive CB2 neutral antagonists based on scaffold hopping.</t>
  </si>
  <si>
    <t xml:space="preserve">Tuo W, Bollier M, Leleu-Chavain N, Lemaire L, Barczyk A, Dezitter X, Klupsch F, Szczepanski F, Spencer J, Chavatte P, Millet R.</t>
  </si>
  <si>
    <t xml:space="preserve">10.1016/j.ejmech.2018.01.034</t>
  </si>
  <si>
    <t xml:space="preserve">Bioactive products from singlet oxygen photooxygenation of cannabinoids.</t>
  </si>
  <si>
    <t xml:space="preserve">Galal Osman A, Elokely KM, Yadav VK, Carvalho P, Radwan M, Slade D, Gul W, Khan S, Dale OR, Husni AS, Klein ML, Cutler SJ, Ross SA, ElSohly MA.</t>
  </si>
  <si>
    <t xml:space="preserve">10.1016/j.ejmech.2017.11.043</t>
  </si>
  <si>
    <t xml:space="preserve">Synthesis, molecular modeling and SAR study of novel pyrazolo[5,1-f][1,6]naphthyridines as CB&lt;sub&gt;2&lt;/sub&gt; receptor antagonists/inverse agonists.</t>
  </si>
  <si>
    <t xml:space="preserve">Dore A, Asproni B, Scampuddu A, Gessi S, Murineddu G, Cichero E, Fossa P, Merighi S, Bencivenni S, Pinna GA.</t>
  </si>
  <si>
    <t xml:space="preserve">10.1016/j.bmc.2016.08.055</t>
  </si>
  <si>
    <t xml:space="preserve">Synthesis, Biological Evaluation, and Molecular Modeling Studies of 3,4-Diarylpyrazoline Series of Compounds as Potent, Nonbrain Penetrant Antagonists of Cannabinoid-1 (CB&lt;sub&gt;1&lt;/sub&gt;R) Receptor with Reduced Lipophilicity.</t>
  </si>
  <si>
    <t xml:space="preserve">Iyer MR, Cinar R, Wood CM, Zawatsky CN, Coffey NJ, Kim KA, Liu Z, Katz A, Abdalla J, Hassan SA, Lee YS.</t>
  </si>
  <si>
    <t xml:space="preserve">10.1021/acs.jmedchem.1c01836</t>
  </si>
  <si>
    <t xml:space="preserve">Novel pyrrole based CB2 agonists: New insights on CB2 receptor role in regulating neurotransmitters' tone.</t>
  </si>
  <si>
    <t xml:space="preserve">Di Micco S, Ciaglia T, Salviati E, Michela P, Kostrzewa M, Musella S, Schiano Moriello A, Di Sarno V, Smaldone G, Di Matteo F, Capolupo I, Infantino R, Bifulco G, Pepe G, Sommella EM, Kumar P, Basilicata MG, Allarà M, Sánchez-Fernández N, Aso E, Gomez-Monterrey IM, Campiglia P, Ostacolo C, Maione S, Ligresti A, Bertamino A.</t>
  </si>
  <si>
    <t xml:space="preserve">10.1016/j.ejmech.2024.116298</t>
  </si>
  <si>
    <t xml:space="preserve">Rational design and synthesis of an orally active indolopyridone as a novel conformationally constrained cannabinoid ligand possessing antiinflammatory properties.</t>
  </si>
  <si>
    <t xml:space="preserve">Wrobleski ST, Chen P, Hynes J, Lin S, Norris DJ, Pandit CR, Spergel S, Wu H, Tokarski JS, Chen X, Gillooly KM, Kiener PA, McIntyre KW, Patil-Koota V, Shuster DJ, Turk LA, Yang G, Leftheris K.</t>
  </si>
  <si>
    <t xml:space="preserve">10.1021/jm020329q</t>
  </si>
  <si>
    <t xml:space="preserve">Discovery and functional evaluation of diverse novel human CB(1) receptor ligands.</t>
  </si>
  <si>
    <t xml:space="preserve">Foloppe N, Benwell K, Brooks TD, Kennett G, Knight AR, Misra A, Monck NJ.</t>
  </si>
  <si>
    <t xml:space="preserve">10.1016/j.bmcl.2009.05.114</t>
  </si>
  <si>
    <t xml:space="preserve">C3-heteroaroyl cannabinoids as photolabeling ligands for the CB2 cannabinoid receptor.</t>
  </si>
  <si>
    <t xml:space="preserve">Dixon DD, Tius MA, Thakur GA, Zhou H, Bowman AL, Shukla VG, Peng Y, Makriyannis A.</t>
  </si>
  <si>
    <t xml:space="preserve">10.1016/j.bmcl.2012.06.013</t>
  </si>
  <si>
    <t xml:space="preserve">Isolation and Pharmacological Evaluation of Minor Cannabinoids from High-Potency Cannabis sativa.</t>
  </si>
  <si>
    <t xml:space="preserve">Radwan MM, ElSohly MA, El-Alfy AT, Ahmed SA, Slade D, Husni AS, Manly SP, Wilson L, Seale S, Cutler SJ, Ross SA.</t>
  </si>
  <si>
    <t xml:space="preserve">10.1021/acs.jnatprod.5b00065</t>
  </si>
  <si>
    <t xml:space="preserve">Polycyclic Maleimide-based Scaffold as New Privileged Structure for Navigating the Cannabinoid System Opportunities.</t>
  </si>
  <si>
    <t xml:space="preserve">Bisi A, Mokhtar Mahmoud A, Allará M, Naldi M, Belluti F, Gobbi S, Ligresti A, Rampa A.</t>
  </si>
  <si>
    <t xml:space="preserve">10.1021/acsmedchemlett.8b00594</t>
  </si>
  <si>
    <t xml:space="preserve">Peripherally Selective Cannabinoid 1 Receptor (CB1R) Agonists for the Treatment of Neuropathic Pain.</t>
  </si>
  <si>
    <t xml:space="preserve">Seltzman HH, Shiner C, Hirt EE, Gilliam AF, Thomas BF, Maitra R, Snyder R, Black SL, Patel PR, Mulpuri Y, Spigelman I.</t>
  </si>
  <si>
    <t xml:space="preserve">10.1021/acs.jmedchem.6b00516</t>
  </si>
  <si>
    <t xml:space="preserve">Novel, potent THC/anandamide (hybrid) analogs.</t>
  </si>
  <si>
    <t xml:space="preserve">Bourne C, Roy S, Wiley JL, Martin BR, Thomas BF, Mahadevan A, Razdan RK.</t>
  </si>
  <si>
    <t xml:space="preserve">10.1016/j.bmc.2007.08.039</t>
  </si>
  <si>
    <t xml:space="preserve">Probing the cannabinoid CB1/CB2 receptor subtype selectivity limits of 1,2-diarylimidazole-4-carboxamides by fine-tuning their 5-substitution pattern.</t>
  </si>
  <si>
    <t xml:space="preserve">Lange JH, van der Neut MA, Borst AJ, Yildirim M, van Stuivenberg HH, van Vliet BJ, Kruse CG.</t>
  </si>
  <si>
    <t xml:space="preserve">10.1016/j.bmcl.2010.03.068</t>
  </si>
  <si>
    <t xml:space="preserve">Structure-activity relationships of 2-arylamido-5,7-dihydro-4H-thieno[2,3-c]pyran-3-carboxamide derivatives as cannabinoid receptor agonists and their analgesic action.</t>
  </si>
  <si>
    <t xml:space="preserve">Thur Y, Bhalerao A, Munshi Z, Pansare N, Mann K, Hanauer G, Kley HP, Nappe S, Weiss-Haljiti C, Ostermann C, Zitt C, Schaefer M, Mondal D, Ali Siddiki A, Armugam V, Gudaghe V, Gupta M, Rayudu P, Dautzenberg FM, Das Sarma K.</t>
  </si>
  <si>
    <t xml:space="preserve">10.1016/j.bmcl.2012.10.087</t>
  </si>
  <si>
    <t xml:space="preserve">One-pot heterogeneous synthesis of Δ(3)-tetrahydrocannabinol analogues and xanthenes showing differential binding to CB(1) and CB(2) receptors.</t>
  </si>
  <si>
    <t xml:space="preserve">Rosati O, Messina F, Pelosi A, Curini M, Petrucci V, Gertsch J, Chicca A.</t>
  </si>
  <si>
    <t xml:space="preserve">10.1016/j.ejmech.2014.07.062</t>
  </si>
  <si>
    <t xml:space="preserve">Synthesis, biological activity and molecular modeling of new biphenylic carboxamides as potent and selective CB2 receptor ligands.</t>
  </si>
  <si>
    <t xml:space="preserve">Bertini S, Parkkari T, Savinainen JR, Arena C, Saccomanni G, Saguto S, Ligresti A, Allarà M, Bruno A, Marinelli L, Di Marzo V, Novellino E, Manera C, Macchia M.</t>
  </si>
  <si>
    <t xml:space="preserve">10.1016/j.ejmech.2014.11.066</t>
  </si>
  <si>
    <t xml:space="preserve">3'-functionalized adamantyl cannabinoid receptor probes.</t>
  </si>
  <si>
    <t xml:space="preserve">Ogawa G, Tius MA, Zhou H, Nikas SP, Halikhedkar A, Mallipeddi S, Makriyannis A.</t>
  </si>
  <si>
    <t xml:space="preserve">10.1021/jm501960u</t>
  </si>
  <si>
    <t xml:space="preserve">Identification of Novel GPR55 Modulators Using Cell-Impedance-Based Label-Free Technology.</t>
  </si>
  <si>
    <t xml:space="preserve">Morales P, Whyte LS, Chicharro R, Gómez-Cañas M, Pazos MR, Goya P, Irving AJ, Fernández-Ruiz J, Ross RA, Jagerovic N.</t>
  </si>
  <si>
    <t xml:space="preserve">10.1021/acs.jmedchem.5b01331</t>
  </si>
  <si>
    <t xml:space="preserve">Polypharmacological profile of 1,2-dihydro-2-oxo-pyridine-3-carboxamides in the endocannabinoid system.</t>
  </si>
  <si>
    <t xml:space="preserve">Chicca A, Arena C, Bertini S, Gado F, Ciaglia E, Abate M, Digiacomo M, Lapillo M, Poli G, Bifulco M, Macchia M, Tuccinardi T, Gertsch J, Manera C.</t>
  </si>
  <si>
    <t xml:space="preserve">10.1016/j.ejmech.2018.05.019</t>
  </si>
  <si>
    <t xml:space="preserve">Metabolically labile cannabinoid esters: a 'soft drug' approach for the development of cannabinoid-based therapeutic drugs.</t>
  </si>
  <si>
    <t xml:space="preserve">Minutolo F, Cascio MG, Carboni I, Bisogno T, Prota G, Bertini S, Digiacomo M, Bifulco M, Di Marzo V, Macchia M.</t>
  </si>
  <si>
    <t xml:space="preserve">10.1016/j.bmcl.2007.06.055</t>
  </si>
  <si>
    <t xml:space="preserve">Synthesis, SAR and intramolecular hydrogen bonding pattern of 1,3,5-trisubstituted 4,5-dihydropyrazoles as potent cannabinoid CB(1) receptor antagonists.</t>
  </si>
  <si>
    <t xml:space="preserve">Lange JH, van der Neut MA, den Hartog AP, Wals HC, Hoogendoorn J, van Stuivenberg HH, van Vliet BJ, Kruse CG.</t>
  </si>
  <si>
    <t xml:space="preserve">10.1016/j.bmcl.2010.01.049</t>
  </si>
  <si>
    <t xml:space="preserve">Conformationally constrained analogs of BAY 59-3074 as novel cannabinoid receptor ligands.</t>
  </si>
  <si>
    <t xml:space="preserve">Teng H, Thakur GA, Makriyannis A.</t>
  </si>
  <si>
    <t xml:space="preserve">10.1016/j.bmcl.2011.07.017</t>
  </si>
  <si>
    <t xml:space="preserve">Exploring the effectiveness of novel benzimidazoles as CB2 ligands: synthesis, biological evaluation, molecular docking studies and ADMET prediction.</t>
  </si>
  <si>
    <t xml:space="preserve">Tonelli M, Cichero E, Mahmoud AM, Rabbito A, Tasso B, Fossa P, Ligresti A.</t>
  </si>
  <si>
    <t xml:space="preserve">10.1039/C8MD00461G</t>
  </si>
  <si>
    <t xml:space="preserve">Oxa-adamantyl cannabinoids.</t>
  </si>
  <si>
    <t xml:space="preserve">Ho TC,Tius MA,Nikas SP,Tran NK,Tong F,Zhou H,Zvonok N,Makriyannis A</t>
  </si>
  <si>
    <t xml:space="preserve">10.1016/j.bmcl.2021.127882</t>
  </si>
  <si>
    <t xml:space="preserve">[1,2,3]triazolo[4,5-D]pyrimidine derivatives</t>
  </si>
  <si>
    <t xml:space="preserve">US-10450321-B2</t>
  </si>
  <si>
    <t xml:space="preserve">US-10457686-B2</t>
  </si>
  <si>
    <t xml:space="preserve">Oxyhomologues of anandamide and related endolipids: chemoselective synthesis and biological activity.</t>
  </si>
  <si>
    <t xml:space="preserve">Appendino G, Minassi A, Berton L, Moriello AS, Cascio MG, De Petrocellis L, Di Marzo V.</t>
  </si>
  <si>
    <t xml:space="preserve">10.1021/jm051240y</t>
  </si>
  <si>
    <t xml:space="preserve">Conformationally constrained analogues of N-(piperidinyl)-5-(4-chlorophenyl)-1-(2,4- dichlorophenyl)-4-methyl-1H-pyrazole-3-carboxamide (SR141716): design, synthesis, computational analysis, and biological evaluations.</t>
  </si>
  <si>
    <t xml:space="preserve">Zhang Y, Burgess JP, Brackeen M, Gilliam A, Mascarella SW, Page K, Seltzman HH, Thomas BF.</t>
  </si>
  <si>
    <t xml:space="preserve">10.1021/jm8000778</t>
  </si>
  <si>
    <t xml:space="preserve">N-Methyl-3-(tetrahydro-2H-pyran-4-yl)-2,3,4,9-tetrahydro-1H-carbazole-6-carboxamides as a novel class of cannabinoid receptors agonists with low CNS penetration.</t>
  </si>
  <si>
    <t xml:space="preserve">Wei Z, Yang H, Liu Z, Tremblay M, Johnstone S, Béha S, Yue SY, Srivastava S, Tomaszewski MJ, Brown W, Walpole C, St-Onge S, Lessard E, Archambault AJ, Groblewski T, Pagé D.</t>
  </si>
  <si>
    <t xml:space="preserve">10.1016/j.bmcl.2012.04.128</t>
  </si>
  <si>
    <t xml:space="preserve">6-Alkoxy-5-aryl-3-pyridinecarboxamides, a new series of bioavailable cannabinoid receptor type 1 (CB1) antagonists including peripherally selective compounds.</t>
  </si>
  <si>
    <t xml:space="preserve">Röver S, Andjelkovic M, Bénardeau A, Chaput E, Guba W, Hebeisen P, Mohr S, Nettekoven M, Obst U, Richter WF, Ullmer C, Waldmeier P, Wright MB.</t>
  </si>
  <si>
    <t xml:space="preserve">10.1021/jm4010708</t>
  </si>
  <si>
    <t xml:space="preserve">Novel C-Ring-Hydroxy-Substituted Controlled Deactivation Cannabinergic Analogues.</t>
  </si>
  <si>
    <t xml:space="preserve">Kulkarni S, Nikas SP, Sharma R, Jiang S, Paronis CA, Leonard MZ, Zhang B, Honrao C, Mallipeddi S, Raghav JG, Benchama O, Järbe TU, Bergman J, Makriyannis A.</t>
  </si>
  <si>
    <t xml:space="preserve">10.1021/acs.jmedchem.6b00717</t>
  </si>
  <si>
    <t xml:space="preserve">Synthesis, Molecular Pharmacology, and Structure-Activity Relationships of 3-(Indanoyl)indoles as Selective Cannabinoid Type 2 Receptor Antagonists.</t>
  </si>
  <si>
    <t xml:space="preserve">Fulo HF, Shoeib A, Cabanlong CV, Williams AH, Zhan CG, Prather PL, Dudley GB.</t>
  </si>
  <si>
    <t xml:space="preserve">10.1021/acs.jmedchem.1c00442</t>
  </si>
  <si>
    <t xml:space="preserve">Potent, Selective Agonists for the Cannabinoid-like Orphan G Protein-Coupled Receptor GPR18: A Promising Drug Target for Cancer and Immunity.</t>
  </si>
  <si>
    <t xml:space="preserve">Mahardhika AB, Załuski M, Schoeder CT, Boshta NM, Schabikowski J, Perri F, Łażewska D, Neumann A, Kremers S, Oneto A, Ressemann A, Latacz G, Namasivayam V, Kieć-Kononowicz K, Müller CE.</t>
  </si>
  <si>
    <t xml:space="preserve">10.1021/acs.jmedchem.3c02423</t>
  </si>
  <si>
    <t xml:space="preserve">New tetrazole-based selective anandamide uptake inhibitors.</t>
  </si>
  <si>
    <t xml:space="preserve">Ortar G, Schiano Moriello A, Cascio MG, De Petrocellis L, Ligresti A, Morera E, Nalli M, Di Marzo V.</t>
  </si>
  <si>
    <t xml:space="preserve">10.1016/j.bmcl.2008.04.003</t>
  </si>
  <si>
    <t xml:space="preserve">Design and synthesis of a novel series of N-alkyl isatin acylhydrazone derivatives that act as selective cannabinoid receptor 2 agonists for the treatment of neuropathic pain.</t>
  </si>
  <si>
    <t xml:space="preserve">Diaz P, Xu J, Astruc-Diaz F, Pan HM, Brown DL, Naguib M.</t>
  </si>
  <si>
    <t xml:space="preserve">10.1021/jm8002203</t>
  </si>
  <si>
    <t xml:space="preserve">1-Bromo-3-(1',1'-dimethylalkyl)-1-deoxy-Δ(8)-tetrahydrocannabinols: New selective ligands for the cannabinoid CB(2) receptor.</t>
  </si>
  <si>
    <t xml:space="preserve">Huffman JW, Hepburn SA, Lyutenko N, Thompson AL, Wiley JL, Selley DE, Martin BR.</t>
  </si>
  <si>
    <t xml:space="preserve">10.1016/j.bmc.2010.09.061</t>
  </si>
  <si>
    <t xml:space="preserve">Synthesis, binding studies and molecular modeling of novel cannabinoid receptor ligands.</t>
  </si>
  <si>
    <t xml:space="preserve">Osman NA, Mahmoud AH, Allarà M, Niess R, Abouzid KA, Di Marzo V, Abadi AH.</t>
  </si>
  <si>
    <t xml:space="preserve">10.1016/j.bmc.2010.10.050</t>
  </si>
  <si>
    <t xml:space="preserve">Development of endocannabinoid-based chemical probes for the study of cannabinoid receptors.</t>
  </si>
  <si>
    <t xml:space="preserve">Martín-Couce L, Martín-Fontecha M, Capolicchio S, López-Rodríguez ML, Ortega-Gutiérrez S.</t>
  </si>
  <si>
    <t xml:space="preserve">10.1021/jm2004392</t>
  </si>
  <si>
    <t xml:space="preserve">Scaffold hopping strategy toward original pyrazolines as selective CB₂ receptor ligands.</t>
  </si>
  <si>
    <t xml:space="preserve">Gembus V, Furman C, Millet R, Mansouri R, Chavatte P, Levacher V, Brière JF.</t>
  </si>
  <si>
    <t xml:space="preserve">10.1016/j.ejmech.2012.10.031</t>
  </si>
  <si>
    <t xml:space="preserve">2-Arylbenzofuran-based molecules as multipotent Alzheimer's disease modifying agents.</t>
  </si>
  <si>
    <t xml:space="preserve">Rizzo S, Tarozzi A, Bartolini M, Da Costa G, Bisi A, Gobbi S, Belluti F, Ligresti A, Allarà M, Monti JP, Andrisano V, Di Marzo V, Hrelia P, Rampa A.</t>
  </si>
  <si>
    <t xml:space="preserve">10.1016/j.ejmech.2012.10.045</t>
  </si>
  <si>
    <t xml:space="preserve">Magnolia Extract, Magnolol, and Metabolites: Activation of Cannabinoid CB2 Receptors and Blockade of the Related GPR55.</t>
  </si>
  <si>
    <t xml:space="preserve">Rempel V, Fuchs A, Hinz S, Karcz T, Lehr M, Koetter U, Müller CE.</t>
  </si>
  <si>
    <t xml:space="preserve">10.1021/ml300235q</t>
  </si>
  <si>
    <t xml:space="preserve">Novel antiobesity agents: synthesis and pharmacological evaluation of analogues of Rimonabant and of LH21.</t>
  </si>
  <si>
    <t xml:space="preserve">Alvarado M, Decara J, Luque MJ, Hernandez-Folgado L, Gómez-Cañas M, Gómez-Ruiz M, Fernández-Ruiz J, Elguero J, Jagerovic N, Serrano A, Goya P, de Fonseca FR.</t>
  </si>
  <si>
    <t xml:space="preserve">10.1016/j.bmc.2013.01.055</t>
  </si>
  <si>
    <t xml:space="preserve">The importance of hydrogen bonding and aromatic stacking to the affinity and efficacy of cannabinoid receptor CB2 antagonist, 5-(4-chloro-3-methylphenyl)-1-[(4-methylphenyl)methyl]-N-[(1S,2S,4R)-1,3,3-trimethylbicyclo[2.2.1]hept-2-yl]-1H-pyrazole-3-carboxamide (SR144528).</t>
  </si>
  <si>
    <t xml:space="preserve">Kotsikorou E, Navas F, Roche MJ, Gilliam AF, Thomas BF, Seltzman HH, Kumar P, Song ZH, Hurst DP, Lynch DL, Reggio PH.</t>
  </si>
  <si>
    <t xml:space="preserve">10.1021/jm400070u</t>
  </si>
  <si>
    <t xml:space="preserve">Controlled-deactivation cannabinergic ligands.</t>
  </si>
  <si>
    <t xml:space="preserve">Sharma R, Nikas SP, Paronis CA, Wood JT, Halikhedkar A, Guo JJ, Thakur GA, Kulkarni S, Benchama O, Raghav JG, Gifford RS, Järbe TU, Bergman J, Makriyannis A.</t>
  </si>
  <si>
    <t xml:space="preserve">10.1021/jm4016075</t>
  </si>
  <si>
    <t xml:space="preserve">Identification of endocannabinoid system-modulating N-alkylamides from Heliopsis helianthoides var. scabra and Lepidium meyenii.</t>
  </si>
  <si>
    <t xml:space="preserve">Hajdu Z, Nicolussi S, Rau M, Lorántfy L, Forgo P, Hohmann J, Csupor D, Gertsch J.</t>
  </si>
  <si>
    <t xml:space="preserve">10.1021/np500292g</t>
  </si>
  <si>
    <t xml:space="preserve">Naphthalene and 2,3-dihydrobenzo[b][1,4]dioxine derivatives with extended side chains as new scaffolds of CB2-selective ligands</t>
  </si>
  <si>
    <t xml:space="preserve">Osman NA, Mahmoud AH, Klein CD, Allara M, Di Marzo V, Abouzid KM, Abadi AH</t>
  </si>
  <si>
    <t xml:space="preserve">10.1039/C4MD00232F</t>
  </si>
  <si>
    <t xml:space="preserve">Perspectives of Cannabinoid Type 2 Receptor (CB2R) Ligands in Neurodegenerative Disorders: Structure-Affinity Relationship (SAfiR) and Structure-Activity Relationship (SAR) Studies.</t>
  </si>
  <si>
    <t xml:space="preserve">Spinelli F, Capparelli E, Abate C, Colabufo NA, Contino M.</t>
  </si>
  <si>
    <t xml:space="preserve">10.1021/acs.jmedchem.7b00155</t>
  </si>
  <si>
    <t xml:space="preserve">Cannabinoid Receptor Subtype 2 (CB2R) in a Multitarget Approach: Perspective of an Innovative Strategy in Cancer and Neurodegeneration.</t>
  </si>
  <si>
    <t xml:space="preserve">Mangiatordi GF, Intranuovo F, Delre P, Abatematteo FS, Abate C, Niso M, Creanza TM, Ancona N, Stefanachi A, Contino M.</t>
  </si>
  <si>
    <t xml:space="preserve">10.1021/acs.jmedchem.0c01357</t>
  </si>
  <si>
    <t xml:space="preserve">Cannabinoformins: Designing Biguanide-Embedded, Orally Available, Peripherally Selective Cannabinoid-1 Receptor Antagonists for Metabolic Syndrome Disorders.</t>
  </si>
  <si>
    <t xml:space="preserve">Dvorácskó S, Herrerias A, Oliverio A, Bhattacharjee P, Pommerolle L, Liu Z, Feng D, Lee YS, Hassan SA, Godlewski G, Cinar R, Iyer MR.</t>
  </si>
  <si>
    <t xml:space="preserve">10.1021/acs.jmedchem.3c00599</t>
  </si>
  <si>
    <t xml:space="preserve">Cannabinoid receptor modulators</t>
  </si>
  <si>
    <t xml:space="preserve">US-9944606-B2</t>
  </si>
  <si>
    <t xml:space="preserve">Synthesis of (+)-cannabinoids and their therapeutic effects</t>
  </si>
  <si>
    <t xml:space="preserve">US-11485700-B2</t>
  </si>
  <si>
    <t xml:space="preserve">Synthesis and Pharmacological Characterization of Novel Peripheral Cannabinoid-1 Receptor Blockers Based on a Tricyclic Scaffold.</t>
  </si>
  <si>
    <t xml:space="preserve">Gammal A, Nassar T, Soae Y, Freeman N, Badihi A, Baraghithy S, Nemirovski A, Tam J, Benita S.</t>
  </si>
  <si>
    <t xml:space="preserve">10.1021/acs.jmedchem.4c03132</t>
  </si>
  <si>
    <t xml:space="preserve">Synthesis and evaluation of dibenzothiazepines: a novel class of selective cannabinoid-1 receptor inverse agonists.</t>
  </si>
  <si>
    <t xml:space="preserve">Pettersson H, Bülow A, Ek F, Jensen J, Ottesen LK, Fejzic A, Ma JN, Del Tredici AL, Currier EA, Gardell LR, Tabatabaei A, Craig D, McFarland K, Ott TR, Piu F, Burstein ES, Olsson R.</t>
  </si>
  <si>
    <t xml:space="preserve">10.1021/jm801534c</t>
  </si>
  <si>
    <t xml:space="preserve">Chemical modification of the naphthoyl 3-position of JWH-015: in search of a fluorescent probe to the cannabinoid CB2 receptor.</t>
  </si>
  <si>
    <t xml:space="preserve">Yates AS, Doughty SW, Kendall DA, Kellam B.</t>
  </si>
  <si>
    <t xml:space="preserve">10.1016/j.bmcl.2005.05.049</t>
  </si>
  <si>
    <t xml:space="preserve">Constrained analogs of CB-1 antagonists: 1,5,6,7-Tetrahydro-4H-pyrrolo[3,2-c]pyridine-4-one derivatives.</t>
  </si>
  <si>
    <t xml:space="preserve">Smith RA, Fathi Z, Brown SE, Choi S, Fan J, Jenkins S, Kluender HC, Konkar A, Lavoie R, Mays R, Natoli J, O'Connor SJ, Ortiz AA, Podlogar B, Taing C, Tomlinson S, Tritto T, Zhang Z.</t>
  </si>
  <si>
    <t xml:space="preserve">10.1016/j.bmcl.2006.10.095</t>
  </si>
  <si>
    <t xml:space="preserve">Identification of novel cannabinoid CB1 receptor antagonists by using virtual screening with a pharmacophore model.</t>
  </si>
  <si>
    <t xml:space="preserve">Wang H, Duffy RA, Boykow GC, Chackalamannil S, Madison VS.</t>
  </si>
  <si>
    <t xml:space="preserve">10.1021/jm701519h</t>
  </si>
  <si>
    <t xml:space="preserve">New analgesics synthetically derived from the paracetamol metabolite N-(4-hydroxyphenyl)-(5Z,8Z,11Z,14Z)-icosatetra-5,8,11,14-enamide.</t>
  </si>
  <si>
    <t xml:space="preserve">Sinning C, Watzer B, Coste O, Nüsing RM, Ott I, Ligresti A, Di Marzo V, Imming P.</t>
  </si>
  <si>
    <t xml:space="preserve">10.1021/jm800807k</t>
  </si>
  <si>
    <t xml:space="preserve">Synthesis and SAR of 1,4,5,6-tetrahydropyridazines as potent cannabinoid CB1 receptor antagonists.</t>
  </si>
  <si>
    <t xml:space="preserve">Lange JH, den Hartog AP, van der Neut MA, van Vliet BJ, Kruse CG.</t>
  </si>
  <si>
    <t xml:space="preserve">10.1016/j.bmcl.2009.08.007</t>
  </si>
  <si>
    <t xml:space="preserve">Synthesis and pharmacology of 1-methoxy analogs of CP-47,497.</t>
  </si>
  <si>
    <t xml:space="preserve">Huffman JW, Hepburn SA, Reggio PH, Hurst DP, Wiley JL, Martin BR.</t>
  </si>
  <si>
    <t xml:space="preserve">10.1016/j.bmc.2010.06.054</t>
  </si>
  <si>
    <t xml:space="preserve">Low brain penetrant CB1 receptor agonists for the treatment of neuropathic pain.</t>
  </si>
  <si>
    <t xml:space="preserve">Adam JM, Clark JK, Davies K, Everett K, Fields R, Francis S, Jeremiah F, Kiyoi T, Maidment M, Morrison A, Ratcliffe P, Prosser A, Schulz J, Wishart G, Baker J, Boyce S, Campbell R, Cottney JE, Deehan M, Martin I.</t>
  </si>
  <si>
    <t xml:space="preserve">10.1016/j.bmcl.2012.02.048</t>
  </si>
  <si>
    <t xml:space="preserve">Structure-activity relationships of thiazole and benzothiazole derivatives as selective cannabinoid CB2 agonists with in vivo anti-inflammatory properties.</t>
  </si>
  <si>
    <t xml:space="preserve">Ghonim AE, Ligresti A, Rabbito A, Mahmoud AM, Di Marzo V, Osman NA, Abadi AH.</t>
  </si>
  <si>
    <t xml:space="preserve">10.1016/j.ejmech.2019.07.002</t>
  </si>
  <si>
    <t xml:space="preserve">7-Azaindolequinuclidinones (7-AIQD): A novel class of cannabinoid 1 (CB1) and cannabinoid 2 (CB2) receptor ligands.</t>
  </si>
  <si>
    <t xml:space="preserve">Penthala NR,Shoeib A,Dachavaram SS,Cabanlong CV,Yang J,Zhan CG,Prather PL,Crooks PA</t>
  </si>
  <si>
    <t xml:space="preserve">10.1016/j.bmcl.2020.127501</t>
  </si>
  <si>
    <t xml:space="preserve">Design, Synthesis, and Biological Activity of New CB2 Receptor Ligands: from Orthosteric and Allosteric Modulators to Dualsteric/Bitopic Ligands.</t>
  </si>
  <si>
    <t xml:space="preserve">Gado F, Ferrisi R, Polini B, Mohamed KA, Ricardi C, Lucarini E, Carpi S, Domenichini F, Stevenson LA, Rapposelli S, Saccomanni G, Nieri P, Ortore G, Pertwee RG, Ghelardini C, Di Cesare Mannelli L, Chiellini G, Laprairie RB, Manera C.</t>
  </si>
  <si>
    <t xml:space="preserve">10.1021/acs.jmedchem.2c00582</t>
  </si>
  <si>
    <t xml:space="preserve">Dual-Acting Small Molecules: Subtype-Selective Cannabinoid Receptor 2 Agonist/Butyrylcholinesterase Inhibitor Hybrids Show Neuroprotection in an Alzheimer's Disease Mouse Model.</t>
  </si>
  <si>
    <t xml:space="preserve">Spatz P, Steinmüller SAM, Tutov A, Poeta E, Morilleau A, Carles A, Deventer MH, Hofmann J, Stove CP, Monti B, Maurice T, Decker M.</t>
  </si>
  <si>
    <t xml:space="preserve">10.1021/acs.jmedchem.3c00541</t>
  </si>
  <si>
    <t xml:space="preserve">US-11214548-B2</t>
  </si>
  <si>
    <t xml:space="preserve">Diaryl dihydropyrazole-3-carboxamides with significant in vivo antiobesity activity related to CB1 receptor antagonism: synthesis, biological evaluation, and molecular modeling in the homology model.</t>
  </si>
  <si>
    <t xml:space="preserve">Srivastava BK, Joharapurkar A, Raval S, Patel JZ, Soni R, Raval P, Gite A, Goswami A, Sadhwani N, Gandhi N, Patel H, Mishra B, Solanki M, Pandey B, Jain MR, Patel PR.</t>
  </si>
  <si>
    <t xml:space="preserve">10.1021/jm061490u</t>
  </si>
  <si>
    <t xml:space="preserve">Rational design, synthesis and biological evaluation of new 1,5-diarylpyrazole derivatives as CB1 receptor antagonists, structurally related to rimonabant.</t>
  </si>
  <si>
    <t xml:space="preserve">Menozzi G, Fossa P, Cichero E, Spallarossa A, Ranise A, Mosti L.</t>
  </si>
  <si>
    <t xml:space="preserve">10.1016/j.ejmech.2008.01.043</t>
  </si>
  <si>
    <t xml:space="preserve">Design and synthesis of novel tri-aryl CB2 selective cannabinoid ligands.</t>
  </si>
  <si>
    <t xml:space="preserve">Bhattacharjee H, Gurley SN, Moore BM.</t>
  </si>
  <si>
    <t xml:space="preserve">10.1016/j.bmcl.2009.01.100</t>
  </si>
  <si>
    <t xml:space="preserve">Morpholine containing CB2 selective agonists.</t>
  </si>
  <si>
    <t xml:space="preserve">Zindell R, Riether D, Bosanac T, Berry A, Gemkow MJ, Ebneth A, Löbbe S, Raymond EL, Thome D, Shih DT, Thomson D.</t>
  </si>
  <si>
    <t xml:space="preserve">10.1016/j.bmcl.2009.02.033</t>
  </si>
  <si>
    <t xml:space="preserve">Radiosynthesis of novel carbon-11-labeled triaryl ligands for cannabinoid-type 2 receptor.</t>
  </si>
  <si>
    <t xml:space="preserve">Fujinaga M, Kumata K, Yanamoto K, Kawamura K, Yamasaki T, Yui J, Hatori A, Ogawa M, Yoshida Y, Nengaki N, Maeda J, Zhang MR.</t>
  </si>
  <si>
    <t xml:space="preserve">10.1016/j.bmcl.2010.01.074</t>
  </si>
  <si>
    <t xml:space="preserve">Discovery and optimization of novel purines as potent and selective CB2 agonists.</t>
  </si>
  <si>
    <t xml:space="preserve">Hollinshead SP, Astles PC, Chambers MG, Johnson MP, Palmer J, Tidwell MW.</t>
  </si>
  <si>
    <t xml:space="preserve">10.1016/j.bmcl.2012.06.035</t>
  </si>
  <si>
    <t xml:space="preserve">Synthetic cannabinoid quinones: preparation, in vitro antiproliferative effects and in vivo prostate antitumor activity.</t>
  </si>
  <si>
    <t xml:space="preserve">Morales P, Vara D, Goméz-Cañas M, Zúñiga MC, Olea-Azar C, Goya P, Fernández-Ruiz J, Díaz-Laviada I, Jagerovic N.</t>
  </si>
  <si>
    <t xml:space="preserve">10.1016/j.ejmech.2013.09.043</t>
  </si>
  <si>
    <t xml:space="preserve">Indoloditerpenes from a marine-derived fungal strain of Dichotomomyces cejpii with antagonistic activity at GPR18 and cannabinoid receptors.</t>
  </si>
  <si>
    <t xml:space="preserve">Harms H, Rempel V, Kehraus S, Kaiser M, Hufendiek P, Müller CE, König GM.</t>
  </si>
  <si>
    <t xml:space="preserve">10.1021/np400850g</t>
  </si>
  <si>
    <t xml:space="preserve">Design, synthesis and in vitro evaluation of novel uni- and bivalent ligands for the cannabinoid receptor type 1 with variation of spacer length and structure.</t>
  </si>
  <si>
    <t xml:space="preserve">Huang G, Pemp D, Stadtmüller P, Nimczick M, Heilmann J, Decker M.</t>
  </si>
  <si>
    <t xml:space="preserve">10.1016/j.bmcl.2014.07.038</t>
  </si>
  <si>
    <t xml:space="preserve">Selective, nontoxic CB(2) cannabinoid o-quinone with in vivo activity against triple-negative breast cancer.</t>
  </si>
  <si>
    <t xml:space="preserve">Morales P, Blasco-Benito S, Andradas C, Gómez-Cañas M, Flores JM, Goya P, Fernández-Ruiz J, Sánchez C, Jagerovic N.</t>
  </si>
  <si>
    <t xml:space="preserve">10.1021/acs.jmedchem.5b00078</t>
  </si>
  <si>
    <t xml:space="preserve">Bioisosteric replacement of central 1,2,4-oxadiazole ring of high affinity CB&lt;sub&gt;2&lt;/sub&gt; ligands by regioisomeric 1,3,4-oxadiazole ring.</t>
  </si>
  <si>
    <t xml:space="preserve">Heimann D, Lueg C, de Vries H, Frehland B, Schepmann D, Heitman LH, Wünsch B.</t>
  </si>
  <si>
    <t xml:space="preserve">10.1039/C7MD00296C</t>
  </si>
  <si>
    <t xml:space="preserve">Synthesis of the Major Mammalian Metabolites of THCV.</t>
  </si>
  <si>
    <t xml:space="preserve">Tinto F,Villano R,Kostrzewa M,Ligresti A,Straker H,Manzo E</t>
  </si>
  <si>
    <t xml:space="preserve">10.1021/acs.jnatprod.9b00831</t>
  </si>
  <si>
    <t xml:space="preserve">Cannabinoid Receptor Type II Ligands from Sandalwood Oil and Synthetic α-Santalol Derivatives.</t>
  </si>
  <si>
    <t xml:space="preserve">Paudel P, Pandey P, Paris JJ, Ashpole NM, Mahdi F, Tian JM, Lee J, Wang M, Xu M, Chittiboyina AG, Khan IA, Ross SA, Li XC.</t>
  </si>
  <si>
    <t xml:space="preserve">10.1021/acs.jnatprod.3c00282</t>
  </si>
  <si>
    <t xml:space="preserve">Tetrahydrolipstatin analogues as modulators of endocannabinoid 2-arachidonoylglycerol metabolism.</t>
  </si>
  <si>
    <t xml:space="preserve">Ortar G, Bisogno T, Ligresti A, Morera E, Nalli M, Di Marzo V.</t>
  </si>
  <si>
    <t xml:space="preserve">10.1021/jm800978m</t>
  </si>
  <si>
    <t xml:space="preserve">Himbacine derived thrombin receptor (PAR-1) antagonists: SAR of the pyridine ring.</t>
  </si>
  <si>
    <t xml:space="preserve">Xia Y, Chackalamannil S, Clasby M, Doller D, Eagen K, Greenlee WJ, Tsai H, Agans-Fantuzzi J, Ahn HS, Boykow GC, Hsieh Y, Lunn CA, Chintala M.</t>
  </si>
  <si>
    <t xml:space="preserve">10.1016/j.bmcl.2007.06.002</t>
  </si>
  <si>
    <t xml:space="preserve">Fatty acid amide hydrolase inhibitors. Surprising selectivity of chiral azetidine ureas.</t>
  </si>
  <si>
    <t xml:space="preserve">Hart T, Macias AT, Benwell K, Brooks T, D'Alessandro J, Dokurno P, Francis G, Gibbons B, Haymes T, Kennett G, Lightowler S, Mansell H, Matassova N, Misra A, Padfield A, Parsons R, Pratt R, Robertson A, Walls S, Wong M, Roughley S.</t>
  </si>
  <si>
    <t xml:space="preserve">10.1016/j.bmcl.2009.05.097</t>
  </si>
  <si>
    <t xml:space="preserve">Design, synthesis, and structure-activity relationship study of conformationally constrained analogs of indole-3-carboxamides as novel CB1 cannabinoid receptor agonists.</t>
  </si>
  <si>
    <t xml:space="preserve">Kiyoi T, York M, Francis S, Edwards D, Walker G, Houghton AK, Cottney JE, Baker J, Adam JM.</t>
  </si>
  <si>
    <t xml:space="preserve">10.1016/j.bmcl.2010.06.067</t>
  </si>
  <si>
    <t xml:space="preserve">Design, synthesis, and structure-activity relationship study of bicyclic piperazine analogs of indole-3-carboxamides as novel cannabinoid CB1 receptor agonists.</t>
  </si>
  <si>
    <t xml:space="preserve">Moir EM, Yoshiizumi K, Cairns J, Cowley P, Ferguson M, Jeremiah F, Kiyoi T, Morphy R, Tierney J, Wishart G, York M, Baker J, Cottney JE, Houghton AK, McPhail P, Osprey A, Walker G, Adam JM.</t>
  </si>
  <si>
    <t xml:space="preserve">10.1016/j.bmcl.2010.10.061</t>
  </si>
  <si>
    <t xml:space="preserve">Discovery of potent and orally bioavailable heterocycle-based cannabinoid CB1 receptor agonists.</t>
  </si>
  <si>
    <t xml:space="preserve">Kiyoi T, Adam JM, Clark JK, Davies K, Easson AM, Edwards D, Feilden H, Fields R, Francis S, Jeremiah F, McArthur D, Morrison AJ, Prosser A, Ratcliffe PD, Schulz J, Wishart G, Baker J, Campbell R, Cottney JE, Deehan M, Epemolu O, Evans L.</t>
  </si>
  <si>
    <t xml:space="preserve">10.1016/j.bmcl.2011.01.082</t>
  </si>
  <si>
    <t xml:space="preserve">Asymmetric synthesis and biological evaluation of N-cyclohexyl-4-[1-(2,4-dichlorophenyl)-1-(p-tolyl)methyl]piperazine-1-carboxamide as hCB1 receptor antagonists.</t>
  </si>
  <si>
    <t xml:space="preserve">Gao L, Li M, Meng T, Peng H, Xie X, Zhang Y, Jin Y, Wang X, Zou L, Shen J.</t>
  </si>
  <si>
    <t xml:space="preserve">10.1016/j.ejmech.2011.08.030</t>
  </si>
  <si>
    <t xml:space="preserve">Novel bioactive metabolites of dipyrone (metamizol).</t>
  </si>
  <si>
    <t xml:space="preserve">Rogosch T, Sinning C, Podlewski A, Watzer B, Schlosburg J, Lichtman AH, Cascio MG, Bisogno T, Di Marzo V, Nüsing R, Imming P.</t>
  </si>
  <si>
    <t xml:space="preserve">10.1016/j.bmc.2011.11.028</t>
  </si>
  <si>
    <t xml:space="preserve">Fatty acid amide hydrolase inhibitors. 3: tetra-substituted azetidine ureas with in vivo activity.</t>
  </si>
  <si>
    <t xml:space="preserve">Roughley SD, Browne H, Macias AT, Benwell K, Brooks T, D'Alessandro J, Daniels Z, Dugdale S, Francis G, Gibbons B, Hart T, Haymes T, Kennett G, Lightowler S, Matassova N, Mansell H, Merrett A, Misra A, Padfield A, Parsons R, Pratt R, Robertson A, Simmonite H, Tan K, Walls SB, Wong M.</t>
  </si>
  <si>
    <t xml:space="preserve">10.1016/j.bmcl.2011.12.032</t>
  </si>
  <si>
    <t xml:space="preserve">γ-Carbolines: a novel class of cannabinoid agonists with high aqueous solubility and restricted CNS penetration.</t>
  </si>
  <si>
    <t xml:space="preserve">Cheng YX, Pourashraf M, Luo X, Srivastava S, Walpole C, Salois D, St-Onge S, Payza K, Lessard E, Yu XH, Tomaszewski MJ.</t>
  </si>
  <si>
    <t xml:space="preserve">10.1016/j.bmcl.2011.12.124</t>
  </si>
  <si>
    <t xml:space="preserve">C-ring cannabinoid lactones: a novel cannabinergic chemotype.</t>
  </si>
  <si>
    <t xml:space="preserve">Sharma R, Nikas SP, Guo JJ, Mallipeddi S, Wood JT, Makriyannis A.</t>
  </si>
  <si>
    <t xml:space="preserve">10.1021/ml4005304</t>
  </si>
  <si>
    <t xml:space="preserve">Design, synthesis, and structureactivity relationships of indole-3-carboxamides as novel water soluble cannabinoid CB1 receptor agonists</t>
  </si>
  <si>
    <t xml:space="preserve">Adam JM, Cairns J, Caulfield W, Cowley P, Cumming I, Easson M, Edwards D, Ferguson M, Goodwin R, Jeremiah F, Kiyoi T, Mistry A, Moir E, Morphy R, Tierney J, York M, Baker J, Cottney JE, Houghton AK, Westwood PJ, Walker G</t>
  </si>
  <si>
    <t xml:space="preserve">10.1039/C0MD00022A</t>
  </si>
  <si>
    <t xml:space="preserve">Combining Mass Spectrometric Metabolic Profiling with Genomic Analysis: A Powerful Approach for Discovering Natural Products from Cyanobacteria.</t>
  </si>
  <si>
    <t xml:space="preserve">Kleigrewe K, Almaliti J, Tian IY, Kinnel RB, Korobeynikov A, Monroe EA, Duggan BM, Di Marzo V, Sherman DH, Dorrestein PC, Gerwick L, Gerwick WH.</t>
  </si>
  <si>
    <t xml:space="preserve">10.1021/acs.jnatprod.5b00301</t>
  </si>
  <si>
    <t xml:space="preserve">Structure-activity relationships of imidazothiazinones and analogs as antagonists of the cannabinoid-activated orphan G protein-coupled receptor GPR18.</t>
  </si>
  <si>
    <t xml:space="preserve">Schoeder CT, Kaleta M, Mahardhika AB, Olejarz-Maciej A, Łażewska D, Kieć-Kononowicz K, Müller CE.</t>
  </si>
  <si>
    <t xml:space="preserve">10.1016/j.ejmech.2018.05.050</t>
  </si>
  <si>
    <t xml:space="preserve">Novel analogs of PSNCBAM-1 as allosteric modulators of cannabinoid CB1 receptor.</t>
  </si>
  <si>
    <t xml:space="preserve">Bertini S, Chicca A, Gado F, Arena C, Nieri D, Digiacomo M, Saccomanni G, Zhao P, Abood ME, Macchia M, Gertsch J, Manera C.</t>
  </si>
  <si>
    <t xml:space="preserve">10.1016/j.bmc.2017.10.015</t>
  </si>
  <si>
    <t xml:space="preserve">Amide Bond Bioisosteres: Strategies, Synthesis, and Successes.</t>
  </si>
  <si>
    <t xml:space="preserve">Kumari S,Carmona AV,Tiwari AK,Trippier PC</t>
  </si>
  <si>
    <t xml:space="preserve">10.1021/acs.jmedchem.0c00530</t>
  </si>
  <si>
    <t xml:space="preserve">The discovery of a potent and selective pyrazolo-[2,3-e]-[1,2,4]-triazine cannabinoid type 2 receptor agonist.</t>
  </si>
  <si>
    <t xml:space="preserve">Moir M,Lane S,Montgomery AP,Hibbs D,Connor M,Kassiou M</t>
  </si>
  <si>
    <t xml:space="preserve">10.1016/j.ejmech.2020.113087</t>
  </si>
  <si>
    <t xml:space="preserve">Δ&lt;sup&gt;9&lt;/sup&gt;-&lt;i&gt;cis&lt;/i&gt;-Tetrahydrocannabinol: Natural Occurrence, Chirality, and Pharmacology.</t>
  </si>
  <si>
    <t xml:space="preserve">Schafroth MA, Mazzoccanti G, Reynoso-Moreno I, Erni R, Pollastro F, Caprioglio D, Botta B, Allegrone G, Grassi G, Chicca A, Gasparrini F, Gertsch J, Carreira EM, Appendino G.</t>
  </si>
  <si>
    <t xml:space="preserve">10.1021/acs.jnatprod.1c00513</t>
  </si>
  <si>
    <t xml:space="preserve">Structural modification aimed for improving solubility of lead compounds in early phase drug discovery.</t>
  </si>
  <si>
    <t xml:space="preserve">Das B, Baidya ATK, Mathew AT, Yadav AK, Kumar R.</t>
  </si>
  <si>
    <t xml:space="preserve">10.1016/j.bmc.2022.116614</t>
  </si>
  <si>
    <t xml:space="preserve">Structure-Based Design, Optimization, and Development of [&lt;sup&gt;18&lt;/sup&gt;F]LU13: A Novel Radioligand for Cannabinoid Receptor Type 2 Imaging in the Brain with PET.</t>
  </si>
  <si>
    <t xml:space="preserve">Gündel D, Deuther-Conrad W, Ueberham L, Kaur S, Otikova E, Teodoro R, Toussaint M, Lai TH, Clauß O, Scheunemann M, Bormans G, Bachmann M, Kopka K, Brust P, Moldovan RP.</t>
  </si>
  <si>
    <t xml:space="preserve">10.1021/acs.jmedchem.2c00256</t>
  </si>
  <si>
    <t xml:space="preserve">The Repertoire of Small-Molecule PET Probes for Neuroinflammation Imaging: Challenges and Opportunities beyond TSPO.</t>
  </si>
  <si>
    <t xml:space="preserve">Chen Z, Haider A, Chen J, Xiao Z, Gobbi L, Honer M, Grether U, Arnold SE, Josephson L, Liang SH.</t>
  </si>
  <si>
    <t xml:space="preserve">10.1021/acs.jmedchem.1c01571</t>
  </si>
  <si>
    <t xml:space="preserve">Covalent cannabinoid receptor ligands - structural insight and selectivity challenges.</t>
  </si>
  <si>
    <t xml:space="preserve">Liddle I, Glass M, Tyndall JDA, Vernall AJ.</t>
  </si>
  <si>
    <t xml:space="preserve">10.1039/d2md00006g</t>
  </si>
  <si>
    <t xml:space="preserve">Biological importance of structurally diversified chromenes.</t>
  </si>
  <si>
    <t xml:space="preserve">Costa M, Dias TA, Brito A, Proença F.</t>
  </si>
  <si>
    <t xml:space="preserve">10.1016/j.ejmech.2016.07.057</t>
  </si>
  <si>
    <t xml:space="preserve">T-type calcium channel modulator and uses thereof</t>
  </si>
  <si>
    <t xml:space="preserve">US-10227332-B2</t>
  </si>
  <si>
    <t xml:space="preserve">Synthesis of a potential photoactivatable anandamide analog.</t>
  </si>
  <si>
    <t xml:space="preserve">Balas L, Cascio MG, Di Marzo V, Durand T.</t>
  </si>
  <si>
    <t xml:space="preserve">10.1016/j.bmcl.2006.04.059</t>
  </si>
  <si>
    <t xml:space="preserve">6-Methoxy-N-alkyl isatin acylhydrazone derivatives as a novel series of potent selective cannabinoid receptor 2 inverse agonists: design, synthesis, and binding mode prediction.</t>
  </si>
  <si>
    <t xml:space="preserve">Diaz P, Phatak SS, Xu J, Astruc-Diaz F, Cavasotto CN, Naguib M.</t>
  </si>
  <si>
    <t xml:space="preserve">10.1021/jm801353p</t>
  </si>
  <si>
    <t xml:space="preserve">The endocannabinoid system: drug targets, lead compounds, and potential therapeutic applications.</t>
  </si>
  <si>
    <t xml:space="preserve">Lambert DM, Fowler CJ.</t>
  </si>
  <si>
    <t xml:space="preserve">10.1021/jm058183t</t>
  </si>
  <si>
    <t xml:space="preserve">Total synthesis of photoactivatable or fluorescent anandamide probes: novel bioactive compounds with angiogenic activity.</t>
  </si>
  <si>
    <t xml:space="preserve">Balas L, Durand T, Saha S, Johnson I, Mukhopadhyay S.</t>
  </si>
  <si>
    <t xml:space="preserve">10.1021/jm8011382</t>
  </si>
  <si>
    <t xml:space="preserve">Arylsulfonamide CB2 receptor agonists: SAR and optimization of CB2 selectivity.</t>
  </si>
  <si>
    <t xml:space="preserve">Ermann M, Riether D, Walker ER, Mushi IF, Jenkins JE, Noya-Marino B, Brewer ML, Taylor MG, Amouzegh P, East SP, Dymock BW, Gemkow MJ, Kahrs AF, Ebneth A, Löbbe S, O'Shea K, Shih DT, Thomson D.</t>
  </si>
  <si>
    <t xml:space="preserve">10.1016/j.bmcl.2008.01.042</t>
  </si>
  <si>
    <t xml:space="preserve">Self-assembling cannabinomimetics: supramolecular structures of N-alkyl amides.</t>
  </si>
  <si>
    <t xml:space="preserve">Raduner S, Bisson W, Abagyan R, Altmann KH, Gertsch J.</t>
  </si>
  <si>
    <t xml:space="preserve">10.1021/np060598+</t>
  </si>
  <si>
    <t xml:space="preserve">Triaryl bis-sulfones as a new class of cannabinoid CB2 receptor inhibitors: identification of a lead and initial SAR studies.</t>
  </si>
  <si>
    <t xml:space="preserve">Lavey BJ, Kozlowski JA, Hipkin RW, Gonsiorek W, Lundell DJ, Piwinski JJ, Narula S, Lunn CA.</t>
  </si>
  <si>
    <t xml:space="preserve">10.1016/j.bmcl.2004.11.007</t>
  </si>
  <si>
    <t xml:space="preserve">Novel inhibitors of fatty acid amide hydrolase.</t>
  </si>
  <si>
    <t xml:space="preserve">Sit SY, Conway C, Bertekap R, Xie K, Bourin C, Burris K, Deng H.</t>
  </si>
  <si>
    <t xml:space="preserve">10.1016/j.bmcl.2007.04.009</t>
  </si>
  <si>
    <t xml:space="preserve">Design, synthesis, biological properties, and molecular modeling investigations of novel tacrine derivatives with a combination of acetylcholinesterase inhibition and cannabinoid CB1 receptor antagonism.</t>
  </si>
  <si>
    <t xml:space="preserve">Lange JH, Coolen HK, van der Neut MA, Borst AJ, Stork B, Verveer PC, Kruse CG.</t>
  </si>
  <si>
    <t xml:space="preserve">10.1021/jm901614b</t>
  </si>
  <si>
    <t xml:space="preserve">Structure-activity relationships of 2,4-diphenyl-1H-imidazole analogs as CB2 receptor agonists for the treatment of chronic pain.</t>
  </si>
  <si>
    <t xml:space="preserve">Yang SW, Smotryski J, Matasi J, Ho G, Tulshian D, Greenlee WJ, Brusa R, Beltramo M, Cox K.</t>
  </si>
  <si>
    <t xml:space="preserve">10.1016/j.bmcl.2010.11.044</t>
  </si>
  <si>
    <t xml:space="preserve">Imidazopyridine CB2 agonists: optimization of CB2/CB1 selectivity and implications for in vivo analgesic efficacy.</t>
  </si>
  <si>
    <t xml:space="preserve">Trotter BW, Nanda KK, Burgey CS, Potteiger CM, Deng JZ, Green AI, Hartnett JC, Kett NR, Wu Z, Henze DA, Della Penna K, Desai R, Leitl MD, Lemaire W, White RB, Yeh S, Urban MO, Kane SA, Hartman GD, Bilodeau MT.</t>
  </si>
  <si>
    <t xml:space="preserve">10.1016/j.bmcl.2011.02.082</t>
  </si>
  <si>
    <t xml:space="preserve">Synthesis, in vitro and in vivo evaluation of fluorine-18 labelled FE-GW405833 as a PET tracer for type 2 cannabinoid receptor imaging.</t>
  </si>
  <si>
    <t xml:space="preserve">Evens N, Vandeputte C, Muccioli GG, Lambert DM, Baekelandt V, Verbruggen AM, Debyser Z, Van Laere K, Bormans GM.</t>
  </si>
  <si>
    <t xml:space="preserve">10.1016/j.bmc.2011.06.033</t>
  </si>
  <si>
    <t xml:space="preserve">Bioactive prenylogous cannabinoid from fiber hemp (Cannabis sativa).</t>
  </si>
  <si>
    <t xml:space="preserve">Pollastro F, Taglialatela-Scafati O, Allarà M, Muñoz E, Di Marzo V, De Petrocellis L, Appendino G.</t>
  </si>
  <si>
    <t xml:space="preserve">10.1021/np200500p</t>
  </si>
  <si>
    <t xml:space="preserve">Design and evaluation of a novel fluorescent CB2 ligand as probe for receptor visualization in immune cells.</t>
  </si>
  <si>
    <t xml:space="preserve">Petrov RR, Ferrini ME, Jaffar Z, Thompson CM, Roberts K, Diaz P.</t>
  </si>
  <si>
    <t xml:space="preserve">10.1016/j.bmcl.2011.07.099</t>
  </si>
  <si>
    <t xml:space="preserve">Contributions of academic laboratories to the discovery and development of chemical biology tools.</t>
  </si>
  <si>
    <t xml:space="preserve">Huryn DM, Resnick LO, Wipf P.</t>
  </si>
  <si>
    <t xml:space="preserve">10.1021/jm400132d</t>
  </si>
  <si>
    <t xml:space="preserve">Benzimidazole: an emerging scaffold for analgesic and anti-inflammatory agents.</t>
  </si>
  <si>
    <t xml:space="preserve">Gaba M, Singh S, Mohan C.</t>
  </si>
  <si>
    <t xml:space="preserve">10.1016/j.ejmech.2014.01.030</t>
  </si>
  <si>
    <t xml:space="preserve">Ultrapure ajulemic acid has improved CB2 selectivity with reduced CB1 activity.</t>
  </si>
  <si>
    <t xml:space="preserve">Tepper MA, Zurier RB, Burstein SH.</t>
  </si>
  <si>
    <t xml:space="preserve">10.1016/j.bmc.2014.04.062</t>
  </si>
  <si>
    <t xml:space="preserve">The SAR development of substituted purine derivatives as selective CB2 agonists for the treatment of chronic pain.</t>
  </si>
  <si>
    <t xml:space="preserve">Guidetti R, Astles PC, Sanderson AJ, Hollinshead SP, Johnson MP, Chambers MG.</t>
  </si>
  <si>
    <t xml:space="preserve">10.1016/j.bmcl.2014.11.006</t>
  </si>
  <si>
    <t xml:space="preserve">trans-Caryophyllene is a natural agonistic ligand for peroxisome proliferator-activated receptor-α.</t>
  </si>
  <si>
    <t xml:space="preserve">Wu C, Jia Y, Lee JH, Jun HJ, Lee HS, Hwang KY, Lee SJ.</t>
  </si>
  <si>
    <t xml:space="preserve">10.1016/j.bmcl.2014.04.112</t>
  </si>
  <si>
    <t xml:space="preserve">Novel sulfenamides and sulfonamides based on pyridazinone and pyridazine scaffolds as CB1 receptor ligand antagonists.</t>
  </si>
  <si>
    <t xml:space="preserve">Murineddu G, Deligia F, Ragusa G, García-Toscano L, Gómez-Cañas M, Asproni B, Satta V, Cichero E, Pazos R, Fossa P, Loriga G, Fernández-Ruiz J, Pinna GA.</t>
  </si>
  <si>
    <t xml:space="preserve">10.1016/j.bmc.2017.11.051</t>
  </si>
  <si>
    <t xml:space="preserve">Isolation of a High-Affinity Cannabinoid for the Human CB1 Receptor from a Medicinal Cannabis sativa Variety: Δ9-Tetrahydrocannabutol, the Butyl Homologue of Δ9-Tetrahydrocannabinol.</t>
  </si>
  <si>
    <t xml:space="preserve">Linciano P, Citti C, Luongo L, Belardo C, Maione S, Vandelli MA, Forni F, Gigli G, Laganà A, Montone CM, Cannazza G.</t>
  </si>
  <si>
    <t xml:space="preserve">10.1021/acs.jnatprod.9b00876</t>
  </si>
  <si>
    <t xml:space="preserve">Selective modulation of the cannabinoid type 1 (CB&lt;sub&gt;1&lt;/sub&gt;) receptor as an emerging platform for the treatment of neuropathic pain.</t>
  </si>
  <si>
    <t xml:space="preserve">Banister SD, Krishna Kumar K, Kumar V, Kobilka BK, Malhotra SV.</t>
  </si>
  <si>
    <t xml:space="preserve">10.1039/C8MD00595H</t>
  </si>
  <si>
    <t xml:space="preserve">Medicinal properties of terpenes found in Cannabis sativa and Humulus lupulus.</t>
  </si>
  <si>
    <t xml:space="preserve">Nuutinen T.</t>
  </si>
  <si>
    <t xml:space="preserve">10.1016/j.ejmech.2018.07.076</t>
  </si>
  <si>
    <t xml:space="preserve">DATASET</t>
  </si>
  <si>
    <t xml:space="preserve">Data for DCP probe PF-04457845</t>
  </si>
  <si>
    <t xml:space="preserve">SGC Frankfurt</t>
  </si>
  <si>
    <t xml:space="preserve">10.6019/CHEMBL4507297</t>
  </si>
  <si>
    <t xml:space="preserve">Pharmaceutical and medicinal significance of sulfur (S&lt;sup&gt;VI&lt;/sup&gt;)-Containing motifs for drug discovery: A critical review.</t>
  </si>
  <si>
    <t xml:space="preserve">Zhao C, Rakesh KP, Ravidar L, Fang WY, Qin HL.</t>
  </si>
  <si>
    <t xml:space="preserve">10.1016/j.ejmech.2018.11.017</t>
  </si>
  <si>
    <t xml:space="preserve">The Essential Medicinal Chemistry of Cannabidiol (CBD).</t>
  </si>
  <si>
    <t xml:space="preserve">Nelson KM,Bisson J,Singh G,Graham JG,Chen SN,Friesen JB,Dahlin JL,Niemitz M,Walters MA,Pauli GF</t>
  </si>
  <si>
    <t xml:space="preserve">10.1021/acs.jmedchem.0c00724</t>
  </si>
  <si>
    <t xml:space="preserve">Phytocannabinoid Pharmacology: Medicinal Properties of &lt;i&gt;Cannabis sativa&lt;/i&gt; Constituents Aside from the "Big Two".</t>
  </si>
  <si>
    <t xml:space="preserve">Sampson PB.</t>
  </si>
  <si>
    <t xml:space="preserve">10.1021/acs.jnatprod.0c00965</t>
  </si>
  <si>
    <t xml:space="preserve">Recent Scaffold Hopping Applications in Central Nervous System Drug Discovery.</t>
  </si>
  <si>
    <t xml:space="preserve">Callis TB, Garrett TR, Montgomery AP, Danon JJ, Kassiou M.</t>
  </si>
  <si>
    <t xml:space="preserve">10.1021/acs.jmedchem.2c00969</t>
  </si>
  <si>
    <t xml:space="preserve">Triazoles in Medicinal Chemistry: Physicochemical Properties, Bioisosterism, and Application.</t>
  </si>
  <si>
    <t xml:space="preserve">Guan Q, Xing S, Wang L, Zhu J, Guo C, Xu C, Zhao Q, Wu Y, Chen Y, Sun H.</t>
  </si>
  <si>
    <t xml:space="preserve">10.1021/acs.jmedchem.4c00652</t>
  </si>
  <si>
    <t xml:space="preserve">Chemistry and pharmacological aspects of furanoid cannabinoids and related compounds: Is furanoid cannabinoids open a new dimension towards the non-psychoactive cannabinoids?</t>
  </si>
  <si>
    <t xml:space="preserve">Anand R, Painuli R, Kumar V, Singh PP.</t>
  </si>
  <si>
    <t xml:space="preserve">10.1016/j.ejmech.2024.116164</t>
  </si>
  <si>
    <t xml:space="preserve">Chiral recognition of CIAC001 isomers in regulating pyruvate kinase M2 and mitigating neuroinflammation.</t>
  </si>
  <si>
    <t xml:space="preserve">Jin S, Wang X, Zhou X, Wu S, Tang Y, Jiang P, Xu H, Zhang W, Wang Y, Wang H, Lin C, Wang X.</t>
  </si>
  <si>
    <t xml:space="preserve">10.1016/j.ejmech.2025.117262</t>
  </si>
  <si>
    <t xml:space="preserve">Recent advances from computer-aided drug design to artificial intelligence drug design.</t>
  </si>
  <si>
    <t xml:space="preserve">Wang K, Huang Y, Wang Y, You Q, Wang L.</t>
  </si>
  <si>
    <t xml:space="preserve">10.1039/d4md00522h</t>
  </si>
  <si>
    <t xml:space="preserve">Synthesis and pharmacology of a very potent cannabinoid lacking a phenolic hydroxyl with high affinity for the CB2 receptor.</t>
  </si>
  <si>
    <t xml:space="preserve">Huffman JW, Yu S, Showalter V, Abood ME, Wiley JL, Compton DR, Martin BR, Bramblett RD, Reggio PH.</t>
  </si>
  <si>
    <t xml:space="preserve">10.1021/jm960394y</t>
  </si>
  <si>
    <t xml:space="preserve">New class of potent ligands for the human peripheral cannabinoid receptor</t>
  </si>
  <si>
    <t xml:space="preserve">Gallant M, Dufresne C, Gareau Y, Guay D, Leblanc Y, Prasit P, Rochette C, Sawyer N, Slipetz DM, Tremblay N, Metters KM, Labelle M</t>
  </si>
  <si>
    <t xml:space="preserve">10.1016/0960-894X(96)00426-X</t>
  </si>
  <si>
    <t xml:space="preserve">Structure activity relationships of tetrahydrocannabinol analogues on human cannabinoid receptors</t>
  </si>
  <si>
    <t xml:space="preserve">Gareau Y, Dufresne C, Gallant M, Rochette C, Sawyer N, Slipetz DM, Tremblay N, Weech PK, Metters KM, Labelle M</t>
  </si>
  <si>
    <t xml:space="preserve">10.1016/0960-894X(95)00573-C</t>
  </si>
  <si>
    <t xml:space="preserve">Importance of the C-1 substituent in classical cannabinoids to CB2 receptor selectivity: synthesis and characterization of a series of O,2-propano-delta 8-tetrahydrocannabinol analogs.</t>
  </si>
  <si>
    <t xml:space="preserve">Reggio PH, Wang T, Brown AE, Fleming DN, Seltzman HH, Griffin G, Pertwee RG, Compton DR, Abood ME, Martin BR.</t>
  </si>
  <si>
    <t xml:space="preserve">10.1021/jm970136g</t>
  </si>
  <si>
    <t xml:space="preserve">Cannabinol derivatives: binding to cannabinoid receptors and inhibition of adenylylcyclase.</t>
  </si>
  <si>
    <t xml:space="preserve">Rhee MH, Vogel Z, Barg J, Bayewitch M, Levy R, Hanus L, Breuer A, Mechoulam R.</t>
  </si>
  <si>
    <t xml:space="preserve">10.1021/jm970126f</t>
  </si>
  <si>
    <t xml:space="preserve">The bioactive conformation of aminoalkylindoles at the cannabinoid CB1 and CB2 receptors: insights gained from (E)- and (Z)-naphthylidene indenes.</t>
  </si>
  <si>
    <t xml:space="preserve">Reggio PH, Basu-Dutt S, Barnett-Norris J, Castro MT, Hurst DP, Seltzman HH, Roche MJ, Gilliam AF, Thomas BF, Stevenson LA, Pertwee RG, Abood ME.</t>
  </si>
  <si>
    <t xml:space="preserve">10.1021/jm9801197</t>
  </si>
  <si>
    <t xml:space="preserve">Novel cannabinol probes for CB1 and CB2 cannabinoid receptors.</t>
  </si>
  <si>
    <t xml:space="preserve">Mahadevan A, Siegel C, Martin BR, Abood ME, Beletskaya I, Razdan RK.</t>
  </si>
  <si>
    <t xml:space="preserve">10.1021/jm0001572</t>
  </si>
  <si>
    <t xml:space="preserve">A 3D-QSAR study on the structural requirements for binding to CB(1) and CB(2) cannabinoid receptors.</t>
  </si>
  <si>
    <t xml:space="preserve">Fichera M, Cruciani G, Bianchi A, Musumarra G.</t>
  </si>
  <si>
    <t xml:space="preserve">10.1021/jm991074s</t>
  </si>
  <si>
    <t xml:space="preserve">Design, synthesis and biological evaluation of novel arachidonic acid derivatives as highly potent and selective endocannabinoid transporter inhibitors.</t>
  </si>
  <si>
    <t xml:space="preserve">López-Rodríguez ML, Viso A, Ortega-Gutiérrez S, Lastres-Becker I, González S, Fernández-Ruiz J, Ramos JA.</t>
  </si>
  <si>
    <t xml:space="preserve">10.1021/jm015545y</t>
  </si>
  <si>
    <t xml:space="preserve">C-3 Amido-indole cannabinoid receptor modulators.</t>
  </si>
  <si>
    <t xml:space="preserve">Hynes J, Leftheris K, Wu H, Pandit C, Chen P, Norris DJ, Chen BC, Zhao R, Kiener PA, Chen X, Turk LA, Patil-Koota V, Gillooly KM, Shuster DJ, McIntyre KW.</t>
  </si>
  <si>
    <t xml:space="preserve">10.1016/s0960-894x(02)00466-3</t>
  </si>
  <si>
    <t xml:space="preserve">Synthesis and structure-activity relationships of amide and hydrazide analogues of the cannabinoid CB(1) receptor antagonist N-(piperidinyl)- 5-(4-chlorophenyl)-1-(2,4-dichlorophenyl)-4-methyl-1H-pyrazole-3-carboxamide (SR141716).</t>
  </si>
  <si>
    <t xml:space="preserve">Francisco ME, Seltzman HH, Gilliam AF, Mitchell RA, Rider SL, Pertwee RG, Stevenson LA, Thomas BF.</t>
  </si>
  <si>
    <t xml:space="preserve">10.1021/jm010498v</t>
  </si>
  <si>
    <t xml:space="preserve">Synthesis and testing of novel phenyl substituted side-chain analogues of classical cannabinoids.</t>
  </si>
  <si>
    <t xml:space="preserve">Krishnamurthy M, Ferreira AM, Moore BM.</t>
  </si>
  <si>
    <t xml:space="preserve">10.1016/s0960-894x(03)00729-7</t>
  </si>
  <si>
    <t xml:space="preserve">Modifications of the ethanolamine head in N-palmitoylethanolamine: synthesis and evaluation of new agents interfering with the metabolism of anandamide.</t>
  </si>
  <si>
    <t xml:space="preserve">Vandevoorde S, Jonsson KO, Fowler CJ, Lambert DM.</t>
  </si>
  <si>
    <t xml:space="preserve">10.1021/jm0209679</t>
  </si>
  <si>
    <t xml:space="preserve">Design, synthesis, and biological evaluation of new inhibitors of the endocannabinoid uptake: comparison with effects on fatty acid amidohydrolase.</t>
  </si>
  <si>
    <t xml:space="preserve">López-Rodríguez ML, Viso A, Ortega-Gutiérrez S, Fowler CJ, Tiger G, de Lago E, Fernández-Ruiz J, Ramos JA.</t>
  </si>
  <si>
    <t xml:space="preserve">10.1021/jm0210818</t>
  </si>
  <si>
    <t xml:space="preserve">2-Cyclohexylcarbonylbenzimidazoles as potent, orally available and brain-penetrable opioid receptor-like 1 (ORL1) antagonists.</t>
  </si>
  <si>
    <t xml:space="preserve">Kobayashi K, Uchiyama M, Takahashi H, Kawamoto H, Ito S, Yoshizumi T, Nakashima H, Kato T, Shimizu A, Yamamoto I, Asai M, Miyazoe H, Ohno A, Hirayama M, Ozaki S, Tani T, Ishii Y, Tanaka T, Mochidome T, Tadano K, Fukuroda T, Ohta H, Okamoto O.</t>
  </si>
  <si>
    <t xml:space="preserve">10.1016/j.bmcl.2009.04.023</t>
  </si>
  <si>
    <t xml:space="preserve">Design, synthesis, and biological evaluation of new 1,8-naphthyridin-4(1H)-on-3-carboxamide and quinolin-4(1H)-on-3-carboxamide derivatives as CB2 selective agonists.</t>
  </si>
  <si>
    <t xml:space="preserve">Manera C, Benetti V, Castelli MP, Cavallini T, Lazzarotti S, Pibiri F, Saccomanni G, Tuccinardi T, Vannacci A, Martinelli A, Ferrarini PL.</t>
  </si>
  <si>
    <t xml:space="preserve">10.1021/jm0603466</t>
  </si>
  <si>
    <t xml:space="preserve">Discovery of 2-[5-(4-chloro-phenyl)-1-(2,4-dichloro-phenyl)-4-ethyl-1H-pyrazol-3-yl]-1,5,5-trimethyl-1,5-dihydro-imidazol-4-thione (BPR-890) via an active metabolite. A novel, potent and selective cannabinoid-1 receptor inverse agonist with high antiobesity efficacy in DIO mice.</t>
  </si>
  <si>
    <t xml:space="preserve">Wu CH, Hung MS, Song JS, Yeh TK, Chou MC, Chu CM, Jan JJ, Hsieh MT, Tseng SL, Chang CP, Hsieh WP, Lin Y, Yeh YN, Chung WL, Kuo CW, Lin CY, Shy HS, Chao YS, Shia KS.</t>
  </si>
  <si>
    <t xml:space="preserve">10.1021/jm900471u</t>
  </si>
  <si>
    <t xml:space="preserve">Discovery of N-[(3R)-1-azabicyclo[2.2.2]oct-3-yl]furo[2,3-c]pyridine-5-carboxamide, an agonist of the alpha7 nicotinic acetylcholine receptor, for the potential treatment of cognitive deficits in schizophrenia: synthesis and structure--activity relationship.</t>
  </si>
  <si>
    <t xml:space="preserve">Wishka DG, Walker DP, Yates KM, Reitz SC, Jia S, Myers JK, Olson KL, Jacobsen EJ, Wolfe ML, Groppi VE, Hanchar AJ, Thornburgh BA, Cortes-Burgos LA, Wong EH, Staton BA, Raub TJ, Higdon NR, Wall TM, Hurst RS, Walters RR, Hoffmann WE, Hajos M, Franklin S, Carey G, Gold LH, Cook KK, Sands SB, Zhao SX, Soglia JR, Kalgutkar AS, Arneric SP, Rogers BN.</t>
  </si>
  <si>
    <t xml:space="preserve">10.1021/jm0602413</t>
  </si>
  <si>
    <t xml:space="preserve">Tricyclic pyrazoles. 4. Synthesis and biological evaluation of analogues of the robust and selective CB2 cannabinoid ligand 1-(2',4'-dichlorophenyl)-6-methyl-N-piperidin-1-yl-1,4-dihydroindeno[1,2-c]pyrazole-3-carboxamide.</t>
  </si>
  <si>
    <t xml:space="preserve">Murineddu G, Lazzari P, Ruiu S, Sanna A, Loriga G, Manca I, Falzoi M, Dessì C, Curzu MM, Chelucci G, Pani L, Pinna GA.</t>
  </si>
  <si>
    <t xml:space="preserve">10.1021/jm060920d</t>
  </si>
  <si>
    <t xml:space="preserve">Discovery of N-[(1S,2S)-3-(4-Chlorophenyl)-2- (3-cyanophenyl)-1-methylpropyl]-2-methyl-2- {[5-(trifluoromethyl)pyridin-2-yl]oxy}propanamide (MK-0364), a novel, acyclic cannabinoid-1 receptor inverse agonist for the treatment of obesity.</t>
  </si>
  <si>
    <t xml:space="preserve">Lin LS, Lanza TJ, Jewell JP, Liu P, Shah SK, Qi H, Tong X, Wang J, Xu SS, Fong TM, Shen CP, Lao J, Xiao JC, Shearman LP, Stribling DS, Rosko K, Strack A, Marsh DJ, Feng Y, Kumar S, Samuel K, Yin W, Van der Ploeg LH, Goulet MT, Hagmann WK.</t>
  </si>
  <si>
    <t xml:space="preserve">10.1021/jm060978s</t>
  </si>
  <si>
    <t xml:space="preserve">Arylsulfonamides as a new class of cannabinoid CB1 receptor ligands: identification of a lead and initial SAR studies.</t>
  </si>
  <si>
    <t xml:space="preserve">Lambeng N, Lebon F, Christophe B, Burton M, De Ryck M, Quéré L.</t>
  </si>
  <si>
    <t xml:space="preserve">10.1016/j.bmcl.2006.09.049</t>
  </si>
  <si>
    <t xml:space="preserve">Discovery of 2-(2-chlorophenyl)-3-(4-chlorophenyl)-7-(2,2-difluoropropyl)-6,7-dihydro-2H-pyrazolo[3,4-f][1,4]oxazepin-8(5H)-one (PF-514273), a novel, bicyclic lactam-based cannabinoid-1 receptor antagonist for the treatment of obesity.</t>
  </si>
  <si>
    <t xml:space="preserve">Dow RL, Carpino PA, Hadcock JR, Black SC, Iredale PA, DaSilva-Jardine P, Schneider SR, Paight ES, Griffith DA, Scott DO, O'Connor RE, Nduaka CI.</t>
  </si>
  <si>
    <t xml:space="preserve">10.1021/jm900255t</t>
  </si>
  <si>
    <t xml:space="preserve">Hair growth stimulator property of thienyl substituted pyrazole carboxamide derivatives as a CB1 receptor antagonist with in vivo antiobesity effect.</t>
  </si>
  <si>
    <t xml:space="preserve">Srivastava BK, Soni R, Patel JZ, Joharapurkar A, Sadhwani N, Kshirsagar S, Mishra B, Takale V, Gupta S, Pandya P, Kapadnis P, Solanki M, Patel H, Mitra P, Jain MR, Patel PR.</t>
  </si>
  <si>
    <t xml:space="preserve">10.1016/j.bmcl.2009.03.046</t>
  </si>
  <si>
    <t xml:space="preserve">Pyridopyrimidine based cannabinoid-1 receptor inverse agonists: Synthesis and biological evaluation.</t>
  </si>
  <si>
    <t xml:space="preserve">Debenham JS, Madsen-Duggan CB, Wang J, Tong X, Lao J, Fong TM, Schaeffer MT, Xiao JC, Huang CC, Shen CP, Sloan Stribling D, Shearman LP, Strack AM, Euan Macintyre D, Hale JJ, Walsh TF.</t>
  </si>
  <si>
    <t xml:space="preserve">10.1016/j.bmcl.2009.03.005</t>
  </si>
  <si>
    <t xml:space="preserve">Synthesis and SAR studies of 2-oxoquinoline derivatives as CB2 receptor inverse agonists.</t>
  </si>
  <si>
    <t xml:space="preserve">Raitio KH, Savinainen JR, Vepsäläinen J, Laitinen JT, Poso A, Järvinen T, Nevalainen T.</t>
  </si>
  <si>
    <t xml:space="preserve">10.1021/jm050879z</t>
  </si>
  <si>
    <t xml:space="preserve">Lead optimization of 5,6-diarylpyridines as CB1 receptor inverse agonists.</t>
  </si>
  <si>
    <t xml:space="preserve">Madsen-Duggan CB, Debenham JS, Walsh TF, Toupence RB, Huang SX, Wang J, Tong X, Lao J, Fong TM, Schaeffer MT, Xiao JC, Huang CR, Shen CP, Stribling DS, Shearman LP, Strack AM, MacIntyre DE, Van der Ploeg LH, Goulet MT.</t>
  </si>
  <si>
    <t xml:space="preserve">10.1016/j.bmcl.2007.01.005</t>
  </si>
  <si>
    <t xml:space="preserve">Pyridine-3-carboxamides as novel CB(2) agonists for analgesia.</t>
  </si>
  <si>
    <t xml:space="preserve">Mitchell WL, Giblin GM, Naylor A, Eatherton AJ, Slingsby BP, Rawlings AD, Jandu KS, Haslam CP, Brown AJ, Goldsmith P, Clayton NM, Wilson AW, Chessell IP, Green RH, Whittington AR, Wall ID.</t>
  </si>
  <si>
    <t xml:space="preserve">10.1016/j.bmcl.2008.10.118</t>
  </si>
  <si>
    <t xml:space="preserve">Diarylimidazolyl oxadiazole and thiadiazole derivatives as cannabinoid CB1 receptor antagonists.</t>
  </si>
  <si>
    <t xml:space="preserve">Kim JY, Seo HJ, Lee SH, Jung ME, Ahn K, Kim J, Lee J.</t>
  </si>
  <si>
    <t xml:space="preserve">10.1016/j.bmcl.2008.10.130</t>
  </si>
  <si>
    <t xml:space="preserve">Discovery of alpha-amidosulfones as potent and selective agonists of CB2: synthesis, SAR, and pharmacokinetic properties.</t>
  </si>
  <si>
    <t xml:space="preserve">Marx IE, DiMauro EF, Cheng A, Emkey R, Hitchcock SA, Huang L, Huang MY, Human J, Lee JH, Li X, Martin MW, White RD, Fremeau RT, Patel VF.</t>
  </si>
  <si>
    <t xml:space="preserve">10.1016/j.bmcl.2008.11.026</t>
  </si>
  <si>
    <t xml:space="preserve">Virtual screening of novel CB2 ligands using a comparative model of the human cannabinoid CB2 receptor.</t>
  </si>
  <si>
    <t xml:space="preserve">Salo OM, Raitio KH, Savinainen JR, Nevalainen T, Lahtela-Kakkonen M, Laitinen JT, Järvinen T, Poso A.</t>
  </si>
  <si>
    <t xml:space="preserve">10.1021/jm050565b</t>
  </si>
  <si>
    <t xml:space="preserve">Bioisosteric replacement of the pyrazole 5-aryl moiety of N-(piperidin-1-yl)-5-(4-chlorophenyl)-1-(2,4-dichlorophenyl)-4-methyl-1H-pyrazole-3-carboxamide (SR141716A). A novel series of alkynylthiophenes as potent and selective cannabinoid-1 receptor antagonists.</t>
  </si>
  <si>
    <t xml:space="preserve">Tseng SL, Hung MS, Chang CP, Song JS, Tai CL, Chiu HH, Hsieh WP, Lin Y, Chung WL, Kuo CW, Wu CH, Chu CM, Tung YS, Chao YS, Shia KS.</t>
  </si>
  <si>
    <t xml:space="preserve">10.1021/jm800066v</t>
  </si>
  <si>
    <t xml:space="preserve">Discovery and labeling of high-affinity 3,4-diarylpyrazolines as candidate radioligands for in vivo imaging of cannabinoid subtype-1 (CB1) receptors.</t>
  </si>
  <si>
    <t xml:space="preserve">Donohue SR, Pike VW, Finnema SJ, Truong P, Andersson J, Gulyás B, Halldin C.</t>
  </si>
  <si>
    <t xml:space="preserve">10.1021/jm800329z</t>
  </si>
  <si>
    <t xml:space="preserve">Synthesis, ex vivo evaluation, and radiolabeling of potent 1,5-diphenylpyrrolidin-2-one cannabinoid subtype-1 receptor ligands as candidates for in vivo imaging.</t>
  </si>
  <si>
    <t xml:space="preserve">Donohue SR, Krushinski JH, Pike VW, Chernet E, Phebus L, Chesterfield AK, Felder CC, Halldin C, Schaus JM.</t>
  </si>
  <si>
    <t xml:space="preserve">10.1021/jm800416m</t>
  </si>
  <si>
    <t xml:space="preserve">Rotationally constrained 2,4-diamino-5,6-disubstituted pyrimidines: a new class of histamine H4 receptor antagonists with improved druglikeness and in vivo efficacy in pain and inflammation models.</t>
  </si>
  <si>
    <t xml:space="preserve">Cowart MD, Altenbach RJ, Liu H, Hsieh GC, Drizin I, Milicic I, Miller TR, Witte DG, Wishart N, Fix-Stenzel SR, McPherson MJ, Adair RM, Wetter JM, Bettencourt BM, Marsh KC, Sullivan JP, Honore P, Esbenshade TA, Brioni JD.</t>
  </si>
  <si>
    <t xml:space="preserve">10.1021/jm800670r</t>
  </si>
  <si>
    <t xml:space="preserve">1-Benzhydryl-3-phenylurea and 1-benzhydryl-3-phenylthiourea derivatives: new templates among the CB1 cannabinoid receptor inverse agonists.</t>
  </si>
  <si>
    <t xml:space="preserve">Muccioli GG, Wouters J, Scriba GK, Poppitz W, Poupaert JH, Lambert DM.</t>
  </si>
  <si>
    <t xml:space="preserve">10.1021/jm0503906</t>
  </si>
  <si>
    <t xml:space="preserve">N-Alkylidenearylcarboxamides as new potent and selective CB(2) cannabinoid receptor agonists with good oral bioavailability.</t>
  </si>
  <si>
    <t xml:space="preserve">Ohta H, Ishizaka T, Tatsuzuki M, Yoshinaga M, Iida I, Tomishima Y, Toda Y, Saito S.</t>
  </si>
  <si>
    <t xml:space="preserve">10.1016/j.bmcl.2007.09.004</t>
  </si>
  <si>
    <t xml:space="preserve">The application of 3D-QSAR studies for novel cannabinoid ligands substituted at the C1' position of the alkyl side chain on the structural requirements for binding to cannabinoid receptors CB1 and CB2.</t>
  </si>
  <si>
    <t xml:space="preserve">Durdagi S, Kapou A, Kourouli T, Andreou T, Nikas SP, Nahmias VR, Papahatjis DP, Papadopoulos MG, Mavromoustakos T.</t>
  </si>
  <si>
    <t xml:space="preserve">10.1021/jm0610705</t>
  </si>
  <si>
    <t xml:space="preserve">1,2,3-Triazole derivatives as new cannabinoid CB1 receptor antagonists.</t>
  </si>
  <si>
    <t xml:space="preserve">Hou DR, Alam S, Kuan TC, Ramanathan M, Lin TP, Hung MS.</t>
  </si>
  <si>
    <t xml:space="preserve">10.1016/j.bmcl.2008.11.029</t>
  </si>
  <si>
    <t xml:space="preserve">Proc Natl Acad Sci U S A</t>
  </si>
  <si>
    <t xml:space="preserve">A-803467, a potent and selective Nav1.8 sodium channel blocker, attenuates neuropathic and inflammatory pain in the rat.</t>
  </si>
  <si>
    <t xml:space="preserve">Jarvis MF, Honore P, Shieh CC, Chapman M, Joshi S, Zhang XF, Kort M, Carroll W, Marron B, Atkinson R, Thomas J, Liu D, Krambis M, Liu Y, McGaraughty S, Chu K, Roeloffs R, Zhong C, Mikusa JP, Hernandez G, Gauvin D, Wade C, Zhu C, Pai M, Scanio M, Shi L, Drizin I, Gregg R, Matulenko M, Hakeem A, Gross M, Johnson M, Marsh K, Wagoner PK, Sullivan JP, Faltynek CR, Krafte DS.</t>
  </si>
  <si>
    <t xml:space="preserve">10.1073/pnas.0611364104</t>
  </si>
  <si>
    <t xml:space="preserve">Benzodioxoles: novel cannabinoid-1 receptor inverse agonists for the treatment of obesity.</t>
  </si>
  <si>
    <t xml:space="preserve">Alig L, Alsenz J, Andjelkovic M, Bendels S, Bénardeau A, Bleicher K, Bourson A, David-Pierson P, Guba W, Hildbrand S, Kube D, Lübbers T, Mayweg AV, Narquizian R, Neidhart W, Nettekoven M, Plancher JM, Rocha C, Rogers-Evans M, Röver S, Schneider G, Taylor S, Waldmeier P.</t>
  </si>
  <si>
    <t xml:space="preserve">10.1021/jm701487t</t>
  </si>
  <si>
    <t xml:space="preserve">Synthesis and characterization of a peripherally restricted CB1 cannabinoid antagonist, URB447, that reduces feeding and body-weight gain in mice.</t>
  </si>
  <si>
    <t xml:space="preserve">LoVerme J, Duranti A, Tontini A, Spadoni G, Mor M, Rivara S, Stella N, Xu C, Tarzia G, Piomelli D.</t>
  </si>
  <si>
    <t xml:space="preserve">10.1016/j.bmcl.2008.12.059</t>
  </si>
  <si>
    <t xml:space="preserve">Discovery of 2-[(2,4-dichlorophenyl)amino]-N-[(tetrahydro- 2H-pyran-4-yl)methyl]-4-(trifluoromethyl)- 5-pyrimidinecarboxamide, a selective CB2 receptor agonist for the treatment of inflammatory pain.</t>
  </si>
  <si>
    <t xml:space="preserve">Giblin GM, O'Shaughnessy CT, Naylor A, Mitchell WL, Eatherton AJ, Slingsby BP, Rawlings DA, Goldsmith P, Brown AJ, Haslam CP, Clayton NM, Wilson AW, Chessell IP, Wittington AR, Green R.</t>
  </si>
  <si>
    <t xml:space="preserve">10.1021/jm061195+</t>
  </si>
  <si>
    <t xml:space="preserve">Tetrazole-biarylpyrazole derivatives as cannabinoid CB1 receptor antagonists.</t>
  </si>
  <si>
    <t xml:space="preserve">Kang SY, Lee SH, Seo HJ, Jung ME, Ahn K, Kim J, Lee J.</t>
  </si>
  <si>
    <t xml:space="preserve">10.1016/j.bmcl.2008.02.061</t>
  </si>
  <si>
    <t xml:space="preserve">Imine derivatives as new potent and selective CB2 cannabinoid receptor agonists with an analgesic action.</t>
  </si>
  <si>
    <t xml:space="preserve">Ohta H, Ishizaka T, Tatsuzuki M, Yoshinaga M, Iida I, Yamaguchi T, Tomishima Y, Futaki N, Toda Y, Saito S.</t>
  </si>
  <si>
    <t xml:space="preserve">10.1016/j.bmc.2007.10.087</t>
  </si>
  <si>
    <t xml:space="preserve">Synthesis and SAR of 5,6-diarylpyridines as human CB1 inverse agonists.</t>
  </si>
  <si>
    <t xml:space="preserve">Meurer LC, Finke PE, Mills SG, Walsh TF, Toupence RB, Debenham JS, Goulet MT, Wang J, Tong X, Fong TM, Lao J, Schaeffer MT, Chen J, Shen CP, Sloan Stribling D, Shearman LP, Strack AM, Van der Ploeg LH.</t>
  </si>
  <si>
    <t xml:space="preserve">10.1016/j.bmcl.2004.11.031</t>
  </si>
  <si>
    <t xml:space="preserve">Synthesis and biological evaluation of several structural analogs of 2-arachidonoylglycerol, an endogenous cannabinoid receptor ligand.</t>
  </si>
  <si>
    <t xml:space="preserve">Suhara Y, Oka S, Kittaka A, Takayama H, Waku K, Sugiura T.</t>
  </si>
  <si>
    <t xml:space="preserve">10.1016/j.bmc.2006.10.049</t>
  </si>
  <si>
    <t xml:space="preserve">Substituted acyclic sulfonamides as human cannabinoid-1 receptor inverse agonists.</t>
  </si>
  <si>
    <t xml:space="preserve">Armstrong HE, Galka A, Lin LS, Lanza TJ, Jewell JP, Shah SK, Guthikonda R, Truong Q, Chang LL, Quaker G, Colandrea VJ, Tong X, Wang J, Xu S, Fong TM, Shen CP, Lao J, Chen J, Shearman LP, Stribling DS, Rosko K, Strack A, Ha S, Van der Ploeg L, Goulet MT, Hagmann WK.</t>
  </si>
  <si>
    <t xml:space="preserve">10.1016/j.bmcl.2007.01.087</t>
  </si>
  <si>
    <t xml:space="preserve">5-Sulfonyl-benzimidazoles as selective CB2 agonists.</t>
  </si>
  <si>
    <t xml:space="preserve">Verbist BM, De Cleyn MA, Surkyn M, Fraiponts E, Aerssens J, Nijsen MJ, Gijsen HJ.</t>
  </si>
  <si>
    <t xml:space="preserve">10.1016/j.bmcl.2008.03.048</t>
  </si>
  <si>
    <t xml:space="preserve">Esters, retroesters, and a retroamide of palmitic acid: pool for the first selective inhibitors of N-palmitoylethanolamine-selective acid amidase.</t>
  </si>
  <si>
    <t xml:space="preserve">Vandevoorde S, Tsuboi K, Ueda N, Jonsson KO, Fowler CJ, Lambert DM.</t>
  </si>
  <si>
    <t xml:space="preserve">10.1021/jm0340795</t>
  </si>
  <si>
    <t xml:space="preserve">Substituted 5,5'-diphenyl-2-thioxoimidazolidin-4-one as CB1 cannabinoid receptor ligands: synthesis and pharmacological evaluation.</t>
  </si>
  <si>
    <t xml:space="preserve">Muccioli GG, Martin D, Scriba GK, Poppitz W, Poupaert JH, Wouters J, Lambert DM.</t>
  </si>
  <si>
    <t xml:space="preserve">10.1021/jm049263k</t>
  </si>
  <si>
    <t xml:space="preserve">Discovery of N-{(1S,2S)-2-(3-cyanophenyl)- 3-[4-(2-[18F]fluoroethoxy)phenyl]-1-methylpropyl}- 2-methyl-2-[(5-methylpyridin-2-yl)oxy]propanamide, a cannabinoid-1 receptor positron emission tomography tracer suitable for clinical use.</t>
  </si>
  <si>
    <t xml:space="preserve">Liu P, Lin LS, Hamill TG, Jewell JP, Lanza TJ, Gibson RE, Krause SM, Ryan C, Eng W, Sanabria S, Tong X, Wang J, Levorse DA, Owens KA, Fong TM, Shen CP, Lao J, Kumar S, Yin W, Payack JF, Springfield SA, Hargreaves R, Burns HD, Goulet MT, Hagmann WK.</t>
  </si>
  <si>
    <t xml:space="preserve">10.1021/jm070131b</t>
  </si>
  <si>
    <t xml:space="preserve">The role of fluorine substitution in the structure-activity relationships (SAR) of classical cannabinoids.</t>
  </si>
  <si>
    <t xml:space="preserve">Crocker PJ, Mahadevan A, Wiley JL, Martin BR, Razdan RK.</t>
  </si>
  <si>
    <t xml:space="preserve">10.1016/j.bmcl.2007.01.006</t>
  </si>
  <si>
    <t xml:space="preserve">Synthesis, biological properties, and molecular modeling investigations of novel 3,4-diarylpyrazolines as potent and selective CB(1) cannabinoid receptor antagonists.</t>
  </si>
  <si>
    <t xml:space="preserve">Lange JH, Coolen HK, van Stuivenberg HH, Dijksman JA, Herremans AH, Ronken E, Keizer HG, Tipker K, McCreary AC, Veerman W, Wals HC, Stork B, Verveer PC, den Hartog AP, de Jong NM, Adolfs TJ, Hoogendoorn J, Kruse CG.</t>
  </si>
  <si>
    <t xml:space="preserve">10.1021/jm031019q</t>
  </si>
  <si>
    <t xml:space="preserve">Substituted 2-thioxoimidazolidin-4-ones and imidazolidine-2,4-diones as fatty acid amide hydrolase inhibitors templates.</t>
  </si>
  <si>
    <t xml:space="preserve">Muccioli GG, Fazio N, Scriba GK, Poppitz W, Cannata F, Poupaert JH, Wouters J, Lambert DM.</t>
  </si>
  <si>
    <t xml:space="preserve">10.1021/jm050977k</t>
  </si>
  <si>
    <t xml:space="preserve">Synthesis and in vivo validation of [O-methyl-11C]2-{4-[4-(7-methoxynaphthalen-1-yl)piperazin- 1-yl]butyl}-4-methyl-2H-[1,2,4]triazine-3,5-dione: a novel 5-HT1A receptor agonist positron emission tomography ligand.</t>
  </si>
  <si>
    <t xml:space="preserve">Kumar JS, Majo VJ, Hsiung SC, Millak MS, Liu KP, Tamir H, Prabhakaran J, Simpson NR, Van Heertum RL, Mann JJ, Parsey RV.</t>
  </si>
  <si>
    <t xml:space="preserve">10.1021/jm050725j</t>
  </si>
  <si>
    <t xml:space="preserve">Synthesis and activity of 1,3,5-triphenylimidazolidine-2,4-diones and 1,3,5-triphenyl-2-thioxoimidazolidin-4-ones: characterization of new CB1 cannabinoid receptor inverse agonists/antagonists.</t>
  </si>
  <si>
    <t xml:space="preserve">Muccioli GG, Wouters J, Charlier C, Scriba GK, Pizza T, Di Pace P, De Martino P, Poppitz W, Poupaert JH, Lambert DM.</t>
  </si>
  <si>
    <t xml:space="preserve">10.1021/jm050484f</t>
  </si>
  <si>
    <t xml:space="preserve">Naphthalen-1-yl-(4-pentyloxynaphthalen-1-yl)methanone: a potent, orally bioavailable human CB1/CB2 dual agonist with antihyperalgesic properties and restricted central nervous system penetration.</t>
  </si>
  <si>
    <t xml:space="preserve">Dziadulewicz EK, Bevan SJ, Brain CT, Coote PR, Culshaw AJ, Davis AJ, Edwards LJ, Fisher AJ, Fox AJ, Gentry C, Groarke A, Hart TW, Huber W, James IF, Kesingland A, La Vecchia L, Loong Y, Lyothier I, McNair K, O'Farrell C, Peacock M, Portmann R, Schopfer U, Yaqoob M, Zadrobilek J.</t>
  </si>
  <si>
    <t xml:space="preserve">10.1021/jm070317a</t>
  </si>
  <si>
    <t xml:space="preserve">1,2,4-triazol-3-yl-thiopropyl-tetrahydrobenzazepines: a series of potent and selective dopamine D(3) receptor antagonists.</t>
  </si>
  <si>
    <t xml:space="preserve">Micheli F, Bonanomi G, Blaney FE, Braggio S, Capelli AM, Checchia A, Curcuruto O, Damiani F, Fabio RD, Donati D, Gentile G, Gribble A, Hamprecht D, Tedesco G, Terreni S, Tarsi L, Lightfoot A, Stemp G, Macdonald G, Smith A, Pecoraro M, Petrone M, Perini O, Piner J, Rossi T, Worby A, Pilla M, Valerio E, Griffante C, Mugnaini M, Wood M, Scott C, Andreoli M, Lacroix L, Schwarz A, Gozzi A, Bifone A, Ashby CR, Hagan JJ, Heidbreder C.</t>
  </si>
  <si>
    <t xml:space="preserve">10.1021/jm0705612</t>
  </si>
  <si>
    <t xml:space="preserve">Synthesis of functionalized 1,8-naphthyridinones and their evaluation as novel, orally active CB1 receptor inverse agonists.</t>
  </si>
  <si>
    <t xml:space="preserve">Debenham JS, Madsen-Duggan CB, Walsh TF, Wang J, Tong X, Doss GA, Lao J, Fong TM, Schaeffer MT, Xiao JC, Huang CR, Shen CP, Feng Y, Marsh DJ, Stribling DS, Shearman LP, Strack AM, MacIntyre DE, Van der Ploeg LH, Goulet MT.</t>
  </si>
  <si>
    <t xml:space="preserve">10.1016/j.bmcl.2005.10.028</t>
  </si>
  <si>
    <t xml:space="preserve">New bicyclic cannabinoid receptor-1 (CB1-R) antagonists.</t>
  </si>
  <si>
    <t xml:space="preserve">Carpino PA, Griffith DA, Sakya S, Dow RL, Black SC, Hadcock JR, Iredale PA, Scott DO, Fichtner MW, Rose CR, Day R, Dibrino J, Butler M, Debartolo DB, Dutcher D, Gautreau D, Lizano JS, O'connor RE, Sands MA, Kelly-Sullivan D, Ward KM.</t>
  </si>
  <si>
    <t xml:space="preserve">10.1016/j.bmcl.2005.10.019</t>
  </si>
  <si>
    <t xml:space="preserve">Sulfonamide derivatives as new potent and selective CB2 cannabinoid receptor agonists.</t>
  </si>
  <si>
    <t xml:space="preserve">Ohta H, Ishizaka T, Yoshinaga M, Morita A, Tomishima Y, Toda Y, Saito S.</t>
  </si>
  <si>
    <t xml:space="preserve">10.1016/j.bmcl.2007.07.005</t>
  </si>
  <si>
    <t xml:space="preserve">Synthesis and cannabinoid activity of 1-substituted-indole-3-oxadiazole derivatives: novel agonists for the CB1 receptor.</t>
  </si>
  <si>
    <t xml:space="preserve">Moloney GP, Angus JA, Robertson AD, Stoermer MJ, Robinson M, Wright CE, McRae K, Christopoulos A.</t>
  </si>
  <si>
    <t xml:space="preserve">10.1016/j.ejmech.2007.04.007</t>
  </si>
  <si>
    <t xml:space="preserve">Aminopyrazine CB1 receptor inverse agonists.</t>
  </si>
  <si>
    <t xml:space="preserve">Wustrow DJ, Maynard GD, Yuan J, Zhao H, Mao J, Guo Q, Kershaw M, Hammer J, Brodbeck RM, Near KE, Zhou D, Beers DS, Chenard BL, Krause JE, Hutchison AJ.</t>
  </si>
  <si>
    <t xml:space="preserve">10.1016/j.bmcl.2008.04.022</t>
  </si>
  <si>
    <t xml:space="preserve">Biarylpyrazolyl oxadiazole as potent, selective, orally bioavailable cannabinoid-1 receptor antagonists for the treatment of obesity.</t>
  </si>
  <si>
    <t xml:space="preserve">Lee SH, Seo HJ, Lee SH, Jung ME, Park JH, Park HJ, Yoo J, Yun H, Na J, Kang SY, Song KS, Kim MA, Chang CH, Kim J, Lee J.</t>
  </si>
  <si>
    <t xml:space="preserve">10.1021/jm800843r</t>
  </si>
  <si>
    <t xml:space="preserve">Synthesis of quinolinyl and isoquinolinyl phenyl ketones as novel agonists for the cannabinoid CB2 receptor.</t>
  </si>
  <si>
    <t xml:space="preserve">Reux B, Nevalainen T, Raitio KH, Koskinen AM.</t>
  </si>
  <si>
    <t xml:space="preserve">10.1016/j.bmc.2009.05.013</t>
  </si>
  <si>
    <t xml:space="preserve">Oxo-bridged isomers of aza-trishomocubane sigma (sigma) receptor ligands: Synthesis, in vitro binding, and molecular modeling.</t>
  </si>
  <si>
    <t xml:space="preserve">Banister SD, Moussa IA, Jordan MJ, Coster MJ, Kassiou M.</t>
  </si>
  <si>
    <t xml:space="preserve">10.1016/j.bmcl.2009.11.019</t>
  </si>
  <si>
    <t xml:space="preserve">Synthesis and evaluation of 3-amino-6-aryl-pyridazines as selective CB(2) agonists for the treatment of inflammatory pain.</t>
  </si>
  <si>
    <t xml:space="preserve">Gleave RJ, Beswick PJ, Brown AJ, Giblin GM, Goldsmith P, Haslam CP, Mitchell WL, Nicholson NH, Page LW, Patel S, Roomans S, Slingsby BP, Swarbrick ME.</t>
  </si>
  <si>
    <t xml:space="preserve">10.1016/j.bmcl.2009.11.117</t>
  </si>
  <si>
    <t xml:space="preserve">1-Sulfonyl-4-acylpiperazines as selective cannabinoid-1 receptor (CB1R) inverse agonists for the treatment of obesity.</t>
  </si>
  <si>
    <t xml:space="preserve">Vachal P, Fletcher JM, Fong TM, Huang CC, Lao J, Xiao JC, Shen CP, Strack AM, Shearman L, Stribling S, Chen RZ, Frassetto A, Tong X, Wang J, Ball RG, Tsou NN, Hickey GJ, Thompson DF, Faidley TD, Nicolich S, Achanfuo-Yeboah J, Hora DF, Hale JJ, Hagmann WK.</t>
  </si>
  <si>
    <t xml:space="preserve">10.1021/jm900063x</t>
  </si>
  <si>
    <t xml:space="preserve">Rapid assessment of a novel series of selective CB(2) agonists using parallel synthesis protocols: A Lipophilic Efficiency (LipE) analysis.</t>
  </si>
  <si>
    <t xml:space="preserve">Ryckmans T, Edwards MP, Horne VA, Correia AM, Owen DR, Thompson LR, Tran I, Tutt MF, Young T.</t>
  </si>
  <si>
    <t xml:space="preserve">10.1016/j.bmcl.2009.05.062</t>
  </si>
  <si>
    <t xml:space="preserve">Quantitative structure-activity relationship (QSAR) for a series of novel cannabinoid derivatives using descriptors derived from semi-empirical quantum-chemical calculations.</t>
  </si>
  <si>
    <t xml:space="preserve">Ferreira AM, Krishnamurthy M, Moore BM, Finkelstein D, Bashford D.</t>
  </si>
  <si>
    <t xml:space="preserve">10.1016/j.bmc.2008.11.059</t>
  </si>
  <si>
    <t xml:space="preserve">Oxadiazole-diarylpyrazole 4-carboxamides as cannabinoid CB1 receptor ligands.</t>
  </si>
  <si>
    <t xml:space="preserve">Lee SH, Seo HJ, Kim MJ, Kang SY, Song KS, Lee SH, Jung ME, Kim J, Lee J.</t>
  </si>
  <si>
    <t xml:space="preserve">10.1016/j.bmcl.2009.02.063</t>
  </si>
  <si>
    <t xml:space="preserve">Substituted pyrimidines as cannabinoid CB1 receptor ligands.</t>
  </si>
  <si>
    <t xml:space="preserve">Kim MJ, Kim JY, Seo HJ, Lee J, Lee SH, Kim MS, Kang J, Kim J, Lee J.</t>
  </si>
  <si>
    <t xml:space="preserve">10.1016/j.bmcl.2009.06.069</t>
  </si>
  <si>
    <t xml:space="preserve">Synthesis and in vitro autoradiographic evaluation of a novel high-affinity radioiodinated ligand for imaging brain cannabinoid subtype-1 receptors.</t>
  </si>
  <si>
    <t xml:space="preserve">Donohue SR, Varnäs K, Jia Z, Gulyás B, Pike VW, Halldin C.</t>
  </si>
  <si>
    <t xml:space="preserve">10.1016/j.bmcl.2009.08.092</t>
  </si>
  <si>
    <t xml:space="preserve">Synthesis and evaluation of N-[(1S,2S)-3-(4-chlorophenyl)-2-(3-cyanophenyl)-1-methylpropyl]-2-methyl-2-aminopropanamide as human cannabinoid-1 receptor (CB1R) inverse agonists.</t>
  </si>
  <si>
    <t xml:space="preserve">Du W, Jewell JP, Lin LS, Colandrea VJ, Xiao JC, Lao J, Shen CP, Bateman TJ, Reddy VB, Ha SN, Shah SK, Fong TM, Hale JJ, Hagmann WK.</t>
  </si>
  <si>
    <t xml:space="preserve">10.1016/j.bmcl.2009.07.046</t>
  </si>
  <si>
    <t xml:space="preserve">Emerging targets in osteoporosis disease modification.</t>
  </si>
  <si>
    <t xml:space="preserve">Allen JG, Fotsch C, Babij P.</t>
  </si>
  <si>
    <t xml:space="preserve">10.1021/jm9018756</t>
  </si>
  <si>
    <t xml:space="preserve">Comparative molecular dynamics simulations of the potent synthetic classical cannabinoid ligand AMG3 in solution and at binding site of the CB1 and CB2 receptors.</t>
  </si>
  <si>
    <t xml:space="preserve">Durdagi S, Reis H, Papadopoulos MG, Mavromoustakos T.</t>
  </si>
  <si>
    <t xml:space="preserve">10.1016/j.bmc.2008.06.019</t>
  </si>
  <si>
    <t xml:space="preserve">Design and optimization of potent, selective antagonists of Oxytocin.</t>
  </si>
  <si>
    <t xml:space="preserve">Brown A, Brown L, Ellis D, Puhalo N, Smith CR, Wallace O, Watson L.</t>
  </si>
  <si>
    <t xml:space="preserve">10.1016/j.bmcl.2008.06.098</t>
  </si>
  <si>
    <t xml:space="preserve">Structural modifications of N-arylamide oxadiazoles: Identification of N-arylpiperidine oxadiazoles as potent and selective agonists of CB2.</t>
  </si>
  <si>
    <t xml:space="preserve">DiMauro EF, Buchanan JL, Cheng A, Emkey R, Hitchcock SA, Huang L, Huang MY, Janosky B, Lee JH, Li X, Martin MW, Tomlinson SA, White RD, Zheng XM, Patel VF, Fremeau RT.</t>
  </si>
  <si>
    <t xml:space="preserve">10.1016/j.bmcl.2008.06.096</t>
  </si>
  <si>
    <t xml:space="preserve">Discovery of 1-[4-(3-chlorophenylamino)-1-methyl-1H-pyrrolo[3,2-c]pyridin-7-yl]-1-morpholin-4-ylmethanone (GSK554418A), a brain penetrant 5-azaindole CB2 agonist for the treatment of chronic pain.</t>
  </si>
  <si>
    <t xml:space="preserve">Giblin GM, Billinton A, Briggs M, Brown AJ, Chessell IP, Clayton NM, Eatherton AJ, Goldsmith P, Haslam C, Johnson MR, Mitchell WL, Naylor A, Perboni A, Slingsby BP, Wilson AW.</t>
  </si>
  <si>
    <t xml:space="preserve">10.1021/jm9009857</t>
  </si>
  <si>
    <t xml:space="preserve">Pentacycle derivatives as cannabinoid CB1 receptor ligands.</t>
  </si>
  <si>
    <t xml:space="preserve">Lee SH, Seo HJ, Kim MJ, Kang SY, Lee SH, Ahn K, Lee M, Han HK, Kim J, Lee J.</t>
  </si>
  <si>
    <t xml:space="preserve">10.1016/j.bmcl.2009.10.015</t>
  </si>
  <si>
    <t xml:space="preserve">2-Amino-5-aryl-pyridines as selective CB2 agonists: synthesis and investigation of structure-activity relationships.</t>
  </si>
  <si>
    <t xml:space="preserve">Gleave RJ, Beswick PJ, Brown AJ, Giblin GM, Haslam CP, Livermore D, Moses A, Nicholson NH, Page LW, Slingsby B, Swarbrick ME.</t>
  </si>
  <si>
    <t xml:space="preserve">10.1016/j.bmcl.2009.10.041</t>
  </si>
  <si>
    <t xml:space="preserve">Furo[2,3-b]pyridine-based cannabinoid-1 receptor inverse agonists: synthesis and biological evaluation. Part 1.</t>
  </si>
  <si>
    <t xml:space="preserve">Debenham JS, Madsen-Duggan CB, Toupence RB, Walsh TF, Wang J, Tong X, Kumar S, Lao J, Fong TM, Xiao JC, Huang CR, Shen CP, Feng Y, Marsh DJ, Stribling DS, Shearman LP, Strack AM, Goulet MT.</t>
  </si>
  <si>
    <t xml:space="preserve">10.1016/j.bmcl.2009.12.065</t>
  </si>
  <si>
    <t xml:space="preserve">Hemopressin is an inverse agonist of CB1 cannabinoid receptors.</t>
  </si>
  <si>
    <t xml:space="preserve">Heimann AS, Gomes I, Dale CS, Pagano RL, Gupta A, de Souza LL, Luchessi AD, Castro LM, Giorgi R, Rioli V, Ferro ES, Devi LA.</t>
  </si>
  <si>
    <t xml:space="preserve">10.1073/pnas.0706980105</t>
  </si>
  <si>
    <t xml:space="preserve">Discovery and optimization of a novel series of N-arylamide oxadiazoles as potent, highly selective and orally bioavailable cannabinoid receptor 2 (CB2) agonists.</t>
  </si>
  <si>
    <t xml:space="preserve">Cheng Y, Albrecht BK, Brown J, Buchanan JL, Buckner WH, DiMauro EF, Emkey R, Fremeau RT, Harmange JC, Hoffman BJ, Huang L, Huang M, Lee JH, Lin FF, Martin MW, Nguyen HQ, Patel VF, Tomlinson SA, White RD, Xia X, Hitchcock SA.</t>
  </si>
  <si>
    <t xml:space="preserve">10.1021/jm800463f</t>
  </si>
  <si>
    <t xml:space="preserve">Synthesis and structure-activity relationship of substitutions at the C-1 position of Delta9-tetrahydrocannabinol.</t>
  </si>
  <si>
    <t xml:space="preserve">Burdick D, DeOrazio R, Guzzo P, Habershaw A, Helle M, Paul B, Wolf M.</t>
  </si>
  <si>
    <t xml:space="preserve">10.1016/j.bmcl.2009.12.092</t>
  </si>
  <si>
    <t xml:space="preserve">Design, synthesis and biological evaluation of piperazine analogues as CB1 cannabinoid receptor ligands.</t>
  </si>
  <si>
    <t xml:space="preserve">Song KS, Lee SH, Chun HJ, Kim JY, Jung ME, Ahn K, Kim SU, Kim J, Lee J.</t>
  </si>
  <si>
    <t xml:space="preserve">10.1016/j.bmc.2008.01.023</t>
  </si>
  <si>
    <t xml:space="preserve">Synthesis and in vitro biological evaluation of carbon-11-labeled quinoline derivatives as new candidate PET radioligands for cannabinoid CB2 receptor imaging.</t>
  </si>
  <si>
    <t xml:space="preserve">Gao M, Wang M, Miller KD, Hutchins GD, Zheng QH.</t>
  </si>
  <si>
    <t xml:space="preserve">10.1016/j.bmc.2010.02.011</t>
  </si>
  <si>
    <t xml:space="preserve">Novel KCNQ2/Q3 agonists as potential therapeutics for epilepsy and neuropathic pain.</t>
  </si>
  <si>
    <t xml:space="preserve">Fritch PC, McNaughton-Smith G, Amato GS, Burns JF, Eargle CW, Roeloffs R, Harrison W, Jones L, Wickenden AD.</t>
  </si>
  <si>
    <t xml:space="preserve">10.1021/jm901497b</t>
  </si>
  <si>
    <t xml:space="preserve">Discovery of N-[(4R)-6-(4-chlorophenyl)-7-(2,4-dichlorophenyl)-2,2-dimethyl-3,4-dihydro-2H-pyrano[2,3-b]pyridin-4-yl]-5-methyl-1H-pyrazole-3-carboxamide (MK-5596) as a novel cannabinoid-1 receptor (CB1R) inverse agonist for the treatment of obesity.</t>
  </si>
  <si>
    <t xml:space="preserve">Yan L, Huo P, Debenham JS, Madsen-Duggan CB, Lao J, Chen RZ, Xiao JC, Shen CP, Stribling DS, Shearman LP, Strack AM, Tsou N, Ball RG, Wang J, Tong X, Bateman TJ, Reddy VB, Fong TM, Hale JJ.</t>
  </si>
  <si>
    <t xml:space="preserve">10.1021/jm100023j</t>
  </si>
  <si>
    <t xml:space="preserve">Synthesis, in vitro and in vivo evaluation, and radiolabeling of aryl anandamide analogues as candidate radioligands for in vivo imaging of fatty acid amide hydrolase in the brain.</t>
  </si>
  <si>
    <t xml:space="preserve">Wyffels L, Muccioli GG, De Bruyne S, Moerman L, Sambre J, Lambert DM, De Vos F.</t>
  </si>
  <si>
    <t xml:space="preserve">10.1021/jm900324e</t>
  </si>
  <si>
    <t xml:space="preserve">Synthesis and biological evaluation of new potential inhibitors of N-acylethanolamine hydrolyzing acid amidase.</t>
  </si>
  <si>
    <t xml:space="preserve">Saturnino C, Petrosino S, Ligresti A, Palladino C, De Martino G, Bisogno T, Di Marzo V.</t>
  </si>
  <si>
    <t xml:space="preserve">10.1016/j.bmcl.2009.11.134</t>
  </si>
  <si>
    <t xml:space="preserve">Dihydro-pyrano[2,3-b]pyridines and tetrahydro-1,8-naphthyridines as CB1 receptor inverse agonists: synthesis, SAR and biological evaluation.</t>
  </si>
  <si>
    <t xml:space="preserve">Madsen-Duggan CB, Debenham JS, Walsh TF, Yan L, Huo P, Wang J, Tong X, Lao J, Fong TM, Xiao JC, Huang CR, Shen CP, Stribling DS, Shearman LP, Strack AM, Goulet MT, Hale JJ.</t>
  </si>
  <si>
    <t xml:space="preserve">10.1016/j.bmcl.2010.04.071</t>
  </si>
  <si>
    <t xml:space="preserve">Synthesis and structure-activity relationship of 1,2,4-triazole-containing diarylpyrazolyl carboxamide as CB1 cannabinoid receptor-ligand.</t>
  </si>
  <si>
    <t xml:space="preserve">Seo HJ, Kim MJ, Lee SH, Lee SH, Jung ME, Kim MS, Ahn K, Kim J, Lee J.</t>
  </si>
  <si>
    <t xml:space="preserve">10.1016/j.bmc.2009.12.040</t>
  </si>
  <si>
    <t xml:space="preserve">PubChem BioAssay data set</t>
  </si>
  <si>
    <t xml:space="preserve">Nat Chem Biol</t>
  </si>
  <si>
    <t xml:space="preserve">Selective blockade of 2-arachidonoylglycerol hydrolysis produces cannabinoid behavioral effects.</t>
  </si>
  <si>
    <t xml:space="preserve">Long JZ, Li W, Booker L, Burston JJ, Kinsey SG, Schlosburg JE, Pavón FJ, Serrano AM, Selley DE, Parsons LH, Lichtman AH, Cravatt BF.</t>
  </si>
  <si>
    <t xml:space="preserve">10.1038/nchembio.129</t>
  </si>
  <si>
    <t xml:space="preserve">Discovery of 2-(4-((1H-1,2,4-triazol-1-yl)methyl)-5-(4-bromophenyl)-1-(2-chlorophenyl)-1H-pyrazol-3-yl)-5-tert-butyl-1,3,4-thiadiazole (GCC2680) as a potent, selective and orally efficacious cannabinoid-1 receptor antagonist.</t>
  </si>
  <si>
    <t xml:space="preserve">Lee J, Seo HJ, Lee SH, Kim J, Jung ME, Lee SH, Song KS, Lee J, Kang SY, Kim MJ, Kim MS, Son EJ, Lee M, Han HK.</t>
  </si>
  <si>
    <t xml:space="preserve">10.1016/j.bmc.2010.07.013</t>
  </si>
  <si>
    <t xml:space="preserve">Synthesis and biodistribution of [11C]A-836339, a new potential radioligand for PET imaging of cannabinoid type 2 receptors (CB2).</t>
  </si>
  <si>
    <t xml:space="preserve">Horti AG, Gao Y, Ravert HT, Finley P, Valentine H, Wong DF, Endres CJ, Savonenko AV, Dannals RF.</t>
  </si>
  <si>
    <t xml:space="preserve">10.1016/j.bmc.2010.05.058</t>
  </si>
  <si>
    <t xml:space="preserve">Expansion of SAR studies on triaryl bis sulfone cannabinoid CB2 receptor ligands.</t>
  </si>
  <si>
    <t xml:space="preserve">Tong L, Shankar BB, Chen L, Rizvi R, Kelly J, Gilbert E, Huang C, Yang DY, Kozlowski JA, Shih NY, Gonsiorek W, Hipkin RW, Malikzay A, Lunn CA, Lundell DJ.</t>
  </si>
  <si>
    <t xml:space="preserve">10.1016/j.bmcl.2010.08.126</t>
  </si>
  <si>
    <t xml:space="preserve">Microwave-assisted synthesis of quinoline, isoquinoline, quinoxaline and quinazoline derivatives as CB2 receptor agonists.</t>
  </si>
  <si>
    <t xml:space="preserve">Saari R, Törmä JC, Nevalainen T.</t>
  </si>
  <si>
    <t xml:space="preserve">10.1016/j.bmc.2010.11.059</t>
  </si>
  <si>
    <t xml:space="preserve">1,4-Diazepane compounds as potent and selective CB2 agonists: optimization of metabolic stability.</t>
  </si>
  <si>
    <t xml:space="preserve">Riether D, Wu L, Cirillo PF, Berry A, Walker ER, Ermann M, Noya-Marino B, Jenkins JE, Albaugh D, Albrecht C, Fisher M, Gemkow MJ, Grbic H, Löbbe S, Möller C, O'Shea K, Sauer A, Shih DT, Thomson DS.</t>
  </si>
  <si>
    <t xml:space="preserve">10.1016/j.bmcl.2011.02.017</t>
  </si>
  <si>
    <t xml:space="preserve">Pharmacokinetic optimisation of novel indole-2-carboxamide cannabinoid CB1 antagonists.</t>
  </si>
  <si>
    <t xml:space="preserve">Cowley PM, Baker J, Buchanan KI, Carlyle I, Clark JK, Clarkson TR, Deehan M, Edwards D, Kiyoi Y, Martin I, Osbourn D, Walker G, Ward N, Wishart G.</t>
  </si>
  <si>
    <t xml:space="preserve">10.1016/j.bmcl.2011.02.019</t>
  </si>
  <si>
    <t xml:space="preserve">N-(4-cyanotetrahydro-2H-pyran-4-yl) and N-(1-cyanocyclohexyl) derivatives of 1,5-diarylpyrazole-3-carboxamides showing high affinity for 18 kDa translocator protein and/or cannabinoid receptors.</t>
  </si>
  <si>
    <t xml:space="preserve">Donohue SR, Dannals RF, Halldin C, Pike VW.</t>
  </si>
  <si>
    <t xml:space="preserve">10.1021/jm2000536</t>
  </si>
  <si>
    <t xml:space="preserve">Decahydroquinoline amides as highly selective CB2 agonists: role of selectivity on in vivo efficacy in a rodent model of analgesia.</t>
  </si>
  <si>
    <t xml:space="preserve">Manley PJ, Zartman A, Paone DV, Burgey CS, Henze DA, Della Penna K, Desai R, Leitl MD, Lemaire W, White RB, Yeh S, Urban MO, Kane SA, Hartman GD, Bilodeau MT, Trotter BW.</t>
  </si>
  <si>
    <t xml:space="preserve">10.1016/j.bmcl.2011.02.078</t>
  </si>
  <si>
    <t xml:space="preserve">Ferruginenes A-C from Rhododendron ferrugineum and their cytotoxic evaluation.</t>
  </si>
  <si>
    <t xml:space="preserve">Seephonkai P, Popescu R, Zehl M, Krupitza G, Urban E, Kopp B.</t>
  </si>
  <si>
    <t xml:space="preserve">10.1021/np100778k</t>
  </si>
  <si>
    <t xml:space="preserve">Discovery of pyrimidine carboxamides as potent and selective CCK1 receptor agonists.</t>
  </si>
  <si>
    <t xml:space="preserve">Wang L, Hubert JA, Lee SJ, Pan J, Qian S, Reitman ML, Strack AM, Weingarth DT, MacNeil DJ, Weber AE, Edmondson SD.</t>
  </si>
  <si>
    <t xml:space="preserve">10.1016/j.bmcl.2011.03.069</t>
  </si>
  <si>
    <t xml:space="preserve">Indazole derivatives as novel bradykinin B1 receptor antagonists.</t>
  </si>
  <si>
    <t xml:space="preserve">Bodmer-Narkevitch V, Anthony NJ, Cofre V, Jolly SM, Murphy KL, Ransom RW, Reiss DR, Tang C, Prueksaritanont T, Pettibone DJ, Bock MG, Kuduk SD.</t>
  </si>
  <si>
    <t xml:space="preserve">10.1016/j.bmcl.2010.09.121</t>
  </si>
  <si>
    <t xml:space="preserve">Optimisation of a novel series of selective CNS penetrant CB(2) agonists.</t>
  </si>
  <si>
    <t xml:space="preserve">Watson C, Owen DR, Harding D, Kon-I K, Lewis ML, Mason HJ, Matsumizu M, Mukaiyama T, Rodriguez-Lens M, Shima A, Takeuchi M, Tran I, Young T.</t>
  </si>
  <si>
    <t xml:space="preserve">10.1016/j.bmcl.2011.05.063</t>
  </si>
  <si>
    <t xml:space="preserve">Aryl 1,4-diazepane compounds as potent and selective CB2 agonists: optimization of drug-like properties and target independent parameters.</t>
  </si>
  <si>
    <t xml:space="preserve">Zindell R, Walker ER, Scott J, Amouzegh P, Wu L, Ermann M, Thomson D, Fisher MB, Fullenwider CL, Grbic H, Kaplita P, Linehan B, Patel M, Patel M, Löbbe S, Block S, Albrecht C, Gemkow MJ, Shih DT, Riether D.</t>
  </si>
  <si>
    <t xml:space="preserve">10.1016/j.bmcl.2011.05.068</t>
  </si>
  <si>
    <t xml:space="preserve">Discovery of N-(1-ethylpropyl)-[3-methoxy-5-(2-methoxy-4-trifluoromethoxyphenyl)-6-methyl-pyrazin-2-yl]amine 59 (NGD 98-2): an orally active corticotropin releasing factor-1 (CRF-1) receptor antagonist.</t>
  </si>
  <si>
    <t xml:space="preserve">Hodgetts KJ, Ge P, Yoon T, De Lombaert S, Brodbeck R, Gulianello M, Kieltyka A, Horvath RF, Kehne JH, Krause JE, Maynard GD, Hoffman D, Lee Y, Fung L, Doller D.</t>
  </si>
  <si>
    <t xml:space="preserve">10.1021/jm200365y</t>
  </si>
  <si>
    <t xml:space="preserve">Structure-activity relationship studies of novel pyrazole and imidazole carboxamides as cannabinoid-1 (CB1) antagonists.</t>
  </si>
  <si>
    <t xml:space="preserve">Sasmal PK, Talwar R, Swetha J, Balasubrahmanyam D, Venkatesham B, Rawoof KA, Neelima Devi B, Jadhav VP, Khan SK, Mohan P, Srinivasa Reddy D, Nyavanandi VK, Nanduri S, Shiva Kumar K, Kannan M, Srinivas P, Nadipalli P, Chaudhury H, Sebastian VJ.</t>
  </si>
  <si>
    <t xml:space="preserve">10.1016/j.bmcl.2011.06.017</t>
  </si>
  <si>
    <t xml:space="preserve">Benzyl derivatives with in vitro binding affinity for human opioid and cannabinoid receptors from the fungus Eurotium repens.</t>
  </si>
  <si>
    <t xml:space="preserve">Gao J, León F, Radwan MM, Dale OR, Husni AS, Manly SP, Lupien S, Wang X, Hill RA, Dugan FM, Cutler HG, Cutler SJ.</t>
  </si>
  <si>
    <t xml:space="preserve">10.1021/np200147c</t>
  </si>
  <si>
    <t xml:space="preserve">Synthesis and pharmacological evaluation of indole-based sigma receptor ligands.</t>
  </si>
  <si>
    <t xml:space="preserve">Mésangeau C, Amata E, Alsharif W, Seminerio MJ, Robson MJ, Matsumoto RR, Poupaert JH, McCurdy CR.</t>
  </si>
  <si>
    <t xml:space="preserve">10.1016/j.ejmech.2011.08.031</t>
  </si>
  <si>
    <t xml:space="preserve">Discovery and optimization of 1-(4-(pyridin-2-yl)benzyl)imidazolidine-2,4-dione derivatives as a novel class of selective cannabinoid CB2 receptor agonists.</t>
  </si>
  <si>
    <t xml:space="preserve">van der Stelt M, Cals J, Broeders-Josten S, Cottney J, van der Doelen AA, Hermkens M, de Kimpe V, King A, Klomp J, Oosterom J, Pols-de Rooij I, de Roos J, van Tilborg M, Boyce S, Baker J.</t>
  </si>
  <si>
    <t xml:space="preserve">10.1021/jm200916p</t>
  </si>
  <si>
    <t xml:space="preserve">Characterization of a novel and selective CB1 antagonist as a radioligand for receptor occupancy studies.</t>
  </si>
  <si>
    <t xml:space="preserve">Yang Y, Miller KJ, Zhu Y, Hong Y, Tian Y, Murugesan N, Gu Z, O'Tanyi E, Keim WJ, Rohrbach KW, Johnghar S, Behnia K, Pelleymounter MA, Carlson KE, Ewing WR.</t>
  </si>
  <si>
    <t xml:space="preserve">10.1016/j.bmcl.2011.09.016</t>
  </si>
  <si>
    <t xml:space="preserve">Cannabinomimetic lipid from a marine cyanobacterium.</t>
  </si>
  <si>
    <t xml:space="preserve">Gutiérrez M, Pereira AR, Debonsi HM, Ligresti A, Di Marzo V, Gerwick WH.</t>
  </si>
  <si>
    <t xml:space="preserve">10.1021/np200610t</t>
  </si>
  <si>
    <t xml:space="preserve">5-sulfonyl-benzimidazoles as selective CB2 agonists-part 2.</t>
  </si>
  <si>
    <t xml:space="preserve">Gijsen HJ, De Cleyn MA, Surkyn M, Van Lommen GR, Verbist BM, Nijsen MJ, Meert T, Wauwe JV, Aerssens J.</t>
  </si>
  <si>
    <t xml:space="preserve">10.1016/j.bmcl.2011.10.091</t>
  </si>
  <si>
    <t xml:space="preserve">Chemistry and behavioral studies identify chiral cyclopropanes as selective α4β2-nicotinic acetylcholine receptor partial agonists exhibiting an antidepressant profile.</t>
  </si>
  <si>
    <t xml:space="preserve">Zhang H, Tückmantel W, Eaton JB, Yuen PW, Yu LF, Bajjuri KM, Fedolak A, Wang D, Ghavami A, Caldarone B, Paterson NE, Lowe DA, Brunner D, Lukas RJ, Kozikowski AP.</t>
  </si>
  <si>
    <t xml:space="preserve">10.1021/jm201157c</t>
  </si>
  <si>
    <t xml:space="preserve">Discovery of Potent Dual PPARα Agonists/CB1 Ligands.</t>
  </si>
  <si>
    <t xml:space="preserve">Pérez-Fernández R, Fresno N, Macías-González M, Elguero J, Decara J, Girón R, Rodríguez-Álvarez A, Martín MI, Rodríguez de Fonseca F, Goya P.</t>
  </si>
  <si>
    <t xml:space="preserve">10.1021/ml200091q</t>
  </si>
  <si>
    <t xml:space="preserve">Identification of a Potent and Selective Cannabinoid CB1 Receptor Antagonist from Auxarthron reticulatum.</t>
  </si>
  <si>
    <t xml:space="preserve">Elsebai MF, Rempel V, Schnakenburg G, Kehraus S, Müller CE, König GM.</t>
  </si>
  <si>
    <t xml:space="preserve">10.1021/ml200183z</t>
  </si>
  <si>
    <t xml:space="preserve">Design and synthesis of cannabinoid receptor 1 antagonists for peripheral selectivity.</t>
  </si>
  <si>
    <t xml:space="preserve">Fulp A, Bortoff K, Seltzman H, Zhang Y, Mathews J, Snyder R, Fennell T, Maitra R.</t>
  </si>
  <si>
    <t xml:space="preserve">10.1021/jm201731z</t>
  </si>
  <si>
    <t xml:space="preserve">Indole-2-carboxamides as allosteric modulators of the cannabinoid CB₁ receptor.</t>
  </si>
  <si>
    <t xml:space="preserve">Piscitelli F, Ligresti A, La Regina G, Coluccia A, Morera L, Allarà M, Novellino E, Di Marzo V, Silvestri R.</t>
  </si>
  <si>
    <t xml:space="preserve">10.1021/jm201485c</t>
  </si>
  <si>
    <t xml:space="preserve">From bradykinin B2 receptor antagonists to orally active and selective bradykinin B1 receptor antagonists.</t>
  </si>
  <si>
    <t xml:space="preserve">Barth M, Bondoux M, Luccarini JM, Peyrou V, Dodey P, Pruneau D, Massardier C, Paquet JL.</t>
  </si>
  <si>
    <t xml:space="preserve">10.1021/jm2016057</t>
  </si>
  <si>
    <t xml:space="preserve">JD-5006 and JD-5037: peripherally restricted (PR) cannabinoid-1 receptor blockers related to SLV-319 (Ibipinabant) as metabolic disorder therapeutics devoid of CNS liabilities.</t>
  </si>
  <si>
    <t xml:space="preserve">Chorvat RJ, Berbaum J, Seriacki K, McElroy JF.</t>
  </si>
  <si>
    <t xml:space="preserve">10.1016/j.bmcl.2012.08.004</t>
  </si>
  <si>
    <t xml:space="preserve">Assay and inhibition of diacylglycerol lipase activity.</t>
  </si>
  <si>
    <t xml:space="preserve">Johnston M, Bhatt SR, Sikka S, Mercier RW, West JM, Makriyannis A, Gatley SJ, Duclos RI.</t>
  </si>
  <si>
    <t xml:space="preserve">10.1016/j.bmcl.2012.05.101</t>
  </si>
  <si>
    <t xml:space="preserve">Antagonists of 5-HT₆ receptors. Substituted 3-(phenylsulfonyl)pyrazolo[1,5-a]pyrido[3,4-e]pyrimidines and 3-(phenylsulfonyl)pyrazolo[1,5-a]pyrido[4,3-d]pyrimidines-Synthesis and 'structure-activity' relationship.</t>
  </si>
  <si>
    <t xml:space="preserve">Ivachtchenko AV, Golovina ES, Kadieva MG, Kysil VM, Mitkin OD, Vorobiev AA, Okun I.</t>
  </si>
  <si>
    <t xml:space="preserve">10.1016/j.bmcl.2012.05.036</t>
  </si>
  <si>
    <t xml:space="preserve">Optimisation of imidazole compounds as selective TAAR1 agonists: discovery of RO5073012.</t>
  </si>
  <si>
    <t xml:space="preserve">Galley G, Stalder H, Goergler A, Hoener MC, Norcross RD.</t>
  </si>
  <si>
    <t xml:space="preserve">10.1016/j.bmcl.2012.06.060</t>
  </si>
  <si>
    <t xml:space="preserve">Discovery of agonists of cannabinoid receptor 1 with restricted central nervous system penetration aimed for treatment of gastroesophageal reflux disease.</t>
  </si>
  <si>
    <t xml:space="preserve">Plowright AT, Nilsson K, Antonsson M, Amin K, Broddefalk J, Jensen J, Lehmann A, Jin S, St-Onge S, Tomaszewski MJ, Tremblay M, Walpole C, Wei Z, Yang H, Ulander J.</t>
  </si>
  <si>
    <t xml:space="preserve">10.1021/jm301511h</t>
  </si>
  <si>
    <t xml:space="preserve">Novel acylethanolamide derivatives that modulate body weight through enhancement of hypothalamic pro-opiomelanocortin (POMC) and/or decreased neuropeptide Y (NPY).</t>
  </si>
  <si>
    <t xml:space="preserve">Avraham Y, Katzhendler J, Vorobeiv L, Merchavia S, Listman C, Kunkes E, Harfoush F, Salameh S, Ezra AF, Grigoriadis NC, Berry EM, Najajreh Y.</t>
  </si>
  <si>
    <t xml:space="preserve">10.1021/jm300484d</t>
  </si>
  <si>
    <t xml:space="preserve">Neocosmospora sp.-derived resorcylic acid lactones with in vitro binding affinity for human opioid and cannabinoid receptors.</t>
  </si>
  <si>
    <t xml:space="preserve">Gao J, Radwan MM, León F, Dale OR, Husni AS, Wu Y, Lupien S, Wang X, Manly SP, Hill RA, Dugan FM, Cutler HG, Cutler SJ.</t>
  </si>
  <si>
    <t xml:space="preserve">10.1021/np300653d</t>
  </si>
  <si>
    <t xml:space="preserve">Design, synthesis, and biological evaluation of aminoalkylindole derivatives as cannabinoid receptor ligands with potential for treatment of alcohol abuse.</t>
  </si>
  <si>
    <t xml:space="preserve">Vasiljevik T, Franks LN, Ford BM, Douglas JT, Prather PL, Fantegrossi WE, Prisinzano TE.</t>
  </si>
  <si>
    <t xml:space="preserve">10.1021/jm400268b</t>
  </si>
  <si>
    <t xml:space="preserve">Structure-based design and optimization of 2-aminothiazole-4-carboxamide as a new class of CHK1 inhibitors.</t>
  </si>
  <si>
    <t xml:space="preserve">Huang X, Cheng CC, Fischmann TO, Duca JS, Richards M, Tadikonda PK, Reddy PA, Zhao L, Siddiqui MA, Parry D, Davis N, Seghezzi W, Wiswell D, Shipps GW.</t>
  </si>
  <si>
    <t xml:space="preserve">10.1016/j.bmcl.2013.02.108</t>
  </si>
  <si>
    <t xml:space="preserve">Discovery of MK-3168: A PET Tracer for Imaging Brain Fatty Acid Amide Hydrolase.</t>
  </si>
  <si>
    <t xml:space="preserve">Liu P, Hamill TG, Chioda M, Chobanian H, Fung S, Guo Y, Chang L, Bakshi R, Hong Q, Dellureficio J, Lin LS, Abbadie C, Alexander J, Jin H, Mandala S, Shiao LL, Li W, Sanabria S, Williams D, Zeng Z, Hajdu R, Jochnowitz N, Rosenbach M, Karanam B, Madeira M, Salituro G, Powell J, Xu L, Terebetski JL, Leone JF, Miller P, Cook J, Holahan M, Joshi A, O'Malley S, Purcell M, Posavec D, Chen TB, Riffel K, Williams M, Hargreaves R, Sullivan KA, Nargund RP, DeVita RJ.</t>
  </si>
  <si>
    <t xml:space="preserve">10.1021/ml4000996</t>
  </si>
  <si>
    <t xml:space="preserve">An analysis of the synthetic tryptamines AMT and 5-MeO-DALT: emerging 'Novel Psychoactive Drugs'.</t>
  </si>
  <si>
    <t xml:space="preserve">Arunotayanun W, Dalley JW, Huang XP, Setola V, Treble R, Iversen L, Roth BL, Gibbons S.</t>
  </si>
  <si>
    <t xml:space="preserve">10.1016/j.bmcl.2013.03.066</t>
  </si>
  <si>
    <t xml:space="preserve">A novel benzazepinone sodium channel blocker with oral efficacy in a rat model of neuropathic pain.</t>
  </si>
  <si>
    <t xml:space="preserve">Hoyt SB, London C, Abbadie C, Felix JP, Garcia ML, Jochnowitz N, Karanam BV, Li X, Lyons KA, McGowan E, Priest BT, Smith MM, Warren VA, Thomas-Fowlkes BS, Kaczorowski GJ, Duffy JL.</t>
  </si>
  <si>
    <t xml:space="preserve">10.1016/j.bmcl.2013.03.121</t>
  </si>
  <si>
    <t xml:space="preserve">An effective prodrug strategy to selectively enhance ocular exposure of a cannabinoid receptor (CB1/2) agonist.</t>
  </si>
  <si>
    <t xml:space="preserve">Mainolfi N, Powers J, Amin J, Long D, Lee W, McLaughlin ME, Jaffee B, Brain C, Elliott J, Sivak JM.</t>
  </si>
  <si>
    <t xml:space="preserve">10.1021/jm4004939</t>
  </si>
  <si>
    <t xml:space="preserve">New serotonin 5-HT1A receptor agonists endowed with antinociceptive activity in vivo.</t>
  </si>
  <si>
    <t xml:space="preserve">Valhondo M, Marco I, Martín-Fontecha M, Vázquez-Villa H, Ramos JA, Berkels R, Lauterbach T, Benhamú B, López-Rodríguez ML.</t>
  </si>
  <si>
    <t xml:space="preserve">10.1021/jm400766k</t>
  </si>
  <si>
    <t xml:space="preserve">Identification of CB1/CB2 ligands from Zanthoxylum bungeanum.</t>
  </si>
  <si>
    <t xml:space="preserve">Dossou KS, Devkota KP, Morton C, Egan JM, Lu G, Beutler JA, Moaddel R.</t>
  </si>
  <si>
    <t xml:space="preserve">10.1021/np400478c</t>
  </si>
  <si>
    <t xml:space="preserve">Chiral 1,3,4-oxadiazol-2-ones as highly selective FAAH inhibitors.</t>
  </si>
  <si>
    <t xml:space="preserve">Patel JZ, Parkkari T, Laitinen T, Kaczor AA, Saario SM, Savinainen JR, Navia-Paldanius D, Cipriano M, Leppänen J, Koshevoy IO, Poso A, Fowler CJ, Laitinen JT, Nevalainen T.</t>
  </si>
  <si>
    <t xml:space="preserve">10.1021/jm400923s</t>
  </si>
  <si>
    <t xml:space="preserve">Synthesis and preliminary evaluation of a new fluorine-18 labelled triazine derivative for PET imaging of cannabinoid CB2 receptor.</t>
  </si>
  <si>
    <t xml:space="preserve">Hortala L, Arnaud J, Roux P, Oustric D, Boulu L, Oury-Donat F, Avenet P, Rooney T, Alagille D, Barret O, Tamagnan G, Barth F.</t>
  </si>
  <si>
    <t xml:space="preserve">10.1016/j.bmcl.2013.11.023</t>
  </si>
  <si>
    <t xml:space="preserve">Discovery of 2,5-diarylnicotinamides as selective orexin-2 receptor antagonists (2-SORAs).</t>
  </si>
  <si>
    <t xml:space="preserve">Mercer SP, Roecker AJ, Garson S, Reiss DR, Meacham Harrell C, Murphy KL, Bruno JG, Bednar RA, Lemaire W, Cui D, Cabalu TD, Tang C, Prueksaritanont T, Hartman GD, Young SD, Winrow CJ, Renger JJ, Coleman PJ.</t>
  </si>
  <si>
    <t xml:space="preserve">10.1016/j.bmcl.2013.10.045</t>
  </si>
  <si>
    <t xml:space="preserve">Corallorazines from the myxobacterium Corallococcus coralloides.</t>
  </si>
  <si>
    <t xml:space="preserve">Schmitz A, Kehraus S, Schäberle TF, Neu E, Almeida C, Roth M, König GM.</t>
  </si>
  <si>
    <t xml:space="preserve">10.1021/np400740u</t>
  </si>
  <si>
    <t xml:space="preserve">Benzimidazole CB2 agonists: design, synthesis and SAR.</t>
  </si>
  <si>
    <t xml:space="preserve">Nanda KK, Henze DA, Della Penna K, Desai R, Leitl M, Lemaire W, White RB, Yeh S, Brouillette JN, Hartman GD, Bilodeau MT, Trotter BW.</t>
  </si>
  <si>
    <t xml:space="preserve">10.1016/j.bmcl.2013.12.068</t>
  </si>
  <si>
    <t xml:space="preserve">Design, synthesis, biological evaluation, and comparative docking study of 1,2,4-triazolones as CB1 receptor selective antagonists.</t>
  </si>
  <si>
    <t xml:space="preserve">Han S, Zhang FF, Xie X, Chen JZ.</t>
  </si>
  <si>
    <t xml:space="preserve">10.1016/j.ejmech.2013.12.018</t>
  </si>
  <si>
    <t xml:space="preserve">Switching cannabinoid response from CB(2) agonists to FAAH inhibitors.</t>
  </si>
  <si>
    <t xml:space="preserve">Tourteau A, Leleu-Chavain N, Body-Malapel M, Andrzejak V, Barczyk A, Djouina M, Rigo B, Desreumaux P, Chavatte P, Millet R.</t>
  </si>
  <si>
    <t xml:space="preserve">10.1016/j.bmcl.2014.01.056</t>
  </si>
  <si>
    <t xml:space="preserve">2012 Division of medicinal chemistry award address. Trekking the cannabinoid road: a personal perspective.</t>
  </si>
  <si>
    <t xml:space="preserve">Makriyannis A.</t>
  </si>
  <si>
    <t xml:space="preserve">10.1021/jm500220s</t>
  </si>
  <si>
    <t xml:space="preserve">Tricyclic pyrazoles. Part 6. Benzofuro[3,2-c]pyrazole: a versatile architecture for CB2 selective ligands.</t>
  </si>
  <si>
    <t xml:space="preserve">Pinna G, Loriga G, Lazzari P, Ruiu S, Falzoi M, Frau S, Pau A, Murineddu G, Asproni B, Pinna GA.</t>
  </si>
  <si>
    <t xml:space="preserve">10.1016/j.ejmech.2014.05.055</t>
  </si>
  <si>
    <t xml:space="preserve">Diarylureas as allosteric modulators of the cannabinoid CB1 receptor: structure-activity relationship studies on 1-(4-chlorophenyl)-3-{3-[6-(pyrrolidin-1-yl)pyridin-2-yl]phenyl}urea (PSNCBAM-1).</t>
  </si>
  <si>
    <t xml:space="preserve">German N, Decker AM, Gilmour BP, Gay EA, Wiley JL, Thomas BF, Zhang Y.</t>
  </si>
  <si>
    <t xml:space="preserve">10.1021/jm501042u</t>
  </si>
  <si>
    <t xml:space="preserve">Synthesis and biological evaluation of novel sigma-1 receptor antagonists based on pyrimidine scaffold as agents for treating neuropathic pain.</t>
  </si>
  <si>
    <t xml:space="preserve">Lan Y, Chen Y, Cao X, Zhang J, Wang J, Xu X, Qiu Y, Zhang T, Liu X, Liu BF, Zhang G.</t>
  </si>
  <si>
    <t xml:space="preserve">10.1021/jm501207r</t>
  </si>
  <si>
    <t xml:space="preserve">Discovery of 1a,2,5,5a-tetrahydro-1H-2,3-diaza-cyclopropa[a]pentalen-4-carboxamides as potent and selective CB2 receptor agonists.</t>
  </si>
  <si>
    <t xml:space="preserve">Han S, Thoresen L, Zhu X, Narayanan S, Jung JK, Strah-Pleynet S, Decaire M, Choi K, Xiong Y, Yue D, Semple G, Thatte J, Solomon M, Fu L, Whelan K, Al-Shamma H, Gatlin J, Chen R, Dang H, Pride C, Gaidarov I, Unett DJ, Behan DP, Sadeque A, Usmani KA, Chen C, Edwards J, Morgan M, Jones RM.</t>
  </si>
  <si>
    <t xml:space="preserve">10.1016/j.bmcl.2014.11.040</t>
  </si>
  <si>
    <t xml:space="preserve">Tricyclic pyrazoles part 7. Discovery of potent and selective dihydrothienocyclopentapyrazole derived CB2 ligands.</t>
  </si>
  <si>
    <t xml:space="preserve">Pinna G, Curzu MM, Dore A, Lazzari P, Ruiu S, Pau A, Murineddu G, Pinna GA.</t>
  </si>
  <si>
    <t xml:space="preserve">10.1016/j.ejmech.2014.08.042</t>
  </si>
  <si>
    <t xml:space="preserve">Synthesis and biological evaluation of bivalent cannabinoid receptor ligands based on hCB₂R selective benzimidazoles reveal unexpected intrinsic properties.</t>
  </si>
  <si>
    <t xml:space="preserve">Nimczick M, Pemp D, Darras FH, Chen X, Heilmann J, Decker M.</t>
  </si>
  <si>
    <t xml:space="preserve">10.1016/j.bmc.2014.06.008</t>
  </si>
  <si>
    <t xml:space="preserve">Selective CB2 receptor agonists. Part 2: Structure-activity relationship studies and optimization of proline-based compounds.</t>
  </si>
  <si>
    <t xml:space="preserve">Riether D, Zindell R, Wu L, Betageri R, Jenkins JE, Khor S, Berry AK, Hickey ER, Ermann M, Albrecht C, Ceci A, Gemkow MJ, Nagaraja NV, Romig H, Sauer A, Thomson DS.</t>
  </si>
  <si>
    <t xml:space="preserve">10.1016/j.bmcl.2014.12.019</t>
  </si>
  <si>
    <t xml:space="preserve">DDD-028: a potent potential non-opioid, non-cannabinoid analgesic for neuropathic and inflammatory pain.</t>
  </si>
  <si>
    <t xml:space="preserve">Rajagopalan P, Tracey H, Chen Z, Bandyopadhyaya A, Veeraraghavan S, Rajagopalan DR, Salvemini D, McPhee I, Viswanadha S, Rajagopalan R.</t>
  </si>
  <si>
    <t xml:space="preserve">10.1016/j.bmcl.2014.05.016</t>
  </si>
  <si>
    <t xml:space="preserve">Selective CB2 receptor agonists. Part 3: the optimization of a piperidine-based series that demonstrated efficacy in an in vivo neuropathic pain model.</t>
  </si>
  <si>
    <t xml:space="preserve">Bartolozzi A, Cirillo PF, Berry AK, Hickey ER, Thomson DS, Wu L, Zindell R, Albrecht C, Ceci A, Gemkow MJ, Nagaraja NV, Romig H, Sauer A, Riether D.</t>
  </si>
  <si>
    <t xml:space="preserve">10.1016/j.bmcl.2014.12.031</t>
  </si>
  <si>
    <t xml:space="preserve">Identification of a highly potent and selective CB2 agonist, RQ-00202730, for the treatment of irritable bowel syndrome.</t>
  </si>
  <si>
    <t xml:space="preserve">Iwata Y, Ando K, Taniguchi K, Koba N, Sugiura A, Sudo M.</t>
  </si>
  <si>
    <t xml:space="preserve">10.1016/j.bmcl.2014.11.062</t>
  </si>
  <si>
    <t xml:space="preserve">Novel tail and head group prostamide probes.</t>
  </si>
  <si>
    <t xml:space="preserve">Finnegan DF, Shelnut EL, Nikas SP, Chiang N, Serhan CN, Makriyannis A.</t>
  </si>
  <si>
    <t xml:space="preserve">10.1016/j.bmcl.2015.01.064</t>
  </si>
  <si>
    <t xml:space="preserve">Cannabidiol (CBD) and its analogs: a review of their effects on inflammation.</t>
  </si>
  <si>
    <t xml:space="preserve">Burstein S.</t>
  </si>
  <si>
    <t xml:space="preserve">10.1016/j.bmc.2015.01.059</t>
  </si>
  <si>
    <t xml:space="preserve">Selective CB2 receptor agonists. Part 1: the identification of novel ligands through computer-aided drug design (CADD) approaches.</t>
  </si>
  <si>
    <t xml:space="preserve">Hickey ER, Zindell R, Cirillo PF, Wu L, Ermann M, Berry AK, Thomson DS, Albrecht C, Gemkow MJ, Riether D.</t>
  </si>
  <si>
    <t xml:space="preserve">10.1016/j.bmcl.2014.12.033</t>
  </si>
  <si>
    <t xml:space="preserve">Structure-activity relationships of substituted 1H-indole-2-carboxamides as CB1 receptor allosteric modulators.</t>
  </si>
  <si>
    <t xml:space="preserve">Nguyen T, German N, Decker AM, Li JX, Wiley JL, Thomas BF, Kenakin TP, Zhang Y.</t>
  </si>
  <si>
    <t xml:space="preserve">10.1016/j.bmc.2015.02.058</t>
  </si>
  <si>
    <t xml:space="preserve">Loratadine analogues as MAGL inhibitors.</t>
  </si>
  <si>
    <t xml:space="preserve">Patel JZ, Ahenkorah S, Vaara M, Staszewski M, Adams Y, Laitinen T, Navia-Paldanius D, Parkkari T, Savinainen JR, Walczyński K, Laitinen JT, Nevalainen TJ.</t>
  </si>
  <si>
    <t xml:space="preserve">10.1016/j.bmcl.2015.02.037</t>
  </si>
  <si>
    <t xml:space="preserve">Novel N-Acetyl Bioisosteres of Melatonin: Melatonergic Receptor Pharmacology, Physicochemical Studies, and Phenotypic Assessment of Their Neurogenic Potential.</t>
  </si>
  <si>
    <t xml:space="preserve">de la Fuente Revenga M, Fernández-Sáez N, Herrera-Arozamena C, Morales-García JA, Alonso-Gil S, Pérez-Castillo A, Caignard DH, Rivara S, Rodríguez-Franco MI.</t>
  </si>
  <si>
    <t xml:space="preserve">10.1021/acs.jmedchem.5b00245</t>
  </si>
  <si>
    <t xml:space="preserve">Flavonoids from Perovskia atriplicifolia and Their in Vitro Displacement of the Respective Radioligands for Human Opioid and Cannabinoid Receptors.</t>
  </si>
  <si>
    <t xml:space="preserve">Tarawneh A, León F, Pettaway S, Elokely KM, Klein ML, Lambert J, Mansoor A, Cutler SJ.</t>
  </si>
  <si>
    <t xml:space="preserve">10.1021/acs.jnatprod.5b00218</t>
  </si>
  <si>
    <t xml:space="preserve">Distinct Temporal Fingerprint for Cyclic Adenosine Monophosphate (cAMP) Signaling of Indole-2-carboxamides as Allosteric Modulators of the Cannabinoid Receptors.</t>
  </si>
  <si>
    <t xml:space="preserve">Cawston EE, Connor M, Di Marzo V, Silvestri R, Glass M.</t>
  </si>
  <si>
    <t xml:space="preserve">10.1021/acs.jmedchem.5b00579</t>
  </si>
  <si>
    <t xml:space="preserve">Development of Quinoline-2,4(1H,3H)-diones as Potent and Selective Ligands of the Cannabinoid Type 2 Receptor.</t>
  </si>
  <si>
    <t xml:space="preserve">10.1021/acs.jmedchem.5b00227</t>
  </si>
  <si>
    <t xml:space="preserve">C4 phenyl aporphines with selective h5-HT(2B) receptor affinity.</t>
  </si>
  <si>
    <t xml:space="preserve">Kapadia N, Harding WW.</t>
  </si>
  <si>
    <t xml:space="preserve">10.1016/j.bmcl.2015.07.012</t>
  </si>
  <si>
    <t xml:space="preserve">Revisiting 1,3,4-Oxadiazol-2-ones: Utilization in the Development of ABHD6 Inhibitors.</t>
  </si>
  <si>
    <t xml:space="preserve">Patel JZ, van Bruchem J, Laitinen T, Kaczor AA, Navia-Paldanius D, Parkkari T, Savinainen JR, Laitinen JT, Nevalainen TJ.</t>
  </si>
  <si>
    <t xml:space="preserve">10.1016/j.bmc.2015.08.030</t>
  </si>
  <si>
    <t xml:space="preserve">1,3,5-triazine-2-amine derivatives, preparation thereof and diagnostic and therapeutic use thereof</t>
  </si>
  <si>
    <t xml:space="preserve">US-9115121-B2</t>
  </si>
  <si>
    <t xml:space="preserve">Cannabinoid-2 agonists</t>
  </si>
  <si>
    <t xml:space="preserve">US-9062004-B2</t>
  </si>
  <si>
    <t xml:space="preserve">Synthesis and SAR of Imidazo[1,5-a]pyridine derivatives as 5-HT4 receptor partial agonists for the treatment of cognitive disorders associated with Alzheimer's disease.</t>
  </si>
  <si>
    <t xml:space="preserve">Nirogi R, Mohammed AR, Shinde AK, Bogaraju N, Gagginapalli SR, Ravella SR, Kota L, Bhyrapuneni G, Muddana NR, Benade V, Palacharla RC, Jayarajan P, Subramanian R, Goyal VK.</t>
  </si>
  <si>
    <t xml:space="preserve">10.1016/j.ejmech.2015.08.051</t>
  </si>
  <si>
    <t xml:space="preserve">Potent and selective N-(4-sulfamoylphenyl)thiourea-based GPR55 agonists.</t>
  </si>
  <si>
    <t xml:space="preserve">Yrjölä S, Parkkari T, Navia-Paldanius D, Laitinen T, Kaczor AA, Kokkola T, Adusei-Mensah F, Savinainen JR, Laitinen JT, Poso A, Alexander A, Penman J, Stott L, Anskat M, Irving AJ, Nevalainen TJ.</t>
  </si>
  <si>
    <t xml:space="preserve">10.1016/j.ejmech.2015.10.050</t>
  </si>
  <si>
    <t xml:space="preserve">Discovery of I-BRD9, a Selective Cell Active Chemical Probe for Bromodomain Containing Protein 9 Inhibition.</t>
  </si>
  <si>
    <t xml:space="preserve">Theodoulou NH, Bamborough P, Bannister AJ, Becher I, Bit RA, Che KH, Chung CW, Dittmann A, Drewes G, Drewry DH, Gordon L, Grandi P, Leveridge M, Lindon M, Michon AM, Molnar J, Robson SC, Tomkinson NC, Kouzarides T, Prinjha RK, Humphreys PG.</t>
  </si>
  <si>
    <t xml:space="preserve">10.1021/acs.jmedchem.5b00256</t>
  </si>
  <si>
    <t xml:space="preserve">Ligand-based homology modelling of the human CB2receptor SR144528 antagonist binding site: a computational approach to explore the 1,5-diaryl pyrazole scaffold</t>
  </si>
  <si>
    <t xml:space="preserve">Cichero E, Menozzi G, Guariento S, Fossa P</t>
  </si>
  <si>
    <t xml:space="preserve">10.1039/C5MD00333D</t>
  </si>
  <si>
    <t xml:space="preserve">Potent multitarget FAAH-COX inhibitors: Design and structure-activity relationship studies.</t>
  </si>
  <si>
    <t xml:space="preserve">Migliore M, Habrant D, Sasso O, Albani C, Bertozzi SM, Armirotti A, Piomelli D, Scarpelli R.</t>
  </si>
  <si>
    <t xml:space="preserve">10.1016/j.ejmech.2015.12.036</t>
  </si>
  <si>
    <t xml:space="preserve">Investigations on the 4-Quinolone-3-carboxylic Acid Motif. 7. Synthesis and Pharmacological Evaluation of 4-Quinolone-3-carboxamides and 4-Hydroxy-2-quinolone-3-carboxamides as High Affinity Cannabinoid Receptor 2 (CB2R) Ligands with Improved Aqueous Solubility.</t>
  </si>
  <si>
    <t xml:space="preserve">Mugnaini C, Brizzi A, Ligresti A, Allarà M, Lamponi S, Vacondio F, Silva C, Mor M, Di Marzo V, Corelli F.</t>
  </si>
  <si>
    <t xml:space="preserve">10.1021/acs.jmedchem.5b01559</t>
  </si>
  <si>
    <t xml:space="preserve">Development and Pharmacological Characterization of Selective Blockers of 2-Arachidonoyl Glycerol Degradation with Efficacy in Rodent Models of Multiple Sclerosis and Pain.</t>
  </si>
  <si>
    <t xml:space="preserve">Brindisi M, Maramai S, Gemma S, Brogi S, Grillo A, Di Cesare Mannelli L, Gabellieri E, Lamponi S, Saponara S, Gorelli B, Tedesco D, Bonfiglio T, Landry C, Jung KM, Armirotti A, Luongo L, Ligresti A, Piscitelli F, Bertucci C, Dehouck MP, Campiani G, Maione S, Ghelardini C, Pittaluga A, Piomelli D, Di Marzo V, Butini S.</t>
  </si>
  <si>
    <t xml:space="preserve">10.1021/acs.jmedchem.5b01812</t>
  </si>
  <si>
    <t xml:space="preserve">Synthesis and Biological Evaluation of Novel σ1 Receptor Ligands for Treating Neuropathic Pain: 6-Hydroxypyridazinones.</t>
  </si>
  <si>
    <t xml:space="preserve">Cao X, Chen Y, Zhang Y, Lan Y, Zhang J, Xu X, Qiu Y, Zhao S, Liu X, Liu BF, Zhang G.</t>
  </si>
  <si>
    <t xml:space="preserve">10.1021/acs.jmedchem.5b01416</t>
  </si>
  <si>
    <t xml:space="preserve">Discovery of KLS-13019, a Cannabidiol-Derived Neuroprotective Agent, with Improved Potency, Safety, and Permeability.</t>
  </si>
  <si>
    <t xml:space="preserve">Kinney WA, McDonnell ME, Zhong HM, Liu C, Yang L, Ling W, Qian T, Chen Y, Cai Z, Petkanas D, Brenneman DE.</t>
  </si>
  <si>
    <t xml:space="preserve">10.1021/acsmedchemlett.6b00009</t>
  </si>
  <si>
    <t xml:space="preserve">Monoacidic Inhibitors of the Kelch-like ECH-Associated Protein 1: Nuclear Factor Erythroid 2-Related Factor 2 (KEAP1:NRF2) Protein-Protein Interaction with High Cell Potency Identified by Fragment-Based Discovery.</t>
  </si>
  <si>
    <t xml:space="preserve">Davies TG, Wixted WE, Coyle JE, Griffiths-Jones C, Hearn K, McMenamin R, Norton D, Rich SJ, Richardson C, Saxty G, Willems HM, Woolford AJ, Cottom JE, Kou JP, Yonchuk JG, Feldser HG, Sanchez Y, Foley JP, Bolognese BJ, Logan G, Podolin PL, Yan H, Callahan JF, Heightman TD, Kerns JK.</t>
  </si>
  <si>
    <t xml:space="preserve">10.1021/acs.jmedchem.6b00228</t>
  </si>
  <si>
    <t xml:space="preserve">Tetrahydroindazole derivatives as potent and peripherally selective cannabinoid-1 (CB1) receptor inverse agonists.</t>
  </si>
  <si>
    <t xml:space="preserve">Matthews JM, McNally JJ, Connolly PJ, Xia M, Zhu B, Black S, Chen C, Hou C, Liang Y, Tang Y, Macielag MJ.</t>
  </si>
  <si>
    <t xml:space="preserve">10.1016/j.bmcl.2016.09.025</t>
  </si>
  <si>
    <t xml:space="preserve">Tetrahydropyrazolo[4,3-c]pyridine derivatives as potent and peripherally selective cannabinoid-1 (CB1) receptor inverse agonists.</t>
  </si>
  <si>
    <t xml:space="preserve">Zhu B, Matthews JM, Xia M, Black S, Chen C, Hou C, Liang Y, Tang Y, Macielag MJ.</t>
  </si>
  <si>
    <t xml:space="preserve">10.1016/j.bmcl.2016.09.026</t>
  </si>
  <si>
    <t xml:space="preserve">Use of the aminoalkylindole JWH-073-M4 and related compounds as neutral CB1 receptor antagonists for the treatment of alcoholism, drug abuse, obesity, and obesity-related diseases</t>
  </si>
  <si>
    <t xml:space="preserve">US-9416103-B2</t>
  </si>
  <si>
    <t xml:space="preserve">Tri-aryl/heteroaromatic cannabinoids and use thereof</t>
  </si>
  <si>
    <t xml:space="preserve">US-9139546-B2</t>
  </si>
  <si>
    <t xml:space="preserve">Peripherally restricted diphenyl purine derivatives</t>
  </si>
  <si>
    <t xml:space="preserve">US-9187480-B2</t>
  </si>
  <si>
    <t xml:space="preserve">Quinoline derivatives useful as CB-1 inverse agonists</t>
  </si>
  <si>
    <t xml:space="preserve">US-9266835-B2</t>
  </si>
  <si>
    <t xml:space="preserve">Pyridine derivatives as agonists of the CB2 receptor</t>
  </si>
  <si>
    <t xml:space="preserve">US-9321727-B2</t>
  </si>
  <si>
    <t xml:space="preserve">Pyridine-2-amides useful as CB2 agonists</t>
  </si>
  <si>
    <t xml:space="preserve">US-9303012-B2</t>
  </si>
  <si>
    <t xml:space="preserve">Heterocyclic modulators of cannabinoid receptors</t>
  </si>
  <si>
    <t xml:space="preserve">US-9339486-B2</t>
  </si>
  <si>
    <t xml:space="preserve">Arylated camphenes, processes for their preparation and uses thereof</t>
  </si>
  <si>
    <t xml:space="preserve">US-9365534-B2</t>
  </si>
  <si>
    <t xml:space="preserve">Pyrazine derivatives</t>
  </si>
  <si>
    <t xml:space="preserve">US-9403808-B2</t>
  </si>
  <si>
    <t xml:space="preserve">US-9409866-B2</t>
  </si>
  <si>
    <t xml:space="preserve">Sulfonamide derivatives with therapeutic indications</t>
  </si>
  <si>
    <t xml:space="preserve">US-9422235-B2</t>
  </si>
  <si>
    <t xml:space="preserve">Crystalline forms and processes for the preparation of cannabinoid receptor modulators</t>
  </si>
  <si>
    <t xml:space="preserve">US-9458136-B2</t>
  </si>
  <si>
    <t xml:space="preserve">Discovery of Small Molecules Targeting the Synergy of Cardiac Transcription Factors GATA4 and NKX2-5.</t>
  </si>
  <si>
    <t xml:space="preserve">Välimäki MJ, Tölli MA, Kinnunen SM, Aro J, Serpi R, Pohjolainen L, Talman V, Poso A, Ruskoaho HJ.</t>
  </si>
  <si>
    <t xml:space="preserve">10.1021/acs.jmedchem.7b00816</t>
  </si>
  <si>
    <t xml:space="preserve">Development of Quinazoline/Pyrimidine-2,4(1H,3H)-diones as Agonists of Cannabinoid Receptor Type 2.</t>
  </si>
  <si>
    <t xml:space="preserve">Qian HY, Wang ZL, Pan YL, Chen LL, Xie X, Chen JZ.</t>
  </si>
  <si>
    <t xml:space="preserve">10.1021/acsmedchemlett.7b00007</t>
  </si>
  <si>
    <t xml:space="preserve">Discovery of 1,5-Diphenylpyrazole-3-Carboxamide Derivatives as Potent, Reversible, and Selective Monoacylglycerol Lipase (MAGL) Inhibitors.</t>
  </si>
  <si>
    <t xml:space="preserve">Aghazadeh Tabrizi M, Baraldi PG, Baraldi S, Ruggiero E, De Stefano L, Rizzolio F, Di Cesare Mannelli L, Ghelardini C, Chicca A, Lapillo M, Gertsch J, Manera C, Macchia M, Martinelli A, Granchi C, Minutolo F, Tuccinardi T.</t>
  </si>
  <si>
    <t xml:space="preserve">10.1021/acs.jmedchem.7b01845</t>
  </si>
  <si>
    <t xml:space="preserve">Amidoalkylindoles as Potent and Selective Cannabinoid Type 2 Receptor Agonists with in Vivo Efficacy in a Mouse Model of Multiple Sclerosis.</t>
  </si>
  <si>
    <t xml:space="preserve">Shi Y, Duan YH, Ji YY, Wang ZL, Wu YR, Gunosewoyo H, Xie XY, Chen JZ, Yang F, Li J, Tang J, Xie X, Yu LF.</t>
  </si>
  <si>
    <t xml:space="preserve">10.1021/acs.jmedchem.7b00724</t>
  </si>
  <si>
    <t xml:space="preserve">Novel Diarylurea Based Allosteric Modulators of the Cannabinoid CB1 Receptor: Evaluation of Importance of 6-Pyrrolidinylpyridinyl Substitution.</t>
  </si>
  <si>
    <t xml:space="preserve">Nguyen T, German N, Decker AM, Langston TL, Gamage TF, Farquhar CE, Li JX, Wiley JL, Thomas BF, Zhang Y.</t>
  </si>
  <si>
    <t xml:space="preserve">10.1021/acs.jmedchem.7b00707</t>
  </si>
  <si>
    <t xml:space="preserve">Biological evaluation of pyridone alkaloids on the endocannabinoid system.</t>
  </si>
  <si>
    <t xml:space="preserve">Chicca A, Berg R, Jessen HJ, Marck N, Schmid F, Burch P, Gertsch J, Gademann K.</t>
  </si>
  <si>
    <t xml:space="preserve">10.1016/j.bmc.2017.02.031</t>
  </si>
  <si>
    <t xml:space="preserve">Design, synthesis and biological evaluation of GPR55 agonists.</t>
  </si>
  <si>
    <t xml:space="preserve">Fakhouri L, Cook CD, Al-Huniti MH, Console-Bram LM, Hurst DP, Spano MBS, Nasrallah DJ, Caron MG, Barak LS, Reggio PH, Abood ME, Croatt MP.</t>
  </si>
  <si>
    <t xml:space="preserve">10.1016/j.bmc.2017.06.016</t>
  </si>
  <si>
    <t xml:space="preserve">Developing pyridazine-3-carboxamides to be CB2 agonists: The design, synthesis, structure-activity relationships and docking studies.</t>
  </si>
  <si>
    <t xml:space="preserve">Qian HY, Wang ZL, Xie XY, Pan YL, Li GJ, Xie X, Chen JZ.</t>
  </si>
  <si>
    <t xml:space="preserve">10.1016/j.ejmech.2017.05.060</t>
  </si>
  <si>
    <t xml:space="preserve">Discovery of Potent and Selective Periphery-Restricted Quinazoline Inhibitors of the Cyclic Nucleotide Phosphodiesterase PDE1.</t>
  </si>
  <si>
    <t xml:space="preserve">Humphrey JM, Movsesian M, Am Ende CW, Becker SL, Chappie TA, Jenkinson S, Liras JL, Liras S, Orozco C, Pandit J, Vajdos FF, Vandeput F, Yang E, Menniti FS.</t>
  </si>
  <si>
    <t xml:space="preserve">10.1021/acs.jmedchem.8b00374</t>
  </si>
  <si>
    <t xml:space="preserve">Iodine-Promoted Aromatization of p-Menthane-Type Phytocannabinoids.</t>
  </si>
  <si>
    <t xml:space="preserve">Pollastro F, Caprioglio D, Marotta P, Moriello AS, De Petrocellis L, Taglialatela-Scafati O, Appendino G.</t>
  </si>
  <si>
    <t xml:space="preserve">10.1021/acs.jnatprod.7b00946</t>
  </si>
  <si>
    <t xml:space="preserve">Discovery of APD371: Identification of a Highly Potent and Selective CB2 Agonist for the Treatment of Chronic Pain.</t>
  </si>
  <si>
    <t xml:space="preserve">Han S, Thoresen L, Jung JK, Zhu X, Thatte J, Solomon M, Gaidarov I, Unett DJ, Yoon WH, Barden J, Sadeque A, Usmani A, Chen C, Semple G, Grottick AJ, Al-Shamma H, Christopher R, Jones RM.</t>
  </si>
  <si>
    <t xml:space="preserve">10.1021/acsmedchemlett.7b00396</t>
  </si>
  <si>
    <t xml:space="preserve">Antitumorigenic Properties of Omega-3 Endocannabinoid Epoxides.</t>
  </si>
  <si>
    <t xml:space="preserve">Roy J, Watson JE, Hong IS, Fan TM, Das A.</t>
  </si>
  <si>
    <t xml:space="preserve">10.1021/acs.jmedchem.8b00243</t>
  </si>
  <si>
    <t xml:space="preserve">Discovery of potent and selective BRD4 inhibitors capable of blocking TLR3-induced acute airway inflammation.</t>
  </si>
  <si>
    <t xml:space="preserve">Liu Z, Tian B, Chen H, Wang P, Brasier AR, Zhou J.</t>
  </si>
  <si>
    <t xml:space="preserve">10.1016/j.ejmech.2018.04.006</t>
  </si>
  <si>
    <t xml:space="preserve">Synthesis of oxidative metabolites of CRA13 and their analogs: Identification of CRA13 active metabolites and analogs thereof with selective CB2R affinity.</t>
  </si>
  <si>
    <t xml:space="preserve">Hassan AHE, Cho MC, Kim HI, Yang JS, Park KT, Hwang JY, Jang CG, Park KD, Lee YS.</t>
  </si>
  <si>
    <t xml:space="preserve">10.1016/j.bmc.2018.09.007</t>
  </si>
  <si>
    <t xml:space="preserve">Discovery of long-chain salicylketoxime derivatives as monoacylglycerol lipase (MAGL) inhibitors.</t>
  </si>
  <si>
    <t xml:space="preserve">Bononi G, Granchi C, Lapillo M, Giannotti M, Nieri D, Fortunato S, Boustani ME, Caligiuri I, Poli G, Carlson KE, Kim SH, Macchia M, Martinelli A, Rizzolio F, Chicca A, Katzenellenbogen JA, Minutolo F, Tuccinardi T.</t>
  </si>
  <si>
    <t xml:space="preserve">10.1016/j.ejmech.2018.08.038</t>
  </si>
  <si>
    <t xml:space="preserve">6-Benzhydryl-4-amino-quinolin-2-ones as Potent Cannabinoid Type 1 (CB1) Receptor Inverse Agonists and Chemical Modifications for Peripheral Selectivity.</t>
  </si>
  <si>
    <t xml:space="preserve">Zhang YM, Greco MN, Macielag MJ, Teleha CA, DesJarlais RL, Tang Y, Ho G, Hou C, Chen C, Zhao S, Kauffman J, Camacho R, Qi J, Murray W, Demarest K, Leonard J.</t>
  </si>
  <si>
    <t xml:space="preserve">10.1021/acs.jmedchem.8b01467</t>
  </si>
  <si>
    <t xml:space="preserve">Identification of the First Synthetic Allosteric Modulator of the CB&lt;sub&gt;2&lt;/sub&gt; Receptors and Evidence of Its Efficacy for Neuropathic Pain Relief.</t>
  </si>
  <si>
    <t xml:space="preserve">Gado F, Di Cesare Mannelli L, Lucarini E, Bertini S, Cappelli E, Digiacomo M, Stevenson LA, Macchia M, Tuccinardi T, Ghelardini C, Pertwee RG, Manera C.</t>
  </si>
  <si>
    <t xml:space="preserve">10.1021/acs.jmedchem.8b00368</t>
  </si>
  <si>
    <t xml:space="preserve">Development and characterization of a CNS-penetrant benzhydryl hydroxamic acid class IIa histone deacetylase inhibitor.</t>
  </si>
  <si>
    <t xml:space="preserve">Luckhurst CA, Aziz O, Beaumont V, Bürli RW, Breccia P, Maillard MC, Haughan AF, Lamers M, Leonard P, Matthews KL, Raphy G, Stott AJ, Munoz-Sanjuan I, Thomas B, Wall M, Wishart G, Yates D, Dominguez C.</t>
  </si>
  <si>
    <t xml:space="preserve">10.1016/j.bmcl.2018.11.009</t>
  </si>
  <si>
    <t xml:space="preserve">3-[(1&lt;i&gt;S&lt;/i&gt;,2&lt;i&gt;S&lt;/i&gt;,3&lt;i&gt;R&lt;/i&gt;)-2,3-Difluoro-1-hydroxy-7-methylsulfonylindan-4-yl]oxy-5-fluorobenzonitrile (PT2977), a Hypoxia-Inducible Factor 2α (HIF-2α) Inhibitor for the Treatment of Clear Cell Renal Cell Carcinoma.</t>
  </si>
  <si>
    <t xml:space="preserve">Xu R, Wang K, Rizzi JP, Huang H, Grina JA, Schlachter ST, Wang B, Wehn PM, Yang H, Dixon DD, Czerwinski RM, Du X, Ged EL, Han G, Tan H, Wong T, Xie S, Josey JA, Wallace EM.</t>
  </si>
  <si>
    <t xml:space="preserve">10.1021/acs.jmedchem.9b00719</t>
  </si>
  <si>
    <t xml:space="preserve">Preventing Morphine-Seeking Behavior through the Re-Engineering of Vincamine's Biological Activity.</t>
  </si>
  <si>
    <t xml:space="preserve">Norwood VM, Brice-Tutt AC, Eans SO, Stacy HM, Shi G, Ratnayake R, Rocca JR, Abboud KA, Li C, Luesch H, McLaughlin JP, Huigens RW.</t>
  </si>
  <si>
    <t xml:space="preserve">10.1021/acs.jmedchem.9b01924</t>
  </si>
  <si>
    <t xml:space="preserve">Discovery of LOU064 (Remibrutinib), a Potent and Highly Selective Covalent Inhibitor of Bruton's Tyrosine Kinase.</t>
  </si>
  <si>
    <t xml:space="preserve">Angst D, Gessier F, Janser P, Vulpetti A, Wälchli R, Beerli C, Littlewood-Evans A, Dawson J, Nuesslein-Hildesheim B, Wieczorek G, Gutmann S, Scheufler C, Hinniger A, Zimmerlin A, Funhoff EG, Pulz R, Cenni B.</t>
  </si>
  <si>
    <t xml:space="preserve">10.1021/acs.jmedchem.9b01916</t>
  </si>
  <si>
    <t xml:space="preserve">Strategies to develop selective CB&lt;sub&gt;2&lt;/sub&gt; receptor agonists from indole carboxamide synthetic cannabinoids.</t>
  </si>
  <si>
    <t xml:space="preserve">Moir M, Lane S, Lai F, Connor M, Hibbs DE, Kassiou M.</t>
  </si>
  <si>
    <t xml:space="preserve">10.1016/j.ejmech.2019.07.036</t>
  </si>
  <si>
    <t xml:space="preserve">Piperidine and piperazine inhibitors of fatty acid amide hydrolase targeting excitotoxic pathology.</t>
  </si>
  <si>
    <t xml:space="preserve">Lamani M, Malamas MS, Farah SI, Shukla VG, Almeida MF, Weerts CM, Anderson J, Wood JT, Farizatto KLG, Bahr BA, Makriyannis A.</t>
  </si>
  <si>
    <t xml:space="preserve">10.1016/j.bmc.2019.115096</t>
  </si>
  <si>
    <t xml:space="preserve">Functionalized 6-(Piperidin-1-yl)-8,9-Diphenyl Purines as Peripherally Restricted Inverse Agonists of the CB1 Receptor.</t>
  </si>
  <si>
    <t xml:space="preserve">Amato G, Manke A, Wiethe R, Vasukuttan V, Snyder R, Yueh YL, Decker A, Runyon S, Maitra R.</t>
  </si>
  <si>
    <t xml:space="preserve">10.1021/acs.jmedchem.9b00727</t>
  </si>
  <si>
    <t xml:space="preserve">Indole compounds with &lt;i&gt;N&lt;/i&gt;-ethyl morpholine moieties as CB2 receptor agonists for anti-inflammatory management of pain: synthesis and biological evaluation.</t>
  </si>
  <si>
    <t xml:space="preserve">Li J, Ji J, Xu R, Li Z.</t>
  </si>
  <si>
    <t xml:space="preserve">10.1039/C9MD00173E</t>
  </si>
  <si>
    <t xml:space="preserve">Introducing nitrogen atoms to amidoalkylindoles: potent and selective cannabinoid type 2 receptor agonists with improved aqueous solubility.</t>
  </si>
  <si>
    <t xml:space="preserve">Ji YY, Wang ZL, Pei FN, Shi JJ, Li JJ, Gunosewoyo H, Yang F, Tang J, Xie X, Yu LF.</t>
  </si>
  <si>
    <t xml:space="preserve">10.1039/C9MD00411D</t>
  </si>
  <si>
    <t xml:space="preserve">Synthesis and evaluation of potent and selective MGL inhibitors as a glaucoma treatment.</t>
  </si>
  <si>
    <t xml:space="preserve">Alapafuja SO, Malamas MS, Shukla V, Zvonok A, Miller S, Daily L, Rajarshi G, Miyabe CY, Chandrashekhar H, Wood J, Tyukhtenko S, Straiker A, Makriyannis A.</t>
  </si>
  <si>
    <t xml:space="preserve">10.1016/j.bmc.2018.11.003</t>
  </si>
  <si>
    <t xml:space="preserve">Discovery of Novel Spiroindoline Derivatives as Selective Tankyrase Inhibitors.</t>
  </si>
  <si>
    <t xml:space="preserve">Shirai F, Tsumura T, Yashiroda Y, Yuki H, Niwa H, Sato S, Chikada T, Koda Y, Washizuka K, Yoshimoto N, Abe M, Onuki T, Mazaki Y, Hirama C, Fukami T, Watanabe H, Honma T, Umehara T, Shirouzu M, Okue M, Kano Y, Watanabe T, Kitamura K, Shitara E, Muramatsu Y, Yoshida H, Mizutani A, Seimiya H, Yoshida M, Koyama H.</t>
  </si>
  <si>
    <t xml:space="preserve">10.1021/acs.jmedchem.8b01888</t>
  </si>
  <si>
    <t xml:space="preserve">Eicosanoid mediation of cannabinoid actions.</t>
  </si>
  <si>
    <t xml:space="preserve">Burstein SH.</t>
  </si>
  <si>
    <t xml:space="preserve">10.1016/j.bmc.2019.05.018</t>
  </si>
  <si>
    <t xml:space="preserve">The discovery of quinoline-3-carboxamides as hematopoietic prostaglandin D synthase (H-PGDS) inhibitors.</t>
  </si>
  <si>
    <t xml:space="preserve">Deaton DN, Do Y, Holt J, Jeune MR, Kramer HF, Larkin AL, Orband-Miller LA, Peckham GE, Poole C, Price DJ, Schaller LT, Shen Y, Shewchuk LM, Stewart EL, Stuart JD, Thomson SA, Ward P, Wilson JW, Xu T, Guss JH, Musetti C, Rendina AR, Affleck K, Anders D, Hancock AP, Hobbs H, Hodgson ST, Hutchinson J, Leveridge MV, Nicholls H, Smith IED, Somers DO, Sneddon HF, Uddin S, Cleasby A, Mortenson PN, Richardson C, Saxty G.</t>
  </si>
  <si>
    <t xml:space="preserve">10.1016/j.bmc.2019.02.017</t>
  </si>
  <si>
    <t xml:space="preserve">Synthesis and Pharmacological Evaluation of 1-Phenyl-3-Thiophenylurea Derivatives as Cannabinoid Type-1 Receptor Allosteric Modulators.</t>
  </si>
  <si>
    <t xml:space="preserve">Nguyen T, Gamage TF, Decker AM, Barrus D, Langston TL, Li JX, Thomas BF, Zhang Y.</t>
  </si>
  <si>
    <t xml:space="preserve">10.1021/acs.jmedchem.9b01161</t>
  </si>
  <si>
    <t xml:space="preserve">Optimization of a Benzoylpiperidine Class Identifies a Highly Potent and Selective Reversible Monoacylglycerol Lipase (MAGL) Inhibitor.</t>
  </si>
  <si>
    <t xml:space="preserve">Granchi C, Lapillo M, Glasmacher S, Bononi G, Licari C, Poli G, El Boustani M, Caligiuri I, Rizzolio F, Gertsch J, Macchia M, Minutolo F, Tuccinardi T, Chicca A.</t>
  </si>
  <si>
    <t xml:space="preserve">10.1021/acs.jmedchem.8b01483</t>
  </si>
  <si>
    <t xml:space="preserve">Development of an N-Acyl Amino Acid That Selectively Inhibits the Glycine Transporter 2 To Produce Analgesia in a Rat Model of Chronic Pain.</t>
  </si>
  <si>
    <t xml:space="preserve">Mostyn SN, Rawling T, Mohammadi S, Shimmon S, Frangos ZJ, Sarker S, Yousuf A, Vetter I, Ryan RM, Christie MJ, Vandenberg RJ.</t>
  </si>
  <si>
    <t xml:space="preserve">10.1021/acs.jmedchem.8b01775</t>
  </si>
  <si>
    <t xml:space="preserve">Data for DCP probe ABT-100</t>
  </si>
  <si>
    <t xml:space="preserve">10.6019/CHEMBL4507257</t>
  </si>
  <si>
    <t xml:space="preserve">Data for DCP probe ABT-546</t>
  </si>
  <si>
    <t xml:space="preserve">10.6019/CHEMBL4507258</t>
  </si>
  <si>
    <t xml:space="preserve">Data for DCP probe A-485</t>
  </si>
  <si>
    <t xml:space="preserve">10.6019/CHEMBL4507259</t>
  </si>
  <si>
    <t xml:space="preserve">Data for DCP probe ABT-724</t>
  </si>
  <si>
    <t xml:space="preserve">10.6019/CHEMBL4507260</t>
  </si>
  <si>
    <t xml:space="preserve">Data for DCP probe A-192621</t>
  </si>
  <si>
    <t xml:space="preserve">10.6019/CHEMBL4507261</t>
  </si>
  <si>
    <t xml:space="preserve">Data for DCP probe A-1596586</t>
  </si>
  <si>
    <t xml:space="preserve">10.6019/CHEMBL4507262</t>
  </si>
  <si>
    <t xml:space="preserve">Data for DCP probe BI-2545</t>
  </si>
  <si>
    <t xml:space="preserve">10.6019/CHEMBL4507275</t>
  </si>
  <si>
    <t xml:space="preserve">Data for DCP probe BI 665915</t>
  </si>
  <si>
    <t xml:space="preserve">10.6019/CHEMBL4507276</t>
  </si>
  <si>
    <t xml:space="preserve">Data for DCP probe MRL-650</t>
  </si>
  <si>
    <t xml:space="preserve">10.6019/CHEMBL4507287</t>
  </si>
  <si>
    <t xml:space="preserve">CHEMBL4507291</t>
  </si>
  <si>
    <t xml:space="preserve">Data for DCP probe MLi-2</t>
  </si>
  <si>
    <t xml:space="preserve">10.6019/CHEMBL4507291</t>
  </si>
  <si>
    <t xml:space="preserve">CHEMBL4507292</t>
  </si>
  <si>
    <t xml:space="preserve">Data for DCP probe PPTN</t>
  </si>
  <si>
    <t xml:space="preserve">10.6019/CHEMBL4507292</t>
  </si>
  <si>
    <t xml:space="preserve">CHEMBL4507293</t>
  </si>
  <si>
    <t xml:space="preserve">Data for DCP probe THPP-1</t>
  </si>
  <si>
    <t xml:space="preserve">10.6019/CHEMBL4507293</t>
  </si>
  <si>
    <t xml:space="preserve">CHEMBL4507295</t>
  </si>
  <si>
    <t xml:space="preserve">Data for DCP probe MSD-M1PAM</t>
  </si>
  <si>
    <t xml:space="preserve">10.6019/CHEMBL4507295</t>
  </si>
  <si>
    <t xml:space="preserve">Data for DCP probe PF-04418948</t>
  </si>
  <si>
    <t xml:space="preserve">10.6019/CHEMBL4507298</t>
  </si>
  <si>
    <t xml:space="preserve">Data for DCP probe UCSF924</t>
  </si>
  <si>
    <t xml:space="preserve">10.6019/CHEMBL4507309</t>
  </si>
  <si>
    <t xml:space="preserve">Data for DCP probe A-1211212</t>
  </si>
  <si>
    <t xml:space="preserve">10.6019/CHEMBL4507310</t>
  </si>
  <si>
    <t xml:space="preserve">Data for DCP probe A-1155463</t>
  </si>
  <si>
    <t xml:space="preserve">10.6019/CHEMBL4507311</t>
  </si>
  <si>
    <t xml:space="preserve">CHEMBL4507325</t>
  </si>
  <si>
    <t xml:space="preserve">Data for DCP probe BAY-069</t>
  </si>
  <si>
    <t xml:space="preserve">10.6019/CHEMBL4507325</t>
  </si>
  <si>
    <t xml:space="preserve">CHEMBL4507328</t>
  </si>
  <si>
    <t xml:space="preserve">Data for DCP probe BAY-390</t>
  </si>
  <si>
    <t xml:space="preserve">10.6019/CHEMBL4507328</t>
  </si>
  <si>
    <t xml:space="preserve">A Selective and Brain Penetrant p38αMAPK Inhibitor Candidate for Neurologic and Neuropsychiatric Disorders That Attenuates Neuroinflammation and Cognitive Dysfunction.</t>
  </si>
  <si>
    <t xml:space="preserve">Roy SM, Minasov G, Arancio O, Chico LW, Van Eldik LJ, Anderson WF, Pelletier JC, Watterson DM.</t>
  </si>
  <si>
    <t xml:space="preserve">10.1021/acs.jmedchem.9b00058</t>
  </si>
  <si>
    <t xml:space="preserve">Discovery and optimization of heteroaryl piperazines as potent and selective PI3Kδ inhibitors.</t>
  </si>
  <si>
    <t xml:space="preserve">Zhou H, McGowan MA, Lipford K, Christopher M, Fradera X, Witter D, Lesburg CA, Li C, Methot JL, Lampe J, Achab A, Shaffer L, Goldenblatt P, Shah S, Bass A, Schroeder G, Chen D, Zeng H, Augustin MA, Katz JD.</t>
  </si>
  <si>
    <t xml:space="preserve">10.1016/j.bmcl.2019.126715</t>
  </si>
  <si>
    <t xml:space="preserve">Discovery of Aryl Formyl Piperidine Derivatives as Potent, Reversible, and Selective Monoacylglycerol Lipase Inhibitors.</t>
  </si>
  <si>
    <t xml:space="preserve">Zhi Z, Zhang W, Yao J, Shang Y, Hao Q, Liu Z, Ren Y, Li J, Zhang G, Wang J.</t>
  </si>
  <si>
    <t xml:space="preserve">10.1021/acs.jmedchem.9b02137</t>
  </si>
  <si>
    <t xml:space="preserve">Exploration of Alternative Scaffolds for P2Y&lt;sub&gt;14&lt;/sub&gt; Receptor Antagonists Containing a Biaryl Core.</t>
  </si>
  <si>
    <t xml:space="preserve">Jung YH, Yu J, Wen Z, Salmaso V, Karcz TP, Phung NB, Chen Z, Duca S, Bennett JM, Dudas S, Salvemini D, Gao ZG, Cook DN, Jacobson KA.</t>
  </si>
  <si>
    <t xml:space="preserve">10.1021/acs.jmedchem.0c00745</t>
  </si>
  <si>
    <t xml:space="preserve">The discovery of azetidine-piperazine di-amides as potent, selective and reversible monoacylglycerol lipase (MAGL) inhibitors.</t>
  </si>
  <si>
    <t xml:space="preserve">Zhu B, Connolly PJ, Zhang YM, McDonnell ME, Bian H, Lin SC, Liu L, Zhang SP, Chevalier KM, Brandt MR, Milligan CM, Flores CM, Macielag MJ.</t>
  </si>
  <si>
    <t xml:space="preserve">10.1016/j.bmcl.2020.127243</t>
  </si>
  <si>
    <t xml:space="preserve">Discovery of 4-Phenylpiperidine-2-Carboxamide Analogues as Serotonin 5-HT&lt;sub&gt;2C&lt;/sub&gt; Receptor-Positive Allosteric Modulators with Enhanced Drug-like Properties.</t>
  </si>
  <si>
    <t xml:space="preserve">Wold EA, Garcia EJ, Wild CT, Miszkiel JM, Soto CA, Chen J, Pazdrak K, Fox RG, Anastasio NC, Cunningham KA, Zhou J.</t>
  </si>
  <si>
    <t xml:space="preserve">10.1021/acs.jmedchem.9b01953</t>
  </si>
  <si>
    <t xml:space="preserve">Structure-Activity Relationship Studies of α-Ketoamides as Inhibitors of the Phospholipase A and Acyltransferase Enzyme Family.</t>
  </si>
  <si>
    <t xml:space="preserve">Zhou J, Mock ED, Al Ayed K, Di X, Kantae V, Burggraaff L, Stevens AF, Martella A, Mohr F, Jiang M, van der Wel T, Wendel TJ, Ofman TP, Tran Y, de Koster N, van Westen GJP, Hankemeier T, van der Stelt M.</t>
  </si>
  <si>
    <t xml:space="preserve">10.1021/acs.jmedchem.0c00522</t>
  </si>
  <si>
    <t xml:space="preserve">CHEMBL4630901</t>
  </si>
  <si>
    <t xml:space="preserve">Data for DCP probe BAY-6672</t>
  </si>
  <si>
    <t xml:space="preserve">10.6019/CHEMBL4630901</t>
  </si>
  <si>
    <t xml:space="preserve">Data for DCP probe BI-2540</t>
  </si>
  <si>
    <t xml:space="preserve">10.6019/CHEMBL4630903</t>
  </si>
  <si>
    <t xml:space="preserve">Data for DCP probe BI 207127</t>
  </si>
  <si>
    <t xml:space="preserve">10.6019/CHEMBL4630904</t>
  </si>
  <si>
    <t xml:space="preserve">Data for DCP probe GSK778</t>
  </si>
  <si>
    <t xml:space="preserve">10.6019/CHEMBL4630907</t>
  </si>
  <si>
    <t xml:space="preserve">Data for DCP probe GSK046</t>
  </si>
  <si>
    <t xml:space="preserve">10.6019/CHEMBL4630908</t>
  </si>
  <si>
    <t xml:space="preserve">Data for DCP probe GSK620</t>
  </si>
  <si>
    <t xml:space="preserve">10.6019/CHEMBL4630909</t>
  </si>
  <si>
    <t xml:space="preserve">Discovery of PEGylated 6-Benzhydryl-4-amino-quinazolines as Peripherally Restricted CBR Inverse Agonists.</t>
  </si>
  <si>
    <t xml:space="preserve">Zhang YM,Greco M,Le Blanc T,Lang W,Kauffman J,Masucci J,Murray WV,Demarest K,Macielag MJ</t>
  </si>
  <si>
    <t xml:space="preserve">10.1021/acsmedchemlett.0c00495</t>
  </si>
  <si>
    <t xml:space="preserve">A perspective review on fatty acid amide hydrolase (FAAH) inhibitors as potential therapeutic agents.</t>
  </si>
  <si>
    <t xml:space="preserve">Tripathi RKP</t>
  </si>
  <si>
    <t xml:space="preserve">10.1016/j.ejmech.2019.111953</t>
  </si>
  <si>
    <t xml:space="preserve">Novel, Potent, and Druglike Tetrahydroquinazoline Inhibitor That Is Highly Selective for Human Topoisomerase II α over β.</t>
  </si>
  <si>
    <t xml:space="preserve">Ortega JA,Arencibia JM,Minniti E,Byl JAW,Franco-Ulloa S,Borgogno M,Genna V,Summa M,Bertozzi SM,Bertorelli R,Armirotti A,Minarini A,Sissi C,Osheroff N,De Vivo M</t>
  </si>
  <si>
    <t xml:space="preserve">10.1021/acs.jmedchem.0c00774</t>
  </si>
  <si>
    <t xml:space="preserve">Novel Aryloxyethyl Derivatives of 1-(1-Benzoylpiperidin-4-yl)methanamine as the Extracellular Regulated Kinases 1/2 (ERK1/2) Phosphorylation-Preferring Serotonin 5-HT Receptor-Biased Agonists with Robust Antidepressant-like Activity.</t>
  </si>
  <si>
    <t xml:space="preserve">Sniecikowska J,Gluch-Lutwin M,Bucki A,Więckowska A,Siwek A,Jastrzebska-Wiesek M,Partyka A,Wilczyńska D,Pytka K,Pociecha K,Cios A,Wyska E,Wesołowska A,Pawłowski M,Varney MA,Newman-Tancredi A,Kolaczkowski M</t>
  </si>
  <si>
    <t xml:space="preserve">10.1021/acs.jmedchem.9b00062</t>
  </si>
  <si>
    <t xml:space="preserve">PSNCBAM-1 analogs: Structural evolutions and allosteric properties at cannabinoid CB1 receptor.</t>
  </si>
  <si>
    <t xml:space="preserve">Meini S,Gado F,Stevenson LA,Digiacomo M,Saba A,Codini S,Macchia M,Pertwee RG,Bertini S,Manera C</t>
  </si>
  <si>
    <t xml:space="preserve">10.1016/j.ejmech.2020.112606</t>
  </si>
  <si>
    <t xml:space="preserve">Discovery of MGS0274, an ester prodrug of a metabotropic glutamate receptor 2/3 agonist with improved oral bioavailability.</t>
  </si>
  <si>
    <t xml:space="preserve">Urabe H,Miyakoshi N,Ohtake N,Nozoe A,Ochi M,Fukasawa M,Kinoshita K,Yamaguchi JI,Marumo T,Hikichi H,Chaki S,Hashihayata T</t>
  </si>
  <si>
    <t xml:space="preserve">10.1016/j.ejmech.2020.112521</t>
  </si>
  <si>
    <t xml:space="preserve">Treatment of Metabolic Disorders with CB-1 Receptor Inverse Agonists.</t>
  </si>
  <si>
    <t xml:space="preserve">Abdel-Magid AF.</t>
  </si>
  <si>
    <t xml:space="preserve">10.1021/acsmedchemlett.6b00324</t>
  </si>
  <si>
    <t xml:space="preserve">Discovery of Tricyclic Xanthines as Agonists of the Cannabinoid-Activated Orphan G-Protein-Coupled Receptor GPR18.</t>
  </si>
  <si>
    <t xml:space="preserve">Schoeder CT,Mahardhika AB,Drabczyńska A,Kieć-Kononowicz K,Müller CE</t>
  </si>
  <si>
    <t xml:space="preserve">10.1021/acsmedchemlett.0c00208</t>
  </si>
  <si>
    <t xml:space="preserve">Design, synthesis and biological evaluation of second-generation benzoylpiperidine derivatives as reversible monoacylglycerol lipase (MAGL) inhibitors.</t>
  </si>
  <si>
    <t xml:space="preserve">Granchi C,Bononi G,Ferrisi R,Gori E,Mantini G,Glasmacher S,Poli G,Palazzolo S,Caligiuri I,Rizzolio F,Canzonieri V,Perin T,Gertsch J,Sodi A,Giovannetti E,Macchia M,Minutolo F,Tuccinardi T,Chicca A</t>
  </si>
  <si>
    <t xml:space="preserve">10.1016/j.ejmech.2020.112857</t>
  </si>
  <si>
    <t xml:space="preserve">Piperidine propionamide as a scaffold for potent sigma-1 receptor antagonists and mu opioid receptor agonists for treating neuropathic pain.</t>
  </si>
  <si>
    <t xml:space="preserve">Xiong J,Jin J,Gao L,Hao C,Liu X,Liu BF,Chen Y,Zhang G</t>
  </si>
  <si>
    <t xml:space="preserve">10.1016/j.ejmech.2020.112144</t>
  </si>
  <si>
    <t xml:space="preserve">From a Designer Drug to the Discovery of Selective Cannabinoid Type 2 Receptor Agonists with Favorable Pharmacokinetic Profiles for the Treatment of Systemic Sclerosis.</t>
  </si>
  <si>
    <t xml:space="preserve">Jiang BE,Jiang X,Zhang Q,Liang Q,Qiu ZL,Sun XB,Yang JJ,Chen S,Yi C,Chai X,Liu M,Yu LF,Lu W,Zhang HK</t>
  </si>
  <si>
    <t xml:space="preserve">10.1021/acs.jmedchem.0c01023</t>
  </si>
  <si>
    <t xml:space="preserve">Data for DCP probe BI 605906</t>
  </si>
  <si>
    <t xml:space="preserve">10.6019/CHEMBL4800722</t>
  </si>
  <si>
    <t xml:space="preserve">Data for DCP probe BI-1942</t>
  </si>
  <si>
    <t xml:space="preserve">10.6019/CHEMBL4800723</t>
  </si>
  <si>
    <t xml:space="preserve">Data for DCP probe JNJ-42396302</t>
  </si>
  <si>
    <t xml:space="preserve">10.6019/CHEMBL4800727</t>
  </si>
  <si>
    <t xml:space="preserve">CHEMBL4800729</t>
  </si>
  <si>
    <t xml:space="preserve">Data for DCP probe BAY-091</t>
  </si>
  <si>
    <t xml:space="preserve">10.6019/CHEMBL4800729</t>
  </si>
  <si>
    <t xml:space="preserve">Design and Synthesis of Novel Spiro Derivatives as Potent and Reversible Monoacylglycerol Lipase (MAGL) Inhibitors: Bioisosteric Transformation from 3-Oxo-3,4-dihydro-2&lt;i&gt;H&lt;/i&gt;-benzo[&lt;i&gt;b&lt;/i&gt;][1,4]oxazin-6-yl Moiety.</t>
  </si>
  <si>
    <t xml:space="preserve">Ikeda S, Sugiyama H, Tokuhara H, Murakami M, Nakamura M, Oguro Y, Aida J, Morishita N, Sogabe S, Dougan DR, Gay SC, Qin L, Arimura N, Takahashi Y, Sasaki M, Kamada Y, Aoyama K, Kimoto K, Kamata M.</t>
  </si>
  <si>
    <t xml:space="preserve">10.1021/acs.jmedchem.1c00432</t>
  </si>
  <si>
    <t xml:space="preserve">Variously substituted 2-oxopyridine derivatives: Extending the structure-activity relationships for allosteric modulation of the cannabinoid CB2 receptor.</t>
  </si>
  <si>
    <t xml:space="preserve">Gado F, Mohamed KA, Meini S, Ferrisi R, Bertini S, Digiacomo M, D'Andrea F, Stevenson LA, Laprairie RB, Pertwee RG, Manera C.</t>
  </si>
  <si>
    <t xml:space="preserve">10.1016/j.ejmech.2020.113116</t>
  </si>
  <si>
    <t xml:space="preserve">Rotenoids and Other Specialized Metabolites from the Roots of &lt;i&gt;Mirabilis multiflora&lt;/i&gt;: Opioid and Cannabinoid Receptor Radioligand Binding Affinities.</t>
  </si>
  <si>
    <t xml:space="preserve">Sharma VK, Srivedavyasasri R, Ali Z, Zjawiony JK, Ross SA, Ferreira D, Ashpole N, Khan IA.</t>
  </si>
  <si>
    <t xml:space="preserve">10.1021/acs.jnatprod.0c00939</t>
  </si>
  <si>
    <t xml:space="preserve">Cannabinoid Receptor Agonists for the Potential Treatment of Pain, Neurological Disorders, Fibrotic Diseases, Obesity, and Many More.</t>
  </si>
  <si>
    <t xml:space="preserve">10.1021/acsmedchemlett.1c00331</t>
  </si>
  <si>
    <t xml:space="preserve">Design and Structure-Activity Relationships of Isothiocyanates as Potent and Selective &lt;i&gt;N&lt;/i&gt;-Acylethanolamine-Hydrolyzing Acid Amidase Inhibitors.</t>
  </si>
  <si>
    <t xml:space="preserve">Malamas MS, Pavlopoulos S, Alapafuja SO, Farah SI, Zvonok A, Mohammad KA, West J, Perry NT, Pelekoudas DN, Rajarshi G, Shields C, Chandrashekhar H, Wood J, Makriyannis A.</t>
  </si>
  <si>
    <t xml:space="preserve">10.1021/acs.jmedchem.1c00076</t>
  </si>
  <si>
    <t xml:space="preserve">Rational design of cannabinoid type-1 receptor allosteric modulators: Org27569 and PSNCBAM-1 hybrids.</t>
  </si>
  <si>
    <t xml:space="preserve">Nguyen T, Gamage TF, Decker AM, Finlay DB, Langston TL, Barrus D, Glass M, Harris DL, Zhang Y.</t>
  </si>
  <si>
    <t xml:space="preserve">10.1016/j.bmc.2021.116215</t>
  </si>
  <si>
    <t xml:space="preserve">Discovery of Methylene Thioacetal-Incorporated α-RgIA Analogues as Potent and Stable Antagonists of the Human α9α10 Nicotinic Acetylcholine Receptor for the Treatment of Neuropathic Pain.</t>
  </si>
  <si>
    <t xml:space="preserve">Zheng N, Christensen SB, Dowell C, Purushottam L, Skalicky JJ, McIntosh JM, Chou DH.</t>
  </si>
  <si>
    <t xml:space="preserve">10.1021/acs.jmedchem.1c00802</t>
  </si>
  <si>
    <t xml:space="preserve">Development of 3-(4-Chlorophenyl)-1-(phenethyl)urea Analogues as Allosteric Modulators of the Cannabinoid Type-1 Receptor: RTICBM-189 is Brain Penetrant and Attenuates Reinstatement of Cocaine-Seeking Behavior.</t>
  </si>
  <si>
    <t xml:space="preserve">Nguyen T, Gamage TF, Finlay DB, Decker AM, Langston TL, Barrus D, Glass M, Li JX, Kenakin TP, Zhang Y.</t>
  </si>
  <si>
    <t xml:space="preserve">10.1021/acs.jmedchem.1c01432</t>
  </si>
  <si>
    <t xml:space="preserve">Treating essential tremor using (r)-2-(4-isopropylphenyl)-n-(1-(5-(2,2,2-trifluoroethoxy)pyridin-2-yl)ethyl)acetamide</t>
  </si>
  <si>
    <t xml:space="preserve">WO-2020072773-A1</t>
  </si>
  <si>
    <t xml:space="preserve">Rational Remodeling of Atypical Scaffolds for the Design of Photoswitchable Cannabinoid Receptor Tools.</t>
  </si>
  <si>
    <t xml:space="preserve">Hu T, Zheng G, Xue D, Zhao S, Li F, Zhou F, Zhao F, Xie L, Tian C, Hua T, Zhao S, Xu Y, Zhong G, Liu ZJ, Makriyannis A, Stevens RC, Tao H.</t>
  </si>
  <si>
    <t xml:space="preserve">10.1021/acs.jmedchem.1c01088</t>
  </si>
  <si>
    <t xml:space="preserve">Data for DCP probe TP-050</t>
  </si>
  <si>
    <t xml:space="preserve">10.6019/CHEMBL5058641</t>
  </si>
  <si>
    <t xml:space="preserve">Data for DCP probe BI-2081</t>
  </si>
  <si>
    <t xml:space="preserve">10.6019/CHEMBL5058643</t>
  </si>
  <si>
    <t xml:space="preserve">CHEMBL5058649</t>
  </si>
  <si>
    <t xml:space="preserve">Data for DCP probe BAY 1816032</t>
  </si>
  <si>
    <t xml:space="preserve">10.6019/CHEMBL5058649</t>
  </si>
  <si>
    <t xml:space="preserve">Design of Negative and Positive Allosteric Modulators of the Cannabinoid CB&lt;sub&gt;2&lt;/sub&gt; Receptor Derived from the Natural Product Cannabidiol.</t>
  </si>
  <si>
    <t xml:space="preserve">Navarro G, Gonzalez A, Sánchez-Morales A, Casajuana-Martin N, Gómez-Ventura M, Cordomí A, Busqué F, Alibés R, Pardo L, Franco R.</t>
  </si>
  <si>
    <t xml:space="preserve">10.1021/acs.jmedchem.1c00561</t>
  </si>
  <si>
    <t xml:space="preserve">Pyrazolidine Carboxamide Analogs as Selective Agonists of the Cannabinoid 2 Receptor.</t>
  </si>
  <si>
    <t xml:space="preserve">Rosse G.</t>
  </si>
  <si>
    <t xml:space="preserve">10.1021/acsmedchemlett.2c00469</t>
  </si>
  <si>
    <t xml:space="preserve">Synthesis and antitumour evaluation of indole-2-carboxamides against paediatric brain cancer cells.</t>
  </si>
  <si>
    <t xml:space="preserve">Alsayed SSR, Suri A, Bailey AW, Lane S, Werry EL, Huang CC, Yu LF, Kassiou M, Sredni ST, Gunosewoyo H.</t>
  </si>
  <si>
    <t xml:space="preserve">10.1039/D1MD00065A</t>
  </si>
  <si>
    <t xml:space="preserve">Benzylaminofentanyl derivates: Discovery of bifunctional μ opioid and σ&lt;sub&gt;1&lt;/sub&gt; receptor ligands as novel analgesics with reduced adverse effects.</t>
  </si>
  <si>
    <t xml:space="preserve">Zhuang T, Xiong J, Ren X, Liang L, Qi Z, Zhang S, Du W, Chen Y, Liu X, Zhang G.</t>
  </si>
  <si>
    <t xml:space="preserve">10.1016/j.ejmech.2022.114649</t>
  </si>
  <si>
    <t xml:space="preserve">Novel benzimidazole-based pseudo-irreversible butyrylcholinesterase inhibitors with neuroprotective activity in an Alzheimer's disease mouse model.</t>
  </si>
  <si>
    <t xml:space="preserve">Spatz P, Zimmermann T, Steinmüller S, Hofmann J, Maurice T, Decker M.</t>
  </si>
  <si>
    <t xml:space="preserve">10.1039/d2md00087c</t>
  </si>
  <si>
    <t xml:space="preserve">Design, synthesis, and evaluation of phenylpiperazine-phenylacetate derivatives as rapid recovery hypnotic agents.</t>
  </si>
  <si>
    <t xml:space="preserve">Qi Z, Li Z, Zhu M, Zhang X, Zhang G, Zhuang T, Chen Y, Huang L.</t>
  </si>
  <si>
    <t xml:space="preserve">10.1016/j.bmcl.2021.128497</t>
  </si>
  <si>
    <t xml:space="preserve">Overcoming undesirable hERG affinity by incorporating fluorine atoms: A case of MAO-B inhibitors derived from 1 H-pyrrolo-[3,2-c]quinolines.</t>
  </si>
  <si>
    <t xml:space="preserve">Grychowska K, Olejarz-Maciej A, Blicharz K, Pietruś W, Karcz T, Kurczab R, Koczurkiewicz P, Doroz-Płonka A, Latacz G, Keeri AR, Piska K, Satała G, Pęgiel J, Trybała W, Jastrzębska-Więsek M, Bojarski AJ, Lamaty F, Partyka A, Walczak M, Krawczyk M, Malikowska-Racia N, Popik P, Zajdel P.</t>
  </si>
  <si>
    <t xml:space="preserve">10.1016/j.ejmech.2022.114329</t>
  </si>
  <si>
    <t xml:space="preserve">Reversible Monoacylglycerol Lipase Inhibitors: Discovery of a New Class of Benzylpiperidine Derivatives.</t>
  </si>
  <si>
    <t xml:space="preserve">Bononi G, Di Stefano M, Poli G, Ortore G, Meier P, Masetto F, Caligiuri I, Rizzolio F, Macchia M, Chicca A, Avan A, Giovannetti E, Vagaggini C, Brai A, Dreassi E, Valoti M, Minutolo F, Granchi C, Gertsch J, Tuccinardi T.</t>
  </si>
  <si>
    <t xml:space="preserve">10.1021/acs.jmedchem.1c01806</t>
  </si>
  <si>
    <t xml:space="preserve">Selectivity Literature for EUbOPEN Chemogenomics Library wave 3</t>
  </si>
  <si>
    <t xml:space="preserve">EUbOPEN</t>
  </si>
  <si>
    <t xml:space="preserve">10.6019/CHEMBL5212743</t>
  </si>
  <si>
    <t xml:space="preserve">Thienopyrimidine Derivatives as GPR55 Receptor Antagonists: Insight into Structure-Activity Relationship.</t>
  </si>
  <si>
    <t xml:space="preserve">Figuerola-Asencio L, Morales P, Zhao P, Hurst DP, Sayed SS, Colón KL, Gómez-Cañas M, Fernández-Ruiz J, Croatt MP, Reggio PH, Abood ME, Jagerovic N.</t>
  </si>
  <si>
    <t xml:space="preserve">10.1021/acsmedchemlett.2c00325</t>
  </si>
  <si>
    <t xml:space="preserve">Novel Reversible-Binding PET Ligands for Imaging Monoacylglycerol Lipase Based on the Piperazinyl Azetidine Scaffold.</t>
  </si>
  <si>
    <t xml:space="preserve">Rong J, Mori W, Xia X, Schafroth MA, Zhao C, Van RS, Yamasaki T, Chen J, Xiao Z, Haider A, Ogasawara D, Hiraishi A, Shao T, Zhang Y, Chen Z, Pang F, Hu K, Xie L, Fujinaga M, Kumata K, Gou Y, Fang Y, Gu S, Wei H, Bao L, Xu H, Collier TL, Shao Y, Carson RE, Cravatt BF, Wang L, Zhang MR, Liang SH.</t>
  </si>
  <si>
    <t xml:space="preserve">10.1021/acs.jmedchem.1c00747</t>
  </si>
  <si>
    <t xml:space="preserve">Pyrrole: An insight into recent pharmacological advances with structure activity relationship.</t>
  </si>
  <si>
    <t xml:space="preserve">Ahmad S, Alam O, Naim MJ, Shaquiquzzaman M, Alam MM, Iqbal M.</t>
  </si>
  <si>
    <t xml:space="preserve">10.1016/j.ejmech.2018.08.002</t>
  </si>
  <si>
    <t xml:space="preserve">Discovery of SYD5115, a novel orally active small molecule TSH-R antagonist.</t>
  </si>
  <si>
    <t xml:space="preserve">Karstens WFJ, M B P Menge W, Martens G, Op Het Veld SJN, Th H van Eupen J, Demon M, van Achterberg TAE, Arisse-Thijssen MJ, Santegoeds-Lenssen EWH, van der Lee MMC, Ubink R, Arends RJ, Sesink A, Blomenröhr M, Marco Timmers C.</t>
  </si>
  <si>
    <t xml:space="preserve">10.1016/j.bmc.2023.117258</t>
  </si>
  <si>
    <t xml:space="preserve">Data for DCP probe BI-3231</t>
  </si>
  <si>
    <t xml:space="preserve">10.6019/CHEMBL5303761</t>
  </si>
  <si>
    <t xml:space="preserve">Data for DCP probe BI-8668</t>
  </si>
  <si>
    <t xml:space="preserve">10.6019/CHEMBL5303762</t>
  </si>
  <si>
    <t xml:space="preserve">Data for DCP probe BI-3802</t>
  </si>
  <si>
    <t xml:space="preserve">10.6019/CHEMBL5303763</t>
  </si>
  <si>
    <t xml:space="preserve">Data for DCP probe BI-3812</t>
  </si>
  <si>
    <t xml:space="preserve">10.6019/CHEMBL5303764</t>
  </si>
  <si>
    <t xml:space="preserve">Data for DCP probe BAY-7081</t>
  </si>
  <si>
    <t xml:space="preserve">10.6019/CHEMBL5303765</t>
  </si>
  <si>
    <t xml:space="preserve">Data for DCP probe TP-060</t>
  </si>
  <si>
    <t xml:space="preserve">10.6019/CHEMBL5303768</t>
  </si>
  <si>
    <t xml:space="preserve">Discovery of AD258 as a Sigma Receptor Ligand with Potent Antiallodynic Activity.</t>
  </si>
  <si>
    <t xml:space="preserve">Dichiara M, Ambrosio FA, Lee SM, Ruiz-Cantero MC, Lombino J, Coricello A, Costa G, Shah D, Costanzo G, Pasquinucci L, Son KN, Cosentino G, González-Cano R, Marrazzo A, Aakalu VK, Cobos EJ, Alcaro S, Amata E.</t>
  </si>
  <si>
    <t xml:space="preserve">10.1021/acs.jmedchem.3c00959</t>
  </si>
  <si>
    <t xml:space="preserve">Development of potent and selective FAAH inhibitors with improved drug-like properties as potential tools to treat neuroinflammatory conditions.</t>
  </si>
  <si>
    <t xml:space="preserve">Papa A, Pasquini S, Galvani F, Cammarota M, Contri C, Carullo G, Gemma S, Ramunno A, Lamponi S, Gorelli B, Saponara S, Varani K, Mor M, Campiani G, Boscia F, Vincenzi F, Lodola A, Butini S.</t>
  </si>
  <si>
    <t xml:space="preserve">10.1016/j.ejmech.2022.114952</t>
  </si>
  <si>
    <t xml:space="preserve">Discovery of 4-(1,2,4-Oxadiazol-5-yl)azepan-2-one Derivatives as a New Class of Cannabinoid Type 2 Receptor Agonists for the Treatment of Inflammatory Pain.</t>
  </si>
  <si>
    <t xml:space="preserve">Nan J, Liu J, Lin G, Zhang S, Xia A, Zhou P, Zhou Y, Zhang J, Zhao J, Zhang S, Huang C, Wang Y, Hu Q, Chen J, Xiang M, Yang X, Yang S.</t>
  </si>
  <si>
    <t xml:space="preserve">10.1021/acs.jmedchem.2c01943</t>
  </si>
  <si>
    <t xml:space="preserve">Development of Highly Potent, G-Protein Pathway Biased, Selective, and Orally Bioavailable GPR84 Agonists.</t>
  </si>
  <si>
    <t xml:space="preserve">Wang P, Raja A, Luscombe VB, Bataille CJR, Lucy D, Rogga VV, Greaves DR, Russell AJ.</t>
  </si>
  <si>
    <t xml:space="preserve">10.1021/acs.jmedchem.3c00951</t>
  </si>
  <si>
    <t xml:space="preserve">Optimizing and characterizing 4-methyl substituted pyrazol-3-carboxamides leading to the peripheral cannabinoid 1 receptor inverse agonist TM38837.</t>
  </si>
  <si>
    <t xml:space="preserve">Högberg T, Receveur JM, Murray A, Linget JM, Nørregaard PK, Little PB, Cooper M.</t>
  </si>
  <si>
    <t xml:space="preserve">10.1016/j.bmcl.2023.129572</t>
  </si>
  <si>
    <t xml:space="preserve">A Simple Chiral &lt;sup&gt;1&lt;/sup&gt;H NMR Method for the Discrimination of (&lt;i&gt;R&lt;/i&gt;)- and (&lt;i&gt;S&lt;/i&gt;)-Cannabichromene in Complex Natural Mixtures and Their Effects on TRPA1 Activity.</t>
  </si>
  <si>
    <t xml:space="preserve">Dadiotis E, Cui M, Gerasi M, Mitsis V, Melliou E, Makriyannis A, Logothetis DE, Magiatis P.</t>
  </si>
  <si>
    <t xml:space="preserve">10.1021/acs.jnatprod.3c00796</t>
  </si>
  <si>
    <t xml:space="preserve">Synthesis and Evaluation of Natural and Unnatural Tetrahydrocannabiorcol for Its Potential Use in Neuropathologies.</t>
  </si>
  <si>
    <t xml:space="preserve">Anand R, Anand LK, Rashid N, Painuli R, Malik F, Singh PP.</t>
  </si>
  <si>
    <t xml:space="preserve">10.1021/acs.jnatprod.3c00172</t>
  </si>
  <si>
    <t xml:space="preserve">Discovery and Characterization of Novel CNS-Penetrant GPR55 Agonists.</t>
  </si>
  <si>
    <t xml:space="preserve">Hewer RC, Christie LA, Doyle KJ, Xu X, Roberts MJ, Dickson L, Cheung T, Cadwalladr DH, Pickford P, Teall M, Powell JAC, Sheardown S, Narayana L, Brice NL, Dawson LA, Carlton M, Bürli RW.</t>
  </si>
  <si>
    <t xml:space="preserve">10.1021/acs.jmedchem.3c00784</t>
  </si>
  <si>
    <t xml:space="preserve">Brain-penetrant cyanoindane and cyanotetralin inhibitors of G2019S-LRRK2 kinase activity.</t>
  </si>
  <si>
    <t xml:space="preserve">Garofalo AW, Schwarz J, Zobel K, Beato C, Bernardi S, Budassi F, Caberlotto L, Gao P, Griffante C, Liu X, Migliore M, Qiao F, Sabbatini FM, Sava A, Zhang M, Carlisle HJ.</t>
  </si>
  <si>
    <t xml:space="preserve">10.1016/j.bmcl.2023.129487</t>
  </si>
  <si>
    <t xml:space="preserve">A Novel Bifunctional μOR Agonist and σ&lt;sub&gt;1&lt;/sub&gt;R Antagonist with Potent Analgesic Responses and Reduced Adverse Effects.</t>
  </si>
  <si>
    <t xml:space="preserve">Miao Z, Zhong Y, Gan Y, Fu K, Liu W, Cao Z, Zhao T, Li Z, Hai A, Peng Y, Zuo Z, Zhang T, Hu S, Chen C, Kang T, Huang T, Guo D, Ke B.</t>
  </si>
  <si>
    <t xml:space="preserve">10.1021/acs.jmedchem.3c01637</t>
  </si>
  <si>
    <t xml:space="preserve">ASAP - In vitro safety pharmacology profile</t>
  </si>
  <si>
    <t xml:space="preserve">ASAP Discovery Consortium</t>
  </si>
  <si>
    <t xml:space="preserve">10.6019/CHEMBL5442334</t>
  </si>
  <si>
    <t xml:space="preserve">CHEMBL5463721</t>
  </si>
  <si>
    <t xml:space="preserve">Data for DCP probe WEB2086</t>
  </si>
  <si>
    <t xml:space="preserve">10.6019/CHEMBL5463721</t>
  </si>
  <si>
    <t xml:space="preserve">CHEMBL5463722</t>
  </si>
  <si>
    <t xml:space="preserve">Data for DCP probe BI-5524</t>
  </si>
  <si>
    <t xml:space="preserve">10.6019/CHEMBL5463722</t>
  </si>
  <si>
    <t xml:space="preserve">CHEMBL5463723</t>
  </si>
  <si>
    <t xml:space="preserve">Data for DCP probe BIBO3304</t>
  </si>
  <si>
    <t xml:space="preserve">10.6019/CHEMBL5463723</t>
  </si>
  <si>
    <t xml:space="preserve">Data for DCP probe BAY-277</t>
  </si>
  <si>
    <t xml:space="preserve">10.6019/CHEMBL5463725</t>
  </si>
  <si>
    <t xml:space="preserve">CHEMBL5463728</t>
  </si>
  <si>
    <t xml:space="preserve">Data for DCP probe BAY-6096</t>
  </si>
  <si>
    <t xml:space="preserve">10.6019/CHEMBL5463728</t>
  </si>
  <si>
    <t xml:space="preserve">CHEMBL5463729</t>
  </si>
  <si>
    <t xml:space="preserve">Data for DCP probe BAY 1753011</t>
  </si>
  <si>
    <t xml:space="preserve">10.6019/CHEMBL5463729</t>
  </si>
  <si>
    <t xml:space="preserve">Selectivity Literature for EUbOPEN Chemogenomic Library</t>
  </si>
  <si>
    <t xml:space="preserve">10.6019/CHEMBL5465560</t>
  </si>
  <si>
    <t xml:space="preserve">Natural Product-Inspired Dopamine Receptor Ligands.</t>
  </si>
  <si>
    <t xml:space="preserve">Dorogan M, Namballa HK, Harding WW.</t>
  </si>
  <si>
    <t xml:space="preserve">10.1021/acs.jmedchem.4c00537</t>
  </si>
  <si>
    <t xml:space="preserve">Discovery of a CB&lt;sub&gt;2&lt;/sub&gt; and 5-HT&lt;sub&gt;1A&lt;/sub&gt; receptor dual agonist for the treatment of depression and anxiety.</t>
  </si>
  <si>
    <t xml:space="preserve">Yang W, Gong X, Sun H, Wu C, Suo J, Ji J, Jiang X, Shen J, He Y, Aisa HA.</t>
  </si>
  <si>
    <t xml:space="preserve">10.1016/j.ejmech.2023.116048</t>
  </si>
  <si>
    <t xml:space="preserve">Design, synthesis, ADME and biological evaluation of benzylpiperidine and benzylpiperazine derivatives as novel reversible monoacylglycerol lipase (MAGL) inhibitors.</t>
  </si>
  <si>
    <t xml:space="preserve">Di Stefano M, Masoni S, Bononi G, Poli G, Galati S, Gado F, Manzi S, Vagaggini C, Brai A, Caligiuri I, Asif K, Rizzolio F, Macchia M, Chicca A, Sodi A, Di Bussolo V, Minutolo F, Meier P, Gertsch J, Granchi C, Dreassi E, Tuccinardi T.</t>
  </si>
  <si>
    <t xml:space="preserve">10.1016/j.ejmech.2023.115916</t>
  </si>
  <si>
    <t xml:space="preserve">Synthesis and functional evaluation of proteinogenic amino acid-derived synthetic cannabinoid receptor agonists related to MPP-5F-PICA, MMB-5F-PICA, and MDMB-5F-PICA.</t>
  </si>
  <si>
    <t xml:space="preserve">Sparkes E, Markham JW, Boyd R, Udoh M, Gordon R, Zaman H, Walker KA, Dane C, Kevin RC, Santiago MJ, Hibbs DE, Banister SD, Ametovski A, Cairns EA.</t>
  </si>
  <si>
    <t xml:space="preserve">10.1039/d3md00758h</t>
  </si>
  <si>
    <t xml:space="preserve">Development of Potent and Selective Monoacylglycerol Lipase Inhibitors. SARs, Structural Analysis, and Biological Characterization.</t>
  </si>
  <si>
    <t xml:space="preserve">Butini S, Grether U, Jung KM, Ligresti A, Allarà M, Postmus AGJ, Maramai S, Brogi S, Papa A, Carullo G, Sykes D, Veprintsev D, Federico S, Grillo A, Di Guglielmo B, Ramunno A, Stevens AF, Heer D, Lamponi S, Gemma S, Benz J, Di Marzo V, van der Stelt M, Piomelli D, Campiani G.</t>
  </si>
  <si>
    <t xml:space="preserve">10.1021/acs.jmedchem.3c01278</t>
  </si>
  <si>
    <t xml:space="preserve">Discovery of a novel class of reversible monoacylglycerol lipase inhibitors for potential treatment of depression.</t>
  </si>
  <si>
    <t xml:space="preserve">Hao Q, Shi J, Zhang Z, Yang G, Zhi Y, Wang K, Ma D, Fu S, Dong H, Zhi Z, Zhang W, Li T, Wang J.</t>
  </si>
  <si>
    <t xml:space="preserve">10.1016/j.ejmech.2024.116285</t>
  </si>
  <si>
    <t xml:space="preserve">Discovery of TNG908: A Selective, Brain Penetrant, MTA-Cooperative PRMT5 Inhibitor That Is Synthetically Lethal with &lt;i&gt;MTAP&lt;/i&gt;-Deleted Cancers.</t>
  </si>
  <si>
    <t xml:space="preserve">Cottrell KM, Briggs KJ, Whittington DA, Jahic H, Ali JA, Davis CB, Gong S, Gotur D, Gu L, McCarren P, Tonini MR, Tsai A, Wilker EW, Yuan H, Zhang M, Zhang W, Huang A, Maxwell JP.</t>
  </si>
  <si>
    <t xml:space="preserve">10.1021/acs.jmedchem.4c00133</t>
  </si>
  <si>
    <t xml:space="preserve">Novel Isoalantolactone-Based Derivatives as Potent NLRP3 Inflammasome Inhibitors: Design, Synthesis, and Biological Characterization.</t>
  </si>
  <si>
    <t xml:space="preserve">Zhao M, Ye N, Liu L, Zhang RJ, Li N, Peng J, Cai XY, Jiang XQ, Su KY, Zhang XL, Rao QR, Liu KJ, Deng DX, Peng AH, Tang MH, Chen LJ, Wu WS, Ye HY.</t>
  </si>
  <si>
    <t xml:space="preserve">10.1021/acs.jmedchem.4c00357</t>
  </si>
  <si>
    <t xml:space="preserve">Deuterium Editing of Small Molecules: A Case Study on Antitumor Activity of 1,4-Benzodiazepine-2,5-dione Derivatives.</t>
  </si>
  <si>
    <t xml:space="preserve">Yu W, Fang S, Xie X, Liu W, Liu X, Du Y, Zheng P, Liu G.</t>
  </si>
  <si>
    <t xml:space="preserve">10.1021/acs.jmedchem.4c00796</t>
  </si>
  <si>
    <t xml:space="preserve">Discovery of (S)-3-(4-(benzyloxy)phenyl)-2-(2-phenoxyacetamido)propanoic acid derivatives as a new class of GPR34 antagonists.</t>
  </si>
  <si>
    <t xml:space="preserve">Zhou P, Zhao J, Hu Q, Lin G, Zhang J, Xia A, Zhang S, Nan J, Li L.</t>
  </si>
  <si>
    <t xml:space="preserve">10.1016/j.bmcl.2023.129548</t>
  </si>
  <si>
    <t xml:space="preserve">Novel neuroprotective 5,6-dihydropyrido[2',1':2,3]imidazo[4,5-c]quinoline derivatives acting through cholinesterase inhibition and CB2 signaling modulation.</t>
  </si>
  <si>
    <t xml:space="preserve">Jena S, Gonzalez G, Vítek D, Kvasnicová M, Štěpánková Š, Strnad M, Voller J, Chanda K.</t>
  </si>
  <si>
    <t xml:space="preserve">10.1016/j.ejmech.2024.116592</t>
  </si>
  <si>
    <t xml:space="preserve">Elucidating the Mechanism of Metabolism of Cannabichromene by Human Cytochrome P450s.</t>
  </si>
  <si>
    <t xml:space="preserve">Roy P, Maturano J, Hasdemir H, Lopez A, Xu F, Hellman J, Tajkhorshid E, Sarlah D, Das A.</t>
  </si>
  <si>
    <t xml:space="preserve">10.1021/acs.jnatprod.3c00336</t>
  </si>
  <si>
    <t xml:space="preserve">Exploring the 1,3-benzoxazine chemotype for cannabinoid receptor 2 as a promising anti-cancer therapeutic.</t>
  </si>
  <si>
    <t xml:space="preserve">Gambacorta N, Gasperi V, Guzzo T, Di Leva FS, Ciriaco F, Sánchez C, Tullio V, Rozzi D, Marinelli L, Topai A, Nicolotti O, Maccarrone M.</t>
  </si>
  <si>
    <t xml:space="preserve">10.1016/j.ejmech.2023.115647</t>
  </si>
  <si>
    <t xml:space="preserve">Nature</t>
  </si>
  <si>
    <t xml:space="preserve">Discovery of a selective catalytic p300/CBP inhibitor that targets lineage-specific tumours.</t>
  </si>
  <si>
    <t xml:space="preserve">Lasko LM, Jakob CG, Edalji RP, Qiu W, Montgomery D, Digiammarino EL, Hansen TM, Risi RM, Frey R, Manaves V, Shaw B, Algire M, Hessler P, Lam LT, Uziel T, Faivre E, Ferguson D, Buchanan FG, Martin RL, Torrent M, Chiang GG, Karukurichi K, Langston JW, Weinert BT, Choudhary C, de Vries P, Van Drie JH, McElligott D, Kesicki E, Marmorstein R, Sun C, Cole PA, Rosenberg SH, Michaelides MR, Lai A, Bromberg KD.</t>
  </si>
  <si>
    <t xml:space="preserve">10.1038/nature24028</t>
  </si>
  <si>
    <t xml:space="preserve">In silico design of novel probes for the atypical opioid receptor MRGPRX2.</t>
  </si>
  <si>
    <t xml:space="preserve">Lansu K, Karpiak J, Liu J, Huang XP, McCorvy JD, Kroeze WK, Che T, Nagase H, Carroll FI, Jin J, Shoichet BK, Roth BL.</t>
  </si>
  <si>
    <t xml:space="preserve">10.1038/nchembio.2334</t>
  </si>
  <si>
    <t xml:space="preserve">Eur J Pharmacol</t>
  </si>
  <si>
    <t xml:space="preserve">Pharmacology of A-216546: a highly selective antagonist for endothelin ET(A) receptor.</t>
  </si>
  <si>
    <t xml:space="preserve">Wu-Wong JR, Dixon DB, Chiou WJ, Dayton BD, Novosad EI, Adler AL, Wessale JL, Calzadilla SV, Hernandez L, Marsh KC, Liu G, Szczepankiewicz B, von Geldern TW, Opgenorth TJ.</t>
  </si>
  <si>
    <t xml:space="preserve">10.1016/s0014-2999(98)00891-7</t>
  </si>
  <si>
    <t xml:space="preserve">Pain</t>
  </si>
  <si>
    <t xml:space="preserve">Selective blockade of TRPA1 channel attenuates pathological pain without altering noxious cold sensation or body temperature regulation.</t>
  </si>
  <si>
    <t xml:space="preserve">Chen J, Joshi SK, DiDomenico S, Perner RJ, Mikusa JP, Gauvin DM, Segreti JA, Han P, Zhang XF, Niforatos W, Bianchi BR, Baker SJ, Zhong C, Simler GH, McDonald HA, Schmidt RG, McGaraughty SP, Chu KL, Faltynek CR, Kort ME, Reilly RM, Kym PR.</t>
  </si>
  <si>
    <t xml:space="preserve">10.1016/j.pain.2011.01.049</t>
  </si>
  <si>
    <t xml:space="preserve">A selective jumonji H3K27 demethylase inhibitor modulates the proinflammatory macrophage response.</t>
  </si>
  <si>
    <t xml:space="preserve">Kruidenier L, Chung CW, Cheng Z, Liddle J, Che K, Joberty G, Bantscheff M, Bountra C, Bridges A, Diallo H, Eberhard D, Hutchinson S, Jones E, Katso R, Leveridge M, Mander PK, Mosley J, Ramirez-Molina C, Rowland P, Schofield CJ, Sheppard RJ, Smith JE, Swales C, Tanner R, Thomas P, Tumber A, Drewes G, Oppermann U, Patel DJ, Lee K, Wilson DM.</t>
  </si>
  <si>
    <t xml:space="preserve">10.1038/nature11262</t>
  </si>
  <si>
    <t xml:space="preserve">(R)-PFI-2 is a potent and selective inhibitor of SETD7 methyltransferase activity in cells.</t>
  </si>
  <si>
    <t xml:space="preserve">Barsyte-Lovejoy D, Li F, Oudhoff MJ, Tatlock JH, Dong A, Zeng H, Wu H, Freeman SA, Schapira M, Senisterra GA, Kuznetsova E, Marcellus R, Allali-Hassani A, Kennedy S, Lambert JP, Couzens AL, Aman A, Gingras AC, Al-Awar R, Fish PV, Gerstenberger BS, Roberts L, Benn CL, Grimley RL, Braam MJ, Rossi FM, Sudol M, Brown PJ, Bunnage ME, Owen DR, Zaph C, Vedadi M, Arrowsmith CH.</t>
  </si>
  <si>
    <t xml:space="preserve">10.1073/pnas.1407358111</t>
  </si>
  <si>
    <t xml:space="preserve">Cancer Cell</t>
  </si>
  <si>
    <t xml:space="preserve">A DNA Hypomethylation Signature Predicts Antitumor Activity of LSD1 Inhibitors in SCLC.</t>
  </si>
  <si>
    <t xml:space="preserve">Mohammad HP, Smitheman KN, Kamat CD, Soong D, Federowicz KE, Van Aller GS, Schneck JL, Carson JD, Liu Y, Butticello M, Bonnette WG, Gorman SA, Degenhardt Y, Bai Y, McCabe MT, Pappalardi MB, Kasparec J, Tian X, McNulty KC, Rouse M, McDevitt P, Ho T, Crouthamel M, Hart TK, Concha NO, McHugh CF, Miller WH, Dhanak D, Tummino PJ, Carpenter CL, Johnson NW, Hann CL, Kruger RG.</t>
  </si>
  <si>
    <t xml:space="preserve">10.1016/j.ccell.2015.06.002</t>
  </si>
  <si>
    <t xml:space="preserve">Data for DCP probe T-10430</t>
  </si>
  <si>
    <t xml:space="preserve">10.6019/CHEMBL5723582</t>
  </si>
  <si>
    <t xml:space="preserve">Data for DCP probe BAY-9835</t>
  </si>
  <si>
    <t xml:space="preserve">10.6019/CHEMBL5723583</t>
  </si>
  <si>
    <t xml:space="preserve">Data for DCP probe BI-1915</t>
  </si>
  <si>
    <t xml:space="preserve">10.6019/CHEMBL5723586</t>
  </si>
  <si>
    <t xml:space="preserve">CHEMBL5723587</t>
  </si>
  <si>
    <t xml:space="preserve">Data for DCP probe BI-113823</t>
  </si>
  <si>
    <t xml:space="preserve">10.6019/CHEMBL5723587</t>
  </si>
  <si>
    <t xml:space="preserve">Indazole derivatives useful as CB-1 inverse agonists</t>
  </si>
  <si>
    <t xml:space="preserve">US-9682940-B2</t>
  </si>
  <si>
    <t xml:space="preserve">US-9670216-B2</t>
  </si>
  <si>
    <t xml:space="preserve">Purine derivatives as CB2 receptor agonists</t>
  </si>
  <si>
    <t xml:space="preserve">US-9505762-B2</t>
  </si>
  <si>
    <t xml:space="preserve">Pyrazole compounds as CB2 agonists</t>
  </si>
  <si>
    <t xml:space="preserve">US-9512132-B2</t>
  </si>
  <si>
    <t xml:space="preserve">Pyrazine derivatives as CB2 receptor agonists</t>
  </si>
  <si>
    <t xml:space="preserve">US-9512141-B2</t>
  </si>
  <si>
    <t xml:space="preserve">Pyridine derivatives</t>
  </si>
  <si>
    <t xml:space="preserve">US-9522886-B2</t>
  </si>
  <si>
    <t xml:space="preserve">Pyrazol derivatives</t>
  </si>
  <si>
    <t xml:space="preserve">US-9694012-B2</t>
  </si>
  <si>
    <t xml:space="preserve">Quinazoline derivatives useful as CB-1 inverse agonists</t>
  </si>
  <si>
    <t xml:space="preserve">US-9682955-B2</t>
  </si>
  <si>
    <t xml:space="preserve">(Cyano-dimethyl-methyl)-isoxazoles and -[1,3,4]thiadiazoles</t>
  </si>
  <si>
    <t xml:space="preserve">US-10112934-B2</t>
  </si>
  <si>
    <t xml:space="preserve">Triazolo[4,5-D]pyrimidine derivatives</t>
  </si>
  <si>
    <t xml:space="preserve">US-9593123-B2</t>
  </si>
  <si>
    <t xml:space="preserve">Triazolo[4,5-D]pyrimidines</t>
  </si>
  <si>
    <t xml:space="preserve">US-10183946-B2</t>
  </si>
  <si>
    <t xml:space="preserve">Cinnoline derivatives useful as CB-1 receptor inverse agonists</t>
  </si>
  <si>
    <t xml:space="preserve">US-9732061-B2</t>
  </si>
  <si>
    <t xml:space="preserve">Chemically modified quinoline and quinolone derivatives useful as CB-1 inverse agonists</t>
  </si>
  <si>
    <t xml:space="preserve">US-9815790-B2</t>
  </si>
  <si>
    <t xml:space="preserve">US-10308659-B2</t>
  </si>
  <si>
    <t xml:space="preserve">US-10570125-B2</t>
  </si>
  <si>
    <t xml:space="preserve">US-11084810-B2</t>
  </si>
  <si>
    <t xml:space="preserve">Personal care compositions comprising fatty acid amide derivatives</t>
  </si>
  <si>
    <t xml:space="preserve">US-11202743-B2</t>
  </si>
  <si>
    <t xml:space="preserve">Docosahexaenoic acid endocannabinoid epoxide derivative compositions</t>
  </si>
  <si>
    <t xml:space="preserve">US-11472787-B2</t>
  </si>
  <si>
    <t xml:space="preserve">Cannabinoid receptor type 2 (CB2) modulators and uses thereof</t>
  </si>
  <si>
    <t xml:space="preserve">US-11564928-B1</t>
  </si>
  <si>
    <t xml:space="preserve">The multicomponent Passerini reaction as a means of accessing diversity in structure, activity and properties: Soft and hard vanilloid/cannabinoid modulators.</t>
  </si>
  <si>
    <t xml:space="preserve">Lamberti A, Serafini M, Aprile S, Bhela IP, Goutsiou G, Pessolano E, Fernandez-Ballester G, Ferrer-Montiel A, Di Martino RMC, Fernandez-Carvajal A, Pirali T.</t>
  </si>
  <si>
    <t xml:space="preserve">10.1016/j.ejmech.2024.116845</t>
  </si>
  <si>
    <t xml:space="preserve">Design, synthesis, and biological evaluations of 5-aryl-pyrazole-3-carboxamide derivatives as selective CB2 receptor agonists for the treatment of colitis.</t>
  </si>
  <si>
    <t xml:space="preserve">Jiang BE, He Y, Chen J, Jiang XW, Qiu ZL, Liang QW, Gao XL, Zhang HK, Tian HG, Liu MY, Lu WQ, Yu LF.</t>
  </si>
  <si>
    <t xml:space="preserve">10.1016/j.ejmech.2024.117117</t>
  </si>
  <si>
    <t xml:space="preserve">Novel Orthosteric/Allosteric Ligands of Cannabinoid Receptors: An Unexpected Pharmacological Profile.</t>
  </si>
  <si>
    <t xml:space="preserve">Ferrisi R, Polini B, Smolyakova AM, Migone C, Giammattei G, Banti M, Baron G, Della Vedova L, Chiellini G, Gado F, Piras AM, Rapposelli S, Laprairie RB, Ortore G, Manera C.</t>
  </si>
  <si>
    <t xml:space="preserve">10.1021/acs.jmedchem.4c01778</t>
  </si>
  <si>
    <t xml:space="preserve">Rational Design of the First Dual Agonist at Trace Amine-Associated Receptor 1 and 5-HT&lt;sub&gt;2C&lt;/sub&gt; Receptors Based on Binding Pocket Similarity for the Treatment of Schizophrenia and Alzheimer's Disease-Related Psychosis.</t>
  </si>
  <si>
    <t xml:space="preserve">Lu J, Yu P, Wang Y, Dai Y, Wang W, Liu C, Dong L, Lei H, Yang Y, Wang L, Zou F, Deng X, Wang B, Wei S, Ma M, Wang H, Ye L, Zhang J, Tian J.</t>
  </si>
  <si>
    <t xml:space="preserve">10.1021/acs.jmedchem.4c02291</t>
  </si>
  <si>
    <t xml:space="preserve">Development of Squaramides as Allosteric Modulators of the CB&amp;lt;sub&amp;gt;1&amp;lt;/sub&amp;gt; Receptor: Synthesis, Computational Studies, Biological Characterization, and Effects against Cocaine-Induced Behavioral Sensitization and Reinstatement in Rats.</t>
  </si>
  <si>
    <t xml:space="preserve">Nguyen T, Decker AM, Barrus DG, Song CH, Liu J, Gamage TF, Harris DL, Li JX, Li JX, Zhang Y.</t>
  </si>
  <si>
    <t xml:space="preserve">10.1021/acs.jmedchem.5c00383</t>
  </si>
  <si>
    <t xml:space="preserve">An Unexpected Activity of a Minor Cannabinoid: Cannabicyclol (CBL) Is a Potent Positive Allosteric Modulator of Serotonin 5-HT&amp;lt;sub&amp;gt;1A&amp;lt;/sub&amp;gt; Receptor.</t>
  </si>
  <si>
    <t xml:space="preserve">Haghdoost M, DePorre Y, Figi M, Young S, Krebs C, Bonn-Miller MO.</t>
  </si>
  <si>
    <t xml:space="preserve">10.1021/acs.jnatprod.4c00977</t>
  </si>
  <si>
    <t xml:space="preserve">Discovery and Evaluation of DA-302168S as an Efficacious Oral Small-Molecule Glucagon-Like Peptide-1 Receptor Agonist.</t>
  </si>
  <si>
    <t xml:space="preserve">Dong G, Ye Q, Li W, Zhang S, Yang Z, Zhang R, Deng T, Li H, Zhang Y, Zhang X, He S, Zhou D, Zhang J, He P, Yu Z, Li Y.</t>
  </si>
  <si>
    <t xml:space="preserve">10.1021/acs.jmedchem.5c00242</t>
  </si>
  <si>
    <t xml:space="preserve">CHEMBL6193870</t>
  </si>
  <si>
    <t xml:space="preserve">Data for DCP probe BAY-439</t>
  </si>
  <si>
    <t xml:space="preserve">10.6019/CHEMBL6193870</t>
  </si>
  <si>
    <t xml:space="preserve">Data for DCP probe RO4938581</t>
  </si>
  <si>
    <t xml:space="preserve">10.6019/CHEMBL6193874</t>
  </si>
  <si>
    <t xml:space="preserve">Data for DCP probe BI-5121</t>
  </si>
  <si>
    <t xml:space="preserve">10.6019/CHEMBL6193876</t>
  </si>
  <si>
    <t xml:space="preserve">Data for DCP probe JNJ-78911118</t>
  </si>
  <si>
    <t xml:space="preserve">10.6019/CHEMBL6193878</t>
  </si>
  <si>
    <t xml:space="preserve">Everything after Dataset v1: how the data was split, how molecules were encoded, how the baselines were set up, and checksums for every saved file.</t>
  </si>
  <si>
    <t xml:space="preserve">Pipeline at a glance</t>
  </si>
  <si>
    <t xml:space="preserve">Notebook</t>
  </si>
  <si>
    <t xml:space="preserve">Reads</t>
  </si>
  <si>
    <t xml:space="preserve">Writes</t>
  </si>
  <si>
    <t xml:space="preserve">00_data_acquisition.ipynb</t>
  </si>
  <si>
    <t xml:space="preserve">ChEMBL web API</t>
  </si>
  <si>
    <t xml:space="preserve">data/raw/chembl_cb2_&lt;timestamp&gt;/</t>
  </si>
  <si>
    <t xml:space="preserve">01_data_curation.ipynb</t>
  </si>
  <si>
    <t xml:space="preserve">data/raw/ (newest chembl_cb2_ folder)</t>
  </si>
  <si>
    <t xml:space="preserve">data/processed/dataset_v1/</t>
  </si>
  <si>
    <t xml:space="preserve">02_features_and_splits.ipynb</t>
  </si>
  <si>
    <t xml:space="preserve">dataset_v1/cb2_v1_modeling_table.csv</t>
  </si>
  <si>
    <t xml:space="preserve">data/processed/splits_and_fingerprints_v1/</t>
  </si>
  <si>
    <t xml:space="preserve">03_baseline_models.ipynb</t>
  </si>
  <si>
    <t xml:space="preserve">splits_and_fingerprints_v1/</t>
  </si>
  <si>
    <t xml:space="preserve">results/baseline_models_v1/</t>
  </si>
  <si>
    <t xml:space="preserve">Train / validation / test splits (notebook 02)</t>
  </si>
  <si>
    <t xml:space="preserve">Primary split</t>
  </si>
  <si>
    <t xml:space="preserve">Scaffold split: molecules sharing a Murcko scaffold (core ring system) stay in the same subset, so validation/test use unseen cores</t>
  </si>
  <si>
    <t xml:space="preserve">Scaffold definition</t>
  </si>
  <si>
    <t xml:space="preserve">RDKit Murcko scaffold, chirality ignored; ring-free molecules grouped together as ACYCLIC</t>
  </si>
  <si>
    <t xml:space="preserve">How it was split</t>
  </si>
  <si>
    <t xml:space="preserve">GroupShuffleSplit: 80% train vs. 20% held out (seed 42), then held out split 50/50 into validation and test (seed 43)</t>
  </si>
  <si>
    <t xml:space="preserve">Comparison split</t>
  </si>
  <si>
    <t xml:space="preserve">Random split with train_test_split, same 80/10/10 fractions and seeds (42, then 43)</t>
  </si>
  <si>
    <t xml:space="preserve">Unique scaffolds</t>
  </si>
  <si>
    <t xml:space="preserve">Split</t>
  </si>
  <si>
    <t xml:space="preserve">Train</t>
  </si>
  <si>
    <t xml:space="preserve">Validation</t>
  </si>
  <si>
    <t xml:space="preserve">Test</t>
  </si>
  <si>
    <t xml:space="preserve">Test share</t>
  </si>
  <si>
    <t xml:space="preserve">Scaffold split</t>
  </si>
  <si>
    <t xml:space="preserve">Random split</t>
  </si>
  <si>
    <t xml:space="preserve">Scaffold subsets are uneven (test = 249) because whole scaffold groups move together. Counts from cb2_v1_split_settings.json and cb2_v1_train_val_test_assignments.csv.</t>
  </si>
  <si>
    <t xml:space="preserve">Molecule encoding (notebook 02)</t>
  </si>
  <si>
    <t xml:space="preserve">Fingerprint</t>
  </si>
  <si>
    <t xml:space="preserve">Morgan fingerprint (ECFP-style), radius 2</t>
  </si>
  <si>
    <t xml:space="preserve">Length</t>
  </si>
  <si>
    <t xml:space="preserve">2,048 bits (each bit = presence of a small chemical substructure)</t>
  </si>
  <si>
    <t xml:space="preserve">Chirality</t>
  </si>
  <si>
    <t xml:space="preserve">Included</t>
  </si>
  <si>
    <t xml:space="preserve">Target value (y)</t>
  </si>
  <si>
    <t xml:space="preserve">pKi (Final pKi column on Kept Measurements; one per structure)</t>
  </si>
  <si>
    <t xml:space="preserve">Baseline models (notebook 03)</t>
  </si>
  <si>
    <t xml:space="preserve">Dummy models</t>
  </si>
  <si>
    <t xml:space="preserve">scikit-learn DummyRegressor, strategies 'mean' and 'median'; always predicts the training-set average</t>
  </si>
  <si>
    <t xml:space="preserve">Random Forest</t>
  </si>
  <si>
    <t xml:space="preserve">scikit-learn RandomForestRegressor, one model per split, trained on training molecules only</t>
  </si>
  <si>
    <t xml:space="preserve">  Number of trees (n_estimators)</t>
  </si>
  <si>
    <t xml:space="preserve">  Share of fingerprint bits tried at each split (max_features)</t>
  </si>
  <si>
    <t xml:space="preserve">1/3</t>
  </si>
  <si>
    <t xml:space="preserve">  Minimum molecules per leaf (min_samples_leaf)</t>
  </si>
  <si>
    <t xml:space="preserve">  Maximum tree depth (max_depth)</t>
  </si>
  <si>
    <t xml:space="preserve">None (unlimited)</t>
  </si>
  <si>
    <t xml:space="preserve">  Bootstrap sampling (bootstrap)</t>
  </si>
  <si>
    <t xml:space="preserve">True</t>
  </si>
  <si>
    <t xml:space="preserve">  Random seed (random_state)</t>
  </si>
  <si>
    <t xml:space="preserve">  CPU cores (-1 = all) (n_jobs)</t>
  </si>
  <si>
    <t xml:space="preserve">Validation scores (validation_scores_all_models.csv)</t>
  </si>
  <si>
    <t xml:space="preserve">Model</t>
  </si>
  <si>
    <t xml:space="preserve">MAE</t>
  </si>
  <si>
    <t xml:space="preserve">RMSE</t>
  </si>
  <si>
    <t xml:space="preserve">R²</t>
  </si>
  <si>
    <t xml:space="preserve">random</t>
  </si>
  <si>
    <t xml:space="preserve">random_forest_v1</t>
  </si>
  <si>
    <t xml:space="preserve">dummy_median</t>
  </si>
  <si>
    <t xml:space="preserve">dummy_mean</t>
  </si>
  <si>
    <t xml:space="preserve">scaffold</t>
  </si>
  <si>
    <t xml:space="preserve">Subset</t>
  </si>
  <si>
    <t xml:space="preserve">Molecules</t>
  </si>
  <si>
    <t xml:space="preserve">train</t>
  </si>
  <si>
    <t xml:space="preserve">validation</t>
  </si>
  <si>
    <t xml:space="preserve">Random Forest train vs. validation: a large gap means the model fits training molecules much better than new ones (overfitting).</t>
  </si>
  <si>
    <t xml:space="preserve">Software versions</t>
  </si>
  <si>
    <t xml:space="preserve">RDKit</t>
  </si>
  <si>
    <t xml:space="preserve">scikit-learn</t>
  </si>
  <si>
    <t xml:space="preserve">1.9.0</t>
  </si>
  <si>
    <t xml:space="preserve">File checksums (SHA-256, computed 2026-09-29)</t>
  </si>
  <si>
    <t xml:space="preserve">A checksum is a fingerprint of a file's exact contents: if even one byte changes, the checksum changes.</t>
  </si>
  <si>
    <t xml:space="preserve">Size (KB)</t>
  </si>
  <si>
    <t xml:space="preserve">SHA-256</t>
  </si>
  <si>
    <t xml:space="preserve">data/processed/dataset_v1/cb2_v1_measurement_sources.csv</t>
  </si>
  <si>
    <t xml:space="preserve">f64efb395d44d143bb46072e66b1afb4f4a8cd90fe95ab497ec7753edd450259</t>
  </si>
  <si>
    <t xml:space="preserve">data/processed/dataset_v1/cb2_v1_modeling_table.csv</t>
  </si>
  <si>
    <t xml:space="preserve">df1814febd9ad7a03e704c3a263b7927b1babc268c34910d4ec2be8bc86494d3</t>
  </si>
  <si>
    <t xml:space="preserve">data/processed/dataset_v1/cb2_v1_quarantined_measurements.csv</t>
  </si>
  <si>
    <t xml:space="preserve">57be3589bb1dda1e1271f8098707a374b69d7d3d2cccc2aa03fd89dd0c755cc3</t>
  </si>
  <si>
    <t xml:space="preserve">data/processed/dataset_v1/cb2_v1_settings_and_checksums.json</t>
  </si>
  <si>
    <t xml:space="preserve">876f669a9768ed401cb73138e80299835a9d2efaa72df740c42642132c817f4c</t>
  </si>
  <si>
    <t xml:space="preserve">data/processed/dataset_v1/cb2_v1_structure_checks.csv</t>
  </si>
  <si>
    <t xml:space="preserve">e2c393decdc83e70ef6c4921838dd986726b9ce00f5c91feca3c2827d3cb9a2d</t>
  </si>
  <si>
    <t xml:space="preserve">data/processed/dataset_v1/cb2_v1_summary.md</t>
  </si>
  <si>
    <t xml:space="preserve">c1b3bb240ef8f7af73ac8cd88a8121441fdafef32acee598f74dcdfcd48aec6c</t>
  </si>
  <si>
    <t xml:space="preserve">data/processed/splits_and_fingerprints_v1/cb2_v1_fingerprints_and_pki.npz</t>
  </si>
  <si>
    <t xml:space="preserve">8c7202014098e8f016d30260c722af5e00c8ed6247d15cb0cdf840e710924008</t>
  </si>
  <si>
    <t xml:space="preserve">data/processed/splits_and_fingerprints_v1/cb2_v1_split_settings.json</t>
  </si>
  <si>
    <t xml:space="preserve">8c05efc73a67bfe96422bffc11389b02f4361cfa893af2d36359fc8cb54b5efc</t>
  </si>
  <si>
    <t xml:space="preserve">data/processed/splits_and_fingerprints_v1/cb2_v1_split_similarity_check.csv</t>
  </si>
  <si>
    <t xml:space="preserve">ef3eb5544b65b87a02afae3e2e0c77f31aa7231941b02a0d397506c8d6225709</t>
  </si>
  <si>
    <t xml:space="preserve">data/processed/splits_and_fingerprints_v1/cb2_v1_train_val_test_assignments.csv</t>
  </si>
  <si>
    <t xml:space="preserve">626d161b7da37e1b518f43787532287fa0de33ed6e21833b680d14ef5aabb1e7</t>
  </si>
  <si>
    <t xml:space="preserve">results/baseline_models_v1/dummy_mean_median_models.joblib</t>
  </si>
  <si>
    <t xml:space="preserve">5b30c919153e99faa0bc5c83687108e731794bee93d5b111f36b7a9b52236128</t>
  </si>
  <si>
    <t xml:space="preserve">results/baseline_models_v1/dummy_validation_predictions.csv</t>
  </si>
  <si>
    <t xml:space="preserve">dab39f8e2d2828f3dde02f964c3d52b9a964eaeed4e3c8c5ee16dc74a98e0493</t>
  </si>
  <si>
    <t xml:space="preserve">results/baseline_models_v1/dummy_validation_scores.csv</t>
  </si>
  <si>
    <t xml:space="preserve">d5b1bbf7c3ecd03bb0fb58ec3e6b5de6bb7a05093c5ef9e3ec8dcb871faf8cb8</t>
  </si>
  <si>
    <t xml:space="preserve">results/baseline_models_v1/identical_fingerprint_counts.csv</t>
  </si>
  <si>
    <t xml:space="preserve">7c6943ecaf04bd485b78d239293ebc2f229e847a9a38a06e69b217cf18e56a2d</t>
  </si>
  <si>
    <t xml:space="preserve">results/baseline_models_v1/identical_fingerprint_diagnostics/matching_pairs_list.csv</t>
  </si>
  <si>
    <t xml:space="preserve">9e0f62f8e75d657dded8a8d3f2a072ebb7cd636ee7f7cb3a14b8e571148fb67a</t>
  </si>
  <si>
    <t xml:space="preserve">results/baseline_models_v1/identical_fingerprint_diagnostics/matching_pairs_summary.csv</t>
  </si>
  <si>
    <t xml:space="preserve">308a1a16219310b0d9fba6a01883e35da4b8ecbb8adf70c37c783471e62f5873</t>
  </si>
  <si>
    <t xml:space="preserve">results/baseline_models_v1/identical_fingerprint_diagnostics/scores_with_vs_without_match.csv</t>
  </si>
  <si>
    <t xml:space="preserve">f3a9ed964525e44592fc3e09ec2a213d6d7b11c1a6d83541a6f8a1ee0c0451aa</t>
  </si>
  <si>
    <t xml:space="preserve">results/baseline_models_v1/random_forest/random_forest_random_split.joblib</t>
  </si>
  <si>
    <t xml:space="preserve">7376a92f94a0e9c05a1285c4047a0ddda79d40fe50e47fa60e67f6434c5e6db2</t>
  </si>
  <si>
    <t xml:space="preserve">results/baseline_models_v1/random_forest/random_forest_scaffold_split.joblib</t>
  </si>
  <si>
    <t xml:space="preserve">c093dbcdbf2b8f12eba9d557c655307a460a09eaab48c2f23c7b15691a850155</t>
  </si>
  <si>
    <t xml:space="preserve">results/baseline_models_v1/random_forest/random_forest_settings.json</t>
  </si>
  <si>
    <t xml:space="preserve">bd5e08eda2bb7d211477313f4c64a183eef146d7e4f5b3c80ae7feed29403e6b</t>
  </si>
  <si>
    <t xml:space="preserve">results/baseline_models_v1/random_forest/random_forest_train_vs_validation_scores.csv</t>
  </si>
  <si>
    <t xml:space="preserve">284483cb8c548cfa7f5fcc59dd444c2324a1e1e8c57c650274059ec10c0982ed</t>
  </si>
  <si>
    <t xml:space="preserve">results/baseline_models_v1/random_forest/random_forest_validation_predictions.csv</t>
  </si>
  <si>
    <t xml:space="preserve">d01fbfcff125e0e70ef944712873dfe721bc623056950408bcd17de9f068113f</t>
  </si>
  <si>
    <t xml:space="preserve">results/baseline_models_v1/random_forest/validation_scores_all_models.csv</t>
  </si>
  <si>
    <t xml:space="preserve">f95a60f3a66306eb7a575c88dfc99025cf02802393386f6264d4e2c408c60f05</t>
  </si>
  <si>
    <t xml:space="preserve">Raw download checksums (MD5) are on the Download Record sheet. Dataset v1 CSV checksums also match those saved in cb2_v1_settings_and_checksums.json.</t>
  </si>
</sst>
</file>

<file path=xl/styles.xml><?xml version="1.0" encoding="utf-8"?>
<styleSheet xmlns="http://schemas.openxmlformats.org/spreadsheetml/2006/main">
  <numFmts count="7">
    <numFmt numFmtId="164" formatCode="General"/>
    <numFmt numFmtId="165" formatCode="#,##0"/>
    <numFmt numFmtId="166" formatCode="0.00"/>
    <numFmt numFmtId="167" formatCode="0.0%"/>
    <numFmt numFmtId="168" formatCode="#,##0.00"/>
    <numFmt numFmtId="169" formatCode="0.000"/>
    <numFmt numFmtId="170" formatCode="#,##0.0"/>
  </numFmts>
  <fonts count="13">
    <font>
      <sz val="11"/>
      <color theme="1"/>
      <name val="Calibri"/>
      <family val="2"/>
      <charset val="1"/>
    </font>
    <font>
      <sz val="10"/>
      <name val="Arial"/>
      <family val="0"/>
    </font>
    <font>
      <sz val="10"/>
      <name val="Arial"/>
      <family val="0"/>
    </font>
    <font>
      <sz val="10"/>
      <name val="Arial"/>
      <family val="0"/>
    </font>
    <font>
      <b val="true"/>
      <sz val="16"/>
      <color rgb="FF1F3A4D"/>
      <name val="Arial"/>
      <family val="0"/>
      <charset val="1"/>
    </font>
    <font>
      <i val="true"/>
      <sz val="10"/>
      <color rgb="FF555555"/>
      <name val="Arial"/>
      <family val="0"/>
      <charset val="1"/>
    </font>
    <font>
      <b val="true"/>
      <sz val="12"/>
      <color rgb="FF1F3A4D"/>
      <name val="Arial"/>
      <family val="0"/>
      <charset val="1"/>
    </font>
    <font>
      <b val="true"/>
      <sz val="10"/>
      <name val="Arial"/>
      <family val="0"/>
      <charset val="1"/>
    </font>
    <font>
      <sz val="10"/>
      <name val="Arial"/>
      <family val="0"/>
      <charset val="1"/>
    </font>
    <font>
      <b val="true"/>
      <sz val="10"/>
      <color rgb="FFFFFFFF"/>
      <name val="Arial"/>
      <family val="0"/>
      <charset val="1"/>
    </font>
    <font>
      <u val="single"/>
      <sz val="10"/>
      <color rgb="FF0563C1"/>
      <name val="Arial"/>
      <family val="0"/>
      <charset val="1"/>
    </font>
    <font>
      <i val="true"/>
      <sz val="9"/>
      <color rgb="FF555555"/>
      <name val="Arial"/>
      <family val="0"/>
      <charset val="1"/>
    </font>
    <font>
      <sz val="9"/>
      <name val="Consolas"/>
      <family val="0"/>
      <charset val="1"/>
    </font>
  </fonts>
  <fills count="5">
    <fill>
      <patternFill patternType="none"/>
    </fill>
    <fill>
      <patternFill patternType="gray125"/>
    </fill>
    <fill>
      <patternFill patternType="solid">
        <fgColor rgb="FFE8EEF2"/>
        <bgColor rgb="FFFFF2CC"/>
      </patternFill>
    </fill>
    <fill>
      <patternFill patternType="solid">
        <fgColor rgb="FFFFF2CC"/>
        <bgColor rgb="FFE8EEF2"/>
      </patternFill>
    </fill>
    <fill>
      <patternFill patternType="solid">
        <fgColor rgb="FF1F3A4D"/>
        <bgColor rgb="FF003366"/>
      </patternFill>
    </fill>
  </fills>
  <borders count="2">
    <border diagonalUp="false" diagonalDown="false">
      <left/>
      <right/>
      <top/>
      <bottom/>
      <diagonal/>
    </border>
    <border diagonalUp="false" diagonalDown="false">
      <left style="thin">
        <color rgb="FFC9D3DA"/>
      </left>
      <right style="thin">
        <color rgb="FFC9D3DA"/>
      </right>
      <top style="thin">
        <color rgb="FFC9D3DA"/>
      </top>
      <bottom style="thin">
        <color rgb="FFC9D3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left"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left"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5" fontId="8" fillId="3" borderId="1" xfId="0" applyFont="true" applyBorder="true" applyAlignment="true" applyProtection="false">
      <alignment horizontal="general" vertical="top" textRotation="0" wrapText="false" indent="0" shrinkToFit="false"/>
      <protection locked="true" hidden="false"/>
    </xf>
    <xf numFmtId="167" fontId="8" fillId="3"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8" fillId="3" borderId="1" xfId="0" applyFont="true" applyBorder="true" applyAlignment="true" applyProtection="false">
      <alignment horizontal="general"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70" fontId="8"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F2"/>
      <rgbColor rgb="FF660066"/>
      <rgbColor rgb="FFFF8080"/>
      <rgbColor rgb="FF0563C1"/>
      <rgbColor rgb="FFC9D3D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A4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CB2_data_provenance.xlsx" TargetMode="External"/><Relationship Id="rId2" Type="http://schemas.openxmlformats.org/officeDocument/2006/relationships/hyperlink" Target="CB2_data_provenance.xlsx" TargetMode="External"/><Relationship Id="rId3" Type="http://schemas.openxmlformats.org/officeDocument/2006/relationships/hyperlink" Target="CB2_data_provenance.xlsx" TargetMode="External"/><Relationship Id="rId4" Type="http://schemas.openxmlformats.org/officeDocument/2006/relationships/hyperlink" Target="CB2_data_provenance.xlsx" TargetMode="External"/><Relationship Id="rId5" Type="http://schemas.openxmlformats.org/officeDocument/2006/relationships/hyperlink" Target="CB2_data_provenance.xlsx" TargetMode="External"/><Relationship Id="rId6" Type="http://schemas.openxmlformats.org/officeDocument/2006/relationships/hyperlink" Target="CB2_data_provenance.xlsx" TargetMode="External"/><Relationship Id="rId7" Type="http://schemas.openxmlformats.org/officeDocument/2006/relationships/hyperlink" Target="CB2_data_provenance.xlsx"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hyperlink" Target="https://doi.org/10.1021/jm901214q" TargetMode="External"/><Relationship Id="rId2" Type="http://schemas.openxmlformats.org/officeDocument/2006/relationships/hyperlink" Target="https://doi.org/10.1021/jm7011613" TargetMode="External"/><Relationship Id="rId3" Type="http://schemas.openxmlformats.org/officeDocument/2006/relationships/hyperlink" Target="https://doi.org/10.1021/jm3017464" TargetMode="External"/><Relationship Id="rId4" Type="http://schemas.openxmlformats.org/officeDocument/2006/relationships/hyperlink" Target="https://doi.org/10.1021/jm301212u" TargetMode="External"/><Relationship Id="rId5" Type="http://schemas.openxmlformats.org/officeDocument/2006/relationships/hyperlink" Target="https://doi.org/10.1016/j.ejmech.2015.01.054" TargetMode="External"/><Relationship Id="rId6" Type="http://schemas.openxmlformats.org/officeDocument/2006/relationships/hyperlink" Target="https://doi.org/10.1016/j.bmcl.2008.05.073" TargetMode="External"/><Relationship Id="rId7" Type="http://schemas.openxmlformats.org/officeDocument/2006/relationships/hyperlink" Target="https://doi.org/10.1021/jm300763w" TargetMode="External"/><Relationship Id="rId8" Type="http://schemas.openxmlformats.org/officeDocument/2006/relationships/hyperlink" Target="https://doi.org/10.1021/ml3004236" TargetMode="External"/><Relationship Id="rId9" Type="http://schemas.openxmlformats.org/officeDocument/2006/relationships/hyperlink" Target="https://doi.org/10.1016/j.ejmech.2009.01.026" TargetMode="External"/><Relationship Id="rId10" Type="http://schemas.openxmlformats.org/officeDocument/2006/relationships/hyperlink" Target="https://doi.org/10.1016/j.ejmech.2013.09.038" TargetMode="External"/><Relationship Id="rId11" Type="http://schemas.openxmlformats.org/officeDocument/2006/relationships/hyperlink" Target="https://doi.org/10.1021/jm400182t" TargetMode="External"/><Relationship Id="rId12" Type="http://schemas.openxmlformats.org/officeDocument/2006/relationships/hyperlink" Target="https://doi.org/10.1016/j.bmcl.2005.07.023" TargetMode="External"/><Relationship Id="rId13" Type="http://schemas.openxmlformats.org/officeDocument/2006/relationships/hyperlink" Target="https://doi.org/10.1021/jm070387h" TargetMode="External"/><Relationship Id="rId14" Type="http://schemas.openxmlformats.org/officeDocument/2006/relationships/hyperlink" Target="https://doi.org/10.1016/j.ejmech.2010.11.034" TargetMode="External"/><Relationship Id="rId15" Type="http://schemas.openxmlformats.org/officeDocument/2006/relationships/hyperlink" Target="https://doi.org/10.1021/jm8016255" TargetMode="External"/><Relationship Id="rId16" Type="http://schemas.openxmlformats.org/officeDocument/2006/relationships/hyperlink" Target="https://doi.org/10.1016/j.bmcl.2008.11.091" TargetMode="External"/><Relationship Id="rId17" Type="http://schemas.openxmlformats.org/officeDocument/2006/relationships/hyperlink" Target="https://doi.org/10.1016/j.bmc.2009.06.027" TargetMode="External"/><Relationship Id="rId18" Type="http://schemas.openxmlformats.org/officeDocument/2006/relationships/hyperlink" Target="https://doi.org/10.1021/jm100123x" TargetMode="External"/><Relationship Id="rId19" Type="http://schemas.openxmlformats.org/officeDocument/2006/relationships/hyperlink" Target="https://doi.org/10.1021/acs.jmedchem.6b00397" TargetMode="External"/><Relationship Id="rId20" Type="http://schemas.openxmlformats.org/officeDocument/2006/relationships/hyperlink" Target="https://doi.org/10.1021/jm040843r" TargetMode="External"/><Relationship Id="rId21" Type="http://schemas.openxmlformats.org/officeDocument/2006/relationships/hyperlink" Target="https://doi.org/10.1016/j.bmcl.2007.04.059" TargetMode="External"/><Relationship Id="rId22" Type="http://schemas.openxmlformats.org/officeDocument/2006/relationships/hyperlink" Target="https://doi.org/10.1021/jm301527r" TargetMode="External"/><Relationship Id="rId23" Type="http://schemas.openxmlformats.org/officeDocument/2006/relationships/hyperlink" Target="https://doi.org/10.1016/j.bmcl.2009.11.084" TargetMode="External"/><Relationship Id="rId24" Type="http://schemas.openxmlformats.org/officeDocument/2006/relationships/hyperlink" Target="https://doi.org/10.1016/j.ejmech.2012.09.035" TargetMode="External"/><Relationship Id="rId25" Type="http://schemas.openxmlformats.org/officeDocument/2006/relationships/hyperlink" Target="https://doi.org/10.1021/jm500807e" TargetMode="External"/><Relationship Id="rId26" Type="http://schemas.openxmlformats.org/officeDocument/2006/relationships/hyperlink" Target="https://doi.org/10.1016/j.bmc.2018.07.043" TargetMode="External"/><Relationship Id="rId27" Type="http://schemas.openxmlformats.org/officeDocument/2006/relationships/hyperlink" Target="https://doi.org/10.1016/j.bmcl.2007.09.019" TargetMode="External"/><Relationship Id="rId28" Type="http://schemas.openxmlformats.org/officeDocument/2006/relationships/hyperlink" Target="https://doi.org/10.1016/j.ejmech.2016.08.005" TargetMode="External"/><Relationship Id="rId29" Type="http://schemas.openxmlformats.org/officeDocument/2006/relationships/hyperlink" Target="https://doi.org/10.1016/j.bmcl.2006.07.051" TargetMode="External"/><Relationship Id="rId30" Type="http://schemas.openxmlformats.org/officeDocument/2006/relationships/hyperlink" Target="https://doi.org/10.1016/j.bmcl.2007.04.093" TargetMode="External"/><Relationship Id="rId31" Type="http://schemas.openxmlformats.org/officeDocument/2006/relationships/hyperlink" Target="https://doi.org/10.1016/j.bmcl.2005.06.008" TargetMode="External"/><Relationship Id="rId32" Type="http://schemas.openxmlformats.org/officeDocument/2006/relationships/hyperlink" Target="https://doi.org/10.1016/j.ejmech.2009.12.018" TargetMode="External"/><Relationship Id="rId33" Type="http://schemas.openxmlformats.org/officeDocument/2006/relationships/hyperlink" Target="https://doi.org/10.1016/j.bmcl.2010.07.056" TargetMode="External"/><Relationship Id="rId34" Type="http://schemas.openxmlformats.org/officeDocument/2006/relationships/hyperlink" Target="https://doi.org/10.1016/j.bmc.2012.01.038" TargetMode="External"/><Relationship Id="rId35" Type="http://schemas.openxmlformats.org/officeDocument/2006/relationships/hyperlink" Target="https://doi.org/10.1021/jm3003334" TargetMode="External"/><Relationship Id="rId36" Type="http://schemas.openxmlformats.org/officeDocument/2006/relationships/hyperlink" Target="https://doi.org/10.1016/j.ejmech.2021.113354" TargetMode="External"/><Relationship Id="rId37" Type="http://schemas.openxmlformats.org/officeDocument/2006/relationships/hyperlink" Target="https://doi.org/10.1016/j.ejmech.2021.113878" TargetMode="External"/><Relationship Id="rId38" Type="http://schemas.openxmlformats.org/officeDocument/2006/relationships/hyperlink" Target="https://doi.org/10.1016/j.bmcl.2007.04.099" TargetMode="External"/><Relationship Id="rId39" Type="http://schemas.openxmlformats.org/officeDocument/2006/relationships/hyperlink" Target="https://doi.org/10.1016/j.bmcl.2008.04.032" TargetMode="External"/><Relationship Id="rId40" Type="http://schemas.openxmlformats.org/officeDocument/2006/relationships/hyperlink" Target="https://doi.org/10.1021/jm100286k" TargetMode="External"/><Relationship Id="rId41" Type="http://schemas.openxmlformats.org/officeDocument/2006/relationships/hyperlink" Target="https://doi.org/10.1039/d1md00242b" TargetMode="External"/><Relationship Id="rId42" Type="http://schemas.openxmlformats.org/officeDocument/2006/relationships/hyperlink" Target="https://doi.org/10.1021/jm3008213" TargetMode="External"/><Relationship Id="rId43" Type="http://schemas.openxmlformats.org/officeDocument/2006/relationships/hyperlink" Target="https://doi.org/10.1016/j.ejmech.2016.02.032" TargetMode="External"/><Relationship Id="rId44" Type="http://schemas.openxmlformats.org/officeDocument/2006/relationships/hyperlink" Target="https://doi.org/10.1016/j.ejmech.2018.09.070" TargetMode="External"/><Relationship Id="rId45" Type="http://schemas.openxmlformats.org/officeDocument/2006/relationships/hyperlink" Target="https://doi.org/10.1021/jm070566z" TargetMode="External"/><Relationship Id="rId46" Type="http://schemas.openxmlformats.org/officeDocument/2006/relationships/hyperlink" Target="https://doi.org/10.1016/j.bmcl.2008.04.006" TargetMode="External"/><Relationship Id="rId47" Type="http://schemas.openxmlformats.org/officeDocument/2006/relationships/hyperlink" Target="https://doi.org/10.1016/j.ejmech.2010.09.053" TargetMode="External"/><Relationship Id="rId48" Type="http://schemas.openxmlformats.org/officeDocument/2006/relationships/hyperlink" Target="https://doi.org/10.1016/j.ejmech.2013.11.026" TargetMode="External"/><Relationship Id="rId49" Type="http://schemas.openxmlformats.org/officeDocument/2006/relationships/hyperlink" Target="https://doi.org/10.1016/j.bmc.2014.07.006" TargetMode="External"/><Relationship Id="rId50" Type="http://schemas.openxmlformats.org/officeDocument/2006/relationships/hyperlink" Target="https://doi.org/10.1016/j.bmc.2020.115513" TargetMode="External"/><Relationship Id="rId51" Type="http://schemas.openxmlformats.org/officeDocument/2006/relationships/hyperlink" Target="https://doi.org/10.1016/j.bmcl.2009.10.062" TargetMode="External"/><Relationship Id="rId52" Type="http://schemas.openxmlformats.org/officeDocument/2006/relationships/hyperlink" Target="https://doi.org/10.1021/jm200529h" TargetMode="External"/><Relationship Id="rId53" Type="http://schemas.openxmlformats.org/officeDocument/2006/relationships/hyperlink" Target="https://doi.org/10.1016/j.ejmech.2013.10.070" TargetMode="External"/><Relationship Id="rId54" Type="http://schemas.openxmlformats.org/officeDocument/2006/relationships/hyperlink" Target="https://doi.org/10.1021/jm4005626" TargetMode="External"/><Relationship Id="rId55" Type="http://schemas.openxmlformats.org/officeDocument/2006/relationships/hyperlink" Target="https://doi.org/10.1016/j.ejmech.2016.03.072" TargetMode="External"/><Relationship Id="rId56" Type="http://schemas.openxmlformats.org/officeDocument/2006/relationships/hyperlink" Target="https://doi.org/10.1016/j.bmc.2019.07.002" TargetMode="External"/><Relationship Id="rId57" Type="http://schemas.openxmlformats.org/officeDocument/2006/relationships/hyperlink" Target="https://doi.org/10.1016/j.bmc.2007.09.033" TargetMode="External"/><Relationship Id="rId58" Type="http://schemas.openxmlformats.org/officeDocument/2006/relationships/hyperlink" Target="https://doi.org/10.1021/jm800552f" TargetMode="External"/><Relationship Id="rId59" Type="http://schemas.openxmlformats.org/officeDocument/2006/relationships/hyperlink" Target="https://doi.org/10.1021/jm4000775" TargetMode="External"/><Relationship Id="rId60" Type="http://schemas.openxmlformats.org/officeDocument/2006/relationships/hyperlink" Target="https://doi.org/10.1016/j.bmc.2013.09.040" TargetMode="External"/><Relationship Id="rId61" Type="http://schemas.openxmlformats.org/officeDocument/2006/relationships/hyperlink" Target="https://doi.org/10.1016/j.bmcl.2008.10.070" TargetMode="External"/><Relationship Id="rId62" Type="http://schemas.openxmlformats.org/officeDocument/2006/relationships/hyperlink" Target="https://doi.org/10.1016/j.ejmech.2011.09.037" TargetMode="External"/><Relationship Id="rId63" Type="http://schemas.openxmlformats.org/officeDocument/2006/relationships/hyperlink" Target="https://doi.org/10.1016/j.ejmech.2016.07.012" TargetMode="External"/><Relationship Id="rId64" Type="http://schemas.openxmlformats.org/officeDocument/2006/relationships/hyperlink" Target="https://doi.org/10.1016/j.bmc.2024.118019" TargetMode="External"/><Relationship Id="rId65" Type="http://schemas.openxmlformats.org/officeDocument/2006/relationships/hyperlink" Target="https://doi.org/10.1016/j.bmc.2007.05.060" TargetMode="External"/><Relationship Id="rId66" Type="http://schemas.openxmlformats.org/officeDocument/2006/relationships/hyperlink" Target="https://doi.org/10.1016/j.bmcl.2009.07.057" TargetMode="External"/><Relationship Id="rId67" Type="http://schemas.openxmlformats.org/officeDocument/2006/relationships/hyperlink" Target="https://doi.org/10.1016/j.bmc.2013.01.006" TargetMode="External"/><Relationship Id="rId68" Type="http://schemas.openxmlformats.org/officeDocument/2006/relationships/hyperlink" Target="https://doi.org/10.1021/acs.jmedchem.5b00283" TargetMode="External"/><Relationship Id="rId69" Type="http://schemas.openxmlformats.org/officeDocument/2006/relationships/hyperlink" Target="https://doi.org/10.1021/acs.jmedchem.0c00595" TargetMode="External"/><Relationship Id="rId70" Type="http://schemas.openxmlformats.org/officeDocument/2006/relationships/hyperlink" Target="https://doi.org/10.1016/j.ejmech.2023.115109" TargetMode="External"/><Relationship Id="rId71" Type="http://schemas.openxmlformats.org/officeDocument/2006/relationships/hyperlink" Target="https://doi.org/10.1016/j.bmc.2008.05.034" TargetMode="External"/><Relationship Id="rId72" Type="http://schemas.openxmlformats.org/officeDocument/2006/relationships/hyperlink" Target="https://doi.org/10.1016/j.bmcl.2012.02.054" TargetMode="External"/><Relationship Id="rId73" Type="http://schemas.openxmlformats.org/officeDocument/2006/relationships/hyperlink" Target="https://doi.org/10.1016/j.ejmech.2012.03.031" TargetMode="External"/><Relationship Id="rId74" Type="http://schemas.openxmlformats.org/officeDocument/2006/relationships/hyperlink" Target="https://doi.org/10.1021/jm3008568" TargetMode="External"/><Relationship Id="rId75" Type="http://schemas.openxmlformats.org/officeDocument/2006/relationships/hyperlink" Target="https://doi.org/10.1021/jm400305d" TargetMode="External"/><Relationship Id="rId76" Type="http://schemas.openxmlformats.org/officeDocument/2006/relationships/hyperlink" Target="https://doi.org/10.1021/jm501165d" TargetMode="External"/><Relationship Id="rId77" Type="http://schemas.openxmlformats.org/officeDocument/2006/relationships/hyperlink" Target="https://doi.org/10.1021/acs.jmedchem.7b01760" TargetMode="External"/><Relationship Id="rId78" Type="http://schemas.openxmlformats.org/officeDocument/2006/relationships/hyperlink" Target="https://doi.org/10.1021/jm0501533" TargetMode="External"/><Relationship Id="rId79" Type="http://schemas.openxmlformats.org/officeDocument/2006/relationships/hyperlink" Target="https://doi.org/10.1021/jm050467q" TargetMode="External"/><Relationship Id="rId80" Type="http://schemas.openxmlformats.org/officeDocument/2006/relationships/hyperlink" Target="https://doi.org/10.1016/j.bmcl.2009.12.032" TargetMode="External"/><Relationship Id="rId81" Type="http://schemas.openxmlformats.org/officeDocument/2006/relationships/hyperlink" Target="https://doi.org/10.1021/jm100390h" TargetMode="External"/><Relationship Id="rId82" Type="http://schemas.openxmlformats.org/officeDocument/2006/relationships/hyperlink" Target="https://doi.org/10.1016/j.bmcl.2012.02.050" TargetMode="External"/><Relationship Id="rId83" Type="http://schemas.openxmlformats.org/officeDocument/2006/relationships/hyperlink" Target="https://doi.org/10.1021/ml3000325" TargetMode="External"/><Relationship Id="rId84" Type="http://schemas.openxmlformats.org/officeDocument/2006/relationships/hyperlink" Target="https://doi.org/10.1021/jm301181r" TargetMode="External"/><Relationship Id="rId85" Type="http://schemas.openxmlformats.org/officeDocument/2006/relationships/hyperlink" Target="https://doi.org/10.1016/j.bmcl.2013.01.044" TargetMode="External"/><Relationship Id="rId86" Type="http://schemas.openxmlformats.org/officeDocument/2006/relationships/hyperlink" Target="https://doi.org/10.1021/acs.jmedchem.8b00611" TargetMode="External"/><Relationship Id="rId87" Type="http://schemas.openxmlformats.org/officeDocument/2006/relationships/hyperlink" Target="https://doi.org/10.1021/acs.jmedchem.7b01820" TargetMode="External"/><Relationship Id="rId88" Type="http://schemas.openxmlformats.org/officeDocument/2006/relationships/hyperlink" Target="https://doi.org/10.1016/j.bmc.2018.08.003" TargetMode="External"/><Relationship Id="rId89" Type="http://schemas.openxmlformats.org/officeDocument/2006/relationships/hyperlink" Target="https://doi.org/10.1021/jm801563d" TargetMode="External"/><Relationship Id="rId90" Type="http://schemas.openxmlformats.org/officeDocument/2006/relationships/hyperlink" Target="https://doi.org/10.1016/j.bmcl.2005.07.054" TargetMode="External"/><Relationship Id="rId91" Type="http://schemas.openxmlformats.org/officeDocument/2006/relationships/hyperlink" Target="https://doi.org/10.1016/j.bmc.2009.02.027" TargetMode="External"/><Relationship Id="rId92" Type="http://schemas.openxmlformats.org/officeDocument/2006/relationships/hyperlink" Target="https://doi.org/10.1021/jm200476p" TargetMode="External"/><Relationship Id="rId93" Type="http://schemas.openxmlformats.org/officeDocument/2006/relationships/hyperlink" Target="https://doi.org/10.1016/j.ejmech.2011.08.021" TargetMode="External"/><Relationship Id="rId94" Type="http://schemas.openxmlformats.org/officeDocument/2006/relationships/hyperlink" Target="https://doi.org/10.1016/j.bmc.2013.03.030" TargetMode="External"/><Relationship Id="rId95" Type="http://schemas.openxmlformats.org/officeDocument/2006/relationships/hyperlink" Target="https://doi.org/10.1016/j.bmc.2013.06.010" TargetMode="External"/><Relationship Id="rId96" Type="http://schemas.openxmlformats.org/officeDocument/2006/relationships/hyperlink" Target="https://doi.org/10.1016/j.ejmech.2017.01.002" TargetMode="External"/><Relationship Id="rId97" Type="http://schemas.openxmlformats.org/officeDocument/2006/relationships/hyperlink" Target="https://doi.org/10.1016/j.ejmech.2018.12.008" TargetMode="External"/><Relationship Id="rId98" Type="http://schemas.openxmlformats.org/officeDocument/2006/relationships/hyperlink" Target="https://doi.org/10.1021/acs.jmedchem.2c01084" TargetMode="External"/><Relationship Id="rId99" Type="http://schemas.openxmlformats.org/officeDocument/2006/relationships/hyperlink" Target="https://doi.org/10.1016/j.bmcl.2007.11.133" TargetMode="External"/><Relationship Id="rId100" Type="http://schemas.openxmlformats.org/officeDocument/2006/relationships/hyperlink" Target="https://doi.org/10.1016/j.bmc.2008.06.001" TargetMode="External"/><Relationship Id="rId101" Type="http://schemas.openxmlformats.org/officeDocument/2006/relationships/hyperlink" Target="https://doi.org/10.1016/j.bmcl.2012.02.072" TargetMode="External"/><Relationship Id="rId102" Type="http://schemas.openxmlformats.org/officeDocument/2006/relationships/hyperlink" Target="https://doi.org/10.1016/j.bmc.2014.11.002" TargetMode="External"/><Relationship Id="rId103" Type="http://schemas.openxmlformats.org/officeDocument/2006/relationships/hyperlink" Target="https://doi.org/10.1016/j.ejmech.2016.05.011" TargetMode="External"/><Relationship Id="rId104" Type="http://schemas.openxmlformats.org/officeDocument/2006/relationships/hyperlink" Target="https://doi.org/10.1021/acs.jmedchem.9b00623" TargetMode="External"/><Relationship Id="rId105" Type="http://schemas.openxmlformats.org/officeDocument/2006/relationships/hyperlink" Target="https://doi.org/10.1016/j.ejmech.2019.05.080" TargetMode="External"/><Relationship Id="rId106" Type="http://schemas.openxmlformats.org/officeDocument/2006/relationships/hyperlink" Target="https://doi.org/10.1016/j.bmc.2021.116035" TargetMode="External"/><Relationship Id="rId107" Type="http://schemas.openxmlformats.org/officeDocument/2006/relationships/hyperlink" Target="https://doi.org/10.1021/acs.jmedchem.0c02053" TargetMode="External"/><Relationship Id="rId108" Type="http://schemas.openxmlformats.org/officeDocument/2006/relationships/hyperlink" Target="https://doi.org/10.1016/j.bmcl.2009.08.063" TargetMode="External"/><Relationship Id="rId109" Type="http://schemas.openxmlformats.org/officeDocument/2006/relationships/hyperlink" Target="https://doi.org/10.1016/j.ejmech.2015.06.057" TargetMode="External"/><Relationship Id="rId110" Type="http://schemas.openxmlformats.org/officeDocument/2006/relationships/hyperlink" Target="https://doi.org/10.1016/j.ejmech.2017.11.076" TargetMode="External"/><Relationship Id="rId111" Type="http://schemas.openxmlformats.org/officeDocument/2006/relationships/hyperlink" Target="https://doi.org/10.1016/j.bmcl.2007.09.089" TargetMode="External"/><Relationship Id="rId112" Type="http://schemas.openxmlformats.org/officeDocument/2006/relationships/hyperlink" Target="https://doi.org/10.1016/j.bmcl.2005.09.023" TargetMode="External"/><Relationship Id="rId113" Type="http://schemas.openxmlformats.org/officeDocument/2006/relationships/hyperlink" Target="https://doi.org/10.1021/jm1006676" TargetMode="External"/><Relationship Id="rId114" Type="http://schemas.openxmlformats.org/officeDocument/2006/relationships/hyperlink" Target="https://doi.org/10.1016/j.bmcl.2012.01.121" TargetMode="External"/><Relationship Id="rId115" Type="http://schemas.openxmlformats.org/officeDocument/2006/relationships/hyperlink" Target="https://doi.org/10.1039/C3MD00394A" TargetMode="External"/><Relationship Id="rId116" Type="http://schemas.openxmlformats.org/officeDocument/2006/relationships/hyperlink" Target="https://doi.org/10.1016/j.ejmech.2016.02.005" TargetMode="External"/><Relationship Id="rId117" Type="http://schemas.openxmlformats.org/officeDocument/2006/relationships/hyperlink" Target="https://doi.org/10.1016/j.bmc.2020.115672" TargetMode="External"/><Relationship Id="rId118" Type="http://schemas.openxmlformats.org/officeDocument/2006/relationships/hyperlink" Target="https://doi.org/10.1021/jm900130m" TargetMode="External"/><Relationship Id="rId119" Type="http://schemas.openxmlformats.org/officeDocument/2006/relationships/hyperlink" Target="https://doi.org/10.1021/jm100641g" TargetMode="External"/><Relationship Id="rId120" Type="http://schemas.openxmlformats.org/officeDocument/2006/relationships/hyperlink" Target="https://doi.org/10.1016/j.bmcl.2013.02.025" TargetMode="External"/><Relationship Id="rId121" Type="http://schemas.openxmlformats.org/officeDocument/2006/relationships/hyperlink" Target="https://doi.org/10.1021/jm4005175" TargetMode="External"/><Relationship Id="rId122" Type="http://schemas.openxmlformats.org/officeDocument/2006/relationships/hyperlink" Target="https://doi.org/10.1021/ml500439x" TargetMode="External"/><Relationship Id="rId123" Type="http://schemas.openxmlformats.org/officeDocument/2006/relationships/hyperlink" Target="https://doi.org/10.1016/j.bmcl.2014.11.003" TargetMode="External"/><Relationship Id="rId124" Type="http://schemas.openxmlformats.org/officeDocument/2006/relationships/hyperlink" Target="https://doi.org/10.1021/acs.jnatprod.8b00874" TargetMode="External"/><Relationship Id="rId125" Type="http://schemas.openxmlformats.org/officeDocument/2006/relationships/hyperlink" Target="https://doi.org/10.1016/j.ejmech.2020.112858" TargetMode="External"/><Relationship Id="rId126" Type="http://schemas.openxmlformats.org/officeDocument/2006/relationships/hyperlink" Target="https://doi.org/10.1021/jm801044g" TargetMode="External"/><Relationship Id="rId127" Type="http://schemas.openxmlformats.org/officeDocument/2006/relationships/hyperlink" Target="https://doi.org/10.1016/j.bmcl.2007.03.011" TargetMode="External"/><Relationship Id="rId128" Type="http://schemas.openxmlformats.org/officeDocument/2006/relationships/hyperlink" Target="https://doi.org/10.1016/j.bmcl.2009.11.075" TargetMode="External"/><Relationship Id="rId129" Type="http://schemas.openxmlformats.org/officeDocument/2006/relationships/hyperlink" Target="https://doi.org/10.1016/j.bmc.2011.07.062" TargetMode="External"/><Relationship Id="rId130" Type="http://schemas.openxmlformats.org/officeDocument/2006/relationships/hyperlink" Target="https://doi.org/10.1016/j.ejmech.2011.07.023" TargetMode="External"/><Relationship Id="rId131" Type="http://schemas.openxmlformats.org/officeDocument/2006/relationships/hyperlink" Target="https://doi.org/10.1016/j.bmcl.2011.08.032" TargetMode="External"/><Relationship Id="rId132" Type="http://schemas.openxmlformats.org/officeDocument/2006/relationships/hyperlink" Target="https://doi.org/10.1021/jm401129n" TargetMode="External"/><Relationship Id="rId133" Type="http://schemas.openxmlformats.org/officeDocument/2006/relationships/hyperlink" Target="https://doi.org/10.1016/j.ejmech.2015.01.028" TargetMode="External"/><Relationship Id="rId134" Type="http://schemas.openxmlformats.org/officeDocument/2006/relationships/hyperlink" Target="https://doi.org/10.1016/j.ejmech.2015.04.034" TargetMode="External"/><Relationship Id="rId135" Type="http://schemas.openxmlformats.org/officeDocument/2006/relationships/hyperlink" Target="https://doi.org/10.1016/j.bmc.2015.07.057" TargetMode="External"/><Relationship Id="rId136" Type="http://schemas.openxmlformats.org/officeDocument/2006/relationships/hyperlink" Target="https://doi.org/10.1016/j.bmc.2016.01.033" TargetMode="External"/><Relationship Id="rId137" Type="http://schemas.openxmlformats.org/officeDocument/2006/relationships/hyperlink" Target="https://doi.org/10.1016/j.ejmech.2018.01.034" TargetMode="External"/><Relationship Id="rId138" Type="http://schemas.openxmlformats.org/officeDocument/2006/relationships/hyperlink" Target="https://doi.org/10.1016/j.ejmech.2017.11.043" TargetMode="External"/><Relationship Id="rId139" Type="http://schemas.openxmlformats.org/officeDocument/2006/relationships/hyperlink" Target="https://doi.org/10.1016/j.bmc.2016.08.055" TargetMode="External"/><Relationship Id="rId140" Type="http://schemas.openxmlformats.org/officeDocument/2006/relationships/hyperlink" Target="https://doi.org/10.1021/acs.jmedchem.1c01836" TargetMode="External"/><Relationship Id="rId141" Type="http://schemas.openxmlformats.org/officeDocument/2006/relationships/hyperlink" Target="https://doi.org/10.1016/j.ejmech.2024.116298" TargetMode="External"/><Relationship Id="rId142" Type="http://schemas.openxmlformats.org/officeDocument/2006/relationships/hyperlink" Target="https://doi.org/10.1021/jm020329q" TargetMode="External"/><Relationship Id="rId143" Type="http://schemas.openxmlformats.org/officeDocument/2006/relationships/hyperlink" Target="https://doi.org/10.1016/j.bmcl.2009.05.114" TargetMode="External"/><Relationship Id="rId144" Type="http://schemas.openxmlformats.org/officeDocument/2006/relationships/hyperlink" Target="https://doi.org/10.1016/j.bmcl.2012.06.013" TargetMode="External"/><Relationship Id="rId145" Type="http://schemas.openxmlformats.org/officeDocument/2006/relationships/hyperlink" Target="https://doi.org/10.1021/acs.jnatprod.5b00065" TargetMode="External"/><Relationship Id="rId146" Type="http://schemas.openxmlformats.org/officeDocument/2006/relationships/hyperlink" Target="https://doi.org/10.1021/acsmedchemlett.8b00594" TargetMode="External"/><Relationship Id="rId147" Type="http://schemas.openxmlformats.org/officeDocument/2006/relationships/hyperlink" Target="https://doi.org/10.1021/acs.jmedchem.6b00516" TargetMode="External"/><Relationship Id="rId148" Type="http://schemas.openxmlformats.org/officeDocument/2006/relationships/hyperlink" Target="https://doi.org/10.1016/j.bmc.2007.08.039" TargetMode="External"/><Relationship Id="rId149" Type="http://schemas.openxmlformats.org/officeDocument/2006/relationships/hyperlink" Target="https://doi.org/10.1016/j.bmcl.2010.03.068" TargetMode="External"/><Relationship Id="rId150" Type="http://schemas.openxmlformats.org/officeDocument/2006/relationships/hyperlink" Target="https://doi.org/10.1016/j.bmcl.2012.10.087" TargetMode="External"/><Relationship Id="rId151" Type="http://schemas.openxmlformats.org/officeDocument/2006/relationships/hyperlink" Target="https://doi.org/10.1016/j.ejmech.2014.07.062" TargetMode="External"/><Relationship Id="rId152" Type="http://schemas.openxmlformats.org/officeDocument/2006/relationships/hyperlink" Target="https://doi.org/10.1016/j.ejmech.2014.11.066" TargetMode="External"/><Relationship Id="rId153" Type="http://schemas.openxmlformats.org/officeDocument/2006/relationships/hyperlink" Target="https://doi.org/10.1021/jm501960u" TargetMode="External"/><Relationship Id="rId154" Type="http://schemas.openxmlformats.org/officeDocument/2006/relationships/hyperlink" Target="https://doi.org/10.1021/acs.jmedchem.5b01331" TargetMode="External"/><Relationship Id="rId155" Type="http://schemas.openxmlformats.org/officeDocument/2006/relationships/hyperlink" Target="https://doi.org/10.1016/j.ejmech.2018.05.019" TargetMode="External"/><Relationship Id="rId156" Type="http://schemas.openxmlformats.org/officeDocument/2006/relationships/hyperlink" Target="https://doi.org/10.1016/j.bmcl.2007.06.055" TargetMode="External"/><Relationship Id="rId157" Type="http://schemas.openxmlformats.org/officeDocument/2006/relationships/hyperlink" Target="https://doi.org/10.1016/j.bmcl.2010.01.049" TargetMode="External"/><Relationship Id="rId158" Type="http://schemas.openxmlformats.org/officeDocument/2006/relationships/hyperlink" Target="https://doi.org/10.1016/j.bmcl.2011.07.017" TargetMode="External"/><Relationship Id="rId159" Type="http://schemas.openxmlformats.org/officeDocument/2006/relationships/hyperlink" Target="https://doi.org/10.1039/C8MD00461G" TargetMode="External"/><Relationship Id="rId160" Type="http://schemas.openxmlformats.org/officeDocument/2006/relationships/hyperlink" Target="https://doi.org/10.1016/j.bmcl.2021.127882" TargetMode="External"/><Relationship Id="rId161" Type="http://schemas.openxmlformats.org/officeDocument/2006/relationships/hyperlink" Target="https://doi.org/10.1021/jm051240y" TargetMode="External"/><Relationship Id="rId162" Type="http://schemas.openxmlformats.org/officeDocument/2006/relationships/hyperlink" Target="https://doi.org/10.1021/jm8000778" TargetMode="External"/><Relationship Id="rId163" Type="http://schemas.openxmlformats.org/officeDocument/2006/relationships/hyperlink" Target="https://doi.org/10.1016/j.bmcl.2012.04.128" TargetMode="External"/><Relationship Id="rId164" Type="http://schemas.openxmlformats.org/officeDocument/2006/relationships/hyperlink" Target="https://doi.org/10.1021/jm4010708" TargetMode="External"/><Relationship Id="rId165" Type="http://schemas.openxmlformats.org/officeDocument/2006/relationships/hyperlink" Target="https://doi.org/10.1021/acs.jmedchem.6b00717" TargetMode="External"/><Relationship Id="rId166" Type="http://schemas.openxmlformats.org/officeDocument/2006/relationships/hyperlink" Target="https://doi.org/10.1021/acs.jmedchem.1c00442" TargetMode="External"/><Relationship Id="rId167" Type="http://schemas.openxmlformats.org/officeDocument/2006/relationships/hyperlink" Target="https://doi.org/10.1021/acs.jmedchem.3c02423" TargetMode="External"/><Relationship Id="rId168" Type="http://schemas.openxmlformats.org/officeDocument/2006/relationships/hyperlink" Target="https://doi.org/10.1016/j.bmcl.2008.04.003" TargetMode="External"/><Relationship Id="rId169" Type="http://schemas.openxmlformats.org/officeDocument/2006/relationships/hyperlink" Target="https://doi.org/10.1021/jm8002203" TargetMode="External"/><Relationship Id="rId170" Type="http://schemas.openxmlformats.org/officeDocument/2006/relationships/hyperlink" Target="https://doi.org/10.1016/j.bmc.2010.09.061" TargetMode="External"/><Relationship Id="rId171" Type="http://schemas.openxmlformats.org/officeDocument/2006/relationships/hyperlink" Target="https://doi.org/10.1016/j.bmc.2010.10.050" TargetMode="External"/><Relationship Id="rId172" Type="http://schemas.openxmlformats.org/officeDocument/2006/relationships/hyperlink" Target="https://doi.org/10.1021/jm2004392" TargetMode="External"/><Relationship Id="rId173" Type="http://schemas.openxmlformats.org/officeDocument/2006/relationships/hyperlink" Target="https://doi.org/10.1016/j.ejmech.2012.10.031" TargetMode="External"/><Relationship Id="rId174" Type="http://schemas.openxmlformats.org/officeDocument/2006/relationships/hyperlink" Target="https://doi.org/10.1016/j.ejmech.2012.10.045" TargetMode="External"/><Relationship Id="rId175" Type="http://schemas.openxmlformats.org/officeDocument/2006/relationships/hyperlink" Target="https://doi.org/10.1021/ml300235q" TargetMode="External"/><Relationship Id="rId176" Type="http://schemas.openxmlformats.org/officeDocument/2006/relationships/hyperlink" Target="https://doi.org/10.1016/j.bmc.2013.01.055" TargetMode="External"/><Relationship Id="rId177" Type="http://schemas.openxmlformats.org/officeDocument/2006/relationships/hyperlink" Target="https://doi.org/10.1021/jm400070u" TargetMode="External"/><Relationship Id="rId178" Type="http://schemas.openxmlformats.org/officeDocument/2006/relationships/hyperlink" Target="https://doi.org/10.1021/jm4016075" TargetMode="External"/><Relationship Id="rId179" Type="http://schemas.openxmlformats.org/officeDocument/2006/relationships/hyperlink" Target="https://doi.org/10.1021/np500292g" TargetMode="External"/><Relationship Id="rId180" Type="http://schemas.openxmlformats.org/officeDocument/2006/relationships/hyperlink" Target="https://doi.org/10.1039/C4MD00232F" TargetMode="External"/><Relationship Id="rId181" Type="http://schemas.openxmlformats.org/officeDocument/2006/relationships/hyperlink" Target="https://doi.org/10.1021/acs.jmedchem.7b00155" TargetMode="External"/><Relationship Id="rId182" Type="http://schemas.openxmlformats.org/officeDocument/2006/relationships/hyperlink" Target="https://doi.org/10.1021/acs.jmedchem.0c01357" TargetMode="External"/><Relationship Id="rId183" Type="http://schemas.openxmlformats.org/officeDocument/2006/relationships/hyperlink" Target="https://doi.org/10.1021/acs.jmedchem.3c00599" TargetMode="External"/><Relationship Id="rId184" Type="http://schemas.openxmlformats.org/officeDocument/2006/relationships/hyperlink" Target="https://doi.org/10.1021/acs.jmedchem.4c03132" TargetMode="External"/><Relationship Id="rId185" Type="http://schemas.openxmlformats.org/officeDocument/2006/relationships/hyperlink" Target="https://doi.org/10.1021/jm801534c" TargetMode="External"/><Relationship Id="rId186" Type="http://schemas.openxmlformats.org/officeDocument/2006/relationships/hyperlink" Target="https://doi.org/10.1016/j.bmcl.2005.05.049" TargetMode="External"/><Relationship Id="rId187" Type="http://schemas.openxmlformats.org/officeDocument/2006/relationships/hyperlink" Target="https://doi.org/10.1016/j.bmcl.2006.10.095" TargetMode="External"/><Relationship Id="rId188" Type="http://schemas.openxmlformats.org/officeDocument/2006/relationships/hyperlink" Target="https://doi.org/10.1021/jm701519h" TargetMode="External"/><Relationship Id="rId189" Type="http://schemas.openxmlformats.org/officeDocument/2006/relationships/hyperlink" Target="https://doi.org/10.1021/jm800807k" TargetMode="External"/><Relationship Id="rId190" Type="http://schemas.openxmlformats.org/officeDocument/2006/relationships/hyperlink" Target="https://doi.org/10.1016/j.bmcl.2009.08.007" TargetMode="External"/><Relationship Id="rId191" Type="http://schemas.openxmlformats.org/officeDocument/2006/relationships/hyperlink" Target="https://doi.org/10.1016/j.bmc.2010.06.054" TargetMode="External"/><Relationship Id="rId192" Type="http://schemas.openxmlformats.org/officeDocument/2006/relationships/hyperlink" Target="https://doi.org/10.1016/j.bmcl.2012.02.048" TargetMode="External"/><Relationship Id="rId193" Type="http://schemas.openxmlformats.org/officeDocument/2006/relationships/hyperlink" Target="https://doi.org/10.1016/j.ejmech.2019.07.002" TargetMode="External"/><Relationship Id="rId194" Type="http://schemas.openxmlformats.org/officeDocument/2006/relationships/hyperlink" Target="https://doi.org/10.1016/j.bmcl.2020.127501" TargetMode="External"/><Relationship Id="rId195" Type="http://schemas.openxmlformats.org/officeDocument/2006/relationships/hyperlink" Target="https://doi.org/10.1021/acs.jmedchem.2c00582" TargetMode="External"/><Relationship Id="rId196" Type="http://schemas.openxmlformats.org/officeDocument/2006/relationships/hyperlink" Target="https://doi.org/10.1021/acs.jmedchem.3c00541" TargetMode="External"/><Relationship Id="rId197" Type="http://schemas.openxmlformats.org/officeDocument/2006/relationships/hyperlink" Target="https://doi.org/10.1021/jm061490u" TargetMode="External"/><Relationship Id="rId198" Type="http://schemas.openxmlformats.org/officeDocument/2006/relationships/hyperlink" Target="https://doi.org/10.1016/j.ejmech.2008.01.043" TargetMode="External"/><Relationship Id="rId199" Type="http://schemas.openxmlformats.org/officeDocument/2006/relationships/hyperlink" Target="https://doi.org/10.1016/j.bmcl.2009.01.100" TargetMode="External"/><Relationship Id="rId200" Type="http://schemas.openxmlformats.org/officeDocument/2006/relationships/hyperlink" Target="https://doi.org/10.1016/j.bmcl.2009.02.033" TargetMode="External"/><Relationship Id="rId201" Type="http://schemas.openxmlformats.org/officeDocument/2006/relationships/hyperlink" Target="https://doi.org/10.1016/j.bmcl.2010.01.074" TargetMode="External"/><Relationship Id="rId202" Type="http://schemas.openxmlformats.org/officeDocument/2006/relationships/hyperlink" Target="https://doi.org/10.1016/j.bmcl.2012.06.035" TargetMode="External"/><Relationship Id="rId203" Type="http://schemas.openxmlformats.org/officeDocument/2006/relationships/hyperlink" Target="https://doi.org/10.1016/j.ejmech.2013.09.043" TargetMode="External"/><Relationship Id="rId204" Type="http://schemas.openxmlformats.org/officeDocument/2006/relationships/hyperlink" Target="https://doi.org/10.1021/np400850g" TargetMode="External"/><Relationship Id="rId205" Type="http://schemas.openxmlformats.org/officeDocument/2006/relationships/hyperlink" Target="https://doi.org/10.1016/j.bmcl.2014.07.038" TargetMode="External"/><Relationship Id="rId206" Type="http://schemas.openxmlformats.org/officeDocument/2006/relationships/hyperlink" Target="https://doi.org/10.1021/acs.jmedchem.5b00078" TargetMode="External"/><Relationship Id="rId207" Type="http://schemas.openxmlformats.org/officeDocument/2006/relationships/hyperlink" Target="https://doi.org/10.1039/C7MD00296C" TargetMode="External"/><Relationship Id="rId208" Type="http://schemas.openxmlformats.org/officeDocument/2006/relationships/hyperlink" Target="https://doi.org/10.1021/acs.jnatprod.9b00831" TargetMode="External"/><Relationship Id="rId209" Type="http://schemas.openxmlformats.org/officeDocument/2006/relationships/hyperlink" Target="https://doi.org/10.1021/acs.jnatprod.3c00282" TargetMode="External"/><Relationship Id="rId210" Type="http://schemas.openxmlformats.org/officeDocument/2006/relationships/hyperlink" Target="https://doi.org/10.1021/jm800978m" TargetMode="External"/><Relationship Id="rId211" Type="http://schemas.openxmlformats.org/officeDocument/2006/relationships/hyperlink" Target="https://doi.org/10.1016/j.bmcl.2007.06.002" TargetMode="External"/><Relationship Id="rId212" Type="http://schemas.openxmlformats.org/officeDocument/2006/relationships/hyperlink" Target="https://doi.org/10.1016/j.bmcl.2009.05.097" TargetMode="External"/><Relationship Id="rId213" Type="http://schemas.openxmlformats.org/officeDocument/2006/relationships/hyperlink" Target="https://doi.org/10.1016/j.bmcl.2010.06.067" TargetMode="External"/><Relationship Id="rId214" Type="http://schemas.openxmlformats.org/officeDocument/2006/relationships/hyperlink" Target="https://doi.org/10.1016/j.bmcl.2010.10.061" TargetMode="External"/><Relationship Id="rId215" Type="http://schemas.openxmlformats.org/officeDocument/2006/relationships/hyperlink" Target="https://doi.org/10.1016/j.bmcl.2011.01.082" TargetMode="External"/><Relationship Id="rId216" Type="http://schemas.openxmlformats.org/officeDocument/2006/relationships/hyperlink" Target="https://doi.org/10.1016/j.ejmech.2011.08.030" TargetMode="External"/><Relationship Id="rId217" Type="http://schemas.openxmlformats.org/officeDocument/2006/relationships/hyperlink" Target="https://doi.org/10.1016/j.bmc.2011.11.028" TargetMode="External"/><Relationship Id="rId218" Type="http://schemas.openxmlformats.org/officeDocument/2006/relationships/hyperlink" Target="https://doi.org/10.1016/j.bmcl.2011.12.032" TargetMode="External"/><Relationship Id="rId219" Type="http://schemas.openxmlformats.org/officeDocument/2006/relationships/hyperlink" Target="https://doi.org/10.1016/j.bmcl.2011.12.124" TargetMode="External"/><Relationship Id="rId220" Type="http://schemas.openxmlformats.org/officeDocument/2006/relationships/hyperlink" Target="https://doi.org/10.1021/ml4005304" TargetMode="External"/><Relationship Id="rId221" Type="http://schemas.openxmlformats.org/officeDocument/2006/relationships/hyperlink" Target="https://doi.org/10.1039/C0MD00022A" TargetMode="External"/><Relationship Id="rId222" Type="http://schemas.openxmlformats.org/officeDocument/2006/relationships/hyperlink" Target="https://doi.org/10.1021/acs.jnatprod.5b00301" TargetMode="External"/><Relationship Id="rId223" Type="http://schemas.openxmlformats.org/officeDocument/2006/relationships/hyperlink" Target="https://doi.org/10.1016/j.ejmech.2018.05.050" TargetMode="External"/><Relationship Id="rId224" Type="http://schemas.openxmlformats.org/officeDocument/2006/relationships/hyperlink" Target="https://doi.org/10.1016/j.bmc.2017.10.015" TargetMode="External"/><Relationship Id="rId225" Type="http://schemas.openxmlformats.org/officeDocument/2006/relationships/hyperlink" Target="https://doi.org/10.1021/acs.jmedchem.0c00530" TargetMode="External"/><Relationship Id="rId226" Type="http://schemas.openxmlformats.org/officeDocument/2006/relationships/hyperlink" Target="https://doi.org/10.1016/j.ejmech.2020.113087" TargetMode="External"/><Relationship Id="rId227" Type="http://schemas.openxmlformats.org/officeDocument/2006/relationships/hyperlink" Target="https://doi.org/10.1021/acs.jnatprod.1c00513" TargetMode="External"/><Relationship Id="rId228" Type="http://schemas.openxmlformats.org/officeDocument/2006/relationships/hyperlink" Target="https://doi.org/10.1016/j.bmc.2022.116614" TargetMode="External"/><Relationship Id="rId229" Type="http://schemas.openxmlformats.org/officeDocument/2006/relationships/hyperlink" Target="https://doi.org/10.1021/acs.jmedchem.2c00256" TargetMode="External"/><Relationship Id="rId230" Type="http://schemas.openxmlformats.org/officeDocument/2006/relationships/hyperlink" Target="https://doi.org/10.1021/acs.jmedchem.1c01571" TargetMode="External"/><Relationship Id="rId231" Type="http://schemas.openxmlformats.org/officeDocument/2006/relationships/hyperlink" Target="https://doi.org/10.1039/d2md00006g" TargetMode="External"/><Relationship Id="rId232" Type="http://schemas.openxmlformats.org/officeDocument/2006/relationships/hyperlink" Target="https://doi.org/10.1016/j.ejmech.2016.07.057" TargetMode="External"/><Relationship Id="rId233" Type="http://schemas.openxmlformats.org/officeDocument/2006/relationships/hyperlink" Target="https://doi.org/10.1016/j.bmcl.2006.04.059" TargetMode="External"/><Relationship Id="rId234" Type="http://schemas.openxmlformats.org/officeDocument/2006/relationships/hyperlink" Target="https://doi.org/10.1021/jm801353p" TargetMode="External"/><Relationship Id="rId235" Type="http://schemas.openxmlformats.org/officeDocument/2006/relationships/hyperlink" Target="https://doi.org/10.1021/jm058183t" TargetMode="External"/><Relationship Id="rId236" Type="http://schemas.openxmlformats.org/officeDocument/2006/relationships/hyperlink" Target="https://doi.org/10.1021/jm8011382" TargetMode="External"/><Relationship Id="rId237" Type="http://schemas.openxmlformats.org/officeDocument/2006/relationships/hyperlink" Target="https://doi.org/10.1016/j.bmcl.2008.01.042" TargetMode="External"/><Relationship Id="rId238" Type="http://schemas.openxmlformats.org/officeDocument/2006/relationships/hyperlink" Target="https://doi.org/10.1021/np060598+" TargetMode="External"/><Relationship Id="rId239" Type="http://schemas.openxmlformats.org/officeDocument/2006/relationships/hyperlink" Target="https://doi.org/10.1016/j.bmcl.2004.11.007" TargetMode="External"/><Relationship Id="rId240" Type="http://schemas.openxmlformats.org/officeDocument/2006/relationships/hyperlink" Target="https://doi.org/10.1016/j.bmcl.2007.04.009" TargetMode="External"/><Relationship Id="rId241" Type="http://schemas.openxmlformats.org/officeDocument/2006/relationships/hyperlink" Target="https://doi.org/10.1021/jm901614b" TargetMode="External"/><Relationship Id="rId242" Type="http://schemas.openxmlformats.org/officeDocument/2006/relationships/hyperlink" Target="https://doi.org/10.1016/j.bmcl.2010.11.044" TargetMode="External"/><Relationship Id="rId243" Type="http://schemas.openxmlformats.org/officeDocument/2006/relationships/hyperlink" Target="https://doi.org/10.1016/j.bmcl.2011.02.082" TargetMode="External"/><Relationship Id="rId244" Type="http://schemas.openxmlformats.org/officeDocument/2006/relationships/hyperlink" Target="https://doi.org/10.1016/j.bmc.2011.06.033" TargetMode="External"/><Relationship Id="rId245" Type="http://schemas.openxmlformats.org/officeDocument/2006/relationships/hyperlink" Target="https://doi.org/10.1021/np200500p" TargetMode="External"/><Relationship Id="rId246" Type="http://schemas.openxmlformats.org/officeDocument/2006/relationships/hyperlink" Target="https://doi.org/10.1016/j.bmcl.2011.07.099" TargetMode="External"/><Relationship Id="rId247" Type="http://schemas.openxmlformats.org/officeDocument/2006/relationships/hyperlink" Target="https://doi.org/10.1021/jm400132d" TargetMode="External"/><Relationship Id="rId248" Type="http://schemas.openxmlformats.org/officeDocument/2006/relationships/hyperlink" Target="https://doi.org/10.1016/j.ejmech.2014.01.030" TargetMode="External"/><Relationship Id="rId249" Type="http://schemas.openxmlformats.org/officeDocument/2006/relationships/hyperlink" Target="https://doi.org/10.1016/j.bmc.2014.04.062" TargetMode="External"/><Relationship Id="rId250" Type="http://schemas.openxmlformats.org/officeDocument/2006/relationships/hyperlink" Target="https://doi.org/10.1016/j.bmcl.2014.11.006" TargetMode="External"/><Relationship Id="rId251" Type="http://schemas.openxmlformats.org/officeDocument/2006/relationships/hyperlink" Target="https://doi.org/10.1016/j.bmcl.2014.04.112" TargetMode="External"/><Relationship Id="rId252" Type="http://schemas.openxmlformats.org/officeDocument/2006/relationships/hyperlink" Target="https://doi.org/10.1016/j.bmc.2017.11.051" TargetMode="External"/><Relationship Id="rId253" Type="http://schemas.openxmlformats.org/officeDocument/2006/relationships/hyperlink" Target="https://doi.org/10.1021/acs.jnatprod.9b00876" TargetMode="External"/><Relationship Id="rId254" Type="http://schemas.openxmlformats.org/officeDocument/2006/relationships/hyperlink" Target="https://doi.org/10.1039/C8MD00595H" TargetMode="External"/><Relationship Id="rId255" Type="http://schemas.openxmlformats.org/officeDocument/2006/relationships/hyperlink" Target="https://doi.org/10.1016/j.ejmech.2018.07.076" TargetMode="External"/><Relationship Id="rId256" Type="http://schemas.openxmlformats.org/officeDocument/2006/relationships/hyperlink" Target="https://doi.org/10.6019/CHEMBL4507297" TargetMode="External"/><Relationship Id="rId257" Type="http://schemas.openxmlformats.org/officeDocument/2006/relationships/hyperlink" Target="https://doi.org/10.1016/j.ejmech.2018.11.017" TargetMode="External"/><Relationship Id="rId258" Type="http://schemas.openxmlformats.org/officeDocument/2006/relationships/hyperlink" Target="https://doi.org/10.1021/acs.jmedchem.0c00724" TargetMode="External"/><Relationship Id="rId259" Type="http://schemas.openxmlformats.org/officeDocument/2006/relationships/hyperlink" Target="https://doi.org/10.1021/acs.jnatprod.0c00965" TargetMode="External"/><Relationship Id="rId260" Type="http://schemas.openxmlformats.org/officeDocument/2006/relationships/hyperlink" Target="https://doi.org/10.1021/acs.jmedchem.2c00969" TargetMode="External"/><Relationship Id="rId261" Type="http://schemas.openxmlformats.org/officeDocument/2006/relationships/hyperlink" Target="https://doi.org/10.1021/acs.jmedchem.4c00652" TargetMode="External"/><Relationship Id="rId262" Type="http://schemas.openxmlformats.org/officeDocument/2006/relationships/hyperlink" Target="https://doi.org/10.1016/j.ejmech.2024.116164" TargetMode="External"/><Relationship Id="rId263" Type="http://schemas.openxmlformats.org/officeDocument/2006/relationships/hyperlink" Target="https://doi.org/10.1016/j.ejmech.2025.117262" TargetMode="External"/><Relationship Id="rId264" Type="http://schemas.openxmlformats.org/officeDocument/2006/relationships/hyperlink" Target="https://doi.org/10.1039/d4md00522h" TargetMode="External"/><Relationship Id="rId265" Type="http://schemas.openxmlformats.org/officeDocument/2006/relationships/hyperlink" Target="https://doi.org/10.1021/jm960394y" TargetMode="External"/><Relationship Id="rId266" Type="http://schemas.openxmlformats.org/officeDocument/2006/relationships/hyperlink" Target="https://doi.org/10.1016/0960-894X(96)00426-X" TargetMode="External"/><Relationship Id="rId267" Type="http://schemas.openxmlformats.org/officeDocument/2006/relationships/hyperlink" Target="https://doi.org/10.1016/0960-894X(95)00573-C" TargetMode="External"/><Relationship Id="rId268" Type="http://schemas.openxmlformats.org/officeDocument/2006/relationships/hyperlink" Target="https://doi.org/10.1021/jm970136g" TargetMode="External"/><Relationship Id="rId269" Type="http://schemas.openxmlformats.org/officeDocument/2006/relationships/hyperlink" Target="https://doi.org/10.1021/jm970126f" TargetMode="External"/><Relationship Id="rId270" Type="http://schemas.openxmlformats.org/officeDocument/2006/relationships/hyperlink" Target="https://doi.org/10.1021/jm9801197" TargetMode="External"/><Relationship Id="rId271" Type="http://schemas.openxmlformats.org/officeDocument/2006/relationships/hyperlink" Target="https://doi.org/10.1021/jm0001572" TargetMode="External"/><Relationship Id="rId272" Type="http://schemas.openxmlformats.org/officeDocument/2006/relationships/hyperlink" Target="https://doi.org/10.1021/jm991074s" TargetMode="External"/><Relationship Id="rId273" Type="http://schemas.openxmlformats.org/officeDocument/2006/relationships/hyperlink" Target="https://doi.org/10.1021/jm015545y" TargetMode="External"/><Relationship Id="rId274" Type="http://schemas.openxmlformats.org/officeDocument/2006/relationships/hyperlink" Target="https://doi.org/10.1016/s0960-894x(02)00466-3" TargetMode="External"/><Relationship Id="rId275" Type="http://schemas.openxmlformats.org/officeDocument/2006/relationships/hyperlink" Target="https://doi.org/10.1021/jm010498v" TargetMode="External"/><Relationship Id="rId276" Type="http://schemas.openxmlformats.org/officeDocument/2006/relationships/hyperlink" Target="https://doi.org/10.1016/s0960-894x(03)00729-7" TargetMode="External"/><Relationship Id="rId277" Type="http://schemas.openxmlformats.org/officeDocument/2006/relationships/hyperlink" Target="https://doi.org/10.1021/jm0209679" TargetMode="External"/><Relationship Id="rId278" Type="http://schemas.openxmlformats.org/officeDocument/2006/relationships/hyperlink" Target="https://doi.org/10.1021/jm0210818" TargetMode="External"/><Relationship Id="rId279" Type="http://schemas.openxmlformats.org/officeDocument/2006/relationships/hyperlink" Target="https://doi.org/10.1016/j.bmcl.2009.04.023" TargetMode="External"/><Relationship Id="rId280" Type="http://schemas.openxmlformats.org/officeDocument/2006/relationships/hyperlink" Target="https://doi.org/10.1021/jm0603466" TargetMode="External"/><Relationship Id="rId281" Type="http://schemas.openxmlformats.org/officeDocument/2006/relationships/hyperlink" Target="https://doi.org/10.1021/jm900471u" TargetMode="External"/><Relationship Id="rId282" Type="http://schemas.openxmlformats.org/officeDocument/2006/relationships/hyperlink" Target="https://doi.org/10.1021/jm0602413" TargetMode="External"/><Relationship Id="rId283" Type="http://schemas.openxmlformats.org/officeDocument/2006/relationships/hyperlink" Target="https://doi.org/10.1021/jm060920d" TargetMode="External"/><Relationship Id="rId284" Type="http://schemas.openxmlformats.org/officeDocument/2006/relationships/hyperlink" Target="https://doi.org/10.1021/jm060978s" TargetMode="External"/><Relationship Id="rId285" Type="http://schemas.openxmlformats.org/officeDocument/2006/relationships/hyperlink" Target="https://doi.org/10.1016/j.bmcl.2006.09.049" TargetMode="External"/><Relationship Id="rId286" Type="http://schemas.openxmlformats.org/officeDocument/2006/relationships/hyperlink" Target="https://doi.org/10.1021/jm900255t" TargetMode="External"/><Relationship Id="rId287" Type="http://schemas.openxmlformats.org/officeDocument/2006/relationships/hyperlink" Target="https://doi.org/10.1016/j.bmcl.2009.03.046" TargetMode="External"/><Relationship Id="rId288" Type="http://schemas.openxmlformats.org/officeDocument/2006/relationships/hyperlink" Target="https://doi.org/10.1016/j.bmcl.2009.03.005" TargetMode="External"/><Relationship Id="rId289" Type="http://schemas.openxmlformats.org/officeDocument/2006/relationships/hyperlink" Target="https://doi.org/10.1021/jm050879z" TargetMode="External"/><Relationship Id="rId290" Type="http://schemas.openxmlformats.org/officeDocument/2006/relationships/hyperlink" Target="https://doi.org/10.1016/j.bmcl.2007.01.005" TargetMode="External"/><Relationship Id="rId291" Type="http://schemas.openxmlformats.org/officeDocument/2006/relationships/hyperlink" Target="https://doi.org/10.1016/j.bmcl.2008.10.118" TargetMode="External"/><Relationship Id="rId292" Type="http://schemas.openxmlformats.org/officeDocument/2006/relationships/hyperlink" Target="https://doi.org/10.1016/j.bmcl.2008.10.130" TargetMode="External"/><Relationship Id="rId293" Type="http://schemas.openxmlformats.org/officeDocument/2006/relationships/hyperlink" Target="https://doi.org/10.1016/j.bmcl.2008.11.026" TargetMode="External"/><Relationship Id="rId294" Type="http://schemas.openxmlformats.org/officeDocument/2006/relationships/hyperlink" Target="https://doi.org/10.1021/jm050565b" TargetMode="External"/><Relationship Id="rId295" Type="http://schemas.openxmlformats.org/officeDocument/2006/relationships/hyperlink" Target="https://doi.org/10.1021/jm800066v" TargetMode="External"/><Relationship Id="rId296" Type="http://schemas.openxmlformats.org/officeDocument/2006/relationships/hyperlink" Target="https://doi.org/10.1021/jm800329z" TargetMode="External"/><Relationship Id="rId297" Type="http://schemas.openxmlformats.org/officeDocument/2006/relationships/hyperlink" Target="https://doi.org/10.1021/jm800416m" TargetMode="External"/><Relationship Id="rId298" Type="http://schemas.openxmlformats.org/officeDocument/2006/relationships/hyperlink" Target="https://doi.org/10.1021/jm800670r" TargetMode="External"/><Relationship Id="rId299" Type="http://schemas.openxmlformats.org/officeDocument/2006/relationships/hyperlink" Target="https://doi.org/10.1021/jm0503906" TargetMode="External"/><Relationship Id="rId300" Type="http://schemas.openxmlformats.org/officeDocument/2006/relationships/hyperlink" Target="https://doi.org/10.1016/j.bmcl.2007.09.004" TargetMode="External"/><Relationship Id="rId301" Type="http://schemas.openxmlformats.org/officeDocument/2006/relationships/hyperlink" Target="https://doi.org/10.1021/jm0610705" TargetMode="External"/><Relationship Id="rId302" Type="http://schemas.openxmlformats.org/officeDocument/2006/relationships/hyperlink" Target="https://doi.org/10.1016/j.bmcl.2008.11.029" TargetMode="External"/><Relationship Id="rId303" Type="http://schemas.openxmlformats.org/officeDocument/2006/relationships/hyperlink" Target="https://doi.org/10.1073/pnas.0611364104" TargetMode="External"/><Relationship Id="rId304" Type="http://schemas.openxmlformats.org/officeDocument/2006/relationships/hyperlink" Target="https://doi.org/10.1021/jm701487t" TargetMode="External"/><Relationship Id="rId305" Type="http://schemas.openxmlformats.org/officeDocument/2006/relationships/hyperlink" Target="https://doi.org/10.1016/j.bmcl.2008.12.059" TargetMode="External"/><Relationship Id="rId306" Type="http://schemas.openxmlformats.org/officeDocument/2006/relationships/hyperlink" Target="https://doi.org/10.1021/jm061195+" TargetMode="External"/><Relationship Id="rId307" Type="http://schemas.openxmlformats.org/officeDocument/2006/relationships/hyperlink" Target="https://doi.org/10.1016/j.bmcl.2008.02.061" TargetMode="External"/><Relationship Id="rId308" Type="http://schemas.openxmlformats.org/officeDocument/2006/relationships/hyperlink" Target="https://doi.org/10.1016/j.bmc.2007.10.087" TargetMode="External"/><Relationship Id="rId309" Type="http://schemas.openxmlformats.org/officeDocument/2006/relationships/hyperlink" Target="https://doi.org/10.1016/j.bmcl.2004.11.031" TargetMode="External"/><Relationship Id="rId310" Type="http://schemas.openxmlformats.org/officeDocument/2006/relationships/hyperlink" Target="https://doi.org/10.1016/j.bmc.2006.10.049" TargetMode="External"/><Relationship Id="rId311" Type="http://schemas.openxmlformats.org/officeDocument/2006/relationships/hyperlink" Target="https://doi.org/10.1016/j.bmcl.2007.01.087" TargetMode="External"/><Relationship Id="rId312" Type="http://schemas.openxmlformats.org/officeDocument/2006/relationships/hyperlink" Target="https://doi.org/10.1016/j.bmcl.2008.03.048" TargetMode="External"/><Relationship Id="rId313" Type="http://schemas.openxmlformats.org/officeDocument/2006/relationships/hyperlink" Target="https://doi.org/10.1021/jm0340795" TargetMode="External"/><Relationship Id="rId314" Type="http://schemas.openxmlformats.org/officeDocument/2006/relationships/hyperlink" Target="https://doi.org/10.1021/jm049263k" TargetMode="External"/><Relationship Id="rId315" Type="http://schemas.openxmlformats.org/officeDocument/2006/relationships/hyperlink" Target="https://doi.org/10.1021/jm070131b" TargetMode="External"/><Relationship Id="rId316" Type="http://schemas.openxmlformats.org/officeDocument/2006/relationships/hyperlink" Target="https://doi.org/10.1016/j.bmcl.2007.01.006" TargetMode="External"/><Relationship Id="rId317" Type="http://schemas.openxmlformats.org/officeDocument/2006/relationships/hyperlink" Target="https://doi.org/10.1021/jm031019q" TargetMode="External"/><Relationship Id="rId318" Type="http://schemas.openxmlformats.org/officeDocument/2006/relationships/hyperlink" Target="https://doi.org/10.1021/jm050977k" TargetMode="External"/><Relationship Id="rId319" Type="http://schemas.openxmlformats.org/officeDocument/2006/relationships/hyperlink" Target="https://doi.org/10.1021/jm050725j" TargetMode="External"/><Relationship Id="rId320" Type="http://schemas.openxmlformats.org/officeDocument/2006/relationships/hyperlink" Target="https://doi.org/10.1021/jm050484f" TargetMode="External"/><Relationship Id="rId321" Type="http://schemas.openxmlformats.org/officeDocument/2006/relationships/hyperlink" Target="https://doi.org/10.1021/jm070317a" TargetMode="External"/><Relationship Id="rId322" Type="http://schemas.openxmlformats.org/officeDocument/2006/relationships/hyperlink" Target="https://doi.org/10.1021/jm0705612" TargetMode="External"/><Relationship Id="rId323" Type="http://schemas.openxmlformats.org/officeDocument/2006/relationships/hyperlink" Target="https://doi.org/10.1016/j.bmcl.2005.10.028" TargetMode="External"/><Relationship Id="rId324" Type="http://schemas.openxmlformats.org/officeDocument/2006/relationships/hyperlink" Target="https://doi.org/10.1016/j.bmcl.2005.10.019" TargetMode="External"/><Relationship Id="rId325" Type="http://schemas.openxmlformats.org/officeDocument/2006/relationships/hyperlink" Target="https://doi.org/10.1016/j.bmcl.2007.07.005" TargetMode="External"/><Relationship Id="rId326" Type="http://schemas.openxmlformats.org/officeDocument/2006/relationships/hyperlink" Target="https://doi.org/10.1016/j.ejmech.2007.04.007" TargetMode="External"/><Relationship Id="rId327" Type="http://schemas.openxmlformats.org/officeDocument/2006/relationships/hyperlink" Target="https://doi.org/10.1016/j.bmcl.2008.04.022" TargetMode="External"/><Relationship Id="rId328" Type="http://schemas.openxmlformats.org/officeDocument/2006/relationships/hyperlink" Target="https://doi.org/10.1021/jm800843r" TargetMode="External"/><Relationship Id="rId329" Type="http://schemas.openxmlformats.org/officeDocument/2006/relationships/hyperlink" Target="https://doi.org/10.1016/j.bmc.2009.05.013" TargetMode="External"/><Relationship Id="rId330" Type="http://schemas.openxmlformats.org/officeDocument/2006/relationships/hyperlink" Target="https://doi.org/10.1016/j.bmcl.2009.11.019" TargetMode="External"/><Relationship Id="rId331" Type="http://schemas.openxmlformats.org/officeDocument/2006/relationships/hyperlink" Target="https://doi.org/10.1016/j.bmcl.2009.11.117" TargetMode="External"/><Relationship Id="rId332" Type="http://schemas.openxmlformats.org/officeDocument/2006/relationships/hyperlink" Target="https://doi.org/10.1021/jm900063x" TargetMode="External"/><Relationship Id="rId333" Type="http://schemas.openxmlformats.org/officeDocument/2006/relationships/hyperlink" Target="https://doi.org/10.1016/j.bmcl.2009.05.062" TargetMode="External"/><Relationship Id="rId334" Type="http://schemas.openxmlformats.org/officeDocument/2006/relationships/hyperlink" Target="https://doi.org/10.1016/j.bmc.2008.11.059" TargetMode="External"/><Relationship Id="rId335" Type="http://schemas.openxmlformats.org/officeDocument/2006/relationships/hyperlink" Target="https://doi.org/10.1016/j.bmcl.2009.02.063" TargetMode="External"/><Relationship Id="rId336" Type="http://schemas.openxmlformats.org/officeDocument/2006/relationships/hyperlink" Target="https://doi.org/10.1016/j.bmcl.2009.06.069" TargetMode="External"/><Relationship Id="rId337" Type="http://schemas.openxmlformats.org/officeDocument/2006/relationships/hyperlink" Target="https://doi.org/10.1016/j.bmcl.2009.08.092" TargetMode="External"/><Relationship Id="rId338" Type="http://schemas.openxmlformats.org/officeDocument/2006/relationships/hyperlink" Target="https://doi.org/10.1016/j.bmcl.2009.07.046" TargetMode="External"/><Relationship Id="rId339" Type="http://schemas.openxmlformats.org/officeDocument/2006/relationships/hyperlink" Target="https://doi.org/10.1021/jm9018756" TargetMode="External"/><Relationship Id="rId340" Type="http://schemas.openxmlformats.org/officeDocument/2006/relationships/hyperlink" Target="https://doi.org/10.1016/j.bmc.2008.06.019" TargetMode="External"/><Relationship Id="rId341" Type="http://schemas.openxmlformats.org/officeDocument/2006/relationships/hyperlink" Target="https://doi.org/10.1016/j.bmcl.2008.06.098" TargetMode="External"/><Relationship Id="rId342" Type="http://schemas.openxmlformats.org/officeDocument/2006/relationships/hyperlink" Target="https://doi.org/10.1016/j.bmcl.2008.06.096" TargetMode="External"/><Relationship Id="rId343" Type="http://schemas.openxmlformats.org/officeDocument/2006/relationships/hyperlink" Target="https://doi.org/10.1021/jm9009857" TargetMode="External"/><Relationship Id="rId344" Type="http://schemas.openxmlformats.org/officeDocument/2006/relationships/hyperlink" Target="https://doi.org/10.1016/j.bmcl.2009.10.015" TargetMode="External"/><Relationship Id="rId345" Type="http://schemas.openxmlformats.org/officeDocument/2006/relationships/hyperlink" Target="https://doi.org/10.1016/j.bmcl.2009.10.041" TargetMode="External"/><Relationship Id="rId346" Type="http://schemas.openxmlformats.org/officeDocument/2006/relationships/hyperlink" Target="https://doi.org/10.1016/j.bmcl.2009.12.065" TargetMode="External"/><Relationship Id="rId347" Type="http://schemas.openxmlformats.org/officeDocument/2006/relationships/hyperlink" Target="https://doi.org/10.1073/pnas.0706980105" TargetMode="External"/><Relationship Id="rId348" Type="http://schemas.openxmlformats.org/officeDocument/2006/relationships/hyperlink" Target="https://doi.org/10.1021/jm800463f" TargetMode="External"/><Relationship Id="rId349" Type="http://schemas.openxmlformats.org/officeDocument/2006/relationships/hyperlink" Target="https://doi.org/10.1016/j.bmcl.2009.12.092" TargetMode="External"/><Relationship Id="rId350" Type="http://schemas.openxmlformats.org/officeDocument/2006/relationships/hyperlink" Target="https://doi.org/10.1016/j.bmc.2008.01.023" TargetMode="External"/><Relationship Id="rId351" Type="http://schemas.openxmlformats.org/officeDocument/2006/relationships/hyperlink" Target="https://doi.org/10.1016/j.bmc.2010.02.011" TargetMode="External"/><Relationship Id="rId352" Type="http://schemas.openxmlformats.org/officeDocument/2006/relationships/hyperlink" Target="https://doi.org/10.1021/jm901497b" TargetMode="External"/><Relationship Id="rId353" Type="http://schemas.openxmlformats.org/officeDocument/2006/relationships/hyperlink" Target="https://doi.org/10.1021/jm100023j" TargetMode="External"/><Relationship Id="rId354" Type="http://schemas.openxmlformats.org/officeDocument/2006/relationships/hyperlink" Target="https://doi.org/10.1021/jm900324e" TargetMode="External"/><Relationship Id="rId355" Type="http://schemas.openxmlformats.org/officeDocument/2006/relationships/hyperlink" Target="https://doi.org/10.1016/j.bmcl.2009.11.134" TargetMode="External"/><Relationship Id="rId356" Type="http://schemas.openxmlformats.org/officeDocument/2006/relationships/hyperlink" Target="https://doi.org/10.1016/j.bmcl.2010.04.071" TargetMode="External"/><Relationship Id="rId357" Type="http://schemas.openxmlformats.org/officeDocument/2006/relationships/hyperlink" Target="https://doi.org/10.1016/j.bmc.2009.12.040" TargetMode="External"/><Relationship Id="rId358" Type="http://schemas.openxmlformats.org/officeDocument/2006/relationships/hyperlink" Target="https://doi.org/10.1038/nchembio.129" TargetMode="External"/><Relationship Id="rId359" Type="http://schemas.openxmlformats.org/officeDocument/2006/relationships/hyperlink" Target="https://doi.org/10.1016/j.bmc.2010.07.013" TargetMode="External"/><Relationship Id="rId360" Type="http://schemas.openxmlformats.org/officeDocument/2006/relationships/hyperlink" Target="https://doi.org/10.1016/j.bmc.2010.05.058" TargetMode="External"/><Relationship Id="rId361" Type="http://schemas.openxmlformats.org/officeDocument/2006/relationships/hyperlink" Target="https://doi.org/10.1016/j.bmcl.2010.08.126" TargetMode="External"/><Relationship Id="rId362" Type="http://schemas.openxmlformats.org/officeDocument/2006/relationships/hyperlink" Target="https://doi.org/10.1016/j.bmc.2010.11.059" TargetMode="External"/><Relationship Id="rId363" Type="http://schemas.openxmlformats.org/officeDocument/2006/relationships/hyperlink" Target="https://doi.org/10.1016/j.bmcl.2011.02.017" TargetMode="External"/><Relationship Id="rId364" Type="http://schemas.openxmlformats.org/officeDocument/2006/relationships/hyperlink" Target="https://doi.org/10.1016/j.bmcl.2011.02.019" TargetMode="External"/><Relationship Id="rId365" Type="http://schemas.openxmlformats.org/officeDocument/2006/relationships/hyperlink" Target="https://doi.org/10.1021/jm2000536" TargetMode="External"/><Relationship Id="rId366" Type="http://schemas.openxmlformats.org/officeDocument/2006/relationships/hyperlink" Target="https://doi.org/10.1016/j.bmcl.2011.02.078" TargetMode="External"/><Relationship Id="rId367" Type="http://schemas.openxmlformats.org/officeDocument/2006/relationships/hyperlink" Target="https://doi.org/10.1021/np100778k" TargetMode="External"/><Relationship Id="rId368" Type="http://schemas.openxmlformats.org/officeDocument/2006/relationships/hyperlink" Target="https://doi.org/10.1016/j.bmcl.2011.03.069" TargetMode="External"/><Relationship Id="rId369" Type="http://schemas.openxmlformats.org/officeDocument/2006/relationships/hyperlink" Target="https://doi.org/10.1016/j.bmcl.2010.09.121" TargetMode="External"/><Relationship Id="rId370" Type="http://schemas.openxmlformats.org/officeDocument/2006/relationships/hyperlink" Target="https://doi.org/10.1016/j.bmcl.2011.05.063" TargetMode="External"/><Relationship Id="rId371" Type="http://schemas.openxmlformats.org/officeDocument/2006/relationships/hyperlink" Target="https://doi.org/10.1016/j.bmcl.2011.05.068" TargetMode="External"/><Relationship Id="rId372" Type="http://schemas.openxmlformats.org/officeDocument/2006/relationships/hyperlink" Target="https://doi.org/10.1021/jm200365y" TargetMode="External"/><Relationship Id="rId373" Type="http://schemas.openxmlformats.org/officeDocument/2006/relationships/hyperlink" Target="https://doi.org/10.1016/j.bmcl.2011.06.017" TargetMode="External"/><Relationship Id="rId374" Type="http://schemas.openxmlformats.org/officeDocument/2006/relationships/hyperlink" Target="https://doi.org/10.1021/np200147c" TargetMode="External"/><Relationship Id="rId375" Type="http://schemas.openxmlformats.org/officeDocument/2006/relationships/hyperlink" Target="https://doi.org/10.1016/j.ejmech.2011.08.031" TargetMode="External"/><Relationship Id="rId376" Type="http://schemas.openxmlformats.org/officeDocument/2006/relationships/hyperlink" Target="https://doi.org/10.1021/jm200916p" TargetMode="External"/><Relationship Id="rId377" Type="http://schemas.openxmlformats.org/officeDocument/2006/relationships/hyperlink" Target="https://doi.org/10.1016/j.bmcl.2011.09.016" TargetMode="External"/><Relationship Id="rId378" Type="http://schemas.openxmlformats.org/officeDocument/2006/relationships/hyperlink" Target="https://doi.org/10.1021/np200610t" TargetMode="External"/><Relationship Id="rId379" Type="http://schemas.openxmlformats.org/officeDocument/2006/relationships/hyperlink" Target="https://doi.org/10.1016/j.bmcl.2011.10.091" TargetMode="External"/><Relationship Id="rId380" Type="http://schemas.openxmlformats.org/officeDocument/2006/relationships/hyperlink" Target="https://doi.org/10.1021/jm201157c" TargetMode="External"/><Relationship Id="rId381" Type="http://schemas.openxmlformats.org/officeDocument/2006/relationships/hyperlink" Target="https://doi.org/10.1021/ml200091q" TargetMode="External"/><Relationship Id="rId382" Type="http://schemas.openxmlformats.org/officeDocument/2006/relationships/hyperlink" Target="https://doi.org/10.1021/ml200183z" TargetMode="External"/><Relationship Id="rId383" Type="http://schemas.openxmlformats.org/officeDocument/2006/relationships/hyperlink" Target="https://doi.org/10.1021/jm201731z" TargetMode="External"/><Relationship Id="rId384" Type="http://schemas.openxmlformats.org/officeDocument/2006/relationships/hyperlink" Target="https://doi.org/10.1021/jm201485c" TargetMode="External"/><Relationship Id="rId385" Type="http://schemas.openxmlformats.org/officeDocument/2006/relationships/hyperlink" Target="https://doi.org/10.1021/jm2016057" TargetMode="External"/><Relationship Id="rId386" Type="http://schemas.openxmlformats.org/officeDocument/2006/relationships/hyperlink" Target="https://doi.org/10.1016/j.bmcl.2012.08.004" TargetMode="External"/><Relationship Id="rId387" Type="http://schemas.openxmlformats.org/officeDocument/2006/relationships/hyperlink" Target="https://doi.org/10.1016/j.bmcl.2012.05.101" TargetMode="External"/><Relationship Id="rId388" Type="http://schemas.openxmlformats.org/officeDocument/2006/relationships/hyperlink" Target="https://doi.org/10.1016/j.bmcl.2012.05.036" TargetMode="External"/><Relationship Id="rId389" Type="http://schemas.openxmlformats.org/officeDocument/2006/relationships/hyperlink" Target="https://doi.org/10.1016/j.bmcl.2012.06.060" TargetMode="External"/><Relationship Id="rId390" Type="http://schemas.openxmlformats.org/officeDocument/2006/relationships/hyperlink" Target="https://doi.org/10.1021/jm301511h" TargetMode="External"/><Relationship Id="rId391" Type="http://schemas.openxmlformats.org/officeDocument/2006/relationships/hyperlink" Target="https://doi.org/10.1021/jm300484d" TargetMode="External"/><Relationship Id="rId392" Type="http://schemas.openxmlformats.org/officeDocument/2006/relationships/hyperlink" Target="https://doi.org/10.1021/np300653d" TargetMode="External"/><Relationship Id="rId393" Type="http://schemas.openxmlformats.org/officeDocument/2006/relationships/hyperlink" Target="https://doi.org/10.1021/jm400268b" TargetMode="External"/><Relationship Id="rId394" Type="http://schemas.openxmlformats.org/officeDocument/2006/relationships/hyperlink" Target="https://doi.org/10.1016/j.bmcl.2013.02.108" TargetMode="External"/><Relationship Id="rId395" Type="http://schemas.openxmlformats.org/officeDocument/2006/relationships/hyperlink" Target="https://doi.org/10.1021/ml4000996" TargetMode="External"/><Relationship Id="rId396" Type="http://schemas.openxmlformats.org/officeDocument/2006/relationships/hyperlink" Target="https://doi.org/10.1016/j.bmcl.2013.03.066" TargetMode="External"/><Relationship Id="rId397" Type="http://schemas.openxmlformats.org/officeDocument/2006/relationships/hyperlink" Target="https://doi.org/10.1016/j.bmcl.2013.03.121" TargetMode="External"/><Relationship Id="rId398" Type="http://schemas.openxmlformats.org/officeDocument/2006/relationships/hyperlink" Target="https://doi.org/10.1021/jm4004939" TargetMode="External"/><Relationship Id="rId399" Type="http://schemas.openxmlformats.org/officeDocument/2006/relationships/hyperlink" Target="https://doi.org/10.1021/jm400766k" TargetMode="External"/><Relationship Id="rId400" Type="http://schemas.openxmlformats.org/officeDocument/2006/relationships/hyperlink" Target="https://doi.org/10.1021/np400478c" TargetMode="External"/><Relationship Id="rId401" Type="http://schemas.openxmlformats.org/officeDocument/2006/relationships/hyperlink" Target="https://doi.org/10.1021/jm400923s" TargetMode="External"/><Relationship Id="rId402" Type="http://schemas.openxmlformats.org/officeDocument/2006/relationships/hyperlink" Target="https://doi.org/10.1016/j.bmcl.2013.11.023" TargetMode="External"/><Relationship Id="rId403" Type="http://schemas.openxmlformats.org/officeDocument/2006/relationships/hyperlink" Target="https://doi.org/10.1016/j.bmcl.2013.10.045" TargetMode="External"/><Relationship Id="rId404" Type="http://schemas.openxmlformats.org/officeDocument/2006/relationships/hyperlink" Target="https://doi.org/10.1021/np400740u" TargetMode="External"/><Relationship Id="rId405" Type="http://schemas.openxmlformats.org/officeDocument/2006/relationships/hyperlink" Target="https://doi.org/10.1016/j.bmcl.2013.12.068" TargetMode="External"/><Relationship Id="rId406" Type="http://schemas.openxmlformats.org/officeDocument/2006/relationships/hyperlink" Target="https://doi.org/10.1016/j.ejmech.2013.12.018" TargetMode="External"/><Relationship Id="rId407" Type="http://schemas.openxmlformats.org/officeDocument/2006/relationships/hyperlink" Target="https://doi.org/10.1016/j.bmcl.2014.01.056" TargetMode="External"/><Relationship Id="rId408" Type="http://schemas.openxmlformats.org/officeDocument/2006/relationships/hyperlink" Target="https://doi.org/10.1021/jm500220s" TargetMode="External"/><Relationship Id="rId409" Type="http://schemas.openxmlformats.org/officeDocument/2006/relationships/hyperlink" Target="https://doi.org/10.1016/j.ejmech.2014.05.055" TargetMode="External"/><Relationship Id="rId410" Type="http://schemas.openxmlformats.org/officeDocument/2006/relationships/hyperlink" Target="https://doi.org/10.1021/jm501042u" TargetMode="External"/><Relationship Id="rId411" Type="http://schemas.openxmlformats.org/officeDocument/2006/relationships/hyperlink" Target="https://doi.org/10.1021/jm501207r" TargetMode="External"/><Relationship Id="rId412" Type="http://schemas.openxmlformats.org/officeDocument/2006/relationships/hyperlink" Target="https://doi.org/10.1016/j.bmcl.2014.11.040" TargetMode="External"/><Relationship Id="rId413" Type="http://schemas.openxmlformats.org/officeDocument/2006/relationships/hyperlink" Target="https://doi.org/10.1016/j.ejmech.2014.08.042" TargetMode="External"/><Relationship Id="rId414" Type="http://schemas.openxmlformats.org/officeDocument/2006/relationships/hyperlink" Target="https://doi.org/10.1016/j.bmc.2014.06.008" TargetMode="External"/><Relationship Id="rId415" Type="http://schemas.openxmlformats.org/officeDocument/2006/relationships/hyperlink" Target="https://doi.org/10.1016/j.bmcl.2014.12.019" TargetMode="External"/><Relationship Id="rId416" Type="http://schemas.openxmlformats.org/officeDocument/2006/relationships/hyperlink" Target="https://doi.org/10.1016/j.bmcl.2014.05.016" TargetMode="External"/><Relationship Id="rId417" Type="http://schemas.openxmlformats.org/officeDocument/2006/relationships/hyperlink" Target="https://doi.org/10.1016/j.bmcl.2014.12.031" TargetMode="External"/><Relationship Id="rId418" Type="http://schemas.openxmlformats.org/officeDocument/2006/relationships/hyperlink" Target="https://doi.org/10.1016/j.bmcl.2014.11.062" TargetMode="External"/><Relationship Id="rId419" Type="http://schemas.openxmlformats.org/officeDocument/2006/relationships/hyperlink" Target="https://doi.org/10.1016/j.bmcl.2015.01.064" TargetMode="External"/><Relationship Id="rId420" Type="http://schemas.openxmlformats.org/officeDocument/2006/relationships/hyperlink" Target="https://doi.org/10.1016/j.bmc.2015.01.059" TargetMode="External"/><Relationship Id="rId421" Type="http://schemas.openxmlformats.org/officeDocument/2006/relationships/hyperlink" Target="https://doi.org/10.1016/j.bmcl.2014.12.033" TargetMode="External"/><Relationship Id="rId422" Type="http://schemas.openxmlformats.org/officeDocument/2006/relationships/hyperlink" Target="https://doi.org/10.1016/j.bmc.2015.02.058" TargetMode="External"/><Relationship Id="rId423" Type="http://schemas.openxmlformats.org/officeDocument/2006/relationships/hyperlink" Target="https://doi.org/10.1016/j.bmcl.2015.02.037" TargetMode="External"/><Relationship Id="rId424" Type="http://schemas.openxmlformats.org/officeDocument/2006/relationships/hyperlink" Target="https://doi.org/10.1021/acs.jmedchem.5b00245" TargetMode="External"/><Relationship Id="rId425" Type="http://schemas.openxmlformats.org/officeDocument/2006/relationships/hyperlink" Target="https://doi.org/10.1021/acs.jnatprod.5b00218" TargetMode="External"/><Relationship Id="rId426" Type="http://schemas.openxmlformats.org/officeDocument/2006/relationships/hyperlink" Target="https://doi.org/10.1021/acs.jmedchem.5b00579" TargetMode="External"/><Relationship Id="rId427" Type="http://schemas.openxmlformats.org/officeDocument/2006/relationships/hyperlink" Target="https://doi.org/10.1021/acs.jmedchem.5b00227" TargetMode="External"/><Relationship Id="rId428" Type="http://schemas.openxmlformats.org/officeDocument/2006/relationships/hyperlink" Target="https://doi.org/10.1016/j.bmcl.2015.07.012" TargetMode="External"/><Relationship Id="rId429" Type="http://schemas.openxmlformats.org/officeDocument/2006/relationships/hyperlink" Target="https://doi.org/10.1016/j.bmc.2015.08.030" TargetMode="External"/><Relationship Id="rId430" Type="http://schemas.openxmlformats.org/officeDocument/2006/relationships/hyperlink" Target="https://doi.org/10.1016/j.ejmech.2015.08.051" TargetMode="External"/><Relationship Id="rId431" Type="http://schemas.openxmlformats.org/officeDocument/2006/relationships/hyperlink" Target="https://doi.org/10.1016/j.ejmech.2015.10.050" TargetMode="External"/><Relationship Id="rId432" Type="http://schemas.openxmlformats.org/officeDocument/2006/relationships/hyperlink" Target="https://doi.org/10.1021/acs.jmedchem.5b00256" TargetMode="External"/><Relationship Id="rId433" Type="http://schemas.openxmlformats.org/officeDocument/2006/relationships/hyperlink" Target="https://doi.org/10.1039/C5MD00333D" TargetMode="External"/><Relationship Id="rId434" Type="http://schemas.openxmlformats.org/officeDocument/2006/relationships/hyperlink" Target="https://doi.org/10.1016/j.ejmech.2015.12.036" TargetMode="External"/><Relationship Id="rId435" Type="http://schemas.openxmlformats.org/officeDocument/2006/relationships/hyperlink" Target="https://doi.org/10.1021/acs.jmedchem.5b01559" TargetMode="External"/><Relationship Id="rId436" Type="http://schemas.openxmlformats.org/officeDocument/2006/relationships/hyperlink" Target="https://doi.org/10.1021/acs.jmedchem.5b01812" TargetMode="External"/><Relationship Id="rId437" Type="http://schemas.openxmlformats.org/officeDocument/2006/relationships/hyperlink" Target="https://doi.org/10.1021/acs.jmedchem.5b01416" TargetMode="External"/><Relationship Id="rId438" Type="http://schemas.openxmlformats.org/officeDocument/2006/relationships/hyperlink" Target="https://doi.org/10.1021/acsmedchemlett.6b00009" TargetMode="External"/><Relationship Id="rId439" Type="http://schemas.openxmlformats.org/officeDocument/2006/relationships/hyperlink" Target="https://doi.org/10.1021/acs.jmedchem.6b00228" TargetMode="External"/><Relationship Id="rId440" Type="http://schemas.openxmlformats.org/officeDocument/2006/relationships/hyperlink" Target="https://doi.org/10.1016/j.bmcl.2016.09.025" TargetMode="External"/><Relationship Id="rId441" Type="http://schemas.openxmlformats.org/officeDocument/2006/relationships/hyperlink" Target="https://doi.org/10.1016/j.bmcl.2016.09.026" TargetMode="External"/><Relationship Id="rId442" Type="http://schemas.openxmlformats.org/officeDocument/2006/relationships/hyperlink" Target="https://doi.org/10.1021/acs.jmedchem.7b00816" TargetMode="External"/><Relationship Id="rId443" Type="http://schemas.openxmlformats.org/officeDocument/2006/relationships/hyperlink" Target="https://doi.org/10.1021/acsmedchemlett.7b00007" TargetMode="External"/><Relationship Id="rId444" Type="http://schemas.openxmlformats.org/officeDocument/2006/relationships/hyperlink" Target="https://doi.org/10.1021/acs.jmedchem.7b01845" TargetMode="External"/><Relationship Id="rId445" Type="http://schemas.openxmlformats.org/officeDocument/2006/relationships/hyperlink" Target="https://doi.org/10.1021/acs.jmedchem.7b00724" TargetMode="External"/><Relationship Id="rId446" Type="http://schemas.openxmlformats.org/officeDocument/2006/relationships/hyperlink" Target="https://doi.org/10.1021/acs.jmedchem.7b00707" TargetMode="External"/><Relationship Id="rId447" Type="http://schemas.openxmlformats.org/officeDocument/2006/relationships/hyperlink" Target="https://doi.org/10.1016/j.bmc.2017.02.031" TargetMode="External"/><Relationship Id="rId448" Type="http://schemas.openxmlformats.org/officeDocument/2006/relationships/hyperlink" Target="https://doi.org/10.1016/j.bmc.2017.06.016" TargetMode="External"/><Relationship Id="rId449" Type="http://schemas.openxmlformats.org/officeDocument/2006/relationships/hyperlink" Target="https://doi.org/10.1016/j.ejmech.2017.05.060" TargetMode="External"/><Relationship Id="rId450" Type="http://schemas.openxmlformats.org/officeDocument/2006/relationships/hyperlink" Target="https://doi.org/10.1021/acs.jmedchem.8b00374" TargetMode="External"/><Relationship Id="rId451" Type="http://schemas.openxmlformats.org/officeDocument/2006/relationships/hyperlink" Target="https://doi.org/10.1021/acs.jnatprod.7b00946" TargetMode="External"/><Relationship Id="rId452" Type="http://schemas.openxmlformats.org/officeDocument/2006/relationships/hyperlink" Target="https://doi.org/10.1021/acsmedchemlett.7b00396" TargetMode="External"/><Relationship Id="rId453" Type="http://schemas.openxmlformats.org/officeDocument/2006/relationships/hyperlink" Target="https://doi.org/10.1021/acs.jmedchem.8b00243" TargetMode="External"/><Relationship Id="rId454" Type="http://schemas.openxmlformats.org/officeDocument/2006/relationships/hyperlink" Target="https://doi.org/10.1016/j.ejmech.2018.04.006" TargetMode="External"/><Relationship Id="rId455" Type="http://schemas.openxmlformats.org/officeDocument/2006/relationships/hyperlink" Target="https://doi.org/10.1016/j.bmc.2018.09.007" TargetMode="External"/><Relationship Id="rId456" Type="http://schemas.openxmlformats.org/officeDocument/2006/relationships/hyperlink" Target="https://doi.org/10.1016/j.ejmech.2018.08.038" TargetMode="External"/><Relationship Id="rId457" Type="http://schemas.openxmlformats.org/officeDocument/2006/relationships/hyperlink" Target="https://doi.org/10.1021/acs.jmedchem.8b01467" TargetMode="External"/><Relationship Id="rId458" Type="http://schemas.openxmlformats.org/officeDocument/2006/relationships/hyperlink" Target="https://doi.org/10.1021/acs.jmedchem.8b00368" TargetMode="External"/><Relationship Id="rId459" Type="http://schemas.openxmlformats.org/officeDocument/2006/relationships/hyperlink" Target="https://doi.org/10.1016/j.bmcl.2018.11.009" TargetMode="External"/><Relationship Id="rId460" Type="http://schemas.openxmlformats.org/officeDocument/2006/relationships/hyperlink" Target="https://doi.org/10.1021/acs.jmedchem.9b00719" TargetMode="External"/><Relationship Id="rId461" Type="http://schemas.openxmlformats.org/officeDocument/2006/relationships/hyperlink" Target="https://doi.org/10.1021/acs.jmedchem.9b01924" TargetMode="External"/><Relationship Id="rId462" Type="http://schemas.openxmlformats.org/officeDocument/2006/relationships/hyperlink" Target="https://doi.org/10.1021/acs.jmedchem.9b01916" TargetMode="External"/><Relationship Id="rId463" Type="http://schemas.openxmlformats.org/officeDocument/2006/relationships/hyperlink" Target="https://doi.org/10.1016/j.ejmech.2019.07.036" TargetMode="External"/><Relationship Id="rId464" Type="http://schemas.openxmlformats.org/officeDocument/2006/relationships/hyperlink" Target="https://doi.org/10.1016/j.bmc.2019.115096" TargetMode="External"/><Relationship Id="rId465" Type="http://schemas.openxmlformats.org/officeDocument/2006/relationships/hyperlink" Target="https://doi.org/10.1021/acs.jmedchem.9b00727" TargetMode="External"/><Relationship Id="rId466" Type="http://schemas.openxmlformats.org/officeDocument/2006/relationships/hyperlink" Target="https://doi.org/10.1039/C9MD00173E" TargetMode="External"/><Relationship Id="rId467" Type="http://schemas.openxmlformats.org/officeDocument/2006/relationships/hyperlink" Target="https://doi.org/10.1039/C9MD00411D" TargetMode="External"/><Relationship Id="rId468" Type="http://schemas.openxmlformats.org/officeDocument/2006/relationships/hyperlink" Target="https://doi.org/10.1016/j.bmc.2018.11.003" TargetMode="External"/><Relationship Id="rId469" Type="http://schemas.openxmlformats.org/officeDocument/2006/relationships/hyperlink" Target="https://doi.org/10.1021/acs.jmedchem.8b01888" TargetMode="External"/><Relationship Id="rId470" Type="http://schemas.openxmlformats.org/officeDocument/2006/relationships/hyperlink" Target="https://doi.org/10.1016/j.bmc.2019.05.018" TargetMode="External"/><Relationship Id="rId471" Type="http://schemas.openxmlformats.org/officeDocument/2006/relationships/hyperlink" Target="https://doi.org/10.1016/j.bmc.2019.02.017" TargetMode="External"/><Relationship Id="rId472" Type="http://schemas.openxmlformats.org/officeDocument/2006/relationships/hyperlink" Target="https://doi.org/10.1021/acs.jmedchem.9b01161" TargetMode="External"/><Relationship Id="rId473" Type="http://schemas.openxmlformats.org/officeDocument/2006/relationships/hyperlink" Target="https://doi.org/10.1021/acs.jmedchem.8b01483" TargetMode="External"/><Relationship Id="rId474" Type="http://schemas.openxmlformats.org/officeDocument/2006/relationships/hyperlink" Target="https://doi.org/10.1021/acs.jmedchem.8b01775" TargetMode="External"/><Relationship Id="rId475" Type="http://schemas.openxmlformats.org/officeDocument/2006/relationships/hyperlink" Target="https://doi.org/10.6019/CHEMBL4507257" TargetMode="External"/><Relationship Id="rId476" Type="http://schemas.openxmlformats.org/officeDocument/2006/relationships/hyperlink" Target="https://doi.org/10.6019/CHEMBL4507258" TargetMode="External"/><Relationship Id="rId477" Type="http://schemas.openxmlformats.org/officeDocument/2006/relationships/hyperlink" Target="https://doi.org/10.6019/CHEMBL4507259" TargetMode="External"/><Relationship Id="rId478" Type="http://schemas.openxmlformats.org/officeDocument/2006/relationships/hyperlink" Target="https://doi.org/10.6019/CHEMBL4507260" TargetMode="External"/><Relationship Id="rId479" Type="http://schemas.openxmlformats.org/officeDocument/2006/relationships/hyperlink" Target="https://doi.org/10.6019/CHEMBL4507261" TargetMode="External"/><Relationship Id="rId480" Type="http://schemas.openxmlformats.org/officeDocument/2006/relationships/hyperlink" Target="https://doi.org/10.6019/CHEMBL4507262" TargetMode="External"/><Relationship Id="rId481" Type="http://schemas.openxmlformats.org/officeDocument/2006/relationships/hyperlink" Target="https://doi.org/10.6019/CHEMBL4507275" TargetMode="External"/><Relationship Id="rId482" Type="http://schemas.openxmlformats.org/officeDocument/2006/relationships/hyperlink" Target="https://doi.org/10.6019/CHEMBL4507276" TargetMode="External"/><Relationship Id="rId483" Type="http://schemas.openxmlformats.org/officeDocument/2006/relationships/hyperlink" Target="https://doi.org/10.6019/CHEMBL4507287" TargetMode="External"/><Relationship Id="rId484" Type="http://schemas.openxmlformats.org/officeDocument/2006/relationships/hyperlink" Target="https://doi.org/10.6019/CHEMBL4507291" TargetMode="External"/><Relationship Id="rId485" Type="http://schemas.openxmlformats.org/officeDocument/2006/relationships/hyperlink" Target="https://doi.org/10.6019/CHEMBL4507292" TargetMode="External"/><Relationship Id="rId486" Type="http://schemas.openxmlformats.org/officeDocument/2006/relationships/hyperlink" Target="https://doi.org/10.6019/CHEMBL4507293" TargetMode="External"/><Relationship Id="rId487" Type="http://schemas.openxmlformats.org/officeDocument/2006/relationships/hyperlink" Target="https://doi.org/10.6019/CHEMBL4507295" TargetMode="External"/><Relationship Id="rId488" Type="http://schemas.openxmlformats.org/officeDocument/2006/relationships/hyperlink" Target="https://doi.org/10.6019/CHEMBL4507298" TargetMode="External"/><Relationship Id="rId489" Type="http://schemas.openxmlformats.org/officeDocument/2006/relationships/hyperlink" Target="https://doi.org/10.6019/CHEMBL4507309" TargetMode="External"/><Relationship Id="rId490" Type="http://schemas.openxmlformats.org/officeDocument/2006/relationships/hyperlink" Target="https://doi.org/10.6019/CHEMBL4507310" TargetMode="External"/><Relationship Id="rId491" Type="http://schemas.openxmlformats.org/officeDocument/2006/relationships/hyperlink" Target="https://doi.org/10.6019/CHEMBL4507311" TargetMode="External"/><Relationship Id="rId492" Type="http://schemas.openxmlformats.org/officeDocument/2006/relationships/hyperlink" Target="https://doi.org/10.6019/CHEMBL4507325" TargetMode="External"/><Relationship Id="rId493" Type="http://schemas.openxmlformats.org/officeDocument/2006/relationships/hyperlink" Target="https://doi.org/10.6019/CHEMBL4507328" TargetMode="External"/><Relationship Id="rId494" Type="http://schemas.openxmlformats.org/officeDocument/2006/relationships/hyperlink" Target="https://doi.org/10.1021/acs.jmedchem.9b00058" TargetMode="External"/><Relationship Id="rId495" Type="http://schemas.openxmlformats.org/officeDocument/2006/relationships/hyperlink" Target="https://doi.org/10.1016/j.bmcl.2019.126715" TargetMode="External"/><Relationship Id="rId496" Type="http://schemas.openxmlformats.org/officeDocument/2006/relationships/hyperlink" Target="https://doi.org/10.1021/acs.jmedchem.9b02137" TargetMode="External"/><Relationship Id="rId497" Type="http://schemas.openxmlformats.org/officeDocument/2006/relationships/hyperlink" Target="https://doi.org/10.1021/acs.jmedchem.0c00745" TargetMode="External"/><Relationship Id="rId498" Type="http://schemas.openxmlformats.org/officeDocument/2006/relationships/hyperlink" Target="https://doi.org/10.1016/j.bmcl.2020.127243" TargetMode="External"/><Relationship Id="rId499" Type="http://schemas.openxmlformats.org/officeDocument/2006/relationships/hyperlink" Target="https://doi.org/10.1021/acs.jmedchem.9b01953" TargetMode="External"/><Relationship Id="rId500" Type="http://schemas.openxmlformats.org/officeDocument/2006/relationships/hyperlink" Target="https://doi.org/10.1021/acs.jmedchem.0c00522" TargetMode="External"/><Relationship Id="rId501" Type="http://schemas.openxmlformats.org/officeDocument/2006/relationships/hyperlink" Target="https://doi.org/10.6019/CHEMBL4630901" TargetMode="External"/><Relationship Id="rId502" Type="http://schemas.openxmlformats.org/officeDocument/2006/relationships/hyperlink" Target="https://doi.org/10.6019/CHEMBL4630903" TargetMode="External"/><Relationship Id="rId503" Type="http://schemas.openxmlformats.org/officeDocument/2006/relationships/hyperlink" Target="https://doi.org/10.6019/CHEMBL4630904" TargetMode="External"/><Relationship Id="rId504" Type="http://schemas.openxmlformats.org/officeDocument/2006/relationships/hyperlink" Target="https://doi.org/10.6019/CHEMBL4630907" TargetMode="External"/><Relationship Id="rId505" Type="http://schemas.openxmlformats.org/officeDocument/2006/relationships/hyperlink" Target="https://doi.org/10.6019/CHEMBL4630908" TargetMode="External"/><Relationship Id="rId506" Type="http://schemas.openxmlformats.org/officeDocument/2006/relationships/hyperlink" Target="https://doi.org/10.6019/CHEMBL4630909" TargetMode="External"/><Relationship Id="rId507" Type="http://schemas.openxmlformats.org/officeDocument/2006/relationships/hyperlink" Target="https://doi.org/10.1021/acsmedchemlett.0c00495" TargetMode="External"/><Relationship Id="rId508" Type="http://schemas.openxmlformats.org/officeDocument/2006/relationships/hyperlink" Target="https://doi.org/10.1016/j.ejmech.2019.111953" TargetMode="External"/><Relationship Id="rId509" Type="http://schemas.openxmlformats.org/officeDocument/2006/relationships/hyperlink" Target="https://doi.org/10.1021/acs.jmedchem.0c00774" TargetMode="External"/><Relationship Id="rId510" Type="http://schemas.openxmlformats.org/officeDocument/2006/relationships/hyperlink" Target="https://doi.org/10.1021/acs.jmedchem.9b00062" TargetMode="External"/><Relationship Id="rId511" Type="http://schemas.openxmlformats.org/officeDocument/2006/relationships/hyperlink" Target="https://doi.org/10.1016/j.ejmech.2020.112606" TargetMode="External"/><Relationship Id="rId512" Type="http://schemas.openxmlformats.org/officeDocument/2006/relationships/hyperlink" Target="https://doi.org/10.1016/j.ejmech.2020.112521" TargetMode="External"/><Relationship Id="rId513" Type="http://schemas.openxmlformats.org/officeDocument/2006/relationships/hyperlink" Target="https://doi.org/10.1021/acsmedchemlett.6b00324" TargetMode="External"/><Relationship Id="rId514" Type="http://schemas.openxmlformats.org/officeDocument/2006/relationships/hyperlink" Target="https://doi.org/10.1021/acsmedchemlett.0c00208" TargetMode="External"/><Relationship Id="rId515" Type="http://schemas.openxmlformats.org/officeDocument/2006/relationships/hyperlink" Target="https://doi.org/10.1016/j.ejmech.2020.112857" TargetMode="External"/><Relationship Id="rId516" Type="http://schemas.openxmlformats.org/officeDocument/2006/relationships/hyperlink" Target="https://doi.org/10.1016/j.ejmech.2020.112144" TargetMode="External"/><Relationship Id="rId517" Type="http://schemas.openxmlformats.org/officeDocument/2006/relationships/hyperlink" Target="https://doi.org/10.1021/acs.jmedchem.0c01023" TargetMode="External"/><Relationship Id="rId518" Type="http://schemas.openxmlformats.org/officeDocument/2006/relationships/hyperlink" Target="https://doi.org/10.6019/CHEMBL4800722" TargetMode="External"/><Relationship Id="rId519" Type="http://schemas.openxmlformats.org/officeDocument/2006/relationships/hyperlink" Target="https://doi.org/10.6019/CHEMBL4800723" TargetMode="External"/><Relationship Id="rId520" Type="http://schemas.openxmlformats.org/officeDocument/2006/relationships/hyperlink" Target="https://doi.org/10.6019/CHEMBL4800727" TargetMode="External"/><Relationship Id="rId521" Type="http://schemas.openxmlformats.org/officeDocument/2006/relationships/hyperlink" Target="https://doi.org/10.6019/CHEMBL4800729" TargetMode="External"/><Relationship Id="rId522" Type="http://schemas.openxmlformats.org/officeDocument/2006/relationships/hyperlink" Target="https://doi.org/10.1021/acs.jmedchem.1c00432" TargetMode="External"/><Relationship Id="rId523" Type="http://schemas.openxmlformats.org/officeDocument/2006/relationships/hyperlink" Target="https://doi.org/10.1016/j.ejmech.2020.113116" TargetMode="External"/><Relationship Id="rId524" Type="http://schemas.openxmlformats.org/officeDocument/2006/relationships/hyperlink" Target="https://doi.org/10.1021/acs.jnatprod.0c00939" TargetMode="External"/><Relationship Id="rId525" Type="http://schemas.openxmlformats.org/officeDocument/2006/relationships/hyperlink" Target="https://doi.org/10.1021/acsmedchemlett.1c00331" TargetMode="External"/><Relationship Id="rId526" Type="http://schemas.openxmlformats.org/officeDocument/2006/relationships/hyperlink" Target="https://doi.org/10.1021/acs.jmedchem.1c00076" TargetMode="External"/><Relationship Id="rId527" Type="http://schemas.openxmlformats.org/officeDocument/2006/relationships/hyperlink" Target="https://doi.org/10.1016/j.bmc.2021.116215" TargetMode="External"/><Relationship Id="rId528" Type="http://schemas.openxmlformats.org/officeDocument/2006/relationships/hyperlink" Target="https://doi.org/10.1021/acs.jmedchem.1c00802" TargetMode="External"/><Relationship Id="rId529" Type="http://schemas.openxmlformats.org/officeDocument/2006/relationships/hyperlink" Target="https://doi.org/10.1021/acs.jmedchem.1c01432" TargetMode="External"/><Relationship Id="rId530" Type="http://schemas.openxmlformats.org/officeDocument/2006/relationships/hyperlink" Target="https://doi.org/10.1021/acs.jmedchem.1c01088" TargetMode="External"/><Relationship Id="rId531" Type="http://schemas.openxmlformats.org/officeDocument/2006/relationships/hyperlink" Target="https://doi.org/10.6019/CHEMBL5058641" TargetMode="External"/><Relationship Id="rId532" Type="http://schemas.openxmlformats.org/officeDocument/2006/relationships/hyperlink" Target="https://doi.org/10.6019/CHEMBL5058643" TargetMode="External"/><Relationship Id="rId533" Type="http://schemas.openxmlformats.org/officeDocument/2006/relationships/hyperlink" Target="https://doi.org/10.6019/CHEMBL5058649" TargetMode="External"/><Relationship Id="rId534" Type="http://schemas.openxmlformats.org/officeDocument/2006/relationships/hyperlink" Target="https://doi.org/10.1021/acs.jmedchem.1c00561" TargetMode="External"/><Relationship Id="rId535" Type="http://schemas.openxmlformats.org/officeDocument/2006/relationships/hyperlink" Target="https://doi.org/10.1021/acsmedchemlett.2c00469" TargetMode="External"/><Relationship Id="rId536" Type="http://schemas.openxmlformats.org/officeDocument/2006/relationships/hyperlink" Target="https://doi.org/10.1039/D1MD00065A" TargetMode="External"/><Relationship Id="rId537" Type="http://schemas.openxmlformats.org/officeDocument/2006/relationships/hyperlink" Target="https://doi.org/10.1016/j.ejmech.2022.114649" TargetMode="External"/><Relationship Id="rId538" Type="http://schemas.openxmlformats.org/officeDocument/2006/relationships/hyperlink" Target="https://doi.org/10.1039/d2md00087c" TargetMode="External"/><Relationship Id="rId539" Type="http://schemas.openxmlformats.org/officeDocument/2006/relationships/hyperlink" Target="https://doi.org/10.1016/j.bmcl.2021.128497" TargetMode="External"/><Relationship Id="rId540" Type="http://schemas.openxmlformats.org/officeDocument/2006/relationships/hyperlink" Target="https://doi.org/10.1016/j.ejmech.2022.114329" TargetMode="External"/><Relationship Id="rId541" Type="http://schemas.openxmlformats.org/officeDocument/2006/relationships/hyperlink" Target="https://doi.org/10.1021/acs.jmedchem.1c01806" TargetMode="External"/><Relationship Id="rId542" Type="http://schemas.openxmlformats.org/officeDocument/2006/relationships/hyperlink" Target="https://doi.org/10.6019/CHEMBL5212743" TargetMode="External"/><Relationship Id="rId543" Type="http://schemas.openxmlformats.org/officeDocument/2006/relationships/hyperlink" Target="https://doi.org/10.1021/acsmedchemlett.2c00325" TargetMode="External"/><Relationship Id="rId544" Type="http://schemas.openxmlformats.org/officeDocument/2006/relationships/hyperlink" Target="https://doi.org/10.1021/acs.jmedchem.1c00747" TargetMode="External"/><Relationship Id="rId545" Type="http://schemas.openxmlformats.org/officeDocument/2006/relationships/hyperlink" Target="https://doi.org/10.1016/j.ejmech.2018.08.002" TargetMode="External"/><Relationship Id="rId546" Type="http://schemas.openxmlformats.org/officeDocument/2006/relationships/hyperlink" Target="https://doi.org/10.1016/j.bmc.2023.117258" TargetMode="External"/><Relationship Id="rId547" Type="http://schemas.openxmlformats.org/officeDocument/2006/relationships/hyperlink" Target="https://doi.org/10.6019/CHEMBL5303761" TargetMode="External"/><Relationship Id="rId548" Type="http://schemas.openxmlformats.org/officeDocument/2006/relationships/hyperlink" Target="https://doi.org/10.6019/CHEMBL5303762" TargetMode="External"/><Relationship Id="rId549" Type="http://schemas.openxmlformats.org/officeDocument/2006/relationships/hyperlink" Target="https://doi.org/10.6019/CHEMBL5303763" TargetMode="External"/><Relationship Id="rId550" Type="http://schemas.openxmlformats.org/officeDocument/2006/relationships/hyperlink" Target="https://doi.org/10.6019/CHEMBL5303764" TargetMode="External"/><Relationship Id="rId551" Type="http://schemas.openxmlformats.org/officeDocument/2006/relationships/hyperlink" Target="https://doi.org/10.6019/CHEMBL5303765" TargetMode="External"/><Relationship Id="rId552" Type="http://schemas.openxmlformats.org/officeDocument/2006/relationships/hyperlink" Target="https://doi.org/10.6019/CHEMBL5303768" TargetMode="External"/><Relationship Id="rId553" Type="http://schemas.openxmlformats.org/officeDocument/2006/relationships/hyperlink" Target="https://doi.org/10.1021/acs.jmedchem.3c00959" TargetMode="External"/><Relationship Id="rId554" Type="http://schemas.openxmlformats.org/officeDocument/2006/relationships/hyperlink" Target="https://doi.org/10.1016/j.ejmech.2022.114952" TargetMode="External"/><Relationship Id="rId555" Type="http://schemas.openxmlformats.org/officeDocument/2006/relationships/hyperlink" Target="https://doi.org/10.1021/acs.jmedchem.2c01943" TargetMode="External"/><Relationship Id="rId556" Type="http://schemas.openxmlformats.org/officeDocument/2006/relationships/hyperlink" Target="https://doi.org/10.1021/acs.jmedchem.3c00951" TargetMode="External"/><Relationship Id="rId557" Type="http://schemas.openxmlformats.org/officeDocument/2006/relationships/hyperlink" Target="https://doi.org/10.1016/j.bmcl.2023.129572" TargetMode="External"/><Relationship Id="rId558" Type="http://schemas.openxmlformats.org/officeDocument/2006/relationships/hyperlink" Target="https://doi.org/10.1021/acs.jnatprod.3c00796" TargetMode="External"/><Relationship Id="rId559" Type="http://schemas.openxmlformats.org/officeDocument/2006/relationships/hyperlink" Target="https://doi.org/10.1021/acs.jnatprod.3c00172" TargetMode="External"/><Relationship Id="rId560" Type="http://schemas.openxmlformats.org/officeDocument/2006/relationships/hyperlink" Target="https://doi.org/10.1021/acs.jmedchem.3c00784" TargetMode="External"/><Relationship Id="rId561" Type="http://schemas.openxmlformats.org/officeDocument/2006/relationships/hyperlink" Target="https://doi.org/10.1016/j.bmcl.2023.129487" TargetMode="External"/><Relationship Id="rId562" Type="http://schemas.openxmlformats.org/officeDocument/2006/relationships/hyperlink" Target="https://doi.org/10.1021/acs.jmedchem.3c01637" TargetMode="External"/><Relationship Id="rId563" Type="http://schemas.openxmlformats.org/officeDocument/2006/relationships/hyperlink" Target="https://doi.org/10.6019/CHEMBL5442334" TargetMode="External"/><Relationship Id="rId564" Type="http://schemas.openxmlformats.org/officeDocument/2006/relationships/hyperlink" Target="https://doi.org/10.6019/CHEMBL5463721" TargetMode="External"/><Relationship Id="rId565" Type="http://schemas.openxmlformats.org/officeDocument/2006/relationships/hyperlink" Target="https://doi.org/10.6019/CHEMBL5463722" TargetMode="External"/><Relationship Id="rId566" Type="http://schemas.openxmlformats.org/officeDocument/2006/relationships/hyperlink" Target="https://doi.org/10.6019/CHEMBL5463723" TargetMode="External"/><Relationship Id="rId567" Type="http://schemas.openxmlformats.org/officeDocument/2006/relationships/hyperlink" Target="https://doi.org/10.6019/CHEMBL5463725" TargetMode="External"/><Relationship Id="rId568" Type="http://schemas.openxmlformats.org/officeDocument/2006/relationships/hyperlink" Target="https://doi.org/10.6019/CHEMBL5463728" TargetMode="External"/><Relationship Id="rId569" Type="http://schemas.openxmlformats.org/officeDocument/2006/relationships/hyperlink" Target="https://doi.org/10.6019/CHEMBL5463729" TargetMode="External"/><Relationship Id="rId570" Type="http://schemas.openxmlformats.org/officeDocument/2006/relationships/hyperlink" Target="https://doi.org/10.6019/CHEMBL5465560" TargetMode="External"/><Relationship Id="rId571" Type="http://schemas.openxmlformats.org/officeDocument/2006/relationships/hyperlink" Target="https://doi.org/10.1021/acs.jmedchem.4c00537" TargetMode="External"/><Relationship Id="rId572" Type="http://schemas.openxmlformats.org/officeDocument/2006/relationships/hyperlink" Target="https://doi.org/10.1016/j.ejmech.2023.116048" TargetMode="External"/><Relationship Id="rId573" Type="http://schemas.openxmlformats.org/officeDocument/2006/relationships/hyperlink" Target="https://doi.org/10.1016/j.ejmech.2023.115916" TargetMode="External"/><Relationship Id="rId574" Type="http://schemas.openxmlformats.org/officeDocument/2006/relationships/hyperlink" Target="https://doi.org/10.1039/d3md00758h" TargetMode="External"/><Relationship Id="rId575" Type="http://schemas.openxmlformats.org/officeDocument/2006/relationships/hyperlink" Target="https://doi.org/10.1021/acs.jmedchem.3c01278" TargetMode="External"/><Relationship Id="rId576" Type="http://schemas.openxmlformats.org/officeDocument/2006/relationships/hyperlink" Target="https://doi.org/10.1016/j.ejmech.2024.116285" TargetMode="External"/><Relationship Id="rId577" Type="http://schemas.openxmlformats.org/officeDocument/2006/relationships/hyperlink" Target="https://doi.org/10.1021/acs.jmedchem.4c00133" TargetMode="External"/><Relationship Id="rId578" Type="http://schemas.openxmlformats.org/officeDocument/2006/relationships/hyperlink" Target="https://doi.org/10.1021/acs.jmedchem.4c00357" TargetMode="External"/><Relationship Id="rId579" Type="http://schemas.openxmlformats.org/officeDocument/2006/relationships/hyperlink" Target="https://doi.org/10.1021/acs.jmedchem.4c00796" TargetMode="External"/><Relationship Id="rId580" Type="http://schemas.openxmlformats.org/officeDocument/2006/relationships/hyperlink" Target="https://doi.org/10.1016/j.bmcl.2023.129548" TargetMode="External"/><Relationship Id="rId581" Type="http://schemas.openxmlformats.org/officeDocument/2006/relationships/hyperlink" Target="https://doi.org/10.1016/j.ejmech.2024.116592" TargetMode="External"/><Relationship Id="rId582" Type="http://schemas.openxmlformats.org/officeDocument/2006/relationships/hyperlink" Target="https://doi.org/10.1021/acs.jnatprod.3c00336" TargetMode="External"/><Relationship Id="rId583" Type="http://schemas.openxmlformats.org/officeDocument/2006/relationships/hyperlink" Target="https://doi.org/10.1016/j.ejmech.2023.115647" TargetMode="External"/><Relationship Id="rId584" Type="http://schemas.openxmlformats.org/officeDocument/2006/relationships/hyperlink" Target="https://doi.org/10.1038/nature24028" TargetMode="External"/><Relationship Id="rId585" Type="http://schemas.openxmlformats.org/officeDocument/2006/relationships/hyperlink" Target="https://doi.org/10.1038/nchembio.2334" TargetMode="External"/><Relationship Id="rId586" Type="http://schemas.openxmlformats.org/officeDocument/2006/relationships/hyperlink" Target="https://doi.org/10.1016/s0014-2999(98)00891-7" TargetMode="External"/><Relationship Id="rId587" Type="http://schemas.openxmlformats.org/officeDocument/2006/relationships/hyperlink" Target="https://doi.org/10.1016/j.pain.2011.01.049" TargetMode="External"/><Relationship Id="rId588" Type="http://schemas.openxmlformats.org/officeDocument/2006/relationships/hyperlink" Target="https://doi.org/10.1038/nature11262" TargetMode="External"/><Relationship Id="rId589" Type="http://schemas.openxmlformats.org/officeDocument/2006/relationships/hyperlink" Target="https://doi.org/10.1073/pnas.1407358111" TargetMode="External"/><Relationship Id="rId590" Type="http://schemas.openxmlformats.org/officeDocument/2006/relationships/hyperlink" Target="https://doi.org/10.1016/j.ccell.2015.06.002" TargetMode="External"/><Relationship Id="rId591" Type="http://schemas.openxmlformats.org/officeDocument/2006/relationships/hyperlink" Target="https://doi.org/10.6019/CHEMBL5723582" TargetMode="External"/><Relationship Id="rId592" Type="http://schemas.openxmlformats.org/officeDocument/2006/relationships/hyperlink" Target="https://doi.org/10.6019/CHEMBL5723583" TargetMode="External"/><Relationship Id="rId593" Type="http://schemas.openxmlformats.org/officeDocument/2006/relationships/hyperlink" Target="https://doi.org/10.6019/CHEMBL5723586" TargetMode="External"/><Relationship Id="rId594" Type="http://schemas.openxmlformats.org/officeDocument/2006/relationships/hyperlink" Target="https://doi.org/10.6019/CHEMBL5723587" TargetMode="External"/><Relationship Id="rId595" Type="http://schemas.openxmlformats.org/officeDocument/2006/relationships/hyperlink" Target="https://doi.org/10.1016/j.ejmech.2024.116845" TargetMode="External"/><Relationship Id="rId596" Type="http://schemas.openxmlformats.org/officeDocument/2006/relationships/hyperlink" Target="https://doi.org/10.1016/j.ejmech.2024.117117" TargetMode="External"/><Relationship Id="rId597" Type="http://schemas.openxmlformats.org/officeDocument/2006/relationships/hyperlink" Target="https://doi.org/10.1021/acs.jmedchem.4c01778" TargetMode="External"/><Relationship Id="rId598" Type="http://schemas.openxmlformats.org/officeDocument/2006/relationships/hyperlink" Target="https://doi.org/10.1021/acs.jmedchem.4c02291" TargetMode="External"/><Relationship Id="rId599" Type="http://schemas.openxmlformats.org/officeDocument/2006/relationships/hyperlink" Target="https://doi.org/10.1021/acs.jmedchem.5c00383" TargetMode="External"/><Relationship Id="rId600" Type="http://schemas.openxmlformats.org/officeDocument/2006/relationships/hyperlink" Target="https://doi.org/10.1021/acs.jnatprod.4c00977" TargetMode="External"/><Relationship Id="rId601" Type="http://schemas.openxmlformats.org/officeDocument/2006/relationships/hyperlink" Target="https://doi.org/10.1021/acs.jmedchem.5c00242" TargetMode="External"/><Relationship Id="rId602" Type="http://schemas.openxmlformats.org/officeDocument/2006/relationships/hyperlink" Target="https://doi.org/10.6019/CHEMBL6193870" TargetMode="External"/><Relationship Id="rId603" Type="http://schemas.openxmlformats.org/officeDocument/2006/relationships/hyperlink" Target="https://doi.org/10.6019/CHEMBL6193874" TargetMode="External"/><Relationship Id="rId604" Type="http://schemas.openxmlformats.org/officeDocument/2006/relationships/hyperlink" Target="https://doi.org/10.6019/CHEMBL6193876" TargetMode="External"/><Relationship Id="rId605" Type="http://schemas.openxmlformats.org/officeDocument/2006/relationships/hyperlink" Target="https://doi.org/10.6019/CHEMBL6193878" TargetMode="External"/><Relationship Id="rId606"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c r="B5" s="5" t="s">
        <v>4</v>
      </c>
    </row>
    <row r="6" customFormat="false" ht="15" hidden="false" customHeight="false" outlineLevel="0" collapsed="false">
      <c r="A6" s="4" t="s">
        <v>5</v>
      </c>
      <c r="B6" s="5" t="s">
        <v>6</v>
      </c>
    </row>
    <row r="7" customFormat="false" ht="15" hidden="false" customHeight="false" outlineLevel="0" collapsed="false">
      <c r="A7" s="4" t="s">
        <v>7</v>
      </c>
      <c r="B7" s="5" t="s">
        <v>8</v>
      </c>
    </row>
    <row r="8" customFormat="false" ht="15" hidden="false" customHeight="false" outlineLevel="0" collapsed="false">
      <c r="A8" s="4" t="s">
        <v>9</v>
      </c>
      <c r="B8" s="5" t="s">
        <v>10</v>
      </c>
    </row>
    <row r="9" customFormat="false" ht="15" hidden="false" customHeight="false" outlineLevel="0" collapsed="false">
      <c r="A9" s="4" t="s">
        <v>11</v>
      </c>
      <c r="B9" s="5" t="s">
        <v>12</v>
      </c>
    </row>
    <row r="10" customFormat="false" ht="23.85" hidden="false" customHeight="false" outlineLevel="0" collapsed="false">
      <c r="A10" s="4" t="s">
        <v>13</v>
      </c>
      <c r="B10" s="5" t="s">
        <v>14</v>
      </c>
    </row>
    <row r="11" customFormat="false" ht="15" hidden="false" customHeight="false" outlineLevel="0" collapsed="false">
      <c r="A11" s="4" t="s">
        <v>15</v>
      </c>
      <c r="B11" s="6" t="n">
        <f aca="false">'Filter Funnel'!C5</f>
        <v>22523</v>
      </c>
    </row>
    <row r="12" customFormat="false" ht="15" hidden="false" customHeight="false" outlineLevel="0" collapsed="false">
      <c r="A12" s="4" t="s">
        <v>16</v>
      </c>
      <c r="B12" s="6" t="n">
        <f aca="false">'Filter Funnel'!C6</f>
        <v>6571</v>
      </c>
    </row>
    <row r="13" customFormat="false" ht="15" hidden="false" customHeight="false" outlineLevel="0" collapsed="false">
      <c r="A13" s="4" t="s">
        <v>17</v>
      </c>
      <c r="B13" s="6" t="n">
        <f aca="false">'Filter Funnel'!C14</f>
        <v>3935</v>
      </c>
    </row>
    <row r="14" customFormat="false" ht="15" hidden="false" customHeight="false" outlineLevel="0" collapsed="false">
      <c r="A14" s="4" t="s">
        <v>18</v>
      </c>
      <c r="B14" s="6" t="n">
        <f aca="false">'Filter Funnel'!C20</f>
        <v>146</v>
      </c>
    </row>
    <row r="15" customFormat="false" ht="15" hidden="false" customHeight="false" outlineLevel="0" collapsed="false">
      <c r="A15" s="7" t="s">
        <v>19</v>
      </c>
      <c r="B15" s="8" t="n">
        <f aca="false">'Filter Funnel'!C24</f>
        <v>3588</v>
      </c>
    </row>
    <row r="16" customFormat="false" ht="15" hidden="false" customHeight="false" outlineLevel="0" collapsed="false">
      <c r="A16" s="4" t="s">
        <v>20</v>
      </c>
      <c r="B16" s="9" t="str">
        <f aca="false">COUNTIF(Assays!L6:L1556,"Yes")&amp;" of "&amp;COUNTA(Assays!A6:A1556)</f>
        <v>312 of 1551</v>
      </c>
    </row>
    <row r="17" customFormat="false" ht="15" hidden="false" customHeight="false" outlineLevel="0" collapsed="false">
      <c r="A17" s="4" t="s">
        <v>21</v>
      </c>
      <c r="B17" s="9" t="str">
        <f aca="false">COUNTIF(Documents!K5:K657,"Yes")&amp;" of "&amp;COUNTA(Documents!A5:A657)</f>
        <v>277 of 653</v>
      </c>
    </row>
    <row r="18" customFormat="false" ht="15" hidden="false" customHeight="false" outlineLevel="0" collapsed="false">
      <c r="A18" s="4" t="s">
        <v>22</v>
      </c>
      <c r="B18" s="5" t="str">
        <f aca="false">'Filter Funnel'!C23</f>
        <v>OK</v>
      </c>
    </row>
    <row r="19" customFormat="false" ht="15" hidden="false" customHeight="false" outlineLevel="0" collapsed="false">
      <c r="A19" s="4" t="s">
        <v>23</v>
      </c>
      <c r="B19" s="5" t="s">
        <v>24</v>
      </c>
    </row>
    <row r="20" customFormat="false" ht="15" hidden="false" customHeight="false" outlineLevel="0" collapsed="false">
      <c r="A20" s="4" t="s">
        <v>25</v>
      </c>
      <c r="B20" s="5" t="s">
        <v>26</v>
      </c>
    </row>
    <row r="21" customFormat="false" ht="15" hidden="false" customHeight="false" outlineLevel="0" collapsed="false">
      <c r="A21" s="4" t="s">
        <v>27</v>
      </c>
      <c r="B21" s="5" t="s">
        <v>28</v>
      </c>
    </row>
    <row r="23" customFormat="false" ht="15" hidden="false" customHeight="false" outlineLevel="0" collapsed="false">
      <c r="A23" s="3" t="s">
        <v>29</v>
      </c>
    </row>
    <row r="24" customFormat="false" ht="15" hidden="false" customHeight="false" outlineLevel="0" collapsed="false">
      <c r="A24" s="10" t="s">
        <v>30</v>
      </c>
      <c r="B24" s="10" t="s">
        <v>31</v>
      </c>
    </row>
    <row r="25" customFormat="false" ht="23.85" hidden="false" customHeight="false" outlineLevel="0" collapsed="false">
      <c r="A25" s="11" t="s">
        <v>32</v>
      </c>
      <c r="B25" s="5" t="s">
        <v>33</v>
      </c>
    </row>
    <row r="26" customFormat="false" ht="23.85" hidden="false" customHeight="false" outlineLevel="0" collapsed="false">
      <c r="A26" s="11" t="s">
        <v>34</v>
      </c>
      <c r="B26" s="5" t="s">
        <v>35</v>
      </c>
    </row>
    <row r="27" customFormat="false" ht="23.85" hidden="false" customHeight="false" outlineLevel="0" collapsed="false">
      <c r="A27" s="11" t="s">
        <v>36</v>
      </c>
      <c r="B27" s="5" t="s">
        <v>37</v>
      </c>
    </row>
    <row r="28" customFormat="false" ht="23.85" hidden="false" customHeight="false" outlineLevel="0" collapsed="false">
      <c r="A28" s="11" t="s">
        <v>38</v>
      </c>
      <c r="B28" s="5" t="s">
        <v>39</v>
      </c>
    </row>
    <row r="29" customFormat="false" ht="15" hidden="false" customHeight="false" outlineLevel="0" collapsed="false">
      <c r="A29" s="11" t="s">
        <v>40</v>
      </c>
      <c r="B29" s="5" t="s">
        <v>41</v>
      </c>
    </row>
    <row r="30" customFormat="false" ht="15" hidden="false" customHeight="false" outlineLevel="0" collapsed="false">
      <c r="A30" s="11" t="s">
        <v>42</v>
      </c>
      <c r="B30" s="5" t="s">
        <v>43</v>
      </c>
    </row>
    <row r="31" customFormat="false" ht="23.85" hidden="false" customHeight="false" outlineLevel="0" collapsed="false">
      <c r="A31" s="11" t="s">
        <v>44</v>
      </c>
      <c r="B31" s="5" t="s">
        <v>45</v>
      </c>
    </row>
    <row r="33" customFormat="false" ht="15" hidden="false" customHeight="false" outlineLevel="0" collapsed="false">
      <c r="A33" s="12" t="s">
        <v>46</v>
      </c>
    </row>
  </sheetData>
  <hyperlinks>
    <hyperlink ref="A25" r:id="rId1" location="'Download%20Record'!A1" display="Download Record"/>
    <hyperlink ref="A26" r:id="rId2" location="'Filter%20Funnel'!A1" display="Filter Funnel"/>
    <hyperlink ref="A27" r:id="rId3" location="'Kept%20Measurements'!A1" display="Kept Measurements"/>
    <hyperlink ref="A28" r:id="rId4" location="'Quarantine'!A1" display="Quarantine"/>
    <hyperlink ref="A29" r:id="rId5" location="'Assays'!A1" display="Assays"/>
    <hyperlink ref="A30" r:id="rId6" location="'Documents'!A1" display="Documents"/>
    <hyperlink ref="A31" r:id="rId7" location="'Pipeline%20Settings'!A1" display="Pipeline Setting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62"/>
    <col collapsed="false" customWidth="true" hidden="false" outlineLevel="0" max="4" min="3" style="0" width="14"/>
    <col collapsed="false" customWidth="true" hidden="false" outlineLevel="0" max="5" min="5" style="0" width="36"/>
    <col collapsed="false" customWidth="true" hidden="false" outlineLevel="0" max="6" min="6" style="0" width="28"/>
  </cols>
  <sheetData>
    <row r="1" customFormat="false" ht="19.7" hidden="false" customHeight="false" outlineLevel="0" collapsed="false">
      <c r="A1" s="1" t="s">
        <v>32</v>
      </c>
    </row>
    <row r="2" customFormat="false" ht="15" hidden="false" customHeight="false" outlineLevel="0" collapsed="false">
      <c r="A2" s="2" t="s">
        <v>47</v>
      </c>
    </row>
    <row r="4" customFormat="false" ht="15" hidden="false" customHeight="false" outlineLevel="0" collapsed="false">
      <c r="A4" s="3" t="s">
        <v>48</v>
      </c>
    </row>
    <row r="5" customFormat="false" ht="15" hidden="false" customHeight="false" outlineLevel="0" collapsed="false">
      <c r="A5" s="4" t="s">
        <v>49</v>
      </c>
      <c r="B5" s="5" t="s">
        <v>50</v>
      </c>
    </row>
    <row r="6" customFormat="false" ht="15" hidden="false" customHeight="false" outlineLevel="0" collapsed="false">
      <c r="A6" s="4" t="s">
        <v>51</v>
      </c>
      <c r="B6" s="5" t="s">
        <v>52</v>
      </c>
    </row>
    <row r="7" customFormat="false" ht="15" hidden="false" customHeight="false" outlineLevel="0" collapsed="false">
      <c r="A7" s="4" t="s">
        <v>53</v>
      </c>
      <c r="B7" s="5" t="s">
        <v>54</v>
      </c>
    </row>
    <row r="8" customFormat="false" ht="15" hidden="false" customHeight="false" outlineLevel="0" collapsed="false">
      <c r="A8" s="4" t="s">
        <v>55</v>
      </c>
      <c r="B8" s="5" t="s">
        <v>10</v>
      </c>
    </row>
    <row r="9" customFormat="false" ht="23.85" hidden="false" customHeight="false" outlineLevel="0" collapsed="false">
      <c r="A9" s="4" t="s">
        <v>56</v>
      </c>
      <c r="B9" s="5" t="s">
        <v>57</v>
      </c>
    </row>
    <row r="10" customFormat="false" ht="23.85" hidden="false" customHeight="false" outlineLevel="0" collapsed="false">
      <c r="A10" s="4" t="s">
        <v>58</v>
      </c>
      <c r="B10" s="5" t="s">
        <v>59</v>
      </c>
    </row>
    <row r="11" customFormat="false" ht="23.85" hidden="false" customHeight="false" outlineLevel="0" collapsed="false">
      <c r="A11" s="4" t="s">
        <v>60</v>
      </c>
      <c r="B11" s="5" t="s">
        <v>61</v>
      </c>
    </row>
    <row r="12" customFormat="false" ht="15" hidden="false" customHeight="false" outlineLevel="0" collapsed="false">
      <c r="A12" s="4" t="s">
        <v>62</v>
      </c>
      <c r="B12" s="13" t="n">
        <v>22523</v>
      </c>
    </row>
    <row r="13" customFormat="false" ht="15" hidden="false" customHeight="false" outlineLevel="0" collapsed="false">
      <c r="A13" s="4" t="s">
        <v>63</v>
      </c>
      <c r="B13" s="13" t="n">
        <v>11399</v>
      </c>
    </row>
    <row r="14" customFormat="false" ht="15" hidden="false" customHeight="false" outlineLevel="0" collapsed="false">
      <c r="A14" s="4" t="s">
        <v>64</v>
      </c>
      <c r="B14" s="13" t="n">
        <v>1551</v>
      </c>
    </row>
    <row r="15" customFormat="false" ht="15" hidden="false" customHeight="false" outlineLevel="0" collapsed="false">
      <c r="A15" s="4" t="s">
        <v>65</v>
      </c>
      <c r="B15" s="13" t="n">
        <v>653</v>
      </c>
    </row>
    <row r="16" customFormat="false" ht="15" hidden="false" customHeight="false" outlineLevel="0" collapsed="false">
      <c r="A16" s="4" t="s">
        <v>66</v>
      </c>
      <c r="B16" s="5" t="s">
        <v>67</v>
      </c>
    </row>
    <row r="18" customFormat="false" ht="15" hidden="false" customHeight="false" outlineLevel="0" collapsed="false">
      <c r="A18" s="3" t="s">
        <v>68</v>
      </c>
    </row>
    <row r="19" customFormat="false" ht="15" hidden="false" customHeight="false" outlineLevel="0" collapsed="false">
      <c r="A19" s="4" t="s">
        <v>69</v>
      </c>
      <c r="B19" s="5" t="s">
        <v>54</v>
      </c>
    </row>
    <row r="20" customFormat="false" ht="15" hidden="false" customHeight="false" outlineLevel="0" collapsed="false">
      <c r="A20" s="4" t="s">
        <v>70</v>
      </c>
      <c r="B20" s="5" t="s">
        <v>71</v>
      </c>
    </row>
    <row r="21" customFormat="false" ht="15" hidden="false" customHeight="false" outlineLevel="0" collapsed="false">
      <c r="A21" s="4" t="s">
        <v>72</v>
      </c>
      <c r="B21" s="13" t="n">
        <v>24527044</v>
      </c>
    </row>
    <row r="22" customFormat="false" ht="15" hidden="false" customHeight="false" outlineLevel="0" collapsed="false">
      <c r="A22" s="4" t="s">
        <v>73</v>
      </c>
      <c r="B22" s="13" t="n">
        <v>2921148</v>
      </c>
    </row>
    <row r="23" customFormat="false" ht="15" hidden="false" customHeight="false" outlineLevel="0" collapsed="false">
      <c r="A23" s="4" t="s">
        <v>74</v>
      </c>
      <c r="B23" s="13" t="n">
        <v>18552</v>
      </c>
    </row>
    <row r="25" customFormat="false" ht="15" hidden="false" customHeight="false" outlineLevel="0" collapsed="false">
      <c r="A25" s="3" t="s">
        <v>75</v>
      </c>
    </row>
    <row r="26" customFormat="false" ht="15" hidden="false" customHeight="false" outlineLevel="0" collapsed="false">
      <c r="A26" s="4" t="s">
        <v>76</v>
      </c>
      <c r="B26" s="5" t="s">
        <v>77</v>
      </c>
    </row>
    <row r="27" customFormat="false" ht="15" hidden="false" customHeight="false" outlineLevel="0" collapsed="false">
      <c r="A27" s="4" t="s">
        <v>55</v>
      </c>
      <c r="B27" s="5" t="s">
        <v>10</v>
      </c>
    </row>
    <row r="28" customFormat="false" ht="15" hidden="false" customHeight="false" outlineLevel="0" collapsed="false">
      <c r="A28" s="4" t="s">
        <v>78</v>
      </c>
      <c r="B28" s="5" t="s">
        <v>79</v>
      </c>
    </row>
    <row r="29" customFormat="false" ht="15" hidden="false" customHeight="false" outlineLevel="0" collapsed="false">
      <c r="A29" s="4" t="s">
        <v>80</v>
      </c>
      <c r="B29" s="5" t="s">
        <v>81</v>
      </c>
    </row>
    <row r="30" customFormat="false" ht="15" hidden="false" customHeight="false" outlineLevel="0" collapsed="false">
      <c r="A30" s="4" t="s">
        <v>11</v>
      </c>
      <c r="B30" s="5" t="s">
        <v>12</v>
      </c>
    </row>
    <row r="31" customFormat="false" ht="15" hidden="false" customHeight="false" outlineLevel="0" collapsed="false">
      <c r="A31" s="4" t="s">
        <v>82</v>
      </c>
      <c r="B31" s="5" t="s">
        <v>83</v>
      </c>
    </row>
    <row r="32" customFormat="false" ht="15" hidden="false" customHeight="false" outlineLevel="0" collapsed="false">
      <c r="A32" s="4" t="s">
        <v>84</v>
      </c>
      <c r="B32" s="5" t="s">
        <v>85</v>
      </c>
    </row>
    <row r="34" customFormat="false" ht="15" hidden="false" customHeight="false" outlineLevel="0" collapsed="false">
      <c r="A34" s="3" t="s">
        <v>86</v>
      </c>
    </row>
    <row r="35" customFormat="false" ht="15" hidden="false" customHeight="false" outlineLevel="0" collapsed="false">
      <c r="A35" s="10" t="s">
        <v>87</v>
      </c>
      <c r="B35" s="10" t="s">
        <v>88</v>
      </c>
      <c r="C35" s="10" t="s">
        <v>89</v>
      </c>
      <c r="D35" s="10" t="s">
        <v>90</v>
      </c>
      <c r="E35" s="10" t="s">
        <v>91</v>
      </c>
      <c r="F35" s="10" t="s">
        <v>92</v>
      </c>
    </row>
    <row r="36" customFormat="false" ht="15" hidden="false" customHeight="false" outlineLevel="0" collapsed="false">
      <c r="A36" s="14" t="s">
        <v>93</v>
      </c>
      <c r="B36" s="14" t="s">
        <v>94</v>
      </c>
      <c r="C36" s="15" t="n">
        <v>1</v>
      </c>
      <c r="D36" s="16" t="n">
        <v>0.012345</v>
      </c>
      <c r="E36" s="14" t="s">
        <v>95</v>
      </c>
      <c r="F36" s="14" t="s">
        <v>96</v>
      </c>
    </row>
    <row r="37" customFormat="false" ht="15" hidden="false" customHeight="false" outlineLevel="0" collapsed="false">
      <c r="A37" s="14" t="s">
        <v>97</v>
      </c>
      <c r="B37" s="14" t="s">
        <v>98</v>
      </c>
      <c r="C37" s="15" t="n">
        <v>22523</v>
      </c>
      <c r="D37" s="16" t="n">
        <v>48.627129</v>
      </c>
      <c r="E37" s="14" t="s">
        <v>99</v>
      </c>
      <c r="F37" s="14" t="s">
        <v>100</v>
      </c>
    </row>
    <row r="38" customFormat="false" ht="15" hidden="false" customHeight="false" outlineLevel="0" collapsed="false">
      <c r="A38" s="14" t="s">
        <v>101</v>
      </c>
      <c r="B38" s="14" t="s">
        <v>102</v>
      </c>
      <c r="C38" s="15" t="n">
        <v>1551</v>
      </c>
      <c r="D38" s="16" t="n">
        <v>1.942396</v>
      </c>
      <c r="E38" s="14" t="s">
        <v>103</v>
      </c>
      <c r="F38" s="14" t="s">
        <v>100</v>
      </c>
    </row>
    <row r="39" customFormat="false" ht="15" hidden="false" customHeight="false" outlineLevel="0" collapsed="false">
      <c r="A39" s="14" t="s">
        <v>104</v>
      </c>
      <c r="B39" s="14" t="s">
        <v>105</v>
      </c>
      <c r="C39" s="15" t="n">
        <v>653</v>
      </c>
      <c r="D39" s="16" t="n">
        <v>1.095188</v>
      </c>
      <c r="E39" s="14" t="s">
        <v>106</v>
      </c>
      <c r="F39" s="14" t="s">
        <v>100</v>
      </c>
    </row>
    <row r="40" customFormat="false" ht="15" hidden="false" customHeight="false" outlineLevel="0" collapsed="false">
      <c r="A40" s="14" t="s">
        <v>107</v>
      </c>
      <c r="B40" s="14" t="s">
        <v>108</v>
      </c>
      <c r="C40" s="15" t="n">
        <v>1</v>
      </c>
      <c r="D40" s="16" t="n">
        <v>0.00913</v>
      </c>
      <c r="E40" s="14" t="s">
        <v>109</v>
      </c>
      <c r="F40" s="14" t="s">
        <v>100</v>
      </c>
    </row>
    <row r="41" customFormat="false" ht="15" hidden="false" customHeight="false" outlineLevel="0" collapsed="false">
      <c r="A41" s="14" t="s">
        <v>110</v>
      </c>
      <c r="B41" s="14" t="s">
        <v>111</v>
      </c>
      <c r="C41" s="15" t="n">
        <v>1</v>
      </c>
      <c r="D41" s="16" t="n">
        <v>0.000239</v>
      </c>
      <c r="E41" s="14" t="s">
        <v>112</v>
      </c>
      <c r="F41" s="14" t="s">
        <v>100</v>
      </c>
    </row>
    <row r="42" customFormat="false" ht="15" hidden="false" customHeight="false" outlineLevel="0" collapsed="false">
      <c r="A42" s="12" t="s">
        <v>113</v>
      </c>
    </row>
    <row r="44" customFormat="false" ht="15" hidden="false" customHeight="false" outlineLevel="0" collapsed="false">
      <c r="A44" s="3" t="s">
        <v>114</v>
      </c>
    </row>
    <row r="45" customFormat="false" ht="23.85" hidden="false" customHeight="false" outlineLevel="0" collapsed="false">
      <c r="A45" s="10" t="s">
        <v>115</v>
      </c>
      <c r="B45" s="10" t="s">
        <v>89</v>
      </c>
      <c r="C45" s="10" t="s">
        <v>116</v>
      </c>
    </row>
    <row r="46" customFormat="false" ht="15" hidden="false" customHeight="false" outlineLevel="0" collapsed="false">
      <c r="A46" s="17" t="s">
        <v>117</v>
      </c>
      <c r="B46" s="18" t="n">
        <v>6571</v>
      </c>
      <c r="C46" s="19" t="n">
        <f aca="false">B46/SUM($B$46:$B$86)</f>
        <v>0.291746214980242</v>
      </c>
    </row>
    <row r="47" customFormat="false" ht="15" hidden="false" customHeight="false" outlineLevel="0" collapsed="false">
      <c r="A47" s="14" t="s">
        <v>118</v>
      </c>
      <c r="B47" s="15" t="n">
        <v>5503</v>
      </c>
      <c r="C47" s="20" t="n">
        <f aca="false">B47/SUM($B$46:$B$86)</f>
        <v>0.244328020245971</v>
      </c>
    </row>
    <row r="48" customFormat="false" ht="15" hidden="false" customHeight="false" outlineLevel="0" collapsed="false">
      <c r="A48" s="14" t="s">
        <v>119</v>
      </c>
      <c r="B48" s="15" t="n">
        <v>2093</v>
      </c>
      <c r="C48" s="20" t="n">
        <f aca="false">B48/SUM($B$46:$B$86)</f>
        <v>0.0929272299427252</v>
      </c>
    </row>
    <row r="49" customFormat="false" ht="15" hidden="false" customHeight="false" outlineLevel="0" collapsed="false">
      <c r="A49" s="14" t="s">
        <v>120</v>
      </c>
      <c r="B49" s="15" t="n">
        <v>1845</v>
      </c>
      <c r="C49" s="20" t="n">
        <f aca="false">B49/SUM($B$46:$B$86)</f>
        <v>0.0819162633752164</v>
      </c>
    </row>
    <row r="50" customFormat="false" ht="15" hidden="false" customHeight="false" outlineLevel="0" collapsed="false">
      <c r="A50" s="14" t="s">
        <v>121</v>
      </c>
      <c r="B50" s="15" t="n">
        <v>1570</v>
      </c>
      <c r="C50" s="20" t="n">
        <f aca="false">B50/SUM($B$46:$B$86)</f>
        <v>0.0697065222217289</v>
      </c>
    </row>
    <row r="51" customFormat="false" ht="15" hidden="false" customHeight="false" outlineLevel="0" collapsed="false">
      <c r="A51" s="14" t="s">
        <v>122</v>
      </c>
      <c r="B51" s="15" t="n">
        <v>1549</v>
      </c>
      <c r="C51" s="20" t="n">
        <f aca="false">B51/SUM($B$46:$B$86)</f>
        <v>0.0687741419881899</v>
      </c>
    </row>
    <row r="52" customFormat="false" ht="15" hidden="false" customHeight="false" outlineLevel="0" collapsed="false">
      <c r="A52" s="14" t="s">
        <v>123</v>
      </c>
      <c r="B52" s="15" t="n">
        <v>1549</v>
      </c>
      <c r="C52" s="20" t="n">
        <f aca="false">B52/SUM($B$46:$B$86)</f>
        <v>0.0687741419881899</v>
      </c>
    </row>
    <row r="53" customFormat="false" ht="15" hidden="false" customHeight="false" outlineLevel="0" collapsed="false">
      <c r="A53" s="14" t="s">
        <v>124</v>
      </c>
      <c r="B53" s="15" t="n">
        <v>1091</v>
      </c>
      <c r="C53" s="20" t="n">
        <f aca="false">B53/SUM($B$46:$B$86)</f>
        <v>0.0484393730852906</v>
      </c>
    </row>
    <row r="54" customFormat="false" ht="15" hidden="false" customHeight="false" outlineLevel="0" collapsed="false">
      <c r="A54" s="14" t="s">
        <v>125</v>
      </c>
      <c r="B54" s="15" t="n">
        <v>356</v>
      </c>
      <c r="C54" s="20" t="n">
        <f aca="false">B54/SUM($B$46:$B$86)</f>
        <v>0.0158060649114239</v>
      </c>
    </row>
    <row r="55" customFormat="false" ht="15" hidden="false" customHeight="false" outlineLevel="0" collapsed="false">
      <c r="A55" s="14" t="s">
        <v>126</v>
      </c>
      <c r="B55" s="15" t="n">
        <v>77</v>
      </c>
      <c r="C55" s="20" t="n">
        <f aca="false">B55/SUM($B$46:$B$86)</f>
        <v>0.00341872752297651</v>
      </c>
    </row>
    <row r="56" customFormat="false" ht="15" hidden="false" customHeight="false" outlineLevel="0" collapsed="false">
      <c r="A56" s="14" t="s">
        <v>127</v>
      </c>
      <c r="B56" s="15" t="n">
        <v>55</v>
      </c>
      <c r="C56" s="20" t="n">
        <f aca="false">B56/SUM($B$46:$B$86)</f>
        <v>0.00244194823069751</v>
      </c>
    </row>
    <row r="57" customFormat="false" ht="15" hidden="false" customHeight="false" outlineLevel="0" collapsed="false">
      <c r="A57" s="14" t="s">
        <v>128</v>
      </c>
      <c r="B57" s="15" t="n">
        <v>35</v>
      </c>
      <c r="C57" s="20" t="n">
        <f aca="false">B57/SUM($B$46:$B$86)</f>
        <v>0.00155396705589841</v>
      </c>
    </row>
    <row r="58" customFormat="false" ht="15" hidden="false" customHeight="false" outlineLevel="0" collapsed="false">
      <c r="A58" s="14" t="s">
        <v>129</v>
      </c>
      <c r="B58" s="15" t="n">
        <v>30</v>
      </c>
      <c r="C58" s="20" t="n">
        <f aca="false">B58/SUM($B$46:$B$86)</f>
        <v>0.00133197176219864</v>
      </c>
    </row>
    <row r="59" customFormat="false" ht="15" hidden="false" customHeight="false" outlineLevel="0" collapsed="false">
      <c r="A59" s="14" t="s">
        <v>130</v>
      </c>
      <c r="B59" s="15" t="n">
        <v>25</v>
      </c>
      <c r="C59" s="20" t="n">
        <f aca="false">B59/SUM($B$46:$B$86)</f>
        <v>0.00110997646849887</v>
      </c>
    </row>
    <row r="60" customFormat="false" ht="15" hidden="false" customHeight="false" outlineLevel="0" collapsed="false">
      <c r="A60" s="14" t="s">
        <v>131</v>
      </c>
      <c r="B60" s="15" t="n">
        <v>25</v>
      </c>
      <c r="C60" s="20" t="n">
        <f aca="false">B60/SUM($B$46:$B$86)</f>
        <v>0.00110997646849887</v>
      </c>
    </row>
    <row r="61" customFormat="false" ht="15" hidden="false" customHeight="false" outlineLevel="0" collapsed="false">
      <c r="A61" s="14" t="s">
        <v>132</v>
      </c>
      <c r="B61" s="15" t="n">
        <v>20</v>
      </c>
      <c r="C61" s="20" t="n">
        <f aca="false">B61/SUM($B$46:$B$86)</f>
        <v>0.000887981174799094</v>
      </c>
    </row>
    <row r="62" customFormat="false" ht="15" hidden="false" customHeight="false" outlineLevel="0" collapsed="false">
      <c r="A62" s="14" t="s">
        <v>133</v>
      </c>
      <c r="B62" s="15" t="n">
        <v>19</v>
      </c>
      <c r="C62" s="20" t="n">
        <f aca="false">B62/SUM($B$46:$B$86)</f>
        <v>0.00084358211605914</v>
      </c>
    </row>
    <row r="63" customFormat="false" ht="15" hidden="false" customHeight="false" outlineLevel="0" collapsed="false">
      <c r="A63" s="14" t="s">
        <v>134</v>
      </c>
      <c r="B63" s="15" t="n">
        <v>14</v>
      </c>
      <c r="C63" s="20" t="n">
        <f aca="false">B63/SUM($B$46:$B$86)</f>
        <v>0.000621586822359366</v>
      </c>
    </row>
    <row r="64" customFormat="false" ht="15" hidden="false" customHeight="false" outlineLevel="0" collapsed="false">
      <c r="A64" s="14" t="s">
        <v>135</v>
      </c>
      <c r="B64" s="15" t="n">
        <v>14</v>
      </c>
      <c r="C64" s="20" t="n">
        <f aca="false">B64/SUM($B$46:$B$86)</f>
        <v>0.000621586822359366</v>
      </c>
    </row>
    <row r="65" customFormat="false" ht="15" hidden="false" customHeight="false" outlineLevel="0" collapsed="false">
      <c r="A65" s="14" t="s">
        <v>136</v>
      </c>
      <c r="B65" s="15" t="n">
        <v>13</v>
      </c>
      <c r="C65" s="20" t="n">
        <f aca="false">B65/SUM($B$46:$B$86)</f>
        <v>0.000577187763619411</v>
      </c>
    </row>
    <row r="66" customFormat="false" ht="15" hidden="false" customHeight="false" outlineLevel="0" collapsed="false">
      <c r="A66" s="14" t="s">
        <v>137</v>
      </c>
      <c r="B66" s="15" t="n">
        <v>12</v>
      </c>
      <c r="C66" s="20" t="n">
        <f aca="false">B66/SUM($B$46:$B$86)</f>
        <v>0.000532788704879457</v>
      </c>
    </row>
    <row r="67" customFormat="false" ht="15" hidden="false" customHeight="false" outlineLevel="0" collapsed="false">
      <c r="A67" s="14" t="s">
        <v>138</v>
      </c>
      <c r="B67" s="15" t="n">
        <v>8</v>
      </c>
      <c r="C67" s="20" t="n">
        <f aca="false">B67/SUM($B$46:$B$86)</f>
        <v>0.000355192469919638</v>
      </c>
    </row>
    <row r="68" customFormat="false" ht="15" hidden="false" customHeight="false" outlineLevel="0" collapsed="false">
      <c r="A68" s="14" t="s">
        <v>139</v>
      </c>
      <c r="B68" s="15" t="n">
        <v>8</v>
      </c>
      <c r="C68" s="20" t="n">
        <f aca="false">B68/SUM($B$46:$B$86)</f>
        <v>0.000355192469919638</v>
      </c>
    </row>
    <row r="69" customFormat="false" ht="15" hidden="false" customHeight="false" outlineLevel="0" collapsed="false">
      <c r="A69" s="14" t="s">
        <v>140</v>
      </c>
      <c r="B69" s="15" t="n">
        <v>6</v>
      </c>
      <c r="C69" s="20" t="n">
        <f aca="false">B69/SUM($B$46:$B$86)</f>
        <v>0.000266394352439728</v>
      </c>
    </row>
    <row r="70" customFormat="false" ht="15" hidden="false" customHeight="false" outlineLevel="0" collapsed="false">
      <c r="A70" s="14" t="s">
        <v>141</v>
      </c>
      <c r="B70" s="15" t="n">
        <v>5</v>
      </c>
      <c r="C70" s="20" t="n">
        <f aca="false">B70/SUM($B$46:$B$86)</f>
        <v>0.000221995293699774</v>
      </c>
    </row>
    <row r="71" customFormat="false" ht="15" hidden="false" customHeight="false" outlineLevel="0" collapsed="false">
      <c r="A71" s="14" t="s">
        <v>142</v>
      </c>
      <c r="B71" s="15" t="n">
        <v>5</v>
      </c>
      <c r="C71" s="20" t="n">
        <f aca="false">B71/SUM($B$46:$B$86)</f>
        <v>0.000221995293699774</v>
      </c>
    </row>
    <row r="72" customFormat="false" ht="15" hidden="false" customHeight="false" outlineLevel="0" collapsed="false">
      <c r="A72" s="14" t="s">
        <v>143</v>
      </c>
      <c r="B72" s="15" t="n">
        <v>4</v>
      </c>
      <c r="C72" s="20" t="n">
        <f aca="false">B72/SUM($B$46:$B$86)</f>
        <v>0.000177596234959819</v>
      </c>
    </row>
    <row r="73" customFormat="false" ht="15" hidden="false" customHeight="false" outlineLevel="0" collapsed="false">
      <c r="A73" s="14" t="s">
        <v>144</v>
      </c>
      <c r="B73" s="15" t="n">
        <v>3</v>
      </c>
      <c r="C73" s="20" t="n">
        <f aca="false">B73/SUM($B$46:$B$86)</f>
        <v>0.000133197176219864</v>
      </c>
    </row>
    <row r="74" customFormat="false" ht="15" hidden="false" customHeight="false" outlineLevel="0" collapsed="false">
      <c r="A74" s="14" t="s">
        <v>145</v>
      </c>
      <c r="B74" s="15" t="n">
        <v>2</v>
      </c>
      <c r="C74" s="20" t="n">
        <f aca="false">B74/SUM($B$46:$B$86)</f>
        <v>8.87981174799094E-005</v>
      </c>
    </row>
    <row r="75" customFormat="false" ht="15" hidden="false" customHeight="false" outlineLevel="0" collapsed="false">
      <c r="A75" s="14" t="s">
        <v>146</v>
      </c>
      <c r="B75" s="15" t="n">
        <v>2</v>
      </c>
      <c r="C75" s="20" t="n">
        <f aca="false">B75/SUM($B$46:$B$86)</f>
        <v>8.87981174799094E-005</v>
      </c>
    </row>
    <row r="76" customFormat="false" ht="15" hidden="false" customHeight="false" outlineLevel="0" collapsed="false">
      <c r="A76" s="14" t="s">
        <v>147</v>
      </c>
      <c r="B76" s="15" t="n">
        <v>2</v>
      </c>
      <c r="C76" s="20" t="n">
        <f aca="false">B76/SUM($B$46:$B$86)</f>
        <v>8.87981174799094E-005</v>
      </c>
    </row>
    <row r="77" customFormat="false" ht="15" hidden="false" customHeight="false" outlineLevel="0" collapsed="false">
      <c r="A77" s="14" t="s">
        <v>148</v>
      </c>
      <c r="B77" s="15" t="n">
        <v>2</v>
      </c>
      <c r="C77" s="20" t="n">
        <f aca="false">B77/SUM($B$46:$B$86)</f>
        <v>8.87981174799094E-005</v>
      </c>
    </row>
    <row r="78" customFormat="false" ht="15" hidden="false" customHeight="false" outlineLevel="0" collapsed="false">
      <c r="A78" s="14" t="s">
        <v>149</v>
      </c>
      <c r="B78" s="15" t="n">
        <v>2</v>
      </c>
      <c r="C78" s="20" t="n">
        <f aca="false">B78/SUM($B$46:$B$86)</f>
        <v>8.87981174799094E-005</v>
      </c>
    </row>
    <row r="79" customFormat="false" ht="15" hidden="false" customHeight="false" outlineLevel="0" collapsed="false">
      <c r="A79" s="14" t="s">
        <v>150</v>
      </c>
      <c r="B79" s="15" t="n">
        <v>1</v>
      </c>
      <c r="C79" s="20" t="n">
        <f aca="false">B79/SUM($B$46:$B$86)</f>
        <v>4.43990587399547E-005</v>
      </c>
    </row>
    <row r="80" customFormat="false" ht="15" hidden="false" customHeight="false" outlineLevel="0" collapsed="false">
      <c r="A80" s="14" t="s">
        <v>151</v>
      </c>
      <c r="B80" s="15" t="n">
        <v>1</v>
      </c>
      <c r="C80" s="20" t="n">
        <f aca="false">B80/SUM($B$46:$B$86)</f>
        <v>4.43990587399547E-005</v>
      </c>
    </row>
    <row r="81" customFormat="false" ht="15" hidden="false" customHeight="false" outlineLevel="0" collapsed="false">
      <c r="A81" s="14" t="s">
        <v>152</v>
      </c>
      <c r="B81" s="15" t="n">
        <v>1</v>
      </c>
      <c r="C81" s="20" t="n">
        <f aca="false">B81/SUM($B$46:$B$86)</f>
        <v>4.43990587399547E-005</v>
      </c>
    </row>
    <row r="82" customFormat="false" ht="15" hidden="false" customHeight="false" outlineLevel="0" collapsed="false">
      <c r="A82" s="14" t="s">
        <v>153</v>
      </c>
      <c r="B82" s="15" t="n">
        <v>1</v>
      </c>
      <c r="C82" s="20" t="n">
        <f aca="false">B82/SUM($B$46:$B$86)</f>
        <v>4.43990587399547E-005</v>
      </c>
    </row>
    <row r="83" customFormat="false" ht="15" hidden="false" customHeight="false" outlineLevel="0" collapsed="false">
      <c r="A83" s="14" t="s">
        <v>154</v>
      </c>
      <c r="B83" s="15" t="n">
        <v>1</v>
      </c>
      <c r="C83" s="20" t="n">
        <f aca="false">B83/SUM($B$46:$B$86)</f>
        <v>4.43990587399547E-005</v>
      </c>
    </row>
    <row r="84" customFormat="false" ht="15" hidden="false" customHeight="false" outlineLevel="0" collapsed="false">
      <c r="A84" s="14" t="s">
        <v>155</v>
      </c>
      <c r="B84" s="15" t="n">
        <v>1</v>
      </c>
      <c r="C84" s="20" t="n">
        <f aca="false">B84/SUM($B$46:$B$86)</f>
        <v>4.43990587399547E-005</v>
      </c>
    </row>
    <row r="85" customFormat="false" ht="15" hidden="false" customHeight="false" outlineLevel="0" collapsed="false">
      <c r="A85" s="14" t="s">
        <v>156</v>
      </c>
      <c r="B85" s="15" t="n">
        <v>1</v>
      </c>
      <c r="C85" s="20" t="n">
        <f aca="false">B85/SUM($B$46:$B$86)</f>
        <v>4.43990587399547E-005</v>
      </c>
    </row>
    <row r="86" customFormat="false" ht="15" hidden="false" customHeight="false" outlineLevel="0" collapsed="false">
      <c r="A86" s="14" t="s">
        <v>157</v>
      </c>
      <c r="B86" s="15" t="n">
        <v>1</v>
      </c>
      <c r="C86" s="20" t="n">
        <f aca="false">B86/SUM($B$46:$B$86)</f>
        <v>4.43990587399547E-005</v>
      </c>
    </row>
    <row r="87" customFormat="false" ht="15" hidden="false" customHeight="false" outlineLevel="0" collapsed="false">
      <c r="A87" s="21" t="s">
        <v>158</v>
      </c>
      <c r="B87" s="22" t="n">
        <f aca="false">SUM(B46:B86)</f>
        <v>22523</v>
      </c>
      <c r="C87" s="23" t="n">
        <f aca="false">SUM(C46:C86)</f>
        <v>1</v>
      </c>
    </row>
    <row r="88" customFormat="false" ht="15" hidden="false" customHeight="false" outlineLevel="0" collapsed="false">
      <c r="A88" s="12" t="s">
        <v>159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4"/>
    <col collapsed="false" customWidth="true" hidden="false" outlineLevel="0" max="3" min="3" style="0" width="15"/>
    <col collapsed="false" customWidth="true" hidden="false" outlineLevel="0" max="6" min="4" style="0" width="14"/>
    <col collapsed="false" customWidth="true" hidden="false" outlineLevel="0" max="7" min="7" style="0" width="11"/>
    <col collapsed="false" customWidth="true" hidden="false" outlineLevel="0" max="8" min="8" style="0" width="12"/>
    <col collapsed="false" customWidth="true" hidden="false" outlineLevel="0" max="9" min="9" style="0" width="52"/>
  </cols>
  <sheetData>
    <row r="1" customFormat="false" ht="19.7" hidden="false" customHeight="false" outlineLevel="0" collapsed="false">
      <c r="A1" s="1" t="s">
        <v>34</v>
      </c>
    </row>
    <row r="2" customFormat="false" ht="15" hidden="false" customHeight="false" outlineLevel="0" collapsed="false">
      <c r="A2" s="2" t="s">
        <v>160</v>
      </c>
    </row>
    <row r="4" customFormat="false" ht="23.85" hidden="false" customHeight="false" outlineLevel="0" collapsed="false">
      <c r="A4" s="10" t="s">
        <v>161</v>
      </c>
      <c r="B4" s="10" t="s">
        <v>162</v>
      </c>
      <c r="C4" s="10" t="s">
        <v>163</v>
      </c>
      <c r="D4" s="10" t="s">
        <v>164</v>
      </c>
      <c r="E4" s="10" t="s">
        <v>165</v>
      </c>
      <c r="F4" s="10" t="s">
        <v>166</v>
      </c>
      <c r="G4" s="10" t="s">
        <v>40</v>
      </c>
      <c r="H4" s="10" t="s">
        <v>42</v>
      </c>
      <c r="I4" s="10" t="s">
        <v>167</v>
      </c>
    </row>
    <row r="5" customFormat="false" ht="23.85" hidden="false" customHeight="false" outlineLevel="0" collapsed="false">
      <c r="A5" s="14" t="n">
        <v>0</v>
      </c>
      <c r="B5" s="5" t="s">
        <v>168</v>
      </c>
      <c r="C5" s="15" t="n">
        <v>22523</v>
      </c>
      <c r="D5" s="15" t="s">
        <v>169</v>
      </c>
      <c r="E5" s="20" t="n">
        <f aca="false">C5/$C$5</f>
        <v>1</v>
      </c>
      <c r="F5" s="15" t="n">
        <v>11399</v>
      </c>
      <c r="G5" s="15" t="n">
        <v>1551</v>
      </c>
      <c r="H5" s="15" t="n">
        <v>653</v>
      </c>
      <c r="I5" s="5" t="s">
        <v>170</v>
      </c>
    </row>
    <row r="6" customFormat="false" ht="15" hidden="false" customHeight="false" outlineLevel="0" collapsed="false">
      <c r="A6" s="14" t="n">
        <v>1</v>
      </c>
      <c r="B6" s="5" t="s">
        <v>171</v>
      </c>
      <c r="C6" s="15" t="n">
        <v>6571</v>
      </c>
      <c r="D6" s="15" t="n">
        <f aca="false">C5-C6</f>
        <v>15952</v>
      </c>
      <c r="E6" s="20" t="n">
        <f aca="false">C6/$C$5</f>
        <v>0.291746214980242</v>
      </c>
      <c r="F6" s="15" t="n">
        <v>5350</v>
      </c>
      <c r="G6" s="15" t="n">
        <v>432</v>
      </c>
      <c r="H6" s="15" t="n">
        <v>341</v>
      </c>
      <c r="I6" s="5" t="s">
        <v>172</v>
      </c>
    </row>
    <row r="7" customFormat="false" ht="15" hidden="false" customHeight="false" outlineLevel="0" collapsed="false">
      <c r="A7" s="14" t="n">
        <v>2</v>
      </c>
      <c r="B7" s="5" t="s">
        <v>173</v>
      </c>
      <c r="C7" s="15" t="n">
        <v>6502</v>
      </c>
      <c r="D7" s="15" t="n">
        <f aca="false">C6-C7</f>
        <v>69</v>
      </c>
      <c r="E7" s="20" t="n">
        <f aca="false">C7/$C$5</f>
        <v>0.288682679927186</v>
      </c>
      <c r="F7" s="15" t="n">
        <v>5295</v>
      </c>
      <c r="G7" s="15" t="n">
        <v>422</v>
      </c>
      <c r="H7" s="15" t="n">
        <v>336</v>
      </c>
      <c r="I7" s="5" t="s">
        <v>174</v>
      </c>
    </row>
    <row r="8" customFormat="false" ht="15" hidden="false" customHeight="false" outlineLevel="0" collapsed="false">
      <c r="A8" s="14" t="n">
        <v>3</v>
      </c>
      <c r="B8" s="5" t="s">
        <v>175</v>
      </c>
      <c r="C8" s="15" t="n">
        <v>5825</v>
      </c>
      <c r="D8" s="15" t="n">
        <f aca="false">C7-C8</f>
        <v>677</v>
      </c>
      <c r="E8" s="20" t="n">
        <f aca="false">C8/$C$5</f>
        <v>0.258624517160236</v>
      </c>
      <c r="F8" s="15" t="n">
        <v>4813</v>
      </c>
      <c r="G8" s="15" t="n">
        <v>374</v>
      </c>
      <c r="H8" s="15" t="n">
        <v>304</v>
      </c>
      <c r="I8" s="5" t="s">
        <v>176</v>
      </c>
    </row>
    <row r="9" customFormat="false" ht="15" hidden="false" customHeight="false" outlineLevel="0" collapsed="false">
      <c r="A9" s="14" t="n">
        <v>4</v>
      </c>
      <c r="B9" s="5" t="s">
        <v>177</v>
      </c>
      <c r="C9" s="15" t="n">
        <v>5825</v>
      </c>
      <c r="D9" s="15" t="n">
        <f aca="false">C8-C9</f>
        <v>0</v>
      </c>
      <c r="E9" s="20" t="n">
        <f aca="false">C9/$C$5</f>
        <v>0.258624517160236</v>
      </c>
      <c r="F9" s="15" t="n">
        <v>4813</v>
      </c>
      <c r="G9" s="15" t="n">
        <v>374</v>
      </c>
      <c r="H9" s="15" t="n">
        <v>304</v>
      </c>
      <c r="I9" s="5" t="s">
        <v>178</v>
      </c>
    </row>
    <row r="10" customFormat="false" ht="15" hidden="false" customHeight="false" outlineLevel="0" collapsed="false">
      <c r="A10" s="14" t="n">
        <v>5</v>
      </c>
      <c r="B10" s="5" t="s">
        <v>179</v>
      </c>
      <c r="C10" s="15" t="n">
        <v>5597</v>
      </c>
      <c r="D10" s="15" t="n">
        <f aca="false">C9-C10</f>
        <v>228</v>
      </c>
      <c r="E10" s="20" t="n">
        <f aca="false">C10/$C$5</f>
        <v>0.248501531767527</v>
      </c>
      <c r="F10" s="15" t="n">
        <v>4610</v>
      </c>
      <c r="G10" s="15" t="n">
        <v>373</v>
      </c>
      <c r="H10" s="15" t="n">
        <v>304</v>
      </c>
      <c r="I10" s="5" t="s">
        <v>180</v>
      </c>
    </row>
    <row r="11" customFormat="false" ht="15" hidden="false" customHeight="false" outlineLevel="0" collapsed="false">
      <c r="A11" s="14" t="n">
        <v>6</v>
      </c>
      <c r="B11" s="5" t="s">
        <v>181</v>
      </c>
      <c r="C11" s="15" t="n">
        <v>4576</v>
      </c>
      <c r="D11" s="15" t="n">
        <f aca="false">C10-C11</f>
        <v>1021</v>
      </c>
      <c r="E11" s="20" t="n">
        <f aca="false">C11/$C$5</f>
        <v>0.203170092794033</v>
      </c>
      <c r="F11" s="15" t="n">
        <v>3653</v>
      </c>
      <c r="G11" s="15" t="n">
        <v>361</v>
      </c>
      <c r="H11" s="15" t="n">
        <v>292</v>
      </c>
      <c r="I11" s="5" t="s">
        <v>182</v>
      </c>
    </row>
    <row r="12" customFormat="false" ht="15" hidden="false" customHeight="false" outlineLevel="0" collapsed="false">
      <c r="A12" s="14" t="n">
        <v>7</v>
      </c>
      <c r="B12" s="5" t="s">
        <v>183</v>
      </c>
      <c r="C12" s="15" t="n">
        <v>4571</v>
      </c>
      <c r="D12" s="15" t="n">
        <f aca="false">C11-C12</f>
        <v>5</v>
      </c>
      <c r="E12" s="20" t="n">
        <f aca="false">C12/$C$5</f>
        <v>0.202948097500333</v>
      </c>
      <c r="F12" s="15" t="n">
        <v>3652</v>
      </c>
      <c r="G12" s="15" t="n">
        <v>361</v>
      </c>
      <c r="H12" s="15" t="n">
        <v>292</v>
      </c>
      <c r="I12" s="5" t="s">
        <v>184</v>
      </c>
    </row>
    <row r="13" customFormat="false" ht="15" hidden="false" customHeight="false" outlineLevel="0" collapsed="false">
      <c r="A13" s="14" t="n">
        <v>8</v>
      </c>
      <c r="B13" s="5" t="s">
        <v>185</v>
      </c>
      <c r="C13" s="15" t="n">
        <v>4081</v>
      </c>
      <c r="D13" s="15" t="n">
        <f aca="false">C12-C13</f>
        <v>490</v>
      </c>
      <c r="E13" s="20" t="n">
        <f aca="false">C13/$C$5</f>
        <v>0.181192558717755</v>
      </c>
      <c r="F13" s="15" t="n">
        <v>3637</v>
      </c>
      <c r="G13" s="15" t="n">
        <v>328</v>
      </c>
      <c r="H13" s="15" t="n">
        <v>281</v>
      </c>
      <c r="I13" s="5" t="s">
        <v>186</v>
      </c>
    </row>
    <row r="14" customFormat="false" ht="23.85" hidden="false" customHeight="false" outlineLevel="0" collapsed="false">
      <c r="A14" s="17" t="n">
        <v>9</v>
      </c>
      <c r="B14" s="24" t="s">
        <v>187</v>
      </c>
      <c r="C14" s="18" t="n">
        <f aca="false">C13-D14</f>
        <v>3935</v>
      </c>
      <c r="D14" s="18" t="n">
        <v>146</v>
      </c>
      <c r="E14" s="19" t="n">
        <f aca="false">C14/$C$5</f>
        <v>0.174710296141722</v>
      </c>
      <c r="F14" s="18" t="n">
        <v>3603</v>
      </c>
      <c r="G14" s="18" t="n">
        <v>312</v>
      </c>
      <c r="H14" s="18" t="n">
        <v>277</v>
      </c>
      <c r="I14" s="24" t="s">
        <v>188</v>
      </c>
    </row>
    <row r="15" customFormat="false" ht="15" hidden="false" customHeight="false" outlineLevel="0" collapsed="false">
      <c r="A15" s="12" t="s">
        <v>189</v>
      </c>
    </row>
    <row r="17" customFormat="false" ht="15" hidden="false" customHeight="false" outlineLevel="0" collapsed="false">
      <c r="B17" s="3" t="s">
        <v>190</v>
      </c>
    </row>
    <row r="18" customFormat="false" ht="15" hidden="false" customHeight="true" outlineLevel="0" collapsed="false">
      <c r="A18" s="10"/>
      <c r="B18" s="10" t="s">
        <v>191</v>
      </c>
      <c r="C18" s="10" t="s">
        <v>192</v>
      </c>
      <c r="D18" s="10" t="s">
        <v>193</v>
      </c>
      <c r="E18" s="10"/>
      <c r="F18" s="10"/>
      <c r="G18" s="10"/>
      <c r="H18" s="10"/>
      <c r="I18" s="10"/>
    </row>
    <row r="19" customFormat="false" ht="15" hidden="false" customHeight="false" outlineLevel="0" collapsed="false">
      <c r="A19" s="14"/>
      <c r="B19" s="14" t="s">
        <v>194</v>
      </c>
      <c r="C19" s="15" t="n">
        <f aca="false">C13</f>
        <v>4081</v>
      </c>
      <c r="D19" s="14" t="s">
        <v>195</v>
      </c>
      <c r="E19" s="14"/>
      <c r="F19" s="14"/>
      <c r="G19" s="14"/>
      <c r="H19" s="14"/>
      <c r="I19" s="14"/>
    </row>
    <row r="20" customFormat="false" ht="15" hidden="false" customHeight="false" outlineLevel="0" collapsed="false">
      <c r="A20" s="14"/>
      <c r="B20" s="14" t="s">
        <v>196</v>
      </c>
      <c r="C20" s="15" t="n">
        <f aca="false">COUNTA(Quarantine!A6:A151)</f>
        <v>146</v>
      </c>
      <c r="D20" s="14" t="s">
        <v>197</v>
      </c>
      <c r="E20" s="14"/>
      <c r="F20" s="14"/>
      <c r="G20" s="14"/>
      <c r="H20" s="14"/>
      <c r="I20" s="14"/>
    </row>
    <row r="21" customFormat="false" ht="15" hidden="false" customHeight="false" outlineLevel="0" collapsed="false">
      <c r="A21" s="14"/>
      <c r="B21" s="14" t="s">
        <v>198</v>
      </c>
      <c r="C21" s="15" t="n">
        <f aca="false">C14</f>
        <v>3935</v>
      </c>
      <c r="D21" s="14" t="s">
        <v>199</v>
      </c>
      <c r="E21" s="14"/>
      <c r="F21" s="14"/>
      <c r="G21" s="14"/>
      <c r="H21" s="14"/>
      <c r="I21" s="14"/>
    </row>
    <row r="22" customFormat="false" ht="15" hidden="false" customHeight="false" outlineLevel="0" collapsed="false">
      <c r="A22" s="14"/>
      <c r="B22" s="14" t="s">
        <v>200</v>
      </c>
      <c r="C22" s="15" t="n">
        <f aca="false">COUNTA('Kept Measurements'!A6:A3940)</f>
        <v>3935</v>
      </c>
      <c r="D22" s="14" t="s">
        <v>201</v>
      </c>
      <c r="E22" s="14"/>
      <c r="F22" s="14"/>
      <c r="G22" s="14"/>
      <c r="H22" s="14"/>
      <c r="I22" s="14"/>
    </row>
    <row r="23" customFormat="false" ht="15" hidden="false" customHeight="false" outlineLevel="0" collapsed="false">
      <c r="A23" s="14"/>
      <c r="B23" s="14" t="s">
        <v>202</v>
      </c>
      <c r="C23" s="21" t="str">
        <f aca="false">IF(AND(C21+C20=C19,C21=C22),"OK","MISMATCH")</f>
        <v>OK</v>
      </c>
      <c r="D23" s="14" t="s">
        <v>203</v>
      </c>
      <c r="E23" s="14"/>
      <c r="F23" s="14"/>
      <c r="G23" s="14"/>
      <c r="H23" s="14"/>
      <c r="I23" s="14"/>
    </row>
    <row r="24" customFormat="false" ht="15" hidden="false" customHeight="false" outlineLevel="0" collapsed="false">
      <c r="A24" s="14"/>
      <c r="B24" s="17" t="s">
        <v>204</v>
      </c>
      <c r="C24" s="18" t="n">
        <v>3588</v>
      </c>
      <c r="D24" s="17" t="s">
        <v>205</v>
      </c>
      <c r="E24" s="17"/>
      <c r="F24" s="17"/>
      <c r="G24" s="17"/>
      <c r="H24" s="17"/>
      <c r="I24" s="17"/>
    </row>
    <row r="26" customFormat="false" ht="15" hidden="false" customHeight="false" outlineLevel="0" collapsed="false">
      <c r="B26" s="3" t="s">
        <v>206</v>
      </c>
    </row>
    <row r="27" customFormat="false" ht="15" hidden="false" customHeight="true" outlineLevel="0" collapsed="false">
      <c r="B27" s="4" t="s">
        <v>207</v>
      </c>
      <c r="C27" s="5" t="s">
        <v>117</v>
      </c>
      <c r="D27" s="5"/>
      <c r="E27" s="5"/>
      <c r="F27" s="5"/>
      <c r="G27" s="5"/>
      <c r="H27" s="5"/>
      <c r="I27" s="5"/>
    </row>
    <row r="28" customFormat="false" ht="15" hidden="false" customHeight="true" outlineLevel="0" collapsed="false">
      <c r="B28" s="4" t="s">
        <v>208</v>
      </c>
      <c r="C28" s="5" t="s">
        <v>209</v>
      </c>
      <c r="D28" s="5"/>
      <c r="E28" s="5"/>
      <c r="F28" s="5"/>
      <c r="G28" s="5"/>
      <c r="H28" s="5"/>
      <c r="I28" s="5"/>
    </row>
    <row r="29" customFormat="false" ht="15" hidden="false" customHeight="true" outlineLevel="0" collapsed="false">
      <c r="B29" s="4" t="s">
        <v>210</v>
      </c>
      <c r="C29" s="5" t="s">
        <v>211</v>
      </c>
      <c r="D29" s="5"/>
      <c r="E29" s="5"/>
      <c r="F29" s="5"/>
      <c r="G29" s="5"/>
      <c r="H29" s="5"/>
      <c r="I29" s="5"/>
    </row>
    <row r="30" customFormat="false" ht="15" hidden="false" customHeight="true" outlineLevel="0" collapsed="false">
      <c r="B30" s="4" t="s">
        <v>212</v>
      </c>
      <c r="C30" s="5" t="s">
        <v>213</v>
      </c>
      <c r="D30" s="5"/>
      <c r="E30" s="5"/>
      <c r="F30" s="5"/>
      <c r="G30" s="5"/>
      <c r="H30" s="5"/>
      <c r="I30" s="5"/>
    </row>
    <row r="31" customFormat="false" ht="15" hidden="false" customHeight="true" outlineLevel="0" collapsed="false">
      <c r="B31" s="4" t="s">
        <v>214</v>
      </c>
      <c r="C31" s="5" t="s">
        <v>215</v>
      </c>
      <c r="D31" s="5"/>
      <c r="E31" s="5"/>
      <c r="F31" s="5"/>
      <c r="G31" s="5"/>
      <c r="H31" s="5"/>
      <c r="I31" s="5"/>
    </row>
    <row r="32" customFormat="false" ht="15" hidden="false" customHeight="true" outlineLevel="0" collapsed="false">
      <c r="B32" s="4" t="s">
        <v>216</v>
      </c>
      <c r="C32" s="5" t="s">
        <v>217</v>
      </c>
      <c r="D32" s="5"/>
      <c r="E32" s="5"/>
      <c r="F32" s="5"/>
      <c r="G32" s="5"/>
      <c r="H32" s="5"/>
      <c r="I32" s="5"/>
    </row>
    <row r="33" customFormat="false" ht="15" hidden="false" customHeight="true" outlineLevel="0" collapsed="false">
      <c r="B33" s="4" t="s">
        <v>218</v>
      </c>
      <c r="C33" s="5" t="s">
        <v>219</v>
      </c>
      <c r="D33" s="5"/>
      <c r="E33" s="5"/>
      <c r="F33" s="5"/>
      <c r="G33" s="5"/>
      <c r="H33" s="5"/>
      <c r="I33" s="5"/>
    </row>
    <row r="34" customFormat="false" ht="15" hidden="false" customHeight="true" outlineLevel="0" collapsed="false">
      <c r="B34" s="4" t="s">
        <v>220</v>
      </c>
      <c r="C34" s="5" t="s">
        <v>221</v>
      </c>
      <c r="D34" s="5"/>
      <c r="E34" s="5"/>
      <c r="F34" s="5"/>
      <c r="G34" s="5"/>
      <c r="H34" s="5"/>
      <c r="I34" s="5"/>
    </row>
    <row r="35" customFormat="false" ht="15" hidden="false" customHeight="true" outlineLevel="0" collapsed="false">
      <c r="B35" s="4" t="s">
        <v>222</v>
      </c>
      <c r="C35" s="5" t="s">
        <v>223</v>
      </c>
      <c r="D35" s="5"/>
      <c r="E35" s="5"/>
      <c r="F35" s="5"/>
      <c r="G35" s="5"/>
      <c r="H35" s="5"/>
      <c r="I35" s="5"/>
    </row>
    <row r="36" customFormat="false" ht="15" hidden="false" customHeight="true" outlineLevel="0" collapsed="false">
      <c r="B36" s="4" t="s">
        <v>224</v>
      </c>
      <c r="C36" s="5" t="s">
        <v>225</v>
      </c>
      <c r="D36" s="5"/>
      <c r="E36" s="5"/>
      <c r="F36" s="5"/>
      <c r="G36" s="5"/>
      <c r="H36" s="5"/>
      <c r="I36" s="5"/>
    </row>
    <row r="37" customFormat="false" ht="15" hidden="false" customHeight="true" outlineLevel="0" collapsed="false">
      <c r="B37" s="4" t="s">
        <v>226</v>
      </c>
      <c r="C37" s="5" t="s">
        <v>24</v>
      </c>
      <c r="D37" s="5"/>
      <c r="E37" s="5"/>
      <c r="F37" s="5"/>
      <c r="G37" s="5"/>
      <c r="H37" s="5"/>
      <c r="I37" s="5"/>
    </row>
  </sheetData>
  <mergeCells count="18">
    <mergeCell ref="D18:I18"/>
    <mergeCell ref="D19:I19"/>
    <mergeCell ref="D20:I20"/>
    <mergeCell ref="D21:I21"/>
    <mergeCell ref="D22:I22"/>
    <mergeCell ref="D23:I23"/>
    <mergeCell ref="D24:I24"/>
    <mergeCell ref="C27:I27"/>
    <mergeCell ref="C28:I28"/>
    <mergeCell ref="C29:I29"/>
    <mergeCell ref="C30:I30"/>
    <mergeCell ref="C31:I31"/>
    <mergeCell ref="C32:I32"/>
    <mergeCell ref="C33:I33"/>
    <mergeCell ref="C34:I34"/>
    <mergeCell ref="C35:I35"/>
    <mergeCell ref="C36:I36"/>
    <mergeCell ref="C37:I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9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60"/>
    <col collapsed="false" customWidth="true" hidden="false" outlineLevel="0" max="6" min="4" style="0" width="12"/>
    <col collapsed="false" customWidth="true" hidden="false" outlineLevel="0" max="7" min="7" style="0" width="16"/>
    <col collapsed="false" customWidth="true" hidden="false" outlineLevel="0" max="8" min="8" style="0" width="18"/>
    <col collapsed="false" customWidth="true" hidden="false" outlineLevel="0" max="9" min="9" style="0" width="7"/>
    <col collapsed="false" customWidth="true" hidden="false" outlineLevel="0" max="10" min="10" style="0" width="22"/>
    <col collapsed="false" customWidth="true" hidden="false" outlineLevel="0" max="11" min="11" style="0" width="30"/>
    <col collapsed="false" customWidth="true" hidden="false" outlineLevel="0" max="12" min="12" style="0" width="70"/>
  </cols>
  <sheetData>
    <row r="1" customFormat="false" ht="19.7" hidden="false" customHeight="false" outlineLevel="0" collapsed="false">
      <c r="A1" s="1" t="s">
        <v>36</v>
      </c>
    </row>
    <row r="2" customFormat="false" ht="15" hidden="false" customHeight="false" outlineLevel="0" collapsed="false">
      <c r="A2" s="2" t="s">
        <v>227</v>
      </c>
    </row>
    <row r="3" customFormat="false" ht="15" hidden="false" customHeight="false" outlineLevel="0" collapsed="false">
      <c r="A3" s="12" t="s">
        <v>228</v>
      </c>
    </row>
    <row r="5" customFormat="false" ht="35.05" hidden="false" customHeight="false" outlineLevel="0" collapsed="false">
      <c r="A5" s="10" t="s">
        <v>229</v>
      </c>
      <c r="B5" s="10" t="s">
        <v>230</v>
      </c>
      <c r="C5" s="10" t="s">
        <v>231</v>
      </c>
      <c r="D5" s="10" t="s">
        <v>232</v>
      </c>
      <c r="E5" s="10" t="s">
        <v>233</v>
      </c>
      <c r="F5" s="10" t="s">
        <v>234</v>
      </c>
      <c r="G5" s="10" t="s">
        <v>235</v>
      </c>
      <c r="H5" s="10" t="s">
        <v>236</v>
      </c>
      <c r="I5" s="10" t="s">
        <v>237</v>
      </c>
      <c r="J5" s="10" t="s">
        <v>238</v>
      </c>
      <c r="K5" s="10" t="s">
        <v>239</v>
      </c>
      <c r="L5" s="10" t="s">
        <v>240</v>
      </c>
    </row>
    <row r="6" customFormat="false" ht="15" hidden="false" customHeight="false" outlineLevel="0" collapsed="false">
      <c r="A6" s="25" t="n">
        <v>13922848</v>
      </c>
      <c r="B6" s="25" t="s">
        <v>241</v>
      </c>
      <c r="C6" s="25" t="s">
        <v>242</v>
      </c>
      <c r="D6" s="26" t="n">
        <v>1800</v>
      </c>
      <c r="E6" s="27" t="n">
        <v>5.74472749489669</v>
      </c>
      <c r="F6" s="27" t="n">
        <v>5.74472749489669</v>
      </c>
      <c r="G6" s="25" t="s">
        <v>243</v>
      </c>
      <c r="H6" s="25" t="s">
        <v>244</v>
      </c>
      <c r="I6" s="25" t="n">
        <f aca="false">IFERROR(IF(INDEX(Documents!$C$5:$C$657,MATCH(H6,Documents!$A$5:$A$657,0))="","",INDEX(Documents!$C$5:$C$657,MATCH(H6,Documents!$A$5:$A$657,0))),"")</f>
        <v>2014</v>
      </c>
      <c r="J6" s="25" t="str">
        <f aca="false">IFERROR(IF(INDEX(Documents!$D$5:$D$657,MATCH(H6,Documents!$A$5:$A$657,0))="","",INDEX(Documents!$D$5:$D$657,MATCH(H6,Documents!$A$5:$A$657,0))),"")</f>
        <v>Eur J Med Chem</v>
      </c>
      <c r="K6" s="25" t="str">
        <f aca="false">IFERROR(IF(INDEX(Documents!$G$5:$G$657,MATCH(H6,Documents!$A$5:$A$657,0))="","",INDEX(Documents!$G$5:$G$657,MATCH(H6,Documents!$A$5:$A$657,0))),"")</f>
        <v>10.1016/j.ejmech.2013.11.026</v>
      </c>
      <c r="L6" s="25" t="s">
        <v>245</v>
      </c>
    </row>
    <row r="7" customFormat="false" ht="15" hidden="false" customHeight="false" outlineLevel="0" collapsed="false">
      <c r="A7" s="25" t="n">
        <v>27788309</v>
      </c>
      <c r="B7" s="25" t="s">
        <v>246</v>
      </c>
      <c r="C7" s="25" t="s">
        <v>247</v>
      </c>
      <c r="D7" s="26" t="n">
        <v>932</v>
      </c>
      <c r="E7" s="27" t="n">
        <v>6.03058408764602</v>
      </c>
      <c r="F7" s="27" t="n">
        <v>6.03058408764602</v>
      </c>
      <c r="G7" s="25" t="s">
        <v>248</v>
      </c>
      <c r="H7" s="25" t="s">
        <v>249</v>
      </c>
      <c r="I7" s="25" t="n">
        <f aca="false">IFERROR(IF(INDEX(Documents!$C$5:$C$657,MATCH(H7,Documents!$A$5:$A$657,0))="","",INDEX(Documents!$C$5:$C$657,MATCH(H7,Documents!$A$5:$A$657,0))),"")</f>
        <v>2019</v>
      </c>
      <c r="J7" s="25" t="str">
        <f aca="false">IFERROR(IF(INDEX(Documents!$D$5:$D$657,MATCH(H7,Documents!$A$5:$A$657,0))="","",INDEX(Documents!$D$5:$D$657,MATCH(H7,Documents!$A$5:$A$657,0))),"")</f>
        <v/>
      </c>
      <c r="K7" s="25" t="str">
        <f aca="false">IFERROR(IF(INDEX(Documents!$G$5:$G$657,MATCH(H7,Documents!$A$5:$A$657,0))="","",INDEX(Documents!$G$5:$G$657,MATCH(H7,Documents!$A$5:$A$657,0))),"")</f>
        <v/>
      </c>
      <c r="L7" s="25" t="s">
        <v>250</v>
      </c>
    </row>
    <row r="8" customFormat="false" ht="15" hidden="false" customHeight="false" outlineLevel="0" collapsed="false">
      <c r="A8" s="25" t="n">
        <v>27788312</v>
      </c>
      <c r="B8" s="25" t="s">
        <v>251</v>
      </c>
      <c r="C8" s="25" t="s">
        <v>252</v>
      </c>
      <c r="D8" s="26" t="n">
        <v>2861</v>
      </c>
      <c r="E8" s="27" t="n">
        <v>5.54348214219474</v>
      </c>
      <c r="F8" s="27" t="n">
        <v>5.54348214219474</v>
      </c>
      <c r="G8" s="25" t="s">
        <v>248</v>
      </c>
      <c r="H8" s="25" t="s">
        <v>249</v>
      </c>
      <c r="I8" s="25" t="n">
        <f aca="false">IFERROR(IF(INDEX(Documents!$C$5:$C$657,MATCH(H8,Documents!$A$5:$A$657,0))="","",INDEX(Documents!$C$5:$C$657,MATCH(H8,Documents!$A$5:$A$657,0))),"")</f>
        <v>2019</v>
      </c>
      <c r="J8" s="25" t="str">
        <f aca="false">IFERROR(IF(INDEX(Documents!$D$5:$D$657,MATCH(H8,Documents!$A$5:$A$657,0))="","",INDEX(Documents!$D$5:$D$657,MATCH(H8,Documents!$A$5:$A$657,0))),"")</f>
        <v/>
      </c>
      <c r="K8" s="25" t="str">
        <f aca="false">IFERROR(IF(INDEX(Documents!$G$5:$G$657,MATCH(H8,Documents!$A$5:$A$657,0))="","",INDEX(Documents!$G$5:$G$657,MATCH(H8,Documents!$A$5:$A$657,0))),"")</f>
        <v/>
      </c>
      <c r="L8" s="25" t="s">
        <v>250</v>
      </c>
    </row>
    <row r="9" customFormat="false" ht="15" hidden="false" customHeight="false" outlineLevel="0" collapsed="false">
      <c r="A9" s="25" t="n">
        <v>27788057</v>
      </c>
      <c r="B9" s="25" t="s">
        <v>253</v>
      </c>
      <c r="C9" s="25" t="s">
        <v>254</v>
      </c>
      <c r="D9" s="26" t="n">
        <v>1161</v>
      </c>
      <c r="E9" s="27" t="n">
        <v>5.93516778026143</v>
      </c>
      <c r="F9" s="27" t="n">
        <v>5.93516778026143</v>
      </c>
      <c r="G9" s="25" t="s">
        <v>255</v>
      </c>
      <c r="H9" s="25" t="s">
        <v>256</v>
      </c>
      <c r="I9" s="25" t="n">
        <f aca="false">IFERROR(IF(INDEX(Documents!$C$5:$C$657,MATCH(H9,Documents!$A$5:$A$657,0))="","",INDEX(Documents!$C$5:$C$657,MATCH(H9,Documents!$A$5:$A$657,0))),"")</f>
        <v>2019</v>
      </c>
      <c r="J9" s="25" t="str">
        <f aca="false">IFERROR(IF(INDEX(Documents!$D$5:$D$657,MATCH(H9,Documents!$A$5:$A$657,0))="","",INDEX(Documents!$D$5:$D$657,MATCH(H9,Documents!$A$5:$A$657,0))),"")</f>
        <v/>
      </c>
      <c r="K9" s="25" t="str">
        <f aca="false">IFERROR(IF(INDEX(Documents!$G$5:$G$657,MATCH(H9,Documents!$A$5:$A$657,0))="","",INDEX(Documents!$G$5:$G$657,MATCH(H9,Documents!$A$5:$A$657,0))),"")</f>
        <v/>
      </c>
      <c r="L9" s="25" t="s">
        <v>250</v>
      </c>
    </row>
    <row r="10" customFormat="false" ht="15" hidden="false" customHeight="false" outlineLevel="0" collapsed="false">
      <c r="A10" s="25" t="n">
        <v>27788060</v>
      </c>
      <c r="B10" s="25" t="s">
        <v>257</v>
      </c>
      <c r="C10" s="25" t="s">
        <v>258</v>
      </c>
      <c r="D10" s="26" t="n">
        <v>200</v>
      </c>
      <c r="E10" s="27" t="n">
        <v>6.69897000433602</v>
      </c>
      <c r="F10" s="27" t="n">
        <v>6.69897000433602</v>
      </c>
      <c r="G10" s="25" t="s">
        <v>255</v>
      </c>
      <c r="H10" s="25" t="s">
        <v>256</v>
      </c>
      <c r="I10" s="25" t="n">
        <f aca="false">IFERROR(IF(INDEX(Documents!$C$5:$C$657,MATCH(H10,Documents!$A$5:$A$657,0))="","",INDEX(Documents!$C$5:$C$657,MATCH(H10,Documents!$A$5:$A$657,0))),"")</f>
        <v>2019</v>
      </c>
      <c r="J10" s="25" t="str">
        <f aca="false">IFERROR(IF(INDEX(Documents!$D$5:$D$657,MATCH(H10,Documents!$A$5:$A$657,0))="","",INDEX(Documents!$D$5:$D$657,MATCH(H10,Documents!$A$5:$A$657,0))),"")</f>
        <v/>
      </c>
      <c r="K10" s="25" t="str">
        <f aca="false">IFERROR(IF(INDEX(Documents!$G$5:$G$657,MATCH(H10,Documents!$A$5:$A$657,0))="","",INDEX(Documents!$G$5:$G$657,MATCH(H10,Documents!$A$5:$A$657,0))),"")</f>
        <v/>
      </c>
      <c r="L10" s="25" t="s">
        <v>250</v>
      </c>
    </row>
    <row r="11" customFormat="false" ht="15" hidden="false" customHeight="false" outlineLevel="0" collapsed="false">
      <c r="A11" s="25" t="n">
        <v>6285512</v>
      </c>
      <c r="B11" s="25" t="s">
        <v>259</v>
      </c>
      <c r="C11" s="25" t="s">
        <v>260</v>
      </c>
      <c r="D11" s="26" t="n">
        <v>84.9</v>
      </c>
      <c r="E11" s="27" t="n">
        <v>7.07109230975605</v>
      </c>
      <c r="F11" s="27" t="n">
        <v>7.07109230975605</v>
      </c>
      <c r="G11" s="25" t="s">
        <v>261</v>
      </c>
      <c r="H11" s="25" t="s">
        <v>262</v>
      </c>
      <c r="I11" s="25" t="n">
        <f aca="false">IFERROR(IF(INDEX(Documents!$C$5:$C$657,MATCH(H11,Documents!$A$5:$A$657,0))="","",INDEX(Documents!$C$5:$C$657,MATCH(H11,Documents!$A$5:$A$657,0))),"")</f>
        <v>2011</v>
      </c>
      <c r="J11" s="25" t="str">
        <f aca="false">IFERROR(IF(INDEX(Documents!$D$5:$D$657,MATCH(H11,Documents!$A$5:$A$657,0))="","",INDEX(Documents!$D$5:$D$657,MATCH(H11,Documents!$A$5:$A$657,0))),"")</f>
        <v>J Med Chem</v>
      </c>
      <c r="K11" s="25" t="str">
        <f aca="false">IFERROR(IF(INDEX(Documents!$G$5:$G$657,MATCH(H11,Documents!$A$5:$A$657,0))="","",INDEX(Documents!$G$5:$G$657,MATCH(H11,Documents!$A$5:$A$657,0))),"")</f>
        <v>10.1021/jm2004392</v>
      </c>
      <c r="L11" s="25" t="s">
        <v>263</v>
      </c>
    </row>
    <row r="12" customFormat="false" ht="15" hidden="false" customHeight="false" outlineLevel="0" collapsed="false">
      <c r="A12" s="25" t="n">
        <v>23228653</v>
      </c>
      <c r="B12" s="25" t="s">
        <v>264</v>
      </c>
      <c r="C12" s="25" t="s">
        <v>265</v>
      </c>
      <c r="D12" s="26" t="n">
        <v>62.5</v>
      </c>
      <c r="E12" s="27" t="n">
        <v>7.20411998265593</v>
      </c>
      <c r="F12" s="27" t="n">
        <v>7.20411998265593</v>
      </c>
      <c r="G12" s="25" t="s">
        <v>266</v>
      </c>
      <c r="H12" s="25" t="s">
        <v>267</v>
      </c>
      <c r="I12" s="25" t="n">
        <f aca="false">IFERROR(IF(INDEX(Documents!$C$5:$C$657,MATCH(H12,Documents!$A$5:$A$657,0))="","",INDEX(Documents!$C$5:$C$657,MATCH(H12,Documents!$A$5:$A$657,0))),"")</f>
        <v>2021</v>
      </c>
      <c r="J12" s="25" t="str">
        <f aca="false">IFERROR(IF(INDEX(Documents!$D$5:$D$657,MATCH(H12,Documents!$A$5:$A$657,0))="","",INDEX(Documents!$D$5:$D$657,MATCH(H12,Documents!$A$5:$A$657,0))),"")</f>
        <v>J Med Chem</v>
      </c>
      <c r="K12" s="25" t="str">
        <f aca="false">IFERROR(IF(INDEX(Documents!$G$5:$G$657,MATCH(H12,Documents!$A$5:$A$657,0))="","",INDEX(Documents!$G$5:$G$657,MATCH(H12,Documents!$A$5:$A$657,0))),"")</f>
        <v>10.1021/acs.jmedchem.1c00442</v>
      </c>
      <c r="L12" s="25" t="s">
        <v>268</v>
      </c>
    </row>
    <row r="13" customFormat="false" ht="15" hidden="false" customHeight="false" outlineLevel="0" collapsed="false">
      <c r="A13" s="25" t="n">
        <v>23228652</v>
      </c>
      <c r="B13" s="25" t="s">
        <v>269</v>
      </c>
      <c r="C13" s="25" t="s">
        <v>270</v>
      </c>
      <c r="D13" s="26" t="n">
        <v>24</v>
      </c>
      <c r="E13" s="27" t="n">
        <v>7.61978875828839</v>
      </c>
      <c r="F13" s="27" t="n">
        <v>7.61978875828839</v>
      </c>
      <c r="G13" s="25" t="s">
        <v>266</v>
      </c>
      <c r="H13" s="25" t="s">
        <v>267</v>
      </c>
      <c r="I13" s="25" t="n">
        <f aca="false">IFERROR(IF(INDEX(Documents!$C$5:$C$657,MATCH(H13,Documents!$A$5:$A$657,0))="","",INDEX(Documents!$C$5:$C$657,MATCH(H13,Documents!$A$5:$A$657,0))),"")</f>
        <v>2021</v>
      </c>
      <c r="J13" s="25" t="str">
        <f aca="false">IFERROR(IF(INDEX(Documents!$D$5:$D$657,MATCH(H13,Documents!$A$5:$A$657,0))="","",INDEX(Documents!$D$5:$D$657,MATCH(H13,Documents!$A$5:$A$657,0))),"")</f>
        <v>J Med Chem</v>
      </c>
      <c r="K13" s="25" t="str">
        <f aca="false">IFERROR(IF(INDEX(Documents!$G$5:$G$657,MATCH(H13,Documents!$A$5:$A$657,0))="","",INDEX(Documents!$G$5:$G$657,MATCH(H13,Documents!$A$5:$A$657,0))),"")</f>
        <v>10.1021/acs.jmedchem.1c00442</v>
      </c>
      <c r="L13" s="25" t="s">
        <v>268</v>
      </c>
    </row>
    <row r="14" customFormat="false" ht="15" hidden="false" customHeight="false" outlineLevel="0" collapsed="false">
      <c r="A14" s="25" t="n">
        <v>16270295</v>
      </c>
      <c r="B14" s="25" t="s">
        <v>271</v>
      </c>
      <c r="C14" s="25" t="s">
        <v>272</v>
      </c>
      <c r="D14" s="26" t="n">
        <v>15</v>
      </c>
      <c r="E14" s="27" t="n">
        <v>7.82390874094432</v>
      </c>
      <c r="F14" s="27" t="n">
        <v>7.82390874094432</v>
      </c>
      <c r="G14" s="25" t="s">
        <v>273</v>
      </c>
      <c r="H14" s="25" t="s">
        <v>274</v>
      </c>
      <c r="I14" s="25" t="n">
        <f aca="false">IFERROR(IF(INDEX(Documents!$C$5:$C$657,MATCH(H14,Documents!$A$5:$A$657,0))="","",INDEX(Documents!$C$5:$C$657,MATCH(H14,Documents!$A$5:$A$657,0))),"")</f>
        <v>2014</v>
      </c>
      <c r="J14" s="25" t="str">
        <f aca="false">IFERROR(IF(INDEX(Documents!$D$5:$D$657,MATCH(H14,Documents!$A$5:$A$657,0))="","",INDEX(Documents!$D$5:$D$657,MATCH(H14,Documents!$A$5:$A$657,0))),"")</f>
        <v/>
      </c>
      <c r="K14" s="25" t="str">
        <f aca="false">IFERROR(IF(INDEX(Documents!$G$5:$G$657,MATCH(H14,Documents!$A$5:$A$657,0))="","",INDEX(Documents!$G$5:$G$657,MATCH(H14,Documents!$A$5:$A$657,0))),"")</f>
        <v/>
      </c>
      <c r="L14" s="25" t="s">
        <v>275</v>
      </c>
    </row>
    <row r="15" customFormat="false" ht="15" hidden="false" customHeight="false" outlineLevel="0" collapsed="false">
      <c r="A15" s="25" t="n">
        <v>18560295</v>
      </c>
      <c r="B15" s="25" t="s">
        <v>276</v>
      </c>
      <c r="C15" s="25" t="s">
        <v>277</v>
      </c>
      <c r="D15" s="26" t="n">
        <v>11.2</v>
      </c>
      <c r="E15" s="27" t="n">
        <v>7.95078197732982</v>
      </c>
      <c r="F15" s="27" t="n">
        <v>7.95078197732982</v>
      </c>
      <c r="G15" s="25" t="s">
        <v>278</v>
      </c>
      <c r="H15" s="25" t="s">
        <v>279</v>
      </c>
      <c r="I15" s="25" t="n">
        <f aca="false">IFERROR(IF(INDEX(Documents!$C$5:$C$657,MATCH(H15,Documents!$A$5:$A$657,0))="","",INDEX(Documents!$C$5:$C$657,MATCH(H15,Documents!$A$5:$A$657,0))),"")</f>
        <v>2018</v>
      </c>
      <c r="J15" s="25" t="str">
        <f aca="false">IFERROR(IF(INDEX(Documents!$D$5:$D$657,MATCH(H15,Documents!$A$5:$A$657,0))="","",INDEX(Documents!$D$5:$D$657,MATCH(H15,Documents!$A$5:$A$657,0))),"")</f>
        <v>J Med Chem</v>
      </c>
      <c r="K15" s="25" t="str">
        <f aca="false">IFERROR(IF(INDEX(Documents!$G$5:$G$657,MATCH(H15,Documents!$A$5:$A$657,0))="","",INDEX(Documents!$G$5:$G$657,MATCH(H15,Documents!$A$5:$A$657,0))),"")</f>
        <v>10.1021/acs.jmedchem.8b00611</v>
      </c>
      <c r="L15" s="25" t="s">
        <v>280</v>
      </c>
    </row>
    <row r="16" customFormat="false" ht="15" hidden="false" customHeight="false" outlineLevel="0" collapsed="false">
      <c r="A16" s="25" t="n">
        <v>3398984</v>
      </c>
      <c r="B16" s="25" t="s">
        <v>281</v>
      </c>
      <c r="C16" s="25" t="s">
        <v>282</v>
      </c>
      <c r="D16" s="26" t="n">
        <v>49.8</v>
      </c>
      <c r="E16" s="27" t="n">
        <v>7.30277065724028</v>
      </c>
      <c r="F16" s="27" t="n">
        <v>7.30277065724028</v>
      </c>
      <c r="G16" s="25" t="s">
        <v>283</v>
      </c>
      <c r="H16" s="25" t="s">
        <v>284</v>
      </c>
      <c r="I16" s="25" t="n">
        <f aca="false">IFERROR(IF(INDEX(Documents!$C$5:$C$657,MATCH(H16,Documents!$A$5:$A$657,0))="","",INDEX(Documents!$C$5:$C$657,MATCH(H16,Documents!$A$5:$A$657,0))),"")</f>
        <v>2010</v>
      </c>
      <c r="J16" s="25" t="str">
        <f aca="false">IFERROR(IF(INDEX(Documents!$D$5:$D$657,MATCH(H16,Documents!$A$5:$A$657,0))="","",INDEX(Documents!$D$5:$D$657,MATCH(H16,Documents!$A$5:$A$657,0))),"")</f>
        <v>J Med Chem</v>
      </c>
      <c r="K16" s="25" t="str">
        <f aca="false">IFERROR(IF(INDEX(Documents!$G$5:$G$657,MATCH(H16,Documents!$A$5:$A$657,0))="","",INDEX(Documents!$G$5:$G$657,MATCH(H16,Documents!$A$5:$A$657,0))),"")</f>
        <v>10.1021/jm100123x</v>
      </c>
      <c r="L16" s="25" t="s">
        <v>285</v>
      </c>
    </row>
    <row r="17" customFormat="false" ht="15" hidden="false" customHeight="false" outlineLevel="0" collapsed="false">
      <c r="A17" s="25" t="n">
        <v>3398975</v>
      </c>
      <c r="B17" s="25" t="s">
        <v>286</v>
      </c>
      <c r="C17" s="25" t="s">
        <v>287</v>
      </c>
      <c r="D17" s="26" t="n">
        <v>8.8</v>
      </c>
      <c r="E17" s="27" t="n">
        <v>8.05551732784983</v>
      </c>
      <c r="F17" s="27" t="n">
        <v>8.05551732784983</v>
      </c>
      <c r="G17" s="25" t="s">
        <v>283</v>
      </c>
      <c r="H17" s="25" t="s">
        <v>284</v>
      </c>
      <c r="I17" s="25" t="n">
        <f aca="false">IFERROR(IF(INDEX(Documents!$C$5:$C$657,MATCH(H17,Documents!$A$5:$A$657,0))="","",INDEX(Documents!$C$5:$C$657,MATCH(H17,Documents!$A$5:$A$657,0))),"")</f>
        <v>2010</v>
      </c>
      <c r="J17" s="25" t="str">
        <f aca="false">IFERROR(IF(INDEX(Documents!$D$5:$D$657,MATCH(H17,Documents!$A$5:$A$657,0))="","",INDEX(Documents!$D$5:$D$657,MATCH(H17,Documents!$A$5:$A$657,0))),"")</f>
        <v>J Med Chem</v>
      </c>
      <c r="K17" s="25" t="str">
        <f aca="false">IFERROR(IF(INDEX(Documents!$G$5:$G$657,MATCH(H17,Documents!$A$5:$A$657,0))="","",INDEX(Documents!$G$5:$G$657,MATCH(H17,Documents!$A$5:$A$657,0))),"")</f>
        <v>10.1021/jm100123x</v>
      </c>
      <c r="L17" s="25" t="s">
        <v>285</v>
      </c>
    </row>
    <row r="18" customFormat="false" ht="15" hidden="false" customHeight="false" outlineLevel="0" collapsed="false">
      <c r="A18" s="25" t="n">
        <v>27788318</v>
      </c>
      <c r="B18" s="25" t="s">
        <v>288</v>
      </c>
      <c r="C18" s="25" t="s">
        <v>289</v>
      </c>
      <c r="D18" s="26" t="n">
        <v>81.4</v>
      </c>
      <c r="E18" s="27" t="n">
        <v>7.0893755951108</v>
      </c>
      <c r="F18" s="27" t="n">
        <v>7.0893755951108</v>
      </c>
      <c r="G18" s="25" t="s">
        <v>248</v>
      </c>
      <c r="H18" s="25" t="s">
        <v>249</v>
      </c>
      <c r="I18" s="25" t="n">
        <f aca="false">IFERROR(IF(INDEX(Documents!$C$5:$C$657,MATCH(H18,Documents!$A$5:$A$657,0))="","",INDEX(Documents!$C$5:$C$657,MATCH(H18,Documents!$A$5:$A$657,0))),"")</f>
        <v>2019</v>
      </c>
      <c r="J18" s="25" t="str">
        <f aca="false">IFERROR(IF(INDEX(Documents!$D$5:$D$657,MATCH(H18,Documents!$A$5:$A$657,0))="","",INDEX(Documents!$D$5:$D$657,MATCH(H18,Documents!$A$5:$A$657,0))),"")</f>
        <v/>
      </c>
      <c r="K18" s="25" t="str">
        <f aca="false">IFERROR(IF(INDEX(Documents!$G$5:$G$657,MATCH(H18,Documents!$A$5:$A$657,0))="","",INDEX(Documents!$G$5:$G$657,MATCH(H18,Documents!$A$5:$A$657,0))),"")</f>
        <v/>
      </c>
      <c r="L18" s="25" t="s">
        <v>250</v>
      </c>
    </row>
    <row r="19" customFormat="false" ht="15" hidden="false" customHeight="false" outlineLevel="0" collapsed="false">
      <c r="A19" s="25" t="n">
        <v>27788321</v>
      </c>
      <c r="B19" s="25" t="s">
        <v>290</v>
      </c>
      <c r="C19" s="25" t="s">
        <v>291</v>
      </c>
      <c r="D19" s="26" t="n">
        <v>99.2</v>
      </c>
      <c r="E19" s="27" t="n">
        <v>7.00348832784582</v>
      </c>
      <c r="F19" s="27" t="n">
        <v>7.00348832784582</v>
      </c>
      <c r="G19" s="25" t="s">
        <v>248</v>
      </c>
      <c r="H19" s="25" t="s">
        <v>249</v>
      </c>
      <c r="I19" s="25" t="n">
        <f aca="false">IFERROR(IF(INDEX(Documents!$C$5:$C$657,MATCH(H19,Documents!$A$5:$A$657,0))="","",INDEX(Documents!$C$5:$C$657,MATCH(H19,Documents!$A$5:$A$657,0))),"")</f>
        <v>2019</v>
      </c>
      <c r="J19" s="25" t="str">
        <f aca="false">IFERROR(IF(INDEX(Documents!$D$5:$D$657,MATCH(H19,Documents!$A$5:$A$657,0))="","",INDEX(Documents!$D$5:$D$657,MATCH(H19,Documents!$A$5:$A$657,0))),"")</f>
        <v/>
      </c>
      <c r="K19" s="25" t="str">
        <f aca="false">IFERROR(IF(INDEX(Documents!$G$5:$G$657,MATCH(H19,Documents!$A$5:$A$657,0))="","",INDEX(Documents!$G$5:$G$657,MATCH(H19,Documents!$A$5:$A$657,0))),"")</f>
        <v/>
      </c>
      <c r="L19" s="25" t="s">
        <v>250</v>
      </c>
    </row>
    <row r="20" customFormat="false" ht="15" hidden="false" customHeight="false" outlineLevel="0" collapsed="false">
      <c r="A20" s="25" t="n">
        <v>27788315</v>
      </c>
      <c r="B20" s="25" t="s">
        <v>292</v>
      </c>
      <c r="C20" s="25" t="s">
        <v>293</v>
      </c>
      <c r="D20" s="26" t="n">
        <v>1074</v>
      </c>
      <c r="E20" s="27" t="n">
        <v>5.96899571863646</v>
      </c>
      <c r="F20" s="27" t="n">
        <v>5.96899571863646</v>
      </c>
      <c r="G20" s="25" t="s">
        <v>248</v>
      </c>
      <c r="H20" s="25" t="s">
        <v>249</v>
      </c>
      <c r="I20" s="25" t="n">
        <f aca="false">IFERROR(IF(INDEX(Documents!$C$5:$C$657,MATCH(H20,Documents!$A$5:$A$657,0))="","",INDEX(Documents!$C$5:$C$657,MATCH(H20,Documents!$A$5:$A$657,0))),"")</f>
        <v>2019</v>
      </c>
      <c r="J20" s="25" t="str">
        <f aca="false">IFERROR(IF(INDEX(Documents!$D$5:$D$657,MATCH(H20,Documents!$A$5:$A$657,0))="","",INDEX(Documents!$D$5:$D$657,MATCH(H20,Documents!$A$5:$A$657,0))),"")</f>
        <v/>
      </c>
      <c r="K20" s="25" t="str">
        <f aca="false">IFERROR(IF(INDEX(Documents!$G$5:$G$657,MATCH(H20,Documents!$A$5:$A$657,0))="","",INDEX(Documents!$G$5:$G$657,MATCH(H20,Documents!$A$5:$A$657,0))),"")</f>
        <v/>
      </c>
      <c r="L20" s="25" t="s">
        <v>250</v>
      </c>
    </row>
    <row r="21" customFormat="false" ht="15" hidden="false" customHeight="false" outlineLevel="0" collapsed="false">
      <c r="A21" s="25" t="n">
        <v>27788324</v>
      </c>
      <c r="B21" s="25" t="s">
        <v>294</v>
      </c>
      <c r="C21" s="25" t="s">
        <v>295</v>
      </c>
      <c r="D21" s="26" t="n">
        <v>358</v>
      </c>
      <c r="E21" s="27" t="n">
        <v>6.44611697335613</v>
      </c>
      <c r="F21" s="27" t="n">
        <v>6.44611697335613</v>
      </c>
      <c r="G21" s="25" t="s">
        <v>248</v>
      </c>
      <c r="H21" s="25" t="s">
        <v>249</v>
      </c>
      <c r="I21" s="25" t="n">
        <f aca="false">IFERROR(IF(INDEX(Documents!$C$5:$C$657,MATCH(H21,Documents!$A$5:$A$657,0))="","",INDEX(Documents!$C$5:$C$657,MATCH(H21,Documents!$A$5:$A$657,0))),"")</f>
        <v>2019</v>
      </c>
      <c r="J21" s="25" t="str">
        <f aca="false">IFERROR(IF(INDEX(Documents!$D$5:$D$657,MATCH(H21,Documents!$A$5:$A$657,0))="","",INDEX(Documents!$D$5:$D$657,MATCH(H21,Documents!$A$5:$A$657,0))),"")</f>
        <v/>
      </c>
      <c r="K21" s="25" t="str">
        <f aca="false">IFERROR(IF(INDEX(Documents!$G$5:$G$657,MATCH(H21,Documents!$A$5:$A$657,0))="","",INDEX(Documents!$G$5:$G$657,MATCH(H21,Documents!$A$5:$A$657,0))),"")</f>
        <v/>
      </c>
      <c r="L21" s="25" t="s">
        <v>250</v>
      </c>
    </row>
    <row r="22" customFormat="false" ht="15" hidden="false" customHeight="false" outlineLevel="0" collapsed="false">
      <c r="A22" s="25" t="n">
        <v>27788069</v>
      </c>
      <c r="B22" s="25" t="s">
        <v>296</v>
      </c>
      <c r="C22" s="25" t="s">
        <v>297</v>
      </c>
      <c r="D22" s="26" t="n">
        <v>9</v>
      </c>
      <c r="E22" s="27" t="n">
        <v>8.04575749056068</v>
      </c>
      <c r="F22" s="27" t="n">
        <v>8.04575749056068</v>
      </c>
      <c r="G22" s="25" t="s">
        <v>255</v>
      </c>
      <c r="H22" s="25" t="s">
        <v>256</v>
      </c>
      <c r="I22" s="25" t="n">
        <f aca="false">IFERROR(IF(INDEX(Documents!$C$5:$C$657,MATCH(H22,Documents!$A$5:$A$657,0))="","",INDEX(Documents!$C$5:$C$657,MATCH(H22,Documents!$A$5:$A$657,0))),"")</f>
        <v>2019</v>
      </c>
      <c r="J22" s="25" t="str">
        <f aca="false">IFERROR(IF(INDEX(Documents!$D$5:$D$657,MATCH(H22,Documents!$A$5:$A$657,0))="","",INDEX(Documents!$D$5:$D$657,MATCH(H22,Documents!$A$5:$A$657,0))),"")</f>
        <v/>
      </c>
      <c r="K22" s="25" t="str">
        <f aca="false">IFERROR(IF(INDEX(Documents!$G$5:$G$657,MATCH(H22,Documents!$A$5:$A$657,0))="","",INDEX(Documents!$G$5:$G$657,MATCH(H22,Documents!$A$5:$A$657,0))),"")</f>
        <v/>
      </c>
      <c r="L22" s="25" t="s">
        <v>250</v>
      </c>
    </row>
    <row r="23" customFormat="false" ht="15" hidden="false" customHeight="false" outlineLevel="0" collapsed="false">
      <c r="A23" s="25" t="n">
        <v>27788066</v>
      </c>
      <c r="B23" s="25" t="s">
        <v>298</v>
      </c>
      <c r="C23" s="25" t="s">
        <v>299</v>
      </c>
      <c r="D23" s="26" t="n">
        <v>31</v>
      </c>
      <c r="E23" s="27" t="n">
        <v>7.50863830616573</v>
      </c>
      <c r="F23" s="27" t="n">
        <v>7.50863830616573</v>
      </c>
      <c r="G23" s="25" t="s">
        <v>255</v>
      </c>
      <c r="H23" s="25" t="s">
        <v>256</v>
      </c>
      <c r="I23" s="25" t="n">
        <f aca="false">IFERROR(IF(INDEX(Documents!$C$5:$C$657,MATCH(H23,Documents!$A$5:$A$657,0))="","",INDEX(Documents!$C$5:$C$657,MATCH(H23,Documents!$A$5:$A$657,0))),"")</f>
        <v>2019</v>
      </c>
      <c r="J23" s="25" t="str">
        <f aca="false">IFERROR(IF(INDEX(Documents!$D$5:$D$657,MATCH(H23,Documents!$A$5:$A$657,0))="","",INDEX(Documents!$D$5:$D$657,MATCH(H23,Documents!$A$5:$A$657,0))),"")</f>
        <v/>
      </c>
      <c r="K23" s="25" t="str">
        <f aca="false">IFERROR(IF(INDEX(Documents!$G$5:$G$657,MATCH(H23,Documents!$A$5:$A$657,0))="","",INDEX(Documents!$G$5:$G$657,MATCH(H23,Documents!$A$5:$A$657,0))),"")</f>
        <v/>
      </c>
      <c r="L23" s="25" t="s">
        <v>250</v>
      </c>
    </row>
    <row r="24" customFormat="false" ht="15" hidden="false" customHeight="false" outlineLevel="0" collapsed="false">
      <c r="A24" s="25" t="n">
        <v>27788072</v>
      </c>
      <c r="B24" s="25" t="s">
        <v>300</v>
      </c>
      <c r="C24" s="25" t="s">
        <v>301</v>
      </c>
      <c r="D24" s="26" t="n">
        <v>12</v>
      </c>
      <c r="E24" s="27" t="n">
        <v>7.92081875395238</v>
      </c>
      <c r="F24" s="27" t="n">
        <v>7.92081875395238</v>
      </c>
      <c r="G24" s="25" t="s">
        <v>255</v>
      </c>
      <c r="H24" s="25" t="s">
        <v>256</v>
      </c>
      <c r="I24" s="25" t="n">
        <f aca="false">IFERROR(IF(INDEX(Documents!$C$5:$C$657,MATCH(H24,Documents!$A$5:$A$657,0))="","",INDEX(Documents!$C$5:$C$657,MATCH(H24,Documents!$A$5:$A$657,0))),"")</f>
        <v>2019</v>
      </c>
      <c r="J24" s="25" t="str">
        <f aca="false">IFERROR(IF(INDEX(Documents!$D$5:$D$657,MATCH(H24,Documents!$A$5:$A$657,0))="","",INDEX(Documents!$D$5:$D$657,MATCH(H24,Documents!$A$5:$A$657,0))),"")</f>
        <v/>
      </c>
      <c r="K24" s="25" t="str">
        <f aca="false">IFERROR(IF(INDEX(Documents!$G$5:$G$657,MATCH(H24,Documents!$A$5:$A$657,0))="","",INDEX(Documents!$G$5:$G$657,MATCH(H24,Documents!$A$5:$A$657,0))),"")</f>
        <v/>
      </c>
      <c r="L24" s="25" t="s">
        <v>250</v>
      </c>
    </row>
    <row r="25" customFormat="false" ht="15" hidden="false" customHeight="false" outlineLevel="0" collapsed="false">
      <c r="A25" s="25" t="n">
        <v>27788075</v>
      </c>
      <c r="B25" s="25" t="s">
        <v>302</v>
      </c>
      <c r="C25" s="25" t="s">
        <v>303</v>
      </c>
      <c r="D25" s="26" t="n">
        <v>58</v>
      </c>
      <c r="E25" s="27" t="n">
        <v>7.23657200643706</v>
      </c>
      <c r="F25" s="27" t="n">
        <v>7.23657200643706</v>
      </c>
      <c r="G25" s="25" t="s">
        <v>255</v>
      </c>
      <c r="H25" s="25" t="s">
        <v>256</v>
      </c>
      <c r="I25" s="25" t="n">
        <f aca="false">IFERROR(IF(INDEX(Documents!$C$5:$C$657,MATCH(H25,Documents!$A$5:$A$657,0))="","",INDEX(Documents!$C$5:$C$657,MATCH(H25,Documents!$A$5:$A$657,0))),"")</f>
        <v>2019</v>
      </c>
      <c r="J25" s="25" t="str">
        <f aca="false">IFERROR(IF(INDEX(Documents!$D$5:$D$657,MATCH(H25,Documents!$A$5:$A$657,0))="","",INDEX(Documents!$D$5:$D$657,MATCH(H25,Documents!$A$5:$A$657,0))),"")</f>
        <v/>
      </c>
      <c r="K25" s="25" t="str">
        <f aca="false">IFERROR(IF(INDEX(Documents!$G$5:$G$657,MATCH(H25,Documents!$A$5:$A$657,0))="","",INDEX(Documents!$G$5:$G$657,MATCH(H25,Documents!$A$5:$A$657,0))),"")</f>
        <v/>
      </c>
      <c r="L25" s="25" t="s">
        <v>250</v>
      </c>
    </row>
    <row r="26" customFormat="false" ht="15" hidden="false" customHeight="false" outlineLevel="0" collapsed="false">
      <c r="A26" s="25" t="n">
        <v>27787439</v>
      </c>
      <c r="B26" s="25" t="s">
        <v>304</v>
      </c>
      <c r="C26" s="25" t="s">
        <v>305</v>
      </c>
      <c r="D26" s="26" t="n">
        <v>421</v>
      </c>
      <c r="E26" s="27" t="n">
        <v>6.37571790416433</v>
      </c>
      <c r="F26" s="27" t="n">
        <v>6.37571790416433</v>
      </c>
      <c r="G26" s="25" t="s">
        <v>306</v>
      </c>
      <c r="H26" s="25" t="s">
        <v>307</v>
      </c>
      <c r="I26" s="25" t="n">
        <f aca="false">IFERROR(IF(INDEX(Documents!$C$5:$C$657,MATCH(H26,Documents!$A$5:$A$657,0))="","",INDEX(Documents!$C$5:$C$657,MATCH(H26,Documents!$A$5:$A$657,0))),"")</f>
        <v>2019</v>
      </c>
      <c r="J26" s="25" t="str">
        <f aca="false">IFERROR(IF(INDEX(Documents!$D$5:$D$657,MATCH(H26,Documents!$A$5:$A$657,0))="","",INDEX(Documents!$D$5:$D$657,MATCH(H26,Documents!$A$5:$A$657,0))),"")</f>
        <v/>
      </c>
      <c r="K26" s="25" t="str">
        <f aca="false">IFERROR(IF(INDEX(Documents!$G$5:$G$657,MATCH(H26,Documents!$A$5:$A$657,0))="","",INDEX(Documents!$G$5:$G$657,MATCH(H26,Documents!$A$5:$A$657,0))),"")</f>
        <v/>
      </c>
      <c r="L26" s="25" t="s">
        <v>250</v>
      </c>
    </row>
    <row r="27" customFormat="false" ht="15" hidden="false" customHeight="false" outlineLevel="0" collapsed="false">
      <c r="A27" s="25" t="n">
        <v>27788300</v>
      </c>
      <c r="B27" s="25" t="s">
        <v>308</v>
      </c>
      <c r="C27" s="25" t="s">
        <v>309</v>
      </c>
      <c r="D27" s="26" t="n">
        <v>1</v>
      </c>
      <c r="E27" s="27" t="n">
        <v>9</v>
      </c>
      <c r="F27" s="27" t="n">
        <v>9</v>
      </c>
      <c r="G27" s="25" t="s">
        <v>310</v>
      </c>
      <c r="H27" s="25" t="s">
        <v>311</v>
      </c>
      <c r="I27" s="25" t="n">
        <f aca="false">IFERROR(IF(INDEX(Documents!$C$5:$C$657,MATCH(H27,Documents!$A$5:$A$657,0))="","",INDEX(Documents!$C$5:$C$657,MATCH(H27,Documents!$A$5:$A$657,0))),"")</f>
        <v>2019</v>
      </c>
      <c r="J27" s="25" t="str">
        <f aca="false">IFERROR(IF(INDEX(Documents!$D$5:$D$657,MATCH(H27,Documents!$A$5:$A$657,0))="","",INDEX(Documents!$D$5:$D$657,MATCH(H27,Documents!$A$5:$A$657,0))),"")</f>
        <v/>
      </c>
      <c r="K27" s="25" t="str">
        <f aca="false">IFERROR(IF(INDEX(Documents!$G$5:$G$657,MATCH(H27,Documents!$A$5:$A$657,0))="","",INDEX(Documents!$G$5:$G$657,MATCH(H27,Documents!$A$5:$A$657,0))),"")</f>
        <v/>
      </c>
      <c r="L27" s="25" t="s">
        <v>312</v>
      </c>
    </row>
    <row r="28" customFormat="false" ht="15" hidden="false" customHeight="false" outlineLevel="0" collapsed="false">
      <c r="A28" s="25" t="n">
        <v>27788045</v>
      </c>
      <c r="B28" s="25" t="s">
        <v>313</v>
      </c>
      <c r="C28" s="25" t="s">
        <v>314</v>
      </c>
      <c r="D28" s="26" t="n">
        <v>5.6</v>
      </c>
      <c r="E28" s="27" t="n">
        <v>8.2518119729938</v>
      </c>
      <c r="F28" s="27" t="n">
        <v>8.2518119729938</v>
      </c>
      <c r="G28" s="25" t="s">
        <v>255</v>
      </c>
      <c r="H28" s="25" t="s">
        <v>256</v>
      </c>
      <c r="I28" s="25" t="n">
        <f aca="false">IFERROR(IF(INDEX(Documents!$C$5:$C$657,MATCH(H28,Documents!$A$5:$A$657,0))="","",INDEX(Documents!$C$5:$C$657,MATCH(H28,Documents!$A$5:$A$657,0))),"")</f>
        <v>2019</v>
      </c>
      <c r="J28" s="25" t="str">
        <f aca="false">IFERROR(IF(INDEX(Documents!$D$5:$D$657,MATCH(H28,Documents!$A$5:$A$657,0))="","",INDEX(Documents!$D$5:$D$657,MATCH(H28,Documents!$A$5:$A$657,0))),"")</f>
        <v/>
      </c>
      <c r="K28" s="25" t="str">
        <f aca="false">IFERROR(IF(INDEX(Documents!$G$5:$G$657,MATCH(H28,Documents!$A$5:$A$657,0))="","",INDEX(Documents!$G$5:$G$657,MATCH(H28,Documents!$A$5:$A$657,0))),"")</f>
        <v/>
      </c>
      <c r="L28" s="25" t="s">
        <v>250</v>
      </c>
    </row>
    <row r="29" customFormat="false" ht="15" hidden="false" customHeight="false" outlineLevel="0" collapsed="false">
      <c r="A29" s="25" t="n">
        <v>27788063</v>
      </c>
      <c r="B29" s="25" t="s">
        <v>315</v>
      </c>
      <c r="C29" s="25" t="s">
        <v>316</v>
      </c>
      <c r="D29" s="26" t="n">
        <v>19</v>
      </c>
      <c r="E29" s="27" t="n">
        <v>7.72124639904717</v>
      </c>
      <c r="F29" s="27" t="n">
        <v>7.72124639904717</v>
      </c>
      <c r="G29" s="25" t="s">
        <v>255</v>
      </c>
      <c r="H29" s="25" t="s">
        <v>256</v>
      </c>
      <c r="I29" s="25" t="n">
        <f aca="false">IFERROR(IF(INDEX(Documents!$C$5:$C$657,MATCH(H29,Documents!$A$5:$A$657,0))="","",INDEX(Documents!$C$5:$C$657,MATCH(H29,Documents!$A$5:$A$657,0))),"")</f>
        <v>2019</v>
      </c>
      <c r="J29" s="25" t="str">
        <f aca="false">IFERROR(IF(INDEX(Documents!$D$5:$D$657,MATCH(H29,Documents!$A$5:$A$657,0))="","",INDEX(Documents!$D$5:$D$657,MATCH(H29,Documents!$A$5:$A$657,0))),"")</f>
        <v/>
      </c>
      <c r="K29" s="25" t="str">
        <f aca="false">IFERROR(IF(INDEX(Documents!$G$5:$G$657,MATCH(H29,Documents!$A$5:$A$657,0))="","",INDEX(Documents!$G$5:$G$657,MATCH(H29,Documents!$A$5:$A$657,0))),"")</f>
        <v/>
      </c>
      <c r="L29" s="25" t="s">
        <v>250</v>
      </c>
    </row>
    <row r="30" customFormat="false" ht="15" hidden="false" customHeight="false" outlineLevel="0" collapsed="false">
      <c r="A30" s="25" t="n">
        <v>25720175</v>
      </c>
      <c r="B30" s="25" t="s">
        <v>317</v>
      </c>
      <c r="C30" s="25" t="s">
        <v>318</v>
      </c>
      <c r="D30" s="26" t="n">
        <v>10490</v>
      </c>
      <c r="E30" s="27" t="n">
        <v>4.97922451180644</v>
      </c>
      <c r="F30" s="27" t="n">
        <v>4.97922451180644</v>
      </c>
      <c r="G30" s="25" t="s">
        <v>319</v>
      </c>
      <c r="H30" s="25" t="s">
        <v>320</v>
      </c>
      <c r="I30" s="25" t="n">
        <f aca="false">IFERROR(IF(INDEX(Documents!$C$5:$C$657,MATCH(H30,Documents!$A$5:$A$657,0))="","",INDEX(Documents!$C$5:$C$657,MATCH(H30,Documents!$A$5:$A$657,0))),"")</f>
        <v>2023</v>
      </c>
      <c r="J30" s="25" t="str">
        <f aca="false">IFERROR(IF(INDEX(Documents!$D$5:$D$657,MATCH(H30,Documents!$A$5:$A$657,0))="","",INDEX(Documents!$D$5:$D$657,MATCH(H30,Documents!$A$5:$A$657,0))),"")</f>
        <v>J Nat Prod</v>
      </c>
      <c r="K30" s="25" t="str">
        <f aca="false">IFERROR(IF(INDEX(Documents!$G$5:$G$657,MATCH(H30,Documents!$A$5:$A$657,0))="","",INDEX(Documents!$G$5:$G$657,MATCH(H30,Documents!$A$5:$A$657,0))),"")</f>
        <v>10.1021/acs.jnatprod.3c00282</v>
      </c>
      <c r="L30" s="25" t="s">
        <v>321</v>
      </c>
    </row>
    <row r="31" customFormat="false" ht="15" hidden="false" customHeight="false" outlineLevel="0" collapsed="false">
      <c r="A31" s="25" t="n">
        <v>25720173</v>
      </c>
      <c r="B31" s="25" t="s">
        <v>322</v>
      </c>
      <c r="C31" s="25" t="s">
        <v>323</v>
      </c>
      <c r="D31" s="26" t="n">
        <v>990</v>
      </c>
      <c r="E31" s="27" t="n">
        <v>6.00436480540245</v>
      </c>
      <c r="F31" s="27" t="n">
        <v>6.00436480540245</v>
      </c>
      <c r="G31" s="25" t="s">
        <v>319</v>
      </c>
      <c r="H31" s="25" t="s">
        <v>320</v>
      </c>
      <c r="I31" s="25" t="n">
        <f aca="false">IFERROR(IF(INDEX(Documents!$C$5:$C$657,MATCH(H31,Documents!$A$5:$A$657,0))="","",INDEX(Documents!$C$5:$C$657,MATCH(H31,Documents!$A$5:$A$657,0))),"")</f>
        <v>2023</v>
      </c>
      <c r="J31" s="25" t="str">
        <f aca="false">IFERROR(IF(INDEX(Documents!$D$5:$D$657,MATCH(H31,Documents!$A$5:$A$657,0))="","",INDEX(Documents!$D$5:$D$657,MATCH(H31,Documents!$A$5:$A$657,0))),"")</f>
        <v>J Nat Prod</v>
      </c>
      <c r="K31" s="25" t="str">
        <f aca="false">IFERROR(IF(INDEX(Documents!$G$5:$G$657,MATCH(H31,Documents!$A$5:$A$657,0))="","",INDEX(Documents!$G$5:$G$657,MATCH(H31,Documents!$A$5:$A$657,0))),"")</f>
        <v>10.1021/acs.jnatprod.3c00282</v>
      </c>
      <c r="L31" s="25" t="s">
        <v>321</v>
      </c>
    </row>
    <row r="32" customFormat="false" ht="15" hidden="false" customHeight="false" outlineLevel="0" collapsed="false">
      <c r="A32" s="25" t="n">
        <v>16299615</v>
      </c>
      <c r="B32" s="25" t="s">
        <v>324</v>
      </c>
      <c r="C32" s="25" t="s">
        <v>325</v>
      </c>
      <c r="D32" s="26" t="n">
        <v>4.4</v>
      </c>
      <c r="E32" s="27" t="n">
        <v>8.35654732351381</v>
      </c>
      <c r="F32" s="27" t="n">
        <v>8.35654732351381</v>
      </c>
      <c r="G32" s="25" t="s">
        <v>326</v>
      </c>
      <c r="H32" s="25" t="s">
        <v>327</v>
      </c>
      <c r="I32" s="25" t="n">
        <f aca="false">IFERROR(IF(INDEX(Documents!$C$5:$C$657,MATCH(H32,Documents!$A$5:$A$657,0))="","",INDEX(Documents!$C$5:$C$657,MATCH(H32,Documents!$A$5:$A$657,0))),"")</f>
        <v>2014</v>
      </c>
      <c r="J32" s="25" t="str">
        <f aca="false">IFERROR(IF(INDEX(Documents!$D$5:$D$657,MATCH(H32,Documents!$A$5:$A$657,0))="","",INDEX(Documents!$D$5:$D$657,MATCH(H32,Documents!$A$5:$A$657,0))),"")</f>
        <v/>
      </c>
      <c r="K32" s="25" t="str">
        <f aca="false">IFERROR(IF(INDEX(Documents!$G$5:$G$657,MATCH(H32,Documents!$A$5:$A$657,0))="","",INDEX(Documents!$G$5:$G$657,MATCH(H32,Documents!$A$5:$A$657,0))),"")</f>
        <v/>
      </c>
      <c r="L32" s="25" t="s">
        <v>328</v>
      </c>
    </row>
    <row r="33" customFormat="false" ht="15" hidden="false" customHeight="false" outlineLevel="0" collapsed="false">
      <c r="A33" s="25" t="n">
        <v>16300253</v>
      </c>
      <c r="B33" s="25" t="s">
        <v>329</v>
      </c>
      <c r="C33" s="25" t="s">
        <v>330</v>
      </c>
      <c r="D33" s="26" t="n">
        <v>85</v>
      </c>
      <c r="E33" s="27" t="n">
        <v>7.07058107428571</v>
      </c>
      <c r="F33" s="27" t="n">
        <v>7.07058107428571</v>
      </c>
      <c r="G33" s="25" t="s">
        <v>326</v>
      </c>
      <c r="H33" s="25" t="s">
        <v>327</v>
      </c>
      <c r="I33" s="25" t="n">
        <f aca="false">IFERROR(IF(INDEX(Documents!$C$5:$C$657,MATCH(H33,Documents!$A$5:$A$657,0))="","",INDEX(Documents!$C$5:$C$657,MATCH(H33,Documents!$A$5:$A$657,0))),"")</f>
        <v>2014</v>
      </c>
      <c r="J33" s="25" t="str">
        <f aca="false">IFERROR(IF(INDEX(Documents!$D$5:$D$657,MATCH(H33,Documents!$A$5:$A$657,0))="","",INDEX(Documents!$D$5:$D$657,MATCH(H33,Documents!$A$5:$A$657,0))),"")</f>
        <v/>
      </c>
      <c r="K33" s="25" t="str">
        <f aca="false">IFERROR(IF(INDEX(Documents!$G$5:$G$657,MATCH(H33,Documents!$A$5:$A$657,0))="","",INDEX(Documents!$G$5:$G$657,MATCH(H33,Documents!$A$5:$A$657,0))),"")</f>
        <v/>
      </c>
      <c r="L33" s="25" t="s">
        <v>328</v>
      </c>
    </row>
    <row r="34" customFormat="false" ht="15" hidden="false" customHeight="false" outlineLevel="0" collapsed="false">
      <c r="A34" s="25" t="n">
        <v>16328718</v>
      </c>
      <c r="B34" s="25" t="s">
        <v>331</v>
      </c>
      <c r="C34" s="25" t="s">
        <v>332</v>
      </c>
      <c r="D34" s="26" t="n">
        <v>1.8</v>
      </c>
      <c r="E34" s="27" t="n">
        <v>8.74472749489669</v>
      </c>
      <c r="F34" s="27" t="n">
        <v>8.74472749489669</v>
      </c>
      <c r="G34" s="25" t="s">
        <v>326</v>
      </c>
      <c r="H34" s="25" t="s">
        <v>327</v>
      </c>
      <c r="I34" s="25" t="n">
        <f aca="false">IFERROR(IF(INDEX(Documents!$C$5:$C$657,MATCH(H34,Documents!$A$5:$A$657,0))="","",INDEX(Documents!$C$5:$C$657,MATCH(H34,Documents!$A$5:$A$657,0))),"")</f>
        <v>2014</v>
      </c>
      <c r="J34" s="25" t="str">
        <f aca="false">IFERROR(IF(INDEX(Documents!$D$5:$D$657,MATCH(H34,Documents!$A$5:$A$657,0))="","",INDEX(Documents!$D$5:$D$657,MATCH(H34,Documents!$A$5:$A$657,0))),"")</f>
        <v/>
      </c>
      <c r="K34" s="25" t="str">
        <f aca="false">IFERROR(IF(INDEX(Documents!$G$5:$G$657,MATCH(H34,Documents!$A$5:$A$657,0))="","",INDEX(Documents!$G$5:$G$657,MATCH(H34,Documents!$A$5:$A$657,0))),"")</f>
        <v/>
      </c>
      <c r="L34" s="25" t="s">
        <v>328</v>
      </c>
    </row>
    <row r="35" customFormat="false" ht="15" hidden="false" customHeight="false" outlineLevel="0" collapsed="false">
      <c r="A35" s="25" t="n">
        <v>24419799</v>
      </c>
      <c r="B35" s="25" t="s">
        <v>333</v>
      </c>
      <c r="C35" s="25" t="s">
        <v>334</v>
      </c>
      <c r="D35" s="26" t="n">
        <v>43</v>
      </c>
      <c r="E35" s="27" t="n">
        <v>7.36653154442041</v>
      </c>
      <c r="F35" s="27" t="n">
        <v>7.36653154442041</v>
      </c>
      <c r="G35" s="25" t="s">
        <v>335</v>
      </c>
      <c r="H35" s="25" t="s">
        <v>336</v>
      </c>
      <c r="I35" s="25" t="n">
        <f aca="false">IFERROR(IF(INDEX(Documents!$C$5:$C$657,MATCH(H35,Documents!$A$5:$A$657,0))="","",INDEX(Documents!$C$5:$C$657,MATCH(H35,Documents!$A$5:$A$657,0))),"")</f>
        <v>2022</v>
      </c>
      <c r="J35" s="25" t="str">
        <f aca="false">IFERROR(IF(INDEX(Documents!$D$5:$D$657,MATCH(H35,Documents!$A$5:$A$657,0))="","",INDEX(Documents!$D$5:$D$657,MATCH(H35,Documents!$A$5:$A$657,0))),"")</f>
        <v>J Med Chem</v>
      </c>
      <c r="K35" s="25" t="str">
        <f aca="false">IFERROR(IF(INDEX(Documents!$G$5:$G$657,MATCH(H35,Documents!$A$5:$A$657,0))="","",INDEX(Documents!$G$5:$G$657,MATCH(H35,Documents!$A$5:$A$657,0))),"")</f>
        <v>10.1021/acs.jmedchem.1c01836</v>
      </c>
      <c r="L35" s="25" t="s">
        <v>337</v>
      </c>
    </row>
    <row r="36" customFormat="false" ht="15" hidden="false" customHeight="false" outlineLevel="0" collapsed="false">
      <c r="A36" s="25" t="n">
        <v>19371520</v>
      </c>
      <c r="B36" s="25" t="s">
        <v>338</v>
      </c>
      <c r="C36" s="25" t="s">
        <v>339</v>
      </c>
      <c r="D36" s="26" t="n">
        <v>9044</v>
      </c>
      <c r="E36" s="27" t="n">
        <v>5.04363944632668</v>
      </c>
      <c r="F36" s="27" t="n">
        <v>5.04363944632668</v>
      </c>
      <c r="G36" s="25" t="s">
        <v>340</v>
      </c>
      <c r="H36" s="25" t="s">
        <v>341</v>
      </c>
      <c r="I36" s="25" t="n">
        <f aca="false">IFERROR(IF(INDEX(Documents!$C$5:$C$657,MATCH(H36,Documents!$A$5:$A$657,0))="","",INDEX(Documents!$C$5:$C$657,MATCH(H36,Documents!$A$5:$A$657,0))),"")</f>
        <v>2019</v>
      </c>
      <c r="J36" s="25" t="str">
        <f aca="false">IFERROR(IF(INDEX(Documents!$D$5:$D$657,MATCH(H36,Documents!$A$5:$A$657,0))="","",INDEX(Documents!$D$5:$D$657,MATCH(H36,Documents!$A$5:$A$657,0))),"")</f>
        <v>J Nat Prod</v>
      </c>
      <c r="K36" s="25" t="str">
        <f aca="false">IFERROR(IF(INDEX(Documents!$G$5:$G$657,MATCH(H36,Documents!$A$5:$A$657,0))="","",INDEX(Documents!$G$5:$G$657,MATCH(H36,Documents!$A$5:$A$657,0))),"")</f>
        <v>10.1021/acs.jnatprod.8b00874</v>
      </c>
      <c r="L36" s="25" t="s">
        <v>342</v>
      </c>
    </row>
    <row r="37" customFormat="false" ht="15" hidden="false" customHeight="false" outlineLevel="0" collapsed="false">
      <c r="A37" s="25" t="n">
        <v>12679520</v>
      </c>
      <c r="B37" s="25" t="s">
        <v>343</v>
      </c>
      <c r="C37" s="25" t="s">
        <v>344</v>
      </c>
      <c r="D37" s="26" t="n">
        <v>3140</v>
      </c>
      <c r="E37" s="27" t="n">
        <v>5.50307035192679</v>
      </c>
      <c r="F37" s="27" t="n">
        <v>5.50307035192679</v>
      </c>
      <c r="G37" s="25" t="s">
        <v>345</v>
      </c>
      <c r="H37" s="25" t="s">
        <v>346</v>
      </c>
      <c r="I37" s="25" t="n">
        <f aca="false">IFERROR(IF(INDEX(Documents!$C$5:$C$657,MATCH(H37,Documents!$A$5:$A$657,0))="","",INDEX(Documents!$C$5:$C$657,MATCH(H37,Documents!$A$5:$A$657,0))),"")</f>
        <v>2013</v>
      </c>
      <c r="J37" s="25" t="str">
        <f aca="false">IFERROR(IF(INDEX(Documents!$D$5:$D$657,MATCH(H37,Documents!$A$5:$A$657,0))="","",INDEX(Documents!$D$5:$D$657,MATCH(H37,Documents!$A$5:$A$657,0))),"")</f>
        <v>ACS Med Chem Lett</v>
      </c>
      <c r="K37" s="25" t="str">
        <f aca="false">IFERROR(IF(INDEX(Documents!$G$5:$G$657,MATCH(H37,Documents!$A$5:$A$657,0))="","",INDEX(Documents!$G$5:$G$657,MATCH(H37,Documents!$A$5:$A$657,0))),"")</f>
        <v>10.1021/ml300235q</v>
      </c>
      <c r="L37" s="25" t="s">
        <v>347</v>
      </c>
    </row>
    <row r="38" customFormat="false" ht="15" hidden="false" customHeight="false" outlineLevel="0" collapsed="false">
      <c r="A38" s="25" t="n">
        <v>19371517</v>
      </c>
      <c r="B38" s="25" t="s">
        <v>348</v>
      </c>
      <c r="C38" s="25" t="s">
        <v>349</v>
      </c>
      <c r="D38" s="26" t="n">
        <v>57</v>
      </c>
      <c r="E38" s="27" t="n">
        <v>7.24412514432751</v>
      </c>
      <c r="F38" s="27" t="n">
        <v>7.24412514432751</v>
      </c>
      <c r="G38" s="25" t="s">
        <v>350</v>
      </c>
      <c r="H38" s="25" t="s">
        <v>341</v>
      </c>
      <c r="I38" s="25" t="n">
        <f aca="false">IFERROR(IF(INDEX(Documents!$C$5:$C$657,MATCH(H38,Documents!$A$5:$A$657,0))="","",INDEX(Documents!$C$5:$C$657,MATCH(H38,Documents!$A$5:$A$657,0))),"")</f>
        <v>2019</v>
      </c>
      <c r="J38" s="25" t="str">
        <f aca="false">IFERROR(IF(INDEX(Documents!$D$5:$D$657,MATCH(H38,Documents!$A$5:$A$657,0))="","",INDEX(Documents!$D$5:$D$657,MATCH(H38,Documents!$A$5:$A$657,0))),"")</f>
        <v>J Nat Prod</v>
      </c>
      <c r="K38" s="25" t="str">
        <f aca="false">IFERROR(IF(INDEX(Documents!$G$5:$G$657,MATCH(H38,Documents!$A$5:$A$657,0))="","",INDEX(Documents!$G$5:$G$657,MATCH(H38,Documents!$A$5:$A$657,0))),"")</f>
        <v>10.1021/acs.jnatprod.8b00874</v>
      </c>
      <c r="L38" s="25" t="s">
        <v>351</v>
      </c>
    </row>
    <row r="39" customFormat="false" ht="15" hidden="false" customHeight="false" outlineLevel="0" collapsed="false">
      <c r="A39" s="25" t="n">
        <v>19371521</v>
      </c>
      <c r="B39" s="25" t="s">
        <v>352</v>
      </c>
      <c r="C39" s="25" t="s">
        <v>353</v>
      </c>
      <c r="D39" s="26" t="n">
        <v>4535</v>
      </c>
      <c r="E39" s="27" t="n">
        <v>5.34342270860389</v>
      </c>
      <c r="F39" s="27" t="n">
        <v>5.34342270860389</v>
      </c>
      <c r="G39" s="25" t="s">
        <v>340</v>
      </c>
      <c r="H39" s="25" t="s">
        <v>341</v>
      </c>
      <c r="I39" s="25" t="n">
        <f aca="false">IFERROR(IF(INDEX(Documents!$C$5:$C$657,MATCH(H39,Documents!$A$5:$A$657,0))="","",INDEX(Documents!$C$5:$C$657,MATCH(H39,Documents!$A$5:$A$657,0))),"")</f>
        <v>2019</v>
      </c>
      <c r="J39" s="25" t="str">
        <f aca="false">IFERROR(IF(INDEX(Documents!$D$5:$D$657,MATCH(H39,Documents!$A$5:$A$657,0))="","",INDEX(Documents!$D$5:$D$657,MATCH(H39,Documents!$A$5:$A$657,0))),"")</f>
        <v>J Nat Prod</v>
      </c>
      <c r="K39" s="25" t="str">
        <f aca="false">IFERROR(IF(INDEX(Documents!$G$5:$G$657,MATCH(H39,Documents!$A$5:$A$657,0))="","",INDEX(Documents!$G$5:$G$657,MATCH(H39,Documents!$A$5:$A$657,0))),"")</f>
        <v>10.1021/acs.jnatprod.8b00874</v>
      </c>
      <c r="L39" s="25" t="s">
        <v>342</v>
      </c>
    </row>
    <row r="40" customFormat="false" ht="15" hidden="false" customHeight="false" outlineLevel="0" collapsed="false">
      <c r="A40" s="25" t="n">
        <v>1601623</v>
      </c>
      <c r="B40" s="25" t="s">
        <v>354</v>
      </c>
      <c r="C40" s="25" t="s">
        <v>355</v>
      </c>
      <c r="D40" s="26" t="n">
        <v>1126</v>
      </c>
      <c r="E40" s="27" t="n">
        <v>5.94846160948467</v>
      </c>
      <c r="F40" s="27" t="n">
        <v>5.94846160948467</v>
      </c>
      <c r="G40" s="25" t="s">
        <v>356</v>
      </c>
      <c r="H40" s="25" t="s">
        <v>357</v>
      </c>
      <c r="I40" s="25" t="n">
        <f aca="false">IFERROR(IF(INDEX(Documents!$C$5:$C$657,MATCH(H40,Documents!$A$5:$A$657,0))="","",INDEX(Documents!$C$5:$C$657,MATCH(H40,Documents!$A$5:$A$657,0))),"")</f>
        <v>2005</v>
      </c>
      <c r="J40" s="25" t="str">
        <f aca="false">IFERROR(IF(INDEX(Documents!$D$5:$D$657,MATCH(H40,Documents!$A$5:$A$657,0))="","",INDEX(Documents!$D$5:$D$657,MATCH(H40,Documents!$A$5:$A$657,0))),"")</f>
        <v>Bioorg Med Chem Lett</v>
      </c>
      <c r="K40" s="25" t="str">
        <f aca="false">IFERROR(IF(INDEX(Documents!$G$5:$G$657,MATCH(H40,Documents!$A$5:$A$657,0))="","",INDEX(Documents!$G$5:$G$657,MATCH(H40,Documents!$A$5:$A$657,0))),"")</f>
        <v>10.1016/j.bmcl.2005.07.054</v>
      </c>
      <c r="L40" s="25" t="s">
        <v>358</v>
      </c>
    </row>
    <row r="41" customFormat="false" ht="15" hidden="false" customHeight="false" outlineLevel="0" collapsed="false">
      <c r="A41" s="25" t="n">
        <v>1601613</v>
      </c>
      <c r="B41" s="25" t="s">
        <v>359</v>
      </c>
      <c r="C41" s="25" t="s">
        <v>360</v>
      </c>
      <c r="D41" s="26" t="n">
        <v>3835</v>
      </c>
      <c r="E41" s="27" t="n">
        <v>5.416234631715</v>
      </c>
      <c r="F41" s="27" t="n">
        <v>5.416234631715</v>
      </c>
      <c r="G41" s="25" t="s">
        <v>356</v>
      </c>
      <c r="H41" s="25" t="s">
        <v>357</v>
      </c>
      <c r="I41" s="25" t="n">
        <f aca="false">IFERROR(IF(INDEX(Documents!$C$5:$C$657,MATCH(H41,Documents!$A$5:$A$657,0))="","",INDEX(Documents!$C$5:$C$657,MATCH(H41,Documents!$A$5:$A$657,0))),"")</f>
        <v>2005</v>
      </c>
      <c r="J41" s="25" t="str">
        <f aca="false">IFERROR(IF(INDEX(Documents!$D$5:$D$657,MATCH(H41,Documents!$A$5:$A$657,0))="","",INDEX(Documents!$D$5:$D$657,MATCH(H41,Documents!$A$5:$A$657,0))),"")</f>
        <v>Bioorg Med Chem Lett</v>
      </c>
      <c r="K41" s="25" t="str">
        <f aca="false">IFERROR(IF(INDEX(Documents!$G$5:$G$657,MATCH(H41,Documents!$A$5:$A$657,0))="","",INDEX(Documents!$G$5:$G$657,MATCH(H41,Documents!$A$5:$A$657,0))),"")</f>
        <v>10.1016/j.bmcl.2005.07.054</v>
      </c>
      <c r="L41" s="25" t="s">
        <v>358</v>
      </c>
    </row>
    <row r="42" customFormat="false" ht="15" hidden="false" customHeight="false" outlineLevel="0" collapsed="false">
      <c r="A42" s="25" t="n">
        <v>1601636</v>
      </c>
      <c r="B42" s="25" t="s">
        <v>361</v>
      </c>
      <c r="C42" s="25" t="s">
        <v>362</v>
      </c>
      <c r="D42" s="26" t="n">
        <v>1601</v>
      </c>
      <c r="E42" s="27" t="n">
        <v>5.7956086680807</v>
      </c>
      <c r="F42" s="27" t="n">
        <v>5.7956086680807</v>
      </c>
      <c r="G42" s="25" t="s">
        <v>356</v>
      </c>
      <c r="H42" s="25" t="s">
        <v>357</v>
      </c>
      <c r="I42" s="25" t="n">
        <f aca="false">IFERROR(IF(INDEX(Documents!$C$5:$C$657,MATCH(H42,Documents!$A$5:$A$657,0))="","",INDEX(Documents!$C$5:$C$657,MATCH(H42,Documents!$A$5:$A$657,0))),"")</f>
        <v>2005</v>
      </c>
      <c r="J42" s="25" t="str">
        <f aca="false">IFERROR(IF(INDEX(Documents!$D$5:$D$657,MATCH(H42,Documents!$A$5:$A$657,0))="","",INDEX(Documents!$D$5:$D$657,MATCH(H42,Documents!$A$5:$A$657,0))),"")</f>
        <v>Bioorg Med Chem Lett</v>
      </c>
      <c r="K42" s="25" t="str">
        <f aca="false">IFERROR(IF(INDEX(Documents!$G$5:$G$657,MATCH(H42,Documents!$A$5:$A$657,0))="","",INDEX(Documents!$G$5:$G$657,MATCH(H42,Documents!$A$5:$A$657,0))),"")</f>
        <v>10.1016/j.bmcl.2005.07.054</v>
      </c>
      <c r="L42" s="25" t="s">
        <v>358</v>
      </c>
    </row>
    <row r="43" customFormat="false" ht="15" hidden="false" customHeight="false" outlineLevel="0" collapsed="false">
      <c r="A43" s="25" t="n">
        <v>1601639</v>
      </c>
      <c r="B43" s="25" t="s">
        <v>363</v>
      </c>
      <c r="C43" s="25" t="s">
        <v>364</v>
      </c>
      <c r="D43" s="26" t="n">
        <v>1032</v>
      </c>
      <c r="E43" s="27" t="n">
        <v>5.98632030270881</v>
      </c>
      <c r="F43" s="27" t="n">
        <v>5.98632030270881</v>
      </c>
      <c r="G43" s="25" t="s">
        <v>356</v>
      </c>
      <c r="H43" s="25" t="s">
        <v>357</v>
      </c>
      <c r="I43" s="25" t="n">
        <f aca="false">IFERROR(IF(INDEX(Documents!$C$5:$C$657,MATCH(H43,Documents!$A$5:$A$657,0))="","",INDEX(Documents!$C$5:$C$657,MATCH(H43,Documents!$A$5:$A$657,0))),"")</f>
        <v>2005</v>
      </c>
      <c r="J43" s="25" t="str">
        <f aca="false">IFERROR(IF(INDEX(Documents!$D$5:$D$657,MATCH(H43,Documents!$A$5:$A$657,0))="","",INDEX(Documents!$D$5:$D$657,MATCH(H43,Documents!$A$5:$A$657,0))),"")</f>
        <v>Bioorg Med Chem Lett</v>
      </c>
      <c r="K43" s="25" t="str">
        <f aca="false">IFERROR(IF(INDEX(Documents!$G$5:$G$657,MATCH(H43,Documents!$A$5:$A$657,0))="","",INDEX(Documents!$G$5:$G$657,MATCH(H43,Documents!$A$5:$A$657,0))),"")</f>
        <v>10.1016/j.bmcl.2005.07.054</v>
      </c>
      <c r="L43" s="25" t="s">
        <v>358</v>
      </c>
    </row>
    <row r="44" customFormat="false" ht="15" hidden="false" customHeight="false" outlineLevel="0" collapsed="false">
      <c r="A44" s="25" t="n">
        <v>1601642</v>
      </c>
      <c r="B44" s="25" t="s">
        <v>365</v>
      </c>
      <c r="C44" s="25" t="s">
        <v>366</v>
      </c>
      <c r="D44" s="26" t="n">
        <v>2584</v>
      </c>
      <c r="E44" s="27" t="n">
        <v>5.58770749067695</v>
      </c>
      <c r="F44" s="27" t="n">
        <v>5.58770749067695</v>
      </c>
      <c r="G44" s="25" t="s">
        <v>356</v>
      </c>
      <c r="H44" s="25" t="s">
        <v>357</v>
      </c>
      <c r="I44" s="25" t="n">
        <f aca="false">IFERROR(IF(INDEX(Documents!$C$5:$C$657,MATCH(H44,Documents!$A$5:$A$657,0))="","",INDEX(Documents!$C$5:$C$657,MATCH(H44,Documents!$A$5:$A$657,0))),"")</f>
        <v>2005</v>
      </c>
      <c r="J44" s="25" t="str">
        <f aca="false">IFERROR(IF(INDEX(Documents!$D$5:$D$657,MATCH(H44,Documents!$A$5:$A$657,0))="","",INDEX(Documents!$D$5:$D$657,MATCH(H44,Documents!$A$5:$A$657,0))),"")</f>
        <v>Bioorg Med Chem Lett</v>
      </c>
      <c r="K44" s="25" t="str">
        <f aca="false">IFERROR(IF(INDEX(Documents!$G$5:$G$657,MATCH(H44,Documents!$A$5:$A$657,0))="","",INDEX(Documents!$G$5:$G$657,MATCH(H44,Documents!$A$5:$A$657,0))),"")</f>
        <v>10.1016/j.bmcl.2005.07.054</v>
      </c>
      <c r="L44" s="25" t="s">
        <v>358</v>
      </c>
    </row>
    <row r="45" customFormat="false" ht="15" hidden="false" customHeight="false" outlineLevel="0" collapsed="false">
      <c r="A45" s="25" t="n">
        <v>1601663</v>
      </c>
      <c r="B45" s="25" t="s">
        <v>367</v>
      </c>
      <c r="C45" s="25" t="s">
        <v>368</v>
      </c>
      <c r="D45" s="26" t="n">
        <v>5372</v>
      </c>
      <c r="E45" s="27" t="n">
        <v>5.26986399600332</v>
      </c>
      <c r="F45" s="27" t="n">
        <v>5.26986399600332</v>
      </c>
      <c r="G45" s="25" t="s">
        <v>356</v>
      </c>
      <c r="H45" s="25" t="s">
        <v>357</v>
      </c>
      <c r="I45" s="25" t="n">
        <f aca="false">IFERROR(IF(INDEX(Documents!$C$5:$C$657,MATCH(H45,Documents!$A$5:$A$657,0))="","",INDEX(Documents!$C$5:$C$657,MATCH(H45,Documents!$A$5:$A$657,0))),"")</f>
        <v>2005</v>
      </c>
      <c r="J45" s="25" t="str">
        <f aca="false">IFERROR(IF(INDEX(Documents!$D$5:$D$657,MATCH(H45,Documents!$A$5:$A$657,0))="","",INDEX(Documents!$D$5:$D$657,MATCH(H45,Documents!$A$5:$A$657,0))),"")</f>
        <v>Bioorg Med Chem Lett</v>
      </c>
      <c r="K45" s="25" t="str">
        <f aca="false">IFERROR(IF(INDEX(Documents!$G$5:$G$657,MATCH(H45,Documents!$A$5:$A$657,0))="","",INDEX(Documents!$G$5:$G$657,MATCH(H45,Documents!$A$5:$A$657,0))),"")</f>
        <v>10.1016/j.bmcl.2005.07.054</v>
      </c>
      <c r="L45" s="25" t="s">
        <v>358</v>
      </c>
    </row>
    <row r="46" customFormat="false" ht="15" hidden="false" customHeight="false" outlineLevel="0" collapsed="false">
      <c r="A46" s="25" t="n">
        <v>1601645</v>
      </c>
      <c r="B46" s="25" t="s">
        <v>369</v>
      </c>
      <c r="C46" s="25" t="s">
        <v>370</v>
      </c>
      <c r="D46" s="26" t="n">
        <v>3526</v>
      </c>
      <c r="E46" s="27" t="n">
        <v>5.4527176920367</v>
      </c>
      <c r="F46" s="27" t="n">
        <v>5.4527176920367</v>
      </c>
      <c r="G46" s="25" t="s">
        <v>356</v>
      </c>
      <c r="H46" s="25" t="s">
        <v>357</v>
      </c>
      <c r="I46" s="25" t="n">
        <f aca="false">IFERROR(IF(INDEX(Documents!$C$5:$C$657,MATCH(H46,Documents!$A$5:$A$657,0))="","",INDEX(Documents!$C$5:$C$657,MATCH(H46,Documents!$A$5:$A$657,0))),"")</f>
        <v>2005</v>
      </c>
      <c r="J46" s="25" t="str">
        <f aca="false">IFERROR(IF(INDEX(Documents!$D$5:$D$657,MATCH(H46,Documents!$A$5:$A$657,0))="","",INDEX(Documents!$D$5:$D$657,MATCH(H46,Documents!$A$5:$A$657,0))),"")</f>
        <v>Bioorg Med Chem Lett</v>
      </c>
      <c r="K46" s="25" t="str">
        <f aca="false">IFERROR(IF(INDEX(Documents!$G$5:$G$657,MATCH(H46,Documents!$A$5:$A$657,0))="","",INDEX(Documents!$G$5:$G$657,MATCH(H46,Documents!$A$5:$A$657,0))),"")</f>
        <v>10.1016/j.bmcl.2005.07.054</v>
      </c>
      <c r="L46" s="25" t="s">
        <v>358</v>
      </c>
    </row>
    <row r="47" customFormat="false" ht="15" hidden="false" customHeight="false" outlineLevel="0" collapsed="false">
      <c r="A47" s="25" t="n">
        <v>19443447</v>
      </c>
      <c r="B47" s="25" t="s">
        <v>371</v>
      </c>
      <c r="C47" s="25" t="s">
        <v>372</v>
      </c>
      <c r="D47" s="26" t="n">
        <v>4.22</v>
      </c>
      <c r="E47" s="27" t="n">
        <v>8.37468754903833</v>
      </c>
      <c r="F47" s="27" t="n">
        <v>8.37468754903833</v>
      </c>
      <c r="G47" s="25" t="s">
        <v>373</v>
      </c>
      <c r="H47" s="25" t="s">
        <v>374</v>
      </c>
      <c r="I47" s="25" t="n">
        <f aca="false">IFERROR(IF(INDEX(Documents!$C$5:$C$657,MATCH(H47,Documents!$A$5:$A$657,0))="","",INDEX(Documents!$C$5:$C$657,MATCH(H47,Documents!$A$5:$A$657,0))),"")</f>
        <v>2016</v>
      </c>
      <c r="J47" s="25" t="str">
        <f aca="false">IFERROR(IF(INDEX(Documents!$D$5:$D$657,MATCH(H47,Documents!$A$5:$A$657,0))="","",INDEX(Documents!$D$5:$D$657,MATCH(H47,Documents!$A$5:$A$657,0))),"")</f>
        <v>J Med Chem</v>
      </c>
      <c r="K47" s="25" t="str">
        <f aca="false">IFERROR(IF(INDEX(Documents!$G$5:$G$657,MATCH(H47,Documents!$A$5:$A$657,0))="","",INDEX(Documents!$G$5:$G$657,MATCH(H47,Documents!$A$5:$A$657,0))),"")</f>
        <v>10.1021/acs.jmedchem.6b00516</v>
      </c>
      <c r="L47" s="25" t="s">
        <v>375</v>
      </c>
    </row>
    <row r="48" customFormat="false" ht="15" hidden="false" customHeight="false" outlineLevel="0" collapsed="false">
      <c r="A48" s="25" t="n">
        <v>19443445</v>
      </c>
      <c r="B48" s="25" t="s">
        <v>376</v>
      </c>
      <c r="C48" s="25" t="s">
        <v>377</v>
      </c>
      <c r="D48" s="26" t="n">
        <v>5.62</v>
      </c>
      <c r="E48" s="27" t="n">
        <v>8.25026368443094</v>
      </c>
      <c r="F48" s="27" t="n">
        <v>8.25026368443094</v>
      </c>
      <c r="G48" s="25" t="s">
        <v>373</v>
      </c>
      <c r="H48" s="25" t="s">
        <v>374</v>
      </c>
      <c r="I48" s="25" t="n">
        <f aca="false">IFERROR(IF(INDEX(Documents!$C$5:$C$657,MATCH(H48,Documents!$A$5:$A$657,0))="","",INDEX(Documents!$C$5:$C$657,MATCH(H48,Documents!$A$5:$A$657,0))),"")</f>
        <v>2016</v>
      </c>
      <c r="J48" s="25" t="str">
        <f aca="false">IFERROR(IF(INDEX(Documents!$D$5:$D$657,MATCH(H48,Documents!$A$5:$A$657,0))="","",INDEX(Documents!$D$5:$D$657,MATCH(H48,Documents!$A$5:$A$657,0))),"")</f>
        <v>J Med Chem</v>
      </c>
      <c r="K48" s="25" t="str">
        <f aca="false">IFERROR(IF(INDEX(Documents!$G$5:$G$657,MATCH(H48,Documents!$A$5:$A$657,0))="","",INDEX(Documents!$G$5:$G$657,MATCH(H48,Documents!$A$5:$A$657,0))),"")</f>
        <v>10.1021/acs.jmedchem.6b00516</v>
      </c>
      <c r="L48" s="25" t="s">
        <v>375</v>
      </c>
    </row>
    <row r="49" customFormat="false" ht="15" hidden="false" customHeight="false" outlineLevel="0" collapsed="false">
      <c r="A49" s="25" t="n">
        <v>29084057</v>
      </c>
      <c r="B49" s="25" t="s">
        <v>378</v>
      </c>
      <c r="C49" s="25" t="s">
        <v>379</v>
      </c>
      <c r="D49" s="26" t="n">
        <v>374.5</v>
      </c>
      <c r="E49" s="27" t="n">
        <v>6.42654817796452</v>
      </c>
      <c r="F49" s="27" t="n">
        <v>6.42654817796452</v>
      </c>
      <c r="G49" s="25" t="s">
        <v>380</v>
      </c>
      <c r="H49" s="25" t="s">
        <v>381</v>
      </c>
      <c r="I49" s="25" t="n">
        <f aca="false">IFERROR(IF(INDEX(Documents!$C$5:$C$657,MATCH(H49,Documents!$A$5:$A$657,0))="","",INDEX(Documents!$C$5:$C$657,MATCH(H49,Documents!$A$5:$A$657,0))),"")</f>
        <v>2025</v>
      </c>
      <c r="J49" s="25" t="str">
        <f aca="false">IFERROR(IF(INDEX(Documents!$D$5:$D$657,MATCH(H49,Documents!$A$5:$A$657,0))="","",INDEX(Documents!$D$5:$D$657,MATCH(H49,Documents!$A$5:$A$657,0))),"")</f>
        <v>Bioorg Med Chem</v>
      </c>
      <c r="K49" s="25" t="str">
        <f aca="false">IFERROR(IF(INDEX(Documents!$G$5:$G$657,MATCH(H49,Documents!$A$5:$A$657,0))="","",INDEX(Documents!$G$5:$G$657,MATCH(H49,Documents!$A$5:$A$657,0))),"")</f>
        <v>10.1016/j.bmc.2024.118019</v>
      </c>
      <c r="L49" s="25" t="s">
        <v>382</v>
      </c>
    </row>
    <row r="50" customFormat="false" ht="15" hidden="false" customHeight="false" outlineLevel="0" collapsed="false">
      <c r="A50" s="25" t="n">
        <v>29084077</v>
      </c>
      <c r="B50" s="25" t="s">
        <v>383</v>
      </c>
      <c r="C50" s="25" t="s">
        <v>384</v>
      </c>
      <c r="D50" s="26" t="n">
        <v>1800</v>
      </c>
      <c r="E50" s="27" t="n">
        <v>5.74472749489669</v>
      </c>
      <c r="F50" s="27" t="n">
        <v>5.74472749489669</v>
      </c>
      <c r="G50" s="25" t="s">
        <v>385</v>
      </c>
      <c r="H50" s="25" t="s">
        <v>381</v>
      </c>
      <c r="I50" s="25" t="n">
        <f aca="false">IFERROR(IF(INDEX(Documents!$C$5:$C$657,MATCH(H50,Documents!$A$5:$A$657,0))="","",INDEX(Documents!$C$5:$C$657,MATCH(H50,Documents!$A$5:$A$657,0))),"")</f>
        <v>2025</v>
      </c>
      <c r="J50" s="25" t="str">
        <f aca="false">IFERROR(IF(INDEX(Documents!$D$5:$D$657,MATCH(H50,Documents!$A$5:$A$657,0))="","",INDEX(Documents!$D$5:$D$657,MATCH(H50,Documents!$A$5:$A$657,0))),"")</f>
        <v>Bioorg Med Chem</v>
      </c>
      <c r="K50" s="25" t="str">
        <f aca="false">IFERROR(IF(INDEX(Documents!$G$5:$G$657,MATCH(H50,Documents!$A$5:$A$657,0))="","",INDEX(Documents!$G$5:$G$657,MATCH(H50,Documents!$A$5:$A$657,0))),"")</f>
        <v>10.1016/j.bmc.2024.118019</v>
      </c>
      <c r="L50" s="25" t="s">
        <v>386</v>
      </c>
    </row>
    <row r="51" customFormat="false" ht="15" hidden="false" customHeight="false" outlineLevel="0" collapsed="false">
      <c r="A51" s="25" t="n">
        <v>19371452</v>
      </c>
      <c r="B51" s="25" t="s">
        <v>387</v>
      </c>
      <c r="C51" s="25" t="s">
        <v>388</v>
      </c>
      <c r="D51" s="26" t="n">
        <v>574</v>
      </c>
      <c r="E51" s="27" t="n">
        <v>6.24108810760203</v>
      </c>
      <c r="F51" s="27" t="n">
        <v>6.24108810760203</v>
      </c>
      <c r="G51" s="25" t="s">
        <v>389</v>
      </c>
      <c r="H51" s="25" t="s">
        <v>341</v>
      </c>
      <c r="I51" s="25" t="n">
        <f aca="false">IFERROR(IF(INDEX(Documents!$C$5:$C$657,MATCH(H51,Documents!$A$5:$A$657,0))="","",INDEX(Documents!$C$5:$C$657,MATCH(H51,Documents!$A$5:$A$657,0))),"")</f>
        <v>2019</v>
      </c>
      <c r="J51" s="25" t="str">
        <f aca="false">IFERROR(IF(INDEX(Documents!$D$5:$D$657,MATCH(H51,Documents!$A$5:$A$657,0))="","",INDEX(Documents!$D$5:$D$657,MATCH(H51,Documents!$A$5:$A$657,0))),"")</f>
        <v>J Nat Prod</v>
      </c>
      <c r="K51" s="25" t="str">
        <f aca="false">IFERROR(IF(INDEX(Documents!$G$5:$G$657,MATCH(H51,Documents!$A$5:$A$657,0))="","",INDEX(Documents!$G$5:$G$657,MATCH(H51,Documents!$A$5:$A$657,0))),"")</f>
        <v>10.1021/acs.jnatprod.8b00874</v>
      </c>
      <c r="L51" s="25" t="s">
        <v>390</v>
      </c>
    </row>
    <row r="52" customFormat="false" ht="15" hidden="false" customHeight="false" outlineLevel="0" collapsed="false">
      <c r="A52" s="25" t="n">
        <v>29084056</v>
      </c>
      <c r="B52" s="25" t="s">
        <v>391</v>
      </c>
      <c r="C52" s="25" t="s">
        <v>392</v>
      </c>
      <c r="D52" s="26" t="n">
        <v>0.8</v>
      </c>
      <c r="E52" s="27" t="n">
        <v>9.09691001300806</v>
      </c>
      <c r="F52" s="27" t="n">
        <v>9.09691001300806</v>
      </c>
      <c r="G52" s="25" t="s">
        <v>380</v>
      </c>
      <c r="H52" s="25" t="s">
        <v>381</v>
      </c>
      <c r="I52" s="25" t="n">
        <f aca="false">IFERROR(IF(INDEX(Documents!$C$5:$C$657,MATCH(H52,Documents!$A$5:$A$657,0))="","",INDEX(Documents!$C$5:$C$657,MATCH(H52,Documents!$A$5:$A$657,0))),"")</f>
        <v>2025</v>
      </c>
      <c r="J52" s="25" t="str">
        <f aca="false">IFERROR(IF(INDEX(Documents!$D$5:$D$657,MATCH(H52,Documents!$A$5:$A$657,0))="","",INDEX(Documents!$D$5:$D$657,MATCH(H52,Documents!$A$5:$A$657,0))),"")</f>
        <v>Bioorg Med Chem</v>
      </c>
      <c r="K52" s="25" t="str">
        <f aca="false">IFERROR(IF(INDEX(Documents!$G$5:$G$657,MATCH(H52,Documents!$A$5:$A$657,0))="","",INDEX(Documents!$G$5:$G$657,MATCH(H52,Documents!$A$5:$A$657,0))),"")</f>
        <v>10.1016/j.bmc.2024.118019</v>
      </c>
      <c r="L52" s="25" t="s">
        <v>382</v>
      </c>
    </row>
    <row r="53" customFormat="false" ht="15" hidden="false" customHeight="false" outlineLevel="0" collapsed="false">
      <c r="A53" s="25" t="n">
        <v>29084058</v>
      </c>
      <c r="B53" s="25" t="s">
        <v>393</v>
      </c>
      <c r="C53" s="25" t="s">
        <v>394</v>
      </c>
      <c r="D53" s="26" t="n">
        <v>66.7</v>
      </c>
      <c r="E53" s="27" t="n">
        <v>7.17587416608345</v>
      </c>
      <c r="F53" s="27" t="n">
        <v>7.17587416608345</v>
      </c>
      <c r="G53" s="25" t="s">
        <v>380</v>
      </c>
      <c r="H53" s="25" t="s">
        <v>381</v>
      </c>
      <c r="I53" s="25" t="n">
        <f aca="false">IFERROR(IF(INDEX(Documents!$C$5:$C$657,MATCH(H53,Documents!$A$5:$A$657,0))="","",INDEX(Documents!$C$5:$C$657,MATCH(H53,Documents!$A$5:$A$657,0))),"")</f>
        <v>2025</v>
      </c>
      <c r="J53" s="25" t="str">
        <f aca="false">IFERROR(IF(INDEX(Documents!$D$5:$D$657,MATCH(H53,Documents!$A$5:$A$657,0))="","",INDEX(Documents!$D$5:$D$657,MATCH(H53,Documents!$A$5:$A$657,0))),"")</f>
        <v>Bioorg Med Chem</v>
      </c>
      <c r="K53" s="25" t="str">
        <f aca="false">IFERROR(IF(INDEX(Documents!$G$5:$G$657,MATCH(H53,Documents!$A$5:$A$657,0))="","",INDEX(Documents!$G$5:$G$657,MATCH(H53,Documents!$A$5:$A$657,0))),"")</f>
        <v>10.1016/j.bmc.2024.118019</v>
      </c>
      <c r="L53" s="25" t="s">
        <v>382</v>
      </c>
    </row>
    <row r="54" customFormat="false" ht="15" hidden="false" customHeight="false" outlineLevel="0" collapsed="false">
      <c r="A54" s="25" t="n">
        <v>24666731</v>
      </c>
      <c r="B54" s="25" t="s">
        <v>395</v>
      </c>
      <c r="C54" s="25" t="s">
        <v>396</v>
      </c>
      <c r="D54" s="26" t="n">
        <v>7.25</v>
      </c>
      <c r="E54" s="27" t="n">
        <v>8.13966199342901</v>
      </c>
      <c r="F54" s="27" t="n">
        <v>8.13966199342901</v>
      </c>
      <c r="G54" s="25" t="s">
        <v>397</v>
      </c>
      <c r="H54" s="25" t="s">
        <v>398</v>
      </c>
      <c r="I54" s="25" t="n">
        <f aca="false">IFERROR(IF(INDEX(Documents!$C$5:$C$657,MATCH(H54,Documents!$A$5:$A$657,0))="","",INDEX(Documents!$C$5:$C$657,MATCH(H54,Documents!$A$5:$A$657,0))),"")</f>
        <v>2021</v>
      </c>
      <c r="J54" s="25" t="str">
        <f aca="false">IFERROR(IF(INDEX(Documents!$D$5:$D$657,MATCH(H54,Documents!$A$5:$A$657,0))="","",INDEX(Documents!$D$5:$D$657,MATCH(H54,Documents!$A$5:$A$657,0))),"")</f>
        <v>Eur J Med Chem</v>
      </c>
      <c r="K54" s="25" t="str">
        <f aca="false">IFERROR(IF(INDEX(Documents!$G$5:$G$657,MATCH(H54,Documents!$A$5:$A$657,0))="","",INDEX(Documents!$G$5:$G$657,MATCH(H54,Documents!$A$5:$A$657,0))),"")</f>
        <v>10.1016/j.ejmech.2021.113878</v>
      </c>
      <c r="L54" s="25" t="s">
        <v>399</v>
      </c>
    </row>
    <row r="55" customFormat="false" ht="15" hidden="false" customHeight="false" outlineLevel="0" collapsed="false">
      <c r="A55" s="25" t="n">
        <v>24666732</v>
      </c>
      <c r="B55" s="25" t="s">
        <v>400</v>
      </c>
      <c r="C55" s="25" t="s">
        <v>401</v>
      </c>
      <c r="D55" s="26" t="n">
        <v>4.66</v>
      </c>
      <c r="E55" s="27" t="n">
        <v>8.33161408331</v>
      </c>
      <c r="F55" s="27" t="n">
        <v>8.33161408331</v>
      </c>
      <c r="G55" s="25" t="s">
        <v>397</v>
      </c>
      <c r="H55" s="25" t="s">
        <v>398</v>
      </c>
      <c r="I55" s="25" t="n">
        <f aca="false">IFERROR(IF(INDEX(Documents!$C$5:$C$657,MATCH(H55,Documents!$A$5:$A$657,0))="","",INDEX(Documents!$C$5:$C$657,MATCH(H55,Documents!$A$5:$A$657,0))),"")</f>
        <v>2021</v>
      </c>
      <c r="J55" s="25" t="str">
        <f aca="false">IFERROR(IF(INDEX(Documents!$D$5:$D$657,MATCH(H55,Documents!$A$5:$A$657,0))="","",INDEX(Documents!$D$5:$D$657,MATCH(H55,Documents!$A$5:$A$657,0))),"")</f>
        <v>Eur J Med Chem</v>
      </c>
      <c r="K55" s="25" t="str">
        <f aca="false">IFERROR(IF(INDEX(Documents!$G$5:$G$657,MATCH(H55,Documents!$A$5:$A$657,0))="","",INDEX(Documents!$G$5:$G$657,MATCH(H55,Documents!$A$5:$A$657,0))),"")</f>
        <v>10.1016/j.ejmech.2021.113878</v>
      </c>
      <c r="L55" s="25" t="s">
        <v>399</v>
      </c>
    </row>
    <row r="56" customFormat="false" ht="15" hidden="false" customHeight="false" outlineLevel="0" collapsed="false">
      <c r="A56" s="25" t="n">
        <v>29084079</v>
      </c>
      <c r="B56" s="25" t="s">
        <v>402</v>
      </c>
      <c r="C56" s="25" t="s">
        <v>403</v>
      </c>
      <c r="D56" s="26" t="n">
        <v>671</v>
      </c>
      <c r="E56" s="27" t="n">
        <v>6.17327747983101</v>
      </c>
      <c r="F56" s="27" t="n">
        <v>6.17327747983101</v>
      </c>
      <c r="G56" s="25" t="s">
        <v>385</v>
      </c>
      <c r="H56" s="25" t="s">
        <v>381</v>
      </c>
      <c r="I56" s="25" t="n">
        <f aca="false">IFERROR(IF(INDEX(Documents!$C$5:$C$657,MATCH(H56,Documents!$A$5:$A$657,0))="","",INDEX(Documents!$C$5:$C$657,MATCH(H56,Documents!$A$5:$A$657,0))),"")</f>
        <v>2025</v>
      </c>
      <c r="J56" s="25" t="str">
        <f aca="false">IFERROR(IF(INDEX(Documents!$D$5:$D$657,MATCH(H56,Documents!$A$5:$A$657,0))="","",INDEX(Documents!$D$5:$D$657,MATCH(H56,Documents!$A$5:$A$657,0))),"")</f>
        <v>Bioorg Med Chem</v>
      </c>
      <c r="K56" s="25" t="str">
        <f aca="false">IFERROR(IF(INDEX(Documents!$G$5:$G$657,MATCH(H56,Documents!$A$5:$A$657,0))="","",INDEX(Documents!$G$5:$G$657,MATCH(H56,Documents!$A$5:$A$657,0))),"")</f>
        <v>10.1016/j.bmc.2024.118019</v>
      </c>
      <c r="L56" s="25" t="s">
        <v>386</v>
      </c>
    </row>
    <row r="57" customFormat="false" ht="15" hidden="false" customHeight="false" outlineLevel="0" collapsed="false">
      <c r="A57" s="25" t="n">
        <v>29084113</v>
      </c>
      <c r="B57" s="25" t="s">
        <v>404</v>
      </c>
      <c r="C57" s="25" t="s">
        <v>405</v>
      </c>
      <c r="D57" s="26" t="n">
        <v>155.5</v>
      </c>
      <c r="E57" s="27" t="n">
        <v>6.80826960663714</v>
      </c>
      <c r="F57" s="27" t="n">
        <v>6.80826960663714</v>
      </c>
      <c r="G57" s="25" t="s">
        <v>406</v>
      </c>
      <c r="H57" s="25" t="s">
        <v>381</v>
      </c>
      <c r="I57" s="25" t="n">
        <f aca="false">IFERROR(IF(INDEX(Documents!$C$5:$C$657,MATCH(H57,Documents!$A$5:$A$657,0))="","",INDEX(Documents!$C$5:$C$657,MATCH(H57,Documents!$A$5:$A$657,0))),"")</f>
        <v>2025</v>
      </c>
      <c r="J57" s="25" t="str">
        <f aca="false">IFERROR(IF(INDEX(Documents!$D$5:$D$657,MATCH(H57,Documents!$A$5:$A$657,0))="","",INDEX(Documents!$D$5:$D$657,MATCH(H57,Documents!$A$5:$A$657,0))),"")</f>
        <v>Bioorg Med Chem</v>
      </c>
      <c r="K57" s="25" t="str">
        <f aca="false">IFERROR(IF(INDEX(Documents!$G$5:$G$657,MATCH(H57,Documents!$A$5:$A$657,0))="","",INDEX(Documents!$G$5:$G$657,MATCH(H57,Documents!$A$5:$A$657,0))),"")</f>
        <v>10.1016/j.bmc.2024.118019</v>
      </c>
      <c r="L57" s="25" t="s">
        <v>407</v>
      </c>
    </row>
    <row r="58" customFormat="false" ht="15" hidden="false" customHeight="false" outlineLevel="0" collapsed="false">
      <c r="A58" s="25" t="n">
        <v>29084111</v>
      </c>
      <c r="B58" s="25" t="s">
        <v>408</v>
      </c>
      <c r="C58" s="25" t="s">
        <v>409</v>
      </c>
      <c r="D58" s="26" t="n">
        <v>312.8</v>
      </c>
      <c r="E58" s="27" t="n">
        <v>6.50473325561219</v>
      </c>
      <c r="F58" s="27" t="n">
        <v>6.50473325561219</v>
      </c>
      <c r="G58" s="25" t="s">
        <v>406</v>
      </c>
      <c r="H58" s="25" t="s">
        <v>381</v>
      </c>
      <c r="I58" s="25" t="n">
        <f aca="false">IFERROR(IF(INDEX(Documents!$C$5:$C$657,MATCH(H58,Documents!$A$5:$A$657,0))="","",INDEX(Documents!$C$5:$C$657,MATCH(H58,Documents!$A$5:$A$657,0))),"")</f>
        <v>2025</v>
      </c>
      <c r="J58" s="25" t="str">
        <f aca="false">IFERROR(IF(INDEX(Documents!$D$5:$D$657,MATCH(H58,Documents!$A$5:$A$657,0))="","",INDEX(Documents!$D$5:$D$657,MATCH(H58,Documents!$A$5:$A$657,0))),"")</f>
        <v>Bioorg Med Chem</v>
      </c>
      <c r="K58" s="25" t="str">
        <f aca="false">IFERROR(IF(INDEX(Documents!$G$5:$G$657,MATCH(H58,Documents!$A$5:$A$657,0))="","",INDEX(Documents!$G$5:$G$657,MATCH(H58,Documents!$A$5:$A$657,0))),"")</f>
        <v>10.1016/j.bmc.2024.118019</v>
      </c>
      <c r="L58" s="25" t="s">
        <v>407</v>
      </c>
    </row>
    <row r="59" customFormat="false" ht="15" hidden="false" customHeight="false" outlineLevel="0" collapsed="false">
      <c r="A59" s="25" t="n">
        <v>28840856</v>
      </c>
      <c r="B59" s="25" t="s">
        <v>410</v>
      </c>
      <c r="C59" s="25" t="s">
        <v>411</v>
      </c>
      <c r="D59" s="26" t="n">
        <v>33.1</v>
      </c>
      <c r="E59" s="27" t="n">
        <v>7.48017200622428</v>
      </c>
      <c r="F59" s="27" t="n">
        <v>7.48017200622428</v>
      </c>
      <c r="G59" s="25" t="s">
        <v>412</v>
      </c>
      <c r="H59" s="25" t="s">
        <v>413</v>
      </c>
      <c r="I59" s="25" t="n">
        <f aca="false">IFERROR(IF(INDEX(Documents!$C$5:$C$657,MATCH(H59,Documents!$A$5:$A$657,0))="","",INDEX(Documents!$C$5:$C$657,MATCH(H59,Documents!$A$5:$A$657,0))),"")</f>
        <v>2022</v>
      </c>
      <c r="J59" s="25" t="str">
        <f aca="false">IFERROR(IF(INDEX(Documents!$D$5:$D$657,MATCH(H59,Documents!$A$5:$A$657,0))="","",INDEX(Documents!$D$5:$D$657,MATCH(H59,Documents!$A$5:$A$657,0))),"")</f>
        <v/>
      </c>
      <c r="K59" s="25" t="str">
        <f aca="false">IFERROR(IF(INDEX(Documents!$G$5:$G$657,MATCH(H59,Documents!$A$5:$A$657,0))="","",INDEX(Documents!$G$5:$G$657,MATCH(H59,Documents!$A$5:$A$657,0))),"")</f>
        <v/>
      </c>
      <c r="L59" s="25" t="s">
        <v>414</v>
      </c>
    </row>
    <row r="60" customFormat="false" ht="15" hidden="false" customHeight="false" outlineLevel="0" collapsed="false">
      <c r="A60" s="25" t="n">
        <v>28840850</v>
      </c>
      <c r="B60" s="25" t="s">
        <v>415</v>
      </c>
      <c r="C60" s="25" t="s">
        <v>416</v>
      </c>
      <c r="D60" s="26" t="n">
        <v>40.5</v>
      </c>
      <c r="E60" s="27" t="n">
        <v>7.39254497678533</v>
      </c>
      <c r="F60" s="27" t="n">
        <v>7.39254497678533</v>
      </c>
      <c r="G60" s="25" t="s">
        <v>412</v>
      </c>
      <c r="H60" s="25" t="s">
        <v>413</v>
      </c>
      <c r="I60" s="25" t="n">
        <f aca="false">IFERROR(IF(INDEX(Documents!$C$5:$C$657,MATCH(H60,Documents!$A$5:$A$657,0))="","",INDEX(Documents!$C$5:$C$657,MATCH(H60,Documents!$A$5:$A$657,0))),"")</f>
        <v>2022</v>
      </c>
      <c r="J60" s="25" t="str">
        <f aca="false">IFERROR(IF(INDEX(Documents!$D$5:$D$657,MATCH(H60,Documents!$A$5:$A$657,0))="","",INDEX(Documents!$D$5:$D$657,MATCH(H60,Documents!$A$5:$A$657,0))),"")</f>
        <v/>
      </c>
      <c r="K60" s="25" t="str">
        <f aca="false">IFERROR(IF(INDEX(Documents!$G$5:$G$657,MATCH(H60,Documents!$A$5:$A$657,0))="","",INDEX(Documents!$G$5:$G$657,MATCH(H60,Documents!$A$5:$A$657,0))),"")</f>
        <v/>
      </c>
      <c r="L60" s="25" t="s">
        <v>414</v>
      </c>
    </row>
    <row r="61" customFormat="false" ht="15" hidden="false" customHeight="false" outlineLevel="0" collapsed="false">
      <c r="A61" s="25" t="n">
        <v>28840874</v>
      </c>
      <c r="B61" s="25" t="s">
        <v>417</v>
      </c>
      <c r="C61" s="25" t="s">
        <v>418</v>
      </c>
      <c r="D61" s="26" t="n">
        <v>0.8</v>
      </c>
      <c r="E61" s="27" t="n">
        <v>9.09691001300806</v>
      </c>
      <c r="F61" s="27" t="n">
        <v>9.09691001300806</v>
      </c>
      <c r="G61" s="25" t="s">
        <v>412</v>
      </c>
      <c r="H61" s="25" t="s">
        <v>413</v>
      </c>
      <c r="I61" s="25" t="n">
        <f aca="false">IFERROR(IF(INDEX(Documents!$C$5:$C$657,MATCH(H61,Documents!$A$5:$A$657,0))="","",INDEX(Documents!$C$5:$C$657,MATCH(H61,Documents!$A$5:$A$657,0))),"")</f>
        <v>2022</v>
      </c>
      <c r="J61" s="25" t="str">
        <f aca="false">IFERROR(IF(INDEX(Documents!$D$5:$D$657,MATCH(H61,Documents!$A$5:$A$657,0))="","",INDEX(Documents!$D$5:$D$657,MATCH(H61,Documents!$A$5:$A$657,0))),"")</f>
        <v/>
      </c>
      <c r="K61" s="25" t="str">
        <f aca="false">IFERROR(IF(INDEX(Documents!$G$5:$G$657,MATCH(H61,Documents!$A$5:$A$657,0))="","",INDEX(Documents!$G$5:$G$657,MATCH(H61,Documents!$A$5:$A$657,0))),"")</f>
        <v/>
      </c>
      <c r="L61" s="25" t="s">
        <v>414</v>
      </c>
    </row>
    <row r="62" customFormat="false" ht="15" hidden="false" customHeight="false" outlineLevel="0" collapsed="false">
      <c r="A62" s="25" t="n">
        <v>28840868</v>
      </c>
      <c r="B62" s="25" t="s">
        <v>419</v>
      </c>
      <c r="C62" s="25" t="s">
        <v>420</v>
      </c>
      <c r="D62" s="26" t="n">
        <v>12.9</v>
      </c>
      <c r="E62" s="27" t="n">
        <v>7.88941028970075</v>
      </c>
      <c r="F62" s="27" t="n">
        <v>7.88941028970075</v>
      </c>
      <c r="G62" s="25" t="s">
        <v>412</v>
      </c>
      <c r="H62" s="25" t="s">
        <v>413</v>
      </c>
      <c r="I62" s="25" t="n">
        <f aca="false">IFERROR(IF(INDEX(Documents!$C$5:$C$657,MATCH(H62,Documents!$A$5:$A$657,0))="","",INDEX(Documents!$C$5:$C$657,MATCH(H62,Documents!$A$5:$A$657,0))),"")</f>
        <v>2022</v>
      </c>
      <c r="J62" s="25" t="str">
        <f aca="false">IFERROR(IF(INDEX(Documents!$D$5:$D$657,MATCH(H62,Documents!$A$5:$A$657,0))="","",INDEX(Documents!$D$5:$D$657,MATCH(H62,Documents!$A$5:$A$657,0))),"")</f>
        <v/>
      </c>
      <c r="K62" s="25" t="str">
        <f aca="false">IFERROR(IF(INDEX(Documents!$G$5:$G$657,MATCH(H62,Documents!$A$5:$A$657,0))="","",INDEX(Documents!$G$5:$G$657,MATCH(H62,Documents!$A$5:$A$657,0))),"")</f>
        <v/>
      </c>
      <c r="L62" s="25" t="s">
        <v>414</v>
      </c>
    </row>
    <row r="63" customFormat="false" ht="15" hidden="false" customHeight="false" outlineLevel="0" collapsed="false">
      <c r="A63" s="25" t="n">
        <v>28840862</v>
      </c>
      <c r="B63" s="25" t="s">
        <v>421</v>
      </c>
      <c r="C63" s="25" t="s">
        <v>422</v>
      </c>
      <c r="D63" s="26" t="n">
        <v>28</v>
      </c>
      <c r="E63" s="27" t="n">
        <v>7.55284196865778</v>
      </c>
      <c r="F63" s="27" t="n">
        <v>7.55284196865778</v>
      </c>
      <c r="G63" s="25" t="s">
        <v>412</v>
      </c>
      <c r="H63" s="25" t="s">
        <v>413</v>
      </c>
      <c r="I63" s="25" t="n">
        <f aca="false">IFERROR(IF(INDEX(Documents!$C$5:$C$657,MATCH(H63,Documents!$A$5:$A$657,0))="","",INDEX(Documents!$C$5:$C$657,MATCH(H63,Documents!$A$5:$A$657,0))),"")</f>
        <v>2022</v>
      </c>
      <c r="J63" s="25" t="str">
        <f aca="false">IFERROR(IF(INDEX(Documents!$D$5:$D$657,MATCH(H63,Documents!$A$5:$A$657,0))="","",INDEX(Documents!$D$5:$D$657,MATCH(H63,Documents!$A$5:$A$657,0))),"")</f>
        <v/>
      </c>
      <c r="K63" s="25" t="str">
        <f aca="false">IFERROR(IF(INDEX(Documents!$G$5:$G$657,MATCH(H63,Documents!$A$5:$A$657,0))="","",INDEX(Documents!$G$5:$G$657,MATCH(H63,Documents!$A$5:$A$657,0))),"")</f>
        <v/>
      </c>
      <c r="L63" s="25" t="s">
        <v>414</v>
      </c>
    </row>
    <row r="64" customFormat="false" ht="15" hidden="false" customHeight="false" outlineLevel="0" collapsed="false">
      <c r="A64" s="25" t="n">
        <v>29084078</v>
      </c>
      <c r="B64" s="25" t="s">
        <v>423</v>
      </c>
      <c r="C64" s="25" t="s">
        <v>424</v>
      </c>
      <c r="D64" s="26" t="n">
        <v>211</v>
      </c>
      <c r="E64" s="27" t="n">
        <v>6.67571754470231</v>
      </c>
      <c r="F64" s="27" t="n">
        <v>6.67571754470231</v>
      </c>
      <c r="G64" s="25" t="s">
        <v>385</v>
      </c>
      <c r="H64" s="25" t="s">
        <v>381</v>
      </c>
      <c r="I64" s="25" t="n">
        <f aca="false">IFERROR(IF(INDEX(Documents!$C$5:$C$657,MATCH(H64,Documents!$A$5:$A$657,0))="","",INDEX(Documents!$C$5:$C$657,MATCH(H64,Documents!$A$5:$A$657,0))),"")</f>
        <v>2025</v>
      </c>
      <c r="J64" s="25" t="str">
        <f aca="false">IFERROR(IF(INDEX(Documents!$D$5:$D$657,MATCH(H64,Documents!$A$5:$A$657,0))="","",INDEX(Documents!$D$5:$D$657,MATCH(H64,Documents!$A$5:$A$657,0))),"")</f>
        <v>Bioorg Med Chem</v>
      </c>
      <c r="K64" s="25" t="str">
        <f aca="false">IFERROR(IF(INDEX(Documents!$G$5:$G$657,MATCH(H64,Documents!$A$5:$A$657,0))="","",INDEX(Documents!$G$5:$G$657,MATCH(H64,Documents!$A$5:$A$657,0))),"")</f>
        <v>10.1016/j.bmc.2024.118019</v>
      </c>
      <c r="L64" s="25" t="s">
        <v>386</v>
      </c>
    </row>
    <row r="65" customFormat="false" ht="15" hidden="false" customHeight="false" outlineLevel="0" collapsed="false">
      <c r="A65" s="25" t="n">
        <v>29084054</v>
      </c>
      <c r="B65" s="25" t="s">
        <v>425</v>
      </c>
      <c r="C65" s="25" t="s">
        <v>426</v>
      </c>
      <c r="D65" s="26" t="n">
        <v>28</v>
      </c>
      <c r="E65" s="27" t="n">
        <v>7.55284196865778</v>
      </c>
      <c r="F65" s="27" t="n">
        <v>7.55284196865778</v>
      </c>
      <c r="G65" s="25" t="s">
        <v>380</v>
      </c>
      <c r="H65" s="25" t="s">
        <v>381</v>
      </c>
      <c r="I65" s="25" t="n">
        <f aca="false">IFERROR(IF(INDEX(Documents!$C$5:$C$657,MATCH(H65,Documents!$A$5:$A$657,0))="","",INDEX(Documents!$C$5:$C$657,MATCH(H65,Documents!$A$5:$A$657,0))),"")</f>
        <v>2025</v>
      </c>
      <c r="J65" s="25" t="str">
        <f aca="false">IFERROR(IF(INDEX(Documents!$D$5:$D$657,MATCH(H65,Documents!$A$5:$A$657,0))="","",INDEX(Documents!$D$5:$D$657,MATCH(H65,Documents!$A$5:$A$657,0))),"")</f>
        <v>Bioorg Med Chem</v>
      </c>
      <c r="K65" s="25" t="str">
        <f aca="false">IFERROR(IF(INDEX(Documents!$G$5:$G$657,MATCH(H65,Documents!$A$5:$A$657,0))="","",INDEX(Documents!$G$5:$G$657,MATCH(H65,Documents!$A$5:$A$657,0))),"")</f>
        <v>10.1016/j.bmc.2024.118019</v>
      </c>
      <c r="L65" s="25" t="s">
        <v>382</v>
      </c>
    </row>
    <row r="66" customFormat="false" ht="15" hidden="false" customHeight="false" outlineLevel="0" collapsed="false">
      <c r="A66" s="25" t="n">
        <v>29084052</v>
      </c>
      <c r="B66" s="25" t="s">
        <v>427</v>
      </c>
      <c r="C66" s="25" t="s">
        <v>428</v>
      </c>
      <c r="D66" s="26" t="n">
        <v>33.1</v>
      </c>
      <c r="E66" s="27" t="n">
        <v>7.48017200622428</v>
      </c>
      <c r="F66" s="27" t="n">
        <v>7.48017200622428</v>
      </c>
      <c r="G66" s="25" t="s">
        <v>380</v>
      </c>
      <c r="H66" s="25" t="s">
        <v>381</v>
      </c>
      <c r="I66" s="25" t="n">
        <f aca="false">IFERROR(IF(INDEX(Documents!$C$5:$C$657,MATCH(H66,Documents!$A$5:$A$657,0))="","",INDEX(Documents!$C$5:$C$657,MATCH(H66,Documents!$A$5:$A$657,0))),"")</f>
        <v>2025</v>
      </c>
      <c r="J66" s="25" t="str">
        <f aca="false">IFERROR(IF(INDEX(Documents!$D$5:$D$657,MATCH(H66,Documents!$A$5:$A$657,0))="","",INDEX(Documents!$D$5:$D$657,MATCH(H66,Documents!$A$5:$A$657,0))),"")</f>
        <v>Bioorg Med Chem</v>
      </c>
      <c r="K66" s="25" t="str">
        <f aca="false">IFERROR(IF(INDEX(Documents!$G$5:$G$657,MATCH(H66,Documents!$A$5:$A$657,0))="","",INDEX(Documents!$G$5:$G$657,MATCH(H66,Documents!$A$5:$A$657,0))),"")</f>
        <v>10.1016/j.bmc.2024.118019</v>
      </c>
      <c r="L66" s="25" t="s">
        <v>382</v>
      </c>
    </row>
    <row r="67" customFormat="false" ht="15" hidden="false" customHeight="false" outlineLevel="0" collapsed="false">
      <c r="A67" s="25" t="n">
        <v>29084053</v>
      </c>
      <c r="B67" s="25" t="s">
        <v>429</v>
      </c>
      <c r="C67" s="25" t="s">
        <v>430</v>
      </c>
      <c r="D67" s="26" t="n">
        <v>0.8</v>
      </c>
      <c r="E67" s="27" t="n">
        <v>9.09691001300806</v>
      </c>
      <c r="F67" s="27" t="n">
        <v>9.09691001300806</v>
      </c>
      <c r="G67" s="25" t="s">
        <v>380</v>
      </c>
      <c r="H67" s="25" t="s">
        <v>381</v>
      </c>
      <c r="I67" s="25" t="n">
        <f aca="false">IFERROR(IF(INDEX(Documents!$C$5:$C$657,MATCH(H67,Documents!$A$5:$A$657,0))="","",INDEX(Documents!$C$5:$C$657,MATCH(H67,Documents!$A$5:$A$657,0))),"")</f>
        <v>2025</v>
      </c>
      <c r="J67" s="25" t="str">
        <f aca="false">IFERROR(IF(INDEX(Documents!$D$5:$D$657,MATCH(H67,Documents!$A$5:$A$657,0))="","",INDEX(Documents!$D$5:$D$657,MATCH(H67,Documents!$A$5:$A$657,0))),"")</f>
        <v>Bioorg Med Chem</v>
      </c>
      <c r="K67" s="25" t="str">
        <f aca="false">IFERROR(IF(INDEX(Documents!$G$5:$G$657,MATCH(H67,Documents!$A$5:$A$657,0))="","",INDEX(Documents!$G$5:$G$657,MATCH(H67,Documents!$A$5:$A$657,0))),"")</f>
        <v>10.1016/j.bmc.2024.118019</v>
      </c>
      <c r="L67" s="25" t="s">
        <v>382</v>
      </c>
    </row>
    <row r="68" customFormat="false" ht="15" hidden="false" customHeight="false" outlineLevel="0" collapsed="false">
      <c r="A68" s="25" t="n">
        <v>29084055</v>
      </c>
      <c r="B68" s="25" t="s">
        <v>431</v>
      </c>
      <c r="C68" s="25" t="s">
        <v>432</v>
      </c>
      <c r="D68" s="26" t="n">
        <v>12.9</v>
      </c>
      <c r="E68" s="27" t="n">
        <v>7.88941028970075</v>
      </c>
      <c r="F68" s="27" t="n">
        <v>7.88941028970075</v>
      </c>
      <c r="G68" s="25" t="s">
        <v>380</v>
      </c>
      <c r="H68" s="25" t="s">
        <v>381</v>
      </c>
      <c r="I68" s="25" t="n">
        <f aca="false">IFERROR(IF(INDEX(Documents!$C$5:$C$657,MATCH(H68,Documents!$A$5:$A$657,0))="","",INDEX(Documents!$C$5:$C$657,MATCH(H68,Documents!$A$5:$A$657,0))),"")</f>
        <v>2025</v>
      </c>
      <c r="J68" s="25" t="str">
        <f aca="false">IFERROR(IF(INDEX(Documents!$D$5:$D$657,MATCH(H68,Documents!$A$5:$A$657,0))="","",INDEX(Documents!$D$5:$D$657,MATCH(H68,Documents!$A$5:$A$657,0))),"")</f>
        <v>Bioorg Med Chem</v>
      </c>
      <c r="K68" s="25" t="str">
        <f aca="false">IFERROR(IF(INDEX(Documents!$G$5:$G$657,MATCH(H68,Documents!$A$5:$A$657,0))="","",INDEX(Documents!$G$5:$G$657,MATCH(H68,Documents!$A$5:$A$657,0))),"")</f>
        <v>10.1016/j.bmc.2024.118019</v>
      </c>
      <c r="L68" s="25" t="s">
        <v>382</v>
      </c>
    </row>
    <row r="69" customFormat="false" ht="15" hidden="false" customHeight="false" outlineLevel="0" collapsed="false">
      <c r="A69" s="25" t="n">
        <v>22482017</v>
      </c>
      <c r="B69" s="25" t="s">
        <v>433</v>
      </c>
      <c r="C69" s="25" t="s">
        <v>434</v>
      </c>
      <c r="D69" s="26" t="n">
        <v>203</v>
      </c>
      <c r="E69" s="27" t="n">
        <v>6.69250396208679</v>
      </c>
      <c r="F69" s="27" t="n">
        <v>6.69250396208679</v>
      </c>
      <c r="G69" s="25" t="s">
        <v>435</v>
      </c>
      <c r="H69" s="25" t="s">
        <v>436</v>
      </c>
      <c r="I69" s="25" t="n">
        <f aca="false">IFERROR(IF(INDEX(Documents!$C$5:$C$657,MATCH(H69,Documents!$A$5:$A$657,0))="","",INDEX(Documents!$C$5:$C$657,MATCH(H69,Documents!$A$5:$A$657,0))),"")</f>
        <v>2020</v>
      </c>
      <c r="J69" s="25" t="str">
        <f aca="false">IFERROR(IF(INDEX(Documents!$D$5:$D$657,MATCH(H69,Documents!$A$5:$A$657,0))="","",INDEX(Documents!$D$5:$D$657,MATCH(H69,Documents!$A$5:$A$657,0))),"")</f>
        <v>J Med Chem</v>
      </c>
      <c r="K69" s="25" t="str">
        <f aca="false">IFERROR(IF(INDEX(Documents!$G$5:$G$657,MATCH(H69,Documents!$A$5:$A$657,0))="","",INDEX(Documents!$G$5:$G$657,MATCH(H69,Documents!$A$5:$A$657,0))),"")</f>
        <v>10.1021/acs.jmedchem.0c00724</v>
      </c>
      <c r="L69" s="25" t="s">
        <v>437</v>
      </c>
    </row>
    <row r="70" customFormat="false" ht="15" hidden="false" customHeight="false" outlineLevel="0" collapsed="false">
      <c r="A70" s="25" t="n">
        <v>29084080</v>
      </c>
      <c r="B70" s="25" t="s">
        <v>438</v>
      </c>
      <c r="C70" s="25" t="s">
        <v>439</v>
      </c>
      <c r="D70" s="26" t="n">
        <v>44</v>
      </c>
      <c r="E70" s="27" t="n">
        <v>7.35654732351381</v>
      </c>
      <c r="F70" s="27" t="n">
        <v>7.35654732351381</v>
      </c>
      <c r="G70" s="25" t="s">
        <v>385</v>
      </c>
      <c r="H70" s="25" t="s">
        <v>381</v>
      </c>
      <c r="I70" s="25" t="n">
        <f aca="false">IFERROR(IF(INDEX(Documents!$C$5:$C$657,MATCH(H70,Documents!$A$5:$A$657,0))="","",INDEX(Documents!$C$5:$C$657,MATCH(H70,Documents!$A$5:$A$657,0))),"")</f>
        <v>2025</v>
      </c>
      <c r="J70" s="25" t="str">
        <f aca="false">IFERROR(IF(INDEX(Documents!$D$5:$D$657,MATCH(H70,Documents!$A$5:$A$657,0))="","",INDEX(Documents!$D$5:$D$657,MATCH(H70,Documents!$A$5:$A$657,0))),"")</f>
        <v>Bioorg Med Chem</v>
      </c>
      <c r="K70" s="25" t="str">
        <f aca="false">IFERROR(IF(INDEX(Documents!$G$5:$G$657,MATCH(H70,Documents!$A$5:$A$657,0))="","",INDEX(Documents!$G$5:$G$657,MATCH(H70,Documents!$A$5:$A$657,0))),"")</f>
        <v>10.1016/j.bmc.2024.118019</v>
      </c>
      <c r="L70" s="25" t="s">
        <v>386</v>
      </c>
    </row>
    <row r="71" customFormat="false" ht="15" hidden="false" customHeight="false" outlineLevel="0" collapsed="false">
      <c r="A71" s="25" t="n">
        <v>29084084</v>
      </c>
      <c r="B71" s="25" t="s">
        <v>440</v>
      </c>
      <c r="C71" s="25" t="s">
        <v>441</v>
      </c>
      <c r="D71" s="26" t="n">
        <v>101</v>
      </c>
      <c r="E71" s="27" t="n">
        <v>6.99567862621736</v>
      </c>
      <c r="F71" s="27" t="n">
        <v>6.99567862621736</v>
      </c>
      <c r="G71" s="25" t="s">
        <v>385</v>
      </c>
      <c r="H71" s="25" t="s">
        <v>381</v>
      </c>
      <c r="I71" s="25" t="n">
        <f aca="false">IFERROR(IF(INDEX(Documents!$C$5:$C$657,MATCH(H71,Documents!$A$5:$A$657,0))="","",INDEX(Documents!$C$5:$C$657,MATCH(H71,Documents!$A$5:$A$657,0))),"")</f>
        <v>2025</v>
      </c>
      <c r="J71" s="25" t="str">
        <f aca="false">IFERROR(IF(INDEX(Documents!$D$5:$D$657,MATCH(H71,Documents!$A$5:$A$657,0))="","",INDEX(Documents!$D$5:$D$657,MATCH(H71,Documents!$A$5:$A$657,0))),"")</f>
        <v>Bioorg Med Chem</v>
      </c>
      <c r="K71" s="25" t="str">
        <f aca="false">IFERROR(IF(INDEX(Documents!$G$5:$G$657,MATCH(H71,Documents!$A$5:$A$657,0))="","",INDEX(Documents!$G$5:$G$657,MATCH(H71,Documents!$A$5:$A$657,0))),"")</f>
        <v>10.1016/j.bmc.2024.118019</v>
      </c>
      <c r="L71" s="25" t="s">
        <v>386</v>
      </c>
    </row>
    <row r="72" customFormat="false" ht="15" hidden="false" customHeight="false" outlineLevel="0" collapsed="false">
      <c r="A72" s="25" t="n">
        <v>1617791</v>
      </c>
      <c r="B72" s="25" t="s">
        <v>442</v>
      </c>
      <c r="C72" s="25" t="s">
        <v>443</v>
      </c>
      <c r="D72" s="26" t="n">
        <v>86</v>
      </c>
      <c r="E72" s="27" t="n">
        <v>7.06550154875643</v>
      </c>
      <c r="F72" s="27" t="n">
        <v>7.06550154875643</v>
      </c>
      <c r="G72" s="25" t="s">
        <v>444</v>
      </c>
      <c r="H72" s="25" t="s">
        <v>445</v>
      </c>
      <c r="I72" s="25" t="n">
        <f aca="false">IFERROR(IF(INDEX(Documents!$C$5:$C$657,MATCH(H72,Documents!$A$5:$A$657,0))="","",INDEX(Documents!$C$5:$C$657,MATCH(H72,Documents!$A$5:$A$657,0))),"")</f>
        <v>2005</v>
      </c>
      <c r="J72" s="25" t="str">
        <f aca="false">IFERROR(IF(INDEX(Documents!$D$5:$D$657,MATCH(H72,Documents!$A$5:$A$657,0))="","",INDEX(Documents!$D$5:$D$657,MATCH(H72,Documents!$A$5:$A$657,0))),"")</f>
        <v>Bioorg Med Chem Lett</v>
      </c>
      <c r="K72" s="25" t="str">
        <f aca="false">IFERROR(IF(INDEX(Documents!$G$5:$G$657,MATCH(H72,Documents!$A$5:$A$657,0))="","",INDEX(Documents!$G$5:$G$657,MATCH(H72,Documents!$A$5:$A$657,0))),"")</f>
        <v>10.1016/j.bmcl.2005.07.023</v>
      </c>
      <c r="L72" s="25" t="s">
        <v>446</v>
      </c>
    </row>
    <row r="73" customFormat="false" ht="15" hidden="false" customHeight="false" outlineLevel="0" collapsed="false">
      <c r="A73" s="25" t="n">
        <v>1617770</v>
      </c>
      <c r="B73" s="25" t="s">
        <v>447</v>
      </c>
      <c r="C73" s="25" t="s">
        <v>448</v>
      </c>
      <c r="D73" s="26" t="n">
        <v>247</v>
      </c>
      <c r="E73" s="27" t="n">
        <v>6.60730304674033</v>
      </c>
      <c r="F73" s="27" t="n">
        <v>6.60730304674033</v>
      </c>
      <c r="G73" s="25" t="s">
        <v>444</v>
      </c>
      <c r="H73" s="25" t="s">
        <v>445</v>
      </c>
      <c r="I73" s="25" t="n">
        <f aca="false">IFERROR(IF(INDEX(Documents!$C$5:$C$657,MATCH(H73,Documents!$A$5:$A$657,0))="","",INDEX(Documents!$C$5:$C$657,MATCH(H73,Documents!$A$5:$A$657,0))),"")</f>
        <v>2005</v>
      </c>
      <c r="J73" s="25" t="str">
        <f aca="false">IFERROR(IF(INDEX(Documents!$D$5:$D$657,MATCH(H73,Documents!$A$5:$A$657,0))="","",INDEX(Documents!$D$5:$D$657,MATCH(H73,Documents!$A$5:$A$657,0))),"")</f>
        <v>Bioorg Med Chem Lett</v>
      </c>
      <c r="K73" s="25" t="str">
        <f aca="false">IFERROR(IF(INDEX(Documents!$G$5:$G$657,MATCH(H73,Documents!$A$5:$A$657,0))="","",INDEX(Documents!$G$5:$G$657,MATCH(H73,Documents!$A$5:$A$657,0))),"")</f>
        <v>10.1016/j.bmcl.2005.07.023</v>
      </c>
      <c r="L73" s="25" t="s">
        <v>446</v>
      </c>
    </row>
    <row r="74" customFormat="false" ht="15" hidden="false" customHeight="false" outlineLevel="0" collapsed="false">
      <c r="A74" s="25" t="n">
        <v>19292246</v>
      </c>
      <c r="B74" s="25" t="s">
        <v>449</v>
      </c>
      <c r="C74" s="25" t="s">
        <v>450</v>
      </c>
      <c r="D74" s="26" t="n">
        <v>150</v>
      </c>
      <c r="E74" s="27" t="n">
        <v>6.82390874094432</v>
      </c>
      <c r="F74" s="27" t="n">
        <v>6.82390874094432</v>
      </c>
      <c r="G74" s="25" t="s">
        <v>451</v>
      </c>
      <c r="H74" s="25" t="s">
        <v>452</v>
      </c>
      <c r="I74" s="25" t="n">
        <f aca="false">IFERROR(IF(INDEX(Documents!$C$5:$C$657,MATCH(H74,Documents!$A$5:$A$657,0))="","",INDEX(Documents!$C$5:$C$657,MATCH(H74,Documents!$A$5:$A$657,0))),"")</f>
        <v>2018</v>
      </c>
      <c r="J74" s="25" t="str">
        <f aca="false">IFERROR(IF(INDEX(Documents!$D$5:$D$657,MATCH(H74,Documents!$A$5:$A$657,0))="","",INDEX(Documents!$D$5:$D$657,MATCH(H74,Documents!$A$5:$A$657,0))),"")</f>
        <v>Eur J Med Chem</v>
      </c>
      <c r="K74" s="25" t="str">
        <f aca="false">IFERROR(IF(INDEX(Documents!$G$5:$G$657,MATCH(H74,Documents!$A$5:$A$657,0))="","",INDEX(Documents!$G$5:$G$657,MATCH(H74,Documents!$A$5:$A$657,0))),"")</f>
        <v>10.1016/j.ejmech.2018.07.076</v>
      </c>
      <c r="L74" s="25" t="s">
        <v>453</v>
      </c>
    </row>
    <row r="75" customFormat="false" ht="15" hidden="false" customHeight="false" outlineLevel="0" collapsed="false">
      <c r="A75" s="25" t="n">
        <v>15035312</v>
      </c>
      <c r="B75" s="25" t="s">
        <v>454</v>
      </c>
      <c r="C75" s="25" t="s">
        <v>455</v>
      </c>
      <c r="D75" s="26" t="n">
        <v>780</v>
      </c>
      <c r="E75" s="27" t="n">
        <v>6.10790539730952</v>
      </c>
      <c r="F75" s="27" t="n">
        <v>6.10790539730952</v>
      </c>
      <c r="G75" s="25" t="s">
        <v>456</v>
      </c>
      <c r="H75" s="25" t="s">
        <v>457</v>
      </c>
      <c r="I75" s="25" t="n">
        <f aca="false">IFERROR(IF(INDEX(Documents!$C$5:$C$657,MATCH(H75,Documents!$A$5:$A$657,0))="","",INDEX(Documents!$C$5:$C$657,MATCH(H75,Documents!$A$5:$A$657,0))),"")</f>
        <v>2014</v>
      </c>
      <c r="J75" s="25" t="str">
        <f aca="false">IFERROR(IF(INDEX(Documents!$D$5:$D$657,MATCH(H75,Documents!$A$5:$A$657,0))="","",INDEX(Documents!$D$5:$D$657,MATCH(H75,Documents!$A$5:$A$657,0))),"")</f>
        <v>Bioorg Med Chem Lett</v>
      </c>
      <c r="K75" s="25" t="str">
        <f aca="false">IFERROR(IF(INDEX(Documents!$G$5:$G$657,MATCH(H75,Documents!$A$5:$A$657,0))="","",INDEX(Documents!$G$5:$G$657,MATCH(H75,Documents!$A$5:$A$657,0))),"")</f>
        <v>10.1016/j.bmcl.2014.04.112</v>
      </c>
      <c r="L75" s="25" t="s">
        <v>458</v>
      </c>
    </row>
    <row r="76" customFormat="false" ht="15" hidden="false" customHeight="false" outlineLevel="0" collapsed="false">
      <c r="A76" s="25" t="n">
        <v>5205730</v>
      </c>
      <c r="B76" s="25" t="s">
        <v>459</v>
      </c>
      <c r="C76" s="25" t="s">
        <v>460</v>
      </c>
      <c r="D76" s="26" t="n">
        <v>11.8</v>
      </c>
      <c r="E76" s="27" t="n">
        <v>7.92811799269387</v>
      </c>
      <c r="F76" s="27" t="n">
        <v>7.92811799269387</v>
      </c>
      <c r="G76" s="25" t="s">
        <v>461</v>
      </c>
      <c r="H76" s="25" t="s">
        <v>462</v>
      </c>
      <c r="I76" s="25" t="n">
        <f aca="false">IFERROR(IF(INDEX(Documents!$C$5:$C$657,MATCH(H76,Documents!$A$5:$A$657,0))="","",INDEX(Documents!$C$5:$C$657,MATCH(H76,Documents!$A$5:$A$657,0))),"")</f>
        <v>2011</v>
      </c>
      <c r="J76" s="25" t="str">
        <f aca="false">IFERROR(IF(INDEX(Documents!$D$5:$D$657,MATCH(H76,Documents!$A$5:$A$657,0))="","",INDEX(Documents!$D$5:$D$657,MATCH(H76,Documents!$A$5:$A$657,0))),"")</f>
        <v>Eur J Med Chem</v>
      </c>
      <c r="K76" s="25" t="str">
        <f aca="false">IFERROR(IF(INDEX(Documents!$G$5:$G$657,MATCH(H76,Documents!$A$5:$A$657,0))="","",INDEX(Documents!$G$5:$G$657,MATCH(H76,Documents!$A$5:$A$657,0))),"")</f>
        <v>10.1016/j.ejmech.2010.11.034</v>
      </c>
      <c r="L76" s="25" t="s">
        <v>463</v>
      </c>
    </row>
    <row r="77" customFormat="false" ht="15" hidden="false" customHeight="false" outlineLevel="0" collapsed="false">
      <c r="A77" s="25" t="n">
        <v>15626763</v>
      </c>
      <c r="B77" s="25" t="s">
        <v>464</v>
      </c>
      <c r="C77" s="25" t="s">
        <v>465</v>
      </c>
      <c r="D77" s="26" t="n">
        <v>129</v>
      </c>
      <c r="E77" s="27" t="n">
        <v>6.88941028970075</v>
      </c>
      <c r="F77" s="27" t="n">
        <v>6.88941028970075</v>
      </c>
      <c r="G77" s="25" t="s">
        <v>466</v>
      </c>
      <c r="H77" s="25" t="s">
        <v>467</v>
      </c>
      <c r="I77" s="25" t="n">
        <f aca="false">IFERROR(IF(INDEX(Documents!$C$5:$C$657,MATCH(H77,Documents!$A$5:$A$657,0))="","",INDEX(Documents!$C$5:$C$657,MATCH(H77,Documents!$A$5:$A$657,0))),"")</f>
        <v>2015</v>
      </c>
      <c r="J77" s="25" t="str">
        <f aca="false">IFERROR(IF(INDEX(Documents!$D$5:$D$657,MATCH(H77,Documents!$A$5:$A$657,0))="","",INDEX(Documents!$D$5:$D$657,MATCH(H77,Documents!$A$5:$A$657,0))),"")</f>
        <v>J Nat Prod</v>
      </c>
      <c r="K77" s="25" t="str">
        <f aca="false">IFERROR(IF(INDEX(Documents!$G$5:$G$657,MATCH(H77,Documents!$A$5:$A$657,0))="","",INDEX(Documents!$G$5:$G$657,MATCH(H77,Documents!$A$5:$A$657,0))),"")</f>
        <v>10.1021/acs.jnatprod.5b00065</v>
      </c>
      <c r="L77" s="25" t="s">
        <v>468</v>
      </c>
    </row>
    <row r="78" customFormat="false" ht="15" hidden="false" customHeight="false" outlineLevel="0" collapsed="false">
      <c r="A78" s="25" t="n">
        <v>18693498</v>
      </c>
      <c r="B78" s="25" t="s">
        <v>469</v>
      </c>
      <c r="C78" s="25" t="s">
        <v>470</v>
      </c>
      <c r="D78" s="26" t="n">
        <v>1030</v>
      </c>
      <c r="E78" s="27" t="n">
        <v>5.98716277529483</v>
      </c>
      <c r="F78" s="27" t="n">
        <v>5.98716277529483</v>
      </c>
      <c r="G78" s="25" t="s">
        <v>471</v>
      </c>
      <c r="H78" s="25" t="s">
        <v>472</v>
      </c>
      <c r="I78" s="25" t="n">
        <f aca="false">IFERROR(IF(INDEX(Documents!$C$5:$C$657,MATCH(H78,Documents!$A$5:$A$657,0))="","",INDEX(Documents!$C$5:$C$657,MATCH(H78,Documents!$A$5:$A$657,0))),"")</f>
        <v>2018</v>
      </c>
      <c r="J78" s="25" t="str">
        <f aca="false">IFERROR(IF(INDEX(Documents!$D$5:$D$657,MATCH(H78,Documents!$A$5:$A$657,0))="","",INDEX(Documents!$D$5:$D$657,MATCH(H78,Documents!$A$5:$A$657,0))),"")</f>
        <v>Eur J Med Chem</v>
      </c>
      <c r="K78" s="25" t="str">
        <f aca="false">IFERROR(IF(INDEX(Documents!$G$5:$G$657,MATCH(H78,Documents!$A$5:$A$657,0))="","",INDEX(Documents!$G$5:$G$657,MATCH(H78,Documents!$A$5:$A$657,0))),"")</f>
        <v>10.1016/j.ejmech.2017.11.043</v>
      </c>
      <c r="L78" s="25" t="s">
        <v>473</v>
      </c>
    </row>
    <row r="79" customFormat="false" ht="15" hidden="false" customHeight="false" outlineLevel="0" collapsed="false">
      <c r="A79" s="25" t="n">
        <v>25720171</v>
      </c>
      <c r="B79" s="25" t="s">
        <v>474</v>
      </c>
      <c r="C79" s="25" t="s">
        <v>475</v>
      </c>
      <c r="D79" s="26" t="n">
        <v>8190</v>
      </c>
      <c r="E79" s="27" t="n">
        <v>5.08671609823958</v>
      </c>
      <c r="F79" s="27" t="n">
        <v>5.08671609823958</v>
      </c>
      <c r="G79" s="25" t="s">
        <v>319</v>
      </c>
      <c r="H79" s="25" t="s">
        <v>320</v>
      </c>
      <c r="I79" s="25" t="n">
        <f aca="false">IFERROR(IF(INDEX(Documents!$C$5:$C$657,MATCH(H79,Documents!$A$5:$A$657,0))="","",INDEX(Documents!$C$5:$C$657,MATCH(H79,Documents!$A$5:$A$657,0))),"")</f>
        <v>2023</v>
      </c>
      <c r="J79" s="25" t="str">
        <f aca="false">IFERROR(IF(INDEX(Documents!$D$5:$D$657,MATCH(H79,Documents!$A$5:$A$657,0))="","",INDEX(Documents!$D$5:$D$657,MATCH(H79,Documents!$A$5:$A$657,0))),"")</f>
        <v>J Nat Prod</v>
      </c>
      <c r="K79" s="25" t="str">
        <f aca="false">IFERROR(IF(INDEX(Documents!$G$5:$G$657,MATCH(H79,Documents!$A$5:$A$657,0))="","",INDEX(Documents!$G$5:$G$657,MATCH(H79,Documents!$A$5:$A$657,0))),"")</f>
        <v>10.1021/acs.jnatprod.3c00282</v>
      </c>
      <c r="L79" s="25" t="s">
        <v>321</v>
      </c>
    </row>
    <row r="80" customFormat="false" ht="15" hidden="false" customHeight="false" outlineLevel="0" collapsed="false">
      <c r="A80" s="25" t="n">
        <v>16308076</v>
      </c>
      <c r="B80" s="25" t="s">
        <v>476</v>
      </c>
      <c r="C80" s="25" t="s">
        <v>477</v>
      </c>
      <c r="D80" s="26" t="n">
        <v>17</v>
      </c>
      <c r="E80" s="27" t="n">
        <v>7.76955107862173</v>
      </c>
      <c r="F80" s="27" t="n">
        <v>7.76955107862173</v>
      </c>
      <c r="G80" s="25" t="s">
        <v>273</v>
      </c>
      <c r="H80" s="25" t="s">
        <v>274</v>
      </c>
      <c r="I80" s="25" t="n">
        <f aca="false">IFERROR(IF(INDEX(Documents!$C$5:$C$657,MATCH(H80,Documents!$A$5:$A$657,0))="","",INDEX(Documents!$C$5:$C$657,MATCH(H80,Documents!$A$5:$A$657,0))),"")</f>
        <v>2014</v>
      </c>
      <c r="J80" s="25" t="str">
        <f aca="false">IFERROR(IF(INDEX(Documents!$D$5:$D$657,MATCH(H80,Documents!$A$5:$A$657,0))="","",INDEX(Documents!$D$5:$D$657,MATCH(H80,Documents!$A$5:$A$657,0))),"")</f>
        <v/>
      </c>
      <c r="K80" s="25" t="str">
        <f aca="false">IFERROR(IF(INDEX(Documents!$G$5:$G$657,MATCH(H80,Documents!$A$5:$A$657,0))="","",INDEX(Documents!$G$5:$G$657,MATCH(H80,Documents!$A$5:$A$657,0))),"")</f>
        <v/>
      </c>
      <c r="L80" s="25" t="s">
        <v>275</v>
      </c>
    </row>
    <row r="81" customFormat="false" ht="15" hidden="false" customHeight="false" outlineLevel="0" collapsed="false">
      <c r="A81" s="25" t="n">
        <v>29009927</v>
      </c>
      <c r="B81" s="25" t="s">
        <v>478</v>
      </c>
      <c r="C81" s="25" t="s">
        <v>479</v>
      </c>
      <c r="D81" s="26" t="n">
        <v>525</v>
      </c>
      <c r="E81" s="27" t="n">
        <v>6.27984069659404</v>
      </c>
      <c r="F81" s="27" t="n">
        <v>6.27984069659404</v>
      </c>
      <c r="G81" s="25" t="s">
        <v>480</v>
      </c>
      <c r="H81" s="25" t="s">
        <v>481</v>
      </c>
      <c r="I81" s="25" t="n">
        <f aca="false">IFERROR(IF(INDEX(Documents!$C$5:$C$657,MATCH(H81,Documents!$A$5:$A$657,0))="","",INDEX(Documents!$C$5:$C$657,MATCH(H81,Documents!$A$5:$A$657,0))),"")</f>
        <v>2023</v>
      </c>
      <c r="J81" s="25" t="str">
        <f aca="false">IFERROR(IF(INDEX(Documents!$D$5:$D$657,MATCH(H81,Documents!$A$5:$A$657,0))="","",INDEX(Documents!$D$5:$D$657,MATCH(H81,Documents!$A$5:$A$657,0))),"")</f>
        <v/>
      </c>
      <c r="K81" s="25" t="str">
        <f aca="false">IFERROR(IF(INDEX(Documents!$G$5:$G$657,MATCH(H81,Documents!$A$5:$A$657,0))="","",INDEX(Documents!$G$5:$G$657,MATCH(H81,Documents!$A$5:$A$657,0))),"")</f>
        <v/>
      </c>
      <c r="L81" s="25" t="s">
        <v>482</v>
      </c>
    </row>
    <row r="82" customFormat="false" ht="15" hidden="false" customHeight="false" outlineLevel="0" collapsed="false">
      <c r="A82" s="25" t="n">
        <v>2228957</v>
      </c>
      <c r="B82" s="25" t="s">
        <v>483</v>
      </c>
      <c r="C82" s="25" t="s">
        <v>484</v>
      </c>
      <c r="D82" s="26" t="n">
        <v>9.4</v>
      </c>
      <c r="E82" s="27" t="n">
        <v>8.0268721464003</v>
      </c>
      <c r="F82" s="27" t="n">
        <v>8.0268721464003</v>
      </c>
      <c r="G82" s="25" t="s">
        <v>485</v>
      </c>
      <c r="H82" s="25" t="s">
        <v>486</v>
      </c>
      <c r="I82" s="25" t="n">
        <f aca="false">IFERROR(IF(INDEX(Documents!$C$5:$C$657,MATCH(H82,Documents!$A$5:$A$657,0))="","",INDEX(Documents!$C$5:$C$657,MATCH(H82,Documents!$A$5:$A$657,0))),"")</f>
        <v>2008</v>
      </c>
      <c r="J82" s="25" t="str">
        <f aca="false">IFERROR(IF(INDEX(Documents!$D$5:$D$657,MATCH(H82,Documents!$A$5:$A$657,0))="","",INDEX(Documents!$D$5:$D$657,MATCH(H82,Documents!$A$5:$A$657,0))),"")</f>
        <v>J Med Chem</v>
      </c>
      <c r="K82" s="25" t="str">
        <f aca="false">IFERROR(IF(INDEX(Documents!$G$5:$G$657,MATCH(H82,Documents!$A$5:$A$657,0))="","",INDEX(Documents!$G$5:$G$657,MATCH(H82,Documents!$A$5:$A$657,0))),"")</f>
        <v>10.1021/jm800552f</v>
      </c>
      <c r="L82" s="25" t="s">
        <v>487</v>
      </c>
    </row>
    <row r="83" customFormat="false" ht="15" hidden="false" customHeight="false" outlineLevel="0" collapsed="false">
      <c r="A83" s="25" t="n">
        <v>23228654</v>
      </c>
      <c r="B83" s="25" t="s">
        <v>488</v>
      </c>
      <c r="C83" s="25" t="s">
        <v>489</v>
      </c>
      <c r="D83" s="26" t="n">
        <v>15.6</v>
      </c>
      <c r="E83" s="27" t="n">
        <v>7.80687540164554</v>
      </c>
      <c r="F83" s="27" t="n">
        <v>7.80687540164554</v>
      </c>
      <c r="G83" s="25" t="s">
        <v>266</v>
      </c>
      <c r="H83" s="25" t="s">
        <v>267</v>
      </c>
      <c r="I83" s="25" t="n">
        <f aca="false">IFERROR(IF(INDEX(Documents!$C$5:$C$657,MATCH(H83,Documents!$A$5:$A$657,0))="","",INDEX(Documents!$C$5:$C$657,MATCH(H83,Documents!$A$5:$A$657,0))),"")</f>
        <v>2021</v>
      </c>
      <c r="J83" s="25" t="str">
        <f aca="false">IFERROR(IF(INDEX(Documents!$D$5:$D$657,MATCH(H83,Documents!$A$5:$A$657,0))="","",INDEX(Documents!$D$5:$D$657,MATCH(H83,Documents!$A$5:$A$657,0))),"")</f>
        <v>J Med Chem</v>
      </c>
      <c r="K83" s="25" t="str">
        <f aca="false">IFERROR(IF(INDEX(Documents!$G$5:$G$657,MATCH(H83,Documents!$A$5:$A$657,0))="","",INDEX(Documents!$G$5:$G$657,MATCH(H83,Documents!$A$5:$A$657,0))),"")</f>
        <v>10.1021/acs.jmedchem.1c00442</v>
      </c>
      <c r="L83" s="25" t="s">
        <v>268</v>
      </c>
    </row>
    <row r="84" customFormat="false" ht="15" hidden="false" customHeight="false" outlineLevel="0" collapsed="false">
      <c r="A84" s="25" t="n">
        <v>3398990</v>
      </c>
      <c r="B84" s="25" t="s">
        <v>490</v>
      </c>
      <c r="C84" s="25" t="s">
        <v>491</v>
      </c>
      <c r="D84" s="26" t="n">
        <v>4.4</v>
      </c>
      <c r="E84" s="27" t="n">
        <v>8.35654732351381</v>
      </c>
      <c r="F84" s="27" t="n">
        <v>8.35654732351381</v>
      </c>
      <c r="G84" s="25" t="s">
        <v>283</v>
      </c>
      <c r="H84" s="25" t="s">
        <v>284</v>
      </c>
      <c r="I84" s="25" t="n">
        <f aca="false">IFERROR(IF(INDEX(Documents!$C$5:$C$657,MATCH(H84,Documents!$A$5:$A$657,0))="","",INDEX(Documents!$C$5:$C$657,MATCH(H84,Documents!$A$5:$A$657,0))),"")</f>
        <v>2010</v>
      </c>
      <c r="J84" s="25" t="str">
        <f aca="false">IFERROR(IF(INDEX(Documents!$D$5:$D$657,MATCH(H84,Documents!$A$5:$A$657,0))="","",INDEX(Documents!$D$5:$D$657,MATCH(H84,Documents!$A$5:$A$657,0))),"")</f>
        <v>J Med Chem</v>
      </c>
      <c r="K84" s="25" t="str">
        <f aca="false">IFERROR(IF(INDEX(Documents!$G$5:$G$657,MATCH(H84,Documents!$A$5:$A$657,0))="","",INDEX(Documents!$G$5:$G$657,MATCH(H84,Documents!$A$5:$A$657,0))),"")</f>
        <v>10.1021/jm100123x</v>
      </c>
      <c r="L84" s="25" t="s">
        <v>285</v>
      </c>
    </row>
    <row r="85" customFormat="false" ht="15" hidden="false" customHeight="false" outlineLevel="0" collapsed="false">
      <c r="A85" s="25" t="n">
        <v>2228959</v>
      </c>
      <c r="B85" s="25" t="s">
        <v>492</v>
      </c>
      <c r="C85" s="25" t="s">
        <v>493</v>
      </c>
      <c r="D85" s="26" t="n">
        <v>23.8</v>
      </c>
      <c r="E85" s="27" t="n">
        <v>7.62342304294349</v>
      </c>
      <c r="F85" s="27" t="n">
        <v>7.62342304294349</v>
      </c>
      <c r="G85" s="25" t="s">
        <v>485</v>
      </c>
      <c r="H85" s="25" t="s">
        <v>486</v>
      </c>
      <c r="I85" s="25" t="n">
        <f aca="false">IFERROR(IF(INDEX(Documents!$C$5:$C$657,MATCH(H85,Documents!$A$5:$A$657,0))="","",INDEX(Documents!$C$5:$C$657,MATCH(H85,Documents!$A$5:$A$657,0))),"")</f>
        <v>2008</v>
      </c>
      <c r="J85" s="25" t="str">
        <f aca="false">IFERROR(IF(INDEX(Documents!$D$5:$D$657,MATCH(H85,Documents!$A$5:$A$657,0))="","",INDEX(Documents!$D$5:$D$657,MATCH(H85,Documents!$A$5:$A$657,0))),"")</f>
        <v>J Med Chem</v>
      </c>
      <c r="K85" s="25" t="str">
        <f aca="false">IFERROR(IF(INDEX(Documents!$G$5:$G$657,MATCH(H85,Documents!$A$5:$A$657,0))="","",INDEX(Documents!$G$5:$G$657,MATCH(H85,Documents!$A$5:$A$657,0))),"")</f>
        <v>10.1021/jm800552f</v>
      </c>
      <c r="L85" s="25" t="s">
        <v>487</v>
      </c>
    </row>
    <row r="86" customFormat="false" ht="15" hidden="false" customHeight="false" outlineLevel="0" collapsed="false">
      <c r="A86" s="25" t="n">
        <v>11019973</v>
      </c>
      <c r="B86" s="25" t="s">
        <v>494</v>
      </c>
      <c r="C86" s="25" t="s">
        <v>495</v>
      </c>
      <c r="D86" s="26" t="n">
        <v>17.8</v>
      </c>
      <c r="E86" s="27" t="n">
        <v>7.74957999769111</v>
      </c>
      <c r="F86" s="27" t="n">
        <v>7.74957999769111</v>
      </c>
      <c r="G86" s="25" t="s">
        <v>496</v>
      </c>
      <c r="H86" s="25" t="s">
        <v>497</v>
      </c>
      <c r="I86" s="25" t="n">
        <f aca="false">IFERROR(IF(INDEX(Documents!$C$5:$C$657,MATCH(H86,Documents!$A$5:$A$657,0))="","",INDEX(Documents!$C$5:$C$657,MATCH(H86,Documents!$A$5:$A$657,0))),"")</f>
        <v>2012</v>
      </c>
      <c r="J86" s="25" t="str">
        <f aca="false">IFERROR(IF(INDEX(Documents!$D$5:$D$657,MATCH(H86,Documents!$A$5:$A$657,0))="","",INDEX(Documents!$D$5:$D$657,MATCH(H86,Documents!$A$5:$A$657,0))),"")</f>
        <v>J Med Chem</v>
      </c>
      <c r="K86" s="25" t="str">
        <f aca="false">IFERROR(IF(INDEX(Documents!$G$5:$G$657,MATCH(H86,Documents!$A$5:$A$657,0))="","",INDEX(Documents!$G$5:$G$657,MATCH(H86,Documents!$A$5:$A$657,0))),"")</f>
        <v>10.1021/jm3003334</v>
      </c>
      <c r="L86" s="25" t="s">
        <v>498</v>
      </c>
    </row>
    <row r="87" customFormat="false" ht="15" hidden="false" customHeight="false" outlineLevel="0" collapsed="false">
      <c r="A87" s="25" t="n">
        <v>16495463</v>
      </c>
      <c r="B87" s="25" t="s">
        <v>499</v>
      </c>
      <c r="C87" s="25" t="s">
        <v>500</v>
      </c>
      <c r="D87" s="26" t="n">
        <v>158</v>
      </c>
      <c r="E87" s="27" t="n">
        <v>6.80134291304558</v>
      </c>
      <c r="F87" s="27" t="n">
        <v>6.80134291304558</v>
      </c>
      <c r="G87" s="25" t="s">
        <v>501</v>
      </c>
      <c r="H87" s="25" t="s">
        <v>502</v>
      </c>
      <c r="I87" s="25" t="n">
        <f aca="false">IFERROR(IF(INDEX(Documents!$C$5:$C$657,MATCH(H87,Documents!$A$5:$A$657,0))="","",INDEX(Documents!$C$5:$C$657,MATCH(H87,Documents!$A$5:$A$657,0))),"")</f>
        <v>2016</v>
      </c>
      <c r="J87" s="25" t="str">
        <f aca="false">IFERROR(IF(INDEX(Documents!$D$5:$D$657,MATCH(H87,Documents!$A$5:$A$657,0))="","",INDEX(Documents!$D$5:$D$657,MATCH(H87,Documents!$A$5:$A$657,0))),"")</f>
        <v>Eur J Med Chem</v>
      </c>
      <c r="K87" s="25" t="str">
        <f aca="false">IFERROR(IF(INDEX(Documents!$G$5:$G$657,MATCH(H87,Documents!$A$5:$A$657,0))="","",INDEX(Documents!$G$5:$G$657,MATCH(H87,Documents!$A$5:$A$657,0))),"")</f>
        <v>10.1016/j.ejmech.2016.02.032</v>
      </c>
      <c r="L87" s="25" t="s">
        <v>503</v>
      </c>
    </row>
    <row r="88" customFormat="false" ht="15" hidden="false" customHeight="false" outlineLevel="0" collapsed="false">
      <c r="A88" s="25" t="n">
        <v>16495464</v>
      </c>
      <c r="B88" s="25" t="s">
        <v>504</v>
      </c>
      <c r="C88" s="25" t="s">
        <v>505</v>
      </c>
      <c r="D88" s="26" t="n">
        <v>1352</v>
      </c>
      <c r="E88" s="27" t="n">
        <v>5.86902330839438</v>
      </c>
      <c r="F88" s="27" t="n">
        <v>5.86902330839438</v>
      </c>
      <c r="G88" s="25" t="s">
        <v>501</v>
      </c>
      <c r="H88" s="25" t="s">
        <v>502</v>
      </c>
      <c r="I88" s="25" t="n">
        <f aca="false">IFERROR(IF(INDEX(Documents!$C$5:$C$657,MATCH(H88,Documents!$A$5:$A$657,0))="","",INDEX(Documents!$C$5:$C$657,MATCH(H88,Documents!$A$5:$A$657,0))),"")</f>
        <v>2016</v>
      </c>
      <c r="J88" s="25" t="str">
        <f aca="false">IFERROR(IF(INDEX(Documents!$D$5:$D$657,MATCH(H88,Documents!$A$5:$A$657,0))="","",INDEX(Documents!$D$5:$D$657,MATCH(H88,Documents!$A$5:$A$657,0))),"")</f>
        <v>Eur J Med Chem</v>
      </c>
      <c r="K88" s="25" t="str">
        <f aca="false">IFERROR(IF(INDEX(Documents!$G$5:$G$657,MATCH(H88,Documents!$A$5:$A$657,0))="","",INDEX(Documents!$G$5:$G$657,MATCH(H88,Documents!$A$5:$A$657,0))),"")</f>
        <v>10.1016/j.ejmech.2016.02.032</v>
      </c>
      <c r="L88" s="25" t="s">
        <v>503</v>
      </c>
    </row>
    <row r="89" customFormat="false" ht="15" hidden="false" customHeight="false" outlineLevel="0" collapsed="false">
      <c r="A89" s="25" t="n">
        <v>12688463</v>
      </c>
      <c r="B89" s="25" t="s">
        <v>506</v>
      </c>
      <c r="C89" s="25" t="s">
        <v>507</v>
      </c>
      <c r="D89" s="26" t="n">
        <v>66</v>
      </c>
      <c r="E89" s="27" t="n">
        <v>7.18045606445813</v>
      </c>
      <c r="F89" s="27" t="n">
        <v>7.18045606445813</v>
      </c>
      <c r="G89" s="25" t="s">
        <v>508</v>
      </c>
      <c r="H89" s="25" t="s">
        <v>509</v>
      </c>
      <c r="I89" s="25" t="n">
        <f aca="false">IFERROR(IF(INDEX(Documents!$C$5:$C$657,MATCH(H89,Documents!$A$5:$A$657,0))="","",INDEX(Documents!$C$5:$C$657,MATCH(H89,Documents!$A$5:$A$657,0))),"")</f>
        <v>2013</v>
      </c>
      <c r="J89" s="25" t="str">
        <f aca="false">IFERROR(IF(INDEX(Documents!$D$5:$D$657,MATCH(H89,Documents!$A$5:$A$657,0))="","",INDEX(Documents!$D$5:$D$657,MATCH(H89,Documents!$A$5:$A$657,0))),"")</f>
        <v>ACS Med Chem Lett</v>
      </c>
      <c r="K89" s="25" t="str">
        <f aca="false">IFERROR(IF(INDEX(Documents!$G$5:$G$657,MATCH(H89,Documents!$A$5:$A$657,0))="","",INDEX(Documents!$G$5:$G$657,MATCH(H89,Documents!$A$5:$A$657,0))),"")</f>
        <v>10.1021/ml3004236</v>
      </c>
      <c r="L89" s="25" t="s">
        <v>510</v>
      </c>
    </row>
    <row r="90" customFormat="false" ht="15" hidden="false" customHeight="false" outlineLevel="0" collapsed="false">
      <c r="A90" s="25" t="n">
        <v>2048373</v>
      </c>
      <c r="B90" s="25" t="s">
        <v>511</v>
      </c>
      <c r="C90" s="25" t="s">
        <v>512</v>
      </c>
      <c r="D90" s="26" t="n">
        <v>6.4</v>
      </c>
      <c r="E90" s="27" t="n">
        <v>8.19382002601611</v>
      </c>
      <c r="F90" s="27" t="n">
        <v>8.19382002601611</v>
      </c>
      <c r="G90" s="25" t="s">
        <v>513</v>
      </c>
      <c r="H90" s="25" t="s">
        <v>514</v>
      </c>
      <c r="I90" s="25" t="n">
        <f aca="false">IFERROR(IF(INDEX(Documents!$C$5:$C$657,MATCH(H90,Documents!$A$5:$A$657,0))="","",INDEX(Documents!$C$5:$C$657,MATCH(H90,Documents!$A$5:$A$657,0))),"")</f>
        <v>2007</v>
      </c>
      <c r="J90" s="25" t="str">
        <f aca="false">IFERROR(IF(INDEX(Documents!$D$5:$D$657,MATCH(H90,Documents!$A$5:$A$657,0))="","",INDEX(Documents!$D$5:$D$657,MATCH(H90,Documents!$A$5:$A$657,0))),"")</f>
        <v>Bioorg Med Chem Lett</v>
      </c>
      <c r="K90" s="25" t="str">
        <f aca="false">IFERROR(IF(INDEX(Documents!$G$5:$G$657,MATCH(H90,Documents!$A$5:$A$657,0))="","",INDEX(Documents!$G$5:$G$657,MATCH(H90,Documents!$A$5:$A$657,0))),"")</f>
        <v>10.1016/j.bmcl.2007.09.019</v>
      </c>
      <c r="L90" s="25" t="s">
        <v>515</v>
      </c>
    </row>
    <row r="91" customFormat="false" ht="15" hidden="false" customHeight="false" outlineLevel="0" collapsed="false">
      <c r="A91" s="25" t="n">
        <v>20682935</v>
      </c>
      <c r="B91" s="25" t="s">
        <v>516</v>
      </c>
      <c r="C91" s="25" t="s">
        <v>517</v>
      </c>
      <c r="D91" s="26" t="n">
        <v>6.8</v>
      </c>
      <c r="E91" s="27" t="n">
        <v>8.16749108729376</v>
      </c>
      <c r="F91" s="27" t="n">
        <v>8.16749108729376</v>
      </c>
      <c r="G91" s="25" t="s">
        <v>518</v>
      </c>
      <c r="H91" s="25" t="s">
        <v>519</v>
      </c>
      <c r="I91" s="25" t="n">
        <f aca="false">IFERROR(IF(INDEX(Documents!$C$5:$C$657,MATCH(H91,Documents!$A$5:$A$657,0))="","",INDEX(Documents!$C$5:$C$657,MATCH(H91,Documents!$A$5:$A$657,0))),"")</f>
        <v>2020</v>
      </c>
      <c r="J91" s="25" t="str">
        <f aca="false">IFERROR(IF(INDEX(Documents!$D$5:$D$657,MATCH(H91,Documents!$A$5:$A$657,0))="","",INDEX(Documents!$D$5:$D$657,MATCH(H91,Documents!$A$5:$A$657,0))),"")</f>
        <v>Bioorg Med Chem</v>
      </c>
      <c r="K91" s="25" t="str">
        <f aca="false">IFERROR(IF(INDEX(Documents!$G$5:$G$657,MATCH(H91,Documents!$A$5:$A$657,0))="","",INDEX(Documents!$G$5:$G$657,MATCH(H91,Documents!$A$5:$A$657,0))),"")</f>
        <v>10.1016/j.bmc.2020.115513</v>
      </c>
      <c r="L91" s="25" t="s">
        <v>520</v>
      </c>
    </row>
    <row r="92" customFormat="false" ht="15" hidden="false" customHeight="false" outlineLevel="0" collapsed="false">
      <c r="A92" s="25" t="n">
        <v>15052068</v>
      </c>
      <c r="B92" s="25" t="s">
        <v>521</v>
      </c>
      <c r="C92" s="25" t="s">
        <v>522</v>
      </c>
      <c r="D92" s="26" t="n">
        <v>16.4</v>
      </c>
      <c r="E92" s="27" t="n">
        <v>7.7851561519523</v>
      </c>
      <c r="F92" s="27" t="n">
        <v>7.7851561519523</v>
      </c>
      <c r="G92" s="25" t="s">
        <v>523</v>
      </c>
      <c r="H92" s="25" t="s">
        <v>524</v>
      </c>
      <c r="I92" s="25" t="n">
        <f aca="false">IFERROR(IF(INDEX(Documents!$C$5:$C$657,MATCH(H92,Documents!$A$5:$A$657,0))="","",INDEX(Documents!$C$5:$C$657,MATCH(H92,Documents!$A$5:$A$657,0))),"")</f>
        <v>2014</v>
      </c>
      <c r="J92" s="25" t="str">
        <f aca="false">IFERROR(IF(INDEX(Documents!$D$5:$D$657,MATCH(H92,Documents!$A$5:$A$657,0))="","",INDEX(Documents!$D$5:$D$657,MATCH(H92,Documents!$A$5:$A$657,0))),"")</f>
        <v>Bioorg Med Chem</v>
      </c>
      <c r="K92" s="25" t="str">
        <f aca="false">IFERROR(IF(INDEX(Documents!$G$5:$G$657,MATCH(H92,Documents!$A$5:$A$657,0))="","",INDEX(Documents!$G$5:$G$657,MATCH(H92,Documents!$A$5:$A$657,0))),"")</f>
        <v>10.1016/j.bmc.2014.07.006</v>
      </c>
      <c r="L92" s="25" t="s">
        <v>525</v>
      </c>
    </row>
    <row r="93" customFormat="false" ht="15" hidden="false" customHeight="false" outlineLevel="0" collapsed="false">
      <c r="A93" s="25" t="n">
        <v>15052067</v>
      </c>
      <c r="B93" s="25" t="s">
        <v>526</v>
      </c>
      <c r="C93" s="25" t="s">
        <v>527</v>
      </c>
      <c r="D93" s="26" t="n">
        <v>7.36</v>
      </c>
      <c r="E93" s="27" t="n">
        <v>8.1331221856625</v>
      </c>
      <c r="F93" s="27" t="n">
        <v>8.1331221856625</v>
      </c>
      <c r="G93" s="25" t="s">
        <v>523</v>
      </c>
      <c r="H93" s="25" t="s">
        <v>524</v>
      </c>
      <c r="I93" s="25" t="n">
        <f aca="false">IFERROR(IF(INDEX(Documents!$C$5:$C$657,MATCH(H93,Documents!$A$5:$A$657,0))="","",INDEX(Documents!$C$5:$C$657,MATCH(H93,Documents!$A$5:$A$657,0))),"")</f>
        <v>2014</v>
      </c>
      <c r="J93" s="25" t="str">
        <f aca="false">IFERROR(IF(INDEX(Documents!$D$5:$D$657,MATCH(H93,Documents!$A$5:$A$657,0))="","",INDEX(Documents!$D$5:$D$657,MATCH(H93,Documents!$A$5:$A$657,0))),"")</f>
        <v>Bioorg Med Chem</v>
      </c>
      <c r="K93" s="25" t="str">
        <f aca="false">IFERROR(IF(INDEX(Documents!$G$5:$G$657,MATCH(H93,Documents!$A$5:$A$657,0))="","",INDEX(Documents!$G$5:$G$657,MATCH(H93,Documents!$A$5:$A$657,0))),"")</f>
        <v>10.1016/j.bmc.2014.07.006</v>
      </c>
      <c r="L93" s="25" t="s">
        <v>525</v>
      </c>
    </row>
    <row r="94" customFormat="false" ht="15" hidden="false" customHeight="false" outlineLevel="0" collapsed="false">
      <c r="A94" s="25" t="n">
        <v>20682936</v>
      </c>
      <c r="B94" s="25" t="s">
        <v>528</v>
      </c>
      <c r="C94" s="25" t="s">
        <v>529</v>
      </c>
      <c r="D94" s="26" t="n">
        <v>31.2</v>
      </c>
      <c r="E94" s="27" t="n">
        <v>7.50584540598156</v>
      </c>
      <c r="F94" s="27" t="n">
        <v>7.50584540598156</v>
      </c>
      <c r="G94" s="25" t="s">
        <v>518</v>
      </c>
      <c r="H94" s="25" t="s">
        <v>519</v>
      </c>
      <c r="I94" s="25" t="n">
        <f aca="false">IFERROR(IF(INDEX(Documents!$C$5:$C$657,MATCH(H94,Documents!$A$5:$A$657,0))="","",INDEX(Documents!$C$5:$C$657,MATCH(H94,Documents!$A$5:$A$657,0))),"")</f>
        <v>2020</v>
      </c>
      <c r="J94" s="25" t="str">
        <f aca="false">IFERROR(IF(INDEX(Documents!$D$5:$D$657,MATCH(H94,Documents!$A$5:$A$657,0))="","",INDEX(Documents!$D$5:$D$657,MATCH(H94,Documents!$A$5:$A$657,0))),"")</f>
        <v>Bioorg Med Chem</v>
      </c>
      <c r="K94" s="25" t="str">
        <f aca="false">IFERROR(IF(INDEX(Documents!$G$5:$G$657,MATCH(H94,Documents!$A$5:$A$657,0))="","",INDEX(Documents!$G$5:$G$657,MATCH(H94,Documents!$A$5:$A$657,0))),"")</f>
        <v>10.1016/j.bmc.2020.115513</v>
      </c>
      <c r="L94" s="25" t="s">
        <v>520</v>
      </c>
    </row>
    <row r="95" customFormat="false" ht="15" hidden="false" customHeight="false" outlineLevel="0" collapsed="false">
      <c r="A95" s="25" t="n">
        <v>15052050</v>
      </c>
      <c r="B95" s="25" t="s">
        <v>530</v>
      </c>
      <c r="C95" s="25" t="s">
        <v>531</v>
      </c>
      <c r="D95" s="26" t="n">
        <v>1850</v>
      </c>
      <c r="E95" s="27" t="n">
        <v>5.73282827159699</v>
      </c>
      <c r="F95" s="27" t="n">
        <v>5.73282827159699</v>
      </c>
      <c r="G95" s="25" t="s">
        <v>523</v>
      </c>
      <c r="H95" s="25" t="s">
        <v>524</v>
      </c>
      <c r="I95" s="25" t="n">
        <f aca="false">IFERROR(IF(INDEX(Documents!$C$5:$C$657,MATCH(H95,Documents!$A$5:$A$657,0))="","",INDEX(Documents!$C$5:$C$657,MATCH(H95,Documents!$A$5:$A$657,0))),"")</f>
        <v>2014</v>
      </c>
      <c r="J95" s="25" t="str">
        <f aca="false">IFERROR(IF(INDEX(Documents!$D$5:$D$657,MATCH(H95,Documents!$A$5:$A$657,0))="","",INDEX(Documents!$D$5:$D$657,MATCH(H95,Documents!$A$5:$A$657,0))),"")</f>
        <v>Bioorg Med Chem</v>
      </c>
      <c r="K95" s="25" t="str">
        <f aca="false">IFERROR(IF(INDEX(Documents!$G$5:$G$657,MATCH(H95,Documents!$A$5:$A$657,0))="","",INDEX(Documents!$G$5:$G$657,MATCH(H95,Documents!$A$5:$A$657,0))),"")</f>
        <v>10.1016/j.bmc.2014.07.006</v>
      </c>
      <c r="L95" s="25" t="s">
        <v>525</v>
      </c>
    </row>
    <row r="96" customFormat="false" ht="15" hidden="false" customHeight="false" outlineLevel="0" collapsed="false">
      <c r="A96" s="25" t="n">
        <v>3089234</v>
      </c>
      <c r="B96" s="25" t="s">
        <v>532</v>
      </c>
      <c r="C96" s="25" t="s">
        <v>533</v>
      </c>
      <c r="D96" s="26" t="n">
        <v>2460</v>
      </c>
      <c r="E96" s="27" t="n">
        <v>5.60906489289662</v>
      </c>
      <c r="F96" s="27" t="n">
        <v>5.60906489289662</v>
      </c>
      <c r="G96" s="25" t="s">
        <v>534</v>
      </c>
      <c r="H96" s="25" t="s">
        <v>535</v>
      </c>
      <c r="I96" s="25" t="n">
        <f aca="false">IFERROR(IF(INDEX(Documents!$C$5:$C$657,MATCH(H96,Documents!$A$5:$A$657,0))="","",INDEX(Documents!$C$5:$C$657,MATCH(H96,Documents!$A$5:$A$657,0))),"")</f>
        <v>2010</v>
      </c>
      <c r="J96" s="25" t="str">
        <f aca="false">IFERROR(IF(INDEX(Documents!$D$5:$D$657,MATCH(H96,Documents!$A$5:$A$657,0))="","",INDEX(Documents!$D$5:$D$657,MATCH(H96,Documents!$A$5:$A$657,0))),"")</f>
        <v>Bioorg Med Chem Lett</v>
      </c>
      <c r="K96" s="25" t="str">
        <f aca="false">IFERROR(IF(INDEX(Documents!$G$5:$G$657,MATCH(H96,Documents!$A$5:$A$657,0))="","",INDEX(Documents!$G$5:$G$657,MATCH(H96,Documents!$A$5:$A$657,0))),"")</f>
        <v>10.1016/j.bmcl.2009.11.084</v>
      </c>
      <c r="L96" s="25" t="s">
        <v>515</v>
      </c>
    </row>
    <row r="97" customFormat="false" ht="15" hidden="false" customHeight="false" outlineLevel="0" collapsed="false">
      <c r="A97" s="25" t="n">
        <v>20682948</v>
      </c>
      <c r="B97" s="25" t="s">
        <v>536</v>
      </c>
      <c r="C97" s="25" t="s">
        <v>537</v>
      </c>
      <c r="D97" s="26" t="n">
        <v>4.7</v>
      </c>
      <c r="E97" s="27" t="n">
        <v>8.32790214206428</v>
      </c>
      <c r="F97" s="27" t="n">
        <v>8.32790214206428</v>
      </c>
      <c r="G97" s="25" t="s">
        <v>518</v>
      </c>
      <c r="H97" s="25" t="s">
        <v>519</v>
      </c>
      <c r="I97" s="25" t="n">
        <f aca="false">IFERROR(IF(INDEX(Documents!$C$5:$C$657,MATCH(H97,Documents!$A$5:$A$657,0))="","",INDEX(Documents!$C$5:$C$657,MATCH(H97,Documents!$A$5:$A$657,0))),"")</f>
        <v>2020</v>
      </c>
      <c r="J97" s="25" t="str">
        <f aca="false">IFERROR(IF(INDEX(Documents!$D$5:$D$657,MATCH(H97,Documents!$A$5:$A$657,0))="","",INDEX(Documents!$D$5:$D$657,MATCH(H97,Documents!$A$5:$A$657,0))),"")</f>
        <v>Bioorg Med Chem</v>
      </c>
      <c r="K97" s="25" t="str">
        <f aca="false">IFERROR(IF(INDEX(Documents!$G$5:$G$657,MATCH(H97,Documents!$A$5:$A$657,0))="","",INDEX(Documents!$G$5:$G$657,MATCH(H97,Documents!$A$5:$A$657,0))),"")</f>
        <v>10.1016/j.bmc.2020.115513</v>
      </c>
      <c r="L97" s="25" t="s">
        <v>520</v>
      </c>
    </row>
    <row r="98" customFormat="false" ht="15" hidden="false" customHeight="false" outlineLevel="0" collapsed="false">
      <c r="A98" s="25" t="n">
        <v>12688491</v>
      </c>
      <c r="B98" s="25" t="s">
        <v>538</v>
      </c>
      <c r="C98" s="25" t="s">
        <v>539</v>
      </c>
      <c r="D98" s="26" t="n">
        <v>130</v>
      </c>
      <c r="E98" s="27" t="n">
        <v>6.88605664769316</v>
      </c>
      <c r="F98" s="27" t="n">
        <v>6.88605664769316</v>
      </c>
      <c r="G98" s="25" t="s">
        <v>508</v>
      </c>
      <c r="H98" s="25" t="s">
        <v>509</v>
      </c>
      <c r="I98" s="25" t="n">
        <f aca="false">IFERROR(IF(INDEX(Documents!$C$5:$C$657,MATCH(H98,Documents!$A$5:$A$657,0))="","",INDEX(Documents!$C$5:$C$657,MATCH(H98,Documents!$A$5:$A$657,0))),"")</f>
        <v>2013</v>
      </c>
      <c r="J98" s="25" t="str">
        <f aca="false">IFERROR(IF(INDEX(Documents!$D$5:$D$657,MATCH(H98,Documents!$A$5:$A$657,0))="","",INDEX(Documents!$D$5:$D$657,MATCH(H98,Documents!$A$5:$A$657,0))),"")</f>
        <v>ACS Med Chem Lett</v>
      </c>
      <c r="K98" s="25" t="str">
        <f aca="false">IFERROR(IF(INDEX(Documents!$G$5:$G$657,MATCH(H98,Documents!$A$5:$A$657,0))="","",INDEX(Documents!$G$5:$G$657,MATCH(H98,Documents!$A$5:$A$657,0))),"")</f>
        <v>10.1021/ml3004236</v>
      </c>
      <c r="L98" s="25" t="s">
        <v>510</v>
      </c>
    </row>
    <row r="99" customFormat="false" ht="15" hidden="false" customHeight="false" outlineLevel="0" collapsed="false">
      <c r="A99" s="25" t="n">
        <v>12679523</v>
      </c>
      <c r="B99" s="25" t="s">
        <v>540</v>
      </c>
      <c r="C99" s="25" t="s">
        <v>541</v>
      </c>
      <c r="D99" s="26" t="n">
        <v>1440</v>
      </c>
      <c r="E99" s="27" t="n">
        <v>5.84163750790475</v>
      </c>
      <c r="F99" s="27" t="n">
        <v>5.84163750790475</v>
      </c>
      <c r="G99" s="25" t="s">
        <v>345</v>
      </c>
      <c r="H99" s="25" t="s">
        <v>346</v>
      </c>
      <c r="I99" s="25" t="n">
        <f aca="false">IFERROR(IF(INDEX(Documents!$C$5:$C$657,MATCH(H99,Documents!$A$5:$A$657,0))="","",INDEX(Documents!$C$5:$C$657,MATCH(H99,Documents!$A$5:$A$657,0))),"")</f>
        <v>2013</v>
      </c>
      <c r="J99" s="25" t="str">
        <f aca="false">IFERROR(IF(INDEX(Documents!$D$5:$D$657,MATCH(H99,Documents!$A$5:$A$657,0))="","",INDEX(Documents!$D$5:$D$657,MATCH(H99,Documents!$A$5:$A$657,0))),"")</f>
        <v>ACS Med Chem Lett</v>
      </c>
      <c r="K99" s="25" t="str">
        <f aca="false">IFERROR(IF(INDEX(Documents!$G$5:$G$657,MATCH(H99,Documents!$A$5:$A$657,0))="","",INDEX(Documents!$G$5:$G$657,MATCH(H99,Documents!$A$5:$A$657,0))),"")</f>
        <v>10.1021/ml300235q</v>
      </c>
      <c r="L99" s="25" t="s">
        <v>347</v>
      </c>
    </row>
    <row r="100" customFormat="false" ht="15" hidden="false" customHeight="false" outlineLevel="0" collapsed="false">
      <c r="A100" s="25" t="n">
        <v>12679524</v>
      </c>
      <c r="B100" s="25" t="s">
        <v>542</v>
      </c>
      <c r="C100" s="25" t="s">
        <v>543</v>
      </c>
      <c r="D100" s="26" t="n">
        <v>5610</v>
      </c>
      <c r="E100" s="27" t="n">
        <v>5.25103713874384</v>
      </c>
      <c r="F100" s="27" t="n">
        <v>5.25103713874384</v>
      </c>
      <c r="G100" s="25" t="s">
        <v>345</v>
      </c>
      <c r="H100" s="25" t="s">
        <v>346</v>
      </c>
      <c r="I100" s="25" t="n">
        <f aca="false">IFERROR(IF(INDEX(Documents!$C$5:$C$657,MATCH(H100,Documents!$A$5:$A$657,0))="","",INDEX(Documents!$C$5:$C$657,MATCH(H100,Documents!$A$5:$A$657,0))),"")</f>
        <v>2013</v>
      </c>
      <c r="J100" s="25" t="str">
        <f aca="false">IFERROR(IF(INDEX(Documents!$D$5:$D$657,MATCH(H100,Documents!$A$5:$A$657,0))="","",INDEX(Documents!$D$5:$D$657,MATCH(H100,Documents!$A$5:$A$657,0))),"")</f>
        <v>ACS Med Chem Lett</v>
      </c>
      <c r="K100" s="25" t="str">
        <f aca="false">IFERROR(IF(INDEX(Documents!$G$5:$G$657,MATCH(H100,Documents!$A$5:$A$657,0))="","",INDEX(Documents!$G$5:$G$657,MATCH(H100,Documents!$A$5:$A$657,0))),"")</f>
        <v>10.1021/ml300235q</v>
      </c>
      <c r="L100" s="25" t="s">
        <v>347</v>
      </c>
    </row>
    <row r="101" customFormat="false" ht="15" hidden="false" customHeight="false" outlineLevel="0" collapsed="false">
      <c r="A101" s="25" t="n">
        <v>12679468</v>
      </c>
      <c r="B101" s="25" t="s">
        <v>544</v>
      </c>
      <c r="C101" s="25" t="s">
        <v>545</v>
      </c>
      <c r="D101" s="26" t="n">
        <v>44</v>
      </c>
      <c r="E101" s="27" t="n">
        <v>7.35654732351381</v>
      </c>
      <c r="F101" s="27" t="n">
        <v>7.35654732351381</v>
      </c>
      <c r="G101" s="25" t="s">
        <v>345</v>
      </c>
      <c r="H101" s="25" t="s">
        <v>346</v>
      </c>
      <c r="I101" s="25" t="n">
        <f aca="false">IFERROR(IF(INDEX(Documents!$C$5:$C$657,MATCH(H101,Documents!$A$5:$A$657,0))="","",INDEX(Documents!$C$5:$C$657,MATCH(H101,Documents!$A$5:$A$657,0))),"")</f>
        <v>2013</v>
      </c>
      <c r="J101" s="25" t="str">
        <f aca="false">IFERROR(IF(INDEX(Documents!$D$5:$D$657,MATCH(H101,Documents!$A$5:$A$657,0))="","",INDEX(Documents!$D$5:$D$657,MATCH(H101,Documents!$A$5:$A$657,0))),"")</f>
        <v>ACS Med Chem Lett</v>
      </c>
      <c r="K101" s="25" t="str">
        <f aca="false">IFERROR(IF(INDEX(Documents!$G$5:$G$657,MATCH(H101,Documents!$A$5:$A$657,0))="","",INDEX(Documents!$G$5:$G$657,MATCH(H101,Documents!$A$5:$A$657,0))),"")</f>
        <v>10.1021/ml300235q</v>
      </c>
      <c r="L101" s="25" t="s">
        <v>347</v>
      </c>
    </row>
    <row r="102" customFormat="false" ht="15" hidden="false" customHeight="false" outlineLevel="0" collapsed="false">
      <c r="A102" s="25" t="n">
        <v>16575985</v>
      </c>
      <c r="B102" s="25" t="s">
        <v>546</v>
      </c>
      <c r="C102" s="25" t="s">
        <v>547</v>
      </c>
      <c r="D102" s="26" t="n">
        <v>103</v>
      </c>
      <c r="E102" s="27" t="n">
        <v>6.98716277529483</v>
      </c>
      <c r="F102" s="27" t="n">
        <v>6.98716277529483</v>
      </c>
      <c r="G102" s="25" t="s">
        <v>548</v>
      </c>
      <c r="H102" s="25" t="s">
        <v>549</v>
      </c>
      <c r="I102" s="25" t="n">
        <f aca="false">IFERROR(IF(INDEX(Documents!$C$5:$C$657,MATCH(H102,Documents!$A$5:$A$657,0))="","",INDEX(Documents!$C$5:$C$657,MATCH(H102,Documents!$A$5:$A$657,0))),"")</f>
        <v>2016</v>
      </c>
      <c r="J102" s="25" t="str">
        <f aca="false">IFERROR(IF(INDEX(Documents!$D$5:$D$657,MATCH(H102,Documents!$A$5:$A$657,0))="","",INDEX(Documents!$D$5:$D$657,MATCH(H102,Documents!$A$5:$A$657,0))),"")</f>
        <v>Eur J Med Chem</v>
      </c>
      <c r="K102" s="25" t="str">
        <f aca="false">IFERROR(IF(INDEX(Documents!$G$5:$G$657,MATCH(H102,Documents!$A$5:$A$657,0))="","",INDEX(Documents!$G$5:$G$657,MATCH(H102,Documents!$A$5:$A$657,0))),"")</f>
        <v>10.1016/j.ejmech.2016.03.072</v>
      </c>
      <c r="L102" s="25" t="s">
        <v>550</v>
      </c>
    </row>
    <row r="103" customFormat="false" ht="15" hidden="false" customHeight="false" outlineLevel="0" collapsed="false">
      <c r="A103" s="25" t="n">
        <v>16575986</v>
      </c>
      <c r="B103" s="25" t="s">
        <v>551</v>
      </c>
      <c r="C103" s="25" t="s">
        <v>552</v>
      </c>
      <c r="D103" s="26" t="n">
        <v>1375</v>
      </c>
      <c r="E103" s="27" t="n">
        <v>5.86169730183372</v>
      </c>
      <c r="F103" s="27" t="n">
        <v>5.86169730183372</v>
      </c>
      <c r="G103" s="25" t="s">
        <v>548</v>
      </c>
      <c r="H103" s="25" t="s">
        <v>549</v>
      </c>
      <c r="I103" s="25" t="n">
        <f aca="false">IFERROR(IF(INDEX(Documents!$C$5:$C$657,MATCH(H103,Documents!$A$5:$A$657,0))="","",INDEX(Documents!$C$5:$C$657,MATCH(H103,Documents!$A$5:$A$657,0))),"")</f>
        <v>2016</v>
      </c>
      <c r="J103" s="25" t="str">
        <f aca="false">IFERROR(IF(INDEX(Documents!$D$5:$D$657,MATCH(H103,Documents!$A$5:$A$657,0))="","",INDEX(Documents!$D$5:$D$657,MATCH(H103,Documents!$A$5:$A$657,0))),"")</f>
        <v>Eur J Med Chem</v>
      </c>
      <c r="K103" s="25" t="str">
        <f aca="false">IFERROR(IF(INDEX(Documents!$G$5:$G$657,MATCH(H103,Documents!$A$5:$A$657,0))="","",INDEX(Documents!$G$5:$G$657,MATCH(H103,Documents!$A$5:$A$657,0))),"")</f>
        <v>10.1016/j.ejmech.2016.03.072</v>
      </c>
      <c r="L103" s="25" t="s">
        <v>550</v>
      </c>
    </row>
    <row r="104" customFormat="false" ht="15" hidden="false" customHeight="false" outlineLevel="0" collapsed="false">
      <c r="A104" s="25" t="n">
        <v>16575984</v>
      </c>
      <c r="B104" s="25" t="s">
        <v>553</v>
      </c>
      <c r="C104" s="25" t="s">
        <v>554</v>
      </c>
      <c r="D104" s="26" t="n">
        <v>1783</v>
      </c>
      <c r="E104" s="27" t="n">
        <v>5.74884865682465</v>
      </c>
      <c r="F104" s="27" t="n">
        <v>5.74884865682465</v>
      </c>
      <c r="G104" s="25" t="s">
        <v>548</v>
      </c>
      <c r="H104" s="25" t="s">
        <v>549</v>
      </c>
      <c r="I104" s="25" t="n">
        <f aca="false">IFERROR(IF(INDEX(Documents!$C$5:$C$657,MATCH(H104,Documents!$A$5:$A$657,0))="","",INDEX(Documents!$C$5:$C$657,MATCH(H104,Documents!$A$5:$A$657,0))),"")</f>
        <v>2016</v>
      </c>
      <c r="J104" s="25" t="str">
        <f aca="false">IFERROR(IF(INDEX(Documents!$D$5:$D$657,MATCH(H104,Documents!$A$5:$A$657,0))="","",INDEX(Documents!$D$5:$D$657,MATCH(H104,Documents!$A$5:$A$657,0))),"")</f>
        <v>Eur J Med Chem</v>
      </c>
      <c r="K104" s="25" t="str">
        <f aca="false">IFERROR(IF(INDEX(Documents!$G$5:$G$657,MATCH(H104,Documents!$A$5:$A$657,0))="","",INDEX(Documents!$G$5:$G$657,MATCH(H104,Documents!$A$5:$A$657,0))),"")</f>
        <v>10.1016/j.ejmech.2016.03.072</v>
      </c>
      <c r="L104" s="25" t="s">
        <v>550</v>
      </c>
    </row>
    <row r="105" customFormat="false" ht="15" hidden="false" customHeight="false" outlineLevel="0" collapsed="false">
      <c r="A105" s="25" t="n">
        <v>2048391</v>
      </c>
      <c r="B105" s="25" t="s">
        <v>555</v>
      </c>
      <c r="C105" s="25" t="s">
        <v>556</v>
      </c>
      <c r="D105" s="26" t="n">
        <v>23.3</v>
      </c>
      <c r="E105" s="27" t="n">
        <v>7.63264407897398</v>
      </c>
      <c r="F105" s="27" t="n">
        <v>7.63264407897398</v>
      </c>
      <c r="G105" s="25" t="s">
        <v>513</v>
      </c>
      <c r="H105" s="25" t="s">
        <v>514</v>
      </c>
      <c r="I105" s="25" t="n">
        <f aca="false">IFERROR(IF(INDEX(Documents!$C$5:$C$657,MATCH(H105,Documents!$A$5:$A$657,0))="","",INDEX(Documents!$C$5:$C$657,MATCH(H105,Documents!$A$5:$A$657,0))),"")</f>
        <v>2007</v>
      </c>
      <c r="J105" s="25" t="str">
        <f aca="false">IFERROR(IF(INDEX(Documents!$D$5:$D$657,MATCH(H105,Documents!$A$5:$A$657,0))="","",INDEX(Documents!$D$5:$D$657,MATCH(H105,Documents!$A$5:$A$657,0))),"")</f>
        <v>Bioorg Med Chem Lett</v>
      </c>
      <c r="K105" s="25" t="str">
        <f aca="false">IFERROR(IF(INDEX(Documents!$G$5:$G$657,MATCH(H105,Documents!$A$5:$A$657,0))="","",INDEX(Documents!$G$5:$G$657,MATCH(H105,Documents!$A$5:$A$657,0))),"")</f>
        <v>10.1016/j.bmcl.2007.09.019</v>
      </c>
      <c r="L105" s="25" t="s">
        <v>515</v>
      </c>
    </row>
    <row r="106" customFormat="false" ht="15" hidden="false" customHeight="false" outlineLevel="0" collapsed="false">
      <c r="A106" s="25" t="n">
        <v>8042782</v>
      </c>
      <c r="B106" s="25" t="s">
        <v>557</v>
      </c>
      <c r="C106" s="25" t="s">
        <v>558</v>
      </c>
      <c r="D106" s="26" t="n">
        <v>14</v>
      </c>
      <c r="E106" s="27" t="n">
        <v>7.85387196432176</v>
      </c>
      <c r="F106" s="27" t="n">
        <v>7.85387196432176</v>
      </c>
      <c r="G106" s="25" t="s">
        <v>559</v>
      </c>
      <c r="H106" s="25" t="s">
        <v>560</v>
      </c>
      <c r="I106" s="25" t="n">
        <f aca="false">IFERROR(IF(INDEX(Documents!$C$5:$C$657,MATCH(H106,Documents!$A$5:$A$657,0))="","",INDEX(Documents!$C$5:$C$657,MATCH(H106,Documents!$A$5:$A$657,0))),"")</f>
        <v>2012</v>
      </c>
      <c r="J106" s="25" t="str">
        <f aca="false">IFERROR(IF(INDEX(Documents!$D$5:$D$657,MATCH(H106,Documents!$A$5:$A$657,0))="","",INDEX(Documents!$D$5:$D$657,MATCH(H106,Documents!$A$5:$A$657,0))),"")</f>
        <v>Bioorg Med Chem Lett</v>
      </c>
      <c r="K106" s="25" t="str">
        <f aca="false">IFERROR(IF(INDEX(Documents!$G$5:$G$657,MATCH(H106,Documents!$A$5:$A$657,0))="","",INDEX(Documents!$G$5:$G$657,MATCH(H106,Documents!$A$5:$A$657,0))),"")</f>
        <v>10.1016/j.bmcl.2011.12.124</v>
      </c>
      <c r="L106" s="25" t="s">
        <v>515</v>
      </c>
    </row>
    <row r="107" customFormat="false" ht="15" hidden="false" customHeight="false" outlineLevel="0" collapsed="false">
      <c r="A107" s="25" t="n">
        <v>11019979</v>
      </c>
      <c r="B107" s="25" t="s">
        <v>561</v>
      </c>
      <c r="C107" s="25" t="s">
        <v>562</v>
      </c>
      <c r="D107" s="26" t="n">
        <v>25.4</v>
      </c>
      <c r="E107" s="27" t="n">
        <v>7.59516628338006</v>
      </c>
      <c r="F107" s="27" t="n">
        <v>7.59516628338006</v>
      </c>
      <c r="G107" s="25" t="s">
        <v>496</v>
      </c>
      <c r="H107" s="25" t="s">
        <v>497</v>
      </c>
      <c r="I107" s="25" t="n">
        <f aca="false">IFERROR(IF(INDEX(Documents!$C$5:$C$657,MATCH(H107,Documents!$A$5:$A$657,0))="","",INDEX(Documents!$C$5:$C$657,MATCH(H107,Documents!$A$5:$A$657,0))),"")</f>
        <v>2012</v>
      </c>
      <c r="J107" s="25" t="str">
        <f aca="false">IFERROR(IF(INDEX(Documents!$D$5:$D$657,MATCH(H107,Documents!$A$5:$A$657,0))="","",INDEX(Documents!$D$5:$D$657,MATCH(H107,Documents!$A$5:$A$657,0))),"")</f>
        <v>J Med Chem</v>
      </c>
      <c r="K107" s="25" t="str">
        <f aca="false">IFERROR(IF(INDEX(Documents!$G$5:$G$657,MATCH(H107,Documents!$A$5:$A$657,0))="","",INDEX(Documents!$G$5:$G$657,MATCH(H107,Documents!$A$5:$A$657,0))),"")</f>
        <v>10.1021/jm3003334</v>
      </c>
      <c r="L107" s="25" t="s">
        <v>498</v>
      </c>
    </row>
    <row r="108" customFormat="false" ht="15" hidden="false" customHeight="false" outlineLevel="0" collapsed="false">
      <c r="A108" s="25" t="n">
        <v>11019978</v>
      </c>
      <c r="B108" s="25" t="s">
        <v>563</v>
      </c>
      <c r="C108" s="25" t="s">
        <v>564</v>
      </c>
      <c r="D108" s="26" t="n">
        <v>10.3</v>
      </c>
      <c r="E108" s="27" t="n">
        <v>7.98716277529483</v>
      </c>
      <c r="F108" s="27" t="n">
        <v>7.98716277529483</v>
      </c>
      <c r="G108" s="25" t="s">
        <v>496</v>
      </c>
      <c r="H108" s="25" t="s">
        <v>497</v>
      </c>
      <c r="I108" s="25" t="n">
        <f aca="false">IFERROR(IF(INDEX(Documents!$C$5:$C$657,MATCH(H108,Documents!$A$5:$A$657,0))="","",INDEX(Documents!$C$5:$C$657,MATCH(H108,Documents!$A$5:$A$657,0))),"")</f>
        <v>2012</v>
      </c>
      <c r="J108" s="25" t="str">
        <f aca="false">IFERROR(IF(INDEX(Documents!$D$5:$D$657,MATCH(H108,Documents!$A$5:$A$657,0))="","",INDEX(Documents!$D$5:$D$657,MATCH(H108,Documents!$A$5:$A$657,0))),"")</f>
        <v>J Med Chem</v>
      </c>
      <c r="K108" s="25" t="str">
        <f aca="false">IFERROR(IF(INDEX(Documents!$G$5:$G$657,MATCH(H108,Documents!$A$5:$A$657,0))="","",INDEX(Documents!$G$5:$G$657,MATCH(H108,Documents!$A$5:$A$657,0))),"")</f>
        <v>10.1021/jm3003334</v>
      </c>
      <c r="L108" s="25" t="s">
        <v>498</v>
      </c>
    </row>
    <row r="109" customFormat="false" ht="15" hidden="false" customHeight="false" outlineLevel="0" collapsed="false">
      <c r="A109" s="25" t="n">
        <v>2228953</v>
      </c>
      <c r="B109" s="25" t="s">
        <v>565</v>
      </c>
      <c r="C109" s="25" t="s">
        <v>566</v>
      </c>
      <c r="D109" s="26" t="n">
        <v>9.2</v>
      </c>
      <c r="E109" s="27" t="n">
        <v>8.03621217265444</v>
      </c>
      <c r="F109" s="27" t="n">
        <v>8.03621217265444</v>
      </c>
      <c r="G109" s="25" t="s">
        <v>485</v>
      </c>
      <c r="H109" s="25" t="s">
        <v>486</v>
      </c>
      <c r="I109" s="25" t="n">
        <f aca="false">IFERROR(IF(INDEX(Documents!$C$5:$C$657,MATCH(H109,Documents!$A$5:$A$657,0))="","",INDEX(Documents!$C$5:$C$657,MATCH(H109,Documents!$A$5:$A$657,0))),"")</f>
        <v>2008</v>
      </c>
      <c r="J109" s="25" t="str">
        <f aca="false">IFERROR(IF(INDEX(Documents!$D$5:$D$657,MATCH(H109,Documents!$A$5:$A$657,0))="","",INDEX(Documents!$D$5:$D$657,MATCH(H109,Documents!$A$5:$A$657,0))),"")</f>
        <v>J Med Chem</v>
      </c>
      <c r="K109" s="25" t="str">
        <f aca="false">IFERROR(IF(INDEX(Documents!$G$5:$G$657,MATCH(H109,Documents!$A$5:$A$657,0))="","",INDEX(Documents!$G$5:$G$657,MATCH(H109,Documents!$A$5:$A$657,0))),"")</f>
        <v>10.1021/jm800552f</v>
      </c>
      <c r="L109" s="25" t="s">
        <v>487</v>
      </c>
    </row>
    <row r="110" customFormat="false" ht="15" hidden="false" customHeight="false" outlineLevel="0" collapsed="false">
      <c r="A110" s="25" t="n">
        <v>3398989</v>
      </c>
      <c r="B110" s="25" t="s">
        <v>567</v>
      </c>
      <c r="C110" s="25" t="s">
        <v>568</v>
      </c>
      <c r="D110" s="26" t="n">
        <v>59</v>
      </c>
      <c r="E110" s="27" t="n">
        <v>7.22914798835786</v>
      </c>
      <c r="F110" s="27" t="n">
        <v>7.22914798835786</v>
      </c>
      <c r="G110" s="25" t="s">
        <v>283</v>
      </c>
      <c r="H110" s="25" t="s">
        <v>284</v>
      </c>
      <c r="I110" s="25" t="n">
        <f aca="false">IFERROR(IF(INDEX(Documents!$C$5:$C$657,MATCH(H110,Documents!$A$5:$A$657,0))="","",INDEX(Documents!$C$5:$C$657,MATCH(H110,Documents!$A$5:$A$657,0))),"")</f>
        <v>2010</v>
      </c>
      <c r="J110" s="25" t="str">
        <f aca="false">IFERROR(IF(INDEX(Documents!$D$5:$D$657,MATCH(H110,Documents!$A$5:$A$657,0))="","",INDEX(Documents!$D$5:$D$657,MATCH(H110,Documents!$A$5:$A$657,0))),"")</f>
        <v>J Med Chem</v>
      </c>
      <c r="K110" s="25" t="str">
        <f aca="false">IFERROR(IF(INDEX(Documents!$G$5:$G$657,MATCH(H110,Documents!$A$5:$A$657,0))="","",INDEX(Documents!$G$5:$G$657,MATCH(H110,Documents!$A$5:$A$657,0))),"")</f>
        <v>10.1021/jm100123x</v>
      </c>
      <c r="L110" s="25" t="s">
        <v>285</v>
      </c>
    </row>
    <row r="111" customFormat="false" ht="15" hidden="false" customHeight="false" outlineLevel="0" collapsed="false">
      <c r="A111" s="25" t="n">
        <v>11019982</v>
      </c>
      <c r="B111" s="25" t="s">
        <v>569</v>
      </c>
      <c r="C111" s="25" t="s">
        <v>570</v>
      </c>
      <c r="D111" s="26" t="n">
        <v>22.2</v>
      </c>
      <c r="E111" s="27" t="n">
        <v>7.65364702554936</v>
      </c>
      <c r="F111" s="27" t="n">
        <v>7.65364702554936</v>
      </c>
      <c r="G111" s="25" t="s">
        <v>496</v>
      </c>
      <c r="H111" s="25" t="s">
        <v>497</v>
      </c>
      <c r="I111" s="25" t="n">
        <f aca="false">IFERROR(IF(INDEX(Documents!$C$5:$C$657,MATCH(H111,Documents!$A$5:$A$657,0))="","",INDEX(Documents!$C$5:$C$657,MATCH(H111,Documents!$A$5:$A$657,0))),"")</f>
        <v>2012</v>
      </c>
      <c r="J111" s="25" t="str">
        <f aca="false">IFERROR(IF(INDEX(Documents!$D$5:$D$657,MATCH(H111,Documents!$A$5:$A$657,0))="","",INDEX(Documents!$D$5:$D$657,MATCH(H111,Documents!$A$5:$A$657,0))),"")</f>
        <v>J Med Chem</v>
      </c>
      <c r="K111" s="25" t="str">
        <f aca="false">IFERROR(IF(INDEX(Documents!$G$5:$G$657,MATCH(H111,Documents!$A$5:$A$657,0))="","",INDEX(Documents!$G$5:$G$657,MATCH(H111,Documents!$A$5:$A$657,0))),"")</f>
        <v>10.1021/jm3003334</v>
      </c>
      <c r="L111" s="25" t="s">
        <v>498</v>
      </c>
    </row>
    <row r="112" customFormat="false" ht="15" hidden="false" customHeight="false" outlineLevel="0" collapsed="false">
      <c r="A112" s="25" t="n">
        <v>11019981</v>
      </c>
      <c r="B112" s="25" t="s">
        <v>571</v>
      </c>
      <c r="C112" s="25" t="s">
        <v>572</v>
      </c>
      <c r="D112" s="26" t="n">
        <v>1.82</v>
      </c>
      <c r="E112" s="27" t="n">
        <v>8.73992861201493</v>
      </c>
      <c r="F112" s="27" t="n">
        <v>8.73992861201493</v>
      </c>
      <c r="G112" s="25" t="s">
        <v>496</v>
      </c>
      <c r="H112" s="25" t="s">
        <v>497</v>
      </c>
      <c r="I112" s="25" t="n">
        <f aca="false">IFERROR(IF(INDEX(Documents!$C$5:$C$657,MATCH(H112,Documents!$A$5:$A$657,0))="","",INDEX(Documents!$C$5:$C$657,MATCH(H112,Documents!$A$5:$A$657,0))),"")</f>
        <v>2012</v>
      </c>
      <c r="J112" s="25" t="str">
        <f aca="false">IFERROR(IF(INDEX(Documents!$D$5:$D$657,MATCH(H112,Documents!$A$5:$A$657,0))="","",INDEX(Documents!$D$5:$D$657,MATCH(H112,Documents!$A$5:$A$657,0))),"")</f>
        <v>J Med Chem</v>
      </c>
      <c r="K112" s="25" t="str">
        <f aca="false">IFERROR(IF(INDEX(Documents!$G$5:$G$657,MATCH(H112,Documents!$A$5:$A$657,0))="","",INDEX(Documents!$G$5:$G$657,MATCH(H112,Documents!$A$5:$A$657,0))),"")</f>
        <v>10.1021/jm3003334</v>
      </c>
      <c r="L112" s="25" t="s">
        <v>498</v>
      </c>
    </row>
    <row r="113" customFormat="false" ht="15" hidden="false" customHeight="false" outlineLevel="0" collapsed="false">
      <c r="A113" s="25" t="n">
        <v>11019983</v>
      </c>
      <c r="B113" s="25" t="s">
        <v>573</v>
      </c>
      <c r="C113" s="25" t="s">
        <v>574</v>
      </c>
      <c r="D113" s="26" t="n">
        <v>5.73</v>
      </c>
      <c r="E113" s="27" t="n">
        <v>8.24184537803261</v>
      </c>
      <c r="F113" s="27" t="n">
        <v>8.24184537803261</v>
      </c>
      <c r="G113" s="25" t="s">
        <v>496</v>
      </c>
      <c r="H113" s="25" t="s">
        <v>497</v>
      </c>
      <c r="I113" s="25" t="n">
        <f aca="false">IFERROR(IF(INDEX(Documents!$C$5:$C$657,MATCH(H113,Documents!$A$5:$A$657,0))="","",INDEX(Documents!$C$5:$C$657,MATCH(H113,Documents!$A$5:$A$657,0))),"")</f>
        <v>2012</v>
      </c>
      <c r="J113" s="25" t="str">
        <f aca="false">IFERROR(IF(INDEX(Documents!$D$5:$D$657,MATCH(H113,Documents!$A$5:$A$657,0))="","",INDEX(Documents!$D$5:$D$657,MATCH(H113,Documents!$A$5:$A$657,0))),"")</f>
        <v>J Med Chem</v>
      </c>
      <c r="K113" s="25" t="str">
        <f aca="false">IFERROR(IF(INDEX(Documents!$G$5:$G$657,MATCH(H113,Documents!$A$5:$A$657,0))="","",INDEX(Documents!$G$5:$G$657,MATCH(H113,Documents!$A$5:$A$657,0))),"")</f>
        <v>10.1021/jm3003334</v>
      </c>
      <c r="L113" s="25" t="s">
        <v>498</v>
      </c>
    </row>
    <row r="114" customFormat="false" ht="15" hidden="false" customHeight="false" outlineLevel="0" collapsed="false">
      <c r="A114" s="25" t="n">
        <v>11019971</v>
      </c>
      <c r="B114" s="25" t="s">
        <v>575</v>
      </c>
      <c r="C114" s="25" t="s">
        <v>576</v>
      </c>
      <c r="D114" s="26" t="n">
        <v>50</v>
      </c>
      <c r="E114" s="27" t="n">
        <v>7.30102999566398</v>
      </c>
      <c r="F114" s="27" t="n">
        <v>7.30102999566398</v>
      </c>
      <c r="G114" s="25" t="s">
        <v>496</v>
      </c>
      <c r="H114" s="25" t="s">
        <v>497</v>
      </c>
      <c r="I114" s="25" t="n">
        <f aca="false">IFERROR(IF(INDEX(Documents!$C$5:$C$657,MATCH(H114,Documents!$A$5:$A$657,0))="","",INDEX(Documents!$C$5:$C$657,MATCH(H114,Documents!$A$5:$A$657,0))),"")</f>
        <v>2012</v>
      </c>
      <c r="J114" s="25" t="str">
        <f aca="false">IFERROR(IF(INDEX(Documents!$D$5:$D$657,MATCH(H114,Documents!$A$5:$A$657,0))="","",INDEX(Documents!$D$5:$D$657,MATCH(H114,Documents!$A$5:$A$657,0))),"")</f>
        <v>J Med Chem</v>
      </c>
      <c r="K114" s="25" t="str">
        <f aca="false">IFERROR(IF(INDEX(Documents!$G$5:$G$657,MATCH(H114,Documents!$A$5:$A$657,0))="","",INDEX(Documents!$G$5:$G$657,MATCH(H114,Documents!$A$5:$A$657,0))),"")</f>
        <v>10.1021/jm3003334</v>
      </c>
      <c r="L114" s="25" t="s">
        <v>498</v>
      </c>
    </row>
    <row r="115" customFormat="false" ht="15" hidden="false" customHeight="false" outlineLevel="0" collapsed="false">
      <c r="A115" s="25" t="n">
        <v>11019966</v>
      </c>
      <c r="B115" s="25" t="s">
        <v>577</v>
      </c>
      <c r="C115" s="25" t="s">
        <v>578</v>
      </c>
      <c r="D115" s="26" t="n">
        <v>50</v>
      </c>
      <c r="E115" s="27" t="n">
        <v>7.30102999566398</v>
      </c>
      <c r="F115" s="27" t="n">
        <v>7.30102999566398</v>
      </c>
      <c r="G115" s="25" t="s">
        <v>496</v>
      </c>
      <c r="H115" s="25" t="s">
        <v>497</v>
      </c>
      <c r="I115" s="25" t="n">
        <f aca="false">IFERROR(IF(INDEX(Documents!$C$5:$C$657,MATCH(H115,Documents!$A$5:$A$657,0))="","",INDEX(Documents!$C$5:$C$657,MATCH(H115,Documents!$A$5:$A$657,0))),"")</f>
        <v>2012</v>
      </c>
      <c r="J115" s="25" t="str">
        <f aca="false">IFERROR(IF(INDEX(Documents!$D$5:$D$657,MATCH(H115,Documents!$A$5:$A$657,0))="","",INDEX(Documents!$D$5:$D$657,MATCH(H115,Documents!$A$5:$A$657,0))),"")</f>
        <v>J Med Chem</v>
      </c>
      <c r="K115" s="25" t="str">
        <f aca="false">IFERROR(IF(INDEX(Documents!$G$5:$G$657,MATCH(H115,Documents!$A$5:$A$657,0))="","",INDEX(Documents!$G$5:$G$657,MATCH(H115,Documents!$A$5:$A$657,0))),"")</f>
        <v>10.1021/jm3003334</v>
      </c>
      <c r="L115" s="25" t="s">
        <v>498</v>
      </c>
    </row>
    <row r="116" customFormat="false" ht="15" hidden="false" customHeight="false" outlineLevel="0" collapsed="false">
      <c r="A116" s="25" t="n">
        <v>11019988</v>
      </c>
      <c r="B116" s="25" t="s">
        <v>579</v>
      </c>
      <c r="C116" s="25" t="s">
        <v>580</v>
      </c>
      <c r="D116" s="26" t="n">
        <v>1090</v>
      </c>
      <c r="E116" s="27" t="n">
        <v>5.96257350205938</v>
      </c>
      <c r="F116" s="27" t="n">
        <v>5.96257350205938</v>
      </c>
      <c r="G116" s="25" t="s">
        <v>496</v>
      </c>
      <c r="H116" s="25" t="s">
        <v>497</v>
      </c>
      <c r="I116" s="25" t="n">
        <f aca="false">IFERROR(IF(INDEX(Documents!$C$5:$C$657,MATCH(H116,Documents!$A$5:$A$657,0))="","",INDEX(Documents!$C$5:$C$657,MATCH(H116,Documents!$A$5:$A$657,0))),"")</f>
        <v>2012</v>
      </c>
      <c r="J116" s="25" t="str">
        <f aca="false">IFERROR(IF(INDEX(Documents!$D$5:$D$657,MATCH(H116,Documents!$A$5:$A$657,0))="","",INDEX(Documents!$D$5:$D$657,MATCH(H116,Documents!$A$5:$A$657,0))),"")</f>
        <v>J Med Chem</v>
      </c>
      <c r="K116" s="25" t="str">
        <f aca="false">IFERROR(IF(INDEX(Documents!$G$5:$G$657,MATCH(H116,Documents!$A$5:$A$657,0))="","",INDEX(Documents!$G$5:$G$657,MATCH(H116,Documents!$A$5:$A$657,0))),"")</f>
        <v>10.1021/jm3003334</v>
      </c>
      <c r="L116" s="25" t="s">
        <v>498</v>
      </c>
    </row>
    <row r="117" customFormat="false" ht="15" hidden="false" customHeight="false" outlineLevel="0" collapsed="false">
      <c r="A117" s="25" t="n">
        <v>11019963</v>
      </c>
      <c r="B117" s="25" t="s">
        <v>581</v>
      </c>
      <c r="C117" s="25" t="s">
        <v>582</v>
      </c>
      <c r="D117" s="26" t="n">
        <v>400</v>
      </c>
      <c r="E117" s="27" t="n">
        <v>6.39794000867204</v>
      </c>
      <c r="F117" s="27" t="n">
        <v>6.39794000867204</v>
      </c>
      <c r="G117" s="25" t="s">
        <v>496</v>
      </c>
      <c r="H117" s="25" t="s">
        <v>497</v>
      </c>
      <c r="I117" s="25" t="n">
        <f aca="false">IFERROR(IF(INDEX(Documents!$C$5:$C$657,MATCH(H117,Documents!$A$5:$A$657,0))="","",INDEX(Documents!$C$5:$C$657,MATCH(H117,Documents!$A$5:$A$657,0))),"")</f>
        <v>2012</v>
      </c>
      <c r="J117" s="25" t="str">
        <f aca="false">IFERROR(IF(INDEX(Documents!$D$5:$D$657,MATCH(H117,Documents!$A$5:$A$657,0))="","",INDEX(Documents!$D$5:$D$657,MATCH(H117,Documents!$A$5:$A$657,0))),"")</f>
        <v>J Med Chem</v>
      </c>
      <c r="K117" s="25" t="str">
        <f aca="false">IFERROR(IF(INDEX(Documents!$G$5:$G$657,MATCH(H117,Documents!$A$5:$A$657,0))="","",INDEX(Documents!$G$5:$G$657,MATCH(H117,Documents!$A$5:$A$657,0))),"")</f>
        <v>10.1021/jm3003334</v>
      </c>
      <c r="L117" s="25" t="s">
        <v>498</v>
      </c>
    </row>
    <row r="118" customFormat="false" ht="15" hidden="false" customHeight="false" outlineLevel="0" collapsed="false">
      <c r="A118" s="25" t="n">
        <v>11019965</v>
      </c>
      <c r="B118" s="25" t="s">
        <v>583</v>
      </c>
      <c r="C118" s="25" t="s">
        <v>584</v>
      </c>
      <c r="D118" s="26" t="n">
        <v>377</v>
      </c>
      <c r="E118" s="27" t="n">
        <v>6.42365864979421</v>
      </c>
      <c r="F118" s="27" t="n">
        <v>6.42365864979421</v>
      </c>
      <c r="G118" s="25" t="s">
        <v>496</v>
      </c>
      <c r="H118" s="25" t="s">
        <v>497</v>
      </c>
      <c r="I118" s="25" t="n">
        <f aca="false">IFERROR(IF(INDEX(Documents!$C$5:$C$657,MATCH(H118,Documents!$A$5:$A$657,0))="","",INDEX(Documents!$C$5:$C$657,MATCH(H118,Documents!$A$5:$A$657,0))),"")</f>
        <v>2012</v>
      </c>
      <c r="J118" s="25" t="str">
        <f aca="false">IFERROR(IF(INDEX(Documents!$D$5:$D$657,MATCH(H118,Documents!$A$5:$A$657,0))="","",INDEX(Documents!$D$5:$D$657,MATCH(H118,Documents!$A$5:$A$657,0))),"")</f>
        <v>J Med Chem</v>
      </c>
      <c r="K118" s="25" t="str">
        <f aca="false">IFERROR(IF(INDEX(Documents!$G$5:$G$657,MATCH(H118,Documents!$A$5:$A$657,0))="","",INDEX(Documents!$G$5:$G$657,MATCH(H118,Documents!$A$5:$A$657,0))),"")</f>
        <v>10.1021/jm3003334</v>
      </c>
      <c r="L118" s="25" t="s">
        <v>498</v>
      </c>
    </row>
    <row r="119" customFormat="false" ht="15" hidden="false" customHeight="false" outlineLevel="0" collapsed="false">
      <c r="A119" s="25" t="n">
        <v>12052746</v>
      </c>
      <c r="B119" s="25" t="s">
        <v>585</v>
      </c>
      <c r="C119" s="25" t="s">
        <v>586</v>
      </c>
      <c r="D119" s="26" t="n">
        <v>15.2</v>
      </c>
      <c r="E119" s="27" t="n">
        <v>7.81815641205523</v>
      </c>
      <c r="F119" s="27" t="n">
        <v>7.81815641205523</v>
      </c>
      <c r="G119" s="25" t="s">
        <v>587</v>
      </c>
      <c r="H119" s="25" t="s">
        <v>588</v>
      </c>
      <c r="I119" s="25" t="n">
        <f aca="false">IFERROR(IF(INDEX(Documents!$C$5:$C$657,MATCH(H119,Documents!$A$5:$A$657,0))="","",INDEX(Documents!$C$5:$C$657,MATCH(H119,Documents!$A$5:$A$657,0))),"")</f>
        <v>2012</v>
      </c>
      <c r="J119" s="25" t="str">
        <f aca="false">IFERROR(IF(INDEX(Documents!$D$5:$D$657,MATCH(H119,Documents!$A$5:$A$657,0))="","",INDEX(Documents!$D$5:$D$657,MATCH(H119,Documents!$A$5:$A$657,0))),"")</f>
        <v>Eur J Med Chem</v>
      </c>
      <c r="K119" s="25" t="str">
        <f aca="false">IFERROR(IF(INDEX(Documents!$G$5:$G$657,MATCH(H119,Documents!$A$5:$A$657,0))="","",INDEX(Documents!$G$5:$G$657,MATCH(H119,Documents!$A$5:$A$657,0))),"")</f>
        <v>10.1016/j.ejmech.2012.09.035</v>
      </c>
      <c r="L119" s="25" t="s">
        <v>589</v>
      </c>
    </row>
    <row r="120" customFormat="false" ht="15" hidden="false" customHeight="false" outlineLevel="0" collapsed="false">
      <c r="A120" s="25" t="n">
        <v>15058671</v>
      </c>
      <c r="B120" s="25" t="s">
        <v>590</v>
      </c>
      <c r="C120" s="25" t="s">
        <v>591</v>
      </c>
      <c r="D120" s="26" t="n">
        <v>22550</v>
      </c>
      <c r="E120" s="27" t="n">
        <v>4.64685345378602</v>
      </c>
      <c r="F120" s="27" t="n">
        <v>4.64685345378602</v>
      </c>
      <c r="G120" s="25" t="s">
        <v>592</v>
      </c>
      <c r="H120" s="25" t="s">
        <v>593</v>
      </c>
      <c r="I120" s="25" t="n">
        <f aca="false">IFERROR(IF(INDEX(Documents!$C$5:$C$657,MATCH(H120,Documents!$A$5:$A$657,0))="","",INDEX(Documents!$C$5:$C$657,MATCH(H120,Documents!$A$5:$A$657,0))),"")</f>
        <v>2014</v>
      </c>
      <c r="J120" s="25" t="str">
        <f aca="false">IFERROR(IF(INDEX(Documents!$D$5:$D$657,MATCH(H120,Documents!$A$5:$A$657,0))="","",INDEX(Documents!$D$5:$D$657,MATCH(H120,Documents!$A$5:$A$657,0))),"")</f>
        <v>J Nat Prod</v>
      </c>
      <c r="K120" s="25" t="str">
        <f aca="false">IFERROR(IF(INDEX(Documents!$G$5:$G$657,MATCH(H120,Documents!$A$5:$A$657,0))="","",INDEX(Documents!$G$5:$G$657,MATCH(H120,Documents!$A$5:$A$657,0))),"")</f>
        <v>10.1021/np500292g</v>
      </c>
      <c r="L120" s="25" t="s">
        <v>594</v>
      </c>
    </row>
    <row r="121" customFormat="false" ht="15" hidden="false" customHeight="false" outlineLevel="0" collapsed="false">
      <c r="A121" s="25" t="n">
        <v>16350317</v>
      </c>
      <c r="B121" s="25" t="s">
        <v>595</v>
      </c>
      <c r="C121" s="25" t="s">
        <v>596</v>
      </c>
      <c r="D121" s="26" t="n">
        <v>3.3</v>
      </c>
      <c r="E121" s="27" t="n">
        <v>8.48148606012211</v>
      </c>
      <c r="F121" s="27" t="n">
        <v>8.48148606012211</v>
      </c>
      <c r="G121" s="25" t="s">
        <v>326</v>
      </c>
      <c r="H121" s="25" t="s">
        <v>327</v>
      </c>
      <c r="I121" s="25" t="n">
        <f aca="false">IFERROR(IF(INDEX(Documents!$C$5:$C$657,MATCH(H121,Documents!$A$5:$A$657,0))="","",INDEX(Documents!$C$5:$C$657,MATCH(H121,Documents!$A$5:$A$657,0))),"")</f>
        <v>2014</v>
      </c>
      <c r="J121" s="25" t="str">
        <f aca="false">IFERROR(IF(INDEX(Documents!$D$5:$D$657,MATCH(H121,Documents!$A$5:$A$657,0))="","",INDEX(Documents!$D$5:$D$657,MATCH(H121,Documents!$A$5:$A$657,0))),"")</f>
        <v/>
      </c>
      <c r="K121" s="25" t="str">
        <f aca="false">IFERROR(IF(INDEX(Documents!$G$5:$G$657,MATCH(H121,Documents!$A$5:$A$657,0))="","",INDEX(Documents!$G$5:$G$657,MATCH(H121,Documents!$A$5:$A$657,0))),"")</f>
        <v/>
      </c>
      <c r="L121" s="25" t="s">
        <v>328</v>
      </c>
    </row>
    <row r="122" customFormat="false" ht="15" hidden="false" customHeight="false" outlineLevel="0" collapsed="false">
      <c r="A122" s="25" t="n">
        <v>2980592</v>
      </c>
      <c r="B122" s="25" t="s">
        <v>597</v>
      </c>
      <c r="C122" s="25" t="s">
        <v>598</v>
      </c>
      <c r="D122" s="26" t="n">
        <v>1</v>
      </c>
      <c r="E122" s="27" t="n">
        <v>9</v>
      </c>
      <c r="F122" s="27" t="n">
        <v>9.00218240270123</v>
      </c>
      <c r="G122" s="25" t="s">
        <v>599</v>
      </c>
      <c r="H122" s="25" t="s">
        <v>600</v>
      </c>
      <c r="I122" s="25" t="n">
        <f aca="false">IFERROR(IF(INDEX(Documents!$C$5:$C$657,MATCH(H122,Documents!$A$5:$A$657,0))="","",INDEX(Documents!$C$5:$C$657,MATCH(H122,Documents!$A$5:$A$657,0))),"")</f>
        <v>2010</v>
      </c>
      <c r="J122" s="25" t="str">
        <f aca="false">IFERROR(IF(INDEX(Documents!$D$5:$D$657,MATCH(H122,Documents!$A$5:$A$657,0))="","",INDEX(Documents!$D$5:$D$657,MATCH(H122,Documents!$A$5:$A$657,0))),"")</f>
        <v>J Med Chem</v>
      </c>
      <c r="K122" s="25" t="str">
        <f aca="false">IFERROR(IF(INDEX(Documents!$G$5:$G$657,MATCH(H122,Documents!$A$5:$A$657,0))="","",INDEX(Documents!$G$5:$G$657,MATCH(H122,Documents!$A$5:$A$657,0))),"")</f>
        <v>10.1021/jm901214q</v>
      </c>
      <c r="L122" s="25" t="s">
        <v>601</v>
      </c>
    </row>
    <row r="123" customFormat="false" ht="15" hidden="false" customHeight="false" outlineLevel="0" collapsed="false">
      <c r="A123" s="25" t="n">
        <v>2980485</v>
      </c>
      <c r="B123" s="25" t="s">
        <v>597</v>
      </c>
      <c r="C123" s="25" t="s">
        <v>598</v>
      </c>
      <c r="D123" s="26" t="n">
        <v>0.99</v>
      </c>
      <c r="E123" s="27" t="n">
        <v>9.00436480540245</v>
      </c>
      <c r="F123" s="27" t="n">
        <v>9.00218240270123</v>
      </c>
      <c r="G123" s="25" t="s">
        <v>599</v>
      </c>
      <c r="H123" s="25" t="s">
        <v>600</v>
      </c>
      <c r="I123" s="25" t="n">
        <f aca="false">IFERROR(IF(INDEX(Documents!$C$5:$C$657,MATCH(H123,Documents!$A$5:$A$657,0))="","",INDEX(Documents!$C$5:$C$657,MATCH(H123,Documents!$A$5:$A$657,0))),"")</f>
        <v>2010</v>
      </c>
      <c r="J123" s="25" t="str">
        <f aca="false">IFERROR(IF(INDEX(Documents!$D$5:$D$657,MATCH(H123,Documents!$A$5:$A$657,0))="","",INDEX(Documents!$D$5:$D$657,MATCH(H123,Documents!$A$5:$A$657,0))),"")</f>
        <v>J Med Chem</v>
      </c>
      <c r="K123" s="25" t="str">
        <f aca="false">IFERROR(IF(INDEX(Documents!$G$5:$G$657,MATCH(H123,Documents!$A$5:$A$657,0))="","",INDEX(Documents!$G$5:$G$657,MATCH(H123,Documents!$A$5:$A$657,0))),"")</f>
        <v>10.1021/jm901214q</v>
      </c>
      <c r="L123" s="25" t="s">
        <v>601</v>
      </c>
    </row>
    <row r="124" customFormat="false" ht="15" hidden="false" customHeight="false" outlineLevel="0" collapsed="false">
      <c r="A124" s="25" t="n">
        <v>2167088</v>
      </c>
      <c r="B124" s="25" t="s">
        <v>602</v>
      </c>
      <c r="C124" s="25" t="s">
        <v>603</v>
      </c>
      <c r="D124" s="26" t="n">
        <v>5200</v>
      </c>
      <c r="E124" s="27" t="n">
        <v>5.2839966563652</v>
      </c>
      <c r="F124" s="27" t="n">
        <v>5.2839966563652</v>
      </c>
      <c r="G124" s="25" t="s">
        <v>604</v>
      </c>
      <c r="H124" s="25" t="s">
        <v>605</v>
      </c>
      <c r="I124" s="25" t="n">
        <f aca="false">IFERROR(IF(INDEX(Documents!$C$5:$C$657,MATCH(H124,Documents!$A$5:$A$657,0))="","",INDEX(Documents!$C$5:$C$657,MATCH(H124,Documents!$A$5:$A$657,0))),"")</f>
        <v>2008</v>
      </c>
      <c r="J124" s="25" t="str">
        <f aca="false">IFERROR(IF(INDEX(Documents!$D$5:$D$657,MATCH(H124,Documents!$A$5:$A$657,0))="","",INDEX(Documents!$D$5:$D$657,MATCH(H124,Documents!$A$5:$A$657,0))),"")</f>
        <v>Bioorg Med Chem Lett</v>
      </c>
      <c r="K124" s="25" t="str">
        <f aca="false">IFERROR(IF(INDEX(Documents!$G$5:$G$657,MATCH(H124,Documents!$A$5:$A$657,0))="","",INDEX(Documents!$G$5:$G$657,MATCH(H124,Documents!$A$5:$A$657,0))),"")</f>
        <v>10.1016/j.bmcl.2008.04.003</v>
      </c>
      <c r="L124" s="25" t="s">
        <v>606</v>
      </c>
    </row>
    <row r="125" customFormat="false" ht="15" hidden="false" customHeight="false" outlineLevel="0" collapsed="false">
      <c r="A125" s="25" t="n">
        <v>25634530</v>
      </c>
      <c r="B125" s="25" t="s">
        <v>607</v>
      </c>
      <c r="C125" s="25" t="s">
        <v>608</v>
      </c>
      <c r="D125" s="26" t="n">
        <v>18</v>
      </c>
      <c r="E125" s="27" t="n">
        <v>7.74472749489669</v>
      </c>
      <c r="F125" s="27" t="n">
        <v>7.74472749489669</v>
      </c>
      <c r="G125" s="25" t="s">
        <v>609</v>
      </c>
      <c r="H125" s="25" t="s">
        <v>610</v>
      </c>
      <c r="I125" s="25" t="n">
        <f aca="false">IFERROR(IF(INDEX(Documents!$C$5:$C$657,MATCH(H125,Documents!$A$5:$A$657,0))="","",INDEX(Documents!$C$5:$C$657,MATCH(H125,Documents!$A$5:$A$657,0))),"")</f>
        <v>2023</v>
      </c>
      <c r="J125" s="25" t="str">
        <f aca="false">IFERROR(IF(INDEX(Documents!$D$5:$D$657,MATCH(H125,Documents!$A$5:$A$657,0))="","",INDEX(Documents!$D$5:$D$657,MATCH(H125,Documents!$A$5:$A$657,0))),"")</f>
        <v>J Med Chem</v>
      </c>
      <c r="K125" s="25" t="str">
        <f aca="false">IFERROR(IF(INDEX(Documents!$G$5:$G$657,MATCH(H125,Documents!$A$5:$A$657,0))="","",INDEX(Documents!$G$5:$G$657,MATCH(H125,Documents!$A$5:$A$657,0))),"")</f>
        <v>10.1021/acs.jmedchem.3c00599</v>
      </c>
      <c r="L125" s="25" t="s">
        <v>611</v>
      </c>
    </row>
    <row r="126" customFormat="false" ht="15" hidden="false" customHeight="false" outlineLevel="0" collapsed="false">
      <c r="A126" s="25" t="n">
        <v>25634522</v>
      </c>
      <c r="B126" s="25" t="s">
        <v>612</v>
      </c>
      <c r="C126" s="25" t="s">
        <v>613</v>
      </c>
      <c r="D126" s="26" t="n">
        <v>476</v>
      </c>
      <c r="E126" s="27" t="n">
        <v>6.32239304727951</v>
      </c>
      <c r="F126" s="27" t="n">
        <v>6.32239304727951</v>
      </c>
      <c r="G126" s="25" t="s">
        <v>609</v>
      </c>
      <c r="H126" s="25" t="s">
        <v>610</v>
      </c>
      <c r="I126" s="25" t="n">
        <f aca="false">IFERROR(IF(INDEX(Documents!$C$5:$C$657,MATCH(H126,Documents!$A$5:$A$657,0))="","",INDEX(Documents!$C$5:$C$657,MATCH(H126,Documents!$A$5:$A$657,0))),"")</f>
        <v>2023</v>
      </c>
      <c r="J126" s="25" t="str">
        <f aca="false">IFERROR(IF(INDEX(Documents!$D$5:$D$657,MATCH(H126,Documents!$A$5:$A$657,0))="","",INDEX(Documents!$D$5:$D$657,MATCH(H126,Documents!$A$5:$A$657,0))),"")</f>
        <v>J Med Chem</v>
      </c>
      <c r="K126" s="25" t="str">
        <f aca="false">IFERROR(IF(INDEX(Documents!$G$5:$G$657,MATCH(H126,Documents!$A$5:$A$657,0))="","",INDEX(Documents!$G$5:$G$657,MATCH(H126,Documents!$A$5:$A$657,0))),"")</f>
        <v>10.1021/acs.jmedchem.3c00599</v>
      </c>
      <c r="L126" s="25" t="s">
        <v>611</v>
      </c>
    </row>
    <row r="127" customFormat="false" ht="15" hidden="false" customHeight="false" outlineLevel="0" collapsed="false">
      <c r="A127" s="25" t="n">
        <v>25634524</v>
      </c>
      <c r="B127" s="25" t="s">
        <v>614</v>
      </c>
      <c r="C127" s="25" t="s">
        <v>615</v>
      </c>
      <c r="D127" s="26" t="n">
        <v>120</v>
      </c>
      <c r="E127" s="27" t="n">
        <v>6.92081875395238</v>
      </c>
      <c r="F127" s="27" t="n">
        <v>6.92081875395238</v>
      </c>
      <c r="G127" s="25" t="s">
        <v>609</v>
      </c>
      <c r="H127" s="25" t="s">
        <v>610</v>
      </c>
      <c r="I127" s="25" t="n">
        <f aca="false">IFERROR(IF(INDEX(Documents!$C$5:$C$657,MATCH(H127,Documents!$A$5:$A$657,0))="","",INDEX(Documents!$C$5:$C$657,MATCH(H127,Documents!$A$5:$A$657,0))),"")</f>
        <v>2023</v>
      </c>
      <c r="J127" s="25" t="str">
        <f aca="false">IFERROR(IF(INDEX(Documents!$D$5:$D$657,MATCH(H127,Documents!$A$5:$A$657,0))="","",INDEX(Documents!$D$5:$D$657,MATCH(H127,Documents!$A$5:$A$657,0))),"")</f>
        <v>J Med Chem</v>
      </c>
      <c r="K127" s="25" t="str">
        <f aca="false">IFERROR(IF(INDEX(Documents!$G$5:$G$657,MATCH(H127,Documents!$A$5:$A$657,0))="","",INDEX(Documents!$G$5:$G$657,MATCH(H127,Documents!$A$5:$A$657,0))),"")</f>
        <v>10.1021/acs.jmedchem.3c00599</v>
      </c>
      <c r="L127" s="25" t="s">
        <v>611</v>
      </c>
    </row>
    <row r="128" customFormat="false" ht="15" hidden="false" customHeight="false" outlineLevel="0" collapsed="false">
      <c r="A128" s="25" t="n">
        <v>25634528</v>
      </c>
      <c r="B128" s="25" t="s">
        <v>616</v>
      </c>
      <c r="C128" s="25" t="s">
        <v>617</v>
      </c>
      <c r="D128" s="26" t="n">
        <v>228</v>
      </c>
      <c r="E128" s="27" t="n">
        <v>6.64206515299955</v>
      </c>
      <c r="F128" s="27" t="n">
        <v>6.64206515299955</v>
      </c>
      <c r="G128" s="25" t="s">
        <v>609</v>
      </c>
      <c r="H128" s="25" t="s">
        <v>610</v>
      </c>
      <c r="I128" s="25" t="n">
        <f aca="false">IFERROR(IF(INDEX(Documents!$C$5:$C$657,MATCH(H128,Documents!$A$5:$A$657,0))="","",INDEX(Documents!$C$5:$C$657,MATCH(H128,Documents!$A$5:$A$657,0))),"")</f>
        <v>2023</v>
      </c>
      <c r="J128" s="25" t="str">
        <f aca="false">IFERROR(IF(INDEX(Documents!$D$5:$D$657,MATCH(H128,Documents!$A$5:$A$657,0))="","",INDEX(Documents!$D$5:$D$657,MATCH(H128,Documents!$A$5:$A$657,0))),"")</f>
        <v>J Med Chem</v>
      </c>
      <c r="K128" s="25" t="str">
        <f aca="false">IFERROR(IF(INDEX(Documents!$G$5:$G$657,MATCH(H128,Documents!$A$5:$A$657,0))="","",INDEX(Documents!$G$5:$G$657,MATCH(H128,Documents!$A$5:$A$657,0))),"")</f>
        <v>10.1021/acs.jmedchem.3c00599</v>
      </c>
      <c r="L128" s="25" t="s">
        <v>611</v>
      </c>
    </row>
    <row r="129" customFormat="false" ht="15" hidden="false" customHeight="false" outlineLevel="0" collapsed="false">
      <c r="A129" s="25" t="n">
        <v>25634526</v>
      </c>
      <c r="B129" s="25" t="s">
        <v>618</v>
      </c>
      <c r="C129" s="25" t="s">
        <v>619</v>
      </c>
      <c r="D129" s="26" t="n">
        <v>478</v>
      </c>
      <c r="E129" s="27" t="n">
        <v>6.32057210338788</v>
      </c>
      <c r="F129" s="27" t="n">
        <v>6.32057210338788</v>
      </c>
      <c r="G129" s="25" t="s">
        <v>609</v>
      </c>
      <c r="H129" s="25" t="s">
        <v>610</v>
      </c>
      <c r="I129" s="25" t="n">
        <f aca="false">IFERROR(IF(INDEX(Documents!$C$5:$C$657,MATCH(H129,Documents!$A$5:$A$657,0))="","",INDEX(Documents!$C$5:$C$657,MATCH(H129,Documents!$A$5:$A$657,0))),"")</f>
        <v>2023</v>
      </c>
      <c r="J129" s="25" t="str">
        <f aca="false">IFERROR(IF(INDEX(Documents!$D$5:$D$657,MATCH(H129,Documents!$A$5:$A$657,0))="","",INDEX(Documents!$D$5:$D$657,MATCH(H129,Documents!$A$5:$A$657,0))),"")</f>
        <v>J Med Chem</v>
      </c>
      <c r="K129" s="25" t="str">
        <f aca="false">IFERROR(IF(INDEX(Documents!$G$5:$G$657,MATCH(H129,Documents!$A$5:$A$657,0))="","",INDEX(Documents!$G$5:$G$657,MATCH(H129,Documents!$A$5:$A$657,0))),"")</f>
        <v>10.1021/acs.jmedchem.3c00599</v>
      </c>
      <c r="L129" s="25" t="s">
        <v>611</v>
      </c>
    </row>
    <row r="130" customFormat="false" ht="15" hidden="false" customHeight="false" outlineLevel="0" collapsed="false">
      <c r="A130" s="25" t="n">
        <v>16266086</v>
      </c>
      <c r="B130" s="25" t="s">
        <v>620</v>
      </c>
      <c r="C130" s="25" t="s">
        <v>621</v>
      </c>
      <c r="D130" s="26" t="n">
        <v>107</v>
      </c>
      <c r="E130" s="27" t="n">
        <v>6.97061622231479</v>
      </c>
      <c r="F130" s="27" t="n">
        <v>6.97061622231479</v>
      </c>
      <c r="G130" s="25" t="s">
        <v>326</v>
      </c>
      <c r="H130" s="25" t="s">
        <v>327</v>
      </c>
      <c r="I130" s="25" t="n">
        <f aca="false">IFERROR(IF(INDEX(Documents!$C$5:$C$657,MATCH(H130,Documents!$A$5:$A$657,0))="","",INDEX(Documents!$C$5:$C$657,MATCH(H130,Documents!$A$5:$A$657,0))),"")</f>
        <v>2014</v>
      </c>
      <c r="J130" s="25" t="str">
        <f aca="false">IFERROR(IF(INDEX(Documents!$D$5:$D$657,MATCH(H130,Documents!$A$5:$A$657,0))="","",INDEX(Documents!$D$5:$D$657,MATCH(H130,Documents!$A$5:$A$657,0))),"")</f>
        <v/>
      </c>
      <c r="K130" s="25" t="str">
        <f aca="false">IFERROR(IF(INDEX(Documents!$G$5:$G$657,MATCH(H130,Documents!$A$5:$A$657,0))="","",INDEX(Documents!$G$5:$G$657,MATCH(H130,Documents!$A$5:$A$657,0))),"")</f>
        <v/>
      </c>
      <c r="L130" s="25" t="s">
        <v>328</v>
      </c>
    </row>
    <row r="131" customFormat="false" ht="15" hidden="false" customHeight="false" outlineLevel="0" collapsed="false">
      <c r="A131" s="25" t="n">
        <v>18388180</v>
      </c>
      <c r="B131" s="25" t="s">
        <v>622</v>
      </c>
      <c r="C131" s="25" t="s">
        <v>623</v>
      </c>
      <c r="D131" s="26" t="n">
        <v>254</v>
      </c>
      <c r="E131" s="27" t="n">
        <v>6.59516628338006</v>
      </c>
      <c r="F131" s="27" t="n">
        <v>6.59516628338006</v>
      </c>
      <c r="G131" s="25" t="s">
        <v>624</v>
      </c>
      <c r="H131" s="25" t="s">
        <v>625</v>
      </c>
      <c r="I131" s="25" t="n">
        <f aca="false">IFERROR(IF(INDEX(Documents!$C$5:$C$657,MATCH(H131,Documents!$A$5:$A$657,0))="","",INDEX(Documents!$C$5:$C$657,MATCH(H131,Documents!$A$5:$A$657,0))),"")</f>
        <v>2018</v>
      </c>
      <c r="J131" s="25" t="str">
        <f aca="false">IFERROR(IF(INDEX(Documents!$D$5:$D$657,MATCH(H131,Documents!$A$5:$A$657,0))="","",INDEX(Documents!$D$5:$D$657,MATCH(H131,Documents!$A$5:$A$657,0))),"")</f>
        <v>Eur J Med Chem</v>
      </c>
      <c r="K131" s="25" t="str">
        <f aca="false">IFERROR(IF(INDEX(Documents!$G$5:$G$657,MATCH(H131,Documents!$A$5:$A$657,0))="","",INDEX(Documents!$G$5:$G$657,MATCH(H131,Documents!$A$5:$A$657,0))),"")</f>
        <v>10.1016/j.ejmech.2018.01.034</v>
      </c>
      <c r="L131" s="25" t="s">
        <v>626</v>
      </c>
    </row>
    <row r="132" customFormat="false" ht="15" hidden="false" customHeight="false" outlineLevel="0" collapsed="false">
      <c r="A132" s="25" t="n">
        <v>18388184</v>
      </c>
      <c r="B132" s="25" t="s">
        <v>627</v>
      </c>
      <c r="C132" s="25" t="s">
        <v>628</v>
      </c>
      <c r="D132" s="26" t="n">
        <v>678</v>
      </c>
      <c r="E132" s="27" t="n">
        <v>6.16877030613294</v>
      </c>
      <c r="F132" s="27" t="n">
        <v>6.16877030613294</v>
      </c>
      <c r="G132" s="25" t="s">
        <v>624</v>
      </c>
      <c r="H132" s="25" t="s">
        <v>625</v>
      </c>
      <c r="I132" s="25" t="n">
        <f aca="false">IFERROR(IF(INDEX(Documents!$C$5:$C$657,MATCH(H132,Documents!$A$5:$A$657,0))="","",INDEX(Documents!$C$5:$C$657,MATCH(H132,Documents!$A$5:$A$657,0))),"")</f>
        <v>2018</v>
      </c>
      <c r="J132" s="25" t="str">
        <f aca="false">IFERROR(IF(INDEX(Documents!$D$5:$D$657,MATCH(H132,Documents!$A$5:$A$657,0))="","",INDEX(Documents!$D$5:$D$657,MATCH(H132,Documents!$A$5:$A$657,0))),"")</f>
        <v>Eur J Med Chem</v>
      </c>
      <c r="K132" s="25" t="str">
        <f aca="false">IFERROR(IF(INDEX(Documents!$G$5:$G$657,MATCH(H132,Documents!$A$5:$A$657,0))="","",INDEX(Documents!$G$5:$G$657,MATCH(H132,Documents!$A$5:$A$657,0))),"")</f>
        <v>10.1016/j.ejmech.2018.01.034</v>
      </c>
      <c r="L132" s="25" t="s">
        <v>626</v>
      </c>
    </row>
    <row r="133" customFormat="false" ht="15" hidden="false" customHeight="false" outlineLevel="0" collapsed="false">
      <c r="A133" s="25" t="n">
        <v>10979872</v>
      </c>
      <c r="B133" s="25" t="s">
        <v>629</v>
      </c>
      <c r="C133" s="25" t="s">
        <v>630</v>
      </c>
      <c r="D133" s="26" t="n">
        <v>20600</v>
      </c>
      <c r="E133" s="27" t="n">
        <v>4.68613277963085</v>
      </c>
      <c r="F133" s="27" t="n">
        <v>4.68613277963085</v>
      </c>
      <c r="G133" s="25" t="s">
        <v>631</v>
      </c>
      <c r="H133" s="25" t="s">
        <v>632</v>
      </c>
      <c r="I133" s="25" t="n">
        <f aca="false">IFERROR(IF(INDEX(Documents!$C$5:$C$657,MATCH(H133,Documents!$A$5:$A$657,0))="","",INDEX(Documents!$C$5:$C$657,MATCH(H133,Documents!$A$5:$A$657,0))),"")</f>
        <v>2012</v>
      </c>
      <c r="J133" s="25" t="str">
        <f aca="false">IFERROR(IF(INDEX(Documents!$D$5:$D$657,MATCH(H133,Documents!$A$5:$A$657,0))="","",INDEX(Documents!$D$5:$D$657,MATCH(H133,Documents!$A$5:$A$657,0))),"")</f>
        <v>ACS Med Chem Lett</v>
      </c>
      <c r="K133" s="25" t="str">
        <f aca="false">IFERROR(IF(INDEX(Documents!$G$5:$G$657,MATCH(H133,Documents!$A$5:$A$657,0))="","",INDEX(Documents!$G$5:$G$657,MATCH(H133,Documents!$A$5:$A$657,0))),"")</f>
        <v>10.1021/ml3000325</v>
      </c>
      <c r="L133" s="25" t="s">
        <v>633</v>
      </c>
    </row>
    <row r="134" customFormat="false" ht="15" hidden="false" customHeight="false" outlineLevel="0" collapsed="false">
      <c r="A134" s="25" t="n">
        <v>10852542</v>
      </c>
      <c r="B134" s="25" t="s">
        <v>634</v>
      </c>
      <c r="C134" s="25" t="s">
        <v>635</v>
      </c>
      <c r="D134" s="26" t="n">
        <v>2.5</v>
      </c>
      <c r="E134" s="27" t="n">
        <v>8.60205999132796</v>
      </c>
      <c r="F134" s="27" t="n">
        <v>8.60205999132796</v>
      </c>
      <c r="G134" s="25" t="s">
        <v>636</v>
      </c>
      <c r="H134" s="25" t="s">
        <v>637</v>
      </c>
      <c r="I134" s="25" t="n">
        <f aca="false">IFERROR(IF(INDEX(Documents!$C$5:$C$657,MATCH(H134,Documents!$A$5:$A$657,0))="","",INDEX(Documents!$C$5:$C$657,MATCH(H134,Documents!$A$5:$A$657,0))),"")</f>
        <v>2012</v>
      </c>
      <c r="J134" s="25" t="str">
        <f aca="false">IFERROR(IF(INDEX(Documents!$D$5:$D$657,MATCH(H134,Documents!$A$5:$A$657,0))="","",INDEX(Documents!$D$5:$D$657,MATCH(H134,Documents!$A$5:$A$657,0))),"")</f>
        <v>Bioorg Med Chem Lett</v>
      </c>
      <c r="K134" s="25" t="str">
        <f aca="false">IFERROR(IF(INDEX(Documents!$G$5:$G$657,MATCH(H134,Documents!$A$5:$A$657,0))="","",INDEX(Documents!$G$5:$G$657,MATCH(H134,Documents!$A$5:$A$657,0))),"")</f>
        <v>10.1016/j.bmcl.2012.02.054</v>
      </c>
      <c r="L134" s="25" t="s">
        <v>638</v>
      </c>
    </row>
    <row r="135" customFormat="false" ht="15" hidden="false" customHeight="false" outlineLevel="0" collapsed="false">
      <c r="A135" s="25" t="n">
        <v>16288908</v>
      </c>
      <c r="B135" s="25" t="s">
        <v>639</v>
      </c>
      <c r="C135" s="25" t="s">
        <v>640</v>
      </c>
      <c r="D135" s="26" t="n">
        <v>1.2</v>
      </c>
      <c r="E135" s="27" t="n">
        <v>8.92081875395238</v>
      </c>
      <c r="F135" s="27" t="n">
        <v>8.92081875395238</v>
      </c>
      <c r="G135" s="25" t="s">
        <v>326</v>
      </c>
      <c r="H135" s="25" t="s">
        <v>327</v>
      </c>
      <c r="I135" s="25" t="n">
        <f aca="false">IFERROR(IF(INDEX(Documents!$C$5:$C$657,MATCH(H135,Documents!$A$5:$A$657,0))="","",INDEX(Documents!$C$5:$C$657,MATCH(H135,Documents!$A$5:$A$657,0))),"")</f>
        <v>2014</v>
      </c>
      <c r="J135" s="25" t="str">
        <f aca="false">IFERROR(IF(INDEX(Documents!$D$5:$D$657,MATCH(H135,Documents!$A$5:$A$657,0))="","",INDEX(Documents!$D$5:$D$657,MATCH(H135,Documents!$A$5:$A$657,0))),"")</f>
        <v/>
      </c>
      <c r="K135" s="25" t="str">
        <f aca="false">IFERROR(IF(INDEX(Documents!$G$5:$G$657,MATCH(H135,Documents!$A$5:$A$657,0))="","",INDEX(Documents!$G$5:$G$657,MATCH(H135,Documents!$A$5:$A$657,0))),"")</f>
        <v/>
      </c>
      <c r="L135" s="25" t="s">
        <v>328</v>
      </c>
    </row>
    <row r="136" customFormat="false" ht="15" hidden="false" customHeight="false" outlineLevel="0" collapsed="false">
      <c r="A136" s="25" t="n">
        <v>20662653</v>
      </c>
      <c r="B136" s="25" t="s">
        <v>641</v>
      </c>
      <c r="C136" s="25" t="s">
        <v>642</v>
      </c>
      <c r="D136" s="26" t="n">
        <v>17.3</v>
      </c>
      <c r="E136" s="27" t="n">
        <v>7.76195389687121</v>
      </c>
      <c r="F136" s="27" t="n">
        <v>7.76195389687121</v>
      </c>
      <c r="G136" s="25" t="s">
        <v>643</v>
      </c>
      <c r="H136" s="25" t="s">
        <v>644</v>
      </c>
      <c r="I136" s="25" t="n">
        <f aca="false">IFERROR(IF(INDEX(Documents!$C$5:$C$657,MATCH(H136,Documents!$A$5:$A$657,0))="","",INDEX(Documents!$C$5:$C$657,MATCH(H136,Documents!$A$5:$A$657,0))),"")</f>
        <v>2020</v>
      </c>
      <c r="J136" s="25" t="str">
        <f aca="false">IFERROR(IF(INDEX(Documents!$D$5:$D$657,MATCH(H136,Documents!$A$5:$A$657,0))="","",INDEX(Documents!$D$5:$D$657,MATCH(H136,Documents!$A$5:$A$657,0))),"")</f>
        <v>J Med Chem</v>
      </c>
      <c r="K136" s="25" t="str">
        <f aca="false">IFERROR(IF(INDEX(Documents!$G$5:$G$657,MATCH(H136,Documents!$A$5:$A$657,0))="","",INDEX(Documents!$G$5:$G$657,MATCH(H136,Documents!$A$5:$A$657,0))),"")</f>
        <v>10.1021/acs.jmedchem.0c00595</v>
      </c>
      <c r="L136" s="25" t="s">
        <v>645</v>
      </c>
    </row>
    <row r="137" customFormat="false" ht="15" hidden="false" customHeight="false" outlineLevel="0" collapsed="false">
      <c r="A137" s="25" t="n">
        <v>25876186</v>
      </c>
      <c r="B137" s="25" t="s">
        <v>646</v>
      </c>
      <c r="C137" s="25" t="s">
        <v>647</v>
      </c>
      <c r="D137" s="26" t="n">
        <v>1255</v>
      </c>
      <c r="E137" s="27" t="n">
        <v>5.90135627418294</v>
      </c>
      <c r="F137" s="27" t="n">
        <v>5.90135627418294</v>
      </c>
      <c r="G137" s="25" t="s">
        <v>648</v>
      </c>
      <c r="H137" s="25" t="s">
        <v>649</v>
      </c>
      <c r="I137" s="25" t="n">
        <f aca="false">IFERROR(IF(INDEX(Documents!$C$5:$C$657,MATCH(H137,Documents!$A$5:$A$657,0))="","",INDEX(Documents!$C$5:$C$657,MATCH(H137,Documents!$A$5:$A$657,0))),"")</f>
        <v>2024</v>
      </c>
      <c r="J137" s="25" t="str">
        <f aca="false">IFERROR(IF(INDEX(Documents!$D$5:$D$657,MATCH(H137,Documents!$A$5:$A$657,0))="","",INDEX(Documents!$D$5:$D$657,MATCH(H137,Documents!$A$5:$A$657,0))),"")</f>
        <v>Eur J Med Chem</v>
      </c>
      <c r="K137" s="25" t="str">
        <f aca="false">IFERROR(IF(INDEX(Documents!$G$5:$G$657,MATCH(H137,Documents!$A$5:$A$657,0))="","",INDEX(Documents!$G$5:$G$657,MATCH(H137,Documents!$A$5:$A$657,0))),"")</f>
        <v>10.1016/j.ejmech.2024.116298</v>
      </c>
      <c r="L137" s="25" t="s">
        <v>650</v>
      </c>
    </row>
    <row r="138" customFormat="false" ht="15" hidden="false" customHeight="false" outlineLevel="0" collapsed="false">
      <c r="A138" s="25" t="n">
        <v>16350902</v>
      </c>
      <c r="B138" s="25" t="s">
        <v>651</v>
      </c>
      <c r="C138" s="25" t="s">
        <v>652</v>
      </c>
      <c r="D138" s="26" t="n">
        <v>16</v>
      </c>
      <c r="E138" s="27" t="n">
        <v>7.79588001734408</v>
      </c>
      <c r="F138" s="27" t="n">
        <v>7.79588001734408</v>
      </c>
      <c r="G138" s="25" t="s">
        <v>273</v>
      </c>
      <c r="H138" s="25" t="s">
        <v>274</v>
      </c>
      <c r="I138" s="25" t="n">
        <f aca="false">IFERROR(IF(INDEX(Documents!$C$5:$C$657,MATCH(H138,Documents!$A$5:$A$657,0))="","",INDEX(Documents!$C$5:$C$657,MATCH(H138,Documents!$A$5:$A$657,0))),"")</f>
        <v>2014</v>
      </c>
      <c r="J138" s="25" t="str">
        <f aca="false">IFERROR(IF(INDEX(Documents!$D$5:$D$657,MATCH(H138,Documents!$A$5:$A$657,0))="","",INDEX(Documents!$D$5:$D$657,MATCH(H138,Documents!$A$5:$A$657,0))),"")</f>
        <v/>
      </c>
      <c r="K138" s="25" t="str">
        <f aca="false">IFERROR(IF(INDEX(Documents!$G$5:$G$657,MATCH(H138,Documents!$A$5:$A$657,0))="","",INDEX(Documents!$G$5:$G$657,MATCH(H138,Documents!$A$5:$A$657,0))),"")</f>
        <v/>
      </c>
      <c r="L138" s="25" t="s">
        <v>275</v>
      </c>
    </row>
    <row r="139" customFormat="false" ht="15" hidden="false" customHeight="false" outlineLevel="0" collapsed="false">
      <c r="A139" s="25" t="n">
        <v>25876193</v>
      </c>
      <c r="B139" s="25" t="s">
        <v>653</v>
      </c>
      <c r="C139" s="25" t="s">
        <v>654</v>
      </c>
      <c r="D139" s="26" t="n">
        <v>1560</v>
      </c>
      <c r="E139" s="27" t="n">
        <v>5.80687540164554</v>
      </c>
      <c r="F139" s="27" t="n">
        <v>5.80687540164554</v>
      </c>
      <c r="G139" s="25" t="s">
        <v>648</v>
      </c>
      <c r="H139" s="25" t="s">
        <v>649</v>
      </c>
      <c r="I139" s="25" t="n">
        <f aca="false">IFERROR(IF(INDEX(Documents!$C$5:$C$657,MATCH(H139,Documents!$A$5:$A$657,0))="","",INDEX(Documents!$C$5:$C$657,MATCH(H139,Documents!$A$5:$A$657,0))),"")</f>
        <v>2024</v>
      </c>
      <c r="J139" s="25" t="str">
        <f aca="false">IFERROR(IF(INDEX(Documents!$D$5:$D$657,MATCH(H139,Documents!$A$5:$A$657,0))="","",INDEX(Documents!$D$5:$D$657,MATCH(H139,Documents!$A$5:$A$657,0))),"")</f>
        <v>Eur J Med Chem</v>
      </c>
      <c r="K139" s="25" t="str">
        <f aca="false">IFERROR(IF(INDEX(Documents!$G$5:$G$657,MATCH(H139,Documents!$A$5:$A$657,0))="","",INDEX(Documents!$G$5:$G$657,MATCH(H139,Documents!$A$5:$A$657,0))),"")</f>
        <v>10.1016/j.ejmech.2024.116298</v>
      </c>
      <c r="L139" s="25" t="s">
        <v>650</v>
      </c>
    </row>
    <row r="140" customFormat="false" ht="15" hidden="false" customHeight="false" outlineLevel="0" collapsed="false">
      <c r="A140" s="25" t="n">
        <v>2160622</v>
      </c>
      <c r="B140" s="25" t="s">
        <v>655</v>
      </c>
      <c r="C140" s="25" t="s">
        <v>656</v>
      </c>
      <c r="D140" s="26" t="n">
        <v>282</v>
      </c>
      <c r="E140" s="27" t="n">
        <v>6.54975089168064</v>
      </c>
      <c r="F140" s="27" t="n">
        <v>6.54975089168064</v>
      </c>
      <c r="G140" s="25" t="s">
        <v>657</v>
      </c>
      <c r="H140" s="25" t="s">
        <v>658</v>
      </c>
      <c r="I140" s="25" t="n">
        <f aca="false">IFERROR(IF(INDEX(Documents!$C$5:$C$657,MATCH(H140,Documents!$A$5:$A$657,0))="","",INDEX(Documents!$C$5:$C$657,MATCH(H140,Documents!$A$5:$A$657,0))),"")</f>
        <v>2008</v>
      </c>
      <c r="J140" s="25" t="str">
        <f aca="false">IFERROR(IF(INDEX(Documents!$D$5:$D$657,MATCH(H140,Documents!$A$5:$A$657,0))="","",INDEX(Documents!$D$5:$D$657,MATCH(H140,Documents!$A$5:$A$657,0))),"")</f>
        <v>J Med Chem</v>
      </c>
      <c r="K140" s="25" t="str">
        <f aca="false">IFERROR(IF(INDEX(Documents!$G$5:$G$657,MATCH(H140,Documents!$A$5:$A$657,0))="","",INDEX(Documents!$G$5:$G$657,MATCH(H140,Documents!$A$5:$A$657,0))),"")</f>
        <v>10.1021/jm701519h</v>
      </c>
      <c r="L140" s="25" t="s">
        <v>659</v>
      </c>
    </row>
    <row r="141" customFormat="false" ht="15" hidden="false" customHeight="false" outlineLevel="0" collapsed="false">
      <c r="A141" s="25" t="n">
        <v>2048384</v>
      </c>
      <c r="B141" s="25" t="s">
        <v>660</v>
      </c>
      <c r="C141" s="25" t="s">
        <v>661</v>
      </c>
      <c r="D141" s="26" t="n">
        <v>88.1</v>
      </c>
      <c r="E141" s="27" t="n">
        <v>7.05502409158795</v>
      </c>
      <c r="F141" s="27" t="n">
        <v>7.05502409158795</v>
      </c>
      <c r="G141" s="25" t="s">
        <v>513</v>
      </c>
      <c r="H141" s="25" t="s">
        <v>514</v>
      </c>
      <c r="I141" s="25" t="n">
        <f aca="false">IFERROR(IF(INDEX(Documents!$C$5:$C$657,MATCH(H141,Documents!$A$5:$A$657,0))="","",INDEX(Documents!$C$5:$C$657,MATCH(H141,Documents!$A$5:$A$657,0))),"")</f>
        <v>2007</v>
      </c>
      <c r="J141" s="25" t="str">
        <f aca="false">IFERROR(IF(INDEX(Documents!$D$5:$D$657,MATCH(H141,Documents!$A$5:$A$657,0))="","",INDEX(Documents!$D$5:$D$657,MATCH(H141,Documents!$A$5:$A$657,0))),"")</f>
        <v>Bioorg Med Chem Lett</v>
      </c>
      <c r="K141" s="25" t="str">
        <f aca="false">IFERROR(IF(INDEX(Documents!$G$5:$G$657,MATCH(H141,Documents!$A$5:$A$657,0))="","",INDEX(Documents!$G$5:$G$657,MATCH(H141,Documents!$A$5:$A$657,0))),"")</f>
        <v>10.1016/j.bmcl.2007.09.019</v>
      </c>
      <c r="L141" s="25" t="s">
        <v>515</v>
      </c>
    </row>
    <row r="142" customFormat="false" ht="15" hidden="false" customHeight="false" outlineLevel="0" collapsed="false">
      <c r="A142" s="25" t="n">
        <v>18673918</v>
      </c>
      <c r="B142" s="25" t="s">
        <v>662</v>
      </c>
      <c r="C142" s="25" t="s">
        <v>663</v>
      </c>
      <c r="D142" s="26" t="n">
        <v>560</v>
      </c>
      <c r="E142" s="27" t="n">
        <v>6.2518119729938</v>
      </c>
      <c r="F142" s="27" t="n">
        <v>6.2518119729938</v>
      </c>
      <c r="G142" s="25" t="s">
        <v>664</v>
      </c>
      <c r="H142" s="25" t="s">
        <v>665</v>
      </c>
      <c r="I142" s="25" t="n">
        <f aca="false">IFERROR(IF(INDEX(Documents!$C$5:$C$657,MATCH(H142,Documents!$A$5:$A$657,0))="","",INDEX(Documents!$C$5:$C$657,MATCH(H142,Documents!$A$5:$A$657,0))),"")</f>
        <v>2018</v>
      </c>
      <c r="J142" s="25" t="str">
        <f aca="false">IFERROR(IF(INDEX(Documents!$D$5:$D$657,MATCH(H142,Documents!$A$5:$A$657,0))="","",INDEX(Documents!$D$5:$D$657,MATCH(H142,Documents!$A$5:$A$657,0))),"")</f>
        <v>Bioorg Med Chem</v>
      </c>
      <c r="K142" s="25" t="str">
        <f aca="false">IFERROR(IF(INDEX(Documents!$G$5:$G$657,MATCH(H142,Documents!$A$5:$A$657,0))="","",INDEX(Documents!$G$5:$G$657,MATCH(H142,Documents!$A$5:$A$657,0))),"")</f>
        <v>10.1016/j.bmc.2018.07.043</v>
      </c>
      <c r="L142" s="25" t="s">
        <v>666</v>
      </c>
    </row>
    <row r="143" customFormat="false" ht="15" hidden="false" customHeight="false" outlineLevel="0" collapsed="false">
      <c r="A143" s="25" t="n">
        <v>19180480</v>
      </c>
      <c r="B143" s="25" t="s">
        <v>667</v>
      </c>
      <c r="C143" s="25" t="s">
        <v>668</v>
      </c>
      <c r="D143" s="26" t="n">
        <v>150</v>
      </c>
      <c r="E143" s="27" t="n">
        <v>6.82390874094432</v>
      </c>
      <c r="F143" s="27" t="n">
        <v>6.82390874094432</v>
      </c>
      <c r="G143" s="25" t="s">
        <v>669</v>
      </c>
      <c r="H143" s="25" t="s">
        <v>670</v>
      </c>
      <c r="I143" s="25" t="n">
        <f aca="false">IFERROR(IF(INDEX(Documents!$C$5:$C$657,MATCH(H143,Documents!$A$5:$A$657,0))="","",INDEX(Documents!$C$5:$C$657,MATCH(H143,Documents!$A$5:$A$657,0))),"")</f>
        <v>2019</v>
      </c>
      <c r="J143" s="25" t="str">
        <f aca="false">IFERROR(IF(INDEX(Documents!$D$5:$D$657,MATCH(H143,Documents!$A$5:$A$657,0))="","",INDEX(Documents!$D$5:$D$657,MATCH(H143,Documents!$A$5:$A$657,0))),"")</f>
        <v>Bioorg Med Chem</v>
      </c>
      <c r="K143" s="25" t="str">
        <f aca="false">IFERROR(IF(INDEX(Documents!$G$5:$G$657,MATCH(H143,Documents!$A$5:$A$657,0))="","",INDEX(Documents!$G$5:$G$657,MATCH(H143,Documents!$A$5:$A$657,0))),"")</f>
        <v>10.1016/j.bmc.2019.07.002</v>
      </c>
      <c r="L143" s="25" t="s">
        <v>671</v>
      </c>
    </row>
    <row r="144" customFormat="false" ht="15" hidden="false" customHeight="false" outlineLevel="0" collapsed="false">
      <c r="A144" s="25" t="n">
        <v>2573124</v>
      </c>
      <c r="B144" s="25" t="s">
        <v>672</v>
      </c>
      <c r="C144" s="25" t="s">
        <v>673</v>
      </c>
      <c r="D144" s="26" t="n">
        <v>290</v>
      </c>
      <c r="E144" s="27" t="n">
        <v>6.53760200210104</v>
      </c>
      <c r="F144" s="27" t="n">
        <v>6.53760200210104</v>
      </c>
      <c r="G144" s="25" t="s">
        <v>674</v>
      </c>
      <c r="H144" s="25" t="s">
        <v>675</v>
      </c>
      <c r="I144" s="25" t="n">
        <f aca="false">IFERROR(IF(INDEX(Documents!$C$5:$C$657,MATCH(H144,Documents!$A$5:$A$657,0))="","",INDEX(Documents!$C$5:$C$657,MATCH(H144,Documents!$A$5:$A$657,0))),"")</f>
        <v>2008</v>
      </c>
      <c r="J144" s="25" t="str">
        <f aca="false">IFERROR(IF(INDEX(Documents!$D$5:$D$657,MATCH(H144,Documents!$A$5:$A$657,0))="","",INDEX(Documents!$D$5:$D$657,MATCH(H144,Documents!$A$5:$A$657,0))),"")</f>
        <v>Bioorg Med Chem</v>
      </c>
      <c r="K144" s="25" t="str">
        <f aca="false">IFERROR(IF(INDEX(Documents!$G$5:$G$657,MATCH(H144,Documents!$A$5:$A$657,0))="","",INDEX(Documents!$G$5:$G$657,MATCH(H144,Documents!$A$5:$A$657,0))),"")</f>
        <v>10.1016/j.bmc.2008.06.001</v>
      </c>
      <c r="L144" s="25" t="s">
        <v>676</v>
      </c>
    </row>
    <row r="145" customFormat="false" ht="15" hidden="false" customHeight="false" outlineLevel="0" collapsed="false">
      <c r="A145" s="25" t="n">
        <v>28220462</v>
      </c>
      <c r="B145" s="25" t="s">
        <v>677</v>
      </c>
      <c r="C145" s="25" t="s">
        <v>678</v>
      </c>
      <c r="D145" s="26" t="n">
        <v>1</v>
      </c>
      <c r="E145" s="27" t="n">
        <v>9</v>
      </c>
      <c r="F145" s="27" t="n">
        <v>9</v>
      </c>
      <c r="G145" s="25" t="s">
        <v>679</v>
      </c>
      <c r="H145" s="25" t="s">
        <v>680</v>
      </c>
      <c r="I145" s="25" t="n">
        <f aca="false">IFERROR(IF(INDEX(Documents!$C$5:$C$657,MATCH(H145,Documents!$A$5:$A$657,0))="","",INDEX(Documents!$C$5:$C$657,MATCH(H145,Documents!$A$5:$A$657,0))),"")</f>
        <v>2021</v>
      </c>
      <c r="J145" s="25" t="str">
        <f aca="false">IFERROR(IF(INDEX(Documents!$D$5:$D$657,MATCH(H145,Documents!$A$5:$A$657,0))="","",INDEX(Documents!$D$5:$D$657,MATCH(H145,Documents!$A$5:$A$657,0))),"")</f>
        <v/>
      </c>
      <c r="K145" s="25" t="str">
        <f aca="false">IFERROR(IF(INDEX(Documents!$G$5:$G$657,MATCH(H145,Documents!$A$5:$A$657,0))="","",INDEX(Documents!$G$5:$G$657,MATCH(H145,Documents!$A$5:$A$657,0))),"")</f>
        <v/>
      </c>
      <c r="L145" s="25" t="s">
        <v>681</v>
      </c>
    </row>
    <row r="146" customFormat="false" ht="15" hidden="false" customHeight="false" outlineLevel="0" collapsed="false">
      <c r="A146" s="25" t="n">
        <v>28220471</v>
      </c>
      <c r="B146" s="25" t="s">
        <v>682</v>
      </c>
      <c r="C146" s="25" t="s">
        <v>683</v>
      </c>
      <c r="D146" s="26" t="n">
        <v>1</v>
      </c>
      <c r="E146" s="27" t="n">
        <v>9</v>
      </c>
      <c r="F146" s="27" t="n">
        <v>9</v>
      </c>
      <c r="G146" s="25" t="s">
        <v>679</v>
      </c>
      <c r="H146" s="25" t="s">
        <v>680</v>
      </c>
      <c r="I146" s="25" t="n">
        <f aca="false">IFERROR(IF(INDEX(Documents!$C$5:$C$657,MATCH(H146,Documents!$A$5:$A$657,0))="","",INDEX(Documents!$C$5:$C$657,MATCH(H146,Documents!$A$5:$A$657,0))),"")</f>
        <v>2021</v>
      </c>
      <c r="J146" s="25" t="str">
        <f aca="false">IFERROR(IF(INDEX(Documents!$D$5:$D$657,MATCH(H146,Documents!$A$5:$A$657,0))="","",INDEX(Documents!$D$5:$D$657,MATCH(H146,Documents!$A$5:$A$657,0))),"")</f>
        <v/>
      </c>
      <c r="K146" s="25" t="str">
        <f aca="false">IFERROR(IF(INDEX(Documents!$G$5:$G$657,MATCH(H146,Documents!$A$5:$A$657,0))="","",INDEX(Documents!$G$5:$G$657,MATCH(H146,Documents!$A$5:$A$657,0))),"")</f>
        <v/>
      </c>
      <c r="L146" s="25" t="s">
        <v>681</v>
      </c>
    </row>
    <row r="147" customFormat="false" ht="15" hidden="false" customHeight="false" outlineLevel="0" collapsed="false">
      <c r="A147" s="25" t="n">
        <v>28220453</v>
      </c>
      <c r="B147" s="25" t="s">
        <v>684</v>
      </c>
      <c r="C147" s="25" t="s">
        <v>685</v>
      </c>
      <c r="D147" s="26" t="n">
        <v>8.7</v>
      </c>
      <c r="E147" s="27" t="n">
        <v>8.06048074738138</v>
      </c>
      <c r="F147" s="27" t="n">
        <v>8.06048074738138</v>
      </c>
      <c r="G147" s="25" t="s">
        <v>679</v>
      </c>
      <c r="H147" s="25" t="s">
        <v>680</v>
      </c>
      <c r="I147" s="25" t="n">
        <f aca="false">IFERROR(IF(INDEX(Documents!$C$5:$C$657,MATCH(H147,Documents!$A$5:$A$657,0))="","",INDEX(Documents!$C$5:$C$657,MATCH(H147,Documents!$A$5:$A$657,0))),"")</f>
        <v>2021</v>
      </c>
      <c r="J147" s="25" t="str">
        <f aca="false">IFERROR(IF(INDEX(Documents!$D$5:$D$657,MATCH(H147,Documents!$A$5:$A$657,0))="","",INDEX(Documents!$D$5:$D$657,MATCH(H147,Documents!$A$5:$A$657,0))),"")</f>
        <v/>
      </c>
      <c r="K147" s="25" t="str">
        <f aca="false">IFERROR(IF(INDEX(Documents!$G$5:$G$657,MATCH(H147,Documents!$A$5:$A$657,0))="","",INDEX(Documents!$G$5:$G$657,MATCH(H147,Documents!$A$5:$A$657,0))),"")</f>
        <v/>
      </c>
      <c r="L147" s="25" t="s">
        <v>681</v>
      </c>
    </row>
    <row r="148" customFormat="false" ht="15" hidden="false" customHeight="false" outlineLevel="0" collapsed="false">
      <c r="A148" s="25" t="n">
        <v>28220489</v>
      </c>
      <c r="B148" s="25" t="s">
        <v>686</v>
      </c>
      <c r="C148" s="25" t="s">
        <v>687</v>
      </c>
      <c r="D148" s="26" t="n">
        <v>1</v>
      </c>
      <c r="E148" s="27" t="n">
        <v>9</v>
      </c>
      <c r="F148" s="27" t="n">
        <v>9</v>
      </c>
      <c r="G148" s="25" t="s">
        <v>679</v>
      </c>
      <c r="H148" s="25" t="s">
        <v>680</v>
      </c>
      <c r="I148" s="25" t="n">
        <f aca="false">IFERROR(IF(INDEX(Documents!$C$5:$C$657,MATCH(H148,Documents!$A$5:$A$657,0))="","",INDEX(Documents!$C$5:$C$657,MATCH(H148,Documents!$A$5:$A$657,0))),"")</f>
        <v>2021</v>
      </c>
      <c r="J148" s="25" t="str">
        <f aca="false">IFERROR(IF(INDEX(Documents!$D$5:$D$657,MATCH(H148,Documents!$A$5:$A$657,0))="","",INDEX(Documents!$D$5:$D$657,MATCH(H148,Documents!$A$5:$A$657,0))),"")</f>
        <v/>
      </c>
      <c r="K148" s="25" t="str">
        <f aca="false">IFERROR(IF(INDEX(Documents!$G$5:$G$657,MATCH(H148,Documents!$A$5:$A$657,0))="","",INDEX(Documents!$G$5:$G$657,MATCH(H148,Documents!$A$5:$A$657,0))),"")</f>
        <v/>
      </c>
      <c r="L148" s="25" t="s">
        <v>681</v>
      </c>
    </row>
    <row r="149" customFormat="false" ht="15" hidden="false" customHeight="false" outlineLevel="0" collapsed="false">
      <c r="A149" s="25" t="n">
        <v>28220480</v>
      </c>
      <c r="B149" s="25" t="s">
        <v>688</v>
      </c>
      <c r="C149" s="25" t="s">
        <v>689</v>
      </c>
      <c r="D149" s="26" t="n">
        <v>1</v>
      </c>
      <c r="E149" s="27" t="n">
        <v>9</v>
      </c>
      <c r="F149" s="27" t="n">
        <v>9</v>
      </c>
      <c r="G149" s="25" t="s">
        <v>679</v>
      </c>
      <c r="H149" s="25" t="s">
        <v>680</v>
      </c>
      <c r="I149" s="25" t="n">
        <f aca="false">IFERROR(IF(INDEX(Documents!$C$5:$C$657,MATCH(H149,Documents!$A$5:$A$657,0))="","",INDEX(Documents!$C$5:$C$657,MATCH(H149,Documents!$A$5:$A$657,0))),"")</f>
        <v>2021</v>
      </c>
      <c r="J149" s="25" t="str">
        <f aca="false">IFERROR(IF(INDEX(Documents!$D$5:$D$657,MATCH(H149,Documents!$A$5:$A$657,0))="","",INDEX(Documents!$D$5:$D$657,MATCH(H149,Documents!$A$5:$A$657,0))),"")</f>
        <v/>
      </c>
      <c r="K149" s="25" t="str">
        <f aca="false">IFERROR(IF(INDEX(Documents!$G$5:$G$657,MATCH(H149,Documents!$A$5:$A$657,0))="","",INDEX(Documents!$G$5:$G$657,MATCH(H149,Documents!$A$5:$A$657,0))),"")</f>
        <v/>
      </c>
      <c r="L149" s="25" t="s">
        <v>681</v>
      </c>
    </row>
    <row r="150" customFormat="false" ht="15" hidden="false" customHeight="false" outlineLevel="0" collapsed="false">
      <c r="A150" s="25" t="n">
        <v>16269993</v>
      </c>
      <c r="B150" s="25" t="s">
        <v>690</v>
      </c>
      <c r="C150" s="25" t="s">
        <v>691</v>
      </c>
      <c r="D150" s="26" t="n">
        <v>12</v>
      </c>
      <c r="E150" s="27" t="n">
        <v>7.92081875395238</v>
      </c>
      <c r="F150" s="27" t="n">
        <v>7.92081875395238</v>
      </c>
      <c r="G150" s="25" t="s">
        <v>326</v>
      </c>
      <c r="H150" s="25" t="s">
        <v>327</v>
      </c>
      <c r="I150" s="25" t="n">
        <f aca="false">IFERROR(IF(INDEX(Documents!$C$5:$C$657,MATCH(H150,Documents!$A$5:$A$657,0))="","",INDEX(Documents!$C$5:$C$657,MATCH(H150,Documents!$A$5:$A$657,0))),"")</f>
        <v>2014</v>
      </c>
      <c r="J150" s="25" t="str">
        <f aca="false">IFERROR(IF(INDEX(Documents!$D$5:$D$657,MATCH(H150,Documents!$A$5:$A$657,0))="","",INDEX(Documents!$D$5:$D$657,MATCH(H150,Documents!$A$5:$A$657,0))),"")</f>
        <v/>
      </c>
      <c r="K150" s="25" t="str">
        <f aca="false">IFERROR(IF(INDEX(Documents!$G$5:$G$657,MATCH(H150,Documents!$A$5:$A$657,0))="","",INDEX(Documents!$G$5:$G$657,MATCH(H150,Documents!$A$5:$A$657,0))),"")</f>
        <v/>
      </c>
      <c r="L150" s="25" t="s">
        <v>328</v>
      </c>
    </row>
    <row r="151" customFormat="false" ht="15" hidden="false" customHeight="false" outlineLevel="0" collapsed="false">
      <c r="A151" s="25" t="n">
        <v>16284441</v>
      </c>
      <c r="B151" s="25" t="s">
        <v>692</v>
      </c>
      <c r="C151" s="25" t="s">
        <v>693</v>
      </c>
      <c r="D151" s="26" t="n">
        <v>5.4</v>
      </c>
      <c r="E151" s="27" t="n">
        <v>8.26760624017703</v>
      </c>
      <c r="F151" s="27" t="n">
        <v>8.26760624017703</v>
      </c>
      <c r="G151" s="25" t="s">
        <v>326</v>
      </c>
      <c r="H151" s="25" t="s">
        <v>327</v>
      </c>
      <c r="I151" s="25" t="n">
        <f aca="false">IFERROR(IF(INDEX(Documents!$C$5:$C$657,MATCH(H151,Documents!$A$5:$A$657,0))="","",INDEX(Documents!$C$5:$C$657,MATCH(H151,Documents!$A$5:$A$657,0))),"")</f>
        <v>2014</v>
      </c>
      <c r="J151" s="25" t="str">
        <f aca="false">IFERROR(IF(INDEX(Documents!$D$5:$D$657,MATCH(H151,Documents!$A$5:$A$657,0))="","",INDEX(Documents!$D$5:$D$657,MATCH(H151,Documents!$A$5:$A$657,0))),"")</f>
        <v/>
      </c>
      <c r="K151" s="25" t="str">
        <f aca="false">IFERROR(IF(INDEX(Documents!$G$5:$G$657,MATCH(H151,Documents!$A$5:$A$657,0))="","",INDEX(Documents!$G$5:$G$657,MATCH(H151,Documents!$A$5:$A$657,0))),"")</f>
        <v/>
      </c>
      <c r="L151" s="25" t="s">
        <v>328</v>
      </c>
    </row>
    <row r="152" customFormat="false" ht="15" hidden="false" customHeight="false" outlineLevel="0" collapsed="false">
      <c r="A152" s="25" t="n">
        <v>16345050</v>
      </c>
      <c r="B152" s="25" t="s">
        <v>694</v>
      </c>
      <c r="C152" s="25" t="s">
        <v>695</v>
      </c>
      <c r="D152" s="26" t="n">
        <v>0.9</v>
      </c>
      <c r="E152" s="27" t="n">
        <v>9.04575749056068</v>
      </c>
      <c r="F152" s="27" t="n">
        <v>9.04575749056068</v>
      </c>
      <c r="G152" s="25" t="s">
        <v>326</v>
      </c>
      <c r="H152" s="25" t="s">
        <v>327</v>
      </c>
      <c r="I152" s="25" t="n">
        <f aca="false">IFERROR(IF(INDEX(Documents!$C$5:$C$657,MATCH(H152,Documents!$A$5:$A$657,0))="","",INDEX(Documents!$C$5:$C$657,MATCH(H152,Documents!$A$5:$A$657,0))),"")</f>
        <v>2014</v>
      </c>
      <c r="J152" s="25" t="str">
        <f aca="false">IFERROR(IF(INDEX(Documents!$D$5:$D$657,MATCH(H152,Documents!$A$5:$A$657,0))="","",INDEX(Documents!$D$5:$D$657,MATCH(H152,Documents!$A$5:$A$657,0))),"")</f>
        <v/>
      </c>
      <c r="K152" s="25" t="str">
        <f aca="false">IFERROR(IF(INDEX(Documents!$G$5:$G$657,MATCH(H152,Documents!$A$5:$A$657,0))="","",INDEX(Documents!$G$5:$G$657,MATCH(H152,Documents!$A$5:$A$657,0))),"")</f>
        <v/>
      </c>
      <c r="L152" s="25" t="s">
        <v>328</v>
      </c>
    </row>
    <row r="153" customFormat="false" ht="15" hidden="false" customHeight="false" outlineLevel="0" collapsed="false">
      <c r="A153" s="25" t="n">
        <v>12725501</v>
      </c>
      <c r="B153" s="25" t="s">
        <v>696</v>
      </c>
      <c r="C153" s="25" t="s">
        <v>697</v>
      </c>
      <c r="D153" s="26" t="n">
        <v>49.2</v>
      </c>
      <c r="E153" s="27" t="n">
        <v>7.30803489723264</v>
      </c>
      <c r="F153" s="27" t="n">
        <v>7.30803489723264</v>
      </c>
      <c r="G153" s="25" t="s">
        <v>698</v>
      </c>
      <c r="H153" s="25" t="s">
        <v>699</v>
      </c>
      <c r="I153" s="25" t="n">
        <f aca="false">IFERROR(IF(INDEX(Documents!$C$5:$C$657,MATCH(H153,Documents!$A$5:$A$657,0))="","",INDEX(Documents!$C$5:$C$657,MATCH(H153,Documents!$A$5:$A$657,0))),"")</f>
        <v>2013</v>
      </c>
      <c r="J153" s="25" t="str">
        <f aca="false">IFERROR(IF(INDEX(Documents!$D$5:$D$657,MATCH(H153,Documents!$A$5:$A$657,0))="","",INDEX(Documents!$D$5:$D$657,MATCH(H153,Documents!$A$5:$A$657,0))),"")</f>
        <v>J Med Chem</v>
      </c>
      <c r="K153" s="25" t="str">
        <f aca="false">IFERROR(IF(INDEX(Documents!$G$5:$G$657,MATCH(H153,Documents!$A$5:$A$657,0))="","",INDEX(Documents!$G$5:$G$657,MATCH(H153,Documents!$A$5:$A$657,0))),"")</f>
        <v>10.1021/jm4000775</v>
      </c>
      <c r="L153" s="25" t="s">
        <v>700</v>
      </c>
    </row>
    <row r="154" customFormat="false" ht="15" hidden="false" customHeight="false" outlineLevel="0" collapsed="false">
      <c r="A154" s="25" t="n">
        <v>18673912</v>
      </c>
      <c r="B154" s="25" t="s">
        <v>701</v>
      </c>
      <c r="C154" s="25" t="s">
        <v>702</v>
      </c>
      <c r="D154" s="26" t="n">
        <v>5000</v>
      </c>
      <c r="E154" s="27" t="n">
        <v>5.30102999566398</v>
      </c>
      <c r="F154" s="27" t="n">
        <v>5.30102999566398</v>
      </c>
      <c r="G154" s="25" t="s">
        <v>664</v>
      </c>
      <c r="H154" s="25" t="s">
        <v>665</v>
      </c>
      <c r="I154" s="25" t="n">
        <f aca="false">IFERROR(IF(INDEX(Documents!$C$5:$C$657,MATCH(H154,Documents!$A$5:$A$657,0))="","",INDEX(Documents!$C$5:$C$657,MATCH(H154,Documents!$A$5:$A$657,0))),"")</f>
        <v>2018</v>
      </c>
      <c r="J154" s="25" t="str">
        <f aca="false">IFERROR(IF(INDEX(Documents!$D$5:$D$657,MATCH(H154,Documents!$A$5:$A$657,0))="","",INDEX(Documents!$D$5:$D$657,MATCH(H154,Documents!$A$5:$A$657,0))),"")</f>
        <v>Bioorg Med Chem</v>
      </c>
      <c r="K154" s="25" t="str">
        <f aca="false">IFERROR(IF(INDEX(Documents!$G$5:$G$657,MATCH(H154,Documents!$A$5:$A$657,0))="","",INDEX(Documents!$G$5:$G$657,MATCH(H154,Documents!$A$5:$A$657,0))),"")</f>
        <v>10.1016/j.bmc.2018.07.043</v>
      </c>
      <c r="L154" s="25" t="s">
        <v>666</v>
      </c>
    </row>
    <row r="155" customFormat="false" ht="15" hidden="false" customHeight="false" outlineLevel="0" collapsed="false">
      <c r="A155" s="25" t="n">
        <v>19180463</v>
      </c>
      <c r="B155" s="25" t="s">
        <v>703</v>
      </c>
      <c r="C155" s="25" t="s">
        <v>704</v>
      </c>
      <c r="D155" s="26" t="n">
        <v>15</v>
      </c>
      <c r="E155" s="27" t="n">
        <v>7.82390874094432</v>
      </c>
      <c r="F155" s="27" t="n">
        <v>7.82390874094432</v>
      </c>
      <c r="G155" s="25" t="s">
        <v>669</v>
      </c>
      <c r="H155" s="25" t="s">
        <v>670</v>
      </c>
      <c r="I155" s="25" t="n">
        <f aca="false">IFERROR(IF(INDEX(Documents!$C$5:$C$657,MATCH(H155,Documents!$A$5:$A$657,0))="","",INDEX(Documents!$C$5:$C$657,MATCH(H155,Documents!$A$5:$A$657,0))),"")</f>
        <v>2019</v>
      </c>
      <c r="J155" s="25" t="str">
        <f aca="false">IFERROR(IF(INDEX(Documents!$D$5:$D$657,MATCH(H155,Documents!$A$5:$A$657,0))="","",INDEX(Documents!$D$5:$D$657,MATCH(H155,Documents!$A$5:$A$657,0))),"")</f>
        <v>Bioorg Med Chem</v>
      </c>
      <c r="K155" s="25" t="str">
        <f aca="false">IFERROR(IF(INDEX(Documents!$G$5:$G$657,MATCH(H155,Documents!$A$5:$A$657,0))="","",INDEX(Documents!$G$5:$G$657,MATCH(H155,Documents!$A$5:$A$657,0))),"")</f>
        <v>10.1016/j.bmc.2019.07.002</v>
      </c>
      <c r="L155" s="25" t="s">
        <v>671</v>
      </c>
    </row>
    <row r="156" customFormat="false" ht="15" hidden="false" customHeight="false" outlineLevel="0" collapsed="false">
      <c r="A156" s="25" t="n">
        <v>2167477</v>
      </c>
      <c r="B156" s="25" t="s">
        <v>705</v>
      </c>
      <c r="C156" s="25" t="s">
        <v>706</v>
      </c>
      <c r="D156" s="26" t="n">
        <v>400</v>
      </c>
      <c r="E156" s="27" t="n">
        <v>6.39794000867204</v>
      </c>
      <c r="F156" s="27" t="n">
        <v>6.39794000867204</v>
      </c>
      <c r="G156" s="25" t="s">
        <v>707</v>
      </c>
      <c r="H156" s="25" t="s">
        <v>708</v>
      </c>
      <c r="I156" s="25" t="n">
        <f aca="false">IFERROR(IF(INDEX(Documents!$C$5:$C$657,MATCH(H156,Documents!$A$5:$A$657,0))="","",INDEX(Documents!$C$5:$C$657,MATCH(H156,Documents!$A$5:$A$657,0))),"")</f>
        <v>2008</v>
      </c>
      <c r="J156" s="25" t="str">
        <f aca="false">IFERROR(IF(INDEX(Documents!$D$5:$D$657,MATCH(H156,Documents!$A$5:$A$657,0))="","",INDEX(Documents!$D$5:$D$657,MATCH(H156,Documents!$A$5:$A$657,0))),"")</f>
        <v>Bioorg Med Chem Lett</v>
      </c>
      <c r="K156" s="25" t="str">
        <f aca="false">IFERROR(IF(INDEX(Documents!$G$5:$G$657,MATCH(H156,Documents!$A$5:$A$657,0))="","",INDEX(Documents!$G$5:$G$657,MATCH(H156,Documents!$A$5:$A$657,0))),"")</f>
        <v>10.1016/j.bmcl.2008.04.006</v>
      </c>
      <c r="L156" s="25" t="s">
        <v>709</v>
      </c>
    </row>
    <row r="157" customFormat="false" ht="15" hidden="false" customHeight="false" outlineLevel="0" collapsed="false">
      <c r="A157" s="25" t="n">
        <v>2167464</v>
      </c>
      <c r="B157" s="25" t="s">
        <v>710</v>
      </c>
      <c r="C157" s="25" t="s">
        <v>711</v>
      </c>
      <c r="D157" s="26" t="n">
        <v>100</v>
      </c>
      <c r="E157" s="27" t="n">
        <v>7</v>
      </c>
      <c r="F157" s="27" t="n">
        <v>7</v>
      </c>
      <c r="G157" s="25" t="s">
        <v>707</v>
      </c>
      <c r="H157" s="25" t="s">
        <v>708</v>
      </c>
      <c r="I157" s="25" t="n">
        <f aca="false">IFERROR(IF(INDEX(Documents!$C$5:$C$657,MATCH(H157,Documents!$A$5:$A$657,0))="","",INDEX(Documents!$C$5:$C$657,MATCH(H157,Documents!$A$5:$A$657,0))),"")</f>
        <v>2008</v>
      </c>
      <c r="J157" s="25" t="str">
        <f aca="false">IFERROR(IF(INDEX(Documents!$D$5:$D$657,MATCH(H157,Documents!$A$5:$A$657,0))="","",INDEX(Documents!$D$5:$D$657,MATCH(H157,Documents!$A$5:$A$657,0))),"")</f>
        <v>Bioorg Med Chem Lett</v>
      </c>
      <c r="K157" s="25" t="str">
        <f aca="false">IFERROR(IF(INDEX(Documents!$G$5:$G$657,MATCH(H157,Documents!$A$5:$A$657,0))="","",INDEX(Documents!$G$5:$G$657,MATCH(H157,Documents!$A$5:$A$657,0))),"")</f>
        <v>10.1016/j.bmcl.2008.04.006</v>
      </c>
      <c r="L157" s="25" t="s">
        <v>709</v>
      </c>
    </row>
    <row r="158" customFormat="false" ht="15" hidden="false" customHeight="false" outlineLevel="0" collapsed="false">
      <c r="A158" s="25" t="n">
        <v>2167476</v>
      </c>
      <c r="B158" s="25" t="s">
        <v>712</v>
      </c>
      <c r="C158" s="25" t="s">
        <v>713</v>
      </c>
      <c r="D158" s="26" t="n">
        <v>450</v>
      </c>
      <c r="E158" s="27" t="n">
        <v>6.34678748622466</v>
      </c>
      <c r="F158" s="27" t="n">
        <v>6.34678748622466</v>
      </c>
      <c r="G158" s="25" t="s">
        <v>707</v>
      </c>
      <c r="H158" s="25" t="s">
        <v>708</v>
      </c>
      <c r="I158" s="25" t="n">
        <f aca="false">IFERROR(IF(INDEX(Documents!$C$5:$C$657,MATCH(H158,Documents!$A$5:$A$657,0))="","",INDEX(Documents!$C$5:$C$657,MATCH(H158,Documents!$A$5:$A$657,0))),"")</f>
        <v>2008</v>
      </c>
      <c r="J158" s="25" t="str">
        <f aca="false">IFERROR(IF(INDEX(Documents!$D$5:$D$657,MATCH(H158,Documents!$A$5:$A$657,0))="","",INDEX(Documents!$D$5:$D$657,MATCH(H158,Documents!$A$5:$A$657,0))),"")</f>
        <v>Bioorg Med Chem Lett</v>
      </c>
      <c r="K158" s="25" t="str">
        <f aca="false">IFERROR(IF(INDEX(Documents!$G$5:$G$657,MATCH(H158,Documents!$A$5:$A$657,0))="","",INDEX(Documents!$G$5:$G$657,MATCH(H158,Documents!$A$5:$A$657,0))),"")</f>
        <v>10.1016/j.bmcl.2008.04.006</v>
      </c>
      <c r="L158" s="25" t="s">
        <v>709</v>
      </c>
    </row>
    <row r="159" customFormat="false" ht="15" hidden="false" customHeight="false" outlineLevel="0" collapsed="false">
      <c r="A159" s="25" t="n">
        <v>16289279</v>
      </c>
      <c r="B159" s="25" t="s">
        <v>714</v>
      </c>
      <c r="C159" s="25" t="s">
        <v>715</v>
      </c>
      <c r="D159" s="26" t="n">
        <v>4.9</v>
      </c>
      <c r="E159" s="27" t="n">
        <v>8.30980391997149</v>
      </c>
      <c r="F159" s="27" t="n">
        <v>8.30980391997149</v>
      </c>
      <c r="G159" s="25" t="s">
        <v>326</v>
      </c>
      <c r="H159" s="25" t="s">
        <v>327</v>
      </c>
      <c r="I159" s="25" t="n">
        <f aca="false">IFERROR(IF(INDEX(Documents!$C$5:$C$657,MATCH(H159,Documents!$A$5:$A$657,0))="","",INDEX(Documents!$C$5:$C$657,MATCH(H159,Documents!$A$5:$A$657,0))),"")</f>
        <v>2014</v>
      </c>
      <c r="J159" s="25" t="str">
        <f aca="false">IFERROR(IF(INDEX(Documents!$D$5:$D$657,MATCH(H159,Documents!$A$5:$A$657,0))="","",INDEX(Documents!$D$5:$D$657,MATCH(H159,Documents!$A$5:$A$657,0))),"")</f>
        <v/>
      </c>
      <c r="K159" s="25" t="str">
        <f aca="false">IFERROR(IF(INDEX(Documents!$G$5:$G$657,MATCH(H159,Documents!$A$5:$A$657,0))="","",INDEX(Documents!$G$5:$G$657,MATCH(H159,Documents!$A$5:$A$657,0))),"")</f>
        <v/>
      </c>
      <c r="L159" s="25" t="s">
        <v>328</v>
      </c>
    </row>
    <row r="160" customFormat="false" ht="15" hidden="false" customHeight="false" outlineLevel="0" collapsed="false">
      <c r="A160" s="25" t="n">
        <v>12136194</v>
      </c>
      <c r="B160" s="25" t="s">
        <v>716</v>
      </c>
      <c r="C160" s="25" t="s">
        <v>717</v>
      </c>
      <c r="D160" s="26" t="n">
        <v>20000</v>
      </c>
      <c r="E160" s="27" t="n">
        <v>4.69897000433602</v>
      </c>
      <c r="F160" s="27" t="n">
        <v>4.69897000433602</v>
      </c>
      <c r="G160" s="25" t="s">
        <v>718</v>
      </c>
      <c r="H160" s="25" t="s">
        <v>719</v>
      </c>
      <c r="I160" s="25" t="n">
        <f aca="false">IFERROR(IF(INDEX(Documents!$C$5:$C$657,MATCH(H160,Documents!$A$5:$A$657,0))="","",INDEX(Documents!$C$5:$C$657,MATCH(H160,Documents!$A$5:$A$657,0))),"")</f>
        <v>2012</v>
      </c>
      <c r="J160" s="25" t="str">
        <f aca="false">IFERROR(IF(INDEX(Documents!$D$5:$D$657,MATCH(H160,Documents!$A$5:$A$657,0))="","",INDEX(Documents!$D$5:$D$657,MATCH(H160,Documents!$A$5:$A$657,0))),"")</f>
        <v>J Med Chem</v>
      </c>
      <c r="K160" s="25" t="str">
        <f aca="false">IFERROR(IF(INDEX(Documents!$G$5:$G$657,MATCH(H160,Documents!$A$5:$A$657,0))="","",INDEX(Documents!$G$5:$G$657,MATCH(H160,Documents!$A$5:$A$657,0))),"")</f>
        <v>10.1021/jm301181r</v>
      </c>
      <c r="L160" s="25" t="s">
        <v>720</v>
      </c>
    </row>
    <row r="161" customFormat="false" ht="15" hidden="false" customHeight="false" outlineLevel="0" collapsed="false">
      <c r="A161" s="25" t="n">
        <v>19482353</v>
      </c>
      <c r="B161" s="25" t="s">
        <v>721</v>
      </c>
      <c r="C161" s="25" t="s">
        <v>722</v>
      </c>
      <c r="D161" s="26" t="n">
        <v>11.8</v>
      </c>
      <c r="E161" s="27" t="n">
        <v>7.92811799269387</v>
      </c>
      <c r="F161" s="27" t="n">
        <v>7.92811799269387</v>
      </c>
      <c r="G161" s="25" t="s">
        <v>723</v>
      </c>
      <c r="H161" s="25" t="s">
        <v>724</v>
      </c>
      <c r="I161" s="25" t="n">
        <f aca="false">IFERROR(IF(INDEX(Documents!$C$5:$C$657,MATCH(H161,Documents!$A$5:$A$657,0))="","",INDEX(Documents!$C$5:$C$657,MATCH(H161,Documents!$A$5:$A$657,0))),"")</f>
        <v>2019</v>
      </c>
      <c r="J161" s="25" t="str">
        <f aca="false">IFERROR(IF(INDEX(Documents!$D$5:$D$657,MATCH(H161,Documents!$A$5:$A$657,0))="","",INDEX(Documents!$D$5:$D$657,MATCH(H161,Documents!$A$5:$A$657,0))),"")</f>
        <v>Eur J Med Chem</v>
      </c>
      <c r="K161" s="25" t="str">
        <f aca="false">IFERROR(IF(INDEX(Documents!$G$5:$G$657,MATCH(H161,Documents!$A$5:$A$657,0))="","",INDEX(Documents!$G$5:$G$657,MATCH(H161,Documents!$A$5:$A$657,0))),"")</f>
        <v>10.1016/j.ejmech.2018.12.008</v>
      </c>
      <c r="L161" s="25" t="s">
        <v>725</v>
      </c>
    </row>
    <row r="162" customFormat="false" ht="15" hidden="false" customHeight="false" outlineLevel="0" collapsed="false">
      <c r="A162" s="25" t="n">
        <v>16332264</v>
      </c>
      <c r="B162" s="25" t="s">
        <v>726</v>
      </c>
      <c r="C162" s="25" t="s">
        <v>727</v>
      </c>
      <c r="D162" s="26" t="n">
        <v>3.7</v>
      </c>
      <c r="E162" s="27" t="n">
        <v>8.43179827593301</v>
      </c>
      <c r="F162" s="27" t="n">
        <v>8.43179827593301</v>
      </c>
      <c r="G162" s="25" t="s">
        <v>326</v>
      </c>
      <c r="H162" s="25" t="s">
        <v>327</v>
      </c>
      <c r="I162" s="25" t="n">
        <f aca="false">IFERROR(IF(INDEX(Documents!$C$5:$C$657,MATCH(H162,Documents!$A$5:$A$657,0))="","",INDEX(Documents!$C$5:$C$657,MATCH(H162,Documents!$A$5:$A$657,0))),"")</f>
        <v>2014</v>
      </c>
      <c r="J162" s="25" t="str">
        <f aca="false">IFERROR(IF(INDEX(Documents!$D$5:$D$657,MATCH(H162,Documents!$A$5:$A$657,0))="","",INDEX(Documents!$D$5:$D$657,MATCH(H162,Documents!$A$5:$A$657,0))),"")</f>
        <v/>
      </c>
      <c r="K162" s="25" t="str">
        <f aca="false">IFERROR(IF(INDEX(Documents!$G$5:$G$657,MATCH(H162,Documents!$A$5:$A$657,0))="","",INDEX(Documents!$G$5:$G$657,MATCH(H162,Documents!$A$5:$A$657,0))),"")</f>
        <v/>
      </c>
      <c r="L162" s="25" t="s">
        <v>328</v>
      </c>
    </row>
    <row r="163" customFormat="false" ht="15" hidden="false" customHeight="false" outlineLevel="0" collapsed="false">
      <c r="A163" s="25" t="n">
        <v>17651709</v>
      </c>
      <c r="B163" s="25" t="s">
        <v>728</v>
      </c>
      <c r="C163" s="25" t="s">
        <v>729</v>
      </c>
      <c r="D163" s="26" t="n">
        <v>16</v>
      </c>
      <c r="E163" s="27" t="n">
        <v>7.79588001734408</v>
      </c>
      <c r="F163" s="27" t="n">
        <v>7.79588001734408</v>
      </c>
      <c r="G163" s="25" t="s">
        <v>730</v>
      </c>
      <c r="H163" s="25" t="s">
        <v>731</v>
      </c>
      <c r="I163" s="25" t="n">
        <f aca="false">IFERROR(IF(INDEX(Documents!$C$5:$C$657,MATCH(H163,Documents!$A$5:$A$657,0))="","",INDEX(Documents!$C$5:$C$657,MATCH(H163,Documents!$A$5:$A$657,0))),"")</f>
        <v>2014</v>
      </c>
      <c r="J163" s="25" t="str">
        <f aca="false">IFERROR(IF(INDEX(Documents!$D$5:$D$657,MATCH(H163,Documents!$A$5:$A$657,0))="","",INDEX(Documents!$D$5:$D$657,MATCH(H163,Documents!$A$5:$A$657,0))),"")</f>
        <v/>
      </c>
      <c r="K163" s="25" t="str">
        <f aca="false">IFERROR(IF(INDEX(Documents!$G$5:$G$657,MATCH(H163,Documents!$A$5:$A$657,0))="","",INDEX(Documents!$G$5:$G$657,MATCH(H163,Documents!$A$5:$A$657,0))),"")</f>
        <v/>
      </c>
      <c r="L163" s="25" t="s">
        <v>732</v>
      </c>
    </row>
    <row r="164" customFormat="false" ht="15" hidden="false" customHeight="false" outlineLevel="0" collapsed="false">
      <c r="A164" s="25" t="n">
        <v>17651711</v>
      </c>
      <c r="B164" s="25" t="s">
        <v>733</v>
      </c>
      <c r="C164" s="25" t="s">
        <v>734</v>
      </c>
      <c r="D164" s="26" t="n">
        <v>2.8</v>
      </c>
      <c r="E164" s="27" t="n">
        <v>8.55284196865778</v>
      </c>
      <c r="F164" s="27" t="n">
        <v>8.55284196865778</v>
      </c>
      <c r="G164" s="25" t="s">
        <v>730</v>
      </c>
      <c r="H164" s="25" t="s">
        <v>731</v>
      </c>
      <c r="I164" s="25" t="n">
        <f aca="false">IFERROR(IF(INDEX(Documents!$C$5:$C$657,MATCH(H164,Documents!$A$5:$A$657,0))="","",INDEX(Documents!$C$5:$C$657,MATCH(H164,Documents!$A$5:$A$657,0))),"")</f>
        <v>2014</v>
      </c>
      <c r="J164" s="25" t="str">
        <f aca="false">IFERROR(IF(INDEX(Documents!$D$5:$D$657,MATCH(H164,Documents!$A$5:$A$657,0))="","",INDEX(Documents!$D$5:$D$657,MATCH(H164,Documents!$A$5:$A$657,0))),"")</f>
        <v/>
      </c>
      <c r="K164" s="25" t="str">
        <f aca="false">IFERROR(IF(INDEX(Documents!$G$5:$G$657,MATCH(H164,Documents!$A$5:$A$657,0))="","",INDEX(Documents!$G$5:$G$657,MATCH(H164,Documents!$A$5:$A$657,0))),"")</f>
        <v/>
      </c>
      <c r="L164" s="25" t="s">
        <v>732</v>
      </c>
    </row>
    <row r="165" customFormat="false" ht="15" hidden="false" customHeight="false" outlineLevel="0" collapsed="false">
      <c r="A165" s="25" t="n">
        <v>17651693</v>
      </c>
      <c r="B165" s="25" t="s">
        <v>735</v>
      </c>
      <c r="C165" s="25" t="s">
        <v>736</v>
      </c>
      <c r="D165" s="26" t="n">
        <v>1.7</v>
      </c>
      <c r="E165" s="27" t="n">
        <v>8.76955107862173</v>
      </c>
      <c r="F165" s="27" t="n">
        <v>8.76955107862173</v>
      </c>
      <c r="G165" s="25" t="s">
        <v>730</v>
      </c>
      <c r="H165" s="25" t="s">
        <v>731</v>
      </c>
      <c r="I165" s="25" t="n">
        <f aca="false">IFERROR(IF(INDEX(Documents!$C$5:$C$657,MATCH(H165,Documents!$A$5:$A$657,0))="","",INDEX(Documents!$C$5:$C$657,MATCH(H165,Documents!$A$5:$A$657,0))),"")</f>
        <v>2014</v>
      </c>
      <c r="J165" s="25" t="str">
        <f aca="false">IFERROR(IF(INDEX(Documents!$D$5:$D$657,MATCH(H165,Documents!$A$5:$A$657,0))="","",INDEX(Documents!$D$5:$D$657,MATCH(H165,Documents!$A$5:$A$657,0))),"")</f>
        <v/>
      </c>
      <c r="K165" s="25" t="str">
        <f aca="false">IFERROR(IF(INDEX(Documents!$G$5:$G$657,MATCH(H165,Documents!$A$5:$A$657,0))="","",INDEX(Documents!$G$5:$G$657,MATCH(H165,Documents!$A$5:$A$657,0))),"")</f>
        <v/>
      </c>
      <c r="L165" s="25" t="s">
        <v>732</v>
      </c>
    </row>
    <row r="166" customFormat="false" ht="15" hidden="false" customHeight="false" outlineLevel="0" collapsed="false">
      <c r="A166" s="25" t="n">
        <v>17651722</v>
      </c>
      <c r="B166" s="25" t="s">
        <v>737</v>
      </c>
      <c r="C166" s="25" t="s">
        <v>738</v>
      </c>
      <c r="D166" s="26" t="n">
        <v>15</v>
      </c>
      <c r="E166" s="27" t="n">
        <v>7.82390874094432</v>
      </c>
      <c r="F166" s="27" t="n">
        <v>7.82390874094432</v>
      </c>
      <c r="G166" s="25" t="s">
        <v>730</v>
      </c>
      <c r="H166" s="25" t="s">
        <v>731</v>
      </c>
      <c r="I166" s="25" t="n">
        <f aca="false">IFERROR(IF(INDEX(Documents!$C$5:$C$657,MATCH(H166,Documents!$A$5:$A$657,0))="","",INDEX(Documents!$C$5:$C$657,MATCH(H166,Documents!$A$5:$A$657,0))),"")</f>
        <v>2014</v>
      </c>
      <c r="J166" s="25" t="str">
        <f aca="false">IFERROR(IF(INDEX(Documents!$D$5:$D$657,MATCH(H166,Documents!$A$5:$A$657,0))="","",INDEX(Documents!$D$5:$D$657,MATCH(H166,Documents!$A$5:$A$657,0))),"")</f>
        <v/>
      </c>
      <c r="K166" s="25" t="str">
        <f aca="false">IFERROR(IF(INDEX(Documents!$G$5:$G$657,MATCH(H166,Documents!$A$5:$A$657,0))="","",INDEX(Documents!$G$5:$G$657,MATCH(H166,Documents!$A$5:$A$657,0))),"")</f>
        <v/>
      </c>
      <c r="L166" s="25" t="s">
        <v>732</v>
      </c>
    </row>
    <row r="167" customFormat="false" ht="15" hidden="false" customHeight="false" outlineLevel="0" collapsed="false">
      <c r="A167" s="25" t="n">
        <v>17651697</v>
      </c>
      <c r="B167" s="25" t="s">
        <v>739</v>
      </c>
      <c r="C167" s="25" t="s">
        <v>740</v>
      </c>
      <c r="D167" s="26" t="n">
        <v>4.3</v>
      </c>
      <c r="E167" s="27" t="n">
        <v>8.36653154442041</v>
      </c>
      <c r="F167" s="27" t="n">
        <v>8.36653154442041</v>
      </c>
      <c r="G167" s="25" t="s">
        <v>730</v>
      </c>
      <c r="H167" s="25" t="s">
        <v>731</v>
      </c>
      <c r="I167" s="25" t="n">
        <f aca="false">IFERROR(IF(INDEX(Documents!$C$5:$C$657,MATCH(H167,Documents!$A$5:$A$657,0))="","",INDEX(Documents!$C$5:$C$657,MATCH(H167,Documents!$A$5:$A$657,0))),"")</f>
        <v>2014</v>
      </c>
      <c r="J167" s="25" t="str">
        <f aca="false">IFERROR(IF(INDEX(Documents!$D$5:$D$657,MATCH(H167,Documents!$A$5:$A$657,0))="","",INDEX(Documents!$D$5:$D$657,MATCH(H167,Documents!$A$5:$A$657,0))),"")</f>
        <v/>
      </c>
      <c r="K167" s="25" t="str">
        <f aca="false">IFERROR(IF(INDEX(Documents!$G$5:$G$657,MATCH(H167,Documents!$A$5:$A$657,0))="","",INDEX(Documents!$G$5:$G$657,MATCH(H167,Documents!$A$5:$A$657,0))),"")</f>
        <v/>
      </c>
      <c r="L167" s="25" t="s">
        <v>732</v>
      </c>
    </row>
    <row r="168" customFormat="false" ht="15" hidden="false" customHeight="false" outlineLevel="0" collapsed="false">
      <c r="A168" s="25" t="n">
        <v>17651710</v>
      </c>
      <c r="B168" s="25" t="s">
        <v>741</v>
      </c>
      <c r="C168" s="25" t="s">
        <v>742</v>
      </c>
      <c r="D168" s="26" t="n">
        <v>1.8</v>
      </c>
      <c r="E168" s="27" t="n">
        <v>8.74472749489669</v>
      </c>
      <c r="F168" s="27" t="n">
        <v>8.74472749489669</v>
      </c>
      <c r="G168" s="25" t="s">
        <v>730</v>
      </c>
      <c r="H168" s="25" t="s">
        <v>731</v>
      </c>
      <c r="I168" s="25" t="n">
        <f aca="false">IFERROR(IF(INDEX(Documents!$C$5:$C$657,MATCH(H168,Documents!$A$5:$A$657,0))="","",INDEX(Documents!$C$5:$C$657,MATCH(H168,Documents!$A$5:$A$657,0))),"")</f>
        <v>2014</v>
      </c>
      <c r="J168" s="25" t="str">
        <f aca="false">IFERROR(IF(INDEX(Documents!$D$5:$D$657,MATCH(H168,Documents!$A$5:$A$657,0))="","",INDEX(Documents!$D$5:$D$657,MATCH(H168,Documents!$A$5:$A$657,0))),"")</f>
        <v/>
      </c>
      <c r="K168" s="25" t="str">
        <f aca="false">IFERROR(IF(INDEX(Documents!$G$5:$G$657,MATCH(H168,Documents!$A$5:$A$657,0))="","",INDEX(Documents!$G$5:$G$657,MATCH(H168,Documents!$A$5:$A$657,0))),"")</f>
        <v/>
      </c>
      <c r="L168" s="25" t="s">
        <v>732</v>
      </c>
    </row>
    <row r="169" customFormat="false" ht="15" hidden="false" customHeight="false" outlineLevel="0" collapsed="false">
      <c r="A169" s="25" t="n">
        <v>17651719</v>
      </c>
      <c r="B169" s="25" t="s">
        <v>743</v>
      </c>
      <c r="C169" s="25" t="s">
        <v>744</v>
      </c>
      <c r="D169" s="26" t="n">
        <v>6.2</v>
      </c>
      <c r="E169" s="27" t="n">
        <v>8.20760831050175</v>
      </c>
      <c r="F169" s="27" t="n">
        <v>8.20760831050175</v>
      </c>
      <c r="G169" s="25" t="s">
        <v>730</v>
      </c>
      <c r="H169" s="25" t="s">
        <v>731</v>
      </c>
      <c r="I169" s="25" t="n">
        <f aca="false">IFERROR(IF(INDEX(Documents!$C$5:$C$657,MATCH(H169,Documents!$A$5:$A$657,0))="","",INDEX(Documents!$C$5:$C$657,MATCH(H169,Documents!$A$5:$A$657,0))),"")</f>
        <v>2014</v>
      </c>
      <c r="J169" s="25" t="str">
        <f aca="false">IFERROR(IF(INDEX(Documents!$D$5:$D$657,MATCH(H169,Documents!$A$5:$A$657,0))="","",INDEX(Documents!$D$5:$D$657,MATCH(H169,Documents!$A$5:$A$657,0))),"")</f>
        <v/>
      </c>
      <c r="K169" s="25" t="str">
        <f aca="false">IFERROR(IF(INDEX(Documents!$G$5:$G$657,MATCH(H169,Documents!$A$5:$A$657,0))="","",INDEX(Documents!$G$5:$G$657,MATCH(H169,Documents!$A$5:$A$657,0))),"")</f>
        <v/>
      </c>
      <c r="L169" s="25" t="s">
        <v>732</v>
      </c>
    </row>
    <row r="170" customFormat="false" ht="15" hidden="false" customHeight="false" outlineLevel="0" collapsed="false">
      <c r="A170" s="25" t="n">
        <v>17651699</v>
      </c>
      <c r="B170" s="25" t="s">
        <v>745</v>
      </c>
      <c r="C170" s="25" t="s">
        <v>746</v>
      </c>
      <c r="D170" s="26" t="n">
        <v>10</v>
      </c>
      <c r="E170" s="27" t="n">
        <v>8</v>
      </c>
      <c r="F170" s="27" t="n">
        <v>8</v>
      </c>
      <c r="G170" s="25" t="s">
        <v>730</v>
      </c>
      <c r="H170" s="25" t="s">
        <v>731</v>
      </c>
      <c r="I170" s="25" t="n">
        <f aca="false">IFERROR(IF(INDEX(Documents!$C$5:$C$657,MATCH(H170,Documents!$A$5:$A$657,0))="","",INDEX(Documents!$C$5:$C$657,MATCH(H170,Documents!$A$5:$A$657,0))),"")</f>
        <v>2014</v>
      </c>
      <c r="J170" s="25" t="str">
        <f aca="false">IFERROR(IF(INDEX(Documents!$D$5:$D$657,MATCH(H170,Documents!$A$5:$A$657,0))="","",INDEX(Documents!$D$5:$D$657,MATCH(H170,Documents!$A$5:$A$657,0))),"")</f>
        <v/>
      </c>
      <c r="K170" s="25" t="str">
        <f aca="false">IFERROR(IF(INDEX(Documents!$G$5:$G$657,MATCH(H170,Documents!$A$5:$A$657,0))="","",INDEX(Documents!$G$5:$G$657,MATCH(H170,Documents!$A$5:$A$657,0))),"")</f>
        <v/>
      </c>
      <c r="L170" s="25" t="s">
        <v>732</v>
      </c>
    </row>
    <row r="171" customFormat="false" ht="15" hidden="false" customHeight="false" outlineLevel="0" collapsed="false">
      <c r="A171" s="25" t="n">
        <v>12136189</v>
      </c>
      <c r="B171" s="25" t="s">
        <v>747</v>
      </c>
      <c r="C171" s="25" t="s">
        <v>748</v>
      </c>
      <c r="D171" s="26" t="n">
        <v>14000</v>
      </c>
      <c r="E171" s="27" t="n">
        <v>4.85387196432176</v>
      </c>
      <c r="F171" s="27" t="n">
        <v>4.85387196432176</v>
      </c>
      <c r="G171" s="25" t="s">
        <v>718</v>
      </c>
      <c r="H171" s="25" t="s">
        <v>719</v>
      </c>
      <c r="I171" s="25" t="n">
        <f aca="false">IFERROR(IF(INDEX(Documents!$C$5:$C$657,MATCH(H171,Documents!$A$5:$A$657,0))="","",INDEX(Documents!$C$5:$C$657,MATCH(H171,Documents!$A$5:$A$657,0))),"")</f>
        <v>2012</v>
      </c>
      <c r="J171" s="25" t="str">
        <f aca="false">IFERROR(IF(INDEX(Documents!$D$5:$D$657,MATCH(H171,Documents!$A$5:$A$657,0))="","",INDEX(Documents!$D$5:$D$657,MATCH(H171,Documents!$A$5:$A$657,0))),"")</f>
        <v>J Med Chem</v>
      </c>
      <c r="K171" s="25" t="str">
        <f aca="false">IFERROR(IF(INDEX(Documents!$G$5:$G$657,MATCH(H171,Documents!$A$5:$A$657,0))="","",INDEX(Documents!$G$5:$G$657,MATCH(H171,Documents!$A$5:$A$657,0))),"")</f>
        <v>10.1021/jm301181r</v>
      </c>
      <c r="L171" s="25" t="s">
        <v>720</v>
      </c>
    </row>
    <row r="172" customFormat="false" ht="15" hidden="false" customHeight="false" outlineLevel="0" collapsed="false">
      <c r="A172" s="25" t="n">
        <v>18673906</v>
      </c>
      <c r="B172" s="25" t="s">
        <v>749</v>
      </c>
      <c r="C172" s="25" t="s">
        <v>750</v>
      </c>
      <c r="D172" s="26" t="n">
        <v>3400</v>
      </c>
      <c r="E172" s="27" t="n">
        <v>5.46852108295775</v>
      </c>
      <c r="F172" s="27" t="n">
        <v>5.46852108295775</v>
      </c>
      <c r="G172" s="25" t="s">
        <v>664</v>
      </c>
      <c r="H172" s="25" t="s">
        <v>665</v>
      </c>
      <c r="I172" s="25" t="n">
        <f aca="false">IFERROR(IF(INDEX(Documents!$C$5:$C$657,MATCH(H172,Documents!$A$5:$A$657,0))="","",INDEX(Documents!$C$5:$C$657,MATCH(H172,Documents!$A$5:$A$657,0))),"")</f>
        <v>2018</v>
      </c>
      <c r="J172" s="25" t="str">
        <f aca="false">IFERROR(IF(INDEX(Documents!$D$5:$D$657,MATCH(H172,Documents!$A$5:$A$657,0))="","",INDEX(Documents!$D$5:$D$657,MATCH(H172,Documents!$A$5:$A$657,0))),"")</f>
        <v>Bioorg Med Chem</v>
      </c>
      <c r="K172" s="25" t="str">
        <f aca="false">IFERROR(IF(INDEX(Documents!$G$5:$G$657,MATCH(H172,Documents!$A$5:$A$657,0))="","",INDEX(Documents!$G$5:$G$657,MATCH(H172,Documents!$A$5:$A$657,0))),"")</f>
        <v>10.1016/j.bmc.2018.07.043</v>
      </c>
      <c r="L172" s="25" t="s">
        <v>666</v>
      </c>
    </row>
    <row r="173" customFormat="false" ht="15" hidden="false" customHeight="false" outlineLevel="0" collapsed="false">
      <c r="A173" s="25" t="n">
        <v>12136197</v>
      </c>
      <c r="B173" s="25" t="s">
        <v>751</v>
      </c>
      <c r="C173" s="25" t="s">
        <v>752</v>
      </c>
      <c r="D173" s="26" t="n">
        <v>13947</v>
      </c>
      <c r="E173" s="27" t="n">
        <v>4.85551919909725</v>
      </c>
      <c r="F173" s="27" t="n">
        <v>4.85551919909725</v>
      </c>
      <c r="G173" s="25" t="s">
        <v>718</v>
      </c>
      <c r="H173" s="25" t="s">
        <v>719</v>
      </c>
      <c r="I173" s="25" t="n">
        <f aca="false">IFERROR(IF(INDEX(Documents!$C$5:$C$657,MATCH(H173,Documents!$A$5:$A$657,0))="","",INDEX(Documents!$C$5:$C$657,MATCH(H173,Documents!$A$5:$A$657,0))),"")</f>
        <v>2012</v>
      </c>
      <c r="J173" s="25" t="str">
        <f aca="false">IFERROR(IF(INDEX(Documents!$D$5:$D$657,MATCH(H173,Documents!$A$5:$A$657,0))="","",INDEX(Documents!$D$5:$D$657,MATCH(H173,Documents!$A$5:$A$657,0))),"")</f>
        <v>J Med Chem</v>
      </c>
      <c r="K173" s="25" t="str">
        <f aca="false">IFERROR(IF(INDEX(Documents!$G$5:$G$657,MATCH(H173,Documents!$A$5:$A$657,0))="","",INDEX(Documents!$G$5:$G$657,MATCH(H173,Documents!$A$5:$A$657,0))),"")</f>
        <v>10.1021/jm301181r</v>
      </c>
      <c r="L173" s="25" t="s">
        <v>720</v>
      </c>
    </row>
    <row r="174" customFormat="false" ht="15" hidden="false" customHeight="false" outlineLevel="0" collapsed="false">
      <c r="A174" s="25" t="n">
        <v>12136187</v>
      </c>
      <c r="B174" s="25" t="s">
        <v>753</v>
      </c>
      <c r="C174" s="25" t="s">
        <v>754</v>
      </c>
      <c r="D174" s="26" t="n">
        <v>1713</v>
      </c>
      <c r="E174" s="27" t="n">
        <v>5.76624263703449</v>
      </c>
      <c r="F174" s="27" t="n">
        <v>5.76624263703449</v>
      </c>
      <c r="G174" s="25" t="s">
        <v>718</v>
      </c>
      <c r="H174" s="25" t="s">
        <v>719</v>
      </c>
      <c r="I174" s="25" t="n">
        <f aca="false">IFERROR(IF(INDEX(Documents!$C$5:$C$657,MATCH(H174,Documents!$A$5:$A$657,0))="","",INDEX(Documents!$C$5:$C$657,MATCH(H174,Documents!$A$5:$A$657,0))),"")</f>
        <v>2012</v>
      </c>
      <c r="J174" s="25" t="str">
        <f aca="false">IFERROR(IF(INDEX(Documents!$D$5:$D$657,MATCH(H174,Documents!$A$5:$A$657,0))="","",INDEX(Documents!$D$5:$D$657,MATCH(H174,Documents!$A$5:$A$657,0))),"")</f>
        <v>J Med Chem</v>
      </c>
      <c r="K174" s="25" t="str">
        <f aca="false">IFERROR(IF(INDEX(Documents!$G$5:$G$657,MATCH(H174,Documents!$A$5:$A$657,0))="","",INDEX(Documents!$G$5:$G$657,MATCH(H174,Documents!$A$5:$A$657,0))),"")</f>
        <v>10.1021/jm301181r</v>
      </c>
      <c r="L174" s="25" t="s">
        <v>720</v>
      </c>
    </row>
    <row r="175" customFormat="false" ht="15" hidden="false" customHeight="false" outlineLevel="0" collapsed="false">
      <c r="A175" s="25" t="n">
        <v>13498206</v>
      </c>
      <c r="B175" s="25" t="s">
        <v>755</v>
      </c>
      <c r="C175" s="25" t="s">
        <v>756</v>
      </c>
      <c r="D175" s="26" t="n">
        <v>2690</v>
      </c>
      <c r="E175" s="27" t="n">
        <v>5.57024771999759</v>
      </c>
      <c r="F175" s="27" t="n">
        <v>5.57024771999759</v>
      </c>
      <c r="G175" s="25" t="s">
        <v>757</v>
      </c>
      <c r="H175" s="25" t="s">
        <v>758</v>
      </c>
      <c r="I175" s="25" t="n">
        <f aca="false">IFERROR(IF(INDEX(Documents!$C$5:$C$657,MATCH(H175,Documents!$A$5:$A$657,0))="","",INDEX(Documents!$C$5:$C$657,MATCH(H175,Documents!$A$5:$A$657,0))),"")</f>
        <v>2013</v>
      </c>
      <c r="J175" s="25" t="str">
        <f aca="false">IFERROR(IF(INDEX(Documents!$D$5:$D$657,MATCH(H175,Documents!$A$5:$A$657,0))="","",INDEX(Documents!$D$5:$D$657,MATCH(H175,Documents!$A$5:$A$657,0))),"")</f>
        <v>Eur J Med Chem</v>
      </c>
      <c r="K175" s="25" t="str">
        <f aca="false">IFERROR(IF(INDEX(Documents!$G$5:$G$657,MATCH(H175,Documents!$A$5:$A$657,0))="","",INDEX(Documents!$G$5:$G$657,MATCH(H175,Documents!$A$5:$A$657,0))),"")</f>
        <v>10.1016/j.ejmech.2013.09.038</v>
      </c>
      <c r="L175" s="25" t="s">
        <v>759</v>
      </c>
    </row>
    <row r="176" customFormat="false" ht="15" hidden="false" customHeight="false" outlineLevel="0" collapsed="false">
      <c r="A176" s="25" t="n">
        <v>25531998</v>
      </c>
      <c r="B176" s="25" t="s">
        <v>760</v>
      </c>
      <c r="C176" s="25" t="s">
        <v>761</v>
      </c>
      <c r="D176" s="26" t="n">
        <v>2000</v>
      </c>
      <c r="E176" s="27" t="n">
        <v>5.69897000433602</v>
      </c>
      <c r="F176" s="27" t="n">
        <v>5.69897000433602</v>
      </c>
      <c r="G176" s="25" t="s">
        <v>762</v>
      </c>
      <c r="H176" s="25" t="s">
        <v>763</v>
      </c>
      <c r="I176" s="25" t="n">
        <f aca="false">IFERROR(IF(INDEX(Documents!$C$5:$C$657,MATCH(H176,Documents!$A$5:$A$657,0))="","",INDEX(Documents!$C$5:$C$657,MATCH(H176,Documents!$A$5:$A$657,0))),"")</f>
        <v>2023</v>
      </c>
      <c r="J176" s="25" t="str">
        <f aca="false">IFERROR(IF(INDEX(Documents!$D$5:$D$657,MATCH(H176,Documents!$A$5:$A$657,0))="","",INDEX(Documents!$D$5:$D$657,MATCH(H176,Documents!$A$5:$A$657,0))),"")</f>
        <v>J Med Chem</v>
      </c>
      <c r="K176" s="25" t="str">
        <f aca="false">IFERROR(IF(INDEX(Documents!$G$5:$G$657,MATCH(H176,Documents!$A$5:$A$657,0))="","",INDEX(Documents!$G$5:$G$657,MATCH(H176,Documents!$A$5:$A$657,0))),"")</f>
        <v>10.1021/acs.jmedchem.3c00541</v>
      </c>
      <c r="L176" s="25" t="s">
        <v>764</v>
      </c>
    </row>
    <row r="177" customFormat="false" ht="15" hidden="false" customHeight="false" outlineLevel="0" collapsed="false">
      <c r="A177" s="25" t="n">
        <v>25531996</v>
      </c>
      <c r="B177" s="25" t="s">
        <v>765</v>
      </c>
      <c r="C177" s="25" t="s">
        <v>766</v>
      </c>
      <c r="D177" s="26" t="n">
        <v>4500</v>
      </c>
      <c r="E177" s="27" t="n">
        <v>5.34678748622466</v>
      </c>
      <c r="F177" s="27" t="n">
        <v>5.34678748622466</v>
      </c>
      <c r="G177" s="25" t="s">
        <v>762</v>
      </c>
      <c r="H177" s="25" t="s">
        <v>763</v>
      </c>
      <c r="I177" s="25" t="n">
        <f aca="false">IFERROR(IF(INDEX(Documents!$C$5:$C$657,MATCH(H177,Documents!$A$5:$A$657,0))="","",INDEX(Documents!$C$5:$C$657,MATCH(H177,Documents!$A$5:$A$657,0))),"")</f>
        <v>2023</v>
      </c>
      <c r="J177" s="25" t="str">
        <f aca="false">IFERROR(IF(INDEX(Documents!$D$5:$D$657,MATCH(H177,Documents!$A$5:$A$657,0))="","",INDEX(Documents!$D$5:$D$657,MATCH(H177,Documents!$A$5:$A$657,0))),"")</f>
        <v>J Med Chem</v>
      </c>
      <c r="K177" s="25" t="str">
        <f aca="false">IFERROR(IF(INDEX(Documents!$G$5:$G$657,MATCH(H177,Documents!$A$5:$A$657,0))="","",INDEX(Documents!$G$5:$G$657,MATCH(H177,Documents!$A$5:$A$657,0))),"")</f>
        <v>10.1021/acs.jmedchem.3c00541</v>
      </c>
      <c r="L177" s="25" t="s">
        <v>764</v>
      </c>
    </row>
    <row r="178" customFormat="false" ht="15" hidden="false" customHeight="false" outlineLevel="0" collapsed="false">
      <c r="A178" s="25" t="n">
        <v>16280275</v>
      </c>
      <c r="B178" s="25" t="s">
        <v>767</v>
      </c>
      <c r="C178" s="25" t="s">
        <v>768</v>
      </c>
      <c r="D178" s="26" t="n">
        <v>0.4</v>
      </c>
      <c r="E178" s="27" t="n">
        <v>9.39794000867204</v>
      </c>
      <c r="F178" s="27" t="n">
        <v>9.39794000867204</v>
      </c>
      <c r="G178" s="25" t="s">
        <v>326</v>
      </c>
      <c r="H178" s="25" t="s">
        <v>327</v>
      </c>
      <c r="I178" s="25" t="n">
        <f aca="false">IFERROR(IF(INDEX(Documents!$C$5:$C$657,MATCH(H178,Documents!$A$5:$A$657,0))="","",INDEX(Documents!$C$5:$C$657,MATCH(H178,Documents!$A$5:$A$657,0))),"")</f>
        <v>2014</v>
      </c>
      <c r="J178" s="25" t="str">
        <f aca="false">IFERROR(IF(INDEX(Documents!$D$5:$D$657,MATCH(H178,Documents!$A$5:$A$657,0))="","",INDEX(Documents!$D$5:$D$657,MATCH(H178,Documents!$A$5:$A$657,0))),"")</f>
        <v/>
      </c>
      <c r="K178" s="25" t="str">
        <f aca="false">IFERROR(IF(INDEX(Documents!$G$5:$G$657,MATCH(H178,Documents!$A$5:$A$657,0))="","",INDEX(Documents!$G$5:$G$657,MATCH(H178,Documents!$A$5:$A$657,0))),"")</f>
        <v/>
      </c>
      <c r="L178" s="25" t="s">
        <v>328</v>
      </c>
    </row>
    <row r="179" customFormat="false" ht="15" hidden="false" customHeight="false" outlineLevel="0" collapsed="false">
      <c r="A179" s="25" t="n">
        <v>19180465</v>
      </c>
      <c r="B179" s="25" t="s">
        <v>769</v>
      </c>
      <c r="C179" s="25" t="s">
        <v>770</v>
      </c>
      <c r="D179" s="26" t="n">
        <v>4900</v>
      </c>
      <c r="E179" s="27" t="n">
        <v>5.30980391997149</v>
      </c>
      <c r="F179" s="27" t="n">
        <v>5.30980391997149</v>
      </c>
      <c r="G179" s="25" t="s">
        <v>669</v>
      </c>
      <c r="H179" s="25" t="s">
        <v>670</v>
      </c>
      <c r="I179" s="25" t="n">
        <f aca="false">IFERROR(IF(INDEX(Documents!$C$5:$C$657,MATCH(H179,Documents!$A$5:$A$657,0))="","",INDEX(Documents!$C$5:$C$657,MATCH(H179,Documents!$A$5:$A$657,0))),"")</f>
        <v>2019</v>
      </c>
      <c r="J179" s="25" t="str">
        <f aca="false">IFERROR(IF(INDEX(Documents!$D$5:$D$657,MATCH(H179,Documents!$A$5:$A$657,0))="","",INDEX(Documents!$D$5:$D$657,MATCH(H179,Documents!$A$5:$A$657,0))),"")</f>
        <v>Bioorg Med Chem</v>
      </c>
      <c r="K179" s="25" t="str">
        <f aca="false">IFERROR(IF(INDEX(Documents!$G$5:$G$657,MATCH(H179,Documents!$A$5:$A$657,0))="","",INDEX(Documents!$G$5:$G$657,MATCH(H179,Documents!$A$5:$A$657,0))),"")</f>
        <v>10.1016/j.bmc.2019.07.002</v>
      </c>
      <c r="L179" s="25" t="s">
        <v>671</v>
      </c>
    </row>
    <row r="180" customFormat="false" ht="15" hidden="false" customHeight="false" outlineLevel="0" collapsed="false">
      <c r="A180" s="25" t="n">
        <v>2355484</v>
      </c>
      <c r="B180" s="25" t="s">
        <v>771</v>
      </c>
      <c r="C180" s="25" t="s">
        <v>772</v>
      </c>
      <c r="D180" s="26" t="n">
        <v>5</v>
      </c>
      <c r="E180" s="27" t="n">
        <v>8.30102999566398</v>
      </c>
      <c r="F180" s="27" t="n">
        <v>8.30102999566398</v>
      </c>
      <c r="G180" s="25" t="s">
        <v>773</v>
      </c>
      <c r="H180" s="25" t="s">
        <v>774</v>
      </c>
      <c r="I180" s="25" t="n">
        <f aca="false">IFERROR(IF(INDEX(Documents!$C$5:$C$657,MATCH(H180,Documents!$A$5:$A$657,0))="","",INDEX(Documents!$C$5:$C$657,MATCH(H180,Documents!$A$5:$A$657,0))),"")</f>
        <v>2008</v>
      </c>
      <c r="J180" s="25" t="str">
        <f aca="false">IFERROR(IF(INDEX(Documents!$D$5:$D$657,MATCH(H180,Documents!$A$5:$A$657,0))="","",INDEX(Documents!$D$5:$D$657,MATCH(H180,Documents!$A$5:$A$657,0))),"")</f>
        <v>Bioorg Med Chem Lett</v>
      </c>
      <c r="K180" s="25" t="str">
        <f aca="false">IFERROR(IF(INDEX(Documents!$G$5:$G$657,MATCH(H180,Documents!$A$5:$A$657,0))="","",INDEX(Documents!$G$5:$G$657,MATCH(H180,Documents!$A$5:$A$657,0))),"")</f>
        <v>10.1016/j.bmcl.2008.04.032</v>
      </c>
      <c r="L180" s="25" t="s">
        <v>775</v>
      </c>
    </row>
    <row r="181" customFormat="false" ht="15" hidden="false" customHeight="false" outlineLevel="0" collapsed="false">
      <c r="A181" s="25" t="n">
        <v>27600479</v>
      </c>
      <c r="B181" s="25" t="s">
        <v>776</v>
      </c>
      <c r="C181" s="25" t="s">
        <v>777</v>
      </c>
      <c r="D181" s="26" t="n">
        <v>97.7</v>
      </c>
      <c r="E181" s="27" t="n">
        <v>7.01010543628123</v>
      </c>
      <c r="F181" s="27" t="n">
        <v>7.01010543628123</v>
      </c>
      <c r="G181" s="25" t="s">
        <v>778</v>
      </c>
      <c r="H181" s="25" t="s">
        <v>779</v>
      </c>
      <c r="I181" s="25" t="n">
        <f aca="false">IFERROR(IF(INDEX(Documents!$C$5:$C$657,MATCH(H181,Documents!$A$5:$A$657,0))="","",INDEX(Documents!$C$5:$C$657,MATCH(H181,Documents!$A$5:$A$657,0))),"")</f>
        <v>2018</v>
      </c>
      <c r="J181" s="25" t="str">
        <f aca="false">IFERROR(IF(INDEX(Documents!$D$5:$D$657,MATCH(H181,Documents!$A$5:$A$657,0))="","",INDEX(Documents!$D$5:$D$657,MATCH(H181,Documents!$A$5:$A$657,0))),"")</f>
        <v/>
      </c>
      <c r="K181" s="25" t="str">
        <f aca="false">IFERROR(IF(INDEX(Documents!$G$5:$G$657,MATCH(H181,Documents!$A$5:$A$657,0))="","",INDEX(Documents!$G$5:$G$657,MATCH(H181,Documents!$A$5:$A$657,0))),"")</f>
        <v/>
      </c>
      <c r="L181" s="25" t="s">
        <v>780</v>
      </c>
    </row>
    <row r="182" customFormat="false" ht="15" hidden="false" customHeight="false" outlineLevel="0" collapsed="false">
      <c r="A182" s="25" t="n">
        <v>2355491</v>
      </c>
      <c r="B182" s="25" t="s">
        <v>781</v>
      </c>
      <c r="C182" s="25" t="s">
        <v>782</v>
      </c>
      <c r="D182" s="26" t="n">
        <v>15</v>
      </c>
      <c r="E182" s="27" t="n">
        <v>7.82390874094432</v>
      </c>
      <c r="F182" s="27" t="n">
        <v>7.82390874094432</v>
      </c>
      <c r="G182" s="25" t="s">
        <v>773</v>
      </c>
      <c r="H182" s="25" t="s">
        <v>774</v>
      </c>
      <c r="I182" s="25" t="n">
        <f aca="false">IFERROR(IF(INDEX(Documents!$C$5:$C$657,MATCH(H182,Documents!$A$5:$A$657,0))="","",INDEX(Documents!$C$5:$C$657,MATCH(H182,Documents!$A$5:$A$657,0))),"")</f>
        <v>2008</v>
      </c>
      <c r="J182" s="25" t="str">
        <f aca="false">IFERROR(IF(INDEX(Documents!$D$5:$D$657,MATCH(H182,Documents!$A$5:$A$657,0))="","",INDEX(Documents!$D$5:$D$657,MATCH(H182,Documents!$A$5:$A$657,0))),"")</f>
        <v>Bioorg Med Chem Lett</v>
      </c>
      <c r="K182" s="25" t="str">
        <f aca="false">IFERROR(IF(INDEX(Documents!$G$5:$G$657,MATCH(H182,Documents!$A$5:$A$657,0))="","",INDEX(Documents!$G$5:$G$657,MATCH(H182,Documents!$A$5:$A$657,0))),"")</f>
        <v>10.1016/j.bmcl.2008.04.032</v>
      </c>
      <c r="L182" s="25" t="s">
        <v>775</v>
      </c>
    </row>
    <row r="183" customFormat="false" ht="15" hidden="false" customHeight="false" outlineLevel="0" collapsed="false">
      <c r="A183" s="25" t="n">
        <v>28585835</v>
      </c>
      <c r="B183" s="25" t="s">
        <v>783</v>
      </c>
      <c r="C183" s="25" t="s">
        <v>784</v>
      </c>
      <c r="D183" s="26" t="n">
        <v>1200</v>
      </c>
      <c r="E183" s="27" t="n">
        <v>5.92081875395238</v>
      </c>
      <c r="F183" s="27" t="n">
        <v>5.92081875395238</v>
      </c>
      <c r="G183" s="25" t="s">
        <v>785</v>
      </c>
      <c r="H183" s="25" t="s">
        <v>786</v>
      </c>
      <c r="I183" s="25" t="n">
        <f aca="false">IFERROR(IF(INDEX(Documents!$C$5:$C$657,MATCH(H183,Documents!$A$5:$A$657,0))="","",INDEX(Documents!$C$5:$C$657,MATCH(H183,Documents!$A$5:$A$657,0))),"")</f>
        <v>2022</v>
      </c>
      <c r="J183" s="25" t="str">
        <f aca="false">IFERROR(IF(INDEX(Documents!$D$5:$D$657,MATCH(H183,Documents!$A$5:$A$657,0))="","",INDEX(Documents!$D$5:$D$657,MATCH(H183,Documents!$A$5:$A$657,0))),"")</f>
        <v/>
      </c>
      <c r="K183" s="25" t="str">
        <f aca="false">IFERROR(IF(INDEX(Documents!$G$5:$G$657,MATCH(H183,Documents!$A$5:$A$657,0))="","",INDEX(Documents!$G$5:$G$657,MATCH(H183,Documents!$A$5:$A$657,0))),"")</f>
        <v/>
      </c>
      <c r="L183" s="25" t="s">
        <v>787</v>
      </c>
    </row>
    <row r="184" customFormat="false" ht="15" hidden="false" customHeight="false" outlineLevel="0" collapsed="false">
      <c r="A184" s="25" t="n">
        <v>28585823</v>
      </c>
      <c r="B184" s="25" t="s">
        <v>788</v>
      </c>
      <c r="C184" s="25" t="s">
        <v>789</v>
      </c>
      <c r="D184" s="26" t="n">
        <v>105</v>
      </c>
      <c r="E184" s="27" t="n">
        <v>6.97881070093006</v>
      </c>
      <c r="F184" s="27" t="n">
        <v>6.97881070093006</v>
      </c>
      <c r="G184" s="25" t="s">
        <v>785</v>
      </c>
      <c r="H184" s="25" t="s">
        <v>786</v>
      </c>
      <c r="I184" s="25" t="n">
        <f aca="false">IFERROR(IF(INDEX(Documents!$C$5:$C$657,MATCH(H184,Documents!$A$5:$A$657,0))="","",INDEX(Documents!$C$5:$C$657,MATCH(H184,Documents!$A$5:$A$657,0))),"")</f>
        <v>2022</v>
      </c>
      <c r="J184" s="25" t="str">
        <f aca="false">IFERROR(IF(INDEX(Documents!$D$5:$D$657,MATCH(H184,Documents!$A$5:$A$657,0))="","",INDEX(Documents!$D$5:$D$657,MATCH(H184,Documents!$A$5:$A$657,0))),"")</f>
        <v/>
      </c>
      <c r="K184" s="25" t="str">
        <f aca="false">IFERROR(IF(INDEX(Documents!$G$5:$G$657,MATCH(H184,Documents!$A$5:$A$657,0))="","",INDEX(Documents!$G$5:$G$657,MATCH(H184,Documents!$A$5:$A$657,0))),"")</f>
        <v/>
      </c>
      <c r="L184" s="25" t="s">
        <v>787</v>
      </c>
    </row>
    <row r="185" customFormat="false" ht="15" hidden="false" customHeight="false" outlineLevel="0" collapsed="false">
      <c r="A185" s="25" t="n">
        <v>2355476</v>
      </c>
      <c r="B185" s="25" t="s">
        <v>790</v>
      </c>
      <c r="C185" s="25" t="s">
        <v>791</v>
      </c>
      <c r="D185" s="26" t="n">
        <v>92</v>
      </c>
      <c r="E185" s="27" t="n">
        <v>7.03621217265444</v>
      </c>
      <c r="F185" s="27" t="n">
        <v>7.03621217265444</v>
      </c>
      <c r="G185" s="25" t="s">
        <v>773</v>
      </c>
      <c r="H185" s="25" t="s">
        <v>774</v>
      </c>
      <c r="I185" s="25" t="n">
        <f aca="false">IFERROR(IF(INDEX(Documents!$C$5:$C$657,MATCH(H185,Documents!$A$5:$A$657,0))="","",INDEX(Documents!$C$5:$C$657,MATCH(H185,Documents!$A$5:$A$657,0))),"")</f>
        <v>2008</v>
      </c>
      <c r="J185" s="25" t="str">
        <f aca="false">IFERROR(IF(INDEX(Documents!$D$5:$D$657,MATCH(H185,Documents!$A$5:$A$657,0))="","",INDEX(Documents!$D$5:$D$657,MATCH(H185,Documents!$A$5:$A$657,0))),"")</f>
        <v>Bioorg Med Chem Lett</v>
      </c>
      <c r="K185" s="25" t="str">
        <f aca="false">IFERROR(IF(INDEX(Documents!$G$5:$G$657,MATCH(H185,Documents!$A$5:$A$657,0))="","",INDEX(Documents!$G$5:$G$657,MATCH(H185,Documents!$A$5:$A$657,0))),"")</f>
        <v>10.1016/j.bmcl.2008.04.032</v>
      </c>
      <c r="L185" s="25" t="s">
        <v>775</v>
      </c>
    </row>
    <row r="186" customFormat="false" ht="15" hidden="false" customHeight="false" outlineLevel="0" collapsed="false">
      <c r="A186" s="25" t="n">
        <v>2355480</v>
      </c>
      <c r="B186" s="25" t="s">
        <v>792</v>
      </c>
      <c r="C186" s="25" t="s">
        <v>793</v>
      </c>
      <c r="D186" s="26" t="n">
        <v>6</v>
      </c>
      <c r="E186" s="27" t="n">
        <v>8.22184874961636</v>
      </c>
      <c r="F186" s="27" t="n">
        <v>8.22184874961636</v>
      </c>
      <c r="G186" s="25" t="s">
        <v>773</v>
      </c>
      <c r="H186" s="25" t="s">
        <v>774</v>
      </c>
      <c r="I186" s="25" t="n">
        <f aca="false">IFERROR(IF(INDEX(Documents!$C$5:$C$657,MATCH(H186,Documents!$A$5:$A$657,0))="","",INDEX(Documents!$C$5:$C$657,MATCH(H186,Documents!$A$5:$A$657,0))),"")</f>
        <v>2008</v>
      </c>
      <c r="J186" s="25" t="str">
        <f aca="false">IFERROR(IF(INDEX(Documents!$D$5:$D$657,MATCH(H186,Documents!$A$5:$A$657,0))="","",INDEX(Documents!$D$5:$D$657,MATCH(H186,Documents!$A$5:$A$657,0))),"")</f>
        <v>Bioorg Med Chem Lett</v>
      </c>
      <c r="K186" s="25" t="str">
        <f aca="false">IFERROR(IF(INDEX(Documents!$G$5:$G$657,MATCH(H186,Documents!$A$5:$A$657,0))="","",INDEX(Documents!$G$5:$G$657,MATCH(H186,Documents!$A$5:$A$657,0))),"")</f>
        <v>10.1016/j.bmcl.2008.04.032</v>
      </c>
      <c r="L186" s="25" t="s">
        <v>775</v>
      </c>
    </row>
    <row r="187" customFormat="false" ht="15" hidden="false" customHeight="false" outlineLevel="0" collapsed="false">
      <c r="A187" s="25" t="n">
        <v>2355475</v>
      </c>
      <c r="B187" s="25" t="s">
        <v>794</v>
      </c>
      <c r="C187" s="25" t="s">
        <v>795</v>
      </c>
      <c r="D187" s="26" t="n">
        <v>144</v>
      </c>
      <c r="E187" s="27" t="n">
        <v>6.84163750790475</v>
      </c>
      <c r="F187" s="27" t="n">
        <v>6.84163750790475</v>
      </c>
      <c r="G187" s="25" t="s">
        <v>773</v>
      </c>
      <c r="H187" s="25" t="s">
        <v>774</v>
      </c>
      <c r="I187" s="25" t="n">
        <f aca="false">IFERROR(IF(INDEX(Documents!$C$5:$C$657,MATCH(H187,Documents!$A$5:$A$657,0))="","",INDEX(Documents!$C$5:$C$657,MATCH(H187,Documents!$A$5:$A$657,0))),"")</f>
        <v>2008</v>
      </c>
      <c r="J187" s="25" t="str">
        <f aca="false">IFERROR(IF(INDEX(Documents!$D$5:$D$657,MATCH(H187,Documents!$A$5:$A$657,0))="","",INDEX(Documents!$D$5:$D$657,MATCH(H187,Documents!$A$5:$A$657,0))),"")</f>
        <v>Bioorg Med Chem Lett</v>
      </c>
      <c r="K187" s="25" t="str">
        <f aca="false">IFERROR(IF(INDEX(Documents!$G$5:$G$657,MATCH(H187,Documents!$A$5:$A$657,0))="","",INDEX(Documents!$G$5:$G$657,MATCH(H187,Documents!$A$5:$A$657,0))),"")</f>
        <v>10.1016/j.bmcl.2008.04.032</v>
      </c>
      <c r="L187" s="25" t="s">
        <v>775</v>
      </c>
    </row>
    <row r="188" customFormat="false" ht="15" hidden="false" customHeight="false" outlineLevel="0" collapsed="false">
      <c r="A188" s="25" t="n">
        <v>2355481</v>
      </c>
      <c r="B188" s="25" t="s">
        <v>796</v>
      </c>
      <c r="C188" s="25" t="s">
        <v>797</v>
      </c>
      <c r="D188" s="26" t="n">
        <v>4</v>
      </c>
      <c r="E188" s="27" t="n">
        <v>8.39794000867204</v>
      </c>
      <c r="F188" s="27" t="n">
        <v>8.39794000867204</v>
      </c>
      <c r="G188" s="25" t="s">
        <v>773</v>
      </c>
      <c r="H188" s="25" t="s">
        <v>774</v>
      </c>
      <c r="I188" s="25" t="n">
        <f aca="false">IFERROR(IF(INDEX(Documents!$C$5:$C$657,MATCH(H188,Documents!$A$5:$A$657,0))="","",INDEX(Documents!$C$5:$C$657,MATCH(H188,Documents!$A$5:$A$657,0))),"")</f>
        <v>2008</v>
      </c>
      <c r="J188" s="25" t="str">
        <f aca="false">IFERROR(IF(INDEX(Documents!$D$5:$D$657,MATCH(H188,Documents!$A$5:$A$657,0))="","",INDEX(Documents!$D$5:$D$657,MATCH(H188,Documents!$A$5:$A$657,0))),"")</f>
        <v>Bioorg Med Chem Lett</v>
      </c>
      <c r="K188" s="25" t="str">
        <f aca="false">IFERROR(IF(INDEX(Documents!$G$5:$G$657,MATCH(H188,Documents!$A$5:$A$657,0))="","",INDEX(Documents!$G$5:$G$657,MATCH(H188,Documents!$A$5:$A$657,0))),"")</f>
        <v>10.1016/j.bmcl.2008.04.032</v>
      </c>
      <c r="L188" s="25" t="s">
        <v>775</v>
      </c>
    </row>
    <row r="189" customFormat="false" ht="15" hidden="false" customHeight="false" outlineLevel="0" collapsed="false">
      <c r="A189" s="25" t="n">
        <v>2355479</v>
      </c>
      <c r="B189" s="25" t="s">
        <v>798</v>
      </c>
      <c r="C189" s="25" t="s">
        <v>799</v>
      </c>
      <c r="D189" s="26" t="n">
        <v>242</v>
      </c>
      <c r="E189" s="27" t="n">
        <v>6.61618463401957</v>
      </c>
      <c r="F189" s="27" t="n">
        <v>6.61618463401957</v>
      </c>
      <c r="G189" s="25" t="s">
        <v>773</v>
      </c>
      <c r="H189" s="25" t="s">
        <v>774</v>
      </c>
      <c r="I189" s="25" t="n">
        <f aca="false">IFERROR(IF(INDEX(Documents!$C$5:$C$657,MATCH(H189,Documents!$A$5:$A$657,0))="","",INDEX(Documents!$C$5:$C$657,MATCH(H189,Documents!$A$5:$A$657,0))),"")</f>
        <v>2008</v>
      </c>
      <c r="J189" s="25" t="str">
        <f aca="false">IFERROR(IF(INDEX(Documents!$D$5:$D$657,MATCH(H189,Documents!$A$5:$A$657,0))="","",INDEX(Documents!$D$5:$D$657,MATCH(H189,Documents!$A$5:$A$657,0))),"")</f>
        <v>Bioorg Med Chem Lett</v>
      </c>
      <c r="K189" s="25" t="str">
        <f aca="false">IFERROR(IF(INDEX(Documents!$G$5:$G$657,MATCH(H189,Documents!$A$5:$A$657,0))="","",INDEX(Documents!$G$5:$G$657,MATCH(H189,Documents!$A$5:$A$657,0))),"")</f>
        <v>10.1016/j.bmcl.2008.04.032</v>
      </c>
      <c r="L189" s="25" t="s">
        <v>775</v>
      </c>
    </row>
    <row r="190" customFormat="false" ht="15" hidden="false" customHeight="false" outlineLevel="0" collapsed="false">
      <c r="A190" s="25" t="n">
        <v>2355488</v>
      </c>
      <c r="B190" s="25" t="s">
        <v>800</v>
      </c>
      <c r="C190" s="25" t="s">
        <v>801</v>
      </c>
      <c r="D190" s="26" t="n">
        <v>5</v>
      </c>
      <c r="E190" s="27" t="n">
        <v>8.30102999566398</v>
      </c>
      <c r="F190" s="27" t="n">
        <v>8.30102999566398</v>
      </c>
      <c r="G190" s="25" t="s">
        <v>773</v>
      </c>
      <c r="H190" s="25" t="s">
        <v>774</v>
      </c>
      <c r="I190" s="25" t="n">
        <f aca="false">IFERROR(IF(INDEX(Documents!$C$5:$C$657,MATCH(H190,Documents!$A$5:$A$657,0))="","",INDEX(Documents!$C$5:$C$657,MATCH(H190,Documents!$A$5:$A$657,0))),"")</f>
        <v>2008</v>
      </c>
      <c r="J190" s="25" t="str">
        <f aca="false">IFERROR(IF(INDEX(Documents!$D$5:$D$657,MATCH(H190,Documents!$A$5:$A$657,0))="","",INDEX(Documents!$D$5:$D$657,MATCH(H190,Documents!$A$5:$A$657,0))),"")</f>
        <v>Bioorg Med Chem Lett</v>
      </c>
      <c r="K190" s="25" t="str">
        <f aca="false">IFERROR(IF(INDEX(Documents!$G$5:$G$657,MATCH(H190,Documents!$A$5:$A$657,0))="","",INDEX(Documents!$G$5:$G$657,MATCH(H190,Documents!$A$5:$A$657,0))),"")</f>
        <v>10.1016/j.bmcl.2008.04.032</v>
      </c>
      <c r="L190" s="25" t="s">
        <v>775</v>
      </c>
    </row>
    <row r="191" customFormat="false" ht="15" hidden="false" customHeight="false" outlineLevel="0" collapsed="false">
      <c r="A191" s="25" t="n">
        <v>15612661</v>
      </c>
      <c r="B191" s="25" t="s">
        <v>802</v>
      </c>
      <c r="C191" s="25" t="s">
        <v>803</v>
      </c>
      <c r="D191" s="26" t="n">
        <v>2700</v>
      </c>
      <c r="E191" s="27" t="n">
        <v>5.56863623584101</v>
      </c>
      <c r="F191" s="27" t="n">
        <v>5.56863623584101</v>
      </c>
      <c r="G191" s="25" t="s">
        <v>804</v>
      </c>
      <c r="H191" s="25" t="s">
        <v>805</v>
      </c>
      <c r="I191" s="25" t="n">
        <f aca="false">IFERROR(IF(INDEX(Documents!$C$5:$C$657,MATCH(H191,Documents!$A$5:$A$657,0))="","",INDEX(Documents!$C$5:$C$657,MATCH(H191,Documents!$A$5:$A$657,0))),"")</f>
        <v>2014</v>
      </c>
      <c r="J191" s="25" t="str">
        <f aca="false">IFERROR(IF(INDEX(Documents!$D$5:$D$657,MATCH(H191,Documents!$A$5:$A$657,0))="","",INDEX(Documents!$D$5:$D$657,MATCH(H191,Documents!$A$5:$A$657,0))),"")</f>
        <v>Bioorg Med Chem Lett</v>
      </c>
      <c r="K191" s="25" t="str">
        <f aca="false">IFERROR(IF(INDEX(Documents!$G$5:$G$657,MATCH(H191,Documents!$A$5:$A$657,0))="","",INDEX(Documents!$G$5:$G$657,MATCH(H191,Documents!$A$5:$A$657,0))),"")</f>
        <v>10.1016/j.bmcl.2014.11.003</v>
      </c>
      <c r="L191" s="25" t="s">
        <v>806</v>
      </c>
    </row>
    <row r="192" customFormat="false" ht="15" hidden="false" customHeight="false" outlineLevel="0" collapsed="false">
      <c r="A192" s="25" t="n">
        <v>15612658</v>
      </c>
      <c r="B192" s="25" t="s">
        <v>807</v>
      </c>
      <c r="C192" s="25" t="s">
        <v>808</v>
      </c>
      <c r="D192" s="26" t="n">
        <v>49.7</v>
      </c>
      <c r="E192" s="27" t="n">
        <v>7.30364361126667</v>
      </c>
      <c r="F192" s="27" t="n">
        <v>7.30364361126667</v>
      </c>
      <c r="G192" s="25" t="s">
        <v>804</v>
      </c>
      <c r="H192" s="25" t="s">
        <v>805</v>
      </c>
      <c r="I192" s="25" t="n">
        <f aca="false">IFERROR(IF(INDEX(Documents!$C$5:$C$657,MATCH(H192,Documents!$A$5:$A$657,0))="","",INDEX(Documents!$C$5:$C$657,MATCH(H192,Documents!$A$5:$A$657,0))),"")</f>
        <v>2014</v>
      </c>
      <c r="J192" s="25" t="str">
        <f aca="false">IFERROR(IF(INDEX(Documents!$D$5:$D$657,MATCH(H192,Documents!$A$5:$A$657,0))="","",INDEX(Documents!$D$5:$D$657,MATCH(H192,Documents!$A$5:$A$657,0))),"")</f>
        <v>Bioorg Med Chem Lett</v>
      </c>
      <c r="K192" s="25" t="str">
        <f aca="false">IFERROR(IF(INDEX(Documents!$G$5:$G$657,MATCH(H192,Documents!$A$5:$A$657,0))="","",INDEX(Documents!$G$5:$G$657,MATCH(H192,Documents!$A$5:$A$657,0))),"")</f>
        <v>10.1016/j.bmcl.2014.11.003</v>
      </c>
      <c r="L192" s="25" t="s">
        <v>806</v>
      </c>
    </row>
    <row r="193" customFormat="false" ht="15" hidden="false" customHeight="false" outlineLevel="0" collapsed="false">
      <c r="A193" s="25" t="n">
        <v>15612657</v>
      </c>
      <c r="B193" s="25" t="s">
        <v>809</v>
      </c>
      <c r="C193" s="25" t="s">
        <v>810</v>
      </c>
      <c r="D193" s="26" t="n">
        <v>177</v>
      </c>
      <c r="E193" s="27" t="n">
        <v>6.75202673363819</v>
      </c>
      <c r="F193" s="27" t="n">
        <v>6.75202673363819</v>
      </c>
      <c r="G193" s="25" t="s">
        <v>804</v>
      </c>
      <c r="H193" s="25" t="s">
        <v>805</v>
      </c>
      <c r="I193" s="25" t="n">
        <f aca="false">IFERROR(IF(INDEX(Documents!$C$5:$C$657,MATCH(H193,Documents!$A$5:$A$657,0))="","",INDEX(Documents!$C$5:$C$657,MATCH(H193,Documents!$A$5:$A$657,0))),"")</f>
        <v>2014</v>
      </c>
      <c r="J193" s="25" t="str">
        <f aca="false">IFERROR(IF(INDEX(Documents!$D$5:$D$657,MATCH(H193,Documents!$A$5:$A$657,0))="","",INDEX(Documents!$D$5:$D$657,MATCH(H193,Documents!$A$5:$A$657,0))),"")</f>
        <v>Bioorg Med Chem Lett</v>
      </c>
      <c r="K193" s="25" t="str">
        <f aca="false">IFERROR(IF(INDEX(Documents!$G$5:$G$657,MATCH(H193,Documents!$A$5:$A$657,0))="","",INDEX(Documents!$G$5:$G$657,MATCH(H193,Documents!$A$5:$A$657,0))),"")</f>
        <v>10.1016/j.bmcl.2014.11.003</v>
      </c>
      <c r="L193" s="25" t="s">
        <v>806</v>
      </c>
    </row>
    <row r="194" customFormat="false" ht="15" hidden="false" customHeight="false" outlineLevel="0" collapsed="false">
      <c r="A194" s="25" t="n">
        <v>27788288</v>
      </c>
      <c r="B194" s="25" t="s">
        <v>811</v>
      </c>
      <c r="C194" s="25" t="s">
        <v>812</v>
      </c>
      <c r="D194" s="26" t="n">
        <v>95</v>
      </c>
      <c r="E194" s="27" t="n">
        <v>7.02227639471115</v>
      </c>
      <c r="F194" s="27" t="n">
        <v>7.02227639471115</v>
      </c>
      <c r="G194" s="25" t="s">
        <v>310</v>
      </c>
      <c r="H194" s="25" t="s">
        <v>311</v>
      </c>
      <c r="I194" s="25" t="n">
        <f aca="false">IFERROR(IF(INDEX(Documents!$C$5:$C$657,MATCH(H194,Documents!$A$5:$A$657,0))="","",INDEX(Documents!$C$5:$C$657,MATCH(H194,Documents!$A$5:$A$657,0))),"")</f>
        <v>2019</v>
      </c>
      <c r="J194" s="25" t="str">
        <f aca="false">IFERROR(IF(INDEX(Documents!$D$5:$D$657,MATCH(H194,Documents!$A$5:$A$657,0))="","",INDEX(Documents!$D$5:$D$657,MATCH(H194,Documents!$A$5:$A$657,0))),"")</f>
        <v/>
      </c>
      <c r="K194" s="25" t="str">
        <f aca="false">IFERROR(IF(INDEX(Documents!$G$5:$G$657,MATCH(H194,Documents!$A$5:$A$657,0))="","",INDEX(Documents!$G$5:$G$657,MATCH(H194,Documents!$A$5:$A$657,0))),"")</f>
        <v/>
      </c>
      <c r="L194" s="25" t="s">
        <v>312</v>
      </c>
    </row>
    <row r="195" customFormat="false" ht="15" hidden="false" customHeight="false" outlineLevel="0" collapsed="false">
      <c r="A195" s="25" t="n">
        <v>27788294</v>
      </c>
      <c r="B195" s="25" t="s">
        <v>813</v>
      </c>
      <c r="C195" s="25" t="s">
        <v>814</v>
      </c>
      <c r="D195" s="26" t="n">
        <v>541</v>
      </c>
      <c r="E195" s="27" t="n">
        <v>6.26680273489343</v>
      </c>
      <c r="F195" s="27" t="n">
        <v>6.26680273489343</v>
      </c>
      <c r="G195" s="25" t="s">
        <v>310</v>
      </c>
      <c r="H195" s="25" t="s">
        <v>311</v>
      </c>
      <c r="I195" s="25" t="n">
        <f aca="false">IFERROR(IF(INDEX(Documents!$C$5:$C$657,MATCH(H195,Documents!$A$5:$A$657,0))="","",INDEX(Documents!$C$5:$C$657,MATCH(H195,Documents!$A$5:$A$657,0))),"")</f>
        <v>2019</v>
      </c>
      <c r="J195" s="25" t="str">
        <f aca="false">IFERROR(IF(INDEX(Documents!$D$5:$D$657,MATCH(H195,Documents!$A$5:$A$657,0))="","",INDEX(Documents!$D$5:$D$657,MATCH(H195,Documents!$A$5:$A$657,0))),"")</f>
        <v/>
      </c>
      <c r="K195" s="25" t="str">
        <f aca="false">IFERROR(IF(INDEX(Documents!$G$5:$G$657,MATCH(H195,Documents!$A$5:$A$657,0))="","",INDEX(Documents!$G$5:$G$657,MATCH(H195,Documents!$A$5:$A$657,0))),"")</f>
        <v/>
      </c>
      <c r="L195" s="25" t="s">
        <v>312</v>
      </c>
    </row>
    <row r="196" customFormat="false" ht="15" hidden="false" customHeight="false" outlineLevel="0" collapsed="false">
      <c r="A196" s="25" t="n">
        <v>15686006</v>
      </c>
      <c r="B196" s="25" t="s">
        <v>815</v>
      </c>
      <c r="C196" s="25" t="s">
        <v>816</v>
      </c>
      <c r="D196" s="26" t="n">
        <v>3166</v>
      </c>
      <c r="E196" s="27" t="n">
        <v>5.49948908947366</v>
      </c>
      <c r="F196" s="27" t="n">
        <v>5.49948908947366</v>
      </c>
      <c r="G196" s="25" t="s">
        <v>817</v>
      </c>
      <c r="H196" s="25" t="s">
        <v>818</v>
      </c>
      <c r="I196" s="25" t="n">
        <f aca="false">IFERROR(IF(INDEX(Documents!$C$5:$C$657,MATCH(H196,Documents!$A$5:$A$657,0))="","",INDEX(Documents!$C$5:$C$657,MATCH(H196,Documents!$A$5:$A$657,0))),"")</f>
        <v>2015</v>
      </c>
      <c r="J196" s="25" t="str">
        <f aca="false">IFERROR(IF(INDEX(Documents!$D$5:$D$657,MATCH(H196,Documents!$A$5:$A$657,0))="","",INDEX(Documents!$D$5:$D$657,MATCH(H196,Documents!$A$5:$A$657,0))),"")</f>
        <v>Bioorg Med Chem</v>
      </c>
      <c r="K196" s="25" t="str">
        <f aca="false">IFERROR(IF(INDEX(Documents!$G$5:$G$657,MATCH(H196,Documents!$A$5:$A$657,0))="","",INDEX(Documents!$G$5:$G$657,MATCH(H196,Documents!$A$5:$A$657,0))),"")</f>
        <v>10.1016/j.bmc.2015.07.057</v>
      </c>
      <c r="L196" s="25" t="s">
        <v>819</v>
      </c>
    </row>
    <row r="197" customFormat="false" ht="15" hidden="false" customHeight="false" outlineLevel="0" collapsed="false">
      <c r="A197" s="25" t="n">
        <v>16340946</v>
      </c>
      <c r="B197" s="25" t="s">
        <v>820</v>
      </c>
      <c r="C197" s="25" t="s">
        <v>821</v>
      </c>
      <c r="D197" s="26" t="n">
        <v>0.5</v>
      </c>
      <c r="E197" s="27" t="n">
        <v>9.30102999566398</v>
      </c>
      <c r="F197" s="27" t="n">
        <v>9.30102999566398</v>
      </c>
      <c r="G197" s="25" t="s">
        <v>326</v>
      </c>
      <c r="H197" s="25" t="s">
        <v>327</v>
      </c>
      <c r="I197" s="25" t="n">
        <f aca="false">IFERROR(IF(INDEX(Documents!$C$5:$C$657,MATCH(H197,Documents!$A$5:$A$657,0))="","",INDEX(Documents!$C$5:$C$657,MATCH(H197,Documents!$A$5:$A$657,0))),"")</f>
        <v>2014</v>
      </c>
      <c r="J197" s="25" t="str">
        <f aca="false">IFERROR(IF(INDEX(Documents!$D$5:$D$657,MATCH(H197,Documents!$A$5:$A$657,0))="","",INDEX(Documents!$D$5:$D$657,MATCH(H197,Documents!$A$5:$A$657,0))),"")</f>
        <v/>
      </c>
      <c r="K197" s="25" t="str">
        <f aca="false">IFERROR(IF(INDEX(Documents!$G$5:$G$657,MATCH(H197,Documents!$A$5:$A$657,0))="","",INDEX(Documents!$G$5:$G$657,MATCH(H197,Documents!$A$5:$A$657,0))),"")</f>
        <v/>
      </c>
      <c r="L197" s="25" t="s">
        <v>328</v>
      </c>
    </row>
    <row r="198" customFormat="false" ht="15" hidden="false" customHeight="false" outlineLevel="0" collapsed="false">
      <c r="A198" s="25" t="n">
        <v>16332225</v>
      </c>
      <c r="B198" s="25" t="s">
        <v>822</v>
      </c>
      <c r="C198" s="25" t="s">
        <v>823</v>
      </c>
      <c r="D198" s="26" t="n">
        <v>53</v>
      </c>
      <c r="E198" s="27" t="n">
        <v>7.27572413039921</v>
      </c>
      <c r="F198" s="27" t="n">
        <v>7.27572413039921</v>
      </c>
      <c r="G198" s="25" t="s">
        <v>273</v>
      </c>
      <c r="H198" s="25" t="s">
        <v>274</v>
      </c>
      <c r="I198" s="25" t="n">
        <f aca="false">IFERROR(IF(INDEX(Documents!$C$5:$C$657,MATCH(H198,Documents!$A$5:$A$657,0))="","",INDEX(Documents!$C$5:$C$657,MATCH(H198,Documents!$A$5:$A$657,0))),"")</f>
        <v>2014</v>
      </c>
      <c r="J198" s="25" t="str">
        <f aca="false">IFERROR(IF(INDEX(Documents!$D$5:$D$657,MATCH(H198,Documents!$A$5:$A$657,0))="","",INDEX(Documents!$D$5:$D$657,MATCH(H198,Documents!$A$5:$A$657,0))),"")</f>
        <v/>
      </c>
      <c r="K198" s="25" t="str">
        <f aca="false">IFERROR(IF(INDEX(Documents!$G$5:$G$657,MATCH(H198,Documents!$A$5:$A$657,0))="","",INDEX(Documents!$G$5:$G$657,MATCH(H198,Documents!$A$5:$A$657,0))),"")</f>
        <v/>
      </c>
      <c r="L198" s="25" t="s">
        <v>275</v>
      </c>
    </row>
    <row r="199" customFormat="false" ht="15" hidden="false" customHeight="false" outlineLevel="0" collapsed="false">
      <c r="A199" s="25" t="n">
        <v>16279445</v>
      </c>
      <c r="B199" s="25" t="s">
        <v>824</v>
      </c>
      <c r="C199" s="25" t="s">
        <v>825</v>
      </c>
      <c r="D199" s="26" t="n">
        <v>7.4</v>
      </c>
      <c r="E199" s="27" t="n">
        <v>8.13076828026902</v>
      </c>
      <c r="F199" s="27" t="n">
        <v>8.13076828026902</v>
      </c>
      <c r="G199" s="25" t="s">
        <v>326</v>
      </c>
      <c r="H199" s="25" t="s">
        <v>327</v>
      </c>
      <c r="I199" s="25" t="n">
        <f aca="false">IFERROR(IF(INDEX(Documents!$C$5:$C$657,MATCH(H199,Documents!$A$5:$A$657,0))="","",INDEX(Documents!$C$5:$C$657,MATCH(H199,Documents!$A$5:$A$657,0))),"")</f>
        <v>2014</v>
      </c>
      <c r="J199" s="25" t="str">
        <f aca="false">IFERROR(IF(INDEX(Documents!$D$5:$D$657,MATCH(H199,Documents!$A$5:$A$657,0))="","",INDEX(Documents!$D$5:$D$657,MATCH(H199,Documents!$A$5:$A$657,0))),"")</f>
        <v/>
      </c>
      <c r="K199" s="25" t="str">
        <f aca="false">IFERROR(IF(INDEX(Documents!$G$5:$G$657,MATCH(H199,Documents!$A$5:$A$657,0))="","",INDEX(Documents!$G$5:$G$657,MATCH(H199,Documents!$A$5:$A$657,0))),"")</f>
        <v/>
      </c>
      <c r="L199" s="25" t="s">
        <v>328</v>
      </c>
    </row>
    <row r="200" customFormat="false" ht="15" hidden="false" customHeight="false" outlineLevel="0" collapsed="false">
      <c r="A200" s="25" t="n">
        <v>16297980</v>
      </c>
      <c r="B200" s="25" t="s">
        <v>826</v>
      </c>
      <c r="C200" s="25" t="s">
        <v>827</v>
      </c>
      <c r="D200" s="26" t="n">
        <v>34</v>
      </c>
      <c r="E200" s="27" t="n">
        <v>7.46852108295775</v>
      </c>
      <c r="F200" s="27" t="n">
        <v>7.46852108295775</v>
      </c>
      <c r="G200" s="25" t="s">
        <v>326</v>
      </c>
      <c r="H200" s="25" t="s">
        <v>327</v>
      </c>
      <c r="I200" s="25" t="n">
        <f aca="false">IFERROR(IF(INDEX(Documents!$C$5:$C$657,MATCH(H200,Documents!$A$5:$A$657,0))="","",INDEX(Documents!$C$5:$C$657,MATCH(H200,Documents!$A$5:$A$657,0))),"")</f>
        <v>2014</v>
      </c>
      <c r="J200" s="25" t="str">
        <f aca="false">IFERROR(IF(INDEX(Documents!$D$5:$D$657,MATCH(H200,Documents!$A$5:$A$657,0))="","",INDEX(Documents!$D$5:$D$657,MATCH(H200,Documents!$A$5:$A$657,0))),"")</f>
        <v/>
      </c>
      <c r="K200" s="25" t="str">
        <f aca="false">IFERROR(IF(INDEX(Documents!$G$5:$G$657,MATCH(H200,Documents!$A$5:$A$657,0))="","",INDEX(Documents!$G$5:$G$657,MATCH(H200,Documents!$A$5:$A$657,0))),"")</f>
        <v/>
      </c>
      <c r="L200" s="25" t="s">
        <v>328</v>
      </c>
    </row>
    <row r="201" customFormat="false" ht="15" hidden="false" customHeight="false" outlineLevel="0" collapsed="false">
      <c r="A201" s="25" t="n">
        <v>16338317</v>
      </c>
      <c r="B201" s="25" t="s">
        <v>828</v>
      </c>
      <c r="C201" s="25" t="s">
        <v>829</v>
      </c>
      <c r="D201" s="26" t="n">
        <v>25</v>
      </c>
      <c r="E201" s="27" t="n">
        <v>7.60205999132796</v>
      </c>
      <c r="F201" s="27" t="n">
        <v>7.60205999132796</v>
      </c>
      <c r="G201" s="25" t="s">
        <v>326</v>
      </c>
      <c r="H201" s="25" t="s">
        <v>327</v>
      </c>
      <c r="I201" s="25" t="n">
        <f aca="false">IFERROR(IF(INDEX(Documents!$C$5:$C$657,MATCH(H201,Documents!$A$5:$A$657,0))="","",INDEX(Documents!$C$5:$C$657,MATCH(H201,Documents!$A$5:$A$657,0))),"")</f>
        <v>2014</v>
      </c>
      <c r="J201" s="25" t="str">
        <f aca="false">IFERROR(IF(INDEX(Documents!$D$5:$D$657,MATCH(H201,Documents!$A$5:$A$657,0))="","",INDEX(Documents!$D$5:$D$657,MATCH(H201,Documents!$A$5:$A$657,0))),"")</f>
        <v/>
      </c>
      <c r="K201" s="25" t="str">
        <f aca="false">IFERROR(IF(INDEX(Documents!$G$5:$G$657,MATCH(H201,Documents!$A$5:$A$657,0))="","",INDEX(Documents!$G$5:$G$657,MATCH(H201,Documents!$A$5:$A$657,0))),"")</f>
        <v/>
      </c>
      <c r="L201" s="25" t="s">
        <v>328</v>
      </c>
    </row>
    <row r="202" customFormat="false" ht="15" hidden="false" customHeight="false" outlineLevel="0" collapsed="false">
      <c r="A202" s="25" t="n">
        <v>16301561</v>
      </c>
      <c r="B202" s="25" t="s">
        <v>830</v>
      </c>
      <c r="C202" s="25" t="s">
        <v>831</v>
      </c>
      <c r="D202" s="26" t="n">
        <v>34</v>
      </c>
      <c r="E202" s="27" t="n">
        <v>7.46852108295775</v>
      </c>
      <c r="F202" s="27" t="n">
        <v>7.46852108295775</v>
      </c>
      <c r="G202" s="25" t="s">
        <v>326</v>
      </c>
      <c r="H202" s="25" t="s">
        <v>327</v>
      </c>
      <c r="I202" s="25" t="n">
        <f aca="false">IFERROR(IF(INDEX(Documents!$C$5:$C$657,MATCH(H202,Documents!$A$5:$A$657,0))="","",INDEX(Documents!$C$5:$C$657,MATCH(H202,Documents!$A$5:$A$657,0))),"")</f>
        <v>2014</v>
      </c>
      <c r="J202" s="25" t="str">
        <f aca="false">IFERROR(IF(INDEX(Documents!$D$5:$D$657,MATCH(H202,Documents!$A$5:$A$657,0))="","",INDEX(Documents!$D$5:$D$657,MATCH(H202,Documents!$A$5:$A$657,0))),"")</f>
        <v/>
      </c>
      <c r="K202" s="25" t="str">
        <f aca="false">IFERROR(IF(INDEX(Documents!$G$5:$G$657,MATCH(H202,Documents!$A$5:$A$657,0))="","",INDEX(Documents!$G$5:$G$657,MATCH(H202,Documents!$A$5:$A$657,0))),"")</f>
        <v/>
      </c>
      <c r="L202" s="25" t="s">
        <v>328</v>
      </c>
    </row>
    <row r="203" customFormat="false" ht="15" hidden="false" customHeight="false" outlineLevel="0" collapsed="false">
      <c r="A203" s="25" t="n">
        <v>16294164</v>
      </c>
      <c r="B203" s="25" t="s">
        <v>832</v>
      </c>
      <c r="C203" s="25" t="s">
        <v>833</v>
      </c>
      <c r="D203" s="26" t="n">
        <v>0.7</v>
      </c>
      <c r="E203" s="27" t="n">
        <v>9.15490195998575</v>
      </c>
      <c r="F203" s="27" t="n">
        <v>9.15490195998575</v>
      </c>
      <c r="G203" s="25" t="s">
        <v>326</v>
      </c>
      <c r="H203" s="25" t="s">
        <v>327</v>
      </c>
      <c r="I203" s="25" t="n">
        <f aca="false">IFERROR(IF(INDEX(Documents!$C$5:$C$657,MATCH(H203,Documents!$A$5:$A$657,0))="","",INDEX(Documents!$C$5:$C$657,MATCH(H203,Documents!$A$5:$A$657,0))),"")</f>
        <v>2014</v>
      </c>
      <c r="J203" s="25" t="str">
        <f aca="false">IFERROR(IF(INDEX(Documents!$D$5:$D$657,MATCH(H203,Documents!$A$5:$A$657,0))="","",INDEX(Documents!$D$5:$D$657,MATCH(H203,Documents!$A$5:$A$657,0))),"")</f>
        <v/>
      </c>
      <c r="K203" s="25" t="str">
        <f aca="false">IFERROR(IF(INDEX(Documents!$G$5:$G$657,MATCH(H203,Documents!$A$5:$A$657,0))="","",INDEX(Documents!$G$5:$G$657,MATCH(H203,Documents!$A$5:$A$657,0))),"")</f>
        <v/>
      </c>
      <c r="L203" s="25" t="s">
        <v>328</v>
      </c>
    </row>
    <row r="204" customFormat="false" ht="15" hidden="false" customHeight="false" outlineLevel="0" collapsed="false">
      <c r="A204" s="25" t="n">
        <v>16334289</v>
      </c>
      <c r="B204" s="25" t="s">
        <v>834</v>
      </c>
      <c r="C204" s="25" t="s">
        <v>835</v>
      </c>
      <c r="D204" s="26" t="n">
        <v>4.6</v>
      </c>
      <c r="E204" s="27" t="n">
        <v>8.33724216831843</v>
      </c>
      <c r="F204" s="27" t="n">
        <v>8.33724216831843</v>
      </c>
      <c r="G204" s="25" t="s">
        <v>326</v>
      </c>
      <c r="H204" s="25" t="s">
        <v>327</v>
      </c>
      <c r="I204" s="25" t="n">
        <f aca="false">IFERROR(IF(INDEX(Documents!$C$5:$C$657,MATCH(H204,Documents!$A$5:$A$657,0))="","",INDEX(Documents!$C$5:$C$657,MATCH(H204,Documents!$A$5:$A$657,0))),"")</f>
        <v>2014</v>
      </c>
      <c r="J204" s="25" t="str">
        <f aca="false">IFERROR(IF(INDEX(Documents!$D$5:$D$657,MATCH(H204,Documents!$A$5:$A$657,0))="","",INDEX(Documents!$D$5:$D$657,MATCH(H204,Documents!$A$5:$A$657,0))),"")</f>
        <v/>
      </c>
      <c r="K204" s="25" t="str">
        <f aca="false">IFERROR(IF(INDEX(Documents!$G$5:$G$657,MATCH(H204,Documents!$A$5:$A$657,0))="","",INDEX(Documents!$G$5:$G$657,MATCH(H204,Documents!$A$5:$A$657,0))),"")</f>
        <v/>
      </c>
      <c r="L204" s="25" t="s">
        <v>328</v>
      </c>
    </row>
    <row r="205" customFormat="false" ht="15" hidden="false" customHeight="false" outlineLevel="0" collapsed="false">
      <c r="A205" s="25" t="n">
        <v>16329809</v>
      </c>
      <c r="B205" s="25" t="s">
        <v>836</v>
      </c>
      <c r="C205" s="25" t="s">
        <v>837</v>
      </c>
      <c r="D205" s="26" t="n">
        <v>16</v>
      </c>
      <c r="E205" s="27" t="n">
        <v>7.79588001734408</v>
      </c>
      <c r="F205" s="27" t="n">
        <v>7.79588001734408</v>
      </c>
      <c r="G205" s="25" t="s">
        <v>326</v>
      </c>
      <c r="H205" s="25" t="s">
        <v>327</v>
      </c>
      <c r="I205" s="25" t="n">
        <f aca="false">IFERROR(IF(INDEX(Documents!$C$5:$C$657,MATCH(H205,Documents!$A$5:$A$657,0))="","",INDEX(Documents!$C$5:$C$657,MATCH(H205,Documents!$A$5:$A$657,0))),"")</f>
        <v>2014</v>
      </c>
      <c r="J205" s="25" t="str">
        <f aca="false">IFERROR(IF(INDEX(Documents!$D$5:$D$657,MATCH(H205,Documents!$A$5:$A$657,0))="","",INDEX(Documents!$D$5:$D$657,MATCH(H205,Documents!$A$5:$A$657,0))),"")</f>
        <v/>
      </c>
      <c r="K205" s="25" t="str">
        <f aca="false">IFERROR(IF(INDEX(Documents!$G$5:$G$657,MATCH(H205,Documents!$A$5:$A$657,0))="","",INDEX(Documents!$G$5:$G$657,MATCH(H205,Documents!$A$5:$A$657,0))),"")</f>
        <v/>
      </c>
      <c r="L205" s="25" t="s">
        <v>328</v>
      </c>
    </row>
    <row r="206" customFormat="false" ht="15" hidden="false" customHeight="false" outlineLevel="0" collapsed="false">
      <c r="A206" s="25" t="n">
        <v>16342813</v>
      </c>
      <c r="B206" s="25" t="s">
        <v>838</v>
      </c>
      <c r="C206" s="25" t="s">
        <v>839</v>
      </c>
      <c r="D206" s="26" t="n">
        <v>0.5</v>
      </c>
      <c r="E206" s="27" t="n">
        <v>9.30102999566398</v>
      </c>
      <c r="F206" s="27" t="n">
        <v>9.30102999566398</v>
      </c>
      <c r="G206" s="25" t="s">
        <v>326</v>
      </c>
      <c r="H206" s="25" t="s">
        <v>327</v>
      </c>
      <c r="I206" s="25" t="n">
        <f aca="false">IFERROR(IF(INDEX(Documents!$C$5:$C$657,MATCH(H206,Documents!$A$5:$A$657,0))="","",INDEX(Documents!$C$5:$C$657,MATCH(H206,Documents!$A$5:$A$657,0))),"")</f>
        <v>2014</v>
      </c>
      <c r="J206" s="25" t="str">
        <f aca="false">IFERROR(IF(INDEX(Documents!$D$5:$D$657,MATCH(H206,Documents!$A$5:$A$657,0))="","",INDEX(Documents!$D$5:$D$657,MATCH(H206,Documents!$A$5:$A$657,0))),"")</f>
        <v/>
      </c>
      <c r="K206" s="25" t="str">
        <f aca="false">IFERROR(IF(INDEX(Documents!$G$5:$G$657,MATCH(H206,Documents!$A$5:$A$657,0))="","",INDEX(Documents!$G$5:$G$657,MATCH(H206,Documents!$A$5:$A$657,0))),"")</f>
        <v/>
      </c>
      <c r="L206" s="25" t="s">
        <v>328</v>
      </c>
    </row>
    <row r="207" customFormat="false" ht="15" hidden="false" customHeight="false" outlineLevel="0" collapsed="false">
      <c r="A207" s="25" t="n">
        <v>16311566</v>
      </c>
      <c r="B207" s="25" t="s">
        <v>840</v>
      </c>
      <c r="C207" s="25" t="s">
        <v>841</v>
      </c>
      <c r="D207" s="26" t="n">
        <v>15</v>
      </c>
      <c r="E207" s="27" t="n">
        <v>7.82390874094432</v>
      </c>
      <c r="F207" s="27" t="n">
        <v>7.82390874094432</v>
      </c>
      <c r="G207" s="25" t="s">
        <v>326</v>
      </c>
      <c r="H207" s="25" t="s">
        <v>327</v>
      </c>
      <c r="I207" s="25" t="n">
        <f aca="false">IFERROR(IF(INDEX(Documents!$C$5:$C$657,MATCH(H207,Documents!$A$5:$A$657,0))="","",INDEX(Documents!$C$5:$C$657,MATCH(H207,Documents!$A$5:$A$657,0))),"")</f>
        <v>2014</v>
      </c>
      <c r="J207" s="25" t="str">
        <f aca="false">IFERROR(IF(INDEX(Documents!$D$5:$D$657,MATCH(H207,Documents!$A$5:$A$657,0))="","",INDEX(Documents!$D$5:$D$657,MATCH(H207,Documents!$A$5:$A$657,0))),"")</f>
        <v/>
      </c>
      <c r="K207" s="25" t="str">
        <f aca="false">IFERROR(IF(INDEX(Documents!$G$5:$G$657,MATCH(H207,Documents!$A$5:$A$657,0))="","",INDEX(Documents!$G$5:$G$657,MATCH(H207,Documents!$A$5:$A$657,0))),"")</f>
        <v/>
      </c>
      <c r="L207" s="25" t="s">
        <v>328</v>
      </c>
    </row>
    <row r="208" customFormat="false" ht="15" hidden="false" customHeight="false" outlineLevel="0" collapsed="false">
      <c r="A208" s="25" t="n">
        <v>16356426</v>
      </c>
      <c r="B208" s="25" t="s">
        <v>842</v>
      </c>
      <c r="C208" s="25" t="s">
        <v>843</v>
      </c>
      <c r="D208" s="26" t="n">
        <v>21</v>
      </c>
      <c r="E208" s="27" t="n">
        <v>7.67778070526608</v>
      </c>
      <c r="F208" s="27" t="n">
        <v>7.67778070526608</v>
      </c>
      <c r="G208" s="25" t="s">
        <v>326</v>
      </c>
      <c r="H208" s="25" t="s">
        <v>327</v>
      </c>
      <c r="I208" s="25" t="n">
        <f aca="false">IFERROR(IF(INDEX(Documents!$C$5:$C$657,MATCH(H208,Documents!$A$5:$A$657,0))="","",INDEX(Documents!$C$5:$C$657,MATCH(H208,Documents!$A$5:$A$657,0))),"")</f>
        <v>2014</v>
      </c>
      <c r="J208" s="25" t="str">
        <f aca="false">IFERROR(IF(INDEX(Documents!$D$5:$D$657,MATCH(H208,Documents!$A$5:$A$657,0))="","",INDEX(Documents!$D$5:$D$657,MATCH(H208,Documents!$A$5:$A$657,0))),"")</f>
        <v/>
      </c>
      <c r="K208" s="25" t="str">
        <f aca="false">IFERROR(IF(INDEX(Documents!$G$5:$G$657,MATCH(H208,Documents!$A$5:$A$657,0))="","",INDEX(Documents!$G$5:$G$657,MATCH(H208,Documents!$A$5:$A$657,0))),"")</f>
        <v/>
      </c>
      <c r="L208" s="25" t="s">
        <v>328</v>
      </c>
    </row>
    <row r="209" customFormat="false" ht="15" hidden="false" customHeight="false" outlineLevel="0" collapsed="false">
      <c r="A209" s="25" t="n">
        <v>16288620</v>
      </c>
      <c r="B209" s="25" t="s">
        <v>844</v>
      </c>
      <c r="C209" s="25" t="s">
        <v>845</v>
      </c>
      <c r="D209" s="26" t="n">
        <v>30</v>
      </c>
      <c r="E209" s="27" t="n">
        <v>7.52287874528034</v>
      </c>
      <c r="F209" s="27" t="n">
        <v>7.52287874528034</v>
      </c>
      <c r="G209" s="25" t="s">
        <v>326</v>
      </c>
      <c r="H209" s="25" t="s">
        <v>327</v>
      </c>
      <c r="I209" s="25" t="n">
        <f aca="false">IFERROR(IF(INDEX(Documents!$C$5:$C$657,MATCH(H209,Documents!$A$5:$A$657,0))="","",INDEX(Documents!$C$5:$C$657,MATCH(H209,Documents!$A$5:$A$657,0))),"")</f>
        <v>2014</v>
      </c>
      <c r="J209" s="25" t="str">
        <f aca="false">IFERROR(IF(INDEX(Documents!$D$5:$D$657,MATCH(H209,Documents!$A$5:$A$657,0))="","",INDEX(Documents!$D$5:$D$657,MATCH(H209,Documents!$A$5:$A$657,0))),"")</f>
        <v/>
      </c>
      <c r="K209" s="25" t="str">
        <f aca="false">IFERROR(IF(INDEX(Documents!$G$5:$G$657,MATCH(H209,Documents!$A$5:$A$657,0))="","",INDEX(Documents!$G$5:$G$657,MATCH(H209,Documents!$A$5:$A$657,0))),"")</f>
        <v/>
      </c>
      <c r="L209" s="25" t="s">
        <v>328</v>
      </c>
    </row>
    <row r="210" customFormat="false" ht="15" hidden="false" customHeight="false" outlineLevel="0" collapsed="false">
      <c r="A210" s="25" t="n">
        <v>16340109</v>
      </c>
      <c r="B210" s="25" t="s">
        <v>846</v>
      </c>
      <c r="C210" s="25" t="s">
        <v>847</v>
      </c>
      <c r="D210" s="26" t="n">
        <v>3</v>
      </c>
      <c r="E210" s="27" t="n">
        <v>8.52287874528034</v>
      </c>
      <c r="F210" s="27" t="n">
        <v>8.52287874528034</v>
      </c>
      <c r="G210" s="25" t="s">
        <v>326</v>
      </c>
      <c r="H210" s="25" t="s">
        <v>327</v>
      </c>
      <c r="I210" s="25" t="n">
        <f aca="false">IFERROR(IF(INDEX(Documents!$C$5:$C$657,MATCH(H210,Documents!$A$5:$A$657,0))="","",INDEX(Documents!$C$5:$C$657,MATCH(H210,Documents!$A$5:$A$657,0))),"")</f>
        <v>2014</v>
      </c>
      <c r="J210" s="25" t="str">
        <f aca="false">IFERROR(IF(INDEX(Documents!$D$5:$D$657,MATCH(H210,Documents!$A$5:$A$657,0))="","",INDEX(Documents!$D$5:$D$657,MATCH(H210,Documents!$A$5:$A$657,0))),"")</f>
        <v/>
      </c>
      <c r="K210" s="25" t="str">
        <f aca="false">IFERROR(IF(INDEX(Documents!$G$5:$G$657,MATCH(H210,Documents!$A$5:$A$657,0))="","",INDEX(Documents!$G$5:$G$657,MATCH(H210,Documents!$A$5:$A$657,0))),"")</f>
        <v/>
      </c>
      <c r="L210" s="25" t="s">
        <v>328</v>
      </c>
    </row>
    <row r="211" customFormat="false" ht="15" hidden="false" customHeight="false" outlineLevel="0" collapsed="false">
      <c r="A211" s="25" t="n">
        <v>16350346</v>
      </c>
      <c r="B211" s="25" t="s">
        <v>848</v>
      </c>
      <c r="C211" s="25" t="s">
        <v>849</v>
      </c>
      <c r="D211" s="26" t="n">
        <v>24</v>
      </c>
      <c r="E211" s="27" t="n">
        <v>7.61978875828839</v>
      </c>
      <c r="F211" s="27" t="n">
        <v>7.61978875828839</v>
      </c>
      <c r="G211" s="25" t="s">
        <v>326</v>
      </c>
      <c r="H211" s="25" t="s">
        <v>327</v>
      </c>
      <c r="I211" s="25" t="n">
        <f aca="false">IFERROR(IF(INDEX(Documents!$C$5:$C$657,MATCH(H211,Documents!$A$5:$A$657,0))="","",INDEX(Documents!$C$5:$C$657,MATCH(H211,Documents!$A$5:$A$657,0))),"")</f>
        <v>2014</v>
      </c>
      <c r="J211" s="25" t="str">
        <f aca="false">IFERROR(IF(INDEX(Documents!$D$5:$D$657,MATCH(H211,Documents!$A$5:$A$657,0))="","",INDEX(Documents!$D$5:$D$657,MATCH(H211,Documents!$A$5:$A$657,0))),"")</f>
        <v/>
      </c>
      <c r="K211" s="25" t="str">
        <f aca="false">IFERROR(IF(INDEX(Documents!$G$5:$G$657,MATCH(H211,Documents!$A$5:$A$657,0))="","",INDEX(Documents!$G$5:$G$657,MATCH(H211,Documents!$A$5:$A$657,0))),"")</f>
        <v/>
      </c>
      <c r="L211" s="25" t="s">
        <v>328</v>
      </c>
    </row>
    <row r="212" customFormat="false" ht="15" hidden="false" customHeight="false" outlineLevel="0" collapsed="false">
      <c r="A212" s="25" t="n">
        <v>16312308</v>
      </c>
      <c r="B212" s="25" t="s">
        <v>850</v>
      </c>
      <c r="C212" s="25" t="s">
        <v>851</v>
      </c>
      <c r="D212" s="26" t="n">
        <v>115</v>
      </c>
      <c r="E212" s="27" t="n">
        <v>6.93930215964639</v>
      </c>
      <c r="F212" s="27" t="n">
        <v>6.93930215964639</v>
      </c>
      <c r="G212" s="25" t="s">
        <v>326</v>
      </c>
      <c r="H212" s="25" t="s">
        <v>327</v>
      </c>
      <c r="I212" s="25" t="n">
        <f aca="false">IFERROR(IF(INDEX(Documents!$C$5:$C$657,MATCH(H212,Documents!$A$5:$A$657,0))="","",INDEX(Documents!$C$5:$C$657,MATCH(H212,Documents!$A$5:$A$657,0))),"")</f>
        <v>2014</v>
      </c>
      <c r="J212" s="25" t="str">
        <f aca="false">IFERROR(IF(INDEX(Documents!$D$5:$D$657,MATCH(H212,Documents!$A$5:$A$657,0))="","",INDEX(Documents!$D$5:$D$657,MATCH(H212,Documents!$A$5:$A$657,0))),"")</f>
        <v/>
      </c>
      <c r="K212" s="25" t="str">
        <f aca="false">IFERROR(IF(INDEX(Documents!$G$5:$G$657,MATCH(H212,Documents!$A$5:$A$657,0))="","",INDEX(Documents!$G$5:$G$657,MATCH(H212,Documents!$A$5:$A$657,0))),"")</f>
        <v/>
      </c>
      <c r="L212" s="25" t="s">
        <v>328</v>
      </c>
    </row>
    <row r="213" customFormat="false" ht="15" hidden="false" customHeight="false" outlineLevel="0" collapsed="false">
      <c r="A213" s="25" t="n">
        <v>16258167</v>
      </c>
      <c r="B213" s="25" t="s">
        <v>852</v>
      </c>
      <c r="C213" s="25" t="s">
        <v>853</v>
      </c>
      <c r="D213" s="26" t="n">
        <v>209</v>
      </c>
      <c r="E213" s="27" t="n">
        <v>6.67985371388895</v>
      </c>
      <c r="F213" s="27" t="n">
        <v>6.67985371388895</v>
      </c>
      <c r="G213" s="25" t="s">
        <v>326</v>
      </c>
      <c r="H213" s="25" t="s">
        <v>327</v>
      </c>
      <c r="I213" s="25" t="n">
        <f aca="false">IFERROR(IF(INDEX(Documents!$C$5:$C$657,MATCH(H213,Documents!$A$5:$A$657,0))="","",INDEX(Documents!$C$5:$C$657,MATCH(H213,Documents!$A$5:$A$657,0))),"")</f>
        <v>2014</v>
      </c>
      <c r="J213" s="25" t="str">
        <f aca="false">IFERROR(IF(INDEX(Documents!$D$5:$D$657,MATCH(H213,Documents!$A$5:$A$657,0))="","",INDEX(Documents!$D$5:$D$657,MATCH(H213,Documents!$A$5:$A$657,0))),"")</f>
        <v/>
      </c>
      <c r="K213" s="25" t="str">
        <f aca="false">IFERROR(IF(INDEX(Documents!$G$5:$G$657,MATCH(H213,Documents!$A$5:$A$657,0))="","",INDEX(Documents!$G$5:$G$657,MATCH(H213,Documents!$A$5:$A$657,0))),"")</f>
        <v/>
      </c>
      <c r="L213" s="25" t="s">
        <v>328</v>
      </c>
    </row>
    <row r="214" customFormat="false" ht="15" hidden="false" customHeight="false" outlineLevel="0" collapsed="false">
      <c r="A214" s="25" t="n">
        <v>16317393</v>
      </c>
      <c r="B214" s="25" t="s">
        <v>854</v>
      </c>
      <c r="C214" s="25" t="s">
        <v>855</v>
      </c>
      <c r="D214" s="26" t="n">
        <v>6</v>
      </c>
      <c r="E214" s="27" t="n">
        <v>8.22184874961636</v>
      </c>
      <c r="F214" s="27" t="n">
        <v>8.22184874961636</v>
      </c>
      <c r="G214" s="25" t="s">
        <v>326</v>
      </c>
      <c r="H214" s="25" t="s">
        <v>327</v>
      </c>
      <c r="I214" s="25" t="n">
        <f aca="false">IFERROR(IF(INDEX(Documents!$C$5:$C$657,MATCH(H214,Documents!$A$5:$A$657,0))="","",INDEX(Documents!$C$5:$C$657,MATCH(H214,Documents!$A$5:$A$657,0))),"")</f>
        <v>2014</v>
      </c>
      <c r="J214" s="25" t="str">
        <f aca="false">IFERROR(IF(INDEX(Documents!$D$5:$D$657,MATCH(H214,Documents!$A$5:$A$657,0))="","",INDEX(Documents!$D$5:$D$657,MATCH(H214,Documents!$A$5:$A$657,0))),"")</f>
        <v/>
      </c>
      <c r="K214" s="25" t="str">
        <f aca="false">IFERROR(IF(INDEX(Documents!$G$5:$G$657,MATCH(H214,Documents!$A$5:$A$657,0))="","",INDEX(Documents!$G$5:$G$657,MATCH(H214,Documents!$A$5:$A$657,0))),"")</f>
        <v/>
      </c>
      <c r="L214" s="25" t="s">
        <v>328</v>
      </c>
    </row>
    <row r="215" customFormat="false" ht="15" hidden="false" customHeight="false" outlineLevel="0" collapsed="false">
      <c r="A215" s="25" t="n">
        <v>16276174</v>
      </c>
      <c r="B215" s="25" t="s">
        <v>856</v>
      </c>
      <c r="C215" s="25" t="s">
        <v>857</v>
      </c>
      <c r="D215" s="26" t="n">
        <v>20</v>
      </c>
      <c r="E215" s="27" t="n">
        <v>7.69897000433602</v>
      </c>
      <c r="F215" s="27" t="n">
        <v>7.69897000433602</v>
      </c>
      <c r="G215" s="25" t="s">
        <v>326</v>
      </c>
      <c r="H215" s="25" t="s">
        <v>327</v>
      </c>
      <c r="I215" s="25" t="n">
        <f aca="false">IFERROR(IF(INDEX(Documents!$C$5:$C$657,MATCH(H215,Documents!$A$5:$A$657,0))="","",INDEX(Documents!$C$5:$C$657,MATCH(H215,Documents!$A$5:$A$657,0))),"")</f>
        <v>2014</v>
      </c>
      <c r="J215" s="25" t="str">
        <f aca="false">IFERROR(IF(INDEX(Documents!$D$5:$D$657,MATCH(H215,Documents!$A$5:$A$657,0))="","",INDEX(Documents!$D$5:$D$657,MATCH(H215,Documents!$A$5:$A$657,0))),"")</f>
        <v/>
      </c>
      <c r="K215" s="25" t="str">
        <f aca="false">IFERROR(IF(INDEX(Documents!$G$5:$G$657,MATCH(H215,Documents!$A$5:$A$657,0))="","",INDEX(Documents!$G$5:$G$657,MATCH(H215,Documents!$A$5:$A$657,0))),"")</f>
        <v/>
      </c>
      <c r="L215" s="25" t="s">
        <v>328</v>
      </c>
    </row>
    <row r="216" customFormat="false" ht="15" hidden="false" customHeight="false" outlineLevel="0" collapsed="false">
      <c r="A216" s="25" t="n">
        <v>16352397</v>
      </c>
      <c r="B216" s="25" t="s">
        <v>858</v>
      </c>
      <c r="C216" s="25" t="s">
        <v>859</v>
      </c>
      <c r="D216" s="26" t="n">
        <v>13</v>
      </c>
      <c r="E216" s="27" t="n">
        <v>7.88605664769316</v>
      </c>
      <c r="F216" s="27" t="n">
        <v>7.88605664769316</v>
      </c>
      <c r="G216" s="25" t="s">
        <v>326</v>
      </c>
      <c r="H216" s="25" t="s">
        <v>327</v>
      </c>
      <c r="I216" s="25" t="n">
        <f aca="false">IFERROR(IF(INDEX(Documents!$C$5:$C$657,MATCH(H216,Documents!$A$5:$A$657,0))="","",INDEX(Documents!$C$5:$C$657,MATCH(H216,Documents!$A$5:$A$657,0))),"")</f>
        <v>2014</v>
      </c>
      <c r="J216" s="25" t="str">
        <f aca="false">IFERROR(IF(INDEX(Documents!$D$5:$D$657,MATCH(H216,Documents!$A$5:$A$657,0))="","",INDEX(Documents!$D$5:$D$657,MATCH(H216,Documents!$A$5:$A$657,0))),"")</f>
        <v/>
      </c>
      <c r="K216" s="25" t="str">
        <f aca="false">IFERROR(IF(INDEX(Documents!$G$5:$G$657,MATCH(H216,Documents!$A$5:$A$657,0))="","",INDEX(Documents!$G$5:$G$657,MATCH(H216,Documents!$A$5:$A$657,0))),"")</f>
        <v/>
      </c>
      <c r="L216" s="25" t="s">
        <v>328</v>
      </c>
    </row>
    <row r="217" customFormat="false" ht="15" hidden="false" customHeight="false" outlineLevel="0" collapsed="false">
      <c r="A217" s="25" t="n">
        <v>16290908</v>
      </c>
      <c r="B217" s="25" t="s">
        <v>860</v>
      </c>
      <c r="C217" s="25" t="s">
        <v>861</v>
      </c>
      <c r="D217" s="26" t="n">
        <v>11</v>
      </c>
      <c r="E217" s="27" t="n">
        <v>7.95860731484178</v>
      </c>
      <c r="F217" s="27" t="n">
        <v>7.95860731484178</v>
      </c>
      <c r="G217" s="25" t="s">
        <v>326</v>
      </c>
      <c r="H217" s="25" t="s">
        <v>327</v>
      </c>
      <c r="I217" s="25" t="n">
        <f aca="false">IFERROR(IF(INDEX(Documents!$C$5:$C$657,MATCH(H217,Documents!$A$5:$A$657,0))="","",INDEX(Documents!$C$5:$C$657,MATCH(H217,Documents!$A$5:$A$657,0))),"")</f>
        <v>2014</v>
      </c>
      <c r="J217" s="25" t="str">
        <f aca="false">IFERROR(IF(INDEX(Documents!$D$5:$D$657,MATCH(H217,Documents!$A$5:$A$657,0))="","",INDEX(Documents!$D$5:$D$657,MATCH(H217,Documents!$A$5:$A$657,0))),"")</f>
        <v/>
      </c>
      <c r="K217" s="25" t="str">
        <f aca="false">IFERROR(IF(INDEX(Documents!$G$5:$G$657,MATCH(H217,Documents!$A$5:$A$657,0))="","",INDEX(Documents!$G$5:$G$657,MATCH(H217,Documents!$A$5:$A$657,0))),"")</f>
        <v/>
      </c>
      <c r="L217" s="25" t="s">
        <v>328</v>
      </c>
    </row>
    <row r="218" customFormat="false" ht="15" hidden="false" customHeight="false" outlineLevel="0" collapsed="false">
      <c r="A218" s="25" t="n">
        <v>16291038</v>
      </c>
      <c r="B218" s="25" t="s">
        <v>862</v>
      </c>
      <c r="C218" s="25" t="s">
        <v>863</v>
      </c>
      <c r="D218" s="26" t="n">
        <v>5</v>
      </c>
      <c r="E218" s="27" t="n">
        <v>8.30102999566398</v>
      </c>
      <c r="F218" s="27" t="n">
        <v>8.30102999566398</v>
      </c>
      <c r="G218" s="25" t="s">
        <v>326</v>
      </c>
      <c r="H218" s="25" t="s">
        <v>327</v>
      </c>
      <c r="I218" s="25" t="n">
        <f aca="false">IFERROR(IF(INDEX(Documents!$C$5:$C$657,MATCH(H218,Documents!$A$5:$A$657,0))="","",INDEX(Documents!$C$5:$C$657,MATCH(H218,Documents!$A$5:$A$657,0))),"")</f>
        <v>2014</v>
      </c>
      <c r="J218" s="25" t="str">
        <f aca="false">IFERROR(IF(INDEX(Documents!$D$5:$D$657,MATCH(H218,Documents!$A$5:$A$657,0))="","",INDEX(Documents!$D$5:$D$657,MATCH(H218,Documents!$A$5:$A$657,0))),"")</f>
        <v/>
      </c>
      <c r="K218" s="25" t="str">
        <f aca="false">IFERROR(IF(INDEX(Documents!$G$5:$G$657,MATCH(H218,Documents!$A$5:$A$657,0))="","",INDEX(Documents!$G$5:$G$657,MATCH(H218,Documents!$A$5:$A$657,0))),"")</f>
        <v/>
      </c>
      <c r="L218" s="25" t="s">
        <v>328</v>
      </c>
    </row>
    <row r="219" customFormat="false" ht="15" hidden="false" customHeight="false" outlineLevel="0" collapsed="false">
      <c r="A219" s="25" t="n">
        <v>16292937</v>
      </c>
      <c r="B219" s="25" t="s">
        <v>864</v>
      </c>
      <c r="C219" s="25" t="s">
        <v>865</v>
      </c>
      <c r="D219" s="26" t="n">
        <v>26</v>
      </c>
      <c r="E219" s="27" t="n">
        <v>7.58502665202918</v>
      </c>
      <c r="F219" s="27" t="n">
        <v>7.58502665202918</v>
      </c>
      <c r="G219" s="25" t="s">
        <v>326</v>
      </c>
      <c r="H219" s="25" t="s">
        <v>327</v>
      </c>
      <c r="I219" s="25" t="n">
        <f aca="false">IFERROR(IF(INDEX(Documents!$C$5:$C$657,MATCH(H219,Documents!$A$5:$A$657,0))="","",INDEX(Documents!$C$5:$C$657,MATCH(H219,Documents!$A$5:$A$657,0))),"")</f>
        <v>2014</v>
      </c>
      <c r="J219" s="25" t="str">
        <f aca="false">IFERROR(IF(INDEX(Documents!$D$5:$D$657,MATCH(H219,Documents!$A$5:$A$657,0))="","",INDEX(Documents!$D$5:$D$657,MATCH(H219,Documents!$A$5:$A$657,0))),"")</f>
        <v/>
      </c>
      <c r="K219" s="25" t="str">
        <f aca="false">IFERROR(IF(INDEX(Documents!$G$5:$G$657,MATCH(H219,Documents!$A$5:$A$657,0))="","",INDEX(Documents!$G$5:$G$657,MATCH(H219,Documents!$A$5:$A$657,0))),"")</f>
        <v/>
      </c>
      <c r="L219" s="25" t="s">
        <v>328</v>
      </c>
    </row>
    <row r="220" customFormat="false" ht="15" hidden="false" customHeight="false" outlineLevel="0" collapsed="false">
      <c r="A220" s="25" t="n">
        <v>16298037</v>
      </c>
      <c r="B220" s="25" t="s">
        <v>866</v>
      </c>
      <c r="C220" s="25" t="s">
        <v>867</v>
      </c>
      <c r="D220" s="26" t="n">
        <v>5.5</v>
      </c>
      <c r="E220" s="27" t="n">
        <v>8.25963731050576</v>
      </c>
      <c r="F220" s="27" t="n">
        <v>8.25963731050576</v>
      </c>
      <c r="G220" s="25" t="s">
        <v>326</v>
      </c>
      <c r="H220" s="25" t="s">
        <v>327</v>
      </c>
      <c r="I220" s="25" t="n">
        <f aca="false">IFERROR(IF(INDEX(Documents!$C$5:$C$657,MATCH(H220,Documents!$A$5:$A$657,0))="","",INDEX(Documents!$C$5:$C$657,MATCH(H220,Documents!$A$5:$A$657,0))),"")</f>
        <v>2014</v>
      </c>
      <c r="J220" s="25" t="str">
        <f aca="false">IFERROR(IF(INDEX(Documents!$D$5:$D$657,MATCH(H220,Documents!$A$5:$A$657,0))="","",INDEX(Documents!$D$5:$D$657,MATCH(H220,Documents!$A$5:$A$657,0))),"")</f>
        <v/>
      </c>
      <c r="K220" s="25" t="str">
        <f aca="false">IFERROR(IF(INDEX(Documents!$G$5:$G$657,MATCH(H220,Documents!$A$5:$A$657,0))="","",INDEX(Documents!$G$5:$G$657,MATCH(H220,Documents!$A$5:$A$657,0))),"")</f>
        <v/>
      </c>
      <c r="L220" s="25" t="s">
        <v>328</v>
      </c>
    </row>
    <row r="221" customFormat="false" ht="15" hidden="false" customHeight="false" outlineLevel="0" collapsed="false">
      <c r="A221" s="25" t="n">
        <v>27788126</v>
      </c>
      <c r="B221" s="25" t="s">
        <v>868</v>
      </c>
      <c r="C221" s="25" t="s">
        <v>869</v>
      </c>
      <c r="D221" s="26" t="n">
        <v>383</v>
      </c>
      <c r="E221" s="27" t="n">
        <v>6.41680122603138</v>
      </c>
      <c r="F221" s="27" t="n">
        <v>6.41680122603138</v>
      </c>
      <c r="G221" s="25" t="s">
        <v>310</v>
      </c>
      <c r="H221" s="25" t="s">
        <v>311</v>
      </c>
      <c r="I221" s="25" t="n">
        <f aca="false">IFERROR(IF(INDEX(Documents!$C$5:$C$657,MATCH(H221,Documents!$A$5:$A$657,0))="","",INDEX(Documents!$C$5:$C$657,MATCH(H221,Documents!$A$5:$A$657,0))),"")</f>
        <v>2019</v>
      </c>
      <c r="J221" s="25" t="str">
        <f aca="false">IFERROR(IF(INDEX(Documents!$D$5:$D$657,MATCH(H221,Documents!$A$5:$A$657,0))="","",INDEX(Documents!$D$5:$D$657,MATCH(H221,Documents!$A$5:$A$657,0))),"")</f>
        <v/>
      </c>
      <c r="K221" s="25" t="str">
        <f aca="false">IFERROR(IF(INDEX(Documents!$G$5:$G$657,MATCH(H221,Documents!$A$5:$A$657,0))="","",INDEX(Documents!$G$5:$G$657,MATCH(H221,Documents!$A$5:$A$657,0))),"")</f>
        <v/>
      </c>
      <c r="L221" s="25" t="s">
        <v>312</v>
      </c>
    </row>
    <row r="222" customFormat="false" ht="15" hidden="false" customHeight="false" outlineLevel="0" collapsed="false">
      <c r="A222" s="25" t="n">
        <v>27788306</v>
      </c>
      <c r="B222" s="25" t="s">
        <v>870</v>
      </c>
      <c r="C222" s="25" t="s">
        <v>871</v>
      </c>
      <c r="D222" s="26" t="n">
        <v>2344</v>
      </c>
      <c r="E222" s="27" t="n">
        <v>5.63004239265395</v>
      </c>
      <c r="F222" s="27" t="n">
        <v>5.63004239265395</v>
      </c>
      <c r="G222" s="25" t="s">
        <v>248</v>
      </c>
      <c r="H222" s="25" t="s">
        <v>249</v>
      </c>
      <c r="I222" s="25" t="n">
        <f aca="false">IFERROR(IF(INDEX(Documents!$C$5:$C$657,MATCH(H222,Documents!$A$5:$A$657,0))="","",INDEX(Documents!$C$5:$C$657,MATCH(H222,Documents!$A$5:$A$657,0))),"")</f>
        <v>2019</v>
      </c>
      <c r="J222" s="25" t="str">
        <f aca="false">IFERROR(IF(INDEX(Documents!$D$5:$D$657,MATCH(H222,Documents!$A$5:$A$657,0))="","",INDEX(Documents!$D$5:$D$657,MATCH(H222,Documents!$A$5:$A$657,0))),"")</f>
        <v/>
      </c>
      <c r="K222" s="25" t="str">
        <f aca="false">IFERROR(IF(INDEX(Documents!$G$5:$G$657,MATCH(H222,Documents!$A$5:$A$657,0))="","",INDEX(Documents!$G$5:$G$657,MATCH(H222,Documents!$A$5:$A$657,0))),"")</f>
        <v/>
      </c>
      <c r="L222" s="25" t="s">
        <v>250</v>
      </c>
    </row>
    <row r="223" customFormat="false" ht="15" hidden="false" customHeight="false" outlineLevel="0" collapsed="false">
      <c r="A223" s="25" t="n">
        <v>27787409</v>
      </c>
      <c r="B223" s="25" t="s">
        <v>872</v>
      </c>
      <c r="C223" s="25" t="s">
        <v>873</v>
      </c>
      <c r="D223" s="26" t="n">
        <v>637</v>
      </c>
      <c r="E223" s="27" t="n">
        <v>6.19586056766465</v>
      </c>
      <c r="F223" s="27" t="n">
        <v>6.19586056766465</v>
      </c>
      <c r="G223" s="25" t="s">
        <v>306</v>
      </c>
      <c r="H223" s="25" t="s">
        <v>307</v>
      </c>
      <c r="I223" s="25" t="n">
        <f aca="false">IFERROR(IF(INDEX(Documents!$C$5:$C$657,MATCH(H223,Documents!$A$5:$A$657,0))="","",INDEX(Documents!$C$5:$C$657,MATCH(H223,Documents!$A$5:$A$657,0))),"")</f>
        <v>2019</v>
      </c>
      <c r="J223" s="25" t="str">
        <f aca="false">IFERROR(IF(INDEX(Documents!$D$5:$D$657,MATCH(H223,Documents!$A$5:$A$657,0))="","",INDEX(Documents!$D$5:$D$657,MATCH(H223,Documents!$A$5:$A$657,0))),"")</f>
        <v/>
      </c>
      <c r="K223" s="25" t="str">
        <f aca="false">IFERROR(IF(INDEX(Documents!$G$5:$G$657,MATCH(H223,Documents!$A$5:$A$657,0))="","",INDEX(Documents!$G$5:$G$657,MATCH(H223,Documents!$A$5:$A$657,0))),"")</f>
        <v/>
      </c>
      <c r="L223" s="25" t="s">
        <v>250</v>
      </c>
    </row>
    <row r="224" customFormat="false" ht="15" hidden="false" customHeight="false" outlineLevel="0" collapsed="false">
      <c r="A224" s="25" t="n">
        <v>27787433</v>
      </c>
      <c r="B224" s="25" t="s">
        <v>874</v>
      </c>
      <c r="C224" s="25" t="s">
        <v>875</v>
      </c>
      <c r="D224" s="26" t="n">
        <v>211</v>
      </c>
      <c r="E224" s="27" t="n">
        <v>6.67571754470231</v>
      </c>
      <c r="F224" s="27" t="n">
        <v>6.67571754470231</v>
      </c>
      <c r="G224" s="25" t="s">
        <v>306</v>
      </c>
      <c r="H224" s="25" t="s">
        <v>307</v>
      </c>
      <c r="I224" s="25" t="n">
        <f aca="false">IFERROR(IF(INDEX(Documents!$C$5:$C$657,MATCH(H224,Documents!$A$5:$A$657,0))="","",INDEX(Documents!$C$5:$C$657,MATCH(H224,Documents!$A$5:$A$657,0))),"")</f>
        <v>2019</v>
      </c>
      <c r="J224" s="25" t="str">
        <f aca="false">IFERROR(IF(INDEX(Documents!$D$5:$D$657,MATCH(H224,Documents!$A$5:$A$657,0))="","",INDEX(Documents!$D$5:$D$657,MATCH(H224,Documents!$A$5:$A$657,0))),"")</f>
        <v/>
      </c>
      <c r="K224" s="25" t="str">
        <f aca="false">IFERROR(IF(INDEX(Documents!$G$5:$G$657,MATCH(H224,Documents!$A$5:$A$657,0))="","",INDEX(Documents!$G$5:$G$657,MATCH(H224,Documents!$A$5:$A$657,0))),"")</f>
        <v/>
      </c>
      <c r="L224" s="25" t="s">
        <v>250</v>
      </c>
    </row>
    <row r="225" customFormat="false" ht="15" hidden="false" customHeight="false" outlineLevel="0" collapsed="false">
      <c r="A225" s="25" t="n">
        <v>27787427</v>
      </c>
      <c r="B225" s="25" t="s">
        <v>876</v>
      </c>
      <c r="C225" s="25" t="s">
        <v>877</v>
      </c>
      <c r="D225" s="26" t="n">
        <v>361</v>
      </c>
      <c r="E225" s="27" t="n">
        <v>6.44249279809434</v>
      </c>
      <c r="F225" s="27" t="n">
        <v>6.44249279809434</v>
      </c>
      <c r="G225" s="25" t="s">
        <v>306</v>
      </c>
      <c r="H225" s="25" t="s">
        <v>307</v>
      </c>
      <c r="I225" s="25" t="n">
        <f aca="false">IFERROR(IF(INDEX(Documents!$C$5:$C$657,MATCH(H225,Documents!$A$5:$A$657,0))="","",INDEX(Documents!$C$5:$C$657,MATCH(H225,Documents!$A$5:$A$657,0))),"")</f>
        <v>2019</v>
      </c>
      <c r="J225" s="25" t="str">
        <f aca="false">IFERROR(IF(INDEX(Documents!$D$5:$D$657,MATCH(H225,Documents!$A$5:$A$657,0))="","",INDEX(Documents!$D$5:$D$657,MATCH(H225,Documents!$A$5:$A$657,0))),"")</f>
        <v/>
      </c>
      <c r="K225" s="25" t="str">
        <f aca="false">IFERROR(IF(INDEX(Documents!$G$5:$G$657,MATCH(H225,Documents!$A$5:$A$657,0))="","",INDEX(Documents!$G$5:$G$657,MATCH(H225,Documents!$A$5:$A$657,0))),"")</f>
        <v/>
      </c>
      <c r="L225" s="25" t="s">
        <v>250</v>
      </c>
    </row>
    <row r="226" customFormat="false" ht="15" hidden="false" customHeight="false" outlineLevel="0" collapsed="false">
      <c r="A226" s="25" t="n">
        <v>27787421</v>
      </c>
      <c r="B226" s="25" t="s">
        <v>878</v>
      </c>
      <c r="C226" s="25" t="s">
        <v>879</v>
      </c>
      <c r="D226" s="26" t="n">
        <v>453</v>
      </c>
      <c r="E226" s="27" t="n">
        <v>6.34390179798717</v>
      </c>
      <c r="F226" s="27" t="n">
        <v>6.34390179798717</v>
      </c>
      <c r="G226" s="25" t="s">
        <v>306</v>
      </c>
      <c r="H226" s="25" t="s">
        <v>307</v>
      </c>
      <c r="I226" s="25" t="n">
        <f aca="false">IFERROR(IF(INDEX(Documents!$C$5:$C$657,MATCH(H226,Documents!$A$5:$A$657,0))="","",INDEX(Documents!$C$5:$C$657,MATCH(H226,Documents!$A$5:$A$657,0))),"")</f>
        <v>2019</v>
      </c>
      <c r="J226" s="25" t="str">
        <f aca="false">IFERROR(IF(INDEX(Documents!$D$5:$D$657,MATCH(H226,Documents!$A$5:$A$657,0))="","",INDEX(Documents!$D$5:$D$657,MATCH(H226,Documents!$A$5:$A$657,0))),"")</f>
        <v/>
      </c>
      <c r="K226" s="25" t="str">
        <f aca="false">IFERROR(IF(INDEX(Documents!$G$5:$G$657,MATCH(H226,Documents!$A$5:$A$657,0))="","",INDEX(Documents!$G$5:$G$657,MATCH(H226,Documents!$A$5:$A$657,0))),"")</f>
        <v/>
      </c>
      <c r="L226" s="25" t="s">
        <v>250</v>
      </c>
    </row>
    <row r="227" customFormat="false" ht="15" hidden="false" customHeight="false" outlineLevel="0" collapsed="false">
      <c r="A227" s="25" t="n">
        <v>27788054</v>
      </c>
      <c r="B227" s="25" t="s">
        <v>880</v>
      </c>
      <c r="C227" s="25" t="s">
        <v>881</v>
      </c>
      <c r="D227" s="26" t="n">
        <v>55.6</v>
      </c>
      <c r="E227" s="27" t="n">
        <v>7.25492520841794</v>
      </c>
      <c r="F227" s="27" t="n">
        <v>7.25492520841794</v>
      </c>
      <c r="G227" s="25" t="s">
        <v>255</v>
      </c>
      <c r="H227" s="25" t="s">
        <v>256</v>
      </c>
      <c r="I227" s="25" t="n">
        <f aca="false">IFERROR(IF(INDEX(Documents!$C$5:$C$657,MATCH(H227,Documents!$A$5:$A$657,0))="","",INDEX(Documents!$C$5:$C$657,MATCH(H227,Documents!$A$5:$A$657,0))),"")</f>
        <v>2019</v>
      </c>
      <c r="J227" s="25" t="str">
        <f aca="false">IFERROR(IF(INDEX(Documents!$D$5:$D$657,MATCH(H227,Documents!$A$5:$A$657,0))="","",INDEX(Documents!$D$5:$D$657,MATCH(H227,Documents!$A$5:$A$657,0))),"")</f>
        <v/>
      </c>
      <c r="K227" s="25" t="str">
        <f aca="false">IFERROR(IF(INDEX(Documents!$G$5:$G$657,MATCH(H227,Documents!$A$5:$A$657,0))="","",INDEX(Documents!$G$5:$G$657,MATCH(H227,Documents!$A$5:$A$657,0))),"")</f>
        <v/>
      </c>
      <c r="L227" s="25" t="s">
        <v>250</v>
      </c>
    </row>
    <row r="228" customFormat="false" ht="15" hidden="false" customHeight="false" outlineLevel="0" collapsed="false">
      <c r="A228" s="25" t="n">
        <v>27788042</v>
      </c>
      <c r="B228" s="25" t="s">
        <v>882</v>
      </c>
      <c r="C228" s="25" t="s">
        <v>883</v>
      </c>
      <c r="D228" s="26" t="n">
        <v>4.2</v>
      </c>
      <c r="E228" s="27" t="n">
        <v>8.3767507096021</v>
      </c>
      <c r="F228" s="27" t="n">
        <v>8.3767507096021</v>
      </c>
      <c r="G228" s="25" t="s">
        <v>255</v>
      </c>
      <c r="H228" s="25" t="s">
        <v>256</v>
      </c>
      <c r="I228" s="25" t="n">
        <f aca="false">IFERROR(IF(INDEX(Documents!$C$5:$C$657,MATCH(H228,Documents!$A$5:$A$657,0))="","",INDEX(Documents!$C$5:$C$657,MATCH(H228,Documents!$A$5:$A$657,0))),"")</f>
        <v>2019</v>
      </c>
      <c r="J228" s="25" t="str">
        <f aca="false">IFERROR(IF(INDEX(Documents!$D$5:$D$657,MATCH(H228,Documents!$A$5:$A$657,0))="","",INDEX(Documents!$D$5:$D$657,MATCH(H228,Documents!$A$5:$A$657,0))),"")</f>
        <v/>
      </c>
      <c r="K228" s="25" t="str">
        <f aca="false">IFERROR(IF(INDEX(Documents!$G$5:$G$657,MATCH(H228,Documents!$A$5:$A$657,0))="","",INDEX(Documents!$G$5:$G$657,MATCH(H228,Documents!$A$5:$A$657,0))),"")</f>
        <v/>
      </c>
      <c r="L228" s="25" t="s">
        <v>250</v>
      </c>
    </row>
    <row r="229" customFormat="false" ht="15" hidden="false" customHeight="false" outlineLevel="0" collapsed="false">
      <c r="A229" s="25" t="n">
        <v>27788258</v>
      </c>
      <c r="B229" s="25" t="s">
        <v>884</v>
      </c>
      <c r="C229" s="25" t="s">
        <v>885</v>
      </c>
      <c r="D229" s="26" t="n">
        <v>27</v>
      </c>
      <c r="E229" s="27" t="n">
        <v>7.56863623584101</v>
      </c>
      <c r="F229" s="27" t="n">
        <v>7.56863623584101</v>
      </c>
      <c r="G229" s="25" t="s">
        <v>310</v>
      </c>
      <c r="H229" s="25" t="s">
        <v>311</v>
      </c>
      <c r="I229" s="25" t="n">
        <f aca="false">IFERROR(IF(INDEX(Documents!$C$5:$C$657,MATCH(H229,Documents!$A$5:$A$657,0))="","",INDEX(Documents!$C$5:$C$657,MATCH(H229,Documents!$A$5:$A$657,0))),"")</f>
        <v>2019</v>
      </c>
      <c r="J229" s="25" t="str">
        <f aca="false">IFERROR(IF(INDEX(Documents!$D$5:$D$657,MATCH(H229,Documents!$A$5:$A$657,0))="","",INDEX(Documents!$D$5:$D$657,MATCH(H229,Documents!$A$5:$A$657,0))),"")</f>
        <v/>
      </c>
      <c r="K229" s="25" t="str">
        <f aca="false">IFERROR(IF(INDEX(Documents!$G$5:$G$657,MATCH(H229,Documents!$A$5:$A$657,0))="","",INDEX(Documents!$G$5:$G$657,MATCH(H229,Documents!$A$5:$A$657,0))),"")</f>
        <v/>
      </c>
      <c r="L229" s="25" t="s">
        <v>312</v>
      </c>
    </row>
    <row r="230" customFormat="false" ht="15" hidden="false" customHeight="false" outlineLevel="0" collapsed="false">
      <c r="A230" s="25" t="n">
        <v>27788252</v>
      </c>
      <c r="B230" s="25" t="s">
        <v>886</v>
      </c>
      <c r="C230" s="25" t="s">
        <v>887</v>
      </c>
      <c r="D230" s="26" t="n">
        <v>246</v>
      </c>
      <c r="E230" s="27" t="n">
        <v>6.60906489289662</v>
      </c>
      <c r="F230" s="27" t="n">
        <v>6.60906489289662</v>
      </c>
      <c r="G230" s="25" t="s">
        <v>310</v>
      </c>
      <c r="H230" s="25" t="s">
        <v>311</v>
      </c>
      <c r="I230" s="25" t="n">
        <f aca="false">IFERROR(IF(INDEX(Documents!$C$5:$C$657,MATCH(H230,Documents!$A$5:$A$657,0))="","",INDEX(Documents!$C$5:$C$657,MATCH(H230,Documents!$A$5:$A$657,0))),"")</f>
        <v>2019</v>
      </c>
      <c r="J230" s="25" t="str">
        <f aca="false">IFERROR(IF(INDEX(Documents!$D$5:$D$657,MATCH(H230,Documents!$A$5:$A$657,0))="","",INDEX(Documents!$D$5:$D$657,MATCH(H230,Documents!$A$5:$A$657,0))),"")</f>
        <v/>
      </c>
      <c r="K230" s="25" t="str">
        <f aca="false">IFERROR(IF(INDEX(Documents!$G$5:$G$657,MATCH(H230,Documents!$A$5:$A$657,0))="","",INDEX(Documents!$G$5:$G$657,MATCH(H230,Documents!$A$5:$A$657,0))),"")</f>
        <v/>
      </c>
      <c r="L230" s="25" t="s">
        <v>312</v>
      </c>
    </row>
    <row r="231" customFormat="false" ht="15" hidden="false" customHeight="false" outlineLevel="0" collapsed="false">
      <c r="A231" s="25" t="n">
        <v>27788282</v>
      </c>
      <c r="B231" s="25" t="s">
        <v>888</v>
      </c>
      <c r="C231" s="25" t="s">
        <v>889</v>
      </c>
      <c r="D231" s="26" t="n">
        <v>5</v>
      </c>
      <c r="E231" s="27" t="n">
        <v>8.30102999566398</v>
      </c>
      <c r="F231" s="27" t="n">
        <v>8.30102999566398</v>
      </c>
      <c r="G231" s="25" t="s">
        <v>310</v>
      </c>
      <c r="H231" s="25" t="s">
        <v>311</v>
      </c>
      <c r="I231" s="25" t="n">
        <f aca="false">IFERROR(IF(INDEX(Documents!$C$5:$C$657,MATCH(H231,Documents!$A$5:$A$657,0))="","",INDEX(Documents!$C$5:$C$657,MATCH(H231,Documents!$A$5:$A$657,0))),"")</f>
        <v>2019</v>
      </c>
      <c r="J231" s="25" t="str">
        <f aca="false">IFERROR(IF(INDEX(Documents!$D$5:$D$657,MATCH(H231,Documents!$A$5:$A$657,0))="","",INDEX(Documents!$D$5:$D$657,MATCH(H231,Documents!$A$5:$A$657,0))),"")</f>
        <v/>
      </c>
      <c r="K231" s="25" t="str">
        <f aca="false">IFERROR(IF(INDEX(Documents!$G$5:$G$657,MATCH(H231,Documents!$A$5:$A$657,0))="","",INDEX(Documents!$G$5:$G$657,MATCH(H231,Documents!$A$5:$A$657,0))),"")</f>
        <v/>
      </c>
      <c r="L231" s="25" t="s">
        <v>312</v>
      </c>
    </row>
    <row r="232" customFormat="false" ht="15" hidden="false" customHeight="false" outlineLevel="0" collapsed="false">
      <c r="A232" s="25" t="n">
        <v>27788270</v>
      </c>
      <c r="B232" s="25" t="s">
        <v>890</v>
      </c>
      <c r="C232" s="25" t="s">
        <v>891</v>
      </c>
      <c r="D232" s="26" t="n">
        <v>63</v>
      </c>
      <c r="E232" s="27" t="n">
        <v>7.20065945054642</v>
      </c>
      <c r="F232" s="27" t="n">
        <v>7.20065945054642</v>
      </c>
      <c r="G232" s="25" t="s">
        <v>310</v>
      </c>
      <c r="H232" s="25" t="s">
        <v>311</v>
      </c>
      <c r="I232" s="25" t="n">
        <f aca="false">IFERROR(IF(INDEX(Documents!$C$5:$C$657,MATCH(H232,Documents!$A$5:$A$657,0))="","",INDEX(Documents!$C$5:$C$657,MATCH(H232,Documents!$A$5:$A$657,0))),"")</f>
        <v>2019</v>
      </c>
      <c r="J232" s="25" t="str">
        <f aca="false">IFERROR(IF(INDEX(Documents!$D$5:$D$657,MATCH(H232,Documents!$A$5:$A$657,0))="","",INDEX(Documents!$D$5:$D$657,MATCH(H232,Documents!$A$5:$A$657,0))),"")</f>
        <v/>
      </c>
      <c r="K232" s="25" t="str">
        <f aca="false">IFERROR(IF(INDEX(Documents!$G$5:$G$657,MATCH(H232,Documents!$A$5:$A$657,0))="","",INDEX(Documents!$G$5:$G$657,MATCH(H232,Documents!$A$5:$A$657,0))),"")</f>
        <v/>
      </c>
      <c r="L232" s="25" t="s">
        <v>312</v>
      </c>
    </row>
    <row r="233" customFormat="false" ht="15" hidden="false" customHeight="false" outlineLevel="0" collapsed="false">
      <c r="A233" s="25" t="n">
        <v>27788246</v>
      </c>
      <c r="B233" s="25" t="s">
        <v>892</v>
      </c>
      <c r="C233" s="25" t="s">
        <v>893</v>
      </c>
      <c r="D233" s="26" t="n">
        <v>6</v>
      </c>
      <c r="E233" s="27" t="n">
        <v>8.22184874961636</v>
      </c>
      <c r="F233" s="27" t="n">
        <v>8.22184874961636</v>
      </c>
      <c r="G233" s="25" t="s">
        <v>310</v>
      </c>
      <c r="H233" s="25" t="s">
        <v>311</v>
      </c>
      <c r="I233" s="25" t="n">
        <f aca="false">IFERROR(IF(INDEX(Documents!$C$5:$C$657,MATCH(H233,Documents!$A$5:$A$657,0))="","",INDEX(Documents!$C$5:$C$657,MATCH(H233,Documents!$A$5:$A$657,0))),"")</f>
        <v>2019</v>
      </c>
      <c r="J233" s="25" t="str">
        <f aca="false">IFERROR(IF(INDEX(Documents!$D$5:$D$657,MATCH(H233,Documents!$A$5:$A$657,0))="","",INDEX(Documents!$D$5:$D$657,MATCH(H233,Documents!$A$5:$A$657,0))),"")</f>
        <v/>
      </c>
      <c r="K233" s="25" t="str">
        <f aca="false">IFERROR(IF(INDEX(Documents!$G$5:$G$657,MATCH(H233,Documents!$A$5:$A$657,0))="","",INDEX(Documents!$G$5:$G$657,MATCH(H233,Documents!$A$5:$A$657,0))),"")</f>
        <v/>
      </c>
      <c r="L233" s="25" t="s">
        <v>312</v>
      </c>
    </row>
    <row r="234" customFormat="false" ht="15" hidden="false" customHeight="false" outlineLevel="0" collapsed="false">
      <c r="A234" s="25" t="n">
        <v>27788264</v>
      </c>
      <c r="B234" s="25" t="s">
        <v>894</v>
      </c>
      <c r="C234" s="25" t="s">
        <v>895</v>
      </c>
      <c r="D234" s="26" t="n">
        <v>72</v>
      </c>
      <c r="E234" s="27" t="n">
        <v>7.14266750356873</v>
      </c>
      <c r="F234" s="27" t="n">
        <v>7.14266750356873</v>
      </c>
      <c r="G234" s="25" t="s">
        <v>310</v>
      </c>
      <c r="H234" s="25" t="s">
        <v>311</v>
      </c>
      <c r="I234" s="25" t="n">
        <f aca="false">IFERROR(IF(INDEX(Documents!$C$5:$C$657,MATCH(H234,Documents!$A$5:$A$657,0))="","",INDEX(Documents!$C$5:$C$657,MATCH(H234,Documents!$A$5:$A$657,0))),"")</f>
        <v>2019</v>
      </c>
      <c r="J234" s="25" t="str">
        <f aca="false">IFERROR(IF(INDEX(Documents!$D$5:$D$657,MATCH(H234,Documents!$A$5:$A$657,0))="","",INDEX(Documents!$D$5:$D$657,MATCH(H234,Documents!$A$5:$A$657,0))),"")</f>
        <v/>
      </c>
      <c r="K234" s="25" t="str">
        <f aca="false">IFERROR(IF(INDEX(Documents!$G$5:$G$657,MATCH(H234,Documents!$A$5:$A$657,0))="","",INDEX(Documents!$G$5:$G$657,MATCH(H234,Documents!$A$5:$A$657,0))),"")</f>
        <v/>
      </c>
      <c r="L234" s="25" t="s">
        <v>312</v>
      </c>
    </row>
    <row r="235" customFormat="false" ht="15" hidden="false" customHeight="false" outlineLevel="0" collapsed="false">
      <c r="A235" s="25" t="n">
        <v>27788096</v>
      </c>
      <c r="B235" s="25" t="s">
        <v>896</v>
      </c>
      <c r="C235" s="25" t="s">
        <v>897</v>
      </c>
      <c r="D235" s="26" t="n">
        <v>88</v>
      </c>
      <c r="E235" s="27" t="n">
        <v>7.05551732784983</v>
      </c>
      <c r="F235" s="27" t="n">
        <v>7.05551732784983</v>
      </c>
      <c r="G235" s="25" t="s">
        <v>310</v>
      </c>
      <c r="H235" s="25" t="s">
        <v>311</v>
      </c>
      <c r="I235" s="25" t="n">
        <f aca="false">IFERROR(IF(INDEX(Documents!$C$5:$C$657,MATCH(H235,Documents!$A$5:$A$657,0))="","",INDEX(Documents!$C$5:$C$657,MATCH(H235,Documents!$A$5:$A$657,0))),"")</f>
        <v>2019</v>
      </c>
      <c r="J235" s="25" t="str">
        <f aca="false">IFERROR(IF(INDEX(Documents!$D$5:$D$657,MATCH(H235,Documents!$A$5:$A$657,0))="","",INDEX(Documents!$D$5:$D$657,MATCH(H235,Documents!$A$5:$A$657,0))),"")</f>
        <v/>
      </c>
      <c r="K235" s="25" t="str">
        <f aca="false">IFERROR(IF(INDEX(Documents!$G$5:$G$657,MATCH(H235,Documents!$A$5:$A$657,0))="","",INDEX(Documents!$G$5:$G$657,MATCH(H235,Documents!$A$5:$A$657,0))),"")</f>
        <v/>
      </c>
      <c r="L235" s="25" t="s">
        <v>312</v>
      </c>
    </row>
    <row r="236" customFormat="false" ht="15" hidden="false" customHeight="false" outlineLevel="0" collapsed="false">
      <c r="A236" s="25" t="n">
        <v>27788084</v>
      </c>
      <c r="B236" s="25" t="s">
        <v>898</v>
      </c>
      <c r="C236" s="25" t="s">
        <v>899</v>
      </c>
      <c r="D236" s="26" t="n">
        <v>11</v>
      </c>
      <c r="E236" s="27" t="n">
        <v>7.95860731484178</v>
      </c>
      <c r="F236" s="27" t="n">
        <v>7.95860731484178</v>
      </c>
      <c r="G236" s="25" t="s">
        <v>310</v>
      </c>
      <c r="H236" s="25" t="s">
        <v>311</v>
      </c>
      <c r="I236" s="25" t="n">
        <f aca="false">IFERROR(IF(INDEX(Documents!$C$5:$C$657,MATCH(H236,Documents!$A$5:$A$657,0))="","",INDEX(Documents!$C$5:$C$657,MATCH(H236,Documents!$A$5:$A$657,0))),"")</f>
        <v>2019</v>
      </c>
      <c r="J236" s="25" t="str">
        <f aca="false">IFERROR(IF(INDEX(Documents!$D$5:$D$657,MATCH(H236,Documents!$A$5:$A$657,0))="","",INDEX(Documents!$D$5:$D$657,MATCH(H236,Documents!$A$5:$A$657,0))),"")</f>
        <v/>
      </c>
      <c r="K236" s="25" t="str">
        <f aca="false">IFERROR(IF(INDEX(Documents!$G$5:$G$657,MATCH(H236,Documents!$A$5:$A$657,0))="","",INDEX(Documents!$G$5:$G$657,MATCH(H236,Documents!$A$5:$A$657,0))),"")</f>
        <v/>
      </c>
      <c r="L236" s="25" t="s">
        <v>312</v>
      </c>
    </row>
    <row r="237" customFormat="false" ht="15" hidden="false" customHeight="false" outlineLevel="0" collapsed="false">
      <c r="A237" s="25" t="n">
        <v>27788222</v>
      </c>
      <c r="B237" s="25" t="s">
        <v>900</v>
      </c>
      <c r="C237" s="25" t="s">
        <v>901</v>
      </c>
      <c r="D237" s="26" t="n">
        <v>9</v>
      </c>
      <c r="E237" s="27" t="n">
        <v>8.04575749056068</v>
      </c>
      <c r="F237" s="27" t="n">
        <v>8.04575749056068</v>
      </c>
      <c r="G237" s="25" t="s">
        <v>310</v>
      </c>
      <c r="H237" s="25" t="s">
        <v>311</v>
      </c>
      <c r="I237" s="25" t="n">
        <f aca="false">IFERROR(IF(INDEX(Documents!$C$5:$C$657,MATCH(H237,Documents!$A$5:$A$657,0))="","",INDEX(Documents!$C$5:$C$657,MATCH(H237,Documents!$A$5:$A$657,0))),"")</f>
        <v>2019</v>
      </c>
      <c r="J237" s="25" t="str">
        <f aca="false">IFERROR(IF(INDEX(Documents!$D$5:$D$657,MATCH(H237,Documents!$A$5:$A$657,0))="","",INDEX(Documents!$D$5:$D$657,MATCH(H237,Documents!$A$5:$A$657,0))),"")</f>
        <v/>
      </c>
      <c r="K237" s="25" t="str">
        <f aca="false">IFERROR(IF(INDEX(Documents!$G$5:$G$657,MATCH(H237,Documents!$A$5:$A$657,0))="","",INDEX(Documents!$G$5:$G$657,MATCH(H237,Documents!$A$5:$A$657,0))),"")</f>
        <v/>
      </c>
      <c r="L237" s="25" t="s">
        <v>312</v>
      </c>
    </row>
    <row r="238" customFormat="false" ht="15" hidden="false" customHeight="false" outlineLevel="0" collapsed="false">
      <c r="A238" s="25" t="n">
        <v>27788108</v>
      </c>
      <c r="B238" s="25" t="s">
        <v>902</v>
      </c>
      <c r="C238" s="25" t="s">
        <v>903</v>
      </c>
      <c r="D238" s="26" t="n">
        <v>300</v>
      </c>
      <c r="E238" s="27" t="n">
        <v>6.52287874528034</v>
      </c>
      <c r="F238" s="27" t="n">
        <v>6.52287874528034</v>
      </c>
      <c r="G238" s="25" t="s">
        <v>310</v>
      </c>
      <c r="H238" s="25" t="s">
        <v>311</v>
      </c>
      <c r="I238" s="25" t="n">
        <f aca="false">IFERROR(IF(INDEX(Documents!$C$5:$C$657,MATCH(H238,Documents!$A$5:$A$657,0))="","",INDEX(Documents!$C$5:$C$657,MATCH(H238,Documents!$A$5:$A$657,0))),"")</f>
        <v>2019</v>
      </c>
      <c r="J238" s="25" t="str">
        <f aca="false">IFERROR(IF(INDEX(Documents!$D$5:$D$657,MATCH(H238,Documents!$A$5:$A$657,0))="","",INDEX(Documents!$D$5:$D$657,MATCH(H238,Documents!$A$5:$A$657,0))),"")</f>
        <v/>
      </c>
      <c r="K238" s="25" t="str">
        <f aca="false">IFERROR(IF(INDEX(Documents!$G$5:$G$657,MATCH(H238,Documents!$A$5:$A$657,0))="","",INDEX(Documents!$G$5:$G$657,MATCH(H238,Documents!$A$5:$A$657,0))),"")</f>
        <v/>
      </c>
      <c r="L238" s="25" t="s">
        <v>312</v>
      </c>
    </row>
    <row r="239" customFormat="false" ht="15" hidden="false" customHeight="false" outlineLevel="0" collapsed="false">
      <c r="A239" s="25" t="n">
        <v>27788114</v>
      </c>
      <c r="B239" s="25" t="s">
        <v>904</v>
      </c>
      <c r="C239" s="25" t="s">
        <v>905</v>
      </c>
      <c r="D239" s="26" t="n">
        <v>6</v>
      </c>
      <c r="E239" s="27" t="n">
        <v>8.22184874961636</v>
      </c>
      <c r="F239" s="27" t="n">
        <v>8.22184874961636</v>
      </c>
      <c r="G239" s="25" t="s">
        <v>310</v>
      </c>
      <c r="H239" s="25" t="s">
        <v>311</v>
      </c>
      <c r="I239" s="25" t="n">
        <f aca="false">IFERROR(IF(INDEX(Documents!$C$5:$C$657,MATCH(H239,Documents!$A$5:$A$657,0))="","",INDEX(Documents!$C$5:$C$657,MATCH(H239,Documents!$A$5:$A$657,0))),"")</f>
        <v>2019</v>
      </c>
      <c r="J239" s="25" t="str">
        <f aca="false">IFERROR(IF(INDEX(Documents!$D$5:$D$657,MATCH(H239,Documents!$A$5:$A$657,0))="","",INDEX(Documents!$D$5:$D$657,MATCH(H239,Documents!$A$5:$A$657,0))),"")</f>
        <v/>
      </c>
      <c r="K239" s="25" t="str">
        <f aca="false">IFERROR(IF(INDEX(Documents!$G$5:$G$657,MATCH(H239,Documents!$A$5:$A$657,0))="","",INDEX(Documents!$G$5:$G$657,MATCH(H239,Documents!$A$5:$A$657,0))),"")</f>
        <v/>
      </c>
      <c r="L239" s="25" t="s">
        <v>312</v>
      </c>
    </row>
    <row r="240" customFormat="false" ht="15" hidden="false" customHeight="false" outlineLevel="0" collapsed="false">
      <c r="A240" s="25" t="n">
        <v>27788162</v>
      </c>
      <c r="B240" s="25" t="s">
        <v>906</v>
      </c>
      <c r="C240" s="25" t="s">
        <v>907</v>
      </c>
      <c r="D240" s="26" t="n">
        <v>1360</v>
      </c>
      <c r="E240" s="27" t="n">
        <v>5.86646109162978</v>
      </c>
      <c r="F240" s="27" t="n">
        <v>5.86646109162978</v>
      </c>
      <c r="G240" s="25" t="s">
        <v>310</v>
      </c>
      <c r="H240" s="25" t="s">
        <v>311</v>
      </c>
      <c r="I240" s="25" t="n">
        <f aca="false">IFERROR(IF(INDEX(Documents!$C$5:$C$657,MATCH(H240,Documents!$A$5:$A$657,0))="","",INDEX(Documents!$C$5:$C$657,MATCH(H240,Documents!$A$5:$A$657,0))),"")</f>
        <v>2019</v>
      </c>
      <c r="J240" s="25" t="str">
        <f aca="false">IFERROR(IF(INDEX(Documents!$D$5:$D$657,MATCH(H240,Documents!$A$5:$A$657,0))="","",INDEX(Documents!$D$5:$D$657,MATCH(H240,Documents!$A$5:$A$657,0))),"")</f>
        <v/>
      </c>
      <c r="K240" s="25" t="str">
        <f aca="false">IFERROR(IF(INDEX(Documents!$G$5:$G$657,MATCH(H240,Documents!$A$5:$A$657,0))="","",INDEX(Documents!$G$5:$G$657,MATCH(H240,Documents!$A$5:$A$657,0))),"")</f>
        <v/>
      </c>
      <c r="L240" s="25" t="s">
        <v>312</v>
      </c>
    </row>
    <row r="241" customFormat="false" ht="15" hidden="false" customHeight="false" outlineLevel="0" collapsed="false">
      <c r="A241" s="25" t="n">
        <v>27788174</v>
      </c>
      <c r="B241" s="25" t="s">
        <v>908</v>
      </c>
      <c r="C241" s="25" t="s">
        <v>909</v>
      </c>
      <c r="D241" s="26" t="n">
        <v>210</v>
      </c>
      <c r="E241" s="27" t="n">
        <v>6.67778070526608</v>
      </c>
      <c r="F241" s="27" t="n">
        <v>6.67778070526608</v>
      </c>
      <c r="G241" s="25" t="s">
        <v>310</v>
      </c>
      <c r="H241" s="25" t="s">
        <v>311</v>
      </c>
      <c r="I241" s="25" t="n">
        <f aca="false">IFERROR(IF(INDEX(Documents!$C$5:$C$657,MATCH(H241,Documents!$A$5:$A$657,0))="","",INDEX(Documents!$C$5:$C$657,MATCH(H241,Documents!$A$5:$A$657,0))),"")</f>
        <v>2019</v>
      </c>
      <c r="J241" s="25" t="str">
        <f aca="false">IFERROR(IF(INDEX(Documents!$D$5:$D$657,MATCH(H241,Documents!$A$5:$A$657,0))="","",INDEX(Documents!$D$5:$D$657,MATCH(H241,Documents!$A$5:$A$657,0))),"")</f>
        <v/>
      </c>
      <c r="K241" s="25" t="str">
        <f aca="false">IFERROR(IF(INDEX(Documents!$G$5:$G$657,MATCH(H241,Documents!$A$5:$A$657,0))="","",INDEX(Documents!$G$5:$G$657,MATCH(H241,Documents!$A$5:$A$657,0))),"")</f>
        <v/>
      </c>
      <c r="L241" s="25" t="s">
        <v>312</v>
      </c>
    </row>
    <row r="242" customFormat="false" ht="15" hidden="false" customHeight="false" outlineLevel="0" collapsed="false">
      <c r="A242" s="25" t="n">
        <v>27788120</v>
      </c>
      <c r="B242" s="25" t="s">
        <v>910</v>
      </c>
      <c r="C242" s="25" t="s">
        <v>911</v>
      </c>
      <c r="D242" s="26" t="n">
        <v>85</v>
      </c>
      <c r="E242" s="27" t="n">
        <v>7.07058107428571</v>
      </c>
      <c r="F242" s="27" t="n">
        <v>7.07058107428571</v>
      </c>
      <c r="G242" s="25" t="s">
        <v>310</v>
      </c>
      <c r="H242" s="25" t="s">
        <v>311</v>
      </c>
      <c r="I242" s="25" t="n">
        <f aca="false">IFERROR(IF(INDEX(Documents!$C$5:$C$657,MATCH(H242,Documents!$A$5:$A$657,0))="","",INDEX(Documents!$C$5:$C$657,MATCH(H242,Documents!$A$5:$A$657,0))),"")</f>
        <v>2019</v>
      </c>
      <c r="J242" s="25" t="str">
        <f aca="false">IFERROR(IF(INDEX(Documents!$D$5:$D$657,MATCH(H242,Documents!$A$5:$A$657,0))="","",INDEX(Documents!$D$5:$D$657,MATCH(H242,Documents!$A$5:$A$657,0))),"")</f>
        <v/>
      </c>
      <c r="K242" s="25" t="str">
        <f aca="false">IFERROR(IF(INDEX(Documents!$G$5:$G$657,MATCH(H242,Documents!$A$5:$A$657,0))="","",INDEX(Documents!$G$5:$G$657,MATCH(H242,Documents!$A$5:$A$657,0))),"")</f>
        <v/>
      </c>
      <c r="L242" s="25" t="s">
        <v>312</v>
      </c>
    </row>
    <row r="243" customFormat="false" ht="15" hidden="false" customHeight="false" outlineLevel="0" collapsed="false">
      <c r="A243" s="25" t="n">
        <v>27788039</v>
      </c>
      <c r="B243" s="25" t="s">
        <v>912</v>
      </c>
      <c r="C243" s="25" t="s">
        <v>913</v>
      </c>
      <c r="D243" s="26" t="n">
        <v>3.3</v>
      </c>
      <c r="E243" s="27" t="n">
        <v>8.48148606012211</v>
      </c>
      <c r="F243" s="27" t="n">
        <v>8.48148606012211</v>
      </c>
      <c r="G243" s="25" t="s">
        <v>255</v>
      </c>
      <c r="H243" s="25" t="s">
        <v>256</v>
      </c>
      <c r="I243" s="25" t="n">
        <f aca="false">IFERROR(IF(INDEX(Documents!$C$5:$C$657,MATCH(H243,Documents!$A$5:$A$657,0))="","",INDEX(Documents!$C$5:$C$657,MATCH(H243,Documents!$A$5:$A$657,0))),"")</f>
        <v>2019</v>
      </c>
      <c r="J243" s="25" t="str">
        <f aca="false">IFERROR(IF(INDEX(Documents!$D$5:$D$657,MATCH(H243,Documents!$A$5:$A$657,0))="","",INDEX(Documents!$D$5:$D$657,MATCH(H243,Documents!$A$5:$A$657,0))),"")</f>
        <v/>
      </c>
      <c r="K243" s="25" t="str">
        <f aca="false">IFERROR(IF(INDEX(Documents!$G$5:$G$657,MATCH(H243,Documents!$A$5:$A$657,0))="","",INDEX(Documents!$G$5:$G$657,MATCH(H243,Documents!$A$5:$A$657,0))),"")</f>
        <v/>
      </c>
      <c r="L243" s="25" t="s">
        <v>250</v>
      </c>
    </row>
    <row r="244" customFormat="false" ht="15" hidden="false" customHeight="false" outlineLevel="0" collapsed="false">
      <c r="A244" s="25" t="n">
        <v>27788150</v>
      </c>
      <c r="B244" s="25" t="s">
        <v>914</v>
      </c>
      <c r="C244" s="25" t="s">
        <v>915</v>
      </c>
      <c r="D244" s="26" t="n">
        <v>1564</v>
      </c>
      <c r="E244" s="27" t="n">
        <v>5.80576325127617</v>
      </c>
      <c r="F244" s="27" t="n">
        <v>5.80576325127617</v>
      </c>
      <c r="G244" s="25" t="s">
        <v>310</v>
      </c>
      <c r="H244" s="25" t="s">
        <v>311</v>
      </c>
      <c r="I244" s="25" t="n">
        <f aca="false">IFERROR(IF(INDEX(Documents!$C$5:$C$657,MATCH(H244,Documents!$A$5:$A$657,0))="","",INDEX(Documents!$C$5:$C$657,MATCH(H244,Documents!$A$5:$A$657,0))),"")</f>
        <v>2019</v>
      </c>
      <c r="J244" s="25" t="str">
        <f aca="false">IFERROR(IF(INDEX(Documents!$D$5:$D$657,MATCH(H244,Documents!$A$5:$A$657,0))="","",INDEX(Documents!$D$5:$D$657,MATCH(H244,Documents!$A$5:$A$657,0))),"")</f>
        <v/>
      </c>
      <c r="K244" s="25" t="str">
        <f aca="false">IFERROR(IF(INDEX(Documents!$G$5:$G$657,MATCH(H244,Documents!$A$5:$A$657,0))="","",INDEX(Documents!$G$5:$G$657,MATCH(H244,Documents!$A$5:$A$657,0))),"")</f>
        <v/>
      </c>
      <c r="L244" s="25" t="s">
        <v>312</v>
      </c>
    </row>
    <row r="245" customFormat="false" ht="15" hidden="false" customHeight="false" outlineLevel="0" collapsed="false">
      <c r="A245" s="25" t="n">
        <v>27787415</v>
      </c>
      <c r="B245" s="25" t="s">
        <v>916</v>
      </c>
      <c r="C245" s="25" t="s">
        <v>917</v>
      </c>
      <c r="D245" s="26" t="n">
        <v>529</v>
      </c>
      <c r="E245" s="27" t="n">
        <v>6.27654432796481</v>
      </c>
      <c r="F245" s="27" t="n">
        <v>6.27654432796481</v>
      </c>
      <c r="G245" s="25" t="s">
        <v>306</v>
      </c>
      <c r="H245" s="25" t="s">
        <v>307</v>
      </c>
      <c r="I245" s="25" t="n">
        <f aca="false">IFERROR(IF(INDEX(Documents!$C$5:$C$657,MATCH(H245,Documents!$A$5:$A$657,0))="","",INDEX(Documents!$C$5:$C$657,MATCH(H245,Documents!$A$5:$A$657,0))),"")</f>
        <v>2019</v>
      </c>
      <c r="J245" s="25" t="str">
        <f aca="false">IFERROR(IF(INDEX(Documents!$D$5:$D$657,MATCH(H245,Documents!$A$5:$A$657,0))="","",INDEX(Documents!$D$5:$D$657,MATCH(H245,Documents!$A$5:$A$657,0))),"")</f>
        <v/>
      </c>
      <c r="K245" s="25" t="str">
        <f aca="false">IFERROR(IF(INDEX(Documents!$G$5:$G$657,MATCH(H245,Documents!$A$5:$A$657,0))="","",INDEX(Documents!$G$5:$G$657,MATCH(H245,Documents!$A$5:$A$657,0))),"")</f>
        <v/>
      </c>
      <c r="L245" s="25" t="s">
        <v>250</v>
      </c>
    </row>
    <row r="246" customFormat="false" ht="15" hidden="false" customHeight="false" outlineLevel="0" collapsed="false">
      <c r="A246" s="25" t="n">
        <v>27787403</v>
      </c>
      <c r="B246" s="25" t="s">
        <v>918</v>
      </c>
      <c r="C246" s="25" t="s">
        <v>919</v>
      </c>
      <c r="D246" s="26" t="n">
        <v>1165</v>
      </c>
      <c r="E246" s="27" t="n">
        <v>5.93367407463796</v>
      </c>
      <c r="F246" s="27" t="n">
        <v>5.93367407463796</v>
      </c>
      <c r="G246" s="25" t="s">
        <v>306</v>
      </c>
      <c r="H246" s="25" t="s">
        <v>307</v>
      </c>
      <c r="I246" s="25" t="n">
        <f aca="false">IFERROR(IF(INDEX(Documents!$C$5:$C$657,MATCH(H246,Documents!$A$5:$A$657,0))="","",INDEX(Documents!$C$5:$C$657,MATCH(H246,Documents!$A$5:$A$657,0))),"")</f>
        <v>2019</v>
      </c>
      <c r="J246" s="25" t="str">
        <f aca="false">IFERROR(IF(INDEX(Documents!$D$5:$D$657,MATCH(H246,Documents!$A$5:$A$657,0))="","",INDEX(Documents!$D$5:$D$657,MATCH(H246,Documents!$A$5:$A$657,0))),"")</f>
        <v/>
      </c>
      <c r="K246" s="25" t="str">
        <f aca="false">IFERROR(IF(INDEX(Documents!$G$5:$G$657,MATCH(H246,Documents!$A$5:$A$657,0))="","",INDEX(Documents!$G$5:$G$657,MATCH(H246,Documents!$A$5:$A$657,0))),"")</f>
        <v/>
      </c>
      <c r="L246" s="25" t="s">
        <v>250</v>
      </c>
    </row>
    <row r="247" customFormat="false" ht="15" hidden="false" customHeight="false" outlineLevel="0" collapsed="false">
      <c r="A247" s="25" t="n">
        <v>27788102</v>
      </c>
      <c r="B247" s="25" t="s">
        <v>920</v>
      </c>
      <c r="C247" s="25" t="s">
        <v>921</v>
      </c>
      <c r="D247" s="26" t="n">
        <v>91</v>
      </c>
      <c r="E247" s="27" t="n">
        <v>7.04095860767891</v>
      </c>
      <c r="F247" s="27" t="n">
        <v>7.04095860767891</v>
      </c>
      <c r="G247" s="25" t="s">
        <v>310</v>
      </c>
      <c r="H247" s="25" t="s">
        <v>311</v>
      </c>
      <c r="I247" s="25" t="n">
        <f aca="false">IFERROR(IF(INDEX(Documents!$C$5:$C$657,MATCH(H247,Documents!$A$5:$A$657,0))="","",INDEX(Documents!$C$5:$C$657,MATCH(H247,Documents!$A$5:$A$657,0))),"")</f>
        <v>2019</v>
      </c>
      <c r="J247" s="25" t="str">
        <f aca="false">IFERROR(IF(INDEX(Documents!$D$5:$D$657,MATCH(H247,Documents!$A$5:$A$657,0))="","",INDEX(Documents!$D$5:$D$657,MATCH(H247,Documents!$A$5:$A$657,0))),"")</f>
        <v/>
      </c>
      <c r="K247" s="25" t="str">
        <f aca="false">IFERROR(IF(INDEX(Documents!$G$5:$G$657,MATCH(H247,Documents!$A$5:$A$657,0))="","",INDEX(Documents!$G$5:$G$657,MATCH(H247,Documents!$A$5:$A$657,0))),"")</f>
        <v/>
      </c>
      <c r="L247" s="25" t="s">
        <v>312</v>
      </c>
    </row>
    <row r="248" customFormat="false" ht="15" hidden="false" customHeight="false" outlineLevel="0" collapsed="false">
      <c r="A248" s="25" t="n">
        <v>27788090</v>
      </c>
      <c r="B248" s="25" t="s">
        <v>922</v>
      </c>
      <c r="C248" s="25" t="s">
        <v>923</v>
      </c>
      <c r="D248" s="26" t="n">
        <v>283</v>
      </c>
      <c r="E248" s="27" t="n">
        <v>6.54821356447571</v>
      </c>
      <c r="F248" s="27" t="n">
        <v>6.54821356447571</v>
      </c>
      <c r="G248" s="25" t="s">
        <v>310</v>
      </c>
      <c r="H248" s="25" t="s">
        <v>311</v>
      </c>
      <c r="I248" s="25" t="n">
        <f aca="false">IFERROR(IF(INDEX(Documents!$C$5:$C$657,MATCH(H248,Documents!$A$5:$A$657,0))="","",INDEX(Documents!$C$5:$C$657,MATCH(H248,Documents!$A$5:$A$657,0))),"")</f>
        <v>2019</v>
      </c>
      <c r="J248" s="25" t="str">
        <f aca="false">IFERROR(IF(INDEX(Documents!$D$5:$D$657,MATCH(H248,Documents!$A$5:$A$657,0))="","",INDEX(Documents!$D$5:$D$657,MATCH(H248,Documents!$A$5:$A$657,0))),"")</f>
        <v/>
      </c>
      <c r="K248" s="25" t="str">
        <f aca="false">IFERROR(IF(INDEX(Documents!$G$5:$G$657,MATCH(H248,Documents!$A$5:$A$657,0))="","",INDEX(Documents!$G$5:$G$657,MATCH(H248,Documents!$A$5:$A$657,0))),"")</f>
        <v/>
      </c>
      <c r="L248" s="25" t="s">
        <v>312</v>
      </c>
    </row>
    <row r="249" customFormat="false" ht="15" hidden="false" customHeight="false" outlineLevel="0" collapsed="false">
      <c r="A249" s="25" t="n">
        <v>27788078</v>
      </c>
      <c r="B249" s="25" t="s">
        <v>924</v>
      </c>
      <c r="C249" s="25" t="s">
        <v>925</v>
      </c>
      <c r="D249" s="26" t="n">
        <v>16</v>
      </c>
      <c r="E249" s="27" t="n">
        <v>7.79588001734408</v>
      </c>
      <c r="F249" s="27" t="n">
        <v>7.79588001734408</v>
      </c>
      <c r="G249" s="25" t="s">
        <v>310</v>
      </c>
      <c r="H249" s="25" t="s">
        <v>311</v>
      </c>
      <c r="I249" s="25" t="n">
        <f aca="false">IFERROR(IF(INDEX(Documents!$C$5:$C$657,MATCH(H249,Documents!$A$5:$A$657,0))="","",INDEX(Documents!$C$5:$C$657,MATCH(H249,Documents!$A$5:$A$657,0))),"")</f>
        <v>2019</v>
      </c>
      <c r="J249" s="25" t="str">
        <f aca="false">IFERROR(IF(INDEX(Documents!$D$5:$D$657,MATCH(H249,Documents!$A$5:$A$657,0))="","",INDEX(Documents!$D$5:$D$657,MATCH(H249,Documents!$A$5:$A$657,0))),"")</f>
        <v/>
      </c>
      <c r="K249" s="25" t="str">
        <f aca="false">IFERROR(IF(INDEX(Documents!$G$5:$G$657,MATCH(H249,Documents!$A$5:$A$657,0))="","",INDEX(Documents!$G$5:$G$657,MATCH(H249,Documents!$A$5:$A$657,0))),"")</f>
        <v/>
      </c>
      <c r="L249" s="25" t="s">
        <v>312</v>
      </c>
    </row>
    <row r="250" customFormat="false" ht="15" hidden="false" customHeight="false" outlineLevel="0" collapsed="false">
      <c r="A250" s="25" t="n">
        <v>27788144</v>
      </c>
      <c r="B250" s="25" t="s">
        <v>926</v>
      </c>
      <c r="C250" s="25" t="s">
        <v>927</v>
      </c>
      <c r="D250" s="26" t="n">
        <v>2497</v>
      </c>
      <c r="E250" s="27" t="n">
        <v>5.60258145764865</v>
      </c>
      <c r="F250" s="27" t="n">
        <v>5.60258145764865</v>
      </c>
      <c r="G250" s="25" t="s">
        <v>310</v>
      </c>
      <c r="H250" s="25" t="s">
        <v>311</v>
      </c>
      <c r="I250" s="25" t="n">
        <f aca="false">IFERROR(IF(INDEX(Documents!$C$5:$C$657,MATCH(H250,Documents!$A$5:$A$657,0))="","",INDEX(Documents!$C$5:$C$657,MATCH(H250,Documents!$A$5:$A$657,0))),"")</f>
        <v>2019</v>
      </c>
      <c r="J250" s="25" t="str">
        <f aca="false">IFERROR(IF(INDEX(Documents!$D$5:$D$657,MATCH(H250,Documents!$A$5:$A$657,0))="","",INDEX(Documents!$D$5:$D$657,MATCH(H250,Documents!$A$5:$A$657,0))),"")</f>
        <v/>
      </c>
      <c r="K250" s="25" t="str">
        <f aca="false">IFERROR(IF(INDEX(Documents!$G$5:$G$657,MATCH(H250,Documents!$A$5:$A$657,0))="","",INDEX(Documents!$G$5:$G$657,MATCH(H250,Documents!$A$5:$A$657,0))),"")</f>
        <v/>
      </c>
      <c r="L250" s="25" t="s">
        <v>312</v>
      </c>
    </row>
    <row r="251" customFormat="false" ht="15" hidden="false" customHeight="false" outlineLevel="0" collapsed="false">
      <c r="A251" s="25" t="n">
        <v>19051484</v>
      </c>
      <c r="B251" s="25" t="s">
        <v>928</v>
      </c>
      <c r="C251" s="25" t="s">
        <v>929</v>
      </c>
      <c r="D251" s="26" t="n">
        <v>0.871</v>
      </c>
      <c r="E251" s="27" t="n">
        <v>9.05998184499234</v>
      </c>
      <c r="F251" s="27" t="n">
        <v>9.05998184499234</v>
      </c>
      <c r="G251" s="25" t="s">
        <v>930</v>
      </c>
      <c r="H251" s="25" t="s">
        <v>931</v>
      </c>
      <c r="I251" s="25" t="n">
        <f aca="false">IFERROR(IF(INDEX(Documents!$C$5:$C$657,MATCH(H251,Documents!$A$5:$A$657,0))="","",INDEX(Documents!$C$5:$C$657,MATCH(H251,Documents!$A$5:$A$657,0))),"")</f>
        <v>2019</v>
      </c>
      <c r="J251" s="25" t="str">
        <f aca="false">IFERROR(IF(INDEX(Documents!$D$5:$D$657,MATCH(H251,Documents!$A$5:$A$657,0))="","",INDEX(Documents!$D$5:$D$657,MATCH(H251,Documents!$A$5:$A$657,0))),"")</f>
        <v>Medchemcomm</v>
      </c>
      <c r="K251" s="25" t="str">
        <f aca="false">IFERROR(IF(INDEX(Documents!$G$5:$G$657,MATCH(H251,Documents!$A$5:$A$657,0))="","",INDEX(Documents!$G$5:$G$657,MATCH(H251,Documents!$A$5:$A$657,0))),"")</f>
        <v>10.1039/C8MD00595H</v>
      </c>
      <c r="L251" s="25" t="s">
        <v>725</v>
      </c>
    </row>
    <row r="252" customFormat="false" ht="15" hidden="false" customHeight="false" outlineLevel="0" collapsed="false">
      <c r="A252" s="25" t="n">
        <v>16823032</v>
      </c>
      <c r="B252" s="25" t="s">
        <v>932</v>
      </c>
      <c r="C252" s="25" t="s">
        <v>933</v>
      </c>
      <c r="D252" s="26" t="n">
        <v>80</v>
      </c>
      <c r="E252" s="27" t="n">
        <v>7.09691001300806</v>
      </c>
      <c r="F252" s="27" t="n">
        <v>7.09691001300806</v>
      </c>
      <c r="G252" s="25" t="s">
        <v>934</v>
      </c>
      <c r="H252" s="25" t="s">
        <v>935</v>
      </c>
      <c r="I252" s="25" t="n">
        <f aca="false">IFERROR(IF(INDEX(Documents!$C$5:$C$657,MATCH(H252,Documents!$A$5:$A$657,0))="","",INDEX(Documents!$C$5:$C$657,MATCH(H252,Documents!$A$5:$A$657,0))),"")</f>
        <v>2016</v>
      </c>
      <c r="J252" s="25" t="str">
        <f aca="false">IFERROR(IF(INDEX(Documents!$D$5:$D$657,MATCH(H252,Documents!$A$5:$A$657,0))="","",INDEX(Documents!$D$5:$D$657,MATCH(H252,Documents!$A$5:$A$657,0))),"")</f>
        <v>Eur J Med Chem</v>
      </c>
      <c r="K252" s="25" t="str">
        <f aca="false">IFERROR(IF(INDEX(Documents!$G$5:$G$657,MATCH(H252,Documents!$A$5:$A$657,0))="","",INDEX(Documents!$G$5:$G$657,MATCH(H252,Documents!$A$5:$A$657,0))),"")</f>
        <v>10.1016/j.ejmech.2016.08.005</v>
      </c>
      <c r="L252" s="25" t="s">
        <v>936</v>
      </c>
    </row>
    <row r="253" customFormat="false" ht="15" hidden="false" customHeight="false" outlineLevel="0" collapsed="false">
      <c r="A253" s="25" t="n">
        <v>24382913</v>
      </c>
      <c r="B253" s="25" t="s">
        <v>937</v>
      </c>
      <c r="C253" s="25" t="s">
        <v>938</v>
      </c>
      <c r="D253" s="26" t="n">
        <v>0.4</v>
      </c>
      <c r="E253" s="27" t="n">
        <v>9.39794000867204</v>
      </c>
      <c r="F253" s="27" t="n">
        <v>9.39794000867204</v>
      </c>
      <c r="G253" s="25" t="s">
        <v>939</v>
      </c>
      <c r="H253" s="25" t="s">
        <v>940</v>
      </c>
      <c r="I253" s="25" t="n">
        <f aca="false">IFERROR(IF(INDEX(Documents!$C$5:$C$657,MATCH(H253,Documents!$A$5:$A$657,0))="","",INDEX(Documents!$C$5:$C$657,MATCH(H253,Documents!$A$5:$A$657,0))),"")</f>
        <v>2021</v>
      </c>
      <c r="J253" s="25" t="str">
        <f aca="false">IFERROR(IF(INDEX(Documents!$D$5:$D$657,MATCH(H253,Documents!$A$5:$A$657,0))="","",INDEX(Documents!$D$5:$D$657,MATCH(H253,Documents!$A$5:$A$657,0))),"")</f>
        <v>J Med Chem</v>
      </c>
      <c r="K253" s="25" t="str">
        <f aca="false">IFERROR(IF(INDEX(Documents!$G$5:$G$657,MATCH(H253,Documents!$A$5:$A$657,0))="","",INDEX(Documents!$G$5:$G$657,MATCH(H253,Documents!$A$5:$A$657,0))),"")</f>
        <v>10.1021/acs.jmedchem.0c02053</v>
      </c>
      <c r="L253" s="25" t="s">
        <v>941</v>
      </c>
    </row>
    <row r="254" customFormat="false" ht="15" hidden="false" customHeight="false" outlineLevel="0" collapsed="false">
      <c r="A254" s="25" t="n">
        <v>24382910</v>
      </c>
      <c r="B254" s="25" t="s">
        <v>942</v>
      </c>
      <c r="C254" s="25" t="s">
        <v>943</v>
      </c>
      <c r="D254" s="26" t="n">
        <v>3.15</v>
      </c>
      <c r="E254" s="27" t="n">
        <v>8.5016894462104</v>
      </c>
      <c r="F254" s="27" t="n">
        <v>8.5016894462104</v>
      </c>
      <c r="G254" s="25" t="s">
        <v>939</v>
      </c>
      <c r="H254" s="25" t="s">
        <v>940</v>
      </c>
      <c r="I254" s="25" t="n">
        <f aca="false">IFERROR(IF(INDEX(Documents!$C$5:$C$657,MATCH(H254,Documents!$A$5:$A$657,0))="","",INDEX(Documents!$C$5:$C$657,MATCH(H254,Documents!$A$5:$A$657,0))),"")</f>
        <v>2021</v>
      </c>
      <c r="J254" s="25" t="str">
        <f aca="false">IFERROR(IF(INDEX(Documents!$D$5:$D$657,MATCH(H254,Documents!$A$5:$A$657,0))="","",INDEX(Documents!$D$5:$D$657,MATCH(H254,Documents!$A$5:$A$657,0))),"")</f>
        <v>J Med Chem</v>
      </c>
      <c r="K254" s="25" t="str">
        <f aca="false">IFERROR(IF(INDEX(Documents!$G$5:$G$657,MATCH(H254,Documents!$A$5:$A$657,0))="","",INDEX(Documents!$G$5:$G$657,MATCH(H254,Documents!$A$5:$A$657,0))),"")</f>
        <v>10.1021/acs.jmedchem.0c02053</v>
      </c>
      <c r="L254" s="25" t="s">
        <v>941</v>
      </c>
    </row>
    <row r="255" customFormat="false" ht="15" hidden="false" customHeight="false" outlineLevel="0" collapsed="false">
      <c r="A255" s="25" t="n">
        <v>24382907</v>
      </c>
      <c r="B255" s="25" t="s">
        <v>944</v>
      </c>
      <c r="C255" s="25" t="s">
        <v>945</v>
      </c>
      <c r="D255" s="26" t="n">
        <v>1.4</v>
      </c>
      <c r="E255" s="27" t="n">
        <v>8.85387196432176</v>
      </c>
      <c r="F255" s="27" t="n">
        <v>8.85387196432176</v>
      </c>
      <c r="G255" s="25" t="s">
        <v>939</v>
      </c>
      <c r="H255" s="25" t="s">
        <v>940</v>
      </c>
      <c r="I255" s="25" t="n">
        <f aca="false">IFERROR(IF(INDEX(Documents!$C$5:$C$657,MATCH(H255,Documents!$A$5:$A$657,0))="","",INDEX(Documents!$C$5:$C$657,MATCH(H255,Documents!$A$5:$A$657,0))),"")</f>
        <v>2021</v>
      </c>
      <c r="J255" s="25" t="str">
        <f aca="false">IFERROR(IF(INDEX(Documents!$D$5:$D$657,MATCH(H255,Documents!$A$5:$A$657,0))="","",INDEX(Documents!$D$5:$D$657,MATCH(H255,Documents!$A$5:$A$657,0))),"")</f>
        <v>J Med Chem</v>
      </c>
      <c r="K255" s="25" t="str">
        <f aca="false">IFERROR(IF(INDEX(Documents!$G$5:$G$657,MATCH(H255,Documents!$A$5:$A$657,0))="","",INDEX(Documents!$G$5:$G$657,MATCH(H255,Documents!$A$5:$A$657,0))),"")</f>
        <v>10.1021/acs.jmedchem.0c02053</v>
      </c>
      <c r="L255" s="25" t="s">
        <v>941</v>
      </c>
    </row>
    <row r="256" customFormat="false" ht="15" hidden="false" customHeight="false" outlineLevel="0" collapsed="false">
      <c r="A256" s="25" t="n">
        <v>15610391</v>
      </c>
      <c r="B256" s="25" t="s">
        <v>946</v>
      </c>
      <c r="C256" s="25" t="s">
        <v>947</v>
      </c>
      <c r="D256" s="26" t="n">
        <v>416.1</v>
      </c>
      <c r="E256" s="27" t="n">
        <v>6.38080228420705</v>
      </c>
      <c r="F256" s="27" t="n">
        <v>6.38080228420705</v>
      </c>
      <c r="G256" s="25" t="s">
        <v>948</v>
      </c>
      <c r="H256" s="25" t="s">
        <v>949</v>
      </c>
      <c r="I256" s="25" t="n">
        <f aca="false">IFERROR(IF(INDEX(Documents!$C$5:$C$657,MATCH(H256,Documents!$A$5:$A$657,0))="","",INDEX(Documents!$C$5:$C$657,MATCH(H256,Documents!$A$5:$A$657,0))),"")</f>
        <v>2015</v>
      </c>
      <c r="J256" s="25" t="str">
        <f aca="false">IFERROR(IF(INDEX(Documents!$D$5:$D$657,MATCH(H256,Documents!$A$5:$A$657,0))="","",INDEX(Documents!$D$5:$D$657,MATCH(H256,Documents!$A$5:$A$657,0))),"")</f>
        <v>J Med Chem</v>
      </c>
      <c r="K256" s="25" t="str">
        <f aca="false">IFERROR(IF(INDEX(Documents!$G$5:$G$657,MATCH(H256,Documents!$A$5:$A$657,0))="","",INDEX(Documents!$G$5:$G$657,MATCH(H256,Documents!$A$5:$A$657,0))),"")</f>
        <v>10.1021/acs.jmedchem.5b00283</v>
      </c>
      <c r="L256" s="25" t="s">
        <v>950</v>
      </c>
    </row>
    <row r="257" customFormat="false" ht="15" hidden="false" customHeight="false" outlineLevel="0" collapsed="false">
      <c r="A257" s="25" t="n">
        <v>15610398</v>
      </c>
      <c r="B257" s="25" t="s">
        <v>951</v>
      </c>
      <c r="C257" s="25" t="s">
        <v>952</v>
      </c>
      <c r="D257" s="26" t="n">
        <v>3034.1</v>
      </c>
      <c r="E257" s="27" t="n">
        <v>5.51797010953067</v>
      </c>
      <c r="F257" s="27" t="n">
        <v>5.51797010953067</v>
      </c>
      <c r="G257" s="25" t="s">
        <v>948</v>
      </c>
      <c r="H257" s="25" t="s">
        <v>949</v>
      </c>
      <c r="I257" s="25" t="n">
        <f aca="false">IFERROR(IF(INDEX(Documents!$C$5:$C$657,MATCH(H257,Documents!$A$5:$A$657,0))="","",INDEX(Documents!$C$5:$C$657,MATCH(H257,Documents!$A$5:$A$657,0))),"")</f>
        <v>2015</v>
      </c>
      <c r="J257" s="25" t="str">
        <f aca="false">IFERROR(IF(INDEX(Documents!$D$5:$D$657,MATCH(H257,Documents!$A$5:$A$657,0))="","",INDEX(Documents!$D$5:$D$657,MATCH(H257,Documents!$A$5:$A$657,0))),"")</f>
        <v>J Med Chem</v>
      </c>
      <c r="K257" s="25" t="str">
        <f aca="false">IFERROR(IF(INDEX(Documents!$G$5:$G$657,MATCH(H257,Documents!$A$5:$A$657,0))="","",INDEX(Documents!$G$5:$G$657,MATCH(H257,Documents!$A$5:$A$657,0))),"")</f>
        <v>10.1021/acs.jmedchem.5b00283</v>
      </c>
      <c r="L257" s="25" t="s">
        <v>950</v>
      </c>
    </row>
    <row r="258" customFormat="false" ht="15" hidden="false" customHeight="false" outlineLevel="0" collapsed="false">
      <c r="A258" s="25" t="n">
        <v>10852549</v>
      </c>
      <c r="B258" s="25" t="s">
        <v>953</v>
      </c>
      <c r="C258" s="25" t="s">
        <v>954</v>
      </c>
      <c r="D258" s="26" t="n">
        <v>128</v>
      </c>
      <c r="E258" s="27" t="n">
        <v>6.89279003035213</v>
      </c>
      <c r="F258" s="27" t="n">
        <v>6.89279003035213</v>
      </c>
      <c r="G258" s="25" t="s">
        <v>636</v>
      </c>
      <c r="H258" s="25" t="s">
        <v>637</v>
      </c>
      <c r="I258" s="25" t="n">
        <f aca="false">IFERROR(IF(INDEX(Documents!$C$5:$C$657,MATCH(H258,Documents!$A$5:$A$657,0))="","",INDEX(Documents!$C$5:$C$657,MATCH(H258,Documents!$A$5:$A$657,0))),"")</f>
        <v>2012</v>
      </c>
      <c r="J258" s="25" t="str">
        <f aca="false">IFERROR(IF(INDEX(Documents!$D$5:$D$657,MATCH(H258,Documents!$A$5:$A$657,0))="","",INDEX(Documents!$D$5:$D$657,MATCH(H258,Documents!$A$5:$A$657,0))),"")</f>
        <v>Bioorg Med Chem Lett</v>
      </c>
      <c r="K258" s="25" t="str">
        <f aca="false">IFERROR(IF(INDEX(Documents!$G$5:$G$657,MATCH(H258,Documents!$A$5:$A$657,0))="","",INDEX(Documents!$G$5:$G$657,MATCH(H258,Documents!$A$5:$A$657,0))),"")</f>
        <v>10.1016/j.bmcl.2012.02.054</v>
      </c>
      <c r="L258" s="25" t="s">
        <v>638</v>
      </c>
    </row>
    <row r="259" customFormat="false" ht="15" hidden="false" customHeight="false" outlineLevel="0" collapsed="false">
      <c r="A259" s="25" t="n">
        <v>10852546</v>
      </c>
      <c r="B259" s="25" t="s">
        <v>955</v>
      </c>
      <c r="C259" s="25" t="s">
        <v>956</v>
      </c>
      <c r="D259" s="26" t="n">
        <v>377</v>
      </c>
      <c r="E259" s="27" t="n">
        <v>6.42365864979421</v>
      </c>
      <c r="F259" s="27" t="n">
        <v>6.42365864979421</v>
      </c>
      <c r="G259" s="25" t="s">
        <v>636</v>
      </c>
      <c r="H259" s="25" t="s">
        <v>637</v>
      </c>
      <c r="I259" s="25" t="n">
        <f aca="false">IFERROR(IF(INDEX(Documents!$C$5:$C$657,MATCH(H259,Documents!$A$5:$A$657,0))="","",INDEX(Documents!$C$5:$C$657,MATCH(H259,Documents!$A$5:$A$657,0))),"")</f>
        <v>2012</v>
      </c>
      <c r="J259" s="25" t="str">
        <f aca="false">IFERROR(IF(INDEX(Documents!$D$5:$D$657,MATCH(H259,Documents!$A$5:$A$657,0))="","",INDEX(Documents!$D$5:$D$657,MATCH(H259,Documents!$A$5:$A$657,0))),"")</f>
        <v>Bioorg Med Chem Lett</v>
      </c>
      <c r="K259" s="25" t="str">
        <f aca="false">IFERROR(IF(INDEX(Documents!$G$5:$G$657,MATCH(H259,Documents!$A$5:$A$657,0))="","",INDEX(Documents!$G$5:$G$657,MATCH(H259,Documents!$A$5:$A$657,0))),"")</f>
        <v>10.1016/j.bmcl.2012.02.054</v>
      </c>
      <c r="L259" s="25" t="s">
        <v>638</v>
      </c>
    </row>
    <row r="260" customFormat="false" ht="15" hidden="false" customHeight="false" outlineLevel="0" collapsed="false">
      <c r="A260" s="25" t="n">
        <v>10852547</v>
      </c>
      <c r="B260" s="25" t="s">
        <v>957</v>
      </c>
      <c r="C260" s="25" t="s">
        <v>958</v>
      </c>
      <c r="D260" s="26" t="n">
        <v>3</v>
      </c>
      <c r="E260" s="27" t="n">
        <v>8.52287874528034</v>
      </c>
      <c r="F260" s="27" t="n">
        <v>8.52287874528034</v>
      </c>
      <c r="G260" s="25" t="s">
        <v>636</v>
      </c>
      <c r="H260" s="25" t="s">
        <v>637</v>
      </c>
      <c r="I260" s="25" t="n">
        <f aca="false">IFERROR(IF(INDEX(Documents!$C$5:$C$657,MATCH(H260,Documents!$A$5:$A$657,0))="","",INDEX(Documents!$C$5:$C$657,MATCH(H260,Documents!$A$5:$A$657,0))),"")</f>
        <v>2012</v>
      </c>
      <c r="J260" s="25" t="str">
        <f aca="false">IFERROR(IF(INDEX(Documents!$D$5:$D$657,MATCH(H260,Documents!$A$5:$A$657,0))="","",INDEX(Documents!$D$5:$D$657,MATCH(H260,Documents!$A$5:$A$657,0))),"")</f>
        <v>Bioorg Med Chem Lett</v>
      </c>
      <c r="K260" s="25" t="str">
        <f aca="false">IFERROR(IF(INDEX(Documents!$G$5:$G$657,MATCH(H260,Documents!$A$5:$A$657,0))="","",INDEX(Documents!$G$5:$G$657,MATCH(H260,Documents!$A$5:$A$657,0))),"")</f>
        <v>10.1016/j.bmcl.2012.02.054</v>
      </c>
      <c r="L260" s="25" t="s">
        <v>638</v>
      </c>
    </row>
    <row r="261" customFormat="false" ht="15" hidden="false" customHeight="false" outlineLevel="0" collapsed="false">
      <c r="A261" s="25" t="n">
        <v>10852548</v>
      </c>
      <c r="B261" s="25" t="s">
        <v>959</v>
      </c>
      <c r="C261" s="25" t="s">
        <v>960</v>
      </c>
      <c r="D261" s="26" t="n">
        <v>4.4</v>
      </c>
      <c r="E261" s="27" t="n">
        <v>8.35654732351381</v>
      </c>
      <c r="F261" s="27" t="n">
        <v>8.35654732351381</v>
      </c>
      <c r="G261" s="25" t="s">
        <v>636</v>
      </c>
      <c r="H261" s="25" t="s">
        <v>637</v>
      </c>
      <c r="I261" s="25" t="n">
        <f aca="false">IFERROR(IF(INDEX(Documents!$C$5:$C$657,MATCH(H261,Documents!$A$5:$A$657,0))="","",INDEX(Documents!$C$5:$C$657,MATCH(H261,Documents!$A$5:$A$657,0))),"")</f>
        <v>2012</v>
      </c>
      <c r="J261" s="25" t="str">
        <f aca="false">IFERROR(IF(INDEX(Documents!$D$5:$D$657,MATCH(H261,Documents!$A$5:$A$657,0))="","",INDEX(Documents!$D$5:$D$657,MATCH(H261,Documents!$A$5:$A$657,0))),"")</f>
        <v>Bioorg Med Chem Lett</v>
      </c>
      <c r="K261" s="25" t="str">
        <f aca="false">IFERROR(IF(INDEX(Documents!$G$5:$G$657,MATCH(H261,Documents!$A$5:$A$657,0))="","",INDEX(Documents!$G$5:$G$657,MATCH(H261,Documents!$A$5:$A$657,0))),"")</f>
        <v>10.1016/j.bmcl.2012.02.054</v>
      </c>
      <c r="L261" s="25" t="s">
        <v>638</v>
      </c>
    </row>
    <row r="262" customFormat="false" ht="15" hidden="false" customHeight="false" outlineLevel="0" collapsed="false">
      <c r="A262" s="25" t="n">
        <v>10852545</v>
      </c>
      <c r="B262" s="25" t="s">
        <v>961</v>
      </c>
      <c r="C262" s="25" t="s">
        <v>962</v>
      </c>
      <c r="D262" s="26" t="n">
        <v>1.1</v>
      </c>
      <c r="E262" s="27" t="n">
        <v>8.95860731484178</v>
      </c>
      <c r="F262" s="27" t="n">
        <v>8.95860731484178</v>
      </c>
      <c r="G262" s="25" t="s">
        <v>636</v>
      </c>
      <c r="H262" s="25" t="s">
        <v>637</v>
      </c>
      <c r="I262" s="25" t="n">
        <f aca="false">IFERROR(IF(INDEX(Documents!$C$5:$C$657,MATCH(H262,Documents!$A$5:$A$657,0))="","",INDEX(Documents!$C$5:$C$657,MATCH(H262,Documents!$A$5:$A$657,0))),"")</f>
        <v>2012</v>
      </c>
      <c r="J262" s="25" t="str">
        <f aca="false">IFERROR(IF(INDEX(Documents!$D$5:$D$657,MATCH(H262,Documents!$A$5:$A$657,0))="","",INDEX(Documents!$D$5:$D$657,MATCH(H262,Documents!$A$5:$A$657,0))),"")</f>
        <v>Bioorg Med Chem Lett</v>
      </c>
      <c r="K262" s="25" t="str">
        <f aca="false">IFERROR(IF(INDEX(Documents!$G$5:$G$657,MATCH(H262,Documents!$A$5:$A$657,0))="","",INDEX(Documents!$G$5:$G$657,MATCH(H262,Documents!$A$5:$A$657,0))),"")</f>
        <v>10.1016/j.bmcl.2012.02.054</v>
      </c>
      <c r="L262" s="25" t="s">
        <v>638</v>
      </c>
    </row>
    <row r="263" customFormat="false" ht="15" hidden="false" customHeight="false" outlineLevel="0" collapsed="false">
      <c r="A263" s="25" t="n">
        <v>10852543</v>
      </c>
      <c r="B263" s="25" t="s">
        <v>963</v>
      </c>
      <c r="C263" s="25" t="s">
        <v>964</v>
      </c>
      <c r="D263" s="26" t="n">
        <v>2823</v>
      </c>
      <c r="E263" s="27" t="n">
        <v>5.54928912185308</v>
      </c>
      <c r="F263" s="27" t="n">
        <v>5.54928912185308</v>
      </c>
      <c r="G263" s="25" t="s">
        <v>636</v>
      </c>
      <c r="H263" s="25" t="s">
        <v>637</v>
      </c>
      <c r="I263" s="25" t="n">
        <f aca="false">IFERROR(IF(INDEX(Documents!$C$5:$C$657,MATCH(H263,Documents!$A$5:$A$657,0))="","",INDEX(Documents!$C$5:$C$657,MATCH(H263,Documents!$A$5:$A$657,0))),"")</f>
        <v>2012</v>
      </c>
      <c r="J263" s="25" t="str">
        <f aca="false">IFERROR(IF(INDEX(Documents!$D$5:$D$657,MATCH(H263,Documents!$A$5:$A$657,0))="","",INDEX(Documents!$D$5:$D$657,MATCH(H263,Documents!$A$5:$A$657,0))),"")</f>
        <v>Bioorg Med Chem Lett</v>
      </c>
      <c r="K263" s="25" t="str">
        <f aca="false">IFERROR(IF(INDEX(Documents!$G$5:$G$657,MATCH(H263,Documents!$A$5:$A$657,0))="","",INDEX(Documents!$G$5:$G$657,MATCH(H263,Documents!$A$5:$A$657,0))),"")</f>
        <v>10.1016/j.bmcl.2012.02.054</v>
      </c>
      <c r="L263" s="25" t="s">
        <v>638</v>
      </c>
    </row>
    <row r="264" customFormat="false" ht="15" hidden="false" customHeight="false" outlineLevel="0" collapsed="false">
      <c r="A264" s="25" t="n">
        <v>10852544</v>
      </c>
      <c r="B264" s="25" t="s">
        <v>965</v>
      </c>
      <c r="C264" s="25" t="s">
        <v>966</v>
      </c>
      <c r="D264" s="26" t="n">
        <v>6</v>
      </c>
      <c r="E264" s="27" t="n">
        <v>8.22184874961636</v>
      </c>
      <c r="F264" s="27" t="n">
        <v>8.22184874961636</v>
      </c>
      <c r="G264" s="25" t="s">
        <v>636</v>
      </c>
      <c r="H264" s="25" t="s">
        <v>637</v>
      </c>
      <c r="I264" s="25" t="n">
        <f aca="false">IFERROR(IF(INDEX(Documents!$C$5:$C$657,MATCH(H264,Documents!$A$5:$A$657,0))="","",INDEX(Documents!$C$5:$C$657,MATCH(H264,Documents!$A$5:$A$657,0))),"")</f>
        <v>2012</v>
      </c>
      <c r="J264" s="25" t="str">
        <f aca="false">IFERROR(IF(INDEX(Documents!$D$5:$D$657,MATCH(H264,Documents!$A$5:$A$657,0))="","",INDEX(Documents!$D$5:$D$657,MATCH(H264,Documents!$A$5:$A$657,0))),"")</f>
        <v>Bioorg Med Chem Lett</v>
      </c>
      <c r="K264" s="25" t="str">
        <f aca="false">IFERROR(IF(INDEX(Documents!$G$5:$G$657,MATCH(H264,Documents!$A$5:$A$657,0))="","",INDEX(Documents!$G$5:$G$657,MATCH(H264,Documents!$A$5:$A$657,0))),"")</f>
        <v>10.1016/j.bmcl.2012.02.054</v>
      </c>
      <c r="L264" s="25" t="s">
        <v>638</v>
      </c>
    </row>
    <row r="265" customFormat="false" ht="15" hidden="false" customHeight="false" outlineLevel="0" collapsed="false">
      <c r="A265" s="25" t="n">
        <v>10852539</v>
      </c>
      <c r="B265" s="25" t="s">
        <v>967</v>
      </c>
      <c r="C265" s="25" t="s">
        <v>968</v>
      </c>
      <c r="D265" s="26" t="n">
        <v>1.2</v>
      </c>
      <c r="E265" s="27" t="n">
        <v>8.92081875395238</v>
      </c>
      <c r="F265" s="27" t="n">
        <v>8.92081875395238</v>
      </c>
      <c r="G265" s="25" t="s">
        <v>636</v>
      </c>
      <c r="H265" s="25" t="s">
        <v>637</v>
      </c>
      <c r="I265" s="25" t="n">
        <f aca="false">IFERROR(IF(INDEX(Documents!$C$5:$C$657,MATCH(H265,Documents!$A$5:$A$657,0))="","",INDEX(Documents!$C$5:$C$657,MATCH(H265,Documents!$A$5:$A$657,0))),"")</f>
        <v>2012</v>
      </c>
      <c r="J265" s="25" t="str">
        <f aca="false">IFERROR(IF(INDEX(Documents!$D$5:$D$657,MATCH(H265,Documents!$A$5:$A$657,0))="","",INDEX(Documents!$D$5:$D$657,MATCH(H265,Documents!$A$5:$A$657,0))),"")</f>
        <v>Bioorg Med Chem Lett</v>
      </c>
      <c r="K265" s="25" t="str">
        <f aca="false">IFERROR(IF(INDEX(Documents!$G$5:$G$657,MATCH(H265,Documents!$A$5:$A$657,0))="","",INDEX(Documents!$G$5:$G$657,MATCH(H265,Documents!$A$5:$A$657,0))),"")</f>
        <v>10.1016/j.bmcl.2012.02.054</v>
      </c>
      <c r="L265" s="25" t="s">
        <v>638</v>
      </c>
    </row>
    <row r="266" customFormat="false" ht="15" hidden="false" customHeight="false" outlineLevel="0" collapsed="false">
      <c r="A266" s="25" t="n">
        <v>10852538</v>
      </c>
      <c r="B266" s="25" t="s">
        <v>969</v>
      </c>
      <c r="C266" s="25" t="s">
        <v>970</v>
      </c>
      <c r="D266" s="26" t="n">
        <v>1</v>
      </c>
      <c r="E266" s="27" t="n">
        <v>9</v>
      </c>
      <c r="F266" s="27" t="n">
        <v>9</v>
      </c>
      <c r="G266" s="25" t="s">
        <v>636</v>
      </c>
      <c r="H266" s="25" t="s">
        <v>637</v>
      </c>
      <c r="I266" s="25" t="n">
        <f aca="false">IFERROR(IF(INDEX(Documents!$C$5:$C$657,MATCH(H266,Documents!$A$5:$A$657,0))="","",INDEX(Documents!$C$5:$C$657,MATCH(H266,Documents!$A$5:$A$657,0))),"")</f>
        <v>2012</v>
      </c>
      <c r="J266" s="25" t="str">
        <f aca="false">IFERROR(IF(INDEX(Documents!$D$5:$D$657,MATCH(H266,Documents!$A$5:$A$657,0))="","",INDEX(Documents!$D$5:$D$657,MATCH(H266,Documents!$A$5:$A$657,0))),"")</f>
        <v>Bioorg Med Chem Lett</v>
      </c>
      <c r="K266" s="25" t="str">
        <f aca="false">IFERROR(IF(INDEX(Documents!$G$5:$G$657,MATCH(H266,Documents!$A$5:$A$657,0))="","",INDEX(Documents!$G$5:$G$657,MATCH(H266,Documents!$A$5:$A$657,0))),"")</f>
        <v>10.1016/j.bmcl.2012.02.054</v>
      </c>
      <c r="L266" s="25" t="s">
        <v>638</v>
      </c>
    </row>
    <row r="267" customFormat="false" ht="15" hidden="false" customHeight="false" outlineLevel="0" collapsed="false">
      <c r="A267" s="25" t="n">
        <v>10852540</v>
      </c>
      <c r="B267" s="25" t="s">
        <v>971</v>
      </c>
      <c r="C267" s="25" t="s">
        <v>972</v>
      </c>
      <c r="D267" s="26" t="n">
        <v>0.6</v>
      </c>
      <c r="E267" s="27" t="n">
        <v>9.22184874961636</v>
      </c>
      <c r="F267" s="27" t="n">
        <v>9.22184874961636</v>
      </c>
      <c r="G267" s="25" t="s">
        <v>636</v>
      </c>
      <c r="H267" s="25" t="s">
        <v>637</v>
      </c>
      <c r="I267" s="25" t="n">
        <f aca="false">IFERROR(IF(INDEX(Documents!$C$5:$C$657,MATCH(H267,Documents!$A$5:$A$657,0))="","",INDEX(Documents!$C$5:$C$657,MATCH(H267,Documents!$A$5:$A$657,0))),"")</f>
        <v>2012</v>
      </c>
      <c r="J267" s="25" t="str">
        <f aca="false">IFERROR(IF(INDEX(Documents!$D$5:$D$657,MATCH(H267,Documents!$A$5:$A$657,0))="","",INDEX(Documents!$D$5:$D$657,MATCH(H267,Documents!$A$5:$A$657,0))),"")</f>
        <v>Bioorg Med Chem Lett</v>
      </c>
      <c r="K267" s="25" t="str">
        <f aca="false">IFERROR(IF(INDEX(Documents!$G$5:$G$657,MATCH(H267,Documents!$A$5:$A$657,0))="","",INDEX(Documents!$G$5:$G$657,MATCH(H267,Documents!$A$5:$A$657,0))),"")</f>
        <v>10.1016/j.bmcl.2012.02.054</v>
      </c>
      <c r="L267" s="25" t="s">
        <v>638</v>
      </c>
    </row>
    <row r="268" customFormat="false" ht="15" hidden="false" customHeight="false" outlineLevel="0" collapsed="false">
      <c r="A268" s="25" t="n">
        <v>10852550</v>
      </c>
      <c r="B268" s="25" t="s">
        <v>973</v>
      </c>
      <c r="C268" s="25" t="s">
        <v>974</v>
      </c>
      <c r="D268" s="26" t="n">
        <v>2.8</v>
      </c>
      <c r="E268" s="27" t="n">
        <v>8.55284196865778</v>
      </c>
      <c r="F268" s="27" t="n">
        <v>8.55284196865778</v>
      </c>
      <c r="G268" s="25" t="s">
        <v>636</v>
      </c>
      <c r="H268" s="25" t="s">
        <v>637</v>
      </c>
      <c r="I268" s="25" t="n">
        <f aca="false">IFERROR(IF(INDEX(Documents!$C$5:$C$657,MATCH(H268,Documents!$A$5:$A$657,0))="","",INDEX(Documents!$C$5:$C$657,MATCH(H268,Documents!$A$5:$A$657,0))),"")</f>
        <v>2012</v>
      </c>
      <c r="J268" s="25" t="str">
        <f aca="false">IFERROR(IF(INDEX(Documents!$D$5:$D$657,MATCH(H268,Documents!$A$5:$A$657,0))="","",INDEX(Documents!$D$5:$D$657,MATCH(H268,Documents!$A$5:$A$657,0))),"")</f>
        <v>Bioorg Med Chem Lett</v>
      </c>
      <c r="K268" s="25" t="str">
        <f aca="false">IFERROR(IF(INDEX(Documents!$G$5:$G$657,MATCH(H268,Documents!$A$5:$A$657,0))="","",INDEX(Documents!$G$5:$G$657,MATCH(H268,Documents!$A$5:$A$657,0))),"")</f>
        <v>10.1016/j.bmcl.2012.02.054</v>
      </c>
      <c r="L268" s="25" t="s">
        <v>638</v>
      </c>
    </row>
    <row r="269" customFormat="false" ht="15" hidden="false" customHeight="false" outlineLevel="0" collapsed="false">
      <c r="A269" s="25" t="n">
        <v>10852551</v>
      </c>
      <c r="B269" s="25" t="s">
        <v>975</v>
      </c>
      <c r="C269" s="25" t="s">
        <v>976</v>
      </c>
      <c r="D269" s="26" t="n">
        <v>7.3</v>
      </c>
      <c r="E269" s="27" t="n">
        <v>8.13667713987955</v>
      </c>
      <c r="F269" s="27" t="n">
        <v>8.13667713987955</v>
      </c>
      <c r="G269" s="25" t="s">
        <v>636</v>
      </c>
      <c r="H269" s="25" t="s">
        <v>637</v>
      </c>
      <c r="I269" s="25" t="n">
        <f aca="false">IFERROR(IF(INDEX(Documents!$C$5:$C$657,MATCH(H269,Documents!$A$5:$A$657,0))="","",INDEX(Documents!$C$5:$C$657,MATCH(H269,Documents!$A$5:$A$657,0))),"")</f>
        <v>2012</v>
      </c>
      <c r="J269" s="25" t="str">
        <f aca="false">IFERROR(IF(INDEX(Documents!$D$5:$D$657,MATCH(H269,Documents!$A$5:$A$657,0))="","",INDEX(Documents!$D$5:$D$657,MATCH(H269,Documents!$A$5:$A$657,0))),"")</f>
        <v>Bioorg Med Chem Lett</v>
      </c>
      <c r="K269" s="25" t="str">
        <f aca="false">IFERROR(IF(INDEX(Documents!$G$5:$G$657,MATCH(H269,Documents!$A$5:$A$657,0))="","",INDEX(Documents!$G$5:$G$657,MATCH(H269,Documents!$A$5:$A$657,0))),"")</f>
        <v>10.1016/j.bmcl.2012.02.054</v>
      </c>
      <c r="L269" s="25" t="s">
        <v>638</v>
      </c>
    </row>
    <row r="270" customFormat="false" ht="15" hidden="false" customHeight="false" outlineLevel="0" collapsed="false">
      <c r="A270" s="25" t="n">
        <v>10852536</v>
      </c>
      <c r="B270" s="25" t="s">
        <v>977</v>
      </c>
      <c r="C270" s="25" t="s">
        <v>978</v>
      </c>
      <c r="D270" s="26" t="n">
        <v>349</v>
      </c>
      <c r="E270" s="27" t="n">
        <v>6.45717457304082</v>
      </c>
      <c r="F270" s="27" t="n">
        <v>6.45717457304082</v>
      </c>
      <c r="G270" s="25" t="s">
        <v>636</v>
      </c>
      <c r="H270" s="25" t="s">
        <v>637</v>
      </c>
      <c r="I270" s="25" t="n">
        <f aca="false">IFERROR(IF(INDEX(Documents!$C$5:$C$657,MATCH(H270,Documents!$A$5:$A$657,0))="","",INDEX(Documents!$C$5:$C$657,MATCH(H270,Documents!$A$5:$A$657,0))),"")</f>
        <v>2012</v>
      </c>
      <c r="J270" s="25" t="str">
        <f aca="false">IFERROR(IF(INDEX(Documents!$D$5:$D$657,MATCH(H270,Documents!$A$5:$A$657,0))="","",INDEX(Documents!$D$5:$D$657,MATCH(H270,Documents!$A$5:$A$657,0))),"")</f>
        <v>Bioorg Med Chem Lett</v>
      </c>
      <c r="K270" s="25" t="str">
        <f aca="false">IFERROR(IF(INDEX(Documents!$G$5:$G$657,MATCH(H270,Documents!$A$5:$A$657,0))="","",INDEX(Documents!$G$5:$G$657,MATCH(H270,Documents!$A$5:$A$657,0))),"")</f>
        <v>10.1016/j.bmcl.2012.02.054</v>
      </c>
      <c r="L270" s="25" t="s">
        <v>638</v>
      </c>
    </row>
    <row r="271" customFormat="false" ht="15" hidden="false" customHeight="false" outlineLevel="0" collapsed="false">
      <c r="A271" s="25" t="n">
        <v>15610397</v>
      </c>
      <c r="B271" s="25" t="s">
        <v>979</v>
      </c>
      <c r="C271" s="25" t="s">
        <v>980</v>
      </c>
      <c r="D271" s="26" t="n">
        <v>3958.3</v>
      </c>
      <c r="E271" s="27" t="n">
        <v>5.40249129365485</v>
      </c>
      <c r="F271" s="27" t="n">
        <v>5.40249129365485</v>
      </c>
      <c r="G271" s="25" t="s">
        <v>948</v>
      </c>
      <c r="H271" s="25" t="s">
        <v>949</v>
      </c>
      <c r="I271" s="25" t="n">
        <f aca="false">IFERROR(IF(INDEX(Documents!$C$5:$C$657,MATCH(H271,Documents!$A$5:$A$657,0))="","",INDEX(Documents!$C$5:$C$657,MATCH(H271,Documents!$A$5:$A$657,0))),"")</f>
        <v>2015</v>
      </c>
      <c r="J271" s="25" t="str">
        <f aca="false">IFERROR(IF(INDEX(Documents!$D$5:$D$657,MATCH(H271,Documents!$A$5:$A$657,0))="","",INDEX(Documents!$D$5:$D$657,MATCH(H271,Documents!$A$5:$A$657,0))),"")</f>
        <v>J Med Chem</v>
      </c>
      <c r="K271" s="25" t="str">
        <f aca="false">IFERROR(IF(INDEX(Documents!$G$5:$G$657,MATCH(H271,Documents!$A$5:$A$657,0))="","",INDEX(Documents!$G$5:$G$657,MATCH(H271,Documents!$A$5:$A$657,0))),"")</f>
        <v>10.1021/acs.jmedchem.5b00283</v>
      </c>
      <c r="L271" s="25" t="s">
        <v>950</v>
      </c>
    </row>
    <row r="272" customFormat="false" ht="15" hidden="false" customHeight="false" outlineLevel="0" collapsed="false">
      <c r="A272" s="25" t="n">
        <v>16304810</v>
      </c>
      <c r="B272" s="25" t="s">
        <v>981</v>
      </c>
      <c r="C272" s="25" t="s">
        <v>982</v>
      </c>
      <c r="D272" s="26" t="n">
        <v>1.3</v>
      </c>
      <c r="E272" s="27" t="n">
        <v>8.88605664769316</v>
      </c>
      <c r="F272" s="27" t="n">
        <v>8.88605664769316</v>
      </c>
      <c r="G272" s="25" t="s">
        <v>326</v>
      </c>
      <c r="H272" s="25" t="s">
        <v>327</v>
      </c>
      <c r="I272" s="25" t="n">
        <f aca="false">IFERROR(IF(INDEX(Documents!$C$5:$C$657,MATCH(H272,Documents!$A$5:$A$657,0))="","",INDEX(Documents!$C$5:$C$657,MATCH(H272,Documents!$A$5:$A$657,0))),"")</f>
        <v>2014</v>
      </c>
      <c r="J272" s="25" t="str">
        <f aca="false">IFERROR(IF(INDEX(Documents!$D$5:$D$657,MATCH(H272,Documents!$A$5:$A$657,0))="","",INDEX(Documents!$D$5:$D$657,MATCH(H272,Documents!$A$5:$A$657,0))),"")</f>
        <v/>
      </c>
      <c r="K272" s="25" t="str">
        <f aca="false">IFERROR(IF(INDEX(Documents!$G$5:$G$657,MATCH(H272,Documents!$A$5:$A$657,0))="","",INDEX(Documents!$G$5:$G$657,MATCH(H272,Documents!$A$5:$A$657,0))),"")</f>
        <v/>
      </c>
      <c r="L272" s="25" t="s">
        <v>328</v>
      </c>
    </row>
    <row r="273" customFormat="false" ht="15" hidden="false" customHeight="false" outlineLevel="0" collapsed="false">
      <c r="A273" s="25" t="n">
        <v>2355473</v>
      </c>
      <c r="B273" s="25" t="s">
        <v>983</v>
      </c>
      <c r="C273" s="25" t="s">
        <v>984</v>
      </c>
      <c r="D273" s="26" t="n">
        <v>8</v>
      </c>
      <c r="E273" s="27" t="n">
        <v>8.09691001300806</v>
      </c>
      <c r="F273" s="27" t="n">
        <v>8.09691001300806</v>
      </c>
      <c r="G273" s="25" t="s">
        <v>773</v>
      </c>
      <c r="H273" s="25" t="s">
        <v>774</v>
      </c>
      <c r="I273" s="25" t="n">
        <f aca="false">IFERROR(IF(INDEX(Documents!$C$5:$C$657,MATCH(H273,Documents!$A$5:$A$657,0))="","",INDEX(Documents!$C$5:$C$657,MATCH(H273,Documents!$A$5:$A$657,0))),"")</f>
        <v>2008</v>
      </c>
      <c r="J273" s="25" t="str">
        <f aca="false">IFERROR(IF(INDEX(Documents!$D$5:$D$657,MATCH(H273,Documents!$A$5:$A$657,0))="","",INDEX(Documents!$D$5:$D$657,MATCH(H273,Documents!$A$5:$A$657,0))),"")</f>
        <v>Bioorg Med Chem Lett</v>
      </c>
      <c r="K273" s="25" t="str">
        <f aca="false">IFERROR(IF(INDEX(Documents!$G$5:$G$657,MATCH(H273,Documents!$A$5:$A$657,0))="","",INDEX(Documents!$G$5:$G$657,MATCH(H273,Documents!$A$5:$A$657,0))),"")</f>
        <v>10.1016/j.bmcl.2008.04.032</v>
      </c>
      <c r="L273" s="25" t="s">
        <v>775</v>
      </c>
    </row>
    <row r="274" customFormat="false" ht="15" hidden="false" customHeight="false" outlineLevel="0" collapsed="false">
      <c r="A274" s="25" t="n">
        <v>22916886</v>
      </c>
      <c r="B274" s="25" t="s">
        <v>985</v>
      </c>
      <c r="C274" s="25" t="s">
        <v>986</v>
      </c>
      <c r="D274" s="26" t="n">
        <v>17</v>
      </c>
      <c r="E274" s="27" t="n">
        <v>7.76955107862173</v>
      </c>
      <c r="F274" s="27" t="n">
        <v>7.76955107862173</v>
      </c>
      <c r="G274" s="25" t="s">
        <v>987</v>
      </c>
      <c r="H274" s="25" t="s">
        <v>988</v>
      </c>
      <c r="I274" s="25" t="n">
        <f aca="false">IFERROR(IF(INDEX(Documents!$C$5:$C$657,MATCH(H274,Documents!$A$5:$A$657,0))="","",INDEX(Documents!$C$5:$C$657,MATCH(H274,Documents!$A$5:$A$657,0))),"")</f>
        <v>2021</v>
      </c>
      <c r="J274" s="25" t="str">
        <f aca="false">IFERROR(IF(INDEX(Documents!$D$5:$D$657,MATCH(H274,Documents!$A$5:$A$657,0))="","",INDEX(Documents!$D$5:$D$657,MATCH(H274,Documents!$A$5:$A$657,0))),"")</f>
        <v>Eur J Med Chem</v>
      </c>
      <c r="K274" s="25" t="str">
        <f aca="false">IFERROR(IF(INDEX(Documents!$G$5:$G$657,MATCH(H274,Documents!$A$5:$A$657,0))="","",INDEX(Documents!$G$5:$G$657,MATCH(H274,Documents!$A$5:$A$657,0))),"")</f>
        <v>10.1016/j.ejmech.2020.113087</v>
      </c>
      <c r="L274" s="25" t="s">
        <v>989</v>
      </c>
    </row>
    <row r="275" customFormat="false" ht="15" hidden="false" customHeight="false" outlineLevel="0" collapsed="false">
      <c r="A275" s="25" t="n">
        <v>16302508</v>
      </c>
      <c r="B275" s="25" t="s">
        <v>990</v>
      </c>
      <c r="C275" s="25" t="s">
        <v>991</v>
      </c>
      <c r="D275" s="26" t="n">
        <v>2.5</v>
      </c>
      <c r="E275" s="27" t="n">
        <v>8.60205999132796</v>
      </c>
      <c r="F275" s="27" t="n">
        <v>8.60205999132796</v>
      </c>
      <c r="G275" s="25" t="s">
        <v>273</v>
      </c>
      <c r="H275" s="25" t="s">
        <v>274</v>
      </c>
      <c r="I275" s="25" t="n">
        <f aca="false">IFERROR(IF(INDEX(Documents!$C$5:$C$657,MATCH(H275,Documents!$A$5:$A$657,0))="","",INDEX(Documents!$C$5:$C$657,MATCH(H275,Documents!$A$5:$A$657,0))),"")</f>
        <v>2014</v>
      </c>
      <c r="J275" s="25" t="str">
        <f aca="false">IFERROR(IF(INDEX(Documents!$D$5:$D$657,MATCH(H275,Documents!$A$5:$A$657,0))="","",INDEX(Documents!$D$5:$D$657,MATCH(H275,Documents!$A$5:$A$657,0))),"")</f>
        <v/>
      </c>
      <c r="K275" s="25" t="str">
        <f aca="false">IFERROR(IF(INDEX(Documents!$G$5:$G$657,MATCH(H275,Documents!$A$5:$A$657,0))="","",INDEX(Documents!$G$5:$G$657,MATCH(H275,Documents!$A$5:$A$657,0))),"")</f>
        <v/>
      </c>
      <c r="L275" s="25" t="s">
        <v>275</v>
      </c>
    </row>
    <row r="276" customFormat="false" ht="15" hidden="false" customHeight="false" outlineLevel="0" collapsed="false">
      <c r="A276" s="25" t="n">
        <v>16284749</v>
      </c>
      <c r="B276" s="25" t="s">
        <v>992</v>
      </c>
      <c r="C276" s="25" t="s">
        <v>993</v>
      </c>
      <c r="D276" s="26" t="n">
        <v>8.4</v>
      </c>
      <c r="E276" s="27" t="n">
        <v>8.07572071393812</v>
      </c>
      <c r="F276" s="27" t="n">
        <v>8.07572071393812</v>
      </c>
      <c r="G276" s="25" t="s">
        <v>273</v>
      </c>
      <c r="H276" s="25" t="s">
        <v>274</v>
      </c>
      <c r="I276" s="25" t="n">
        <f aca="false">IFERROR(IF(INDEX(Documents!$C$5:$C$657,MATCH(H276,Documents!$A$5:$A$657,0))="","",INDEX(Documents!$C$5:$C$657,MATCH(H276,Documents!$A$5:$A$657,0))),"")</f>
        <v>2014</v>
      </c>
      <c r="J276" s="25" t="str">
        <f aca="false">IFERROR(IF(INDEX(Documents!$D$5:$D$657,MATCH(H276,Documents!$A$5:$A$657,0))="","",INDEX(Documents!$D$5:$D$657,MATCH(H276,Documents!$A$5:$A$657,0))),"")</f>
        <v/>
      </c>
      <c r="K276" s="25" t="str">
        <f aca="false">IFERROR(IF(INDEX(Documents!$G$5:$G$657,MATCH(H276,Documents!$A$5:$A$657,0))="","",INDEX(Documents!$G$5:$G$657,MATCH(H276,Documents!$A$5:$A$657,0))),"")</f>
        <v/>
      </c>
      <c r="L276" s="25" t="s">
        <v>275</v>
      </c>
    </row>
    <row r="277" customFormat="false" ht="15" hidden="false" customHeight="false" outlineLevel="0" collapsed="false">
      <c r="A277" s="25" t="n">
        <v>2355474</v>
      </c>
      <c r="B277" s="25" t="s">
        <v>994</v>
      </c>
      <c r="C277" s="25" t="s">
        <v>995</v>
      </c>
      <c r="D277" s="26" t="n">
        <v>196</v>
      </c>
      <c r="E277" s="27" t="n">
        <v>6.70774392864352</v>
      </c>
      <c r="F277" s="27" t="n">
        <v>6.70774392864352</v>
      </c>
      <c r="G277" s="25" t="s">
        <v>773</v>
      </c>
      <c r="H277" s="25" t="s">
        <v>774</v>
      </c>
      <c r="I277" s="25" t="n">
        <f aca="false">IFERROR(IF(INDEX(Documents!$C$5:$C$657,MATCH(H277,Documents!$A$5:$A$657,0))="","",INDEX(Documents!$C$5:$C$657,MATCH(H277,Documents!$A$5:$A$657,0))),"")</f>
        <v>2008</v>
      </c>
      <c r="J277" s="25" t="str">
        <f aca="false">IFERROR(IF(INDEX(Documents!$D$5:$D$657,MATCH(H277,Documents!$A$5:$A$657,0))="","",INDEX(Documents!$D$5:$D$657,MATCH(H277,Documents!$A$5:$A$657,0))),"")</f>
        <v>Bioorg Med Chem Lett</v>
      </c>
      <c r="K277" s="25" t="str">
        <f aca="false">IFERROR(IF(INDEX(Documents!$G$5:$G$657,MATCH(H277,Documents!$A$5:$A$657,0))="","",INDEX(Documents!$G$5:$G$657,MATCH(H277,Documents!$A$5:$A$657,0))),"")</f>
        <v>10.1016/j.bmcl.2008.04.032</v>
      </c>
      <c r="L277" s="25" t="s">
        <v>775</v>
      </c>
    </row>
    <row r="278" customFormat="false" ht="15" hidden="false" customHeight="false" outlineLevel="0" collapsed="false">
      <c r="A278" s="25" t="n">
        <v>15610394</v>
      </c>
      <c r="B278" s="25" t="s">
        <v>996</v>
      </c>
      <c r="C278" s="25" t="s">
        <v>997</v>
      </c>
      <c r="D278" s="26" t="n">
        <v>351.9</v>
      </c>
      <c r="E278" s="27" t="n">
        <v>6.45358073316481</v>
      </c>
      <c r="F278" s="27" t="n">
        <v>6.45358073316481</v>
      </c>
      <c r="G278" s="25" t="s">
        <v>948</v>
      </c>
      <c r="H278" s="25" t="s">
        <v>949</v>
      </c>
      <c r="I278" s="25" t="n">
        <f aca="false">IFERROR(IF(INDEX(Documents!$C$5:$C$657,MATCH(H278,Documents!$A$5:$A$657,0))="","",INDEX(Documents!$C$5:$C$657,MATCH(H278,Documents!$A$5:$A$657,0))),"")</f>
        <v>2015</v>
      </c>
      <c r="J278" s="25" t="str">
        <f aca="false">IFERROR(IF(INDEX(Documents!$D$5:$D$657,MATCH(H278,Documents!$A$5:$A$657,0))="","",INDEX(Documents!$D$5:$D$657,MATCH(H278,Documents!$A$5:$A$657,0))),"")</f>
        <v>J Med Chem</v>
      </c>
      <c r="K278" s="25" t="str">
        <f aca="false">IFERROR(IF(INDEX(Documents!$G$5:$G$657,MATCH(H278,Documents!$A$5:$A$657,0))="","",INDEX(Documents!$G$5:$G$657,MATCH(H278,Documents!$A$5:$A$657,0))),"")</f>
        <v>10.1021/acs.jmedchem.5b00283</v>
      </c>
      <c r="L278" s="25" t="s">
        <v>950</v>
      </c>
    </row>
    <row r="279" customFormat="false" ht="15" hidden="false" customHeight="false" outlineLevel="0" collapsed="false">
      <c r="A279" s="25" t="n">
        <v>2271581</v>
      </c>
      <c r="B279" s="25" t="s">
        <v>998</v>
      </c>
      <c r="C279" s="25" t="s">
        <v>999</v>
      </c>
      <c r="D279" s="26" t="n">
        <v>1.07</v>
      </c>
      <c r="E279" s="27" t="n">
        <v>8.97061622231479</v>
      </c>
      <c r="F279" s="27" t="n">
        <v>8.97061622231479</v>
      </c>
      <c r="G279" s="25" t="s">
        <v>1000</v>
      </c>
      <c r="H279" s="25" t="s">
        <v>1001</v>
      </c>
      <c r="I279" s="25" t="n">
        <f aca="false">IFERROR(IF(INDEX(Documents!$C$5:$C$657,MATCH(H279,Documents!$A$5:$A$657,0))="","",INDEX(Documents!$C$5:$C$657,MATCH(H279,Documents!$A$5:$A$657,0))),"")</f>
        <v>2009</v>
      </c>
      <c r="J279" s="25" t="str">
        <f aca="false">IFERROR(IF(INDEX(Documents!$D$5:$D$657,MATCH(H279,Documents!$A$5:$A$657,0))="","",INDEX(Documents!$D$5:$D$657,MATCH(H279,Documents!$A$5:$A$657,0))),"")</f>
        <v>Bioorg Med Chem Lett</v>
      </c>
      <c r="K279" s="25" t="str">
        <f aca="false">IFERROR(IF(INDEX(Documents!$G$5:$G$657,MATCH(H279,Documents!$A$5:$A$657,0))="","",INDEX(Documents!$G$5:$G$657,MATCH(H279,Documents!$A$5:$A$657,0))),"")</f>
        <v>10.1016/j.bmcl.2009.01.100</v>
      </c>
      <c r="L279" s="25" t="s">
        <v>1002</v>
      </c>
    </row>
    <row r="280" customFormat="false" ht="15" hidden="false" customHeight="false" outlineLevel="0" collapsed="false">
      <c r="A280" s="25" t="n">
        <v>19371461</v>
      </c>
      <c r="B280" s="25" t="s">
        <v>1003</v>
      </c>
      <c r="C280" s="25" t="s">
        <v>1004</v>
      </c>
      <c r="D280" s="26" t="n">
        <v>828</v>
      </c>
      <c r="E280" s="27" t="n">
        <v>6.08196966321512</v>
      </c>
      <c r="F280" s="27" t="n">
        <v>6.08196966321512</v>
      </c>
      <c r="G280" s="25" t="s">
        <v>1005</v>
      </c>
      <c r="H280" s="25" t="s">
        <v>341</v>
      </c>
      <c r="I280" s="25" t="n">
        <f aca="false">IFERROR(IF(INDEX(Documents!$C$5:$C$657,MATCH(H280,Documents!$A$5:$A$657,0))="","",INDEX(Documents!$C$5:$C$657,MATCH(H280,Documents!$A$5:$A$657,0))),"")</f>
        <v>2019</v>
      </c>
      <c r="J280" s="25" t="str">
        <f aca="false">IFERROR(IF(INDEX(Documents!$D$5:$D$657,MATCH(H280,Documents!$A$5:$A$657,0))="","",INDEX(Documents!$D$5:$D$657,MATCH(H280,Documents!$A$5:$A$657,0))),"")</f>
        <v>J Nat Prod</v>
      </c>
      <c r="K280" s="25" t="str">
        <f aca="false">IFERROR(IF(INDEX(Documents!$G$5:$G$657,MATCH(H280,Documents!$A$5:$A$657,0))="","",INDEX(Documents!$G$5:$G$657,MATCH(H280,Documents!$A$5:$A$657,0))),"")</f>
        <v>10.1021/acs.jnatprod.8b00874</v>
      </c>
      <c r="L280" s="25" t="s">
        <v>1006</v>
      </c>
    </row>
    <row r="281" customFormat="false" ht="15" hidden="false" customHeight="false" outlineLevel="0" collapsed="false">
      <c r="A281" s="25" t="n">
        <v>13929066</v>
      </c>
      <c r="B281" s="25" t="s">
        <v>1007</v>
      </c>
      <c r="C281" s="25" t="s">
        <v>1008</v>
      </c>
      <c r="D281" s="26" t="n">
        <v>2240</v>
      </c>
      <c r="E281" s="27" t="n">
        <v>5.64975198166584</v>
      </c>
      <c r="F281" s="27" t="n">
        <v>5.64975198166584</v>
      </c>
      <c r="G281" s="25" t="s">
        <v>1009</v>
      </c>
      <c r="H281" s="25" t="s">
        <v>1010</v>
      </c>
      <c r="I281" s="25" t="n">
        <f aca="false">IFERROR(IF(INDEX(Documents!$C$5:$C$657,MATCH(H281,Documents!$A$5:$A$657,0))="","",INDEX(Documents!$C$5:$C$657,MATCH(H281,Documents!$A$5:$A$657,0))),"")</f>
        <v>2014</v>
      </c>
      <c r="J281" s="25" t="str">
        <f aca="false">IFERROR(IF(INDEX(Documents!$D$5:$D$657,MATCH(H281,Documents!$A$5:$A$657,0))="","",INDEX(Documents!$D$5:$D$657,MATCH(H281,Documents!$A$5:$A$657,0))),"")</f>
        <v>J Nat Prod</v>
      </c>
      <c r="K281" s="25" t="str">
        <f aca="false">IFERROR(IF(INDEX(Documents!$G$5:$G$657,MATCH(H281,Documents!$A$5:$A$657,0))="","",INDEX(Documents!$G$5:$G$657,MATCH(H281,Documents!$A$5:$A$657,0))),"")</f>
        <v>10.1021/np400850g</v>
      </c>
      <c r="L281" s="25" t="s">
        <v>1011</v>
      </c>
    </row>
    <row r="282" customFormat="false" ht="15" hidden="false" customHeight="false" outlineLevel="0" collapsed="false">
      <c r="A282" s="25" t="n">
        <v>13929069</v>
      </c>
      <c r="B282" s="25" t="s">
        <v>1012</v>
      </c>
      <c r="C282" s="25" t="s">
        <v>1013</v>
      </c>
      <c r="D282" s="26" t="n">
        <v>10600</v>
      </c>
      <c r="E282" s="27" t="n">
        <v>4.97469413473523</v>
      </c>
      <c r="F282" s="27" t="n">
        <v>4.97469413473523</v>
      </c>
      <c r="G282" s="25" t="s">
        <v>1009</v>
      </c>
      <c r="H282" s="25" t="s">
        <v>1010</v>
      </c>
      <c r="I282" s="25" t="n">
        <f aca="false">IFERROR(IF(INDEX(Documents!$C$5:$C$657,MATCH(H282,Documents!$A$5:$A$657,0))="","",INDEX(Documents!$C$5:$C$657,MATCH(H282,Documents!$A$5:$A$657,0))),"")</f>
        <v>2014</v>
      </c>
      <c r="J282" s="25" t="str">
        <f aca="false">IFERROR(IF(INDEX(Documents!$D$5:$D$657,MATCH(H282,Documents!$A$5:$A$657,0))="","",INDEX(Documents!$D$5:$D$657,MATCH(H282,Documents!$A$5:$A$657,0))),"")</f>
        <v>J Nat Prod</v>
      </c>
      <c r="K282" s="25" t="str">
        <f aca="false">IFERROR(IF(INDEX(Documents!$G$5:$G$657,MATCH(H282,Documents!$A$5:$A$657,0))="","",INDEX(Documents!$G$5:$G$657,MATCH(H282,Documents!$A$5:$A$657,0))),"")</f>
        <v>10.1021/np400850g</v>
      </c>
      <c r="L282" s="25" t="s">
        <v>1011</v>
      </c>
    </row>
    <row r="283" customFormat="false" ht="15" hidden="false" customHeight="false" outlineLevel="0" collapsed="false">
      <c r="A283" s="25" t="n">
        <v>13929067</v>
      </c>
      <c r="B283" s="25" t="s">
        <v>1014</v>
      </c>
      <c r="C283" s="25" t="s">
        <v>1015</v>
      </c>
      <c r="D283" s="26" t="n">
        <v>4760</v>
      </c>
      <c r="E283" s="27" t="n">
        <v>5.32239304727951</v>
      </c>
      <c r="F283" s="27" t="n">
        <v>5.32239304727951</v>
      </c>
      <c r="G283" s="25" t="s">
        <v>1009</v>
      </c>
      <c r="H283" s="25" t="s">
        <v>1010</v>
      </c>
      <c r="I283" s="25" t="n">
        <f aca="false">IFERROR(IF(INDEX(Documents!$C$5:$C$657,MATCH(H283,Documents!$A$5:$A$657,0))="","",INDEX(Documents!$C$5:$C$657,MATCH(H283,Documents!$A$5:$A$657,0))),"")</f>
        <v>2014</v>
      </c>
      <c r="J283" s="25" t="str">
        <f aca="false">IFERROR(IF(INDEX(Documents!$D$5:$D$657,MATCH(H283,Documents!$A$5:$A$657,0))="","",INDEX(Documents!$D$5:$D$657,MATCH(H283,Documents!$A$5:$A$657,0))),"")</f>
        <v>J Nat Prod</v>
      </c>
      <c r="K283" s="25" t="str">
        <f aca="false">IFERROR(IF(INDEX(Documents!$G$5:$G$657,MATCH(H283,Documents!$A$5:$A$657,0))="","",INDEX(Documents!$G$5:$G$657,MATCH(H283,Documents!$A$5:$A$657,0))),"")</f>
        <v>10.1021/np400850g</v>
      </c>
      <c r="L283" s="25" t="s">
        <v>1011</v>
      </c>
    </row>
    <row r="284" customFormat="false" ht="15" hidden="false" customHeight="false" outlineLevel="0" collapsed="false">
      <c r="A284" s="25" t="n">
        <v>10979889</v>
      </c>
      <c r="B284" s="25" t="s">
        <v>1016</v>
      </c>
      <c r="C284" s="25" t="s">
        <v>1017</v>
      </c>
      <c r="D284" s="26" t="n">
        <v>8700</v>
      </c>
      <c r="E284" s="27" t="n">
        <v>5.06048074738138</v>
      </c>
      <c r="F284" s="27" t="n">
        <v>5.06048074738138</v>
      </c>
      <c r="G284" s="25" t="s">
        <v>631</v>
      </c>
      <c r="H284" s="25" t="s">
        <v>632</v>
      </c>
      <c r="I284" s="25" t="n">
        <f aca="false">IFERROR(IF(INDEX(Documents!$C$5:$C$657,MATCH(H284,Documents!$A$5:$A$657,0))="","",INDEX(Documents!$C$5:$C$657,MATCH(H284,Documents!$A$5:$A$657,0))),"")</f>
        <v>2012</v>
      </c>
      <c r="J284" s="25" t="str">
        <f aca="false">IFERROR(IF(INDEX(Documents!$D$5:$D$657,MATCH(H284,Documents!$A$5:$A$657,0))="","",INDEX(Documents!$D$5:$D$657,MATCH(H284,Documents!$A$5:$A$657,0))),"")</f>
        <v>ACS Med Chem Lett</v>
      </c>
      <c r="K284" s="25" t="str">
        <f aca="false">IFERROR(IF(INDEX(Documents!$G$5:$G$657,MATCH(H284,Documents!$A$5:$A$657,0))="","",INDEX(Documents!$G$5:$G$657,MATCH(H284,Documents!$A$5:$A$657,0))),"")</f>
        <v>10.1021/ml3000325</v>
      </c>
      <c r="L284" s="25" t="s">
        <v>633</v>
      </c>
    </row>
    <row r="285" customFormat="false" ht="15" hidden="false" customHeight="false" outlineLevel="0" collapsed="false">
      <c r="A285" s="25" t="n">
        <v>10979874</v>
      </c>
      <c r="B285" s="25" t="s">
        <v>1018</v>
      </c>
      <c r="C285" s="25" t="s">
        <v>1019</v>
      </c>
      <c r="D285" s="26" t="n">
        <v>5400</v>
      </c>
      <c r="E285" s="27" t="n">
        <v>5.26760624017703</v>
      </c>
      <c r="F285" s="27" t="n">
        <v>5.26760624017703</v>
      </c>
      <c r="G285" s="25" t="s">
        <v>631</v>
      </c>
      <c r="H285" s="25" t="s">
        <v>632</v>
      </c>
      <c r="I285" s="25" t="n">
        <f aca="false">IFERROR(IF(INDEX(Documents!$C$5:$C$657,MATCH(H285,Documents!$A$5:$A$657,0))="","",INDEX(Documents!$C$5:$C$657,MATCH(H285,Documents!$A$5:$A$657,0))),"")</f>
        <v>2012</v>
      </c>
      <c r="J285" s="25" t="str">
        <f aca="false">IFERROR(IF(INDEX(Documents!$D$5:$D$657,MATCH(H285,Documents!$A$5:$A$657,0))="","",INDEX(Documents!$D$5:$D$657,MATCH(H285,Documents!$A$5:$A$657,0))),"")</f>
        <v>ACS Med Chem Lett</v>
      </c>
      <c r="K285" s="25" t="str">
        <f aca="false">IFERROR(IF(INDEX(Documents!$G$5:$G$657,MATCH(H285,Documents!$A$5:$A$657,0))="","",INDEX(Documents!$G$5:$G$657,MATCH(H285,Documents!$A$5:$A$657,0))),"")</f>
        <v>10.1021/ml3000325</v>
      </c>
      <c r="L285" s="25" t="s">
        <v>633</v>
      </c>
    </row>
    <row r="286" customFormat="false" ht="15" hidden="false" customHeight="false" outlineLevel="0" collapsed="false">
      <c r="A286" s="25" t="n">
        <v>10979875</v>
      </c>
      <c r="B286" s="25" t="s">
        <v>1020</v>
      </c>
      <c r="C286" s="25" t="s">
        <v>1021</v>
      </c>
      <c r="D286" s="26" t="n">
        <v>3290</v>
      </c>
      <c r="E286" s="27" t="n">
        <v>5.48280410205003</v>
      </c>
      <c r="F286" s="27" t="n">
        <v>5.48280410205003</v>
      </c>
      <c r="G286" s="25" t="s">
        <v>631</v>
      </c>
      <c r="H286" s="25" t="s">
        <v>632</v>
      </c>
      <c r="I286" s="25" t="n">
        <f aca="false">IFERROR(IF(INDEX(Documents!$C$5:$C$657,MATCH(H286,Documents!$A$5:$A$657,0))="","",INDEX(Documents!$C$5:$C$657,MATCH(H286,Documents!$A$5:$A$657,0))),"")</f>
        <v>2012</v>
      </c>
      <c r="J286" s="25" t="str">
        <f aca="false">IFERROR(IF(INDEX(Documents!$D$5:$D$657,MATCH(H286,Documents!$A$5:$A$657,0))="","",INDEX(Documents!$D$5:$D$657,MATCH(H286,Documents!$A$5:$A$657,0))),"")</f>
        <v>ACS Med Chem Lett</v>
      </c>
      <c r="K286" s="25" t="str">
        <f aca="false">IFERROR(IF(INDEX(Documents!$G$5:$G$657,MATCH(H286,Documents!$A$5:$A$657,0))="","",INDEX(Documents!$G$5:$G$657,MATCH(H286,Documents!$A$5:$A$657,0))),"")</f>
        <v>10.1021/ml3000325</v>
      </c>
      <c r="L286" s="25" t="s">
        <v>633</v>
      </c>
    </row>
    <row r="287" customFormat="false" ht="15" hidden="false" customHeight="false" outlineLevel="0" collapsed="false">
      <c r="A287" s="25" t="n">
        <v>10979876</v>
      </c>
      <c r="B287" s="25" t="s">
        <v>1022</v>
      </c>
      <c r="C287" s="25" t="s">
        <v>1023</v>
      </c>
      <c r="D287" s="26" t="n">
        <v>11000</v>
      </c>
      <c r="E287" s="27" t="n">
        <v>4.95860731484178</v>
      </c>
      <c r="F287" s="27" t="n">
        <v>4.95860731484178</v>
      </c>
      <c r="G287" s="25" t="s">
        <v>631</v>
      </c>
      <c r="H287" s="25" t="s">
        <v>632</v>
      </c>
      <c r="I287" s="25" t="n">
        <f aca="false">IFERROR(IF(INDEX(Documents!$C$5:$C$657,MATCH(H287,Documents!$A$5:$A$657,0))="","",INDEX(Documents!$C$5:$C$657,MATCH(H287,Documents!$A$5:$A$657,0))),"")</f>
        <v>2012</v>
      </c>
      <c r="J287" s="25" t="str">
        <f aca="false">IFERROR(IF(INDEX(Documents!$D$5:$D$657,MATCH(H287,Documents!$A$5:$A$657,0))="","",INDEX(Documents!$D$5:$D$657,MATCH(H287,Documents!$A$5:$A$657,0))),"")</f>
        <v>ACS Med Chem Lett</v>
      </c>
      <c r="K287" s="25" t="str">
        <f aca="false">IFERROR(IF(INDEX(Documents!$G$5:$G$657,MATCH(H287,Documents!$A$5:$A$657,0))="","",INDEX(Documents!$G$5:$G$657,MATCH(H287,Documents!$A$5:$A$657,0))),"")</f>
        <v>10.1021/ml3000325</v>
      </c>
      <c r="L287" s="25" t="s">
        <v>633</v>
      </c>
    </row>
    <row r="288" customFormat="false" ht="15" hidden="false" customHeight="false" outlineLevel="0" collapsed="false">
      <c r="A288" s="25" t="n">
        <v>3089229</v>
      </c>
      <c r="B288" s="25" t="s">
        <v>1024</v>
      </c>
      <c r="C288" s="25" t="s">
        <v>1025</v>
      </c>
      <c r="D288" s="26" t="n">
        <v>21</v>
      </c>
      <c r="E288" s="27" t="n">
        <v>7.67778070526608</v>
      </c>
      <c r="F288" s="27" t="n">
        <v>7.67778070526608</v>
      </c>
      <c r="G288" s="25" t="s">
        <v>534</v>
      </c>
      <c r="H288" s="25" t="s">
        <v>535</v>
      </c>
      <c r="I288" s="25" t="n">
        <f aca="false">IFERROR(IF(INDEX(Documents!$C$5:$C$657,MATCH(H288,Documents!$A$5:$A$657,0))="","",INDEX(Documents!$C$5:$C$657,MATCH(H288,Documents!$A$5:$A$657,0))),"")</f>
        <v>2010</v>
      </c>
      <c r="J288" s="25" t="str">
        <f aca="false">IFERROR(IF(INDEX(Documents!$D$5:$D$657,MATCH(H288,Documents!$A$5:$A$657,0))="","",INDEX(Documents!$D$5:$D$657,MATCH(H288,Documents!$A$5:$A$657,0))),"")</f>
        <v>Bioorg Med Chem Lett</v>
      </c>
      <c r="K288" s="25" t="str">
        <f aca="false">IFERROR(IF(INDEX(Documents!$G$5:$G$657,MATCH(H288,Documents!$A$5:$A$657,0))="","",INDEX(Documents!$G$5:$G$657,MATCH(H288,Documents!$A$5:$A$657,0))),"")</f>
        <v>10.1016/j.bmcl.2009.11.084</v>
      </c>
      <c r="L288" s="25" t="s">
        <v>515</v>
      </c>
    </row>
    <row r="289" customFormat="false" ht="15" hidden="false" customHeight="false" outlineLevel="0" collapsed="false">
      <c r="A289" s="25" t="n">
        <v>12089866</v>
      </c>
      <c r="B289" s="25" t="s">
        <v>1026</v>
      </c>
      <c r="C289" s="25" t="s">
        <v>1027</v>
      </c>
      <c r="D289" s="26" t="n">
        <v>3.74</v>
      </c>
      <c r="E289" s="27" t="n">
        <v>8.42712839779952</v>
      </c>
      <c r="F289" s="27" t="n">
        <v>8.42712839779952</v>
      </c>
      <c r="G289" s="25" t="s">
        <v>1028</v>
      </c>
      <c r="H289" s="25" t="s">
        <v>1029</v>
      </c>
      <c r="I289" s="25" t="n">
        <f aca="false">IFERROR(IF(INDEX(Documents!$C$5:$C$657,MATCH(H289,Documents!$A$5:$A$657,0))="","",INDEX(Documents!$C$5:$C$657,MATCH(H289,Documents!$A$5:$A$657,0))),"")</f>
        <v>2012</v>
      </c>
      <c r="J289" s="25" t="str">
        <f aca="false">IFERROR(IF(INDEX(Documents!$D$5:$D$657,MATCH(H289,Documents!$A$5:$A$657,0))="","",INDEX(Documents!$D$5:$D$657,MATCH(H289,Documents!$A$5:$A$657,0))),"")</f>
        <v>J Med Chem</v>
      </c>
      <c r="K289" s="25" t="str">
        <f aca="false">IFERROR(IF(INDEX(Documents!$G$5:$G$657,MATCH(H289,Documents!$A$5:$A$657,0))="","",INDEX(Documents!$G$5:$G$657,MATCH(H289,Documents!$A$5:$A$657,0))),"")</f>
        <v>10.1021/jm300763w</v>
      </c>
      <c r="L289" s="25" t="s">
        <v>1030</v>
      </c>
    </row>
    <row r="290" customFormat="false" ht="15" hidden="false" customHeight="false" outlineLevel="0" collapsed="false">
      <c r="A290" s="25" t="n">
        <v>13474015</v>
      </c>
      <c r="B290" s="25" t="s">
        <v>1031</v>
      </c>
      <c r="C290" s="25" t="s">
        <v>1032</v>
      </c>
      <c r="D290" s="26" t="n">
        <v>89.5</v>
      </c>
      <c r="E290" s="27" t="n">
        <v>7.04817696468409</v>
      </c>
      <c r="F290" s="27" t="n">
        <v>7.04817696468409</v>
      </c>
      <c r="G290" s="25" t="s">
        <v>1033</v>
      </c>
      <c r="H290" s="25" t="s">
        <v>1034</v>
      </c>
      <c r="I290" s="25" t="n">
        <f aca="false">IFERROR(IF(INDEX(Documents!$C$5:$C$657,MATCH(H290,Documents!$A$5:$A$657,0))="","",INDEX(Documents!$C$5:$C$657,MATCH(H290,Documents!$A$5:$A$657,0))),"")</f>
        <v>2013</v>
      </c>
      <c r="J290" s="25" t="str">
        <f aca="false">IFERROR(IF(INDEX(Documents!$D$5:$D$657,MATCH(H290,Documents!$A$5:$A$657,0))="","",INDEX(Documents!$D$5:$D$657,MATCH(H290,Documents!$A$5:$A$657,0))),"")</f>
        <v>J Med Chem</v>
      </c>
      <c r="K290" s="25" t="str">
        <f aca="false">IFERROR(IF(INDEX(Documents!$G$5:$G$657,MATCH(H290,Documents!$A$5:$A$657,0))="","",INDEX(Documents!$G$5:$G$657,MATCH(H290,Documents!$A$5:$A$657,0))),"")</f>
        <v>10.1021/jm401129n</v>
      </c>
      <c r="L290" s="25" t="s">
        <v>1035</v>
      </c>
    </row>
    <row r="291" customFormat="false" ht="15" hidden="false" customHeight="false" outlineLevel="0" collapsed="false">
      <c r="A291" s="25" t="n">
        <v>13474013</v>
      </c>
      <c r="B291" s="25" t="s">
        <v>1036</v>
      </c>
      <c r="C291" s="25" t="s">
        <v>1037</v>
      </c>
      <c r="D291" s="26" t="n">
        <v>215</v>
      </c>
      <c r="E291" s="27" t="n">
        <v>6.66756154008439</v>
      </c>
      <c r="F291" s="27" t="n">
        <v>6.66756154008439</v>
      </c>
      <c r="G291" s="25" t="s">
        <v>1033</v>
      </c>
      <c r="H291" s="25" t="s">
        <v>1034</v>
      </c>
      <c r="I291" s="25" t="n">
        <f aca="false">IFERROR(IF(INDEX(Documents!$C$5:$C$657,MATCH(H291,Documents!$A$5:$A$657,0))="","",INDEX(Documents!$C$5:$C$657,MATCH(H291,Documents!$A$5:$A$657,0))),"")</f>
        <v>2013</v>
      </c>
      <c r="J291" s="25" t="str">
        <f aca="false">IFERROR(IF(INDEX(Documents!$D$5:$D$657,MATCH(H291,Documents!$A$5:$A$657,0))="","",INDEX(Documents!$D$5:$D$657,MATCH(H291,Documents!$A$5:$A$657,0))),"")</f>
        <v>J Med Chem</v>
      </c>
      <c r="K291" s="25" t="str">
        <f aca="false">IFERROR(IF(INDEX(Documents!$G$5:$G$657,MATCH(H291,Documents!$A$5:$A$657,0))="","",INDEX(Documents!$G$5:$G$657,MATCH(H291,Documents!$A$5:$A$657,0))),"")</f>
        <v>10.1021/jm401129n</v>
      </c>
      <c r="L291" s="25" t="s">
        <v>1035</v>
      </c>
    </row>
    <row r="292" customFormat="false" ht="15" hidden="false" customHeight="false" outlineLevel="0" collapsed="false">
      <c r="A292" s="25" t="n">
        <v>3111430</v>
      </c>
      <c r="B292" s="25" t="s">
        <v>1038</v>
      </c>
      <c r="C292" s="25" t="s">
        <v>1039</v>
      </c>
      <c r="D292" s="26" t="n">
        <v>1384</v>
      </c>
      <c r="E292" s="27" t="n">
        <v>5.85886390987926</v>
      </c>
      <c r="F292" s="27" t="n">
        <v>5.85886390987926</v>
      </c>
      <c r="G292" s="25" t="s">
        <v>1040</v>
      </c>
      <c r="H292" s="25" t="s">
        <v>1041</v>
      </c>
      <c r="I292" s="25" t="n">
        <f aca="false">IFERROR(IF(INDEX(Documents!$C$5:$C$657,MATCH(H292,Documents!$A$5:$A$657,0))="","",INDEX(Documents!$C$5:$C$657,MATCH(H292,Documents!$A$5:$A$657,0))),"")</f>
        <v>2010</v>
      </c>
      <c r="J292" s="25" t="str">
        <f aca="false">IFERROR(IF(INDEX(Documents!$D$5:$D$657,MATCH(H292,Documents!$A$5:$A$657,0))="","",INDEX(Documents!$D$5:$D$657,MATCH(H292,Documents!$A$5:$A$657,0))),"")</f>
        <v>Bioorg Med Chem Lett</v>
      </c>
      <c r="K292" s="25" t="str">
        <f aca="false">IFERROR(IF(INDEX(Documents!$G$5:$G$657,MATCH(H292,Documents!$A$5:$A$657,0))="","",INDEX(Documents!$G$5:$G$657,MATCH(H292,Documents!$A$5:$A$657,0))),"")</f>
        <v>10.1016/j.bmcl.2009.11.075</v>
      </c>
      <c r="L292" s="25" t="s">
        <v>515</v>
      </c>
    </row>
    <row r="293" customFormat="false" ht="15" hidden="false" customHeight="false" outlineLevel="0" collapsed="false">
      <c r="A293" s="25" t="n">
        <v>2422637</v>
      </c>
      <c r="B293" s="25" t="s">
        <v>1042</v>
      </c>
      <c r="C293" s="25" t="s">
        <v>1043</v>
      </c>
      <c r="D293" s="26" t="n">
        <v>130</v>
      </c>
      <c r="E293" s="27" t="n">
        <v>6.88605664769316</v>
      </c>
      <c r="F293" s="27" t="n">
        <v>6.89303270707424</v>
      </c>
      <c r="G293" s="25" t="s">
        <v>1044</v>
      </c>
      <c r="H293" s="25" t="s">
        <v>1045</v>
      </c>
      <c r="I293" s="25" t="n">
        <f aca="false">IFERROR(IF(INDEX(Documents!$C$5:$C$657,MATCH(H293,Documents!$A$5:$A$657,0))="","",INDEX(Documents!$C$5:$C$657,MATCH(H293,Documents!$A$5:$A$657,0))),"")</f>
        <v>2009</v>
      </c>
      <c r="J293" s="25" t="str">
        <f aca="false">IFERROR(IF(INDEX(Documents!$D$5:$D$657,MATCH(H293,Documents!$A$5:$A$657,0))="","",INDEX(Documents!$D$5:$D$657,MATCH(H293,Documents!$A$5:$A$657,0))),"")</f>
        <v>J Med Chem</v>
      </c>
      <c r="K293" s="25" t="str">
        <f aca="false">IFERROR(IF(INDEX(Documents!$G$5:$G$657,MATCH(H293,Documents!$A$5:$A$657,0))="","",INDEX(Documents!$G$5:$G$657,MATCH(H293,Documents!$A$5:$A$657,0))),"")</f>
        <v>10.1021/jm8016255</v>
      </c>
      <c r="L293" s="25" t="s">
        <v>1046</v>
      </c>
    </row>
    <row r="294" customFormat="false" ht="15" hidden="false" customHeight="false" outlineLevel="0" collapsed="false">
      <c r="A294" s="25" t="n">
        <v>2422704</v>
      </c>
      <c r="B294" s="25" t="s">
        <v>1042</v>
      </c>
      <c r="C294" s="25" t="s">
        <v>1043</v>
      </c>
      <c r="D294" s="26" t="n">
        <v>125.89</v>
      </c>
      <c r="E294" s="27" t="n">
        <v>6.90000876645532</v>
      </c>
      <c r="F294" s="27" t="n">
        <v>6.89303270707424</v>
      </c>
      <c r="G294" s="25" t="s">
        <v>1044</v>
      </c>
      <c r="H294" s="25" t="s">
        <v>1045</v>
      </c>
      <c r="I294" s="25" t="n">
        <f aca="false">IFERROR(IF(INDEX(Documents!$C$5:$C$657,MATCH(H294,Documents!$A$5:$A$657,0))="","",INDEX(Documents!$C$5:$C$657,MATCH(H294,Documents!$A$5:$A$657,0))),"")</f>
        <v>2009</v>
      </c>
      <c r="J294" s="25" t="str">
        <f aca="false">IFERROR(IF(INDEX(Documents!$D$5:$D$657,MATCH(H294,Documents!$A$5:$A$657,0))="","",INDEX(Documents!$D$5:$D$657,MATCH(H294,Documents!$A$5:$A$657,0))),"")</f>
        <v>J Med Chem</v>
      </c>
      <c r="K294" s="25" t="str">
        <f aca="false">IFERROR(IF(INDEX(Documents!$G$5:$G$657,MATCH(H294,Documents!$A$5:$A$657,0))="","",INDEX(Documents!$G$5:$G$657,MATCH(H294,Documents!$A$5:$A$657,0))),"")</f>
        <v>10.1021/jm8016255</v>
      </c>
      <c r="L294" s="25" t="s">
        <v>1046</v>
      </c>
    </row>
    <row r="295" customFormat="false" ht="15" hidden="false" customHeight="false" outlineLevel="0" collapsed="false">
      <c r="A295" s="25" t="n">
        <v>2422642</v>
      </c>
      <c r="B295" s="25" t="s">
        <v>1047</v>
      </c>
      <c r="C295" s="25" t="s">
        <v>1048</v>
      </c>
      <c r="D295" s="26" t="n">
        <v>200</v>
      </c>
      <c r="E295" s="27" t="n">
        <v>6.69897000433602</v>
      </c>
      <c r="F295" s="27" t="n">
        <v>6.6994809008911</v>
      </c>
      <c r="G295" s="25" t="s">
        <v>1044</v>
      </c>
      <c r="H295" s="25" t="s">
        <v>1045</v>
      </c>
      <c r="I295" s="25" t="n">
        <f aca="false">IFERROR(IF(INDEX(Documents!$C$5:$C$657,MATCH(H295,Documents!$A$5:$A$657,0))="","",INDEX(Documents!$C$5:$C$657,MATCH(H295,Documents!$A$5:$A$657,0))),"")</f>
        <v>2009</v>
      </c>
      <c r="J295" s="25" t="str">
        <f aca="false">IFERROR(IF(INDEX(Documents!$D$5:$D$657,MATCH(H295,Documents!$A$5:$A$657,0))="","",INDEX(Documents!$D$5:$D$657,MATCH(H295,Documents!$A$5:$A$657,0))),"")</f>
        <v>J Med Chem</v>
      </c>
      <c r="K295" s="25" t="str">
        <f aca="false">IFERROR(IF(INDEX(Documents!$G$5:$G$657,MATCH(H295,Documents!$A$5:$A$657,0))="","",INDEX(Documents!$G$5:$G$657,MATCH(H295,Documents!$A$5:$A$657,0))),"")</f>
        <v>10.1021/jm8016255</v>
      </c>
      <c r="L295" s="25" t="s">
        <v>1046</v>
      </c>
    </row>
    <row r="296" customFormat="false" ht="15" hidden="false" customHeight="false" outlineLevel="0" collapsed="false">
      <c r="A296" s="25" t="n">
        <v>2422714</v>
      </c>
      <c r="B296" s="25" t="s">
        <v>1047</v>
      </c>
      <c r="C296" s="25" t="s">
        <v>1048</v>
      </c>
      <c r="D296" s="26" t="n">
        <v>199.53</v>
      </c>
      <c r="E296" s="27" t="n">
        <v>6.69999179744619</v>
      </c>
      <c r="F296" s="27" t="n">
        <v>6.6994809008911</v>
      </c>
      <c r="G296" s="25" t="s">
        <v>1044</v>
      </c>
      <c r="H296" s="25" t="s">
        <v>1045</v>
      </c>
      <c r="I296" s="25" t="n">
        <f aca="false">IFERROR(IF(INDEX(Documents!$C$5:$C$657,MATCH(H296,Documents!$A$5:$A$657,0))="","",INDEX(Documents!$C$5:$C$657,MATCH(H296,Documents!$A$5:$A$657,0))),"")</f>
        <v>2009</v>
      </c>
      <c r="J296" s="25" t="str">
        <f aca="false">IFERROR(IF(INDEX(Documents!$D$5:$D$657,MATCH(H296,Documents!$A$5:$A$657,0))="","",INDEX(Documents!$D$5:$D$657,MATCH(H296,Documents!$A$5:$A$657,0))),"")</f>
        <v>J Med Chem</v>
      </c>
      <c r="K296" s="25" t="str">
        <f aca="false">IFERROR(IF(INDEX(Documents!$G$5:$G$657,MATCH(H296,Documents!$A$5:$A$657,0))="","",INDEX(Documents!$G$5:$G$657,MATCH(H296,Documents!$A$5:$A$657,0))),"")</f>
        <v>10.1021/jm8016255</v>
      </c>
      <c r="L296" s="25" t="s">
        <v>1046</v>
      </c>
    </row>
    <row r="297" customFormat="false" ht="15" hidden="false" customHeight="false" outlineLevel="0" collapsed="false">
      <c r="A297" s="25" t="n">
        <v>2422690</v>
      </c>
      <c r="B297" s="25" t="s">
        <v>1049</v>
      </c>
      <c r="C297" s="25" t="s">
        <v>1050</v>
      </c>
      <c r="D297" s="26" t="n">
        <v>630.96</v>
      </c>
      <c r="E297" s="27" t="n">
        <v>6.19999817218203</v>
      </c>
      <c r="F297" s="27" t="n">
        <v>6.22206165825477</v>
      </c>
      <c r="G297" s="25" t="s">
        <v>1044</v>
      </c>
      <c r="H297" s="25" t="s">
        <v>1045</v>
      </c>
      <c r="I297" s="25" t="n">
        <f aca="false">IFERROR(IF(INDEX(Documents!$C$5:$C$657,MATCH(H297,Documents!$A$5:$A$657,0))="","",INDEX(Documents!$C$5:$C$657,MATCH(H297,Documents!$A$5:$A$657,0))),"")</f>
        <v>2009</v>
      </c>
      <c r="J297" s="25" t="str">
        <f aca="false">IFERROR(IF(INDEX(Documents!$D$5:$D$657,MATCH(H297,Documents!$A$5:$A$657,0))="","",INDEX(Documents!$D$5:$D$657,MATCH(H297,Documents!$A$5:$A$657,0))),"")</f>
        <v>J Med Chem</v>
      </c>
      <c r="K297" s="25" t="str">
        <f aca="false">IFERROR(IF(INDEX(Documents!$G$5:$G$657,MATCH(H297,Documents!$A$5:$A$657,0))="","",INDEX(Documents!$G$5:$G$657,MATCH(H297,Documents!$A$5:$A$657,0))),"")</f>
        <v>10.1021/jm8016255</v>
      </c>
      <c r="L297" s="25" t="s">
        <v>1046</v>
      </c>
    </row>
    <row r="298" customFormat="false" ht="15" hidden="false" customHeight="false" outlineLevel="0" collapsed="false">
      <c r="A298" s="25" t="n">
        <v>2422630</v>
      </c>
      <c r="B298" s="25" t="s">
        <v>1049</v>
      </c>
      <c r="C298" s="25" t="s">
        <v>1050</v>
      </c>
      <c r="D298" s="26" t="n">
        <v>570</v>
      </c>
      <c r="E298" s="27" t="n">
        <v>6.24412514432751</v>
      </c>
      <c r="F298" s="27" t="n">
        <v>6.22206165825477</v>
      </c>
      <c r="G298" s="25" t="s">
        <v>1044</v>
      </c>
      <c r="H298" s="25" t="s">
        <v>1045</v>
      </c>
      <c r="I298" s="25" t="n">
        <f aca="false">IFERROR(IF(INDEX(Documents!$C$5:$C$657,MATCH(H298,Documents!$A$5:$A$657,0))="","",INDEX(Documents!$C$5:$C$657,MATCH(H298,Documents!$A$5:$A$657,0))),"")</f>
        <v>2009</v>
      </c>
      <c r="J298" s="25" t="str">
        <f aca="false">IFERROR(IF(INDEX(Documents!$D$5:$D$657,MATCH(H298,Documents!$A$5:$A$657,0))="","",INDEX(Documents!$D$5:$D$657,MATCH(H298,Documents!$A$5:$A$657,0))),"")</f>
        <v>J Med Chem</v>
      </c>
      <c r="K298" s="25" t="str">
        <f aca="false">IFERROR(IF(INDEX(Documents!$G$5:$G$657,MATCH(H298,Documents!$A$5:$A$657,0))="","",INDEX(Documents!$G$5:$G$657,MATCH(H298,Documents!$A$5:$A$657,0))),"")</f>
        <v>10.1021/jm8016255</v>
      </c>
      <c r="L298" s="25" t="s">
        <v>1046</v>
      </c>
    </row>
    <row r="299" customFormat="false" ht="15" hidden="false" customHeight="false" outlineLevel="0" collapsed="false">
      <c r="A299" s="25" t="n">
        <v>2355477</v>
      </c>
      <c r="B299" s="25" t="s">
        <v>1051</v>
      </c>
      <c r="C299" s="25" t="s">
        <v>1052</v>
      </c>
      <c r="D299" s="26" t="n">
        <v>1</v>
      </c>
      <c r="E299" s="27" t="n">
        <v>9</v>
      </c>
      <c r="F299" s="27" t="n">
        <v>9</v>
      </c>
      <c r="G299" s="25" t="s">
        <v>773</v>
      </c>
      <c r="H299" s="25" t="s">
        <v>774</v>
      </c>
      <c r="I299" s="25" t="n">
        <f aca="false">IFERROR(IF(INDEX(Documents!$C$5:$C$657,MATCH(H299,Documents!$A$5:$A$657,0))="","",INDEX(Documents!$C$5:$C$657,MATCH(H299,Documents!$A$5:$A$657,0))),"")</f>
        <v>2008</v>
      </c>
      <c r="J299" s="25" t="str">
        <f aca="false">IFERROR(IF(INDEX(Documents!$D$5:$D$657,MATCH(H299,Documents!$A$5:$A$657,0))="","",INDEX(Documents!$D$5:$D$657,MATCH(H299,Documents!$A$5:$A$657,0))),"")</f>
        <v>Bioorg Med Chem Lett</v>
      </c>
      <c r="K299" s="25" t="str">
        <f aca="false">IFERROR(IF(INDEX(Documents!$G$5:$G$657,MATCH(H299,Documents!$A$5:$A$657,0))="","",INDEX(Documents!$G$5:$G$657,MATCH(H299,Documents!$A$5:$A$657,0))),"")</f>
        <v>10.1016/j.bmcl.2008.04.032</v>
      </c>
      <c r="L299" s="25" t="s">
        <v>775</v>
      </c>
    </row>
    <row r="300" customFormat="false" ht="15" hidden="false" customHeight="false" outlineLevel="0" collapsed="false">
      <c r="A300" s="25" t="n">
        <v>13330407</v>
      </c>
      <c r="B300" s="25" t="s">
        <v>1053</v>
      </c>
      <c r="C300" s="25" t="s">
        <v>1054</v>
      </c>
      <c r="D300" s="26" t="n">
        <v>0.9</v>
      </c>
      <c r="E300" s="27" t="n">
        <v>9.04575749056068</v>
      </c>
      <c r="F300" s="27" t="n">
        <v>9.04575749056068</v>
      </c>
      <c r="G300" s="25" t="s">
        <v>1055</v>
      </c>
      <c r="H300" s="25" t="s">
        <v>1056</v>
      </c>
      <c r="I300" s="25" t="n">
        <f aca="false">IFERROR(IF(INDEX(Documents!$C$5:$C$657,MATCH(H300,Documents!$A$5:$A$657,0))="","",INDEX(Documents!$C$5:$C$657,MATCH(H300,Documents!$A$5:$A$657,0))),"")</f>
        <v>2013</v>
      </c>
      <c r="J300" s="25" t="str">
        <f aca="false">IFERROR(IF(INDEX(Documents!$D$5:$D$657,MATCH(H300,Documents!$A$5:$A$657,0))="","",INDEX(Documents!$D$5:$D$657,MATCH(H300,Documents!$A$5:$A$657,0))),"")</f>
        <v>Bioorg Med Chem</v>
      </c>
      <c r="K300" s="25" t="str">
        <f aca="false">IFERROR(IF(INDEX(Documents!$G$5:$G$657,MATCH(H300,Documents!$A$5:$A$657,0))="","",INDEX(Documents!$G$5:$G$657,MATCH(H300,Documents!$A$5:$A$657,0))),"")</f>
        <v>10.1016/j.bmc.2013.03.030</v>
      </c>
      <c r="L300" s="25" t="s">
        <v>1057</v>
      </c>
    </row>
    <row r="301" customFormat="false" ht="15" hidden="false" customHeight="false" outlineLevel="0" collapsed="false">
      <c r="A301" s="25" t="n">
        <v>19371547</v>
      </c>
      <c r="B301" s="25" t="s">
        <v>1058</v>
      </c>
      <c r="C301" s="25" t="s">
        <v>1059</v>
      </c>
      <c r="D301" s="26" t="n">
        <v>38300</v>
      </c>
      <c r="E301" s="27" t="n">
        <v>4.41680122603138</v>
      </c>
      <c r="F301" s="27" t="n">
        <v>4.41680122603138</v>
      </c>
      <c r="G301" s="25" t="s">
        <v>1060</v>
      </c>
      <c r="H301" s="25" t="s">
        <v>341</v>
      </c>
      <c r="I301" s="25" t="n">
        <f aca="false">IFERROR(IF(INDEX(Documents!$C$5:$C$657,MATCH(H301,Documents!$A$5:$A$657,0))="","",INDEX(Documents!$C$5:$C$657,MATCH(H301,Documents!$A$5:$A$657,0))),"")</f>
        <v>2019</v>
      </c>
      <c r="J301" s="25" t="str">
        <f aca="false">IFERROR(IF(INDEX(Documents!$D$5:$D$657,MATCH(H301,Documents!$A$5:$A$657,0))="","",INDEX(Documents!$D$5:$D$657,MATCH(H301,Documents!$A$5:$A$657,0))),"")</f>
        <v>J Nat Prod</v>
      </c>
      <c r="K301" s="25" t="str">
        <f aca="false">IFERROR(IF(INDEX(Documents!$G$5:$G$657,MATCH(H301,Documents!$A$5:$A$657,0))="","",INDEX(Documents!$G$5:$G$657,MATCH(H301,Documents!$A$5:$A$657,0))),"")</f>
        <v>10.1021/acs.jnatprod.8b00874</v>
      </c>
      <c r="L301" s="25" t="s">
        <v>1061</v>
      </c>
    </row>
    <row r="302" customFormat="false" ht="15" hidden="false" customHeight="false" outlineLevel="0" collapsed="false">
      <c r="A302" s="25" t="n">
        <v>3111437</v>
      </c>
      <c r="B302" s="25" t="s">
        <v>1062</v>
      </c>
      <c r="C302" s="25" t="s">
        <v>1063</v>
      </c>
      <c r="D302" s="26" t="n">
        <v>1578</v>
      </c>
      <c r="E302" s="27" t="n">
        <v>5.8018930011266</v>
      </c>
      <c r="F302" s="27" t="n">
        <v>5.8018930011266</v>
      </c>
      <c r="G302" s="25" t="s">
        <v>1040</v>
      </c>
      <c r="H302" s="25" t="s">
        <v>1041</v>
      </c>
      <c r="I302" s="25" t="n">
        <f aca="false">IFERROR(IF(INDEX(Documents!$C$5:$C$657,MATCH(H302,Documents!$A$5:$A$657,0))="","",INDEX(Documents!$C$5:$C$657,MATCH(H302,Documents!$A$5:$A$657,0))),"")</f>
        <v>2010</v>
      </c>
      <c r="J302" s="25" t="str">
        <f aca="false">IFERROR(IF(INDEX(Documents!$D$5:$D$657,MATCH(H302,Documents!$A$5:$A$657,0))="","",INDEX(Documents!$D$5:$D$657,MATCH(H302,Documents!$A$5:$A$657,0))),"")</f>
        <v>Bioorg Med Chem Lett</v>
      </c>
      <c r="K302" s="25" t="str">
        <f aca="false">IFERROR(IF(INDEX(Documents!$G$5:$G$657,MATCH(H302,Documents!$A$5:$A$657,0))="","",INDEX(Documents!$G$5:$G$657,MATCH(H302,Documents!$A$5:$A$657,0))),"")</f>
        <v>10.1016/j.bmcl.2009.11.075</v>
      </c>
      <c r="L302" s="25" t="s">
        <v>515</v>
      </c>
    </row>
    <row r="303" customFormat="false" ht="15" hidden="false" customHeight="false" outlineLevel="0" collapsed="false">
      <c r="A303" s="25" t="n">
        <v>2167474</v>
      </c>
      <c r="B303" s="25" t="s">
        <v>1064</v>
      </c>
      <c r="C303" s="25" t="s">
        <v>1065</v>
      </c>
      <c r="D303" s="26" t="n">
        <v>340</v>
      </c>
      <c r="E303" s="27" t="n">
        <v>6.46852108295775</v>
      </c>
      <c r="F303" s="27" t="n">
        <v>6.46852108295775</v>
      </c>
      <c r="G303" s="25" t="s">
        <v>707</v>
      </c>
      <c r="H303" s="25" t="s">
        <v>708</v>
      </c>
      <c r="I303" s="25" t="n">
        <f aca="false">IFERROR(IF(INDEX(Documents!$C$5:$C$657,MATCH(H303,Documents!$A$5:$A$657,0))="","",INDEX(Documents!$C$5:$C$657,MATCH(H303,Documents!$A$5:$A$657,0))),"")</f>
        <v>2008</v>
      </c>
      <c r="J303" s="25" t="str">
        <f aca="false">IFERROR(IF(INDEX(Documents!$D$5:$D$657,MATCH(H303,Documents!$A$5:$A$657,0))="","",INDEX(Documents!$D$5:$D$657,MATCH(H303,Documents!$A$5:$A$657,0))),"")</f>
        <v>Bioorg Med Chem Lett</v>
      </c>
      <c r="K303" s="25" t="str">
        <f aca="false">IFERROR(IF(INDEX(Documents!$G$5:$G$657,MATCH(H303,Documents!$A$5:$A$657,0))="","",INDEX(Documents!$G$5:$G$657,MATCH(H303,Documents!$A$5:$A$657,0))),"")</f>
        <v>10.1016/j.bmcl.2008.04.006</v>
      </c>
      <c r="L303" s="25" t="s">
        <v>709</v>
      </c>
    </row>
    <row r="304" customFormat="false" ht="15" hidden="false" customHeight="false" outlineLevel="0" collapsed="false">
      <c r="A304" s="25" t="n">
        <v>2167478</v>
      </c>
      <c r="B304" s="25" t="s">
        <v>1066</v>
      </c>
      <c r="C304" s="25" t="s">
        <v>1067</v>
      </c>
      <c r="D304" s="26" t="n">
        <v>410</v>
      </c>
      <c r="E304" s="27" t="n">
        <v>6.38721614328027</v>
      </c>
      <c r="F304" s="27" t="n">
        <v>6.38721614328027</v>
      </c>
      <c r="G304" s="25" t="s">
        <v>707</v>
      </c>
      <c r="H304" s="25" t="s">
        <v>708</v>
      </c>
      <c r="I304" s="25" t="n">
        <f aca="false">IFERROR(IF(INDEX(Documents!$C$5:$C$657,MATCH(H304,Documents!$A$5:$A$657,0))="","",INDEX(Documents!$C$5:$C$657,MATCH(H304,Documents!$A$5:$A$657,0))),"")</f>
        <v>2008</v>
      </c>
      <c r="J304" s="25" t="str">
        <f aca="false">IFERROR(IF(INDEX(Documents!$D$5:$D$657,MATCH(H304,Documents!$A$5:$A$657,0))="","",INDEX(Documents!$D$5:$D$657,MATCH(H304,Documents!$A$5:$A$657,0))),"")</f>
        <v>Bioorg Med Chem Lett</v>
      </c>
      <c r="K304" s="25" t="str">
        <f aca="false">IFERROR(IF(INDEX(Documents!$G$5:$G$657,MATCH(H304,Documents!$A$5:$A$657,0))="","",INDEX(Documents!$G$5:$G$657,MATCH(H304,Documents!$A$5:$A$657,0))),"")</f>
        <v>10.1016/j.bmcl.2008.04.006</v>
      </c>
      <c r="L304" s="25" t="s">
        <v>709</v>
      </c>
    </row>
    <row r="305" customFormat="false" ht="15" hidden="false" customHeight="false" outlineLevel="0" collapsed="false">
      <c r="A305" s="25" t="n">
        <v>3111433</v>
      </c>
      <c r="B305" s="25" t="s">
        <v>1068</v>
      </c>
      <c r="C305" s="25" t="s">
        <v>1069</v>
      </c>
      <c r="D305" s="26" t="n">
        <v>1578</v>
      </c>
      <c r="E305" s="27" t="n">
        <v>5.8018930011266</v>
      </c>
      <c r="F305" s="27" t="n">
        <v>5.8018930011266</v>
      </c>
      <c r="G305" s="25" t="s">
        <v>1040</v>
      </c>
      <c r="H305" s="25" t="s">
        <v>1041</v>
      </c>
      <c r="I305" s="25" t="n">
        <f aca="false">IFERROR(IF(INDEX(Documents!$C$5:$C$657,MATCH(H305,Documents!$A$5:$A$657,0))="","",INDEX(Documents!$C$5:$C$657,MATCH(H305,Documents!$A$5:$A$657,0))),"")</f>
        <v>2010</v>
      </c>
      <c r="J305" s="25" t="str">
        <f aca="false">IFERROR(IF(INDEX(Documents!$D$5:$D$657,MATCH(H305,Documents!$A$5:$A$657,0))="","",INDEX(Documents!$D$5:$D$657,MATCH(H305,Documents!$A$5:$A$657,0))),"")</f>
        <v>Bioorg Med Chem Lett</v>
      </c>
      <c r="K305" s="25" t="str">
        <f aca="false">IFERROR(IF(INDEX(Documents!$G$5:$G$657,MATCH(H305,Documents!$A$5:$A$657,0))="","",INDEX(Documents!$G$5:$G$657,MATCH(H305,Documents!$A$5:$A$657,0))),"")</f>
        <v>10.1016/j.bmcl.2009.11.075</v>
      </c>
      <c r="L305" s="25" t="s">
        <v>515</v>
      </c>
    </row>
    <row r="306" customFormat="false" ht="15" hidden="false" customHeight="false" outlineLevel="0" collapsed="false">
      <c r="A306" s="25" t="n">
        <v>18673902</v>
      </c>
      <c r="B306" s="25" t="s">
        <v>1070</v>
      </c>
      <c r="C306" s="25" t="s">
        <v>1071</v>
      </c>
      <c r="D306" s="26" t="n">
        <v>2800</v>
      </c>
      <c r="E306" s="27" t="n">
        <v>5.55284196865778</v>
      </c>
      <c r="F306" s="27" t="n">
        <v>5.55284196865778</v>
      </c>
      <c r="G306" s="25" t="s">
        <v>664</v>
      </c>
      <c r="H306" s="25" t="s">
        <v>665</v>
      </c>
      <c r="I306" s="25" t="n">
        <f aca="false">IFERROR(IF(INDEX(Documents!$C$5:$C$657,MATCH(H306,Documents!$A$5:$A$657,0))="","",INDEX(Documents!$C$5:$C$657,MATCH(H306,Documents!$A$5:$A$657,0))),"")</f>
        <v>2018</v>
      </c>
      <c r="J306" s="25" t="str">
        <f aca="false">IFERROR(IF(INDEX(Documents!$D$5:$D$657,MATCH(H306,Documents!$A$5:$A$657,0))="","",INDEX(Documents!$D$5:$D$657,MATCH(H306,Documents!$A$5:$A$657,0))),"")</f>
        <v>Bioorg Med Chem</v>
      </c>
      <c r="K306" s="25" t="str">
        <f aca="false">IFERROR(IF(INDEX(Documents!$G$5:$G$657,MATCH(H306,Documents!$A$5:$A$657,0))="","",INDEX(Documents!$G$5:$G$657,MATCH(H306,Documents!$A$5:$A$657,0))),"")</f>
        <v>10.1016/j.bmc.2018.07.043</v>
      </c>
      <c r="L306" s="25" t="s">
        <v>666</v>
      </c>
    </row>
    <row r="307" customFormat="false" ht="15" hidden="false" customHeight="false" outlineLevel="0" collapsed="false">
      <c r="A307" s="25" t="n">
        <v>29009921</v>
      </c>
      <c r="B307" s="25" t="s">
        <v>1072</v>
      </c>
      <c r="C307" s="25" t="s">
        <v>1073</v>
      </c>
      <c r="D307" s="26" t="n">
        <v>21</v>
      </c>
      <c r="E307" s="27" t="n">
        <v>7.67778070526608</v>
      </c>
      <c r="F307" s="27" t="n">
        <v>7.67778070526608</v>
      </c>
      <c r="G307" s="25" t="s">
        <v>480</v>
      </c>
      <c r="H307" s="25" t="s">
        <v>481</v>
      </c>
      <c r="I307" s="25" t="n">
        <f aca="false">IFERROR(IF(INDEX(Documents!$C$5:$C$657,MATCH(H307,Documents!$A$5:$A$657,0))="","",INDEX(Documents!$C$5:$C$657,MATCH(H307,Documents!$A$5:$A$657,0))),"")</f>
        <v>2023</v>
      </c>
      <c r="J307" s="25" t="str">
        <f aca="false">IFERROR(IF(INDEX(Documents!$D$5:$D$657,MATCH(H307,Documents!$A$5:$A$657,0))="","",INDEX(Documents!$D$5:$D$657,MATCH(H307,Documents!$A$5:$A$657,0))),"")</f>
        <v/>
      </c>
      <c r="K307" s="25" t="str">
        <f aca="false">IFERROR(IF(INDEX(Documents!$G$5:$G$657,MATCH(H307,Documents!$A$5:$A$657,0))="","",INDEX(Documents!$G$5:$G$657,MATCH(H307,Documents!$A$5:$A$657,0))),"")</f>
        <v/>
      </c>
      <c r="L307" s="25" t="s">
        <v>482</v>
      </c>
    </row>
    <row r="308" customFormat="false" ht="15" hidden="false" customHeight="false" outlineLevel="0" collapsed="false">
      <c r="A308" s="25" t="n">
        <v>12089849</v>
      </c>
      <c r="B308" s="25" t="s">
        <v>1074</v>
      </c>
      <c r="C308" s="25" t="s">
        <v>1075</v>
      </c>
      <c r="D308" s="26" t="n">
        <v>9.24</v>
      </c>
      <c r="E308" s="27" t="n">
        <v>8.03432802877989</v>
      </c>
      <c r="F308" s="27" t="n">
        <v>8.03432802877989</v>
      </c>
      <c r="G308" s="25" t="s">
        <v>1028</v>
      </c>
      <c r="H308" s="25" t="s">
        <v>1029</v>
      </c>
      <c r="I308" s="25" t="n">
        <f aca="false">IFERROR(IF(INDEX(Documents!$C$5:$C$657,MATCH(H308,Documents!$A$5:$A$657,0))="","",INDEX(Documents!$C$5:$C$657,MATCH(H308,Documents!$A$5:$A$657,0))),"")</f>
        <v>2012</v>
      </c>
      <c r="J308" s="25" t="str">
        <f aca="false">IFERROR(IF(INDEX(Documents!$D$5:$D$657,MATCH(H308,Documents!$A$5:$A$657,0))="","",INDEX(Documents!$D$5:$D$657,MATCH(H308,Documents!$A$5:$A$657,0))),"")</f>
        <v>J Med Chem</v>
      </c>
      <c r="K308" s="25" t="str">
        <f aca="false">IFERROR(IF(INDEX(Documents!$G$5:$G$657,MATCH(H308,Documents!$A$5:$A$657,0))="","",INDEX(Documents!$G$5:$G$657,MATCH(H308,Documents!$A$5:$A$657,0))),"")</f>
        <v>10.1021/jm300763w</v>
      </c>
      <c r="L308" s="25" t="s">
        <v>1030</v>
      </c>
    </row>
    <row r="309" customFormat="false" ht="15" hidden="false" customHeight="false" outlineLevel="0" collapsed="false">
      <c r="A309" s="25" t="n">
        <v>16823030</v>
      </c>
      <c r="B309" s="25" t="s">
        <v>1076</v>
      </c>
      <c r="C309" s="25" t="s">
        <v>1077</v>
      </c>
      <c r="D309" s="26" t="n">
        <v>100</v>
      </c>
      <c r="E309" s="27" t="n">
        <v>7</v>
      </c>
      <c r="F309" s="27" t="n">
        <v>7</v>
      </c>
      <c r="G309" s="25" t="s">
        <v>934</v>
      </c>
      <c r="H309" s="25" t="s">
        <v>935</v>
      </c>
      <c r="I309" s="25" t="n">
        <f aca="false">IFERROR(IF(INDEX(Documents!$C$5:$C$657,MATCH(H309,Documents!$A$5:$A$657,0))="","",INDEX(Documents!$C$5:$C$657,MATCH(H309,Documents!$A$5:$A$657,0))),"")</f>
        <v>2016</v>
      </c>
      <c r="J309" s="25" t="str">
        <f aca="false">IFERROR(IF(INDEX(Documents!$D$5:$D$657,MATCH(H309,Documents!$A$5:$A$657,0))="","",INDEX(Documents!$D$5:$D$657,MATCH(H309,Documents!$A$5:$A$657,0))),"")</f>
        <v>Eur J Med Chem</v>
      </c>
      <c r="K309" s="25" t="str">
        <f aca="false">IFERROR(IF(INDEX(Documents!$G$5:$G$657,MATCH(H309,Documents!$A$5:$A$657,0))="","",INDEX(Documents!$G$5:$G$657,MATCH(H309,Documents!$A$5:$A$657,0))),"")</f>
        <v>10.1016/j.ejmech.2016.08.005</v>
      </c>
      <c r="L309" s="25" t="s">
        <v>936</v>
      </c>
    </row>
    <row r="310" customFormat="false" ht="15" hidden="false" customHeight="false" outlineLevel="0" collapsed="false">
      <c r="A310" s="25" t="n">
        <v>16823050</v>
      </c>
      <c r="B310" s="25" t="s">
        <v>1078</v>
      </c>
      <c r="C310" s="25" t="s">
        <v>1079</v>
      </c>
      <c r="D310" s="26" t="n">
        <v>500</v>
      </c>
      <c r="E310" s="27" t="n">
        <v>6.30102999566398</v>
      </c>
      <c r="F310" s="27" t="n">
        <v>6.30102999566398</v>
      </c>
      <c r="G310" s="25" t="s">
        <v>934</v>
      </c>
      <c r="H310" s="25" t="s">
        <v>935</v>
      </c>
      <c r="I310" s="25" t="n">
        <f aca="false">IFERROR(IF(INDEX(Documents!$C$5:$C$657,MATCH(H310,Documents!$A$5:$A$657,0))="","",INDEX(Documents!$C$5:$C$657,MATCH(H310,Documents!$A$5:$A$657,0))),"")</f>
        <v>2016</v>
      </c>
      <c r="J310" s="25" t="str">
        <f aca="false">IFERROR(IF(INDEX(Documents!$D$5:$D$657,MATCH(H310,Documents!$A$5:$A$657,0))="","",INDEX(Documents!$D$5:$D$657,MATCH(H310,Documents!$A$5:$A$657,0))),"")</f>
        <v>Eur J Med Chem</v>
      </c>
      <c r="K310" s="25" t="str">
        <f aca="false">IFERROR(IF(INDEX(Documents!$G$5:$G$657,MATCH(H310,Documents!$A$5:$A$657,0))="","",INDEX(Documents!$G$5:$G$657,MATCH(H310,Documents!$A$5:$A$657,0))),"")</f>
        <v>10.1016/j.ejmech.2016.08.005</v>
      </c>
      <c r="L310" s="25" t="s">
        <v>936</v>
      </c>
    </row>
    <row r="311" customFormat="false" ht="15" hidden="false" customHeight="false" outlineLevel="0" collapsed="false">
      <c r="A311" s="25" t="n">
        <v>16338485</v>
      </c>
      <c r="B311" s="25" t="s">
        <v>1080</v>
      </c>
      <c r="C311" s="25" t="s">
        <v>1081</v>
      </c>
      <c r="D311" s="26" t="n">
        <v>27</v>
      </c>
      <c r="E311" s="27" t="n">
        <v>7.56863623584101</v>
      </c>
      <c r="F311" s="27" t="n">
        <v>7.56863623584101</v>
      </c>
      <c r="G311" s="25" t="s">
        <v>273</v>
      </c>
      <c r="H311" s="25" t="s">
        <v>274</v>
      </c>
      <c r="I311" s="25" t="n">
        <f aca="false">IFERROR(IF(INDEX(Documents!$C$5:$C$657,MATCH(H311,Documents!$A$5:$A$657,0))="","",INDEX(Documents!$C$5:$C$657,MATCH(H311,Documents!$A$5:$A$657,0))),"")</f>
        <v>2014</v>
      </c>
      <c r="J311" s="25" t="str">
        <f aca="false">IFERROR(IF(INDEX(Documents!$D$5:$D$657,MATCH(H311,Documents!$A$5:$A$657,0))="","",INDEX(Documents!$D$5:$D$657,MATCH(H311,Documents!$A$5:$A$657,0))),"")</f>
        <v/>
      </c>
      <c r="K311" s="25" t="str">
        <f aca="false">IFERROR(IF(INDEX(Documents!$G$5:$G$657,MATCH(H311,Documents!$A$5:$A$657,0))="","",INDEX(Documents!$G$5:$G$657,MATCH(H311,Documents!$A$5:$A$657,0))),"")</f>
        <v/>
      </c>
      <c r="L311" s="25" t="s">
        <v>275</v>
      </c>
    </row>
    <row r="312" customFormat="false" ht="15" hidden="false" customHeight="false" outlineLevel="0" collapsed="false">
      <c r="A312" s="25" t="n">
        <v>16293295</v>
      </c>
      <c r="B312" s="25" t="s">
        <v>1082</v>
      </c>
      <c r="C312" s="25" t="s">
        <v>1083</v>
      </c>
      <c r="D312" s="26" t="n">
        <v>96</v>
      </c>
      <c r="E312" s="27" t="n">
        <v>7.01772876696043</v>
      </c>
      <c r="F312" s="27" t="n">
        <v>7.01772876696043</v>
      </c>
      <c r="G312" s="25" t="s">
        <v>273</v>
      </c>
      <c r="H312" s="25" t="s">
        <v>274</v>
      </c>
      <c r="I312" s="25" t="n">
        <f aca="false">IFERROR(IF(INDEX(Documents!$C$5:$C$657,MATCH(H312,Documents!$A$5:$A$657,0))="","",INDEX(Documents!$C$5:$C$657,MATCH(H312,Documents!$A$5:$A$657,0))),"")</f>
        <v>2014</v>
      </c>
      <c r="J312" s="25" t="str">
        <f aca="false">IFERROR(IF(INDEX(Documents!$D$5:$D$657,MATCH(H312,Documents!$A$5:$A$657,0))="","",INDEX(Documents!$D$5:$D$657,MATCH(H312,Documents!$A$5:$A$657,0))),"")</f>
        <v/>
      </c>
      <c r="K312" s="25" t="str">
        <f aca="false">IFERROR(IF(INDEX(Documents!$G$5:$G$657,MATCH(H312,Documents!$A$5:$A$657,0))="","",INDEX(Documents!$G$5:$G$657,MATCH(H312,Documents!$A$5:$A$657,0))),"")</f>
        <v/>
      </c>
      <c r="L312" s="25" t="s">
        <v>275</v>
      </c>
    </row>
    <row r="313" customFormat="false" ht="15" hidden="false" customHeight="false" outlineLevel="0" collapsed="false">
      <c r="A313" s="25" t="n">
        <v>16286894</v>
      </c>
      <c r="B313" s="25" t="s">
        <v>1084</v>
      </c>
      <c r="C313" s="25" t="s">
        <v>1085</v>
      </c>
      <c r="D313" s="26" t="n">
        <v>5</v>
      </c>
      <c r="E313" s="27" t="n">
        <v>8.30102999566398</v>
      </c>
      <c r="F313" s="27" t="n">
        <v>8.30102999566398</v>
      </c>
      <c r="G313" s="25" t="s">
        <v>273</v>
      </c>
      <c r="H313" s="25" t="s">
        <v>274</v>
      </c>
      <c r="I313" s="25" t="n">
        <f aca="false">IFERROR(IF(INDEX(Documents!$C$5:$C$657,MATCH(H313,Documents!$A$5:$A$657,0))="","",INDEX(Documents!$C$5:$C$657,MATCH(H313,Documents!$A$5:$A$657,0))),"")</f>
        <v>2014</v>
      </c>
      <c r="J313" s="25" t="str">
        <f aca="false">IFERROR(IF(INDEX(Documents!$D$5:$D$657,MATCH(H313,Documents!$A$5:$A$657,0))="","",INDEX(Documents!$D$5:$D$657,MATCH(H313,Documents!$A$5:$A$657,0))),"")</f>
        <v/>
      </c>
      <c r="K313" s="25" t="str">
        <f aca="false">IFERROR(IF(INDEX(Documents!$G$5:$G$657,MATCH(H313,Documents!$A$5:$A$657,0))="","",INDEX(Documents!$G$5:$G$657,MATCH(H313,Documents!$A$5:$A$657,0))),"")</f>
        <v/>
      </c>
      <c r="L313" s="25" t="s">
        <v>275</v>
      </c>
    </row>
    <row r="314" customFormat="false" ht="15" hidden="false" customHeight="false" outlineLevel="0" collapsed="false">
      <c r="A314" s="25" t="n">
        <v>16285739</v>
      </c>
      <c r="B314" s="25" t="s">
        <v>1086</v>
      </c>
      <c r="C314" s="25" t="s">
        <v>1087</v>
      </c>
      <c r="D314" s="26" t="n">
        <v>32</v>
      </c>
      <c r="E314" s="27" t="n">
        <v>7.49485002168009</v>
      </c>
      <c r="F314" s="27" t="n">
        <v>7.49485002168009</v>
      </c>
      <c r="G314" s="25" t="s">
        <v>273</v>
      </c>
      <c r="H314" s="25" t="s">
        <v>274</v>
      </c>
      <c r="I314" s="25" t="n">
        <f aca="false">IFERROR(IF(INDEX(Documents!$C$5:$C$657,MATCH(H314,Documents!$A$5:$A$657,0))="","",INDEX(Documents!$C$5:$C$657,MATCH(H314,Documents!$A$5:$A$657,0))),"")</f>
        <v>2014</v>
      </c>
      <c r="J314" s="25" t="str">
        <f aca="false">IFERROR(IF(INDEX(Documents!$D$5:$D$657,MATCH(H314,Documents!$A$5:$A$657,0))="","",INDEX(Documents!$D$5:$D$657,MATCH(H314,Documents!$A$5:$A$657,0))),"")</f>
        <v/>
      </c>
      <c r="K314" s="25" t="str">
        <f aca="false">IFERROR(IF(INDEX(Documents!$G$5:$G$657,MATCH(H314,Documents!$A$5:$A$657,0))="","",INDEX(Documents!$G$5:$G$657,MATCH(H314,Documents!$A$5:$A$657,0))),"")</f>
        <v/>
      </c>
      <c r="L314" s="25" t="s">
        <v>275</v>
      </c>
    </row>
    <row r="315" customFormat="false" ht="15" hidden="false" customHeight="false" outlineLevel="0" collapsed="false">
      <c r="A315" s="25" t="n">
        <v>16316646</v>
      </c>
      <c r="B315" s="25" t="s">
        <v>1088</v>
      </c>
      <c r="C315" s="25" t="s">
        <v>1089</v>
      </c>
      <c r="D315" s="26" t="n">
        <v>0.73</v>
      </c>
      <c r="E315" s="27" t="n">
        <v>9.13667713987954</v>
      </c>
      <c r="F315" s="27" t="n">
        <v>9.13667713987954</v>
      </c>
      <c r="G315" s="25" t="s">
        <v>273</v>
      </c>
      <c r="H315" s="25" t="s">
        <v>274</v>
      </c>
      <c r="I315" s="25" t="n">
        <f aca="false">IFERROR(IF(INDEX(Documents!$C$5:$C$657,MATCH(H315,Documents!$A$5:$A$657,0))="","",INDEX(Documents!$C$5:$C$657,MATCH(H315,Documents!$A$5:$A$657,0))),"")</f>
        <v>2014</v>
      </c>
      <c r="J315" s="25" t="str">
        <f aca="false">IFERROR(IF(INDEX(Documents!$D$5:$D$657,MATCH(H315,Documents!$A$5:$A$657,0))="","",INDEX(Documents!$D$5:$D$657,MATCH(H315,Documents!$A$5:$A$657,0))),"")</f>
        <v/>
      </c>
      <c r="K315" s="25" t="str">
        <f aca="false">IFERROR(IF(INDEX(Documents!$G$5:$G$657,MATCH(H315,Documents!$A$5:$A$657,0))="","",INDEX(Documents!$G$5:$G$657,MATCH(H315,Documents!$A$5:$A$657,0))),"")</f>
        <v/>
      </c>
      <c r="L315" s="25" t="s">
        <v>275</v>
      </c>
    </row>
    <row r="316" customFormat="false" ht="15" hidden="false" customHeight="false" outlineLevel="0" collapsed="false">
      <c r="A316" s="25" t="n">
        <v>16326139</v>
      </c>
      <c r="B316" s="25" t="s">
        <v>1090</v>
      </c>
      <c r="C316" s="25" t="s">
        <v>1091</v>
      </c>
      <c r="D316" s="26" t="n">
        <v>96</v>
      </c>
      <c r="E316" s="27" t="n">
        <v>7.01772876696043</v>
      </c>
      <c r="F316" s="27" t="n">
        <v>7.01772876696043</v>
      </c>
      <c r="G316" s="25" t="s">
        <v>273</v>
      </c>
      <c r="H316" s="25" t="s">
        <v>274</v>
      </c>
      <c r="I316" s="25" t="n">
        <f aca="false">IFERROR(IF(INDEX(Documents!$C$5:$C$657,MATCH(H316,Documents!$A$5:$A$657,0))="","",INDEX(Documents!$C$5:$C$657,MATCH(H316,Documents!$A$5:$A$657,0))),"")</f>
        <v>2014</v>
      </c>
      <c r="J316" s="25" t="str">
        <f aca="false">IFERROR(IF(INDEX(Documents!$D$5:$D$657,MATCH(H316,Documents!$A$5:$A$657,0))="","",INDEX(Documents!$D$5:$D$657,MATCH(H316,Documents!$A$5:$A$657,0))),"")</f>
        <v/>
      </c>
      <c r="K316" s="25" t="str">
        <f aca="false">IFERROR(IF(INDEX(Documents!$G$5:$G$657,MATCH(H316,Documents!$A$5:$A$657,0))="","",INDEX(Documents!$G$5:$G$657,MATCH(H316,Documents!$A$5:$A$657,0))),"")</f>
        <v/>
      </c>
      <c r="L316" s="25" t="s">
        <v>275</v>
      </c>
    </row>
    <row r="317" customFormat="false" ht="15" hidden="false" customHeight="false" outlineLevel="0" collapsed="false">
      <c r="A317" s="25" t="n">
        <v>16320573</v>
      </c>
      <c r="B317" s="25" t="s">
        <v>1092</v>
      </c>
      <c r="C317" s="25" t="s">
        <v>1093</v>
      </c>
      <c r="D317" s="26" t="n">
        <v>39</v>
      </c>
      <c r="E317" s="27" t="n">
        <v>7.4089353929735</v>
      </c>
      <c r="F317" s="27" t="n">
        <v>7.4089353929735</v>
      </c>
      <c r="G317" s="25" t="s">
        <v>273</v>
      </c>
      <c r="H317" s="25" t="s">
        <v>274</v>
      </c>
      <c r="I317" s="25" t="n">
        <f aca="false">IFERROR(IF(INDEX(Documents!$C$5:$C$657,MATCH(H317,Documents!$A$5:$A$657,0))="","",INDEX(Documents!$C$5:$C$657,MATCH(H317,Documents!$A$5:$A$657,0))),"")</f>
        <v>2014</v>
      </c>
      <c r="J317" s="25" t="str">
        <f aca="false">IFERROR(IF(INDEX(Documents!$D$5:$D$657,MATCH(H317,Documents!$A$5:$A$657,0))="","",INDEX(Documents!$D$5:$D$657,MATCH(H317,Documents!$A$5:$A$657,0))),"")</f>
        <v/>
      </c>
      <c r="K317" s="25" t="str">
        <f aca="false">IFERROR(IF(INDEX(Documents!$G$5:$G$657,MATCH(H317,Documents!$A$5:$A$657,0))="","",INDEX(Documents!$G$5:$G$657,MATCH(H317,Documents!$A$5:$A$657,0))),"")</f>
        <v/>
      </c>
      <c r="L317" s="25" t="s">
        <v>275</v>
      </c>
    </row>
    <row r="318" customFormat="false" ht="15" hidden="false" customHeight="false" outlineLevel="0" collapsed="false">
      <c r="A318" s="25" t="n">
        <v>16339063</v>
      </c>
      <c r="B318" s="25" t="s">
        <v>1094</v>
      </c>
      <c r="C318" s="25" t="s">
        <v>1095</v>
      </c>
      <c r="D318" s="26" t="n">
        <v>44</v>
      </c>
      <c r="E318" s="27" t="n">
        <v>7.35654732351381</v>
      </c>
      <c r="F318" s="27" t="n">
        <v>7.35654732351381</v>
      </c>
      <c r="G318" s="25" t="s">
        <v>273</v>
      </c>
      <c r="H318" s="25" t="s">
        <v>274</v>
      </c>
      <c r="I318" s="25" t="n">
        <f aca="false">IFERROR(IF(INDEX(Documents!$C$5:$C$657,MATCH(H318,Documents!$A$5:$A$657,0))="","",INDEX(Documents!$C$5:$C$657,MATCH(H318,Documents!$A$5:$A$657,0))),"")</f>
        <v>2014</v>
      </c>
      <c r="J318" s="25" t="str">
        <f aca="false">IFERROR(IF(INDEX(Documents!$D$5:$D$657,MATCH(H318,Documents!$A$5:$A$657,0))="","",INDEX(Documents!$D$5:$D$657,MATCH(H318,Documents!$A$5:$A$657,0))),"")</f>
        <v/>
      </c>
      <c r="K318" s="25" t="str">
        <f aca="false">IFERROR(IF(INDEX(Documents!$G$5:$G$657,MATCH(H318,Documents!$A$5:$A$657,0))="","",INDEX(Documents!$G$5:$G$657,MATCH(H318,Documents!$A$5:$A$657,0))),"")</f>
        <v/>
      </c>
      <c r="L318" s="25" t="s">
        <v>275</v>
      </c>
    </row>
    <row r="319" customFormat="false" ht="15" hidden="false" customHeight="false" outlineLevel="0" collapsed="false">
      <c r="A319" s="25" t="n">
        <v>16340741</v>
      </c>
      <c r="B319" s="25" t="s">
        <v>1096</v>
      </c>
      <c r="C319" s="25" t="s">
        <v>1097</v>
      </c>
      <c r="D319" s="26" t="n">
        <v>37</v>
      </c>
      <c r="E319" s="27" t="n">
        <v>7.43179827593301</v>
      </c>
      <c r="F319" s="27" t="n">
        <v>7.43179827593301</v>
      </c>
      <c r="G319" s="25" t="s">
        <v>273</v>
      </c>
      <c r="H319" s="25" t="s">
        <v>274</v>
      </c>
      <c r="I319" s="25" t="n">
        <f aca="false">IFERROR(IF(INDEX(Documents!$C$5:$C$657,MATCH(H319,Documents!$A$5:$A$657,0))="","",INDEX(Documents!$C$5:$C$657,MATCH(H319,Documents!$A$5:$A$657,0))),"")</f>
        <v>2014</v>
      </c>
      <c r="J319" s="25" t="str">
        <f aca="false">IFERROR(IF(INDEX(Documents!$D$5:$D$657,MATCH(H319,Documents!$A$5:$A$657,0))="","",INDEX(Documents!$D$5:$D$657,MATCH(H319,Documents!$A$5:$A$657,0))),"")</f>
        <v/>
      </c>
      <c r="K319" s="25" t="str">
        <f aca="false">IFERROR(IF(INDEX(Documents!$G$5:$G$657,MATCH(H319,Documents!$A$5:$A$657,0))="","",INDEX(Documents!$G$5:$G$657,MATCH(H319,Documents!$A$5:$A$657,0))),"")</f>
        <v/>
      </c>
      <c r="L319" s="25" t="s">
        <v>275</v>
      </c>
    </row>
    <row r="320" customFormat="false" ht="15" hidden="false" customHeight="false" outlineLevel="0" collapsed="false">
      <c r="A320" s="25" t="n">
        <v>16319237</v>
      </c>
      <c r="B320" s="25" t="s">
        <v>1098</v>
      </c>
      <c r="C320" s="25" t="s">
        <v>1099</v>
      </c>
      <c r="D320" s="26" t="n">
        <v>7.4</v>
      </c>
      <c r="E320" s="27" t="n">
        <v>8.13076828026902</v>
      </c>
      <c r="F320" s="27" t="n">
        <v>8.13076828026902</v>
      </c>
      <c r="G320" s="25" t="s">
        <v>273</v>
      </c>
      <c r="H320" s="25" t="s">
        <v>274</v>
      </c>
      <c r="I320" s="25" t="n">
        <f aca="false">IFERROR(IF(INDEX(Documents!$C$5:$C$657,MATCH(H320,Documents!$A$5:$A$657,0))="","",INDEX(Documents!$C$5:$C$657,MATCH(H320,Documents!$A$5:$A$657,0))),"")</f>
        <v>2014</v>
      </c>
      <c r="J320" s="25" t="str">
        <f aca="false">IFERROR(IF(INDEX(Documents!$D$5:$D$657,MATCH(H320,Documents!$A$5:$A$657,0))="","",INDEX(Documents!$D$5:$D$657,MATCH(H320,Documents!$A$5:$A$657,0))),"")</f>
        <v/>
      </c>
      <c r="K320" s="25" t="str">
        <f aca="false">IFERROR(IF(INDEX(Documents!$G$5:$G$657,MATCH(H320,Documents!$A$5:$A$657,0))="","",INDEX(Documents!$G$5:$G$657,MATCH(H320,Documents!$A$5:$A$657,0))),"")</f>
        <v/>
      </c>
      <c r="L320" s="25" t="s">
        <v>275</v>
      </c>
    </row>
    <row r="321" customFormat="false" ht="15" hidden="false" customHeight="false" outlineLevel="0" collapsed="false">
      <c r="A321" s="25" t="n">
        <v>16324089</v>
      </c>
      <c r="B321" s="25" t="s">
        <v>1100</v>
      </c>
      <c r="C321" s="25" t="s">
        <v>1101</v>
      </c>
      <c r="D321" s="26" t="n">
        <v>111</v>
      </c>
      <c r="E321" s="27" t="n">
        <v>6.95467702121334</v>
      </c>
      <c r="F321" s="27" t="n">
        <v>6.95467702121334</v>
      </c>
      <c r="G321" s="25" t="s">
        <v>273</v>
      </c>
      <c r="H321" s="25" t="s">
        <v>274</v>
      </c>
      <c r="I321" s="25" t="n">
        <f aca="false">IFERROR(IF(INDEX(Documents!$C$5:$C$657,MATCH(H321,Documents!$A$5:$A$657,0))="","",INDEX(Documents!$C$5:$C$657,MATCH(H321,Documents!$A$5:$A$657,0))),"")</f>
        <v>2014</v>
      </c>
      <c r="J321" s="25" t="str">
        <f aca="false">IFERROR(IF(INDEX(Documents!$D$5:$D$657,MATCH(H321,Documents!$A$5:$A$657,0))="","",INDEX(Documents!$D$5:$D$657,MATCH(H321,Documents!$A$5:$A$657,0))),"")</f>
        <v/>
      </c>
      <c r="K321" s="25" t="str">
        <f aca="false">IFERROR(IF(INDEX(Documents!$G$5:$G$657,MATCH(H321,Documents!$A$5:$A$657,0))="","",INDEX(Documents!$G$5:$G$657,MATCH(H321,Documents!$A$5:$A$657,0))),"")</f>
        <v/>
      </c>
      <c r="L321" s="25" t="s">
        <v>275</v>
      </c>
    </row>
    <row r="322" customFormat="false" ht="15" hidden="false" customHeight="false" outlineLevel="0" collapsed="false">
      <c r="A322" s="25" t="n">
        <v>16304973</v>
      </c>
      <c r="B322" s="25" t="s">
        <v>1102</v>
      </c>
      <c r="C322" s="25" t="s">
        <v>1103</v>
      </c>
      <c r="D322" s="26" t="n">
        <v>9.9</v>
      </c>
      <c r="E322" s="27" t="n">
        <v>8.00436480540245</v>
      </c>
      <c r="F322" s="27" t="n">
        <v>8.00436480540245</v>
      </c>
      <c r="G322" s="25" t="s">
        <v>273</v>
      </c>
      <c r="H322" s="25" t="s">
        <v>274</v>
      </c>
      <c r="I322" s="25" t="n">
        <f aca="false">IFERROR(IF(INDEX(Documents!$C$5:$C$657,MATCH(H322,Documents!$A$5:$A$657,0))="","",INDEX(Documents!$C$5:$C$657,MATCH(H322,Documents!$A$5:$A$657,0))),"")</f>
        <v>2014</v>
      </c>
      <c r="J322" s="25" t="str">
        <f aca="false">IFERROR(IF(INDEX(Documents!$D$5:$D$657,MATCH(H322,Documents!$A$5:$A$657,0))="","",INDEX(Documents!$D$5:$D$657,MATCH(H322,Documents!$A$5:$A$657,0))),"")</f>
        <v/>
      </c>
      <c r="K322" s="25" t="str">
        <f aca="false">IFERROR(IF(INDEX(Documents!$G$5:$G$657,MATCH(H322,Documents!$A$5:$A$657,0))="","",INDEX(Documents!$G$5:$G$657,MATCH(H322,Documents!$A$5:$A$657,0))),"")</f>
        <v/>
      </c>
      <c r="L322" s="25" t="s">
        <v>275</v>
      </c>
    </row>
    <row r="323" customFormat="false" ht="15" hidden="false" customHeight="false" outlineLevel="0" collapsed="false">
      <c r="A323" s="25" t="n">
        <v>16320179</v>
      </c>
      <c r="B323" s="25" t="s">
        <v>1104</v>
      </c>
      <c r="C323" s="25" t="s">
        <v>1105</v>
      </c>
      <c r="D323" s="26" t="n">
        <v>9</v>
      </c>
      <c r="E323" s="27" t="n">
        <v>8.04575749056068</v>
      </c>
      <c r="F323" s="27" t="n">
        <v>8.04575749056068</v>
      </c>
      <c r="G323" s="25" t="s">
        <v>273</v>
      </c>
      <c r="H323" s="25" t="s">
        <v>274</v>
      </c>
      <c r="I323" s="25" t="n">
        <f aca="false">IFERROR(IF(INDEX(Documents!$C$5:$C$657,MATCH(H323,Documents!$A$5:$A$657,0))="","",INDEX(Documents!$C$5:$C$657,MATCH(H323,Documents!$A$5:$A$657,0))),"")</f>
        <v>2014</v>
      </c>
      <c r="J323" s="25" t="str">
        <f aca="false">IFERROR(IF(INDEX(Documents!$D$5:$D$657,MATCH(H323,Documents!$A$5:$A$657,0))="","",INDEX(Documents!$D$5:$D$657,MATCH(H323,Documents!$A$5:$A$657,0))),"")</f>
        <v/>
      </c>
      <c r="K323" s="25" t="str">
        <f aca="false">IFERROR(IF(INDEX(Documents!$G$5:$G$657,MATCH(H323,Documents!$A$5:$A$657,0))="","",INDEX(Documents!$G$5:$G$657,MATCH(H323,Documents!$A$5:$A$657,0))),"")</f>
        <v/>
      </c>
      <c r="L323" s="25" t="s">
        <v>275</v>
      </c>
    </row>
    <row r="324" customFormat="false" ht="15" hidden="false" customHeight="false" outlineLevel="0" collapsed="false">
      <c r="A324" s="25" t="n">
        <v>16275134</v>
      </c>
      <c r="B324" s="25" t="s">
        <v>1106</v>
      </c>
      <c r="C324" s="25" t="s">
        <v>1107</v>
      </c>
      <c r="D324" s="26" t="n">
        <v>296</v>
      </c>
      <c r="E324" s="27" t="n">
        <v>6.52870828894106</v>
      </c>
      <c r="F324" s="27" t="n">
        <v>6.52870828894106</v>
      </c>
      <c r="G324" s="25" t="s">
        <v>273</v>
      </c>
      <c r="H324" s="25" t="s">
        <v>274</v>
      </c>
      <c r="I324" s="25" t="n">
        <f aca="false">IFERROR(IF(INDEX(Documents!$C$5:$C$657,MATCH(H324,Documents!$A$5:$A$657,0))="","",INDEX(Documents!$C$5:$C$657,MATCH(H324,Documents!$A$5:$A$657,0))),"")</f>
        <v>2014</v>
      </c>
      <c r="J324" s="25" t="str">
        <f aca="false">IFERROR(IF(INDEX(Documents!$D$5:$D$657,MATCH(H324,Documents!$A$5:$A$657,0))="","",INDEX(Documents!$D$5:$D$657,MATCH(H324,Documents!$A$5:$A$657,0))),"")</f>
        <v/>
      </c>
      <c r="K324" s="25" t="str">
        <f aca="false">IFERROR(IF(INDEX(Documents!$G$5:$G$657,MATCH(H324,Documents!$A$5:$A$657,0))="","",INDEX(Documents!$G$5:$G$657,MATCH(H324,Documents!$A$5:$A$657,0))),"")</f>
        <v/>
      </c>
      <c r="L324" s="25" t="s">
        <v>275</v>
      </c>
    </row>
    <row r="325" customFormat="false" ht="15" hidden="false" customHeight="false" outlineLevel="0" collapsed="false">
      <c r="A325" s="25" t="n">
        <v>17651698</v>
      </c>
      <c r="B325" s="25" t="s">
        <v>1108</v>
      </c>
      <c r="C325" s="25" t="s">
        <v>1109</v>
      </c>
      <c r="D325" s="26" t="n">
        <v>29</v>
      </c>
      <c r="E325" s="27" t="n">
        <v>7.53760200210104</v>
      </c>
      <c r="F325" s="27" t="n">
        <v>7.53760200210104</v>
      </c>
      <c r="G325" s="25" t="s">
        <v>730</v>
      </c>
      <c r="H325" s="25" t="s">
        <v>731</v>
      </c>
      <c r="I325" s="25" t="n">
        <f aca="false">IFERROR(IF(INDEX(Documents!$C$5:$C$657,MATCH(H325,Documents!$A$5:$A$657,0))="","",INDEX(Documents!$C$5:$C$657,MATCH(H325,Documents!$A$5:$A$657,0))),"")</f>
        <v>2014</v>
      </c>
      <c r="J325" s="25" t="str">
        <f aca="false">IFERROR(IF(INDEX(Documents!$D$5:$D$657,MATCH(H325,Documents!$A$5:$A$657,0))="","",INDEX(Documents!$D$5:$D$657,MATCH(H325,Documents!$A$5:$A$657,0))),"")</f>
        <v/>
      </c>
      <c r="K325" s="25" t="str">
        <f aca="false">IFERROR(IF(INDEX(Documents!$G$5:$G$657,MATCH(H325,Documents!$A$5:$A$657,0))="","",INDEX(Documents!$G$5:$G$657,MATCH(H325,Documents!$A$5:$A$657,0))),"")</f>
        <v/>
      </c>
      <c r="L325" s="25" t="s">
        <v>732</v>
      </c>
    </row>
    <row r="326" customFormat="false" ht="15" hidden="false" customHeight="false" outlineLevel="0" collapsed="false">
      <c r="A326" s="25" t="n">
        <v>2167086</v>
      </c>
      <c r="B326" s="25" t="s">
        <v>1110</v>
      </c>
      <c r="C326" s="25" t="s">
        <v>1111</v>
      </c>
      <c r="D326" s="26" t="n">
        <v>4700</v>
      </c>
      <c r="E326" s="27" t="n">
        <v>5.32790214206428</v>
      </c>
      <c r="F326" s="27" t="n">
        <v>5.32790214206428</v>
      </c>
      <c r="G326" s="25" t="s">
        <v>604</v>
      </c>
      <c r="H326" s="25" t="s">
        <v>605</v>
      </c>
      <c r="I326" s="25" t="n">
        <f aca="false">IFERROR(IF(INDEX(Documents!$C$5:$C$657,MATCH(H326,Documents!$A$5:$A$657,0))="","",INDEX(Documents!$C$5:$C$657,MATCH(H326,Documents!$A$5:$A$657,0))),"")</f>
        <v>2008</v>
      </c>
      <c r="J326" s="25" t="str">
        <f aca="false">IFERROR(IF(INDEX(Documents!$D$5:$D$657,MATCH(H326,Documents!$A$5:$A$657,0))="","",INDEX(Documents!$D$5:$D$657,MATCH(H326,Documents!$A$5:$A$657,0))),"")</f>
        <v>Bioorg Med Chem Lett</v>
      </c>
      <c r="K326" s="25" t="str">
        <f aca="false">IFERROR(IF(INDEX(Documents!$G$5:$G$657,MATCH(H326,Documents!$A$5:$A$657,0))="","",INDEX(Documents!$G$5:$G$657,MATCH(H326,Documents!$A$5:$A$657,0))),"")</f>
        <v>10.1016/j.bmcl.2008.04.003</v>
      </c>
      <c r="L326" s="25" t="s">
        <v>606</v>
      </c>
    </row>
    <row r="327" customFormat="false" ht="15" hidden="false" customHeight="false" outlineLevel="0" collapsed="false">
      <c r="A327" s="25" t="n">
        <v>2167087</v>
      </c>
      <c r="B327" s="25" t="s">
        <v>1112</v>
      </c>
      <c r="C327" s="25" t="s">
        <v>1113</v>
      </c>
      <c r="D327" s="26" t="n">
        <v>7700</v>
      </c>
      <c r="E327" s="27" t="n">
        <v>5.11350927482752</v>
      </c>
      <c r="F327" s="27" t="n">
        <v>5.11350927482752</v>
      </c>
      <c r="G327" s="25" t="s">
        <v>604</v>
      </c>
      <c r="H327" s="25" t="s">
        <v>605</v>
      </c>
      <c r="I327" s="25" t="n">
        <f aca="false">IFERROR(IF(INDEX(Documents!$C$5:$C$657,MATCH(H327,Documents!$A$5:$A$657,0))="","",INDEX(Documents!$C$5:$C$657,MATCH(H327,Documents!$A$5:$A$657,0))),"")</f>
        <v>2008</v>
      </c>
      <c r="J327" s="25" t="str">
        <f aca="false">IFERROR(IF(INDEX(Documents!$D$5:$D$657,MATCH(H327,Documents!$A$5:$A$657,0))="","",INDEX(Documents!$D$5:$D$657,MATCH(H327,Documents!$A$5:$A$657,0))),"")</f>
        <v>Bioorg Med Chem Lett</v>
      </c>
      <c r="K327" s="25" t="str">
        <f aca="false">IFERROR(IF(INDEX(Documents!$G$5:$G$657,MATCH(H327,Documents!$A$5:$A$657,0))="","",INDEX(Documents!$G$5:$G$657,MATCH(H327,Documents!$A$5:$A$657,0))),"")</f>
        <v>10.1016/j.bmcl.2008.04.003</v>
      </c>
      <c r="L327" s="25" t="s">
        <v>606</v>
      </c>
    </row>
    <row r="328" customFormat="false" ht="15" hidden="false" customHeight="false" outlineLevel="0" collapsed="false">
      <c r="A328" s="25" t="n">
        <v>13922868</v>
      </c>
      <c r="B328" s="25" t="s">
        <v>1114</v>
      </c>
      <c r="C328" s="25" t="s">
        <v>1115</v>
      </c>
      <c r="D328" s="26" t="n">
        <v>5400</v>
      </c>
      <c r="E328" s="27" t="n">
        <v>5.26760624017703</v>
      </c>
      <c r="F328" s="27" t="n">
        <v>5.26760624017703</v>
      </c>
      <c r="G328" s="25" t="s">
        <v>243</v>
      </c>
      <c r="H328" s="25" t="s">
        <v>244</v>
      </c>
      <c r="I328" s="25" t="n">
        <f aca="false">IFERROR(IF(INDEX(Documents!$C$5:$C$657,MATCH(H328,Documents!$A$5:$A$657,0))="","",INDEX(Documents!$C$5:$C$657,MATCH(H328,Documents!$A$5:$A$657,0))),"")</f>
        <v>2014</v>
      </c>
      <c r="J328" s="25" t="str">
        <f aca="false">IFERROR(IF(INDEX(Documents!$D$5:$D$657,MATCH(H328,Documents!$A$5:$A$657,0))="","",INDEX(Documents!$D$5:$D$657,MATCH(H328,Documents!$A$5:$A$657,0))),"")</f>
        <v>Eur J Med Chem</v>
      </c>
      <c r="K328" s="25" t="str">
        <f aca="false">IFERROR(IF(INDEX(Documents!$G$5:$G$657,MATCH(H328,Documents!$A$5:$A$657,0))="","",INDEX(Documents!$G$5:$G$657,MATCH(H328,Documents!$A$5:$A$657,0))),"")</f>
        <v>10.1016/j.ejmech.2013.11.026</v>
      </c>
      <c r="L328" s="25" t="s">
        <v>245</v>
      </c>
    </row>
    <row r="329" customFormat="false" ht="15" hidden="false" customHeight="false" outlineLevel="0" collapsed="false">
      <c r="A329" s="25" t="n">
        <v>16332662</v>
      </c>
      <c r="B329" s="25" t="s">
        <v>1116</v>
      </c>
      <c r="C329" s="25" t="s">
        <v>1117</v>
      </c>
      <c r="D329" s="26" t="n">
        <v>102</v>
      </c>
      <c r="E329" s="27" t="n">
        <v>6.99139982823808</v>
      </c>
      <c r="F329" s="27" t="n">
        <v>6.99139982823808</v>
      </c>
      <c r="G329" s="25" t="s">
        <v>326</v>
      </c>
      <c r="H329" s="25" t="s">
        <v>327</v>
      </c>
      <c r="I329" s="25" t="n">
        <f aca="false">IFERROR(IF(INDEX(Documents!$C$5:$C$657,MATCH(H329,Documents!$A$5:$A$657,0))="","",INDEX(Documents!$C$5:$C$657,MATCH(H329,Documents!$A$5:$A$657,0))),"")</f>
        <v>2014</v>
      </c>
      <c r="J329" s="25" t="str">
        <f aca="false">IFERROR(IF(INDEX(Documents!$D$5:$D$657,MATCH(H329,Documents!$A$5:$A$657,0))="","",INDEX(Documents!$D$5:$D$657,MATCH(H329,Documents!$A$5:$A$657,0))),"")</f>
        <v/>
      </c>
      <c r="K329" s="25" t="str">
        <f aca="false">IFERROR(IF(INDEX(Documents!$G$5:$G$657,MATCH(H329,Documents!$A$5:$A$657,0))="","",INDEX(Documents!$G$5:$G$657,MATCH(H329,Documents!$A$5:$A$657,0))),"")</f>
        <v/>
      </c>
      <c r="L329" s="25" t="s">
        <v>328</v>
      </c>
    </row>
    <row r="330" customFormat="false" ht="15" hidden="false" customHeight="false" outlineLevel="0" collapsed="false">
      <c r="A330" s="25" t="n">
        <v>12136192</v>
      </c>
      <c r="B330" s="25" t="s">
        <v>1118</v>
      </c>
      <c r="C330" s="25" t="s">
        <v>1119</v>
      </c>
      <c r="D330" s="26" t="n">
        <v>8946</v>
      </c>
      <c r="E330" s="27" t="n">
        <v>5.04837110616336</v>
      </c>
      <c r="F330" s="27" t="n">
        <v>5.04837110616336</v>
      </c>
      <c r="G330" s="25" t="s">
        <v>718</v>
      </c>
      <c r="H330" s="25" t="s">
        <v>719</v>
      </c>
      <c r="I330" s="25" t="n">
        <f aca="false">IFERROR(IF(INDEX(Documents!$C$5:$C$657,MATCH(H330,Documents!$A$5:$A$657,0))="","",INDEX(Documents!$C$5:$C$657,MATCH(H330,Documents!$A$5:$A$657,0))),"")</f>
        <v>2012</v>
      </c>
      <c r="J330" s="25" t="str">
        <f aca="false">IFERROR(IF(INDEX(Documents!$D$5:$D$657,MATCH(H330,Documents!$A$5:$A$657,0))="","",INDEX(Documents!$D$5:$D$657,MATCH(H330,Documents!$A$5:$A$657,0))),"")</f>
        <v>J Med Chem</v>
      </c>
      <c r="K330" s="25" t="str">
        <f aca="false">IFERROR(IF(INDEX(Documents!$G$5:$G$657,MATCH(H330,Documents!$A$5:$A$657,0))="","",INDEX(Documents!$G$5:$G$657,MATCH(H330,Documents!$A$5:$A$657,0))),"")</f>
        <v>10.1021/jm301181r</v>
      </c>
      <c r="L330" s="25" t="s">
        <v>720</v>
      </c>
    </row>
    <row r="331" customFormat="false" ht="15" hidden="false" customHeight="false" outlineLevel="0" collapsed="false">
      <c r="A331" s="25" t="n">
        <v>12136186</v>
      </c>
      <c r="B331" s="25" t="s">
        <v>1120</v>
      </c>
      <c r="C331" s="25" t="s">
        <v>1121</v>
      </c>
      <c r="D331" s="26" t="n">
        <v>2453</v>
      </c>
      <c r="E331" s="27" t="n">
        <v>5.61030245179362</v>
      </c>
      <c r="F331" s="27" t="n">
        <v>5.61030245179362</v>
      </c>
      <c r="G331" s="25" t="s">
        <v>718</v>
      </c>
      <c r="H331" s="25" t="s">
        <v>719</v>
      </c>
      <c r="I331" s="25" t="n">
        <f aca="false">IFERROR(IF(INDEX(Documents!$C$5:$C$657,MATCH(H331,Documents!$A$5:$A$657,0))="","",INDEX(Documents!$C$5:$C$657,MATCH(H331,Documents!$A$5:$A$657,0))),"")</f>
        <v>2012</v>
      </c>
      <c r="J331" s="25" t="str">
        <f aca="false">IFERROR(IF(INDEX(Documents!$D$5:$D$657,MATCH(H331,Documents!$A$5:$A$657,0))="","",INDEX(Documents!$D$5:$D$657,MATCH(H331,Documents!$A$5:$A$657,0))),"")</f>
        <v>J Med Chem</v>
      </c>
      <c r="K331" s="25" t="str">
        <f aca="false">IFERROR(IF(INDEX(Documents!$G$5:$G$657,MATCH(H331,Documents!$A$5:$A$657,0))="","",INDEX(Documents!$G$5:$G$657,MATCH(H331,Documents!$A$5:$A$657,0))),"")</f>
        <v>10.1021/jm301181r</v>
      </c>
      <c r="L331" s="25" t="s">
        <v>720</v>
      </c>
    </row>
    <row r="332" customFormat="false" ht="15" hidden="false" customHeight="false" outlineLevel="0" collapsed="false">
      <c r="A332" s="25" t="n">
        <v>16260029</v>
      </c>
      <c r="B332" s="25" t="s">
        <v>1122</v>
      </c>
      <c r="C332" s="25" t="s">
        <v>1123</v>
      </c>
      <c r="D332" s="26" t="n">
        <v>0.3</v>
      </c>
      <c r="E332" s="27" t="n">
        <v>9.52287874528034</v>
      </c>
      <c r="F332" s="27" t="n">
        <v>9.52287874528034</v>
      </c>
      <c r="G332" s="25" t="s">
        <v>326</v>
      </c>
      <c r="H332" s="25" t="s">
        <v>327</v>
      </c>
      <c r="I332" s="25" t="n">
        <f aca="false">IFERROR(IF(INDEX(Documents!$C$5:$C$657,MATCH(H332,Documents!$A$5:$A$657,0))="","",INDEX(Documents!$C$5:$C$657,MATCH(H332,Documents!$A$5:$A$657,0))),"")</f>
        <v>2014</v>
      </c>
      <c r="J332" s="25" t="str">
        <f aca="false">IFERROR(IF(INDEX(Documents!$D$5:$D$657,MATCH(H332,Documents!$A$5:$A$657,0))="","",INDEX(Documents!$D$5:$D$657,MATCH(H332,Documents!$A$5:$A$657,0))),"")</f>
        <v/>
      </c>
      <c r="K332" s="25" t="str">
        <f aca="false">IFERROR(IF(INDEX(Documents!$G$5:$G$657,MATCH(H332,Documents!$A$5:$A$657,0))="","",INDEX(Documents!$G$5:$G$657,MATCH(H332,Documents!$A$5:$A$657,0))),"")</f>
        <v/>
      </c>
      <c r="L332" s="25" t="s">
        <v>328</v>
      </c>
    </row>
    <row r="333" customFormat="false" ht="15" hidden="false" customHeight="false" outlineLevel="0" collapsed="false">
      <c r="A333" s="25" t="n">
        <v>12146237</v>
      </c>
      <c r="B333" s="25" t="s">
        <v>1124</v>
      </c>
      <c r="C333" s="25" t="s">
        <v>1125</v>
      </c>
      <c r="D333" s="26" t="n">
        <v>313</v>
      </c>
      <c r="E333" s="27" t="n">
        <v>6.50445566245355</v>
      </c>
      <c r="F333" s="27" t="n">
        <v>6.50445566245355</v>
      </c>
      <c r="G333" s="25" t="s">
        <v>1126</v>
      </c>
      <c r="H333" s="25" t="s">
        <v>1127</v>
      </c>
      <c r="I333" s="25" t="n">
        <f aca="false">IFERROR(IF(INDEX(Documents!$C$5:$C$657,MATCH(H333,Documents!$A$5:$A$657,0))="","",INDEX(Documents!$C$5:$C$657,MATCH(H333,Documents!$A$5:$A$657,0))),"")</f>
        <v>2012</v>
      </c>
      <c r="J333" s="25" t="str">
        <f aca="false">IFERROR(IF(INDEX(Documents!$D$5:$D$657,MATCH(H333,Documents!$A$5:$A$657,0))="","",INDEX(Documents!$D$5:$D$657,MATCH(H333,Documents!$A$5:$A$657,0))),"")</f>
        <v>J Med Chem</v>
      </c>
      <c r="K333" s="25" t="str">
        <f aca="false">IFERROR(IF(INDEX(Documents!$G$5:$G$657,MATCH(H333,Documents!$A$5:$A$657,0))="","",INDEX(Documents!$G$5:$G$657,MATCH(H333,Documents!$A$5:$A$657,0))),"")</f>
        <v>10.1021/jm301212u</v>
      </c>
      <c r="L333" s="25" t="s">
        <v>1128</v>
      </c>
    </row>
    <row r="334" customFormat="false" ht="15" hidden="false" customHeight="false" outlineLevel="0" collapsed="false">
      <c r="A334" s="25" t="n">
        <v>12146280</v>
      </c>
      <c r="B334" s="25" t="s">
        <v>1124</v>
      </c>
      <c r="C334" s="25" t="s">
        <v>1125</v>
      </c>
      <c r="D334" s="26" t="n">
        <v>313</v>
      </c>
      <c r="E334" s="27" t="n">
        <v>6.50445566245355</v>
      </c>
      <c r="F334" s="27" t="n">
        <v>6.50445566245355</v>
      </c>
      <c r="G334" s="25" t="s">
        <v>1126</v>
      </c>
      <c r="H334" s="25" t="s">
        <v>1127</v>
      </c>
      <c r="I334" s="25" t="n">
        <f aca="false">IFERROR(IF(INDEX(Documents!$C$5:$C$657,MATCH(H334,Documents!$A$5:$A$657,0))="","",INDEX(Documents!$C$5:$C$657,MATCH(H334,Documents!$A$5:$A$657,0))),"")</f>
        <v>2012</v>
      </c>
      <c r="J334" s="25" t="str">
        <f aca="false">IFERROR(IF(INDEX(Documents!$D$5:$D$657,MATCH(H334,Documents!$A$5:$A$657,0))="","",INDEX(Documents!$D$5:$D$657,MATCH(H334,Documents!$A$5:$A$657,0))),"")</f>
        <v>J Med Chem</v>
      </c>
      <c r="K334" s="25" t="str">
        <f aca="false">IFERROR(IF(INDEX(Documents!$G$5:$G$657,MATCH(H334,Documents!$A$5:$A$657,0))="","",INDEX(Documents!$G$5:$G$657,MATCH(H334,Documents!$A$5:$A$657,0))),"")</f>
        <v>10.1021/jm301212u</v>
      </c>
      <c r="L334" s="25" t="s">
        <v>1128</v>
      </c>
    </row>
    <row r="335" customFormat="false" ht="15" hidden="false" customHeight="false" outlineLevel="0" collapsed="false">
      <c r="A335" s="25" t="n">
        <v>18673898</v>
      </c>
      <c r="B335" s="25" t="s">
        <v>1129</v>
      </c>
      <c r="C335" s="25" t="s">
        <v>1130</v>
      </c>
      <c r="D335" s="26" t="n">
        <v>980</v>
      </c>
      <c r="E335" s="27" t="n">
        <v>6.00877392430751</v>
      </c>
      <c r="F335" s="27" t="n">
        <v>6.00877392430751</v>
      </c>
      <c r="G335" s="25" t="s">
        <v>664</v>
      </c>
      <c r="H335" s="25" t="s">
        <v>665</v>
      </c>
      <c r="I335" s="25" t="n">
        <f aca="false">IFERROR(IF(INDEX(Documents!$C$5:$C$657,MATCH(H335,Documents!$A$5:$A$657,0))="","",INDEX(Documents!$C$5:$C$657,MATCH(H335,Documents!$A$5:$A$657,0))),"")</f>
        <v>2018</v>
      </c>
      <c r="J335" s="25" t="str">
        <f aca="false">IFERROR(IF(INDEX(Documents!$D$5:$D$657,MATCH(H335,Documents!$A$5:$A$657,0))="","",INDEX(Documents!$D$5:$D$657,MATCH(H335,Documents!$A$5:$A$657,0))),"")</f>
        <v>Bioorg Med Chem</v>
      </c>
      <c r="K335" s="25" t="str">
        <f aca="false">IFERROR(IF(INDEX(Documents!$G$5:$G$657,MATCH(H335,Documents!$A$5:$A$657,0))="","",INDEX(Documents!$G$5:$G$657,MATCH(H335,Documents!$A$5:$A$657,0))),"")</f>
        <v>10.1016/j.bmc.2018.07.043</v>
      </c>
      <c r="L335" s="25" t="s">
        <v>666</v>
      </c>
    </row>
    <row r="336" customFormat="false" ht="15" hidden="false" customHeight="false" outlineLevel="0" collapsed="false">
      <c r="A336" s="25" t="n">
        <v>2033388</v>
      </c>
      <c r="B336" s="25" t="s">
        <v>1131</v>
      </c>
      <c r="C336" s="25" t="s">
        <v>1132</v>
      </c>
      <c r="D336" s="26" t="n">
        <v>275</v>
      </c>
      <c r="E336" s="27" t="n">
        <v>6.56066730616974</v>
      </c>
      <c r="F336" s="27" t="n">
        <v>6.56066730616974</v>
      </c>
      <c r="G336" s="25" t="s">
        <v>1133</v>
      </c>
      <c r="H336" s="25" t="s">
        <v>1134</v>
      </c>
      <c r="I336" s="25" t="n">
        <f aca="false">IFERROR(IF(INDEX(Documents!$C$5:$C$657,MATCH(H336,Documents!$A$5:$A$657,0))="","",INDEX(Documents!$C$5:$C$657,MATCH(H336,Documents!$A$5:$A$657,0))),"")</f>
        <v>2007</v>
      </c>
      <c r="J336" s="25" t="str">
        <f aca="false">IFERROR(IF(INDEX(Documents!$D$5:$D$657,MATCH(H336,Documents!$A$5:$A$657,0))="","",INDEX(Documents!$D$5:$D$657,MATCH(H336,Documents!$A$5:$A$657,0))),"")</f>
        <v>Bioorg Med Chem Lett</v>
      </c>
      <c r="K336" s="25" t="str">
        <f aca="false">IFERROR(IF(INDEX(Documents!$G$5:$G$657,MATCH(H336,Documents!$A$5:$A$657,0))="","",INDEX(Documents!$G$5:$G$657,MATCH(H336,Documents!$A$5:$A$657,0))),"")</f>
        <v>10.1016/j.bmcl.2007.04.093</v>
      </c>
      <c r="L336" s="25" t="s">
        <v>775</v>
      </c>
    </row>
    <row r="337" customFormat="false" ht="15" hidden="false" customHeight="false" outlineLevel="0" collapsed="false">
      <c r="A337" s="25" t="n">
        <v>12089851</v>
      </c>
      <c r="B337" s="25" t="s">
        <v>1135</v>
      </c>
      <c r="C337" s="25" t="s">
        <v>1136</v>
      </c>
      <c r="D337" s="26" t="n">
        <v>1.24</v>
      </c>
      <c r="E337" s="27" t="n">
        <v>8.90657831483776</v>
      </c>
      <c r="F337" s="27" t="n">
        <v>8.90657831483776</v>
      </c>
      <c r="G337" s="25" t="s">
        <v>1028</v>
      </c>
      <c r="H337" s="25" t="s">
        <v>1029</v>
      </c>
      <c r="I337" s="25" t="n">
        <f aca="false">IFERROR(IF(INDEX(Documents!$C$5:$C$657,MATCH(H337,Documents!$A$5:$A$657,0))="","",INDEX(Documents!$C$5:$C$657,MATCH(H337,Documents!$A$5:$A$657,0))),"")</f>
        <v>2012</v>
      </c>
      <c r="J337" s="25" t="str">
        <f aca="false">IFERROR(IF(INDEX(Documents!$D$5:$D$657,MATCH(H337,Documents!$A$5:$A$657,0))="","",INDEX(Documents!$D$5:$D$657,MATCH(H337,Documents!$A$5:$A$657,0))),"")</f>
        <v>J Med Chem</v>
      </c>
      <c r="K337" s="25" t="str">
        <f aca="false">IFERROR(IF(INDEX(Documents!$G$5:$G$657,MATCH(H337,Documents!$A$5:$A$657,0))="","",INDEX(Documents!$G$5:$G$657,MATCH(H337,Documents!$A$5:$A$657,0))),"")</f>
        <v>10.1021/jm300763w</v>
      </c>
      <c r="L337" s="25" t="s">
        <v>1030</v>
      </c>
    </row>
    <row r="338" customFormat="false" ht="15" hidden="false" customHeight="false" outlineLevel="0" collapsed="false">
      <c r="A338" s="25" t="n">
        <v>10869150</v>
      </c>
      <c r="B338" s="25" t="s">
        <v>1137</v>
      </c>
      <c r="C338" s="25" t="s">
        <v>1138</v>
      </c>
      <c r="D338" s="26" t="n">
        <v>116</v>
      </c>
      <c r="E338" s="27" t="n">
        <v>6.93554201077308</v>
      </c>
      <c r="F338" s="27" t="n">
        <v>6.93554201077308</v>
      </c>
      <c r="G338" s="25" t="s">
        <v>1139</v>
      </c>
      <c r="H338" s="25" t="s">
        <v>1140</v>
      </c>
      <c r="I338" s="25" t="n">
        <f aca="false">IFERROR(IF(INDEX(Documents!$C$5:$C$657,MATCH(H338,Documents!$A$5:$A$657,0))="","",INDEX(Documents!$C$5:$C$657,MATCH(H338,Documents!$A$5:$A$657,0))),"")</f>
        <v>2012</v>
      </c>
      <c r="J338" s="25" t="str">
        <f aca="false">IFERROR(IF(INDEX(Documents!$D$5:$D$657,MATCH(H338,Documents!$A$5:$A$657,0))="","",INDEX(Documents!$D$5:$D$657,MATCH(H338,Documents!$A$5:$A$657,0))),"")</f>
        <v>Bioorg Med Chem Lett</v>
      </c>
      <c r="K338" s="25" t="str">
        <f aca="false">IFERROR(IF(INDEX(Documents!$G$5:$G$657,MATCH(H338,Documents!$A$5:$A$657,0))="","",INDEX(Documents!$G$5:$G$657,MATCH(H338,Documents!$A$5:$A$657,0))),"")</f>
        <v>10.1016/j.bmcl.2012.02.050</v>
      </c>
      <c r="L338" s="25" t="s">
        <v>1141</v>
      </c>
    </row>
    <row r="339" customFormat="false" ht="15" hidden="false" customHeight="false" outlineLevel="0" collapsed="false">
      <c r="A339" s="25" t="n">
        <v>2980545</v>
      </c>
      <c r="B339" s="25" t="s">
        <v>1142</v>
      </c>
      <c r="C339" s="25" t="s">
        <v>1143</v>
      </c>
      <c r="D339" s="26" t="n">
        <v>190.55</v>
      </c>
      <c r="E339" s="27" t="n">
        <v>6.71999104689181</v>
      </c>
      <c r="F339" s="27" t="n">
        <v>6.72061872296949</v>
      </c>
      <c r="G339" s="25" t="s">
        <v>599</v>
      </c>
      <c r="H339" s="25" t="s">
        <v>600</v>
      </c>
      <c r="I339" s="25" t="n">
        <f aca="false">IFERROR(IF(INDEX(Documents!$C$5:$C$657,MATCH(H339,Documents!$A$5:$A$657,0))="","",INDEX(Documents!$C$5:$C$657,MATCH(H339,Documents!$A$5:$A$657,0))),"")</f>
        <v>2010</v>
      </c>
      <c r="J339" s="25" t="str">
        <f aca="false">IFERROR(IF(INDEX(Documents!$D$5:$D$657,MATCH(H339,Documents!$A$5:$A$657,0))="","",INDEX(Documents!$D$5:$D$657,MATCH(H339,Documents!$A$5:$A$657,0))),"")</f>
        <v>J Med Chem</v>
      </c>
      <c r="K339" s="25" t="str">
        <f aca="false">IFERROR(IF(INDEX(Documents!$G$5:$G$657,MATCH(H339,Documents!$A$5:$A$657,0))="","",INDEX(Documents!$G$5:$G$657,MATCH(H339,Documents!$A$5:$A$657,0))),"")</f>
        <v>10.1021/jm901214q</v>
      </c>
      <c r="L339" s="25" t="s">
        <v>601</v>
      </c>
    </row>
    <row r="340" customFormat="false" ht="15" hidden="false" customHeight="false" outlineLevel="0" collapsed="false">
      <c r="A340" s="25" t="n">
        <v>2980532</v>
      </c>
      <c r="B340" s="25" t="s">
        <v>1142</v>
      </c>
      <c r="C340" s="25" t="s">
        <v>1143</v>
      </c>
      <c r="D340" s="26" t="n">
        <v>190</v>
      </c>
      <c r="E340" s="27" t="n">
        <v>6.72124639904717</v>
      </c>
      <c r="F340" s="27" t="n">
        <v>6.72061872296949</v>
      </c>
      <c r="G340" s="25" t="s">
        <v>599</v>
      </c>
      <c r="H340" s="25" t="s">
        <v>600</v>
      </c>
      <c r="I340" s="25" t="n">
        <f aca="false">IFERROR(IF(INDEX(Documents!$C$5:$C$657,MATCH(H340,Documents!$A$5:$A$657,0))="","",INDEX(Documents!$C$5:$C$657,MATCH(H340,Documents!$A$5:$A$657,0))),"")</f>
        <v>2010</v>
      </c>
      <c r="J340" s="25" t="str">
        <f aca="false">IFERROR(IF(INDEX(Documents!$D$5:$D$657,MATCH(H340,Documents!$A$5:$A$657,0))="","",INDEX(Documents!$D$5:$D$657,MATCH(H340,Documents!$A$5:$A$657,0))),"")</f>
        <v>J Med Chem</v>
      </c>
      <c r="K340" s="25" t="str">
        <f aca="false">IFERROR(IF(INDEX(Documents!$G$5:$G$657,MATCH(H340,Documents!$A$5:$A$657,0))="","",INDEX(Documents!$G$5:$G$657,MATCH(H340,Documents!$A$5:$A$657,0))),"")</f>
        <v>10.1021/jm901214q</v>
      </c>
      <c r="L340" s="25" t="s">
        <v>601</v>
      </c>
    </row>
    <row r="341" customFormat="false" ht="15" hidden="false" customHeight="false" outlineLevel="0" collapsed="false">
      <c r="A341" s="25" t="n">
        <v>12089850</v>
      </c>
      <c r="B341" s="25" t="s">
        <v>1144</v>
      </c>
      <c r="C341" s="25" t="s">
        <v>1145</v>
      </c>
      <c r="D341" s="26" t="n">
        <v>16.2</v>
      </c>
      <c r="E341" s="27" t="n">
        <v>7.79048498545737</v>
      </c>
      <c r="F341" s="27" t="n">
        <v>7.79048498545737</v>
      </c>
      <c r="G341" s="25" t="s">
        <v>1028</v>
      </c>
      <c r="H341" s="25" t="s">
        <v>1029</v>
      </c>
      <c r="I341" s="25" t="n">
        <f aca="false">IFERROR(IF(INDEX(Documents!$C$5:$C$657,MATCH(H341,Documents!$A$5:$A$657,0))="","",INDEX(Documents!$C$5:$C$657,MATCH(H341,Documents!$A$5:$A$657,0))),"")</f>
        <v>2012</v>
      </c>
      <c r="J341" s="25" t="str">
        <f aca="false">IFERROR(IF(INDEX(Documents!$D$5:$D$657,MATCH(H341,Documents!$A$5:$A$657,0))="","",INDEX(Documents!$D$5:$D$657,MATCH(H341,Documents!$A$5:$A$657,0))),"")</f>
        <v>J Med Chem</v>
      </c>
      <c r="K341" s="25" t="str">
        <f aca="false">IFERROR(IF(INDEX(Documents!$G$5:$G$657,MATCH(H341,Documents!$A$5:$A$657,0))="","",INDEX(Documents!$G$5:$G$657,MATCH(H341,Documents!$A$5:$A$657,0))),"")</f>
        <v>10.1021/jm300763w</v>
      </c>
      <c r="L341" s="25" t="s">
        <v>1030</v>
      </c>
    </row>
    <row r="342" customFormat="false" ht="15" hidden="false" customHeight="false" outlineLevel="0" collapsed="false">
      <c r="A342" s="25" t="n">
        <v>15686004</v>
      </c>
      <c r="B342" s="25" t="s">
        <v>1146</v>
      </c>
      <c r="C342" s="25" t="s">
        <v>1147</v>
      </c>
      <c r="D342" s="26" t="n">
        <v>160.7</v>
      </c>
      <c r="E342" s="27" t="n">
        <v>6.79398412323666</v>
      </c>
      <c r="F342" s="27" t="n">
        <v>6.79398412323666</v>
      </c>
      <c r="G342" s="25" t="s">
        <v>817</v>
      </c>
      <c r="H342" s="25" t="s">
        <v>818</v>
      </c>
      <c r="I342" s="25" t="n">
        <f aca="false">IFERROR(IF(INDEX(Documents!$C$5:$C$657,MATCH(H342,Documents!$A$5:$A$657,0))="","",INDEX(Documents!$C$5:$C$657,MATCH(H342,Documents!$A$5:$A$657,0))),"")</f>
        <v>2015</v>
      </c>
      <c r="J342" s="25" t="str">
        <f aca="false">IFERROR(IF(INDEX(Documents!$D$5:$D$657,MATCH(H342,Documents!$A$5:$A$657,0))="","",INDEX(Documents!$D$5:$D$657,MATCH(H342,Documents!$A$5:$A$657,0))),"")</f>
        <v>Bioorg Med Chem</v>
      </c>
      <c r="K342" s="25" t="str">
        <f aca="false">IFERROR(IF(INDEX(Documents!$G$5:$G$657,MATCH(H342,Documents!$A$5:$A$657,0))="","",INDEX(Documents!$G$5:$G$657,MATCH(H342,Documents!$A$5:$A$657,0))),"")</f>
        <v>10.1016/j.bmc.2015.07.057</v>
      </c>
      <c r="L342" s="25" t="s">
        <v>819</v>
      </c>
    </row>
    <row r="343" customFormat="false" ht="15" hidden="false" customHeight="false" outlineLevel="0" collapsed="false">
      <c r="A343" s="25" t="n">
        <v>12146251</v>
      </c>
      <c r="B343" s="25" t="s">
        <v>1148</v>
      </c>
      <c r="C343" s="25" t="s">
        <v>1149</v>
      </c>
      <c r="D343" s="26" t="n">
        <v>85</v>
      </c>
      <c r="E343" s="27" t="n">
        <v>7.07058107428571</v>
      </c>
      <c r="F343" s="27" t="n">
        <v>7.07058107428571</v>
      </c>
      <c r="G343" s="25" t="s">
        <v>1126</v>
      </c>
      <c r="H343" s="25" t="s">
        <v>1127</v>
      </c>
      <c r="I343" s="25" t="n">
        <f aca="false">IFERROR(IF(INDEX(Documents!$C$5:$C$657,MATCH(H343,Documents!$A$5:$A$657,0))="","",INDEX(Documents!$C$5:$C$657,MATCH(H343,Documents!$A$5:$A$657,0))),"")</f>
        <v>2012</v>
      </c>
      <c r="J343" s="25" t="str">
        <f aca="false">IFERROR(IF(INDEX(Documents!$D$5:$D$657,MATCH(H343,Documents!$A$5:$A$657,0))="","",INDEX(Documents!$D$5:$D$657,MATCH(H343,Documents!$A$5:$A$657,0))),"")</f>
        <v>J Med Chem</v>
      </c>
      <c r="K343" s="25" t="str">
        <f aca="false">IFERROR(IF(INDEX(Documents!$G$5:$G$657,MATCH(H343,Documents!$A$5:$A$657,0))="","",INDEX(Documents!$G$5:$G$657,MATCH(H343,Documents!$A$5:$A$657,0))),"")</f>
        <v>10.1021/jm301212u</v>
      </c>
      <c r="L343" s="25" t="s">
        <v>1128</v>
      </c>
    </row>
    <row r="344" customFormat="false" ht="15" hidden="false" customHeight="false" outlineLevel="0" collapsed="false">
      <c r="A344" s="25" t="n">
        <v>12146268</v>
      </c>
      <c r="B344" s="25" t="s">
        <v>1148</v>
      </c>
      <c r="C344" s="25" t="s">
        <v>1149</v>
      </c>
      <c r="D344" s="26" t="n">
        <v>85</v>
      </c>
      <c r="E344" s="27" t="n">
        <v>7.07058107428571</v>
      </c>
      <c r="F344" s="27" t="n">
        <v>7.07058107428571</v>
      </c>
      <c r="G344" s="25" t="s">
        <v>1126</v>
      </c>
      <c r="H344" s="25" t="s">
        <v>1127</v>
      </c>
      <c r="I344" s="25" t="n">
        <f aca="false">IFERROR(IF(INDEX(Documents!$C$5:$C$657,MATCH(H344,Documents!$A$5:$A$657,0))="","",INDEX(Documents!$C$5:$C$657,MATCH(H344,Documents!$A$5:$A$657,0))),"")</f>
        <v>2012</v>
      </c>
      <c r="J344" s="25" t="str">
        <f aca="false">IFERROR(IF(INDEX(Documents!$D$5:$D$657,MATCH(H344,Documents!$A$5:$A$657,0))="","",INDEX(Documents!$D$5:$D$657,MATCH(H344,Documents!$A$5:$A$657,0))),"")</f>
        <v>J Med Chem</v>
      </c>
      <c r="K344" s="25" t="str">
        <f aca="false">IFERROR(IF(INDEX(Documents!$G$5:$G$657,MATCH(H344,Documents!$A$5:$A$657,0))="","",INDEX(Documents!$G$5:$G$657,MATCH(H344,Documents!$A$5:$A$657,0))),"")</f>
        <v>10.1021/jm301212u</v>
      </c>
      <c r="L344" s="25" t="s">
        <v>1128</v>
      </c>
    </row>
    <row r="345" customFormat="false" ht="15" hidden="false" customHeight="false" outlineLevel="0" collapsed="false">
      <c r="A345" s="25" t="n">
        <v>25843655</v>
      </c>
      <c r="B345" s="25" t="s">
        <v>1150</v>
      </c>
      <c r="C345" s="25" t="s">
        <v>1151</v>
      </c>
      <c r="D345" s="26" t="n">
        <v>150</v>
      </c>
      <c r="E345" s="27" t="n">
        <v>6.82390874094432</v>
      </c>
      <c r="F345" s="27" t="n">
        <v>6.82390874094432</v>
      </c>
      <c r="G345" s="25" t="s">
        <v>1152</v>
      </c>
      <c r="H345" s="25" t="s">
        <v>1153</v>
      </c>
      <c r="I345" s="25" t="n">
        <f aca="false">IFERROR(IF(INDEX(Documents!$C$5:$C$657,MATCH(H345,Documents!$A$5:$A$657,0))="","",INDEX(Documents!$C$5:$C$657,MATCH(H345,Documents!$A$5:$A$657,0))),"")</f>
        <v>2024</v>
      </c>
      <c r="J345" s="25" t="str">
        <f aca="false">IFERROR(IF(INDEX(Documents!$D$5:$D$657,MATCH(H345,Documents!$A$5:$A$657,0))="","",INDEX(Documents!$D$5:$D$657,MATCH(H345,Documents!$A$5:$A$657,0))),"")</f>
        <v>J Med Chem</v>
      </c>
      <c r="K345" s="25" t="str">
        <f aca="false">IFERROR(IF(INDEX(Documents!$G$5:$G$657,MATCH(H345,Documents!$A$5:$A$657,0))="","",INDEX(Documents!$G$5:$G$657,MATCH(H345,Documents!$A$5:$A$657,0))),"")</f>
        <v>10.1021/acs.jmedchem.3c02423</v>
      </c>
      <c r="L345" s="25" t="s">
        <v>1154</v>
      </c>
    </row>
    <row r="346" customFormat="false" ht="15" hidden="false" customHeight="false" outlineLevel="0" collapsed="false">
      <c r="A346" s="25" t="n">
        <v>2033382</v>
      </c>
      <c r="B346" s="25" t="s">
        <v>1155</v>
      </c>
      <c r="C346" s="25" t="s">
        <v>1156</v>
      </c>
      <c r="D346" s="26" t="n">
        <v>1360</v>
      </c>
      <c r="E346" s="27" t="n">
        <v>5.86646109162978</v>
      </c>
      <c r="F346" s="27" t="n">
        <v>5.86646109162978</v>
      </c>
      <c r="G346" s="25" t="s">
        <v>1133</v>
      </c>
      <c r="H346" s="25" t="s">
        <v>1134</v>
      </c>
      <c r="I346" s="25" t="n">
        <f aca="false">IFERROR(IF(INDEX(Documents!$C$5:$C$657,MATCH(H346,Documents!$A$5:$A$657,0))="","",INDEX(Documents!$C$5:$C$657,MATCH(H346,Documents!$A$5:$A$657,0))),"")</f>
        <v>2007</v>
      </c>
      <c r="J346" s="25" t="str">
        <f aca="false">IFERROR(IF(INDEX(Documents!$D$5:$D$657,MATCH(H346,Documents!$A$5:$A$657,0))="","",INDEX(Documents!$D$5:$D$657,MATCH(H346,Documents!$A$5:$A$657,0))),"")</f>
        <v>Bioorg Med Chem Lett</v>
      </c>
      <c r="K346" s="25" t="str">
        <f aca="false">IFERROR(IF(INDEX(Documents!$G$5:$G$657,MATCH(H346,Documents!$A$5:$A$657,0))="","",INDEX(Documents!$G$5:$G$657,MATCH(H346,Documents!$A$5:$A$657,0))),"")</f>
        <v>10.1016/j.bmcl.2007.04.093</v>
      </c>
      <c r="L346" s="25" t="s">
        <v>775</v>
      </c>
    </row>
    <row r="347" customFormat="false" ht="15" hidden="false" customHeight="false" outlineLevel="0" collapsed="false">
      <c r="A347" s="25" t="n">
        <v>16823031</v>
      </c>
      <c r="B347" s="25" t="s">
        <v>1157</v>
      </c>
      <c r="C347" s="25" t="s">
        <v>1158</v>
      </c>
      <c r="D347" s="26" t="n">
        <v>500</v>
      </c>
      <c r="E347" s="27" t="n">
        <v>6.30102999566398</v>
      </c>
      <c r="F347" s="27" t="n">
        <v>6.30102999566398</v>
      </c>
      <c r="G347" s="25" t="s">
        <v>934</v>
      </c>
      <c r="H347" s="25" t="s">
        <v>935</v>
      </c>
      <c r="I347" s="25" t="n">
        <f aca="false">IFERROR(IF(INDEX(Documents!$C$5:$C$657,MATCH(H347,Documents!$A$5:$A$657,0))="","",INDEX(Documents!$C$5:$C$657,MATCH(H347,Documents!$A$5:$A$657,0))),"")</f>
        <v>2016</v>
      </c>
      <c r="J347" s="25" t="str">
        <f aca="false">IFERROR(IF(INDEX(Documents!$D$5:$D$657,MATCH(H347,Documents!$A$5:$A$657,0))="","",INDEX(Documents!$D$5:$D$657,MATCH(H347,Documents!$A$5:$A$657,0))),"")</f>
        <v>Eur J Med Chem</v>
      </c>
      <c r="K347" s="25" t="str">
        <f aca="false">IFERROR(IF(INDEX(Documents!$G$5:$G$657,MATCH(H347,Documents!$A$5:$A$657,0))="","",INDEX(Documents!$G$5:$G$657,MATCH(H347,Documents!$A$5:$A$657,0))),"")</f>
        <v>10.1016/j.ejmech.2016.08.005</v>
      </c>
      <c r="L347" s="25" t="s">
        <v>936</v>
      </c>
    </row>
    <row r="348" customFormat="false" ht="15" hidden="false" customHeight="false" outlineLevel="0" collapsed="false">
      <c r="A348" s="25" t="n">
        <v>19482352</v>
      </c>
      <c r="B348" s="25" t="s">
        <v>1159</v>
      </c>
      <c r="C348" s="25" t="s">
        <v>1160</v>
      </c>
      <c r="D348" s="26" t="n">
        <v>280.5</v>
      </c>
      <c r="E348" s="27" t="n">
        <v>6.55206713440782</v>
      </c>
      <c r="F348" s="27" t="n">
        <v>6.55206713440782</v>
      </c>
      <c r="G348" s="25" t="s">
        <v>1161</v>
      </c>
      <c r="H348" s="25" t="s">
        <v>724</v>
      </c>
      <c r="I348" s="25" t="n">
        <f aca="false">IFERROR(IF(INDEX(Documents!$C$5:$C$657,MATCH(H348,Documents!$A$5:$A$657,0))="","",INDEX(Documents!$C$5:$C$657,MATCH(H348,Documents!$A$5:$A$657,0))),"")</f>
        <v>2019</v>
      </c>
      <c r="J348" s="25" t="str">
        <f aca="false">IFERROR(IF(INDEX(Documents!$D$5:$D$657,MATCH(H348,Documents!$A$5:$A$657,0))="","",INDEX(Documents!$D$5:$D$657,MATCH(H348,Documents!$A$5:$A$657,0))),"")</f>
        <v>Eur J Med Chem</v>
      </c>
      <c r="K348" s="25" t="str">
        <f aca="false">IFERROR(IF(INDEX(Documents!$G$5:$G$657,MATCH(H348,Documents!$A$5:$A$657,0))="","",INDEX(Documents!$G$5:$G$657,MATCH(H348,Documents!$A$5:$A$657,0))),"")</f>
        <v>10.1016/j.ejmech.2018.12.008</v>
      </c>
      <c r="L348" s="25" t="s">
        <v>1162</v>
      </c>
    </row>
    <row r="349" customFormat="false" ht="15" hidden="false" customHeight="false" outlineLevel="0" collapsed="false">
      <c r="A349" s="25" t="n">
        <v>19482388</v>
      </c>
      <c r="B349" s="25" t="s">
        <v>1163</v>
      </c>
      <c r="C349" s="25" t="s">
        <v>1164</v>
      </c>
      <c r="D349" s="26" t="n">
        <v>506</v>
      </c>
      <c r="E349" s="27" t="n">
        <v>6.2958494831602</v>
      </c>
      <c r="F349" s="27" t="n">
        <v>6.2958494831602</v>
      </c>
      <c r="G349" s="25" t="s">
        <v>1161</v>
      </c>
      <c r="H349" s="25" t="s">
        <v>724</v>
      </c>
      <c r="I349" s="25" t="n">
        <f aca="false">IFERROR(IF(INDEX(Documents!$C$5:$C$657,MATCH(H349,Documents!$A$5:$A$657,0))="","",INDEX(Documents!$C$5:$C$657,MATCH(H349,Documents!$A$5:$A$657,0))),"")</f>
        <v>2019</v>
      </c>
      <c r="J349" s="25" t="str">
        <f aca="false">IFERROR(IF(INDEX(Documents!$D$5:$D$657,MATCH(H349,Documents!$A$5:$A$657,0))="","",INDEX(Documents!$D$5:$D$657,MATCH(H349,Documents!$A$5:$A$657,0))),"")</f>
        <v>Eur J Med Chem</v>
      </c>
      <c r="K349" s="25" t="str">
        <f aca="false">IFERROR(IF(INDEX(Documents!$G$5:$G$657,MATCH(H349,Documents!$A$5:$A$657,0))="","",INDEX(Documents!$G$5:$G$657,MATCH(H349,Documents!$A$5:$A$657,0))),"")</f>
        <v>10.1016/j.ejmech.2018.12.008</v>
      </c>
      <c r="L349" s="25" t="s">
        <v>1162</v>
      </c>
    </row>
    <row r="350" customFormat="false" ht="15" hidden="false" customHeight="false" outlineLevel="0" collapsed="false">
      <c r="A350" s="25" t="n">
        <v>2355495</v>
      </c>
      <c r="B350" s="25" t="s">
        <v>1165</v>
      </c>
      <c r="C350" s="25" t="s">
        <v>1166</v>
      </c>
      <c r="D350" s="26" t="n">
        <v>232</v>
      </c>
      <c r="E350" s="27" t="n">
        <v>6.6345120151091</v>
      </c>
      <c r="F350" s="27" t="n">
        <v>6.6345120151091</v>
      </c>
      <c r="G350" s="25" t="s">
        <v>773</v>
      </c>
      <c r="H350" s="25" t="s">
        <v>774</v>
      </c>
      <c r="I350" s="25" t="n">
        <f aca="false">IFERROR(IF(INDEX(Documents!$C$5:$C$657,MATCH(H350,Documents!$A$5:$A$657,0))="","",INDEX(Documents!$C$5:$C$657,MATCH(H350,Documents!$A$5:$A$657,0))),"")</f>
        <v>2008</v>
      </c>
      <c r="J350" s="25" t="str">
        <f aca="false">IFERROR(IF(INDEX(Documents!$D$5:$D$657,MATCH(H350,Documents!$A$5:$A$657,0))="","",INDEX(Documents!$D$5:$D$657,MATCH(H350,Documents!$A$5:$A$657,0))),"")</f>
        <v>Bioorg Med Chem Lett</v>
      </c>
      <c r="K350" s="25" t="str">
        <f aca="false">IFERROR(IF(INDEX(Documents!$G$5:$G$657,MATCH(H350,Documents!$A$5:$A$657,0))="","",INDEX(Documents!$G$5:$G$657,MATCH(H350,Documents!$A$5:$A$657,0))),"")</f>
        <v>10.1016/j.bmcl.2008.04.032</v>
      </c>
      <c r="L350" s="25" t="s">
        <v>775</v>
      </c>
    </row>
    <row r="351" customFormat="false" ht="15" hidden="false" customHeight="false" outlineLevel="0" collapsed="false">
      <c r="A351" s="25" t="n">
        <v>1617768</v>
      </c>
      <c r="B351" s="25" t="s">
        <v>1167</v>
      </c>
      <c r="C351" s="25" t="s">
        <v>1168</v>
      </c>
      <c r="D351" s="26" t="n">
        <v>410</v>
      </c>
      <c r="E351" s="27" t="n">
        <v>6.38721614328027</v>
      </c>
      <c r="F351" s="27" t="n">
        <v>6.38721614328027</v>
      </c>
      <c r="G351" s="25" t="s">
        <v>444</v>
      </c>
      <c r="H351" s="25" t="s">
        <v>445</v>
      </c>
      <c r="I351" s="25" t="n">
        <f aca="false">IFERROR(IF(INDEX(Documents!$C$5:$C$657,MATCH(H351,Documents!$A$5:$A$657,0))="","",INDEX(Documents!$C$5:$C$657,MATCH(H351,Documents!$A$5:$A$657,0))),"")</f>
        <v>2005</v>
      </c>
      <c r="J351" s="25" t="str">
        <f aca="false">IFERROR(IF(INDEX(Documents!$D$5:$D$657,MATCH(H351,Documents!$A$5:$A$657,0))="","",INDEX(Documents!$D$5:$D$657,MATCH(H351,Documents!$A$5:$A$657,0))),"")</f>
        <v>Bioorg Med Chem Lett</v>
      </c>
      <c r="K351" s="25" t="str">
        <f aca="false">IFERROR(IF(INDEX(Documents!$G$5:$G$657,MATCH(H351,Documents!$A$5:$A$657,0))="","",INDEX(Documents!$G$5:$G$657,MATCH(H351,Documents!$A$5:$A$657,0))),"")</f>
        <v>10.1016/j.bmcl.2005.07.023</v>
      </c>
      <c r="L351" s="25" t="s">
        <v>446</v>
      </c>
    </row>
    <row r="352" customFormat="false" ht="15" hidden="false" customHeight="false" outlineLevel="0" collapsed="false">
      <c r="A352" s="25" t="n">
        <v>1617762</v>
      </c>
      <c r="B352" s="25" t="s">
        <v>1169</v>
      </c>
      <c r="C352" s="25" t="s">
        <v>1170</v>
      </c>
      <c r="D352" s="26" t="n">
        <v>179</v>
      </c>
      <c r="E352" s="27" t="n">
        <v>6.74714696902011</v>
      </c>
      <c r="F352" s="27" t="n">
        <v>6.74714696902011</v>
      </c>
      <c r="G352" s="25" t="s">
        <v>444</v>
      </c>
      <c r="H352" s="25" t="s">
        <v>445</v>
      </c>
      <c r="I352" s="25" t="n">
        <f aca="false">IFERROR(IF(INDEX(Documents!$C$5:$C$657,MATCH(H352,Documents!$A$5:$A$657,0))="","",INDEX(Documents!$C$5:$C$657,MATCH(H352,Documents!$A$5:$A$657,0))),"")</f>
        <v>2005</v>
      </c>
      <c r="J352" s="25" t="str">
        <f aca="false">IFERROR(IF(INDEX(Documents!$D$5:$D$657,MATCH(H352,Documents!$A$5:$A$657,0))="","",INDEX(Documents!$D$5:$D$657,MATCH(H352,Documents!$A$5:$A$657,0))),"")</f>
        <v>Bioorg Med Chem Lett</v>
      </c>
      <c r="K352" s="25" t="str">
        <f aca="false">IFERROR(IF(INDEX(Documents!$G$5:$G$657,MATCH(H352,Documents!$A$5:$A$657,0))="","",INDEX(Documents!$G$5:$G$657,MATCH(H352,Documents!$A$5:$A$657,0))),"")</f>
        <v>10.1016/j.bmcl.2005.07.023</v>
      </c>
      <c r="L352" s="25" t="s">
        <v>446</v>
      </c>
    </row>
    <row r="353" customFormat="false" ht="15" hidden="false" customHeight="false" outlineLevel="0" collapsed="false">
      <c r="A353" s="25" t="n">
        <v>3089231</v>
      </c>
      <c r="B353" s="25" t="s">
        <v>1171</v>
      </c>
      <c r="C353" s="25" t="s">
        <v>1172</v>
      </c>
      <c r="D353" s="26" t="n">
        <v>5.1</v>
      </c>
      <c r="E353" s="27" t="n">
        <v>8.29242982390206</v>
      </c>
      <c r="F353" s="27" t="n">
        <v>8.29242982390206</v>
      </c>
      <c r="G353" s="25" t="s">
        <v>534</v>
      </c>
      <c r="H353" s="25" t="s">
        <v>535</v>
      </c>
      <c r="I353" s="25" t="n">
        <f aca="false">IFERROR(IF(INDEX(Documents!$C$5:$C$657,MATCH(H353,Documents!$A$5:$A$657,0))="","",INDEX(Documents!$C$5:$C$657,MATCH(H353,Documents!$A$5:$A$657,0))),"")</f>
        <v>2010</v>
      </c>
      <c r="J353" s="25" t="str">
        <f aca="false">IFERROR(IF(INDEX(Documents!$D$5:$D$657,MATCH(H353,Documents!$A$5:$A$657,0))="","",INDEX(Documents!$D$5:$D$657,MATCH(H353,Documents!$A$5:$A$657,0))),"")</f>
        <v>Bioorg Med Chem Lett</v>
      </c>
      <c r="K353" s="25" t="str">
        <f aca="false">IFERROR(IF(INDEX(Documents!$G$5:$G$657,MATCH(H353,Documents!$A$5:$A$657,0))="","",INDEX(Documents!$G$5:$G$657,MATCH(H353,Documents!$A$5:$A$657,0))),"")</f>
        <v>10.1016/j.bmcl.2009.11.084</v>
      </c>
      <c r="L353" s="25" t="s">
        <v>515</v>
      </c>
    </row>
    <row r="354" customFormat="false" ht="15" hidden="false" customHeight="false" outlineLevel="0" collapsed="false">
      <c r="A354" s="25" t="n">
        <v>18588974</v>
      </c>
      <c r="B354" s="25" t="s">
        <v>1173</v>
      </c>
      <c r="C354" s="25" t="s">
        <v>1174</v>
      </c>
      <c r="D354" s="26" t="n">
        <v>1300</v>
      </c>
      <c r="E354" s="27" t="n">
        <v>5.88605664769316</v>
      </c>
      <c r="F354" s="27" t="n">
        <v>5.88605664769316</v>
      </c>
      <c r="G354" s="25" t="s">
        <v>1175</v>
      </c>
      <c r="H354" s="25" t="s">
        <v>1176</v>
      </c>
      <c r="I354" s="25" t="n">
        <f aca="false">IFERROR(IF(INDEX(Documents!$C$5:$C$657,MATCH(H354,Documents!$A$5:$A$657,0))="","",INDEX(Documents!$C$5:$C$657,MATCH(H354,Documents!$A$5:$A$657,0))),"")</f>
        <v>2018</v>
      </c>
      <c r="J354" s="25" t="str">
        <f aca="false">IFERROR(IF(INDEX(Documents!$D$5:$D$657,MATCH(H354,Documents!$A$5:$A$657,0))="","",INDEX(Documents!$D$5:$D$657,MATCH(H354,Documents!$A$5:$A$657,0))),"")</f>
        <v>J Med Chem</v>
      </c>
      <c r="K354" s="25" t="str">
        <f aca="false">IFERROR(IF(INDEX(Documents!$G$5:$G$657,MATCH(H354,Documents!$A$5:$A$657,0))="","",INDEX(Documents!$G$5:$G$657,MATCH(H354,Documents!$A$5:$A$657,0))),"")</f>
        <v>10.1021/acs.jmedchem.7b01820</v>
      </c>
      <c r="L354" s="25" t="s">
        <v>1177</v>
      </c>
    </row>
    <row r="355" customFormat="false" ht="15" hidden="false" customHeight="false" outlineLevel="0" collapsed="false">
      <c r="A355" s="25" t="n">
        <v>18588977</v>
      </c>
      <c r="B355" s="25" t="s">
        <v>1178</v>
      </c>
      <c r="C355" s="25" t="s">
        <v>1179</v>
      </c>
      <c r="D355" s="26" t="n">
        <v>1100</v>
      </c>
      <c r="E355" s="27" t="n">
        <v>5.95860731484178</v>
      </c>
      <c r="F355" s="27" t="n">
        <v>5.95860731484178</v>
      </c>
      <c r="G355" s="25" t="s">
        <v>1175</v>
      </c>
      <c r="H355" s="25" t="s">
        <v>1176</v>
      </c>
      <c r="I355" s="25" t="n">
        <f aca="false">IFERROR(IF(INDEX(Documents!$C$5:$C$657,MATCH(H355,Documents!$A$5:$A$657,0))="","",INDEX(Documents!$C$5:$C$657,MATCH(H355,Documents!$A$5:$A$657,0))),"")</f>
        <v>2018</v>
      </c>
      <c r="J355" s="25" t="str">
        <f aca="false">IFERROR(IF(INDEX(Documents!$D$5:$D$657,MATCH(H355,Documents!$A$5:$A$657,0))="","",INDEX(Documents!$D$5:$D$657,MATCH(H355,Documents!$A$5:$A$657,0))),"")</f>
        <v>J Med Chem</v>
      </c>
      <c r="K355" s="25" t="str">
        <f aca="false">IFERROR(IF(INDEX(Documents!$G$5:$G$657,MATCH(H355,Documents!$A$5:$A$657,0))="","",INDEX(Documents!$G$5:$G$657,MATCH(H355,Documents!$A$5:$A$657,0))),"")</f>
        <v>10.1021/acs.jmedchem.7b01820</v>
      </c>
      <c r="L355" s="25" t="s">
        <v>1177</v>
      </c>
    </row>
    <row r="356" customFormat="false" ht="15" hidden="false" customHeight="false" outlineLevel="0" collapsed="false">
      <c r="A356" s="25" t="n">
        <v>15058668</v>
      </c>
      <c r="B356" s="25" t="s">
        <v>1180</v>
      </c>
      <c r="C356" s="25" t="s">
        <v>1181</v>
      </c>
      <c r="D356" s="26" t="n">
        <v>43960</v>
      </c>
      <c r="E356" s="27" t="n">
        <v>4.35694231624855</v>
      </c>
      <c r="F356" s="27" t="n">
        <v>4.35694231624855</v>
      </c>
      <c r="G356" s="25" t="s">
        <v>592</v>
      </c>
      <c r="H356" s="25" t="s">
        <v>593</v>
      </c>
      <c r="I356" s="25" t="n">
        <f aca="false">IFERROR(IF(INDEX(Documents!$C$5:$C$657,MATCH(H356,Documents!$A$5:$A$657,0))="","",INDEX(Documents!$C$5:$C$657,MATCH(H356,Documents!$A$5:$A$657,0))),"")</f>
        <v>2014</v>
      </c>
      <c r="J356" s="25" t="str">
        <f aca="false">IFERROR(IF(INDEX(Documents!$D$5:$D$657,MATCH(H356,Documents!$A$5:$A$657,0))="","",INDEX(Documents!$D$5:$D$657,MATCH(H356,Documents!$A$5:$A$657,0))),"")</f>
        <v>J Nat Prod</v>
      </c>
      <c r="K356" s="25" t="str">
        <f aca="false">IFERROR(IF(INDEX(Documents!$G$5:$G$657,MATCH(H356,Documents!$A$5:$A$657,0))="","",INDEX(Documents!$G$5:$G$657,MATCH(H356,Documents!$A$5:$A$657,0))),"")</f>
        <v>10.1021/np500292g</v>
      </c>
      <c r="L356" s="25" t="s">
        <v>594</v>
      </c>
    </row>
    <row r="357" customFormat="false" ht="15" hidden="false" customHeight="false" outlineLevel="0" collapsed="false">
      <c r="A357" s="25" t="n">
        <v>1601657</v>
      </c>
      <c r="B357" s="25" t="s">
        <v>1182</v>
      </c>
      <c r="C357" s="25" t="s">
        <v>1183</v>
      </c>
      <c r="D357" s="26" t="n">
        <v>2864</v>
      </c>
      <c r="E357" s="27" t="n">
        <v>5.54302698636418</v>
      </c>
      <c r="F357" s="27" t="n">
        <v>5.54302698636418</v>
      </c>
      <c r="G357" s="25" t="s">
        <v>356</v>
      </c>
      <c r="H357" s="25" t="s">
        <v>357</v>
      </c>
      <c r="I357" s="25" t="n">
        <f aca="false">IFERROR(IF(INDEX(Documents!$C$5:$C$657,MATCH(H357,Documents!$A$5:$A$657,0))="","",INDEX(Documents!$C$5:$C$657,MATCH(H357,Documents!$A$5:$A$657,0))),"")</f>
        <v>2005</v>
      </c>
      <c r="J357" s="25" t="str">
        <f aca="false">IFERROR(IF(INDEX(Documents!$D$5:$D$657,MATCH(H357,Documents!$A$5:$A$657,0))="","",INDEX(Documents!$D$5:$D$657,MATCH(H357,Documents!$A$5:$A$657,0))),"")</f>
        <v>Bioorg Med Chem Lett</v>
      </c>
      <c r="K357" s="25" t="str">
        <f aca="false">IFERROR(IF(INDEX(Documents!$G$5:$G$657,MATCH(H357,Documents!$A$5:$A$657,0))="","",INDEX(Documents!$G$5:$G$657,MATCH(H357,Documents!$A$5:$A$657,0))),"")</f>
        <v>10.1016/j.bmcl.2005.07.054</v>
      </c>
      <c r="L357" s="25" t="s">
        <v>358</v>
      </c>
    </row>
    <row r="358" customFormat="false" ht="15" hidden="false" customHeight="false" outlineLevel="0" collapsed="false">
      <c r="A358" s="25" t="n">
        <v>2980525</v>
      </c>
      <c r="B358" s="25" t="s">
        <v>1184</v>
      </c>
      <c r="C358" s="25" t="s">
        <v>1185</v>
      </c>
      <c r="D358" s="26" t="n">
        <v>47</v>
      </c>
      <c r="E358" s="27" t="n">
        <v>7.32790214206428</v>
      </c>
      <c r="F358" s="27" t="n">
        <v>7.32896738607789</v>
      </c>
      <c r="G358" s="25" t="s">
        <v>599</v>
      </c>
      <c r="H358" s="25" t="s">
        <v>600</v>
      </c>
      <c r="I358" s="25" t="n">
        <f aca="false">IFERROR(IF(INDEX(Documents!$C$5:$C$657,MATCH(H358,Documents!$A$5:$A$657,0))="","",INDEX(Documents!$C$5:$C$657,MATCH(H358,Documents!$A$5:$A$657,0))),"")</f>
        <v>2010</v>
      </c>
      <c r="J358" s="25" t="str">
        <f aca="false">IFERROR(IF(INDEX(Documents!$D$5:$D$657,MATCH(H358,Documents!$A$5:$A$657,0))="","",INDEX(Documents!$D$5:$D$657,MATCH(H358,Documents!$A$5:$A$657,0))),"")</f>
        <v>J Med Chem</v>
      </c>
      <c r="K358" s="25" t="str">
        <f aca="false">IFERROR(IF(INDEX(Documents!$G$5:$G$657,MATCH(H358,Documents!$A$5:$A$657,0))="","",INDEX(Documents!$G$5:$G$657,MATCH(H358,Documents!$A$5:$A$657,0))),"")</f>
        <v>10.1021/jm901214q</v>
      </c>
      <c r="L358" s="25" t="s">
        <v>601</v>
      </c>
    </row>
    <row r="359" customFormat="false" ht="15" hidden="false" customHeight="false" outlineLevel="0" collapsed="false">
      <c r="A359" s="25" t="n">
        <v>2980552</v>
      </c>
      <c r="B359" s="25" t="s">
        <v>1184</v>
      </c>
      <c r="C359" s="25" t="s">
        <v>1185</v>
      </c>
      <c r="D359" s="26" t="n">
        <v>46.77</v>
      </c>
      <c r="E359" s="27" t="n">
        <v>7.3300326300915</v>
      </c>
      <c r="F359" s="27" t="n">
        <v>7.32896738607789</v>
      </c>
      <c r="G359" s="25" t="s">
        <v>599</v>
      </c>
      <c r="H359" s="25" t="s">
        <v>600</v>
      </c>
      <c r="I359" s="25" t="n">
        <f aca="false">IFERROR(IF(INDEX(Documents!$C$5:$C$657,MATCH(H359,Documents!$A$5:$A$657,0))="","",INDEX(Documents!$C$5:$C$657,MATCH(H359,Documents!$A$5:$A$657,0))),"")</f>
        <v>2010</v>
      </c>
      <c r="J359" s="25" t="str">
        <f aca="false">IFERROR(IF(INDEX(Documents!$D$5:$D$657,MATCH(H359,Documents!$A$5:$A$657,0))="","",INDEX(Documents!$D$5:$D$657,MATCH(H359,Documents!$A$5:$A$657,0))),"")</f>
        <v>J Med Chem</v>
      </c>
      <c r="K359" s="25" t="str">
        <f aca="false">IFERROR(IF(INDEX(Documents!$G$5:$G$657,MATCH(H359,Documents!$A$5:$A$657,0))="","",INDEX(Documents!$G$5:$G$657,MATCH(H359,Documents!$A$5:$A$657,0))),"")</f>
        <v>10.1021/jm901214q</v>
      </c>
      <c r="L359" s="25" t="s">
        <v>601</v>
      </c>
    </row>
    <row r="360" customFormat="false" ht="15" hidden="false" customHeight="false" outlineLevel="0" collapsed="false">
      <c r="A360" s="25" t="n">
        <v>2980553</v>
      </c>
      <c r="B360" s="25" t="s">
        <v>1186</v>
      </c>
      <c r="C360" s="25" t="s">
        <v>1187</v>
      </c>
      <c r="D360" s="26" t="n">
        <v>181.97</v>
      </c>
      <c r="E360" s="27" t="n">
        <v>6.74000020491811</v>
      </c>
      <c r="F360" s="27" t="n">
        <v>6.74116081502447</v>
      </c>
      <c r="G360" s="25" t="s">
        <v>599</v>
      </c>
      <c r="H360" s="25" t="s">
        <v>600</v>
      </c>
      <c r="I360" s="25" t="n">
        <f aca="false">IFERROR(IF(INDEX(Documents!$C$5:$C$657,MATCH(H360,Documents!$A$5:$A$657,0))="","",INDEX(Documents!$C$5:$C$657,MATCH(H360,Documents!$A$5:$A$657,0))),"")</f>
        <v>2010</v>
      </c>
      <c r="J360" s="25" t="str">
        <f aca="false">IFERROR(IF(INDEX(Documents!$D$5:$D$657,MATCH(H360,Documents!$A$5:$A$657,0))="","",INDEX(Documents!$D$5:$D$657,MATCH(H360,Documents!$A$5:$A$657,0))),"")</f>
        <v>J Med Chem</v>
      </c>
      <c r="K360" s="25" t="str">
        <f aca="false">IFERROR(IF(INDEX(Documents!$G$5:$G$657,MATCH(H360,Documents!$A$5:$A$657,0))="","",INDEX(Documents!$G$5:$G$657,MATCH(H360,Documents!$A$5:$A$657,0))),"")</f>
        <v>10.1021/jm901214q</v>
      </c>
      <c r="L360" s="25" t="s">
        <v>601</v>
      </c>
    </row>
    <row r="361" customFormat="false" ht="15" hidden="false" customHeight="false" outlineLevel="0" collapsed="false">
      <c r="A361" s="25" t="n">
        <v>2980524</v>
      </c>
      <c r="B361" s="25" t="s">
        <v>1186</v>
      </c>
      <c r="C361" s="25" t="s">
        <v>1187</v>
      </c>
      <c r="D361" s="26" t="n">
        <v>181</v>
      </c>
      <c r="E361" s="27" t="n">
        <v>6.74232142513082</v>
      </c>
      <c r="F361" s="27" t="n">
        <v>6.74116081502447</v>
      </c>
      <c r="G361" s="25" t="s">
        <v>599</v>
      </c>
      <c r="H361" s="25" t="s">
        <v>600</v>
      </c>
      <c r="I361" s="25" t="n">
        <f aca="false">IFERROR(IF(INDEX(Documents!$C$5:$C$657,MATCH(H361,Documents!$A$5:$A$657,0))="","",INDEX(Documents!$C$5:$C$657,MATCH(H361,Documents!$A$5:$A$657,0))),"")</f>
        <v>2010</v>
      </c>
      <c r="J361" s="25" t="str">
        <f aca="false">IFERROR(IF(INDEX(Documents!$D$5:$D$657,MATCH(H361,Documents!$A$5:$A$657,0))="","",INDEX(Documents!$D$5:$D$657,MATCH(H361,Documents!$A$5:$A$657,0))),"")</f>
        <v>J Med Chem</v>
      </c>
      <c r="K361" s="25" t="str">
        <f aca="false">IFERROR(IF(INDEX(Documents!$G$5:$G$657,MATCH(H361,Documents!$A$5:$A$657,0))="","",INDEX(Documents!$G$5:$G$657,MATCH(H361,Documents!$A$5:$A$657,0))),"")</f>
        <v>10.1021/jm901214q</v>
      </c>
      <c r="L361" s="25" t="s">
        <v>601</v>
      </c>
    </row>
    <row r="362" customFormat="false" ht="15" hidden="false" customHeight="false" outlineLevel="0" collapsed="false">
      <c r="A362" s="25" t="n">
        <v>2980570</v>
      </c>
      <c r="B362" s="25" t="s">
        <v>1188</v>
      </c>
      <c r="C362" s="25" t="s">
        <v>1189</v>
      </c>
      <c r="D362" s="26" t="n">
        <v>0.4898</v>
      </c>
      <c r="E362" s="27" t="n">
        <v>9.3099812192113</v>
      </c>
      <c r="F362" s="27" t="n">
        <v>9.58192659176653</v>
      </c>
      <c r="G362" s="25" t="s">
        <v>599</v>
      </c>
      <c r="H362" s="25" t="s">
        <v>600</v>
      </c>
      <c r="I362" s="25" t="n">
        <f aca="false">IFERROR(IF(INDEX(Documents!$C$5:$C$657,MATCH(H362,Documents!$A$5:$A$657,0))="","",INDEX(Documents!$C$5:$C$657,MATCH(H362,Documents!$A$5:$A$657,0))),"")</f>
        <v>2010</v>
      </c>
      <c r="J362" s="25" t="str">
        <f aca="false">IFERROR(IF(INDEX(Documents!$D$5:$D$657,MATCH(H362,Documents!$A$5:$A$657,0))="","",INDEX(Documents!$D$5:$D$657,MATCH(H362,Documents!$A$5:$A$657,0))),"")</f>
        <v>J Med Chem</v>
      </c>
      <c r="K362" s="25" t="str">
        <f aca="false">IFERROR(IF(INDEX(Documents!$G$5:$G$657,MATCH(H362,Documents!$A$5:$A$657,0))="","",INDEX(Documents!$G$5:$G$657,MATCH(H362,Documents!$A$5:$A$657,0))),"")</f>
        <v>10.1021/jm901214q</v>
      </c>
      <c r="L362" s="25" t="s">
        <v>601</v>
      </c>
    </row>
    <row r="363" customFormat="false" ht="15" hidden="false" customHeight="false" outlineLevel="0" collapsed="false">
      <c r="A363" s="25" t="n">
        <v>2980508</v>
      </c>
      <c r="B363" s="25" t="s">
        <v>1188</v>
      </c>
      <c r="C363" s="25" t="s">
        <v>1189</v>
      </c>
      <c r="D363" s="26" t="n">
        <v>0.14</v>
      </c>
      <c r="E363" s="27" t="n">
        <v>9.85387196432176</v>
      </c>
      <c r="F363" s="27" t="n">
        <v>9.58192659176653</v>
      </c>
      <c r="G363" s="25" t="s">
        <v>599</v>
      </c>
      <c r="H363" s="25" t="s">
        <v>600</v>
      </c>
      <c r="I363" s="25" t="n">
        <f aca="false">IFERROR(IF(INDEX(Documents!$C$5:$C$657,MATCH(H363,Documents!$A$5:$A$657,0))="","",INDEX(Documents!$C$5:$C$657,MATCH(H363,Documents!$A$5:$A$657,0))),"")</f>
        <v>2010</v>
      </c>
      <c r="J363" s="25" t="str">
        <f aca="false">IFERROR(IF(INDEX(Documents!$D$5:$D$657,MATCH(H363,Documents!$A$5:$A$657,0))="","",INDEX(Documents!$D$5:$D$657,MATCH(H363,Documents!$A$5:$A$657,0))),"")</f>
        <v>J Med Chem</v>
      </c>
      <c r="K363" s="25" t="str">
        <f aca="false">IFERROR(IF(INDEX(Documents!$G$5:$G$657,MATCH(H363,Documents!$A$5:$A$657,0))="","",INDEX(Documents!$G$5:$G$657,MATCH(H363,Documents!$A$5:$A$657,0))),"")</f>
        <v>10.1021/jm901214q</v>
      </c>
      <c r="L363" s="25" t="s">
        <v>601</v>
      </c>
    </row>
    <row r="364" customFormat="false" ht="15" hidden="false" customHeight="false" outlineLevel="0" collapsed="false">
      <c r="A364" s="25" t="n">
        <v>6381658</v>
      </c>
      <c r="B364" s="25" t="s">
        <v>1190</v>
      </c>
      <c r="C364" s="25" t="s">
        <v>1191</v>
      </c>
      <c r="D364" s="26" t="n">
        <v>1.023</v>
      </c>
      <c r="E364" s="27" t="n">
        <v>8.99012436628784</v>
      </c>
      <c r="F364" s="27" t="n">
        <v>8.99012436628784</v>
      </c>
      <c r="G364" s="25" t="s">
        <v>1192</v>
      </c>
      <c r="H364" s="25" t="s">
        <v>1193</v>
      </c>
      <c r="I364" s="25" t="n">
        <f aca="false">IFERROR(IF(INDEX(Documents!$C$5:$C$657,MATCH(H364,Documents!$A$5:$A$657,0))="","",INDEX(Documents!$C$5:$C$657,MATCH(H364,Documents!$A$5:$A$657,0))),"")</f>
        <v>2011</v>
      </c>
      <c r="J364" s="25" t="str">
        <f aca="false">IFERROR(IF(INDEX(Documents!$D$5:$D$657,MATCH(H364,Documents!$A$5:$A$657,0))="","",INDEX(Documents!$D$5:$D$657,MATCH(H364,Documents!$A$5:$A$657,0))),"")</f>
        <v>Eur J Med Chem</v>
      </c>
      <c r="K364" s="25" t="str">
        <f aca="false">IFERROR(IF(INDEX(Documents!$G$5:$G$657,MATCH(H364,Documents!$A$5:$A$657,0))="","",INDEX(Documents!$G$5:$G$657,MATCH(H364,Documents!$A$5:$A$657,0))),"")</f>
        <v>10.1016/j.ejmech.2011.07.023</v>
      </c>
      <c r="L364" s="25" t="s">
        <v>1194</v>
      </c>
    </row>
    <row r="365" customFormat="false" ht="15" hidden="false" customHeight="false" outlineLevel="0" collapsed="false">
      <c r="A365" s="25" t="n">
        <v>5205344</v>
      </c>
      <c r="B365" s="25" t="s">
        <v>1195</v>
      </c>
      <c r="C365" s="25" t="s">
        <v>1196</v>
      </c>
      <c r="D365" s="26" t="n">
        <v>3</v>
      </c>
      <c r="E365" s="27" t="n">
        <v>8.52287874528034</v>
      </c>
      <c r="F365" s="27" t="n">
        <v>8.52287874528034</v>
      </c>
      <c r="G365" s="25" t="s">
        <v>461</v>
      </c>
      <c r="H365" s="25" t="s">
        <v>462</v>
      </c>
      <c r="I365" s="25" t="n">
        <f aca="false">IFERROR(IF(INDEX(Documents!$C$5:$C$657,MATCH(H365,Documents!$A$5:$A$657,0))="","",INDEX(Documents!$C$5:$C$657,MATCH(H365,Documents!$A$5:$A$657,0))),"")</f>
        <v>2011</v>
      </c>
      <c r="J365" s="25" t="str">
        <f aca="false">IFERROR(IF(INDEX(Documents!$D$5:$D$657,MATCH(H365,Documents!$A$5:$A$657,0))="","",INDEX(Documents!$D$5:$D$657,MATCH(H365,Documents!$A$5:$A$657,0))),"")</f>
        <v>Eur J Med Chem</v>
      </c>
      <c r="K365" s="25" t="str">
        <f aca="false">IFERROR(IF(INDEX(Documents!$G$5:$G$657,MATCH(H365,Documents!$A$5:$A$657,0))="","",INDEX(Documents!$G$5:$G$657,MATCH(H365,Documents!$A$5:$A$657,0))),"")</f>
        <v>10.1016/j.ejmech.2010.11.034</v>
      </c>
      <c r="L365" s="25" t="s">
        <v>463</v>
      </c>
    </row>
    <row r="366" customFormat="false" ht="15" hidden="false" customHeight="false" outlineLevel="0" collapsed="false">
      <c r="A366" s="25" t="n">
        <v>2118301</v>
      </c>
      <c r="B366" s="25" t="s">
        <v>1197</v>
      </c>
      <c r="C366" s="25" t="s">
        <v>1198</v>
      </c>
      <c r="D366" s="26" t="n">
        <v>5</v>
      </c>
      <c r="E366" s="27" t="n">
        <v>8.30102999566398</v>
      </c>
      <c r="F366" s="27" t="n">
        <v>8.30550560743764</v>
      </c>
      <c r="G366" s="25" t="s">
        <v>1199</v>
      </c>
      <c r="H366" s="25" t="s">
        <v>1200</v>
      </c>
      <c r="I366" s="25" t="n">
        <f aca="false">IFERROR(IF(INDEX(Documents!$C$5:$C$657,MATCH(H366,Documents!$A$5:$A$657,0))="","",INDEX(Documents!$C$5:$C$657,MATCH(H366,Documents!$A$5:$A$657,0))),"")</f>
        <v>2008</v>
      </c>
      <c r="J366" s="25" t="str">
        <f aca="false">IFERROR(IF(INDEX(Documents!$D$5:$D$657,MATCH(H366,Documents!$A$5:$A$657,0))="","",INDEX(Documents!$D$5:$D$657,MATCH(H366,Documents!$A$5:$A$657,0))),"")</f>
        <v>J Med Chem</v>
      </c>
      <c r="K366" s="25" t="str">
        <f aca="false">IFERROR(IF(INDEX(Documents!$G$5:$G$657,MATCH(H366,Documents!$A$5:$A$657,0))="","",INDEX(Documents!$G$5:$G$657,MATCH(H366,Documents!$A$5:$A$657,0))),"")</f>
        <v>10.1021/jm7011613</v>
      </c>
      <c r="L366" s="25" t="s">
        <v>676</v>
      </c>
    </row>
    <row r="367" customFormat="false" ht="15" hidden="false" customHeight="false" outlineLevel="0" collapsed="false">
      <c r="A367" s="25" t="n">
        <v>2118300</v>
      </c>
      <c r="B367" s="25" t="s">
        <v>1197</v>
      </c>
      <c r="C367" s="25" t="s">
        <v>1198</v>
      </c>
      <c r="D367" s="26" t="n">
        <v>4.898</v>
      </c>
      <c r="E367" s="27" t="n">
        <v>8.30998121921131</v>
      </c>
      <c r="F367" s="27" t="n">
        <v>8.30550560743764</v>
      </c>
      <c r="G367" s="25" t="s">
        <v>1199</v>
      </c>
      <c r="H367" s="25" t="s">
        <v>1200</v>
      </c>
      <c r="I367" s="25" t="n">
        <f aca="false">IFERROR(IF(INDEX(Documents!$C$5:$C$657,MATCH(H367,Documents!$A$5:$A$657,0))="","",INDEX(Documents!$C$5:$C$657,MATCH(H367,Documents!$A$5:$A$657,0))),"")</f>
        <v>2008</v>
      </c>
      <c r="J367" s="25" t="str">
        <f aca="false">IFERROR(IF(INDEX(Documents!$D$5:$D$657,MATCH(H367,Documents!$A$5:$A$657,0))="","",INDEX(Documents!$D$5:$D$657,MATCH(H367,Documents!$A$5:$A$657,0))),"")</f>
        <v>J Med Chem</v>
      </c>
      <c r="K367" s="25" t="str">
        <f aca="false">IFERROR(IF(INDEX(Documents!$G$5:$G$657,MATCH(H367,Documents!$A$5:$A$657,0))="","",INDEX(Documents!$G$5:$G$657,MATCH(H367,Documents!$A$5:$A$657,0))),"")</f>
        <v>10.1021/jm7011613</v>
      </c>
      <c r="L367" s="25" t="s">
        <v>676</v>
      </c>
    </row>
    <row r="368" customFormat="false" ht="15" hidden="false" customHeight="false" outlineLevel="0" collapsed="false">
      <c r="A368" s="25" t="n">
        <v>2118277</v>
      </c>
      <c r="B368" s="25" t="s">
        <v>1201</v>
      </c>
      <c r="C368" s="25" t="s">
        <v>1202</v>
      </c>
      <c r="D368" s="26" t="n">
        <v>3.2</v>
      </c>
      <c r="E368" s="27" t="n">
        <v>8.49485002168009</v>
      </c>
      <c r="F368" s="27" t="n">
        <v>8.49744407804195</v>
      </c>
      <c r="G368" s="25" t="s">
        <v>1199</v>
      </c>
      <c r="H368" s="25" t="s">
        <v>1200</v>
      </c>
      <c r="I368" s="25" t="n">
        <f aca="false">IFERROR(IF(INDEX(Documents!$C$5:$C$657,MATCH(H368,Documents!$A$5:$A$657,0))="","",INDEX(Documents!$C$5:$C$657,MATCH(H368,Documents!$A$5:$A$657,0))),"")</f>
        <v>2008</v>
      </c>
      <c r="J368" s="25" t="str">
        <f aca="false">IFERROR(IF(INDEX(Documents!$D$5:$D$657,MATCH(H368,Documents!$A$5:$A$657,0))="","",INDEX(Documents!$D$5:$D$657,MATCH(H368,Documents!$A$5:$A$657,0))),"")</f>
        <v>J Med Chem</v>
      </c>
      <c r="K368" s="25" t="str">
        <f aca="false">IFERROR(IF(INDEX(Documents!$G$5:$G$657,MATCH(H368,Documents!$A$5:$A$657,0))="","",INDEX(Documents!$G$5:$G$657,MATCH(H368,Documents!$A$5:$A$657,0))),"")</f>
        <v>10.1021/jm7011613</v>
      </c>
      <c r="L368" s="25" t="s">
        <v>676</v>
      </c>
    </row>
    <row r="369" customFormat="false" ht="15" hidden="false" customHeight="false" outlineLevel="0" collapsed="false">
      <c r="A369" s="25" t="n">
        <v>2118276</v>
      </c>
      <c r="B369" s="25" t="s">
        <v>1201</v>
      </c>
      <c r="C369" s="25" t="s">
        <v>1202</v>
      </c>
      <c r="D369" s="26" t="n">
        <v>3.162</v>
      </c>
      <c r="E369" s="27" t="n">
        <v>8.50003813440381</v>
      </c>
      <c r="F369" s="27" t="n">
        <v>8.49744407804195</v>
      </c>
      <c r="G369" s="25" t="s">
        <v>1199</v>
      </c>
      <c r="H369" s="25" t="s">
        <v>1200</v>
      </c>
      <c r="I369" s="25" t="n">
        <f aca="false">IFERROR(IF(INDEX(Documents!$C$5:$C$657,MATCH(H369,Documents!$A$5:$A$657,0))="","",INDEX(Documents!$C$5:$C$657,MATCH(H369,Documents!$A$5:$A$657,0))),"")</f>
        <v>2008</v>
      </c>
      <c r="J369" s="25" t="str">
        <f aca="false">IFERROR(IF(INDEX(Documents!$D$5:$D$657,MATCH(H369,Documents!$A$5:$A$657,0))="","",INDEX(Documents!$D$5:$D$657,MATCH(H369,Documents!$A$5:$A$657,0))),"")</f>
        <v>J Med Chem</v>
      </c>
      <c r="K369" s="25" t="str">
        <f aca="false">IFERROR(IF(INDEX(Documents!$G$5:$G$657,MATCH(H369,Documents!$A$5:$A$657,0))="","",INDEX(Documents!$G$5:$G$657,MATCH(H369,Documents!$A$5:$A$657,0))),"")</f>
        <v>10.1021/jm7011613</v>
      </c>
      <c r="L369" s="25" t="s">
        <v>676</v>
      </c>
    </row>
    <row r="370" customFormat="false" ht="15" hidden="false" customHeight="false" outlineLevel="0" collapsed="false">
      <c r="A370" s="25" t="n">
        <v>2118261</v>
      </c>
      <c r="B370" s="25" t="s">
        <v>1203</v>
      </c>
      <c r="C370" s="25" t="s">
        <v>1204</v>
      </c>
      <c r="D370" s="26" t="n">
        <v>3.1</v>
      </c>
      <c r="E370" s="27" t="n">
        <v>8.50863830616573</v>
      </c>
      <c r="F370" s="27" t="n">
        <v>8.51431568160429</v>
      </c>
      <c r="G370" s="25" t="s">
        <v>1199</v>
      </c>
      <c r="H370" s="25" t="s">
        <v>1200</v>
      </c>
      <c r="I370" s="25" t="n">
        <f aca="false">IFERROR(IF(INDEX(Documents!$C$5:$C$657,MATCH(H370,Documents!$A$5:$A$657,0))="","",INDEX(Documents!$C$5:$C$657,MATCH(H370,Documents!$A$5:$A$657,0))),"")</f>
        <v>2008</v>
      </c>
      <c r="J370" s="25" t="str">
        <f aca="false">IFERROR(IF(INDEX(Documents!$D$5:$D$657,MATCH(H370,Documents!$A$5:$A$657,0))="","",INDEX(Documents!$D$5:$D$657,MATCH(H370,Documents!$A$5:$A$657,0))),"")</f>
        <v>J Med Chem</v>
      </c>
      <c r="K370" s="25" t="str">
        <f aca="false">IFERROR(IF(INDEX(Documents!$G$5:$G$657,MATCH(H370,Documents!$A$5:$A$657,0))="","",INDEX(Documents!$G$5:$G$657,MATCH(H370,Documents!$A$5:$A$657,0))),"")</f>
        <v>10.1021/jm7011613</v>
      </c>
      <c r="L370" s="25" t="s">
        <v>676</v>
      </c>
    </row>
    <row r="371" customFormat="false" ht="15" hidden="false" customHeight="false" outlineLevel="0" collapsed="false">
      <c r="A371" s="25" t="n">
        <v>2118260</v>
      </c>
      <c r="B371" s="25" t="s">
        <v>1203</v>
      </c>
      <c r="C371" s="25" t="s">
        <v>1204</v>
      </c>
      <c r="D371" s="26" t="n">
        <v>3.02</v>
      </c>
      <c r="E371" s="27" t="n">
        <v>8.51999305704285</v>
      </c>
      <c r="F371" s="27" t="n">
        <v>8.51431568160429</v>
      </c>
      <c r="G371" s="25" t="s">
        <v>1199</v>
      </c>
      <c r="H371" s="25" t="s">
        <v>1200</v>
      </c>
      <c r="I371" s="25" t="n">
        <f aca="false">IFERROR(IF(INDEX(Documents!$C$5:$C$657,MATCH(H371,Documents!$A$5:$A$657,0))="","",INDEX(Documents!$C$5:$C$657,MATCH(H371,Documents!$A$5:$A$657,0))),"")</f>
        <v>2008</v>
      </c>
      <c r="J371" s="25" t="str">
        <f aca="false">IFERROR(IF(INDEX(Documents!$D$5:$D$657,MATCH(H371,Documents!$A$5:$A$657,0))="","",INDEX(Documents!$D$5:$D$657,MATCH(H371,Documents!$A$5:$A$657,0))),"")</f>
        <v>J Med Chem</v>
      </c>
      <c r="K371" s="25" t="str">
        <f aca="false">IFERROR(IF(INDEX(Documents!$G$5:$G$657,MATCH(H371,Documents!$A$5:$A$657,0))="","",INDEX(Documents!$G$5:$G$657,MATCH(H371,Documents!$A$5:$A$657,0))),"")</f>
        <v>10.1021/jm7011613</v>
      </c>
      <c r="L371" s="25" t="s">
        <v>676</v>
      </c>
    </row>
    <row r="372" customFormat="false" ht="15" hidden="false" customHeight="false" outlineLevel="0" collapsed="false">
      <c r="A372" s="25" t="n">
        <v>2118204</v>
      </c>
      <c r="B372" s="25" t="s">
        <v>1205</v>
      </c>
      <c r="C372" s="25" t="s">
        <v>1206</v>
      </c>
      <c r="D372" s="26" t="n">
        <v>0.41</v>
      </c>
      <c r="E372" s="27" t="n">
        <v>9.38721614328027</v>
      </c>
      <c r="F372" s="27" t="n">
        <v>9.38859755930806</v>
      </c>
      <c r="G372" s="25" t="s">
        <v>1199</v>
      </c>
      <c r="H372" s="25" t="s">
        <v>1200</v>
      </c>
      <c r="I372" s="25" t="n">
        <f aca="false">IFERROR(IF(INDEX(Documents!$C$5:$C$657,MATCH(H372,Documents!$A$5:$A$657,0))="","",INDEX(Documents!$C$5:$C$657,MATCH(H372,Documents!$A$5:$A$657,0))),"")</f>
        <v>2008</v>
      </c>
      <c r="J372" s="25" t="str">
        <f aca="false">IFERROR(IF(INDEX(Documents!$D$5:$D$657,MATCH(H372,Documents!$A$5:$A$657,0))="","",INDEX(Documents!$D$5:$D$657,MATCH(H372,Documents!$A$5:$A$657,0))),"")</f>
        <v>J Med Chem</v>
      </c>
      <c r="K372" s="25" t="str">
        <f aca="false">IFERROR(IF(INDEX(Documents!$G$5:$G$657,MATCH(H372,Documents!$A$5:$A$657,0))="","",INDEX(Documents!$G$5:$G$657,MATCH(H372,Documents!$A$5:$A$657,0))),"")</f>
        <v>10.1021/jm7011613</v>
      </c>
      <c r="L372" s="25" t="s">
        <v>676</v>
      </c>
    </row>
    <row r="373" customFormat="false" ht="15" hidden="false" customHeight="false" outlineLevel="0" collapsed="false">
      <c r="A373" s="25" t="n">
        <v>2118203</v>
      </c>
      <c r="B373" s="25" t="s">
        <v>1205</v>
      </c>
      <c r="C373" s="25" t="s">
        <v>1206</v>
      </c>
      <c r="D373" s="26" t="n">
        <v>0.4074</v>
      </c>
      <c r="E373" s="27" t="n">
        <v>9.38997897533585</v>
      </c>
      <c r="F373" s="27" t="n">
        <v>9.38859755930806</v>
      </c>
      <c r="G373" s="25" t="s">
        <v>1199</v>
      </c>
      <c r="H373" s="25" t="s">
        <v>1200</v>
      </c>
      <c r="I373" s="25" t="n">
        <f aca="false">IFERROR(IF(INDEX(Documents!$C$5:$C$657,MATCH(H373,Documents!$A$5:$A$657,0))="","",INDEX(Documents!$C$5:$C$657,MATCH(H373,Documents!$A$5:$A$657,0))),"")</f>
        <v>2008</v>
      </c>
      <c r="J373" s="25" t="str">
        <f aca="false">IFERROR(IF(INDEX(Documents!$D$5:$D$657,MATCH(H373,Documents!$A$5:$A$657,0))="","",INDEX(Documents!$D$5:$D$657,MATCH(H373,Documents!$A$5:$A$657,0))),"")</f>
        <v>J Med Chem</v>
      </c>
      <c r="K373" s="25" t="str">
        <f aca="false">IFERROR(IF(INDEX(Documents!$G$5:$G$657,MATCH(H373,Documents!$A$5:$A$657,0))="","",INDEX(Documents!$G$5:$G$657,MATCH(H373,Documents!$A$5:$A$657,0))),"")</f>
        <v>10.1021/jm7011613</v>
      </c>
      <c r="L373" s="25" t="s">
        <v>676</v>
      </c>
    </row>
    <row r="374" customFormat="false" ht="15" hidden="false" customHeight="false" outlineLevel="0" collapsed="false">
      <c r="A374" s="25" t="n">
        <v>2118291</v>
      </c>
      <c r="B374" s="25" t="s">
        <v>1207</v>
      </c>
      <c r="C374" s="25" t="s">
        <v>1208</v>
      </c>
      <c r="D374" s="26" t="n">
        <v>0.65</v>
      </c>
      <c r="E374" s="27" t="n">
        <v>9.18708664335714</v>
      </c>
      <c r="F374" s="27" t="n">
        <v>9.18852792847565</v>
      </c>
      <c r="G374" s="25" t="s">
        <v>1199</v>
      </c>
      <c r="H374" s="25" t="s">
        <v>1200</v>
      </c>
      <c r="I374" s="25" t="n">
        <f aca="false">IFERROR(IF(INDEX(Documents!$C$5:$C$657,MATCH(H374,Documents!$A$5:$A$657,0))="","",INDEX(Documents!$C$5:$C$657,MATCH(H374,Documents!$A$5:$A$657,0))),"")</f>
        <v>2008</v>
      </c>
      <c r="J374" s="25" t="str">
        <f aca="false">IFERROR(IF(INDEX(Documents!$D$5:$D$657,MATCH(H374,Documents!$A$5:$A$657,0))="","",INDEX(Documents!$D$5:$D$657,MATCH(H374,Documents!$A$5:$A$657,0))),"")</f>
        <v>J Med Chem</v>
      </c>
      <c r="K374" s="25" t="str">
        <f aca="false">IFERROR(IF(INDEX(Documents!$G$5:$G$657,MATCH(H374,Documents!$A$5:$A$657,0))="","",INDEX(Documents!$G$5:$G$657,MATCH(H374,Documents!$A$5:$A$657,0))),"")</f>
        <v>10.1021/jm7011613</v>
      </c>
      <c r="L374" s="25" t="s">
        <v>676</v>
      </c>
    </row>
    <row r="375" customFormat="false" ht="15" hidden="false" customHeight="false" outlineLevel="0" collapsed="false">
      <c r="A375" s="25" t="n">
        <v>2118290</v>
      </c>
      <c r="B375" s="25" t="s">
        <v>1207</v>
      </c>
      <c r="C375" s="25" t="s">
        <v>1208</v>
      </c>
      <c r="D375" s="26" t="n">
        <v>0.6457</v>
      </c>
      <c r="E375" s="27" t="n">
        <v>9.18996921359416</v>
      </c>
      <c r="F375" s="27" t="n">
        <v>9.18852792847565</v>
      </c>
      <c r="G375" s="25" t="s">
        <v>1199</v>
      </c>
      <c r="H375" s="25" t="s">
        <v>1200</v>
      </c>
      <c r="I375" s="25" t="n">
        <f aca="false">IFERROR(IF(INDEX(Documents!$C$5:$C$657,MATCH(H375,Documents!$A$5:$A$657,0))="","",INDEX(Documents!$C$5:$C$657,MATCH(H375,Documents!$A$5:$A$657,0))),"")</f>
        <v>2008</v>
      </c>
      <c r="J375" s="25" t="str">
        <f aca="false">IFERROR(IF(INDEX(Documents!$D$5:$D$657,MATCH(H375,Documents!$A$5:$A$657,0))="","",INDEX(Documents!$D$5:$D$657,MATCH(H375,Documents!$A$5:$A$657,0))),"")</f>
        <v>J Med Chem</v>
      </c>
      <c r="K375" s="25" t="str">
        <f aca="false">IFERROR(IF(INDEX(Documents!$G$5:$G$657,MATCH(H375,Documents!$A$5:$A$657,0))="","",INDEX(Documents!$G$5:$G$657,MATCH(H375,Documents!$A$5:$A$657,0))),"")</f>
        <v>10.1021/jm7011613</v>
      </c>
      <c r="L375" s="25" t="s">
        <v>676</v>
      </c>
    </row>
    <row r="376" customFormat="false" ht="15" hidden="false" customHeight="false" outlineLevel="0" collapsed="false">
      <c r="A376" s="25" t="n">
        <v>2118208</v>
      </c>
      <c r="B376" s="25" t="s">
        <v>1209</v>
      </c>
      <c r="C376" s="25" t="s">
        <v>1210</v>
      </c>
      <c r="D376" s="26" t="n">
        <v>5.012</v>
      </c>
      <c r="E376" s="27" t="n">
        <v>8.29998893767789</v>
      </c>
      <c r="F376" s="27" t="n">
        <v>8.30050946667094</v>
      </c>
      <c r="G376" s="25" t="s">
        <v>1199</v>
      </c>
      <c r="H376" s="25" t="s">
        <v>1200</v>
      </c>
      <c r="I376" s="25" t="n">
        <f aca="false">IFERROR(IF(INDEX(Documents!$C$5:$C$657,MATCH(H376,Documents!$A$5:$A$657,0))="","",INDEX(Documents!$C$5:$C$657,MATCH(H376,Documents!$A$5:$A$657,0))),"")</f>
        <v>2008</v>
      </c>
      <c r="J376" s="25" t="str">
        <f aca="false">IFERROR(IF(INDEX(Documents!$D$5:$D$657,MATCH(H376,Documents!$A$5:$A$657,0))="","",INDEX(Documents!$D$5:$D$657,MATCH(H376,Documents!$A$5:$A$657,0))),"")</f>
        <v>J Med Chem</v>
      </c>
      <c r="K376" s="25" t="str">
        <f aca="false">IFERROR(IF(INDEX(Documents!$G$5:$G$657,MATCH(H376,Documents!$A$5:$A$657,0))="","",INDEX(Documents!$G$5:$G$657,MATCH(H376,Documents!$A$5:$A$657,0))),"")</f>
        <v>10.1021/jm7011613</v>
      </c>
      <c r="L376" s="25" t="s">
        <v>676</v>
      </c>
    </row>
    <row r="377" customFormat="false" ht="15" hidden="false" customHeight="false" outlineLevel="0" collapsed="false">
      <c r="A377" s="25" t="n">
        <v>2118209</v>
      </c>
      <c r="B377" s="25" t="s">
        <v>1209</v>
      </c>
      <c r="C377" s="25" t="s">
        <v>1210</v>
      </c>
      <c r="D377" s="26" t="n">
        <v>5</v>
      </c>
      <c r="E377" s="27" t="n">
        <v>8.30102999566398</v>
      </c>
      <c r="F377" s="27" t="n">
        <v>8.30050946667094</v>
      </c>
      <c r="G377" s="25" t="s">
        <v>1199</v>
      </c>
      <c r="H377" s="25" t="s">
        <v>1200</v>
      </c>
      <c r="I377" s="25" t="n">
        <f aca="false">IFERROR(IF(INDEX(Documents!$C$5:$C$657,MATCH(H377,Documents!$A$5:$A$657,0))="","",INDEX(Documents!$C$5:$C$657,MATCH(H377,Documents!$A$5:$A$657,0))),"")</f>
        <v>2008</v>
      </c>
      <c r="J377" s="25" t="str">
        <f aca="false">IFERROR(IF(INDEX(Documents!$D$5:$D$657,MATCH(H377,Documents!$A$5:$A$657,0))="","",INDEX(Documents!$D$5:$D$657,MATCH(H377,Documents!$A$5:$A$657,0))),"")</f>
        <v>J Med Chem</v>
      </c>
      <c r="K377" s="25" t="str">
        <f aca="false">IFERROR(IF(INDEX(Documents!$G$5:$G$657,MATCH(H377,Documents!$A$5:$A$657,0))="","",INDEX(Documents!$G$5:$G$657,MATCH(H377,Documents!$A$5:$A$657,0))),"")</f>
        <v>10.1021/jm7011613</v>
      </c>
      <c r="L377" s="25" t="s">
        <v>676</v>
      </c>
    </row>
    <row r="378" customFormat="false" ht="15" hidden="false" customHeight="false" outlineLevel="0" collapsed="false">
      <c r="A378" s="25" t="n">
        <v>2118287</v>
      </c>
      <c r="B378" s="25" t="s">
        <v>1211</v>
      </c>
      <c r="C378" s="25" t="s">
        <v>1212</v>
      </c>
      <c r="D378" s="26" t="n">
        <v>3.5</v>
      </c>
      <c r="E378" s="27" t="n">
        <v>8.45593195564972</v>
      </c>
      <c r="F378" s="27" t="n">
        <v>8.45798905699666</v>
      </c>
      <c r="G378" s="25" t="s">
        <v>1199</v>
      </c>
      <c r="H378" s="25" t="s">
        <v>1200</v>
      </c>
      <c r="I378" s="25" t="n">
        <f aca="false">IFERROR(IF(INDEX(Documents!$C$5:$C$657,MATCH(H378,Documents!$A$5:$A$657,0))="","",INDEX(Documents!$C$5:$C$657,MATCH(H378,Documents!$A$5:$A$657,0))),"")</f>
        <v>2008</v>
      </c>
      <c r="J378" s="25" t="str">
        <f aca="false">IFERROR(IF(INDEX(Documents!$D$5:$D$657,MATCH(H378,Documents!$A$5:$A$657,0))="","",INDEX(Documents!$D$5:$D$657,MATCH(H378,Documents!$A$5:$A$657,0))),"")</f>
        <v>J Med Chem</v>
      </c>
      <c r="K378" s="25" t="str">
        <f aca="false">IFERROR(IF(INDEX(Documents!$G$5:$G$657,MATCH(H378,Documents!$A$5:$A$657,0))="","",INDEX(Documents!$G$5:$G$657,MATCH(H378,Documents!$A$5:$A$657,0))),"")</f>
        <v>10.1021/jm7011613</v>
      </c>
      <c r="L378" s="25" t="s">
        <v>676</v>
      </c>
    </row>
    <row r="379" customFormat="false" ht="15" hidden="false" customHeight="false" outlineLevel="0" collapsed="false">
      <c r="A379" s="25" t="n">
        <v>2118286</v>
      </c>
      <c r="B379" s="25" t="s">
        <v>1211</v>
      </c>
      <c r="C379" s="25" t="s">
        <v>1212</v>
      </c>
      <c r="D379" s="26" t="n">
        <v>3.467</v>
      </c>
      <c r="E379" s="27" t="n">
        <v>8.4600461583436</v>
      </c>
      <c r="F379" s="27" t="n">
        <v>8.45798905699666</v>
      </c>
      <c r="G379" s="25" t="s">
        <v>1199</v>
      </c>
      <c r="H379" s="25" t="s">
        <v>1200</v>
      </c>
      <c r="I379" s="25" t="n">
        <f aca="false">IFERROR(IF(INDEX(Documents!$C$5:$C$657,MATCH(H379,Documents!$A$5:$A$657,0))="","",INDEX(Documents!$C$5:$C$657,MATCH(H379,Documents!$A$5:$A$657,0))),"")</f>
        <v>2008</v>
      </c>
      <c r="J379" s="25" t="str">
        <f aca="false">IFERROR(IF(INDEX(Documents!$D$5:$D$657,MATCH(H379,Documents!$A$5:$A$657,0))="","",INDEX(Documents!$D$5:$D$657,MATCH(H379,Documents!$A$5:$A$657,0))),"")</f>
        <v>J Med Chem</v>
      </c>
      <c r="K379" s="25" t="str">
        <f aca="false">IFERROR(IF(INDEX(Documents!$G$5:$G$657,MATCH(H379,Documents!$A$5:$A$657,0))="","",INDEX(Documents!$G$5:$G$657,MATCH(H379,Documents!$A$5:$A$657,0))),"")</f>
        <v>10.1021/jm7011613</v>
      </c>
      <c r="L379" s="25" t="s">
        <v>676</v>
      </c>
    </row>
    <row r="380" customFormat="false" ht="15" hidden="false" customHeight="false" outlineLevel="0" collapsed="false">
      <c r="A380" s="25" t="n">
        <v>2118207</v>
      </c>
      <c r="B380" s="25" t="s">
        <v>1213</v>
      </c>
      <c r="C380" s="25" t="s">
        <v>1214</v>
      </c>
      <c r="D380" s="26" t="n">
        <v>62</v>
      </c>
      <c r="E380" s="27" t="n">
        <v>7.20760831050175</v>
      </c>
      <c r="F380" s="27" t="n">
        <v>7.20880239505563</v>
      </c>
      <c r="G380" s="25" t="s">
        <v>1199</v>
      </c>
      <c r="H380" s="25" t="s">
        <v>1200</v>
      </c>
      <c r="I380" s="25" t="n">
        <f aca="false">IFERROR(IF(INDEX(Documents!$C$5:$C$657,MATCH(H380,Documents!$A$5:$A$657,0))="","",INDEX(Documents!$C$5:$C$657,MATCH(H380,Documents!$A$5:$A$657,0))),"")</f>
        <v>2008</v>
      </c>
      <c r="J380" s="25" t="str">
        <f aca="false">IFERROR(IF(INDEX(Documents!$D$5:$D$657,MATCH(H380,Documents!$A$5:$A$657,0))="","",INDEX(Documents!$D$5:$D$657,MATCH(H380,Documents!$A$5:$A$657,0))),"")</f>
        <v>J Med Chem</v>
      </c>
      <c r="K380" s="25" t="str">
        <f aca="false">IFERROR(IF(INDEX(Documents!$G$5:$G$657,MATCH(H380,Documents!$A$5:$A$657,0))="","",INDEX(Documents!$G$5:$G$657,MATCH(H380,Documents!$A$5:$A$657,0))),"")</f>
        <v>10.1021/jm7011613</v>
      </c>
      <c r="L380" s="25" t="s">
        <v>676</v>
      </c>
    </row>
    <row r="381" customFormat="false" ht="15" hidden="false" customHeight="false" outlineLevel="0" collapsed="false">
      <c r="A381" s="25" t="n">
        <v>2118206</v>
      </c>
      <c r="B381" s="25" t="s">
        <v>1213</v>
      </c>
      <c r="C381" s="25" t="s">
        <v>1214</v>
      </c>
      <c r="D381" s="26" t="n">
        <v>61.66</v>
      </c>
      <c r="E381" s="27" t="n">
        <v>7.20999647960951</v>
      </c>
      <c r="F381" s="27" t="n">
        <v>7.20880239505563</v>
      </c>
      <c r="G381" s="25" t="s">
        <v>1199</v>
      </c>
      <c r="H381" s="25" t="s">
        <v>1200</v>
      </c>
      <c r="I381" s="25" t="n">
        <f aca="false">IFERROR(IF(INDEX(Documents!$C$5:$C$657,MATCH(H381,Documents!$A$5:$A$657,0))="","",INDEX(Documents!$C$5:$C$657,MATCH(H381,Documents!$A$5:$A$657,0))),"")</f>
        <v>2008</v>
      </c>
      <c r="J381" s="25" t="str">
        <f aca="false">IFERROR(IF(INDEX(Documents!$D$5:$D$657,MATCH(H381,Documents!$A$5:$A$657,0))="","",INDEX(Documents!$D$5:$D$657,MATCH(H381,Documents!$A$5:$A$657,0))),"")</f>
        <v>J Med Chem</v>
      </c>
      <c r="K381" s="25" t="str">
        <f aca="false">IFERROR(IF(INDEX(Documents!$G$5:$G$657,MATCH(H381,Documents!$A$5:$A$657,0))="","",INDEX(Documents!$G$5:$G$657,MATCH(H381,Documents!$A$5:$A$657,0))),"")</f>
        <v>10.1021/jm7011613</v>
      </c>
      <c r="L381" s="25" t="s">
        <v>676</v>
      </c>
    </row>
    <row r="382" customFormat="false" ht="15" hidden="false" customHeight="false" outlineLevel="0" collapsed="false">
      <c r="A382" s="25" t="n">
        <v>2118292</v>
      </c>
      <c r="B382" s="25" t="s">
        <v>1215</v>
      </c>
      <c r="C382" s="25" t="s">
        <v>1216</v>
      </c>
      <c r="D382" s="26" t="n">
        <v>2.512</v>
      </c>
      <c r="E382" s="27" t="n">
        <v>8.59998036493484</v>
      </c>
      <c r="F382" s="27" t="n">
        <v>8.6010201781314</v>
      </c>
      <c r="G382" s="25" t="s">
        <v>1199</v>
      </c>
      <c r="H382" s="25" t="s">
        <v>1200</v>
      </c>
      <c r="I382" s="25" t="n">
        <f aca="false">IFERROR(IF(INDEX(Documents!$C$5:$C$657,MATCH(H382,Documents!$A$5:$A$657,0))="","",INDEX(Documents!$C$5:$C$657,MATCH(H382,Documents!$A$5:$A$657,0))),"")</f>
        <v>2008</v>
      </c>
      <c r="J382" s="25" t="str">
        <f aca="false">IFERROR(IF(INDEX(Documents!$D$5:$D$657,MATCH(H382,Documents!$A$5:$A$657,0))="","",INDEX(Documents!$D$5:$D$657,MATCH(H382,Documents!$A$5:$A$657,0))),"")</f>
        <v>J Med Chem</v>
      </c>
      <c r="K382" s="25" t="str">
        <f aca="false">IFERROR(IF(INDEX(Documents!$G$5:$G$657,MATCH(H382,Documents!$A$5:$A$657,0))="","",INDEX(Documents!$G$5:$G$657,MATCH(H382,Documents!$A$5:$A$657,0))),"")</f>
        <v>10.1021/jm7011613</v>
      </c>
      <c r="L382" s="25" t="s">
        <v>676</v>
      </c>
    </row>
    <row r="383" customFormat="false" ht="15" hidden="false" customHeight="false" outlineLevel="0" collapsed="false">
      <c r="A383" s="25" t="n">
        <v>2118293</v>
      </c>
      <c r="B383" s="25" t="s">
        <v>1215</v>
      </c>
      <c r="C383" s="25" t="s">
        <v>1216</v>
      </c>
      <c r="D383" s="26" t="n">
        <v>2.5</v>
      </c>
      <c r="E383" s="27" t="n">
        <v>8.60205999132796</v>
      </c>
      <c r="F383" s="27" t="n">
        <v>8.6010201781314</v>
      </c>
      <c r="G383" s="25" t="s">
        <v>1199</v>
      </c>
      <c r="H383" s="25" t="s">
        <v>1200</v>
      </c>
      <c r="I383" s="25" t="n">
        <f aca="false">IFERROR(IF(INDEX(Documents!$C$5:$C$657,MATCH(H383,Documents!$A$5:$A$657,0))="","",INDEX(Documents!$C$5:$C$657,MATCH(H383,Documents!$A$5:$A$657,0))),"")</f>
        <v>2008</v>
      </c>
      <c r="J383" s="25" t="str">
        <f aca="false">IFERROR(IF(INDEX(Documents!$D$5:$D$657,MATCH(H383,Documents!$A$5:$A$657,0))="","",INDEX(Documents!$D$5:$D$657,MATCH(H383,Documents!$A$5:$A$657,0))),"")</f>
        <v>J Med Chem</v>
      </c>
      <c r="K383" s="25" t="str">
        <f aca="false">IFERROR(IF(INDEX(Documents!$G$5:$G$657,MATCH(H383,Documents!$A$5:$A$657,0))="","",INDEX(Documents!$G$5:$G$657,MATCH(H383,Documents!$A$5:$A$657,0))),"")</f>
        <v>10.1021/jm7011613</v>
      </c>
      <c r="L383" s="25" t="s">
        <v>676</v>
      </c>
    </row>
    <row r="384" customFormat="false" ht="15" hidden="false" customHeight="false" outlineLevel="0" collapsed="false">
      <c r="A384" s="25" t="n">
        <v>2118254</v>
      </c>
      <c r="B384" s="25" t="s">
        <v>1217</v>
      </c>
      <c r="C384" s="25" t="s">
        <v>1218</v>
      </c>
      <c r="D384" s="26" t="n">
        <v>21.38</v>
      </c>
      <c r="E384" s="27" t="n">
        <v>7.66999229912724</v>
      </c>
      <c r="F384" s="27" t="n">
        <v>7.67388650219666</v>
      </c>
      <c r="G384" s="25" t="s">
        <v>1199</v>
      </c>
      <c r="H384" s="25" t="s">
        <v>1200</v>
      </c>
      <c r="I384" s="25" t="n">
        <f aca="false">IFERROR(IF(INDEX(Documents!$C$5:$C$657,MATCH(H384,Documents!$A$5:$A$657,0))="","",INDEX(Documents!$C$5:$C$657,MATCH(H384,Documents!$A$5:$A$657,0))),"")</f>
        <v>2008</v>
      </c>
      <c r="J384" s="25" t="str">
        <f aca="false">IFERROR(IF(INDEX(Documents!$D$5:$D$657,MATCH(H384,Documents!$A$5:$A$657,0))="","",INDEX(Documents!$D$5:$D$657,MATCH(H384,Documents!$A$5:$A$657,0))),"")</f>
        <v>J Med Chem</v>
      </c>
      <c r="K384" s="25" t="str">
        <f aca="false">IFERROR(IF(INDEX(Documents!$G$5:$G$657,MATCH(H384,Documents!$A$5:$A$657,0))="","",INDEX(Documents!$G$5:$G$657,MATCH(H384,Documents!$A$5:$A$657,0))),"")</f>
        <v>10.1021/jm7011613</v>
      </c>
      <c r="L384" s="25" t="s">
        <v>676</v>
      </c>
    </row>
    <row r="385" customFormat="false" ht="15" hidden="false" customHeight="false" outlineLevel="0" collapsed="false">
      <c r="A385" s="25" t="n">
        <v>2118255</v>
      </c>
      <c r="B385" s="25" t="s">
        <v>1217</v>
      </c>
      <c r="C385" s="25" t="s">
        <v>1218</v>
      </c>
      <c r="D385" s="26" t="n">
        <v>21</v>
      </c>
      <c r="E385" s="27" t="n">
        <v>7.67778070526608</v>
      </c>
      <c r="F385" s="27" t="n">
        <v>7.67388650219666</v>
      </c>
      <c r="G385" s="25" t="s">
        <v>1199</v>
      </c>
      <c r="H385" s="25" t="s">
        <v>1200</v>
      </c>
      <c r="I385" s="25" t="n">
        <f aca="false">IFERROR(IF(INDEX(Documents!$C$5:$C$657,MATCH(H385,Documents!$A$5:$A$657,0))="","",INDEX(Documents!$C$5:$C$657,MATCH(H385,Documents!$A$5:$A$657,0))),"")</f>
        <v>2008</v>
      </c>
      <c r="J385" s="25" t="str">
        <f aca="false">IFERROR(IF(INDEX(Documents!$D$5:$D$657,MATCH(H385,Documents!$A$5:$A$657,0))="","",INDEX(Documents!$D$5:$D$657,MATCH(H385,Documents!$A$5:$A$657,0))),"")</f>
        <v>J Med Chem</v>
      </c>
      <c r="K385" s="25" t="str">
        <f aca="false">IFERROR(IF(INDEX(Documents!$G$5:$G$657,MATCH(H385,Documents!$A$5:$A$657,0))="","",INDEX(Documents!$G$5:$G$657,MATCH(H385,Documents!$A$5:$A$657,0))),"")</f>
        <v>10.1021/jm7011613</v>
      </c>
      <c r="L385" s="25" t="s">
        <v>676</v>
      </c>
    </row>
    <row r="386" customFormat="false" ht="15" hidden="false" customHeight="false" outlineLevel="0" collapsed="false">
      <c r="A386" s="25" t="n">
        <v>2118278</v>
      </c>
      <c r="B386" s="25" t="s">
        <v>1219</v>
      </c>
      <c r="C386" s="25" t="s">
        <v>1220</v>
      </c>
      <c r="D386" s="26" t="n">
        <v>8.511</v>
      </c>
      <c r="E386" s="27" t="n">
        <v>8.07001940948449</v>
      </c>
      <c r="F386" s="27" t="n">
        <v>8.0703002418851</v>
      </c>
      <c r="G386" s="25" t="s">
        <v>1199</v>
      </c>
      <c r="H386" s="25" t="s">
        <v>1200</v>
      </c>
      <c r="I386" s="25" t="n">
        <f aca="false">IFERROR(IF(INDEX(Documents!$C$5:$C$657,MATCH(H386,Documents!$A$5:$A$657,0))="","",INDEX(Documents!$C$5:$C$657,MATCH(H386,Documents!$A$5:$A$657,0))),"")</f>
        <v>2008</v>
      </c>
      <c r="J386" s="25" t="str">
        <f aca="false">IFERROR(IF(INDEX(Documents!$D$5:$D$657,MATCH(H386,Documents!$A$5:$A$657,0))="","",INDEX(Documents!$D$5:$D$657,MATCH(H386,Documents!$A$5:$A$657,0))),"")</f>
        <v>J Med Chem</v>
      </c>
      <c r="K386" s="25" t="str">
        <f aca="false">IFERROR(IF(INDEX(Documents!$G$5:$G$657,MATCH(H386,Documents!$A$5:$A$657,0))="","",INDEX(Documents!$G$5:$G$657,MATCH(H386,Documents!$A$5:$A$657,0))),"")</f>
        <v>10.1021/jm7011613</v>
      </c>
      <c r="L386" s="25" t="s">
        <v>676</v>
      </c>
    </row>
    <row r="387" customFormat="false" ht="15" hidden="false" customHeight="false" outlineLevel="0" collapsed="false">
      <c r="A387" s="25" t="n">
        <v>2118279</v>
      </c>
      <c r="B387" s="25" t="s">
        <v>1219</v>
      </c>
      <c r="C387" s="25" t="s">
        <v>1220</v>
      </c>
      <c r="D387" s="26" t="n">
        <v>8.5</v>
      </c>
      <c r="E387" s="27" t="n">
        <v>8.07058107428571</v>
      </c>
      <c r="F387" s="27" t="n">
        <v>8.0703002418851</v>
      </c>
      <c r="G387" s="25" t="s">
        <v>1199</v>
      </c>
      <c r="H387" s="25" t="s">
        <v>1200</v>
      </c>
      <c r="I387" s="25" t="n">
        <f aca="false">IFERROR(IF(INDEX(Documents!$C$5:$C$657,MATCH(H387,Documents!$A$5:$A$657,0))="","",INDEX(Documents!$C$5:$C$657,MATCH(H387,Documents!$A$5:$A$657,0))),"")</f>
        <v>2008</v>
      </c>
      <c r="J387" s="25" t="str">
        <f aca="false">IFERROR(IF(INDEX(Documents!$D$5:$D$657,MATCH(H387,Documents!$A$5:$A$657,0))="","",INDEX(Documents!$D$5:$D$657,MATCH(H387,Documents!$A$5:$A$657,0))),"")</f>
        <v>J Med Chem</v>
      </c>
      <c r="K387" s="25" t="str">
        <f aca="false">IFERROR(IF(INDEX(Documents!$G$5:$G$657,MATCH(H387,Documents!$A$5:$A$657,0))="","",INDEX(Documents!$G$5:$G$657,MATCH(H387,Documents!$A$5:$A$657,0))),"")</f>
        <v>10.1021/jm7011613</v>
      </c>
      <c r="L387" s="25" t="s">
        <v>676</v>
      </c>
    </row>
    <row r="388" customFormat="false" ht="15" hidden="false" customHeight="false" outlineLevel="0" collapsed="false">
      <c r="A388" s="25" t="n">
        <v>2118262</v>
      </c>
      <c r="B388" s="25" t="s">
        <v>1221</v>
      </c>
      <c r="C388" s="25" t="s">
        <v>1222</v>
      </c>
      <c r="D388" s="26" t="n">
        <v>0.8913</v>
      </c>
      <c r="E388" s="27" t="n">
        <v>9.04997609347667</v>
      </c>
      <c r="F388" s="27" t="n">
        <v>9.05274671066325</v>
      </c>
      <c r="G388" s="25" t="s">
        <v>1199</v>
      </c>
      <c r="H388" s="25" t="s">
        <v>1200</v>
      </c>
      <c r="I388" s="25" t="n">
        <f aca="false">IFERROR(IF(INDEX(Documents!$C$5:$C$657,MATCH(H388,Documents!$A$5:$A$657,0))="","",INDEX(Documents!$C$5:$C$657,MATCH(H388,Documents!$A$5:$A$657,0))),"")</f>
        <v>2008</v>
      </c>
      <c r="J388" s="25" t="str">
        <f aca="false">IFERROR(IF(INDEX(Documents!$D$5:$D$657,MATCH(H388,Documents!$A$5:$A$657,0))="","",INDEX(Documents!$D$5:$D$657,MATCH(H388,Documents!$A$5:$A$657,0))),"")</f>
        <v>J Med Chem</v>
      </c>
      <c r="K388" s="25" t="str">
        <f aca="false">IFERROR(IF(INDEX(Documents!$G$5:$G$657,MATCH(H388,Documents!$A$5:$A$657,0))="","",INDEX(Documents!$G$5:$G$657,MATCH(H388,Documents!$A$5:$A$657,0))),"")</f>
        <v>10.1021/jm7011613</v>
      </c>
      <c r="L388" s="25" t="s">
        <v>676</v>
      </c>
    </row>
    <row r="389" customFormat="false" ht="15" hidden="false" customHeight="false" outlineLevel="0" collapsed="false">
      <c r="A389" s="25" t="n">
        <v>2118263</v>
      </c>
      <c r="B389" s="25" t="s">
        <v>1221</v>
      </c>
      <c r="C389" s="25" t="s">
        <v>1222</v>
      </c>
      <c r="D389" s="26" t="n">
        <v>0.88</v>
      </c>
      <c r="E389" s="27" t="n">
        <v>9.05551732784983</v>
      </c>
      <c r="F389" s="27" t="n">
        <v>9.05274671066325</v>
      </c>
      <c r="G389" s="25" t="s">
        <v>1199</v>
      </c>
      <c r="H389" s="25" t="s">
        <v>1200</v>
      </c>
      <c r="I389" s="25" t="n">
        <f aca="false">IFERROR(IF(INDEX(Documents!$C$5:$C$657,MATCH(H389,Documents!$A$5:$A$657,0))="","",INDEX(Documents!$C$5:$C$657,MATCH(H389,Documents!$A$5:$A$657,0))),"")</f>
        <v>2008</v>
      </c>
      <c r="J389" s="25" t="str">
        <f aca="false">IFERROR(IF(INDEX(Documents!$D$5:$D$657,MATCH(H389,Documents!$A$5:$A$657,0))="","",INDEX(Documents!$D$5:$D$657,MATCH(H389,Documents!$A$5:$A$657,0))),"")</f>
        <v>J Med Chem</v>
      </c>
      <c r="K389" s="25" t="str">
        <f aca="false">IFERROR(IF(INDEX(Documents!$G$5:$G$657,MATCH(H389,Documents!$A$5:$A$657,0))="","",INDEX(Documents!$G$5:$G$657,MATCH(H389,Documents!$A$5:$A$657,0))),"")</f>
        <v>10.1021/jm7011613</v>
      </c>
      <c r="L389" s="25" t="s">
        <v>676</v>
      </c>
    </row>
    <row r="390" customFormat="false" ht="15" hidden="false" customHeight="false" outlineLevel="0" collapsed="false">
      <c r="A390" s="25" t="n">
        <v>2118285</v>
      </c>
      <c r="B390" s="25" t="s">
        <v>1223</v>
      </c>
      <c r="C390" s="25" t="s">
        <v>1224</v>
      </c>
      <c r="D390" s="26" t="n">
        <v>3</v>
      </c>
      <c r="E390" s="27" t="n">
        <v>8.52287874528034</v>
      </c>
      <c r="F390" s="27" t="n">
        <v>8.52645476789019</v>
      </c>
      <c r="G390" s="25" t="s">
        <v>1199</v>
      </c>
      <c r="H390" s="25" t="s">
        <v>1200</v>
      </c>
      <c r="I390" s="25" t="n">
        <f aca="false">IFERROR(IF(INDEX(Documents!$C$5:$C$657,MATCH(H390,Documents!$A$5:$A$657,0))="","",INDEX(Documents!$C$5:$C$657,MATCH(H390,Documents!$A$5:$A$657,0))),"")</f>
        <v>2008</v>
      </c>
      <c r="J390" s="25" t="str">
        <f aca="false">IFERROR(IF(INDEX(Documents!$D$5:$D$657,MATCH(H390,Documents!$A$5:$A$657,0))="","",INDEX(Documents!$D$5:$D$657,MATCH(H390,Documents!$A$5:$A$657,0))),"")</f>
        <v>J Med Chem</v>
      </c>
      <c r="K390" s="25" t="str">
        <f aca="false">IFERROR(IF(INDEX(Documents!$G$5:$G$657,MATCH(H390,Documents!$A$5:$A$657,0))="","",INDEX(Documents!$G$5:$G$657,MATCH(H390,Documents!$A$5:$A$657,0))),"")</f>
        <v>10.1021/jm7011613</v>
      </c>
      <c r="L390" s="25" t="s">
        <v>676</v>
      </c>
    </row>
    <row r="391" customFormat="false" ht="15" hidden="false" customHeight="false" outlineLevel="0" collapsed="false">
      <c r="A391" s="25" t="n">
        <v>2118284</v>
      </c>
      <c r="B391" s="25" t="s">
        <v>1223</v>
      </c>
      <c r="C391" s="25" t="s">
        <v>1224</v>
      </c>
      <c r="D391" s="26" t="n">
        <v>2.951</v>
      </c>
      <c r="E391" s="27" t="n">
        <v>8.53003079050004</v>
      </c>
      <c r="F391" s="27" t="n">
        <v>8.52645476789019</v>
      </c>
      <c r="G391" s="25" t="s">
        <v>1199</v>
      </c>
      <c r="H391" s="25" t="s">
        <v>1200</v>
      </c>
      <c r="I391" s="25" t="n">
        <f aca="false">IFERROR(IF(INDEX(Documents!$C$5:$C$657,MATCH(H391,Documents!$A$5:$A$657,0))="","",INDEX(Documents!$C$5:$C$657,MATCH(H391,Documents!$A$5:$A$657,0))),"")</f>
        <v>2008</v>
      </c>
      <c r="J391" s="25" t="str">
        <f aca="false">IFERROR(IF(INDEX(Documents!$D$5:$D$657,MATCH(H391,Documents!$A$5:$A$657,0))="","",INDEX(Documents!$D$5:$D$657,MATCH(H391,Documents!$A$5:$A$657,0))),"")</f>
        <v>J Med Chem</v>
      </c>
      <c r="K391" s="25" t="str">
        <f aca="false">IFERROR(IF(INDEX(Documents!$G$5:$G$657,MATCH(H391,Documents!$A$5:$A$657,0))="","",INDEX(Documents!$G$5:$G$657,MATCH(H391,Documents!$A$5:$A$657,0))),"")</f>
        <v>10.1021/jm7011613</v>
      </c>
      <c r="L391" s="25" t="s">
        <v>676</v>
      </c>
    </row>
    <row r="392" customFormat="false" ht="15" hidden="false" customHeight="false" outlineLevel="0" collapsed="false">
      <c r="A392" s="25" t="n">
        <v>2118252</v>
      </c>
      <c r="B392" s="25" t="s">
        <v>1225</v>
      </c>
      <c r="C392" s="25" t="s">
        <v>1226</v>
      </c>
      <c r="D392" s="26" t="n">
        <v>1.023</v>
      </c>
      <c r="E392" s="27" t="n">
        <v>8.99012436628784</v>
      </c>
      <c r="F392" s="27" t="n">
        <v>8.99506218314392</v>
      </c>
      <c r="G392" s="25" t="s">
        <v>1199</v>
      </c>
      <c r="H392" s="25" t="s">
        <v>1200</v>
      </c>
      <c r="I392" s="25" t="n">
        <f aca="false">IFERROR(IF(INDEX(Documents!$C$5:$C$657,MATCH(H392,Documents!$A$5:$A$657,0))="","",INDEX(Documents!$C$5:$C$657,MATCH(H392,Documents!$A$5:$A$657,0))),"")</f>
        <v>2008</v>
      </c>
      <c r="J392" s="25" t="str">
        <f aca="false">IFERROR(IF(INDEX(Documents!$D$5:$D$657,MATCH(H392,Documents!$A$5:$A$657,0))="","",INDEX(Documents!$D$5:$D$657,MATCH(H392,Documents!$A$5:$A$657,0))),"")</f>
        <v>J Med Chem</v>
      </c>
      <c r="K392" s="25" t="str">
        <f aca="false">IFERROR(IF(INDEX(Documents!$G$5:$G$657,MATCH(H392,Documents!$A$5:$A$657,0))="","",INDEX(Documents!$G$5:$G$657,MATCH(H392,Documents!$A$5:$A$657,0))),"")</f>
        <v>10.1021/jm7011613</v>
      </c>
      <c r="L392" s="25" t="s">
        <v>676</v>
      </c>
    </row>
    <row r="393" customFormat="false" ht="15" hidden="false" customHeight="false" outlineLevel="0" collapsed="false">
      <c r="A393" s="25" t="n">
        <v>2118253</v>
      </c>
      <c r="B393" s="25" t="s">
        <v>1225</v>
      </c>
      <c r="C393" s="25" t="s">
        <v>1226</v>
      </c>
      <c r="D393" s="26" t="n">
        <v>1</v>
      </c>
      <c r="E393" s="27" t="n">
        <v>9</v>
      </c>
      <c r="F393" s="27" t="n">
        <v>8.99506218314392</v>
      </c>
      <c r="G393" s="25" t="s">
        <v>1199</v>
      </c>
      <c r="H393" s="25" t="s">
        <v>1200</v>
      </c>
      <c r="I393" s="25" t="n">
        <f aca="false">IFERROR(IF(INDEX(Documents!$C$5:$C$657,MATCH(H393,Documents!$A$5:$A$657,0))="","",INDEX(Documents!$C$5:$C$657,MATCH(H393,Documents!$A$5:$A$657,0))),"")</f>
        <v>2008</v>
      </c>
      <c r="J393" s="25" t="str">
        <f aca="false">IFERROR(IF(INDEX(Documents!$D$5:$D$657,MATCH(H393,Documents!$A$5:$A$657,0))="","",INDEX(Documents!$D$5:$D$657,MATCH(H393,Documents!$A$5:$A$657,0))),"")</f>
        <v>J Med Chem</v>
      </c>
      <c r="K393" s="25" t="str">
        <f aca="false">IFERROR(IF(INDEX(Documents!$G$5:$G$657,MATCH(H393,Documents!$A$5:$A$657,0))="","",INDEX(Documents!$G$5:$G$657,MATCH(H393,Documents!$A$5:$A$657,0))),"")</f>
        <v>10.1021/jm7011613</v>
      </c>
      <c r="L393" s="25" t="s">
        <v>676</v>
      </c>
    </row>
    <row r="394" customFormat="false" ht="15" hidden="false" customHeight="false" outlineLevel="0" collapsed="false">
      <c r="A394" s="25" t="n">
        <v>2118210</v>
      </c>
      <c r="B394" s="25" t="s">
        <v>1227</v>
      </c>
      <c r="C394" s="25" t="s">
        <v>1228</v>
      </c>
      <c r="D394" s="26" t="n">
        <v>58.88</v>
      </c>
      <c r="E394" s="27" t="n">
        <v>7.23003219867056</v>
      </c>
      <c r="F394" s="27" t="n">
        <v>7.23330210255381</v>
      </c>
      <c r="G394" s="25" t="s">
        <v>1199</v>
      </c>
      <c r="H394" s="25" t="s">
        <v>1200</v>
      </c>
      <c r="I394" s="25" t="n">
        <f aca="false">IFERROR(IF(INDEX(Documents!$C$5:$C$657,MATCH(H394,Documents!$A$5:$A$657,0))="","",INDEX(Documents!$C$5:$C$657,MATCH(H394,Documents!$A$5:$A$657,0))),"")</f>
        <v>2008</v>
      </c>
      <c r="J394" s="25" t="str">
        <f aca="false">IFERROR(IF(INDEX(Documents!$D$5:$D$657,MATCH(H394,Documents!$A$5:$A$657,0))="","",INDEX(Documents!$D$5:$D$657,MATCH(H394,Documents!$A$5:$A$657,0))),"")</f>
        <v>J Med Chem</v>
      </c>
      <c r="K394" s="25" t="str">
        <f aca="false">IFERROR(IF(INDEX(Documents!$G$5:$G$657,MATCH(H394,Documents!$A$5:$A$657,0))="","",INDEX(Documents!$G$5:$G$657,MATCH(H394,Documents!$A$5:$A$657,0))),"")</f>
        <v>10.1021/jm7011613</v>
      </c>
      <c r="L394" s="25" t="s">
        <v>676</v>
      </c>
    </row>
    <row r="395" customFormat="false" ht="15" hidden="false" customHeight="false" outlineLevel="0" collapsed="false">
      <c r="A395" s="25" t="n">
        <v>2118211</v>
      </c>
      <c r="B395" s="25" t="s">
        <v>1227</v>
      </c>
      <c r="C395" s="25" t="s">
        <v>1228</v>
      </c>
      <c r="D395" s="26" t="n">
        <v>58</v>
      </c>
      <c r="E395" s="27" t="n">
        <v>7.23657200643706</v>
      </c>
      <c r="F395" s="27" t="n">
        <v>7.23330210255381</v>
      </c>
      <c r="G395" s="25" t="s">
        <v>1199</v>
      </c>
      <c r="H395" s="25" t="s">
        <v>1200</v>
      </c>
      <c r="I395" s="25" t="n">
        <f aca="false">IFERROR(IF(INDEX(Documents!$C$5:$C$657,MATCH(H395,Documents!$A$5:$A$657,0))="","",INDEX(Documents!$C$5:$C$657,MATCH(H395,Documents!$A$5:$A$657,0))),"")</f>
        <v>2008</v>
      </c>
      <c r="J395" s="25" t="str">
        <f aca="false">IFERROR(IF(INDEX(Documents!$D$5:$D$657,MATCH(H395,Documents!$A$5:$A$657,0))="","",INDEX(Documents!$D$5:$D$657,MATCH(H395,Documents!$A$5:$A$657,0))),"")</f>
        <v>J Med Chem</v>
      </c>
      <c r="K395" s="25" t="str">
        <f aca="false">IFERROR(IF(INDEX(Documents!$G$5:$G$657,MATCH(H395,Documents!$A$5:$A$657,0))="","",INDEX(Documents!$G$5:$G$657,MATCH(H395,Documents!$A$5:$A$657,0))),"")</f>
        <v>10.1021/jm7011613</v>
      </c>
      <c r="L395" s="25" t="s">
        <v>676</v>
      </c>
    </row>
    <row r="396" customFormat="false" ht="15" hidden="false" customHeight="false" outlineLevel="0" collapsed="false">
      <c r="A396" s="25" t="n">
        <v>2118294</v>
      </c>
      <c r="B396" s="25" t="s">
        <v>1229</v>
      </c>
      <c r="C396" s="25" t="s">
        <v>1230</v>
      </c>
      <c r="D396" s="26" t="n">
        <v>6.607</v>
      </c>
      <c r="E396" s="27" t="n">
        <v>8.17999569319168</v>
      </c>
      <c r="F396" s="27" t="n">
        <v>8.18022587882491</v>
      </c>
      <c r="G396" s="25" t="s">
        <v>1199</v>
      </c>
      <c r="H396" s="25" t="s">
        <v>1200</v>
      </c>
      <c r="I396" s="25" t="n">
        <f aca="false">IFERROR(IF(INDEX(Documents!$C$5:$C$657,MATCH(H396,Documents!$A$5:$A$657,0))="","",INDEX(Documents!$C$5:$C$657,MATCH(H396,Documents!$A$5:$A$657,0))),"")</f>
        <v>2008</v>
      </c>
      <c r="J396" s="25" t="str">
        <f aca="false">IFERROR(IF(INDEX(Documents!$D$5:$D$657,MATCH(H396,Documents!$A$5:$A$657,0))="","",INDEX(Documents!$D$5:$D$657,MATCH(H396,Documents!$A$5:$A$657,0))),"")</f>
        <v>J Med Chem</v>
      </c>
      <c r="K396" s="25" t="str">
        <f aca="false">IFERROR(IF(INDEX(Documents!$G$5:$G$657,MATCH(H396,Documents!$A$5:$A$657,0))="","",INDEX(Documents!$G$5:$G$657,MATCH(H396,Documents!$A$5:$A$657,0))),"")</f>
        <v>10.1021/jm7011613</v>
      </c>
      <c r="L396" s="25" t="s">
        <v>676</v>
      </c>
    </row>
    <row r="397" customFormat="false" ht="15" hidden="false" customHeight="false" outlineLevel="0" collapsed="false">
      <c r="A397" s="25" t="n">
        <v>2118295</v>
      </c>
      <c r="B397" s="25" t="s">
        <v>1229</v>
      </c>
      <c r="C397" s="25" t="s">
        <v>1230</v>
      </c>
      <c r="D397" s="26" t="n">
        <v>6.6</v>
      </c>
      <c r="E397" s="27" t="n">
        <v>8.18045606445813</v>
      </c>
      <c r="F397" s="27" t="n">
        <v>8.18022587882491</v>
      </c>
      <c r="G397" s="25" t="s">
        <v>1199</v>
      </c>
      <c r="H397" s="25" t="s">
        <v>1200</v>
      </c>
      <c r="I397" s="25" t="n">
        <f aca="false">IFERROR(IF(INDEX(Documents!$C$5:$C$657,MATCH(H397,Documents!$A$5:$A$657,0))="","",INDEX(Documents!$C$5:$C$657,MATCH(H397,Documents!$A$5:$A$657,0))),"")</f>
        <v>2008</v>
      </c>
      <c r="J397" s="25" t="str">
        <f aca="false">IFERROR(IF(INDEX(Documents!$D$5:$D$657,MATCH(H397,Documents!$A$5:$A$657,0))="","",INDEX(Documents!$D$5:$D$657,MATCH(H397,Documents!$A$5:$A$657,0))),"")</f>
        <v>J Med Chem</v>
      </c>
      <c r="K397" s="25" t="str">
        <f aca="false">IFERROR(IF(INDEX(Documents!$G$5:$G$657,MATCH(H397,Documents!$A$5:$A$657,0))="","",INDEX(Documents!$G$5:$G$657,MATCH(H397,Documents!$A$5:$A$657,0))),"")</f>
        <v>10.1021/jm7011613</v>
      </c>
      <c r="L397" s="25" t="s">
        <v>676</v>
      </c>
    </row>
    <row r="398" customFormat="false" ht="15" hidden="false" customHeight="false" outlineLevel="0" collapsed="false">
      <c r="A398" s="25" t="n">
        <v>2118220</v>
      </c>
      <c r="B398" s="25" t="s">
        <v>1231</v>
      </c>
      <c r="C398" s="25" t="s">
        <v>1232</v>
      </c>
      <c r="D398" s="26" t="n">
        <v>30.2</v>
      </c>
      <c r="E398" s="27" t="n">
        <v>7.51999305704285</v>
      </c>
      <c r="F398" s="27" t="n">
        <v>7.52143590116159</v>
      </c>
      <c r="G398" s="25" t="s">
        <v>1199</v>
      </c>
      <c r="H398" s="25" t="s">
        <v>1200</v>
      </c>
      <c r="I398" s="25" t="n">
        <f aca="false">IFERROR(IF(INDEX(Documents!$C$5:$C$657,MATCH(H398,Documents!$A$5:$A$657,0))="","",INDEX(Documents!$C$5:$C$657,MATCH(H398,Documents!$A$5:$A$657,0))),"")</f>
        <v>2008</v>
      </c>
      <c r="J398" s="25" t="str">
        <f aca="false">IFERROR(IF(INDEX(Documents!$D$5:$D$657,MATCH(H398,Documents!$A$5:$A$657,0))="","",INDEX(Documents!$D$5:$D$657,MATCH(H398,Documents!$A$5:$A$657,0))),"")</f>
        <v>J Med Chem</v>
      </c>
      <c r="K398" s="25" t="str">
        <f aca="false">IFERROR(IF(INDEX(Documents!$G$5:$G$657,MATCH(H398,Documents!$A$5:$A$657,0))="","",INDEX(Documents!$G$5:$G$657,MATCH(H398,Documents!$A$5:$A$657,0))),"")</f>
        <v>10.1021/jm7011613</v>
      </c>
      <c r="L398" s="25" t="s">
        <v>676</v>
      </c>
    </row>
    <row r="399" customFormat="false" ht="15" hidden="false" customHeight="false" outlineLevel="0" collapsed="false">
      <c r="A399" s="25" t="n">
        <v>2118221</v>
      </c>
      <c r="B399" s="25" t="s">
        <v>1231</v>
      </c>
      <c r="C399" s="25" t="s">
        <v>1232</v>
      </c>
      <c r="D399" s="26" t="n">
        <v>30</v>
      </c>
      <c r="E399" s="27" t="n">
        <v>7.52287874528034</v>
      </c>
      <c r="F399" s="27" t="n">
        <v>7.52143590116159</v>
      </c>
      <c r="G399" s="25" t="s">
        <v>1199</v>
      </c>
      <c r="H399" s="25" t="s">
        <v>1200</v>
      </c>
      <c r="I399" s="25" t="n">
        <f aca="false">IFERROR(IF(INDEX(Documents!$C$5:$C$657,MATCH(H399,Documents!$A$5:$A$657,0))="","",INDEX(Documents!$C$5:$C$657,MATCH(H399,Documents!$A$5:$A$657,0))),"")</f>
        <v>2008</v>
      </c>
      <c r="J399" s="25" t="str">
        <f aca="false">IFERROR(IF(INDEX(Documents!$D$5:$D$657,MATCH(H399,Documents!$A$5:$A$657,0))="","",INDEX(Documents!$D$5:$D$657,MATCH(H399,Documents!$A$5:$A$657,0))),"")</f>
        <v>J Med Chem</v>
      </c>
      <c r="K399" s="25" t="str">
        <f aca="false">IFERROR(IF(INDEX(Documents!$G$5:$G$657,MATCH(H399,Documents!$A$5:$A$657,0))="","",INDEX(Documents!$G$5:$G$657,MATCH(H399,Documents!$A$5:$A$657,0))),"")</f>
        <v>10.1021/jm7011613</v>
      </c>
      <c r="L399" s="25" t="s">
        <v>676</v>
      </c>
    </row>
    <row r="400" customFormat="false" ht="15" hidden="false" customHeight="false" outlineLevel="0" collapsed="false">
      <c r="A400" s="25" t="n">
        <v>2118217</v>
      </c>
      <c r="B400" s="25" t="s">
        <v>1233</v>
      </c>
      <c r="C400" s="25" t="s">
        <v>1234</v>
      </c>
      <c r="D400" s="26" t="n">
        <v>113</v>
      </c>
      <c r="E400" s="27" t="n">
        <v>6.94692155651658</v>
      </c>
      <c r="F400" s="27" t="n">
        <v>6.94846434979822</v>
      </c>
      <c r="G400" s="25" t="s">
        <v>1199</v>
      </c>
      <c r="H400" s="25" t="s">
        <v>1200</v>
      </c>
      <c r="I400" s="25" t="n">
        <f aca="false">IFERROR(IF(INDEX(Documents!$C$5:$C$657,MATCH(H400,Documents!$A$5:$A$657,0))="","",INDEX(Documents!$C$5:$C$657,MATCH(H400,Documents!$A$5:$A$657,0))),"")</f>
        <v>2008</v>
      </c>
      <c r="J400" s="25" t="str">
        <f aca="false">IFERROR(IF(INDEX(Documents!$D$5:$D$657,MATCH(H400,Documents!$A$5:$A$657,0))="","",INDEX(Documents!$D$5:$D$657,MATCH(H400,Documents!$A$5:$A$657,0))),"")</f>
        <v>J Med Chem</v>
      </c>
      <c r="K400" s="25" t="str">
        <f aca="false">IFERROR(IF(INDEX(Documents!$G$5:$G$657,MATCH(H400,Documents!$A$5:$A$657,0))="","",INDEX(Documents!$G$5:$G$657,MATCH(H400,Documents!$A$5:$A$657,0))),"")</f>
        <v>10.1021/jm7011613</v>
      </c>
      <c r="L400" s="25" t="s">
        <v>676</v>
      </c>
    </row>
    <row r="401" customFormat="false" ht="15" hidden="false" customHeight="false" outlineLevel="0" collapsed="false">
      <c r="A401" s="25" t="n">
        <v>2118216</v>
      </c>
      <c r="B401" s="25" t="s">
        <v>1233</v>
      </c>
      <c r="C401" s="25" t="s">
        <v>1234</v>
      </c>
      <c r="D401" s="26" t="n">
        <v>112.2</v>
      </c>
      <c r="E401" s="27" t="n">
        <v>6.95000714307986</v>
      </c>
      <c r="F401" s="27" t="n">
        <v>6.94846434979822</v>
      </c>
      <c r="G401" s="25" t="s">
        <v>1199</v>
      </c>
      <c r="H401" s="25" t="s">
        <v>1200</v>
      </c>
      <c r="I401" s="25" t="n">
        <f aca="false">IFERROR(IF(INDEX(Documents!$C$5:$C$657,MATCH(H401,Documents!$A$5:$A$657,0))="","",INDEX(Documents!$C$5:$C$657,MATCH(H401,Documents!$A$5:$A$657,0))),"")</f>
        <v>2008</v>
      </c>
      <c r="J401" s="25" t="str">
        <f aca="false">IFERROR(IF(INDEX(Documents!$D$5:$D$657,MATCH(H401,Documents!$A$5:$A$657,0))="","",INDEX(Documents!$D$5:$D$657,MATCH(H401,Documents!$A$5:$A$657,0))),"")</f>
        <v>J Med Chem</v>
      </c>
      <c r="K401" s="25" t="str">
        <f aca="false">IFERROR(IF(INDEX(Documents!$G$5:$G$657,MATCH(H401,Documents!$A$5:$A$657,0))="","",INDEX(Documents!$G$5:$G$657,MATCH(H401,Documents!$A$5:$A$657,0))),"")</f>
        <v>10.1021/jm7011613</v>
      </c>
      <c r="L401" s="25" t="s">
        <v>676</v>
      </c>
    </row>
    <row r="402" customFormat="false" ht="15" hidden="false" customHeight="false" outlineLevel="0" collapsed="false">
      <c r="A402" s="25" t="n">
        <v>2118296</v>
      </c>
      <c r="B402" s="25" t="s">
        <v>1235</v>
      </c>
      <c r="C402" s="25" t="s">
        <v>1236</v>
      </c>
      <c r="D402" s="26" t="n">
        <v>3.02</v>
      </c>
      <c r="E402" s="27" t="n">
        <v>8.51999305704285</v>
      </c>
      <c r="F402" s="27" t="n">
        <v>8.52143590116159</v>
      </c>
      <c r="G402" s="25" t="s">
        <v>1199</v>
      </c>
      <c r="H402" s="25" t="s">
        <v>1200</v>
      </c>
      <c r="I402" s="25" t="n">
        <f aca="false">IFERROR(IF(INDEX(Documents!$C$5:$C$657,MATCH(H402,Documents!$A$5:$A$657,0))="","",INDEX(Documents!$C$5:$C$657,MATCH(H402,Documents!$A$5:$A$657,0))),"")</f>
        <v>2008</v>
      </c>
      <c r="J402" s="25" t="str">
        <f aca="false">IFERROR(IF(INDEX(Documents!$D$5:$D$657,MATCH(H402,Documents!$A$5:$A$657,0))="","",INDEX(Documents!$D$5:$D$657,MATCH(H402,Documents!$A$5:$A$657,0))),"")</f>
        <v>J Med Chem</v>
      </c>
      <c r="K402" s="25" t="str">
        <f aca="false">IFERROR(IF(INDEX(Documents!$G$5:$G$657,MATCH(H402,Documents!$A$5:$A$657,0))="","",INDEX(Documents!$G$5:$G$657,MATCH(H402,Documents!$A$5:$A$657,0))),"")</f>
        <v>10.1021/jm7011613</v>
      </c>
      <c r="L402" s="25" t="s">
        <v>676</v>
      </c>
    </row>
    <row r="403" customFormat="false" ht="15" hidden="false" customHeight="false" outlineLevel="0" collapsed="false">
      <c r="A403" s="25" t="n">
        <v>2118297</v>
      </c>
      <c r="B403" s="25" t="s">
        <v>1235</v>
      </c>
      <c r="C403" s="25" t="s">
        <v>1236</v>
      </c>
      <c r="D403" s="26" t="n">
        <v>3</v>
      </c>
      <c r="E403" s="27" t="n">
        <v>8.52287874528034</v>
      </c>
      <c r="F403" s="27" t="n">
        <v>8.52143590116159</v>
      </c>
      <c r="G403" s="25" t="s">
        <v>1199</v>
      </c>
      <c r="H403" s="25" t="s">
        <v>1200</v>
      </c>
      <c r="I403" s="25" t="n">
        <f aca="false">IFERROR(IF(INDEX(Documents!$C$5:$C$657,MATCH(H403,Documents!$A$5:$A$657,0))="","",INDEX(Documents!$C$5:$C$657,MATCH(H403,Documents!$A$5:$A$657,0))),"")</f>
        <v>2008</v>
      </c>
      <c r="J403" s="25" t="str">
        <f aca="false">IFERROR(IF(INDEX(Documents!$D$5:$D$657,MATCH(H403,Documents!$A$5:$A$657,0))="","",INDEX(Documents!$D$5:$D$657,MATCH(H403,Documents!$A$5:$A$657,0))),"")</f>
        <v>J Med Chem</v>
      </c>
      <c r="K403" s="25" t="str">
        <f aca="false">IFERROR(IF(INDEX(Documents!$G$5:$G$657,MATCH(H403,Documents!$A$5:$A$657,0))="","",INDEX(Documents!$G$5:$G$657,MATCH(H403,Documents!$A$5:$A$657,0))),"")</f>
        <v>10.1021/jm7011613</v>
      </c>
      <c r="L403" s="25" t="s">
        <v>676</v>
      </c>
    </row>
    <row r="404" customFormat="false" ht="15" hidden="false" customHeight="false" outlineLevel="0" collapsed="false">
      <c r="A404" s="25" t="n">
        <v>2118299</v>
      </c>
      <c r="B404" s="25" t="s">
        <v>1237</v>
      </c>
      <c r="C404" s="25" t="s">
        <v>1238</v>
      </c>
      <c r="D404" s="26" t="n">
        <v>1.6</v>
      </c>
      <c r="E404" s="27" t="n">
        <v>8.79588001734408</v>
      </c>
      <c r="F404" s="27" t="n">
        <v>8.79792537539515</v>
      </c>
      <c r="G404" s="25" t="s">
        <v>1199</v>
      </c>
      <c r="H404" s="25" t="s">
        <v>1200</v>
      </c>
      <c r="I404" s="25" t="n">
        <f aca="false">IFERROR(IF(INDEX(Documents!$C$5:$C$657,MATCH(H404,Documents!$A$5:$A$657,0))="","",INDEX(Documents!$C$5:$C$657,MATCH(H404,Documents!$A$5:$A$657,0))),"")</f>
        <v>2008</v>
      </c>
      <c r="J404" s="25" t="str">
        <f aca="false">IFERROR(IF(INDEX(Documents!$D$5:$D$657,MATCH(H404,Documents!$A$5:$A$657,0))="","",INDEX(Documents!$D$5:$D$657,MATCH(H404,Documents!$A$5:$A$657,0))),"")</f>
        <v>J Med Chem</v>
      </c>
      <c r="K404" s="25" t="str">
        <f aca="false">IFERROR(IF(INDEX(Documents!$G$5:$G$657,MATCH(H404,Documents!$A$5:$A$657,0))="","",INDEX(Documents!$G$5:$G$657,MATCH(H404,Documents!$A$5:$A$657,0))),"")</f>
        <v>10.1021/jm7011613</v>
      </c>
      <c r="L404" s="25" t="s">
        <v>676</v>
      </c>
    </row>
    <row r="405" customFormat="false" ht="15" hidden="false" customHeight="false" outlineLevel="0" collapsed="false">
      <c r="A405" s="25" t="n">
        <v>2118298</v>
      </c>
      <c r="B405" s="25" t="s">
        <v>1237</v>
      </c>
      <c r="C405" s="25" t="s">
        <v>1238</v>
      </c>
      <c r="D405" s="26" t="n">
        <v>1.585</v>
      </c>
      <c r="E405" s="27" t="n">
        <v>8.79997073344623</v>
      </c>
      <c r="F405" s="27" t="n">
        <v>8.79792537539515</v>
      </c>
      <c r="G405" s="25" t="s">
        <v>1199</v>
      </c>
      <c r="H405" s="25" t="s">
        <v>1200</v>
      </c>
      <c r="I405" s="25" t="n">
        <f aca="false">IFERROR(IF(INDEX(Documents!$C$5:$C$657,MATCH(H405,Documents!$A$5:$A$657,0))="","",INDEX(Documents!$C$5:$C$657,MATCH(H405,Documents!$A$5:$A$657,0))),"")</f>
        <v>2008</v>
      </c>
      <c r="J405" s="25" t="str">
        <f aca="false">IFERROR(IF(INDEX(Documents!$D$5:$D$657,MATCH(H405,Documents!$A$5:$A$657,0))="","",INDEX(Documents!$D$5:$D$657,MATCH(H405,Documents!$A$5:$A$657,0))),"")</f>
        <v>J Med Chem</v>
      </c>
      <c r="K405" s="25" t="str">
        <f aca="false">IFERROR(IF(INDEX(Documents!$G$5:$G$657,MATCH(H405,Documents!$A$5:$A$657,0))="","",INDEX(Documents!$G$5:$G$657,MATCH(H405,Documents!$A$5:$A$657,0))),"")</f>
        <v>10.1021/jm7011613</v>
      </c>
      <c r="L405" s="25" t="s">
        <v>676</v>
      </c>
    </row>
    <row r="406" customFormat="false" ht="15" hidden="false" customHeight="false" outlineLevel="0" collapsed="false">
      <c r="A406" s="25" t="n">
        <v>2118250</v>
      </c>
      <c r="B406" s="25" t="s">
        <v>1239</v>
      </c>
      <c r="C406" s="25" t="s">
        <v>1240</v>
      </c>
      <c r="D406" s="26" t="n">
        <v>9.333</v>
      </c>
      <c r="E406" s="27" t="n">
        <v>8.02997873417163</v>
      </c>
      <c r="F406" s="27" t="n">
        <v>8.03074789280885</v>
      </c>
      <c r="G406" s="25" t="s">
        <v>1199</v>
      </c>
      <c r="H406" s="25" t="s">
        <v>1200</v>
      </c>
      <c r="I406" s="25" t="n">
        <f aca="false">IFERROR(IF(INDEX(Documents!$C$5:$C$657,MATCH(H406,Documents!$A$5:$A$657,0))="","",INDEX(Documents!$C$5:$C$657,MATCH(H406,Documents!$A$5:$A$657,0))),"")</f>
        <v>2008</v>
      </c>
      <c r="J406" s="25" t="str">
        <f aca="false">IFERROR(IF(INDEX(Documents!$D$5:$D$657,MATCH(H406,Documents!$A$5:$A$657,0))="","",INDEX(Documents!$D$5:$D$657,MATCH(H406,Documents!$A$5:$A$657,0))),"")</f>
        <v>J Med Chem</v>
      </c>
      <c r="K406" s="25" t="str">
        <f aca="false">IFERROR(IF(INDEX(Documents!$G$5:$G$657,MATCH(H406,Documents!$A$5:$A$657,0))="","",INDEX(Documents!$G$5:$G$657,MATCH(H406,Documents!$A$5:$A$657,0))),"")</f>
        <v>10.1021/jm7011613</v>
      </c>
      <c r="L406" s="25" t="s">
        <v>676</v>
      </c>
    </row>
    <row r="407" customFormat="false" ht="15" hidden="false" customHeight="false" outlineLevel="0" collapsed="false">
      <c r="A407" s="25" t="n">
        <v>2118251</v>
      </c>
      <c r="B407" s="25" t="s">
        <v>1239</v>
      </c>
      <c r="C407" s="25" t="s">
        <v>1240</v>
      </c>
      <c r="D407" s="26" t="n">
        <v>9.3</v>
      </c>
      <c r="E407" s="27" t="n">
        <v>8.03151705144606</v>
      </c>
      <c r="F407" s="27" t="n">
        <v>8.03074789280885</v>
      </c>
      <c r="G407" s="25" t="s">
        <v>1199</v>
      </c>
      <c r="H407" s="25" t="s">
        <v>1200</v>
      </c>
      <c r="I407" s="25" t="n">
        <f aca="false">IFERROR(IF(INDEX(Documents!$C$5:$C$657,MATCH(H407,Documents!$A$5:$A$657,0))="","",INDEX(Documents!$C$5:$C$657,MATCH(H407,Documents!$A$5:$A$657,0))),"")</f>
        <v>2008</v>
      </c>
      <c r="J407" s="25" t="str">
        <f aca="false">IFERROR(IF(INDEX(Documents!$D$5:$D$657,MATCH(H407,Documents!$A$5:$A$657,0))="","",INDEX(Documents!$D$5:$D$657,MATCH(H407,Documents!$A$5:$A$657,0))),"")</f>
        <v>J Med Chem</v>
      </c>
      <c r="K407" s="25" t="str">
        <f aca="false">IFERROR(IF(INDEX(Documents!$G$5:$G$657,MATCH(H407,Documents!$A$5:$A$657,0))="","",INDEX(Documents!$G$5:$G$657,MATCH(H407,Documents!$A$5:$A$657,0))),"")</f>
        <v>10.1021/jm7011613</v>
      </c>
      <c r="L407" s="25" t="s">
        <v>676</v>
      </c>
    </row>
    <row r="408" customFormat="false" ht="15" hidden="false" customHeight="false" outlineLevel="0" collapsed="false">
      <c r="A408" s="25" t="n">
        <v>2118280</v>
      </c>
      <c r="B408" s="25" t="s">
        <v>1241</v>
      </c>
      <c r="C408" s="25" t="s">
        <v>1242</v>
      </c>
      <c r="D408" s="26" t="n">
        <v>1.905</v>
      </c>
      <c r="E408" s="27" t="n">
        <v>8.72010501998836</v>
      </c>
      <c r="F408" s="27" t="n">
        <v>8.72067570951777</v>
      </c>
      <c r="G408" s="25" t="s">
        <v>1199</v>
      </c>
      <c r="H408" s="25" t="s">
        <v>1200</v>
      </c>
      <c r="I408" s="25" t="n">
        <f aca="false">IFERROR(IF(INDEX(Documents!$C$5:$C$657,MATCH(H408,Documents!$A$5:$A$657,0))="","",INDEX(Documents!$C$5:$C$657,MATCH(H408,Documents!$A$5:$A$657,0))),"")</f>
        <v>2008</v>
      </c>
      <c r="J408" s="25" t="str">
        <f aca="false">IFERROR(IF(INDEX(Documents!$D$5:$D$657,MATCH(H408,Documents!$A$5:$A$657,0))="","",INDEX(Documents!$D$5:$D$657,MATCH(H408,Documents!$A$5:$A$657,0))),"")</f>
        <v>J Med Chem</v>
      </c>
      <c r="K408" s="25" t="str">
        <f aca="false">IFERROR(IF(INDEX(Documents!$G$5:$G$657,MATCH(H408,Documents!$A$5:$A$657,0))="","",INDEX(Documents!$G$5:$G$657,MATCH(H408,Documents!$A$5:$A$657,0))),"")</f>
        <v>10.1021/jm7011613</v>
      </c>
      <c r="L408" s="25" t="s">
        <v>676</v>
      </c>
    </row>
    <row r="409" customFormat="false" ht="15" hidden="false" customHeight="false" outlineLevel="0" collapsed="false">
      <c r="A409" s="25" t="n">
        <v>2118281</v>
      </c>
      <c r="B409" s="25" t="s">
        <v>1241</v>
      </c>
      <c r="C409" s="25" t="s">
        <v>1242</v>
      </c>
      <c r="D409" s="26" t="n">
        <v>1.9</v>
      </c>
      <c r="E409" s="27" t="n">
        <v>8.72124639904717</v>
      </c>
      <c r="F409" s="27" t="n">
        <v>8.72067570951777</v>
      </c>
      <c r="G409" s="25" t="s">
        <v>1199</v>
      </c>
      <c r="H409" s="25" t="s">
        <v>1200</v>
      </c>
      <c r="I409" s="25" t="n">
        <f aca="false">IFERROR(IF(INDEX(Documents!$C$5:$C$657,MATCH(H409,Documents!$A$5:$A$657,0))="","",INDEX(Documents!$C$5:$C$657,MATCH(H409,Documents!$A$5:$A$657,0))),"")</f>
        <v>2008</v>
      </c>
      <c r="J409" s="25" t="str">
        <f aca="false">IFERROR(IF(INDEX(Documents!$D$5:$D$657,MATCH(H409,Documents!$A$5:$A$657,0))="","",INDEX(Documents!$D$5:$D$657,MATCH(H409,Documents!$A$5:$A$657,0))),"")</f>
        <v>J Med Chem</v>
      </c>
      <c r="K409" s="25" t="str">
        <f aca="false">IFERROR(IF(INDEX(Documents!$G$5:$G$657,MATCH(H409,Documents!$A$5:$A$657,0))="","",INDEX(Documents!$G$5:$G$657,MATCH(H409,Documents!$A$5:$A$657,0))),"")</f>
        <v>10.1021/jm7011613</v>
      </c>
      <c r="L409" s="25" t="s">
        <v>676</v>
      </c>
    </row>
    <row r="410" customFormat="false" ht="15" hidden="false" customHeight="false" outlineLevel="0" collapsed="false">
      <c r="A410" s="25" t="n">
        <v>2118222</v>
      </c>
      <c r="B410" s="25" t="s">
        <v>1243</v>
      </c>
      <c r="C410" s="25" t="s">
        <v>1244</v>
      </c>
      <c r="D410" s="26" t="n">
        <v>72.44</v>
      </c>
      <c r="E410" s="27" t="n">
        <v>7.14002155835798</v>
      </c>
      <c r="F410" s="27" t="n">
        <v>7.14134453096336</v>
      </c>
      <c r="G410" s="25" t="s">
        <v>1199</v>
      </c>
      <c r="H410" s="25" t="s">
        <v>1200</v>
      </c>
      <c r="I410" s="25" t="n">
        <f aca="false">IFERROR(IF(INDEX(Documents!$C$5:$C$657,MATCH(H410,Documents!$A$5:$A$657,0))="","",INDEX(Documents!$C$5:$C$657,MATCH(H410,Documents!$A$5:$A$657,0))),"")</f>
        <v>2008</v>
      </c>
      <c r="J410" s="25" t="str">
        <f aca="false">IFERROR(IF(INDEX(Documents!$D$5:$D$657,MATCH(H410,Documents!$A$5:$A$657,0))="","",INDEX(Documents!$D$5:$D$657,MATCH(H410,Documents!$A$5:$A$657,0))),"")</f>
        <v>J Med Chem</v>
      </c>
      <c r="K410" s="25" t="str">
        <f aca="false">IFERROR(IF(INDEX(Documents!$G$5:$G$657,MATCH(H410,Documents!$A$5:$A$657,0))="","",INDEX(Documents!$G$5:$G$657,MATCH(H410,Documents!$A$5:$A$657,0))),"")</f>
        <v>10.1021/jm7011613</v>
      </c>
      <c r="L410" s="25" t="s">
        <v>676</v>
      </c>
    </row>
    <row r="411" customFormat="false" ht="15" hidden="false" customHeight="false" outlineLevel="0" collapsed="false">
      <c r="A411" s="25" t="n">
        <v>2118223</v>
      </c>
      <c r="B411" s="25" t="s">
        <v>1243</v>
      </c>
      <c r="C411" s="25" t="s">
        <v>1244</v>
      </c>
      <c r="D411" s="26" t="n">
        <v>72</v>
      </c>
      <c r="E411" s="27" t="n">
        <v>7.14266750356873</v>
      </c>
      <c r="F411" s="27" t="n">
        <v>7.14134453096336</v>
      </c>
      <c r="G411" s="25" t="s">
        <v>1199</v>
      </c>
      <c r="H411" s="25" t="s">
        <v>1200</v>
      </c>
      <c r="I411" s="25" t="n">
        <f aca="false">IFERROR(IF(INDEX(Documents!$C$5:$C$657,MATCH(H411,Documents!$A$5:$A$657,0))="","",INDEX(Documents!$C$5:$C$657,MATCH(H411,Documents!$A$5:$A$657,0))),"")</f>
        <v>2008</v>
      </c>
      <c r="J411" s="25" t="str">
        <f aca="false">IFERROR(IF(INDEX(Documents!$D$5:$D$657,MATCH(H411,Documents!$A$5:$A$657,0))="","",INDEX(Documents!$D$5:$D$657,MATCH(H411,Documents!$A$5:$A$657,0))),"")</f>
        <v>J Med Chem</v>
      </c>
      <c r="K411" s="25" t="str">
        <f aca="false">IFERROR(IF(INDEX(Documents!$G$5:$G$657,MATCH(H411,Documents!$A$5:$A$657,0))="","",INDEX(Documents!$G$5:$G$657,MATCH(H411,Documents!$A$5:$A$657,0))),"")</f>
        <v>10.1021/jm7011613</v>
      </c>
      <c r="L411" s="25" t="s">
        <v>676</v>
      </c>
    </row>
    <row r="412" customFormat="false" ht="15" hidden="false" customHeight="false" outlineLevel="0" collapsed="false">
      <c r="A412" s="25" t="n">
        <v>2118224</v>
      </c>
      <c r="B412" s="25" t="s">
        <v>1245</v>
      </c>
      <c r="C412" s="25" t="s">
        <v>1246</v>
      </c>
      <c r="D412" s="26" t="n">
        <v>263.03</v>
      </c>
      <c r="E412" s="27" t="n">
        <v>6.57999471504095</v>
      </c>
      <c r="F412" s="27" t="n">
        <v>6.58251068353507</v>
      </c>
      <c r="G412" s="25" t="s">
        <v>1199</v>
      </c>
      <c r="H412" s="25" t="s">
        <v>1200</v>
      </c>
      <c r="I412" s="25" t="n">
        <f aca="false">IFERROR(IF(INDEX(Documents!$C$5:$C$657,MATCH(H412,Documents!$A$5:$A$657,0))="","",INDEX(Documents!$C$5:$C$657,MATCH(H412,Documents!$A$5:$A$657,0))),"")</f>
        <v>2008</v>
      </c>
      <c r="J412" s="25" t="str">
        <f aca="false">IFERROR(IF(INDEX(Documents!$D$5:$D$657,MATCH(H412,Documents!$A$5:$A$657,0))="","",INDEX(Documents!$D$5:$D$657,MATCH(H412,Documents!$A$5:$A$657,0))),"")</f>
        <v>J Med Chem</v>
      </c>
      <c r="K412" s="25" t="str">
        <f aca="false">IFERROR(IF(INDEX(Documents!$G$5:$G$657,MATCH(H412,Documents!$A$5:$A$657,0))="","",INDEX(Documents!$G$5:$G$657,MATCH(H412,Documents!$A$5:$A$657,0))),"")</f>
        <v>10.1021/jm7011613</v>
      </c>
      <c r="L412" s="25" t="s">
        <v>676</v>
      </c>
    </row>
    <row r="413" customFormat="false" ht="15" hidden="false" customHeight="false" outlineLevel="0" collapsed="false">
      <c r="A413" s="25" t="n">
        <v>2118225</v>
      </c>
      <c r="B413" s="25" t="s">
        <v>1245</v>
      </c>
      <c r="C413" s="25" t="s">
        <v>1246</v>
      </c>
      <c r="D413" s="26" t="n">
        <v>260</v>
      </c>
      <c r="E413" s="27" t="n">
        <v>6.58502665202918</v>
      </c>
      <c r="F413" s="27" t="n">
        <v>6.58251068353507</v>
      </c>
      <c r="G413" s="25" t="s">
        <v>1199</v>
      </c>
      <c r="H413" s="25" t="s">
        <v>1200</v>
      </c>
      <c r="I413" s="25" t="n">
        <f aca="false">IFERROR(IF(INDEX(Documents!$C$5:$C$657,MATCH(H413,Documents!$A$5:$A$657,0))="","",INDEX(Documents!$C$5:$C$657,MATCH(H413,Documents!$A$5:$A$657,0))),"")</f>
        <v>2008</v>
      </c>
      <c r="J413" s="25" t="str">
        <f aca="false">IFERROR(IF(INDEX(Documents!$D$5:$D$657,MATCH(H413,Documents!$A$5:$A$657,0))="","",INDEX(Documents!$D$5:$D$657,MATCH(H413,Documents!$A$5:$A$657,0))),"")</f>
        <v>J Med Chem</v>
      </c>
      <c r="K413" s="25" t="str">
        <f aca="false">IFERROR(IF(INDEX(Documents!$G$5:$G$657,MATCH(H413,Documents!$A$5:$A$657,0))="","",INDEX(Documents!$G$5:$G$657,MATCH(H413,Documents!$A$5:$A$657,0))),"")</f>
        <v>10.1021/jm7011613</v>
      </c>
      <c r="L413" s="25" t="s">
        <v>676</v>
      </c>
    </row>
    <row r="414" customFormat="false" ht="15" hidden="false" customHeight="false" outlineLevel="0" collapsed="false">
      <c r="A414" s="25" t="n">
        <v>2118265</v>
      </c>
      <c r="B414" s="25" t="s">
        <v>1247</v>
      </c>
      <c r="C414" s="25" t="s">
        <v>1248</v>
      </c>
      <c r="D414" s="26" t="n">
        <v>1.3</v>
      </c>
      <c r="E414" s="27" t="n">
        <v>8.88605664769316</v>
      </c>
      <c r="F414" s="27" t="n">
        <v>8.89301545879265</v>
      </c>
      <c r="G414" s="25" t="s">
        <v>1199</v>
      </c>
      <c r="H414" s="25" t="s">
        <v>1200</v>
      </c>
      <c r="I414" s="25" t="n">
        <f aca="false">IFERROR(IF(INDEX(Documents!$C$5:$C$657,MATCH(H414,Documents!$A$5:$A$657,0))="","",INDEX(Documents!$C$5:$C$657,MATCH(H414,Documents!$A$5:$A$657,0))),"")</f>
        <v>2008</v>
      </c>
      <c r="J414" s="25" t="str">
        <f aca="false">IFERROR(IF(INDEX(Documents!$D$5:$D$657,MATCH(H414,Documents!$A$5:$A$657,0))="","",INDEX(Documents!$D$5:$D$657,MATCH(H414,Documents!$A$5:$A$657,0))),"")</f>
        <v>J Med Chem</v>
      </c>
      <c r="K414" s="25" t="str">
        <f aca="false">IFERROR(IF(INDEX(Documents!$G$5:$G$657,MATCH(H414,Documents!$A$5:$A$657,0))="","",INDEX(Documents!$G$5:$G$657,MATCH(H414,Documents!$A$5:$A$657,0))),"")</f>
        <v>10.1021/jm7011613</v>
      </c>
      <c r="L414" s="25" t="s">
        <v>676</v>
      </c>
    </row>
    <row r="415" customFormat="false" ht="15" hidden="false" customHeight="false" outlineLevel="0" collapsed="false">
      <c r="A415" s="25" t="n">
        <v>2118264</v>
      </c>
      <c r="B415" s="25" t="s">
        <v>1247</v>
      </c>
      <c r="C415" s="25" t="s">
        <v>1248</v>
      </c>
      <c r="D415" s="26" t="n">
        <v>1.259</v>
      </c>
      <c r="E415" s="27" t="n">
        <v>8.89997426989214</v>
      </c>
      <c r="F415" s="27" t="n">
        <v>8.89301545879265</v>
      </c>
      <c r="G415" s="25" t="s">
        <v>1199</v>
      </c>
      <c r="H415" s="25" t="s">
        <v>1200</v>
      </c>
      <c r="I415" s="25" t="n">
        <f aca="false">IFERROR(IF(INDEX(Documents!$C$5:$C$657,MATCH(H415,Documents!$A$5:$A$657,0))="","",INDEX(Documents!$C$5:$C$657,MATCH(H415,Documents!$A$5:$A$657,0))),"")</f>
        <v>2008</v>
      </c>
      <c r="J415" s="25" t="str">
        <f aca="false">IFERROR(IF(INDEX(Documents!$D$5:$D$657,MATCH(H415,Documents!$A$5:$A$657,0))="","",INDEX(Documents!$D$5:$D$657,MATCH(H415,Documents!$A$5:$A$657,0))),"")</f>
        <v>J Med Chem</v>
      </c>
      <c r="K415" s="25" t="str">
        <f aca="false">IFERROR(IF(INDEX(Documents!$G$5:$G$657,MATCH(H415,Documents!$A$5:$A$657,0))="","",INDEX(Documents!$G$5:$G$657,MATCH(H415,Documents!$A$5:$A$657,0))),"")</f>
        <v>10.1021/jm7011613</v>
      </c>
      <c r="L415" s="25" t="s">
        <v>676</v>
      </c>
    </row>
    <row r="416" customFormat="false" ht="15" hidden="false" customHeight="false" outlineLevel="0" collapsed="false">
      <c r="A416" s="25" t="n">
        <v>2118283</v>
      </c>
      <c r="B416" s="25" t="s">
        <v>1249</v>
      </c>
      <c r="C416" s="25" t="s">
        <v>1250</v>
      </c>
      <c r="D416" s="26" t="n">
        <v>3.9</v>
      </c>
      <c r="E416" s="27" t="n">
        <v>8.4089353929735</v>
      </c>
      <c r="F416" s="27" t="n">
        <v>8.4094928958239</v>
      </c>
      <c r="G416" s="25" t="s">
        <v>1199</v>
      </c>
      <c r="H416" s="25" t="s">
        <v>1200</v>
      </c>
      <c r="I416" s="25" t="n">
        <f aca="false">IFERROR(IF(INDEX(Documents!$C$5:$C$657,MATCH(H416,Documents!$A$5:$A$657,0))="","",INDEX(Documents!$C$5:$C$657,MATCH(H416,Documents!$A$5:$A$657,0))),"")</f>
        <v>2008</v>
      </c>
      <c r="J416" s="25" t="str">
        <f aca="false">IFERROR(IF(INDEX(Documents!$D$5:$D$657,MATCH(H416,Documents!$A$5:$A$657,0))="","",INDEX(Documents!$D$5:$D$657,MATCH(H416,Documents!$A$5:$A$657,0))),"")</f>
        <v>J Med Chem</v>
      </c>
      <c r="K416" s="25" t="str">
        <f aca="false">IFERROR(IF(INDEX(Documents!$G$5:$G$657,MATCH(H416,Documents!$A$5:$A$657,0))="","",INDEX(Documents!$G$5:$G$657,MATCH(H416,Documents!$A$5:$A$657,0))),"")</f>
        <v>10.1021/jm7011613</v>
      </c>
      <c r="L416" s="25" t="s">
        <v>676</v>
      </c>
    </row>
    <row r="417" customFormat="false" ht="15" hidden="false" customHeight="false" outlineLevel="0" collapsed="false">
      <c r="A417" s="25" t="n">
        <v>2118282</v>
      </c>
      <c r="B417" s="25" t="s">
        <v>1249</v>
      </c>
      <c r="C417" s="25" t="s">
        <v>1250</v>
      </c>
      <c r="D417" s="26" t="n">
        <v>3.89</v>
      </c>
      <c r="E417" s="27" t="n">
        <v>8.41005039867429</v>
      </c>
      <c r="F417" s="27" t="n">
        <v>8.4094928958239</v>
      </c>
      <c r="G417" s="25" t="s">
        <v>1199</v>
      </c>
      <c r="H417" s="25" t="s">
        <v>1200</v>
      </c>
      <c r="I417" s="25" t="n">
        <f aca="false">IFERROR(IF(INDEX(Documents!$C$5:$C$657,MATCH(H417,Documents!$A$5:$A$657,0))="","",INDEX(Documents!$C$5:$C$657,MATCH(H417,Documents!$A$5:$A$657,0))),"")</f>
        <v>2008</v>
      </c>
      <c r="J417" s="25" t="str">
        <f aca="false">IFERROR(IF(INDEX(Documents!$D$5:$D$657,MATCH(H417,Documents!$A$5:$A$657,0))="","",INDEX(Documents!$D$5:$D$657,MATCH(H417,Documents!$A$5:$A$657,0))),"")</f>
        <v>J Med Chem</v>
      </c>
      <c r="K417" s="25" t="str">
        <f aca="false">IFERROR(IF(INDEX(Documents!$G$5:$G$657,MATCH(H417,Documents!$A$5:$A$657,0))="","",INDEX(Documents!$G$5:$G$657,MATCH(H417,Documents!$A$5:$A$657,0))),"")</f>
        <v>10.1021/jm7011613</v>
      </c>
      <c r="L417" s="25" t="s">
        <v>676</v>
      </c>
    </row>
    <row r="418" customFormat="false" ht="15" hidden="false" customHeight="false" outlineLevel="0" collapsed="false">
      <c r="A418" s="25" t="n">
        <v>2118266</v>
      </c>
      <c r="B418" s="25" t="s">
        <v>1251</v>
      </c>
      <c r="C418" s="25" t="s">
        <v>1252</v>
      </c>
      <c r="D418" s="26" t="n">
        <v>9.333</v>
      </c>
      <c r="E418" s="27" t="n">
        <v>8.02997873417163</v>
      </c>
      <c r="F418" s="27" t="n">
        <v>8.03074789280885</v>
      </c>
      <c r="G418" s="25" t="s">
        <v>1199</v>
      </c>
      <c r="H418" s="25" t="s">
        <v>1200</v>
      </c>
      <c r="I418" s="25" t="n">
        <f aca="false">IFERROR(IF(INDEX(Documents!$C$5:$C$657,MATCH(H418,Documents!$A$5:$A$657,0))="","",INDEX(Documents!$C$5:$C$657,MATCH(H418,Documents!$A$5:$A$657,0))),"")</f>
        <v>2008</v>
      </c>
      <c r="J418" s="25" t="str">
        <f aca="false">IFERROR(IF(INDEX(Documents!$D$5:$D$657,MATCH(H418,Documents!$A$5:$A$657,0))="","",INDEX(Documents!$D$5:$D$657,MATCH(H418,Documents!$A$5:$A$657,0))),"")</f>
        <v>J Med Chem</v>
      </c>
      <c r="K418" s="25" t="str">
        <f aca="false">IFERROR(IF(INDEX(Documents!$G$5:$G$657,MATCH(H418,Documents!$A$5:$A$657,0))="","",INDEX(Documents!$G$5:$G$657,MATCH(H418,Documents!$A$5:$A$657,0))),"")</f>
        <v>10.1021/jm7011613</v>
      </c>
      <c r="L418" s="25" t="s">
        <v>676</v>
      </c>
    </row>
    <row r="419" customFormat="false" ht="15" hidden="false" customHeight="false" outlineLevel="0" collapsed="false">
      <c r="A419" s="25" t="n">
        <v>2118267</v>
      </c>
      <c r="B419" s="25" t="s">
        <v>1251</v>
      </c>
      <c r="C419" s="25" t="s">
        <v>1252</v>
      </c>
      <c r="D419" s="26" t="n">
        <v>9.3</v>
      </c>
      <c r="E419" s="27" t="n">
        <v>8.03151705144606</v>
      </c>
      <c r="F419" s="27" t="n">
        <v>8.03074789280885</v>
      </c>
      <c r="G419" s="25" t="s">
        <v>1199</v>
      </c>
      <c r="H419" s="25" t="s">
        <v>1200</v>
      </c>
      <c r="I419" s="25" t="n">
        <f aca="false">IFERROR(IF(INDEX(Documents!$C$5:$C$657,MATCH(H419,Documents!$A$5:$A$657,0))="","",INDEX(Documents!$C$5:$C$657,MATCH(H419,Documents!$A$5:$A$657,0))),"")</f>
        <v>2008</v>
      </c>
      <c r="J419" s="25" t="str">
        <f aca="false">IFERROR(IF(INDEX(Documents!$D$5:$D$657,MATCH(H419,Documents!$A$5:$A$657,0))="","",INDEX(Documents!$D$5:$D$657,MATCH(H419,Documents!$A$5:$A$657,0))),"")</f>
        <v>J Med Chem</v>
      </c>
      <c r="K419" s="25" t="str">
        <f aca="false">IFERROR(IF(INDEX(Documents!$G$5:$G$657,MATCH(H419,Documents!$A$5:$A$657,0))="","",INDEX(Documents!$G$5:$G$657,MATCH(H419,Documents!$A$5:$A$657,0))),"")</f>
        <v>10.1021/jm7011613</v>
      </c>
      <c r="L419" s="25" t="s">
        <v>676</v>
      </c>
    </row>
    <row r="420" customFormat="false" ht="15" hidden="false" customHeight="false" outlineLevel="0" collapsed="false">
      <c r="A420" s="25" t="n">
        <v>2118302</v>
      </c>
      <c r="B420" s="25" t="s">
        <v>1253</v>
      </c>
      <c r="C420" s="25" t="s">
        <v>1254</v>
      </c>
      <c r="D420" s="26" t="n">
        <v>0.2138</v>
      </c>
      <c r="E420" s="27" t="n">
        <v>9.66999229912724</v>
      </c>
      <c r="F420" s="27" t="n">
        <v>9.67388650219666</v>
      </c>
      <c r="G420" s="25" t="s">
        <v>1199</v>
      </c>
      <c r="H420" s="25" t="s">
        <v>1200</v>
      </c>
      <c r="I420" s="25" t="n">
        <f aca="false">IFERROR(IF(INDEX(Documents!$C$5:$C$657,MATCH(H420,Documents!$A$5:$A$657,0))="","",INDEX(Documents!$C$5:$C$657,MATCH(H420,Documents!$A$5:$A$657,0))),"")</f>
        <v>2008</v>
      </c>
      <c r="J420" s="25" t="str">
        <f aca="false">IFERROR(IF(INDEX(Documents!$D$5:$D$657,MATCH(H420,Documents!$A$5:$A$657,0))="","",INDEX(Documents!$D$5:$D$657,MATCH(H420,Documents!$A$5:$A$657,0))),"")</f>
        <v>J Med Chem</v>
      </c>
      <c r="K420" s="25" t="str">
        <f aca="false">IFERROR(IF(INDEX(Documents!$G$5:$G$657,MATCH(H420,Documents!$A$5:$A$657,0))="","",INDEX(Documents!$G$5:$G$657,MATCH(H420,Documents!$A$5:$A$657,0))),"")</f>
        <v>10.1021/jm7011613</v>
      </c>
      <c r="L420" s="25" t="s">
        <v>676</v>
      </c>
    </row>
    <row r="421" customFormat="false" ht="15" hidden="false" customHeight="false" outlineLevel="0" collapsed="false">
      <c r="A421" s="25" t="n">
        <v>2118303</v>
      </c>
      <c r="B421" s="25" t="s">
        <v>1253</v>
      </c>
      <c r="C421" s="25" t="s">
        <v>1254</v>
      </c>
      <c r="D421" s="26" t="n">
        <v>0.21</v>
      </c>
      <c r="E421" s="27" t="n">
        <v>9.67778070526608</v>
      </c>
      <c r="F421" s="27" t="n">
        <v>9.67388650219666</v>
      </c>
      <c r="G421" s="25" t="s">
        <v>1199</v>
      </c>
      <c r="H421" s="25" t="s">
        <v>1200</v>
      </c>
      <c r="I421" s="25" t="n">
        <f aca="false">IFERROR(IF(INDEX(Documents!$C$5:$C$657,MATCH(H421,Documents!$A$5:$A$657,0))="","",INDEX(Documents!$C$5:$C$657,MATCH(H421,Documents!$A$5:$A$657,0))),"")</f>
        <v>2008</v>
      </c>
      <c r="J421" s="25" t="str">
        <f aca="false">IFERROR(IF(INDEX(Documents!$D$5:$D$657,MATCH(H421,Documents!$A$5:$A$657,0))="","",INDEX(Documents!$D$5:$D$657,MATCH(H421,Documents!$A$5:$A$657,0))),"")</f>
        <v>J Med Chem</v>
      </c>
      <c r="K421" s="25" t="str">
        <f aca="false">IFERROR(IF(INDEX(Documents!$G$5:$G$657,MATCH(H421,Documents!$A$5:$A$657,0))="","",INDEX(Documents!$G$5:$G$657,MATCH(H421,Documents!$A$5:$A$657,0))),"")</f>
        <v>10.1021/jm7011613</v>
      </c>
      <c r="L421" s="25" t="s">
        <v>676</v>
      </c>
    </row>
    <row r="422" customFormat="false" ht="15" hidden="false" customHeight="false" outlineLevel="0" collapsed="false">
      <c r="A422" s="25" t="n">
        <v>2980573</v>
      </c>
      <c r="B422" s="25" t="s">
        <v>1255</v>
      </c>
      <c r="C422" s="25" t="s">
        <v>1256</v>
      </c>
      <c r="D422" s="26" t="n">
        <v>1.023</v>
      </c>
      <c r="E422" s="27" t="n">
        <v>8.99012436628784</v>
      </c>
      <c r="F422" s="27" t="n">
        <v>8.99506218314392</v>
      </c>
      <c r="G422" s="25" t="s">
        <v>599</v>
      </c>
      <c r="H422" s="25" t="s">
        <v>600</v>
      </c>
      <c r="I422" s="25" t="n">
        <f aca="false">IFERROR(IF(INDEX(Documents!$C$5:$C$657,MATCH(H422,Documents!$A$5:$A$657,0))="","",INDEX(Documents!$C$5:$C$657,MATCH(H422,Documents!$A$5:$A$657,0))),"")</f>
        <v>2010</v>
      </c>
      <c r="J422" s="25" t="str">
        <f aca="false">IFERROR(IF(INDEX(Documents!$D$5:$D$657,MATCH(H422,Documents!$A$5:$A$657,0))="","",INDEX(Documents!$D$5:$D$657,MATCH(H422,Documents!$A$5:$A$657,0))),"")</f>
        <v>J Med Chem</v>
      </c>
      <c r="K422" s="25" t="str">
        <f aca="false">IFERROR(IF(INDEX(Documents!$G$5:$G$657,MATCH(H422,Documents!$A$5:$A$657,0))="","",INDEX(Documents!$G$5:$G$657,MATCH(H422,Documents!$A$5:$A$657,0))),"")</f>
        <v>10.1021/jm901214q</v>
      </c>
      <c r="L422" s="25" t="s">
        <v>601</v>
      </c>
    </row>
    <row r="423" customFormat="false" ht="15" hidden="false" customHeight="false" outlineLevel="0" collapsed="false">
      <c r="A423" s="25" t="n">
        <v>2980503</v>
      </c>
      <c r="B423" s="25" t="s">
        <v>1255</v>
      </c>
      <c r="C423" s="25" t="s">
        <v>1256</v>
      </c>
      <c r="D423" s="26" t="n">
        <v>1</v>
      </c>
      <c r="E423" s="27" t="n">
        <v>9</v>
      </c>
      <c r="F423" s="27" t="n">
        <v>8.99506218314392</v>
      </c>
      <c r="G423" s="25" t="s">
        <v>599</v>
      </c>
      <c r="H423" s="25" t="s">
        <v>600</v>
      </c>
      <c r="I423" s="25" t="n">
        <f aca="false">IFERROR(IF(INDEX(Documents!$C$5:$C$657,MATCH(H423,Documents!$A$5:$A$657,0))="","",INDEX(Documents!$C$5:$C$657,MATCH(H423,Documents!$A$5:$A$657,0))),"")</f>
        <v>2010</v>
      </c>
      <c r="J423" s="25" t="str">
        <f aca="false">IFERROR(IF(INDEX(Documents!$D$5:$D$657,MATCH(H423,Documents!$A$5:$A$657,0))="","",INDEX(Documents!$D$5:$D$657,MATCH(H423,Documents!$A$5:$A$657,0))),"")</f>
        <v>J Med Chem</v>
      </c>
      <c r="K423" s="25" t="str">
        <f aca="false">IFERROR(IF(INDEX(Documents!$G$5:$G$657,MATCH(H423,Documents!$A$5:$A$657,0))="","",INDEX(Documents!$G$5:$G$657,MATCH(H423,Documents!$A$5:$A$657,0))),"")</f>
        <v>10.1021/jm901214q</v>
      </c>
      <c r="L423" s="25" t="s">
        <v>601</v>
      </c>
    </row>
    <row r="424" customFormat="false" ht="15" hidden="false" customHeight="false" outlineLevel="0" collapsed="false">
      <c r="A424" s="25" t="n">
        <v>2980487</v>
      </c>
      <c r="B424" s="25" t="s">
        <v>1257</v>
      </c>
      <c r="C424" s="25" t="s">
        <v>1258</v>
      </c>
      <c r="D424" s="26" t="n">
        <v>220</v>
      </c>
      <c r="E424" s="27" t="n">
        <v>6.65757731917779</v>
      </c>
      <c r="F424" s="27" t="n">
        <v>6.65878485059056</v>
      </c>
      <c r="G424" s="25" t="s">
        <v>599</v>
      </c>
      <c r="H424" s="25" t="s">
        <v>600</v>
      </c>
      <c r="I424" s="25" t="n">
        <f aca="false">IFERROR(IF(INDEX(Documents!$C$5:$C$657,MATCH(H424,Documents!$A$5:$A$657,0))="","",INDEX(Documents!$C$5:$C$657,MATCH(H424,Documents!$A$5:$A$657,0))),"")</f>
        <v>2010</v>
      </c>
      <c r="J424" s="25" t="str">
        <f aca="false">IFERROR(IF(INDEX(Documents!$D$5:$D$657,MATCH(H424,Documents!$A$5:$A$657,0))="","",INDEX(Documents!$D$5:$D$657,MATCH(H424,Documents!$A$5:$A$657,0))),"")</f>
        <v>J Med Chem</v>
      </c>
      <c r="K424" s="25" t="str">
        <f aca="false">IFERROR(IF(INDEX(Documents!$G$5:$G$657,MATCH(H424,Documents!$A$5:$A$657,0))="","",INDEX(Documents!$G$5:$G$657,MATCH(H424,Documents!$A$5:$A$657,0))),"")</f>
        <v>10.1021/jm901214q</v>
      </c>
      <c r="L424" s="25" t="s">
        <v>601</v>
      </c>
    </row>
    <row r="425" customFormat="false" ht="15" hidden="false" customHeight="false" outlineLevel="0" collapsed="false">
      <c r="A425" s="25" t="n">
        <v>2980590</v>
      </c>
      <c r="B425" s="25" t="s">
        <v>1257</v>
      </c>
      <c r="C425" s="25" t="s">
        <v>1258</v>
      </c>
      <c r="D425" s="26" t="n">
        <v>218.78</v>
      </c>
      <c r="E425" s="27" t="n">
        <v>6.65999238200333</v>
      </c>
      <c r="F425" s="27" t="n">
        <v>6.65878485059056</v>
      </c>
      <c r="G425" s="25" t="s">
        <v>599</v>
      </c>
      <c r="H425" s="25" t="s">
        <v>600</v>
      </c>
      <c r="I425" s="25" t="n">
        <f aca="false">IFERROR(IF(INDEX(Documents!$C$5:$C$657,MATCH(H425,Documents!$A$5:$A$657,0))="","",INDEX(Documents!$C$5:$C$657,MATCH(H425,Documents!$A$5:$A$657,0))),"")</f>
        <v>2010</v>
      </c>
      <c r="J425" s="25" t="str">
        <f aca="false">IFERROR(IF(INDEX(Documents!$D$5:$D$657,MATCH(H425,Documents!$A$5:$A$657,0))="","",INDEX(Documents!$D$5:$D$657,MATCH(H425,Documents!$A$5:$A$657,0))),"")</f>
        <v>J Med Chem</v>
      </c>
      <c r="K425" s="25" t="str">
        <f aca="false">IFERROR(IF(INDEX(Documents!$G$5:$G$657,MATCH(H425,Documents!$A$5:$A$657,0))="","",INDEX(Documents!$G$5:$G$657,MATCH(H425,Documents!$A$5:$A$657,0))),"")</f>
        <v>10.1021/jm901214q</v>
      </c>
      <c r="L425" s="25" t="s">
        <v>601</v>
      </c>
    </row>
    <row r="426" customFormat="false" ht="15" hidden="false" customHeight="false" outlineLevel="0" collapsed="false">
      <c r="A426" s="25" t="n">
        <v>2980507</v>
      </c>
      <c r="B426" s="25" t="s">
        <v>1259</v>
      </c>
      <c r="C426" s="25" t="s">
        <v>1260</v>
      </c>
      <c r="D426" s="26" t="n">
        <v>2.8</v>
      </c>
      <c r="E426" s="27" t="n">
        <v>8.55284196865778</v>
      </c>
      <c r="F426" s="27" t="n">
        <v>8.55643901636844</v>
      </c>
      <c r="G426" s="25" t="s">
        <v>599</v>
      </c>
      <c r="H426" s="25" t="s">
        <v>600</v>
      </c>
      <c r="I426" s="25" t="n">
        <f aca="false">IFERROR(IF(INDEX(Documents!$C$5:$C$657,MATCH(H426,Documents!$A$5:$A$657,0))="","",INDEX(Documents!$C$5:$C$657,MATCH(H426,Documents!$A$5:$A$657,0))),"")</f>
        <v>2010</v>
      </c>
      <c r="J426" s="25" t="str">
        <f aca="false">IFERROR(IF(INDEX(Documents!$D$5:$D$657,MATCH(H426,Documents!$A$5:$A$657,0))="","",INDEX(Documents!$D$5:$D$657,MATCH(H426,Documents!$A$5:$A$657,0))),"")</f>
        <v>J Med Chem</v>
      </c>
      <c r="K426" s="25" t="str">
        <f aca="false">IFERROR(IF(INDEX(Documents!$G$5:$G$657,MATCH(H426,Documents!$A$5:$A$657,0))="","",INDEX(Documents!$G$5:$G$657,MATCH(H426,Documents!$A$5:$A$657,0))),"")</f>
        <v>10.1021/jm901214q</v>
      </c>
      <c r="L426" s="25" t="s">
        <v>601</v>
      </c>
    </row>
    <row r="427" customFormat="false" ht="15" hidden="false" customHeight="false" outlineLevel="0" collapsed="false">
      <c r="A427" s="25" t="n">
        <v>2980569</v>
      </c>
      <c r="B427" s="25" t="s">
        <v>1259</v>
      </c>
      <c r="C427" s="25" t="s">
        <v>1260</v>
      </c>
      <c r="D427" s="26" t="n">
        <v>2.754</v>
      </c>
      <c r="E427" s="27" t="n">
        <v>8.5600360640791</v>
      </c>
      <c r="F427" s="27" t="n">
        <v>8.55643901636844</v>
      </c>
      <c r="G427" s="25" t="s">
        <v>599</v>
      </c>
      <c r="H427" s="25" t="s">
        <v>600</v>
      </c>
      <c r="I427" s="25" t="n">
        <f aca="false">IFERROR(IF(INDEX(Documents!$C$5:$C$657,MATCH(H427,Documents!$A$5:$A$657,0))="","",INDEX(Documents!$C$5:$C$657,MATCH(H427,Documents!$A$5:$A$657,0))),"")</f>
        <v>2010</v>
      </c>
      <c r="J427" s="25" t="str">
        <f aca="false">IFERROR(IF(INDEX(Documents!$D$5:$D$657,MATCH(H427,Documents!$A$5:$A$657,0))="","",INDEX(Documents!$D$5:$D$657,MATCH(H427,Documents!$A$5:$A$657,0))),"")</f>
        <v>J Med Chem</v>
      </c>
      <c r="K427" s="25" t="str">
        <f aca="false">IFERROR(IF(INDEX(Documents!$G$5:$G$657,MATCH(H427,Documents!$A$5:$A$657,0))="","",INDEX(Documents!$G$5:$G$657,MATCH(H427,Documents!$A$5:$A$657,0))),"")</f>
        <v>10.1021/jm901214q</v>
      </c>
      <c r="L427" s="25" t="s">
        <v>601</v>
      </c>
    </row>
    <row r="428" customFormat="false" ht="15" hidden="false" customHeight="false" outlineLevel="0" collapsed="false">
      <c r="A428" s="25" t="n">
        <v>24967066</v>
      </c>
      <c r="B428" s="25" t="s">
        <v>1261</v>
      </c>
      <c r="C428" s="25" t="s">
        <v>1262</v>
      </c>
      <c r="D428" s="26" t="n">
        <v>0.83</v>
      </c>
      <c r="E428" s="27" t="n">
        <v>9.08092190762393</v>
      </c>
      <c r="F428" s="27" t="n">
        <v>9.56940517882325</v>
      </c>
      <c r="G428" s="25" t="s">
        <v>1263</v>
      </c>
      <c r="H428" s="25" t="s">
        <v>1264</v>
      </c>
      <c r="I428" s="25" t="n">
        <f aca="false">IFERROR(IF(INDEX(Documents!$C$5:$C$657,MATCH(H428,Documents!$A$5:$A$657,0))="","",INDEX(Documents!$C$5:$C$657,MATCH(H428,Documents!$A$5:$A$657,0))),"")</f>
        <v>2022</v>
      </c>
      <c r="J428" s="25" t="str">
        <f aca="false">IFERROR(IF(INDEX(Documents!$D$5:$D$657,MATCH(H428,Documents!$A$5:$A$657,0))="","",INDEX(Documents!$D$5:$D$657,MATCH(H428,Documents!$A$5:$A$657,0))),"")</f>
        <v>J Med Chem</v>
      </c>
      <c r="K428" s="25" t="str">
        <f aca="false">IFERROR(IF(INDEX(Documents!$G$5:$G$657,MATCH(H428,Documents!$A$5:$A$657,0))="","",INDEX(Documents!$G$5:$G$657,MATCH(H428,Documents!$A$5:$A$657,0))),"")</f>
        <v>10.1021/acs.jmedchem.2c00969</v>
      </c>
      <c r="L428" s="25" t="s">
        <v>1265</v>
      </c>
    </row>
    <row r="429" customFormat="false" ht="15" hidden="false" customHeight="false" outlineLevel="0" collapsed="false">
      <c r="A429" s="25" t="n">
        <v>2980496</v>
      </c>
      <c r="B429" s="25" t="s">
        <v>1261</v>
      </c>
      <c r="C429" s="25" t="s">
        <v>1262</v>
      </c>
      <c r="D429" s="26" t="n">
        <v>0.09</v>
      </c>
      <c r="E429" s="27" t="n">
        <v>10.0457574905607</v>
      </c>
      <c r="F429" s="27" t="n">
        <v>9.56940517882325</v>
      </c>
      <c r="G429" s="25" t="s">
        <v>599</v>
      </c>
      <c r="H429" s="25" t="s">
        <v>600</v>
      </c>
      <c r="I429" s="25" t="n">
        <f aca="false">IFERROR(IF(INDEX(Documents!$C$5:$C$657,MATCH(H429,Documents!$A$5:$A$657,0))="","",INDEX(Documents!$C$5:$C$657,MATCH(H429,Documents!$A$5:$A$657,0))),"")</f>
        <v>2010</v>
      </c>
      <c r="J429" s="25" t="str">
        <f aca="false">IFERROR(IF(INDEX(Documents!$D$5:$D$657,MATCH(H429,Documents!$A$5:$A$657,0))="","",INDEX(Documents!$D$5:$D$657,MATCH(H429,Documents!$A$5:$A$657,0))),"")</f>
        <v>J Med Chem</v>
      </c>
      <c r="K429" s="25" t="str">
        <f aca="false">IFERROR(IF(INDEX(Documents!$G$5:$G$657,MATCH(H429,Documents!$A$5:$A$657,0))="","",INDEX(Documents!$G$5:$G$657,MATCH(H429,Documents!$A$5:$A$657,0))),"")</f>
        <v>10.1021/jm901214q</v>
      </c>
      <c r="L429" s="25" t="s">
        <v>601</v>
      </c>
    </row>
    <row r="430" customFormat="false" ht="15" hidden="false" customHeight="false" outlineLevel="0" collapsed="false">
      <c r="A430" s="25" t="n">
        <v>2980581</v>
      </c>
      <c r="B430" s="25" t="s">
        <v>1261</v>
      </c>
      <c r="C430" s="25" t="s">
        <v>1262</v>
      </c>
      <c r="D430" s="26" t="n">
        <v>0.08511</v>
      </c>
      <c r="E430" s="27" t="n">
        <v>10.0700194094845</v>
      </c>
      <c r="F430" s="27" t="n">
        <v>9.56940517882325</v>
      </c>
      <c r="G430" s="25" t="s">
        <v>599</v>
      </c>
      <c r="H430" s="25" t="s">
        <v>600</v>
      </c>
      <c r="I430" s="25" t="n">
        <f aca="false">IFERROR(IF(INDEX(Documents!$C$5:$C$657,MATCH(H430,Documents!$A$5:$A$657,0))="","",INDEX(Documents!$C$5:$C$657,MATCH(H430,Documents!$A$5:$A$657,0))),"")</f>
        <v>2010</v>
      </c>
      <c r="J430" s="25" t="str">
        <f aca="false">IFERROR(IF(INDEX(Documents!$D$5:$D$657,MATCH(H430,Documents!$A$5:$A$657,0))="","",INDEX(Documents!$D$5:$D$657,MATCH(H430,Documents!$A$5:$A$657,0))),"")</f>
        <v>J Med Chem</v>
      </c>
      <c r="K430" s="25" t="str">
        <f aca="false">IFERROR(IF(INDEX(Documents!$G$5:$G$657,MATCH(H430,Documents!$A$5:$A$657,0))="","",INDEX(Documents!$G$5:$G$657,MATCH(H430,Documents!$A$5:$A$657,0))),"")</f>
        <v>10.1021/jm901214q</v>
      </c>
      <c r="L430" s="25" t="s">
        <v>601</v>
      </c>
    </row>
    <row r="431" customFormat="false" ht="15" hidden="false" customHeight="false" outlineLevel="0" collapsed="false">
      <c r="A431" s="25" t="n">
        <v>2980492</v>
      </c>
      <c r="B431" s="25" t="s">
        <v>1266</v>
      </c>
      <c r="C431" s="25" t="s">
        <v>1267</v>
      </c>
      <c r="D431" s="26" t="n">
        <v>0.71</v>
      </c>
      <c r="E431" s="27" t="n">
        <v>9.14874165128092</v>
      </c>
      <c r="F431" s="27" t="n">
        <v>9.14938486947604</v>
      </c>
      <c r="G431" s="25" t="s">
        <v>599</v>
      </c>
      <c r="H431" s="25" t="s">
        <v>600</v>
      </c>
      <c r="I431" s="25" t="n">
        <f aca="false">IFERROR(IF(INDEX(Documents!$C$5:$C$657,MATCH(H431,Documents!$A$5:$A$657,0))="","",INDEX(Documents!$C$5:$C$657,MATCH(H431,Documents!$A$5:$A$657,0))),"")</f>
        <v>2010</v>
      </c>
      <c r="J431" s="25" t="str">
        <f aca="false">IFERROR(IF(INDEX(Documents!$D$5:$D$657,MATCH(H431,Documents!$A$5:$A$657,0))="","",INDEX(Documents!$D$5:$D$657,MATCH(H431,Documents!$A$5:$A$657,0))),"")</f>
        <v>J Med Chem</v>
      </c>
      <c r="K431" s="25" t="str">
        <f aca="false">IFERROR(IF(INDEX(Documents!$G$5:$G$657,MATCH(H431,Documents!$A$5:$A$657,0))="","",INDEX(Documents!$G$5:$G$657,MATCH(H431,Documents!$A$5:$A$657,0))),"")</f>
        <v>10.1021/jm901214q</v>
      </c>
      <c r="L431" s="25" t="s">
        <v>601</v>
      </c>
    </row>
    <row r="432" customFormat="false" ht="15" hidden="false" customHeight="false" outlineLevel="0" collapsed="false">
      <c r="A432" s="25" t="n">
        <v>2980585</v>
      </c>
      <c r="B432" s="25" t="s">
        <v>1266</v>
      </c>
      <c r="C432" s="25" t="s">
        <v>1267</v>
      </c>
      <c r="D432" s="26" t="n">
        <v>0.7079</v>
      </c>
      <c r="E432" s="27" t="n">
        <v>9.15002808767115</v>
      </c>
      <c r="F432" s="27" t="n">
        <v>9.14938486947604</v>
      </c>
      <c r="G432" s="25" t="s">
        <v>599</v>
      </c>
      <c r="H432" s="25" t="s">
        <v>600</v>
      </c>
      <c r="I432" s="25" t="n">
        <f aca="false">IFERROR(IF(INDEX(Documents!$C$5:$C$657,MATCH(H432,Documents!$A$5:$A$657,0))="","",INDEX(Documents!$C$5:$C$657,MATCH(H432,Documents!$A$5:$A$657,0))),"")</f>
        <v>2010</v>
      </c>
      <c r="J432" s="25" t="str">
        <f aca="false">IFERROR(IF(INDEX(Documents!$D$5:$D$657,MATCH(H432,Documents!$A$5:$A$657,0))="","",INDEX(Documents!$D$5:$D$657,MATCH(H432,Documents!$A$5:$A$657,0))),"")</f>
        <v>J Med Chem</v>
      </c>
      <c r="K432" s="25" t="str">
        <f aca="false">IFERROR(IF(INDEX(Documents!$G$5:$G$657,MATCH(H432,Documents!$A$5:$A$657,0))="","",INDEX(Documents!$G$5:$G$657,MATCH(H432,Documents!$A$5:$A$657,0))),"")</f>
        <v>10.1021/jm901214q</v>
      </c>
      <c r="L432" s="25" t="s">
        <v>601</v>
      </c>
    </row>
    <row r="433" customFormat="false" ht="15" hidden="false" customHeight="false" outlineLevel="0" collapsed="false">
      <c r="A433" s="25" t="n">
        <v>2980493</v>
      </c>
      <c r="B433" s="25" t="s">
        <v>1268</v>
      </c>
      <c r="C433" s="25" t="s">
        <v>1269</v>
      </c>
      <c r="D433" s="26" t="n">
        <v>2.2</v>
      </c>
      <c r="E433" s="27" t="n">
        <v>8.65757731917779</v>
      </c>
      <c r="F433" s="27" t="n">
        <v>8.6587650007582</v>
      </c>
      <c r="G433" s="25" t="s">
        <v>599</v>
      </c>
      <c r="H433" s="25" t="s">
        <v>600</v>
      </c>
      <c r="I433" s="25" t="n">
        <f aca="false">IFERROR(IF(INDEX(Documents!$C$5:$C$657,MATCH(H433,Documents!$A$5:$A$657,0))="","",INDEX(Documents!$C$5:$C$657,MATCH(H433,Documents!$A$5:$A$657,0))),"")</f>
        <v>2010</v>
      </c>
      <c r="J433" s="25" t="str">
        <f aca="false">IFERROR(IF(INDEX(Documents!$D$5:$D$657,MATCH(H433,Documents!$A$5:$A$657,0))="","",INDEX(Documents!$D$5:$D$657,MATCH(H433,Documents!$A$5:$A$657,0))),"")</f>
        <v>J Med Chem</v>
      </c>
      <c r="K433" s="25" t="str">
        <f aca="false">IFERROR(IF(INDEX(Documents!$G$5:$G$657,MATCH(H433,Documents!$A$5:$A$657,0))="","",INDEX(Documents!$G$5:$G$657,MATCH(H433,Documents!$A$5:$A$657,0))),"")</f>
        <v>10.1021/jm901214q</v>
      </c>
      <c r="L433" s="25" t="s">
        <v>601</v>
      </c>
    </row>
    <row r="434" customFormat="false" ht="15" hidden="false" customHeight="false" outlineLevel="0" collapsed="false">
      <c r="A434" s="25" t="n">
        <v>2980584</v>
      </c>
      <c r="B434" s="25" t="s">
        <v>1268</v>
      </c>
      <c r="C434" s="25" t="s">
        <v>1269</v>
      </c>
      <c r="D434" s="26" t="n">
        <v>2.188</v>
      </c>
      <c r="E434" s="27" t="n">
        <v>8.65995268233861</v>
      </c>
      <c r="F434" s="27" t="n">
        <v>8.6587650007582</v>
      </c>
      <c r="G434" s="25" t="s">
        <v>599</v>
      </c>
      <c r="H434" s="25" t="s">
        <v>600</v>
      </c>
      <c r="I434" s="25" t="n">
        <f aca="false">IFERROR(IF(INDEX(Documents!$C$5:$C$657,MATCH(H434,Documents!$A$5:$A$657,0))="","",INDEX(Documents!$C$5:$C$657,MATCH(H434,Documents!$A$5:$A$657,0))),"")</f>
        <v>2010</v>
      </c>
      <c r="J434" s="25" t="str">
        <f aca="false">IFERROR(IF(INDEX(Documents!$D$5:$D$657,MATCH(H434,Documents!$A$5:$A$657,0))="","",INDEX(Documents!$D$5:$D$657,MATCH(H434,Documents!$A$5:$A$657,0))),"")</f>
        <v>J Med Chem</v>
      </c>
      <c r="K434" s="25" t="str">
        <f aca="false">IFERROR(IF(INDEX(Documents!$G$5:$G$657,MATCH(H434,Documents!$A$5:$A$657,0))="","",INDEX(Documents!$G$5:$G$657,MATCH(H434,Documents!$A$5:$A$657,0))),"")</f>
        <v>10.1021/jm901214q</v>
      </c>
      <c r="L434" s="25" t="s">
        <v>601</v>
      </c>
    </row>
    <row r="435" customFormat="false" ht="15" hidden="false" customHeight="false" outlineLevel="0" collapsed="false">
      <c r="A435" s="25" t="n">
        <v>2980583</v>
      </c>
      <c r="B435" s="25" t="s">
        <v>1270</v>
      </c>
      <c r="C435" s="25" t="s">
        <v>1271</v>
      </c>
      <c r="D435" s="26" t="n">
        <v>2.138</v>
      </c>
      <c r="E435" s="27" t="n">
        <v>8.66999229912724</v>
      </c>
      <c r="F435" s="27" t="n">
        <v>8.67388650219666</v>
      </c>
      <c r="G435" s="25" t="s">
        <v>599</v>
      </c>
      <c r="H435" s="25" t="s">
        <v>600</v>
      </c>
      <c r="I435" s="25" t="n">
        <f aca="false">IFERROR(IF(INDEX(Documents!$C$5:$C$657,MATCH(H435,Documents!$A$5:$A$657,0))="","",INDEX(Documents!$C$5:$C$657,MATCH(H435,Documents!$A$5:$A$657,0))),"")</f>
        <v>2010</v>
      </c>
      <c r="J435" s="25" t="str">
        <f aca="false">IFERROR(IF(INDEX(Documents!$D$5:$D$657,MATCH(H435,Documents!$A$5:$A$657,0))="","",INDEX(Documents!$D$5:$D$657,MATCH(H435,Documents!$A$5:$A$657,0))),"")</f>
        <v>J Med Chem</v>
      </c>
      <c r="K435" s="25" t="str">
        <f aca="false">IFERROR(IF(INDEX(Documents!$G$5:$G$657,MATCH(H435,Documents!$A$5:$A$657,0))="","",INDEX(Documents!$G$5:$G$657,MATCH(H435,Documents!$A$5:$A$657,0))),"")</f>
        <v>10.1021/jm901214q</v>
      </c>
      <c r="L435" s="25" t="s">
        <v>601</v>
      </c>
    </row>
    <row r="436" customFormat="false" ht="15" hidden="false" customHeight="false" outlineLevel="0" collapsed="false">
      <c r="A436" s="25" t="n">
        <v>2980494</v>
      </c>
      <c r="B436" s="25" t="s">
        <v>1270</v>
      </c>
      <c r="C436" s="25" t="s">
        <v>1271</v>
      </c>
      <c r="D436" s="26" t="n">
        <v>2.1</v>
      </c>
      <c r="E436" s="27" t="n">
        <v>8.67778070526608</v>
      </c>
      <c r="F436" s="27" t="n">
        <v>8.67388650219666</v>
      </c>
      <c r="G436" s="25" t="s">
        <v>599</v>
      </c>
      <c r="H436" s="25" t="s">
        <v>600</v>
      </c>
      <c r="I436" s="25" t="n">
        <f aca="false">IFERROR(IF(INDEX(Documents!$C$5:$C$657,MATCH(H436,Documents!$A$5:$A$657,0))="","",INDEX(Documents!$C$5:$C$657,MATCH(H436,Documents!$A$5:$A$657,0))),"")</f>
        <v>2010</v>
      </c>
      <c r="J436" s="25" t="str">
        <f aca="false">IFERROR(IF(INDEX(Documents!$D$5:$D$657,MATCH(H436,Documents!$A$5:$A$657,0))="","",INDEX(Documents!$D$5:$D$657,MATCH(H436,Documents!$A$5:$A$657,0))),"")</f>
        <v>J Med Chem</v>
      </c>
      <c r="K436" s="25" t="str">
        <f aca="false">IFERROR(IF(INDEX(Documents!$G$5:$G$657,MATCH(H436,Documents!$A$5:$A$657,0))="","",INDEX(Documents!$G$5:$G$657,MATCH(H436,Documents!$A$5:$A$657,0))),"")</f>
        <v>10.1021/jm901214q</v>
      </c>
      <c r="L436" s="25" t="s">
        <v>601</v>
      </c>
    </row>
    <row r="437" customFormat="false" ht="15" hidden="false" customHeight="false" outlineLevel="0" collapsed="false">
      <c r="A437" s="25" t="n">
        <v>2980500</v>
      </c>
      <c r="B437" s="25" t="s">
        <v>1272</v>
      </c>
      <c r="C437" s="25" t="s">
        <v>1273</v>
      </c>
      <c r="D437" s="26" t="n">
        <v>170</v>
      </c>
      <c r="E437" s="27" t="n">
        <v>6.76955107862173</v>
      </c>
      <c r="F437" s="27" t="n">
        <v>6.76978112103846</v>
      </c>
      <c r="G437" s="25" t="s">
        <v>599</v>
      </c>
      <c r="H437" s="25" t="s">
        <v>600</v>
      </c>
      <c r="I437" s="25" t="n">
        <f aca="false">IFERROR(IF(INDEX(Documents!$C$5:$C$657,MATCH(H437,Documents!$A$5:$A$657,0))="","",INDEX(Documents!$C$5:$C$657,MATCH(H437,Documents!$A$5:$A$657,0))),"")</f>
        <v>2010</v>
      </c>
      <c r="J437" s="25" t="str">
        <f aca="false">IFERROR(IF(INDEX(Documents!$D$5:$D$657,MATCH(H437,Documents!$A$5:$A$657,0))="","",INDEX(Documents!$D$5:$D$657,MATCH(H437,Documents!$A$5:$A$657,0))),"")</f>
        <v>J Med Chem</v>
      </c>
      <c r="K437" s="25" t="str">
        <f aca="false">IFERROR(IF(INDEX(Documents!$G$5:$G$657,MATCH(H437,Documents!$A$5:$A$657,0))="","",INDEX(Documents!$G$5:$G$657,MATCH(H437,Documents!$A$5:$A$657,0))),"")</f>
        <v>10.1021/jm901214q</v>
      </c>
      <c r="L437" s="25" t="s">
        <v>601</v>
      </c>
    </row>
    <row r="438" customFormat="false" ht="15" hidden="false" customHeight="false" outlineLevel="0" collapsed="false">
      <c r="A438" s="25" t="n">
        <v>2980577</v>
      </c>
      <c r="B438" s="25" t="s">
        <v>1272</v>
      </c>
      <c r="C438" s="25" t="s">
        <v>1273</v>
      </c>
      <c r="D438" s="26" t="n">
        <v>169.82</v>
      </c>
      <c r="E438" s="27" t="n">
        <v>6.77001116345519</v>
      </c>
      <c r="F438" s="27" t="n">
        <v>6.76978112103846</v>
      </c>
      <c r="G438" s="25" t="s">
        <v>599</v>
      </c>
      <c r="H438" s="25" t="s">
        <v>600</v>
      </c>
      <c r="I438" s="25" t="n">
        <f aca="false">IFERROR(IF(INDEX(Documents!$C$5:$C$657,MATCH(H438,Documents!$A$5:$A$657,0))="","",INDEX(Documents!$C$5:$C$657,MATCH(H438,Documents!$A$5:$A$657,0))),"")</f>
        <v>2010</v>
      </c>
      <c r="J438" s="25" t="str">
        <f aca="false">IFERROR(IF(INDEX(Documents!$D$5:$D$657,MATCH(H438,Documents!$A$5:$A$657,0))="","",INDEX(Documents!$D$5:$D$657,MATCH(H438,Documents!$A$5:$A$657,0))),"")</f>
        <v>J Med Chem</v>
      </c>
      <c r="K438" s="25" t="str">
        <f aca="false">IFERROR(IF(INDEX(Documents!$G$5:$G$657,MATCH(H438,Documents!$A$5:$A$657,0))="","",INDEX(Documents!$G$5:$G$657,MATCH(H438,Documents!$A$5:$A$657,0))),"")</f>
        <v>10.1021/jm901214q</v>
      </c>
      <c r="L438" s="25" t="s">
        <v>601</v>
      </c>
    </row>
    <row r="439" customFormat="false" ht="15" hidden="false" customHeight="false" outlineLevel="0" collapsed="false">
      <c r="A439" s="25" t="n">
        <v>2980559</v>
      </c>
      <c r="B439" s="25" t="s">
        <v>1274</v>
      </c>
      <c r="C439" s="25" t="s">
        <v>1275</v>
      </c>
      <c r="D439" s="26" t="n">
        <v>5.888</v>
      </c>
      <c r="E439" s="27" t="n">
        <v>8.23003219867056</v>
      </c>
      <c r="F439" s="27" t="n">
        <v>8.23330210255381</v>
      </c>
      <c r="G439" s="25" t="s">
        <v>599</v>
      </c>
      <c r="H439" s="25" t="s">
        <v>600</v>
      </c>
      <c r="I439" s="25" t="n">
        <f aca="false">IFERROR(IF(INDEX(Documents!$C$5:$C$657,MATCH(H439,Documents!$A$5:$A$657,0))="","",INDEX(Documents!$C$5:$C$657,MATCH(H439,Documents!$A$5:$A$657,0))),"")</f>
        <v>2010</v>
      </c>
      <c r="J439" s="25" t="str">
        <f aca="false">IFERROR(IF(INDEX(Documents!$D$5:$D$657,MATCH(H439,Documents!$A$5:$A$657,0))="","",INDEX(Documents!$D$5:$D$657,MATCH(H439,Documents!$A$5:$A$657,0))),"")</f>
        <v>J Med Chem</v>
      </c>
      <c r="K439" s="25" t="str">
        <f aca="false">IFERROR(IF(INDEX(Documents!$G$5:$G$657,MATCH(H439,Documents!$A$5:$A$657,0))="","",INDEX(Documents!$G$5:$G$657,MATCH(H439,Documents!$A$5:$A$657,0))),"")</f>
        <v>10.1021/jm901214q</v>
      </c>
      <c r="L439" s="25" t="s">
        <v>601</v>
      </c>
    </row>
    <row r="440" customFormat="false" ht="15" hidden="false" customHeight="false" outlineLevel="0" collapsed="false">
      <c r="A440" s="25" t="n">
        <v>2980518</v>
      </c>
      <c r="B440" s="25" t="s">
        <v>1274</v>
      </c>
      <c r="C440" s="25" t="s">
        <v>1275</v>
      </c>
      <c r="D440" s="26" t="n">
        <v>5.8</v>
      </c>
      <c r="E440" s="27" t="n">
        <v>8.23657200643706</v>
      </c>
      <c r="F440" s="27" t="n">
        <v>8.23330210255381</v>
      </c>
      <c r="G440" s="25" t="s">
        <v>599</v>
      </c>
      <c r="H440" s="25" t="s">
        <v>600</v>
      </c>
      <c r="I440" s="25" t="n">
        <f aca="false">IFERROR(IF(INDEX(Documents!$C$5:$C$657,MATCH(H440,Documents!$A$5:$A$657,0))="","",INDEX(Documents!$C$5:$C$657,MATCH(H440,Documents!$A$5:$A$657,0))),"")</f>
        <v>2010</v>
      </c>
      <c r="J440" s="25" t="str">
        <f aca="false">IFERROR(IF(INDEX(Documents!$D$5:$D$657,MATCH(H440,Documents!$A$5:$A$657,0))="","",INDEX(Documents!$D$5:$D$657,MATCH(H440,Documents!$A$5:$A$657,0))),"")</f>
        <v>J Med Chem</v>
      </c>
      <c r="K440" s="25" t="str">
        <f aca="false">IFERROR(IF(INDEX(Documents!$G$5:$G$657,MATCH(H440,Documents!$A$5:$A$657,0))="","",INDEX(Documents!$G$5:$G$657,MATCH(H440,Documents!$A$5:$A$657,0))),"")</f>
        <v>10.1021/jm901214q</v>
      </c>
      <c r="L440" s="25" t="s">
        <v>601</v>
      </c>
    </row>
    <row r="441" customFormat="false" ht="15" hidden="false" customHeight="false" outlineLevel="0" collapsed="false">
      <c r="A441" s="25" t="n">
        <v>2980501</v>
      </c>
      <c r="B441" s="25" t="s">
        <v>1276</v>
      </c>
      <c r="C441" s="25" t="s">
        <v>1277</v>
      </c>
      <c r="D441" s="26" t="n">
        <v>55</v>
      </c>
      <c r="E441" s="27" t="n">
        <v>7.25963731050576</v>
      </c>
      <c r="F441" s="27" t="n">
        <v>7.2648315124031</v>
      </c>
      <c r="G441" s="25" t="s">
        <v>599</v>
      </c>
      <c r="H441" s="25" t="s">
        <v>600</v>
      </c>
      <c r="I441" s="25" t="n">
        <f aca="false">IFERROR(IF(INDEX(Documents!$C$5:$C$657,MATCH(H441,Documents!$A$5:$A$657,0))="","",INDEX(Documents!$C$5:$C$657,MATCH(H441,Documents!$A$5:$A$657,0))),"")</f>
        <v>2010</v>
      </c>
      <c r="J441" s="25" t="str">
        <f aca="false">IFERROR(IF(INDEX(Documents!$D$5:$D$657,MATCH(H441,Documents!$A$5:$A$657,0))="","",INDEX(Documents!$D$5:$D$657,MATCH(H441,Documents!$A$5:$A$657,0))),"")</f>
        <v>J Med Chem</v>
      </c>
      <c r="K441" s="25" t="str">
        <f aca="false">IFERROR(IF(INDEX(Documents!$G$5:$G$657,MATCH(H441,Documents!$A$5:$A$657,0))="","",INDEX(Documents!$G$5:$G$657,MATCH(H441,Documents!$A$5:$A$657,0))),"")</f>
        <v>10.1021/jm901214q</v>
      </c>
      <c r="L441" s="25" t="s">
        <v>601</v>
      </c>
    </row>
    <row r="442" customFormat="false" ht="15" hidden="false" customHeight="false" outlineLevel="0" collapsed="false">
      <c r="A442" s="25" t="n">
        <v>2980576</v>
      </c>
      <c r="B442" s="25" t="s">
        <v>1276</v>
      </c>
      <c r="C442" s="25" t="s">
        <v>1277</v>
      </c>
      <c r="D442" s="26" t="n">
        <v>53.7</v>
      </c>
      <c r="E442" s="27" t="n">
        <v>7.27002571430044</v>
      </c>
      <c r="F442" s="27" t="n">
        <v>7.2648315124031</v>
      </c>
      <c r="G442" s="25" t="s">
        <v>599</v>
      </c>
      <c r="H442" s="25" t="s">
        <v>600</v>
      </c>
      <c r="I442" s="25" t="n">
        <f aca="false">IFERROR(IF(INDEX(Documents!$C$5:$C$657,MATCH(H442,Documents!$A$5:$A$657,0))="","",INDEX(Documents!$C$5:$C$657,MATCH(H442,Documents!$A$5:$A$657,0))),"")</f>
        <v>2010</v>
      </c>
      <c r="J442" s="25" t="str">
        <f aca="false">IFERROR(IF(INDEX(Documents!$D$5:$D$657,MATCH(H442,Documents!$A$5:$A$657,0))="","",INDEX(Documents!$D$5:$D$657,MATCH(H442,Documents!$A$5:$A$657,0))),"")</f>
        <v>J Med Chem</v>
      </c>
      <c r="K442" s="25" t="str">
        <f aca="false">IFERROR(IF(INDEX(Documents!$G$5:$G$657,MATCH(H442,Documents!$A$5:$A$657,0))="","",INDEX(Documents!$G$5:$G$657,MATCH(H442,Documents!$A$5:$A$657,0))),"")</f>
        <v>10.1021/jm901214q</v>
      </c>
      <c r="L442" s="25" t="s">
        <v>601</v>
      </c>
    </row>
    <row r="443" customFormat="false" ht="15" hidden="false" customHeight="false" outlineLevel="0" collapsed="false">
      <c r="A443" s="25" t="n">
        <v>2980517</v>
      </c>
      <c r="B443" s="25" t="s">
        <v>1278</v>
      </c>
      <c r="C443" s="25" t="s">
        <v>1279</v>
      </c>
      <c r="D443" s="26" t="n">
        <v>2.3</v>
      </c>
      <c r="E443" s="27" t="n">
        <v>8.63827216398241</v>
      </c>
      <c r="F443" s="27" t="n">
        <v>8.64410903520169</v>
      </c>
      <c r="G443" s="25" t="s">
        <v>599</v>
      </c>
      <c r="H443" s="25" t="s">
        <v>600</v>
      </c>
      <c r="I443" s="25" t="n">
        <f aca="false">IFERROR(IF(INDEX(Documents!$C$5:$C$657,MATCH(H443,Documents!$A$5:$A$657,0))="","",INDEX(Documents!$C$5:$C$657,MATCH(H443,Documents!$A$5:$A$657,0))),"")</f>
        <v>2010</v>
      </c>
      <c r="J443" s="25" t="str">
        <f aca="false">IFERROR(IF(INDEX(Documents!$D$5:$D$657,MATCH(H443,Documents!$A$5:$A$657,0))="","",INDEX(Documents!$D$5:$D$657,MATCH(H443,Documents!$A$5:$A$657,0))),"")</f>
        <v>J Med Chem</v>
      </c>
      <c r="K443" s="25" t="str">
        <f aca="false">IFERROR(IF(INDEX(Documents!$G$5:$G$657,MATCH(H443,Documents!$A$5:$A$657,0))="","",INDEX(Documents!$G$5:$G$657,MATCH(H443,Documents!$A$5:$A$657,0))),"")</f>
        <v>10.1021/jm901214q</v>
      </c>
      <c r="L443" s="25" t="s">
        <v>601</v>
      </c>
    </row>
    <row r="444" customFormat="false" ht="15" hidden="false" customHeight="false" outlineLevel="0" collapsed="false">
      <c r="A444" s="25" t="n">
        <v>2980560</v>
      </c>
      <c r="B444" s="25" t="s">
        <v>1278</v>
      </c>
      <c r="C444" s="25" t="s">
        <v>1279</v>
      </c>
      <c r="D444" s="26" t="n">
        <v>2.239</v>
      </c>
      <c r="E444" s="27" t="n">
        <v>8.64994590642097</v>
      </c>
      <c r="F444" s="27" t="n">
        <v>8.64410903520169</v>
      </c>
      <c r="G444" s="25" t="s">
        <v>599</v>
      </c>
      <c r="H444" s="25" t="s">
        <v>600</v>
      </c>
      <c r="I444" s="25" t="n">
        <f aca="false">IFERROR(IF(INDEX(Documents!$C$5:$C$657,MATCH(H444,Documents!$A$5:$A$657,0))="","",INDEX(Documents!$C$5:$C$657,MATCH(H444,Documents!$A$5:$A$657,0))),"")</f>
        <v>2010</v>
      </c>
      <c r="J444" s="25" t="str">
        <f aca="false">IFERROR(IF(INDEX(Documents!$D$5:$D$657,MATCH(H444,Documents!$A$5:$A$657,0))="","",INDEX(Documents!$D$5:$D$657,MATCH(H444,Documents!$A$5:$A$657,0))),"")</f>
        <v>J Med Chem</v>
      </c>
      <c r="K444" s="25" t="str">
        <f aca="false">IFERROR(IF(INDEX(Documents!$G$5:$G$657,MATCH(H444,Documents!$A$5:$A$657,0))="","",INDEX(Documents!$G$5:$G$657,MATCH(H444,Documents!$A$5:$A$657,0))),"")</f>
        <v>10.1021/jm901214q</v>
      </c>
      <c r="L444" s="25" t="s">
        <v>601</v>
      </c>
    </row>
    <row r="445" customFormat="false" ht="15" hidden="false" customHeight="false" outlineLevel="0" collapsed="false">
      <c r="A445" s="25" t="n">
        <v>2980516</v>
      </c>
      <c r="B445" s="25" t="s">
        <v>1280</v>
      </c>
      <c r="C445" s="25" t="s">
        <v>1281</v>
      </c>
      <c r="D445" s="26" t="n">
        <v>26</v>
      </c>
      <c r="E445" s="27" t="n">
        <v>7.58502665202918</v>
      </c>
      <c r="F445" s="27" t="n">
        <v>7.58754676434894</v>
      </c>
      <c r="G445" s="25" t="s">
        <v>599</v>
      </c>
      <c r="H445" s="25" t="s">
        <v>600</v>
      </c>
      <c r="I445" s="25" t="n">
        <f aca="false">IFERROR(IF(INDEX(Documents!$C$5:$C$657,MATCH(H445,Documents!$A$5:$A$657,0))="","",INDEX(Documents!$C$5:$C$657,MATCH(H445,Documents!$A$5:$A$657,0))),"")</f>
        <v>2010</v>
      </c>
      <c r="J445" s="25" t="str">
        <f aca="false">IFERROR(IF(INDEX(Documents!$D$5:$D$657,MATCH(H445,Documents!$A$5:$A$657,0))="","",INDEX(Documents!$D$5:$D$657,MATCH(H445,Documents!$A$5:$A$657,0))),"")</f>
        <v>J Med Chem</v>
      </c>
      <c r="K445" s="25" t="str">
        <f aca="false">IFERROR(IF(INDEX(Documents!$G$5:$G$657,MATCH(H445,Documents!$A$5:$A$657,0))="","",INDEX(Documents!$G$5:$G$657,MATCH(H445,Documents!$A$5:$A$657,0))),"")</f>
        <v>10.1021/jm901214q</v>
      </c>
      <c r="L445" s="25" t="s">
        <v>601</v>
      </c>
    </row>
    <row r="446" customFormat="false" ht="15" hidden="false" customHeight="false" outlineLevel="0" collapsed="false">
      <c r="A446" s="25" t="n">
        <v>2980561</v>
      </c>
      <c r="B446" s="25" t="s">
        <v>1280</v>
      </c>
      <c r="C446" s="25" t="s">
        <v>1281</v>
      </c>
      <c r="D446" s="26" t="n">
        <v>25.7</v>
      </c>
      <c r="E446" s="27" t="n">
        <v>7.59006687666871</v>
      </c>
      <c r="F446" s="27" t="n">
        <v>7.58754676434894</v>
      </c>
      <c r="G446" s="25" t="s">
        <v>599</v>
      </c>
      <c r="H446" s="25" t="s">
        <v>600</v>
      </c>
      <c r="I446" s="25" t="n">
        <f aca="false">IFERROR(IF(INDEX(Documents!$C$5:$C$657,MATCH(H446,Documents!$A$5:$A$657,0))="","",INDEX(Documents!$C$5:$C$657,MATCH(H446,Documents!$A$5:$A$657,0))),"")</f>
        <v>2010</v>
      </c>
      <c r="J446" s="25" t="str">
        <f aca="false">IFERROR(IF(INDEX(Documents!$D$5:$D$657,MATCH(H446,Documents!$A$5:$A$657,0))="","",INDEX(Documents!$D$5:$D$657,MATCH(H446,Documents!$A$5:$A$657,0))),"")</f>
        <v>J Med Chem</v>
      </c>
      <c r="K446" s="25" t="str">
        <f aca="false">IFERROR(IF(INDEX(Documents!$G$5:$G$657,MATCH(H446,Documents!$A$5:$A$657,0))="","",INDEX(Documents!$G$5:$G$657,MATCH(H446,Documents!$A$5:$A$657,0))),"")</f>
        <v>10.1021/jm901214q</v>
      </c>
      <c r="L446" s="25" t="s">
        <v>601</v>
      </c>
    </row>
    <row r="447" customFormat="false" ht="15" hidden="false" customHeight="false" outlineLevel="0" collapsed="false">
      <c r="A447" s="25" t="n">
        <v>2980575</v>
      </c>
      <c r="B447" s="25" t="s">
        <v>1282</v>
      </c>
      <c r="C447" s="25" t="s">
        <v>1283</v>
      </c>
      <c r="D447" s="26" t="n">
        <v>0.182</v>
      </c>
      <c r="E447" s="27" t="n">
        <v>9.73992861201493</v>
      </c>
      <c r="F447" s="27" t="n">
        <v>9.74232805345581</v>
      </c>
      <c r="G447" s="25" t="s">
        <v>599</v>
      </c>
      <c r="H447" s="25" t="s">
        <v>600</v>
      </c>
      <c r="I447" s="25" t="n">
        <f aca="false">IFERROR(IF(INDEX(Documents!$C$5:$C$657,MATCH(H447,Documents!$A$5:$A$657,0))="","",INDEX(Documents!$C$5:$C$657,MATCH(H447,Documents!$A$5:$A$657,0))),"")</f>
        <v>2010</v>
      </c>
      <c r="J447" s="25" t="str">
        <f aca="false">IFERROR(IF(INDEX(Documents!$D$5:$D$657,MATCH(H447,Documents!$A$5:$A$657,0))="","",INDEX(Documents!$D$5:$D$657,MATCH(H447,Documents!$A$5:$A$657,0))),"")</f>
        <v>J Med Chem</v>
      </c>
      <c r="K447" s="25" t="str">
        <f aca="false">IFERROR(IF(INDEX(Documents!$G$5:$G$657,MATCH(H447,Documents!$A$5:$A$657,0))="","",INDEX(Documents!$G$5:$G$657,MATCH(H447,Documents!$A$5:$A$657,0))),"")</f>
        <v>10.1021/jm901214q</v>
      </c>
      <c r="L447" s="25" t="s">
        <v>601</v>
      </c>
    </row>
    <row r="448" customFormat="false" ht="15" hidden="false" customHeight="false" outlineLevel="0" collapsed="false">
      <c r="A448" s="25" t="n">
        <v>2980502</v>
      </c>
      <c r="B448" s="25" t="s">
        <v>1282</v>
      </c>
      <c r="C448" s="25" t="s">
        <v>1283</v>
      </c>
      <c r="D448" s="26" t="n">
        <v>0.18</v>
      </c>
      <c r="E448" s="27" t="n">
        <v>9.74472749489669</v>
      </c>
      <c r="F448" s="27" t="n">
        <v>9.74232805345581</v>
      </c>
      <c r="G448" s="25" t="s">
        <v>599</v>
      </c>
      <c r="H448" s="25" t="s">
        <v>600</v>
      </c>
      <c r="I448" s="25" t="n">
        <f aca="false">IFERROR(IF(INDEX(Documents!$C$5:$C$657,MATCH(H448,Documents!$A$5:$A$657,0))="","",INDEX(Documents!$C$5:$C$657,MATCH(H448,Documents!$A$5:$A$657,0))),"")</f>
        <v>2010</v>
      </c>
      <c r="J448" s="25" t="str">
        <f aca="false">IFERROR(IF(INDEX(Documents!$D$5:$D$657,MATCH(H448,Documents!$A$5:$A$657,0))="","",INDEX(Documents!$D$5:$D$657,MATCH(H448,Documents!$A$5:$A$657,0))),"")</f>
        <v>J Med Chem</v>
      </c>
      <c r="K448" s="25" t="str">
        <f aca="false">IFERROR(IF(INDEX(Documents!$G$5:$G$657,MATCH(H448,Documents!$A$5:$A$657,0))="","",INDEX(Documents!$G$5:$G$657,MATCH(H448,Documents!$A$5:$A$657,0))),"")</f>
        <v>10.1021/jm901214q</v>
      </c>
      <c r="L448" s="25" t="s">
        <v>601</v>
      </c>
    </row>
    <row r="449" customFormat="false" ht="15" hidden="false" customHeight="false" outlineLevel="0" collapsed="false">
      <c r="A449" s="25" t="n">
        <v>2118244</v>
      </c>
      <c r="B449" s="25" t="s">
        <v>1284</v>
      </c>
      <c r="C449" s="25" t="s">
        <v>1285</v>
      </c>
      <c r="D449" s="26" t="n">
        <v>109.65</v>
      </c>
      <c r="E449" s="27" t="n">
        <v>6.95999136398646</v>
      </c>
      <c r="F449" s="27" t="n">
        <v>6.96128243302292</v>
      </c>
      <c r="G449" s="25" t="s">
        <v>1199</v>
      </c>
      <c r="H449" s="25" t="s">
        <v>1200</v>
      </c>
      <c r="I449" s="25" t="n">
        <f aca="false">IFERROR(IF(INDEX(Documents!$C$5:$C$657,MATCH(H449,Documents!$A$5:$A$657,0))="","",INDEX(Documents!$C$5:$C$657,MATCH(H449,Documents!$A$5:$A$657,0))),"")</f>
        <v>2008</v>
      </c>
      <c r="J449" s="25" t="str">
        <f aca="false">IFERROR(IF(INDEX(Documents!$D$5:$D$657,MATCH(H449,Documents!$A$5:$A$657,0))="","",INDEX(Documents!$D$5:$D$657,MATCH(H449,Documents!$A$5:$A$657,0))),"")</f>
        <v>J Med Chem</v>
      </c>
      <c r="K449" s="25" t="str">
        <f aca="false">IFERROR(IF(INDEX(Documents!$G$5:$G$657,MATCH(H449,Documents!$A$5:$A$657,0))="","",INDEX(Documents!$G$5:$G$657,MATCH(H449,Documents!$A$5:$A$657,0))),"")</f>
        <v>10.1021/jm7011613</v>
      </c>
      <c r="L449" s="25" t="s">
        <v>676</v>
      </c>
    </row>
    <row r="450" customFormat="false" ht="15" hidden="false" customHeight="false" outlineLevel="0" collapsed="false">
      <c r="A450" s="25" t="n">
        <v>2118245</v>
      </c>
      <c r="B450" s="25" t="s">
        <v>1284</v>
      </c>
      <c r="C450" s="25" t="s">
        <v>1285</v>
      </c>
      <c r="D450" s="26" t="n">
        <v>109</v>
      </c>
      <c r="E450" s="27" t="n">
        <v>6.96257350205938</v>
      </c>
      <c r="F450" s="27" t="n">
        <v>6.96128243302292</v>
      </c>
      <c r="G450" s="25" t="s">
        <v>1199</v>
      </c>
      <c r="H450" s="25" t="s">
        <v>1200</v>
      </c>
      <c r="I450" s="25" t="n">
        <f aca="false">IFERROR(IF(INDEX(Documents!$C$5:$C$657,MATCH(H450,Documents!$A$5:$A$657,0))="","",INDEX(Documents!$C$5:$C$657,MATCH(H450,Documents!$A$5:$A$657,0))),"")</f>
        <v>2008</v>
      </c>
      <c r="J450" s="25" t="str">
        <f aca="false">IFERROR(IF(INDEX(Documents!$D$5:$D$657,MATCH(H450,Documents!$A$5:$A$657,0))="","",INDEX(Documents!$D$5:$D$657,MATCH(H450,Documents!$A$5:$A$657,0))),"")</f>
        <v>J Med Chem</v>
      </c>
      <c r="K450" s="25" t="str">
        <f aca="false">IFERROR(IF(INDEX(Documents!$G$5:$G$657,MATCH(H450,Documents!$A$5:$A$657,0))="","",INDEX(Documents!$G$5:$G$657,MATCH(H450,Documents!$A$5:$A$657,0))),"")</f>
        <v>10.1021/jm7011613</v>
      </c>
      <c r="L450" s="25" t="s">
        <v>676</v>
      </c>
    </row>
    <row r="451" customFormat="false" ht="15" hidden="false" customHeight="false" outlineLevel="0" collapsed="false">
      <c r="A451" s="25" t="n">
        <v>2118236</v>
      </c>
      <c r="B451" s="25" t="s">
        <v>1286</v>
      </c>
      <c r="C451" s="25" t="s">
        <v>1287</v>
      </c>
      <c r="D451" s="26" t="n">
        <v>2.951</v>
      </c>
      <c r="E451" s="27" t="n">
        <v>8.53003079050004</v>
      </c>
      <c r="F451" s="27" t="n">
        <v>8.53381639630054</v>
      </c>
      <c r="G451" s="25" t="s">
        <v>1199</v>
      </c>
      <c r="H451" s="25" t="s">
        <v>1200</v>
      </c>
      <c r="I451" s="25" t="n">
        <f aca="false">IFERROR(IF(INDEX(Documents!$C$5:$C$657,MATCH(H451,Documents!$A$5:$A$657,0))="","",INDEX(Documents!$C$5:$C$657,MATCH(H451,Documents!$A$5:$A$657,0))),"")</f>
        <v>2008</v>
      </c>
      <c r="J451" s="25" t="str">
        <f aca="false">IFERROR(IF(INDEX(Documents!$D$5:$D$657,MATCH(H451,Documents!$A$5:$A$657,0))="","",INDEX(Documents!$D$5:$D$657,MATCH(H451,Documents!$A$5:$A$657,0))),"")</f>
        <v>J Med Chem</v>
      </c>
      <c r="K451" s="25" t="str">
        <f aca="false">IFERROR(IF(INDEX(Documents!$G$5:$G$657,MATCH(H451,Documents!$A$5:$A$657,0))="","",INDEX(Documents!$G$5:$G$657,MATCH(H451,Documents!$A$5:$A$657,0))),"")</f>
        <v>10.1021/jm7011613</v>
      </c>
      <c r="L451" s="25" t="s">
        <v>676</v>
      </c>
    </row>
    <row r="452" customFormat="false" ht="15" hidden="false" customHeight="false" outlineLevel="0" collapsed="false">
      <c r="A452" s="25" t="n">
        <v>2118237</v>
      </c>
      <c r="B452" s="25" t="s">
        <v>1286</v>
      </c>
      <c r="C452" s="25" t="s">
        <v>1287</v>
      </c>
      <c r="D452" s="26" t="n">
        <v>2.9</v>
      </c>
      <c r="E452" s="27" t="n">
        <v>8.53760200210104</v>
      </c>
      <c r="F452" s="27" t="n">
        <v>8.53381639630054</v>
      </c>
      <c r="G452" s="25" t="s">
        <v>1199</v>
      </c>
      <c r="H452" s="25" t="s">
        <v>1200</v>
      </c>
      <c r="I452" s="25" t="n">
        <f aca="false">IFERROR(IF(INDEX(Documents!$C$5:$C$657,MATCH(H452,Documents!$A$5:$A$657,0))="","",INDEX(Documents!$C$5:$C$657,MATCH(H452,Documents!$A$5:$A$657,0))),"")</f>
        <v>2008</v>
      </c>
      <c r="J452" s="25" t="str">
        <f aca="false">IFERROR(IF(INDEX(Documents!$D$5:$D$657,MATCH(H452,Documents!$A$5:$A$657,0))="","",INDEX(Documents!$D$5:$D$657,MATCH(H452,Documents!$A$5:$A$657,0))),"")</f>
        <v>J Med Chem</v>
      </c>
      <c r="K452" s="25" t="str">
        <f aca="false">IFERROR(IF(INDEX(Documents!$G$5:$G$657,MATCH(H452,Documents!$A$5:$A$657,0))="","",INDEX(Documents!$G$5:$G$657,MATCH(H452,Documents!$A$5:$A$657,0))),"")</f>
        <v>10.1021/jm7011613</v>
      </c>
      <c r="L452" s="25" t="s">
        <v>676</v>
      </c>
    </row>
    <row r="453" customFormat="false" ht="15" hidden="false" customHeight="false" outlineLevel="0" collapsed="false">
      <c r="A453" s="25" t="n">
        <v>2118247</v>
      </c>
      <c r="B453" s="25" t="s">
        <v>1288</v>
      </c>
      <c r="C453" s="25" t="s">
        <v>1289</v>
      </c>
      <c r="D453" s="26" t="n">
        <v>92</v>
      </c>
      <c r="E453" s="27" t="n">
        <v>7.03621217265444</v>
      </c>
      <c r="F453" s="27" t="n">
        <v>7.03810866716301</v>
      </c>
      <c r="G453" s="25" t="s">
        <v>1199</v>
      </c>
      <c r="H453" s="25" t="s">
        <v>1200</v>
      </c>
      <c r="I453" s="25" t="n">
        <f aca="false">IFERROR(IF(INDEX(Documents!$C$5:$C$657,MATCH(H453,Documents!$A$5:$A$657,0))="","",INDEX(Documents!$C$5:$C$657,MATCH(H453,Documents!$A$5:$A$657,0))),"")</f>
        <v>2008</v>
      </c>
      <c r="J453" s="25" t="str">
        <f aca="false">IFERROR(IF(INDEX(Documents!$D$5:$D$657,MATCH(H453,Documents!$A$5:$A$657,0))="","",INDEX(Documents!$D$5:$D$657,MATCH(H453,Documents!$A$5:$A$657,0))),"")</f>
        <v>J Med Chem</v>
      </c>
      <c r="K453" s="25" t="str">
        <f aca="false">IFERROR(IF(INDEX(Documents!$G$5:$G$657,MATCH(H453,Documents!$A$5:$A$657,0))="","",INDEX(Documents!$G$5:$G$657,MATCH(H453,Documents!$A$5:$A$657,0))),"")</f>
        <v>10.1021/jm7011613</v>
      </c>
      <c r="L453" s="25" t="s">
        <v>676</v>
      </c>
    </row>
    <row r="454" customFormat="false" ht="15" hidden="false" customHeight="false" outlineLevel="0" collapsed="false">
      <c r="A454" s="25" t="n">
        <v>2118246</v>
      </c>
      <c r="B454" s="25" t="s">
        <v>1288</v>
      </c>
      <c r="C454" s="25" t="s">
        <v>1289</v>
      </c>
      <c r="D454" s="26" t="n">
        <v>91.2</v>
      </c>
      <c r="E454" s="27" t="n">
        <v>7.04000516167158</v>
      </c>
      <c r="F454" s="27" t="n">
        <v>7.03810866716301</v>
      </c>
      <c r="G454" s="25" t="s">
        <v>1199</v>
      </c>
      <c r="H454" s="25" t="s">
        <v>1200</v>
      </c>
      <c r="I454" s="25" t="n">
        <f aca="false">IFERROR(IF(INDEX(Documents!$C$5:$C$657,MATCH(H454,Documents!$A$5:$A$657,0))="","",INDEX(Documents!$C$5:$C$657,MATCH(H454,Documents!$A$5:$A$657,0))),"")</f>
        <v>2008</v>
      </c>
      <c r="J454" s="25" t="str">
        <f aca="false">IFERROR(IF(INDEX(Documents!$D$5:$D$657,MATCH(H454,Documents!$A$5:$A$657,0))="","",INDEX(Documents!$D$5:$D$657,MATCH(H454,Documents!$A$5:$A$657,0))),"")</f>
        <v>J Med Chem</v>
      </c>
      <c r="K454" s="25" t="str">
        <f aca="false">IFERROR(IF(INDEX(Documents!$G$5:$G$657,MATCH(H454,Documents!$A$5:$A$657,0))="","",INDEX(Documents!$G$5:$G$657,MATCH(H454,Documents!$A$5:$A$657,0))),"")</f>
        <v>10.1021/jm7011613</v>
      </c>
      <c r="L454" s="25" t="s">
        <v>676</v>
      </c>
    </row>
    <row r="455" customFormat="false" ht="15" hidden="false" customHeight="false" outlineLevel="0" collapsed="false">
      <c r="A455" s="25" t="n">
        <v>2118230</v>
      </c>
      <c r="B455" s="25" t="s">
        <v>1290</v>
      </c>
      <c r="C455" s="25" t="s">
        <v>1291</v>
      </c>
      <c r="D455" s="26" t="n">
        <v>32.36</v>
      </c>
      <c r="E455" s="27" t="n">
        <v>7.48999148705977</v>
      </c>
      <c r="F455" s="27" t="n">
        <v>7.49242075436993</v>
      </c>
      <c r="G455" s="25" t="s">
        <v>1199</v>
      </c>
      <c r="H455" s="25" t="s">
        <v>1200</v>
      </c>
      <c r="I455" s="25" t="n">
        <f aca="false">IFERROR(IF(INDEX(Documents!$C$5:$C$657,MATCH(H455,Documents!$A$5:$A$657,0))="","",INDEX(Documents!$C$5:$C$657,MATCH(H455,Documents!$A$5:$A$657,0))),"")</f>
        <v>2008</v>
      </c>
      <c r="J455" s="25" t="str">
        <f aca="false">IFERROR(IF(INDEX(Documents!$D$5:$D$657,MATCH(H455,Documents!$A$5:$A$657,0))="","",INDEX(Documents!$D$5:$D$657,MATCH(H455,Documents!$A$5:$A$657,0))),"")</f>
        <v>J Med Chem</v>
      </c>
      <c r="K455" s="25" t="str">
        <f aca="false">IFERROR(IF(INDEX(Documents!$G$5:$G$657,MATCH(H455,Documents!$A$5:$A$657,0))="","",INDEX(Documents!$G$5:$G$657,MATCH(H455,Documents!$A$5:$A$657,0))),"")</f>
        <v>10.1021/jm7011613</v>
      </c>
      <c r="L455" s="25" t="s">
        <v>676</v>
      </c>
    </row>
    <row r="456" customFormat="false" ht="15" hidden="false" customHeight="false" outlineLevel="0" collapsed="false">
      <c r="A456" s="25" t="n">
        <v>2118231</v>
      </c>
      <c r="B456" s="25" t="s">
        <v>1290</v>
      </c>
      <c r="C456" s="25" t="s">
        <v>1291</v>
      </c>
      <c r="D456" s="26" t="n">
        <v>32</v>
      </c>
      <c r="E456" s="27" t="n">
        <v>7.49485002168009</v>
      </c>
      <c r="F456" s="27" t="n">
        <v>7.49242075436993</v>
      </c>
      <c r="G456" s="25" t="s">
        <v>1199</v>
      </c>
      <c r="H456" s="25" t="s">
        <v>1200</v>
      </c>
      <c r="I456" s="25" t="n">
        <f aca="false">IFERROR(IF(INDEX(Documents!$C$5:$C$657,MATCH(H456,Documents!$A$5:$A$657,0))="","",INDEX(Documents!$C$5:$C$657,MATCH(H456,Documents!$A$5:$A$657,0))),"")</f>
        <v>2008</v>
      </c>
      <c r="J456" s="25" t="str">
        <f aca="false">IFERROR(IF(INDEX(Documents!$D$5:$D$657,MATCH(H456,Documents!$A$5:$A$657,0))="","",INDEX(Documents!$D$5:$D$657,MATCH(H456,Documents!$A$5:$A$657,0))),"")</f>
        <v>J Med Chem</v>
      </c>
      <c r="K456" s="25" t="str">
        <f aca="false">IFERROR(IF(INDEX(Documents!$G$5:$G$657,MATCH(H456,Documents!$A$5:$A$657,0))="","",INDEX(Documents!$G$5:$G$657,MATCH(H456,Documents!$A$5:$A$657,0))),"")</f>
        <v>10.1021/jm7011613</v>
      </c>
      <c r="L456" s="25" t="s">
        <v>676</v>
      </c>
    </row>
    <row r="457" customFormat="false" ht="15" hidden="false" customHeight="false" outlineLevel="0" collapsed="false">
      <c r="A457" s="25" t="n">
        <v>2118233</v>
      </c>
      <c r="B457" s="25" t="s">
        <v>1292</v>
      </c>
      <c r="C457" s="25" t="s">
        <v>1293</v>
      </c>
      <c r="D457" s="26" t="n">
        <v>297</v>
      </c>
      <c r="E457" s="27" t="n">
        <v>6.52724355068279</v>
      </c>
      <c r="F457" s="27" t="n">
        <v>6.52862245423202</v>
      </c>
      <c r="G457" s="25" t="s">
        <v>1199</v>
      </c>
      <c r="H457" s="25" t="s">
        <v>1200</v>
      </c>
      <c r="I457" s="25" t="n">
        <f aca="false">IFERROR(IF(INDEX(Documents!$C$5:$C$657,MATCH(H457,Documents!$A$5:$A$657,0))="","",INDEX(Documents!$C$5:$C$657,MATCH(H457,Documents!$A$5:$A$657,0))),"")</f>
        <v>2008</v>
      </c>
      <c r="J457" s="25" t="str">
        <f aca="false">IFERROR(IF(INDEX(Documents!$D$5:$D$657,MATCH(H457,Documents!$A$5:$A$657,0))="","",INDEX(Documents!$D$5:$D$657,MATCH(H457,Documents!$A$5:$A$657,0))),"")</f>
        <v>J Med Chem</v>
      </c>
      <c r="K457" s="25" t="str">
        <f aca="false">IFERROR(IF(INDEX(Documents!$G$5:$G$657,MATCH(H457,Documents!$A$5:$A$657,0))="","",INDEX(Documents!$G$5:$G$657,MATCH(H457,Documents!$A$5:$A$657,0))),"")</f>
        <v>10.1021/jm7011613</v>
      </c>
      <c r="L457" s="25" t="s">
        <v>676</v>
      </c>
    </row>
    <row r="458" customFormat="false" ht="15" hidden="false" customHeight="false" outlineLevel="0" collapsed="false">
      <c r="A458" s="25" t="n">
        <v>2118232</v>
      </c>
      <c r="B458" s="25" t="s">
        <v>1292</v>
      </c>
      <c r="C458" s="25" t="s">
        <v>1293</v>
      </c>
      <c r="D458" s="26" t="n">
        <v>295.12</v>
      </c>
      <c r="E458" s="27" t="n">
        <v>6.53000135778125</v>
      </c>
      <c r="F458" s="27" t="n">
        <v>6.52862245423202</v>
      </c>
      <c r="G458" s="25" t="s">
        <v>1199</v>
      </c>
      <c r="H458" s="25" t="s">
        <v>1200</v>
      </c>
      <c r="I458" s="25" t="n">
        <f aca="false">IFERROR(IF(INDEX(Documents!$C$5:$C$657,MATCH(H458,Documents!$A$5:$A$657,0))="","",INDEX(Documents!$C$5:$C$657,MATCH(H458,Documents!$A$5:$A$657,0))),"")</f>
        <v>2008</v>
      </c>
      <c r="J458" s="25" t="str">
        <f aca="false">IFERROR(IF(INDEX(Documents!$D$5:$D$657,MATCH(H458,Documents!$A$5:$A$657,0))="","",INDEX(Documents!$D$5:$D$657,MATCH(H458,Documents!$A$5:$A$657,0))),"")</f>
        <v>J Med Chem</v>
      </c>
      <c r="K458" s="25" t="str">
        <f aca="false">IFERROR(IF(INDEX(Documents!$G$5:$G$657,MATCH(H458,Documents!$A$5:$A$657,0))="","",INDEX(Documents!$G$5:$G$657,MATCH(H458,Documents!$A$5:$A$657,0))),"")</f>
        <v>10.1021/jm7011613</v>
      </c>
      <c r="L458" s="25" t="s">
        <v>676</v>
      </c>
    </row>
    <row r="459" customFormat="false" ht="15" hidden="false" customHeight="false" outlineLevel="0" collapsed="false">
      <c r="A459" s="25" t="n">
        <v>2981898</v>
      </c>
      <c r="B459" s="25" t="s">
        <v>1294</v>
      </c>
      <c r="C459" s="25" t="s">
        <v>1295</v>
      </c>
      <c r="D459" s="26" t="n">
        <v>4.6</v>
      </c>
      <c r="E459" s="27" t="n">
        <v>8.33724216831843</v>
      </c>
      <c r="F459" s="27" t="n">
        <v>8.34776185302727</v>
      </c>
      <c r="G459" s="25" t="s">
        <v>599</v>
      </c>
      <c r="H459" s="25" t="s">
        <v>600</v>
      </c>
      <c r="I459" s="25" t="n">
        <f aca="false">IFERROR(IF(INDEX(Documents!$C$5:$C$657,MATCH(H459,Documents!$A$5:$A$657,0))="","",INDEX(Documents!$C$5:$C$657,MATCH(H459,Documents!$A$5:$A$657,0))),"")</f>
        <v>2010</v>
      </c>
      <c r="J459" s="25" t="str">
        <f aca="false">IFERROR(IF(INDEX(Documents!$D$5:$D$657,MATCH(H459,Documents!$A$5:$A$657,0))="","",INDEX(Documents!$D$5:$D$657,MATCH(H459,Documents!$A$5:$A$657,0))),"")</f>
        <v>J Med Chem</v>
      </c>
      <c r="K459" s="25" t="str">
        <f aca="false">IFERROR(IF(INDEX(Documents!$G$5:$G$657,MATCH(H459,Documents!$A$5:$A$657,0))="","",INDEX(Documents!$G$5:$G$657,MATCH(H459,Documents!$A$5:$A$657,0))),"")</f>
        <v>10.1021/jm901214q</v>
      </c>
      <c r="L459" s="25" t="s">
        <v>601</v>
      </c>
    </row>
    <row r="460" customFormat="false" ht="15" hidden="false" customHeight="false" outlineLevel="0" collapsed="false">
      <c r="A460" s="25" t="n">
        <v>2118249</v>
      </c>
      <c r="B460" s="25" t="s">
        <v>1294</v>
      </c>
      <c r="C460" s="25" t="s">
        <v>1295</v>
      </c>
      <c r="D460" s="26" t="n">
        <v>4.4</v>
      </c>
      <c r="E460" s="27" t="n">
        <v>8.35654732351381</v>
      </c>
      <c r="F460" s="27" t="n">
        <v>8.34776185302727</v>
      </c>
      <c r="G460" s="25" t="s">
        <v>1199</v>
      </c>
      <c r="H460" s="25" t="s">
        <v>1200</v>
      </c>
      <c r="I460" s="25" t="n">
        <f aca="false">IFERROR(IF(INDEX(Documents!$C$5:$C$657,MATCH(H460,Documents!$A$5:$A$657,0))="","",INDEX(Documents!$C$5:$C$657,MATCH(H460,Documents!$A$5:$A$657,0))),"")</f>
        <v>2008</v>
      </c>
      <c r="J460" s="25" t="str">
        <f aca="false">IFERROR(IF(INDEX(Documents!$D$5:$D$657,MATCH(H460,Documents!$A$5:$A$657,0))="","",INDEX(Documents!$D$5:$D$657,MATCH(H460,Documents!$A$5:$A$657,0))),"")</f>
        <v>J Med Chem</v>
      </c>
      <c r="K460" s="25" t="str">
        <f aca="false">IFERROR(IF(INDEX(Documents!$G$5:$G$657,MATCH(H460,Documents!$A$5:$A$657,0))="","",INDEX(Documents!$G$5:$G$657,MATCH(H460,Documents!$A$5:$A$657,0))),"")</f>
        <v>10.1021/jm7011613</v>
      </c>
      <c r="L460" s="25" t="s">
        <v>676</v>
      </c>
    </row>
    <row r="461" customFormat="false" ht="15" hidden="false" customHeight="false" outlineLevel="0" collapsed="false">
      <c r="A461" s="25" t="n">
        <v>2118248</v>
      </c>
      <c r="B461" s="25" t="s">
        <v>1294</v>
      </c>
      <c r="C461" s="25" t="s">
        <v>1295</v>
      </c>
      <c r="D461" s="26" t="n">
        <v>4.365</v>
      </c>
      <c r="E461" s="27" t="n">
        <v>8.36001575195841</v>
      </c>
      <c r="F461" s="27" t="n">
        <v>8.34776185302727</v>
      </c>
      <c r="G461" s="25" t="s">
        <v>1199</v>
      </c>
      <c r="H461" s="25" t="s">
        <v>1200</v>
      </c>
      <c r="I461" s="25" t="n">
        <f aca="false">IFERROR(IF(INDEX(Documents!$C$5:$C$657,MATCH(H461,Documents!$A$5:$A$657,0))="","",INDEX(Documents!$C$5:$C$657,MATCH(H461,Documents!$A$5:$A$657,0))),"")</f>
        <v>2008</v>
      </c>
      <c r="J461" s="25" t="str">
        <f aca="false">IFERROR(IF(INDEX(Documents!$D$5:$D$657,MATCH(H461,Documents!$A$5:$A$657,0))="","",INDEX(Documents!$D$5:$D$657,MATCH(H461,Documents!$A$5:$A$657,0))),"")</f>
        <v>J Med Chem</v>
      </c>
      <c r="K461" s="25" t="str">
        <f aca="false">IFERROR(IF(INDEX(Documents!$G$5:$G$657,MATCH(H461,Documents!$A$5:$A$657,0))="","",INDEX(Documents!$G$5:$G$657,MATCH(H461,Documents!$A$5:$A$657,0))),"")</f>
        <v>10.1021/jm7011613</v>
      </c>
      <c r="L461" s="25" t="s">
        <v>676</v>
      </c>
    </row>
    <row r="462" customFormat="false" ht="15" hidden="false" customHeight="false" outlineLevel="0" collapsed="false">
      <c r="A462" s="25" t="n">
        <v>2980582</v>
      </c>
      <c r="B462" s="25" t="s">
        <v>1296</v>
      </c>
      <c r="C462" s="25" t="s">
        <v>1297</v>
      </c>
      <c r="D462" s="26" t="n">
        <v>56.23</v>
      </c>
      <c r="E462" s="27" t="n">
        <v>7.2500319164906</v>
      </c>
      <c r="F462" s="27" t="n">
        <v>7.2509219447422</v>
      </c>
      <c r="G462" s="25" t="s">
        <v>599</v>
      </c>
      <c r="H462" s="25" t="s">
        <v>600</v>
      </c>
      <c r="I462" s="25" t="n">
        <f aca="false">IFERROR(IF(INDEX(Documents!$C$5:$C$657,MATCH(H462,Documents!$A$5:$A$657,0))="","",INDEX(Documents!$C$5:$C$657,MATCH(H462,Documents!$A$5:$A$657,0))),"")</f>
        <v>2010</v>
      </c>
      <c r="J462" s="25" t="str">
        <f aca="false">IFERROR(IF(INDEX(Documents!$D$5:$D$657,MATCH(H462,Documents!$A$5:$A$657,0))="","",INDEX(Documents!$D$5:$D$657,MATCH(H462,Documents!$A$5:$A$657,0))),"")</f>
        <v>J Med Chem</v>
      </c>
      <c r="K462" s="25" t="str">
        <f aca="false">IFERROR(IF(INDEX(Documents!$G$5:$G$657,MATCH(H462,Documents!$A$5:$A$657,0))="","",INDEX(Documents!$G$5:$G$657,MATCH(H462,Documents!$A$5:$A$657,0))),"")</f>
        <v>10.1021/jm901214q</v>
      </c>
      <c r="L462" s="25" t="s">
        <v>601</v>
      </c>
    </row>
    <row r="463" customFormat="false" ht="15" hidden="false" customHeight="false" outlineLevel="0" collapsed="false">
      <c r="A463" s="25" t="n">
        <v>2980495</v>
      </c>
      <c r="B463" s="25" t="s">
        <v>1296</v>
      </c>
      <c r="C463" s="25" t="s">
        <v>1297</v>
      </c>
      <c r="D463" s="26" t="n">
        <v>56</v>
      </c>
      <c r="E463" s="27" t="n">
        <v>7.2518119729938</v>
      </c>
      <c r="F463" s="27" t="n">
        <v>7.2509219447422</v>
      </c>
      <c r="G463" s="25" t="s">
        <v>599</v>
      </c>
      <c r="H463" s="25" t="s">
        <v>600</v>
      </c>
      <c r="I463" s="25" t="n">
        <f aca="false">IFERROR(IF(INDEX(Documents!$C$5:$C$657,MATCH(H463,Documents!$A$5:$A$657,0))="","",INDEX(Documents!$C$5:$C$657,MATCH(H463,Documents!$A$5:$A$657,0))),"")</f>
        <v>2010</v>
      </c>
      <c r="J463" s="25" t="str">
        <f aca="false">IFERROR(IF(INDEX(Documents!$D$5:$D$657,MATCH(H463,Documents!$A$5:$A$657,0))="","",INDEX(Documents!$D$5:$D$657,MATCH(H463,Documents!$A$5:$A$657,0))),"")</f>
        <v>J Med Chem</v>
      </c>
      <c r="K463" s="25" t="str">
        <f aca="false">IFERROR(IF(INDEX(Documents!$G$5:$G$657,MATCH(H463,Documents!$A$5:$A$657,0))="","",INDEX(Documents!$G$5:$G$657,MATCH(H463,Documents!$A$5:$A$657,0))),"")</f>
        <v>10.1021/jm901214q</v>
      </c>
      <c r="L463" s="25" t="s">
        <v>601</v>
      </c>
    </row>
    <row r="464" customFormat="false" ht="15" hidden="false" customHeight="false" outlineLevel="0" collapsed="false">
      <c r="A464" s="25" t="n">
        <v>2980596</v>
      </c>
      <c r="B464" s="25" t="s">
        <v>1298</v>
      </c>
      <c r="C464" s="25" t="s">
        <v>1299</v>
      </c>
      <c r="D464" s="26" t="n">
        <v>69.18</v>
      </c>
      <c r="E464" s="27" t="n">
        <v>7.16001944232166</v>
      </c>
      <c r="F464" s="27" t="n">
        <v>7.16375526480771</v>
      </c>
      <c r="G464" s="25" t="s">
        <v>599</v>
      </c>
      <c r="H464" s="25" t="s">
        <v>600</v>
      </c>
      <c r="I464" s="25" t="n">
        <f aca="false">IFERROR(IF(INDEX(Documents!$C$5:$C$657,MATCH(H464,Documents!$A$5:$A$657,0))="","",INDEX(Documents!$C$5:$C$657,MATCH(H464,Documents!$A$5:$A$657,0))),"")</f>
        <v>2010</v>
      </c>
      <c r="J464" s="25" t="str">
        <f aca="false">IFERROR(IF(INDEX(Documents!$D$5:$D$657,MATCH(H464,Documents!$A$5:$A$657,0))="","",INDEX(Documents!$D$5:$D$657,MATCH(H464,Documents!$A$5:$A$657,0))),"")</f>
        <v>J Med Chem</v>
      </c>
      <c r="K464" s="25" t="str">
        <f aca="false">IFERROR(IF(INDEX(Documents!$G$5:$G$657,MATCH(H464,Documents!$A$5:$A$657,0))="","",INDEX(Documents!$G$5:$G$657,MATCH(H464,Documents!$A$5:$A$657,0))),"")</f>
        <v>10.1021/jm901214q</v>
      </c>
      <c r="L464" s="25" t="s">
        <v>601</v>
      </c>
    </row>
    <row r="465" customFormat="false" ht="15" hidden="false" customHeight="false" outlineLevel="0" collapsed="false">
      <c r="A465" s="25" t="n">
        <v>2980481</v>
      </c>
      <c r="B465" s="25" t="s">
        <v>1298</v>
      </c>
      <c r="C465" s="25" t="s">
        <v>1299</v>
      </c>
      <c r="D465" s="26" t="n">
        <v>68</v>
      </c>
      <c r="E465" s="27" t="n">
        <v>7.16749108729376</v>
      </c>
      <c r="F465" s="27" t="n">
        <v>7.16375526480771</v>
      </c>
      <c r="G465" s="25" t="s">
        <v>599</v>
      </c>
      <c r="H465" s="25" t="s">
        <v>600</v>
      </c>
      <c r="I465" s="25" t="n">
        <f aca="false">IFERROR(IF(INDEX(Documents!$C$5:$C$657,MATCH(H465,Documents!$A$5:$A$657,0))="","",INDEX(Documents!$C$5:$C$657,MATCH(H465,Documents!$A$5:$A$657,0))),"")</f>
        <v>2010</v>
      </c>
      <c r="J465" s="25" t="str">
        <f aca="false">IFERROR(IF(INDEX(Documents!$D$5:$D$657,MATCH(H465,Documents!$A$5:$A$657,0))="","",INDEX(Documents!$D$5:$D$657,MATCH(H465,Documents!$A$5:$A$657,0))),"")</f>
        <v>J Med Chem</v>
      </c>
      <c r="K465" s="25" t="str">
        <f aca="false">IFERROR(IF(INDEX(Documents!$G$5:$G$657,MATCH(H465,Documents!$A$5:$A$657,0))="","",INDEX(Documents!$G$5:$G$657,MATCH(H465,Documents!$A$5:$A$657,0))),"")</f>
        <v>10.1021/jm901214q</v>
      </c>
      <c r="L465" s="25" t="s">
        <v>601</v>
      </c>
    </row>
    <row r="466" customFormat="false" ht="15" hidden="false" customHeight="false" outlineLevel="0" collapsed="false">
      <c r="A466" s="25" t="n">
        <v>2980480</v>
      </c>
      <c r="B466" s="25" t="s">
        <v>1300</v>
      </c>
      <c r="C466" s="25" t="s">
        <v>1301</v>
      </c>
      <c r="D466" s="26" t="n">
        <v>20</v>
      </c>
      <c r="E466" s="27" t="n">
        <v>7.69897000433602</v>
      </c>
      <c r="F466" s="27" t="n">
        <v>7.70446769648675</v>
      </c>
      <c r="G466" s="25" t="s">
        <v>599</v>
      </c>
      <c r="H466" s="25" t="s">
        <v>600</v>
      </c>
      <c r="I466" s="25" t="n">
        <f aca="false">IFERROR(IF(INDEX(Documents!$C$5:$C$657,MATCH(H466,Documents!$A$5:$A$657,0))="","",INDEX(Documents!$C$5:$C$657,MATCH(H466,Documents!$A$5:$A$657,0))),"")</f>
        <v>2010</v>
      </c>
      <c r="J466" s="25" t="str">
        <f aca="false">IFERROR(IF(INDEX(Documents!$D$5:$D$657,MATCH(H466,Documents!$A$5:$A$657,0))="","",INDEX(Documents!$D$5:$D$657,MATCH(H466,Documents!$A$5:$A$657,0))),"")</f>
        <v>J Med Chem</v>
      </c>
      <c r="K466" s="25" t="str">
        <f aca="false">IFERROR(IF(INDEX(Documents!$G$5:$G$657,MATCH(H466,Documents!$A$5:$A$657,0))="","",INDEX(Documents!$G$5:$G$657,MATCH(H466,Documents!$A$5:$A$657,0))),"")</f>
        <v>10.1021/jm901214q</v>
      </c>
      <c r="L466" s="25" t="s">
        <v>601</v>
      </c>
    </row>
    <row r="467" customFormat="false" ht="15" hidden="false" customHeight="false" outlineLevel="0" collapsed="false">
      <c r="A467" s="25" t="n">
        <v>2980597</v>
      </c>
      <c r="B467" s="25" t="s">
        <v>1300</v>
      </c>
      <c r="C467" s="25" t="s">
        <v>1301</v>
      </c>
      <c r="D467" s="26" t="n">
        <v>19.5</v>
      </c>
      <c r="E467" s="27" t="n">
        <v>7.70996538863748</v>
      </c>
      <c r="F467" s="27" t="n">
        <v>7.70446769648675</v>
      </c>
      <c r="G467" s="25" t="s">
        <v>599</v>
      </c>
      <c r="H467" s="25" t="s">
        <v>600</v>
      </c>
      <c r="I467" s="25" t="n">
        <f aca="false">IFERROR(IF(INDEX(Documents!$C$5:$C$657,MATCH(H467,Documents!$A$5:$A$657,0))="","",INDEX(Documents!$C$5:$C$657,MATCH(H467,Documents!$A$5:$A$657,0))),"")</f>
        <v>2010</v>
      </c>
      <c r="J467" s="25" t="str">
        <f aca="false">IFERROR(IF(INDEX(Documents!$D$5:$D$657,MATCH(H467,Documents!$A$5:$A$657,0))="","",INDEX(Documents!$D$5:$D$657,MATCH(H467,Documents!$A$5:$A$657,0))),"")</f>
        <v>J Med Chem</v>
      </c>
      <c r="K467" s="25" t="str">
        <f aca="false">IFERROR(IF(INDEX(Documents!$G$5:$G$657,MATCH(H467,Documents!$A$5:$A$657,0))="","",INDEX(Documents!$G$5:$G$657,MATCH(H467,Documents!$A$5:$A$657,0))),"")</f>
        <v>10.1021/jm901214q</v>
      </c>
      <c r="L467" s="25" t="s">
        <v>601</v>
      </c>
    </row>
    <row r="468" customFormat="false" ht="15" hidden="false" customHeight="false" outlineLevel="0" collapsed="false">
      <c r="A468" s="25" t="n">
        <v>2980476</v>
      </c>
      <c r="B468" s="25" t="s">
        <v>1302</v>
      </c>
      <c r="C468" s="25" t="s">
        <v>1303</v>
      </c>
      <c r="D468" s="26" t="n">
        <v>2.8</v>
      </c>
      <c r="E468" s="27" t="n">
        <v>8.55284196865778</v>
      </c>
      <c r="F468" s="27" t="n">
        <v>8.55643901636844</v>
      </c>
      <c r="G468" s="25" t="s">
        <v>599</v>
      </c>
      <c r="H468" s="25" t="s">
        <v>600</v>
      </c>
      <c r="I468" s="25" t="n">
        <f aca="false">IFERROR(IF(INDEX(Documents!$C$5:$C$657,MATCH(H468,Documents!$A$5:$A$657,0))="","",INDEX(Documents!$C$5:$C$657,MATCH(H468,Documents!$A$5:$A$657,0))),"")</f>
        <v>2010</v>
      </c>
      <c r="J468" s="25" t="str">
        <f aca="false">IFERROR(IF(INDEX(Documents!$D$5:$D$657,MATCH(H468,Documents!$A$5:$A$657,0))="","",INDEX(Documents!$D$5:$D$657,MATCH(H468,Documents!$A$5:$A$657,0))),"")</f>
        <v>J Med Chem</v>
      </c>
      <c r="K468" s="25" t="str">
        <f aca="false">IFERROR(IF(INDEX(Documents!$G$5:$G$657,MATCH(H468,Documents!$A$5:$A$657,0))="","",INDEX(Documents!$G$5:$G$657,MATCH(H468,Documents!$A$5:$A$657,0))),"")</f>
        <v>10.1021/jm901214q</v>
      </c>
      <c r="L468" s="25" t="s">
        <v>601</v>
      </c>
    </row>
    <row r="469" customFormat="false" ht="15" hidden="false" customHeight="false" outlineLevel="0" collapsed="false">
      <c r="A469" s="25" t="n">
        <v>2980601</v>
      </c>
      <c r="B469" s="25" t="s">
        <v>1302</v>
      </c>
      <c r="C469" s="25" t="s">
        <v>1303</v>
      </c>
      <c r="D469" s="26" t="n">
        <v>2.754</v>
      </c>
      <c r="E469" s="27" t="n">
        <v>8.5600360640791</v>
      </c>
      <c r="F469" s="27" t="n">
        <v>8.55643901636844</v>
      </c>
      <c r="G469" s="25" t="s">
        <v>599</v>
      </c>
      <c r="H469" s="25" t="s">
        <v>600</v>
      </c>
      <c r="I469" s="25" t="n">
        <f aca="false">IFERROR(IF(INDEX(Documents!$C$5:$C$657,MATCH(H469,Documents!$A$5:$A$657,0))="","",INDEX(Documents!$C$5:$C$657,MATCH(H469,Documents!$A$5:$A$657,0))),"")</f>
        <v>2010</v>
      </c>
      <c r="J469" s="25" t="str">
        <f aca="false">IFERROR(IF(INDEX(Documents!$D$5:$D$657,MATCH(H469,Documents!$A$5:$A$657,0))="","",INDEX(Documents!$D$5:$D$657,MATCH(H469,Documents!$A$5:$A$657,0))),"")</f>
        <v>J Med Chem</v>
      </c>
      <c r="K469" s="25" t="str">
        <f aca="false">IFERROR(IF(INDEX(Documents!$G$5:$G$657,MATCH(H469,Documents!$A$5:$A$657,0))="","",INDEX(Documents!$G$5:$G$657,MATCH(H469,Documents!$A$5:$A$657,0))),"")</f>
        <v>10.1021/jm901214q</v>
      </c>
      <c r="L469" s="25" t="s">
        <v>601</v>
      </c>
    </row>
    <row r="470" customFormat="false" ht="15" hidden="false" customHeight="false" outlineLevel="0" collapsed="false">
      <c r="A470" s="25" t="n">
        <v>2980479</v>
      </c>
      <c r="B470" s="25" t="s">
        <v>1304</v>
      </c>
      <c r="C470" s="25" t="s">
        <v>1305</v>
      </c>
      <c r="D470" s="26" t="n">
        <v>31</v>
      </c>
      <c r="E470" s="27" t="n">
        <v>7.50863830616573</v>
      </c>
      <c r="F470" s="27" t="n">
        <v>7.50933991337045</v>
      </c>
      <c r="G470" s="25" t="s">
        <v>599</v>
      </c>
      <c r="H470" s="25" t="s">
        <v>600</v>
      </c>
      <c r="I470" s="25" t="n">
        <f aca="false">IFERROR(IF(INDEX(Documents!$C$5:$C$657,MATCH(H470,Documents!$A$5:$A$657,0))="","",INDEX(Documents!$C$5:$C$657,MATCH(H470,Documents!$A$5:$A$657,0))),"")</f>
        <v>2010</v>
      </c>
      <c r="J470" s="25" t="str">
        <f aca="false">IFERROR(IF(INDEX(Documents!$D$5:$D$657,MATCH(H470,Documents!$A$5:$A$657,0))="","",INDEX(Documents!$D$5:$D$657,MATCH(H470,Documents!$A$5:$A$657,0))),"")</f>
        <v>J Med Chem</v>
      </c>
      <c r="K470" s="25" t="str">
        <f aca="false">IFERROR(IF(INDEX(Documents!$G$5:$G$657,MATCH(H470,Documents!$A$5:$A$657,0))="","",INDEX(Documents!$G$5:$G$657,MATCH(H470,Documents!$A$5:$A$657,0))),"")</f>
        <v>10.1021/jm901214q</v>
      </c>
      <c r="L470" s="25" t="s">
        <v>601</v>
      </c>
    </row>
    <row r="471" customFormat="false" ht="15" hidden="false" customHeight="false" outlineLevel="0" collapsed="false">
      <c r="A471" s="25" t="n">
        <v>2980598</v>
      </c>
      <c r="B471" s="25" t="s">
        <v>1304</v>
      </c>
      <c r="C471" s="25" t="s">
        <v>1305</v>
      </c>
      <c r="D471" s="26" t="n">
        <v>30.9</v>
      </c>
      <c r="E471" s="27" t="n">
        <v>7.51004152057517</v>
      </c>
      <c r="F471" s="27" t="n">
        <v>7.50933991337045</v>
      </c>
      <c r="G471" s="25" t="s">
        <v>599</v>
      </c>
      <c r="H471" s="25" t="s">
        <v>600</v>
      </c>
      <c r="I471" s="25" t="n">
        <f aca="false">IFERROR(IF(INDEX(Documents!$C$5:$C$657,MATCH(H471,Documents!$A$5:$A$657,0))="","",INDEX(Documents!$C$5:$C$657,MATCH(H471,Documents!$A$5:$A$657,0))),"")</f>
        <v>2010</v>
      </c>
      <c r="J471" s="25" t="str">
        <f aca="false">IFERROR(IF(INDEX(Documents!$D$5:$D$657,MATCH(H471,Documents!$A$5:$A$657,0))="","",INDEX(Documents!$D$5:$D$657,MATCH(H471,Documents!$A$5:$A$657,0))),"")</f>
        <v>J Med Chem</v>
      </c>
      <c r="K471" s="25" t="str">
        <f aca="false">IFERROR(IF(INDEX(Documents!$G$5:$G$657,MATCH(H471,Documents!$A$5:$A$657,0))="","",INDEX(Documents!$G$5:$G$657,MATCH(H471,Documents!$A$5:$A$657,0))),"")</f>
        <v>10.1021/jm901214q</v>
      </c>
      <c r="L471" s="25" t="s">
        <v>601</v>
      </c>
    </row>
    <row r="472" customFormat="false" ht="15" hidden="false" customHeight="false" outlineLevel="0" collapsed="false">
      <c r="A472" s="25" t="n">
        <v>2980475</v>
      </c>
      <c r="B472" s="25" t="s">
        <v>1306</v>
      </c>
      <c r="C472" s="25" t="s">
        <v>1307</v>
      </c>
      <c r="D472" s="26" t="n">
        <v>1.8</v>
      </c>
      <c r="E472" s="27" t="n">
        <v>8.74472749489669</v>
      </c>
      <c r="F472" s="27" t="n">
        <v>8.74739786913125</v>
      </c>
      <c r="G472" s="25" t="s">
        <v>599</v>
      </c>
      <c r="H472" s="25" t="s">
        <v>600</v>
      </c>
      <c r="I472" s="25" t="n">
        <f aca="false">IFERROR(IF(INDEX(Documents!$C$5:$C$657,MATCH(H472,Documents!$A$5:$A$657,0))="","",INDEX(Documents!$C$5:$C$657,MATCH(H472,Documents!$A$5:$A$657,0))),"")</f>
        <v>2010</v>
      </c>
      <c r="J472" s="25" t="str">
        <f aca="false">IFERROR(IF(INDEX(Documents!$D$5:$D$657,MATCH(H472,Documents!$A$5:$A$657,0))="","",INDEX(Documents!$D$5:$D$657,MATCH(H472,Documents!$A$5:$A$657,0))),"")</f>
        <v>J Med Chem</v>
      </c>
      <c r="K472" s="25" t="str">
        <f aca="false">IFERROR(IF(INDEX(Documents!$G$5:$G$657,MATCH(H472,Documents!$A$5:$A$657,0))="","",INDEX(Documents!$G$5:$G$657,MATCH(H472,Documents!$A$5:$A$657,0))),"")</f>
        <v>10.1021/jm901214q</v>
      </c>
      <c r="L472" s="25" t="s">
        <v>601</v>
      </c>
    </row>
    <row r="473" customFormat="false" ht="15" hidden="false" customHeight="false" outlineLevel="0" collapsed="false">
      <c r="A473" s="25" t="n">
        <v>2980602</v>
      </c>
      <c r="B473" s="25" t="s">
        <v>1306</v>
      </c>
      <c r="C473" s="25" t="s">
        <v>1307</v>
      </c>
      <c r="D473" s="26" t="n">
        <v>1.778</v>
      </c>
      <c r="E473" s="27" t="n">
        <v>8.75006824336581</v>
      </c>
      <c r="F473" s="27" t="n">
        <v>8.74739786913125</v>
      </c>
      <c r="G473" s="25" t="s">
        <v>599</v>
      </c>
      <c r="H473" s="25" t="s">
        <v>600</v>
      </c>
      <c r="I473" s="25" t="n">
        <f aca="false">IFERROR(IF(INDEX(Documents!$C$5:$C$657,MATCH(H473,Documents!$A$5:$A$657,0))="","",INDEX(Documents!$C$5:$C$657,MATCH(H473,Documents!$A$5:$A$657,0))),"")</f>
        <v>2010</v>
      </c>
      <c r="J473" s="25" t="str">
        <f aca="false">IFERROR(IF(INDEX(Documents!$D$5:$D$657,MATCH(H473,Documents!$A$5:$A$657,0))="","",INDEX(Documents!$D$5:$D$657,MATCH(H473,Documents!$A$5:$A$657,0))),"")</f>
        <v>J Med Chem</v>
      </c>
      <c r="K473" s="25" t="str">
        <f aca="false">IFERROR(IF(INDEX(Documents!$G$5:$G$657,MATCH(H473,Documents!$A$5:$A$657,0))="","",INDEX(Documents!$G$5:$G$657,MATCH(H473,Documents!$A$5:$A$657,0))),"")</f>
        <v>10.1021/jm901214q</v>
      </c>
      <c r="L473" s="25" t="s">
        <v>601</v>
      </c>
    </row>
    <row r="474" customFormat="false" ht="15" hidden="false" customHeight="false" outlineLevel="0" collapsed="false">
      <c r="A474" s="25" t="n">
        <v>2980604</v>
      </c>
      <c r="B474" s="25" t="s">
        <v>1308</v>
      </c>
      <c r="C474" s="25" t="s">
        <v>1309</v>
      </c>
      <c r="D474" s="26" t="n">
        <v>8.318</v>
      </c>
      <c r="E474" s="27" t="n">
        <v>8.07998108397108</v>
      </c>
      <c r="F474" s="27" t="n">
        <v>8.0804514957975</v>
      </c>
      <c r="G474" s="25" t="s">
        <v>599</v>
      </c>
      <c r="H474" s="25" t="s">
        <v>600</v>
      </c>
      <c r="I474" s="25" t="n">
        <f aca="false">IFERROR(IF(INDEX(Documents!$C$5:$C$657,MATCH(H474,Documents!$A$5:$A$657,0))="","",INDEX(Documents!$C$5:$C$657,MATCH(H474,Documents!$A$5:$A$657,0))),"")</f>
        <v>2010</v>
      </c>
      <c r="J474" s="25" t="str">
        <f aca="false">IFERROR(IF(INDEX(Documents!$D$5:$D$657,MATCH(H474,Documents!$A$5:$A$657,0))="","",INDEX(Documents!$D$5:$D$657,MATCH(H474,Documents!$A$5:$A$657,0))),"")</f>
        <v>J Med Chem</v>
      </c>
      <c r="K474" s="25" t="str">
        <f aca="false">IFERROR(IF(INDEX(Documents!$G$5:$G$657,MATCH(H474,Documents!$A$5:$A$657,0))="","",INDEX(Documents!$G$5:$G$657,MATCH(H474,Documents!$A$5:$A$657,0))),"")</f>
        <v>10.1021/jm901214q</v>
      </c>
      <c r="L474" s="25" t="s">
        <v>601</v>
      </c>
    </row>
    <row r="475" customFormat="false" ht="15" hidden="false" customHeight="false" outlineLevel="0" collapsed="false">
      <c r="A475" s="25" t="n">
        <v>2980473</v>
      </c>
      <c r="B475" s="25" t="s">
        <v>1308</v>
      </c>
      <c r="C475" s="25" t="s">
        <v>1309</v>
      </c>
      <c r="D475" s="26" t="n">
        <v>8.3</v>
      </c>
      <c r="E475" s="27" t="n">
        <v>8.08092190762393</v>
      </c>
      <c r="F475" s="27" t="n">
        <v>8.0804514957975</v>
      </c>
      <c r="G475" s="25" t="s">
        <v>599</v>
      </c>
      <c r="H475" s="25" t="s">
        <v>600</v>
      </c>
      <c r="I475" s="25" t="n">
        <f aca="false">IFERROR(IF(INDEX(Documents!$C$5:$C$657,MATCH(H475,Documents!$A$5:$A$657,0))="","",INDEX(Documents!$C$5:$C$657,MATCH(H475,Documents!$A$5:$A$657,0))),"")</f>
        <v>2010</v>
      </c>
      <c r="J475" s="25" t="str">
        <f aca="false">IFERROR(IF(INDEX(Documents!$D$5:$D$657,MATCH(H475,Documents!$A$5:$A$657,0))="","",INDEX(Documents!$D$5:$D$657,MATCH(H475,Documents!$A$5:$A$657,0))),"")</f>
        <v>J Med Chem</v>
      </c>
      <c r="K475" s="25" t="str">
        <f aca="false">IFERROR(IF(INDEX(Documents!$G$5:$G$657,MATCH(H475,Documents!$A$5:$A$657,0))="","",INDEX(Documents!$G$5:$G$657,MATCH(H475,Documents!$A$5:$A$657,0))),"")</f>
        <v>10.1021/jm901214q</v>
      </c>
      <c r="L475" s="25" t="s">
        <v>601</v>
      </c>
    </row>
    <row r="476" customFormat="false" ht="15" hidden="false" customHeight="false" outlineLevel="0" collapsed="false">
      <c r="A476" s="25" t="n">
        <v>2980478</v>
      </c>
      <c r="B476" s="25" t="s">
        <v>1310</v>
      </c>
      <c r="C476" s="25" t="s">
        <v>1311</v>
      </c>
      <c r="D476" s="26" t="n">
        <v>1.8</v>
      </c>
      <c r="E476" s="27" t="n">
        <v>8.74472749489669</v>
      </c>
      <c r="F476" s="27" t="n">
        <v>8.74739786913125</v>
      </c>
      <c r="G476" s="25" t="s">
        <v>599</v>
      </c>
      <c r="H476" s="25" t="s">
        <v>600</v>
      </c>
      <c r="I476" s="25" t="n">
        <f aca="false">IFERROR(IF(INDEX(Documents!$C$5:$C$657,MATCH(H476,Documents!$A$5:$A$657,0))="","",INDEX(Documents!$C$5:$C$657,MATCH(H476,Documents!$A$5:$A$657,0))),"")</f>
        <v>2010</v>
      </c>
      <c r="J476" s="25" t="str">
        <f aca="false">IFERROR(IF(INDEX(Documents!$D$5:$D$657,MATCH(H476,Documents!$A$5:$A$657,0))="","",INDEX(Documents!$D$5:$D$657,MATCH(H476,Documents!$A$5:$A$657,0))),"")</f>
        <v>J Med Chem</v>
      </c>
      <c r="K476" s="25" t="str">
        <f aca="false">IFERROR(IF(INDEX(Documents!$G$5:$G$657,MATCH(H476,Documents!$A$5:$A$657,0))="","",INDEX(Documents!$G$5:$G$657,MATCH(H476,Documents!$A$5:$A$657,0))),"")</f>
        <v>10.1021/jm901214q</v>
      </c>
      <c r="L476" s="25" t="s">
        <v>601</v>
      </c>
    </row>
    <row r="477" customFormat="false" ht="15" hidden="false" customHeight="false" outlineLevel="0" collapsed="false">
      <c r="A477" s="25" t="n">
        <v>2980599</v>
      </c>
      <c r="B477" s="25" t="s">
        <v>1310</v>
      </c>
      <c r="C477" s="25" t="s">
        <v>1311</v>
      </c>
      <c r="D477" s="26" t="n">
        <v>1.778</v>
      </c>
      <c r="E477" s="27" t="n">
        <v>8.75006824336581</v>
      </c>
      <c r="F477" s="27" t="n">
        <v>8.74739786913125</v>
      </c>
      <c r="G477" s="25" t="s">
        <v>599</v>
      </c>
      <c r="H477" s="25" t="s">
        <v>600</v>
      </c>
      <c r="I477" s="25" t="n">
        <f aca="false">IFERROR(IF(INDEX(Documents!$C$5:$C$657,MATCH(H477,Documents!$A$5:$A$657,0))="","",INDEX(Documents!$C$5:$C$657,MATCH(H477,Documents!$A$5:$A$657,0))),"")</f>
        <v>2010</v>
      </c>
      <c r="J477" s="25" t="str">
        <f aca="false">IFERROR(IF(INDEX(Documents!$D$5:$D$657,MATCH(H477,Documents!$A$5:$A$657,0))="","",INDEX(Documents!$D$5:$D$657,MATCH(H477,Documents!$A$5:$A$657,0))),"")</f>
        <v>J Med Chem</v>
      </c>
      <c r="K477" s="25" t="str">
        <f aca="false">IFERROR(IF(INDEX(Documents!$G$5:$G$657,MATCH(H477,Documents!$A$5:$A$657,0))="","",INDEX(Documents!$G$5:$G$657,MATCH(H477,Documents!$A$5:$A$657,0))),"")</f>
        <v>10.1021/jm901214q</v>
      </c>
      <c r="L477" s="25" t="s">
        <v>601</v>
      </c>
    </row>
    <row r="478" customFormat="false" ht="15" hidden="false" customHeight="false" outlineLevel="0" collapsed="false">
      <c r="A478" s="25" t="n">
        <v>2980571</v>
      </c>
      <c r="B478" s="25" t="s">
        <v>1312</v>
      </c>
      <c r="C478" s="25" t="s">
        <v>1313</v>
      </c>
      <c r="D478" s="26" t="n">
        <v>3.311</v>
      </c>
      <c r="E478" s="27" t="n">
        <v>8.48004081924793</v>
      </c>
      <c r="F478" s="27" t="n">
        <v>8.48076343968502</v>
      </c>
      <c r="G478" s="25" t="s">
        <v>599</v>
      </c>
      <c r="H478" s="25" t="s">
        <v>600</v>
      </c>
      <c r="I478" s="25" t="n">
        <f aca="false">IFERROR(IF(INDEX(Documents!$C$5:$C$657,MATCH(H478,Documents!$A$5:$A$657,0))="","",INDEX(Documents!$C$5:$C$657,MATCH(H478,Documents!$A$5:$A$657,0))),"")</f>
        <v>2010</v>
      </c>
      <c r="J478" s="25" t="str">
        <f aca="false">IFERROR(IF(INDEX(Documents!$D$5:$D$657,MATCH(H478,Documents!$A$5:$A$657,0))="","",INDEX(Documents!$D$5:$D$657,MATCH(H478,Documents!$A$5:$A$657,0))),"")</f>
        <v>J Med Chem</v>
      </c>
      <c r="K478" s="25" t="str">
        <f aca="false">IFERROR(IF(INDEX(Documents!$G$5:$G$657,MATCH(H478,Documents!$A$5:$A$657,0))="","",INDEX(Documents!$G$5:$G$657,MATCH(H478,Documents!$A$5:$A$657,0))),"")</f>
        <v>10.1021/jm901214q</v>
      </c>
      <c r="L478" s="25" t="s">
        <v>601</v>
      </c>
    </row>
    <row r="479" customFormat="false" ht="15" hidden="false" customHeight="false" outlineLevel="0" collapsed="false">
      <c r="A479" s="25" t="n">
        <v>2980506</v>
      </c>
      <c r="B479" s="25" t="s">
        <v>1312</v>
      </c>
      <c r="C479" s="25" t="s">
        <v>1313</v>
      </c>
      <c r="D479" s="26" t="n">
        <v>3.3</v>
      </c>
      <c r="E479" s="27" t="n">
        <v>8.48148606012211</v>
      </c>
      <c r="F479" s="27" t="n">
        <v>8.48076343968502</v>
      </c>
      <c r="G479" s="25" t="s">
        <v>599</v>
      </c>
      <c r="H479" s="25" t="s">
        <v>600</v>
      </c>
      <c r="I479" s="25" t="n">
        <f aca="false">IFERROR(IF(INDEX(Documents!$C$5:$C$657,MATCH(H479,Documents!$A$5:$A$657,0))="","",INDEX(Documents!$C$5:$C$657,MATCH(H479,Documents!$A$5:$A$657,0))),"")</f>
        <v>2010</v>
      </c>
      <c r="J479" s="25" t="str">
        <f aca="false">IFERROR(IF(INDEX(Documents!$D$5:$D$657,MATCH(H479,Documents!$A$5:$A$657,0))="","",INDEX(Documents!$D$5:$D$657,MATCH(H479,Documents!$A$5:$A$657,0))),"")</f>
        <v>J Med Chem</v>
      </c>
      <c r="K479" s="25" t="str">
        <f aca="false">IFERROR(IF(INDEX(Documents!$G$5:$G$657,MATCH(H479,Documents!$A$5:$A$657,0))="","",INDEX(Documents!$G$5:$G$657,MATCH(H479,Documents!$A$5:$A$657,0))),"")</f>
        <v>10.1021/jm901214q</v>
      </c>
      <c r="L479" s="25" t="s">
        <v>601</v>
      </c>
    </row>
    <row r="480" customFormat="false" ht="15" hidden="false" customHeight="false" outlineLevel="0" collapsed="false">
      <c r="A480" s="25" t="n">
        <v>2980572</v>
      </c>
      <c r="B480" s="25" t="s">
        <v>1314</v>
      </c>
      <c r="C480" s="25" t="s">
        <v>1315</v>
      </c>
      <c r="D480" s="26" t="n">
        <v>3.802</v>
      </c>
      <c r="E480" s="27" t="n">
        <v>8.41998788747058</v>
      </c>
      <c r="F480" s="27" t="n">
        <v>8.42010214542688</v>
      </c>
      <c r="G480" s="25" t="s">
        <v>599</v>
      </c>
      <c r="H480" s="25" t="s">
        <v>600</v>
      </c>
      <c r="I480" s="25" t="n">
        <f aca="false">IFERROR(IF(INDEX(Documents!$C$5:$C$657,MATCH(H480,Documents!$A$5:$A$657,0))="","",INDEX(Documents!$C$5:$C$657,MATCH(H480,Documents!$A$5:$A$657,0))),"")</f>
        <v>2010</v>
      </c>
      <c r="J480" s="25" t="str">
        <f aca="false">IFERROR(IF(INDEX(Documents!$D$5:$D$657,MATCH(H480,Documents!$A$5:$A$657,0))="","",INDEX(Documents!$D$5:$D$657,MATCH(H480,Documents!$A$5:$A$657,0))),"")</f>
        <v>J Med Chem</v>
      </c>
      <c r="K480" s="25" t="str">
        <f aca="false">IFERROR(IF(INDEX(Documents!$G$5:$G$657,MATCH(H480,Documents!$A$5:$A$657,0))="","",INDEX(Documents!$G$5:$G$657,MATCH(H480,Documents!$A$5:$A$657,0))),"")</f>
        <v>10.1021/jm901214q</v>
      </c>
      <c r="L480" s="25" t="s">
        <v>601</v>
      </c>
    </row>
    <row r="481" customFormat="false" ht="15" hidden="false" customHeight="false" outlineLevel="0" collapsed="false">
      <c r="A481" s="25" t="n">
        <v>2980505</v>
      </c>
      <c r="B481" s="25" t="s">
        <v>1314</v>
      </c>
      <c r="C481" s="25" t="s">
        <v>1315</v>
      </c>
      <c r="D481" s="26" t="n">
        <v>3.8</v>
      </c>
      <c r="E481" s="27" t="n">
        <v>8.42021640338319</v>
      </c>
      <c r="F481" s="27" t="n">
        <v>8.42010214542688</v>
      </c>
      <c r="G481" s="25" t="s">
        <v>599</v>
      </c>
      <c r="H481" s="25" t="s">
        <v>600</v>
      </c>
      <c r="I481" s="25" t="n">
        <f aca="false">IFERROR(IF(INDEX(Documents!$C$5:$C$657,MATCH(H481,Documents!$A$5:$A$657,0))="","",INDEX(Documents!$C$5:$C$657,MATCH(H481,Documents!$A$5:$A$657,0))),"")</f>
        <v>2010</v>
      </c>
      <c r="J481" s="25" t="str">
        <f aca="false">IFERROR(IF(INDEX(Documents!$D$5:$D$657,MATCH(H481,Documents!$A$5:$A$657,0))="","",INDEX(Documents!$D$5:$D$657,MATCH(H481,Documents!$A$5:$A$657,0))),"")</f>
        <v>J Med Chem</v>
      </c>
      <c r="K481" s="25" t="str">
        <f aca="false">IFERROR(IF(INDEX(Documents!$G$5:$G$657,MATCH(H481,Documents!$A$5:$A$657,0))="","",INDEX(Documents!$G$5:$G$657,MATCH(H481,Documents!$A$5:$A$657,0))),"")</f>
        <v>10.1021/jm901214q</v>
      </c>
      <c r="L481" s="25" t="s">
        <v>601</v>
      </c>
    </row>
    <row r="482" customFormat="false" ht="15" hidden="false" customHeight="false" outlineLevel="0" collapsed="false">
      <c r="A482" s="25" t="n">
        <v>2980483</v>
      </c>
      <c r="B482" s="25" t="s">
        <v>1316</v>
      </c>
      <c r="C482" s="25" t="s">
        <v>1317</v>
      </c>
      <c r="D482" s="26" t="n">
        <v>8.2</v>
      </c>
      <c r="E482" s="27" t="n">
        <v>8.08618614761628</v>
      </c>
      <c r="F482" s="27" t="n">
        <v>8.08810122633822</v>
      </c>
      <c r="G482" s="25" t="s">
        <v>599</v>
      </c>
      <c r="H482" s="25" t="s">
        <v>600</v>
      </c>
      <c r="I482" s="25" t="n">
        <f aca="false">IFERROR(IF(INDEX(Documents!$C$5:$C$657,MATCH(H482,Documents!$A$5:$A$657,0))="","",INDEX(Documents!$C$5:$C$657,MATCH(H482,Documents!$A$5:$A$657,0))),"")</f>
        <v>2010</v>
      </c>
      <c r="J482" s="25" t="str">
        <f aca="false">IFERROR(IF(INDEX(Documents!$D$5:$D$657,MATCH(H482,Documents!$A$5:$A$657,0))="","",INDEX(Documents!$D$5:$D$657,MATCH(H482,Documents!$A$5:$A$657,0))),"")</f>
        <v>J Med Chem</v>
      </c>
      <c r="K482" s="25" t="str">
        <f aca="false">IFERROR(IF(INDEX(Documents!$G$5:$G$657,MATCH(H482,Documents!$A$5:$A$657,0))="","",INDEX(Documents!$G$5:$G$657,MATCH(H482,Documents!$A$5:$A$657,0))),"")</f>
        <v>10.1021/jm901214q</v>
      </c>
      <c r="L482" s="25" t="s">
        <v>601</v>
      </c>
    </row>
    <row r="483" customFormat="false" ht="15" hidden="false" customHeight="false" outlineLevel="0" collapsed="false">
      <c r="A483" s="25" t="n">
        <v>2980593</v>
      </c>
      <c r="B483" s="25" t="s">
        <v>1316</v>
      </c>
      <c r="C483" s="25" t="s">
        <v>1317</v>
      </c>
      <c r="D483" s="26" t="n">
        <v>8.128</v>
      </c>
      <c r="E483" s="27" t="n">
        <v>8.09001630506016</v>
      </c>
      <c r="F483" s="27" t="n">
        <v>8.08810122633822</v>
      </c>
      <c r="G483" s="25" t="s">
        <v>599</v>
      </c>
      <c r="H483" s="25" t="s">
        <v>600</v>
      </c>
      <c r="I483" s="25" t="n">
        <f aca="false">IFERROR(IF(INDEX(Documents!$C$5:$C$657,MATCH(H483,Documents!$A$5:$A$657,0))="","",INDEX(Documents!$C$5:$C$657,MATCH(H483,Documents!$A$5:$A$657,0))),"")</f>
        <v>2010</v>
      </c>
      <c r="J483" s="25" t="str">
        <f aca="false">IFERROR(IF(INDEX(Documents!$D$5:$D$657,MATCH(H483,Documents!$A$5:$A$657,0))="","",INDEX(Documents!$D$5:$D$657,MATCH(H483,Documents!$A$5:$A$657,0))),"")</f>
        <v>J Med Chem</v>
      </c>
      <c r="K483" s="25" t="str">
        <f aca="false">IFERROR(IF(INDEX(Documents!$G$5:$G$657,MATCH(H483,Documents!$A$5:$A$657,0))="","",INDEX(Documents!$G$5:$G$657,MATCH(H483,Documents!$A$5:$A$657,0))),"")</f>
        <v>10.1021/jm901214q</v>
      </c>
      <c r="L483" s="25" t="s">
        <v>601</v>
      </c>
    </row>
    <row r="484" customFormat="false" ht="15" hidden="false" customHeight="false" outlineLevel="0" collapsed="false">
      <c r="A484" s="25" t="n">
        <v>2980594</v>
      </c>
      <c r="B484" s="25" t="s">
        <v>1318</v>
      </c>
      <c r="C484" s="25" t="s">
        <v>1319</v>
      </c>
      <c r="D484" s="26" t="n">
        <v>30.2</v>
      </c>
      <c r="E484" s="27" t="n">
        <v>7.51999305704285</v>
      </c>
      <c r="F484" s="27" t="n">
        <v>7.52143590116159</v>
      </c>
      <c r="G484" s="25" t="s">
        <v>599</v>
      </c>
      <c r="H484" s="25" t="s">
        <v>600</v>
      </c>
      <c r="I484" s="25" t="n">
        <f aca="false">IFERROR(IF(INDEX(Documents!$C$5:$C$657,MATCH(H484,Documents!$A$5:$A$657,0))="","",INDEX(Documents!$C$5:$C$657,MATCH(H484,Documents!$A$5:$A$657,0))),"")</f>
        <v>2010</v>
      </c>
      <c r="J484" s="25" t="str">
        <f aca="false">IFERROR(IF(INDEX(Documents!$D$5:$D$657,MATCH(H484,Documents!$A$5:$A$657,0))="","",INDEX(Documents!$D$5:$D$657,MATCH(H484,Documents!$A$5:$A$657,0))),"")</f>
        <v>J Med Chem</v>
      </c>
      <c r="K484" s="25" t="str">
        <f aca="false">IFERROR(IF(INDEX(Documents!$G$5:$G$657,MATCH(H484,Documents!$A$5:$A$657,0))="","",INDEX(Documents!$G$5:$G$657,MATCH(H484,Documents!$A$5:$A$657,0))),"")</f>
        <v>10.1021/jm901214q</v>
      </c>
      <c r="L484" s="25" t="s">
        <v>601</v>
      </c>
    </row>
    <row r="485" customFormat="false" ht="15" hidden="false" customHeight="false" outlineLevel="0" collapsed="false">
      <c r="A485" s="25" t="n">
        <v>2980484</v>
      </c>
      <c r="B485" s="25" t="s">
        <v>1318</v>
      </c>
      <c r="C485" s="25" t="s">
        <v>1319</v>
      </c>
      <c r="D485" s="26" t="n">
        <v>30</v>
      </c>
      <c r="E485" s="27" t="n">
        <v>7.52287874528034</v>
      </c>
      <c r="F485" s="27" t="n">
        <v>7.52143590116159</v>
      </c>
      <c r="G485" s="25" t="s">
        <v>599</v>
      </c>
      <c r="H485" s="25" t="s">
        <v>600</v>
      </c>
      <c r="I485" s="25" t="n">
        <f aca="false">IFERROR(IF(INDEX(Documents!$C$5:$C$657,MATCH(H485,Documents!$A$5:$A$657,0))="","",INDEX(Documents!$C$5:$C$657,MATCH(H485,Documents!$A$5:$A$657,0))),"")</f>
        <v>2010</v>
      </c>
      <c r="J485" s="25" t="str">
        <f aca="false">IFERROR(IF(INDEX(Documents!$D$5:$D$657,MATCH(H485,Documents!$A$5:$A$657,0))="","",INDEX(Documents!$D$5:$D$657,MATCH(H485,Documents!$A$5:$A$657,0))),"")</f>
        <v>J Med Chem</v>
      </c>
      <c r="K485" s="25" t="str">
        <f aca="false">IFERROR(IF(INDEX(Documents!$G$5:$G$657,MATCH(H485,Documents!$A$5:$A$657,0))="","",INDEX(Documents!$G$5:$G$657,MATCH(H485,Documents!$A$5:$A$657,0))),"")</f>
        <v>10.1021/jm901214q</v>
      </c>
      <c r="L485" s="25" t="s">
        <v>601</v>
      </c>
    </row>
    <row r="486" customFormat="false" ht="15" hidden="false" customHeight="false" outlineLevel="0" collapsed="false">
      <c r="A486" s="25" t="n">
        <v>2980482</v>
      </c>
      <c r="B486" s="25" t="s">
        <v>1320</v>
      </c>
      <c r="C486" s="25" t="s">
        <v>1321</v>
      </c>
      <c r="D486" s="26" t="n">
        <v>3.7</v>
      </c>
      <c r="E486" s="27" t="n">
        <v>8.43179827593301</v>
      </c>
      <c r="F486" s="27" t="n">
        <v>8.43588601351006</v>
      </c>
      <c r="G486" s="25" t="s">
        <v>599</v>
      </c>
      <c r="H486" s="25" t="s">
        <v>600</v>
      </c>
      <c r="I486" s="25" t="n">
        <f aca="false">IFERROR(IF(INDEX(Documents!$C$5:$C$657,MATCH(H486,Documents!$A$5:$A$657,0))="","",INDEX(Documents!$C$5:$C$657,MATCH(H486,Documents!$A$5:$A$657,0))),"")</f>
        <v>2010</v>
      </c>
      <c r="J486" s="25" t="str">
        <f aca="false">IFERROR(IF(INDEX(Documents!$D$5:$D$657,MATCH(H486,Documents!$A$5:$A$657,0))="","",INDEX(Documents!$D$5:$D$657,MATCH(H486,Documents!$A$5:$A$657,0))),"")</f>
        <v>J Med Chem</v>
      </c>
      <c r="K486" s="25" t="str">
        <f aca="false">IFERROR(IF(INDEX(Documents!$G$5:$G$657,MATCH(H486,Documents!$A$5:$A$657,0))="","",INDEX(Documents!$G$5:$G$657,MATCH(H486,Documents!$A$5:$A$657,0))),"")</f>
        <v>10.1021/jm901214q</v>
      </c>
      <c r="L486" s="25" t="s">
        <v>601</v>
      </c>
    </row>
    <row r="487" customFormat="false" ht="15" hidden="false" customHeight="false" outlineLevel="0" collapsed="false">
      <c r="A487" s="25" t="n">
        <v>2980595</v>
      </c>
      <c r="B487" s="25" t="s">
        <v>1320</v>
      </c>
      <c r="C487" s="25" t="s">
        <v>1321</v>
      </c>
      <c r="D487" s="26" t="n">
        <v>3.631</v>
      </c>
      <c r="E487" s="27" t="n">
        <v>8.43997375108711</v>
      </c>
      <c r="F487" s="27" t="n">
        <v>8.43588601351006</v>
      </c>
      <c r="G487" s="25" t="s">
        <v>599</v>
      </c>
      <c r="H487" s="25" t="s">
        <v>600</v>
      </c>
      <c r="I487" s="25" t="n">
        <f aca="false">IFERROR(IF(INDEX(Documents!$C$5:$C$657,MATCH(H487,Documents!$A$5:$A$657,0))="","",INDEX(Documents!$C$5:$C$657,MATCH(H487,Documents!$A$5:$A$657,0))),"")</f>
        <v>2010</v>
      </c>
      <c r="J487" s="25" t="str">
        <f aca="false">IFERROR(IF(INDEX(Documents!$D$5:$D$657,MATCH(H487,Documents!$A$5:$A$657,0))="","",INDEX(Documents!$D$5:$D$657,MATCH(H487,Documents!$A$5:$A$657,0))),"")</f>
        <v>J Med Chem</v>
      </c>
      <c r="K487" s="25" t="str">
        <f aca="false">IFERROR(IF(INDEX(Documents!$G$5:$G$657,MATCH(H487,Documents!$A$5:$A$657,0))="","",INDEX(Documents!$G$5:$G$657,MATCH(H487,Documents!$A$5:$A$657,0))),"")</f>
        <v>10.1021/jm901214q</v>
      </c>
      <c r="L487" s="25" t="s">
        <v>601</v>
      </c>
    </row>
    <row r="488" customFormat="false" ht="15" hidden="false" customHeight="false" outlineLevel="0" collapsed="false">
      <c r="A488" s="25" t="n">
        <v>16741337</v>
      </c>
      <c r="B488" s="25" t="s">
        <v>1322</v>
      </c>
      <c r="C488" s="25" t="s">
        <v>1323</v>
      </c>
      <c r="D488" s="26" t="n">
        <v>19.5</v>
      </c>
      <c r="E488" s="27" t="n">
        <v>7.70996538863748</v>
      </c>
      <c r="F488" s="27" t="n">
        <v>7.70996538863748</v>
      </c>
      <c r="G488" s="25" t="s">
        <v>1324</v>
      </c>
      <c r="H488" s="25" t="s">
        <v>1325</v>
      </c>
      <c r="I488" s="25" t="n">
        <f aca="false">IFERROR(IF(INDEX(Documents!$C$5:$C$657,MATCH(H488,Documents!$A$5:$A$657,0))="","",INDEX(Documents!$C$5:$C$657,MATCH(H488,Documents!$A$5:$A$657,0))),"")</f>
        <v>2016</v>
      </c>
      <c r="J488" s="25" t="str">
        <f aca="false">IFERROR(IF(INDEX(Documents!$D$5:$D$657,MATCH(H488,Documents!$A$5:$A$657,0))="","",INDEX(Documents!$D$5:$D$657,MATCH(H488,Documents!$A$5:$A$657,0))),"")</f>
        <v>Eur J Med Chem</v>
      </c>
      <c r="K488" s="25" t="str">
        <f aca="false">IFERROR(IF(INDEX(Documents!$G$5:$G$657,MATCH(H488,Documents!$A$5:$A$657,0))="","",INDEX(Documents!$G$5:$G$657,MATCH(H488,Documents!$A$5:$A$657,0))),"")</f>
        <v>10.1016/j.ejmech.2016.05.011</v>
      </c>
      <c r="L488" s="25" t="s">
        <v>1326</v>
      </c>
    </row>
    <row r="489" customFormat="false" ht="15" hidden="false" customHeight="false" outlineLevel="0" collapsed="false">
      <c r="A489" s="25" t="n">
        <v>16741336</v>
      </c>
      <c r="B489" s="25" t="s">
        <v>1327</v>
      </c>
      <c r="C489" s="25" t="s">
        <v>1328</v>
      </c>
      <c r="D489" s="26" t="n">
        <v>13.6</v>
      </c>
      <c r="E489" s="27" t="n">
        <v>7.86646109162978</v>
      </c>
      <c r="F489" s="27" t="n">
        <v>7.86646109162978</v>
      </c>
      <c r="G489" s="25" t="s">
        <v>1324</v>
      </c>
      <c r="H489" s="25" t="s">
        <v>1325</v>
      </c>
      <c r="I489" s="25" t="n">
        <f aca="false">IFERROR(IF(INDEX(Documents!$C$5:$C$657,MATCH(H489,Documents!$A$5:$A$657,0))="","",INDEX(Documents!$C$5:$C$657,MATCH(H489,Documents!$A$5:$A$657,0))),"")</f>
        <v>2016</v>
      </c>
      <c r="J489" s="25" t="str">
        <f aca="false">IFERROR(IF(INDEX(Documents!$D$5:$D$657,MATCH(H489,Documents!$A$5:$A$657,0))="","",INDEX(Documents!$D$5:$D$657,MATCH(H489,Documents!$A$5:$A$657,0))),"")</f>
        <v>Eur J Med Chem</v>
      </c>
      <c r="K489" s="25" t="str">
        <f aca="false">IFERROR(IF(INDEX(Documents!$G$5:$G$657,MATCH(H489,Documents!$A$5:$A$657,0))="","",INDEX(Documents!$G$5:$G$657,MATCH(H489,Documents!$A$5:$A$657,0))),"")</f>
        <v>10.1016/j.ejmech.2016.05.011</v>
      </c>
      <c r="L489" s="25" t="s">
        <v>1326</v>
      </c>
    </row>
    <row r="490" customFormat="false" ht="15" hidden="false" customHeight="false" outlineLevel="0" collapsed="false">
      <c r="A490" s="25" t="n">
        <v>19437746</v>
      </c>
      <c r="B490" s="25" t="s">
        <v>1329</v>
      </c>
      <c r="C490" s="25" t="s">
        <v>1330</v>
      </c>
      <c r="D490" s="26" t="n">
        <v>67</v>
      </c>
      <c r="E490" s="27" t="n">
        <v>7.17392519729917</v>
      </c>
      <c r="F490" s="27" t="n">
        <v>7.17392519729917</v>
      </c>
      <c r="G490" s="25" t="s">
        <v>1331</v>
      </c>
      <c r="H490" s="25" t="s">
        <v>1332</v>
      </c>
      <c r="I490" s="25" t="n">
        <f aca="false">IFERROR(IF(INDEX(Documents!$C$5:$C$657,MATCH(H490,Documents!$A$5:$A$657,0))="","",INDEX(Documents!$C$5:$C$657,MATCH(H490,Documents!$A$5:$A$657,0))),"")</f>
        <v>2016</v>
      </c>
      <c r="J490" s="25" t="str">
        <f aca="false">IFERROR(IF(INDEX(Documents!$D$5:$D$657,MATCH(H490,Documents!$A$5:$A$657,0))="","",INDEX(Documents!$D$5:$D$657,MATCH(H490,Documents!$A$5:$A$657,0))),"")</f>
        <v>Bioorg Med Chem</v>
      </c>
      <c r="K490" s="25" t="str">
        <f aca="false">IFERROR(IF(INDEX(Documents!$G$5:$G$657,MATCH(H490,Documents!$A$5:$A$657,0))="","",INDEX(Documents!$G$5:$G$657,MATCH(H490,Documents!$A$5:$A$657,0))),"")</f>
        <v>10.1016/j.bmc.2016.08.055</v>
      </c>
      <c r="L490" s="25" t="s">
        <v>1333</v>
      </c>
    </row>
    <row r="491" customFormat="false" ht="15" hidden="false" customHeight="false" outlineLevel="0" collapsed="false">
      <c r="A491" s="25" t="n">
        <v>16511739</v>
      </c>
      <c r="B491" s="25" t="s">
        <v>1334</v>
      </c>
      <c r="C491" s="25" t="s">
        <v>1335</v>
      </c>
      <c r="D491" s="26" t="n">
        <v>5517</v>
      </c>
      <c r="E491" s="27" t="n">
        <v>5.25829701604226</v>
      </c>
      <c r="F491" s="27" t="n">
        <v>5.25829701604226</v>
      </c>
      <c r="G491" s="25" t="s">
        <v>1336</v>
      </c>
      <c r="H491" s="25" t="s">
        <v>1337</v>
      </c>
      <c r="I491" s="25" t="n">
        <f aca="false">IFERROR(IF(INDEX(Documents!$C$5:$C$657,MATCH(H491,Documents!$A$5:$A$657,0))="","",INDEX(Documents!$C$5:$C$657,MATCH(H491,Documents!$A$5:$A$657,0))),"")</f>
        <v>2016</v>
      </c>
      <c r="J491" s="25" t="str">
        <f aca="false">IFERROR(IF(INDEX(Documents!$D$5:$D$657,MATCH(H491,Documents!$A$5:$A$657,0))="","",INDEX(Documents!$D$5:$D$657,MATCH(H491,Documents!$A$5:$A$657,0))),"")</f>
        <v>Eur J Med Chem</v>
      </c>
      <c r="K491" s="25" t="str">
        <f aca="false">IFERROR(IF(INDEX(Documents!$G$5:$G$657,MATCH(H491,Documents!$A$5:$A$657,0))="","",INDEX(Documents!$G$5:$G$657,MATCH(H491,Documents!$A$5:$A$657,0))),"")</f>
        <v>10.1016/j.ejmech.2016.02.005</v>
      </c>
      <c r="L491" s="25" t="s">
        <v>1338</v>
      </c>
    </row>
    <row r="492" customFormat="false" ht="15" hidden="false" customHeight="false" outlineLevel="0" collapsed="false">
      <c r="A492" s="25" t="n">
        <v>16511740</v>
      </c>
      <c r="B492" s="25" t="s">
        <v>1339</v>
      </c>
      <c r="C492" s="25" t="s">
        <v>1340</v>
      </c>
      <c r="D492" s="26" t="n">
        <v>6</v>
      </c>
      <c r="E492" s="27" t="n">
        <v>8.22184874961636</v>
      </c>
      <c r="F492" s="27" t="n">
        <v>8.22184874961636</v>
      </c>
      <c r="G492" s="25" t="s">
        <v>1336</v>
      </c>
      <c r="H492" s="25" t="s">
        <v>1337</v>
      </c>
      <c r="I492" s="25" t="n">
        <f aca="false">IFERROR(IF(INDEX(Documents!$C$5:$C$657,MATCH(H492,Documents!$A$5:$A$657,0))="","",INDEX(Documents!$C$5:$C$657,MATCH(H492,Documents!$A$5:$A$657,0))),"")</f>
        <v>2016</v>
      </c>
      <c r="J492" s="25" t="str">
        <f aca="false">IFERROR(IF(INDEX(Documents!$D$5:$D$657,MATCH(H492,Documents!$A$5:$A$657,0))="","",INDEX(Documents!$D$5:$D$657,MATCH(H492,Documents!$A$5:$A$657,0))),"")</f>
        <v>Eur J Med Chem</v>
      </c>
      <c r="K492" s="25" t="str">
        <f aca="false">IFERROR(IF(INDEX(Documents!$G$5:$G$657,MATCH(H492,Documents!$A$5:$A$657,0))="","",INDEX(Documents!$G$5:$G$657,MATCH(H492,Documents!$A$5:$A$657,0))),"")</f>
        <v>10.1016/j.ejmech.2016.02.005</v>
      </c>
      <c r="L492" s="25" t="s">
        <v>1338</v>
      </c>
    </row>
    <row r="493" customFormat="false" ht="15" hidden="false" customHeight="false" outlineLevel="0" collapsed="false">
      <c r="A493" s="25" t="n">
        <v>12052758</v>
      </c>
      <c r="B493" s="25" t="s">
        <v>1341</v>
      </c>
      <c r="C493" s="25" t="s">
        <v>1342</v>
      </c>
      <c r="D493" s="26" t="n">
        <v>957.1</v>
      </c>
      <c r="E493" s="27" t="n">
        <v>6.01904268377038</v>
      </c>
      <c r="F493" s="27" t="n">
        <v>6.01904268377038</v>
      </c>
      <c r="G493" s="25" t="s">
        <v>587</v>
      </c>
      <c r="H493" s="25" t="s">
        <v>588</v>
      </c>
      <c r="I493" s="25" t="n">
        <f aca="false">IFERROR(IF(INDEX(Documents!$C$5:$C$657,MATCH(H493,Documents!$A$5:$A$657,0))="","",INDEX(Documents!$C$5:$C$657,MATCH(H493,Documents!$A$5:$A$657,0))),"")</f>
        <v>2012</v>
      </c>
      <c r="J493" s="25" t="str">
        <f aca="false">IFERROR(IF(INDEX(Documents!$D$5:$D$657,MATCH(H493,Documents!$A$5:$A$657,0))="","",INDEX(Documents!$D$5:$D$657,MATCH(H493,Documents!$A$5:$A$657,0))),"")</f>
        <v>Eur J Med Chem</v>
      </c>
      <c r="K493" s="25" t="str">
        <f aca="false">IFERROR(IF(INDEX(Documents!$G$5:$G$657,MATCH(H493,Documents!$A$5:$A$657,0))="","",INDEX(Documents!$G$5:$G$657,MATCH(H493,Documents!$A$5:$A$657,0))),"")</f>
        <v>10.1016/j.ejmech.2012.09.035</v>
      </c>
      <c r="L493" s="25" t="s">
        <v>589</v>
      </c>
    </row>
    <row r="494" customFormat="false" ht="15" hidden="false" customHeight="false" outlineLevel="0" collapsed="false">
      <c r="A494" s="25" t="n">
        <v>12052747</v>
      </c>
      <c r="B494" s="25" t="s">
        <v>1343</v>
      </c>
      <c r="C494" s="25" t="s">
        <v>1344</v>
      </c>
      <c r="D494" s="26" t="n">
        <v>15.2</v>
      </c>
      <c r="E494" s="27" t="n">
        <v>7.81815641205523</v>
      </c>
      <c r="F494" s="27" t="n">
        <v>7.81815641205523</v>
      </c>
      <c r="G494" s="25" t="s">
        <v>587</v>
      </c>
      <c r="H494" s="25" t="s">
        <v>588</v>
      </c>
      <c r="I494" s="25" t="n">
        <f aca="false">IFERROR(IF(INDEX(Documents!$C$5:$C$657,MATCH(H494,Documents!$A$5:$A$657,0))="","",INDEX(Documents!$C$5:$C$657,MATCH(H494,Documents!$A$5:$A$657,0))),"")</f>
        <v>2012</v>
      </c>
      <c r="J494" s="25" t="str">
        <f aca="false">IFERROR(IF(INDEX(Documents!$D$5:$D$657,MATCH(H494,Documents!$A$5:$A$657,0))="","",INDEX(Documents!$D$5:$D$657,MATCH(H494,Documents!$A$5:$A$657,0))),"")</f>
        <v>Eur J Med Chem</v>
      </c>
      <c r="K494" s="25" t="str">
        <f aca="false">IFERROR(IF(INDEX(Documents!$G$5:$G$657,MATCH(H494,Documents!$A$5:$A$657,0))="","",INDEX(Documents!$G$5:$G$657,MATCH(H494,Documents!$A$5:$A$657,0))),"")</f>
        <v>10.1016/j.ejmech.2012.09.035</v>
      </c>
      <c r="L494" s="25" t="s">
        <v>589</v>
      </c>
    </row>
    <row r="495" customFormat="false" ht="15" hidden="false" customHeight="false" outlineLevel="0" collapsed="false">
      <c r="A495" s="25" t="n">
        <v>12052757</v>
      </c>
      <c r="B495" s="25" t="s">
        <v>1345</v>
      </c>
      <c r="C495" s="25" t="s">
        <v>1346</v>
      </c>
      <c r="D495" s="26" t="n">
        <v>2.5</v>
      </c>
      <c r="E495" s="27" t="n">
        <v>8.60205999132796</v>
      </c>
      <c r="F495" s="27" t="n">
        <v>8.60205999132796</v>
      </c>
      <c r="G495" s="25" t="s">
        <v>587</v>
      </c>
      <c r="H495" s="25" t="s">
        <v>588</v>
      </c>
      <c r="I495" s="25" t="n">
        <f aca="false">IFERROR(IF(INDEX(Documents!$C$5:$C$657,MATCH(H495,Documents!$A$5:$A$657,0))="","",INDEX(Documents!$C$5:$C$657,MATCH(H495,Documents!$A$5:$A$657,0))),"")</f>
        <v>2012</v>
      </c>
      <c r="J495" s="25" t="str">
        <f aca="false">IFERROR(IF(INDEX(Documents!$D$5:$D$657,MATCH(H495,Documents!$A$5:$A$657,0))="","",INDEX(Documents!$D$5:$D$657,MATCH(H495,Documents!$A$5:$A$657,0))),"")</f>
        <v>Eur J Med Chem</v>
      </c>
      <c r="K495" s="25" t="str">
        <f aca="false">IFERROR(IF(INDEX(Documents!$G$5:$G$657,MATCH(H495,Documents!$A$5:$A$657,0))="","",INDEX(Documents!$G$5:$G$657,MATCH(H495,Documents!$A$5:$A$657,0))),"")</f>
        <v>10.1016/j.ejmech.2012.09.035</v>
      </c>
      <c r="L495" s="25" t="s">
        <v>589</v>
      </c>
    </row>
    <row r="496" customFormat="false" ht="15" hidden="false" customHeight="false" outlineLevel="0" collapsed="false">
      <c r="A496" s="25" t="n">
        <v>12052756</v>
      </c>
      <c r="B496" s="25" t="s">
        <v>1347</v>
      </c>
      <c r="C496" s="25" t="s">
        <v>1348</v>
      </c>
      <c r="D496" s="26" t="n">
        <v>6.5</v>
      </c>
      <c r="E496" s="27" t="n">
        <v>8.18708664335714</v>
      </c>
      <c r="F496" s="27" t="n">
        <v>8.18708664335714</v>
      </c>
      <c r="G496" s="25" t="s">
        <v>587</v>
      </c>
      <c r="H496" s="25" t="s">
        <v>588</v>
      </c>
      <c r="I496" s="25" t="n">
        <f aca="false">IFERROR(IF(INDEX(Documents!$C$5:$C$657,MATCH(H496,Documents!$A$5:$A$657,0))="","",INDEX(Documents!$C$5:$C$657,MATCH(H496,Documents!$A$5:$A$657,0))),"")</f>
        <v>2012</v>
      </c>
      <c r="J496" s="25" t="str">
        <f aca="false">IFERROR(IF(INDEX(Documents!$D$5:$D$657,MATCH(H496,Documents!$A$5:$A$657,0))="","",INDEX(Documents!$D$5:$D$657,MATCH(H496,Documents!$A$5:$A$657,0))),"")</f>
        <v>Eur J Med Chem</v>
      </c>
      <c r="K496" s="25" t="str">
        <f aca="false">IFERROR(IF(INDEX(Documents!$G$5:$G$657,MATCH(H496,Documents!$A$5:$A$657,0))="","",INDEX(Documents!$G$5:$G$657,MATCH(H496,Documents!$A$5:$A$657,0))),"")</f>
        <v>10.1016/j.ejmech.2012.09.035</v>
      </c>
      <c r="L496" s="25" t="s">
        <v>589</v>
      </c>
    </row>
    <row r="497" customFormat="false" ht="15" hidden="false" customHeight="false" outlineLevel="0" collapsed="false">
      <c r="A497" s="25" t="n">
        <v>12666615</v>
      </c>
      <c r="B497" s="25" t="s">
        <v>1349</v>
      </c>
      <c r="C497" s="25" t="s">
        <v>1350</v>
      </c>
      <c r="D497" s="26" t="n">
        <v>500</v>
      </c>
      <c r="E497" s="27" t="n">
        <v>6.30102999566398</v>
      </c>
      <c r="F497" s="27" t="n">
        <v>6.30102999566398</v>
      </c>
      <c r="G497" s="25" t="s">
        <v>1351</v>
      </c>
      <c r="H497" s="25" t="s">
        <v>1352</v>
      </c>
      <c r="I497" s="25" t="n">
        <f aca="false">IFERROR(IF(INDEX(Documents!$C$5:$C$657,MATCH(H497,Documents!$A$5:$A$657,0))="","",INDEX(Documents!$C$5:$C$657,MATCH(H497,Documents!$A$5:$A$657,0))),"")</f>
        <v>2013</v>
      </c>
      <c r="J497" s="25" t="str">
        <f aca="false">IFERROR(IF(INDEX(Documents!$D$5:$D$657,MATCH(H497,Documents!$A$5:$A$657,0))="","",INDEX(Documents!$D$5:$D$657,MATCH(H497,Documents!$A$5:$A$657,0))),"")</f>
        <v>Bioorg Med Chem Lett</v>
      </c>
      <c r="K497" s="25" t="str">
        <f aca="false">IFERROR(IF(INDEX(Documents!$G$5:$G$657,MATCH(H497,Documents!$A$5:$A$657,0))="","",INDEX(Documents!$G$5:$G$657,MATCH(H497,Documents!$A$5:$A$657,0))),"")</f>
        <v>10.1016/j.bmcl.2013.01.044</v>
      </c>
      <c r="L497" s="25" t="s">
        <v>515</v>
      </c>
    </row>
    <row r="498" customFormat="false" ht="15" hidden="false" customHeight="false" outlineLevel="0" collapsed="false">
      <c r="A498" s="25" t="n">
        <v>12089865</v>
      </c>
      <c r="B498" s="25" t="s">
        <v>1353</v>
      </c>
      <c r="C498" s="25" t="s">
        <v>1354</v>
      </c>
      <c r="D498" s="26" t="n">
        <v>56</v>
      </c>
      <c r="E498" s="27" t="n">
        <v>7.2518119729938</v>
      </c>
      <c r="F498" s="27" t="n">
        <v>7.2518119729938</v>
      </c>
      <c r="G498" s="25" t="s">
        <v>1028</v>
      </c>
      <c r="H498" s="25" t="s">
        <v>1029</v>
      </c>
      <c r="I498" s="25" t="n">
        <f aca="false">IFERROR(IF(INDEX(Documents!$C$5:$C$657,MATCH(H498,Documents!$A$5:$A$657,0))="","",INDEX(Documents!$C$5:$C$657,MATCH(H498,Documents!$A$5:$A$657,0))),"")</f>
        <v>2012</v>
      </c>
      <c r="J498" s="25" t="str">
        <f aca="false">IFERROR(IF(INDEX(Documents!$D$5:$D$657,MATCH(H498,Documents!$A$5:$A$657,0))="","",INDEX(Documents!$D$5:$D$657,MATCH(H498,Documents!$A$5:$A$657,0))),"")</f>
        <v>J Med Chem</v>
      </c>
      <c r="K498" s="25" t="str">
        <f aca="false">IFERROR(IF(INDEX(Documents!$G$5:$G$657,MATCH(H498,Documents!$A$5:$A$657,0))="","",INDEX(Documents!$G$5:$G$657,MATCH(H498,Documents!$A$5:$A$657,0))),"")</f>
        <v>10.1021/jm300763w</v>
      </c>
      <c r="L498" s="25" t="s">
        <v>1030</v>
      </c>
    </row>
    <row r="499" customFormat="false" ht="15" hidden="false" customHeight="false" outlineLevel="0" collapsed="false">
      <c r="A499" s="25" t="n">
        <v>14573940</v>
      </c>
      <c r="B499" s="25" t="s">
        <v>1355</v>
      </c>
      <c r="C499" s="25" t="s">
        <v>1356</v>
      </c>
      <c r="D499" s="26" t="n">
        <v>0.71</v>
      </c>
      <c r="E499" s="27" t="n">
        <v>9.14874165128092</v>
      </c>
      <c r="F499" s="27" t="n">
        <v>9.14874165128092</v>
      </c>
      <c r="G499" s="25" t="s">
        <v>1357</v>
      </c>
      <c r="H499" s="25" t="s">
        <v>1358</v>
      </c>
      <c r="I499" s="25" t="n">
        <f aca="false">IFERROR(IF(INDEX(Documents!$C$5:$C$657,MATCH(H499,Documents!$A$5:$A$657,0))="","",INDEX(Documents!$C$5:$C$657,MATCH(H499,Documents!$A$5:$A$657,0))),"")</f>
        <v>2013</v>
      </c>
      <c r="J499" s="25" t="str">
        <f aca="false">IFERROR(IF(INDEX(Documents!$D$5:$D$657,MATCH(H499,Documents!$A$5:$A$657,0))="","",INDEX(Documents!$D$5:$D$657,MATCH(H499,Documents!$A$5:$A$657,0))),"")</f>
        <v>J Med Chem</v>
      </c>
      <c r="K499" s="25" t="str">
        <f aca="false">IFERROR(IF(INDEX(Documents!$G$5:$G$657,MATCH(H499,Documents!$A$5:$A$657,0))="","",INDEX(Documents!$G$5:$G$657,MATCH(H499,Documents!$A$5:$A$657,0))),"")</f>
        <v>10.1021/jm4005626</v>
      </c>
      <c r="L499" s="25" t="s">
        <v>1359</v>
      </c>
    </row>
    <row r="500" customFormat="false" ht="15" hidden="false" customHeight="false" outlineLevel="0" collapsed="false">
      <c r="A500" s="25" t="n">
        <v>3393300</v>
      </c>
      <c r="B500" s="25" t="s">
        <v>1360</v>
      </c>
      <c r="C500" s="25" t="s">
        <v>1361</v>
      </c>
      <c r="D500" s="26" t="n">
        <v>25000</v>
      </c>
      <c r="E500" s="27" t="n">
        <v>4.60205999132796</v>
      </c>
      <c r="F500" s="27" t="n">
        <v>4.60205999132796</v>
      </c>
      <c r="G500" s="25" t="s">
        <v>1362</v>
      </c>
      <c r="H500" s="25" t="s">
        <v>1363</v>
      </c>
      <c r="I500" s="25" t="n">
        <f aca="false">IFERROR(IF(INDEX(Documents!$C$5:$C$657,MATCH(H500,Documents!$A$5:$A$657,0))="","",INDEX(Documents!$C$5:$C$657,MATCH(H500,Documents!$A$5:$A$657,0))),"")</f>
        <v>2010</v>
      </c>
      <c r="J500" s="25" t="str">
        <f aca="false">IFERROR(IF(INDEX(Documents!$D$5:$D$657,MATCH(H500,Documents!$A$5:$A$657,0))="","",INDEX(Documents!$D$5:$D$657,MATCH(H500,Documents!$A$5:$A$657,0))),"")</f>
        <v>J Med Chem</v>
      </c>
      <c r="K500" s="25" t="str">
        <f aca="false">IFERROR(IF(INDEX(Documents!$G$5:$G$657,MATCH(H500,Documents!$A$5:$A$657,0))="","",INDEX(Documents!$G$5:$G$657,MATCH(H500,Documents!$A$5:$A$657,0))),"")</f>
        <v>10.1021/jm100390h</v>
      </c>
      <c r="L500" s="25" t="s">
        <v>1364</v>
      </c>
    </row>
    <row r="501" customFormat="false" ht="15" hidden="false" customHeight="false" outlineLevel="0" collapsed="false">
      <c r="A501" s="25" t="n">
        <v>3393297</v>
      </c>
      <c r="B501" s="25" t="s">
        <v>1365</v>
      </c>
      <c r="C501" s="25" t="s">
        <v>1366</v>
      </c>
      <c r="D501" s="26" t="n">
        <v>20000</v>
      </c>
      <c r="E501" s="27" t="n">
        <v>4.69897000433602</v>
      </c>
      <c r="F501" s="27" t="n">
        <v>4.69897000433602</v>
      </c>
      <c r="G501" s="25" t="s">
        <v>1362</v>
      </c>
      <c r="H501" s="25" t="s">
        <v>1363</v>
      </c>
      <c r="I501" s="25" t="n">
        <f aca="false">IFERROR(IF(INDEX(Documents!$C$5:$C$657,MATCH(H501,Documents!$A$5:$A$657,0))="","",INDEX(Documents!$C$5:$C$657,MATCH(H501,Documents!$A$5:$A$657,0))),"")</f>
        <v>2010</v>
      </c>
      <c r="J501" s="25" t="str">
        <f aca="false">IFERROR(IF(INDEX(Documents!$D$5:$D$657,MATCH(H501,Documents!$A$5:$A$657,0))="","",INDEX(Documents!$D$5:$D$657,MATCH(H501,Documents!$A$5:$A$657,0))),"")</f>
        <v>J Med Chem</v>
      </c>
      <c r="K501" s="25" t="str">
        <f aca="false">IFERROR(IF(INDEX(Documents!$G$5:$G$657,MATCH(H501,Documents!$A$5:$A$657,0))="","",INDEX(Documents!$G$5:$G$657,MATCH(H501,Documents!$A$5:$A$657,0))),"")</f>
        <v>10.1021/jm100390h</v>
      </c>
      <c r="L501" s="25" t="s">
        <v>1364</v>
      </c>
    </row>
    <row r="502" customFormat="false" ht="15" hidden="false" customHeight="false" outlineLevel="0" collapsed="false">
      <c r="A502" s="25" t="n">
        <v>3393312</v>
      </c>
      <c r="B502" s="25" t="s">
        <v>1367</v>
      </c>
      <c r="C502" s="25" t="s">
        <v>1368</v>
      </c>
      <c r="D502" s="26" t="n">
        <v>35000</v>
      </c>
      <c r="E502" s="27" t="n">
        <v>4.45593195564972</v>
      </c>
      <c r="F502" s="27" t="n">
        <v>4.45593195564972</v>
      </c>
      <c r="G502" s="25" t="s">
        <v>1362</v>
      </c>
      <c r="H502" s="25" t="s">
        <v>1363</v>
      </c>
      <c r="I502" s="25" t="n">
        <f aca="false">IFERROR(IF(INDEX(Documents!$C$5:$C$657,MATCH(H502,Documents!$A$5:$A$657,0))="","",INDEX(Documents!$C$5:$C$657,MATCH(H502,Documents!$A$5:$A$657,0))),"")</f>
        <v>2010</v>
      </c>
      <c r="J502" s="25" t="str">
        <f aca="false">IFERROR(IF(INDEX(Documents!$D$5:$D$657,MATCH(H502,Documents!$A$5:$A$657,0))="","",INDEX(Documents!$D$5:$D$657,MATCH(H502,Documents!$A$5:$A$657,0))),"")</f>
        <v>J Med Chem</v>
      </c>
      <c r="K502" s="25" t="str">
        <f aca="false">IFERROR(IF(INDEX(Documents!$G$5:$G$657,MATCH(H502,Documents!$A$5:$A$657,0))="","",INDEX(Documents!$G$5:$G$657,MATCH(H502,Documents!$A$5:$A$657,0))),"")</f>
        <v>10.1021/jm100390h</v>
      </c>
      <c r="L502" s="25" t="s">
        <v>1364</v>
      </c>
    </row>
    <row r="503" customFormat="false" ht="15" hidden="false" customHeight="false" outlineLevel="0" collapsed="false">
      <c r="A503" s="25" t="n">
        <v>3393309</v>
      </c>
      <c r="B503" s="25" t="s">
        <v>1369</v>
      </c>
      <c r="C503" s="25" t="s">
        <v>1370</v>
      </c>
      <c r="D503" s="26" t="n">
        <v>8700</v>
      </c>
      <c r="E503" s="27" t="n">
        <v>5.06048074738138</v>
      </c>
      <c r="F503" s="27" t="n">
        <v>5.06048074738138</v>
      </c>
      <c r="G503" s="25" t="s">
        <v>1362</v>
      </c>
      <c r="H503" s="25" t="s">
        <v>1363</v>
      </c>
      <c r="I503" s="25" t="n">
        <f aca="false">IFERROR(IF(INDEX(Documents!$C$5:$C$657,MATCH(H503,Documents!$A$5:$A$657,0))="","",INDEX(Documents!$C$5:$C$657,MATCH(H503,Documents!$A$5:$A$657,0))),"")</f>
        <v>2010</v>
      </c>
      <c r="J503" s="25" t="str">
        <f aca="false">IFERROR(IF(INDEX(Documents!$D$5:$D$657,MATCH(H503,Documents!$A$5:$A$657,0))="","",INDEX(Documents!$D$5:$D$657,MATCH(H503,Documents!$A$5:$A$657,0))),"")</f>
        <v>J Med Chem</v>
      </c>
      <c r="K503" s="25" t="str">
        <f aca="false">IFERROR(IF(INDEX(Documents!$G$5:$G$657,MATCH(H503,Documents!$A$5:$A$657,0))="","",INDEX(Documents!$G$5:$G$657,MATCH(H503,Documents!$A$5:$A$657,0))),"")</f>
        <v>10.1021/jm100390h</v>
      </c>
      <c r="L503" s="25" t="s">
        <v>1364</v>
      </c>
    </row>
    <row r="504" customFormat="false" ht="15" hidden="false" customHeight="false" outlineLevel="0" collapsed="false">
      <c r="A504" s="25" t="n">
        <v>3393318</v>
      </c>
      <c r="B504" s="25" t="s">
        <v>1371</v>
      </c>
      <c r="C504" s="25" t="s">
        <v>1372</v>
      </c>
      <c r="D504" s="26" t="n">
        <v>15000</v>
      </c>
      <c r="E504" s="27" t="n">
        <v>4.82390874094432</v>
      </c>
      <c r="F504" s="27" t="n">
        <v>4.82390874094432</v>
      </c>
      <c r="G504" s="25" t="s">
        <v>1362</v>
      </c>
      <c r="H504" s="25" t="s">
        <v>1363</v>
      </c>
      <c r="I504" s="25" t="n">
        <f aca="false">IFERROR(IF(INDEX(Documents!$C$5:$C$657,MATCH(H504,Documents!$A$5:$A$657,0))="","",INDEX(Documents!$C$5:$C$657,MATCH(H504,Documents!$A$5:$A$657,0))),"")</f>
        <v>2010</v>
      </c>
      <c r="J504" s="25" t="str">
        <f aca="false">IFERROR(IF(INDEX(Documents!$D$5:$D$657,MATCH(H504,Documents!$A$5:$A$657,0))="","",INDEX(Documents!$D$5:$D$657,MATCH(H504,Documents!$A$5:$A$657,0))),"")</f>
        <v>J Med Chem</v>
      </c>
      <c r="K504" s="25" t="str">
        <f aca="false">IFERROR(IF(INDEX(Documents!$G$5:$G$657,MATCH(H504,Documents!$A$5:$A$657,0))="","",INDEX(Documents!$G$5:$G$657,MATCH(H504,Documents!$A$5:$A$657,0))),"")</f>
        <v>10.1021/jm100390h</v>
      </c>
      <c r="L504" s="25" t="s">
        <v>1364</v>
      </c>
    </row>
    <row r="505" customFormat="false" ht="15" hidden="false" customHeight="false" outlineLevel="0" collapsed="false">
      <c r="A505" s="25" t="n">
        <v>3393315</v>
      </c>
      <c r="B505" s="25" t="s">
        <v>1373</v>
      </c>
      <c r="C505" s="25" t="s">
        <v>1374</v>
      </c>
      <c r="D505" s="26" t="n">
        <v>2700</v>
      </c>
      <c r="E505" s="27" t="n">
        <v>5.56863623584101</v>
      </c>
      <c r="F505" s="27" t="n">
        <v>5.56863623584101</v>
      </c>
      <c r="G505" s="25" t="s">
        <v>1362</v>
      </c>
      <c r="H505" s="25" t="s">
        <v>1363</v>
      </c>
      <c r="I505" s="25" t="n">
        <f aca="false">IFERROR(IF(INDEX(Documents!$C$5:$C$657,MATCH(H505,Documents!$A$5:$A$657,0))="","",INDEX(Documents!$C$5:$C$657,MATCH(H505,Documents!$A$5:$A$657,0))),"")</f>
        <v>2010</v>
      </c>
      <c r="J505" s="25" t="str">
        <f aca="false">IFERROR(IF(INDEX(Documents!$D$5:$D$657,MATCH(H505,Documents!$A$5:$A$657,0))="","",INDEX(Documents!$D$5:$D$657,MATCH(H505,Documents!$A$5:$A$657,0))),"")</f>
        <v>J Med Chem</v>
      </c>
      <c r="K505" s="25" t="str">
        <f aca="false">IFERROR(IF(INDEX(Documents!$G$5:$G$657,MATCH(H505,Documents!$A$5:$A$657,0))="","",INDEX(Documents!$G$5:$G$657,MATCH(H505,Documents!$A$5:$A$657,0))),"")</f>
        <v>10.1021/jm100390h</v>
      </c>
      <c r="L505" s="25" t="s">
        <v>1364</v>
      </c>
    </row>
    <row r="506" customFormat="false" ht="15" hidden="false" customHeight="false" outlineLevel="0" collapsed="false">
      <c r="A506" s="25" t="n">
        <v>10981838</v>
      </c>
      <c r="B506" s="25" t="s">
        <v>1375</v>
      </c>
      <c r="C506" s="25" t="s">
        <v>1376</v>
      </c>
      <c r="D506" s="26" t="n">
        <v>158.6</v>
      </c>
      <c r="E506" s="27" t="n">
        <v>6.79969681701842</v>
      </c>
      <c r="F506" s="27" t="n">
        <v>6.79969681701842</v>
      </c>
      <c r="G506" s="25" t="s">
        <v>1377</v>
      </c>
      <c r="H506" s="25" t="s">
        <v>1378</v>
      </c>
      <c r="I506" s="25" t="n">
        <f aca="false">IFERROR(IF(INDEX(Documents!$C$5:$C$657,MATCH(H506,Documents!$A$5:$A$657,0))="","",INDEX(Documents!$C$5:$C$657,MATCH(H506,Documents!$A$5:$A$657,0))),"")</f>
        <v>2012</v>
      </c>
      <c r="J506" s="25" t="str">
        <f aca="false">IFERROR(IF(INDEX(Documents!$D$5:$D$657,MATCH(H506,Documents!$A$5:$A$657,0))="","",INDEX(Documents!$D$5:$D$657,MATCH(H506,Documents!$A$5:$A$657,0))),"")</f>
        <v>Bioorg Med Chem Lett</v>
      </c>
      <c r="K506" s="25" t="str">
        <f aca="false">IFERROR(IF(INDEX(Documents!$G$5:$G$657,MATCH(H506,Documents!$A$5:$A$657,0))="","",INDEX(Documents!$G$5:$G$657,MATCH(H506,Documents!$A$5:$A$657,0))),"")</f>
        <v>10.1016/j.bmcl.2012.06.013</v>
      </c>
      <c r="L506" s="25" t="s">
        <v>1379</v>
      </c>
    </row>
    <row r="507" customFormat="false" ht="15" hidden="false" customHeight="false" outlineLevel="0" collapsed="false">
      <c r="A507" s="25" t="n">
        <v>10981828</v>
      </c>
      <c r="B507" s="25" t="s">
        <v>1380</v>
      </c>
      <c r="C507" s="25" t="s">
        <v>1381</v>
      </c>
      <c r="D507" s="26" t="n">
        <v>209.4</v>
      </c>
      <c r="E507" s="27" t="n">
        <v>6.67902332265718</v>
      </c>
      <c r="F507" s="27" t="n">
        <v>6.67902332265718</v>
      </c>
      <c r="G507" s="25" t="s">
        <v>1377</v>
      </c>
      <c r="H507" s="25" t="s">
        <v>1378</v>
      </c>
      <c r="I507" s="25" t="n">
        <f aca="false">IFERROR(IF(INDEX(Documents!$C$5:$C$657,MATCH(H507,Documents!$A$5:$A$657,0))="","",INDEX(Documents!$C$5:$C$657,MATCH(H507,Documents!$A$5:$A$657,0))),"")</f>
        <v>2012</v>
      </c>
      <c r="J507" s="25" t="str">
        <f aca="false">IFERROR(IF(INDEX(Documents!$D$5:$D$657,MATCH(H507,Documents!$A$5:$A$657,0))="","",INDEX(Documents!$D$5:$D$657,MATCH(H507,Documents!$A$5:$A$657,0))),"")</f>
        <v>Bioorg Med Chem Lett</v>
      </c>
      <c r="K507" s="25" t="str">
        <f aca="false">IFERROR(IF(INDEX(Documents!$G$5:$G$657,MATCH(H507,Documents!$A$5:$A$657,0))="","",INDEX(Documents!$G$5:$G$657,MATCH(H507,Documents!$A$5:$A$657,0))),"")</f>
        <v>10.1016/j.bmcl.2012.06.013</v>
      </c>
      <c r="L507" s="25" t="s">
        <v>1379</v>
      </c>
    </row>
    <row r="508" customFormat="false" ht="15" hidden="false" customHeight="false" outlineLevel="0" collapsed="false">
      <c r="A508" s="25" t="n">
        <v>10981831</v>
      </c>
      <c r="B508" s="25" t="s">
        <v>1382</v>
      </c>
      <c r="C508" s="25" t="s">
        <v>1383</v>
      </c>
      <c r="D508" s="26" t="n">
        <v>113.1</v>
      </c>
      <c r="E508" s="27" t="n">
        <v>6.94653739507455</v>
      </c>
      <c r="F508" s="27" t="n">
        <v>6.94653739507455</v>
      </c>
      <c r="G508" s="25" t="s">
        <v>1377</v>
      </c>
      <c r="H508" s="25" t="s">
        <v>1378</v>
      </c>
      <c r="I508" s="25" t="n">
        <f aca="false">IFERROR(IF(INDEX(Documents!$C$5:$C$657,MATCH(H508,Documents!$A$5:$A$657,0))="","",INDEX(Documents!$C$5:$C$657,MATCH(H508,Documents!$A$5:$A$657,0))),"")</f>
        <v>2012</v>
      </c>
      <c r="J508" s="25" t="str">
        <f aca="false">IFERROR(IF(INDEX(Documents!$D$5:$D$657,MATCH(H508,Documents!$A$5:$A$657,0))="","",INDEX(Documents!$D$5:$D$657,MATCH(H508,Documents!$A$5:$A$657,0))),"")</f>
        <v>Bioorg Med Chem Lett</v>
      </c>
      <c r="K508" s="25" t="str">
        <f aca="false">IFERROR(IF(INDEX(Documents!$G$5:$G$657,MATCH(H508,Documents!$A$5:$A$657,0))="","",INDEX(Documents!$G$5:$G$657,MATCH(H508,Documents!$A$5:$A$657,0))),"")</f>
        <v>10.1016/j.bmcl.2012.06.013</v>
      </c>
      <c r="L508" s="25" t="s">
        <v>1379</v>
      </c>
    </row>
    <row r="509" customFormat="false" ht="15" hidden="false" customHeight="false" outlineLevel="0" collapsed="false">
      <c r="A509" s="25" t="n">
        <v>10981837</v>
      </c>
      <c r="B509" s="25" t="s">
        <v>1384</v>
      </c>
      <c r="C509" s="25" t="s">
        <v>1385</v>
      </c>
      <c r="D509" s="26" t="n">
        <v>37.3</v>
      </c>
      <c r="E509" s="27" t="n">
        <v>7.42829116819131</v>
      </c>
      <c r="F509" s="27" t="n">
        <v>7.42829116819131</v>
      </c>
      <c r="G509" s="25" t="s">
        <v>1377</v>
      </c>
      <c r="H509" s="25" t="s">
        <v>1378</v>
      </c>
      <c r="I509" s="25" t="n">
        <f aca="false">IFERROR(IF(INDEX(Documents!$C$5:$C$657,MATCH(H509,Documents!$A$5:$A$657,0))="","",INDEX(Documents!$C$5:$C$657,MATCH(H509,Documents!$A$5:$A$657,0))),"")</f>
        <v>2012</v>
      </c>
      <c r="J509" s="25" t="str">
        <f aca="false">IFERROR(IF(INDEX(Documents!$D$5:$D$657,MATCH(H509,Documents!$A$5:$A$657,0))="","",INDEX(Documents!$D$5:$D$657,MATCH(H509,Documents!$A$5:$A$657,0))),"")</f>
        <v>Bioorg Med Chem Lett</v>
      </c>
      <c r="K509" s="25" t="str">
        <f aca="false">IFERROR(IF(INDEX(Documents!$G$5:$G$657,MATCH(H509,Documents!$A$5:$A$657,0))="","",INDEX(Documents!$G$5:$G$657,MATCH(H509,Documents!$A$5:$A$657,0))),"")</f>
        <v>10.1016/j.bmcl.2012.06.013</v>
      </c>
      <c r="L509" s="25" t="s">
        <v>1379</v>
      </c>
    </row>
    <row r="510" customFormat="false" ht="15" hidden="false" customHeight="false" outlineLevel="0" collapsed="false">
      <c r="A510" s="25" t="n">
        <v>10981827</v>
      </c>
      <c r="B510" s="25" t="s">
        <v>1386</v>
      </c>
      <c r="C510" s="25" t="s">
        <v>1387</v>
      </c>
      <c r="D510" s="26" t="n">
        <v>587</v>
      </c>
      <c r="E510" s="27" t="n">
        <v>6.23136189875239</v>
      </c>
      <c r="F510" s="27" t="n">
        <v>6.23136189875239</v>
      </c>
      <c r="G510" s="25" t="s">
        <v>1377</v>
      </c>
      <c r="H510" s="25" t="s">
        <v>1378</v>
      </c>
      <c r="I510" s="25" t="n">
        <f aca="false">IFERROR(IF(INDEX(Documents!$C$5:$C$657,MATCH(H510,Documents!$A$5:$A$657,0))="","",INDEX(Documents!$C$5:$C$657,MATCH(H510,Documents!$A$5:$A$657,0))),"")</f>
        <v>2012</v>
      </c>
      <c r="J510" s="25" t="str">
        <f aca="false">IFERROR(IF(INDEX(Documents!$D$5:$D$657,MATCH(H510,Documents!$A$5:$A$657,0))="","",INDEX(Documents!$D$5:$D$657,MATCH(H510,Documents!$A$5:$A$657,0))),"")</f>
        <v>Bioorg Med Chem Lett</v>
      </c>
      <c r="K510" s="25" t="str">
        <f aca="false">IFERROR(IF(INDEX(Documents!$G$5:$G$657,MATCH(H510,Documents!$A$5:$A$657,0))="","",INDEX(Documents!$G$5:$G$657,MATCH(H510,Documents!$A$5:$A$657,0))),"")</f>
        <v>10.1016/j.bmcl.2012.06.013</v>
      </c>
      <c r="L510" s="25" t="s">
        <v>1379</v>
      </c>
    </row>
    <row r="511" customFormat="false" ht="15" hidden="false" customHeight="false" outlineLevel="0" collapsed="false">
      <c r="A511" s="25" t="n">
        <v>10981830</v>
      </c>
      <c r="B511" s="25" t="s">
        <v>1388</v>
      </c>
      <c r="C511" s="25" t="s">
        <v>1389</v>
      </c>
      <c r="D511" s="26" t="n">
        <v>1551</v>
      </c>
      <c r="E511" s="27" t="n">
        <v>5.8093882021864</v>
      </c>
      <c r="F511" s="27" t="n">
        <v>5.8093882021864</v>
      </c>
      <c r="G511" s="25" t="s">
        <v>1377</v>
      </c>
      <c r="H511" s="25" t="s">
        <v>1378</v>
      </c>
      <c r="I511" s="25" t="n">
        <f aca="false">IFERROR(IF(INDEX(Documents!$C$5:$C$657,MATCH(H511,Documents!$A$5:$A$657,0))="","",INDEX(Documents!$C$5:$C$657,MATCH(H511,Documents!$A$5:$A$657,0))),"")</f>
        <v>2012</v>
      </c>
      <c r="J511" s="25" t="str">
        <f aca="false">IFERROR(IF(INDEX(Documents!$D$5:$D$657,MATCH(H511,Documents!$A$5:$A$657,0))="","",INDEX(Documents!$D$5:$D$657,MATCH(H511,Documents!$A$5:$A$657,0))),"")</f>
        <v>Bioorg Med Chem Lett</v>
      </c>
      <c r="K511" s="25" t="str">
        <f aca="false">IFERROR(IF(INDEX(Documents!$G$5:$G$657,MATCH(H511,Documents!$A$5:$A$657,0))="","",INDEX(Documents!$G$5:$G$657,MATCH(H511,Documents!$A$5:$A$657,0))),"")</f>
        <v>10.1016/j.bmcl.2012.06.013</v>
      </c>
      <c r="L511" s="25" t="s">
        <v>1379</v>
      </c>
    </row>
    <row r="512" customFormat="false" ht="15" hidden="false" customHeight="false" outlineLevel="0" collapsed="false">
      <c r="A512" s="25" t="n">
        <v>10981829</v>
      </c>
      <c r="B512" s="25" t="s">
        <v>1390</v>
      </c>
      <c r="C512" s="25" t="s">
        <v>1391</v>
      </c>
      <c r="D512" s="26" t="n">
        <v>118.2</v>
      </c>
      <c r="E512" s="27" t="n">
        <v>6.92738252345476</v>
      </c>
      <c r="F512" s="27" t="n">
        <v>6.92738252345476</v>
      </c>
      <c r="G512" s="25" t="s">
        <v>1377</v>
      </c>
      <c r="H512" s="25" t="s">
        <v>1378</v>
      </c>
      <c r="I512" s="25" t="n">
        <f aca="false">IFERROR(IF(INDEX(Documents!$C$5:$C$657,MATCH(H512,Documents!$A$5:$A$657,0))="","",INDEX(Documents!$C$5:$C$657,MATCH(H512,Documents!$A$5:$A$657,0))),"")</f>
        <v>2012</v>
      </c>
      <c r="J512" s="25" t="str">
        <f aca="false">IFERROR(IF(INDEX(Documents!$D$5:$D$657,MATCH(H512,Documents!$A$5:$A$657,0))="","",INDEX(Documents!$D$5:$D$657,MATCH(H512,Documents!$A$5:$A$657,0))),"")</f>
        <v>Bioorg Med Chem Lett</v>
      </c>
      <c r="K512" s="25" t="str">
        <f aca="false">IFERROR(IF(INDEX(Documents!$G$5:$G$657,MATCH(H512,Documents!$A$5:$A$657,0))="","",INDEX(Documents!$G$5:$G$657,MATCH(H512,Documents!$A$5:$A$657,0))),"")</f>
        <v>10.1016/j.bmcl.2012.06.013</v>
      </c>
      <c r="L512" s="25" t="s">
        <v>1379</v>
      </c>
    </row>
    <row r="513" customFormat="false" ht="15" hidden="false" customHeight="false" outlineLevel="0" collapsed="false">
      <c r="A513" s="25" t="n">
        <v>10981832</v>
      </c>
      <c r="B513" s="25" t="s">
        <v>1392</v>
      </c>
      <c r="C513" s="25" t="s">
        <v>1393</v>
      </c>
      <c r="D513" s="26" t="n">
        <v>124.8</v>
      </c>
      <c r="E513" s="27" t="n">
        <v>6.90378541465359</v>
      </c>
      <c r="F513" s="27" t="n">
        <v>6.90378541465359</v>
      </c>
      <c r="G513" s="25" t="s">
        <v>1377</v>
      </c>
      <c r="H513" s="25" t="s">
        <v>1378</v>
      </c>
      <c r="I513" s="25" t="n">
        <f aca="false">IFERROR(IF(INDEX(Documents!$C$5:$C$657,MATCH(H513,Documents!$A$5:$A$657,0))="","",INDEX(Documents!$C$5:$C$657,MATCH(H513,Documents!$A$5:$A$657,0))),"")</f>
        <v>2012</v>
      </c>
      <c r="J513" s="25" t="str">
        <f aca="false">IFERROR(IF(INDEX(Documents!$D$5:$D$657,MATCH(H513,Documents!$A$5:$A$657,0))="","",INDEX(Documents!$D$5:$D$657,MATCH(H513,Documents!$A$5:$A$657,0))),"")</f>
        <v>Bioorg Med Chem Lett</v>
      </c>
      <c r="K513" s="25" t="str">
        <f aca="false">IFERROR(IF(INDEX(Documents!$G$5:$G$657,MATCH(H513,Documents!$A$5:$A$657,0))="","",INDEX(Documents!$G$5:$G$657,MATCH(H513,Documents!$A$5:$A$657,0))),"")</f>
        <v>10.1016/j.bmcl.2012.06.013</v>
      </c>
      <c r="L513" s="25" t="s">
        <v>1379</v>
      </c>
    </row>
    <row r="514" customFormat="false" ht="15" hidden="false" customHeight="false" outlineLevel="0" collapsed="false">
      <c r="A514" s="25" t="n">
        <v>3508911</v>
      </c>
      <c r="B514" s="25" t="s">
        <v>1394</v>
      </c>
      <c r="C514" s="25" t="s">
        <v>1395</v>
      </c>
      <c r="D514" s="26" t="n">
        <v>5.88</v>
      </c>
      <c r="E514" s="27" t="n">
        <v>8.23062267392386</v>
      </c>
      <c r="F514" s="27" t="n">
        <v>8.23062267392386</v>
      </c>
      <c r="G514" s="25" t="s">
        <v>1396</v>
      </c>
      <c r="H514" s="25" t="s">
        <v>1397</v>
      </c>
      <c r="I514" s="25" t="n">
        <f aca="false">IFERROR(IF(INDEX(Documents!$C$5:$C$657,MATCH(H514,Documents!$A$5:$A$657,0))="","",INDEX(Documents!$C$5:$C$657,MATCH(H514,Documents!$A$5:$A$657,0))),"")</f>
        <v>2010</v>
      </c>
      <c r="J514" s="25" t="str">
        <f aca="false">IFERROR(IF(INDEX(Documents!$D$5:$D$657,MATCH(H514,Documents!$A$5:$A$657,0))="","",INDEX(Documents!$D$5:$D$657,MATCH(H514,Documents!$A$5:$A$657,0))),"")</f>
        <v>J Med Chem</v>
      </c>
      <c r="K514" s="25" t="str">
        <f aca="false">IFERROR(IF(INDEX(Documents!$G$5:$G$657,MATCH(H514,Documents!$A$5:$A$657,0))="","",INDEX(Documents!$G$5:$G$657,MATCH(H514,Documents!$A$5:$A$657,0))),"")</f>
        <v>10.1021/jm100641g</v>
      </c>
      <c r="L514" s="25" t="s">
        <v>1398</v>
      </c>
    </row>
    <row r="515" customFormat="false" ht="15" hidden="false" customHeight="false" outlineLevel="0" collapsed="false">
      <c r="A515" s="25" t="n">
        <v>3508914</v>
      </c>
      <c r="B515" s="25" t="s">
        <v>1399</v>
      </c>
      <c r="C515" s="25" t="s">
        <v>1400</v>
      </c>
      <c r="D515" s="26" t="n">
        <v>1.63</v>
      </c>
      <c r="E515" s="27" t="n">
        <v>8.78781239559604</v>
      </c>
      <c r="F515" s="27" t="n">
        <v>8.78781239559604</v>
      </c>
      <c r="G515" s="25" t="s">
        <v>1396</v>
      </c>
      <c r="H515" s="25" t="s">
        <v>1397</v>
      </c>
      <c r="I515" s="25" t="n">
        <f aca="false">IFERROR(IF(INDEX(Documents!$C$5:$C$657,MATCH(H515,Documents!$A$5:$A$657,0))="","",INDEX(Documents!$C$5:$C$657,MATCH(H515,Documents!$A$5:$A$657,0))),"")</f>
        <v>2010</v>
      </c>
      <c r="J515" s="25" t="str">
        <f aca="false">IFERROR(IF(INDEX(Documents!$D$5:$D$657,MATCH(H515,Documents!$A$5:$A$657,0))="","",INDEX(Documents!$D$5:$D$657,MATCH(H515,Documents!$A$5:$A$657,0))),"")</f>
        <v>J Med Chem</v>
      </c>
      <c r="K515" s="25" t="str">
        <f aca="false">IFERROR(IF(INDEX(Documents!$G$5:$G$657,MATCH(H515,Documents!$A$5:$A$657,0))="","",INDEX(Documents!$G$5:$G$657,MATCH(H515,Documents!$A$5:$A$657,0))),"")</f>
        <v>10.1021/jm100641g</v>
      </c>
      <c r="L515" s="25" t="s">
        <v>1398</v>
      </c>
    </row>
    <row r="516" customFormat="false" ht="15" hidden="false" customHeight="false" outlineLevel="0" collapsed="false">
      <c r="A516" s="25" t="n">
        <v>3508913</v>
      </c>
      <c r="B516" s="25" t="s">
        <v>1401</v>
      </c>
      <c r="C516" s="25" t="s">
        <v>1402</v>
      </c>
      <c r="D516" s="26" t="n">
        <v>1.62</v>
      </c>
      <c r="E516" s="27" t="n">
        <v>8.79048498545737</v>
      </c>
      <c r="F516" s="27" t="n">
        <v>8.79048498545737</v>
      </c>
      <c r="G516" s="25" t="s">
        <v>1396</v>
      </c>
      <c r="H516" s="25" t="s">
        <v>1397</v>
      </c>
      <c r="I516" s="25" t="n">
        <f aca="false">IFERROR(IF(INDEX(Documents!$C$5:$C$657,MATCH(H516,Documents!$A$5:$A$657,0))="","",INDEX(Documents!$C$5:$C$657,MATCH(H516,Documents!$A$5:$A$657,0))),"")</f>
        <v>2010</v>
      </c>
      <c r="J516" s="25" t="str">
        <f aca="false">IFERROR(IF(INDEX(Documents!$D$5:$D$657,MATCH(H516,Documents!$A$5:$A$657,0))="","",INDEX(Documents!$D$5:$D$657,MATCH(H516,Documents!$A$5:$A$657,0))),"")</f>
        <v>J Med Chem</v>
      </c>
      <c r="K516" s="25" t="str">
        <f aca="false">IFERROR(IF(INDEX(Documents!$G$5:$G$657,MATCH(H516,Documents!$A$5:$A$657,0))="","",INDEX(Documents!$G$5:$G$657,MATCH(H516,Documents!$A$5:$A$657,0))),"")</f>
        <v>10.1021/jm100641g</v>
      </c>
      <c r="L516" s="25" t="s">
        <v>1398</v>
      </c>
    </row>
    <row r="517" customFormat="false" ht="15" hidden="false" customHeight="false" outlineLevel="0" collapsed="false">
      <c r="A517" s="25" t="n">
        <v>3508909</v>
      </c>
      <c r="B517" s="25" t="s">
        <v>1403</v>
      </c>
      <c r="C517" s="25" t="s">
        <v>1404</v>
      </c>
      <c r="D517" s="26" t="n">
        <v>1.32</v>
      </c>
      <c r="E517" s="27" t="n">
        <v>8.87942606879415</v>
      </c>
      <c r="F517" s="27" t="n">
        <v>8.87942606879415</v>
      </c>
      <c r="G517" s="25" t="s">
        <v>1396</v>
      </c>
      <c r="H517" s="25" t="s">
        <v>1397</v>
      </c>
      <c r="I517" s="25" t="n">
        <f aca="false">IFERROR(IF(INDEX(Documents!$C$5:$C$657,MATCH(H517,Documents!$A$5:$A$657,0))="","",INDEX(Documents!$C$5:$C$657,MATCH(H517,Documents!$A$5:$A$657,0))),"")</f>
        <v>2010</v>
      </c>
      <c r="J517" s="25" t="str">
        <f aca="false">IFERROR(IF(INDEX(Documents!$D$5:$D$657,MATCH(H517,Documents!$A$5:$A$657,0))="","",INDEX(Documents!$D$5:$D$657,MATCH(H517,Documents!$A$5:$A$657,0))),"")</f>
        <v>J Med Chem</v>
      </c>
      <c r="K517" s="25" t="str">
        <f aca="false">IFERROR(IF(INDEX(Documents!$G$5:$G$657,MATCH(H517,Documents!$A$5:$A$657,0))="","",INDEX(Documents!$G$5:$G$657,MATCH(H517,Documents!$A$5:$A$657,0))),"")</f>
        <v>10.1021/jm100641g</v>
      </c>
      <c r="L517" s="25" t="s">
        <v>1398</v>
      </c>
    </row>
    <row r="518" customFormat="false" ht="15" hidden="false" customHeight="false" outlineLevel="0" collapsed="false">
      <c r="A518" s="25" t="n">
        <v>3508910</v>
      </c>
      <c r="B518" s="25" t="s">
        <v>1405</v>
      </c>
      <c r="C518" s="25" t="s">
        <v>1406</v>
      </c>
      <c r="D518" s="26" t="n">
        <v>3.02</v>
      </c>
      <c r="E518" s="27" t="n">
        <v>8.51999305704285</v>
      </c>
      <c r="F518" s="27" t="n">
        <v>8.51999305704285</v>
      </c>
      <c r="G518" s="25" t="s">
        <v>1396</v>
      </c>
      <c r="H518" s="25" t="s">
        <v>1397</v>
      </c>
      <c r="I518" s="25" t="n">
        <f aca="false">IFERROR(IF(INDEX(Documents!$C$5:$C$657,MATCH(H518,Documents!$A$5:$A$657,0))="","",INDEX(Documents!$C$5:$C$657,MATCH(H518,Documents!$A$5:$A$657,0))),"")</f>
        <v>2010</v>
      </c>
      <c r="J518" s="25" t="str">
        <f aca="false">IFERROR(IF(INDEX(Documents!$D$5:$D$657,MATCH(H518,Documents!$A$5:$A$657,0))="","",INDEX(Documents!$D$5:$D$657,MATCH(H518,Documents!$A$5:$A$657,0))),"")</f>
        <v>J Med Chem</v>
      </c>
      <c r="K518" s="25" t="str">
        <f aca="false">IFERROR(IF(INDEX(Documents!$G$5:$G$657,MATCH(H518,Documents!$A$5:$A$657,0))="","",INDEX(Documents!$G$5:$G$657,MATCH(H518,Documents!$A$5:$A$657,0))),"")</f>
        <v>10.1021/jm100641g</v>
      </c>
      <c r="L518" s="25" t="s">
        <v>1398</v>
      </c>
    </row>
    <row r="519" customFormat="false" ht="15" hidden="false" customHeight="false" outlineLevel="0" collapsed="false">
      <c r="A519" s="25" t="n">
        <v>24382914</v>
      </c>
      <c r="B519" s="25" t="s">
        <v>1407</v>
      </c>
      <c r="C519" s="25" t="s">
        <v>1408</v>
      </c>
      <c r="D519" s="26" t="n">
        <v>1.4</v>
      </c>
      <c r="E519" s="27" t="n">
        <v>8.85387196432176</v>
      </c>
      <c r="F519" s="27" t="n">
        <v>8.85387196432176</v>
      </c>
      <c r="G519" s="25" t="s">
        <v>939</v>
      </c>
      <c r="H519" s="25" t="s">
        <v>940</v>
      </c>
      <c r="I519" s="25" t="n">
        <f aca="false">IFERROR(IF(INDEX(Documents!$C$5:$C$657,MATCH(H519,Documents!$A$5:$A$657,0))="","",INDEX(Documents!$C$5:$C$657,MATCH(H519,Documents!$A$5:$A$657,0))),"")</f>
        <v>2021</v>
      </c>
      <c r="J519" s="25" t="str">
        <f aca="false">IFERROR(IF(INDEX(Documents!$D$5:$D$657,MATCH(H519,Documents!$A$5:$A$657,0))="","",INDEX(Documents!$D$5:$D$657,MATCH(H519,Documents!$A$5:$A$657,0))),"")</f>
        <v>J Med Chem</v>
      </c>
      <c r="K519" s="25" t="str">
        <f aca="false">IFERROR(IF(INDEX(Documents!$G$5:$G$657,MATCH(H519,Documents!$A$5:$A$657,0))="","",INDEX(Documents!$G$5:$G$657,MATCH(H519,Documents!$A$5:$A$657,0))),"")</f>
        <v>10.1021/acs.jmedchem.0c02053</v>
      </c>
      <c r="L519" s="25" t="s">
        <v>941</v>
      </c>
    </row>
    <row r="520" customFormat="false" ht="15" hidden="false" customHeight="false" outlineLevel="0" collapsed="false">
      <c r="A520" s="25" t="n">
        <v>24382919</v>
      </c>
      <c r="B520" s="25" t="s">
        <v>1409</v>
      </c>
      <c r="C520" s="25" t="s">
        <v>1410</v>
      </c>
      <c r="D520" s="26" t="n">
        <v>0.6</v>
      </c>
      <c r="E520" s="27" t="n">
        <v>9.22184874961636</v>
      </c>
      <c r="F520" s="27" t="n">
        <v>9.22184874961636</v>
      </c>
      <c r="G520" s="25" t="s">
        <v>939</v>
      </c>
      <c r="H520" s="25" t="s">
        <v>940</v>
      </c>
      <c r="I520" s="25" t="n">
        <f aca="false">IFERROR(IF(INDEX(Documents!$C$5:$C$657,MATCH(H520,Documents!$A$5:$A$657,0))="","",INDEX(Documents!$C$5:$C$657,MATCH(H520,Documents!$A$5:$A$657,0))),"")</f>
        <v>2021</v>
      </c>
      <c r="J520" s="25" t="str">
        <f aca="false">IFERROR(IF(INDEX(Documents!$D$5:$D$657,MATCH(H520,Documents!$A$5:$A$657,0))="","",INDEX(Documents!$D$5:$D$657,MATCH(H520,Documents!$A$5:$A$657,0))),"")</f>
        <v>J Med Chem</v>
      </c>
      <c r="K520" s="25" t="str">
        <f aca="false">IFERROR(IF(INDEX(Documents!$G$5:$G$657,MATCH(H520,Documents!$A$5:$A$657,0))="","",INDEX(Documents!$G$5:$G$657,MATCH(H520,Documents!$A$5:$A$657,0))),"")</f>
        <v>10.1021/acs.jmedchem.0c02053</v>
      </c>
      <c r="L520" s="25" t="s">
        <v>941</v>
      </c>
    </row>
    <row r="521" customFormat="false" ht="15" hidden="false" customHeight="false" outlineLevel="0" collapsed="false">
      <c r="A521" s="25" t="n">
        <v>24382918</v>
      </c>
      <c r="B521" s="25" t="s">
        <v>1411</v>
      </c>
      <c r="C521" s="25" t="s">
        <v>1412</v>
      </c>
      <c r="D521" s="26" t="n">
        <v>0.3</v>
      </c>
      <c r="E521" s="27" t="n">
        <v>9.52287874528034</v>
      </c>
      <c r="F521" s="27" t="n">
        <v>9.52287874528034</v>
      </c>
      <c r="G521" s="25" t="s">
        <v>939</v>
      </c>
      <c r="H521" s="25" t="s">
        <v>940</v>
      </c>
      <c r="I521" s="25" t="n">
        <f aca="false">IFERROR(IF(INDEX(Documents!$C$5:$C$657,MATCH(H521,Documents!$A$5:$A$657,0))="","",INDEX(Documents!$C$5:$C$657,MATCH(H521,Documents!$A$5:$A$657,0))),"")</f>
        <v>2021</v>
      </c>
      <c r="J521" s="25" t="str">
        <f aca="false">IFERROR(IF(INDEX(Documents!$D$5:$D$657,MATCH(H521,Documents!$A$5:$A$657,0))="","",INDEX(Documents!$D$5:$D$657,MATCH(H521,Documents!$A$5:$A$657,0))),"")</f>
        <v>J Med Chem</v>
      </c>
      <c r="K521" s="25" t="str">
        <f aca="false">IFERROR(IF(INDEX(Documents!$G$5:$G$657,MATCH(H521,Documents!$A$5:$A$657,0))="","",INDEX(Documents!$G$5:$G$657,MATCH(H521,Documents!$A$5:$A$657,0))),"")</f>
        <v>10.1021/acs.jmedchem.0c02053</v>
      </c>
      <c r="L521" s="25" t="s">
        <v>941</v>
      </c>
    </row>
    <row r="522" customFormat="false" ht="15" hidden="false" customHeight="false" outlineLevel="0" collapsed="false">
      <c r="A522" s="25" t="n">
        <v>24382915</v>
      </c>
      <c r="B522" s="25" t="s">
        <v>1413</v>
      </c>
      <c r="C522" s="25" t="s">
        <v>1414</v>
      </c>
      <c r="D522" s="26" t="n">
        <v>0.4</v>
      </c>
      <c r="E522" s="27" t="n">
        <v>9.39794000867204</v>
      </c>
      <c r="F522" s="27" t="n">
        <v>9.39794000867204</v>
      </c>
      <c r="G522" s="25" t="s">
        <v>939</v>
      </c>
      <c r="H522" s="25" t="s">
        <v>940</v>
      </c>
      <c r="I522" s="25" t="n">
        <f aca="false">IFERROR(IF(INDEX(Documents!$C$5:$C$657,MATCH(H522,Documents!$A$5:$A$657,0))="","",INDEX(Documents!$C$5:$C$657,MATCH(H522,Documents!$A$5:$A$657,0))),"")</f>
        <v>2021</v>
      </c>
      <c r="J522" s="25" t="str">
        <f aca="false">IFERROR(IF(INDEX(Documents!$D$5:$D$657,MATCH(H522,Documents!$A$5:$A$657,0))="","",INDEX(Documents!$D$5:$D$657,MATCH(H522,Documents!$A$5:$A$657,0))),"")</f>
        <v>J Med Chem</v>
      </c>
      <c r="K522" s="25" t="str">
        <f aca="false">IFERROR(IF(INDEX(Documents!$G$5:$G$657,MATCH(H522,Documents!$A$5:$A$657,0))="","",INDEX(Documents!$G$5:$G$657,MATCH(H522,Documents!$A$5:$A$657,0))),"")</f>
        <v>10.1021/acs.jmedchem.0c02053</v>
      </c>
      <c r="L522" s="25" t="s">
        <v>941</v>
      </c>
    </row>
    <row r="523" customFormat="false" ht="15" hidden="false" customHeight="false" outlineLevel="0" collapsed="false">
      <c r="A523" s="25" t="n">
        <v>24382917</v>
      </c>
      <c r="B523" s="25" t="s">
        <v>1415</v>
      </c>
      <c r="C523" s="25" t="s">
        <v>1416</v>
      </c>
      <c r="D523" s="26" t="n">
        <v>4.2</v>
      </c>
      <c r="E523" s="27" t="n">
        <v>8.3767507096021</v>
      </c>
      <c r="F523" s="27" t="n">
        <v>8.3767507096021</v>
      </c>
      <c r="G523" s="25" t="s">
        <v>939</v>
      </c>
      <c r="H523" s="25" t="s">
        <v>940</v>
      </c>
      <c r="I523" s="25" t="n">
        <f aca="false">IFERROR(IF(INDEX(Documents!$C$5:$C$657,MATCH(H523,Documents!$A$5:$A$657,0))="","",INDEX(Documents!$C$5:$C$657,MATCH(H523,Documents!$A$5:$A$657,0))),"")</f>
        <v>2021</v>
      </c>
      <c r="J523" s="25" t="str">
        <f aca="false">IFERROR(IF(INDEX(Documents!$D$5:$D$657,MATCH(H523,Documents!$A$5:$A$657,0))="","",INDEX(Documents!$D$5:$D$657,MATCH(H523,Documents!$A$5:$A$657,0))),"")</f>
        <v>J Med Chem</v>
      </c>
      <c r="K523" s="25" t="str">
        <f aca="false">IFERROR(IF(INDEX(Documents!$G$5:$G$657,MATCH(H523,Documents!$A$5:$A$657,0))="","",INDEX(Documents!$G$5:$G$657,MATCH(H523,Documents!$A$5:$A$657,0))),"")</f>
        <v>10.1021/acs.jmedchem.0c02053</v>
      </c>
      <c r="L523" s="25" t="s">
        <v>941</v>
      </c>
    </row>
    <row r="524" customFormat="false" ht="15" hidden="false" customHeight="false" outlineLevel="0" collapsed="false">
      <c r="A524" s="25" t="n">
        <v>24382912</v>
      </c>
      <c r="B524" s="25" t="s">
        <v>1417</v>
      </c>
      <c r="C524" s="25" t="s">
        <v>1418</v>
      </c>
      <c r="D524" s="26" t="n">
        <v>1</v>
      </c>
      <c r="E524" s="27" t="n">
        <v>9</v>
      </c>
      <c r="F524" s="27" t="n">
        <v>9</v>
      </c>
      <c r="G524" s="25" t="s">
        <v>939</v>
      </c>
      <c r="H524" s="25" t="s">
        <v>940</v>
      </c>
      <c r="I524" s="25" t="n">
        <f aca="false">IFERROR(IF(INDEX(Documents!$C$5:$C$657,MATCH(H524,Documents!$A$5:$A$657,0))="","",INDEX(Documents!$C$5:$C$657,MATCH(H524,Documents!$A$5:$A$657,0))),"")</f>
        <v>2021</v>
      </c>
      <c r="J524" s="25" t="str">
        <f aca="false">IFERROR(IF(INDEX(Documents!$D$5:$D$657,MATCH(H524,Documents!$A$5:$A$657,0))="","",INDEX(Documents!$D$5:$D$657,MATCH(H524,Documents!$A$5:$A$657,0))),"")</f>
        <v>J Med Chem</v>
      </c>
      <c r="K524" s="25" t="str">
        <f aca="false">IFERROR(IF(INDEX(Documents!$G$5:$G$657,MATCH(H524,Documents!$A$5:$A$657,0))="","",INDEX(Documents!$G$5:$G$657,MATCH(H524,Documents!$A$5:$A$657,0))),"")</f>
        <v>10.1021/acs.jmedchem.0c02053</v>
      </c>
      <c r="L524" s="25" t="s">
        <v>941</v>
      </c>
    </row>
    <row r="525" customFormat="false" ht="15" hidden="false" customHeight="false" outlineLevel="0" collapsed="false">
      <c r="A525" s="25" t="n">
        <v>24382916</v>
      </c>
      <c r="B525" s="25" t="s">
        <v>1419</v>
      </c>
      <c r="C525" s="25" t="s">
        <v>1420</v>
      </c>
      <c r="D525" s="26" t="n">
        <v>1.5</v>
      </c>
      <c r="E525" s="27" t="n">
        <v>8.82390874094432</v>
      </c>
      <c r="F525" s="27" t="n">
        <v>8.82390874094432</v>
      </c>
      <c r="G525" s="25" t="s">
        <v>939</v>
      </c>
      <c r="H525" s="25" t="s">
        <v>940</v>
      </c>
      <c r="I525" s="25" t="n">
        <f aca="false">IFERROR(IF(INDEX(Documents!$C$5:$C$657,MATCH(H525,Documents!$A$5:$A$657,0))="","",INDEX(Documents!$C$5:$C$657,MATCH(H525,Documents!$A$5:$A$657,0))),"")</f>
        <v>2021</v>
      </c>
      <c r="J525" s="25" t="str">
        <f aca="false">IFERROR(IF(INDEX(Documents!$D$5:$D$657,MATCH(H525,Documents!$A$5:$A$657,0))="","",INDEX(Documents!$D$5:$D$657,MATCH(H525,Documents!$A$5:$A$657,0))),"")</f>
        <v>J Med Chem</v>
      </c>
      <c r="K525" s="25" t="str">
        <f aca="false">IFERROR(IF(INDEX(Documents!$G$5:$G$657,MATCH(H525,Documents!$A$5:$A$657,0))="","",INDEX(Documents!$G$5:$G$657,MATCH(H525,Documents!$A$5:$A$657,0))),"")</f>
        <v>10.1021/acs.jmedchem.0c02053</v>
      </c>
      <c r="L525" s="25" t="s">
        <v>941</v>
      </c>
    </row>
    <row r="526" customFormat="false" ht="15" hidden="false" customHeight="false" outlineLevel="0" collapsed="false">
      <c r="A526" s="25" t="n">
        <v>24382909</v>
      </c>
      <c r="B526" s="25" t="s">
        <v>1421</v>
      </c>
      <c r="C526" s="25" t="s">
        <v>1422</v>
      </c>
      <c r="D526" s="26" t="n">
        <v>1.5</v>
      </c>
      <c r="E526" s="27" t="n">
        <v>8.82390874094432</v>
      </c>
      <c r="F526" s="27" t="n">
        <v>8.82390874094432</v>
      </c>
      <c r="G526" s="25" t="s">
        <v>939</v>
      </c>
      <c r="H526" s="25" t="s">
        <v>940</v>
      </c>
      <c r="I526" s="25" t="n">
        <f aca="false">IFERROR(IF(INDEX(Documents!$C$5:$C$657,MATCH(H526,Documents!$A$5:$A$657,0))="","",INDEX(Documents!$C$5:$C$657,MATCH(H526,Documents!$A$5:$A$657,0))),"")</f>
        <v>2021</v>
      </c>
      <c r="J526" s="25" t="str">
        <f aca="false">IFERROR(IF(INDEX(Documents!$D$5:$D$657,MATCH(H526,Documents!$A$5:$A$657,0))="","",INDEX(Documents!$D$5:$D$657,MATCH(H526,Documents!$A$5:$A$657,0))),"")</f>
        <v>J Med Chem</v>
      </c>
      <c r="K526" s="25" t="str">
        <f aca="false">IFERROR(IF(INDEX(Documents!$G$5:$G$657,MATCH(H526,Documents!$A$5:$A$657,0))="","",INDEX(Documents!$G$5:$G$657,MATCH(H526,Documents!$A$5:$A$657,0))),"")</f>
        <v>10.1021/acs.jmedchem.0c02053</v>
      </c>
      <c r="L526" s="25" t="s">
        <v>941</v>
      </c>
    </row>
    <row r="527" customFormat="false" ht="15" hidden="false" customHeight="false" outlineLevel="0" collapsed="false">
      <c r="A527" s="25" t="n">
        <v>24382911</v>
      </c>
      <c r="B527" s="25" t="s">
        <v>1423</v>
      </c>
      <c r="C527" s="25" t="s">
        <v>1424</v>
      </c>
      <c r="D527" s="26" t="n">
        <v>1.3</v>
      </c>
      <c r="E527" s="27" t="n">
        <v>8.88605664769316</v>
      </c>
      <c r="F527" s="27" t="n">
        <v>8.88605664769316</v>
      </c>
      <c r="G527" s="25" t="s">
        <v>939</v>
      </c>
      <c r="H527" s="25" t="s">
        <v>940</v>
      </c>
      <c r="I527" s="25" t="n">
        <f aca="false">IFERROR(IF(INDEX(Documents!$C$5:$C$657,MATCH(H527,Documents!$A$5:$A$657,0))="","",INDEX(Documents!$C$5:$C$657,MATCH(H527,Documents!$A$5:$A$657,0))),"")</f>
        <v>2021</v>
      </c>
      <c r="J527" s="25" t="str">
        <f aca="false">IFERROR(IF(INDEX(Documents!$D$5:$D$657,MATCH(H527,Documents!$A$5:$A$657,0))="","",INDEX(Documents!$D$5:$D$657,MATCH(H527,Documents!$A$5:$A$657,0))),"")</f>
        <v>J Med Chem</v>
      </c>
      <c r="K527" s="25" t="str">
        <f aca="false">IFERROR(IF(INDEX(Documents!$G$5:$G$657,MATCH(H527,Documents!$A$5:$A$657,0))="","",INDEX(Documents!$G$5:$G$657,MATCH(H527,Documents!$A$5:$A$657,0))),"")</f>
        <v>10.1021/acs.jmedchem.0c02053</v>
      </c>
      <c r="L527" s="25" t="s">
        <v>941</v>
      </c>
    </row>
    <row r="528" customFormat="false" ht="15" hidden="false" customHeight="false" outlineLevel="0" collapsed="false">
      <c r="A528" s="25" t="n">
        <v>24382908</v>
      </c>
      <c r="B528" s="25" t="s">
        <v>1425</v>
      </c>
      <c r="C528" s="25" t="s">
        <v>1426</v>
      </c>
      <c r="D528" s="26" t="n">
        <v>0.8</v>
      </c>
      <c r="E528" s="27" t="n">
        <v>9.09691001300806</v>
      </c>
      <c r="F528" s="27" t="n">
        <v>9.09691001300806</v>
      </c>
      <c r="G528" s="25" t="s">
        <v>939</v>
      </c>
      <c r="H528" s="25" t="s">
        <v>940</v>
      </c>
      <c r="I528" s="25" t="n">
        <f aca="false">IFERROR(IF(INDEX(Documents!$C$5:$C$657,MATCH(H528,Documents!$A$5:$A$657,0))="","",INDEX(Documents!$C$5:$C$657,MATCH(H528,Documents!$A$5:$A$657,0))),"")</f>
        <v>2021</v>
      </c>
      <c r="J528" s="25" t="str">
        <f aca="false">IFERROR(IF(INDEX(Documents!$D$5:$D$657,MATCH(H528,Documents!$A$5:$A$657,0))="","",INDEX(Documents!$D$5:$D$657,MATCH(H528,Documents!$A$5:$A$657,0))),"")</f>
        <v>J Med Chem</v>
      </c>
      <c r="K528" s="25" t="str">
        <f aca="false">IFERROR(IF(INDEX(Documents!$G$5:$G$657,MATCH(H528,Documents!$A$5:$A$657,0))="","",INDEX(Documents!$G$5:$G$657,MATCH(H528,Documents!$A$5:$A$657,0))),"")</f>
        <v>10.1021/acs.jmedchem.0c02053</v>
      </c>
      <c r="L528" s="25" t="s">
        <v>941</v>
      </c>
    </row>
    <row r="529" customFormat="false" ht="15" hidden="false" customHeight="false" outlineLevel="0" collapsed="false">
      <c r="A529" s="25" t="n">
        <v>22813577</v>
      </c>
      <c r="B529" s="25" t="s">
        <v>1427</v>
      </c>
      <c r="C529" s="25" t="s">
        <v>1428</v>
      </c>
      <c r="D529" s="26" t="n">
        <v>31.7</v>
      </c>
      <c r="E529" s="27" t="n">
        <v>7.49894073778225</v>
      </c>
      <c r="F529" s="27" t="n">
        <v>7.49894073778225</v>
      </c>
      <c r="G529" s="25" t="s">
        <v>1429</v>
      </c>
      <c r="H529" s="25" t="s">
        <v>1430</v>
      </c>
      <c r="I529" s="25" t="n">
        <f aca="false">IFERROR(IF(INDEX(Documents!$C$5:$C$657,MATCH(H529,Documents!$A$5:$A$657,0))="","",INDEX(Documents!$C$5:$C$657,MATCH(H529,Documents!$A$5:$A$657,0))),"")</f>
        <v>2021</v>
      </c>
      <c r="J529" s="25" t="str">
        <f aca="false">IFERROR(IF(INDEX(Documents!$D$5:$D$657,MATCH(H529,Documents!$A$5:$A$657,0))="","",INDEX(Documents!$D$5:$D$657,MATCH(H529,Documents!$A$5:$A$657,0))),"")</f>
        <v>Bioorg Med Chem Lett</v>
      </c>
      <c r="K529" s="25" t="str">
        <f aca="false">IFERROR(IF(INDEX(Documents!$G$5:$G$657,MATCH(H529,Documents!$A$5:$A$657,0))="","",INDEX(Documents!$G$5:$G$657,MATCH(H529,Documents!$A$5:$A$657,0))),"")</f>
        <v>10.1016/j.bmcl.2021.127882</v>
      </c>
      <c r="L529" s="25" t="s">
        <v>1431</v>
      </c>
    </row>
    <row r="530" customFormat="false" ht="15" hidden="false" customHeight="false" outlineLevel="0" collapsed="false">
      <c r="A530" s="25" t="n">
        <v>22813580</v>
      </c>
      <c r="B530" s="25" t="s">
        <v>1432</v>
      </c>
      <c r="C530" s="25" t="s">
        <v>1433</v>
      </c>
      <c r="D530" s="26" t="n">
        <v>91.8</v>
      </c>
      <c r="E530" s="27" t="n">
        <v>7.03715731879876</v>
      </c>
      <c r="F530" s="27" t="n">
        <v>7.03715731879876</v>
      </c>
      <c r="G530" s="25" t="s">
        <v>1429</v>
      </c>
      <c r="H530" s="25" t="s">
        <v>1430</v>
      </c>
      <c r="I530" s="25" t="n">
        <f aca="false">IFERROR(IF(INDEX(Documents!$C$5:$C$657,MATCH(H530,Documents!$A$5:$A$657,0))="","",INDEX(Documents!$C$5:$C$657,MATCH(H530,Documents!$A$5:$A$657,0))),"")</f>
        <v>2021</v>
      </c>
      <c r="J530" s="25" t="str">
        <f aca="false">IFERROR(IF(INDEX(Documents!$D$5:$D$657,MATCH(H530,Documents!$A$5:$A$657,0))="","",INDEX(Documents!$D$5:$D$657,MATCH(H530,Documents!$A$5:$A$657,0))),"")</f>
        <v>Bioorg Med Chem Lett</v>
      </c>
      <c r="K530" s="25" t="str">
        <f aca="false">IFERROR(IF(INDEX(Documents!$G$5:$G$657,MATCH(H530,Documents!$A$5:$A$657,0))="","",INDEX(Documents!$G$5:$G$657,MATCH(H530,Documents!$A$5:$A$657,0))),"")</f>
        <v>10.1016/j.bmcl.2021.127882</v>
      </c>
      <c r="L530" s="25" t="s">
        <v>1431</v>
      </c>
    </row>
    <row r="531" customFormat="false" ht="15" hidden="false" customHeight="false" outlineLevel="0" collapsed="false">
      <c r="A531" s="25" t="n">
        <v>22813576</v>
      </c>
      <c r="B531" s="25" t="s">
        <v>1434</v>
      </c>
      <c r="C531" s="25" t="s">
        <v>1435</v>
      </c>
      <c r="D531" s="26" t="n">
        <v>369</v>
      </c>
      <c r="E531" s="27" t="n">
        <v>6.43297363384094</v>
      </c>
      <c r="F531" s="27" t="n">
        <v>6.43297363384094</v>
      </c>
      <c r="G531" s="25" t="s">
        <v>1429</v>
      </c>
      <c r="H531" s="25" t="s">
        <v>1430</v>
      </c>
      <c r="I531" s="25" t="n">
        <f aca="false">IFERROR(IF(INDEX(Documents!$C$5:$C$657,MATCH(H531,Documents!$A$5:$A$657,0))="","",INDEX(Documents!$C$5:$C$657,MATCH(H531,Documents!$A$5:$A$657,0))),"")</f>
        <v>2021</v>
      </c>
      <c r="J531" s="25" t="str">
        <f aca="false">IFERROR(IF(INDEX(Documents!$D$5:$D$657,MATCH(H531,Documents!$A$5:$A$657,0))="","",INDEX(Documents!$D$5:$D$657,MATCH(H531,Documents!$A$5:$A$657,0))),"")</f>
        <v>Bioorg Med Chem Lett</v>
      </c>
      <c r="K531" s="25" t="str">
        <f aca="false">IFERROR(IF(INDEX(Documents!$G$5:$G$657,MATCH(H531,Documents!$A$5:$A$657,0))="","",INDEX(Documents!$G$5:$G$657,MATCH(H531,Documents!$A$5:$A$657,0))),"")</f>
        <v>10.1016/j.bmcl.2021.127882</v>
      </c>
      <c r="L531" s="25" t="s">
        <v>1431</v>
      </c>
    </row>
    <row r="532" customFormat="false" ht="15" hidden="false" customHeight="false" outlineLevel="0" collapsed="false">
      <c r="A532" s="25" t="n">
        <v>12725499</v>
      </c>
      <c r="B532" s="25" t="s">
        <v>1436</v>
      </c>
      <c r="C532" s="25" t="s">
        <v>1437</v>
      </c>
      <c r="D532" s="26" t="n">
        <v>46.7</v>
      </c>
      <c r="E532" s="27" t="n">
        <v>7.33068311943389</v>
      </c>
      <c r="F532" s="27" t="n">
        <v>7.33068311943389</v>
      </c>
      <c r="G532" s="25" t="s">
        <v>698</v>
      </c>
      <c r="H532" s="25" t="s">
        <v>699</v>
      </c>
      <c r="I532" s="25" t="n">
        <f aca="false">IFERROR(IF(INDEX(Documents!$C$5:$C$657,MATCH(H532,Documents!$A$5:$A$657,0))="","",INDEX(Documents!$C$5:$C$657,MATCH(H532,Documents!$A$5:$A$657,0))),"")</f>
        <v>2013</v>
      </c>
      <c r="J532" s="25" t="str">
        <f aca="false">IFERROR(IF(INDEX(Documents!$D$5:$D$657,MATCH(H532,Documents!$A$5:$A$657,0))="","",INDEX(Documents!$D$5:$D$657,MATCH(H532,Documents!$A$5:$A$657,0))),"")</f>
        <v>J Med Chem</v>
      </c>
      <c r="K532" s="25" t="str">
        <f aca="false">IFERROR(IF(INDEX(Documents!$G$5:$G$657,MATCH(H532,Documents!$A$5:$A$657,0))="","",INDEX(Documents!$G$5:$G$657,MATCH(H532,Documents!$A$5:$A$657,0))),"")</f>
        <v>10.1021/jm4000775</v>
      </c>
      <c r="L532" s="25" t="s">
        <v>700</v>
      </c>
    </row>
    <row r="533" customFormat="false" ht="15" hidden="false" customHeight="false" outlineLevel="0" collapsed="false">
      <c r="A533" s="25" t="n">
        <v>12725496</v>
      </c>
      <c r="B533" s="25" t="s">
        <v>1438</v>
      </c>
      <c r="C533" s="25" t="s">
        <v>1439</v>
      </c>
      <c r="D533" s="26" t="n">
        <v>551</v>
      </c>
      <c r="E533" s="27" t="n">
        <v>6.25884840114822</v>
      </c>
      <c r="F533" s="27" t="n">
        <v>6.25884840114822</v>
      </c>
      <c r="G533" s="25" t="s">
        <v>698</v>
      </c>
      <c r="H533" s="25" t="s">
        <v>699</v>
      </c>
      <c r="I533" s="25" t="n">
        <f aca="false">IFERROR(IF(INDEX(Documents!$C$5:$C$657,MATCH(H533,Documents!$A$5:$A$657,0))="","",INDEX(Documents!$C$5:$C$657,MATCH(H533,Documents!$A$5:$A$657,0))),"")</f>
        <v>2013</v>
      </c>
      <c r="J533" s="25" t="str">
        <f aca="false">IFERROR(IF(INDEX(Documents!$D$5:$D$657,MATCH(H533,Documents!$A$5:$A$657,0))="","",INDEX(Documents!$D$5:$D$657,MATCH(H533,Documents!$A$5:$A$657,0))),"")</f>
        <v>J Med Chem</v>
      </c>
      <c r="K533" s="25" t="str">
        <f aca="false">IFERROR(IF(INDEX(Documents!$G$5:$G$657,MATCH(H533,Documents!$A$5:$A$657,0))="","",INDEX(Documents!$G$5:$G$657,MATCH(H533,Documents!$A$5:$A$657,0))),"")</f>
        <v>10.1021/jm4000775</v>
      </c>
      <c r="L533" s="25" t="s">
        <v>700</v>
      </c>
    </row>
    <row r="534" customFormat="false" ht="15" hidden="false" customHeight="false" outlineLevel="0" collapsed="false">
      <c r="A534" s="25" t="n">
        <v>12725515</v>
      </c>
      <c r="B534" s="25" t="s">
        <v>1440</v>
      </c>
      <c r="C534" s="25" t="s">
        <v>1441</v>
      </c>
      <c r="D534" s="26" t="n">
        <v>338</v>
      </c>
      <c r="E534" s="27" t="n">
        <v>6.47108329972235</v>
      </c>
      <c r="F534" s="27" t="n">
        <v>6.47108329972235</v>
      </c>
      <c r="G534" s="25" t="s">
        <v>698</v>
      </c>
      <c r="H534" s="25" t="s">
        <v>699</v>
      </c>
      <c r="I534" s="25" t="n">
        <f aca="false">IFERROR(IF(INDEX(Documents!$C$5:$C$657,MATCH(H534,Documents!$A$5:$A$657,0))="","",INDEX(Documents!$C$5:$C$657,MATCH(H534,Documents!$A$5:$A$657,0))),"")</f>
        <v>2013</v>
      </c>
      <c r="J534" s="25" t="str">
        <f aca="false">IFERROR(IF(INDEX(Documents!$D$5:$D$657,MATCH(H534,Documents!$A$5:$A$657,0))="","",INDEX(Documents!$D$5:$D$657,MATCH(H534,Documents!$A$5:$A$657,0))),"")</f>
        <v>J Med Chem</v>
      </c>
      <c r="K534" s="25" t="str">
        <f aca="false">IFERROR(IF(INDEX(Documents!$G$5:$G$657,MATCH(H534,Documents!$A$5:$A$657,0))="","",INDEX(Documents!$G$5:$G$657,MATCH(H534,Documents!$A$5:$A$657,0))),"")</f>
        <v>10.1021/jm4000775</v>
      </c>
      <c r="L534" s="25" t="s">
        <v>700</v>
      </c>
    </row>
    <row r="535" customFormat="false" ht="15" hidden="false" customHeight="false" outlineLevel="0" collapsed="false">
      <c r="A535" s="25" t="n">
        <v>12725500</v>
      </c>
      <c r="B535" s="25" t="s">
        <v>1442</v>
      </c>
      <c r="C535" s="25" t="s">
        <v>1443</v>
      </c>
      <c r="D535" s="26" t="n">
        <v>14</v>
      </c>
      <c r="E535" s="27" t="n">
        <v>7.85387196432176</v>
      </c>
      <c r="F535" s="27" t="n">
        <v>7.85387196432176</v>
      </c>
      <c r="G535" s="25" t="s">
        <v>698</v>
      </c>
      <c r="H535" s="25" t="s">
        <v>699</v>
      </c>
      <c r="I535" s="25" t="n">
        <f aca="false">IFERROR(IF(INDEX(Documents!$C$5:$C$657,MATCH(H535,Documents!$A$5:$A$657,0))="","",INDEX(Documents!$C$5:$C$657,MATCH(H535,Documents!$A$5:$A$657,0))),"")</f>
        <v>2013</v>
      </c>
      <c r="J535" s="25" t="str">
        <f aca="false">IFERROR(IF(INDEX(Documents!$D$5:$D$657,MATCH(H535,Documents!$A$5:$A$657,0))="","",INDEX(Documents!$D$5:$D$657,MATCH(H535,Documents!$A$5:$A$657,0))),"")</f>
        <v>J Med Chem</v>
      </c>
      <c r="K535" s="25" t="str">
        <f aca="false">IFERROR(IF(INDEX(Documents!$G$5:$G$657,MATCH(H535,Documents!$A$5:$A$657,0))="","",INDEX(Documents!$G$5:$G$657,MATCH(H535,Documents!$A$5:$A$657,0))),"")</f>
        <v>10.1021/jm4000775</v>
      </c>
      <c r="L535" s="25" t="s">
        <v>700</v>
      </c>
    </row>
    <row r="536" customFormat="false" ht="15" hidden="false" customHeight="false" outlineLevel="0" collapsed="false">
      <c r="A536" s="25" t="n">
        <v>12725513</v>
      </c>
      <c r="B536" s="25" t="s">
        <v>1444</v>
      </c>
      <c r="C536" s="25" t="s">
        <v>1445</v>
      </c>
      <c r="D536" s="26" t="n">
        <v>9</v>
      </c>
      <c r="E536" s="27" t="n">
        <v>8.04575749056068</v>
      </c>
      <c r="F536" s="27" t="n">
        <v>8.04575749056068</v>
      </c>
      <c r="G536" s="25" t="s">
        <v>698</v>
      </c>
      <c r="H536" s="25" t="s">
        <v>699</v>
      </c>
      <c r="I536" s="25" t="n">
        <f aca="false">IFERROR(IF(INDEX(Documents!$C$5:$C$657,MATCH(H536,Documents!$A$5:$A$657,0))="","",INDEX(Documents!$C$5:$C$657,MATCH(H536,Documents!$A$5:$A$657,0))),"")</f>
        <v>2013</v>
      </c>
      <c r="J536" s="25" t="str">
        <f aca="false">IFERROR(IF(INDEX(Documents!$D$5:$D$657,MATCH(H536,Documents!$A$5:$A$657,0))="","",INDEX(Documents!$D$5:$D$657,MATCH(H536,Documents!$A$5:$A$657,0))),"")</f>
        <v>J Med Chem</v>
      </c>
      <c r="K536" s="25" t="str">
        <f aca="false">IFERROR(IF(INDEX(Documents!$G$5:$G$657,MATCH(H536,Documents!$A$5:$A$657,0))="","",INDEX(Documents!$G$5:$G$657,MATCH(H536,Documents!$A$5:$A$657,0))),"")</f>
        <v>10.1021/jm4000775</v>
      </c>
      <c r="L536" s="25" t="s">
        <v>700</v>
      </c>
    </row>
    <row r="537" customFormat="false" ht="15" hidden="false" customHeight="false" outlineLevel="0" collapsed="false">
      <c r="A537" s="25" t="n">
        <v>12725503</v>
      </c>
      <c r="B537" s="25" t="s">
        <v>1446</v>
      </c>
      <c r="C537" s="25" t="s">
        <v>1447</v>
      </c>
      <c r="D537" s="26" t="n">
        <v>7.8</v>
      </c>
      <c r="E537" s="27" t="n">
        <v>8.10790539730952</v>
      </c>
      <c r="F537" s="27" t="n">
        <v>8.10790539730952</v>
      </c>
      <c r="G537" s="25" t="s">
        <v>698</v>
      </c>
      <c r="H537" s="25" t="s">
        <v>699</v>
      </c>
      <c r="I537" s="25" t="n">
        <f aca="false">IFERROR(IF(INDEX(Documents!$C$5:$C$657,MATCH(H537,Documents!$A$5:$A$657,0))="","",INDEX(Documents!$C$5:$C$657,MATCH(H537,Documents!$A$5:$A$657,0))),"")</f>
        <v>2013</v>
      </c>
      <c r="J537" s="25" t="str">
        <f aca="false">IFERROR(IF(INDEX(Documents!$D$5:$D$657,MATCH(H537,Documents!$A$5:$A$657,0))="","",INDEX(Documents!$D$5:$D$657,MATCH(H537,Documents!$A$5:$A$657,0))),"")</f>
        <v>J Med Chem</v>
      </c>
      <c r="K537" s="25" t="str">
        <f aca="false">IFERROR(IF(INDEX(Documents!$G$5:$G$657,MATCH(H537,Documents!$A$5:$A$657,0))="","",INDEX(Documents!$G$5:$G$657,MATCH(H537,Documents!$A$5:$A$657,0))),"")</f>
        <v>10.1021/jm4000775</v>
      </c>
      <c r="L537" s="25" t="s">
        <v>700</v>
      </c>
    </row>
    <row r="538" customFormat="false" ht="15" hidden="false" customHeight="false" outlineLevel="0" collapsed="false">
      <c r="A538" s="25" t="n">
        <v>12725502</v>
      </c>
      <c r="B538" s="25" t="s">
        <v>1448</v>
      </c>
      <c r="C538" s="25" t="s">
        <v>1449</v>
      </c>
      <c r="D538" s="26" t="n">
        <v>365.3</v>
      </c>
      <c r="E538" s="27" t="n">
        <v>6.43735032778808</v>
      </c>
      <c r="F538" s="27" t="n">
        <v>6.43735032778808</v>
      </c>
      <c r="G538" s="25" t="s">
        <v>698</v>
      </c>
      <c r="H538" s="25" t="s">
        <v>699</v>
      </c>
      <c r="I538" s="25" t="n">
        <f aca="false">IFERROR(IF(INDEX(Documents!$C$5:$C$657,MATCH(H538,Documents!$A$5:$A$657,0))="","",INDEX(Documents!$C$5:$C$657,MATCH(H538,Documents!$A$5:$A$657,0))),"")</f>
        <v>2013</v>
      </c>
      <c r="J538" s="25" t="str">
        <f aca="false">IFERROR(IF(INDEX(Documents!$D$5:$D$657,MATCH(H538,Documents!$A$5:$A$657,0))="","",INDEX(Documents!$D$5:$D$657,MATCH(H538,Documents!$A$5:$A$657,0))),"")</f>
        <v>J Med Chem</v>
      </c>
      <c r="K538" s="25" t="str">
        <f aca="false">IFERROR(IF(INDEX(Documents!$G$5:$G$657,MATCH(H538,Documents!$A$5:$A$657,0))="","",INDEX(Documents!$G$5:$G$657,MATCH(H538,Documents!$A$5:$A$657,0))),"")</f>
        <v>10.1021/jm4000775</v>
      </c>
      <c r="L538" s="25" t="s">
        <v>700</v>
      </c>
    </row>
    <row r="539" customFormat="false" ht="15" hidden="false" customHeight="false" outlineLevel="0" collapsed="false">
      <c r="A539" s="25" t="n">
        <v>12725504</v>
      </c>
      <c r="B539" s="25" t="s">
        <v>1450</v>
      </c>
      <c r="C539" s="25" t="s">
        <v>1451</v>
      </c>
      <c r="D539" s="26" t="n">
        <v>121.2</v>
      </c>
      <c r="E539" s="27" t="n">
        <v>6.91649738016973</v>
      </c>
      <c r="F539" s="27" t="n">
        <v>6.91649738016973</v>
      </c>
      <c r="G539" s="25" t="s">
        <v>698</v>
      </c>
      <c r="H539" s="25" t="s">
        <v>699</v>
      </c>
      <c r="I539" s="25" t="n">
        <f aca="false">IFERROR(IF(INDEX(Documents!$C$5:$C$657,MATCH(H539,Documents!$A$5:$A$657,0))="","",INDEX(Documents!$C$5:$C$657,MATCH(H539,Documents!$A$5:$A$657,0))),"")</f>
        <v>2013</v>
      </c>
      <c r="J539" s="25" t="str">
        <f aca="false">IFERROR(IF(INDEX(Documents!$D$5:$D$657,MATCH(H539,Documents!$A$5:$A$657,0))="","",INDEX(Documents!$D$5:$D$657,MATCH(H539,Documents!$A$5:$A$657,0))),"")</f>
        <v>J Med Chem</v>
      </c>
      <c r="K539" s="25" t="str">
        <f aca="false">IFERROR(IF(INDEX(Documents!$G$5:$G$657,MATCH(H539,Documents!$A$5:$A$657,0))="","",INDEX(Documents!$G$5:$G$657,MATCH(H539,Documents!$A$5:$A$657,0))),"")</f>
        <v>10.1021/jm4000775</v>
      </c>
      <c r="L539" s="25" t="s">
        <v>700</v>
      </c>
    </row>
    <row r="540" customFormat="false" ht="15" hidden="false" customHeight="false" outlineLevel="0" collapsed="false">
      <c r="A540" s="25" t="n">
        <v>12725511</v>
      </c>
      <c r="B540" s="25" t="s">
        <v>1452</v>
      </c>
      <c r="C540" s="25" t="s">
        <v>1453</v>
      </c>
      <c r="D540" s="26" t="n">
        <v>671.8</v>
      </c>
      <c r="E540" s="27" t="n">
        <v>6.17276000049436</v>
      </c>
      <c r="F540" s="27" t="n">
        <v>6.17276000049436</v>
      </c>
      <c r="G540" s="25" t="s">
        <v>698</v>
      </c>
      <c r="H540" s="25" t="s">
        <v>699</v>
      </c>
      <c r="I540" s="25" t="n">
        <f aca="false">IFERROR(IF(INDEX(Documents!$C$5:$C$657,MATCH(H540,Documents!$A$5:$A$657,0))="","",INDEX(Documents!$C$5:$C$657,MATCH(H540,Documents!$A$5:$A$657,0))),"")</f>
        <v>2013</v>
      </c>
      <c r="J540" s="25" t="str">
        <f aca="false">IFERROR(IF(INDEX(Documents!$D$5:$D$657,MATCH(H540,Documents!$A$5:$A$657,0))="","",INDEX(Documents!$D$5:$D$657,MATCH(H540,Documents!$A$5:$A$657,0))),"")</f>
        <v>J Med Chem</v>
      </c>
      <c r="K540" s="25" t="str">
        <f aca="false">IFERROR(IF(INDEX(Documents!$G$5:$G$657,MATCH(H540,Documents!$A$5:$A$657,0))="","",INDEX(Documents!$G$5:$G$657,MATCH(H540,Documents!$A$5:$A$657,0))),"")</f>
        <v>10.1021/jm4000775</v>
      </c>
      <c r="L540" s="25" t="s">
        <v>700</v>
      </c>
    </row>
    <row r="541" customFormat="false" ht="15" hidden="false" customHeight="false" outlineLevel="0" collapsed="false">
      <c r="A541" s="25" t="n">
        <v>12725514</v>
      </c>
      <c r="B541" s="25" t="s">
        <v>1454</v>
      </c>
      <c r="C541" s="25" t="s">
        <v>1455</v>
      </c>
      <c r="D541" s="26" t="n">
        <v>5.5</v>
      </c>
      <c r="E541" s="27" t="n">
        <v>8.25963731050576</v>
      </c>
      <c r="F541" s="27" t="n">
        <v>8.25963731050576</v>
      </c>
      <c r="G541" s="25" t="s">
        <v>698</v>
      </c>
      <c r="H541" s="25" t="s">
        <v>699</v>
      </c>
      <c r="I541" s="25" t="n">
        <f aca="false">IFERROR(IF(INDEX(Documents!$C$5:$C$657,MATCH(H541,Documents!$A$5:$A$657,0))="","",INDEX(Documents!$C$5:$C$657,MATCH(H541,Documents!$A$5:$A$657,0))),"")</f>
        <v>2013</v>
      </c>
      <c r="J541" s="25" t="str">
        <f aca="false">IFERROR(IF(INDEX(Documents!$D$5:$D$657,MATCH(H541,Documents!$A$5:$A$657,0))="","",INDEX(Documents!$D$5:$D$657,MATCH(H541,Documents!$A$5:$A$657,0))),"")</f>
        <v>J Med Chem</v>
      </c>
      <c r="K541" s="25" t="str">
        <f aca="false">IFERROR(IF(INDEX(Documents!$G$5:$G$657,MATCH(H541,Documents!$A$5:$A$657,0))="","",INDEX(Documents!$G$5:$G$657,MATCH(H541,Documents!$A$5:$A$657,0))),"")</f>
        <v>10.1021/jm4000775</v>
      </c>
      <c r="L541" s="25" t="s">
        <v>700</v>
      </c>
    </row>
    <row r="542" customFormat="false" ht="15" hidden="false" customHeight="false" outlineLevel="0" collapsed="false">
      <c r="A542" s="25" t="n">
        <v>12725508</v>
      </c>
      <c r="B542" s="25" t="s">
        <v>1456</v>
      </c>
      <c r="C542" s="25" t="s">
        <v>1457</v>
      </c>
      <c r="D542" s="26" t="n">
        <v>100.3</v>
      </c>
      <c r="E542" s="27" t="n">
        <v>6.99869906697958</v>
      </c>
      <c r="F542" s="27" t="n">
        <v>6.99869906697958</v>
      </c>
      <c r="G542" s="25" t="s">
        <v>698</v>
      </c>
      <c r="H542" s="25" t="s">
        <v>699</v>
      </c>
      <c r="I542" s="25" t="n">
        <f aca="false">IFERROR(IF(INDEX(Documents!$C$5:$C$657,MATCH(H542,Documents!$A$5:$A$657,0))="","",INDEX(Documents!$C$5:$C$657,MATCH(H542,Documents!$A$5:$A$657,0))),"")</f>
        <v>2013</v>
      </c>
      <c r="J542" s="25" t="str">
        <f aca="false">IFERROR(IF(INDEX(Documents!$D$5:$D$657,MATCH(H542,Documents!$A$5:$A$657,0))="","",INDEX(Documents!$D$5:$D$657,MATCH(H542,Documents!$A$5:$A$657,0))),"")</f>
        <v>J Med Chem</v>
      </c>
      <c r="K542" s="25" t="str">
        <f aca="false">IFERROR(IF(INDEX(Documents!$G$5:$G$657,MATCH(H542,Documents!$A$5:$A$657,0))="","",INDEX(Documents!$G$5:$G$657,MATCH(H542,Documents!$A$5:$A$657,0))),"")</f>
        <v>10.1021/jm4000775</v>
      </c>
      <c r="L542" s="25" t="s">
        <v>700</v>
      </c>
    </row>
    <row r="543" customFormat="false" ht="15" hidden="false" customHeight="false" outlineLevel="0" collapsed="false">
      <c r="A543" s="25" t="n">
        <v>12725506</v>
      </c>
      <c r="B543" s="25" t="s">
        <v>1458</v>
      </c>
      <c r="C543" s="25" t="s">
        <v>1459</v>
      </c>
      <c r="D543" s="26" t="n">
        <v>11.2</v>
      </c>
      <c r="E543" s="27" t="n">
        <v>7.95078197732982</v>
      </c>
      <c r="F543" s="27" t="n">
        <v>7.95078197732982</v>
      </c>
      <c r="G543" s="25" t="s">
        <v>698</v>
      </c>
      <c r="H543" s="25" t="s">
        <v>699</v>
      </c>
      <c r="I543" s="25" t="n">
        <f aca="false">IFERROR(IF(INDEX(Documents!$C$5:$C$657,MATCH(H543,Documents!$A$5:$A$657,0))="","",INDEX(Documents!$C$5:$C$657,MATCH(H543,Documents!$A$5:$A$657,0))),"")</f>
        <v>2013</v>
      </c>
      <c r="J543" s="25" t="str">
        <f aca="false">IFERROR(IF(INDEX(Documents!$D$5:$D$657,MATCH(H543,Documents!$A$5:$A$657,0))="","",INDEX(Documents!$D$5:$D$657,MATCH(H543,Documents!$A$5:$A$657,0))),"")</f>
        <v>J Med Chem</v>
      </c>
      <c r="K543" s="25" t="str">
        <f aca="false">IFERROR(IF(INDEX(Documents!$G$5:$G$657,MATCH(H543,Documents!$A$5:$A$657,0))="","",INDEX(Documents!$G$5:$G$657,MATCH(H543,Documents!$A$5:$A$657,0))),"")</f>
        <v>10.1021/jm4000775</v>
      </c>
      <c r="L543" s="25" t="s">
        <v>700</v>
      </c>
    </row>
    <row r="544" customFormat="false" ht="15" hidden="false" customHeight="false" outlineLevel="0" collapsed="false">
      <c r="A544" s="25" t="n">
        <v>12725505</v>
      </c>
      <c r="B544" s="25" t="s">
        <v>1460</v>
      </c>
      <c r="C544" s="25" t="s">
        <v>1461</v>
      </c>
      <c r="D544" s="26" t="n">
        <v>33.3</v>
      </c>
      <c r="E544" s="27" t="n">
        <v>7.47755576649368</v>
      </c>
      <c r="F544" s="27" t="n">
        <v>7.47755576649368</v>
      </c>
      <c r="G544" s="25" t="s">
        <v>698</v>
      </c>
      <c r="H544" s="25" t="s">
        <v>699</v>
      </c>
      <c r="I544" s="25" t="n">
        <f aca="false">IFERROR(IF(INDEX(Documents!$C$5:$C$657,MATCH(H544,Documents!$A$5:$A$657,0))="","",INDEX(Documents!$C$5:$C$657,MATCH(H544,Documents!$A$5:$A$657,0))),"")</f>
        <v>2013</v>
      </c>
      <c r="J544" s="25" t="str">
        <f aca="false">IFERROR(IF(INDEX(Documents!$D$5:$D$657,MATCH(H544,Documents!$A$5:$A$657,0))="","",INDEX(Documents!$D$5:$D$657,MATCH(H544,Documents!$A$5:$A$657,0))),"")</f>
        <v>J Med Chem</v>
      </c>
      <c r="K544" s="25" t="str">
        <f aca="false">IFERROR(IF(INDEX(Documents!$G$5:$G$657,MATCH(H544,Documents!$A$5:$A$657,0))="","",INDEX(Documents!$G$5:$G$657,MATCH(H544,Documents!$A$5:$A$657,0))),"")</f>
        <v>10.1021/jm4000775</v>
      </c>
      <c r="L544" s="25" t="s">
        <v>700</v>
      </c>
    </row>
    <row r="545" customFormat="false" ht="15" hidden="false" customHeight="false" outlineLevel="0" collapsed="false">
      <c r="A545" s="25" t="n">
        <v>12725509</v>
      </c>
      <c r="B545" s="25" t="s">
        <v>1462</v>
      </c>
      <c r="C545" s="25" t="s">
        <v>1463</v>
      </c>
      <c r="D545" s="26" t="n">
        <v>261.7</v>
      </c>
      <c r="E545" s="27" t="n">
        <v>6.58219627736012</v>
      </c>
      <c r="F545" s="27" t="n">
        <v>6.58219627736012</v>
      </c>
      <c r="G545" s="25" t="s">
        <v>698</v>
      </c>
      <c r="H545" s="25" t="s">
        <v>699</v>
      </c>
      <c r="I545" s="25" t="n">
        <f aca="false">IFERROR(IF(INDEX(Documents!$C$5:$C$657,MATCH(H545,Documents!$A$5:$A$657,0))="","",INDEX(Documents!$C$5:$C$657,MATCH(H545,Documents!$A$5:$A$657,0))),"")</f>
        <v>2013</v>
      </c>
      <c r="J545" s="25" t="str">
        <f aca="false">IFERROR(IF(INDEX(Documents!$D$5:$D$657,MATCH(H545,Documents!$A$5:$A$657,0))="","",INDEX(Documents!$D$5:$D$657,MATCH(H545,Documents!$A$5:$A$657,0))),"")</f>
        <v>J Med Chem</v>
      </c>
      <c r="K545" s="25" t="str">
        <f aca="false">IFERROR(IF(INDEX(Documents!$G$5:$G$657,MATCH(H545,Documents!$A$5:$A$657,0))="","",INDEX(Documents!$G$5:$G$657,MATCH(H545,Documents!$A$5:$A$657,0))),"")</f>
        <v>10.1021/jm4000775</v>
      </c>
      <c r="L545" s="25" t="s">
        <v>700</v>
      </c>
    </row>
    <row r="546" customFormat="false" ht="15" hidden="false" customHeight="false" outlineLevel="0" collapsed="false">
      <c r="A546" s="25" t="n">
        <v>12725510</v>
      </c>
      <c r="B546" s="25" t="s">
        <v>1464</v>
      </c>
      <c r="C546" s="25" t="s">
        <v>1465</v>
      </c>
      <c r="D546" s="26" t="n">
        <v>11.3</v>
      </c>
      <c r="E546" s="27" t="n">
        <v>7.94692155651658</v>
      </c>
      <c r="F546" s="27" t="n">
        <v>7.94692155651658</v>
      </c>
      <c r="G546" s="25" t="s">
        <v>698</v>
      </c>
      <c r="H546" s="25" t="s">
        <v>699</v>
      </c>
      <c r="I546" s="25" t="n">
        <f aca="false">IFERROR(IF(INDEX(Documents!$C$5:$C$657,MATCH(H546,Documents!$A$5:$A$657,0))="","",INDEX(Documents!$C$5:$C$657,MATCH(H546,Documents!$A$5:$A$657,0))),"")</f>
        <v>2013</v>
      </c>
      <c r="J546" s="25" t="str">
        <f aca="false">IFERROR(IF(INDEX(Documents!$D$5:$D$657,MATCH(H546,Documents!$A$5:$A$657,0))="","",INDEX(Documents!$D$5:$D$657,MATCH(H546,Documents!$A$5:$A$657,0))),"")</f>
        <v>J Med Chem</v>
      </c>
      <c r="K546" s="25" t="str">
        <f aca="false">IFERROR(IF(INDEX(Documents!$G$5:$G$657,MATCH(H546,Documents!$A$5:$A$657,0))="","",INDEX(Documents!$G$5:$G$657,MATCH(H546,Documents!$A$5:$A$657,0))),"")</f>
        <v>10.1021/jm4000775</v>
      </c>
      <c r="L546" s="25" t="s">
        <v>700</v>
      </c>
    </row>
    <row r="547" customFormat="false" ht="15" hidden="false" customHeight="false" outlineLevel="0" collapsed="false">
      <c r="A547" s="25" t="n">
        <v>12725512</v>
      </c>
      <c r="B547" s="25" t="s">
        <v>1466</v>
      </c>
      <c r="C547" s="25" t="s">
        <v>1467</v>
      </c>
      <c r="D547" s="26" t="n">
        <v>40.5</v>
      </c>
      <c r="E547" s="27" t="n">
        <v>7.39254497678533</v>
      </c>
      <c r="F547" s="27" t="n">
        <v>7.39254497678533</v>
      </c>
      <c r="G547" s="25" t="s">
        <v>698</v>
      </c>
      <c r="H547" s="25" t="s">
        <v>699</v>
      </c>
      <c r="I547" s="25" t="n">
        <f aca="false">IFERROR(IF(INDEX(Documents!$C$5:$C$657,MATCH(H547,Documents!$A$5:$A$657,0))="","",INDEX(Documents!$C$5:$C$657,MATCH(H547,Documents!$A$5:$A$657,0))),"")</f>
        <v>2013</v>
      </c>
      <c r="J547" s="25" t="str">
        <f aca="false">IFERROR(IF(INDEX(Documents!$D$5:$D$657,MATCH(H547,Documents!$A$5:$A$657,0))="","",INDEX(Documents!$D$5:$D$657,MATCH(H547,Documents!$A$5:$A$657,0))),"")</f>
        <v>J Med Chem</v>
      </c>
      <c r="K547" s="25" t="str">
        <f aca="false">IFERROR(IF(INDEX(Documents!$G$5:$G$657,MATCH(H547,Documents!$A$5:$A$657,0))="","",INDEX(Documents!$G$5:$G$657,MATCH(H547,Documents!$A$5:$A$657,0))),"")</f>
        <v>10.1021/jm4000775</v>
      </c>
      <c r="L547" s="25" t="s">
        <v>700</v>
      </c>
    </row>
    <row r="548" customFormat="false" ht="15" hidden="false" customHeight="false" outlineLevel="0" collapsed="false">
      <c r="A548" s="25" t="n">
        <v>3393336</v>
      </c>
      <c r="B548" s="25" t="s">
        <v>1468</v>
      </c>
      <c r="C548" s="25" t="s">
        <v>1469</v>
      </c>
      <c r="D548" s="26" t="n">
        <v>1300</v>
      </c>
      <c r="E548" s="27" t="n">
        <v>5.88605664769316</v>
      </c>
      <c r="F548" s="27" t="n">
        <v>5.88605664769316</v>
      </c>
      <c r="G548" s="25" t="s">
        <v>1362</v>
      </c>
      <c r="H548" s="25" t="s">
        <v>1363</v>
      </c>
      <c r="I548" s="25" t="n">
        <f aca="false">IFERROR(IF(INDEX(Documents!$C$5:$C$657,MATCH(H548,Documents!$A$5:$A$657,0))="","",INDEX(Documents!$C$5:$C$657,MATCH(H548,Documents!$A$5:$A$657,0))),"")</f>
        <v>2010</v>
      </c>
      <c r="J548" s="25" t="str">
        <f aca="false">IFERROR(IF(INDEX(Documents!$D$5:$D$657,MATCH(H548,Documents!$A$5:$A$657,0))="","",INDEX(Documents!$D$5:$D$657,MATCH(H548,Documents!$A$5:$A$657,0))),"")</f>
        <v>J Med Chem</v>
      </c>
      <c r="K548" s="25" t="str">
        <f aca="false">IFERROR(IF(INDEX(Documents!$G$5:$G$657,MATCH(H548,Documents!$A$5:$A$657,0))="","",INDEX(Documents!$G$5:$G$657,MATCH(H548,Documents!$A$5:$A$657,0))),"")</f>
        <v>10.1021/jm100390h</v>
      </c>
      <c r="L548" s="25" t="s">
        <v>1364</v>
      </c>
    </row>
    <row r="549" customFormat="false" ht="15" hidden="false" customHeight="false" outlineLevel="0" collapsed="false">
      <c r="A549" s="25" t="n">
        <v>3393333</v>
      </c>
      <c r="B549" s="25" t="s">
        <v>1470</v>
      </c>
      <c r="C549" s="25" t="s">
        <v>1471</v>
      </c>
      <c r="D549" s="26" t="n">
        <v>19</v>
      </c>
      <c r="E549" s="27" t="n">
        <v>7.72124639904717</v>
      </c>
      <c r="F549" s="27" t="n">
        <v>7.72124639904717</v>
      </c>
      <c r="G549" s="25" t="s">
        <v>1362</v>
      </c>
      <c r="H549" s="25" t="s">
        <v>1363</v>
      </c>
      <c r="I549" s="25" t="n">
        <f aca="false">IFERROR(IF(INDEX(Documents!$C$5:$C$657,MATCH(H549,Documents!$A$5:$A$657,0))="","",INDEX(Documents!$C$5:$C$657,MATCH(H549,Documents!$A$5:$A$657,0))),"")</f>
        <v>2010</v>
      </c>
      <c r="J549" s="25" t="str">
        <f aca="false">IFERROR(IF(INDEX(Documents!$D$5:$D$657,MATCH(H549,Documents!$A$5:$A$657,0))="","",INDEX(Documents!$D$5:$D$657,MATCH(H549,Documents!$A$5:$A$657,0))),"")</f>
        <v>J Med Chem</v>
      </c>
      <c r="K549" s="25" t="str">
        <f aca="false">IFERROR(IF(INDEX(Documents!$G$5:$G$657,MATCH(H549,Documents!$A$5:$A$657,0))="","",INDEX(Documents!$G$5:$G$657,MATCH(H549,Documents!$A$5:$A$657,0))),"")</f>
        <v>10.1021/jm100390h</v>
      </c>
      <c r="L549" s="25" t="s">
        <v>1364</v>
      </c>
    </row>
    <row r="550" customFormat="false" ht="15" hidden="false" customHeight="false" outlineLevel="0" collapsed="false">
      <c r="A550" s="25" t="n">
        <v>22813582</v>
      </c>
      <c r="B550" s="25" t="s">
        <v>1472</v>
      </c>
      <c r="C550" s="25" t="s">
        <v>1473</v>
      </c>
      <c r="D550" s="26" t="n">
        <v>4.7</v>
      </c>
      <c r="E550" s="27" t="n">
        <v>8.32790214206428</v>
      </c>
      <c r="F550" s="27" t="n">
        <v>8.32790214206428</v>
      </c>
      <c r="G550" s="25" t="s">
        <v>1429</v>
      </c>
      <c r="H550" s="25" t="s">
        <v>1430</v>
      </c>
      <c r="I550" s="25" t="n">
        <f aca="false">IFERROR(IF(INDEX(Documents!$C$5:$C$657,MATCH(H550,Documents!$A$5:$A$657,0))="","",INDEX(Documents!$C$5:$C$657,MATCH(H550,Documents!$A$5:$A$657,0))),"")</f>
        <v>2021</v>
      </c>
      <c r="J550" s="25" t="str">
        <f aca="false">IFERROR(IF(INDEX(Documents!$D$5:$D$657,MATCH(H550,Documents!$A$5:$A$657,0))="","",INDEX(Documents!$D$5:$D$657,MATCH(H550,Documents!$A$5:$A$657,0))),"")</f>
        <v>Bioorg Med Chem Lett</v>
      </c>
      <c r="K550" s="25" t="str">
        <f aca="false">IFERROR(IF(INDEX(Documents!$G$5:$G$657,MATCH(H550,Documents!$A$5:$A$657,0))="","",INDEX(Documents!$G$5:$G$657,MATCH(H550,Documents!$A$5:$A$657,0))),"")</f>
        <v>10.1016/j.bmcl.2021.127882</v>
      </c>
      <c r="L550" s="25" t="s">
        <v>1431</v>
      </c>
    </row>
    <row r="551" customFormat="false" ht="15" hidden="false" customHeight="false" outlineLevel="0" collapsed="false">
      <c r="A551" s="25" t="n">
        <v>22813579</v>
      </c>
      <c r="B551" s="25" t="s">
        <v>1474</v>
      </c>
      <c r="C551" s="25" t="s">
        <v>1475</v>
      </c>
      <c r="D551" s="26" t="n">
        <v>3.6</v>
      </c>
      <c r="E551" s="27" t="n">
        <v>8.44369749923271</v>
      </c>
      <c r="F551" s="27" t="n">
        <v>8.44369749923271</v>
      </c>
      <c r="G551" s="25" t="s">
        <v>1429</v>
      </c>
      <c r="H551" s="25" t="s">
        <v>1430</v>
      </c>
      <c r="I551" s="25" t="n">
        <f aca="false">IFERROR(IF(INDEX(Documents!$C$5:$C$657,MATCH(H551,Documents!$A$5:$A$657,0))="","",INDEX(Documents!$C$5:$C$657,MATCH(H551,Documents!$A$5:$A$657,0))),"")</f>
        <v>2021</v>
      </c>
      <c r="J551" s="25" t="str">
        <f aca="false">IFERROR(IF(INDEX(Documents!$D$5:$D$657,MATCH(H551,Documents!$A$5:$A$657,0))="","",INDEX(Documents!$D$5:$D$657,MATCH(H551,Documents!$A$5:$A$657,0))),"")</f>
        <v>Bioorg Med Chem Lett</v>
      </c>
      <c r="K551" s="25" t="str">
        <f aca="false">IFERROR(IF(INDEX(Documents!$G$5:$G$657,MATCH(H551,Documents!$A$5:$A$657,0))="","",INDEX(Documents!$G$5:$G$657,MATCH(H551,Documents!$A$5:$A$657,0))),"")</f>
        <v>10.1016/j.bmcl.2021.127882</v>
      </c>
      <c r="L551" s="25" t="s">
        <v>1431</v>
      </c>
    </row>
    <row r="552" customFormat="false" ht="15" hidden="false" customHeight="false" outlineLevel="0" collapsed="false">
      <c r="A552" s="25" t="n">
        <v>22813581</v>
      </c>
      <c r="B552" s="25" t="s">
        <v>1476</v>
      </c>
      <c r="C552" s="25" t="s">
        <v>1477</v>
      </c>
      <c r="D552" s="26" t="n">
        <v>2.2</v>
      </c>
      <c r="E552" s="27" t="n">
        <v>8.65757731917779</v>
      </c>
      <c r="F552" s="27" t="n">
        <v>8.65757731917779</v>
      </c>
      <c r="G552" s="25" t="s">
        <v>1429</v>
      </c>
      <c r="H552" s="25" t="s">
        <v>1430</v>
      </c>
      <c r="I552" s="25" t="n">
        <f aca="false">IFERROR(IF(INDEX(Documents!$C$5:$C$657,MATCH(H552,Documents!$A$5:$A$657,0))="","",INDEX(Documents!$C$5:$C$657,MATCH(H552,Documents!$A$5:$A$657,0))),"")</f>
        <v>2021</v>
      </c>
      <c r="J552" s="25" t="str">
        <f aca="false">IFERROR(IF(INDEX(Documents!$D$5:$D$657,MATCH(H552,Documents!$A$5:$A$657,0))="","",INDEX(Documents!$D$5:$D$657,MATCH(H552,Documents!$A$5:$A$657,0))),"")</f>
        <v>Bioorg Med Chem Lett</v>
      </c>
      <c r="K552" s="25" t="str">
        <f aca="false">IFERROR(IF(INDEX(Documents!$G$5:$G$657,MATCH(H552,Documents!$A$5:$A$657,0))="","",INDEX(Documents!$G$5:$G$657,MATCH(H552,Documents!$A$5:$A$657,0))),"")</f>
        <v>10.1016/j.bmcl.2021.127882</v>
      </c>
      <c r="L552" s="25" t="s">
        <v>1431</v>
      </c>
    </row>
    <row r="553" customFormat="false" ht="15" hidden="false" customHeight="false" outlineLevel="0" collapsed="false">
      <c r="A553" s="25" t="n">
        <v>22813578</v>
      </c>
      <c r="B553" s="25" t="s">
        <v>1478</v>
      </c>
      <c r="C553" s="25" t="s">
        <v>1479</v>
      </c>
      <c r="D553" s="26" t="n">
        <v>3.1</v>
      </c>
      <c r="E553" s="27" t="n">
        <v>8.50863830616573</v>
      </c>
      <c r="F553" s="27" t="n">
        <v>8.50863830616573</v>
      </c>
      <c r="G553" s="25" t="s">
        <v>1429</v>
      </c>
      <c r="H553" s="25" t="s">
        <v>1430</v>
      </c>
      <c r="I553" s="25" t="n">
        <f aca="false">IFERROR(IF(INDEX(Documents!$C$5:$C$657,MATCH(H553,Documents!$A$5:$A$657,0))="","",INDEX(Documents!$C$5:$C$657,MATCH(H553,Documents!$A$5:$A$657,0))),"")</f>
        <v>2021</v>
      </c>
      <c r="J553" s="25" t="str">
        <f aca="false">IFERROR(IF(INDEX(Documents!$D$5:$D$657,MATCH(H553,Documents!$A$5:$A$657,0))="","",INDEX(Documents!$D$5:$D$657,MATCH(H553,Documents!$A$5:$A$657,0))),"")</f>
        <v>Bioorg Med Chem Lett</v>
      </c>
      <c r="K553" s="25" t="str">
        <f aca="false">IFERROR(IF(INDEX(Documents!$G$5:$G$657,MATCH(H553,Documents!$A$5:$A$657,0))="","",INDEX(Documents!$G$5:$G$657,MATCH(H553,Documents!$A$5:$A$657,0))),"")</f>
        <v>10.1016/j.bmcl.2021.127882</v>
      </c>
      <c r="L553" s="25" t="s">
        <v>1431</v>
      </c>
    </row>
    <row r="554" customFormat="false" ht="15" hidden="false" customHeight="false" outlineLevel="0" collapsed="false">
      <c r="A554" s="25" t="n">
        <v>3393306</v>
      </c>
      <c r="B554" s="25" t="s">
        <v>1480</v>
      </c>
      <c r="C554" s="25" t="s">
        <v>1481</v>
      </c>
      <c r="D554" s="26" t="n">
        <v>5000</v>
      </c>
      <c r="E554" s="27" t="n">
        <v>5.30102999566398</v>
      </c>
      <c r="F554" s="27" t="n">
        <v>5.30102999566398</v>
      </c>
      <c r="G554" s="25" t="s">
        <v>1362</v>
      </c>
      <c r="H554" s="25" t="s">
        <v>1363</v>
      </c>
      <c r="I554" s="25" t="n">
        <f aca="false">IFERROR(IF(INDEX(Documents!$C$5:$C$657,MATCH(H554,Documents!$A$5:$A$657,0))="","",INDEX(Documents!$C$5:$C$657,MATCH(H554,Documents!$A$5:$A$657,0))),"")</f>
        <v>2010</v>
      </c>
      <c r="J554" s="25" t="str">
        <f aca="false">IFERROR(IF(INDEX(Documents!$D$5:$D$657,MATCH(H554,Documents!$A$5:$A$657,0))="","",INDEX(Documents!$D$5:$D$657,MATCH(H554,Documents!$A$5:$A$657,0))),"")</f>
        <v>J Med Chem</v>
      </c>
      <c r="K554" s="25" t="str">
        <f aca="false">IFERROR(IF(INDEX(Documents!$G$5:$G$657,MATCH(H554,Documents!$A$5:$A$657,0))="","",INDEX(Documents!$G$5:$G$657,MATCH(H554,Documents!$A$5:$A$657,0))),"")</f>
        <v>10.1021/jm100390h</v>
      </c>
      <c r="L554" s="25" t="s">
        <v>1364</v>
      </c>
    </row>
    <row r="555" customFormat="false" ht="15" hidden="false" customHeight="false" outlineLevel="0" collapsed="false">
      <c r="A555" s="25" t="n">
        <v>3393303</v>
      </c>
      <c r="B555" s="25" t="s">
        <v>1482</v>
      </c>
      <c r="C555" s="25" t="s">
        <v>1483</v>
      </c>
      <c r="D555" s="26" t="n">
        <v>15000</v>
      </c>
      <c r="E555" s="27" t="n">
        <v>4.82390874094432</v>
      </c>
      <c r="F555" s="27" t="n">
        <v>4.82390874094432</v>
      </c>
      <c r="G555" s="25" t="s">
        <v>1362</v>
      </c>
      <c r="H555" s="25" t="s">
        <v>1363</v>
      </c>
      <c r="I555" s="25" t="n">
        <f aca="false">IFERROR(IF(INDEX(Documents!$C$5:$C$657,MATCH(H555,Documents!$A$5:$A$657,0))="","",INDEX(Documents!$C$5:$C$657,MATCH(H555,Documents!$A$5:$A$657,0))),"")</f>
        <v>2010</v>
      </c>
      <c r="J555" s="25" t="str">
        <f aca="false">IFERROR(IF(INDEX(Documents!$D$5:$D$657,MATCH(H555,Documents!$A$5:$A$657,0))="","",INDEX(Documents!$D$5:$D$657,MATCH(H555,Documents!$A$5:$A$657,0))),"")</f>
        <v>J Med Chem</v>
      </c>
      <c r="K555" s="25" t="str">
        <f aca="false">IFERROR(IF(INDEX(Documents!$G$5:$G$657,MATCH(H555,Documents!$A$5:$A$657,0))="","",INDEX(Documents!$G$5:$G$657,MATCH(H555,Documents!$A$5:$A$657,0))),"")</f>
        <v>10.1021/jm100390h</v>
      </c>
      <c r="L555" s="25" t="s">
        <v>1364</v>
      </c>
    </row>
    <row r="556" customFormat="false" ht="15" hidden="false" customHeight="false" outlineLevel="0" collapsed="false">
      <c r="A556" s="25" t="n">
        <v>3393324</v>
      </c>
      <c r="B556" s="25" t="s">
        <v>1484</v>
      </c>
      <c r="C556" s="25" t="s">
        <v>1485</v>
      </c>
      <c r="D556" s="26" t="n">
        <v>25000</v>
      </c>
      <c r="E556" s="27" t="n">
        <v>4.60205999132796</v>
      </c>
      <c r="F556" s="27" t="n">
        <v>4.60205999132796</v>
      </c>
      <c r="G556" s="25" t="s">
        <v>1362</v>
      </c>
      <c r="H556" s="25" t="s">
        <v>1363</v>
      </c>
      <c r="I556" s="25" t="n">
        <f aca="false">IFERROR(IF(INDEX(Documents!$C$5:$C$657,MATCH(H556,Documents!$A$5:$A$657,0))="","",INDEX(Documents!$C$5:$C$657,MATCH(H556,Documents!$A$5:$A$657,0))),"")</f>
        <v>2010</v>
      </c>
      <c r="J556" s="25" t="str">
        <f aca="false">IFERROR(IF(INDEX(Documents!$D$5:$D$657,MATCH(H556,Documents!$A$5:$A$657,0))="","",INDEX(Documents!$D$5:$D$657,MATCH(H556,Documents!$A$5:$A$657,0))),"")</f>
        <v>J Med Chem</v>
      </c>
      <c r="K556" s="25" t="str">
        <f aca="false">IFERROR(IF(INDEX(Documents!$G$5:$G$657,MATCH(H556,Documents!$A$5:$A$657,0))="","",INDEX(Documents!$G$5:$G$657,MATCH(H556,Documents!$A$5:$A$657,0))),"")</f>
        <v>10.1021/jm100390h</v>
      </c>
      <c r="L556" s="25" t="s">
        <v>1364</v>
      </c>
    </row>
    <row r="557" customFormat="false" ht="15" hidden="false" customHeight="false" outlineLevel="0" collapsed="false">
      <c r="A557" s="25" t="n">
        <v>3393321</v>
      </c>
      <c r="B557" s="25" t="s">
        <v>1486</v>
      </c>
      <c r="C557" s="25" t="s">
        <v>1487</v>
      </c>
      <c r="D557" s="26" t="n">
        <v>10000</v>
      </c>
      <c r="E557" s="27" t="n">
        <v>5</v>
      </c>
      <c r="F557" s="27" t="n">
        <v>5</v>
      </c>
      <c r="G557" s="25" t="s">
        <v>1362</v>
      </c>
      <c r="H557" s="25" t="s">
        <v>1363</v>
      </c>
      <c r="I557" s="25" t="n">
        <f aca="false">IFERROR(IF(INDEX(Documents!$C$5:$C$657,MATCH(H557,Documents!$A$5:$A$657,0))="","",INDEX(Documents!$C$5:$C$657,MATCH(H557,Documents!$A$5:$A$657,0))),"")</f>
        <v>2010</v>
      </c>
      <c r="J557" s="25" t="str">
        <f aca="false">IFERROR(IF(INDEX(Documents!$D$5:$D$657,MATCH(H557,Documents!$A$5:$A$657,0))="","",INDEX(Documents!$D$5:$D$657,MATCH(H557,Documents!$A$5:$A$657,0))),"")</f>
        <v>J Med Chem</v>
      </c>
      <c r="K557" s="25" t="str">
        <f aca="false">IFERROR(IF(INDEX(Documents!$G$5:$G$657,MATCH(H557,Documents!$A$5:$A$657,0))="","",INDEX(Documents!$G$5:$G$657,MATCH(H557,Documents!$A$5:$A$657,0))),"")</f>
        <v>10.1021/jm100390h</v>
      </c>
      <c r="L557" s="25" t="s">
        <v>1364</v>
      </c>
    </row>
    <row r="558" customFormat="false" ht="15" hidden="false" customHeight="false" outlineLevel="0" collapsed="false">
      <c r="A558" s="25" t="n">
        <v>3393330</v>
      </c>
      <c r="B558" s="25" t="s">
        <v>1488</v>
      </c>
      <c r="C558" s="25" t="s">
        <v>1489</v>
      </c>
      <c r="D558" s="26" t="n">
        <v>25000</v>
      </c>
      <c r="E558" s="27" t="n">
        <v>4.60205999132796</v>
      </c>
      <c r="F558" s="27" t="n">
        <v>4.60205999132796</v>
      </c>
      <c r="G558" s="25" t="s">
        <v>1362</v>
      </c>
      <c r="H558" s="25" t="s">
        <v>1363</v>
      </c>
      <c r="I558" s="25" t="n">
        <f aca="false">IFERROR(IF(INDEX(Documents!$C$5:$C$657,MATCH(H558,Documents!$A$5:$A$657,0))="","",INDEX(Documents!$C$5:$C$657,MATCH(H558,Documents!$A$5:$A$657,0))),"")</f>
        <v>2010</v>
      </c>
      <c r="J558" s="25" t="str">
        <f aca="false">IFERROR(IF(INDEX(Documents!$D$5:$D$657,MATCH(H558,Documents!$A$5:$A$657,0))="","",INDEX(Documents!$D$5:$D$657,MATCH(H558,Documents!$A$5:$A$657,0))),"")</f>
        <v>J Med Chem</v>
      </c>
      <c r="K558" s="25" t="str">
        <f aca="false">IFERROR(IF(INDEX(Documents!$G$5:$G$657,MATCH(H558,Documents!$A$5:$A$657,0))="","",INDEX(Documents!$G$5:$G$657,MATCH(H558,Documents!$A$5:$A$657,0))),"")</f>
        <v>10.1021/jm100390h</v>
      </c>
      <c r="L558" s="25" t="s">
        <v>1364</v>
      </c>
    </row>
    <row r="559" customFormat="false" ht="15" hidden="false" customHeight="false" outlineLevel="0" collapsed="false">
      <c r="A559" s="25" t="n">
        <v>3393327</v>
      </c>
      <c r="B559" s="25" t="s">
        <v>1490</v>
      </c>
      <c r="C559" s="25" t="s">
        <v>1491</v>
      </c>
      <c r="D559" s="26" t="n">
        <v>20000</v>
      </c>
      <c r="E559" s="27" t="n">
        <v>4.69897000433602</v>
      </c>
      <c r="F559" s="27" t="n">
        <v>4.69897000433602</v>
      </c>
      <c r="G559" s="25" t="s">
        <v>1362</v>
      </c>
      <c r="H559" s="25" t="s">
        <v>1363</v>
      </c>
      <c r="I559" s="25" t="n">
        <f aca="false">IFERROR(IF(INDEX(Documents!$C$5:$C$657,MATCH(H559,Documents!$A$5:$A$657,0))="","",INDEX(Documents!$C$5:$C$657,MATCH(H559,Documents!$A$5:$A$657,0))),"")</f>
        <v>2010</v>
      </c>
      <c r="J559" s="25" t="str">
        <f aca="false">IFERROR(IF(INDEX(Documents!$D$5:$D$657,MATCH(H559,Documents!$A$5:$A$657,0))="","",INDEX(Documents!$D$5:$D$657,MATCH(H559,Documents!$A$5:$A$657,0))),"")</f>
        <v>J Med Chem</v>
      </c>
      <c r="K559" s="25" t="str">
        <f aca="false">IFERROR(IF(INDEX(Documents!$G$5:$G$657,MATCH(H559,Documents!$A$5:$A$657,0))="","",INDEX(Documents!$G$5:$G$657,MATCH(H559,Documents!$A$5:$A$657,0))),"")</f>
        <v>10.1021/jm100390h</v>
      </c>
      <c r="L559" s="25" t="s">
        <v>1364</v>
      </c>
    </row>
    <row r="560" customFormat="false" ht="15" hidden="false" customHeight="false" outlineLevel="0" collapsed="false">
      <c r="A560" s="25" t="n">
        <v>3393294</v>
      </c>
      <c r="B560" s="25" t="s">
        <v>1492</v>
      </c>
      <c r="C560" s="25" t="s">
        <v>1493</v>
      </c>
      <c r="D560" s="26" t="n">
        <v>14900</v>
      </c>
      <c r="E560" s="27" t="n">
        <v>4.82681373158773</v>
      </c>
      <c r="F560" s="27" t="n">
        <v>4.82681373158773</v>
      </c>
      <c r="G560" s="25" t="s">
        <v>1362</v>
      </c>
      <c r="H560" s="25" t="s">
        <v>1363</v>
      </c>
      <c r="I560" s="25" t="n">
        <f aca="false">IFERROR(IF(INDEX(Documents!$C$5:$C$657,MATCH(H560,Documents!$A$5:$A$657,0))="","",INDEX(Documents!$C$5:$C$657,MATCH(H560,Documents!$A$5:$A$657,0))),"")</f>
        <v>2010</v>
      </c>
      <c r="J560" s="25" t="str">
        <f aca="false">IFERROR(IF(INDEX(Documents!$D$5:$D$657,MATCH(H560,Documents!$A$5:$A$657,0))="","",INDEX(Documents!$D$5:$D$657,MATCH(H560,Documents!$A$5:$A$657,0))),"")</f>
        <v>J Med Chem</v>
      </c>
      <c r="K560" s="25" t="str">
        <f aca="false">IFERROR(IF(INDEX(Documents!$G$5:$G$657,MATCH(H560,Documents!$A$5:$A$657,0))="","",INDEX(Documents!$G$5:$G$657,MATCH(H560,Documents!$A$5:$A$657,0))),"")</f>
        <v>10.1021/jm100390h</v>
      </c>
      <c r="L560" s="25" t="s">
        <v>1364</v>
      </c>
    </row>
    <row r="561" customFormat="false" ht="15" hidden="false" customHeight="false" outlineLevel="0" collapsed="false">
      <c r="A561" s="25" t="n">
        <v>3393291</v>
      </c>
      <c r="B561" s="25" t="s">
        <v>1494</v>
      </c>
      <c r="C561" s="25" t="s">
        <v>1495</v>
      </c>
      <c r="D561" s="26" t="n">
        <v>1800</v>
      </c>
      <c r="E561" s="27" t="n">
        <v>5.74472749489669</v>
      </c>
      <c r="F561" s="27" t="n">
        <v>5.74472749489669</v>
      </c>
      <c r="G561" s="25" t="s">
        <v>1362</v>
      </c>
      <c r="H561" s="25" t="s">
        <v>1363</v>
      </c>
      <c r="I561" s="25" t="n">
        <f aca="false">IFERROR(IF(INDEX(Documents!$C$5:$C$657,MATCH(H561,Documents!$A$5:$A$657,0))="","",INDEX(Documents!$C$5:$C$657,MATCH(H561,Documents!$A$5:$A$657,0))),"")</f>
        <v>2010</v>
      </c>
      <c r="J561" s="25" t="str">
        <f aca="false">IFERROR(IF(INDEX(Documents!$D$5:$D$657,MATCH(H561,Documents!$A$5:$A$657,0))="","",INDEX(Documents!$D$5:$D$657,MATCH(H561,Documents!$A$5:$A$657,0))),"")</f>
        <v>J Med Chem</v>
      </c>
      <c r="K561" s="25" t="str">
        <f aca="false">IFERROR(IF(INDEX(Documents!$G$5:$G$657,MATCH(H561,Documents!$A$5:$A$657,0))="","",INDEX(Documents!$G$5:$G$657,MATCH(H561,Documents!$A$5:$A$657,0))),"")</f>
        <v>10.1021/jm100390h</v>
      </c>
      <c r="L561" s="25" t="s">
        <v>1364</v>
      </c>
    </row>
    <row r="562" customFormat="false" ht="15" hidden="false" customHeight="false" outlineLevel="0" collapsed="false">
      <c r="A562" s="25" t="n">
        <v>15224510</v>
      </c>
      <c r="B562" s="25" t="s">
        <v>1496</v>
      </c>
      <c r="C562" s="25" t="s">
        <v>1497</v>
      </c>
      <c r="D562" s="26" t="n">
        <v>4.2</v>
      </c>
      <c r="E562" s="27" t="n">
        <v>8.3767507096021</v>
      </c>
      <c r="F562" s="27" t="n">
        <v>8.3767507096021</v>
      </c>
      <c r="G562" s="25" t="s">
        <v>1498</v>
      </c>
      <c r="H562" s="25" t="s">
        <v>1499</v>
      </c>
      <c r="I562" s="25" t="n">
        <f aca="false">IFERROR(IF(INDEX(Documents!$C$5:$C$657,MATCH(H562,Documents!$A$5:$A$657,0))="","",INDEX(Documents!$C$5:$C$657,MATCH(H562,Documents!$A$5:$A$657,0))),"")</f>
        <v>2015</v>
      </c>
      <c r="J562" s="25" t="str">
        <f aca="false">IFERROR(IF(INDEX(Documents!$D$5:$D$657,MATCH(H562,Documents!$A$5:$A$657,0))="","",INDEX(Documents!$D$5:$D$657,MATCH(H562,Documents!$A$5:$A$657,0))),"")</f>
        <v>J Med Chem</v>
      </c>
      <c r="K562" s="25" t="str">
        <f aca="false">IFERROR(IF(INDEX(Documents!$G$5:$G$657,MATCH(H562,Documents!$A$5:$A$657,0))="","",INDEX(Documents!$G$5:$G$657,MATCH(H562,Documents!$A$5:$A$657,0))),"")</f>
        <v>10.1021/jm501960u</v>
      </c>
      <c r="L562" s="25" t="s">
        <v>1500</v>
      </c>
    </row>
    <row r="563" customFormat="false" ht="15" hidden="false" customHeight="false" outlineLevel="0" collapsed="false">
      <c r="A563" s="25" t="n">
        <v>15224508</v>
      </c>
      <c r="B563" s="25" t="s">
        <v>1501</v>
      </c>
      <c r="C563" s="25" t="s">
        <v>1502</v>
      </c>
      <c r="D563" s="26" t="n">
        <v>337</v>
      </c>
      <c r="E563" s="27" t="n">
        <v>6.47237009912866</v>
      </c>
      <c r="F563" s="27" t="n">
        <v>6.47237009912866</v>
      </c>
      <c r="G563" s="25" t="s">
        <v>1498</v>
      </c>
      <c r="H563" s="25" t="s">
        <v>1499</v>
      </c>
      <c r="I563" s="25" t="n">
        <f aca="false">IFERROR(IF(INDEX(Documents!$C$5:$C$657,MATCH(H563,Documents!$A$5:$A$657,0))="","",INDEX(Documents!$C$5:$C$657,MATCH(H563,Documents!$A$5:$A$657,0))),"")</f>
        <v>2015</v>
      </c>
      <c r="J563" s="25" t="str">
        <f aca="false">IFERROR(IF(INDEX(Documents!$D$5:$D$657,MATCH(H563,Documents!$A$5:$A$657,0))="","",INDEX(Documents!$D$5:$D$657,MATCH(H563,Documents!$A$5:$A$657,0))),"")</f>
        <v>J Med Chem</v>
      </c>
      <c r="K563" s="25" t="str">
        <f aca="false">IFERROR(IF(INDEX(Documents!$G$5:$G$657,MATCH(H563,Documents!$A$5:$A$657,0))="","",INDEX(Documents!$G$5:$G$657,MATCH(H563,Documents!$A$5:$A$657,0))),"")</f>
        <v>10.1021/jm501960u</v>
      </c>
      <c r="L563" s="25" t="s">
        <v>1500</v>
      </c>
    </row>
    <row r="564" customFormat="false" ht="15" hidden="false" customHeight="false" outlineLevel="0" collapsed="false">
      <c r="A564" s="25" t="n">
        <v>15224514</v>
      </c>
      <c r="B564" s="25" t="s">
        <v>1503</v>
      </c>
      <c r="C564" s="25" t="s">
        <v>1504</v>
      </c>
      <c r="D564" s="26" t="n">
        <v>4.6</v>
      </c>
      <c r="E564" s="27" t="n">
        <v>8.33724216831843</v>
      </c>
      <c r="F564" s="27" t="n">
        <v>8.33724216831843</v>
      </c>
      <c r="G564" s="25" t="s">
        <v>1498</v>
      </c>
      <c r="H564" s="25" t="s">
        <v>1499</v>
      </c>
      <c r="I564" s="25" t="n">
        <f aca="false">IFERROR(IF(INDEX(Documents!$C$5:$C$657,MATCH(H564,Documents!$A$5:$A$657,0))="","",INDEX(Documents!$C$5:$C$657,MATCH(H564,Documents!$A$5:$A$657,0))),"")</f>
        <v>2015</v>
      </c>
      <c r="J564" s="25" t="str">
        <f aca="false">IFERROR(IF(INDEX(Documents!$D$5:$D$657,MATCH(H564,Documents!$A$5:$A$657,0))="","",INDEX(Documents!$D$5:$D$657,MATCH(H564,Documents!$A$5:$A$657,0))),"")</f>
        <v>J Med Chem</v>
      </c>
      <c r="K564" s="25" t="str">
        <f aca="false">IFERROR(IF(INDEX(Documents!$G$5:$G$657,MATCH(H564,Documents!$A$5:$A$657,0))="","",INDEX(Documents!$G$5:$G$657,MATCH(H564,Documents!$A$5:$A$657,0))),"")</f>
        <v>10.1021/jm501960u</v>
      </c>
      <c r="L564" s="25" t="s">
        <v>1500</v>
      </c>
    </row>
    <row r="565" customFormat="false" ht="15" hidden="false" customHeight="false" outlineLevel="0" collapsed="false">
      <c r="A565" s="25" t="n">
        <v>15224516</v>
      </c>
      <c r="B565" s="25" t="s">
        <v>1505</v>
      </c>
      <c r="C565" s="25" t="s">
        <v>1506</v>
      </c>
      <c r="D565" s="26" t="n">
        <v>10.3</v>
      </c>
      <c r="E565" s="27" t="n">
        <v>7.98716277529483</v>
      </c>
      <c r="F565" s="27" t="n">
        <v>7.98716277529483</v>
      </c>
      <c r="G565" s="25" t="s">
        <v>1498</v>
      </c>
      <c r="H565" s="25" t="s">
        <v>1499</v>
      </c>
      <c r="I565" s="25" t="n">
        <f aca="false">IFERROR(IF(INDEX(Documents!$C$5:$C$657,MATCH(H565,Documents!$A$5:$A$657,0))="","",INDEX(Documents!$C$5:$C$657,MATCH(H565,Documents!$A$5:$A$657,0))),"")</f>
        <v>2015</v>
      </c>
      <c r="J565" s="25" t="str">
        <f aca="false">IFERROR(IF(INDEX(Documents!$D$5:$D$657,MATCH(H565,Documents!$A$5:$A$657,0))="","",INDEX(Documents!$D$5:$D$657,MATCH(H565,Documents!$A$5:$A$657,0))),"")</f>
        <v>J Med Chem</v>
      </c>
      <c r="K565" s="25" t="str">
        <f aca="false">IFERROR(IF(INDEX(Documents!$G$5:$G$657,MATCH(H565,Documents!$A$5:$A$657,0))="","",INDEX(Documents!$G$5:$G$657,MATCH(H565,Documents!$A$5:$A$657,0))),"")</f>
        <v>10.1021/jm501960u</v>
      </c>
      <c r="L565" s="25" t="s">
        <v>1500</v>
      </c>
    </row>
    <row r="566" customFormat="false" ht="15" hidden="false" customHeight="false" outlineLevel="0" collapsed="false">
      <c r="A566" s="25" t="n">
        <v>15224517</v>
      </c>
      <c r="B566" s="25" t="s">
        <v>1507</v>
      </c>
      <c r="C566" s="25" t="s">
        <v>1508</v>
      </c>
      <c r="D566" s="26" t="n">
        <v>9.6</v>
      </c>
      <c r="E566" s="27" t="n">
        <v>8.01772876696043</v>
      </c>
      <c r="F566" s="27" t="n">
        <v>8.01772876696043</v>
      </c>
      <c r="G566" s="25" t="s">
        <v>1498</v>
      </c>
      <c r="H566" s="25" t="s">
        <v>1499</v>
      </c>
      <c r="I566" s="25" t="n">
        <f aca="false">IFERROR(IF(INDEX(Documents!$C$5:$C$657,MATCH(H566,Documents!$A$5:$A$657,0))="","",INDEX(Documents!$C$5:$C$657,MATCH(H566,Documents!$A$5:$A$657,0))),"")</f>
        <v>2015</v>
      </c>
      <c r="J566" s="25" t="str">
        <f aca="false">IFERROR(IF(INDEX(Documents!$D$5:$D$657,MATCH(H566,Documents!$A$5:$A$657,0))="","",INDEX(Documents!$D$5:$D$657,MATCH(H566,Documents!$A$5:$A$657,0))),"")</f>
        <v>J Med Chem</v>
      </c>
      <c r="K566" s="25" t="str">
        <f aca="false">IFERROR(IF(INDEX(Documents!$G$5:$G$657,MATCH(H566,Documents!$A$5:$A$657,0))="","",INDEX(Documents!$G$5:$G$657,MATCH(H566,Documents!$A$5:$A$657,0))),"")</f>
        <v>10.1021/jm501960u</v>
      </c>
      <c r="L566" s="25" t="s">
        <v>1500</v>
      </c>
    </row>
    <row r="567" customFormat="false" ht="15" hidden="false" customHeight="false" outlineLevel="0" collapsed="false">
      <c r="A567" s="25" t="n">
        <v>15224512</v>
      </c>
      <c r="B567" s="25" t="s">
        <v>1509</v>
      </c>
      <c r="C567" s="25" t="s">
        <v>1510</v>
      </c>
      <c r="D567" s="26" t="n">
        <v>13.1</v>
      </c>
      <c r="E567" s="27" t="n">
        <v>7.88272870434424</v>
      </c>
      <c r="F567" s="27" t="n">
        <v>7.88272870434424</v>
      </c>
      <c r="G567" s="25" t="s">
        <v>1498</v>
      </c>
      <c r="H567" s="25" t="s">
        <v>1499</v>
      </c>
      <c r="I567" s="25" t="n">
        <f aca="false">IFERROR(IF(INDEX(Documents!$C$5:$C$657,MATCH(H567,Documents!$A$5:$A$657,0))="","",INDEX(Documents!$C$5:$C$657,MATCH(H567,Documents!$A$5:$A$657,0))),"")</f>
        <v>2015</v>
      </c>
      <c r="J567" s="25" t="str">
        <f aca="false">IFERROR(IF(INDEX(Documents!$D$5:$D$657,MATCH(H567,Documents!$A$5:$A$657,0))="","",INDEX(Documents!$D$5:$D$657,MATCH(H567,Documents!$A$5:$A$657,0))),"")</f>
        <v>J Med Chem</v>
      </c>
      <c r="K567" s="25" t="str">
        <f aca="false">IFERROR(IF(INDEX(Documents!$G$5:$G$657,MATCH(H567,Documents!$A$5:$A$657,0))="","",INDEX(Documents!$G$5:$G$657,MATCH(H567,Documents!$A$5:$A$657,0))),"")</f>
        <v>10.1021/jm501960u</v>
      </c>
      <c r="L567" s="25" t="s">
        <v>1500</v>
      </c>
    </row>
    <row r="568" customFormat="false" ht="15" hidden="false" customHeight="false" outlineLevel="0" collapsed="false">
      <c r="A568" s="25" t="n">
        <v>15224513</v>
      </c>
      <c r="B568" s="25" t="s">
        <v>1511</v>
      </c>
      <c r="C568" s="25" t="s">
        <v>1512</v>
      </c>
      <c r="D568" s="26" t="n">
        <v>24.8</v>
      </c>
      <c r="E568" s="27" t="n">
        <v>7.60554831917378</v>
      </c>
      <c r="F568" s="27" t="n">
        <v>7.60554831917378</v>
      </c>
      <c r="G568" s="25" t="s">
        <v>1498</v>
      </c>
      <c r="H568" s="25" t="s">
        <v>1499</v>
      </c>
      <c r="I568" s="25" t="n">
        <f aca="false">IFERROR(IF(INDEX(Documents!$C$5:$C$657,MATCH(H568,Documents!$A$5:$A$657,0))="","",INDEX(Documents!$C$5:$C$657,MATCH(H568,Documents!$A$5:$A$657,0))),"")</f>
        <v>2015</v>
      </c>
      <c r="J568" s="25" t="str">
        <f aca="false">IFERROR(IF(INDEX(Documents!$D$5:$D$657,MATCH(H568,Documents!$A$5:$A$657,0))="","",INDEX(Documents!$D$5:$D$657,MATCH(H568,Documents!$A$5:$A$657,0))),"")</f>
        <v>J Med Chem</v>
      </c>
      <c r="K568" s="25" t="str">
        <f aca="false">IFERROR(IF(INDEX(Documents!$G$5:$G$657,MATCH(H568,Documents!$A$5:$A$657,0))="","",INDEX(Documents!$G$5:$G$657,MATCH(H568,Documents!$A$5:$A$657,0))),"")</f>
        <v>10.1021/jm501960u</v>
      </c>
      <c r="L568" s="25" t="s">
        <v>1500</v>
      </c>
    </row>
    <row r="569" customFormat="false" ht="15" hidden="false" customHeight="false" outlineLevel="0" collapsed="false">
      <c r="A569" s="25" t="n">
        <v>16511736</v>
      </c>
      <c r="B569" s="25" t="s">
        <v>1513</v>
      </c>
      <c r="C569" s="25" t="s">
        <v>1514</v>
      </c>
      <c r="D569" s="26" t="n">
        <v>38</v>
      </c>
      <c r="E569" s="27" t="n">
        <v>7.42021640338319</v>
      </c>
      <c r="F569" s="27" t="n">
        <v>7.42021640338319</v>
      </c>
      <c r="G569" s="25" t="s">
        <v>1336</v>
      </c>
      <c r="H569" s="25" t="s">
        <v>1337</v>
      </c>
      <c r="I569" s="25" t="n">
        <f aca="false">IFERROR(IF(INDEX(Documents!$C$5:$C$657,MATCH(H569,Documents!$A$5:$A$657,0))="","",INDEX(Documents!$C$5:$C$657,MATCH(H569,Documents!$A$5:$A$657,0))),"")</f>
        <v>2016</v>
      </c>
      <c r="J569" s="25" t="str">
        <f aca="false">IFERROR(IF(INDEX(Documents!$D$5:$D$657,MATCH(H569,Documents!$A$5:$A$657,0))="","",INDEX(Documents!$D$5:$D$657,MATCH(H569,Documents!$A$5:$A$657,0))),"")</f>
        <v>Eur J Med Chem</v>
      </c>
      <c r="K569" s="25" t="str">
        <f aca="false">IFERROR(IF(INDEX(Documents!$G$5:$G$657,MATCH(H569,Documents!$A$5:$A$657,0))="","",INDEX(Documents!$G$5:$G$657,MATCH(H569,Documents!$A$5:$A$657,0))),"")</f>
        <v>10.1016/j.ejmech.2016.02.005</v>
      </c>
      <c r="L569" s="25" t="s">
        <v>1338</v>
      </c>
    </row>
    <row r="570" customFormat="false" ht="15" hidden="false" customHeight="false" outlineLevel="0" collapsed="false">
      <c r="A570" s="25" t="n">
        <v>2167518</v>
      </c>
      <c r="B570" s="25" t="s">
        <v>1515</v>
      </c>
      <c r="C570" s="25" t="s">
        <v>1516</v>
      </c>
      <c r="D570" s="26" t="n">
        <v>9.4</v>
      </c>
      <c r="E570" s="27" t="n">
        <v>8.0268721464003</v>
      </c>
      <c r="F570" s="27" t="n">
        <v>8.0268721464003</v>
      </c>
      <c r="G570" s="25" t="s">
        <v>707</v>
      </c>
      <c r="H570" s="25" t="s">
        <v>708</v>
      </c>
      <c r="I570" s="25" t="n">
        <f aca="false">IFERROR(IF(INDEX(Documents!$C$5:$C$657,MATCH(H570,Documents!$A$5:$A$657,0))="","",INDEX(Documents!$C$5:$C$657,MATCH(H570,Documents!$A$5:$A$657,0))),"")</f>
        <v>2008</v>
      </c>
      <c r="J570" s="25" t="str">
        <f aca="false">IFERROR(IF(INDEX(Documents!$D$5:$D$657,MATCH(H570,Documents!$A$5:$A$657,0))="","",INDEX(Documents!$D$5:$D$657,MATCH(H570,Documents!$A$5:$A$657,0))),"")</f>
        <v>Bioorg Med Chem Lett</v>
      </c>
      <c r="K570" s="25" t="str">
        <f aca="false">IFERROR(IF(INDEX(Documents!$G$5:$G$657,MATCH(H570,Documents!$A$5:$A$657,0))="","",INDEX(Documents!$G$5:$G$657,MATCH(H570,Documents!$A$5:$A$657,0))),"")</f>
        <v>10.1016/j.bmcl.2008.04.006</v>
      </c>
      <c r="L570" s="25" t="s">
        <v>709</v>
      </c>
    </row>
    <row r="571" customFormat="false" ht="15" hidden="false" customHeight="false" outlineLevel="0" collapsed="false">
      <c r="A571" s="25" t="n">
        <v>2167516</v>
      </c>
      <c r="B571" s="25" t="s">
        <v>1517</v>
      </c>
      <c r="C571" s="25" t="s">
        <v>1518</v>
      </c>
      <c r="D571" s="26" t="n">
        <v>13</v>
      </c>
      <c r="E571" s="27" t="n">
        <v>7.88605664769316</v>
      </c>
      <c r="F571" s="27" t="n">
        <v>7.88605664769316</v>
      </c>
      <c r="G571" s="25" t="s">
        <v>707</v>
      </c>
      <c r="H571" s="25" t="s">
        <v>708</v>
      </c>
      <c r="I571" s="25" t="n">
        <f aca="false">IFERROR(IF(INDEX(Documents!$C$5:$C$657,MATCH(H571,Documents!$A$5:$A$657,0))="","",INDEX(Documents!$C$5:$C$657,MATCH(H571,Documents!$A$5:$A$657,0))),"")</f>
        <v>2008</v>
      </c>
      <c r="J571" s="25" t="str">
        <f aca="false">IFERROR(IF(INDEX(Documents!$D$5:$D$657,MATCH(H571,Documents!$A$5:$A$657,0))="","",INDEX(Documents!$D$5:$D$657,MATCH(H571,Documents!$A$5:$A$657,0))),"")</f>
        <v>Bioorg Med Chem Lett</v>
      </c>
      <c r="K571" s="25" t="str">
        <f aca="false">IFERROR(IF(INDEX(Documents!$G$5:$G$657,MATCH(H571,Documents!$A$5:$A$657,0))="","",INDEX(Documents!$G$5:$G$657,MATCH(H571,Documents!$A$5:$A$657,0))),"")</f>
        <v>10.1016/j.bmcl.2008.04.006</v>
      </c>
      <c r="L571" s="25" t="s">
        <v>709</v>
      </c>
    </row>
    <row r="572" customFormat="false" ht="15" hidden="false" customHeight="false" outlineLevel="0" collapsed="false">
      <c r="A572" s="25" t="n">
        <v>2167519</v>
      </c>
      <c r="B572" s="25" t="s">
        <v>1519</v>
      </c>
      <c r="C572" s="25" t="s">
        <v>1520</v>
      </c>
      <c r="D572" s="26" t="n">
        <v>3.5</v>
      </c>
      <c r="E572" s="27" t="n">
        <v>8.45593195564972</v>
      </c>
      <c r="F572" s="27" t="n">
        <v>8.45593195564972</v>
      </c>
      <c r="G572" s="25" t="s">
        <v>707</v>
      </c>
      <c r="H572" s="25" t="s">
        <v>708</v>
      </c>
      <c r="I572" s="25" t="n">
        <f aca="false">IFERROR(IF(INDEX(Documents!$C$5:$C$657,MATCH(H572,Documents!$A$5:$A$657,0))="","",INDEX(Documents!$C$5:$C$657,MATCH(H572,Documents!$A$5:$A$657,0))),"")</f>
        <v>2008</v>
      </c>
      <c r="J572" s="25" t="str">
        <f aca="false">IFERROR(IF(INDEX(Documents!$D$5:$D$657,MATCH(H572,Documents!$A$5:$A$657,0))="","",INDEX(Documents!$D$5:$D$657,MATCH(H572,Documents!$A$5:$A$657,0))),"")</f>
        <v>Bioorg Med Chem Lett</v>
      </c>
      <c r="K572" s="25" t="str">
        <f aca="false">IFERROR(IF(INDEX(Documents!$G$5:$G$657,MATCH(H572,Documents!$A$5:$A$657,0))="","",INDEX(Documents!$G$5:$G$657,MATCH(H572,Documents!$A$5:$A$657,0))),"")</f>
        <v>10.1016/j.bmcl.2008.04.006</v>
      </c>
      <c r="L572" s="25" t="s">
        <v>709</v>
      </c>
    </row>
    <row r="573" customFormat="false" ht="15" hidden="false" customHeight="false" outlineLevel="0" collapsed="false">
      <c r="A573" s="25" t="n">
        <v>3089225</v>
      </c>
      <c r="B573" s="25" t="s">
        <v>1521</v>
      </c>
      <c r="C573" s="25" t="s">
        <v>1522</v>
      </c>
      <c r="D573" s="26" t="n">
        <v>0.39</v>
      </c>
      <c r="E573" s="27" t="n">
        <v>9.4089353929735</v>
      </c>
      <c r="F573" s="27" t="n">
        <v>9.4089353929735</v>
      </c>
      <c r="G573" s="25" t="s">
        <v>534</v>
      </c>
      <c r="H573" s="25" t="s">
        <v>535</v>
      </c>
      <c r="I573" s="25" t="n">
        <f aca="false">IFERROR(IF(INDEX(Documents!$C$5:$C$657,MATCH(H573,Documents!$A$5:$A$657,0))="","",INDEX(Documents!$C$5:$C$657,MATCH(H573,Documents!$A$5:$A$657,0))),"")</f>
        <v>2010</v>
      </c>
      <c r="J573" s="25" t="str">
        <f aca="false">IFERROR(IF(INDEX(Documents!$D$5:$D$657,MATCH(H573,Documents!$A$5:$A$657,0))="","",INDEX(Documents!$D$5:$D$657,MATCH(H573,Documents!$A$5:$A$657,0))),"")</f>
        <v>Bioorg Med Chem Lett</v>
      </c>
      <c r="K573" s="25" t="str">
        <f aca="false">IFERROR(IF(INDEX(Documents!$G$5:$G$657,MATCH(H573,Documents!$A$5:$A$657,0))="","",INDEX(Documents!$G$5:$G$657,MATCH(H573,Documents!$A$5:$A$657,0))),"")</f>
        <v>10.1016/j.bmcl.2009.11.084</v>
      </c>
      <c r="L573" s="25" t="s">
        <v>515</v>
      </c>
    </row>
    <row r="574" customFormat="false" ht="15" hidden="false" customHeight="false" outlineLevel="0" collapsed="false">
      <c r="A574" s="25" t="n">
        <v>5205752</v>
      </c>
      <c r="B574" s="25" t="s">
        <v>1523</v>
      </c>
      <c r="C574" s="25" t="s">
        <v>1524</v>
      </c>
      <c r="D574" s="26" t="n">
        <v>422</v>
      </c>
      <c r="E574" s="27" t="n">
        <v>6.37468754903833</v>
      </c>
      <c r="F574" s="27" t="n">
        <v>6.37468754903833</v>
      </c>
      <c r="G574" s="25" t="s">
        <v>461</v>
      </c>
      <c r="H574" s="25" t="s">
        <v>462</v>
      </c>
      <c r="I574" s="25" t="n">
        <f aca="false">IFERROR(IF(INDEX(Documents!$C$5:$C$657,MATCH(H574,Documents!$A$5:$A$657,0))="","",INDEX(Documents!$C$5:$C$657,MATCH(H574,Documents!$A$5:$A$657,0))),"")</f>
        <v>2011</v>
      </c>
      <c r="J574" s="25" t="str">
        <f aca="false">IFERROR(IF(INDEX(Documents!$D$5:$D$657,MATCH(H574,Documents!$A$5:$A$657,0))="","",INDEX(Documents!$D$5:$D$657,MATCH(H574,Documents!$A$5:$A$657,0))),"")</f>
        <v>Eur J Med Chem</v>
      </c>
      <c r="K574" s="25" t="str">
        <f aca="false">IFERROR(IF(INDEX(Documents!$G$5:$G$657,MATCH(H574,Documents!$A$5:$A$657,0))="","",INDEX(Documents!$G$5:$G$657,MATCH(H574,Documents!$A$5:$A$657,0))),"")</f>
        <v>10.1016/j.ejmech.2010.11.034</v>
      </c>
      <c r="L574" s="25" t="s">
        <v>463</v>
      </c>
    </row>
    <row r="575" customFormat="false" ht="15" hidden="false" customHeight="false" outlineLevel="0" collapsed="false">
      <c r="A575" s="25" t="n">
        <v>1993873</v>
      </c>
      <c r="B575" s="25" t="s">
        <v>1525</v>
      </c>
      <c r="C575" s="25" t="s">
        <v>1526</v>
      </c>
      <c r="D575" s="26" t="n">
        <v>160</v>
      </c>
      <c r="E575" s="27" t="n">
        <v>6.79588001734408</v>
      </c>
      <c r="F575" s="27" t="n">
        <v>6.79588001734408</v>
      </c>
      <c r="G575" s="25" t="s">
        <v>1527</v>
      </c>
      <c r="H575" s="25" t="s">
        <v>1528</v>
      </c>
      <c r="I575" s="25" t="n">
        <f aca="false">IFERROR(IF(INDEX(Documents!$C$5:$C$657,MATCH(H575,Documents!$A$5:$A$657,0))="","",INDEX(Documents!$C$5:$C$657,MATCH(H575,Documents!$A$5:$A$657,0))),"")</f>
        <v>2007</v>
      </c>
      <c r="J575" s="25" t="str">
        <f aca="false">IFERROR(IF(INDEX(Documents!$D$5:$D$657,MATCH(H575,Documents!$A$5:$A$657,0))="","",INDEX(Documents!$D$5:$D$657,MATCH(H575,Documents!$A$5:$A$657,0))),"")</f>
        <v>J Med Chem</v>
      </c>
      <c r="K575" s="25" t="str">
        <f aca="false">IFERROR(IF(INDEX(Documents!$G$5:$G$657,MATCH(H575,Documents!$A$5:$A$657,0))="","",INDEX(Documents!$G$5:$G$657,MATCH(H575,Documents!$A$5:$A$657,0))),"")</f>
        <v>10.1021/jm070387h</v>
      </c>
      <c r="L575" s="25" t="s">
        <v>1529</v>
      </c>
    </row>
    <row r="576" customFormat="false" ht="15" hidden="false" customHeight="false" outlineLevel="0" collapsed="false">
      <c r="A576" s="25" t="n">
        <v>1993871</v>
      </c>
      <c r="B576" s="25" t="s">
        <v>1530</v>
      </c>
      <c r="C576" s="25" t="s">
        <v>1531</v>
      </c>
      <c r="D576" s="26" t="n">
        <v>221</v>
      </c>
      <c r="E576" s="27" t="n">
        <v>6.65560772631489</v>
      </c>
      <c r="F576" s="27" t="n">
        <v>6.65560772631489</v>
      </c>
      <c r="G576" s="25" t="s">
        <v>1527</v>
      </c>
      <c r="H576" s="25" t="s">
        <v>1528</v>
      </c>
      <c r="I576" s="25" t="n">
        <f aca="false">IFERROR(IF(INDEX(Documents!$C$5:$C$657,MATCH(H576,Documents!$A$5:$A$657,0))="","",INDEX(Documents!$C$5:$C$657,MATCH(H576,Documents!$A$5:$A$657,0))),"")</f>
        <v>2007</v>
      </c>
      <c r="J576" s="25" t="str">
        <f aca="false">IFERROR(IF(INDEX(Documents!$D$5:$D$657,MATCH(H576,Documents!$A$5:$A$657,0))="","",INDEX(Documents!$D$5:$D$657,MATCH(H576,Documents!$A$5:$A$657,0))),"")</f>
        <v>J Med Chem</v>
      </c>
      <c r="K576" s="25" t="str">
        <f aca="false">IFERROR(IF(INDEX(Documents!$G$5:$G$657,MATCH(H576,Documents!$A$5:$A$657,0))="","",INDEX(Documents!$G$5:$G$657,MATCH(H576,Documents!$A$5:$A$657,0))),"")</f>
        <v>10.1021/jm070387h</v>
      </c>
      <c r="L576" s="25" t="s">
        <v>1529</v>
      </c>
    </row>
    <row r="577" customFormat="false" ht="15" hidden="false" customHeight="false" outlineLevel="0" collapsed="false">
      <c r="A577" s="25" t="n">
        <v>1993874</v>
      </c>
      <c r="B577" s="25" t="s">
        <v>1532</v>
      </c>
      <c r="C577" s="25" t="s">
        <v>1533</v>
      </c>
      <c r="D577" s="26" t="n">
        <v>333</v>
      </c>
      <c r="E577" s="27" t="n">
        <v>6.47755576649368</v>
      </c>
      <c r="F577" s="27" t="n">
        <v>6.47755576649368</v>
      </c>
      <c r="G577" s="25" t="s">
        <v>1527</v>
      </c>
      <c r="H577" s="25" t="s">
        <v>1528</v>
      </c>
      <c r="I577" s="25" t="n">
        <f aca="false">IFERROR(IF(INDEX(Documents!$C$5:$C$657,MATCH(H577,Documents!$A$5:$A$657,0))="","",INDEX(Documents!$C$5:$C$657,MATCH(H577,Documents!$A$5:$A$657,0))),"")</f>
        <v>2007</v>
      </c>
      <c r="J577" s="25" t="str">
        <f aca="false">IFERROR(IF(INDEX(Documents!$D$5:$D$657,MATCH(H577,Documents!$A$5:$A$657,0))="","",INDEX(Documents!$D$5:$D$657,MATCH(H577,Documents!$A$5:$A$657,0))),"")</f>
        <v>J Med Chem</v>
      </c>
      <c r="K577" s="25" t="str">
        <f aca="false">IFERROR(IF(INDEX(Documents!$G$5:$G$657,MATCH(H577,Documents!$A$5:$A$657,0))="","",INDEX(Documents!$G$5:$G$657,MATCH(H577,Documents!$A$5:$A$657,0))),"")</f>
        <v>10.1021/jm070387h</v>
      </c>
      <c r="L577" s="25" t="s">
        <v>1529</v>
      </c>
    </row>
    <row r="578" customFormat="false" ht="15" hidden="false" customHeight="false" outlineLevel="0" collapsed="false">
      <c r="A578" s="25" t="n">
        <v>1993677</v>
      </c>
      <c r="B578" s="25" t="s">
        <v>1534</v>
      </c>
      <c r="C578" s="25" t="s">
        <v>1535</v>
      </c>
      <c r="D578" s="26" t="n">
        <v>83.4</v>
      </c>
      <c r="E578" s="27" t="n">
        <v>7.07883394936226</v>
      </c>
      <c r="F578" s="27" t="n">
        <v>7.07883394936226</v>
      </c>
      <c r="G578" s="25" t="s">
        <v>1527</v>
      </c>
      <c r="H578" s="25" t="s">
        <v>1528</v>
      </c>
      <c r="I578" s="25" t="n">
        <f aca="false">IFERROR(IF(INDEX(Documents!$C$5:$C$657,MATCH(H578,Documents!$A$5:$A$657,0))="","",INDEX(Documents!$C$5:$C$657,MATCH(H578,Documents!$A$5:$A$657,0))),"")</f>
        <v>2007</v>
      </c>
      <c r="J578" s="25" t="str">
        <f aca="false">IFERROR(IF(INDEX(Documents!$D$5:$D$657,MATCH(H578,Documents!$A$5:$A$657,0))="","",INDEX(Documents!$D$5:$D$657,MATCH(H578,Documents!$A$5:$A$657,0))),"")</f>
        <v>J Med Chem</v>
      </c>
      <c r="K578" s="25" t="str">
        <f aca="false">IFERROR(IF(INDEX(Documents!$G$5:$G$657,MATCH(H578,Documents!$A$5:$A$657,0))="","",INDEX(Documents!$G$5:$G$657,MATCH(H578,Documents!$A$5:$A$657,0))),"")</f>
        <v>10.1021/jm070387h</v>
      </c>
      <c r="L578" s="25" t="s">
        <v>1529</v>
      </c>
    </row>
    <row r="579" customFormat="false" ht="15" hidden="false" customHeight="false" outlineLevel="0" collapsed="false">
      <c r="A579" s="25" t="n">
        <v>1667528</v>
      </c>
      <c r="B579" s="25" t="s">
        <v>1536</v>
      </c>
      <c r="C579" s="25" t="s">
        <v>1537</v>
      </c>
      <c r="D579" s="26" t="n">
        <v>664</v>
      </c>
      <c r="E579" s="27" t="n">
        <v>6.17783192063198</v>
      </c>
      <c r="F579" s="27" t="n">
        <v>6.17783192063198</v>
      </c>
      <c r="G579" s="25" t="s">
        <v>1538</v>
      </c>
      <c r="H579" s="25" t="s">
        <v>1539</v>
      </c>
      <c r="I579" s="25" t="n">
        <f aca="false">IFERROR(IF(INDEX(Documents!$C$5:$C$657,MATCH(H579,Documents!$A$5:$A$657,0))="","",INDEX(Documents!$C$5:$C$657,MATCH(H579,Documents!$A$5:$A$657,0))),"")</f>
        <v>2006</v>
      </c>
      <c r="J579" s="25" t="str">
        <f aca="false">IFERROR(IF(INDEX(Documents!$D$5:$D$657,MATCH(H579,Documents!$A$5:$A$657,0))="","",INDEX(Documents!$D$5:$D$657,MATCH(H579,Documents!$A$5:$A$657,0))),"")</f>
        <v>J Med Chem</v>
      </c>
      <c r="K579" s="25" t="str">
        <f aca="false">IFERROR(IF(INDEX(Documents!$G$5:$G$657,MATCH(H579,Documents!$A$5:$A$657,0))="","",INDEX(Documents!$G$5:$G$657,MATCH(H579,Documents!$A$5:$A$657,0))),"")</f>
        <v>10.1021/jm050467q</v>
      </c>
      <c r="L579" s="25" t="s">
        <v>775</v>
      </c>
    </row>
    <row r="580" customFormat="false" ht="15" hidden="false" customHeight="false" outlineLevel="0" collapsed="false">
      <c r="A580" s="25" t="n">
        <v>12089894</v>
      </c>
      <c r="B580" s="25" t="s">
        <v>1540</v>
      </c>
      <c r="C580" s="25" t="s">
        <v>1541</v>
      </c>
      <c r="D580" s="26" t="n">
        <v>3.45</v>
      </c>
      <c r="E580" s="27" t="n">
        <v>8.46218090492673</v>
      </c>
      <c r="F580" s="27" t="n">
        <v>8.46218090492673</v>
      </c>
      <c r="G580" s="25" t="s">
        <v>1028</v>
      </c>
      <c r="H580" s="25" t="s">
        <v>1029</v>
      </c>
      <c r="I580" s="25" t="n">
        <f aca="false">IFERROR(IF(INDEX(Documents!$C$5:$C$657,MATCH(H580,Documents!$A$5:$A$657,0))="","",INDEX(Documents!$C$5:$C$657,MATCH(H580,Documents!$A$5:$A$657,0))),"")</f>
        <v>2012</v>
      </c>
      <c r="J580" s="25" t="str">
        <f aca="false">IFERROR(IF(INDEX(Documents!$D$5:$D$657,MATCH(H580,Documents!$A$5:$A$657,0))="","",INDEX(Documents!$D$5:$D$657,MATCH(H580,Documents!$A$5:$A$657,0))),"")</f>
        <v>J Med Chem</v>
      </c>
      <c r="K580" s="25" t="str">
        <f aca="false">IFERROR(IF(INDEX(Documents!$G$5:$G$657,MATCH(H580,Documents!$A$5:$A$657,0))="","",INDEX(Documents!$G$5:$G$657,MATCH(H580,Documents!$A$5:$A$657,0))),"")</f>
        <v>10.1021/jm300763w</v>
      </c>
      <c r="L580" s="25" t="s">
        <v>1030</v>
      </c>
    </row>
    <row r="581" customFormat="false" ht="15" hidden="false" customHeight="false" outlineLevel="0" collapsed="false">
      <c r="A581" s="25" t="n">
        <v>19437744</v>
      </c>
      <c r="B581" s="25" t="s">
        <v>1542</v>
      </c>
      <c r="C581" s="25" t="s">
        <v>1543</v>
      </c>
      <c r="D581" s="26" t="n">
        <v>2.5</v>
      </c>
      <c r="E581" s="27" t="n">
        <v>8.60205999132796</v>
      </c>
      <c r="F581" s="27" t="n">
        <v>8.60205999132796</v>
      </c>
      <c r="G581" s="25" t="s">
        <v>1331</v>
      </c>
      <c r="H581" s="25" t="s">
        <v>1332</v>
      </c>
      <c r="I581" s="25" t="n">
        <f aca="false">IFERROR(IF(INDEX(Documents!$C$5:$C$657,MATCH(H581,Documents!$A$5:$A$657,0))="","",INDEX(Documents!$C$5:$C$657,MATCH(H581,Documents!$A$5:$A$657,0))),"")</f>
        <v>2016</v>
      </c>
      <c r="J581" s="25" t="str">
        <f aca="false">IFERROR(IF(INDEX(Documents!$D$5:$D$657,MATCH(H581,Documents!$A$5:$A$657,0))="","",INDEX(Documents!$D$5:$D$657,MATCH(H581,Documents!$A$5:$A$657,0))),"")</f>
        <v>Bioorg Med Chem</v>
      </c>
      <c r="K581" s="25" t="str">
        <f aca="false">IFERROR(IF(INDEX(Documents!$G$5:$G$657,MATCH(H581,Documents!$A$5:$A$657,0))="","",INDEX(Documents!$G$5:$G$657,MATCH(H581,Documents!$A$5:$A$657,0))),"")</f>
        <v>10.1016/j.bmc.2016.08.055</v>
      </c>
      <c r="L581" s="25" t="s">
        <v>1333</v>
      </c>
    </row>
    <row r="582" customFormat="false" ht="15" hidden="false" customHeight="false" outlineLevel="0" collapsed="false">
      <c r="A582" s="25" t="n">
        <v>28220132</v>
      </c>
      <c r="B582" s="25" t="s">
        <v>1544</v>
      </c>
      <c r="C582" s="25" t="s">
        <v>1545</v>
      </c>
      <c r="D582" s="26" t="n">
        <v>0.8</v>
      </c>
      <c r="E582" s="27" t="n">
        <v>9.09691001300806</v>
      </c>
      <c r="F582" s="27" t="n">
        <v>9.09691001300806</v>
      </c>
      <c r="G582" s="25" t="s">
        <v>679</v>
      </c>
      <c r="H582" s="25" t="s">
        <v>680</v>
      </c>
      <c r="I582" s="25" t="n">
        <f aca="false">IFERROR(IF(INDEX(Documents!$C$5:$C$657,MATCH(H582,Documents!$A$5:$A$657,0))="","",INDEX(Documents!$C$5:$C$657,MATCH(H582,Documents!$A$5:$A$657,0))),"")</f>
        <v>2021</v>
      </c>
      <c r="J582" s="25" t="str">
        <f aca="false">IFERROR(IF(INDEX(Documents!$D$5:$D$657,MATCH(H582,Documents!$A$5:$A$657,0))="","",INDEX(Documents!$D$5:$D$657,MATCH(H582,Documents!$A$5:$A$657,0))),"")</f>
        <v/>
      </c>
      <c r="K582" s="25" t="str">
        <f aca="false">IFERROR(IF(INDEX(Documents!$G$5:$G$657,MATCH(H582,Documents!$A$5:$A$657,0))="","",INDEX(Documents!$G$5:$G$657,MATCH(H582,Documents!$A$5:$A$657,0))),"")</f>
        <v/>
      </c>
      <c r="L582" s="25" t="s">
        <v>681</v>
      </c>
    </row>
    <row r="583" customFormat="false" ht="15" hidden="false" customHeight="false" outlineLevel="0" collapsed="false">
      <c r="A583" s="25" t="n">
        <v>28220426</v>
      </c>
      <c r="B583" s="25" t="s">
        <v>1546</v>
      </c>
      <c r="C583" s="25" t="s">
        <v>1547</v>
      </c>
      <c r="D583" s="26" t="n">
        <v>7.7</v>
      </c>
      <c r="E583" s="27" t="n">
        <v>8.11350927482752</v>
      </c>
      <c r="F583" s="27" t="n">
        <v>8.32555563846428</v>
      </c>
      <c r="G583" s="25" t="s">
        <v>679</v>
      </c>
      <c r="H583" s="25" t="s">
        <v>680</v>
      </c>
      <c r="I583" s="25" t="n">
        <f aca="false">IFERROR(IF(INDEX(Documents!$C$5:$C$657,MATCH(H583,Documents!$A$5:$A$657,0))="","",INDEX(Documents!$C$5:$C$657,MATCH(H583,Documents!$A$5:$A$657,0))),"")</f>
        <v>2021</v>
      </c>
      <c r="J583" s="25" t="str">
        <f aca="false">IFERROR(IF(INDEX(Documents!$D$5:$D$657,MATCH(H583,Documents!$A$5:$A$657,0))="","",INDEX(Documents!$D$5:$D$657,MATCH(H583,Documents!$A$5:$A$657,0))),"")</f>
        <v/>
      </c>
      <c r="K583" s="25" t="str">
        <f aca="false">IFERROR(IF(INDEX(Documents!$G$5:$G$657,MATCH(H583,Documents!$A$5:$A$657,0))="","",INDEX(Documents!$G$5:$G$657,MATCH(H583,Documents!$A$5:$A$657,0))),"")</f>
        <v/>
      </c>
      <c r="L583" s="25" t="s">
        <v>681</v>
      </c>
    </row>
    <row r="584" customFormat="false" ht="15" hidden="false" customHeight="false" outlineLevel="0" collapsed="false">
      <c r="A584" s="25" t="n">
        <v>17991512</v>
      </c>
      <c r="B584" s="25" t="s">
        <v>1546</v>
      </c>
      <c r="C584" s="25" t="s">
        <v>1547</v>
      </c>
      <c r="D584" s="26" t="n">
        <v>2.9</v>
      </c>
      <c r="E584" s="27" t="n">
        <v>8.53760200210104</v>
      </c>
      <c r="F584" s="27" t="n">
        <v>8.32555563846428</v>
      </c>
      <c r="G584" s="25" t="s">
        <v>1548</v>
      </c>
      <c r="H584" s="25" t="s">
        <v>1549</v>
      </c>
      <c r="I584" s="25" t="n">
        <f aca="false">IFERROR(IF(INDEX(Documents!$C$5:$C$657,MATCH(H584,Documents!$A$5:$A$657,0))="","",INDEX(Documents!$C$5:$C$657,MATCH(H584,Documents!$A$5:$A$657,0))),"")</f>
        <v>2015</v>
      </c>
      <c r="J584" s="25" t="str">
        <f aca="false">IFERROR(IF(INDEX(Documents!$D$5:$D$657,MATCH(H584,Documents!$A$5:$A$657,0))="","",INDEX(Documents!$D$5:$D$657,MATCH(H584,Documents!$A$5:$A$657,0))),"")</f>
        <v>J Med Chem</v>
      </c>
      <c r="K584" s="25" t="str">
        <f aca="false">IFERROR(IF(INDEX(Documents!$G$5:$G$657,MATCH(H584,Documents!$A$5:$A$657,0))="","",INDEX(Documents!$G$5:$G$657,MATCH(H584,Documents!$A$5:$A$657,0))),"")</f>
        <v>10.1021/jm501165d</v>
      </c>
      <c r="L584" s="25" t="s">
        <v>1550</v>
      </c>
    </row>
    <row r="585" customFormat="false" ht="15" hidden="false" customHeight="false" outlineLevel="0" collapsed="false">
      <c r="A585" s="25" t="n">
        <v>17991511</v>
      </c>
      <c r="B585" s="25" t="s">
        <v>1551</v>
      </c>
      <c r="C585" s="25" t="s">
        <v>1552</v>
      </c>
      <c r="D585" s="26" t="n">
        <v>0.7</v>
      </c>
      <c r="E585" s="27" t="n">
        <v>9.15490195998575</v>
      </c>
      <c r="F585" s="27" t="n">
        <v>9.18837535480105</v>
      </c>
      <c r="G585" s="25" t="s">
        <v>1548</v>
      </c>
      <c r="H585" s="25" t="s">
        <v>1549</v>
      </c>
      <c r="I585" s="25" t="n">
        <f aca="false">IFERROR(IF(INDEX(Documents!$C$5:$C$657,MATCH(H585,Documents!$A$5:$A$657,0))="","",INDEX(Documents!$C$5:$C$657,MATCH(H585,Documents!$A$5:$A$657,0))),"")</f>
        <v>2015</v>
      </c>
      <c r="J585" s="25" t="str">
        <f aca="false">IFERROR(IF(INDEX(Documents!$D$5:$D$657,MATCH(H585,Documents!$A$5:$A$657,0))="","",INDEX(Documents!$D$5:$D$657,MATCH(H585,Documents!$A$5:$A$657,0))),"")</f>
        <v>J Med Chem</v>
      </c>
      <c r="K585" s="25" t="str">
        <f aca="false">IFERROR(IF(INDEX(Documents!$G$5:$G$657,MATCH(H585,Documents!$A$5:$A$657,0))="","",INDEX(Documents!$G$5:$G$657,MATCH(H585,Documents!$A$5:$A$657,0))),"")</f>
        <v>10.1021/jm501165d</v>
      </c>
      <c r="L585" s="25" t="s">
        <v>1550</v>
      </c>
    </row>
    <row r="586" customFormat="false" ht="15" hidden="false" customHeight="false" outlineLevel="0" collapsed="false">
      <c r="A586" s="25" t="n">
        <v>28220177</v>
      </c>
      <c r="B586" s="25" t="s">
        <v>1551</v>
      </c>
      <c r="C586" s="25" t="s">
        <v>1552</v>
      </c>
      <c r="D586" s="26" t="n">
        <v>0.6</v>
      </c>
      <c r="E586" s="27" t="n">
        <v>9.22184874961636</v>
      </c>
      <c r="F586" s="27" t="n">
        <v>9.18837535480105</v>
      </c>
      <c r="G586" s="25" t="s">
        <v>679</v>
      </c>
      <c r="H586" s="25" t="s">
        <v>680</v>
      </c>
      <c r="I586" s="25" t="n">
        <f aca="false">IFERROR(IF(INDEX(Documents!$C$5:$C$657,MATCH(H586,Documents!$A$5:$A$657,0))="","",INDEX(Documents!$C$5:$C$657,MATCH(H586,Documents!$A$5:$A$657,0))),"")</f>
        <v>2021</v>
      </c>
      <c r="J586" s="25" t="str">
        <f aca="false">IFERROR(IF(INDEX(Documents!$D$5:$D$657,MATCH(H586,Documents!$A$5:$A$657,0))="","",INDEX(Documents!$D$5:$D$657,MATCH(H586,Documents!$A$5:$A$657,0))),"")</f>
        <v/>
      </c>
      <c r="K586" s="25" t="str">
        <f aca="false">IFERROR(IF(INDEX(Documents!$G$5:$G$657,MATCH(H586,Documents!$A$5:$A$657,0))="","",INDEX(Documents!$G$5:$G$657,MATCH(H586,Documents!$A$5:$A$657,0))),"")</f>
        <v/>
      </c>
      <c r="L586" s="25" t="s">
        <v>681</v>
      </c>
    </row>
    <row r="587" customFormat="false" ht="15" hidden="false" customHeight="false" outlineLevel="0" collapsed="false">
      <c r="A587" s="25" t="n">
        <v>17991508</v>
      </c>
      <c r="B587" s="25" t="s">
        <v>1553</v>
      </c>
      <c r="C587" s="25" t="s">
        <v>1554</v>
      </c>
      <c r="D587" s="26" t="n">
        <v>1.4</v>
      </c>
      <c r="E587" s="27" t="n">
        <v>8.85387196432176</v>
      </c>
      <c r="F587" s="27" t="n">
        <v>8.85387196432176</v>
      </c>
      <c r="G587" s="25" t="s">
        <v>1548</v>
      </c>
      <c r="H587" s="25" t="s">
        <v>1549</v>
      </c>
      <c r="I587" s="25" t="n">
        <f aca="false">IFERROR(IF(INDEX(Documents!$C$5:$C$657,MATCH(H587,Documents!$A$5:$A$657,0))="","",INDEX(Documents!$C$5:$C$657,MATCH(H587,Documents!$A$5:$A$657,0))),"")</f>
        <v>2015</v>
      </c>
      <c r="J587" s="25" t="str">
        <f aca="false">IFERROR(IF(INDEX(Documents!$D$5:$D$657,MATCH(H587,Documents!$A$5:$A$657,0))="","",INDEX(Documents!$D$5:$D$657,MATCH(H587,Documents!$A$5:$A$657,0))),"")</f>
        <v>J Med Chem</v>
      </c>
      <c r="K587" s="25" t="str">
        <f aca="false">IFERROR(IF(INDEX(Documents!$G$5:$G$657,MATCH(H587,Documents!$A$5:$A$657,0))="","",INDEX(Documents!$G$5:$G$657,MATCH(H587,Documents!$A$5:$A$657,0))),"")</f>
        <v>10.1021/jm501165d</v>
      </c>
      <c r="L587" s="25" t="s">
        <v>1550</v>
      </c>
    </row>
    <row r="588" customFormat="false" ht="15" hidden="false" customHeight="false" outlineLevel="0" collapsed="false">
      <c r="A588" s="25" t="n">
        <v>17991510</v>
      </c>
      <c r="B588" s="25" t="s">
        <v>1555</v>
      </c>
      <c r="C588" s="25" t="s">
        <v>1556</v>
      </c>
      <c r="D588" s="26" t="n">
        <v>0.8</v>
      </c>
      <c r="E588" s="27" t="n">
        <v>9.09691001300806</v>
      </c>
      <c r="F588" s="27" t="n">
        <v>9.09691001300806</v>
      </c>
      <c r="G588" s="25" t="s">
        <v>1548</v>
      </c>
      <c r="H588" s="25" t="s">
        <v>1549</v>
      </c>
      <c r="I588" s="25" t="n">
        <f aca="false">IFERROR(IF(INDEX(Documents!$C$5:$C$657,MATCH(H588,Documents!$A$5:$A$657,0))="","",INDEX(Documents!$C$5:$C$657,MATCH(H588,Documents!$A$5:$A$657,0))),"")</f>
        <v>2015</v>
      </c>
      <c r="J588" s="25" t="str">
        <f aca="false">IFERROR(IF(INDEX(Documents!$D$5:$D$657,MATCH(H588,Documents!$A$5:$A$657,0))="","",INDEX(Documents!$D$5:$D$657,MATCH(H588,Documents!$A$5:$A$657,0))),"")</f>
        <v>J Med Chem</v>
      </c>
      <c r="K588" s="25" t="str">
        <f aca="false">IFERROR(IF(INDEX(Documents!$G$5:$G$657,MATCH(H588,Documents!$A$5:$A$657,0))="","",INDEX(Documents!$G$5:$G$657,MATCH(H588,Documents!$A$5:$A$657,0))),"")</f>
        <v>10.1021/jm501165d</v>
      </c>
      <c r="L588" s="25" t="s">
        <v>1550</v>
      </c>
    </row>
    <row r="589" customFormat="false" ht="15" hidden="false" customHeight="false" outlineLevel="0" collapsed="false">
      <c r="A589" s="25" t="n">
        <v>17991506</v>
      </c>
      <c r="B589" s="25" t="s">
        <v>1557</v>
      </c>
      <c r="C589" s="25" t="s">
        <v>1558</v>
      </c>
      <c r="D589" s="26" t="n">
        <v>0.9</v>
      </c>
      <c r="E589" s="27" t="n">
        <v>9.04575749056068</v>
      </c>
      <c r="F589" s="27" t="n">
        <v>9.04575749056068</v>
      </c>
      <c r="G589" s="25" t="s">
        <v>1548</v>
      </c>
      <c r="H589" s="25" t="s">
        <v>1549</v>
      </c>
      <c r="I589" s="25" t="n">
        <f aca="false">IFERROR(IF(INDEX(Documents!$C$5:$C$657,MATCH(H589,Documents!$A$5:$A$657,0))="","",INDEX(Documents!$C$5:$C$657,MATCH(H589,Documents!$A$5:$A$657,0))),"")</f>
        <v>2015</v>
      </c>
      <c r="J589" s="25" t="str">
        <f aca="false">IFERROR(IF(INDEX(Documents!$D$5:$D$657,MATCH(H589,Documents!$A$5:$A$657,0))="","",INDEX(Documents!$D$5:$D$657,MATCH(H589,Documents!$A$5:$A$657,0))),"")</f>
        <v>J Med Chem</v>
      </c>
      <c r="K589" s="25" t="str">
        <f aca="false">IFERROR(IF(INDEX(Documents!$G$5:$G$657,MATCH(H589,Documents!$A$5:$A$657,0))="","",INDEX(Documents!$G$5:$G$657,MATCH(H589,Documents!$A$5:$A$657,0))),"")</f>
        <v>10.1021/jm501165d</v>
      </c>
      <c r="L589" s="25" t="s">
        <v>1550</v>
      </c>
    </row>
    <row r="590" customFormat="false" ht="15" hidden="false" customHeight="false" outlineLevel="0" collapsed="false">
      <c r="A590" s="25" t="n">
        <v>17991509</v>
      </c>
      <c r="B590" s="25" t="s">
        <v>1559</v>
      </c>
      <c r="C590" s="25" t="s">
        <v>1560</v>
      </c>
      <c r="D590" s="26" t="n">
        <v>0.6</v>
      </c>
      <c r="E590" s="27" t="n">
        <v>9.22184874961636</v>
      </c>
      <c r="F590" s="27" t="n">
        <v>9.22184874961636</v>
      </c>
      <c r="G590" s="25" t="s">
        <v>1548</v>
      </c>
      <c r="H590" s="25" t="s">
        <v>1549</v>
      </c>
      <c r="I590" s="25" t="n">
        <f aca="false">IFERROR(IF(INDEX(Documents!$C$5:$C$657,MATCH(H590,Documents!$A$5:$A$657,0))="","",INDEX(Documents!$C$5:$C$657,MATCH(H590,Documents!$A$5:$A$657,0))),"")</f>
        <v>2015</v>
      </c>
      <c r="J590" s="25" t="str">
        <f aca="false">IFERROR(IF(INDEX(Documents!$D$5:$D$657,MATCH(H590,Documents!$A$5:$A$657,0))="","",INDEX(Documents!$D$5:$D$657,MATCH(H590,Documents!$A$5:$A$657,0))),"")</f>
        <v>J Med Chem</v>
      </c>
      <c r="K590" s="25" t="str">
        <f aca="false">IFERROR(IF(INDEX(Documents!$G$5:$G$657,MATCH(H590,Documents!$A$5:$A$657,0))="","",INDEX(Documents!$G$5:$G$657,MATCH(H590,Documents!$A$5:$A$657,0))),"")</f>
        <v>10.1021/jm501165d</v>
      </c>
      <c r="L590" s="25" t="s">
        <v>1550</v>
      </c>
    </row>
    <row r="591" customFormat="false" ht="15" hidden="false" customHeight="false" outlineLevel="0" collapsed="false">
      <c r="A591" s="25" t="n">
        <v>28220330</v>
      </c>
      <c r="B591" s="25" t="s">
        <v>1561</v>
      </c>
      <c r="C591" s="25" t="s">
        <v>1562</v>
      </c>
      <c r="D591" s="26" t="n">
        <v>39.9</v>
      </c>
      <c r="E591" s="27" t="n">
        <v>7.39902710431325</v>
      </c>
      <c r="F591" s="27" t="n">
        <v>7.39902710431325</v>
      </c>
      <c r="G591" s="25" t="s">
        <v>679</v>
      </c>
      <c r="H591" s="25" t="s">
        <v>680</v>
      </c>
      <c r="I591" s="25" t="n">
        <f aca="false">IFERROR(IF(INDEX(Documents!$C$5:$C$657,MATCH(H591,Documents!$A$5:$A$657,0))="","",INDEX(Documents!$C$5:$C$657,MATCH(H591,Documents!$A$5:$A$657,0))),"")</f>
        <v>2021</v>
      </c>
      <c r="J591" s="25" t="str">
        <f aca="false">IFERROR(IF(INDEX(Documents!$D$5:$D$657,MATCH(H591,Documents!$A$5:$A$657,0))="","",INDEX(Documents!$D$5:$D$657,MATCH(H591,Documents!$A$5:$A$657,0))),"")</f>
        <v/>
      </c>
      <c r="K591" s="25" t="str">
        <f aca="false">IFERROR(IF(INDEX(Documents!$G$5:$G$657,MATCH(H591,Documents!$A$5:$A$657,0))="","",INDEX(Documents!$G$5:$G$657,MATCH(H591,Documents!$A$5:$A$657,0))),"")</f>
        <v/>
      </c>
      <c r="L591" s="25" t="s">
        <v>681</v>
      </c>
    </row>
    <row r="592" customFormat="false" ht="15" hidden="false" customHeight="false" outlineLevel="0" collapsed="false">
      <c r="A592" s="25" t="n">
        <v>28220168</v>
      </c>
      <c r="B592" s="25" t="s">
        <v>1563</v>
      </c>
      <c r="C592" s="25" t="s">
        <v>1564</v>
      </c>
      <c r="D592" s="26" t="n">
        <v>8.7</v>
      </c>
      <c r="E592" s="27" t="n">
        <v>8.06048074738138</v>
      </c>
      <c r="F592" s="27" t="n">
        <v>8.08699501110445</v>
      </c>
      <c r="G592" s="25" t="s">
        <v>679</v>
      </c>
      <c r="H592" s="25" t="s">
        <v>680</v>
      </c>
      <c r="I592" s="25" t="n">
        <f aca="false">IFERROR(IF(INDEX(Documents!$C$5:$C$657,MATCH(H592,Documents!$A$5:$A$657,0))="","",INDEX(Documents!$C$5:$C$657,MATCH(H592,Documents!$A$5:$A$657,0))),"")</f>
        <v>2021</v>
      </c>
      <c r="J592" s="25" t="str">
        <f aca="false">IFERROR(IF(INDEX(Documents!$D$5:$D$657,MATCH(H592,Documents!$A$5:$A$657,0))="","",INDEX(Documents!$D$5:$D$657,MATCH(H592,Documents!$A$5:$A$657,0))),"")</f>
        <v/>
      </c>
      <c r="K592" s="25" t="str">
        <f aca="false">IFERROR(IF(INDEX(Documents!$G$5:$G$657,MATCH(H592,Documents!$A$5:$A$657,0))="","",INDEX(Documents!$G$5:$G$657,MATCH(H592,Documents!$A$5:$A$657,0))),"")</f>
        <v/>
      </c>
      <c r="L592" s="25" t="s">
        <v>681</v>
      </c>
    </row>
    <row r="593" customFormat="false" ht="15" hidden="false" customHeight="false" outlineLevel="0" collapsed="false">
      <c r="A593" s="25" t="n">
        <v>17991505</v>
      </c>
      <c r="B593" s="25" t="s">
        <v>1563</v>
      </c>
      <c r="C593" s="25" t="s">
        <v>1564</v>
      </c>
      <c r="D593" s="26" t="n">
        <v>7.7</v>
      </c>
      <c r="E593" s="27" t="n">
        <v>8.11350927482752</v>
      </c>
      <c r="F593" s="27" t="n">
        <v>8.08699501110445</v>
      </c>
      <c r="G593" s="25" t="s">
        <v>1548</v>
      </c>
      <c r="H593" s="25" t="s">
        <v>1549</v>
      </c>
      <c r="I593" s="25" t="n">
        <f aca="false">IFERROR(IF(INDEX(Documents!$C$5:$C$657,MATCH(H593,Documents!$A$5:$A$657,0))="","",INDEX(Documents!$C$5:$C$657,MATCH(H593,Documents!$A$5:$A$657,0))),"")</f>
        <v>2015</v>
      </c>
      <c r="J593" s="25" t="str">
        <f aca="false">IFERROR(IF(INDEX(Documents!$D$5:$D$657,MATCH(H593,Documents!$A$5:$A$657,0))="","",INDEX(Documents!$D$5:$D$657,MATCH(H593,Documents!$A$5:$A$657,0))),"")</f>
        <v>J Med Chem</v>
      </c>
      <c r="K593" s="25" t="str">
        <f aca="false">IFERROR(IF(INDEX(Documents!$G$5:$G$657,MATCH(H593,Documents!$A$5:$A$657,0))="","",INDEX(Documents!$G$5:$G$657,MATCH(H593,Documents!$A$5:$A$657,0))),"")</f>
        <v>10.1021/jm501165d</v>
      </c>
      <c r="L593" s="25" t="s">
        <v>1550</v>
      </c>
    </row>
    <row r="594" customFormat="false" ht="15" hidden="false" customHeight="false" outlineLevel="0" collapsed="false">
      <c r="A594" s="25" t="n">
        <v>28220195</v>
      </c>
      <c r="B594" s="25" t="s">
        <v>1565</v>
      </c>
      <c r="C594" s="25" t="s">
        <v>1566</v>
      </c>
      <c r="D594" s="26" t="n">
        <v>0.8</v>
      </c>
      <c r="E594" s="27" t="n">
        <v>9.09691001300806</v>
      </c>
      <c r="F594" s="27" t="n">
        <v>9.09691001300806</v>
      </c>
      <c r="G594" s="25" t="s">
        <v>679</v>
      </c>
      <c r="H594" s="25" t="s">
        <v>680</v>
      </c>
      <c r="I594" s="25" t="n">
        <f aca="false">IFERROR(IF(INDEX(Documents!$C$5:$C$657,MATCH(H594,Documents!$A$5:$A$657,0))="","",INDEX(Documents!$C$5:$C$657,MATCH(H594,Documents!$A$5:$A$657,0))),"")</f>
        <v>2021</v>
      </c>
      <c r="J594" s="25" t="str">
        <f aca="false">IFERROR(IF(INDEX(Documents!$D$5:$D$657,MATCH(H594,Documents!$A$5:$A$657,0))="","",INDEX(Documents!$D$5:$D$657,MATCH(H594,Documents!$A$5:$A$657,0))),"")</f>
        <v/>
      </c>
      <c r="K594" s="25" t="str">
        <f aca="false">IFERROR(IF(INDEX(Documents!$G$5:$G$657,MATCH(H594,Documents!$A$5:$A$657,0))="","",INDEX(Documents!$G$5:$G$657,MATCH(H594,Documents!$A$5:$A$657,0))),"")</f>
        <v/>
      </c>
      <c r="L594" s="25" t="s">
        <v>681</v>
      </c>
    </row>
    <row r="595" customFormat="false" ht="15" hidden="false" customHeight="false" outlineLevel="0" collapsed="false">
      <c r="A595" s="25" t="n">
        <v>17991507</v>
      </c>
      <c r="B595" s="25" t="s">
        <v>1567</v>
      </c>
      <c r="C595" s="25" t="s">
        <v>1568</v>
      </c>
      <c r="D595" s="26" t="n">
        <v>1.3</v>
      </c>
      <c r="E595" s="27" t="n">
        <v>8.88605664769316</v>
      </c>
      <c r="F595" s="27" t="n">
        <v>8.90343770082277</v>
      </c>
      <c r="G595" s="25" t="s">
        <v>1548</v>
      </c>
      <c r="H595" s="25" t="s">
        <v>1549</v>
      </c>
      <c r="I595" s="25" t="n">
        <f aca="false">IFERROR(IF(INDEX(Documents!$C$5:$C$657,MATCH(H595,Documents!$A$5:$A$657,0))="","",INDEX(Documents!$C$5:$C$657,MATCH(H595,Documents!$A$5:$A$657,0))),"")</f>
        <v>2015</v>
      </c>
      <c r="J595" s="25" t="str">
        <f aca="false">IFERROR(IF(INDEX(Documents!$D$5:$D$657,MATCH(H595,Documents!$A$5:$A$657,0))="","",INDEX(Documents!$D$5:$D$657,MATCH(H595,Documents!$A$5:$A$657,0))),"")</f>
        <v>J Med Chem</v>
      </c>
      <c r="K595" s="25" t="str">
        <f aca="false">IFERROR(IF(INDEX(Documents!$G$5:$G$657,MATCH(H595,Documents!$A$5:$A$657,0))="","",INDEX(Documents!$G$5:$G$657,MATCH(H595,Documents!$A$5:$A$657,0))),"")</f>
        <v>10.1021/jm501165d</v>
      </c>
      <c r="L595" s="25" t="s">
        <v>1550</v>
      </c>
    </row>
    <row r="596" customFormat="false" ht="15" hidden="false" customHeight="false" outlineLevel="0" collapsed="false">
      <c r="A596" s="25" t="n">
        <v>28220204</v>
      </c>
      <c r="B596" s="25" t="s">
        <v>1567</v>
      </c>
      <c r="C596" s="25" t="s">
        <v>1568</v>
      </c>
      <c r="D596" s="26" t="n">
        <v>1.2</v>
      </c>
      <c r="E596" s="27" t="n">
        <v>8.92081875395238</v>
      </c>
      <c r="F596" s="27" t="n">
        <v>8.90343770082277</v>
      </c>
      <c r="G596" s="25" t="s">
        <v>679</v>
      </c>
      <c r="H596" s="25" t="s">
        <v>680</v>
      </c>
      <c r="I596" s="25" t="n">
        <f aca="false">IFERROR(IF(INDEX(Documents!$C$5:$C$657,MATCH(H596,Documents!$A$5:$A$657,0))="","",INDEX(Documents!$C$5:$C$657,MATCH(H596,Documents!$A$5:$A$657,0))),"")</f>
        <v>2021</v>
      </c>
      <c r="J596" s="25" t="str">
        <f aca="false">IFERROR(IF(INDEX(Documents!$D$5:$D$657,MATCH(H596,Documents!$A$5:$A$657,0))="","",INDEX(Documents!$D$5:$D$657,MATCH(H596,Documents!$A$5:$A$657,0))),"")</f>
        <v/>
      </c>
      <c r="K596" s="25" t="str">
        <f aca="false">IFERROR(IF(INDEX(Documents!$G$5:$G$657,MATCH(H596,Documents!$A$5:$A$657,0))="","",INDEX(Documents!$G$5:$G$657,MATCH(H596,Documents!$A$5:$A$657,0))),"")</f>
        <v/>
      </c>
      <c r="L596" s="25" t="s">
        <v>681</v>
      </c>
    </row>
    <row r="597" customFormat="false" ht="15" hidden="false" customHeight="false" outlineLevel="0" collapsed="false">
      <c r="A597" s="25" t="n">
        <v>2444721</v>
      </c>
      <c r="B597" s="25" t="s">
        <v>1569</v>
      </c>
      <c r="C597" s="25" t="s">
        <v>1570</v>
      </c>
      <c r="D597" s="26" t="n">
        <v>7.45</v>
      </c>
      <c r="E597" s="27" t="n">
        <v>8.12784372725171</v>
      </c>
      <c r="F597" s="27" t="n">
        <v>8.12784372725171</v>
      </c>
      <c r="G597" s="25" t="s">
        <v>1571</v>
      </c>
      <c r="H597" s="25" t="s">
        <v>1572</v>
      </c>
      <c r="I597" s="25" t="n">
        <f aca="false">IFERROR(IF(INDEX(Documents!$C$5:$C$657,MATCH(H597,Documents!$A$5:$A$657,0))="","",INDEX(Documents!$C$5:$C$657,MATCH(H597,Documents!$A$5:$A$657,0))),"")</f>
        <v>2008</v>
      </c>
      <c r="J597" s="25" t="str">
        <f aca="false">IFERROR(IF(INDEX(Documents!$D$5:$D$657,MATCH(H597,Documents!$A$5:$A$657,0))="","",INDEX(Documents!$D$5:$D$657,MATCH(H597,Documents!$A$5:$A$657,0))),"")</f>
        <v>Bioorg Med Chem</v>
      </c>
      <c r="K597" s="25" t="str">
        <f aca="false">IFERROR(IF(INDEX(Documents!$G$5:$G$657,MATCH(H597,Documents!$A$5:$A$657,0))="","",INDEX(Documents!$G$5:$G$657,MATCH(H597,Documents!$A$5:$A$657,0))),"")</f>
        <v>10.1016/j.bmc.2008.05.034</v>
      </c>
      <c r="L597" s="25" t="s">
        <v>1573</v>
      </c>
    </row>
    <row r="598" customFormat="false" ht="15" hidden="false" customHeight="false" outlineLevel="0" collapsed="false">
      <c r="A598" s="25" t="n">
        <v>2444714</v>
      </c>
      <c r="B598" s="25" t="s">
        <v>1574</v>
      </c>
      <c r="C598" s="25" t="s">
        <v>1575</v>
      </c>
      <c r="D598" s="26" t="n">
        <v>1.54</v>
      </c>
      <c r="E598" s="27" t="n">
        <v>8.81247927916354</v>
      </c>
      <c r="F598" s="27" t="n">
        <v>8.81247927916354</v>
      </c>
      <c r="G598" s="25" t="s">
        <v>1571</v>
      </c>
      <c r="H598" s="25" t="s">
        <v>1572</v>
      </c>
      <c r="I598" s="25" t="n">
        <f aca="false">IFERROR(IF(INDEX(Documents!$C$5:$C$657,MATCH(H598,Documents!$A$5:$A$657,0))="","",INDEX(Documents!$C$5:$C$657,MATCH(H598,Documents!$A$5:$A$657,0))),"")</f>
        <v>2008</v>
      </c>
      <c r="J598" s="25" t="str">
        <f aca="false">IFERROR(IF(INDEX(Documents!$D$5:$D$657,MATCH(H598,Documents!$A$5:$A$657,0))="","",INDEX(Documents!$D$5:$D$657,MATCH(H598,Documents!$A$5:$A$657,0))),"")</f>
        <v>Bioorg Med Chem</v>
      </c>
      <c r="K598" s="25" t="str">
        <f aca="false">IFERROR(IF(INDEX(Documents!$G$5:$G$657,MATCH(H598,Documents!$A$5:$A$657,0))="","",INDEX(Documents!$G$5:$G$657,MATCH(H598,Documents!$A$5:$A$657,0))),"")</f>
        <v>10.1016/j.bmc.2008.05.034</v>
      </c>
      <c r="L598" s="25" t="s">
        <v>1573</v>
      </c>
    </row>
    <row r="599" customFormat="false" ht="15" hidden="false" customHeight="false" outlineLevel="0" collapsed="false">
      <c r="A599" s="25" t="n">
        <v>2444711</v>
      </c>
      <c r="B599" s="25" t="s">
        <v>1576</v>
      </c>
      <c r="C599" s="25" t="s">
        <v>1577</v>
      </c>
      <c r="D599" s="26" t="n">
        <v>2.53</v>
      </c>
      <c r="E599" s="27" t="n">
        <v>8.59687947882418</v>
      </c>
      <c r="F599" s="27" t="n">
        <v>8.59687947882418</v>
      </c>
      <c r="G599" s="25" t="s">
        <v>1571</v>
      </c>
      <c r="H599" s="25" t="s">
        <v>1572</v>
      </c>
      <c r="I599" s="25" t="n">
        <f aca="false">IFERROR(IF(INDEX(Documents!$C$5:$C$657,MATCH(H599,Documents!$A$5:$A$657,0))="","",INDEX(Documents!$C$5:$C$657,MATCH(H599,Documents!$A$5:$A$657,0))),"")</f>
        <v>2008</v>
      </c>
      <c r="J599" s="25" t="str">
        <f aca="false">IFERROR(IF(INDEX(Documents!$D$5:$D$657,MATCH(H599,Documents!$A$5:$A$657,0))="","",INDEX(Documents!$D$5:$D$657,MATCH(H599,Documents!$A$5:$A$657,0))),"")</f>
        <v>Bioorg Med Chem</v>
      </c>
      <c r="K599" s="25" t="str">
        <f aca="false">IFERROR(IF(INDEX(Documents!$G$5:$G$657,MATCH(H599,Documents!$A$5:$A$657,0))="","",INDEX(Documents!$G$5:$G$657,MATCH(H599,Documents!$A$5:$A$657,0))),"")</f>
        <v>10.1016/j.bmc.2008.05.034</v>
      </c>
      <c r="L599" s="25" t="s">
        <v>1573</v>
      </c>
    </row>
    <row r="600" customFormat="false" ht="15" hidden="false" customHeight="false" outlineLevel="0" collapsed="false">
      <c r="A600" s="25" t="n">
        <v>2444709</v>
      </c>
      <c r="B600" s="25" t="s">
        <v>1578</v>
      </c>
      <c r="C600" s="25" t="s">
        <v>1579</v>
      </c>
      <c r="D600" s="26" t="n">
        <v>13.6</v>
      </c>
      <c r="E600" s="27" t="n">
        <v>7.86646109162978</v>
      </c>
      <c r="F600" s="27" t="n">
        <v>7.86646109162978</v>
      </c>
      <c r="G600" s="25" t="s">
        <v>1571</v>
      </c>
      <c r="H600" s="25" t="s">
        <v>1572</v>
      </c>
      <c r="I600" s="25" t="n">
        <f aca="false">IFERROR(IF(INDEX(Documents!$C$5:$C$657,MATCH(H600,Documents!$A$5:$A$657,0))="","",INDEX(Documents!$C$5:$C$657,MATCH(H600,Documents!$A$5:$A$657,0))),"")</f>
        <v>2008</v>
      </c>
      <c r="J600" s="25" t="str">
        <f aca="false">IFERROR(IF(INDEX(Documents!$D$5:$D$657,MATCH(H600,Documents!$A$5:$A$657,0))="","",INDEX(Documents!$D$5:$D$657,MATCH(H600,Documents!$A$5:$A$657,0))),"")</f>
        <v>Bioorg Med Chem</v>
      </c>
      <c r="K600" s="25" t="str">
        <f aca="false">IFERROR(IF(INDEX(Documents!$G$5:$G$657,MATCH(H600,Documents!$A$5:$A$657,0))="","",INDEX(Documents!$G$5:$G$657,MATCH(H600,Documents!$A$5:$A$657,0))),"")</f>
        <v>10.1016/j.bmc.2008.05.034</v>
      </c>
      <c r="L600" s="25" t="s">
        <v>1573</v>
      </c>
    </row>
    <row r="601" customFormat="false" ht="15" hidden="false" customHeight="false" outlineLevel="0" collapsed="false">
      <c r="A601" s="25" t="n">
        <v>2444724</v>
      </c>
      <c r="B601" s="25" t="s">
        <v>1580</v>
      </c>
      <c r="C601" s="25" t="s">
        <v>1581</v>
      </c>
      <c r="D601" s="26" t="n">
        <v>0.88</v>
      </c>
      <c r="E601" s="27" t="n">
        <v>9.05551732784983</v>
      </c>
      <c r="F601" s="27" t="n">
        <v>9.05551732784983</v>
      </c>
      <c r="G601" s="25" t="s">
        <v>1571</v>
      </c>
      <c r="H601" s="25" t="s">
        <v>1572</v>
      </c>
      <c r="I601" s="25" t="n">
        <f aca="false">IFERROR(IF(INDEX(Documents!$C$5:$C$657,MATCH(H601,Documents!$A$5:$A$657,0))="","",INDEX(Documents!$C$5:$C$657,MATCH(H601,Documents!$A$5:$A$657,0))),"")</f>
        <v>2008</v>
      </c>
      <c r="J601" s="25" t="str">
        <f aca="false">IFERROR(IF(INDEX(Documents!$D$5:$D$657,MATCH(H601,Documents!$A$5:$A$657,0))="","",INDEX(Documents!$D$5:$D$657,MATCH(H601,Documents!$A$5:$A$657,0))),"")</f>
        <v>Bioorg Med Chem</v>
      </c>
      <c r="K601" s="25" t="str">
        <f aca="false">IFERROR(IF(INDEX(Documents!$G$5:$G$657,MATCH(H601,Documents!$A$5:$A$657,0))="","",INDEX(Documents!$G$5:$G$657,MATCH(H601,Documents!$A$5:$A$657,0))),"")</f>
        <v>10.1016/j.bmc.2008.05.034</v>
      </c>
      <c r="L601" s="25" t="s">
        <v>1573</v>
      </c>
    </row>
    <row r="602" customFormat="false" ht="15" hidden="false" customHeight="false" outlineLevel="0" collapsed="false">
      <c r="A602" s="25" t="n">
        <v>2444716</v>
      </c>
      <c r="B602" s="25" t="s">
        <v>1582</v>
      </c>
      <c r="C602" s="25" t="s">
        <v>1583</v>
      </c>
      <c r="D602" s="26" t="n">
        <v>1.68</v>
      </c>
      <c r="E602" s="27" t="n">
        <v>8.77469071827414</v>
      </c>
      <c r="F602" s="27" t="n">
        <v>8.77469071827414</v>
      </c>
      <c r="G602" s="25" t="s">
        <v>1571</v>
      </c>
      <c r="H602" s="25" t="s">
        <v>1572</v>
      </c>
      <c r="I602" s="25" t="n">
        <f aca="false">IFERROR(IF(INDEX(Documents!$C$5:$C$657,MATCH(H602,Documents!$A$5:$A$657,0))="","",INDEX(Documents!$C$5:$C$657,MATCH(H602,Documents!$A$5:$A$657,0))),"")</f>
        <v>2008</v>
      </c>
      <c r="J602" s="25" t="str">
        <f aca="false">IFERROR(IF(INDEX(Documents!$D$5:$D$657,MATCH(H602,Documents!$A$5:$A$657,0))="","",INDEX(Documents!$D$5:$D$657,MATCH(H602,Documents!$A$5:$A$657,0))),"")</f>
        <v>Bioorg Med Chem</v>
      </c>
      <c r="K602" s="25" t="str">
        <f aca="false">IFERROR(IF(INDEX(Documents!$G$5:$G$657,MATCH(H602,Documents!$A$5:$A$657,0))="","",INDEX(Documents!$G$5:$G$657,MATCH(H602,Documents!$A$5:$A$657,0))),"")</f>
        <v>10.1016/j.bmc.2008.05.034</v>
      </c>
      <c r="L602" s="25" t="s">
        <v>1573</v>
      </c>
    </row>
    <row r="603" customFormat="false" ht="15" hidden="false" customHeight="false" outlineLevel="0" collapsed="false">
      <c r="A603" s="25" t="n">
        <v>2444718</v>
      </c>
      <c r="B603" s="25" t="s">
        <v>1584</v>
      </c>
      <c r="C603" s="25" t="s">
        <v>1585</v>
      </c>
      <c r="D603" s="26" t="n">
        <v>12.4</v>
      </c>
      <c r="E603" s="27" t="n">
        <v>7.90657831483776</v>
      </c>
      <c r="F603" s="27" t="n">
        <v>7.90657831483776</v>
      </c>
      <c r="G603" s="25" t="s">
        <v>1571</v>
      </c>
      <c r="H603" s="25" t="s">
        <v>1572</v>
      </c>
      <c r="I603" s="25" t="n">
        <f aca="false">IFERROR(IF(INDEX(Documents!$C$5:$C$657,MATCH(H603,Documents!$A$5:$A$657,0))="","",INDEX(Documents!$C$5:$C$657,MATCH(H603,Documents!$A$5:$A$657,0))),"")</f>
        <v>2008</v>
      </c>
      <c r="J603" s="25" t="str">
        <f aca="false">IFERROR(IF(INDEX(Documents!$D$5:$D$657,MATCH(H603,Documents!$A$5:$A$657,0))="","",INDEX(Documents!$D$5:$D$657,MATCH(H603,Documents!$A$5:$A$657,0))),"")</f>
        <v>Bioorg Med Chem</v>
      </c>
      <c r="K603" s="25" t="str">
        <f aca="false">IFERROR(IF(INDEX(Documents!$G$5:$G$657,MATCH(H603,Documents!$A$5:$A$657,0))="","",INDEX(Documents!$G$5:$G$657,MATCH(H603,Documents!$A$5:$A$657,0))),"")</f>
        <v>10.1016/j.bmc.2008.05.034</v>
      </c>
      <c r="L603" s="25" t="s">
        <v>1573</v>
      </c>
    </row>
    <row r="604" customFormat="false" ht="15" hidden="false" customHeight="false" outlineLevel="0" collapsed="false">
      <c r="A604" s="25" t="n">
        <v>2444713</v>
      </c>
      <c r="B604" s="25" t="s">
        <v>1586</v>
      </c>
      <c r="C604" s="25" t="s">
        <v>1587</v>
      </c>
      <c r="D604" s="26" t="n">
        <v>0.54</v>
      </c>
      <c r="E604" s="27" t="n">
        <v>9.26760624017703</v>
      </c>
      <c r="F604" s="27" t="n">
        <v>9.26760624017703</v>
      </c>
      <c r="G604" s="25" t="s">
        <v>1571</v>
      </c>
      <c r="H604" s="25" t="s">
        <v>1572</v>
      </c>
      <c r="I604" s="25" t="n">
        <f aca="false">IFERROR(IF(INDEX(Documents!$C$5:$C$657,MATCH(H604,Documents!$A$5:$A$657,0))="","",INDEX(Documents!$C$5:$C$657,MATCH(H604,Documents!$A$5:$A$657,0))),"")</f>
        <v>2008</v>
      </c>
      <c r="J604" s="25" t="str">
        <f aca="false">IFERROR(IF(INDEX(Documents!$D$5:$D$657,MATCH(H604,Documents!$A$5:$A$657,0))="","",INDEX(Documents!$D$5:$D$657,MATCH(H604,Documents!$A$5:$A$657,0))),"")</f>
        <v>Bioorg Med Chem</v>
      </c>
      <c r="K604" s="25" t="str">
        <f aca="false">IFERROR(IF(INDEX(Documents!$G$5:$G$657,MATCH(H604,Documents!$A$5:$A$657,0))="","",INDEX(Documents!$G$5:$G$657,MATCH(H604,Documents!$A$5:$A$657,0))),"")</f>
        <v>10.1016/j.bmc.2008.05.034</v>
      </c>
      <c r="L604" s="25" t="s">
        <v>1573</v>
      </c>
    </row>
    <row r="605" customFormat="false" ht="15" hidden="false" customHeight="false" outlineLevel="0" collapsed="false">
      <c r="A605" s="25" t="n">
        <v>2444710</v>
      </c>
      <c r="B605" s="25" t="s">
        <v>1588</v>
      </c>
      <c r="C605" s="25" t="s">
        <v>1589</v>
      </c>
      <c r="D605" s="26" t="n">
        <v>0.91</v>
      </c>
      <c r="E605" s="27" t="n">
        <v>9.04095860767891</v>
      </c>
      <c r="F605" s="27" t="n">
        <v>9.04095860767891</v>
      </c>
      <c r="G605" s="25" t="s">
        <v>1571</v>
      </c>
      <c r="H605" s="25" t="s">
        <v>1572</v>
      </c>
      <c r="I605" s="25" t="n">
        <f aca="false">IFERROR(IF(INDEX(Documents!$C$5:$C$657,MATCH(H605,Documents!$A$5:$A$657,0))="","",INDEX(Documents!$C$5:$C$657,MATCH(H605,Documents!$A$5:$A$657,0))),"")</f>
        <v>2008</v>
      </c>
      <c r="J605" s="25" t="str">
        <f aca="false">IFERROR(IF(INDEX(Documents!$D$5:$D$657,MATCH(H605,Documents!$A$5:$A$657,0))="","",INDEX(Documents!$D$5:$D$657,MATCH(H605,Documents!$A$5:$A$657,0))),"")</f>
        <v>Bioorg Med Chem</v>
      </c>
      <c r="K605" s="25" t="str">
        <f aca="false">IFERROR(IF(INDEX(Documents!$G$5:$G$657,MATCH(H605,Documents!$A$5:$A$657,0))="","",INDEX(Documents!$G$5:$G$657,MATCH(H605,Documents!$A$5:$A$657,0))),"")</f>
        <v>10.1016/j.bmc.2008.05.034</v>
      </c>
      <c r="L605" s="25" t="s">
        <v>1573</v>
      </c>
    </row>
    <row r="606" customFormat="false" ht="15" hidden="false" customHeight="false" outlineLevel="0" collapsed="false">
      <c r="A606" s="25" t="n">
        <v>2444723</v>
      </c>
      <c r="B606" s="25" t="s">
        <v>1590</v>
      </c>
      <c r="C606" s="25" t="s">
        <v>1591</v>
      </c>
      <c r="D606" s="26" t="n">
        <v>1.13</v>
      </c>
      <c r="E606" s="27" t="n">
        <v>8.94692155651658</v>
      </c>
      <c r="F606" s="27" t="n">
        <v>8.94692155651658</v>
      </c>
      <c r="G606" s="25" t="s">
        <v>1571</v>
      </c>
      <c r="H606" s="25" t="s">
        <v>1572</v>
      </c>
      <c r="I606" s="25" t="n">
        <f aca="false">IFERROR(IF(INDEX(Documents!$C$5:$C$657,MATCH(H606,Documents!$A$5:$A$657,0))="","",INDEX(Documents!$C$5:$C$657,MATCH(H606,Documents!$A$5:$A$657,0))),"")</f>
        <v>2008</v>
      </c>
      <c r="J606" s="25" t="str">
        <f aca="false">IFERROR(IF(INDEX(Documents!$D$5:$D$657,MATCH(H606,Documents!$A$5:$A$657,0))="","",INDEX(Documents!$D$5:$D$657,MATCH(H606,Documents!$A$5:$A$657,0))),"")</f>
        <v>Bioorg Med Chem</v>
      </c>
      <c r="K606" s="25" t="str">
        <f aca="false">IFERROR(IF(INDEX(Documents!$G$5:$G$657,MATCH(H606,Documents!$A$5:$A$657,0))="","",INDEX(Documents!$G$5:$G$657,MATCH(H606,Documents!$A$5:$A$657,0))),"")</f>
        <v>10.1016/j.bmc.2008.05.034</v>
      </c>
      <c r="L606" s="25" t="s">
        <v>1573</v>
      </c>
    </row>
    <row r="607" customFormat="false" ht="15" hidden="false" customHeight="false" outlineLevel="0" collapsed="false">
      <c r="A607" s="25" t="n">
        <v>2444715</v>
      </c>
      <c r="B607" s="25" t="s">
        <v>1592</v>
      </c>
      <c r="C607" s="25" t="s">
        <v>1593</v>
      </c>
      <c r="D607" s="26" t="n">
        <v>3.54</v>
      </c>
      <c r="E607" s="27" t="n">
        <v>8.45099673797421</v>
      </c>
      <c r="F607" s="27" t="n">
        <v>8.45099673797421</v>
      </c>
      <c r="G607" s="25" t="s">
        <v>1571</v>
      </c>
      <c r="H607" s="25" t="s">
        <v>1572</v>
      </c>
      <c r="I607" s="25" t="n">
        <f aca="false">IFERROR(IF(INDEX(Documents!$C$5:$C$657,MATCH(H607,Documents!$A$5:$A$657,0))="","",INDEX(Documents!$C$5:$C$657,MATCH(H607,Documents!$A$5:$A$657,0))),"")</f>
        <v>2008</v>
      </c>
      <c r="J607" s="25" t="str">
        <f aca="false">IFERROR(IF(INDEX(Documents!$D$5:$D$657,MATCH(H607,Documents!$A$5:$A$657,0))="","",INDEX(Documents!$D$5:$D$657,MATCH(H607,Documents!$A$5:$A$657,0))),"")</f>
        <v>Bioorg Med Chem</v>
      </c>
      <c r="K607" s="25" t="str">
        <f aca="false">IFERROR(IF(INDEX(Documents!$G$5:$G$657,MATCH(H607,Documents!$A$5:$A$657,0))="","",INDEX(Documents!$G$5:$G$657,MATCH(H607,Documents!$A$5:$A$657,0))),"")</f>
        <v>10.1016/j.bmc.2008.05.034</v>
      </c>
      <c r="L607" s="25" t="s">
        <v>1573</v>
      </c>
    </row>
    <row r="608" customFormat="false" ht="15" hidden="false" customHeight="false" outlineLevel="0" collapsed="false">
      <c r="A608" s="25" t="n">
        <v>2444717</v>
      </c>
      <c r="B608" s="25" t="s">
        <v>1594</v>
      </c>
      <c r="C608" s="25" t="s">
        <v>1595</v>
      </c>
      <c r="D608" s="26" t="n">
        <v>0.9</v>
      </c>
      <c r="E608" s="27" t="n">
        <v>9.04575749056068</v>
      </c>
      <c r="F608" s="27" t="n">
        <v>9.04575749056068</v>
      </c>
      <c r="G608" s="25" t="s">
        <v>1571</v>
      </c>
      <c r="H608" s="25" t="s">
        <v>1572</v>
      </c>
      <c r="I608" s="25" t="n">
        <f aca="false">IFERROR(IF(INDEX(Documents!$C$5:$C$657,MATCH(H608,Documents!$A$5:$A$657,0))="","",INDEX(Documents!$C$5:$C$657,MATCH(H608,Documents!$A$5:$A$657,0))),"")</f>
        <v>2008</v>
      </c>
      <c r="J608" s="25" t="str">
        <f aca="false">IFERROR(IF(INDEX(Documents!$D$5:$D$657,MATCH(H608,Documents!$A$5:$A$657,0))="","",INDEX(Documents!$D$5:$D$657,MATCH(H608,Documents!$A$5:$A$657,0))),"")</f>
        <v>Bioorg Med Chem</v>
      </c>
      <c r="K608" s="25" t="str">
        <f aca="false">IFERROR(IF(INDEX(Documents!$G$5:$G$657,MATCH(H608,Documents!$A$5:$A$657,0))="","",INDEX(Documents!$G$5:$G$657,MATCH(H608,Documents!$A$5:$A$657,0))),"")</f>
        <v>10.1016/j.bmc.2008.05.034</v>
      </c>
      <c r="L608" s="25" t="s">
        <v>1573</v>
      </c>
    </row>
    <row r="609" customFormat="false" ht="15" hidden="false" customHeight="false" outlineLevel="0" collapsed="false">
      <c r="A609" s="25" t="n">
        <v>2444722</v>
      </c>
      <c r="B609" s="25" t="s">
        <v>1596</v>
      </c>
      <c r="C609" s="25" t="s">
        <v>1597</v>
      </c>
      <c r="D609" s="26" t="n">
        <v>10.65</v>
      </c>
      <c r="E609" s="27" t="n">
        <v>7.97265039222524</v>
      </c>
      <c r="F609" s="27" t="n">
        <v>7.97265039222524</v>
      </c>
      <c r="G609" s="25" t="s">
        <v>1571</v>
      </c>
      <c r="H609" s="25" t="s">
        <v>1572</v>
      </c>
      <c r="I609" s="25" t="n">
        <f aca="false">IFERROR(IF(INDEX(Documents!$C$5:$C$657,MATCH(H609,Documents!$A$5:$A$657,0))="","",INDEX(Documents!$C$5:$C$657,MATCH(H609,Documents!$A$5:$A$657,0))),"")</f>
        <v>2008</v>
      </c>
      <c r="J609" s="25" t="str">
        <f aca="false">IFERROR(IF(INDEX(Documents!$D$5:$D$657,MATCH(H609,Documents!$A$5:$A$657,0))="","",INDEX(Documents!$D$5:$D$657,MATCH(H609,Documents!$A$5:$A$657,0))),"")</f>
        <v>Bioorg Med Chem</v>
      </c>
      <c r="K609" s="25" t="str">
        <f aca="false">IFERROR(IF(INDEX(Documents!$G$5:$G$657,MATCH(H609,Documents!$A$5:$A$657,0))="","",INDEX(Documents!$G$5:$G$657,MATCH(H609,Documents!$A$5:$A$657,0))),"")</f>
        <v>10.1016/j.bmc.2008.05.034</v>
      </c>
      <c r="L609" s="25" t="s">
        <v>1573</v>
      </c>
    </row>
    <row r="610" customFormat="false" ht="15" hidden="false" customHeight="false" outlineLevel="0" collapsed="false">
      <c r="A610" s="25" t="n">
        <v>5205778</v>
      </c>
      <c r="B610" s="25" t="s">
        <v>1598</v>
      </c>
      <c r="C610" s="25" t="s">
        <v>1599</v>
      </c>
      <c r="D610" s="26" t="n">
        <v>0.91</v>
      </c>
      <c r="E610" s="27" t="n">
        <v>9.04095860767891</v>
      </c>
      <c r="F610" s="27" t="n">
        <v>9.30479742175996</v>
      </c>
      <c r="G610" s="25" t="s">
        <v>461</v>
      </c>
      <c r="H610" s="25" t="s">
        <v>462</v>
      </c>
      <c r="I610" s="25" t="n">
        <f aca="false">IFERROR(IF(INDEX(Documents!$C$5:$C$657,MATCH(H610,Documents!$A$5:$A$657,0))="","",INDEX(Documents!$C$5:$C$657,MATCH(H610,Documents!$A$5:$A$657,0))),"")</f>
        <v>2011</v>
      </c>
      <c r="J610" s="25" t="str">
        <f aca="false">IFERROR(IF(INDEX(Documents!$D$5:$D$657,MATCH(H610,Documents!$A$5:$A$657,0))="","",INDEX(Documents!$D$5:$D$657,MATCH(H610,Documents!$A$5:$A$657,0))),"")</f>
        <v>Eur J Med Chem</v>
      </c>
      <c r="K610" s="25" t="str">
        <f aca="false">IFERROR(IF(INDEX(Documents!$G$5:$G$657,MATCH(H610,Documents!$A$5:$A$657,0))="","",INDEX(Documents!$G$5:$G$657,MATCH(H610,Documents!$A$5:$A$657,0))),"")</f>
        <v>10.1016/j.ejmech.2010.11.034</v>
      </c>
      <c r="L610" s="25" t="s">
        <v>463</v>
      </c>
    </row>
    <row r="611" customFormat="false" ht="15" hidden="false" customHeight="false" outlineLevel="0" collapsed="false">
      <c r="A611" s="25" t="n">
        <v>2444712</v>
      </c>
      <c r="B611" s="25" t="s">
        <v>1598</v>
      </c>
      <c r="C611" s="25" t="s">
        <v>1599</v>
      </c>
      <c r="D611" s="26" t="n">
        <v>0.27</v>
      </c>
      <c r="E611" s="27" t="n">
        <v>9.56863623584101</v>
      </c>
      <c r="F611" s="27" t="n">
        <v>9.30479742175996</v>
      </c>
      <c r="G611" s="25" t="s">
        <v>1571</v>
      </c>
      <c r="H611" s="25" t="s">
        <v>1572</v>
      </c>
      <c r="I611" s="25" t="n">
        <f aca="false">IFERROR(IF(INDEX(Documents!$C$5:$C$657,MATCH(H611,Documents!$A$5:$A$657,0))="","",INDEX(Documents!$C$5:$C$657,MATCH(H611,Documents!$A$5:$A$657,0))),"")</f>
        <v>2008</v>
      </c>
      <c r="J611" s="25" t="str">
        <f aca="false">IFERROR(IF(INDEX(Documents!$D$5:$D$657,MATCH(H611,Documents!$A$5:$A$657,0))="","",INDEX(Documents!$D$5:$D$657,MATCH(H611,Documents!$A$5:$A$657,0))),"")</f>
        <v>Bioorg Med Chem</v>
      </c>
      <c r="K611" s="25" t="str">
        <f aca="false">IFERROR(IF(INDEX(Documents!$G$5:$G$657,MATCH(H611,Documents!$A$5:$A$657,0))="","",INDEX(Documents!$G$5:$G$657,MATCH(H611,Documents!$A$5:$A$657,0))),"")</f>
        <v>10.1016/j.bmc.2008.05.034</v>
      </c>
      <c r="L611" s="25" t="s">
        <v>1573</v>
      </c>
    </row>
    <row r="612" customFormat="false" ht="15" hidden="false" customHeight="false" outlineLevel="0" collapsed="false">
      <c r="A612" s="25" t="n">
        <v>17991500</v>
      </c>
      <c r="B612" s="25" t="s">
        <v>1600</v>
      </c>
      <c r="C612" s="25" t="s">
        <v>1601</v>
      </c>
      <c r="D612" s="26" t="n">
        <v>0.7</v>
      </c>
      <c r="E612" s="27" t="n">
        <v>9.15490195998575</v>
      </c>
      <c r="F612" s="27" t="n">
        <v>9.15490195998575</v>
      </c>
      <c r="G612" s="25" t="s">
        <v>1548</v>
      </c>
      <c r="H612" s="25" t="s">
        <v>1549</v>
      </c>
      <c r="I612" s="25" t="n">
        <f aca="false">IFERROR(IF(INDEX(Documents!$C$5:$C$657,MATCH(H612,Documents!$A$5:$A$657,0))="","",INDEX(Documents!$C$5:$C$657,MATCH(H612,Documents!$A$5:$A$657,0))),"")</f>
        <v>2015</v>
      </c>
      <c r="J612" s="25" t="str">
        <f aca="false">IFERROR(IF(INDEX(Documents!$D$5:$D$657,MATCH(H612,Documents!$A$5:$A$657,0))="","",INDEX(Documents!$D$5:$D$657,MATCH(H612,Documents!$A$5:$A$657,0))),"")</f>
        <v>J Med Chem</v>
      </c>
      <c r="K612" s="25" t="str">
        <f aca="false">IFERROR(IF(INDEX(Documents!$G$5:$G$657,MATCH(H612,Documents!$A$5:$A$657,0))="","",INDEX(Documents!$G$5:$G$657,MATCH(H612,Documents!$A$5:$A$657,0))),"")</f>
        <v>10.1021/jm501165d</v>
      </c>
      <c r="L612" s="25" t="s">
        <v>1550</v>
      </c>
    </row>
    <row r="613" customFormat="false" ht="15" hidden="false" customHeight="false" outlineLevel="0" collapsed="false">
      <c r="A613" s="25" t="n">
        <v>17991499</v>
      </c>
      <c r="B613" s="25" t="s">
        <v>1602</v>
      </c>
      <c r="C613" s="25" t="s">
        <v>1603</v>
      </c>
      <c r="D613" s="26" t="n">
        <v>1.8</v>
      </c>
      <c r="E613" s="27" t="n">
        <v>8.74472749489669</v>
      </c>
      <c r="F613" s="27" t="n">
        <v>8.74472749489669</v>
      </c>
      <c r="G613" s="25" t="s">
        <v>1548</v>
      </c>
      <c r="H613" s="25" t="s">
        <v>1549</v>
      </c>
      <c r="I613" s="25" t="n">
        <f aca="false">IFERROR(IF(INDEX(Documents!$C$5:$C$657,MATCH(H613,Documents!$A$5:$A$657,0))="","",INDEX(Documents!$C$5:$C$657,MATCH(H613,Documents!$A$5:$A$657,0))),"")</f>
        <v>2015</v>
      </c>
      <c r="J613" s="25" t="str">
        <f aca="false">IFERROR(IF(INDEX(Documents!$D$5:$D$657,MATCH(H613,Documents!$A$5:$A$657,0))="","",INDEX(Documents!$D$5:$D$657,MATCH(H613,Documents!$A$5:$A$657,0))),"")</f>
        <v>J Med Chem</v>
      </c>
      <c r="K613" s="25" t="str">
        <f aca="false">IFERROR(IF(INDEX(Documents!$G$5:$G$657,MATCH(H613,Documents!$A$5:$A$657,0))="","",INDEX(Documents!$G$5:$G$657,MATCH(H613,Documents!$A$5:$A$657,0))),"")</f>
        <v>10.1021/jm501165d</v>
      </c>
      <c r="L613" s="25" t="s">
        <v>1550</v>
      </c>
    </row>
    <row r="614" customFormat="false" ht="15" hidden="false" customHeight="false" outlineLevel="0" collapsed="false">
      <c r="A614" s="25" t="n">
        <v>28220303</v>
      </c>
      <c r="B614" s="25" t="s">
        <v>1604</v>
      </c>
      <c r="C614" s="25" t="s">
        <v>1605</v>
      </c>
      <c r="D614" s="26" t="n">
        <v>2.7</v>
      </c>
      <c r="E614" s="27" t="n">
        <v>8.56863623584101</v>
      </c>
      <c r="F614" s="27" t="n">
        <v>8.56863623584101</v>
      </c>
      <c r="G614" s="25" t="s">
        <v>679</v>
      </c>
      <c r="H614" s="25" t="s">
        <v>680</v>
      </c>
      <c r="I614" s="25" t="n">
        <f aca="false">IFERROR(IF(INDEX(Documents!$C$5:$C$657,MATCH(H614,Documents!$A$5:$A$657,0))="","",INDEX(Documents!$C$5:$C$657,MATCH(H614,Documents!$A$5:$A$657,0))),"")</f>
        <v>2021</v>
      </c>
      <c r="J614" s="25" t="str">
        <f aca="false">IFERROR(IF(INDEX(Documents!$D$5:$D$657,MATCH(H614,Documents!$A$5:$A$657,0))="","",INDEX(Documents!$D$5:$D$657,MATCH(H614,Documents!$A$5:$A$657,0))),"")</f>
        <v/>
      </c>
      <c r="K614" s="25" t="str">
        <f aca="false">IFERROR(IF(INDEX(Documents!$G$5:$G$657,MATCH(H614,Documents!$A$5:$A$657,0))="","",INDEX(Documents!$G$5:$G$657,MATCH(H614,Documents!$A$5:$A$657,0))),"")</f>
        <v/>
      </c>
      <c r="L614" s="25" t="s">
        <v>681</v>
      </c>
    </row>
    <row r="615" customFormat="false" ht="15" hidden="false" customHeight="false" outlineLevel="0" collapsed="false">
      <c r="A615" s="25" t="n">
        <v>17991520</v>
      </c>
      <c r="B615" s="25" t="s">
        <v>1606</v>
      </c>
      <c r="C615" s="25" t="s">
        <v>1607</v>
      </c>
      <c r="D615" s="26" t="n">
        <v>7.1</v>
      </c>
      <c r="E615" s="27" t="n">
        <v>8.14874165128093</v>
      </c>
      <c r="F615" s="27" t="n">
        <v>8.14874165128093</v>
      </c>
      <c r="G615" s="25" t="s">
        <v>1548</v>
      </c>
      <c r="H615" s="25" t="s">
        <v>1549</v>
      </c>
      <c r="I615" s="25" t="n">
        <f aca="false">IFERROR(IF(INDEX(Documents!$C$5:$C$657,MATCH(H615,Documents!$A$5:$A$657,0))="","",INDEX(Documents!$C$5:$C$657,MATCH(H615,Documents!$A$5:$A$657,0))),"")</f>
        <v>2015</v>
      </c>
      <c r="J615" s="25" t="str">
        <f aca="false">IFERROR(IF(INDEX(Documents!$D$5:$D$657,MATCH(H615,Documents!$A$5:$A$657,0))="","",INDEX(Documents!$D$5:$D$657,MATCH(H615,Documents!$A$5:$A$657,0))),"")</f>
        <v>J Med Chem</v>
      </c>
      <c r="K615" s="25" t="str">
        <f aca="false">IFERROR(IF(INDEX(Documents!$G$5:$G$657,MATCH(H615,Documents!$A$5:$A$657,0))="","",INDEX(Documents!$G$5:$G$657,MATCH(H615,Documents!$A$5:$A$657,0))),"")</f>
        <v>10.1021/jm501165d</v>
      </c>
      <c r="L615" s="25" t="s">
        <v>1550</v>
      </c>
    </row>
    <row r="616" customFormat="false" ht="15" hidden="false" customHeight="false" outlineLevel="0" collapsed="false">
      <c r="A616" s="25" t="n">
        <v>17991519</v>
      </c>
      <c r="B616" s="25" t="s">
        <v>1608</v>
      </c>
      <c r="C616" s="25" t="s">
        <v>1609</v>
      </c>
      <c r="D616" s="26" t="n">
        <v>1.2</v>
      </c>
      <c r="E616" s="27" t="n">
        <v>8.92081875395238</v>
      </c>
      <c r="F616" s="27" t="n">
        <v>8.92081875395238</v>
      </c>
      <c r="G616" s="25" t="s">
        <v>1548</v>
      </c>
      <c r="H616" s="25" t="s">
        <v>1549</v>
      </c>
      <c r="I616" s="25" t="n">
        <f aca="false">IFERROR(IF(INDEX(Documents!$C$5:$C$657,MATCH(H616,Documents!$A$5:$A$657,0))="","",INDEX(Documents!$C$5:$C$657,MATCH(H616,Documents!$A$5:$A$657,0))),"")</f>
        <v>2015</v>
      </c>
      <c r="J616" s="25" t="str">
        <f aca="false">IFERROR(IF(INDEX(Documents!$D$5:$D$657,MATCH(H616,Documents!$A$5:$A$657,0))="","",INDEX(Documents!$D$5:$D$657,MATCH(H616,Documents!$A$5:$A$657,0))),"")</f>
        <v>J Med Chem</v>
      </c>
      <c r="K616" s="25" t="str">
        <f aca="false">IFERROR(IF(INDEX(Documents!$G$5:$G$657,MATCH(H616,Documents!$A$5:$A$657,0))="","",INDEX(Documents!$G$5:$G$657,MATCH(H616,Documents!$A$5:$A$657,0))),"")</f>
        <v>10.1021/jm501165d</v>
      </c>
      <c r="L616" s="25" t="s">
        <v>1550</v>
      </c>
    </row>
    <row r="617" customFormat="false" ht="15" hidden="false" customHeight="false" outlineLevel="0" collapsed="false">
      <c r="A617" s="25" t="n">
        <v>14574008</v>
      </c>
      <c r="B617" s="25" t="s">
        <v>1610</v>
      </c>
      <c r="C617" s="25" t="s">
        <v>1611</v>
      </c>
      <c r="D617" s="26" t="n">
        <v>11</v>
      </c>
      <c r="E617" s="27" t="n">
        <v>7.95860731484178</v>
      </c>
      <c r="F617" s="27" t="n">
        <v>8.02775866392492</v>
      </c>
      <c r="G617" s="25" t="s">
        <v>1612</v>
      </c>
      <c r="H617" s="25" t="s">
        <v>1358</v>
      </c>
      <c r="I617" s="25" t="n">
        <f aca="false">IFERROR(IF(INDEX(Documents!$C$5:$C$657,MATCH(H617,Documents!$A$5:$A$657,0))="","",INDEX(Documents!$C$5:$C$657,MATCH(H617,Documents!$A$5:$A$657,0))),"")</f>
        <v>2013</v>
      </c>
      <c r="J617" s="25" t="str">
        <f aca="false">IFERROR(IF(INDEX(Documents!$D$5:$D$657,MATCH(H617,Documents!$A$5:$A$657,0))="","",INDEX(Documents!$D$5:$D$657,MATCH(H617,Documents!$A$5:$A$657,0))),"")</f>
        <v>J Med Chem</v>
      </c>
      <c r="K617" s="25" t="str">
        <f aca="false">IFERROR(IF(INDEX(Documents!$G$5:$G$657,MATCH(H617,Documents!$A$5:$A$657,0))="","",INDEX(Documents!$G$5:$G$657,MATCH(H617,Documents!$A$5:$A$657,0))),"")</f>
        <v>10.1021/jm4005626</v>
      </c>
      <c r="L617" s="25" t="s">
        <v>1613</v>
      </c>
    </row>
    <row r="618" customFormat="false" ht="15" hidden="false" customHeight="false" outlineLevel="0" collapsed="false">
      <c r="A618" s="25" t="n">
        <v>5205736</v>
      </c>
      <c r="B618" s="25" t="s">
        <v>1614</v>
      </c>
      <c r="C618" s="25" t="s">
        <v>1611</v>
      </c>
      <c r="D618" s="26" t="n">
        <v>8</v>
      </c>
      <c r="E618" s="27" t="n">
        <v>8.09691001300806</v>
      </c>
      <c r="F618" s="27" t="n">
        <v>8.02775866392492</v>
      </c>
      <c r="G618" s="25" t="s">
        <v>461</v>
      </c>
      <c r="H618" s="25" t="s">
        <v>462</v>
      </c>
      <c r="I618" s="25" t="n">
        <f aca="false">IFERROR(IF(INDEX(Documents!$C$5:$C$657,MATCH(H618,Documents!$A$5:$A$657,0))="","",INDEX(Documents!$C$5:$C$657,MATCH(H618,Documents!$A$5:$A$657,0))),"")</f>
        <v>2011</v>
      </c>
      <c r="J618" s="25" t="str">
        <f aca="false">IFERROR(IF(INDEX(Documents!$D$5:$D$657,MATCH(H618,Documents!$A$5:$A$657,0))="","",INDEX(Documents!$D$5:$D$657,MATCH(H618,Documents!$A$5:$A$657,0))),"")</f>
        <v>Eur J Med Chem</v>
      </c>
      <c r="K618" s="25" t="str">
        <f aca="false">IFERROR(IF(INDEX(Documents!$G$5:$G$657,MATCH(H618,Documents!$A$5:$A$657,0))="","",INDEX(Documents!$G$5:$G$657,MATCH(H618,Documents!$A$5:$A$657,0))),"")</f>
        <v>10.1016/j.ejmech.2010.11.034</v>
      </c>
      <c r="L618" s="25" t="s">
        <v>463</v>
      </c>
    </row>
    <row r="619" customFormat="false" ht="15" hidden="false" customHeight="false" outlineLevel="0" collapsed="false">
      <c r="A619" s="25" t="n">
        <v>28220339</v>
      </c>
      <c r="B619" s="25" t="s">
        <v>1615</v>
      </c>
      <c r="C619" s="25" t="s">
        <v>1616</v>
      </c>
      <c r="D619" s="26" t="n">
        <v>8.7</v>
      </c>
      <c r="E619" s="27" t="n">
        <v>8.06048074738138</v>
      </c>
      <c r="F619" s="27" t="n">
        <v>8.06048074738138</v>
      </c>
      <c r="G619" s="25" t="s">
        <v>679</v>
      </c>
      <c r="H619" s="25" t="s">
        <v>680</v>
      </c>
      <c r="I619" s="25" t="n">
        <f aca="false">IFERROR(IF(INDEX(Documents!$C$5:$C$657,MATCH(H619,Documents!$A$5:$A$657,0))="","",INDEX(Documents!$C$5:$C$657,MATCH(H619,Documents!$A$5:$A$657,0))),"")</f>
        <v>2021</v>
      </c>
      <c r="J619" s="25" t="str">
        <f aca="false">IFERROR(IF(INDEX(Documents!$D$5:$D$657,MATCH(H619,Documents!$A$5:$A$657,0))="","",INDEX(Documents!$D$5:$D$657,MATCH(H619,Documents!$A$5:$A$657,0))),"")</f>
        <v/>
      </c>
      <c r="K619" s="25" t="str">
        <f aca="false">IFERROR(IF(INDEX(Documents!$G$5:$G$657,MATCH(H619,Documents!$A$5:$A$657,0))="","",INDEX(Documents!$G$5:$G$657,MATCH(H619,Documents!$A$5:$A$657,0))),"")</f>
        <v/>
      </c>
      <c r="L619" s="25" t="s">
        <v>681</v>
      </c>
    </row>
    <row r="620" customFormat="false" ht="15" hidden="false" customHeight="false" outlineLevel="0" collapsed="false">
      <c r="A620" s="25" t="n">
        <v>28220141</v>
      </c>
      <c r="B620" s="25" t="s">
        <v>1617</v>
      </c>
      <c r="C620" s="25" t="s">
        <v>1618</v>
      </c>
      <c r="D620" s="26" t="n">
        <v>0.8</v>
      </c>
      <c r="E620" s="27" t="n">
        <v>9.09691001300806</v>
      </c>
      <c r="F620" s="27" t="n">
        <v>9.09691001300806</v>
      </c>
      <c r="G620" s="25" t="s">
        <v>679</v>
      </c>
      <c r="H620" s="25" t="s">
        <v>680</v>
      </c>
      <c r="I620" s="25" t="n">
        <f aca="false">IFERROR(IF(INDEX(Documents!$C$5:$C$657,MATCH(H620,Documents!$A$5:$A$657,0))="","",INDEX(Documents!$C$5:$C$657,MATCH(H620,Documents!$A$5:$A$657,0))),"")</f>
        <v>2021</v>
      </c>
      <c r="J620" s="25" t="str">
        <f aca="false">IFERROR(IF(INDEX(Documents!$D$5:$D$657,MATCH(H620,Documents!$A$5:$A$657,0))="","",INDEX(Documents!$D$5:$D$657,MATCH(H620,Documents!$A$5:$A$657,0))),"")</f>
        <v/>
      </c>
      <c r="K620" s="25" t="str">
        <f aca="false">IFERROR(IF(INDEX(Documents!$G$5:$G$657,MATCH(H620,Documents!$A$5:$A$657,0))="","",INDEX(Documents!$G$5:$G$657,MATCH(H620,Documents!$A$5:$A$657,0))),"")</f>
        <v/>
      </c>
      <c r="L620" s="25" t="s">
        <v>681</v>
      </c>
    </row>
    <row r="621" customFormat="false" ht="15" hidden="false" customHeight="false" outlineLevel="0" collapsed="false">
      <c r="A621" s="25" t="n">
        <v>28220159</v>
      </c>
      <c r="B621" s="25" t="s">
        <v>1619</v>
      </c>
      <c r="C621" s="25" t="s">
        <v>1620</v>
      </c>
      <c r="D621" s="26" t="n">
        <v>0.6</v>
      </c>
      <c r="E621" s="27" t="n">
        <v>9.22184874961636</v>
      </c>
      <c r="F621" s="27" t="n">
        <v>9.22184874961636</v>
      </c>
      <c r="G621" s="25" t="s">
        <v>679</v>
      </c>
      <c r="H621" s="25" t="s">
        <v>680</v>
      </c>
      <c r="I621" s="25" t="n">
        <f aca="false">IFERROR(IF(INDEX(Documents!$C$5:$C$657,MATCH(H621,Documents!$A$5:$A$657,0))="","",INDEX(Documents!$C$5:$C$657,MATCH(H621,Documents!$A$5:$A$657,0))),"")</f>
        <v>2021</v>
      </c>
      <c r="J621" s="25" t="str">
        <f aca="false">IFERROR(IF(INDEX(Documents!$D$5:$D$657,MATCH(H621,Documents!$A$5:$A$657,0))="","",INDEX(Documents!$D$5:$D$657,MATCH(H621,Documents!$A$5:$A$657,0))),"")</f>
        <v/>
      </c>
      <c r="K621" s="25" t="str">
        <f aca="false">IFERROR(IF(INDEX(Documents!$G$5:$G$657,MATCH(H621,Documents!$A$5:$A$657,0))="","",INDEX(Documents!$G$5:$G$657,MATCH(H621,Documents!$A$5:$A$657,0))),"")</f>
        <v/>
      </c>
      <c r="L621" s="25" t="s">
        <v>681</v>
      </c>
    </row>
    <row r="622" customFormat="false" ht="15" hidden="false" customHeight="false" outlineLevel="0" collapsed="false">
      <c r="A622" s="25" t="n">
        <v>18679755</v>
      </c>
      <c r="B622" s="25" t="s">
        <v>1621</v>
      </c>
      <c r="C622" s="25" t="s">
        <v>1622</v>
      </c>
      <c r="D622" s="26" t="n">
        <v>1.3</v>
      </c>
      <c r="E622" s="27" t="n">
        <v>8.88605664769316</v>
      </c>
      <c r="F622" s="27" t="n">
        <v>8.88605664769316</v>
      </c>
      <c r="G622" s="25" t="s">
        <v>1623</v>
      </c>
      <c r="H622" s="25" t="s">
        <v>1624</v>
      </c>
      <c r="I622" s="25" t="n">
        <f aca="false">IFERROR(IF(INDEX(Documents!$C$5:$C$657,MATCH(H622,Documents!$A$5:$A$657,0))="","",INDEX(Documents!$C$5:$C$657,MATCH(H622,Documents!$A$5:$A$657,0))),"")</f>
        <v>2018</v>
      </c>
      <c r="J622" s="25" t="str">
        <f aca="false">IFERROR(IF(INDEX(Documents!$D$5:$D$657,MATCH(H622,Documents!$A$5:$A$657,0))="","",INDEX(Documents!$D$5:$D$657,MATCH(H622,Documents!$A$5:$A$657,0))),"")</f>
        <v>Bioorg Med Chem</v>
      </c>
      <c r="K622" s="25" t="str">
        <f aca="false">IFERROR(IF(INDEX(Documents!$G$5:$G$657,MATCH(H622,Documents!$A$5:$A$657,0))="","",INDEX(Documents!$G$5:$G$657,MATCH(H622,Documents!$A$5:$A$657,0))),"")</f>
        <v>10.1016/j.bmc.2018.08.003</v>
      </c>
      <c r="L622" s="25" t="s">
        <v>1625</v>
      </c>
    </row>
    <row r="623" customFormat="false" ht="15" hidden="false" customHeight="false" outlineLevel="0" collapsed="false">
      <c r="A623" s="25" t="n">
        <v>18679759</v>
      </c>
      <c r="B623" s="25" t="s">
        <v>1626</v>
      </c>
      <c r="C623" s="25" t="s">
        <v>1627</v>
      </c>
      <c r="D623" s="26" t="n">
        <v>3</v>
      </c>
      <c r="E623" s="27" t="n">
        <v>8.52287874528034</v>
      </c>
      <c r="F623" s="27" t="n">
        <v>8.52287874528034</v>
      </c>
      <c r="G623" s="25" t="s">
        <v>1623</v>
      </c>
      <c r="H623" s="25" t="s">
        <v>1624</v>
      </c>
      <c r="I623" s="25" t="n">
        <f aca="false">IFERROR(IF(INDEX(Documents!$C$5:$C$657,MATCH(H623,Documents!$A$5:$A$657,0))="","",INDEX(Documents!$C$5:$C$657,MATCH(H623,Documents!$A$5:$A$657,0))),"")</f>
        <v>2018</v>
      </c>
      <c r="J623" s="25" t="str">
        <f aca="false">IFERROR(IF(INDEX(Documents!$D$5:$D$657,MATCH(H623,Documents!$A$5:$A$657,0))="","",INDEX(Documents!$D$5:$D$657,MATCH(H623,Documents!$A$5:$A$657,0))),"")</f>
        <v>Bioorg Med Chem</v>
      </c>
      <c r="K623" s="25" t="str">
        <f aca="false">IFERROR(IF(INDEX(Documents!$G$5:$G$657,MATCH(H623,Documents!$A$5:$A$657,0))="","",INDEX(Documents!$G$5:$G$657,MATCH(H623,Documents!$A$5:$A$657,0))),"")</f>
        <v>10.1016/j.bmc.2018.08.003</v>
      </c>
      <c r="L623" s="25" t="s">
        <v>1625</v>
      </c>
    </row>
    <row r="624" customFormat="false" ht="15" hidden="false" customHeight="false" outlineLevel="0" collapsed="false">
      <c r="A624" s="25" t="n">
        <v>18679760</v>
      </c>
      <c r="B624" s="25" t="s">
        <v>1628</v>
      </c>
      <c r="C624" s="25" t="s">
        <v>1629</v>
      </c>
      <c r="D624" s="26" t="n">
        <v>9.7</v>
      </c>
      <c r="E624" s="27" t="n">
        <v>8.01322826573376</v>
      </c>
      <c r="F624" s="27" t="n">
        <v>8.01322826573376</v>
      </c>
      <c r="G624" s="25" t="s">
        <v>1623</v>
      </c>
      <c r="H624" s="25" t="s">
        <v>1624</v>
      </c>
      <c r="I624" s="25" t="n">
        <f aca="false">IFERROR(IF(INDEX(Documents!$C$5:$C$657,MATCH(H624,Documents!$A$5:$A$657,0))="","",INDEX(Documents!$C$5:$C$657,MATCH(H624,Documents!$A$5:$A$657,0))),"")</f>
        <v>2018</v>
      </c>
      <c r="J624" s="25" t="str">
        <f aca="false">IFERROR(IF(INDEX(Documents!$D$5:$D$657,MATCH(H624,Documents!$A$5:$A$657,0))="","",INDEX(Documents!$D$5:$D$657,MATCH(H624,Documents!$A$5:$A$657,0))),"")</f>
        <v>Bioorg Med Chem</v>
      </c>
      <c r="K624" s="25" t="str">
        <f aca="false">IFERROR(IF(INDEX(Documents!$G$5:$G$657,MATCH(H624,Documents!$A$5:$A$657,0))="","",INDEX(Documents!$G$5:$G$657,MATCH(H624,Documents!$A$5:$A$657,0))),"")</f>
        <v>10.1016/j.bmc.2018.08.003</v>
      </c>
      <c r="L624" s="25" t="s">
        <v>1625</v>
      </c>
    </row>
    <row r="625" customFormat="false" ht="15" hidden="false" customHeight="false" outlineLevel="0" collapsed="false">
      <c r="A625" s="25" t="n">
        <v>18679758</v>
      </c>
      <c r="B625" s="25" t="s">
        <v>1630</v>
      </c>
      <c r="C625" s="25" t="s">
        <v>1631</v>
      </c>
      <c r="D625" s="26" t="n">
        <v>2.7</v>
      </c>
      <c r="E625" s="27" t="n">
        <v>8.56863623584101</v>
      </c>
      <c r="F625" s="27" t="n">
        <v>8.56863623584101</v>
      </c>
      <c r="G625" s="25" t="s">
        <v>1623</v>
      </c>
      <c r="H625" s="25" t="s">
        <v>1624</v>
      </c>
      <c r="I625" s="25" t="n">
        <f aca="false">IFERROR(IF(INDEX(Documents!$C$5:$C$657,MATCH(H625,Documents!$A$5:$A$657,0))="","",INDEX(Documents!$C$5:$C$657,MATCH(H625,Documents!$A$5:$A$657,0))),"")</f>
        <v>2018</v>
      </c>
      <c r="J625" s="25" t="str">
        <f aca="false">IFERROR(IF(INDEX(Documents!$D$5:$D$657,MATCH(H625,Documents!$A$5:$A$657,0))="","",INDEX(Documents!$D$5:$D$657,MATCH(H625,Documents!$A$5:$A$657,0))),"")</f>
        <v>Bioorg Med Chem</v>
      </c>
      <c r="K625" s="25" t="str">
        <f aca="false">IFERROR(IF(INDEX(Documents!$G$5:$G$657,MATCH(H625,Documents!$A$5:$A$657,0))="","",INDEX(Documents!$G$5:$G$657,MATCH(H625,Documents!$A$5:$A$657,0))),"")</f>
        <v>10.1016/j.bmc.2018.08.003</v>
      </c>
      <c r="L625" s="25" t="s">
        <v>1625</v>
      </c>
    </row>
    <row r="626" customFormat="false" ht="15" hidden="false" customHeight="false" outlineLevel="0" collapsed="false">
      <c r="A626" s="25" t="n">
        <v>18679893</v>
      </c>
      <c r="B626" s="25" t="s">
        <v>1632</v>
      </c>
      <c r="C626" s="25" t="s">
        <v>1633</v>
      </c>
      <c r="D626" s="26" t="n">
        <v>3.7</v>
      </c>
      <c r="E626" s="27" t="n">
        <v>8.43179827593301</v>
      </c>
      <c r="F626" s="27" t="n">
        <v>8.43179827593301</v>
      </c>
      <c r="G626" s="25" t="s">
        <v>1623</v>
      </c>
      <c r="H626" s="25" t="s">
        <v>1624</v>
      </c>
      <c r="I626" s="25" t="n">
        <f aca="false">IFERROR(IF(INDEX(Documents!$C$5:$C$657,MATCH(H626,Documents!$A$5:$A$657,0))="","",INDEX(Documents!$C$5:$C$657,MATCH(H626,Documents!$A$5:$A$657,0))),"")</f>
        <v>2018</v>
      </c>
      <c r="J626" s="25" t="str">
        <f aca="false">IFERROR(IF(INDEX(Documents!$D$5:$D$657,MATCH(H626,Documents!$A$5:$A$657,0))="","",INDEX(Documents!$D$5:$D$657,MATCH(H626,Documents!$A$5:$A$657,0))),"")</f>
        <v>Bioorg Med Chem</v>
      </c>
      <c r="K626" s="25" t="str">
        <f aca="false">IFERROR(IF(INDEX(Documents!$G$5:$G$657,MATCH(H626,Documents!$A$5:$A$657,0))="","",INDEX(Documents!$G$5:$G$657,MATCH(H626,Documents!$A$5:$A$657,0))),"")</f>
        <v>10.1016/j.bmc.2018.08.003</v>
      </c>
      <c r="L626" s="25" t="s">
        <v>1625</v>
      </c>
    </row>
    <row r="627" customFormat="false" ht="15" hidden="false" customHeight="false" outlineLevel="0" collapsed="false">
      <c r="A627" s="25" t="n">
        <v>18679896</v>
      </c>
      <c r="B627" s="25" t="s">
        <v>1634</v>
      </c>
      <c r="C627" s="25" t="s">
        <v>1635</v>
      </c>
      <c r="D627" s="26" t="n">
        <v>8.4</v>
      </c>
      <c r="E627" s="27" t="n">
        <v>8.07572071393812</v>
      </c>
      <c r="F627" s="27" t="n">
        <v>8.07572071393812</v>
      </c>
      <c r="G627" s="25" t="s">
        <v>1623</v>
      </c>
      <c r="H627" s="25" t="s">
        <v>1624</v>
      </c>
      <c r="I627" s="25" t="n">
        <f aca="false">IFERROR(IF(INDEX(Documents!$C$5:$C$657,MATCH(H627,Documents!$A$5:$A$657,0))="","",INDEX(Documents!$C$5:$C$657,MATCH(H627,Documents!$A$5:$A$657,0))),"")</f>
        <v>2018</v>
      </c>
      <c r="J627" s="25" t="str">
        <f aca="false">IFERROR(IF(INDEX(Documents!$D$5:$D$657,MATCH(H627,Documents!$A$5:$A$657,0))="","",INDEX(Documents!$D$5:$D$657,MATCH(H627,Documents!$A$5:$A$657,0))),"")</f>
        <v>Bioorg Med Chem</v>
      </c>
      <c r="K627" s="25" t="str">
        <f aca="false">IFERROR(IF(INDEX(Documents!$G$5:$G$657,MATCH(H627,Documents!$A$5:$A$657,0))="","",INDEX(Documents!$G$5:$G$657,MATCH(H627,Documents!$A$5:$A$657,0))),"")</f>
        <v>10.1016/j.bmc.2018.08.003</v>
      </c>
      <c r="L627" s="25" t="s">
        <v>1625</v>
      </c>
    </row>
    <row r="628" customFormat="false" ht="15" hidden="false" customHeight="false" outlineLevel="0" collapsed="false">
      <c r="A628" s="25" t="n">
        <v>18679895</v>
      </c>
      <c r="B628" s="25" t="s">
        <v>1636</v>
      </c>
      <c r="C628" s="25" t="s">
        <v>1637</v>
      </c>
      <c r="D628" s="26" t="n">
        <v>2.5</v>
      </c>
      <c r="E628" s="27" t="n">
        <v>8.60205999132796</v>
      </c>
      <c r="F628" s="27" t="n">
        <v>8.60205999132796</v>
      </c>
      <c r="G628" s="25" t="s">
        <v>1623</v>
      </c>
      <c r="H628" s="25" t="s">
        <v>1624</v>
      </c>
      <c r="I628" s="25" t="n">
        <f aca="false">IFERROR(IF(INDEX(Documents!$C$5:$C$657,MATCH(H628,Documents!$A$5:$A$657,0))="","",INDEX(Documents!$C$5:$C$657,MATCH(H628,Documents!$A$5:$A$657,0))),"")</f>
        <v>2018</v>
      </c>
      <c r="J628" s="25" t="str">
        <f aca="false">IFERROR(IF(INDEX(Documents!$D$5:$D$657,MATCH(H628,Documents!$A$5:$A$657,0))="","",INDEX(Documents!$D$5:$D$657,MATCH(H628,Documents!$A$5:$A$657,0))),"")</f>
        <v>Bioorg Med Chem</v>
      </c>
      <c r="K628" s="25" t="str">
        <f aca="false">IFERROR(IF(INDEX(Documents!$G$5:$G$657,MATCH(H628,Documents!$A$5:$A$657,0))="","",INDEX(Documents!$G$5:$G$657,MATCH(H628,Documents!$A$5:$A$657,0))),"")</f>
        <v>10.1016/j.bmc.2018.08.003</v>
      </c>
      <c r="L628" s="25" t="s">
        <v>1625</v>
      </c>
    </row>
    <row r="629" customFormat="false" ht="15" hidden="false" customHeight="false" outlineLevel="0" collapsed="false">
      <c r="A629" s="25" t="n">
        <v>18679894</v>
      </c>
      <c r="B629" s="25" t="s">
        <v>1638</v>
      </c>
      <c r="C629" s="25" t="s">
        <v>1639</v>
      </c>
      <c r="D629" s="26" t="n">
        <v>0.7</v>
      </c>
      <c r="E629" s="27" t="n">
        <v>9.15490195998575</v>
      </c>
      <c r="F629" s="27" t="n">
        <v>9.15490195998575</v>
      </c>
      <c r="G629" s="25" t="s">
        <v>1623</v>
      </c>
      <c r="H629" s="25" t="s">
        <v>1624</v>
      </c>
      <c r="I629" s="25" t="n">
        <f aca="false">IFERROR(IF(INDEX(Documents!$C$5:$C$657,MATCH(H629,Documents!$A$5:$A$657,0))="","",INDEX(Documents!$C$5:$C$657,MATCH(H629,Documents!$A$5:$A$657,0))),"")</f>
        <v>2018</v>
      </c>
      <c r="J629" s="25" t="str">
        <f aca="false">IFERROR(IF(INDEX(Documents!$D$5:$D$657,MATCH(H629,Documents!$A$5:$A$657,0))="","",INDEX(Documents!$D$5:$D$657,MATCH(H629,Documents!$A$5:$A$657,0))),"")</f>
        <v>Bioorg Med Chem</v>
      </c>
      <c r="K629" s="25" t="str">
        <f aca="false">IFERROR(IF(INDEX(Documents!$G$5:$G$657,MATCH(H629,Documents!$A$5:$A$657,0))="","",INDEX(Documents!$G$5:$G$657,MATCH(H629,Documents!$A$5:$A$657,0))),"")</f>
        <v>10.1016/j.bmc.2018.08.003</v>
      </c>
      <c r="L629" s="25" t="s">
        <v>1625</v>
      </c>
    </row>
    <row r="630" customFormat="false" ht="15" hidden="false" customHeight="false" outlineLevel="0" collapsed="false">
      <c r="A630" s="25" t="n">
        <v>18679756</v>
      </c>
      <c r="B630" s="25" t="s">
        <v>1640</v>
      </c>
      <c r="C630" s="25" t="s">
        <v>1641</v>
      </c>
      <c r="D630" s="26" t="n">
        <v>6.2</v>
      </c>
      <c r="E630" s="27" t="n">
        <v>8.20760831050175</v>
      </c>
      <c r="F630" s="27" t="n">
        <v>8.20760831050175</v>
      </c>
      <c r="G630" s="25" t="s">
        <v>1623</v>
      </c>
      <c r="H630" s="25" t="s">
        <v>1624</v>
      </c>
      <c r="I630" s="25" t="n">
        <f aca="false">IFERROR(IF(INDEX(Documents!$C$5:$C$657,MATCH(H630,Documents!$A$5:$A$657,0))="","",INDEX(Documents!$C$5:$C$657,MATCH(H630,Documents!$A$5:$A$657,0))),"")</f>
        <v>2018</v>
      </c>
      <c r="J630" s="25" t="str">
        <f aca="false">IFERROR(IF(INDEX(Documents!$D$5:$D$657,MATCH(H630,Documents!$A$5:$A$657,0))="","",INDEX(Documents!$D$5:$D$657,MATCH(H630,Documents!$A$5:$A$657,0))),"")</f>
        <v>Bioorg Med Chem</v>
      </c>
      <c r="K630" s="25" t="str">
        <f aca="false">IFERROR(IF(INDEX(Documents!$G$5:$G$657,MATCH(H630,Documents!$A$5:$A$657,0))="","",INDEX(Documents!$G$5:$G$657,MATCH(H630,Documents!$A$5:$A$657,0))),"")</f>
        <v>10.1016/j.bmc.2018.08.003</v>
      </c>
      <c r="L630" s="25" t="s">
        <v>1625</v>
      </c>
    </row>
    <row r="631" customFormat="false" ht="15" hidden="false" customHeight="false" outlineLevel="0" collapsed="false">
      <c r="A631" s="25" t="n">
        <v>18679754</v>
      </c>
      <c r="B631" s="25" t="s">
        <v>1642</v>
      </c>
      <c r="C631" s="25" t="s">
        <v>1643</v>
      </c>
      <c r="D631" s="26" t="n">
        <v>0.4</v>
      </c>
      <c r="E631" s="27" t="n">
        <v>9.39794000867204</v>
      </c>
      <c r="F631" s="27" t="n">
        <v>9.39794000867204</v>
      </c>
      <c r="G631" s="25" t="s">
        <v>1623</v>
      </c>
      <c r="H631" s="25" t="s">
        <v>1624</v>
      </c>
      <c r="I631" s="25" t="n">
        <f aca="false">IFERROR(IF(INDEX(Documents!$C$5:$C$657,MATCH(H631,Documents!$A$5:$A$657,0))="","",INDEX(Documents!$C$5:$C$657,MATCH(H631,Documents!$A$5:$A$657,0))),"")</f>
        <v>2018</v>
      </c>
      <c r="J631" s="25" t="str">
        <f aca="false">IFERROR(IF(INDEX(Documents!$D$5:$D$657,MATCH(H631,Documents!$A$5:$A$657,0))="","",INDEX(Documents!$D$5:$D$657,MATCH(H631,Documents!$A$5:$A$657,0))),"")</f>
        <v>Bioorg Med Chem</v>
      </c>
      <c r="K631" s="25" t="str">
        <f aca="false">IFERROR(IF(INDEX(Documents!$G$5:$G$657,MATCH(H631,Documents!$A$5:$A$657,0))="","",INDEX(Documents!$G$5:$G$657,MATCH(H631,Documents!$A$5:$A$657,0))),"")</f>
        <v>10.1016/j.bmc.2018.08.003</v>
      </c>
      <c r="L631" s="25" t="s">
        <v>1625</v>
      </c>
    </row>
    <row r="632" customFormat="false" ht="15" hidden="false" customHeight="false" outlineLevel="0" collapsed="false">
      <c r="A632" s="25" t="n">
        <v>18679757</v>
      </c>
      <c r="B632" s="25" t="s">
        <v>1644</v>
      </c>
      <c r="C632" s="25" t="s">
        <v>1645</v>
      </c>
      <c r="D632" s="26" t="n">
        <v>2.9</v>
      </c>
      <c r="E632" s="27" t="n">
        <v>8.53760200210104</v>
      </c>
      <c r="F632" s="27" t="n">
        <v>8.53760200210104</v>
      </c>
      <c r="G632" s="25" t="s">
        <v>1623</v>
      </c>
      <c r="H632" s="25" t="s">
        <v>1624</v>
      </c>
      <c r="I632" s="25" t="n">
        <f aca="false">IFERROR(IF(INDEX(Documents!$C$5:$C$657,MATCH(H632,Documents!$A$5:$A$657,0))="","",INDEX(Documents!$C$5:$C$657,MATCH(H632,Documents!$A$5:$A$657,0))),"")</f>
        <v>2018</v>
      </c>
      <c r="J632" s="25" t="str">
        <f aca="false">IFERROR(IF(INDEX(Documents!$D$5:$D$657,MATCH(H632,Documents!$A$5:$A$657,0))="","",INDEX(Documents!$D$5:$D$657,MATCH(H632,Documents!$A$5:$A$657,0))),"")</f>
        <v>Bioorg Med Chem</v>
      </c>
      <c r="K632" s="25" t="str">
        <f aca="false">IFERROR(IF(INDEX(Documents!$G$5:$G$657,MATCH(H632,Documents!$A$5:$A$657,0))="","",INDEX(Documents!$G$5:$G$657,MATCH(H632,Documents!$A$5:$A$657,0))),"")</f>
        <v>10.1016/j.bmc.2018.08.003</v>
      </c>
      <c r="L632" s="25" t="s">
        <v>1625</v>
      </c>
    </row>
    <row r="633" customFormat="false" ht="15" hidden="false" customHeight="false" outlineLevel="0" collapsed="false">
      <c r="A633" s="25" t="n">
        <v>2691024</v>
      </c>
      <c r="B633" s="25" t="s">
        <v>1646</v>
      </c>
      <c r="C633" s="25" t="s">
        <v>1647</v>
      </c>
      <c r="D633" s="26" t="n">
        <v>10000</v>
      </c>
      <c r="E633" s="27" t="n">
        <v>5</v>
      </c>
      <c r="F633" s="27" t="n">
        <v>5</v>
      </c>
      <c r="G633" s="25" t="s">
        <v>1648</v>
      </c>
      <c r="H633" s="25" t="s">
        <v>1649</v>
      </c>
      <c r="I633" s="25" t="n">
        <f aca="false">IFERROR(IF(INDEX(Documents!$C$5:$C$657,MATCH(H633,Documents!$A$5:$A$657,0))="","",INDEX(Documents!$C$5:$C$657,MATCH(H633,Documents!$A$5:$A$657,0))),"")</f>
        <v>2009</v>
      </c>
      <c r="J633" s="25" t="str">
        <f aca="false">IFERROR(IF(INDEX(Documents!$D$5:$D$657,MATCH(H633,Documents!$A$5:$A$657,0))="","",INDEX(Documents!$D$5:$D$657,MATCH(H633,Documents!$A$5:$A$657,0))),"")</f>
        <v>Bioorg Med Chem Lett</v>
      </c>
      <c r="K633" s="25" t="str">
        <f aca="false">IFERROR(IF(INDEX(Documents!$G$5:$G$657,MATCH(H633,Documents!$A$5:$A$657,0))="","",INDEX(Documents!$G$5:$G$657,MATCH(H633,Documents!$A$5:$A$657,0))),"")</f>
        <v>10.1016/j.bmcl.2009.05.114</v>
      </c>
      <c r="L633" s="25" t="s">
        <v>1650</v>
      </c>
    </row>
    <row r="634" customFormat="false" ht="15" hidden="false" customHeight="false" outlineLevel="0" collapsed="false">
      <c r="A634" s="25" t="n">
        <v>15239935</v>
      </c>
      <c r="B634" s="25" t="s">
        <v>1651</v>
      </c>
      <c r="C634" s="25" t="s">
        <v>1652</v>
      </c>
      <c r="D634" s="26" t="n">
        <v>215</v>
      </c>
      <c r="E634" s="27" t="n">
        <v>6.66756154008439</v>
      </c>
      <c r="F634" s="27" t="n">
        <v>6.66756154008439</v>
      </c>
      <c r="G634" s="25" t="s">
        <v>1653</v>
      </c>
      <c r="H634" s="25" t="s">
        <v>1654</v>
      </c>
      <c r="I634" s="25" t="n">
        <f aca="false">IFERROR(IF(INDEX(Documents!$C$5:$C$657,MATCH(H634,Documents!$A$5:$A$657,0))="","",INDEX(Documents!$C$5:$C$657,MATCH(H634,Documents!$A$5:$A$657,0))),"")</f>
        <v>2015</v>
      </c>
      <c r="J634" s="25" t="str">
        <f aca="false">IFERROR(IF(INDEX(Documents!$D$5:$D$657,MATCH(H634,Documents!$A$5:$A$657,0))="","",INDEX(Documents!$D$5:$D$657,MATCH(H634,Documents!$A$5:$A$657,0))),"")</f>
        <v>Eur J Med Chem</v>
      </c>
      <c r="K634" s="25" t="str">
        <f aca="false">IFERROR(IF(INDEX(Documents!$G$5:$G$657,MATCH(H634,Documents!$A$5:$A$657,0))="","",INDEX(Documents!$G$5:$G$657,MATCH(H634,Documents!$A$5:$A$657,0))),"")</f>
        <v>10.1016/j.ejmech.2015.04.034</v>
      </c>
      <c r="L634" s="25" t="s">
        <v>1655</v>
      </c>
    </row>
    <row r="635" customFormat="false" ht="15" hidden="false" customHeight="false" outlineLevel="0" collapsed="false">
      <c r="A635" s="25" t="n">
        <v>15239937</v>
      </c>
      <c r="B635" s="25" t="s">
        <v>1656</v>
      </c>
      <c r="C635" s="25" t="s">
        <v>1657</v>
      </c>
      <c r="D635" s="26" t="n">
        <v>7.44</v>
      </c>
      <c r="E635" s="27" t="n">
        <v>8.12842706445412</v>
      </c>
      <c r="F635" s="27" t="n">
        <v>8.12842706445412</v>
      </c>
      <c r="G635" s="25" t="s">
        <v>1653</v>
      </c>
      <c r="H635" s="25" t="s">
        <v>1654</v>
      </c>
      <c r="I635" s="25" t="n">
        <f aca="false">IFERROR(IF(INDEX(Documents!$C$5:$C$657,MATCH(H635,Documents!$A$5:$A$657,0))="","",INDEX(Documents!$C$5:$C$657,MATCH(H635,Documents!$A$5:$A$657,0))),"")</f>
        <v>2015</v>
      </c>
      <c r="J635" s="25" t="str">
        <f aca="false">IFERROR(IF(INDEX(Documents!$D$5:$D$657,MATCH(H635,Documents!$A$5:$A$657,0))="","",INDEX(Documents!$D$5:$D$657,MATCH(H635,Documents!$A$5:$A$657,0))),"")</f>
        <v>Eur J Med Chem</v>
      </c>
      <c r="K635" s="25" t="str">
        <f aca="false">IFERROR(IF(INDEX(Documents!$G$5:$G$657,MATCH(H635,Documents!$A$5:$A$657,0))="","",INDEX(Documents!$G$5:$G$657,MATCH(H635,Documents!$A$5:$A$657,0))),"")</f>
        <v>10.1016/j.ejmech.2015.04.034</v>
      </c>
      <c r="L635" s="25" t="s">
        <v>1655</v>
      </c>
    </row>
    <row r="636" customFormat="false" ht="15" hidden="false" customHeight="false" outlineLevel="0" collapsed="false">
      <c r="A636" s="25" t="n">
        <v>15239938</v>
      </c>
      <c r="B636" s="25" t="s">
        <v>1658</v>
      </c>
      <c r="C636" s="25" t="s">
        <v>1659</v>
      </c>
      <c r="D636" s="26" t="n">
        <v>0.75</v>
      </c>
      <c r="E636" s="27" t="n">
        <v>9.1249387366083</v>
      </c>
      <c r="F636" s="27" t="n">
        <v>9.1249387366083</v>
      </c>
      <c r="G636" s="25" t="s">
        <v>1653</v>
      </c>
      <c r="H636" s="25" t="s">
        <v>1654</v>
      </c>
      <c r="I636" s="25" t="n">
        <f aca="false">IFERROR(IF(INDEX(Documents!$C$5:$C$657,MATCH(H636,Documents!$A$5:$A$657,0))="","",INDEX(Documents!$C$5:$C$657,MATCH(H636,Documents!$A$5:$A$657,0))),"")</f>
        <v>2015</v>
      </c>
      <c r="J636" s="25" t="str">
        <f aca="false">IFERROR(IF(INDEX(Documents!$D$5:$D$657,MATCH(H636,Documents!$A$5:$A$657,0))="","",INDEX(Documents!$D$5:$D$657,MATCH(H636,Documents!$A$5:$A$657,0))),"")</f>
        <v>Eur J Med Chem</v>
      </c>
      <c r="K636" s="25" t="str">
        <f aca="false">IFERROR(IF(INDEX(Documents!$G$5:$G$657,MATCH(H636,Documents!$A$5:$A$657,0))="","",INDEX(Documents!$G$5:$G$657,MATCH(H636,Documents!$A$5:$A$657,0))),"")</f>
        <v>10.1016/j.ejmech.2015.04.034</v>
      </c>
      <c r="L636" s="25" t="s">
        <v>1655</v>
      </c>
    </row>
    <row r="637" customFormat="false" ht="15" hidden="false" customHeight="false" outlineLevel="0" collapsed="false">
      <c r="A637" s="25" t="n">
        <v>15078025</v>
      </c>
      <c r="B637" s="25" t="s">
        <v>1660</v>
      </c>
      <c r="C637" s="25" t="s">
        <v>1661</v>
      </c>
      <c r="D637" s="26" t="n">
        <v>0.68</v>
      </c>
      <c r="E637" s="27" t="n">
        <v>9.16749108729376</v>
      </c>
      <c r="F637" s="27" t="n">
        <v>9.16749108729376</v>
      </c>
      <c r="G637" s="25" t="s">
        <v>1662</v>
      </c>
      <c r="H637" s="25" t="s">
        <v>1663</v>
      </c>
      <c r="I637" s="25" t="n">
        <f aca="false">IFERROR(IF(INDEX(Documents!$C$5:$C$657,MATCH(H637,Documents!$A$5:$A$657,0))="","",INDEX(Documents!$C$5:$C$657,MATCH(H637,Documents!$A$5:$A$657,0))),"")</f>
        <v>2014</v>
      </c>
      <c r="J637" s="25" t="str">
        <f aca="false">IFERROR(IF(INDEX(Documents!$D$5:$D$657,MATCH(H637,Documents!$A$5:$A$657,0))="","",INDEX(Documents!$D$5:$D$657,MATCH(H637,Documents!$A$5:$A$657,0))),"")</f>
        <v>J Med Chem</v>
      </c>
      <c r="K637" s="25" t="str">
        <f aca="false">IFERROR(IF(INDEX(Documents!$G$5:$G$657,MATCH(H637,Documents!$A$5:$A$657,0))="","",INDEX(Documents!$G$5:$G$657,MATCH(H637,Documents!$A$5:$A$657,0))),"")</f>
        <v>10.1021/jm500807e</v>
      </c>
      <c r="L637" s="25" t="s">
        <v>1664</v>
      </c>
    </row>
    <row r="638" customFormat="false" ht="15" hidden="false" customHeight="false" outlineLevel="0" collapsed="false">
      <c r="A638" s="25" t="n">
        <v>15078019</v>
      </c>
      <c r="B638" s="25" t="s">
        <v>1665</v>
      </c>
      <c r="C638" s="25" t="s">
        <v>1666</v>
      </c>
      <c r="D638" s="26" t="n">
        <v>2.17</v>
      </c>
      <c r="E638" s="27" t="n">
        <v>8.66354026615147</v>
      </c>
      <c r="F638" s="27" t="n">
        <v>8.66354026615147</v>
      </c>
      <c r="G638" s="25" t="s">
        <v>1662</v>
      </c>
      <c r="H638" s="25" t="s">
        <v>1663</v>
      </c>
      <c r="I638" s="25" t="n">
        <f aca="false">IFERROR(IF(INDEX(Documents!$C$5:$C$657,MATCH(H638,Documents!$A$5:$A$657,0))="","",INDEX(Documents!$C$5:$C$657,MATCH(H638,Documents!$A$5:$A$657,0))),"")</f>
        <v>2014</v>
      </c>
      <c r="J638" s="25" t="str">
        <f aca="false">IFERROR(IF(INDEX(Documents!$D$5:$D$657,MATCH(H638,Documents!$A$5:$A$657,0))="","",INDEX(Documents!$D$5:$D$657,MATCH(H638,Documents!$A$5:$A$657,0))),"")</f>
        <v>J Med Chem</v>
      </c>
      <c r="K638" s="25" t="str">
        <f aca="false">IFERROR(IF(INDEX(Documents!$G$5:$G$657,MATCH(H638,Documents!$A$5:$A$657,0))="","",INDEX(Documents!$G$5:$G$657,MATCH(H638,Documents!$A$5:$A$657,0))),"")</f>
        <v>10.1021/jm500807e</v>
      </c>
      <c r="L638" s="25" t="s">
        <v>1664</v>
      </c>
    </row>
    <row r="639" customFormat="false" ht="15" hidden="false" customHeight="false" outlineLevel="0" collapsed="false">
      <c r="A639" s="25" t="n">
        <v>15078026</v>
      </c>
      <c r="B639" s="25" t="s">
        <v>1667</v>
      </c>
      <c r="C639" s="25" t="s">
        <v>1668</v>
      </c>
      <c r="D639" s="26" t="n">
        <v>0.35</v>
      </c>
      <c r="E639" s="27" t="n">
        <v>9.45593195564972</v>
      </c>
      <c r="F639" s="27" t="n">
        <v>9.45593195564972</v>
      </c>
      <c r="G639" s="25" t="s">
        <v>1662</v>
      </c>
      <c r="H639" s="25" t="s">
        <v>1663</v>
      </c>
      <c r="I639" s="25" t="n">
        <f aca="false">IFERROR(IF(INDEX(Documents!$C$5:$C$657,MATCH(H639,Documents!$A$5:$A$657,0))="","",INDEX(Documents!$C$5:$C$657,MATCH(H639,Documents!$A$5:$A$657,0))),"")</f>
        <v>2014</v>
      </c>
      <c r="J639" s="25" t="str">
        <f aca="false">IFERROR(IF(INDEX(Documents!$D$5:$D$657,MATCH(H639,Documents!$A$5:$A$657,0))="","",INDEX(Documents!$D$5:$D$657,MATCH(H639,Documents!$A$5:$A$657,0))),"")</f>
        <v>J Med Chem</v>
      </c>
      <c r="K639" s="25" t="str">
        <f aca="false">IFERROR(IF(INDEX(Documents!$G$5:$G$657,MATCH(H639,Documents!$A$5:$A$657,0))="","",INDEX(Documents!$G$5:$G$657,MATCH(H639,Documents!$A$5:$A$657,0))),"")</f>
        <v>10.1021/jm500807e</v>
      </c>
      <c r="L639" s="25" t="s">
        <v>1664</v>
      </c>
    </row>
    <row r="640" customFormat="false" ht="15" hidden="false" customHeight="false" outlineLevel="0" collapsed="false">
      <c r="A640" s="25" t="n">
        <v>15078020</v>
      </c>
      <c r="B640" s="25" t="s">
        <v>1669</v>
      </c>
      <c r="C640" s="25" t="s">
        <v>1670</v>
      </c>
      <c r="D640" s="26" t="n">
        <v>0.67</v>
      </c>
      <c r="E640" s="27" t="n">
        <v>9.17392519729917</v>
      </c>
      <c r="F640" s="27" t="n">
        <v>9.17392519729917</v>
      </c>
      <c r="G640" s="25" t="s">
        <v>1662</v>
      </c>
      <c r="H640" s="25" t="s">
        <v>1663</v>
      </c>
      <c r="I640" s="25" t="n">
        <f aca="false">IFERROR(IF(INDEX(Documents!$C$5:$C$657,MATCH(H640,Documents!$A$5:$A$657,0))="","",INDEX(Documents!$C$5:$C$657,MATCH(H640,Documents!$A$5:$A$657,0))),"")</f>
        <v>2014</v>
      </c>
      <c r="J640" s="25" t="str">
        <f aca="false">IFERROR(IF(INDEX(Documents!$D$5:$D$657,MATCH(H640,Documents!$A$5:$A$657,0))="","",INDEX(Documents!$D$5:$D$657,MATCH(H640,Documents!$A$5:$A$657,0))),"")</f>
        <v>J Med Chem</v>
      </c>
      <c r="K640" s="25" t="str">
        <f aca="false">IFERROR(IF(INDEX(Documents!$G$5:$G$657,MATCH(H640,Documents!$A$5:$A$657,0))="","",INDEX(Documents!$G$5:$G$657,MATCH(H640,Documents!$A$5:$A$657,0))),"")</f>
        <v>10.1021/jm500807e</v>
      </c>
      <c r="L640" s="25" t="s">
        <v>1664</v>
      </c>
    </row>
    <row r="641" customFormat="false" ht="15" hidden="false" customHeight="false" outlineLevel="0" collapsed="false">
      <c r="A641" s="25" t="n">
        <v>15078024</v>
      </c>
      <c r="B641" s="25" t="s">
        <v>1671</v>
      </c>
      <c r="C641" s="25" t="s">
        <v>1672</v>
      </c>
      <c r="D641" s="26" t="n">
        <v>0.17</v>
      </c>
      <c r="E641" s="27" t="n">
        <v>9.76955107862173</v>
      </c>
      <c r="F641" s="27" t="n">
        <v>9.76955107862173</v>
      </c>
      <c r="G641" s="25" t="s">
        <v>1662</v>
      </c>
      <c r="H641" s="25" t="s">
        <v>1663</v>
      </c>
      <c r="I641" s="25" t="n">
        <f aca="false">IFERROR(IF(INDEX(Documents!$C$5:$C$657,MATCH(H641,Documents!$A$5:$A$657,0))="","",INDEX(Documents!$C$5:$C$657,MATCH(H641,Documents!$A$5:$A$657,0))),"")</f>
        <v>2014</v>
      </c>
      <c r="J641" s="25" t="str">
        <f aca="false">IFERROR(IF(INDEX(Documents!$D$5:$D$657,MATCH(H641,Documents!$A$5:$A$657,0))="","",INDEX(Documents!$D$5:$D$657,MATCH(H641,Documents!$A$5:$A$657,0))),"")</f>
        <v>J Med Chem</v>
      </c>
      <c r="K641" s="25" t="str">
        <f aca="false">IFERROR(IF(INDEX(Documents!$G$5:$G$657,MATCH(H641,Documents!$A$5:$A$657,0))="","",INDEX(Documents!$G$5:$G$657,MATCH(H641,Documents!$A$5:$A$657,0))),"")</f>
        <v>10.1021/jm500807e</v>
      </c>
      <c r="L641" s="25" t="s">
        <v>1664</v>
      </c>
    </row>
    <row r="642" customFormat="false" ht="15" hidden="false" customHeight="false" outlineLevel="0" collapsed="false">
      <c r="A642" s="25" t="n">
        <v>15078016</v>
      </c>
      <c r="B642" s="25" t="s">
        <v>1673</v>
      </c>
      <c r="C642" s="25" t="s">
        <v>1674</v>
      </c>
      <c r="D642" s="26" t="n">
        <v>1.85</v>
      </c>
      <c r="E642" s="27" t="n">
        <v>8.73282827159699</v>
      </c>
      <c r="F642" s="27" t="n">
        <v>8.73282827159699</v>
      </c>
      <c r="G642" s="25" t="s">
        <v>1662</v>
      </c>
      <c r="H642" s="25" t="s">
        <v>1663</v>
      </c>
      <c r="I642" s="25" t="n">
        <f aca="false">IFERROR(IF(INDEX(Documents!$C$5:$C$657,MATCH(H642,Documents!$A$5:$A$657,0))="","",INDEX(Documents!$C$5:$C$657,MATCH(H642,Documents!$A$5:$A$657,0))),"")</f>
        <v>2014</v>
      </c>
      <c r="J642" s="25" t="str">
        <f aca="false">IFERROR(IF(INDEX(Documents!$D$5:$D$657,MATCH(H642,Documents!$A$5:$A$657,0))="","",INDEX(Documents!$D$5:$D$657,MATCH(H642,Documents!$A$5:$A$657,0))),"")</f>
        <v>J Med Chem</v>
      </c>
      <c r="K642" s="25" t="str">
        <f aca="false">IFERROR(IF(INDEX(Documents!$G$5:$G$657,MATCH(H642,Documents!$A$5:$A$657,0))="","",INDEX(Documents!$G$5:$G$657,MATCH(H642,Documents!$A$5:$A$657,0))),"")</f>
        <v>10.1021/jm500807e</v>
      </c>
      <c r="L642" s="25" t="s">
        <v>1664</v>
      </c>
    </row>
    <row r="643" customFormat="false" ht="15" hidden="false" customHeight="false" outlineLevel="0" collapsed="false">
      <c r="A643" s="25" t="n">
        <v>15078014</v>
      </c>
      <c r="B643" s="25" t="s">
        <v>1675</v>
      </c>
      <c r="C643" s="25" t="s">
        <v>1676</v>
      </c>
      <c r="D643" s="26" t="n">
        <v>1.26</v>
      </c>
      <c r="E643" s="27" t="n">
        <v>8.89962945488244</v>
      </c>
      <c r="F643" s="27" t="n">
        <v>8.89962945488244</v>
      </c>
      <c r="G643" s="25" t="s">
        <v>1662</v>
      </c>
      <c r="H643" s="25" t="s">
        <v>1663</v>
      </c>
      <c r="I643" s="25" t="n">
        <f aca="false">IFERROR(IF(INDEX(Documents!$C$5:$C$657,MATCH(H643,Documents!$A$5:$A$657,0))="","",INDEX(Documents!$C$5:$C$657,MATCH(H643,Documents!$A$5:$A$657,0))),"")</f>
        <v>2014</v>
      </c>
      <c r="J643" s="25" t="str">
        <f aca="false">IFERROR(IF(INDEX(Documents!$D$5:$D$657,MATCH(H643,Documents!$A$5:$A$657,0))="","",INDEX(Documents!$D$5:$D$657,MATCH(H643,Documents!$A$5:$A$657,0))),"")</f>
        <v>J Med Chem</v>
      </c>
      <c r="K643" s="25" t="str">
        <f aca="false">IFERROR(IF(INDEX(Documents!$G$5:$G$657,MATCH(H643,Documents!$A$5:$A$657,0))="","",INDEX(Documents!$G$5:$G$657,MATCH(H643,Documents!$A$5:$A$657,0))),"")</f>
        <v>10.1021/jm500807e</v>
      </c>
      <c r="L643" s="25" t="s">
        <v>1664</v>
      </c>
    </row>
    <row r="644" customFormat="false" ht="15" hidden="false" customHeight="false" outlineLevel="0" collapsed="false">
      <c r="A644" s="25" t="n">
        <v>15078011</v>
      </c>
      <c r="B644" s="25" t="s">
        <v>1677</v>
      </c>
      <c r="C644" s="25" t="s">
        <v>1678</v>
      </c>
      <c r="D644" s="26" t="n">
        <v>0.18</v>
      </c>
      <c r="E644" s="27" t="n">
        <v>9.74472749489669</v>
      </c>
      <c r="F644" s="27" t="n">
        <v>9.74472749489669</v>
      </c>
      <c r="G644" s="25" t="s">
        <v>1662</v>
      </c>
      <c r="H644" s="25" t="s">
        <v>1663</v>
      </c>
      <c r="I644" s="25" t="n">
        <f aca="false">IFERROR(IF(INDEX(Documents!$C$5:$C$657,MATCH(H644,Documents!$A$5:$A$657,0))="","",INDEX(Documents!$C$5:$C$657,MATCH(H644,Documents!$A$5:$A$657,0))),"")</f>
        <v>2014</v>
      </c>
      <c r="J644" s="25" t="str">
        <f aca="false">IFERROR(IF(INDEX(Documents!$D$5:$D$657,MATCH(H644,Documents!$A$5:$A$657,0))="","",INDEX(Documents!$D$5:$D$657,MATCH(H644,Documents!$A$5:$A$657,0))),"")</f>
        <v>J Med Chem</v>
      </c>
      <c r="K644" s="25" t="str">
        <f aca="false">IFERROR(IF(INDEX(Documents!$G$5:$G$657,MATCH(H644,Documents!$A$5:$A$657,0))="","",INDEX(Documents!$G$5:$G$657,MATCH(H644,Documents!$A$5:$A$657,0))),"")</f>
        <v>10.1021/jm500807e</v>
      </c>
      <c r="L644" s="25" t="s">
        <v>1664</v>
      </c>
    </row>
    <row r="645" customFormat="false" ht="15" hidden="false" customHeight="false" outlineLevel="0" collapsed="false">
      <c r="A645" s="25" t="n">
        <v>15239939</v>
      </c>
      <c r="B645" s="25" t="s">
        <v>1679</v>
      </c>
      <c r="C645" s="25" t="s">
        <v>1680</v>
      </c>
      <c r="D645" s="26" t="n">
        <v>36</v>
      </c>
      <c r="E645" s="27" t="n">
        <v>7.44369749923271</v>
      </c>
      <c r="F645" s="27" t="n">
        <v>7.44369749923271</v>
      </c>
      <c r="G645" s="25" t="s">
        <v>1653</v>
      </c>
      <c r="H645" s="25" t="s">
        <v>1654</v>
      </c>
      <c r="I645" s="25" t="n">
        <f aca="false">IFERROR(IF(INDEX(Documents!$C$5:$C$657,MATCH(H645,Documents!$A$5:$A$657,0))="","",INDEX(Documents!$C$5:$C$657,MATCH(H645,Documents!$A$5:$A$657,0))),"")</f>
        <v>2015</v>
      </c>
      <c r="J645" s="25" t="str">
        <f aca="false">IFERROR(IF(INDEX(Documents!$D$5:$D$657,MATCH(H645,Documents!$A$5:$A$657,0))="","",INDEX(Documents!$D$5:$D$657,MATCH(H645,Documents!$A$5:$A$657,0))),"")</f>
        <v>Eur J Med Chem</v>
      </c>
      <c r="K645" s="25" t="str">
        <f aca="false">IFERROR(IF(INDEX(Documents!$G$5:$G$657,MATCH(H645,Documents!$A$5:$A$657,0))="","",INDEX(Documents!$G$5:$G$657,MATCH(H645,Documents!$A$5:$A$657,0))),"")</f>
        <v>10.1016/j.ejmech.2015.04.034</v>
      </c>
      <c r="L645" s="25" t="s">
        <v>1655</v>
      </c>
    </row>
    <row r="646" customFormat="false" ht="15" hidden="false" customHeight="false" outlineLevel="0" collapsed="false">
      <c r="A646" s="25" t="n">
        <v>15239943</v>
      </c>
      <c r="B646" s="25" t="s">
        <v>1681</v>
      </c>
      <c r="C646" s="25" t="s">
        <v>1682</v>
      </c>
      <c r="D646" s="26" t="n">
        <v>4.2</v>
      </c>
      <c r="E646" s="27" t="n">
        <v>8.3767507096021</v>
      </c>
      <c r="F646" s="27" t="n">
        <v>8.3767507096021</v>
      </c>
      <c r="G646" s="25" t="s">
        <v>1653</v>
      </c>
      <c r="H646" s="25" t="s">
        <v>1654</v>
      </c>
      <c r="I646" s="25" t="n">
        <f aca="false">IFERROR(IF(INDEX(Documents!$C$5:$C$657,MATCH(H646,Documents!$A$5:$A$657,0))="","",INDEX(Documents!$C$5:$C$657,MATCH(H646,Documents!$A$5:$A$657,0))),"")</f>
        <v>2015</v>
      </c>
      <c r="J646" s="25" t="str">
        <f aca="false">IFERROR(IF(INDEX(Documents!$D$5:$D$657,MATCH(H646,Documents!$A$5:$A$657,0))="","",INDEX(Documents!$D$5:$D$657,MATCH(H646,Documents!$A$5:$A$657,0))),"")</f>
        <v>Eur J Med Chem</v>
      </c>
      <c r="K646" s="25" t="str">
        <f aca="false">IFERROR(IF(INDEX(Documents!$G$5:$G$657,MATCH(H646,Documents!$A$5:$A$657,0))="","",INDEX(Documents!$G$5:$G$657,MATCH(H646,Documents!$A$5:$A$657,0))),"")</f>
        <v>10.1016/j.ejmech.2015.04.034</v>
      </c>
      <c r="L646" s="25" t="s">
        <v>1655</v>
      </c>
    </row>
    <row r="647" customFormat="false" ht="15" hidden="false" customHeight="false" outlineLevel="0" collapsed="false">
      <c r="A647" s="25" t="n">
        <v>15239944</v>
      </c>
      <c r="B647" s="25" t="s">
        <v>1683</v>
      </c>
      <c r="C647" s="25" t="s">
        <v>1684</v>
      </c>
      <c r="D647" s="26" t="n">
        <v>0.75</v>
      </c>
      <c r="E647" s="27" t="n">
        <v>9.1249387366083</v>
      </c>
      <c r="F647" s="27" t="n">
        <v>9.1249387366083</v>
      </c>
      <c r="G647" s="25" t="s">
        <v>1653</v>
      </c>
      <c r="H647" s="25" t="s">
        <v>1654</v>
      </c>
      <c r="I647" s="25" t="n">
        <f aca="false">IFERROR(IF(INDEX(Documents!$C$5:$C$657,MATCH(H647,Documents!$A$5:$A$657,0))="","",INDEX(Documents!$C$5:$C$657,MATCH(H647,Documents!$A$5:$A$657,0))),"")</f>
        <v>2015</v>
      </c>
      <c r="J647" s="25" t="str">
        <f aca="false">IFERROR(IF(INDEX(Documents!$D$5:$D$657,MATCH(H647,Documents!$A$5:$A$657,0))="","",INDEX(Documents!$D$5:$D$657,MATCH(H647,Documents!$A$5:$A$657,0))),"")</f>
        <v>Eur J Med Chem</v>
      </c>
      <c r="K647" s="25" t="str">
        <f aca="false">IFERROR(IF(INDEX(Documents!$G$5:$G$657,MATCH(H647,Documents!$A$5:$A$657,0))="","",INDEX(Documents!$G$5:$G$657,MATCH(H647,Documents!$A$5:$A$657,0))),"")</f>
        <v>10.1016/j.ejmech.2015.04.034</v>
      </c>
      <c r="L647" s="25" t="s">
        <v>1655</v>
      </c>
    </row>
    <row r="648" customFormat="false" ht="15" hidden="false" customHeight="false" outlineLevel="0" collapsed="false">
      <c r="A648" s="25" t="n">
        <v>15078001</v>
      </c>
      <c r="B648" s="25" t="s">
        <v>1685</v>
      </c>
      <c r="C648" s="25" t="s">
        <v>1686</v>
      </c>
      <c r="D648" s="26" t="n">
        <v>1394</v>
      </c>
      <c r="E648" s="27" t="n">
        <v>5.85573722623801</v>
      </c>
      <c r="F648" s="27" t="n">
        <v>5.85573722623801</v>
      </c>
      <c r="G648" s="25" t="s">
        <v>1662</v>
      </c>
      <c r="H648" s="25" t="s">
        <v>1663</v>
      </c>
      <c r="I648" s="25" t="n">
        <f aca="false">IFERROR(IF(INDEX(Documents!$C$5:$C$657,MATCH(H648,Documents!$A$5:$A$657,0))="","",INDEX(Documents!$C$5:$C$657,MATCH(H648,Documents!$A$5:$A$657,0))),"")</f>
        <v>2014</v>
      </c>
      <c r="J648" s="25" t="str">
        <f aca="false">IFERROR(IF(INDEX(Documents!$D$5:$D$657,MATCH(H648,Documents!$A$5:$A$657,0))="","",INDEX(Documents!$D$5:$D$657,MATCH(H648,Documents!$A$5:$A$657,0))),"")</f>
        <v>J Med Chem</v>
      </c>
      <c r="K648" s="25" t="str">
        <f aca="false">IFERROR(IF(INDEX(Documents!$G$5:$G$657,MATCH(H648,Documents!$A$5:$A$657,0))="","",INDEX(Documents!$G$5:$G$657,MATCH(H648,Documents!$A$5:$A$657,0))),"")</f>
        <v>10.1021/jm500807e</v>
      </c>
      <c r="L648" s="25" t="s">
        <v>1664</v>
      </c>
    </row>
    <row r="649" customFormat="false" ht="15" hidden="false" customHeight="false" outlineLevel="0" collapsed="false">
      <c r="A649" s="25" t="n">
        <v>15078002</v>
      </c>
      <c r="B649" s="25" t="s">
        <v>1687</v>
      </c>
      <c r="C649" s="25" t="s">
        <v>1688</v>
      </c>
      <c r="D649" s="26" t="n">
        <v>2466</v>
      </c>
      <c r="E649" s="27" t="n">
        <v>5.60800692774029</v>
      </c>
      <c r="F649" s="27" t="n">
        <v>5.60800692774029</v>
      </c>
      <c r="G649" s="25" t="s">
        <v>1662</v>
      </c>
      <c r="H649" s="25" t="s">
        <v>1663</v>
      </c>
      <c r="I649" s="25" t="n">
        <f aca="false">IFERROR(IF(INDEX(Documents!$C$5:$C$657,MATCH(H649,Documents!$A$5:$A$657,0))="","",INDEX(Documents!$C$5:$C$657,MATCH(H649,Documents!$A$5:$A$657,0))),"")</f>
        <v>2014</v>
      </c>
      <c r="J649" s="25" t="str">
        <f aca="false">IFERROR(IF(INDEX(Documents!$D$5:$D$657,MATCH(H649,Documents!$A$5:$A$657,0))="","",INDEX(Documents!$D$5:$D$657,MATCH(H649,Documents!$A$5:$A$657,0))),"")</f>
        <v>J Med Chem</v>
      </c>
      <c r="K649" s="25" t="str">
        <f aca="false">IFERROR(IF(INDEX(Documents!$G$5:$G$657,MATCH(H649,Documents!$A$5:$A$657,0))="","",INDEX(Documents!$G$5:$G$657,MATCH(H649,Documents!$A$5:$A$657,0))),"")</f>
        <v>10.1021/jm500807e</v>
      </c>
      <c r="L649" s="25" t="s">
        <v>1664</v>
      </c>
    </row>
    <row r="650" customFormat="false" ht="15" hidden="false" customHeight="false" outlineLevel="0" collapsed="false">
      <c r="A650" s="25" t="n">
        <v>15078003</v>
      </c>
      <c r="B650" s="25" t="s">
        <v>1689</v>
      </c>
      <c r="C650" s="25" t="s">
        <v>1690</v>
      </c>
      <c r="D650" s="26" t="n">
        <v>1341</v>
      </c>
      <c r="E650" s="27" t="n">
        <v>5.8725712221484</v>
      </c>
      <c r="F650" s="27" t="n">
        <v>5.8725712221484</v>
      </c>
      <c r="G650" s="25" t="s">
        <v>1662</v>
      </c>
      <c r="H650" s="25" t="s">
        <v>1663</v>
      </c>
      <c r="I650" s="25" t="n">
        <f aca="false">IFERROR(IF(INDEX(Documents!$C$5:$C$657,MATCH(H650,Documents!$A$5:$A$657,0))="","",INDEX(Documents!$C$5:$C$657,MATCH(H650,Documents!$A$5:$A$657,0))),"")</f>
        <v>2014</v>
      </c>
      <c r="J650" s="25" t="str">
        <f aca="false">IFERROR(IF(INDEX(Documents!$D$5:$D$657,MATCH(H650,Documents!$A$5:$A$657,0))="","",INDEX(Documents!$D$5:$D$657,MATCH(H650,Documents!$A$5:$A$657,0))),"")</f>
        <v>J Med Chem</v>
      </c>
      <c r="K650" s="25" t="str">
        <f aca="false">IFERROR(IF(INDEX(Documents!$G$5:$G$657,MATCH(H650,Documents!$A$5:$A$657,0))="","",INDEX(Documents!$G$5:$G$657,MATCH(H650,Documents!$A$5:$A$657,0))),"")</f>
        <v>10.1021/jm500807e</v>
      </c>
      <c r="L650" s="25" t="s">
        <v>1664</v>
      </c>
    </row>
    <row r="651" customFormat="false" ht="15" hidden="false" customHeight="false" outlineLevel="0" collapsed="false">
      <c r="A651" s="25" t="n">
        <v>15078006</v>
      </c>
      <c r="B651" s="25" t="s">
        <v>1691</v>
      </c>
      <c r="C651" s="25" t="s">
        <v>1692</v>
      </c>
      <c r="D651" s="26" t="n">
        <v>1.46</v>
      </c>
      <c r="E651" s="27" t="n">
        <v>8.83564714421556</v>
      </c>
      <c r="F651" s="27" t="n">
        <v>8.83564714421556</v>
      </c>
      <c r="G651" s="25" t="s">
        <v>1662</v>
      </c>
      <c r="H651" s="25" t="s">
        <v>1663</v>
      </c>
      <c r="I651" s="25" t="n">
        <f aca="false">IFERROR(IF(INDEX(Documents!$C$5:$C$657,MATCH(H651,Documents!$A$5:$A$657,0))="","",INDEX(Documents!$C$5:$C$657,MATCH(H651,Documents!$A$5:$A$657,0))),"")</f>
        <v>2014</v>
      </c>
      <c r="J651" s="25" t="str">
        <f aca="false">IFERROR(IF(INDEX(Documents!$D$5:$D$657,MATCH(H651,Documents!$A$5:$A$657,0))="","",INDEX(Documents!$D$5:$D$657,MATCH(H651,Documents!$A$5:$A$657,0))),"")</f>
        <v>J Med Chem</v>
      </c>
      <c r="K651" s="25" t="str">
        <f aca="false">IFERROR(IF(INDEX(Documents!$G$5:$G$657,MATCH(H651,Documents!$A$5:$A$657,0))="","",INDEX(Documents!$G$5:$G$657,MATCH(H651,Documents!$A$5:$A$657,0))),"")</f>
        <v>10.1021/jm500807e</v>
      </c>
      <c r="L651" s="25" t="s">
        <v>1664</v>
      </c>
    </row>
    <row r="652" customFormat="false" ht="15" hidden="false" customHeight="false" outlineLevel="0" collapsed="false">
      <c r="A652" s="25" t="n">
        <v>15077997</v>
      </c>
      <c r="B652" s="25" t="s">
        <v>1693</v>
      </c>
      <c r="C652" s="25" t="s">
        <v>1694</v>
      </c>
      <c r="D652" s="26" t="n">
        <v>18</v>
      </c>
      <c r="E652" s="27" t="n">
        <v>7.74472749489669</v>
      </c>
      <c r="F652" s="27" t="n">
        <v>7.74472749489669</v>
      </c>
      <c r="G652" s="25" t="s">
        <v>1662</v>
      </c>
      <c r="H652" s="25" t="s">
        <v>1663</v>
      </c>
      <c r="I652" s="25" t="n">
        <f aca="false">IFERROR(IF(INDEX(Documents!$C$5:$C$657,MATCH(H652,Documents!$A$5:$A$657,0))="","",INDEX(Documents!$C$5:$C$657,MATCH(H652,Documents!$A$5:$A$657,0))),"")</f>
        <v>2014</v>
      </c>
      <c r="J652" s="25" t="str">
        <f aca="false">IFERROR(IF(INDEX(Documents!$D$5:$D$657,MATCH(H652,Documents!$A$5:$A$657,0))="","",INDEX(Documents!$D$5:$D$657,MATCH(H652,Documents!$A$5:$A$657,0))),"")</f>
        <v>J Med Chem</v>
      </c>
      <c r="K652" s="25" t="str">
        <f aca="false">IFERROR(IF(INDEX(Documents!$G$5:$G$657,MATCH(H652,Documents!$A$5:$A$657,0))="","",INDEX(Documents!$G$5:$G$657,MATCH(H652,Documents!$A$5:$A$657,0))),"")</f>
        <v>10.1021/jm500807e</v>
      </c>
      <c r="L652" s="25" t="s">
        <v>1664</v>
      </c>
    </row>
    <row r="653" customFormat="false" ht="15" hidden="false" customHeight="false" outlineLevel="0" collapsed="false">
      <c r="A653" s="25" t="n">
        <v>15078005</v>
      </c>
      <c r="B653" s="25" t="s">
        <v>1695</v>
      </c>
      <c r="C653" s="25" t="s">
        <v>1696</v>
      </c>
      <c r="D653" s="26" t="n">
        <v>0.56</v>
      </c>
      <c r="E653" s="27" t="n">
        <v>9.2518119729938</v>
      </c>
      <c r="F653" s="27" t="n">
        <v>9.2518119729938</v>
      </c>
      <c r="G653" s="25" t="s">
        <v>1662</v>
      </c>
      <c r="H653" s="25" t="s">
        <v>1663</v>
      </c>
      <c r="I653" s="25" t="n">
        <f aca="false">IFERROR(IF(INDEX(Documents!$C$5:$C$657,MATCH(H653,Documents!$A$5:$A$657,0))="","",INDEX(Documents!$C$5:$C$657,MATCH(H653,Documents!$A$5:$A$657,0))),"")</f>
        <v>2014</v>
      </c>
      <c r="J653" s="25" t="str">
        <f aca="false">IFERROR(IF(INDEX(Documents!$D$5:$D$657,MATCH(H653,Documents!$A$5:$A$657,0))="","",INDEX(Documents!$D$5:$D$657,MATCH(H653,Documents!$A$5:$A$657,0))),"")</f>
        <v>J Med Chem</v>
      </c>
      <c r="K653" s="25" t="str">
        <f aca="false">IFERROR(IF(INDEX(Documents!$G$5:$G$657,MATCH(H653,Documents!$A$5:$A$657,0))="","",INDEX(Documents!$G$5:$G$657,MATCH(H653,Documents!$A$5:$A$657,0))),"")</f>
        <v>10.1021/jm500807e</v>
      </c>
      <c r="L653" s="25" t="s">
        <v>1664</v>
      </c>
    </row>
    <row r="654" customFormat="false" ht="15" hidden="false" customHeight="false" outlineLevel="0" collapsed="false">
      <c r="A654" s="25" t="n">
        <v>15077966</v>
      </c>
      <c r="B654" s="25" t="s">
        <v>1697</v>
      </c>
      <c r="C654" s="25" t="s">
        <v>1698</v>
      </c>
      <c r="D654" s="26" t="n">
        <v>3.6</v>
      </c>
      <c r="E654" s="27" t="n">
        <v>8.44369749923271</v>
      </c>
      <c r="F654" s="27" t="n">
        <v>8.44369749923271</v>
      </c>
      <c r="G654" s="25" t="s">
        <v>1662</v>
      </c>
      <c r="H654" s="25" t="s">
        <v>1663</v>
      </c>
      <c r="I654" s="25" t="n">
        <f aca="false">IFERROR(IF(INDEX(Documents!$C$5:$C$657,MATCH(H654,Documents!$A$5:$A$657,0))="","",INDEX(Documents!$C$5:$C$657,MATCH(H654,Documents!$A$5:$A$657,0))),"")</f>
        <v>2014</v>
      </c>
      <c r="J654" s="25" t="str">
        <f aca="false">IFERROR(IF(INDEX(Documents!$D$5:$D$657,MATCH(H654,Documents!$A$5:$A$657,0))="","",INDEX(Documents!$D$5:$D$657,MATCH(H654,Documents!$A$5:$A$657,0))),"")</f>
        <v>J Med Chem</v>
      </c>
      <c r="K654" s="25" t="str">
        <f aca="false">IFERROR(IF(INDEX(Documents!$G$5:$G$657,MATCH(H654,Documents!$A$5:$A$657,0))="","",INDEX(Documents!$G$5:$G$657,MATCH(H654,Documents!$A$5:$A$657,0))),"")</f>
        <v>10.1021/jm500807e</v>
      </c>
      <c r="L654" s="25" t="s">
        <v>1664</v>
      </c>
    </row>
    <row r="655" customFormat="false" ht="15" hidden="false" customHeight="false" outlineLevel="0" collapsed="false">
      <c r="A655" s="25" t="n">
        <v>15078004</v>
      </c>
      <c r="B655" s="25" t="s">
        <v>1699</v>
      </c>
      <c r="C655" s="25" t="s">
        <v>1700</v>
      </c>
      <c r="D655" s="26" t="n">
        <v>1.36</v>
      </c>
      <c r="E655" s="27" t="n">
        <v>8.86646109162978</v>
      </c>
      <c r="F655" s="27" t="n">
        <v>8.86646109162978</v>
      </c>
      <c r="G655" s="25" t="s">
        <v>1662</v>
      </c>
      <c r="H655" s="25" t="s">
        <v>1663</v>
      </c>
      <c r="I655" s="25" t="n">
        <f aca="false">IFERROR(IF(INDEX(Documents!$C$5:$C$657,MATCH(H655,Documents!$A$5:$A$657,0))="","",INDEX(Documents!$C$5:$C$657,MATCH(H655,Documents!$A$5:$A$657,0))),"")</f>
        <v>2014</v>
      </c>
      <c r="J655" s="25" t="str">
        <f aca="false">IFERROR(IF(INDEX(Documents!$D$5:$D$657,MATCH(H655,Documents!$A$5:$A$657,0))="","",INDEX(Documents!$D$5:$D$657,MATCH(H655,Documents!$A$5:$A$657,0))),"")</f>
        <v>J Med Chem</v>
      </c>
      <c r="K655" s="25" t="str">
        <f aca="false">IFERROR(IF(INDEX(Documents!$G$5:$G$657,MATCH(H655,Documents!$A$5:$A$657,0))="","",INDEX(Documents!$G$5:$G$657,MATCH(H655,Documents!$A$5:$A$657,0))),"")</f>
        <v>10.1021/jm500807e</v>
      </c>
      <c r="L655" s="25" t="s">
        <v>1664</v>
      </c>
    </row>
    <row r="656" customFormat="false" ht="15" hidden="false" customHeight="false" outlineLevel="0" collapsed="false">
      <c r="A656" s="25" t="n">
        <v>15077965</v>
      </c>
      <c r="B656" s="25" t="s">
        <v>1701</v>
      </c>
      <c r="C656" s="25" t="s">
        <v>1702</v>
      </c>
      <c r="D656" s="26" t="n">
        <v>53.3</v>
      </c>
      <c r="E656" s="27" t="n">
        <v>7.27327279097343</v>
      </c>
      <c r="F656" s="27" t="n">
        <v>7.27327279097343</v>
      </c>
      <c r="G656" s="25" t="s">
        <v>1662</v>
      </c>
      <c r="H656" s="25" t="s">
        <v>1663</v>
      </c>
      <c r="I656" s="25" t="n">
        <f aca="false">IFERROR(IF(INDEX(Documents!$C$5:$C$657,MATCH(H656,Documents!$A$5:$A$657,0))="","",INDEX(Documents!$C$5:$C$657,MATCH(H656,Documents!$A$5:$A$657,0))),"")</f>
        <v>2014</v>
      </c>
      <c r="J656" s="25" t="str">
        <f aca="false">IFERROR(IF(INDEX(Documents!$D$5:$D$657,MATCH(H656,Documents!$A$5:$A$657,0))="","",INDEX(Documents!$D$5:$D$657,MATCH(H656,Documents!$A$5:$A$657,0))),"")</f>
        <v>J Med Chem</v>
      </c>
      <c r="K656" s="25" t="str">
        <f aca="false">IFERROR(IF(INDEX(Documents!$G$5:$G$657,MATCH(H656,Documents!$A$5:$A$657,0))="","",INDEX(Documents!$G$5:$G$657,MATCH(H656,Documents!$A$5:$A$657,0))),"")</f>
        <v>10.1021/jm500807e</v>
      </c>
      <c r="L656" s="25" t="s">
        <v>1664</v>
      </c>
    </row>
    <row r="657" customFormat="false" ht="15" hidden="false" customHeight="false" outlineLevel="0" collapsed="false">
      <c r="A657" s="25" t="n">
        <v>15077964</v>
      </c>
      <c r="B657" s="25" t="s">
        <v>1703</v>
      </c>
      <c r="C657" s="25" t="s">
        <v>1704</v>
      </c>
      <c r="D657" s="26" t="n">
        <v>129</v>
      </c>
      <c r="E657" s="27" t="n">
        <v>6.88941028970075</v>
      </c>
      <c r="F657" s="27" t="n">
        <v>6.88941028970075</v>
      </c>
      <c r="G657" s="25" t="s">
        <v>1662</v>
      </c>
      <c r="H657" s="25" t="s">
        <v>1663</v>
      </c>
      <c r="I657" s="25" t="n">
        <f aca="false">IFERROR(IF(INDEX(Documents!$C$5:$C$657,MATCH(H657,Documents!$A$5:$A$657,0))="","",INDEX(Documents!$C$5:$C$657,MATCH(H657,Documents!$A$5:$A$657,0))),"")</f>
        <v>2014</v>
      </c>
      <c r="J657" s="25" t="str">
        <f aca="false">IFERROR(IF(INDEX(Documents!$D$5:$D$657,MATCH(H657,Documents!$A$5:$A$657,0))="","",INDEX(Documents!$D$5:$D$657,MATCH(H657,Documents!$A$5:$A$657,0))),"")</f>
        <v>J Med Chem</v>
      </c>
      <c r="K657" s="25" t="str">
        <f aca="false">IFERROR(IF(INDEX(Documents!$G$5:$G$657,MATCH(H657,Documents!$A$5:$A$657,0))="","",INDEX(Documents!$G$5:$G$657,MATCH(H657,Documents!$A$5:$A$657,0))),"")</f>
        <v>10.1021/jm500807e</v>
      </c>
      <c r="L657" s="25" t="s">
        <v>1664</v>
      </c>
    </row>
    <row r="658" customFormat="false" ht="15" hidden="false" customHeight="false" outlineLevel="0" collapsed="false">
      <c r="A658" s="25" t="n">
        <v>2622728</v>
      </c>
      <c r="B658" s="25" t="s">
        <v>1705</v>
      </c>
      <c r="C658" s="25" t="s">
        <v>1706</v>
      </c>
      <c r="D658" s="26" t="n">
        <v>1.9</v>
      </c>
      <c r="E658" s="27" t="n">
        <v>8.72124639904717</v>
      </c>
      <c r="F658" s="27" t="n">
        <v>8.72124639904717</v>
      </c>
      <c r="G658" s="25" t="s">
        <v>1707</v>
      </c>
      <c r="H658" s="25" t="s">
        <v>1708</v>
      </c>
      <c r="I658" s="25" t="n">
        <f aca="false">IFERROR(IF(INDEX(Documents!$C$5:$C$657,MATCH(H658,Documents!$A$5:$A$657,0))="","",INDEX(Documents!$C$5:$C$657,MATCH(H658,Documents!$A$5:$A$657,0))),"")</f>
        <v>2009</v>
      </c>
      <c r="J658" s="25" t="str">
        <f aca="false">IFERROR(IF(INDEX(Documents!$D$5:$D$657,MATCH(H658,Documents!$A$5:$A$657,0))="","",INDEX(Documents!$D$5:$D$657,MATCH(H658,Documents!$A$5:$A$657,0))),"")</f>
        <v>J Med Chem</v>
      </c>
      <c r="K658" s="25" t="str">
        <f aca="false">IFERROR(IF(INDEX(Documents!$G$5:$G$657,MATCH(H658,Documents!$A$5:$A$657,0))="","",INDEX(Documents!$G$5:$G$657,MATCH(H658,Documents!$A$5:$A$657,0))),"")</f>
        <v>10.1021/jm801563d</v>
      </c>
      <c r="L658" s="25" t="s">
        <v>601</v>
      </c>
    </row>
    <row r="659" customFormat="false" ht="15" hidden="false" customHeight="false" outlineLevel="0" collapsed="false">
      <c r="A659" s="25" t="n">
        <v>15077963</v>
      </c>
      <c r="B659" s="25" t="s">
        <v>1709</v>
      </c>
      <c r="C659" s="25" t="s">
        <v>1710</v>
      </c>
      <c r="D659" s="26" t="n">
        <v>2096</v>
      </c>
      <c r="E659" s="27" t="n">
        <v>5.67860872168831</v>
      </c>
      <c r="F659" s="27" t="n">
        <v>5.67860872168831</v>
      </c>
      <c r="G659" s="25" t="s">
        <v>1662</v>
      </c>
      <c r="H659" s="25" t="s">
        <v>1663</v>
      </c>
      <c r="I659" s="25" t="n">
        <f aca="false">IFERROR(IF(INDEX(Documents!$C$5:$C$657,MATCH(H659,Documents!$A$5:$A$657,0))="","",INDEX(Documents!$C$5:$C$657,MATCH(H659,Documents!$A$5:$A$657,0))),"")</f>
        <v>2014</v>
      </c>
      <c r="J659" s="25" t="str">
        <f aca="false">IFERROR(IF(INDEX(Documents!$D$5:$D$657,MATCH(H659,Documents!$A$5:$A$657,0))="","",INDEX(Documents!$D$5:$D$657,MATCH(H659,Documents!$A$5:$A$657,0))),"")</f>
        <v>J Med Chem</v>
      </c>
      <c r="K659" s="25" t="str">
        <f aca="false">IFERROR(IF(INDEX(Documents!$G$5:$G$657,MATCH(H659,Documents!$A$5:$A$657,0))="","",INDEX(Documents!$G$5:$G$657,MATCH(H659,Documents!$A$5:$A$657,0))),"")</f>
        <v>10.1021/jm500807e</v>
      </c>
      <c r="L659" s="25" t="s">
        <v>1664</v>
      </c>
    </row>
    <row r="660" customFormat="false" ht="15" hidden="false" customHeight="false" outlineLevel="0" collapsed="false">
      <c r="A660" s="25" t="n">
        <v>2622727</v>
      </c>
      <c r="B660" s="25" t="s">
        <v>1711</v>
      </c>
      <c r="C660" s="25" t="s">
        <v>1712</v>
      </c>
      <c r="D660" s="26" t="n">
        <v>0.9</v>
      </c>
      <c r="E660" s="27" t="n">
        <v>9.04575749056068</v>
      </c>
      <c r="F660" s="27" t="n">
        <v>9.04575749056068</v>
      </c>
      <c r="G660" s="25" t="s">
        <v>1707</v>
      </c>
      <c r="H660" s="25" t="s">
        <v>1708</v>
      </c>
      <c r="I660" s="25" t="n">
        <f aca="false">IFERROR(IF(INDEX(Documents!$C$5:$C$657,MATCH(H660,Documents!$A$5:$A$657,0))="","",INDEX(Documents!$C$5:$C$657,MATCH(H660,Documents!$A$5:$A$657,0))),"")</f>
        <v>2009</v>
      </c>
      <c r="J660" s="25" t="str">
        <f aca="false">IFERROR(IF(INDEX(Documents!$D$5:$D$657,MATCH(H660,Documents!$A$5:$A$657,0))="","",INDEX(Documents!$D$5:$D$657,MATCH(H660,Documents!$A$5:$A$657,0))),"")</f>
        <v>J Med Chem</v>
      </c>
      <c r="K660" s="25" t="str">
        <f aca="false">IFERROR(IF(INDEX(Documents!$G$5:$G$657,MATCH(H660,Documents!$A$5:$A$657,0))="","",INDEX(Documents!$G$5:$G$657,MATCH(H660,Documents!$A$5:$A$657,0))),"")</f>
        <v>10.1021/jm801563d</v>
      </c>
      <c r="L660" s="25" t="s">
        <v>601</v>
      </c>
    </row>
    <row r="661" customFormat="false" ht="15" hidden="false" customHeight="false" outlineLevel="0" collapsed="false">
      <c r="A661" s="25" t="n">
        <v>2622735</v>
      </c>
      <c r="B661" s="25" t="s">
        <v>1713</v>
      </c>
      <c r="C661" s="25" t="s">
        <v>1714</v>
      </c>
      <c r="D661" s="26" t="n">
        <v>7.8</v>
      </c>
      <c r="E661" s="27" t="n">
        <v>8.10790539730952</v>
      </c>
      <c r="F661" s="27" t="n">
        <v>8.10790539730952</v>
      </c>
      <c r="G661" s="25" t="s">
        <v>1707</v>
      </c>
      <c r="H661" s="25" t="s">
        <v>1708</v>
      </c>
      <c r="I661" s="25" t="n">
        <f aca="false">IFERROR(IF(INDEX(Documents!$C$5:$C$657,MATCH(H661,Documents!$A$5:$A$657,0))="","",INDEX(Documents!$C$5:$C$657,MATCH(H661,Documents!$A$5:$A$657,0))),"")</f>
        <v>2009</v>
      </c>
      <c r="J661" s="25" t="str">
        <f aca="false">IFERROR(IF(INDEX(Documents!$D$5:$D$657,MATCH(H661,Documents!$A$5:$A$657,0))="","",INDEX(Documents!$D$5:$D$657,MATCH(H661,Documents!$A$5:$A$657,0))),"")</f>
        <v>J Med Chem</v>
      </c>
      <c r="K661" s="25" t="str">
        <f aca="false">IFERROR(IF(INDEX(Documents!$G$5:$G$657,MATCH(H661,Documents!$A$5:$A$657,0))="","",INDEX(Documents!$G$5:$G$657,MATCH(H661,Documents!$A$5:$A$657,0))),"")</f>
        <v>10.1021/jm801563d</v>
      </c>
      <c r="L661" s="25" t="s">
        <v>601</v>
      </c>
    </row>
    <row r="662" customFormat="false" ht="15" hidden="false" customHeight="false" outlineLevel="0" collapsed="false">
      <c r="A662" s="25" t="n">
        <v>13912587</v>
      </c>
      <c r="B662" s="25" t="s">
        <v>1715</v>
      </c>
      <c r="C662" s="25" t="s">
        <v>1716</v>
      </c>
      <c r="D662" s="26" t="n">
        <v>4.8</v>
      </c>
      <c r="E662" s="27" t="n">
        <v>8.31875876262441</v>
      </c>
      <c r="F662" s="27" t="n">
        <v>8.31875876262441</v>
      </c>
      <c r="G662" s="25" t="s">
        <v>1717</v>
      </c>
      <c r="H662" s="25" t="s">
        <v>1718</v>
      </c>
      <c r="I662" s="25" t="n">
        <f aca="false">IFERROR(IF(INDEX(Documents!$C$5:$C$657,MATCH(H662,Documents!$A$5:$A$657,0))="","",INDEX(Documents!$C$5:$C$657,MATCH(H662,Documents!$A$5:$A$657,0))),"")</f>
        <v>2014</v>
      </c>
      <c r="J662" s="25" t="str">
        <f aca="false">IFERROR(IF(INDEX(Documents!$D$5:$D$657,MATCH(H662,Documents!$A$5:$A$657,0))="","",INDEX(Documents!$D$5:$D$657,MATCH(H662,Documents!$A$5:$A$657,0))),"")</f>
        <v>Eur J Med Chem</v>
      </c>
      <c r="K662" s="25" t="str">
        <f aca="false">IFERROR(IF(INDEX(Documents!$G$5:$G$657,MATCH(H662,Documents!$A$5:$A$657,0))="","",INDEX(Documents!$G$5:$G$657,MATCH(H662,Documents!$A$5:$A$657,0))),"")</f>
        <v>10.1016/j.ejmech.2013.10.070</v>
      </c>
      <c r="L662" s="25" t="s">
        <v>1719</v>
      </c>
    </row>
    <row r="663" customFormat="false" ht="15" hidden="false" customHeight="false" outlineLevel="0" collapsed="false">
      <c r="A663" s="25" t="n">
        <v>13912586</v>
      </c>
      <c r="B663" s="25" t="s">
        <v>1720</v>
      </c>
      <c r="C663" s="25" t="s">
        <v>1721</v>
      </c>
      <c r="D663" s="26" t="n">
        <v>53</v>
      </c>
      <c r="E663" s="27" t="n">
        <v>7.27572413039921</v>
      </c>
      <c r="F663" s="27" t="n">
        <v>7.27572413039921</v>
      </c>
      <c r="G663" s="25" t="s">
        <v>1717</v>
      </c>
      <c r="H663" s="25" t="s">
        <v>1718</v>
      </c>
      <c r="I663" s="25" t="n">
        <f aca="false">IFERROR(IF(INDEX(Documents!$C$5:$C$657,MATCH(H663,Documents!$A$5:$A$657,0))="","",INDEX(Documents!$C$5:$C$657,MATCH(H663,Documents!$A$5:$A$657,0))),"")</f>
        <v>2014</v>
      </c>
      <c r="J663" s="25" t="str">
        <f aca="false">IFERROR(IF(INDEX(Documents!$D$5:$D$657,MATCH(H663,Documents!$A$5:$A$657,0))="","",INDEX(Documents!$D$5:$D$657,MATCH(H663,Documents!$A$5:$A$657,0))),"")</f>
        <v>Eur J Med Chem</v>
      </c>
      <c r="K663" s="25" t="str">
        <f aca="false">IFERROR(IF(INDEX(Documents!$G$5:$G$657,MATCH(H663,Documents!$A$5:$A$657,0))="","",INDEX(Documents!$G$5:$G$657,MATCH(H663,Documents!$A$5:$A$657,0))),"")</f>
        <v>10.1016/j.ejmech.2013.10.070</v>
      </c>
      <c r="L663" s="25" t="s">
        <v>1719</v>
      </c>
    </row>
    <row r="664" customFormat="false" ht="15" hidden="false" customHeight="false" outlineLevel="0" collapsed="false">
      <c r="A664" s="25" t="n">
        <v>13912571</v>
      </c>
      <c r="B664" s="25" t="s">
        <v>1722</v>
      </c>
      <c r="C664" s="25" t="s">
        <v>1723</v>
      </c>
      <c r="D664" s="26" t="n">
        <v>80</v>
      </c>
      <c r="E664" s="27" t="n">
        <v>7.09691001300806</v>
      </c>
      <c r="F664" s="27" t="n">
        <v>7.09691001300806</v>
      </c>
      <c r="G664" s="25" t="s">
        <v>1717</v>
      </c>
      <c r="H664" s="25" t="s">
        <v>1718</v>
      </c>
      <c r="I664" s="25" t="n">
        <f aca="false">IFERROR(IF(INDEX(Documents!$C$5:$C$657,MATCH(H664,Documents!$A$5:$A$657,0))="","",INDEX(Documents!$C$5:$C$657,MATCH(H664,Documents!$A$5:$A$657,0))),"")</f>
        <v>2014</v>
      </c>
      <c r="J664" s="25" t="str">
        <f aca="false">IFERROR(IF(INDEX(Documents!$D$5:$D$657,MATCH(H664,Documents!$A$5:$A$657,0))="","",INDEX(Documents!$D$5:$D$657,MATCH(H664,Documents!$A$5:$A$657,0))),"")</f>
        <v>Eur J Med Chem</v>
      </c>
      <c r="K664" s="25" t="str">
        <f aca="false">IFERROR(IF(INDEX(Documents!$G$5:$G$657,MATCH(H664,Documents!$A$5:$A$657,0))="","",INDEX(Documents!$G$5:$G$657,MATCH(H664,Documents!$A$5:$A$657,0))),"")</f>
        <v>10.1016/j.ejmech.2013.10.070</v>
      </c>
      <c r="L664" s="25" t="s">
        <v>1719</v>
      </c>
    </row>
    <row r="665" customFormat="false" ht="15" hidden="false" customHeight="false" outlineLevel="0" collapsed="false">
      <c r="A665" s="25" t="n">
        <v>13912570</v>
      </c>
      <c r="B665" s="25" t="s">
        <v>1724</v>
      </c>
      <c r="C665" s="25" t="s">
        <v>1725</v>
      </c>
      <c r="D665" s="26" t="n">
        <v>594</v>
      </c>
      <c r="E665" s="27" t="n">
        <v>6.22621355501881</v>
      </c>
      <c r="F665" s="27" t="n">
        <v>6.22621355501881</v>
      </c>
      <c r="G665" s="25" t="s">
        <v>1717</v>
      </c>
      <c r="H665" s="25" t="s">
        <v>1718</v>
      </c>
      <c r="I665" s="25" t="n">
        <f aca="false">IFERROR(IF(INDEX(Documents!$C$5:$C$657,MATCH(H665,Documents!$A$5:$A$657,0))="","",INDEX(Documents!$C$5:$C$657,MATCH(H665,Documents!$A$5:$A$657,0))),"")</f>
        <v>2014</v>
      </c>
      <c r="J665" s="25" t="str">
        <f aca="false">IFERROR(IF(INDEX(Documents!$D$5:$D$657,MATCH(H665,Documents!$A$5:$A$657,0))="","",INDEX(Documents!$D$5:$D$657,MATCH(H665,Documents!$A$5:$A$657,0))),"")</f>
        <v>Eur J Med Chem</v>
      </c>
      <c r="K665" s="25" t="str">
        <f aca="false">IFERROR(IF(INDEX(Documents!$G$5:$G$657,MATCH(H665,Documents!$A$5:$A$657,0))="","",INDEX(Documents!$G$5:$G$657,MATCH(H665,Documents!$A$5:$A$657,0))),"")</f>
        <v>10.1016/j.ejmech.2013.10.070</v>
      </c>
      <c r="L665" s="25" t="s">
        <v>1719</v>
      </c>
    </row>
    <row r="666" customFormat="false" ht="15" hidden="false" customHeight="false" outlineLevel="0" collapsed="false">
      <c r="A666" s="25" t="n">
        <v>2048393</v>
      </c>
      <c r="B666" s="25" t="s">
        <v>1726</v>
      </c>
      <c r="C666" s="25" t="s">
        <v>1727</v>
      </c>
      <c r="D666" s="26" t="n">
        <v>4724</v>
      </c>
      <c r="E666" s="27" t="n">
        <v>5.32569011105852</v>
      </c>
      <c r="F666" s="27" t="n">
        <v>5.32569011105852</v>
      </c>
      <c r="G666" s="25" t="s">
        <v>513</v>
      </c>
      <c r="H666" s="25" t="s">
        <v>514</v>
      </c>
      <c r="I666" s="25" t="n">
        <f aca="false">IFERROR(IF(INDEX(Documents!$C$5:$C$657,MATCH(H666,Documents!$A$5:$A$657,0))="","",INDEX(Documents!$C$5:$C$657,MATCH(H666,Documents!$A$5:$A$657,0))),"")</f>
        <v>2007</v>
      </c>
      <c r="J666" s="25" t="str">
        <f aca="false">IFERROR(IF(INDEX(Documents!$D$5:$D$657,MATCH(H666,Documents!$A$5:$A$657,0))="","",INDEX(Documents!$D$5:$D$657,MATCH(H666,Documents!$A$5:$A$657,0))),"")</f>
        <v>Bioorg Med Chem Lett</v>
      </c>
      <c r="K666" s="25" t="str">
        <f aca="false">IFERROR(IF(INDEX(Documents!$G$5:$G$657,MATCH(H666,Documents!$A$5:$A$657,0))="","",INDEX(Documents!$G$5:$G$657,MATCH(H666,Documents!$A$5:$A$657,0))),"")</f>
        <v>10.1016/j.bmcl.2007.09.019</v>
      </c>
      <c r="L666" s="25" t="s">
        <v>515</v>
      </c>
    </row>
    <row r="667" customFormat="false" ht="15" hidden="false" customHeight="false" outlineLevel="0" collapsed="false">
      <c r="A667" s="25" t="n">
        <v>2048392</v>
      </c>
      <c r="B667" s="25" t="s">
        <v>1728</v>
      </c>
      <c r="C667" s="25" t="s">
        <v>1729</v>
      </c>
      <c r="D667" s="26" t="n">
        <v>84.7</v>
      </c>
      <c r="E667" s="27" t="n">
        <v>7.07211658966929</v>
      </c>
      <c r="F667" s="27" t="n">
        <v>7.07211658966929</v>
      </c>
      <c r="G667" s="25" t="s">
        <v>513</v>
      </c>
      <c r="H667" s="25" t="s">
        <v>514</v>
      </c>
      <c r="I667" s="25" t="n">
        <f aca="false">IFERROR(IF(INDEX(Documents!$C$5:$C$657,MATCH(H667,Documents!$A$5:$A$657,0))="","",INDEX(Documents!$C$5:$C$657,MATCH(H667,Documents!$A$5:$A$657,0))),"")</f>
        <v>2007</v>
      </c>
      <c r="J667" s="25" t="str">
        <f aca="false">IFERROR(IF(INDEX(Documents!$D$5:$D$657,MATCH(H667,Documents!$A$5:$A$657,0))="","",INDEX(Documents!$D$5:$D$657,MATCH(H667,Documents!$A$5:$A$657,0))),"")</f>
        <v>Bioorg Med Chem Lett</v>
      </c>
      <c r="K667" s="25" t="str">
        <f aca="false">IFERROR(IF(INDEX(Documents!$G$5:$G$657,MATCH(H667,Documents!$A$5:$A$657,0))="","",INDEX(Documents!$G$5:$G$657,MATCH(H667,Documents!$A$5:$A$657,0))),"")</f>
        <v>10.1016/j.bmcl.2007.09.019</v>
      </c>
      <c r="L667" s="25" t="s">
        <v>515</v>
      </c>
    </row>
    <row r="668" customFormat="false" ht="15" hidden="false" customHeight="false" outlineLevel="0" collapsed="false">
      <c r="A668" s="25" t="n">
        <v>2048390</v>
      </c>
      <c r="B668" s="25" t="s">
        <v>1730</v>
      </c>
      <c r="C668" s="25" t="s">
        <v>1731</v>
      </c>
      <c r="D668" s="26" t="n">
        <v>106</v>
      </c>
      <c r="E668" s="27" t="n">
        <v>6.97469413473523</v>
      </c>
      <c r="F668" s="27" t="n">
        <v>6.97469413473523</v>
      </c>
      <c r="G668" s="25" t="s">
        <v>513</v>
      </c>
      <c r="H668" s="25" t="s">
        <v>514</v>
      </c>
      <c r="I668" s="25" t="n">
        <f aca="false">IFERROR(IF(INDEX(Documents!$C$5:$C$657,MATCH(H668,Documents!$A$5:$A$657,0))="","",INDEX(Documents!$C$5:$C$657,MATCH(H668,Documents!$A$5:$A$657,0))),"")</f>
        <v>2007</v>
      </c>
      <c r="J668" s="25" t="str">
        <f aca="false">IFERROR(IF(INDEX(Documents!$D$5:$D$657,MATCH(H668,Documents!$A$5:$A$657,0))="","",INDEX(Documents!$D$5:$D$657,MATCH(H668,Documents!$A$5:$A$657,0))),"")</f>
        <v>Bioorg Med Chem Lett</v>
      </c>
      <c r="K668" s="25" t="str">
        <f aca="false">IFERROR(IF(INDEX(Documents!$G$5:$G$657,MATCH(H668,Documents!$A$5:$A$657,0))="","",INDEX(Documents!$G$5:$G$657,MATCH(H668,Documents!$A$5:$A$657,0))),"")</f>
        <v>10.1016/j.bmcl.2007.09.019</v>
      </c>
      <c r="L668" s="25" t="s">
        <v>515</v>
      </c>
    </row>
    <row r="669" customFormat="false" ht="15" hidden="false" customHeight="false" outlineLevel="0" collapsed="false">
      <c r="A669" s="25" t="n">
        <v>2048387</v>
      </c>
      <c r="B669" s="25" t="s">
        <v>1732</v>
      </c>
      <c r="C669" s="25" t="s">
        <v>1733</v>
      </c>
      <c r="D669" s="26" t="n">
        <v>4.2</v>
      </c>
      <c r="E669" s="27" t="n">
        <v>8.3767507096021</v>
      </c>
      <c r="F669" s="27" t="n">
        <v>8.3767507096021</v>
      </c>
      <c r="G669" s="25" t="s">
        <v>513</v>
      </c>
      <c r="H669" s="25" t="s">
        <v>514</v>
      </c>
      <c r="I669" s="25" t="n">
        <f aca="false">IFERROR(IF(INDEX(Documents!$C$5:$C$657,MATCH(H669,Documents!$A$5:$A$657,0))="","",INDEX(Documents!$C$5:$C$657,MATCH(H669,Documents!$A$5:$A$657,0))),"")</f>
        <v>2007</v>
      </c>
      <c r="J669" s="25" t="str">
        <f aca="false">IFERROR(IF(INDEX(Documents!$D$5:$D$657,MATCH(H669,Documents!$A$5:$A$657,0))="","",INDEX(Documents!$D$5:$D$657,MATCH(H669,Documents!$A$5:$A$657,0))),"")</f>
        <v>Bioorg Med Chem Lett</v>
      </c>
      <c r="K669" s="25" t="str">
        <f aca="false">IFERROR(IF(INDEX(Documents!$G$5:$G$657,MATCH(H669,Documents!$A$5:$A$657,0))="","",INDEX(Documents!$G$5:$G$657,MATCH(H669,Documents!$A$5:$A$657,0))),"")</f>
        <v>10.1016/j.bmcl.2007.09.019</v>
      </c>
      <c r="L669" s="25" t="s">
        <v>515</v>
      </c>
    </row>
    <row r="670" customFormat="false" ht="15" hidden="false" customHeight="false" outlineLevel="0" collapsed="false">
      <c r="A670" s="25" t="n">
        <v>2048386</v>
      </c>
      <c r="B670" s="25" t="s">
        <v>1734</v>
      </c>
      <c r="C670" s="25" t="s">
        <v>1735</v>
      </c>
      <c r="D670" s="26" t="n">
        <v>9.4</v>
      </c>
      <c r="E670" s="27" t="n">
        <v>8.0268721464003</v>
      </c>
      <c r="F670" s="27" t="n">
        <v>8.0268721464003</v>
      </c>
      <c r="G670" s="25" t="s">
        <v>513</v>
      </c>
      <c r="H670" s="25" t="s">
        <v>514</v>
      </c>
      <c r="I670" s="25" t="n">
        <f aca="false">IFERROR(IF(INDEX(Documents!$C$5:$C$657,MATCH(H670,Documents!$A$5:$A$657,0))="","",INDEX(Documents!$C$5:$C$657,MATCH(H670,Documents!$A$5:$A$657,0))),"")</f>
        <v>2007</v>
      </c>
      <c r="J670" s="25" t="str">
        <f aca="false">IFERROR(IF(INDEX(Documents!$D$5:$D$657,MATCH(H670,Documents!$A$5:$A$657,0))="","",INDEX(Documents!$D$5:$D$657,MATCH(H670,Documents!$A$5:$A$657,0))),"")</f>
        <v>Bioorg Med Chem Lett</v>
      </c>
      <c r="K670" s="25" t="str">
        <f aca="false">IFERROR(IF(INDEX(Documents!$G$5:$G$657,MATCH(H670,Documents!$A$5:$A$657,0))="","",INDEX(Documents!$G$5:$G$657,MATCH(H670,Documents!$A$5:$A$657,0))),"")</f>
        <v>10.1016/j.bmcl.2007.09.019</v>
      </c>
      <c r="L670" s="25" t="s">
        <v>515</v>
      </c>
    </row>
    <row r="671" customFormat="false" ht="15" hidden="false" customHeight="false" outlineLevel="0" collapsed="false">
      <c r="A671" s="25" t="n">
        <v>2048394</v>
      </c>
      <c r="B671" s="25" t="s">
        <v>1736</v>
      </c>
      <c r="C671" s="25" t="s">
        <v>1737</v>
      </c>
      <c r="D671" s="26" t="n">
        <v>17.9</v>
      </c>
      <c r="E671" s="27" t="n">
        <v>7.74714696902011</v>
      </c>
      <c r="F671" s="27" t="n">
        <v>7.74714696902011</v>
      </c>
      <c r="G671" s="25" t="s">
        <v>513</v>
      </c>
      <c r="H671" s="25" t="s">
        <v>514</v>
      </c>
      <c r="I671" s="25" t="n">
        <f aca="false">IFERROR(IF(INDEX(Documents!$C$5:$C$657,MATCH(H671,Documents!$A$5:$A$657,0))="","",INDEX(Documents!$C$5:$C$657,MATCH(H671,Documents!$A$5:$A$657,0))),"")</f>
        <v>2007</v>
      </c>
      <c r="J671" s="25" t="str">
        <f aca="false">IFERROR(IF(INDEX(Documents!$D$5:$D$657,MATCH(H671,Documents!$A$5:$A$657,0))="","",INDEX(Documents!$D$5:$D$657,MATCH(H671,Documents!$A$5:$A$657,0))),"")</f>
        <v>Bioorg Med Chem Lett</v>
      </c>
      <c r="K671" s="25" t="str">
        <f aca="false">IFERROR(IF(INDEX(Documents!$G$5:$G$657,MATCH(H671,Documents!$A$5:$A$657,0))="","",INDEX(Documents!$G$5:$G$657,MATCH(H671,Documents!$A$5:$A$657,0))),"")</f>
        <v>10.1016/j.bmcl.2007.09.019</v>
      </c>
      <c r="L671" s="25" t="s">
        <v>515</v>
      </c>
    </row>
    <row r="672" customFormat="false" ht="15" hidden="false" customHeight="false" outlineLevel="0" collapsed="false">
      <c r="A672" s="25" t="n">
        <v>2048389</v>
      </c>
      <c r="B672" s="25" t="s">
        <v>1738</v>
      </c>
      <c r="C672" s="25" t="s">
        <v>1739</v>
      </c>
      <c r="D672" s="26" t="n">
        <v>7.9</v>
      </c>
      <c r="E672" s="27" t="n">
        <v>8.10237290870956</v>
      </c>
      <c r="F672" s="27" t="n">
        <v>8.10237290870956</v>
      </c>
      <c r="G672" s="25" t="s">
        <v>513</v>
      </c>
      <c r="H672" s="25" t="s">
        <v>514</v>
      </c>
      <c r="I672" s="25" t="n">
        <f aca="false">IFERROR(IF(INDEX(Documents!$C$5:$C$657,MATCH(H672,Documents!$A$5:$A$657,0))="","",INDEX(Documents!$C$5:$C$657,MATCH(H672,Documents!$A$5:$A$657,0))),"")</f>
        <v>2007</v>
      </c>
      <c r="J672" s="25" t="str">
        <f aca="false">IFERROR(IF(INDEX(Documents!$D$5:$D$657,MATCH(H672,Documents!$A$5:$A$657,0))="","",INDEX(Documents!$D$5:$D$657,MATCH(H672,Documents!$A$5:$A$657,0))),"")</f>
        <v>Bioorg Med Chem Lett</v>
      </c>
      <c r="K672" s="25" t="str">
        <f aca="false">IFERROR(IF(INDEX(Documents!$G$5:$G$657,MATCH(H672,Documents!$A$5:$A$657,0))="","",INDEX(Documents!$G$5:$G$657,MATCH(H672,Documents!$A$5:$A$657,0))),"")</f>
        <v>10.1016/j.bmcl.2007.09.019</v>
      </c>
      <c r="L672" s="25" t="s">
        <v>515</v>
      </c>
    </row>
    <row r="673" customFormat="false" ht="15" hidden="false" customHeight="false" outlineLevel="0" collapsed="false">
      <c r="A673" s="25" t="n">
        <v>12089884</v>
      </c>
      <c r="B673" s="25" t="s">
        <v>1740</v>
      </c>
      <c r="C673" s="25" t="s">
        <v>1741</v>
      </c>
      <c r="D673" s="26" t="n">
        <v>47</v>
      </c>
      <c r="E673" s="27" t="n">
        <v>7.32790214206428</v>
      </c>
      <c r="F673" s="27" t="n">
        <v>7.32790214206428</v>
      </c>
      <c r="G673" s="25" t="s">
        <v>1028</v>
      </c>
      <c r="H673" s="25" t="s">
        <v>1029</v>
      </c>
      <c r="I673" s="25" t="n">
        <f aca="false">IFERROR(IF(INDEX(Documents!$C$5:$C$657,MATCH(H673,Documents!$A$5:$A$657,0))="","",INDEX(Documents!$C$5:$C$657,MATCH(H673,Documents!$A$5:$A$657,0))),"")</f>
        <v>2012</v>
      </c>
      <c r="J673" s="25" t="str">
        <f aca="false">IFERROR(IF(INDEX(Documents!$D$5:$D$657,MATCH(H673,Documents!$A$5:$A$657,0))="","",INDEX(Documents!$D$5:$D$657,MATCH(H673,Documents!$A$5:$A$657,0))),"")</f>
        <v>J Med Chem</v>
      </c>
      <c r="K673" s="25" t="str">
        <f aca="false">IFERROR(IF(INDEX(Documents!$G$5:$G$657,MATCH(H673,Documents!$A$5:$A$657,0))="","",INDEX(Documents!$G$5:$G$657,MATCH(H673,Documents!$A$5:$A$657,0))),"")</f>
        <v>10.1021/jm300763w</v>
      </c>
      <c r="L673" s="25" t="s">
        <v>1030</v>
      </c>
    </row>
    <row r="674" customFormat="false" ht="15" hidden="false" customHeight="false" outlineLevel="0" collapsed="false">
      <c r="A674" s="25" t="n">
        <v>12089886</v>
      </c>
      <c r="B674" s="25" t="s">
        <v>1742</v>
      </c>
      <c r="C674" s="25" t="s">
        <v>1743</v>
      </c>
      <c r="D674" s="26" t="n">
        <v>60</v>
      </c>
      <c r="E674" s="27" t="n">
        <v>7.22184874961636</v>
      </c>
      <c r="F674" s="27" t="n">
        <v>7.22184874961636</v>
      </c>
      <c r="G674" s="25" t="s">
        <v>1028</v>
      </c>
      <c r="H674" s="25" t="s">
        <v>1029</v>
      </c>
      <c r="I674" s="25" t="n">
        <f aca="false">IFERROR(IF(INDEX(Documents!$C$5:$C$657,MATCH(H674,Documents!$A$5:$A$657,0))="","",INDEX(Documents!$C$5:$C$657,MATCH(H674,Documents!$A$5:$A$657,0))),"")</f>
        <v>2012</v>
      </c>
      <c r="J674" s="25" t="str">
        <f aca="false">IFERROR(IF(INDEX(Documents!$D$5:$D$657,MATCH(H674,Documents!$A$5:$A$657,0))="","",INDEX(Documents!$D$5:$D$657,MATCH(H674,Documents!$A$5:$A$657,0))),"")</f>
        <v>J Med Chem</v>
      </c>
      <c r="K674" s="25" t="str">
        <f aca="false">IFERROR(IF(INDEX(Documents!$G$5:$G$657,MATCH(H674,Documents!$A$5:$A$657,0))="","",INDEX(Documents!$G$5:$G$657,MATCH(H674,Documents!$A$5:$A$657,0))),"")</f>
        <v>10.1021/jm300763w</v>
      </c>
      <c r="L674" s="25" t="s">
        <v>1030</v>
      </c>
    </row>
    <row r="675" customFormat="false" ht="15" hidden="false" customHeight="false" outlineLevel="0" collapsed="false">
      <c r="A675" s="25" t="n">
        <v>12089885</v>
      </c>
      <c r="B675" s="25" t="s">
        <v>1744</v>
      </c>
      <c r="C675" s="25" t="s">
        <v>1745</v>
      </c>
      <c r="D675" s="26" t="n">
        <v>38</v>
      </c>
      <c r="E675" s="27" t="n">
        <v>7.42021640338319</v>
      </c>
      <c r="F675" s="27" t="n">
        <v>7.42021640338319</v>
      </c>
      <c r="G675" s="25" t="s">
        <v>1028</v>
      </c>
      <c r="H675" s="25" t="s">
        <v>1029</v>
      </c>
      <c r="I675" s="25" t="n">
        <f aca="false">IFERROR(IF(INDEX(Documents!$C$5:$C$657,MATCH(H675,Documents!$A$5:$A$657,0))="","",INDEX(Documents!$C$5:$C$657,MATCH(H675,Documents!$A$5:$A$657,0))),"")</f>
        <v>2012</v>
      </c>
      <c r="J675" s="25" t="str">
        <f aca="false">IFERROR(IF(INDEX(Documents!$D$5:$D$657,MATCH(H675,Documents!$A$5:$A$657,0))="","",INDEX(Documents!$D$5:$D$657,MATCH(H675,Documents!$A$5:$A$657,0))),"")</f>
        <v>J Med Chem</v>
      </c>
      <c r="K675" s="25" t="str">
        <f aca="false">IFERROR(IF(INDEX(Documents!$G$5:$G$657,MATCH(H675,Documents!$A$5:$A$657,0))="","",INDEX(Documents!$G$5:$G$657,MATCH(H675,Documents!$A$5:$A$657,0))),"")</f>
        <v>10.1021/jm300763w</v>
      </c>
      <c r="L675" s="25" t="s">
        <v>1030</v>
      </c>
    </row>
    <row r="676" customFormat="false" ht="15" hidden="false" customHeight="false" outlineLevel="0" collapsed="false">
      <c r="A676" s="25" t="n">
        <v>12089892</v>
      </c>
      <c r="B676" s="25" t="s">
        <v>1746</v>
      </c>
      <c r="C676" s="25" t="s">
        <v>1747</v>
      </c>
      <c r="D676" s="26" t="n">
        <v>332</v>
      </c>
      <c r="E676" s="27" t="n">
        <v>6.47886191629596</v>
      </c>
      <c r="F676" s="27" t="n">
        <v>6.47886191629596</v>
      </c>
      <c r="G676" s="25" t="s">
        <v>1028</v>
      </c>
      <c r="H676" s="25" t="s">
        <v>1029</v>
      </c>
      <c r="I676" s="25" t="n">
        <f aca="false">IFERROR(IF(INDEX(Documents!$C$5:$C$657,MATCH(H676,Documents!$A$5:$A$657,0))="","",INDEX(Documents!$C$5:$C$657,MATCH(H676,Documents!$A$5:$A$657,0))),"")</f>
        <v>2012</v>
      </c>
      <c r="J676" s="25" t="str">
        <f aca="false">IFERROR(IF(INDEX(Documents!$D$5:$D$657,MATCH(H676,Documents!$A$5:$A$657,0))="","",INDEX(Documents!$D$5:$D$657,MATCH(H676,Documents!$A$5:$A$657,0))),"")</f>
        <v>J Med Chem</v>
      </c>
      <c r="K676" s="25" t="str">
        <f aca="false">IFERROR(IF(INDEX(Documents!$G$5:$G$657,MATCH(H676,Documents!$A$5:$A$657,0))="","",INDEX(Documents!$G$5:$G$657,MATCH(H676,Documents!$A$5:$A$657,0))),"")</f>
        <v>10.1021/jm300763w</v>
      </c>
      <c r="L676" s="25" t="s">
        <v>1030</v>
      </c>
    </row>
    <row r="677" customFormat="false" ht="15" hidden="false" customHeight="false" outlineLevel="0" collapsed="false">
      <c r="A677" s="25" t="n">
        <v>12089893</v>
      </c>
      <c r="B677" s="25" t="s">
        <v>1748</v>
      </c>
      <c r="C677" s="25" t="s">
        <v>1749</v>
      </c>
      <c r="D677" s="26" t="n">
        <v>536</v>
      </c>
      <c r="E677" s="27" t="n">
        <v>6.27083521030723</v>
      </c>
      <c r="F677" s="27" t="n">
        <v>6.27083521030723</v>
      </c>
      <c r="G677" s="25" t="s">
        <v>1028</v>
      </c>
      <c r="H677" s="25" t="s">
        <v>1029</v>
      </c>
      <c r="I677" s="25" t="n">
        <f aca="false">IFERROR(IF(INDEX(Documents!$C$5:$C$657,MATCH(H677,Documents!$A$5:$A$657,0))="","",INDEX(Documents!$C$5:$C$657,MATCH(H677,Documents!$A$5:$A$657,0))),"")</f>
        <v>2012</v>
      </c>
      <c r="J677" s="25" t="str">
        <f aca="false">IFERROR(IF(INDEX(Documents!$D$5:$D$657,MATCH(H677,Documents!$A$5:$A$657,0))="","",INDEX(Documents!$D$5:$D$657,MATCH(H677,Documents!$A$5:$A$657,0))),"")</f>
        <v>J Med Chem</v>
      </c>
      <c r="K677" s="25" t="str">
        <f aca="false">IFERROR(IF(INDEX(Documents!$G$5:$G$657,MATCH(H677,Documents!$A$5:$A$657,0))="","",INDEX(Documents!$G$5:$G$657,MATCH(H677,Documents!$A$5:$A$657,0))),"")</f>
        <v>10.1021/jm300763w</v>
      </c>
      <c r="L677" s="25" t="s">
        <v>1030</v>
      </c>
    </row>
    <row r="678" customFormat="false" ht="15" hidden="false" customHeight="false" outlineLevel="0" collapsed="false">
      <c r="A678" s="25" t="n">
        <v>2033394</v>
      </c>
      <c r="B678" s="25" t="s">
        <v>1750</v>
      </c>
      <c r="C678" s="25" t="s">
        <v>1751</v>
      </c>
      <c r="D678" s="26" t="n">
        <v>2090</v>
      </c>
      <c r="E678" s="27" t="n">
        <v>5.67985371388895</v>
      </c>
      <c r="F678" s="27" t="n">
        <v>5.67985371388895</v>
      </c>
      <c r="G678" s="25" t="s">
        <v>1133</v>
      </c>
      <c r="H678" s="25" t="s">
        <v>1134</v>
      </c>
      <c r="I678" s="25" t="n">
        <f aca="false">IFERROR(IF(INDEX(Documents!$C$5:$C$657,MATCH(H678,Documents!$A$5:$A$657,0))="","",INDEX(Documents!$C$5:$C$657,MATCH(H678,Documents!$A$5:$A$657,0))),"")</f>
        <v>2007</v>
      </c>
      <c r="J678" s="25" t="str">
        <f aca="false">IFERROR(IF(INDEX(Documents!$D$5:$D$657,MATCH(H678,Documents!$A$5:$A$657,0))="","",INDEX(Documents!$D$5:$D$657,MATCH(H678,Documents!$A$5:$A$657,0))),"")</f>
        <v>Bioorg Med Chem Lett</v>
      </c>
      <c r="K678" s="25" t="str">
        <f aca="false">IFERROR(IF(INDEX(Documents!$G$5:$G$657,MATCH(H678,Documents!$A$5:$A$657,0))="","",INDEX(Documents!$G$5:$G$657,MATCH(H678,Documents!$A$5:$A$657,0))),"")</f>
        <v>10.1016/j.bmcl.2007.04.093</v>
      </c>
      <c r="L678" s="25" t="s">
        <v>775</v>
      </c>
    </row>
    <row r="679" customFormat="false" ht="15" hidden="false" customHeight="false" outlineLevel="0" collapsed="false">
      <c r="A679" s="25" t="n">
        <v>10979873</v>
      </c>
      <c r="B679" s="25" t="s">
        <v>1752</v>
      </c>
      <c r="C679" s="25" t="s">
        <v>1753</v>
      </c>
      <c r="D679" s="26" t="n">
        <v>16600</v>
      </c>
      <c r="E679" s="27" t="n">
        <v>4.77989191195995</v>
      </c>
      <c r="F679" s="27" t="n">
        <v>4.77989191195995</v>
      </c>
      <c r="G679" s="25" t="s">
        <v>631</v>
      </c>
      <c r="H679" s="25" t="s">
        <v>632</v>
      </c>
      <c r="I679" s="25" t="n">
        <f aca="false">IFERROR(IF(INDEX(Documents!$C$5:$C$657,MATCH(H679,Documents!$A$5:$A$657,0))="","",INDEX(Documents!$C$5:$C$657,MATCH(H679,Documents!$A$5:$A$657,0))),"")</f>
        <v>2012</v>
      </c>
      <c r="J679" s="25" t="str">
        <f aca="false">IFERROR(IF(INDEX(Documents!$D$5:$D$657,MATCH(H679,Documents!$A$5:$A$657,0))="","",INDEX(Documents!$D$5:$D$657,MATCH(H679,Documents!$A$5:$A$657,0))),"")</f>
        <v>ACS Med Chem Lett</v>
      </c>
      <c r="K679" s="25" t="str">
        <f aca="false">IFERROR(IF(INDEX(Documents!$G$5:$G$657,MATCH(H679,Documents!$A$5:$A$657,0))="","",INDEX(Documents!$G$5:$G$657,MATCH(H679,Documents!$A$5:$A$657,0))),"")</f>
        <v>10.1021/ml3000325</v>
      </c>
      <c r="L679" s="25" t="s">
        <v>633</v>
      </c>
    </row>
    <row r="680" customFormat="false" ht="15" hidden="false" customHeight="false" outlineLevel="0" collapsed="false">
      <c r="A680" s="25" t="n">
        <v>5205772</v>
      </c>
      <c r="B680" s="25" t="s">
        <v>1754</v>
      </c>
      <c r="C680" s="25" t="s">
        <v>1755</v>
      </c>
      <c r="D680" s="26" t="n">
        <v>2.7</v>
      </c>
      <c r="E680" s="27" t="n">
        <v>8.56863623584101</v>
      </c>
      <c r="F680" s="27" t="n">
        <v>8.56863623584101</v>
      </c>
      <c r="G680" s="25" t="s">
        <v>461</v>
      </c>
      <c r="H680" s="25" t="s">
        <v>462</v>
      </c>
      <c r="I680" s="25" t="n">
        <f aca="false">IFERROR(IF(INDEX(Documents!$C$5:$C$657,MATCH(H680,Documents!$A$5:$A$657,0))="","",INDEX(Documents!$C$5:$C$657,MATCH(H680,Documents!$A$5:$A$657,0))),"")</f>
        <v>2011</v>
      </c>
      <c r="J680" s="25" t="str">
        <f aca="false">IFERROR(IF(INDEX(Documents!$D$5:$D$657,MATCH(H680,Documents!$A$5:$A$657,0))="","",INDEX(Documents!$D$5:$D$657,MATCH(H680,Documents!$A$5:$A$657,0))),"")</f>
        <v>Eur J Med Chem</v>
      </c>
      <c r="K680" s="25" t="str">
        <f aca="false">IFERROR(IF(INDEX(Documents!$G$5:$G$657,MATCH(H680,Documents!$A$5:$A$657,0))="","",INDEX(Documents!$G$5:$G$657,MATCH(H680,Documents!$A$5:$A$657,0))),"")</f>
        <v>10.1016/j.ejmech.2010.11.034</v>
      </c>
      <c r="L680" s="25" t="s">
        <v>463</v>
      </c>
    </row>
    <row r="681" customFormat="false" ht="15" hidden="false" customHeight="false" outlineLevel="0" collapsed="false">
      <c r="A681" s="25" t="n">
        <v>5205771</v>
      </c>
      <c r="B681" s="25" t="s">
        <v>1756</v>
      </c>
      <c r="C681" s="25" t="s">
        <v>1757</v>
      </c>
      <c r="D681" s="26" t="n">
        <v>9</v>
      </c>
      <c r="E681" s="27" t="n">
        <v>8.04575749056068</v>
      </c>
      <c r="F681" s="27" t="n">
        <v>8.04575749056068</v>
      </c>
      <c r="G681" s="25" t="s">
        <v>461</v>
      </c>
      <c r="H681" s="25" t="s">
        <v>462</v>
      </c>
      <c r="I681" s="25" t="n">
        <f aca="false">IFERROR(IF(INDEX(Documents!$C$5:$C$657,MATCH(H681,Documents!$A$5:$A$657,0))="","",INDEX(Documents!$C$5:$C$657,MATCH(H681,Documents!$A$5:$A$657,0))),"")</f>
        <v>2011</v>
      </c>
      <c r="J681" s="25" t="str">
        <f aca="false">IFERROR(IF(INDEX(Documents!$D$5:$D$657,MATCH(H681,Documents!$A$5:$A$657,0))="","",INDEX(Documents!$D$5:$D$657,MATCH(H681,Documents!$A$5:$A$657,0))),"")</f>
        <v>Eur J Med Chem</v>
      </c>
      <c r="K681" s="25" t="str">
        <f aca="false">IFERROR(IF(INDEX(Documents!$G$5:$G$657,MATCH(H681,Documents!$A$5:$A$657,0))="","",INDEX(Documents!$G$5:$G$657,MATCH(H681,Documents!$A$5:$A$657,0))),"")</f>
        <v>10.1016/j.ejmech.2010.11.034</v>
      </c>
      <c r="L681" s="25" t="s">
        <v>463</v>
      </c>
    </row>
    <row r="682" customFormat="false" ht="15" hidden="false" customHeight="false" outlineLevel="0" collapsed="false">
      <c r="A682" s="25" t="n">
        <v>3082595</v>
      </c>
      <c r="B682" s="25" t="s">
        <v>1758</v>
      </c>
      <c r="C682" s="25" t="s">
        <v>1759</v>
      </c>
      <c r="D682" s="26" t="n">
        <v>2.7</v>
      </c>
      <c r="E682" s="27" t="n">
        <v>8.56863623584101</v>
      </c>
      <c r="F682" s="27" t="n">
        <v>8.56863623584101</v>
      </c>
      <c r="G682" s="25" t="s">
        <v>1760</v>
      </c>
      <c r="H682" s="25" t="s">
        <v>1761</v>
      </c>
      <c r="I682" s="25" t="n">
        <f aca="false">IFERROR(IF(INDEX(Documents!$C$5:$C$657,MATCH(H682,Documents!$A$5:$A$657,0))="","",INDEX(Documents!$C$5:$C$657,MATCH(H682,Documents!$A$5:$A$657,0))),"")</f>
        <v>2010</v>
      </c>
      <c r="J682" s="25" t="str">
        <f aca="false">IFERROR(IF(INDEX(Documents!$D$5:$D$657,MATCH(H682,Documents!$A$5:$A$657,0))="","",INDEX(Documents!$D$5:$D$657,MATCH(H682,Documents!$A$5:$A$657,0))),"")</f>
        <v>Bioorg Med Chem Lett</v>
      </c>
      <c r="K682" s="25" t="str">
        <f aca="false">IFERROR(IF(INDEX(Documents!$G$5:$G$657,MATCH(H682,Documents!$A$5:$A$657,0))="","",INDEX(Documents!$G$5:$G$657,MATCH(H682,Documents!$A$5:$A$657,0))),"")</f>
        <v>10.1016/j.bmcl.2009.10.062</v>
      </c>
      <c r="L682" s="25" t="s">
        <v>775</v>
      </c>
    </row>
    <row r="683" customFormat="false" ht="15" hidden="false" customHeight="false" outlineLevel="0" collapsed="false">
      <c r="A683" s="25" t="n">
        <v>3082592</v>
      </c>
      <c r="B683" s="25" t="s">
        <v>1762</v>
      </c>
      <c r="C683" s="25" t="s">
        <v>1763</v>
      </c>
      <c r="D683" s="26" t="n">
        <v>9</v>
      </c>
      <c r="E683" s="27" t="n">
        <v>8.04575749056068</v>
      </c>
      <c r="F683" s="27" t="n">
        <v>8.04575749056068</v>
      </c>
      <c r="G683" s="25" t="s">
        <v>1760</v>
      </c>
      <c r="H683" s="25" t="s">
        <v>1761</v>
      </c>
      <c r="I683" s="25" t="n">
        <f aca="false">IFERROR(IF(INDEX(Documents!$C$5:$C$657,MATCH(H683,Documents!$A$5:$A$657,0))="","",INDEX(Documents!$C$5:$C$657,MATCH(H683,Documents!$A$5:$A$657,0))),"")</f>
        <v>2010</v>
      </c>
      <c r="J683" s="25" t="str">
        <f aca="false">IFERROR(IF(INDEX(Documents!$D$5:$D$657,MATCH(H683,Documents!$A$5:$A$657,0))="","",INDEX(Documents!$D$5:$D$657,MATCH(H683,Documents!$A$5:$A$657,0))),"")</f>
        <v>Bioorg Med Chem Lett</v>
      </c>
      <c r="K683" s="25" t="str">
        <f aca="false">IFERROR(IF(INDEX(Documents!$G$5:$G$657,MATCH(H683,Documents!$A$5:$A$657,0))="","",INDEX(Documents!$G$5:$G$657,MATCH(H683,Documents!$A$5:$A$657,0))),"")</f>
        <v>10.1016/j.bmcl.2009.10.062</v>
      </c>
      <c r="L683" s="25" t="s">
        <v>775</v>
      </c>
    </row>
    <row r="684" customFormat="false" ht="15" hidden="false" customHeight="false" outlineLevel="0" collapsed="false">
      <c r="A684" s="25" t="n">
        <v>3082591</v>
      </c>
      <c r="B684" s="25" t="s">
        <v>1764</v>
      </c>
      <c r="C684" s="25" t="s">
        <v>1765</v>
      </c>
      <c r="D684" s="26" t="n">
        <v>43</v>
      </c>
      <c r="E684" s="27" t="n">
        <v>7.36653154442041</v>
      </c>
      <c r="F684" s="27" t="n">
        <v>7.36653154442041</v>
      </c>
      <c r="G684" s="25" t="s">
        <v>1760</v>
      </c>
      <c r="H684" s="25" t="s">
        <v>1761</v>
      </c>
      <c r="I684" s="25" t="n">
        <f aca="false">IFERROR(IF(INDEX(Documents!$C$5:$C$657,MATCH(H684,Documents!$A$5:$A$657,0))="","",INDEX(Documents!$C$5:$C$657,MATCH(H684,Documents!$A$5:$A$657,0))),"")</f>
        <v>2010</v>
      </c>
      <c r="J684" s="25" t="str">
        <f aca="false">IFERROR(IF(INDEX(Documents!$D$5:$D$657,MATCH(H684,Documents!$A$5:$A$657,0))="","",INDEX(Documents!$D$5:$D$657,MATCH(H684,Documents!$A$5:$A$657,0))),"")</f>
        <v>Bioorg Med Chem Lett</v>
      </c>
      <c r="K684" s="25" t="str">
        <f aca="false">IFERROR(IF(INDEX(Documents!$G$5:$G$657,MATCH(H684,Documents!$A$5:$A$657,0))="","",INDEX(Documents!$G$5:$G$657,MATCH(H684,Documents!$A$5:$A$657,0))),"")</f>
        <v>10.1016/j.bmcl.2009.10.062</v>
      </c>
      <c r="L684" s="25" t="s">
        <v>775</v>
      </c>
    </row>
    <row r="685" customFormat="false" ht="15" hidden="false" customHeight="false" outlineLevel="0" collapsed="false">
      <c r="A685" s="25" t="n">
        <v>3082579</v>
      </c>
      <c r="B685" s="25" t="s">
        <v>1766</v>
      </c>
      <c r="C685" s="25" t="s">
        <v>1767</v>
      </c>
      <c r="D685" s="26" t="n">
        <v>17</v>
      </c>
      <c r="E685" s="27" t="n">
        <v>7.76955107862173</v>
      </c>
      <c r="F685" s="27" t="n">
        <v>7.76955107862173</v>
      </c>
      <c r="G685" s="25" t="s">
        <v>1760</v>
      </c>
      <c r="H685" s="25" t="s">
        <v>1761</v>
      </c>
      <c r="I685" s="25" t="n">
        <f aca="false">IFERROR(IF(INDEX(Documents!$C$5:$C$657,MATCH(H685,Documents!$A$5:$A$657,0))="","",INDEX(Documents!$C$5:$C$657,MATCH(H685,Documents!$A$5:$A$657,0))),"")</f>
        <v>2010</v>
      </c>
      <c r="J685" s="25" t="str">
        <f aca="false">IFERROR(IF(INDEX(Documents!$D$5:$D$657,MATCH(H685,Documents!$A$5:$A$657,0))="","",INDEX(Documents!$D$5:$D$657,MATCH(H685,Documents!$A$5:$A$657,0))),"")</f>
        <v>Bioorg Med Chem Lett</v>
      </c>
      <c r="K685" s="25" t="str">
        <f aca="false">IFERROR(IF(INDEX(Documents!$G$5:$G$657,MATCH(H685,Documents!$A$5:$A$657,0))="","",INDEX(Documents!$G$5:$G$657,MATCH(H685,Documents!$A$5:$A$657,0))),"")</f>
        <v>10.1016/j.bmcl.2009.10.062</v>
      </c>
      <c r="L685" s="25" t="s">
        <v>775</v>
      </c>
    </row>
    <row r="686" customFormat="false" ht="15" hidden="false" customHeight="false" outlineLevel="0" collapsed="false">
      <c r="A686" s="25" t="n">
        <v>3082593</v>
      </c>
      <c r="B686" s="25" t="s">
        <v>1768</v>
      </c>
      <c r="C686" s="25" t="s">
        <v>1769</v>
      </c>
      <c r="D686" s="26" t="n">
        <v>8.4</v>
      </c>
      <c r="E686" s="27" t="n">
        <v>8.07572071393812</v>
      </c>
      <c r="F686" s="27" t="n">
        <v>8.07572071393812</v>
      </c>
      <c r="G686" s="25" t="s">
        <v>1760</v>
      </c>
      <c r="H686" s="25" t="s">
        <v>1761</v>
      </c>
      <c r="I686" s="25" t="n">
        <f aca="false">IFERROR(IF(INDEX(Documents!$C$5:$C$657,MATCH(H686,Documents!$A$5:$A$657,0))="","",INDEX(Documents!$C$5:$C$657,MATCH(H686,Documents!$A$5:$A$657,0))),"")</f>
        <v>2010</v>
      </c>
      <c r="J686" s="25" t="str">
        <f aca="false">IFERROR(IF(INDEX(Documents!$D$5:$D$657,MATCH(H686,Documents!$A$5:$A$657,0))="","",INDEX(Documents!$D$5:$D$657,MATCH(H686,Documents!$A$5:$A$657,0))),"")</f>
        <v>Bioorg Med Chem Lett</v>
      </c>
      <c r="K686" s="25" t="str">
        <f aca="false">IFERROR(IF(INDEX(Documents!$G$5:$G$657,MATCH(H686,Documents!$A$5:$A$657,0))="","",INDEX(Documents!$G$5:$G$657,MATCH(H686,Documents!$A$5:$A$657,0))),"")</f>
        <v>10.1016/j.bmcl.2009.10.062</v>
      </c>
      <c r="L686" s="25" t="s">
        <v>775</v>
      </c>
    </row>
    <row r="687" customFormat="false" ht="15" hidden="false" customHeight="false" outlineLevel="0" collapsed="false">
      <c r="A687" s="25" t="n">
        <v>3082594</v>
      </c>
      <c r="B687" s="25" t="s">
        <v>1770</v>
      </c>
      <c r="C687" s="25" t="s">
        <v>1771</v>
      </c>
      <c r="D687" s="26" t="n">
        <v>6.9</v>
      </c>
      <c r="E687" s="27" t="n">
        <v>8.16115090926274</v>
      </c>
      <c r="F687" s="27" t="n">
        <v>8.16115090926274</v>
      </c>
      <c r="G687" s="25" t="s">
        <v>1760</v>
      </c>
      <c r="H687" s="25" t="s">
        <v>1761</v>
      </c>
      <c r="I687" s="25" t="n">
        <f aca="false">IFERROR(IF(INDEX(Documents!$C$5:$C$657,MATCH(H687,Documents!$A$5:$A$657,0))="","",INDEX(Documents!$C$5:$C$657,MATCH(H687,Documents!$A$5:$A$657,0))),"")</f>
        <v>2010</v>
      </c>
      <c r="J687" s="25" t="str">
        <f aca="false">IFERROR(IF(INDEX(Documents!$D$5:$D$657,MATCH(H687,Documents!$A$5:$A$657,0))="","",INDEX(Documents!$D$5:$D$657,MATCH(H687,Documents!$A$5:$A$657,0))),"")</f>
        <v>Bioorg Med Chem Lett</v>
      </c>
      <c r="K687" s="25" t="str">
        <f aca="false">IFERROR(IF(INDEX(Documents!$G$5:$G$657,MATCH(H687,Documents!$A$5:$A$657,0))="","",INDEX(Documents!$G$5:$G$657,MATCH(H687,Documents!$A$5:$A$657,0))),"")</f>
        <v>10.1016/j.bmcl.2009.10.062</v>
      </c>
      <c r="L687" s="25" t="s">
        <v>775</v>
      </c>
    </row>
    <row r="688" customFormat="false" ht="15" hidden="false" customHeight="false" outlineLevel="0" collapsed="false">
      <c r="A688" s="25" t="n">
        <v>3082589</v>
      </c>
      <c r="B688" s="25" t="s">
        <v>1772</v>
      </c>
      <c r="C688" s="25" t="s">
        <v>1773</v>
      </c>
      <c r="D688" s="26" t="n">
        <v>90</v>
      </c>
      <c r="E688" s="27" t="n">
        <v>7.04575749056068</v>
      </c>
      <c r="F688" s="27" t="n">
        <v>7.04575749056068</v>
      </c>
      <c r="G688" s="25" t="s">
        <v>1760</v>
      </c>
      <c r="H688" s="25" t="s">
        <v>1761</v>
      </c>
      <c r="I688" s="25" t="n">
        <f aca="false">IFERROR(IF(INDEX(Documents!$C$5:$C$657,MATCH(H688,Documents!$A$5:$A$657,0))="","",INDEX(Documents!$C$5:$C$657,MATCH(H688,Documents!$A$5:$A$657,0))),"")</f>
        <v>2010</v>
      </c>
      <c r="J688" s="25" t="str">
        <f aca="false">IFERROR(IF(INDEX(Documents!$D$5:$D$657,MATCH(H688,Documents!$A$5:$A$657,0))="","",INDEX(Documents!$D$5:$D$657,MATCH(H688,Documents!$A$5:$A$657,0))),"")</f>
        <v>Bioorg Med Chem Lett</v>
      </c>
      <c r="K688" s="25" t="str">
        <f aca="false">IFERROR(IF(INDEX(Documents!$G$5:$G$657,MATCH(H688,Documents!$A$5:$A$657,0))="","",INDEX(Documents!$G$5:$G$657,MATCH(H688,Documents!$A$5:$A$657,0))),"")</f>
        <v>10.1016/j.bmcl.2009.10.062</v>
      </c>
      <c r="L688" s="25" t="s">
        <v>775</v>
      </c>
    </row>
    <row r="689" customFormat="false" ht="15" hidden="false" customHeight="false" outlineLevel="0" collapsed="false">
      <c r="A689" s="25" t="n">
        <v>3082588</v>
      </c>
      <c r="B689" s="25" t="s">
        <v>1774</v>
      </c>
      <c r="C689" s="25" t="s">
        <v>1775</v>
      </c>
      <c r="D689" s="26" t="n">
        <v>94</v>
      </c>
      <c r="E689" s="27" t="n">
        <v>7.0268721464003</v>
      </c>
      <c r="F689" s="27" t="n">
        <v>7.0268721464003</v>
      </c>
      <c r="G689" s="25" t="s">
        <v>1760</v>
      </c>
      <c r="H689" s="25" t="s">
        <v>1761</v>
      </c>
      <c r="I689" s="25" t="n">
        <f aca="false">IFERROR(IF(INDEX(Documents!$C$5:$C$657,MATCH(H689,Documents!$A$5:$A$657,0))="","",INDEX(Documents!$C$5:$C$657,MATCH(H689,Documents!$A$5:$A$657,0))),"")</f>
        <v>2010</v>
      </c>
      <c r="J689" s="25" t="str">
        <f aca="false">IFERROR(IF(INDEX(Documents!$D$5:$D$657,MATCH(H689,Documents!$A$5:$A$657,0))="","",INDEX(Documents!$D$5:$D$657,MATCH(H689,Documents!$A$5:$A$657,0))),"")</f>
        <v>Bioorg Med Chem Lett</v>
      </c>
      <c r="K689" s="25" t="str">
        <f aca="false">IFERROR(IF(INDEX(Documents!$G$5:$G$657,MATCH(H689,Documents!$A$5:$A$657,0))="","",INDEX(Documents!$G$5:$G$657,MATCH(H689,Documents!$A$5:$A$657,0))),"")</f>
        <v>10.1016/j.bmcl.2009.10.062</v>
      </c>
      <c r="L689" s="25" t="s">
        <v>775</v>
      </c>
    </row>
    <row r="690" customFormat="false" ht="15" hidden="false" customHeight="false" outlineLevel="0" collapsed="false">
      <c r="A690" s="25" t="n">
        <v>3082590</v>
      </c>
      <c r="B690" s="25" t="s">
        <v>1776</v>
      </c>
      <c r="C690" s="25" t="s">
        <v>1777</v>
      </c>
      <c r="D690" s="26" t="n">
        <v>66</v>
      </c>
      <c r="E690" s="27" t="n">
        <v>7.18045606445813</v>
      </c>
      <c r="F690" s="27" t="n">
        <v>7.18045606445813</v>
      </c>
      <c r="G690" s="25" t="s">
        <v>1760</v>
      </c>
      <c r="H690" s="25" t="s">
        <v>1761</v>
      </c>
      <c r="I690" s="25" t="n">
        <f aca="false">IFERROR(IF(INDEX(Documents!$C$5:$C$657,MATCH(H690,Documents!$A$5:$A$657,0))="","",INDEX(Documents!$C$5:$C$657,MATCH(H690,Documents!$A$5:$A$657,0))),"")</f>
        <v>2010</v>
      </c>
      <c r="J690" s="25" t="str">
        <f aca="false">IFERROR(IF(INDEX(Documents!$D$5:$D$657,MATCH(H690,Documents!$A$5:$A$657,0))="","",INDEX(Documents!$D$5:$D$657,MATCH(H690,Documents!$A$5:$A$657,0))),"")</f>
        <v>Bioorg Med Chem Lett</v>
      </c>
      <c r="K690" s="25" t="str">
        <f aca="false">IFERROR(IF(INDEX(Documents!$G$5:$G$657,MATCH(H690,Documents!$A$5:$A$657,0))="","",INDEX(Documents!$G$5:$G$657,MATCH(H690,Documents!$A$5:$A$657,0))),"")</f>
        <v>10.1016/j.bmcl.2009.10.062</v>
      </c>
      <c r="L690" s="25" t="s">
        <v>775</v>
      </c>
    </row>
    <row r="691" customFormat="false" ht="15" hidden="false" customHeight="false" outlineLevel="0" collapsed="false">
      <c r="A691" s="25" t="n">
        <v>3011902</v>
      </c>
      <c r="B691" s="25" t="s">
        <v>1778</v>
      </c>
      <c r="C691" s="25" t="s">
        <v>1779</v>
      </c>
      <c r="D691" s="26" t="n">
        <v>100</v>
      </c>
      <c r="E691" s="27" t="n">
        <v>7</v>
      </c>
      <c r="F691" s="27" t="n">
        <v>7</v>
      </c>
      <c r="G691" s="25" t="s">
        <v>1780</v>
      </c>
      <c r="H691" s="25" t="s">
        <v>1781</v>
      </c>
      <c r="I691" s="25" t="n">
        <f aca="false">IFERROR(IF(INDEX(Documents!$C$5:$C$657,MATCH(H691,Documents!$A$5:$A$657,0))="","",INDEX(Documents!$C$5:$C$657,MATCH(H691,Documents!$A$5:$A$657,0))),"")</f>
        <v>2009</v>
      </c>
      <c r="J691" s="25" t="str">
        <f aca="false">IFERROR(IF(INDEX(Documents!$D$5:$D$657,MATCH(H691,Documents!$A$5:$A$657,0))="","",INDEX(Documents!$D$5:$D$657,MATCH(H691,Documents!$A$5:$A$657,0))),"")</f>
        <v>Bioorg Med Chem Lett</v>
      </c>
      <c r="K691" s="25" t="str">
        <f aca="false">IFERROR(IF(INDEX(Documents!$G$5:$G$657,MATCH(H691,Documents!$A$5:$A$657,0))="","",INDEX(Documents!$G$5:$G$657,MATCH(H691,Documents!$A$5:$A$657,0))),"")</f>
        <v>10.1016/j.bmcl.2009.08.063</v>
      </c>
      <c r="L691" s="25" t="s">
        <v>1782</v>
      </c>
    </row>
    <row r="692" customFormat="false" ht="15" hidden="false" customHeight="false" outlineLevel="0" collapsed="false">
      <c r="A692" s="25" t="n">
        <v>3017041</v>
      </c>
      <c r="B692" s="25" t="s">
        <v>1783</v>
      </c>
      <c r="C692" s="25" t="s">
        <v>1784</v>
      </c>
      <c r="D692" s="26" t="n">
        <v>530</v>
      </c>
      <c r="E692" s="27" t="n">
        <v>6.27572413039921</v>
      </c>
      <c r="F692" s="27" t="n">
        <v>6.27572413039921</v>
      </c>
      <c r="G692" s="25" t="s">
        <v>1785</v>
      </c>
      <c r="H692" s="25" t="s">
        <v>1786</v>
      </c>
      <c r="I692" s="25" t="n">
        <f aca="false">IFERROR(IF(INDEX(Documents!$C$5:$C$657,MATCH(H692,Documents!$A$5:$A$657,0))="","",INDEX(Documents!$C$5:$C$657,MATCH(H692,Documents!$A$5:$A$657,0))),"")</f>
        <v>2009</v>
      </c>
      <c r="J692" s="25" t="str">
        <f aca="false">IFERROR(IF(INDEX(Documents!$D$5:$D$657,MATCH(H692,Documents!$A$5:$A$657,0))="","",INDEX(Documents!$D$5:$D$657,MATCH(H692,Documents!$A$5:$A$657,0))),"")</f>
        <v>Bioorg Med Chem Lett</v>
      </c>
      <c r="K692" s="25" t="str">
        <f aca="false">IFERROR(IF(INDEX(Documents!$G$5:$G$657,MATCH(H692,Documents!$A$5:$A$657,0))="","",INDEX(Documents!$G$5:$G$657,MATCH(H692,Documents!$A$5:$A$657,0))),"")</f>
        <v>10.1016/j.bmcl.2009.07.057</v>
      </c>
      <c r="L692" s="25" t="s">
        <v>659</v>
      </c>
    </row>
    <row r="693" customFormat="false" ht="15" hidden="false" customHeight="false" outlineLevel="0" collapsed="false">
      <c r="A693" s="25" t="n">
        <v>3017039</v>
      </c>
      <c r="B693" s="25" t="s">
        <v>1787</v>
      </c>
      <c r="C693" s="25" t="s">
        <v>1788</v>
      </c>
      <c r="D693" s="26" t="n">
        <v>120</v>
      </c>
      <c r="E693" s="27" t="n">
        <v>6.92081875395238</v>
      </c>
      <c r="F693" s="27" t="n">
        <v>6.92081875395238</v>
      </c>
      <c r="G693" s="25" t="s">
        <v>1785</v>
      </c>
      <c r="H693" s="25" t="s">
        <v>1786</v>
      </c>
      <c r="I693" s="25" t="n">
        <f aca="false">IFERROR(IF(INDEX(Documents!$C$5:$C$657,MATCH(H693,Documents!$A$5:$A$657,0))="","",INDEX(Documents!$C$5:$C$657,MATCH(H693,Documents!$A$5:$A$657,0))),"")</f>
        <v>2009</v>
      </c>
      <c r="J693" s="25" t="str">
        <f aca="false">IFERROR(IF(INDEX(Documents!$D$5:$D$657,MATCH(H693,Documents!$A$5:$A$657,0))="","",INDEX(Documents!$D$5:$D$657,MATCH(H693,Documents!$A$5:$A$657,0))),"")</f>
        <v>Bioorg Med Chem Lett</v>
      </c>
      <c r="K693" s="25" t="str">
        <f aca="false">IFERROR(IF(INDEX(Documents!$G$5:$G$657,MATCH(H693,Documents!$A$5:$A$657,0))="","",INDEX(Documents!$G$5:$G$657,MATCH(H693,Documents!$A$5:$A$657,0))),"")</f>
        <v>10.1016/j.bmcl.2009.07.057</v>
      </c>
      <c r="L693" s="25" t="s">
        <v>659</v>
      </c>
    </row>
    <row r="694" customFormat="false" ht="15" hidden="false" customHeight="false" outlineLevel="0" collapsed="false">
      <c r="A694" s="25" t="n">
        <v>3011898</v>
      </c>
      <c r="B694" s="25" t="s">
        <v>1789</v>
      </c>
      <c r="C694" s="25" t="s">
        <v>1790</v>
      </c>
      <c r="D694" s="26" t="n">
        <v>24</v>
      </c>
      <c r="E694" s="27" t="n">
        <v>7.61978875828839</v>
      </c>
      <c r="F694" s="27" t="n">
        <v>7.61978875828839</v>
      </c>
      <c r="G694" s="25" t="s">
        <v>1780</v>
      </c>
      <c r="H694" s="25" t="s">
        <v>1781</v>
      </c>
      <c r="I694" s="25" t="n">
        <f aca="false">IFERROR(IF(INDEX(Documents!$C$5:$C$657,MATCH(H694,Documents!$A$5:$A$657,0))="","",INDEX(Documents!$C$5:$C$657,MATCH(H694,Documents!$A$5:$A$657,0))),"")</f>
        <v>2009</v>
      </c>
      <c r="J694" s="25" t="str">
        <f aca="false">IFERROR(IF(INDEX(Documents!$D$5:$D$657,MATCH(H694,Documents!$A$5:$A$657,0))="","",INDEX(Documents!$D$5:$D$657,MATCH(H694,Documents!$A$5:$A$657,0))),"")</f>
        <v>Bioorg Med Chem Lett</v>
      </c>
      <c r="K694" s="25" t="str">
        <f aca="false">IFERROR(IF(INDEX(Documents!$G$5:$G$657,MATCH(H694,Documents!$A$5:$A$657,0))="","",INDEX(Documents!$G$5:$G$657,MATCH(H694,Documents!$A$5:$A$657,0))),"")</f>
        <v>10.1016/j.bmcl.2009.08.063</v>
      </c>
      <c r="L694" s="25" t="s">
        <v>1782</v>
      </c>
    </row>
    <row r="695" customFormat="false" ht="15" hidden="false" customHeight="false" outlineLevel="0" collapsed="false">
      <c r="A695" s="25" t="n">
        <v>3011903</v>
      </c>
      <c r="B695" s="25" t="s">
        <v>1791</v>
      </c>
      <c r="C695" s="25" t="s">
        <v>1792</v>
      </c>
      <c r="D695" s="26" t="n">
        <v>870</v>
      </c>
      <c r="E695" s="27" t="n">
        <v>6.06048074738138</v>
      </c>
      <c r="F695" s="27" t="n">
        <v>6.06048074738138</v>
      </c>
      <c r="G695" s="25" t="s">
        <v>1780</v>
      </c>
      <c r="H695" s="25" t="s">
        <v>1781</v>
      </c>
      <c r="I695" s="25" t="n">
        <f aca="false">IFERROR(IF(INDEX(Documents!$C$5:$C$657,MATCH(H695,Documents!$A$5:$A$657,0))="","",INDEX(Documents!$C$5:$C$657,MATCH(H695,Documents!$A$5:$A$657,0))),"")</f>
        <v>2009</v>
      </c>
      <c r="J695" s="25" t="str">
        <f aca="false">IFERROR(IF(INDEX(Documents!$D$5:$D$657,MATCH(H695,Documents!$A$5:$A$657,0))="","",INDEX(Documents!$D$5:$D$657,MATCH(H695,Documents!$A$5:$A$657,0))),"")</f>
        <v>Bioorg Med Chem Lett</v>
      </c>
      <c r="K695" s="25" t="str">
        <f aca="false">IFERROR(IF(INDEX(Documents!$G$5:$G$657,MATCH(H695,Documents!$A$5:$A$657,0))="","",INDEX(Documents!$G$5:$G$657,MATCH(H695,Documents!$A$5:$A$657,0))),"")</f>
        <v>10.1016/j.bmcl.2009.08.063</v>
      </c>
      <c r="L695" s="25" t="s">
        <v>1782</v>
      </c>
    </row>
    <row r="696" customFormat="false" ht="15" hidden="false" customHeight="false" outlineLevel="0" collapsed="false">
      <c r="A696" s="25" t="n">
        <v>3011900</v>
      </c>
      <c r="B696" s="25" t="s">
        <v>1793</v>
      </c>
      <c r="C696" s="25" t="s">
        <v>1794</v>
      </c>
      <c r="D696" s="26" t="n">
        <v>67</v>
      </c>
      <c r="E696" s="27" t="n">
        <v>7.17392519729917</v>
      </c>
      <c r="F696" s="27" t="n">
        <v>7.17392519729917</v>
      </c>
      <c r="G696" s="25" t="s">
        <v>1780</v>
      </c>
      <c r="H696" s="25" t="s">
        <v>1781</v>
      </c>
      <c r="I696" s="25" t="n">
        <f aca="false">IFERROR(IF(INDEX(Documents!$C$5:$C$657,MATCH(H696,Documents!$A$5:$A$657,0))="","",INDEX(Documents!$C$5:$C$657,MATCH(H696,Documents!$A$5:$A$657,0))),"")</f>
        <v>2009</v>
      </c>
      <c r="J696" s="25" t="str">
        <f aca="false">IFERROR(IF(INDEX(Documents!$D$5:$D$657,MATCH(H696,Documents!$A$5:$A$657,0))="","",INDEX(Documents!$D$5:$D$657,MATCH(H696,Documents!$A$5:$A$657,0))),"")</f>
        <v>Bioorg Med Chem Lett</v>
      </c>
      <c r="K696" s="25" t="str">
        <f aca="false">IFERROR(IF(INDEX(Documents!$G$5:$G$657,MATCH(H696,Documents!$A$5:$A$657,0))="","",INDEX(Documents!$G$5:$G$657,MATCH(H696,Documents!$A$5:$A$657,0))),"")</f>
        <v>10.1016/j.bmcl.2009.08.063</v>
      </c>
      <c r="L696" s="25" t="s">
        <v>1782</v>
      </c>
    </row>
    <row r="697" customFormat="false" ht="15" hidden="false" customHeight="false" outlineLevel="0" collapsed="false">
      <c r="A697" s="25" t="n">
        <v>3082585</v>
      </c>
      <c r="B697" s="25" t="s">
        <v>1795</v>
      </c>
      <c r="C697" s="25" t="s">
        <v>1796</v>
      </c>
      <c r="D697" s="26" t="n">
        <v>410</v>
      </c>
      <c r="E697" s="27" t="n">
        <v>6.38721614328027</v>
      </c>
      <c r="F697" s="27" t="n">
        <v>6.38721614328027</v>
      </c>
      <c r="G697" s="25" t="s">
        <v>1760</v>
      </c>
      <c r="H697" s="25" t="s">
        <v>1761</v>
      </c>
      <c r="I697" s="25" t="n">
        <f aca="false">IFERROR(IF(INDEX(Documents!$C$5:$C$657,MATCH(H697,Documents!$A$5:$A$657,0))="","",INDEX(Documents!$C$5:$C$657,MATCH(H697,Documents!$A$5:$A$657,0))),"")</f>
        <v>2010</v>
      </c>
      <c r="J697" s="25" t="str">
        <f aca="false">IFERROR(IF(INDEX(Documents!$D$5:$D$657,MATCH(H697,Documents!$A$5:$A$657,0))="","",INDEX(Documents!$D$5:$D$657,MATCH(H697,Documents!$A$5:$A$657,0))),"")</f>
        <v>Bioorg Med Chem Lett</v>
      </c>
      <c r="K697" s="25" t="str">
        <f aca="false">IFERROR(IF(INDEX(Documents!$G$5:$G$657,MATCH(H697,Documents!$A$5:$A$657,0))="","",INDEX(Documents!$G$5:$G$657,MATCH(H697,Documents!$A$5:$A$657,0))),"")</f>
        <v>10.1016/j.bmcl.2009.10.062</v>
      </c>
      <c r="L697" s="25" t="s">
        <v>775</v>
      </c>
    </row>
    <row r="698" customFormat="false" ht="15" hidden="false" customHeight="false" outlineLevel="0" collapsed="false">
      <c r="A698" s="25" t="n">
        <v>3082584</v>
      </c>
      <c r="B698" s="25" t="s">
        <v>1797</v>
      </c>
      <c r="C698" s="25" t="s">
        <v>1798</v>
      </c>
      <c r="D698" s="26" t="n">
        <v>760</v>
      </c>
      <c r="E698" s="27" t="n">
        <v>6.11918640771921</v>
      </c>
      <c r="F698" s="27" t="n">
        <v>6.11918640771921</v>
      </c>
      <c r="G698" s="25" t="s">
        <v>1760</v>
      </c>
      <c r="H698" s="25" t="s">
        <v>1761</v>
      </c>
      <c r="I698" s="25" t="n">
        <f aca="false">IFERROR(IF(INDEX(Documents!$C$5:$C$657,MATCH(H698,Documents!$A$5:$A$657,0))="","",INDEX(Documents!$C$5:$C$657,MATCH(H698,Documents!$A$5:$A$657,0))),"")</f>
        <v>2010</v>
      </c>
      <c r="J698" s="25" t="str">
        <f aca="false">IFERROR(IF(INDEX(Documents!$D$5:$D$657,MATCH(H698,Documents!$A$5:$A$657,0))="","",INDEX(Documents!$D$5:$D$657,MATCH(H698,Documents!$A$5:$A$657,0))),"")</f>
        <v>Bioorg Med Chem Lett</v>
      </c>
      <c r="K698" s="25" t="str">
        <f aca="false">IFERROR(IF(INDEX(Documents!$G$5:$G$657,MATCH(H698,Documents!$A$5:$A$657,0))="","",INDEX(Documents!$G$5:$G$657,MATCH(H698,Documents!$A$5:$A$657,0))),"")</f>
        <v>10.1016/j.bmcl.2009.10.062</v>
      </c>
      <c r="L698" s="25" t="s">
        <v>775</v>
      </c>
    </row>
    <row r="699" customFormat="false" ht="15" hidden="false" customHeight="false" outlineLevel="0" collapsed="false">
      <c r="A699" s="25" t="n">
        <v>3082586</v>
      </c>
      <c r="B699" s="25" t="s">
        <v>1799</v>
      </c>
      <c r="C699" s="25" t="s">
        <v>1800</v>
      </c>
      <c r="D699" s="26" t="n">
        <v>12</v>
      </c>
      <c r="E699" s="27" t="n">
        <v>7.92081875395238</v>
      </c>
      <c r="F699" s="27" t="n">
        <v>7.92081875395238</v>
      </c>
      <c r="G699" s="25" t="s">
        <v>1760</v>
      </c>
      <c r="H699" s="25" t="s">
        <v>1761</v>
      </c>
      <c r="I699" s="25" t="n">
        <f aca="false">IFERROR(IF(INDEX(Documents!$C$5:$C$657,MATCH(H699,Documents!$A$5:$A$657,0))="","",INDEX(Documents!$C$5:$C$657,MATCH(H699,Documents!$A$5:$A$657,0))),"")</f>
        <v>2010</v>
      </c>
      <c r="J699" s="25" t="str">
        <f aca="false">IFERROR(IF(INDEX(Documents!$D$5:$D$657,MATCH(H699,Documents!$A$5:$A$657,0))="","",INDEX(Documents!$D$5:$D$657,MATCH(H699,Documents!$A$5:$A$657,0))),"")</f>
        <v>Bioorg Med Chem Lett</v>
      </c>
      <c r="K699" s="25" t="str">
        <f aca="false">IFERROR(IF(INDEX(Documents!$G$5:$G$657,MATCH(H699,Documents!$A$5:$A$657,0))="","",INDEX(Documents!$G$5:$G$657,MATCH(H699,Documents!$A$5:$A$657,0))),"")</f>
        <v>10.1016/j.bmcl.2009.10.062</v>
      </c>
      <c r="L699" s="25" t="s">
        <v>775</v>
      </c>
    </row>
    <row r="700" customFormat="false" ht="15" hidden="false" customHeight="false" outlineLevel="0" collapsed="false">
      <c r="A700" s="25" t="n">
        <v>3082587</v>
      </c>
      <c r="B700" s="25" t="s">
        <v>1801</v>
      </c>
      <c r="C700" s="25" t="s">
        <v>1802</v>
      </c>
      <c r="D700" s="26" t="n">
        <v>14</v>
      </c>
      <c r="E700" s="27" t="n">
        <v>7.85387196432176</v>
      </c>
      <c r="F700" s="27" t="n">
        <v>7.85387196432176</v>
      </c>
      <c r="G700" s="25" t="s">
        <v>1760</v>
      </c>
      <c r="H700" s="25" t="s">
        <v>1761</v>
      </c>
      <c r="I700" s="25" t="n">
        <f aca="false">IFERROR(IF(INDEX(Documents!$C$5:$C$657,MATCH(H700,Documents!$A$5:$A$657,0))="","",INDEX(Documents!$C$5:$C$657,MATCH(H700,Documents!$A$5:$A$657,0))),"")</f>
        <v>2010</v>
      </c>
      <c r="J700" s="25" t="str">
        <f aca="false">IFERROR(IF(INDEX(Documents!$D$5:$D$657,MATCH(H700,Documents!$A$5:$A$657,0))="","",INDEX(Documents!$D$5:$D$657,MATCH(H700,Documents!$A$5:$A$657,0))),"")</f>
        <v>Bioorg Med Chem Lett</v>
      </c>
      <c r="K700" s="25" t="str">
        <f aca="false">IFERROR(IF(INDEX(Documents!$G$5:$G$657,MATCH(H700,Documents!$A$5:$A$657,0))="","",INDEX(Documents!$G$5:$G$657,MATCH(H700,Documents!$A$5:$A$657,0))),"")</f>
        <v>10.1016/j.bmcl.2009.10.062</v>
      </c>
      <c r="L700" s="25" t="s">
        <v>775</v>
      </c>
    </row>
    <row r="701" customFormat="false" ht="15" hidden="false" customHeight="false" outlineLevel="0" collapsed="false">
      <c r="A701" s="25" t="n">
        <v>3017034</v>
      </c>
      <c r="B701" s="25" t="s">
        <v>1803</v>
      </c>
      <c r="C701" s="25" t="s">
        <v>1804</v>
      </c>
      <c r="D701" s="26" t="n">
        <v>120</v>
      </c>
      <c r="E701" s="27" t="n">
        <v>6.92081875395238</v>
      </c>
      <c r="F701" s="27" t="n">
        <v>6.92081875395238</v>
      </c>
      <c r="G701" s="25" t="s">
        <v>1785</v>
      </c>
      <c r="H701" s="25" t="s">
        <v>1786</v>
      </c>
      <c r="I701" s="25" t="n">
        <f aca="false">IFERROR(IF(INDEX(Documents!$C$5:$C$657,MATCH(H701,Documents!$A$5:$A$657,0))="","",INDEX(Documents!$C$5:$C$657,MATCH(H701,Documents!$A$5:$A$657,0))),"")</f>
        <v>2009</v>
      </c>
      <c r="J701" s="25" t="str">
        <f aca="false">IFERROR(IF(INDEX(Documents!$D$5:$D$657,MATCH(H701,Documents!$A$5:$A$657,0))="","",INDEX(Documents!$D$5:$D$657,MATCH(H701,Documents!$A$5:$A$657,0))),"")</f>
        <v>Bioorg Med Chem Lett</v>
      </c>
      <c r="K701" s="25" t="str">
        <f aca="false">IFERROR(IF(INDEX(Documents!$G$5:$G$657,MATCH(H701,Documents!$A$5:$A$657,0))="","",INDEX(Documents!$G$5:$G$657,MATCH(H701,Documents!$A$5:$A$657,0))),"")</f>
        <v>10.1016/j.bmcl.2009.07.057</v>
      </c>
      <c r="L701" s="25" t="s">
        <v>659</v>
      </c>
    </row>
    <row r="702" customFormat="false" ht="15" hidden="false" customHeight="false" outlineLevel="0" collapsed="false">
      <c r="A702" s="25" t="n">
        <v>3011899</v>
      </c>
      <c r="B702" s="25" t="s">
        <v>1805</v>
      </c>
      <c r="C702" s="25" t="s">
        <v>1806</v>
      </c>
      <c r="D702" s="26" t="n">
        <v>1800</v>
      </c>
      <c r="E702" s="27" t="n">
        <v>5.74472749489669</v>
      </c>
      <c r="F702" s="27" t="n">
        <v>5.74472749489669</v>
      </c>
      <c r="G702" s="25" t="s">
        <v>1780</v>
      </c>
      <c r="H702" s="25" t="s">
        <v>1781</v>
      </c>
      <c r="I702" s="25" t="n">
        <f aca="false">IFERROR(IF(INDEX(Documents!$C$5:$C$657,MATCH(H702,Documents!$A$5:$A$657,0))="","",INDEX(Documents!$C$5:$C$657,MATCH(H702,Documents!$A$5:$A$657,0))),"")</f>
        <v>2009</v>
      </c>
      <c r="J702" s="25" t="str">
        <f aca="false">IFERROR(IF(INDEX(Documents!$D$5:$D$657,MATCH(H702,Documents!$A$5:$A$657,0))="","",INDEX(Documents!$D$5:$D$657,MATCH(H702,Documents!$A$5:$A$657,0))),"")</f>
        <v>Bioorg Med Chem Lett</v>
      </c>
      <c r="K702" s="25" t="str">
        <f aca="false">IFERROR(IF(INDEX(Documents!$G$5:$G$657,MATCH(H702,Documents!$A$5:$A$657,0))="","",INDEX(Documents!$G$5:$G$657,MATCH(H702,Documents!$A$5:$A$657,0))),"")</f>
        <v>10.1016/j.bmcl.2009.08.063</v>
      </c>
      <c r="L702" s="25" t="s">
        <v>1782</v>
      </c>
    </row>
    <row r="703" customFormat="false" ht="15" hidden="false" customHeight="false" outlineLevel="0" collapsed="false">
      <c r="A703" s="25" t="n">
        <v>3082583</v>
      </c>
      <c r="B703" s="25" t="s">
        <v>1807</v>
      </c>
      <c r="C703" s="25" t="s">
        <v>1808</v>
      </c>
      <c r="D703" s="26" t="n">
        <v>290</v>
      </c>
      <c r="E703" s="27" t="n">
        <v>6.53760200210104</v>
      </c>
      <c r="F703" s="27" t="n">
        <v>6.53760200210104</v>
      </c>
      <c r="G703" s="25" t="s">
        <v>1760</v>
      </c>
      <c r="H703" s="25" t="s">
        <v>1761</v>
      </c>
      <c r="I703" s="25" t="n">
        <f aca="false">IFERROR(IF(INDEX(Documents!$C$5:$C$657,MATCH(H703,Documents!$A$5:$A$657,0))="","",INDEX(Documents!$C$5:$C$657,MATCH(H703,Documents!$A$5:$A$657,0))),"")</f>
        <v>2010</v>
      </c>
      <c r="J703" s="25" t="str">
        <f aca="false">IFERROR(IF(INDEX(Documents!$D$5:$D$657,MATCH(H703,Documents!$A$5:$A$657,0))="","",INDEX(Documents!$D$5:$D$657,MATCH(H703,Documents!$A$5:$A$657,0))),"")</f>
        <v>Bioorg Med Chem Lett</v>
      </c>
      <c r="K703" s="25" t="str">
        <f aca="false">IFERROR(IF(INDEX(Documents!$G$5:$G$657,MATCH(H703,Documents!$A$5:$A$657,0))="","",INDEX(Documents!$G$5:$G$657,MATCH(H703,Documents!$A$5:$A$657,0))),"")</f>
        <v>10.1016/j.bmcl.2009.10.062</v>
      </c>
      <c r="L703" s="25" t="s">
        <v>775</v>
      </c>
    </row>
    <row r="704" customFormat="false" ht="15" hidden="false" customHeight="false" outlineLevel="0" collapsed="false">
      <c r="A704" s="25" t="n">
        <v>5100345</v>
      </c>
      <c r="B704" s="25" t="s">
        <v>1809</v>
      </c>
      <c r="C704" s="25" t="s">
        <v>1810</v>
      </c>
      <c r="D704" s="26" t="n">
        <v>121.5</v>
      </c>
      <c r="E704" s="27" t="n">
        <v>6.91542372206567</v>
      </c>
      <c r="F704" s="27" t="n">
        <v>6.91542372206567</v>
      </c>
      <c r="G704" s="25" t="s">
        <v>1811</v>
      </c>
      <c r="H704" s="25" t="s">
        <v>1812</v>
      </c>
      <c r="I704" s="25" t="n">
        <f aca="false">IFERROR(IF(INDEX(Documents!$C$5:$C$657,MATCH(H704,Documents!$A$5:$A$657,0))="","",INDEX(Documents!$C$5:$C$657,MATCH(H704,Documents!$A$5:$A$657,0))),"")</f>
        <v>2010</v>
      </c>
      <c r="J704" s="25" t="str">
        <f aca="false">IFERROR(IF(INDEX(Documents!$D$5:$D$657,MATCH(H704,Documents!$A$5:$A$657,0))="","",INDEX(Documents!$D$5:$D$657,MATCH(H704,Documents!$A$5:$A$657,0))),"")</f>
        <v>Eur J Med Chem</v>
      </c>
      <c r="K704" s="25" t="str">
        <f aca="false">IFERROR(IF(INDEX(Documents!$G$5:$G$657,MATCH(H704,Documents!$A$5:$A$657,0))="","",INDEX(Documents!$G$5:$G$657,MATCH(H704,Documents!$A$5:$A$657,0))),"")</f>
        <v>10.1016/j.ejmech.2010.09.053</v>
      </c>
      <c r="L704" s="25" t="s">
        <v>1813</v>
      </c>
    </row>
    <row r="705" customFormat="false" ht="15" hidden="false" customHeight="false" outlineLevel="0" collapsed="false">
      <c r="A705" s="25" t="n">
        <v>5100340</v>
      </c>
      <c r="B705" s="25" t="s">
        <v>1814</v>
      </c>
      <c r="C705" s="25" t="s">
        <v>1815</v>
      </c>
      <c r="D705" s="26" t="n">
        <v>5.7</v>
      </c>
      <c r="E705" s="27" t="n">
        <v>8.24412514432751</v>
      </c>
      <c r="F705" s="27" t="n">
        <v>8.24412514432751</v>
      </c>
      <c r="G705" s="25" t="s">
        <v>1811</v>
      </c>
      <c r="H705" s="25" t="s">
        <v>1812</v>
      </c>
      <c r="I705" s="25" t="n">
        <f aca="false">IFERROR(IF(INDEX(Documents!$C$5:$C$657,MATCH(H705,Documents!$A$5:$A$657,0))="","",INDEX(Documents!$C$5:$C$657,MATCH(H705,Documents!$A$5:$A$657,0))),"")</f>
        <v>2010</v>
      </c>
      <c r="J705" s="25" t="str">
        <f aca="false">IFERROR(IF(INDEX(Documents!$D$5:$D$657,MATCH(H705,Documents!$A$5:$A$657,0))="","",INDEX(Documents!$D$5:$D$657,MATCH(H705,Documents!$A$5:$A$657,0))),"")</f>
        <v>Eur J Med Chem</v>
      </c>
      <c r="K705" s="25" t="str">
        <f aca="false">IFERROR(IF(INDEX(Documents!$G$5:$G$657,MATCH(H705,Documents!$A$5:$A$657,0))="","",INDEX(Documents!$G$5:$G$657,MATCH(H705,Documents!$A$5:$A$657,0))),"")</f>
        <v>10.1016/j.ejmech.2010.09.053</v>
      </c>
      <c r="L705" s="25" t="s">
        <v>1813</v>
      </c>
    </row>
    <row r="706" customFormat="false" ht="15" hidden="false" customHeight="false" outlineLevel="0" collapsed="false">
      <c r="A706" s="25" t="n">
        <v>2130227</v>
      </c>
      <c r="B706" s="25" t="s">
        <v>1816</v>
      </c>
      <c r="C706" s="25" t="s">
        <v>1817</v>
      </c>
      <c r="D706" s="26" t="n">
        <v>3759</v>
      </c>
      <c r="E706" s="27" t="n">
        <v>5.42492767428619</v>
      </c>
      <c r="F706" s="27" t="n">
        <v>5.42492767428619</v>
      </c>
      <c r="G706" s="25" t="s">
        <v>1818</v>
      </c>
      <c r="H706" s="25" t="s">
        <v>1819</v>
      </c>
      <c r="I706" s="25" t="n">
        <f aca="false">IFERROR(IF(INDEX(Documents!$C$5:$C$657,MATCH(H706,Documents!$A$5:$A$657,0))="","",INDEX(Documents!$C$5:$C$657,MATCH(H706,Documents!$A$5:$A$657,0))),"")</f>
        <v>2008</v>
      </c>
      <c r="J706" s="25" t="str">
        <f aca="false">IFERROR(IF(INDEX(Documents!$D$5:$D$657,MATCH(H706,Documents!$A$5:$A$657,0))="","",INDEX(Documents!$D$5:$D$657,MATCH(H706,Documents!$A$5:$A$657,0))),"")</f>
        <v>Bioorg Med Chem</v>
      </c>
      <c r="K706" s="25" t="str">
        <f aca="false">IFERROR(IF(INDEX(Documents!$G$5:$G$657,MATCH(H706,Documents!$A$5:$A$657,0))="","",INDEX(Documents!$G$5:$G$657,MATCH(H706,Documents!$A$5:$A$657,0))),"")</f>
        <v>10.1016/j.bmc.2007.09.033</v>
      </c>
      <c r="L706" s="25" t="s">
        <v>709</v>
      </c>
    </row>
    <row r="707" customFormat="false" ht="15" hidden="false" customHeight="false" outlineLevel="0" collapsed="false">
      <c r="A707" s="25" t="n">
        <v>2130218</v>
      </c>
      <c r="B707" s="25" t="s">
        <v>1820</v>
      </c>
      <c r="C707" s="25" t="s">
        <v>1821</v>
      </c>
      <c r="D707" s="26" t="n">
        <v>1362</v>
      </c>
      <c r="E707" s="27" t="n">
        <v>5.86582289242323</v>
      </c>
      <c r="F707" s="27" t="n">
        <v>5.86582289242323</v>
      </c>
      <c r="G707" s="25" t="s">
        <v>1818</v>
      </c>
      <c r="H707" s="25" t="s">
        <v>1819</v>
      </c>
      <c r="I707" s="25" t="n">
        <f aca="false">IFERROR(IF(INDEX(Documents!$C$5:$C$657,MATCH(H707,Documents!$A$5:$A$657,0))="","",INDEX(Documents!$C$5:$C$657,MATCH(H707,Documents!$A$5:$A$657,0))),"")</f>
        <v>2008</v>
      </c>
      <c r="J707" s="25" t="str">
        <f aca="false">IFERROR(IF(INDEX(Documents!$D$5:$D$657,MATCH(H707,Documents!$A$5:$A$657,0))="","",INDEX(Documents!$D$5:$D$657,MATCH(H707,Documents!$A$5:$A$657,0))),"")</f>
        <v>Bioorg Med Chem</v>
      </c>
      <c r="K707" s="25" t="str">
        <f aca="false">IFERROR(IF(INDEX(Documents!$G$5:$G$657,MATCH(H707,Documents!$A$5:$A$657,0))="","",INDEX(Documents!$G$5:$G$657,MATCH(H707,Documents!$A$5:$A$657,0))),"")</f>
        <v>10.1016/j.bmc.2007.09.033</v>
      </c>
      <c r="L707" s="25" t="s">
        <v>709</v>
      </c>
    </row>
    <row r="708" customFormat="false" ht="15" hidden="false" customHeight="false" outlineLevel="0" collapsed="false">
      <c r="A708" s="25" t="n">
        <v>2130235</v>
      </c>
      <c r="B708" s="25" t="s">
        <v>1822</v>
      </c>
      <c r="C708" s="25" t="s">
        <v>1823</v>
      </c>
      <c r="D708" s="26" t="n">
        <v>3972</v>
      </c>
      <c r="E708" s="27" t="n">
        <v>5.40099076017666</v>
      </c>
      <c r="F708" s="27" t="n">
        <v>5.40099076017666</v>
      </c>
      <c r="G708" s="25" t="s">
        <v>1818</v>
      </c>
      <c r="H708" s="25" t="s">
        <v>1819</v>
      </c>
      <c r="I708" s="25" t="n">
        <f aca="false">IFERROR(IF(INDEX(Documents!$C$5:$C$657,MATCH(H708,Documents!$A$5:$A$657,0))="","",INDEX(Documents!$C$5:$C$657,MATCH(H708,Documents!$A$5:$A$657,0))),"")</f>
        <v>2008</v>
      </c>
      <c r="J708" s="25" t="str">
        <f aca="false">IFERROR(IF(INDEX(Documents!$D$5:$D$657,MATCH(H708,Documents!$A$5:$A$657,0))="","",INDEX(Documents!$D$5:$D$657,MATCH(H708,Documents!$A$5:$A$657,0))),"")</f>
        <v>Bioorg Med Chem</v>
      </c>
      <c r="K708" s="25" t="str">
        <f aca="false">IFERROR(IF(INDEX(Documents!$G$5:$G$657,MATCH(H708,Documents!$A$5:$A$657,0))="","",INDEX(Documents!$G$5:$G$657,MATCH(H708,Documents!$A$5:$A$657,0))),"")</f>
        <v>10.1016/j.bmc.2007.09.033</v>
      </c>
      <c r="L708" s="25" t="s">
        <v>709</v>
      </c>
    </row>
    <row r="709" customFormat="false" ht="15" hidden="false" customHeight="false" outlineLevel="0" collapsed="false">
      <c r="A709" s="25" t="n">
        <v>24996426</v>
      </c>
      <c r="B709" s="25" t="s">
        <v>1824</v>
      </c>
      <c r="C709" s="25" t="s">
        <v>1825</v>
      </c>
      <c r="D709" s="26" t="n">
        <v>14</v>
      </c>
      <c r="E709" s="27" t="n">
        <v>7.85387196432176</v>
      </c>
      <c r="F709" s="27" t="n">
        <v>7.85387196432176</v>
      </c>
      <c r="G709" s="25" t="s">
        <v>1826</v>
      </c>
      <c r="H709" s="25" t="s">
        <v>1827</v>
      </c>
      <c r="I709" s="25" t="n">
        <f aca="false">IFERROR(IF(INDEX(Documents!$C$5:$C$657,MATCH(H709,Documents!$A$5:$A$657,0))="","",INDEX(Documents!$C$5:$C$657,MATCH(H709,Documents!$A$5:$A$657,0))),"")</f>
        <v>2020</v>
      </c>
      <c r="J709" s="25" t="str">
        <f aca="false">IFERROR(IF(INDEX(Documents!$D$5:$D$657,MATCH(H709,Documents!$A$5:$A$657,0))="","",INDEX(Documents!$D$5:$D$657,MATCH(H709,Documents!$A$5:$A$657,0))),"")</f>
        <v>J Med Chem</v>
      </c>
      <c r="K709" s="25" t="str">
        <f aca="false">IFERROR(IF(INDEX(Documents!$G$5:$G$657,MATCH(H709,Documents!$A$5:$A$657,0))="","",INDEX(Documents!$G$5:$G$657,MATCH(H709,Documents!$A$5:$A$657,0))),"")</f>
        <v>10.1021/acs.jmedchem.0c01357</v>
      </c>
      <c r="L709" s="25" t="s">
        <v>1828</v>
      </c>
    </row>
    <row r="710" customFormat="false" ht="15" hidden="false" customHeight="false" outlineLevel="0" collapsed="false">
      <c r="A710" s="25" t="n">
        <v>2504021</v>
      </c>
      <c r="B710" s="25" t="s">
        <v>1829</v>
      </c>
      <c r="C710" s="25" t="s">
        <v>1830</v>
      </c>
      <c r="D710" s="26" t="n">
        <v>1</v>
      </c>
      <c r="E710" s="27" t="n">
        <v>9</v>
      </c>
      <c r="F710" s="27" t="n">
        <v>9</v>
      </c>
      <c r="G710" s="25" t="s">
        <v>1831</v>
      </c>
      <c r="H710" s="25" t="s">
        <v>1832</v>
      </c>
      <c r="I710" s="25" t="n">
        <f aca="false">IFERROR(IF(INDEX(Documents!$C$5:$C$657,MATCH(H710,Documents!$A$5:$A$657,0))="","",INDEX(Documents!$C$5:$C$657,MATCH(H710,Documents!$A$5:$A$657,0))),"")</f>
        <v>2008</v>
      </c>
      <c r="J710" s="25" t="str">
        <f aca="false">IFERROR(IF(INDEX(Documents!$D$5:$D$657,MATCH(H710,Documents!$A$5:$A$657,0))="","",INDEX(Documents!$D$5:$D$657,MATCH(H710,Documents!$A$5:$A$657,0))),"")</f>
        <v>Bioorg Med Chem Lett</v>
      </c>
      <c r="K710" s="25" t="str">
        <f aca="false">IFERROR(IF(INDEX(Documents!$G$5:$G$657,MATCH(H710,Documents!$A$5:$A$657,0))="","",INDEX(Documents!$G$5:$G$657,MATCH(H710,Documents!$A$5:$A$657,0))),"")</f>
        <v>10.1016/j.bmcl.2008.10.070</v>
      </c>
      <c r="L710" s="25" t="s">
        <v>515</v>
      </c>
    </row>
    <row r="711" customFormat="false" ht="15" hidden="false" customHeight="false" outlineLevel="0" collapsed="false">
      <c r="A711" s="25" t="n">
        <v>15610401</v>
      </c>
      <c r="B711" s="25" t="s">
        <v>1833</v>
      </c>
      <c r="C711" s="25" t="s">
        <v>1834</v>
      </c>
      <c r="D711" s="26" t="n">
        <v>179.4</v>
      </c>
      <c r="E711" s="27" t="n">
        <v>6.74617756129193</v>
      </c>
      <c r="F711" s="27" t="n">
        <v>6.74617756129193</v>
      </c>
      <c r="G711" s="25" t="s">
        <v>948</v>
      </c>
      <c r="H711" s="25" t="s">
        <v>949</v>
      </c>
      <c r="I711" s="25" t="n">
        <f aca="false">IFERROR(IF(INDEX(Documents!$C$5:$C$657,MATCH(H711,Documents!$A$5:$A$657,0))="","",INDEX(Documents!$C$5:$C$657,MATCH(H711,Documents!$A$5:$A$657,0))),"")</f>
        <v>2015</v>
      </c>
      <c r="J711" s="25" t="str">
        <f aca="false">IFERROR(IF(INDEX(Documents!$D$5:$D$657,MATCH(H711,Documents!$A$5:$A$657,0))="","",INDEX(Documents!$D$5:$D$657,MATCH(H711,Documents!$A$5:$A$657,0))),"")</f>
        <v>J Med Chem</v>
      </c>
      <c r="K711" s="25" t="str">
        <f aca="false">IFERROR(IF(INDEX(Documents!$G$5:$G$657,MATCH(H711,Documents!$A$5:$A$657,0))="","",INDEX(Documents!$G$5:$G$657,MATCH(H711,Documents!$A$5:$A$657,0))),"")</f>
        <v>10.1021/acs.jmedchem.5b00283</v>
      </c>
      <c r="L711" s="25" t="s">
        <v>950</v>
      </c>
    </row>
    <row r="712" customFormat="false" ht="15" hidden="false" customHeight="false" outlineLevel="0" collapsed="false">
      <c r="A712" s="25" t="n">
        <v>15610400</v>
      </c>
      <c r="B712" s="25" t="s">
        <v>1835</v>
      </c>
      <c r="C712" s="25" t="s">
        <v>1836</v>
      </c>
      <c r="D712" s="26" t="n">
        <v>773.9</v>
      </c>
      <c r="E712" s="27" t="n">
        <v>6.1113151533403</v>
      </c>
      <c r="F712" s="27" t="n">
        <v>6.1113151533403</v>
      </c>
      <c r="G712" s="25" t="s">
        <v>948</v>
      </c>
      <c r="H712" s="25" t="s">
        <v>949</v>
      </c>
      <c r="I712" s="25" t="n">
        <f aca="false">IFERROR(IF(INDEX(Documents!$C$5:$C$657,MATCH(H712,Documents!$A$5:$A$657,0))="","",INDEX(Documents!$C$5:$C$657,MATCH(H712,Documents!$A$5:$A$657,0))),"")</f>
        <v>2015</v>
      </c>
      <c r="J712" s="25" t="str">
        <f aca="false">IFERROR(IF(INDEX(Documents!$D$5:$D$657,MATCH(H712,Documents!$A$5:$A$657,0))="","",INDEX(Documents!$D$5:$D$657,MATCH(H712,Documents!$A$5:$A$657,0))),"")</f>
        <v>J Med Chem</v>
      </c>
      <c r="K712" s="25" t="str">
        <f aca="false">IFERROR(IF(INDEX(Documents!$G$5:$G$657,MATCH(H712,Documents!$A$5:$A$657,0))="","",INDEX(Documents!$G$5:$G$657,MATCH(H712,Documents!$A$5:$A$657,0))),"")</f>
        <v>10.1021/acs.jmedchem.5b00283</v>
      </c>
      <c r="L712" s="25" t="s">
        <v>950</v>
      </c>
    </row>
    <row r="713" customFormat="false" ht="15" hidden="false" customHeight="false" outlineLevel="0" collapsed="false">
      <c r="A713" s="25" t="n">
        <v>29009945</v>
      </c>
      <c r="B713" s="25" t="s">
        <v>1837</v>
      </c>
      <c r="C713" s="25" t="s">
        <v>1838</v>
      </c>
      <c r="D713" s="26" t="n">
        <v>4153</v>
      </c>
      <c r="E713" s="27" t="n">
        <v>5.38163806889012</v>
      </c>
      <c r="F713" s="27" t="n">
        <v>5.38163806889012</v>
      </c>
      <c r="G713" s="25" t="s">
        <v>480</v>
      </c>
      <c r="H713" s="25" t="s">
        <v>481</v>
      </c>
      <c r="I713" s="25" t="n">
        <f aca="false">IFERROR(IF(INDEX(Documents!$C$5:$C$657,MATCH(H713,Documents!$A$5:$A$657,0))="","",INDEX(Documents!$C$5:$C$657,MATCH(H713,Documents!$A$5:$A$657,0))),"")</f>
        <v>2023</v>
      </c>
      <c r="J713" s="25" t="str">
        <f aca="false">IFERROR(IF(INDEX(Documents!$D$5:$D$657,MATCH(H713,Documents!$A$5:$A$657,0))="","",INDEX(Documents!$D$5:$D$657,MATCH(H713,Documents!$A$5:$A$657,0))),"")</f>
        <v/>
      </c>
      <c r="K713" s="25" t="str">
        <f aca="false">IFERROR(IF(INDEX(Documents!$G$5:$G$657,MATCH(H713,Documents!$A$5:$A$657,0))="","",INDEX(Documents!$G$5:$G$657,MATCH(H713,Documents!$A$5:$A$657,0))),"")</f>
        <v/>
      </c>
      <c r="L713" s="25" t="s">
        <v>482</v>
      </c>
    </row>
    <row r="714" customFormat="false" ht="15" hidden="false" customHeight="false" outlineLevel="0" collapsed="false">
      <c r="A714" s="25" t="n">
        <v>29009951</v>
      </c>
      <c r="B714" s="25" t="s">
        <v>1839</v>
      </c>
      <c r="C714" s="25" t="s">
        <v>1840</v>
      </c>
      <c r="D714" s="26" t="n">
        <v>10.9</v>
      </c>
      <c r="E714" s="27" t="n">
        <v>7.96257350205938</v>
      </c>
      <c r="F714" s="27" t="n">
        <v>7.96257350205938</v>
      </c>
      <c r="G714" s="25" t="s">
        <v>480</v>
      </c>
      <c r="H714" s="25" t="s">
        <v>481</v>
      </c>
      <c r="I714" s="25" t="n">
        <f aca="false">IFERROR(IF(INDEX(Documents!$C$5:$C$657,MATCH(H714,Documents!$A$5:$A$657,0))="","",INDEX(Documents!$C$5:$C$657,MATCH(H714,Documents!$A$5:$A$657,0))),"")</f>
        <v>2023</v>
      </c>
      <c r="J714" s="25" t="str">
        <f aca="false">IFERROR(IF(INDEX(Documents!$D$5:$D$657,MATCH(H714,Documents!$A$5:$A$657,0))="","",INDEX(Documents!$D$5:$D$657,MATCH(H714,Documents!$A$5:$A$657,0))),"")</f>
        <v/>
      </c>
      <c r="K714" s="25" t="str">
        <f aca="false">IFERROR(IF(INDEX(Documents!$G$5:$G$657,MATCH(H714,Documents!$A$5:$A$657,0))="","",INDEX(Documents!$G$5:$G$657,MATCH(H714,Documents!$A$5:$A$657,0))),"")</f>
        <v/>
      </c>
      <c r="L714" s="25" t="s">
        <v>482</v>
      </c>
    </row>
    <row r="715" customFormat="false" ht="15" hidden="false" customHeight="false" outlineLevel="0" collapsed="false">
      <c r="A715" s="25" t="n">
        <v>29009948</v>
      </c>
      <c r="B715" s="25" t="s">
        <v>1841</v>
      </c>
      <c r="C715" s="25" t="s">
        <v>1842</v>
      </c>
      <c r="D715" s="26" t="n">
        <v>3945</v>
      </c>
      <c r="E715" s="27" t="n">
        <v>5.40395299245456</v>
      </c>
      <c r="F715" s="27" t="n">
        <v>5.40395299245456</v>
      </c>
      <c r="G715" s="25" t="s">
        <v>480</v>
      </c>
      <c r="H715" s="25" t="s">
        <v>481</v>
      </c>
      <c r="I715" s="25" t="n">
        <f aca="false">IFERROR(IF(INDEX(Documents!$C$5:$C$657,MATCH(H715,Documents!$A$5:$A$657,0))="","",INDEX(Documents!$C$5:$C$657,MATCH(H715,Documents!$A$5:$A$657,0))),"")</f>
        <v>2023</v>
      </c>
      <c r="J715" s="25" t="str">
        <f aca="false">IFERROR(IF(INDEX(Documents!$D$5:$D$657,MATCH(H715,Documents!$A$5:$A$657,0))="","",INDEX(Documents!$D$5:$D$657,MATCH(H715,Documents!$A$5:$A$657,0))),"")</f>
        <v/>
      </c>
      <c r="K715" s="25" t="str">
        <f aca="false">IFERROR(IF(INDEX(Documents!$G$5:$G$657,MATCH(H715,Documents!$A$5:$A$657,0))="","",INDEX(Documents!$G$5:$G$657,MATCH(H715,Documents!$A$5:$A$657,0))),"")</f>
        <v/>
      </c>
      <c r="L715" s="25" t="s">
        <v>482</v>
      </c>
    </row>
    <row r="716" customFormat="false" ht="15" hidden="false" customHeight="false" outlineLevel="0" collapsed="false">
      <c r="A716" s="25" t="n">
        <v>29009954</v>
      </c>
      <c r="B716" s="25" t="s">
        <v>1843</v>
      </c>
      <c r="C716" s="25" t="s">
        <v>1844</v>
      </c>
      <c r="D716" s="26" t="n">
        <v>1.7</v>
      </c>
      <c r="E716" s="27" t="n">
        <v>8.76955107862173</v>
      </c>
      <c r="F716" s="27" t="n">
        <v>8.76955107862173</v>
      </c>
      <c r="G716" s="25" t="s">
        <v>480</v>
      </c>
      <c r="H716" s="25" t="s">
        <v>481</v>
      </c>
      <c r="I716" s="25" t="n">
        <f aca="false">IFERROR(IF(INDEX(Documents!$C$5:$C$657,MATCH(H716,Documents!$A$5:$A$657,0))="","",INDEX(Documents!$C$5:$C$657,MATCH(H716,Documents!$A$5:$A$657,0))),"")</f>
        <v>2023</v>
      </c>
      <c r="J716" s="25" t="str">
        <f aca="false">IFERROR(IF(INDEX(Documents!$D$5:$D$657,MATCH(H716,Documents!$A$5:$A$657,0))="","",INDEX(Documents!$D$5:$D$657,MATCH(H716,Documents!$A$5:$A$657,0))),"")</f>
        <v/>
      </c>
      <c r="K716" s="25" t="str">
        <f aca="false">IFERROR(IF(INDEX(Documents!$G$5:$G$657,MATCH(H716,Documents!$A$5:$A$657,0))="","",INDEX(Documents!$G$5:$G$657,MATCH(H716,Documents!$A$5:$A$657,0))),"")</f>
        <v/>
      </c>
      <c r="L716" s="25" t="s">
        <v>482</v>
      </c>
    </row>
    <row r="717" customFormat="false" ht="15" hidden="false" customHeight="false" outlineLevel="0" collapsed="false">
      <c r="A717" s="25" t="n">
        <v>29009930</v>
      </c>
      <c r="B717" s="25" t="s">
        <v>1845</v>
      </c>
      <c r="C717" s="25" t="s">
        <v>1846</v>
      </c>
      <c r="D717" s="26" t="n">
        <v>755</v>
      </c>
      <c r="E717" s="27" t="n">
        <v>6.12205304837081</v>
      </c>
      <c r="F717" s="27" t="n">
        <v>6.12205304837081</v>
      </c>
      <c r="G717" s="25" t="s">
        <v>480</v>
      </c>
      <c r="H717" s="25" t="s">
        <v>481</v>
      </c>
      <c r="I717" s="25" t="n">
        <f aca="false">IFERROR(IF(INDEX(Documents!$C$5:$C$657,MATCH(H717,Documents!$A$5:$A$657,0))="","",INDEX(Documents!$C$5:$C$657,MATCH(H717,Documents!$A$5:$A$657,0))),"")</f>
        <v>2023</v>
      </c>
      <c r="J717" s="25" t="str">
        <f aca="false">IFERROR(IF(INDEX(Documents!$D$5:$D$657,MATCH(H717,Documents!$A$5:$A$657,0))="","",INDEX(Documents!$D$5:$D$657,MATCH(H717,Documents!$A$5:$A$657,0))),"")</f>
        <v/>
      </c>
      <c r="K717" s="25" t="str">
        <f aca="false">IFERROR(IF(INDEX(Documents!$G$5:$G$657,MATCH(H717,Documents!$A$5:$A$657,0))="","",INDEX(Documents!$G$5:$G$657,MATCH(H717,Documents!$A$5:$A$657,0))),"")</f>
        <v/>
      </c>
      <c r="L717" s="25" t="s">
        <v>482</v>
      </c>
    </row>
    <row r="718" customFormat="false" ht="15" hidden="false" customHeight="false" outlineLevel="0" collapsed="false">
      <c r="A718" s="25" t="n">
        <v>15610406</v>
      </c>
      <c r="B718" s="25" t="s">
        <v>1847</v>
      </c>
      <c r="C718" s="25" t="s">
        <v>1848</v>
      </c>
      <c r="D718" s="26" t="n">
        <v>18.3</v>
      </c>
      <c r="E718" s="27" t="n">
        <v>7.73754891026957</v>
      </c>
      <c r="F718" s="27" t="n">
        <v>7.73754891026957</v>
      </c>
      <c r="G718" s="25" t="s">
        <v>948</v>
      </c>
      <c r="H718" s="25" t="s">
        <v>949</v>
      </c>
      <c r="I718" s="25" t="n">
        <f aca="false">IFERROR(IF(INDEX(Documents!$C$5:$C$657,MATCH(H718,Documents!$A$5:$A$657,0))="","",INDEX(Documents!$C$5:$C$657,MATCH(H718,Documents!$A$5:$A$657,0))),"")</f>
        <v>2015</v>
      </c>
      <c r="J718" s="25" t="str">
        <f aca="false">IFERROR(IF(INDEX(Documents!$D$5:$D$657,MATCH(H718,Documents!$A$5:$A$657,0))="","",INDEX(Documents!$D$5:$D$657,MATCH(H718,Documents!$A$5:$A$657,0))),"")</f>
        <v>J Med Chem</v>
      </c>
      <c r="K718" s="25" t="str">
        <f aca="false">IFERROR(IF(INDEX(Documents!$G$5:$G$657,MATCH(H718,Documents!$A$5:$A$657,0))="","",INDEX(Documents!$G$5:$G$657,MATCH(H718,Documents!$A$5:$A$657,0))),"")</f>
        <v>10.1021/acs.jmedchem.5b00283</v>
      </c>
      <c r="L718" s="25" t="s">
        <v>950</v>
      </c>
    </row>
    <row r="719" customFormat="false" ht="15" hidden="false" customHeight="false" outlineLevel="0" collapsed="false">
      <c r="A719" s="25" t="n">
        <v>15610410</v>
      </c>
      <c r="B719" s="25" t="s">
        <v>1849</v>
      </c>
      <c r="C719" s="25" t="s">
        <v>1850</v>
      </c>
      <c r="D719" s="26" t="n">
        <v>169.8</v>
      </c>
      <c r="E719" s="27" t="n">
        <v>6.77006231409207</v>
      </c>
      <c r="F719" s="27" t="n">
        <v>6.77006231409207</v>
      </c>
      <c r="G719" s="25" t="s">
        <v>948</v>
      </c>
      <c r="H719" s="25" t="s">
        <v>949</v>
      </c>
      <c r="I719" s="25" t="n">
        <f aca="false">IFERROR(IF(INDEX(Documents!$C$5:$C$657,MATCH(H719,Documents!$A$5:$A$657,0))="","",INDEX(Documents!$C$5:$C$657,MATCH(H719,Documents!$A$5:$A$657,0))),"")</f>
        <v>2015</v>
      </c>
      <c r="J719" s="25" t="str">
        <f aca="false">IFERROR(IF(INDEX(Documents!$D$5:$D$657,MATCH(H719,Documents!$A$5:$A$657,0))="","",INDEX(Documents!$D$5:$D$657,MATCH(H719,Documents!$A$5:$A$657,0))),"")</f>
        <v>J Med Chem</v>
      </c>
      <c r="K719" s="25" t="str">
        <f aca="false">IFERROR(IF(INDEX(Documents!$G$5:$G$657,MATCH(H719,Documents!$A$5:$A$657,0))="","",INDEX(Documents!$G$5:$G$657,MATCH(H719,Documents!$A$5:$A$657,0))),"")</f>
        <v>10.1021/acs.jmedchem.5b00283</v>
      </c>
      <c r="L719" s="25" t="s">
        <v>950</v>
      </c>
    </row>
    <row r="720" customFormat="false" ht="15" hidden="false" customHeight="false" outlineLevel="0" collapsed="false">
      <c r="A720" s="25" t="n">
        <v>15610405</v>
      </c>
      <c r="B720" s="25" t="s">
        <v>1851</v>
      </c>
      <c r="C720" s="25" t="s">
        <v>1852</v>
      </c>
      <c r="D720" s="26" t="n">
        <v>2064.8</v>
      </c>
      <c r="E720" s="27" t="n">
        <v>5.68512200846419</v>
      </c>
      <c r="F720" s="27" t="n">
        <v>5.68512200846419</v>
      </c>
      <c r="G720" s="25" t="s">
        <v>948</v>
      </c>
      <c r="H720" s="25" t="s">
        <v>949</v>
      </c>
      <c r="I720" s="25" t="n">
        <f aca="false">IFERROR(IF(INDEX(Documents!$C$5:$C$657,MATCH(H720,Documents!$A$5:$A$657,0))="","",INDEX(Documents!$C$5:$C$657,MATCH(H720,Documents!$A$5:$A$657,0))),"")</f>
        <v>2015</v>
      </c>
      <c r="J720" s="25" t="str">
        <f aca="false">IFERROR(IF(INDEX(Documents!$D$5:$D$657,MATCH(H720,Documents!$A$5:$A$657,0))="","",INDEX(Documents!$D$5:$D$657,MATCH(H720,Documents!$A$5:$A$657,0))),"")</f>
        <v>J Med Chem</v>
      </c>
      <c r="K720" s="25" t="str">
        <f aca="false">IFERROR(IF(INDEX(Documents!$G$5:$G$657,MATCH(H720,Documents!$A$5:$A$657,0))="","",INDEX(Documents!$G$5:$G$657,MATCH(H720,Documents!$A$5:$A$657,0))),"")</f>
        <v>10.1021/acs.jmedchem.5b00283</v>
      </c>
      <c r="L720" s="25" t="s">
        <v>950</v>
      </c>
    </row>
    <row r="721" customFormat="false" ht="15" hidden="false" customHeight="false" outlineLevel="0" collapsed="false">
      <c r="A721" s="25" t="n">
        <v>15610409</v>
      </c>
      <c r="B721" s="25" t="s">
        <v>1853</v>
      </c>
      <c r="C721" s="25" t="s">
        <v>1854</v>
      </c>
      <c r="D721" s="26" t="n">
        <v>902.3</v>
      </c>
      <c r="E721" s="27" t="n">
        <v>6.04464904263234</v>
      </c>
      <c r="F721" s="27" t="n">
        <v>6.04464904263234</v>
      </c>
      <c r="G721" s="25" t="s">
        <v>948</v>
      </c>
      <c r="H721" s="25" t="s">
        <v>949</v>
      </c>
      <c r="I721" s="25" t="n">
        <f aca="false">IFERROR(IF(INDEX(Documents!$C$5:$C$657,MATCH(H721,Documents!$A$5:$A$657,0))="","",INDEX(Documents!$C$5:$C$657,MATCH(H721,Documents!$A$5:$A$657,0))),"")</f>
        <v>2015</v>
      </c>
      <c r="J721" s="25" t="str">
        <f aca="false">IFERROR(IF(INDEX(Documents!$D$5:$D$657,MATCH(H721,Documents!$A$5:$A$657,0))="","",INDEX(Documents!$D$5:$D$657,MATCH(H721,Documents!$A$5:$A$657,0))),"")</f>
        <v>J Med Chem</v>
      </c>
      <c r="K721" s="25" t="str">
        <f aca="false">IFERROR(IF(INDEX(Documents!$G$5:$G$657,MATCH(H721,Documents!$A$5:$A$657,0))="","",INDEX(Documents!$G$5:$G$657,MATCH(H721,Documents!$A$5:$A$657,0))),"")</f>
        <v>10.1021/acs.jmedchem.5b00283</v>
      </c>
      <c r="L721" s="25" t="s">
        <v>950</v>
      </c>
    </row>
    <row r="722" customFormat="false" ht="15" hidden="false" customHeight="false" outlineLevel="0" collapsed="false">
      <c r="A722" s="25" t="n">
        <v>29009915</v>
      </c>
      <c r="B722" s="25" t="s">
        <v>1855</v>
      </c>
      <c r="C722" s="25" t="s">
        <v>1856</v>
      </c>
      <c r="D722" s="26" t="n">
        <v>18.8</v>
      </c>
      <c r="E722" s="27" t="n">
        <v>7.72584215073632</v>
      </c>
      <c r="F722" s="27" t="n">
        <v>7.72584215073632</v>
      </c>
      <c r="G722" s="25" t="s">
        <v>480</v>
      </c>
      <c r="H722" s="25" t="s">
        <v>481</v>
      </c>
      <c r="I722" s="25" t="n">
        <f aca="false">IFERROR(IF(INDEX(Documents!$C$5:$C$657,MATCH(H722,Documents!$A$5:$A$657,0))="","",INDEX(Documents!$C$5:$C$657,MATCH(H722,Documents!$A$5:$A$657,0))),"")</f>
        <v>2023</v>
      </c>
      <c r="J722" s="25" t="str">
        <f aca="false">IFERROR(IF(INDEX(Documents!$D$5:$D$657,MATCH(H722,Documents!$A$5:$A$657,0))="","",INDEX(Documents!$D$5:$D$657,MATCH(H722,Documents!$A$5:$A$657,0))),"")</f>
        <v/>
      </c>
      <c r="K722" s="25" t="str">
        <f aca="false">IFERROR(IF(INDEX(Documents!$G$5:$G$657,MATCH(H722,Documents!$A$5:$A$657,0))="","",INDEX(Documents!$G$5:$G$657,MATCH(H722,Documents!$A$5:$A$657,0))),"")</f>
        <v/>
      </c>
      <c r="L722" s="25" t="s">
        <v>482</v>
      </c>
    </row>
    <row r="723" customFormat="false" ht="15" hidden="false" customHeight="false" outlineLevel="0" collapsed="false">
      <c r="A723" s="25" t="n">
        <v>29009909</v>
      </c>
      <c r="B723" s="25" t="s">
        <v>1857</v>
      </c>
      <c r="C723" s="25" t="s">
        <v>1858</v>
      </c>
      <c r="D723" s="26" t="n">
        <v>11.4</v>
      </c>
      <c r="E723" s="27" t="n">
        <v>7.94309514866353</v>
      </c>
      <c r="F723" s="27" t="n">
        <v>7.94309514866353</v>
      </c>
      <c r="G723" s="25" t="s">
        <v>480</v>
      </c>
      <c r="H723" s="25" t="s">
        <v>481</v>
      </c>
      <c r="I723" s="25" t="n">
        <f aca="false">IFERROR(IF(INDEX(Documents!$C$5:$C$657,MATCH(H723,Documents!$A$5:$A$657,0))="","",INDEX(Documents!$C$5:$C$657,MATCH(H723,Documents!$A$5:$A$657,0))),"")</f>
        <v>2023</v>
      </c>
      <c r="J723" s="25" t="str">
        <f aca="false">IFERROR(IF(INDEX(Documents!$D$5:$D$657,MATCH(H723,Documents!$A$5:$A$657,0))="","",INDEX(Documents!$D$5:$D$657,MATCH(H723,Documents!$A$5:$A$657,0))),"")</f>
        <v/>
      </c>
      <c r="K723" s="25" t="str">
        <f aca="false">IFERROR(IF(INDEX(Documents!$G$5:$G$657,MATCH(H723,Documents!$A$5:$A$657,0))="","",INDEX(Documents!$G$5:$G$657,MATCH(H723,Documents!$A$5:$A$657,0))),"")</f>
        <v/>
      </c>
      <c r="L723" s="25" t="s">
        <v>482</v>
      </c>
    </row>
    <row r="724" customFormat="false" ht="15" hidden="false" customHeight="false" outlineLevel="0" collapsed="false">
      <c r="A724" s="25" t="n">
        <v>29009942</v>
      </c>
      <c r="B724" s="25" t="s">
        <v>1859</v>
      </c>
      <c r="C724" s="25" t="s">
        <v>1860</v>
      </c>
      <c r="D724" s="26" t="n">
        <v>130</v>
      </c>
      <c r="E724" s="27" t="n">
        <v>6.88605664769316</v>
      </c>
      <c r="F724" s="27" t="n">
        <v>6.88605664769316</v>
      </c>
      <c r="G724" s="25" t="s">
        <v>480</v>
      </c>
      <c r="H724" s="25" t="s">
        <v>481</v>
      </c>
      <c r="I724" s="25" t="n">
        <f aca="false">IFERROR(IF(INDEX(Documents!$C$5:$C$657,MATCH(H724,Documents!$A$5:$A$657,0))="","",INDEX(Documents!$C$5:$C$657,MATCH(H724,Documents!$A$5:$A$657,0))),"")</f>
        <v>2023</v>
      </c>
      <c r="J724" s="25" t="str">
        <f aca="false">IFERROR(IF(INDEX(Documents!$D$5:$D$657,MATCH(H724,Documents!$A$5:$A$657,0))="","",INDEX(Documents!$D$5:$D$657,MATCH(H724,Documents!$A$5:$A$657,0))),"")</f>
        <v/>
      </c>
      <c r="K724" s="25" t="str">
        <f aca="false">IFERROR(IF(INDEX(Documents!$G$5:$G$657,MATCH(H724,Documents!$A$5:$A$657,0))="","",INDEX(Documents!$G$5:$G$657,MATCH(H724,Documents!$A$5:$A$657,0))),"")</f>
        <v/>
      </c>
      <c r="L724" s="25" t="s">
        <v>482</v>
      </c>
    </row>
    <row r="725" customFormat="false" ht="15" hidden="false" customHeight="false" outlineLevel="0" collapsed="false">
      <c r="A725" s="25" t="n">
        <v>29009939</v>
      </c>
      <c r="B725" s="25" t="s">
        <v>1861</v>
      </c>
      <c r="C725" s="25" t="s">
        <v>1862</v>
      </c>
      <c r="D725" s="26" t="n">
        <v>1.8</v>
      </c>
      <c r="E725" s="27" t="n">
        <v>8.74472749489669</v>
      </c>
      <c r="F725" s="27" t="n">
        <v>8.74472749489669</v>
      </c>
      <c r="G725" s="25" t="s">
        <v>480</v>
      </c>
      <c r="H725" s="25" t="s">
        <v>481</v>
      </c>
      <c r="I725" s="25" t="n">
        <f aca="false">IFERROR(IF(INDEX(Documents!$C$5:$C$657,MATCH(H725,Documents!$A$5:$A$657,0))="","",INDEX(Documents!$C$5:$C$657,MATCH(H725,Documents!$A$5:$A$657,0))),"")</f>
        <v>2023</v>
      </c>
      <c r="J725" s="25" t="str">
        <f aca="false">IFERROR(IF(INDEX(Documents!$D$5:$D$657,MATCH(H725,Documents!$A$5:$A$657,0))="","",INDEX(Documents!$D$5:$D$657,MATCH(H725,Documents!$A$5:$A$657,0))),"")</f>
        <v/>
      </c>
      <c r="K725" s="25" t="str">
        <f aca="false">IFERROR(IF(INDEX(Documents!$G$5:$G$657,MATCH(H725,Documents!$A$5:$A$657,0))="","",INDEX(Documents!$G$5:$G$657,MATCH(H725,Documents!$A$5:$A$657,0))),"")</f>
        <v/>
      </c>
      <c r="L725" s="25" t="s">
        <v>482</v>
      </c>
    </row>
    <row r="726" customFormat="false" ht="15" hidden="false" customHeight="false" outlineLevel="0" collapsed="false">
      <c r="A726" s="25" t="n">
        <v>29009924</v>
      </c>
      <c r="B726" s="25" t="s">
        <v>1863</v>
      </c>
      <c r="C726" s="25" t="s">
        <v>1864</v>
      </c>
      <c r="D726" s="26" t="n">
        <v>0.8</v>
      </c>
      <c r="E726" s="27" t="n">
        <v>9.09691001300806</v>
      </c>
      <c r="F726" s="27" t="n">
        <v>9.1259059864969</v>
      </c>
      <c r="G726" s="25" t="s">
        <v>480</v>
      </c>
      <c r="H726" s="25" t="s">
        <v>481</v>
      </c>
      <c r="I726" s="25" t="n">
        <f aca="false">IFERROR(IF(INDEX(Documents!$C$5:$C$657,MATCH(H726,Documents!$A$5:$A$657,0))="","",INDEX(Documents!$C$5:$C$657,MATCH(H726,Documents!$A$5:$A$657,0))),"")</f>
        <v>2023</v>
      </c>
      <c r="J726" s="25" t="str">
        <f aca="false">IFERROR(IF(INDEX(Documents!$D$5:$D$657,MATCH(H726,Documents!$A$5:$A$657,0))="","",INDEX(Documents!$D$5:$D$657,MATCH(H726,Documents!$A$5:$A$657,0))),"")</f>
        <v/>
      </c>
      <c r="K726" s="25" t="str">
        <f aca="false">IFERROR(IF(INDEX(Documents!$G$5:$G$657,MATCH(H726,Documents!$A$5:$A$657,0))="","",INDEX(Documents!$G$5:$G$657,MATCH(H726,Documents!$A$5:$A$657,0))),"")</f>
        <v/>
      </c>
      <c r="L726" s="25" t="s">
        <v>482</v>
      </c>
    </row>
    <row r="727" customFormat="false" ht="15" hidden="false" customHeight="false" outlineLevel="0" collapsed="false">
      <c r="A727" s="25" t="n">
        <v>29009912</v>
      </c>
      <c r="B727" s="25" t="s">
        <v>1863</v>
      </c>
      <c r="C727" s="25" t="s">
        <v>1864</v>
      </c>
      <c r="D727" s="26" t="n">
        <v>0.7</v>
      </c>
      <c r="E727" s="27" t="n">
        <v>9.15490195998575</v>
      </c>
      <c r="F727" s="27" t="n">
        <v>9.1259059864969</v>
      </c>
      <c r="G727" s="25" t="s">
        <v>480</v>
      </c>
      <c r="H727" s="25" t="s">
        <v>481</v>
      </c>
      <c r="I727" s="25" t="n">
        <f aca="false">IFERROR(IF(INDEX(Documents!$C$5:$C$657,MATCH(H727,Documents!$A$5:$A$657,0))="","",INDEX(Documents!$C$5:$C$657,MATCH(H727,Documents!$A$5:$A$657,0))),"")</f>
        <v>2023</v>
      </c>
      <c r="J727" s="25" t="str">
        <f aca="false">IFERROR(IF(INDEX(Documents!$D$5:$D$657,MATCH(H727,Documents!$A$5:$A$657,0))="","",INDEX(Documents!$D$5:$D$657,MATCH(H727,Documents!$A$5:$A$657,0))),"")</f>
        <v/>
      </c>
      <c r="K727" s="25" t="str">
        <f aca="false">IFERROR(IF(INDEX(Documents!$G$5:$G$657,MATCH(H727,Documents!$A$5:$A$657,0))="","",INDEX(Documents!$G$5:$G$657,MATCH(H727,Documents!$A$5:$A$657,0))),"")</f>
        <v/>
      </c>
      <c r="L727" s="25" t="s">
        <v>482</v>
      </c>
    </row>
    <row r="728" customFormat="false" ht="15" hidden="false" customHeight="false" outlineLevel="0" collapsed="false">
      <c r="A728" s="25" t="n">
        <v>29009936</v>
      </c>
      <c r="B728" s="25" t="s">
        <v>1865</v>
      </c>
      <c r="C728" s="25" t="s">
        <v>1866</v>
      </c>
      <c r="D728" s="26" t="n">
        <v>65.5</v>
      </c>
      <c r="E728" s="27" t="n">
        <v>7.18375870000822</v>
      </c>
      <c r="F728" s="27" t="n">
        <v>7.42465247442864</v>
      </c>
      <c r="G728" s="25" t="s">
        <v>480</v>
      </c>
      <c r="H728" s="25" t="s">
        <v>481</v>
      </c>
      <c r="I728" s="25" t="n">
        <f aca="false">IFERROR(IF(INDEX(Documents!$C$5:$C$657,MATCH(H728,Documents!$A$5:$A$657,0))="","",INDEX(Documents!$C$5:$C$657,MATCH(H728,Documents!$A$5:$A$657,0))),"")</f>
        <v>2023</v>
      </c>
      <c r="J728" s="25" t="str">
        <f aca="false">IFERROR(IF(INDEX(Documents!$D$5:$D$657,MATCH(H728,Documents!$A$5:$A$657,0))="","",INDEX(Documents!$D$5:$D$657,MATCH(H728,Documents!$A$5:$A$657,0))),"")</f>
        <v/>
      </c>
      <c r="K728" s="25" t="str">
        <f aca="false">IFERROR(IF(INDEX(Documents!$G$5:$G$657,MATCH(H728,Documents!$A$5:$A$657,0))="","",INDEX(Documents!$G$5:$G$657,MATCH(H728,Documents!$A$5:$A$657,0))),"")</f>
        <v/>
      </c>
      <c r="L728" s="25" t="s">
        <v>482</v>
      </c>
    </row>
    <row r="729" customFormat="false" ht="15" hidden="false" customHeight="false" outlineLevel="0" collapsed="false">
      <c r="A729" s="25" t="n">
        <v>29009933</v>
      </c>
      <c r="B729" s="25" t="s">
        <v>1865</v>
      </c>
      <c r="C729" s="25" t="s">
        <v>1866</v>
      </c>
      <c r="D729" s="26" t="n">
        <v>21.6</v>
      </c>
      <c r="E729" s="27" t="n">
        <v>7.66554624884907</v>
      </c>
      <c r="F729" s="27" t="n">
        <v>7.42465247442864</v>
      </c>
      <c r="G729" s="25" t="s">
        <v>480</v>
      </c>
      <c r="H729" s="25" t="s">
        <v>481</v>
      </c>
      <c r="I729" s="25" t="n">
        <f aca="false">IFERROR(IF(INDEX(Documents!$C$5:$C$657,MATCH(H729,Documents!$A$5:$A$657,0))="","",INDEX(Documents!$C$5:$C$657,MATCH(H729,Documents!$A$5:$A$657,0))),"")</f>
        <v>2023</v>
      </c>
      <c r="J729" s="25" t="str">
        <f aca="false">IFERROR(IF(INDEX(Documents!$D$5:$D$657,MATCH(H729,Documents!$A$5:$A$657,0))="","",INDEX(Documents!$D$5:$D$657,MATCH(H729,Documents!$A$5:$A$657,0))),"")</f>
        <v/>
      </c>
      <c r="K729" s="25" t="str">
        <f aca="false">IFERROR(IF(INDEX(Documents!$G$5:$G$657,MATCH(H729,Documents!$A$5:$A$657,0))="","",INDEX(Documents!$G$5:$G$657,MATCH(H729,Documents!$A$5:$A$657,0))),"")</f>
        <v/>
      </c>
      <c r="L729" s="25" t="s">
        <v>482</v>
      </c>
    </row>
    <row r="730" customFormat="false" ht="15" hidden="false" customHeight="false" outlineLevel="0" collapsed="false">
      <c r="A730" s="25" t="n">
        <v>29009906</v>
      </c>
      <c r="B730" s="25" t="s">
        <v>1867</v>
      </c>
      <c r="C730" s="25" t="s">
        <v>1868</v>
      </c>
      <c r="D730" s="26" t="n">
        <v>0.3</v>
      </c>
      <c r="E730" s="27" t="n">
        <v>9.52287874528034</v>
      </c>
      <c r="F730" s="27" t="n">
        <v>9.52287874528034</v>
      </c>
      <c r="G730" s="25" t="s">
        <v>480</v>
      </c>
      <c r="H730" s="25" t="s">
        <v>481</v>
      </c>
      <c r="I730" s="25" t="n">
        <f aca="false">IFERROR(IF(INDEX(Documents!$C$5:$C$657,MATCH(H730,Documents!$A$5:$A$657,0))="","",INDEX(Documents!$C$5:$C$657,MATCH(H730,Documents!$A$5:$A$657,0))),"")</f>
        <v>2023</v>
      </c>
      <c r="J730" s="25" t="str">
        <f aca="false">IFERROR(IF(INDEX(Documents!$D$5:$D$657,MATCH(H730,Documents!$A$5:$A$657,0))="","",INDEX(Documents!$D$5:$D$657,MATCH(H730,Documents!$A$5:$A$657,0))),"")</f>
        <v/>
      </c>
      <c r="K730" s="25" t="str">
        <f aca="false">IFERROR(IF(INDEX(Documents!$G$5:$G$657,MATCH(H730,Documents!$A$5:$A$657,0))="","",INDEX(Documents!$G$5:$G$657,MATCH(H730,Documents!$A$5:$A$657,0))),"")</f>
        <v/>
      </c>
      <c r="L730" s="25" t="s">
        <v>482</v>
      </c>
    </row>
    <row r="731" customFormat="false" ht="15" hidden="false" customHeight="false" outlineLevel="0" collapsed="false">
      <c r="A731" s="25" t="n">
        <v>29009960</v>
      </c>
      <c r="B731" s="25" t="s">
        <v>1869</v>
      </c>
      <c r="C731" s="25" t="s">
        <v>1870</v>
      </c>
      <c r="D731" s="26" t="n">
        <v>246</v>
      </c>
      <c r="E731" s="27" t="n">
        <v>6.60906489289662</v>
      </c>
      <c r="F731" s="27" t="n">
        <v>6.60906489289662</v>
      </c>
      <c r="G731" s="25" t="s">
        <v>480</v>
      </c>
      <c r="H731" s="25" t="s">
        <v>481</v>
      </c>
      <c r="I731" s="25" t="n">
        <f aca="false">IFERROR(IF(INDEX(Documents!$C$5:$C$657,MATCH(H731,Documents!$A$5:$A$657,0))="","",INDEX(Documents!$C$5:$C$657,MATCH(H731,Documents!$A$5:$A$657,0))),"")</f>
        <v>2023</v>
      </c>
      <c r="J731" s="25" t="str">
        <f aca="false">IFERROR(IF(INDEX(Documents!$D$5:$D$657,MATCH(H731,Documents!$A$5:$A$657,0))="","",INDEX(Documents!$D$5:$D$657,MATCH(H731,Documents!$A$5:$A$657,0))),"")</f>
        <v/>
      </c>
      <c r="K731" s="25" t="str">
        <f aca="false">IFERROR(IF(INDEX(Documents!$G$5:$G$657,MATCH(H731,Documents!$A$5:$A$657,0))="","",INDEX(Documents!$G$5:$G$657,MATCH(H731,Documents!$A$5:$A$657,0))),"")</f>
        <v/>
      </c>
      <c r="L731" s="25" t="s">
        <v>482</v>
      </c>
    </row>
    <row r="732" customFormat="false" ht="15" hidden="false" customHeight="false" outlineLevel="0" collapsed="false">
      <c r="A732" s="25" t="n">
        <v>29009957</v>
      </c>
      <c r="B732" s="25" t="s">
        <v>1871</v>
      </c>
      <c r="C732" s="25" t="s">
        <v>1872</v>
      </c>
      <c r="D732" s="26" t="n">
        <v>11.7</v>
      </c>
      <c r="E732" s="27" t="n">
        <v>7.93181413825384</v>
      </c>
      <c r="F732" s="27" t="n">
        <v>7.93181413825384</v>
      </c>
      <c r="G732" s="25" t="s">
        <v>480</v>
      </c>
      <c r="H732" s="25" t="s">
        <v>481</v>
      </c>
      <c r="I732" s="25" t="n">
        <f aca="false">IFERROR(IF(INDEX(Documents!$C$5:$C$657,MATCH(H732,Documents!$A$5:$A$657,0))="","",INDEX(Documents!$C$5:$C$657,MATCH(H732,Documents!$A$5:$A$657,0))),"")</f>
        <v>2023</v>
      </c>
      <c r="J732" s="25" t="str">
        <f aca="false">IFERROR(IF(INDEX(Documents!$D$5:$D$657,MATCH(H732,Documents!$A$5:$A$657,0))="","",INDEX(Documents!$D$5:$D$657,MATCH(H732,Documents!$A$5:$A$657,0))),"")</f>
        <v/>
      </c>
      <c r="K732" s="25" t="str">
        <f aca="false">IFERROR(IF(INDEX(Documents!$G$5:$G$657,MATCH(H732,Documents!$A$5:$A$657,0))="","",INDEX(Documents!$G$5:$G$657,MATCH(H732,Documents!$A$5:$A$657,0))),"")</f>
        <v/>
      </c>
      <c r="L732" s="25" t="s">
        <v>482</v>
      </c>
    </row>
    <row r="733" customFormat="false" ht="15" hidden="false" customHeight="false" outlineLevel="0" collapsed="false">
      <c r="A733" s="25" t="n">
        <v>29009969</v>
      </c>
      <c r="B733" s="25" t="s">
        <v>1873</v>
      </c>
      <c r="C733" s="25" t="s">
        <v>1874</v>
      </c>
      <c r="D733" s="26" t="n">
        <v>1388</v>
      </c>
      <c r="E733" s="27" t="n">
        <v>5.85761053388116</v>
      </c>
      <c r="F733" s="27" t="n">
        <v>5.85761053388116</v>
      </c>
      <c r="G733" s="25" t="s">
        <v>480</v>
      </c>
      <c r="H733" s="25" t="s">
        <v>481</v>
      </c>
      <c r="I733" s="25" t="n">
        <f aca="false">IFERROR(IF(INDEX(Documents!$C$5:$C$657,MATCH(H733,Documents!$A$5:$A$657,0))="","",INDEX(Documents!$C$5:$C$657,MATCH(H733,Documents!$A$5:$A$657,0))),"")</f>
        <v>2023</v>
      </c>
      <c r="J733" s="25" t="str">
        <f aca="false">IFERROR(IF(INDEX(Documents!$D$5:$D$657,MATCH(H733,Documents!$A$5:$A$657,0))="","",INDEX(Documents!$D$5:$D$657,MATCH(H733,Documents!$A$5:$A$657,0))),"")</f>
        <v/>
      </c>
      <c r="K733" s="25" t="str">
        <f aca="false">IFERROR(IF(INDEX(Documents!$G$5:$G$657,MATCH(H733,Documents!$A$5:$A$657,0))="","",INDEX(Documents!$G$5:$G$657,MATCH(H733,Documents!$A$5:$A$657,0))),"")</f>
        <v/>
      </c>
      <c r="L733" s="25" t="s">
        <v>482</v>
      </c>
    </row>
    <row r="734" customFormat="false" ht="15" hidden="false" customHeight="false" outlineLevel="0" collapsed="false">
      <c r="A734" s="25" t="n">
        <v>29009966</v>
      </c>
      <c r="B734" s="25" t="s">
        <v>1875</v>
      </c>
      <c r="C734" s="25" t="s">
        <v>1876</v>
      </c>
      <c r="D734" s="26" t="n">
        <v>607</v>
      </c>
      <c r="E734" s="27" t="n">
        <v>6.21681130892474</v>
      </c>
      <c r="F734" s="27" t="n">
        <v>6.21681130892474</v>
      </c>
      <c r="G734" s="25" t="s">
        <v>480</v>
      </c>
      <c r="H734" s="25" t="s">
        <v>481</v>
      </c>
      <c r="I734" s="25" t="n">
        <f aca="false">IFERROR(IF(INDEX(Documents!$C$5:$C$657,MATCH(H734,Documents!$A$5:$A$657,0))="","",INDEX(Documents!$C$5:$C$657,MATCH(H734,Documents!$A$5:$A$657,0))),"")</f>
        <v>2023</v>
      </c>
      <c r="J734" s="25" t="str">
        <f aca="false">IFERROR(IF(INDEX(Documents!$D$5:$D$657,MATCH(H734,Documents!$A$5:$A$657,0))="","",INDEX(Documents!$D$5:$D$657,MATCH(H734,Documents!$A$5:$A$657,0))),"")</f>
        <v/>
      </c>
      <c r="K734" s="25" t="str">
        <f aca="false">IFERROR(IF(INDEX(Documents!$G$5:$G$657,MATCH(H734,Documents!$A$5:$A$657,0))="","",INDEX(Documents!$G$5:$G$657,MATCH(H734,Documents!$A$5:$A$657,0))),"")</f>
        <v/>
      </c>
      <c r="L734" s="25" t="s">
        <v>482</v>
      </c>
    </row>
    <row r="735" customFormat="false" ht="15" hidden="false" customHeight="false" outlineLevel="0" collapsed="false">
      <c r="A735" s="25" t="n">
        <v>29009963</v>
      </c>
      <c r="B735" s="25" t="s">
        <v>1877</v>
      </c>
      <c r="C735" s="25" t="s">
        <v>1878</v>
      </c>
      <c r="D735" s="26" t="n">
        <v>348</v>
      </c>
      <c r="E735" s="27" t="n">
        <v>6.45842075605342</v>
      </c>
      <c r="F735" s="27" t="n">
        <v>6.45842075605342</v>
      </c>
      <c r="G735" s="25" t="s">
        <v>480</v>
      </c>
      <c r="H735" s="25" t="s">
        <v>481</v>
      </c>
      <c r="I735" s="25" t="n">
        <f aca="false">IFERROR(IF(INDEX(Documents!$C$5:$C$657,MATCH(H735,Documents!$A$5:$A$657,0))="","",INDEX(Documents!$C$5:$C$657,MATCH(H735,Documents!$A$5:$A$657,0))),"")</f>
        <v>2023</v>
      </c>
      <c r="J735" s="25" t="str">
        <f aca="false">IFERROR(IF(INDEX(Documents!$D$5:$D$657,MATCH(H735,Documents!$A$5:$A$657,0))="","",INDEX(Documents!$D$5:$D$657,MATCH(H735,Documents!$A$5:$A$657,0))),"")</f>
        <v/>
      </c>
      <c r="K735" s="25" t="str">
        <f aca="false">IFERROR(IF(INDEX(Documents!$G$5:$G$657,MATCH(H735,Documents!$A$5:$A$657,0))="","",INDEX(Documents!$G$5:$G$657,MATCH(H735,Documents!$A$5:$A$657,0))),"")</f>
        <v/>
      </c>
      <c r="L735" s="25" t="s">
        <v>482</v>
      </c>
    </row>
    <row r="736" customFormat="false" ht="15" hidden="false" customHeight="false" outlineLevel="0" collapsed="false">
      <c r="A736" s="25" t="n">
        <v>1617784</v>
      </c>
      <c r="B736" s="25" t="s">
        <v>1879</v>
      </c>
      <c r="C736" s="25" t="s">
        <v>1880</v>
      </c>
      <c r="D736" s="26" t="n">
        <v>76</v>
      </c>
      <c r="E736" s="27" t="n">
        <v>7.11918640771921</v>
      </c>
      <c r="F736" s="27" t="n">
        <v>7.11918640771921</v>
      </c>
      <c r="G736" s="25" t="s">
        <v>444</v>
      </c>
      <c r="H736" s="25" t="s">
        <v>445</v>
      </c>
      <c r="I736" s="25" t="n">
        <f aca="false">IFERROR(IF(INDEX(Documents!$C$5:$C$657,MATCH(H736,Documents!$A$5:$A$657,0))="","",INDEX(Documents!$C$5:$C$657,MATCH(H736,Documents!$A$5:$A$657,0))),"")</f>
        <v>2005</v>
      </c>
      <c r="J736" s="25" t="str">
        <f aca="false">IFERROR(IF(INDEX(Documents!$D$5:$D$657,MATCH(H736,Documents!$A$5:$A$657,0))="","",INDEX(Documents!$D$5:$D$657,MATCH(H736,Documents!$A$5:$A$657,0))),"")</f>
        <v>Bioorg Med Chem Lett</v>
      </c>
      <c r="K736" s="25" t="str">
        <f aca="false">IFERROR(IF(INDEX(Documents!$G$5:$G$657,MATCH(H736,Documents!$A$5:$A$657,0))="","",INDEX(Documents!$G$5:$G$657,MATCH(H736,Documents!$A$5:$A$657,0))),"")</f>
        <v>10.1016/j.bmcl.2005.07.023</v>
      </c>
      <c r="L736" s="25" t="s">
        <v>446</v>
      </c>
    </row>
    <row r="737" customFormat="false" ht="15" hidden="false" customHeight="false" outlineLevel="0" collapsed="false">
      <c r="A737" s="25" t="n">
        <v>15058670</v>
      </c>
      <c r="B737" s="25" t="s">
        <v>1881</v>
      </c>
      <c r="C737" s="25" t="s">
        <v>1882</v>
      </c>
      <c r="D737" s="26" t="n">
        <v>1210</v>
      </c>
      <c r="E737" s="27" t="n">
        <v>5.91721462968355</v>
      </c>
      <c r="F737" s="27" t="n">
        <v>5.91721462968355</v>
      </c>
      <c r="G737" s="25" t="s">
        <v>592</v>
      </c>
      <c r="H737" s="25" t="s">
        <v>593</v>
      </c>
      <c r="I737" s="25" t="n">
        <f aca="false">IFERROR(IF(INDEX(Documents!$C$5:$C$657,MATCH(H737,Documents!$A$5:$A$657,0))="","",INDEX(Documents!$C$5:$C$657,MATCH(H737,Documents!$A$5:$A$657,0))),"")</f>
        <v>2014</v>
      </c>
      <c r="J737" s="25" t="str">
        <f aca="false">IFERROR(IF(INDEX(Documents!$D$5:$D$657,MATCH(H737,Documents!$A$5:$A$657,0))="","",INDEX(Documents!$D$5:$D$657,MATCH(H737,Documents!$A$5:$A$657,0))),"")</f>
        <v>J Nat Prod</v>
      </c>
      <c r="K737" s="25" t="str">
        <f aca="false">IFERROR(IF(INDEX(Documents!$G$5:$G$657,MATCH(H737,Documents!$A$5:$A$657,0))="","",INDEX(Documents!$G$5:$G$657,MATCH(H737,Documents!$A$5:$A$657,0))),"")</f>
        <v>10.1021/np500292g</v>
      </c>
      <c r="L737" s="25" t="s">
        <v>594</v>
      </c>
    </row>
    <row r="738" customFormat="false" ht="15" hidden="false" customHeight="false" outlineLevel="0" collapsed="false">
      <c r="A738" s="25" t="n">
        <v>15058672</v>
      </c>
      <c r="B738" s="25" t="s">
        <v>1883</v>
      </c>
      <c r="C738" s="25" t="s">
        <v>1884</v>
      </c>
      <c r="D738" s="26" t="n">
        <v>9180</v>
      </c>
      <c r="E738" s="27" t="n">
        <v>5.03715731879876</v>
      </c>
      <c r="F738" s="27" t="n">
        <v>5.03715731879876</v>
      </c>
      <c r="G738" s="25" t="s">
        <v>592</v>
      </c>
      <c r="H738" s="25" t="s">
        <v>593</v>
      </c>
      <c r="I738" s="25" t="n">
        <f aca="false">IFERROR(IF(INDEX(Documents!$C$5:$C$657,MATCH(H738,Documents!$A$5:$A$657,0))="","",INDEX(Documents!$C$5:$C$657,MATCH(H738,Documents!$A$5:$A$657,0))),"")</f>
        <v>2014</v>
      </c>
      <c r="J738" s="25" t="str">
        <f aca="false">IFERROR(IF(INDEX(Documents!$D$5:$D$657,MATCH(H738,Documents!$A$5:$A$657,0))="","",INDEX(Documents!$D$5:$D$657,MATCH(H738,Documents!$A$5:$A$657,0))),"")</f>
        <v>J Nat Prod</v>
      </c>
      <c r="K738" s="25" t="str">
        <f aca="false">IFERROR(IF(INDEX(Documents!$G$5:$G$657,MATCH(H738,Documents!$A$5:$A$657,0))="","",INDEX(Documents!$G$5:$G$657,MATCH(H738,Documents!$A$5:$A$657,0))),"")</f>
        <v>10.1021/np500292g</v>
      </c>
      <c r="L738" s="25" t="s">
        <v>594</v>
      </c>
    </row>
    <row r="739" customFormat="false" ht="15" hidden="false" customHeight="false" outlineLevel="0" collapsed="false">
      <c r="A739" s="25" t="n">
        <v>3011906</v>
      </c>
      <c r="B739" s="25" t="s">
        <v>1885</v>
      </c>
      <c r="C739" s="25" t="s">
        <v>1886</v>
      </c>
      <c r="D739" s="26" t="n">
        <v>63</v>
      </c>
      <c r="E739" s="27" t="n">
        <v>7.20065945054642</v>
      </c>
      <c r="F739" s="27" t="n">
        <v>7.20065945054642</v>
      </c>
      <c r="G739" s="25" t="s">
        <v>1780</v>
      </c>
      <c r="H739" s="25" t="s">
        <v>1781</v>
      </c>
      <c r="I739" s="25" t="n">
        <f aca="false">IFERROR(IF(INDEX(Documents!$C$5:$C$657,MATCH(H739,Documents!$A$5:$A$657,0))="","",INDEX(Documents!$C$5:$C$657,MATCH(H739,Documents!$A$5:$A$657,0))),"")</f>
        <v>2009</v>
      </c>
      <c r="J739" s="25" t="str">
        <f aca="false">IFERROR(IF(INDEX(Documents!$D$5:$D$657,MATCH(H739,Documents!$A$5:$A$657,0))="","",INDEX(Documents!$D$5:$D$657,MATCH(H739,Documents!$A$5:$A$657,0))),"")</f>
        <v>Bioorg Med Chem Lett</v>
      </c>
      <c r="K739" s="25" t="str">
        <f aca="false">IFERROR(IF(INDEX(Documents!$G$5:$G$657,MATCH(H739,Documents!$A$5:$A$657,0))="","",INDEX(Documents!$G$5:$G$657,MATCH(H739,Documents!$A$5:$A$657,0))),"")</f>
        <v>10.1016/j.bmcl.2009.08.063</v>
      </c>
      <c r="L739" s="25" t="s">
        <v>1782</v>
      </c>
    </row>
    <row r="740" customFormat="false" ht="15" hidden="false" customHeight="false" outlineLevel="0" collapsed="false">
      <c r="A740" s="25" t="n">
        <v>3011907</v>
      </c>
      <c r="B740" s="25" t="s">
        <v>1887</v>
      </c>
      <c r="C740" s="25" t="s">
        <v>1888</v>
      </c>
      <c r="D740" s="26" t="n">
        <v>45</v>
      </c>
      <c r="E740" s="27" t="n">
        <v>7.34678748622466</v>
      </c>
      <c r="F740" s="27" t="n">
        <v>7.34678748622466</v>
      </c>
      <c r="G740" s="25" t="s">
        <v>1780</v>
      </c>
      <c r="H740" s="25" t="s">
        <v>1781</v>
      </c>
      <c r="I740" s="25" t="n">
        <f aca="false">IFERROR(IF(INDEX(Documents!$C$5:$C$657,MATCH(H740,Documents!$A$5:$A$657,0))="","",INDEX(Documents!$C$5:$C$657,MATCH(H740,Documents!$A$5:$A$657,0))),"")</f>
        <v>2009</v>
      </c>
      <c r="J740" s="25" t="str">
        <f aca="false">IFERROR(IF(INDEX(Documents!$D$5:$D$657,MATCH(H740,Documents!$A$5:$A$657,0))="","",INDEX(Documents!$D$5:$D$657,MATCH(H740,Documents!$A$5:$A$657,0))),"")</f>
        <v>Bioorg Med Chem Lett</v>
      </c>
      <c r="K740" s="25" t="str">
        <f aca="false">IFERROR(IF(INDEX(Documents!$G$5:$G$657,MATCH(H740,Documents!$A$5:$A$657,0))="","",INDEX(Documents!$G$5:$G$657,MATCH(H740,Documents!$A$5:$A$657,0))),"")</f>
        <v>10.1016/j.bmcl.2009.08.063</v>
      </c>
      <c r="L740" s="25" t="s">
        <v>1782</v>
      </c>
    </row>
    <row r="741" customFormat="false" ht="15" hidden="false" customHeight="false" outlineLevel="0" collapsed="false">
      <c r="A741" s="25" t="n">
        <v>3011908</v>
      </c>
      <c r="B741" s="25" t="s">
        <v>1889</v>
      </c>
      <c r="C741" s="25" t="s">
        <v>1890</v>
      </c>
      <c r="D741" s="26" t="n">
        <v>13</v>
      </c>
      <c r="E741" s="27" t="n">
        <v>7.88605664769316</v>
      </c>
      <c r="F741" s="27" t="n">
        <v>7.88605664769316</v>
      </c>
      <c r="G741" s="25" t="s">
        <v>1780</v>
      </c>
      <c r="H741" s="25" t="s">
        <v>1781</v>
      </c>
      <c r="I741" s="25" t="n">
        <f aca="false">IFERROR(IF(INDEX(Documents!$C$5:$C$657,MATCH(H741,Documents!$A$5:$A$657,0))="","",INDEX(Documents!$C$5:$C$657,MATCH(H741,Documents!$A$5:$A$657,0))),"")</f>
        <v>2009</v>
      </c>
      <c r="J741" s="25" t="str">
        <f aca="false">IFERROR(IF(INDEX(Documents!$D$5:$D$657,MATCH(H741,Documents!$A$5:$A$657,0))="","",INDEX(Documents!$D$5:$D$657,MATCH(H741,Documents!$A$5:$A$657,0))),"")</f>
        <v>Bioorg Med Chem Lett</v>
      </c>
      <c r="K741" s="25" t="str">
        <f aca="false">IFERROR(IF(INDEX(Documents!$G$5:$G$657,MATCH(H741,Documents!$A$5:$A$657,0))="","",INDEX(Documents!$G$5:$G$657,MATCH(H741,Documents!$A$5:$A$657,0))),"")</f>
        <v>10.1016/j.bmcl.2009.08.063</v>
      </c>
      <c r="L741" s="25" t="s">
        <v>1782</v>
      </c>
    </row>
    <row r="742" customFormat="false" ht="15" hidden="false" customHeight="false" outlineLevel="0" collapsed="false">
      <c r="A742" s="25" t="n">
        <v>3011909</v>
      </c>
      <c r="B742" s="25" t="s">
        <v>1891</v>
      </c>
      <c r="C742" s="25" t="s">
        <v>1892</v>
      </c>
      <c r="D742" s="26" t="n">
        <v>7</v>
      </c>
      <c r="E742" s="27" t="n">
        <v>8.15490195998574</v>
      </c>
      <c r="F742" s="27" t="n">
        <v>8.15490195998574</v>
      </c>
      <c r="G742" s="25" t="s">
        <v>1780</v>
      </c>
      <c r="H742" s="25" t="s">
        <v>1781</v>
      </c>
      <c r="I742" s="25" t="n">
        <f aca="false">IFERROR(IF(INDEX(Documents!$C$5:$C$657,MATCH(H742,Documents!$A$5:$A$657,0))="","",INDEX(Documents!$C$5:$C$657,MATCH(H742,Documents!$A$5:$A$657,0))),"")</f>
        <v>2009</v>
      </c>
      <c r="J742" s="25" t="str">
        <f aca="false">IFERROR(IF(INDEX(Documents!$D$5:$D$657,MATCH(H742,Documents!$A$5:$A$657,0))="","",INDEX(Documents!$D$5:$D$657,MATCH(H742,Documents!$A$5:$A$657,0))),"")</f>
        <v>Bioorg Med Chem Lett</v>
      </c>
      <c r="K742" s="25" t="str">
        <f aca="false">IFERROR(IF(INDEX(Documents!$G$5:$G$657,MATCH(H742,Documents!$A$5:$A$657,0))="","",INDEX(Documents!$G$5:$G$657,MATCH(H742,Documents!$A$5:$A$657,0))),"")</f>
        <v>10.1016/j.bmcl.2009.08.063</v>
      </c>
      <c r="L742" s="25" t="s">
        <v>1782</v>
      </c>
    </row>
    <row r="743" customFormat="false" ht="15" hidden="false" customHeight="false" outlineLevel="0" collapsed="false">
      <c r="A743" s="25" t="n">
        <v>1969366</v>
      </c>
      <c r="B743" s="25" t="s">
        <v>1893</v>
      </c>
      <c r="C743" s="25" t="s">
        <v>1894</v>
      </c>
      <c r="D743" s="26" t="n">
        <v>9</v>
      </c>
      <c r="E743" s="27" t="n">
        <v>8.04575749056068</v>
      </c>
      <c r="F743" s="27" t="n">
        <v>8.04575749056068</v>
      </c>
      <c r="G743" s="25" t="s">
        <v>1895</v>
      </c>
      <c r="H743" s="25" t="s">
        <v>1896</v>
      </c>
      <c r="I743" s="25" t="n">
        <f aca="false">IFERROR(IF(INDEX(Documents!$C$5:$C$657,MATCH(H743,Documents!$A$5:$A$657,0))="","",INDEX(Documents!$C$5:$C$657,MATCH(H743,Documents!$A$5:$A$657,0))),"")</f>
        <v>2007</v>
      </c>
      <c r="J743" s="25" t="str">
        <f aca="false">IFERROR(IF(INDEX(Documents!$D$5:$D$657,MATCH(H743,Documents!$A$5:$A$657,0))="","",INDEX(Documents!$D$5:$D$657,MATCH(H743,Documents!$A$5:$A$657,0))),"")</f>
        <v>Bioorg Med Chem Lett</v>
      </c>
      <c r="K743" s="25" t="str">
        <f aca="false">IFERROR(IF(INDEX(Documents!$G$5:$G$657,MATCH(H743,Documents!$A$5:$A$657,0))="","",INDEX(Documents!$G$5:$G$657,MATCH(H743,Documents!$A$5:$A$657,0))),"")</f>
        <v>10.1016/j.bmcl.2007.04.099</v>
      </c>
      <c r="L743" s="25" t="s">
        <v>515</v>
      </c>
    </row>
    <row r="744" customFormat="false" ht="15" hidden="false" customHeight="false" outlineLevel="0" collapsed="false">
      <c r="A744" s="25" t="n">
        <v>3089227</v>
      </c>
      <c r="B744" s="25" t="s">
        <v>1897</v>
      </c>
      <c r="C744" s="25" t="s">
        <v>1898</v>
      </c>
      <c r="D744" s="26" t="n">
        <v>0.2</v>
      </c>
      <c r="E744" s="27" t="n">
        <v>9.69897000433602</v>
      </c>
      <c r="F744" s="27" t="n">
        <v>9.69897000433602</v>
      </c>
      <c r="G744" s="25" t="s">
        <v>534</v>
      </c>
      <c r="H744" s="25" t="s">
        <v>535</v>
      </c>
      <c r="I744" s="25" t="n">
        <f aca="false">IFERROR(IF(INDEX(Documents!$C$5:$C$657,MATCH(H744,Documents!$A$5:$A$657,0))="","",INDEX(Documents!$C$5:$C$657,MATCH(H744,Documents!$A$5:$A$657,0))),"")</f>
        <v>2010</v>
      </c>
      <c r="J744" s="25" t="str">
        <f aca="false">IFERROR(IF(INDEX(Documents!$D$5:$D$657,MATCH(H744,Documents!$A$5:$A$657,0))="","",INDEX(Documents!$D$5:$D$657,MATCH(H744,Documents!$A$5:$A$657,0))),"")</f>
        <v>Bioorg Med Chem Lett</v>
      </c>
      <c r="K744" s="25" t="str">
        <f aca="false">IFERROR(IF(INDEX(Documents!$G$5:$G$657,MATCH(H744,Documents!$A$5:$A$657,0))="","",INDEX(Documents!$G$5:$G$657,MATCH(H744,Documents!$A$5:$A$657,0))),"")</f>
        <v>10.1016/j.bmcl.2009.11.084</v>
      </c>
      <c r="L744" s="25" t="s">
        <v>515</v>
      </c>
    </row>
    <row r="745" customFormat="false" ht="15" hidden="false" customHeight="false" outlineLevel="0" collapsed="false">
      <c r="A745" s="25" t="n">
        <v>5205760</v>
      </c>
      <c r="B745" s="25" t="s">
        <v>1899</v>
      </c>
      <c r="C745" s="25" t="s">
        <v>1900</v>
      </c>
      <c r="D745" s="26" t="n">
        <v>16</v>
      </c>
      <c r="E745" s="27" t="n">
        <v>7.79588001734408</v>
      </c>
      <c r="F745" s="27" t="n">
        <v>7.79588001734408</v>
      </c>
      <c r="G745" s="25" t="s">
        <v>461</v>
      </c>
      <c r="H745" s="25" t="s">
        <v>462</v>
      </c>
      <c r="I745" s="25" t="n">
        <f aca="false">IFERROR(IF(INDEX(Documents!$C$5:$C$657,MATCH(H745,Documents!$A$5:$A$657,0))="","",INDEX(Documents!$C$5:$C$657,MATCH(H745,Documents!$A$5:$A$657,0))),"")</f>
        <v>2011</v>
      </c>
      <c r="J745" s="25" t="str">
        <f aca="false">IFERROR(IF(INDEX(Documents!$D$5:$D$657,MATCH(H745,Documents!$A$5:$A$657,0))="","",INDEX(Documents!$D$5:$D$657,MATCH(H745,Documents!$A$5:$A$657,0))),"")</f>
        <v>Eur J Med Chem</v>
      </c>
      <c r="K745" s="25" t="str">
        <f aca="false">IFERROR(IF(INDEX(Documents!$G$5:$G$657,MATCH(H745,Documents!$A$5:$A$657,0))="","",INDEX(Documents!$G$5:$G$657,MATCH(H745,Documents!$A$5:$A$657,0))),"")</f>
        <v>10.1016/j.ejmech.2010.11.034</v>
      </c>
      <c r="L745" s="25" t="s">
        <v>463</v>
      </c>
    </row>
    <row r="746" customFormat="false" ht="15" hidden="false" customHeight="false" outlineLevel="0" collapsed="false">
      <c r="A746" s="25" t="n">
        <v>12089863</v>
      </c>
      <c r="B746" s="25" t="s">
        <v>1901</v>
      </c>
      <c r="C746" s="25" t="s">
        <v>1902</v>
      </c>
      <c r="D746" s="26" t="n">
        <v>33</v>
      </c>
      <c r="E746" s="27" t="n">
        <v>7.48148606012211</v>
      </c>
      <c r="F746" s="27" t="n">
        <v>7.48148606012211</v>
      </c>
      <c r="G746" s="25" t="s">
        <v>1028</v>
      </c>
      <c r="H746" s="25" t="s">
        <v>1029</v>
      </c>
      <c r="I746" s="25" t="n">
        <f aca="false">IFERROR(IF(INDEX(Documents!$C$5:$C$657,MATCH(H746,Documents!$A$5:$A$657,0))="","",INDEX(Documents!$C$5:$C$657,MATCH(H746,Documents!$A$5:$A$657,0))),"")</f>
        <v>2012</v>
      </c>
      <c r="J746" s="25" t="str">
        <f aca="false">IFERROR(IF(INDEX(Documents!$D$5:$D$657,MATCH(H746,Documents!$A$5:$A$657,0))="","",INDEX(Documents!$D$5:$D$657,MATCH(H746,Documents!$A$5:$A$657,0))),"")</f>
        <v>J Med Chem</v>
      </c>
      <c r="K746" s="25" t="str">
        <f aca="false">IFERROR(IF(INDEX(Documents!$G$5:$G$657,MATCH(H746,Documents!$A$5:$A$657,0))="","",INDEX(Documents!$G$5:$G$657,MATCH(H746,Documents!$A$5:$A$657,0))),"")</f>
        <v>10.1021/jm300763w</v>
      </c>
      <c r="L746" s="25" t="s">
        <v>1030</v>
      </c>
    </row>
    <row r="747" customFormat="false" ht="15" hidden="false" customHeight="false" outlineLevel="0" collapsed="false">
      <c r="A747" s="25" t="n">
        <v>12089864</v>
      </c>
      <c r="B747" s="25" t="s">
        <v>1903</v>
      </c>
      <c r="C747" s="25" t="s">
        <v>1904</v>
      </c>
      <c r="D747" s="26" t="n">
        <v>7.34</v>
      </c>
      <c r="E747" s="27" t="n">
        <v>8.13430394008393</v>
      </c>
      <c r="F747" s="27" t="n">
        <v>8.13430394008393</v>
      </c>
      <c r="G747" s="25" t="s">
        <v>1028</v>
      </c>
      <c r="H747" s="25" t="s">
        <v>1029</v>
      </c>
      <c r="I747" s="25" t="n">
        <f aca="false">IFERROR(IF(INDEX(Documents!$C$5:$C$657,MATCH(H747,Documents!$A$5:$A$657,0))="","",INDEX(Documents!$C$5:$C$657,MATCH(H747,Documents!$A$5:$A$657,0))),"")</f>
        <v>2012</v>
      </c>
      <c r="J747" s="25" t="str">
        <f aca="false">IFERROR(IF(INDEX(Documents!$D$5:$D$657,MATCH(H747,Documents!$A$5:$A$657,0))="","",INDEX(Documents!$D$5:$D$657,MATCH(H747,Documents!$A$5:$A$657,0))),"")</f>
        <v>J Med Chem</v>
      </c>
      <c r="K747" s="25" t="str">
        <f aca="false">IFERROR(IF(INDEX(Documents!$G$5:$G$657,MATCH(H747,Documents!$A$5:$A$657,0))="","",INDEX(Documents!$G$5:$G$657,MATCH(H747,Documents!$A$5:$A$657,0))),"")</f>
        <v>10.1021/jm300763w</v>
      </c>
      <c r="L747" s="25" t="s">
        <v>1030</v>
      </c>
    </row>
    <row r="748" customFormat="false" ht="15" hidden="false" customHeight="false" outlineLevel="0" collapsed="false">
      <c r="A748" s="25" t="n">
        <v>12089861</v>
      </c>
      <c r="B748" s="25" t="s">
        <v>1905</v>
      </c>
      <c r="C748" s="25" t="s">
        <v>1906</v>
      </c>
      <c r="D748" s="26" t="n">
        <v>8.12</v>
      </c>
      <c r="E748" s="27" t="n">
        <v>8.09044397075883</v>
      </c>
      <c r="F748" s="27" t="n">
        <v>8.09044397075883</v>
      </c>
      <c r="G748" s="25" t="s">
        <v>1028</v>
      </c>
      <c r="H748" s="25" t="s">
        <v>1029</v>
      </c>
      <c r="I748" s="25" t="n">
        <f aca="false">IFERROR(IF(INDEX(Documents!$C$5:$C$657,MATCH(H748,Documents!$A$5:$A$657,0))="","",INDEX(Documents!$C$5:$C$657,MATCH(H748,Documents!$A$5:$A$657,0))),"")</f>
        <v>2012</v>
      </c>
      <c r="J748" s="25" t="str">
        <f aca="false">IFERROR(IF(INDEX(Documents!$D$5:$D$657,MATCH(H748,Documents!$A$5:$A$657,0))="","",INDEX(Documents!$D$5:$D$657,MATCH(H748,Documents!$A$5:$A$657,0))),"")</f>
        <v>J Med Chem</v>
      </c>
      <c r="K748" s="25" t="str">
        <f aca="false">IFERROR(IF(INDEX(Documents!$G$5:$G$657,MATCH(H748,Documents!$A$5:$A$657,0))="","",INDEX(Documents!$G$5:$G$657,MATCH(H748,Documents!$A$5:$A$657,0))),"")</f>
        <v>10.1021/jm300763w</v>
      </c>
      <c r="L748" s="25" t="s">
        <v>1030</v>
      </c>
    </row>
    <row r="749" customFormat="false" ht="15" hidden="false" customHeight="false" outlineLevel="0" collapsed="false">
      <c r="A749" s="25" t="n">
        <v>12089860</v>
      </c>
      <c r="B749" s="25" t="s">
        <v>1907</v>
      </c>
      <c r="C749" s="25" t="s">
        <v>1908</v>
      </c>
      <c r="D749" s="26" t="n">
        <v>42</v>
      </c>
      <c r="E749" s="27" t="n">
        <v>7.3767507096021</v>
      </c>
      <c r="F749" s="27" t="n">
        <v>7.3767507096021</v>
      </c>
      <c r="G749" s="25" t="s">
        <v>1028</v>
      </c>
      <c r="H749" s="25" t="s">
        <v>1029</v>
      </c>
      <c r="I749" s="25" t="n">
        <f aca="false">IFERROR(IF(INDEX(Documents!$C$5:$C$657,MATCH(H749,Documents!$A$5:$A$657,0))="","",INDEX(Documents!$C$5:$C$657,MATCH(H749,Documents!$A$5:$A$657,0))),"")</f>
        <v>2012</v>
      </c>
      <c r="J749" s="25" t="str">
        <f aca="false">IFERROR(IF(INDEX(Documents!$D$5:$D$657,MATCH(H749,Documents!$A$5:$A$657,0))="","",INDEX(Documents!$D$5:$D$657,MATCH(H749,Documents!$A$5:$A$657,0))),"")</f>
        <v>J Med Chem</v>
      </c>
      <c r="K749" s="25" t="str">
        <f aca="false">IFERROR(IF(INDEX(Documents!$G$5:$G$657,MATCH(H749,Documents!$A$5:$A$657,0))="","",INDEX(Documents!$G$5:$G$657,MATCH(H749,Documents!$A$5:$A$657,0))),"")</f>
        <v>10.1021/jm300763w</v>
      </c>
      <c r="L749" s="25" t="s">
        <v>1030</v>
      </c>
    </row>
    <row r="750" customFormat="false" ht="15" hidden="false" customHeight="false" outlineLevel="0" collapsed="false">
      <c r="A750" s="25" t="n">
        <v>12089862</v>
      </c>
      <c r="B750" s="25" t="s">
        <v>1909</v>
      </c>
      <c r="C750" s="25" t="s">
        <v>1910</v>
      </c>
      <c r="D750" s="26" t="n">
        <v>6.78</v>
      </c>
      <c r="E750" s="27" t="n">
        <v>8.16877030613294</v>
      </c>
      <c r="F750" s="27" t="n">
        <v>8.16877030613294</v>
      </c>
      <c r="G750" s="25" t="s">
        <v>1028</v>
      </c>
      <c r="H750" s="25" t="s">
        <v>1029</v>
      </c>
      <c r="I750" s="25" t="n">
        <f aca="false">IFERROR(IF(INDEX(Documents!$C$5:$C$657,MATCH(H750,Documents!$A$5:$A$657,0))="","",INDEX(Documents!$C$5:$C$657,MATCH(H750,Documents!$A$5:$A$657,0))),"")</f>
        <v>2012</v>
      </c>
      <c r="J750" s="25" t="str">
        <f aca="false">IFERROR(IF(INDEX(Documents!$D$5:$D$657,MATCH(H750,Documents!$A$5:$A$657,0))="","",INDEX(Documents!$D$5:$D$657,MATCH(H750,Documents!$A$5:$A$657,0))),"")</f>
        <v>J Med Chem</v>
      </c>
      <c r="K750" s="25" t="str">
        <f aca="false">IFERROR(IF(INDEX(Documents!$G$5:$G$657,MATCH(H750,Documents!$A$5:$A$657,0))="","",INDEX(Documents!$G$5:$G$657,MATCH(H750,Documents!$A$5:$A$657,0))),"")</f>
        <v>10.1021/jm300763w</v>
      </c>
      <c r="L750" s="25" t="s">
        <v>1030</v>
      </c>
    </row>
    <row r="751" customFormat="false" ht="15" hidden="false" customHeight="false" outlineLevel="0" collapsed="false">
      <c r="A751" s="25" t="n">
        <v>12089876</v>
      </c>
      <c r="B751" s="25" t="s">
        <v>1911</v>
      </c>
      <c r="C751" s="25" t="s">
        <v>1912</v>
      </c>
      <c r="D751" s="26" t="n">
        <v>85</v>
      </c>
      <c r="E751" s="27" t="n">
        <v>7.07058107428571</v>
      </c>
      <c r="F751" s="27" t="n">
        <v>7.07058107428571</v>
      </c>
      <c r="G751" s="25" t="s">
        <v>1028</v>
      </c>
      <c r="H751" s="25" t="s">
        <v>1029</v>
      </c>
      <c r="I751" s="25" t="n">
        <f aca="false">IFERROR(IF(INDEX(Documents!$C$5:$C$657,MATCH(H751,Documents!$A$5:$A$657,0))="","",INDEX(Documents!$C$5:$C$657,MATCH(H751,Documents!$A$5:$A$657,0))),"")</f>
        <v>2012</v>
      </c>
      <c r="J751" s="25" t="str">
        <f aca="false">IFERROR(IF(INDEX(Documents!$D$5:$D$657,MATCH(H751,Documents!$A$5:$A$657,0))="","",INDEX(Documents!$D$5:$D$657,MATCH(H751,Documents!$A$5:$A$657,0))),"")</f>
        <v>J Med Chem</v>
      </c>
      <c r="K751" s="25" t="str">
        <f aca="false">IFERROR(IF(INDEX(Documents!$G$5:$G$657,MATCH(H751,Documents!$A$5:$A$657,0))="","",INDEX(Documents!$G$5:$G$657,MATCH(H751,Documents!$A$5:$A$657,0))),"")</f>
        <v>10.1021/jm300763w</v>
      </c>
      <c r="L751" s="25" t="s">
        <v>1030</v>
      </c>
    </row>
    <row r="752" customFormat="false" ht="15" hidden="false" customHeight="false" outlineLevel="0" collapsed="false">
      <c r="A752" s="25" t="n">
        <v>12089879</v>
      </c>
      <c r="B752" s="25" t="s">
        <v>1913</v>
      </c>
      <c r="C752" s="25" t="s">
        <v>1914</v>
      </c>
      <c r="D752" s="26" t="n">
        <v>15.8</v>
      </c>
      <c r="E752" s="27" t="n">
        <v>7.80134291304558</v>
      </c>
      <c r="F752" s="27" t="n">
        <v>7.80134291304558</v>
      </c>
      <c r="G752" s="25" t="s">
        <v>1028</v>
      </c>
      <c r="H752" s="25" t="s">
        <v>1029</v>
      </c>
      <c r="I752" s="25" t="n">
        <f aca="false">IFERROR(IF(INDEX(Documents!$C$5:$C$657,MATCH(H752,Documents!$A$5:$A$657,0))="","",INDEX(Documents!$C$5:$C$657,MATCH(H752,Documents!$A$5:$A$657,0))),"")</f>
        <v>2012</v>
      </c>
      <c r="J752" s="25" t="str">
        <f aca="false">IFERROR(IF(INDEX(Documents!$D$5:$D$657,MATCH(H752,Documents!$A$5:$A$657,0))="","",INDEX(Documents!$D$5:$D$657,MATCH(H752,Documents!$A$5:$A$657,0))),"")</f>
        <v>J Med Chem</v>
      </c>
      <c r="K752" s="25" t="str">
        <f aca="false">IFERROR(IF(INDEX(Documents!$G$5:$G$657,MATCH(H752,Documents!$A$5:$A$657,0))="","",INDEX(Documents!$G$5:$G$657,MATCH(H752,Documents!$A$5:$A$657,0))),"")</f>
        <v>10.1021/jm300763w</v>
      </c>
      <c r="L752" s="25" t="s">
        <v>1030</v>
      </c>
    </row>
    <row r="753" customFormat="false" ht="15" hidden="false" customHeight="false" outlineLevel="0" collapsed="false">
      <c r="A753" s="25" t="n">
        <v>12089881</v>
      </c>
      <c r="B753" s="25" t="s">
        <v>1915</v>
      </c>
      <c r="C753" s="25" t="s">
        <v>1916</v>
      </c>
      <c r="D753" s="26" t="n">
        <v>7.83</v>
      </c>
      <c r="E753" s="27" t="n">
        <v>8.10623823794206</v>
      </c>
      <c r="F753" s="27" t="n">
        <v>8.1336945736024</v>
      </c>
      <c r="G753" s="25" t="s">
        <v>1028</v>
      </c>
      <c r="H753" s="25" t="s">
        <v>1029</v>
      </c>
      <c r="I753" s="25" t="n">
        <f aca="false">IFERROR(IF(INDEX(Documents!$C$5:$C$657,MATCH(H753,Documents!$A$5:$A$657,0))="","",INDEX(Documents!$C$5:$C$657,MATCH(H753,Documents!$A$5:$A$657,0))),"")</f>
        <v>2012</v>
      </c>
      <c r="J753" s="25" t="str">
        <f aca="false">IFERROR(IF(INDEX(Documents!$D$5:$D$657,MATCH(H753,Documents!$A$5:$A$657,0))="","",INDEX(Documents!$D$5:$D$657,MATCH(H753,Documents!$A$5:$A$657,0))),"")</f>
        <v>J Med Chem</v>
      </c>
      <c r="K753" s="25" t="str">
        <f aca="false">IFERROR(IF(INDEX(Documents!$G$5:$G$657,MATCH(H753,Documents!$A$5:$A$657,0))="","",INDEX(Documents!$G$5:$G$657,MATCH(H753,Documents!$A$5:$A$657,0))),"")</f>
        <v>10.1021/jm300763w</v>
      </c>
      <c r="L753" s="25" t="s">
        <v>1030</v>
      </c>
    </row>
    <row r="754" customFormat="false" ht="15" hidden="false" customHeight="false" outlineLevel="0" collapsed="false">
      <c r="A754" s="25" t="n">
        <v>6309528</v>
      </c>
      <c r="B754" s="25" t="s">
        <v>1915</v>
      </c>
      <c r="C754" s="25" t="s">
        <v>1916</v>
      </c>
      <c r="D754" s="26" t="n">
        <v>6.9</v>
      </c>
      <c r="E754" s="27" t="n">
        <v>8.16115090926274</v>
      </c>
      <c r="F754" s="27" t="n">
        <v>8.1336945736024</v>
      </c>
      <c r="G754" s="25" t="s">
        <v>1917</v>
      </c>
      <c r="H754" s="25" t="s">
        <v>1918</v>
      </c>
      <c r="I754" s="25" t="n">
        <f aca="false">IFERROR(IF(INDEX(Documents!$C$5:$C$657,MATCH(H754,Documents!$A$5:$A$657,0))="","",INDEX(Documents!$C$5:$C$657,MATCH(H754,Documents!$A$5:$A$657,0))),"")</f>
        <v>2011</v>
      </c>
      <c r="J754" s="25" t="str">
        <f aca="false">IFERROR(IF(INDEX(Documents!$D$5:$D$657,MATCH(H754,Documents!$A$5:$A$657,0))="","",INDEX(Documents!$D$5:$D$657,MATCH(H754,Documents!$A$5:$A$657,0))),"")</f>
        <v>J Med Chem</v>
      </c>
      <c r="K754" s="25" t="str">
        <f aca="false">IFERROR(IF(INDEX(Documents!$G$5:$G$657,MATCH(H754,Documents!$A$5:$A$657,0))="","",INDEX(Documents!$G$5:$G$657,MATCH(H754,Documents!$A$5:$A$657,0))),"")</f>
        <v>10.1021/jm200476p</v>
      </c>
      <c r="L754" s="25" t="s">
        <v>676</v>
      </c>
    </row>
    <row r="755" customFormat="false" ht="15" hidden="false" customHeight="false" outlineLevel="0" collapsed="false">
      <c r="A755" s="25" t="n">
        <v>12089880</v>
      </c>
      <c r="B755" s="25" t="s">
        <v>1919</v>
      </c>
      <c r="C755" s="25" t="s">
        <v>1920</v>
      </c>
      <c r="D755" s="26" t="n">
        <v>13.2</v>
      </c>
      <c r="E755" s="27" t="n">
        <v>7.87942606879415</v>
      </c>
      <c r="F755" s="27" t="n">
        <v>7.87942606879415</v>
      </c>
      <c r="G755" s="25" t="s">
        <v>1028</v>
      </c>
      <c r="H755" s="25" t="s">
        <v>1029</v>
      </c>
      <c r="I755" s="25" t="n">
        <f aca="false">IFERROR(IF(INDEX(Documents!$C$5:$C$657,MATCH(H755,Documents!$A$5:$A$657,0))="","",INDEX(Documents!$C$5:$C$657,MATCH(H755,Documents!$A$5:$A$657,0))),"")</f>
        <v>2012</v>
      </c>
      <c r="J755" s="25" t="str">
        <f aca="false">IFERROR(IF(INDEX(Documents!$D$5:$D$657,MATCH(H755,Documents!$A$5:$A$657,0))="","",INDEX(Documents!$D$5:$D$657,MATCH(H755,Documents!$A$5:$A$657,0))),"")</f>
        <v>J Med Chem</v>
      </c>
      <c r="K755" s="25" t="str">
        <f aca="false">IFERROR(IF(INDEX(Documents!$G$5:$G$657,MATCH(H755,Documents!$A$5:$A$657,0))="","",INDEX(Documents!$G$5:$G$657,MATCH(H755,Documents!$A$5:$A$657,0))),"")</f>
        <v>10.1021/jm300763w</v>
      </c>
      <c r="L755" s="25" t="s">
        <v>1030</v>
      </c>
    </row>
    <row r="756" customFormat="false" ht="15" hidden="false" customHeight="false" outlineLevel="0" collapsed="false">
      <c r="A756" s="25" t="n">
        <v>12089883</v>
      </c>
      <c r="B756" s="25" t="s">
        <v>1921</v>
      </c>
      <c r="C756" s="25" t="s">
        <v>1922</v>
      </c>
      <c r="D756" s="26" t="n">
        <v>22</v>
      </c>
      <c r="E756" s="27" t="n">
        <v>7.65757731917779</v>
      </c>
      <c r="F756" s="27" t="n">
        <v>7.65757731917779</v>
      </c>
      <c r="G756" s="25" t="s">
        <v>1028</v>
      </c>
      <c r="H756" s="25" t="s">
        <v>1029</v>
      </c>
      <c r="I756" s="25" t="n">
        <f aca="false">IFERROR(IF(INDEX(Documents!$C$5:$C$657,MATCH(H756,Documents!$A$5:$A$657,0))="","",INDEX(Documents!$C$5:$C$657,MATCH(H756,Documents!$A$5:$A$657,0))),"")</f>
        <v>2012</v>
      </c>
      <c r="J756" s="25" t="str">
        <f aca="false">IFERROR(IF(INDEX(Documents!$D$5:$D$657,MATCH(H756,Documents!$A$5:$A$657,0))="","",INDEX(Documents!$D$5:$D$657,MATCH(H756,Documents!$A$5:$A$657,0))),"")</f>
        <v>J Med Chem</v>
      </c>
      <c r="K756" s="25" t="str">
        <f aca="false">IFERROR(IF(INDEX(Documents!$G$5:$G$657,MATCH(H756,Documents!$A$5:$A$657,0))="","",INDEX(Documents!$G$5:$G$657,MATCH(H756,Documents!$A$5:$A$657,0))),"")</f>
        <v>10.1021/jm300763w</v>
      </c>
      <c r="L756" s="25" t="s">
        <v>1030</v>
      </c>
    </row>
    <row r="757" customFormat="false" ht="15" hidden="false" customHeight="false" outlineLevel="0" collapsed="false">
      <c r="A757" s="25" t="n">
        <v>12089882</v>
      </c>
      <c r="B757" s="25" t="s">
        <v>1923</v>
      </c>
      <c r="C757" s="25" t="s">
        <v>1924</v>
      </c>
      <c r="D757" s="26" t="n">
        <v>9.24</v>
      </c>
      <c r="E757" s="27" t="n">
        <v>8.03432802877989</v>
      </c>
      <c r="F757" s="27" t="n">
        <v>8.03432802877989</v>
      </c>
      <c r="G757" s="25" t="s">
        <v>1028</v>
      </c>
      <c r="H757" s="25" t="s">
        <v>1029</v>
      </c>
      <c r="I757" s="25" t="n">
        <f aca="false">IFERROR(IF(INDEX(Documents!$C$5:$C$657,MATCH(H757,Documents!$A$5:$A$657,0))="","",INDEX(Documents!$C$5:$C$657,MATCH(H757,Documents!$A$5:$A$657,0))),"")</f>
        <v>2012</v>
      </c>
      <c r="J757" s="25" t="str">
        <f aca="false">IFERROR(IF(INDEX(Documents!$D$5:$D$657,MATCH(H757,Documents!$A$5:$A$657,0))="","",INDEX(Documents!$D$5:$D$657,MATCH(H757,Documents!$A$5:$A$657,0))),"")</f>
        <v>J Med Chem</v>
      </c>
      <c r="K757" s="25" t="str">
        <f aca="false">IFERROR(IF(INDEX(Documents!$G$5:$G$657,MATCH(H757,Documents!$A$5:$A$657,0))="","",INDEX(Documents!$G$5:$G$657,MATCH(H757,Documents!$A$5:$A$657,0))),"")</f>
        <v>10.1021/jm300763w</v>
      </c>
      <c r="L757" s="25" t="s">
        <v>1030</v>
      </c>
    </row>
    <row r="758" customFormat="false" ht="15" hidden="false" customHeight="false" outlineLevel="0" collapsed="false">
      <c r="A758" s="25" t="n">
        <v>12089878</v>
      </c>
      <c r="B758" s="25" t="s">
        <v>1925</v>
      </c>
      <c r="C758" s="25" t="s">
        <v>1926</v>
      </c>
      <c r="D758" s="26" t="n">
        <v>152</v>
      </c>
      <c r="E758" s="27" t="n">
        <v>6.81815641205523</v>
      </c>
      <c r="F758" s="27" t="n">
        <v>6.81815641205523</v>
      </c>
      <c r="G758" s="25" t="s">
        <v>1028</v>
      </c>
      <c r="H758" s="25" t="s">
        <v>1029</v>
      </c>
      <c r="I758" s="25" t="n">
        <f aca="false">IFERROR(IF(INDEX(Documents!$C$5:$C$657,MATCH(H758,Documents!$A$5:$A$657,0))="","",INDEX(Documents!$C$5:$C$657,MATCH(H758,Documents!$A$5:$A$657,0))),"")</f>
        <v>2012</v>
      </c>
      <c r="J758" s="25" t="str">
        <f aca="false">IFERROR(IF(INDEX(Documents!$D$5:$D$657,MATCH(H758,Documents!$A$5:$A$657,0))="","",INDEX(Documents!$D$5:$D$657,MATCH(H758,Documents!$A$5:$A$657,0))),"")</f>
        <v>J Med Chem</v>
      </c>
      <c r="K758" s="25" t="str">
        <f aca="false">IFERROR(IF(INDEX(Documents!$G$5:$G$657,MATCH(H758,Documents!$A$5:$A$657,0))="","",INDEX(Documents!$G$5:$G$657,MATCH(H758,Documents!$A$5:$A$657,0))),"")</f>
        <v>10.1021/jm300763w</v>
      </c>
      <c r="L758" s="25" t="s">
        <v>1030</v>
      </c>
    </row>
    <row r="759" customFormat="false" ht="15" hidden="false" customHeight="false" outlineLevel="0" collapsed="false">
      <c r="A759" s="25" t="n">
        <v>12089877</v>
      </c>
      <c r="B759" s="25" t="s">
        <v>1927</v>
      </c>
      <c r="C759" s="25" t="s">
        <v>1928</v>
      </c>
      <c r="D759" s="26" t="n">
        <v>265</v>
      </c>
      <c r="E759" s="27" t="n">
        <v>6.57675412606319</v>
      </c>
      <c r="F759" s="27" t="n">
        <v>6.57675412606319</v>
      </c>
      <c r="G759" s="25" t="s">
        <v>1028</v>
      </c>
      <c r="H759" s="25" t="s">
        <v>1029</v>
      </c>
      <c r="I759" s="25" t="n">
        <f aca="false">IFERROR(IF(INDEX(Documents!$C$5:$C$657,MATCH(H759,Documents!$A$5:$A$657,0))="","",INDEX(Documents!$C$5:$C$657,MATCH(H759,Documents!$A$5:$A$657,0))),"")</f>
        <v>2012</v>
      </c>
      <c r="J759" s="25" t="str">
        <f aca="false">IFERROR(IF(INDEX(Documents!$D$5:$D$657,MATCH(H759,Documents!$A$5:$A$657,0))="","",INDEX(Documents!$D$5:$D$657,MATCH(H759,Documents!$A$5:$A$657,0))),"")</f>
        <v>J Med Chem</v>
      </c>
      <c r="K759" s="25" t="str">
        <f aca="false">IFERROR(IF(INDEX(Documents!$G$5:$G$657,MATCH(H759,Documents!$A$5:$A$657,0))="","",INDEX(Documents!$G$5:$G$657,MATCH(H759,Documents!$A$5:$A$657,0))),"")</f>
        <v>10.1021/jm300763w</v>
      </c>
      <c r="L759" s="25" t="s">
        <v>1030</v>
      </c>
    </row>
    <row r="760" customFormat="false" ht="15" hidden="false" customHeight="false" outlineLevel="0" collapsed="false">
      <c r="A760" s="25" t="n">
        <v>3082580</v>
      </c>
      <c r="B760" s="25" t="s">
        <v>1929</v>
      </c>
      <c r="C760" s="25" t="s">
        <v>1930</v>
      </c>
      <c r="D760" s="26" t="n">
        <v>9.7</v>
      </c>
      <c r="E760" s="27" t="n">
        <v>8.01322826573376</v>
      </c>
      <c r="F760" s="27" t="n">
        <v>8.01322826573376</v>
      </c>
      <c r="G760" s="25" t="s">
        <v>1760</v>
      </c>
      <c r="H760" s="25" t="s">
        <v>1761</v>
      </c>
      <c r="I760" s="25" t="n">
        <f aca="false">IFERROR(IF(INDEX(Documents!$C$5:$C$657,MATCH(H760,Documents!$A$5:$A$657,0))="","",INDEX(Documents!$C$5:$C$657,MATCH(H760,Documents!$A$5:$A$657,0))),"")</f>
        <v>2010</v>
      </c>
      <c r="J760" s="25" t="str">
        <f aca="false">IFERROR(IF(INDEX(Documents!$D$5:$D$657,MATCH(H760,Documents!$A$5:$A$657,0))="","",INDEX(Documents!$D$5:$D$657,MATCH(H760,Documents!$A$5:$A$657,0))),"")</f>
        <v>Bioorg Med Chem Lett</v>
      </c>
      <c r="K760" s="25" t="str">
        <f aca="false">IFERROR(IF(INDEX(Documents!$G$5:$G$657,MATCH(H760,Documents!$A$5:$A$657,0))="","",INDEX(Documents!$G$5:$G$657,MATCH(H760,Documents!$A$5:$A$657,0))),"")</f>
        <v>10.1016/j.bmcl.2009.10.062</v>
      </c>
      <c r="L760" s="25" t="s">
        <v>775</v>
      </c>
    </row>
    <row r="761" customFormat="false" ht="15" hidden="false" customHeight="false" outlineLevel="0" collapsed="false">
      <c r="A761" s="25" t="n">
        <v>3011905</v>
      </c>
      <c r="B761" s="25" t="s">
        <v>1931</v>
      </c>
      <c r="C761" s="25" t="s">
        <v>1932</v>
      </c>
      <c r="D761" s="26" t="n">
        <v>5.3</v>
      </c>
      <c r="E761" s="27" t="n">
        <v>8.27572413039921</v>
      </c>
      <c r="F761" s="27" t="n">
        <v>8.27572413039921</v>
      </c>
      <c r="G761" s="25" t="s">
        <v>1780</v>
      </c>
      <c r="H761" s="25" t="s">
        <v>1781</v>
      </c>
      <c r="I761" s="25" t="n">
        <f aca="false">IFERROR(IF(INDEX(Documents!$C$5:$C$657,MATCH(H761,Documents!$A$5:$A$657,0))="","",INDEX(Documents!$C$5:$C$657,MATCH(H761,Documents!$A$5:$A$657,0))),"")</f>
        <v>2009</v>
      </c>
      <c r="J761" s="25" t="str">
        <f aca="false">IFERROR(IF(INDEX(Documents!$D$5:$D$657,MATCH(H761,Documents!$A$5:$A$657,0))="","",INDEX(Documents!$D$5:$D$657,MATCH(H761,Documents!$A$5:$A$657,0))),"")</f>
        <v>Bioorg Med Chem Lett</v>
      </c>
      <c r="K761" s="25" t="str">
        <f aca="false">IFERROR(IF(INDEX(Documents!$G$5:$G$657,MATCH(H761,Documents!$A$5:$A$657,0))="","",INDEX(Documents!$G$5:$G$657,MATCH(H761,Documents!$A$5:$A$657,0))),"")</f>
        <v>10.1016/j.bmcl.2009.08.063</v>
      </c>
      <c r="L761" s="25" t="s">
        <v>1782</v>
      </c>
    </row>
    <row r="762" customFormat="false" ht="15" hidden="false" customHeight="false" outlineLevel="0" collapsed="false">
      <c r="A762" s="25" t="n">
        <v>3564072</v>
      </c>
      <c r="B762" s="25" t="s">
        <v>1933</v>
      </c>
      <c r="C762" s="25" t="s">
        <v>1934</v>
      </c>
      <c r="D762" s="26" t="n">
        <v>265</v>
      </c>
      <c r="E762" s="27" t="n">
        <v>6.57675412606319</v>
      </c>
      <c r="F762" s="27" t="n">
        <v>6.57675412606319</v>
      </c>
      <c r="G762" s="25" t="s">
        <v>1935</v>
      </c>
      <c r="H762" s="25" t="s">
        <v>1936</v>
      </c>
      <c r="I762" s="25" t="n">
        <f aca="false">IFERROR(IF(INDEX(Documents!$C$5:$C$657,MATCH(H762,Documents!$A$5:$A$657,0))="","",INDEX(Documents!$C$5:$C$657,MATCH(H762,Documents!$A$5:$A$657,0))),"")</f>
        <v>2010</v>
      </c>
      <c r="J762" s="25" t="str">
        <f aca="false">IFERROR(IF(INDEX(Documents!$D$5:$D$657,MATCH(H762,Documents!$A$5:$A$657,0))="","",INDEX(Documents!$D$5:$D$657,MATCH(H762,Documents!$A$5:$A$657,0))),"")</f>
        <v>Bioorg Med Chem</v>
      </c>
      <c r="K762" s="25" t="str">
        <f aca="false">IFERROR(IF(INDEX(Documents!$G$5:$G$657,MATCH(H762,Documents!$A$5:$A$657,0))="","",INDEX(Documents!$G$5:$G$657,MATCH(H762,Documents!$A$5:$A$657,0))),"")</f>
        <v>10.1016/j.bmc.2010.09.061</v>
      </c>
      <c r="L762" s="25" t="s">
        <v>1937</v>
      </c>
    </row>
    <row r="763" customFormat="false" ht="15" hidden="false" customHeight="false" outlineLevel="0" collapsed="false">
      <c r="A763" s="25" t="n">
        <v>2130226</v>
      </c>
      <c r="B763" s="25" t="s">
        <v>1938</v>
      </c>
      <c r="C763" s="25" t="s">
        <v>1939</v>
      </c>
      <c r="D763" s="26" t="n">
        <v>1506</v>
      </c>
      <c r="E763" s="27" t="n">
        <v>5.82217502813532</v>
      </c>
      <c r="F763" s="27" t="n">
        <v>5.82217502813532</v>
      </c>
      <c r="G763" s="25" t="s">
        <v>1818</v>
      </c>
      <c r="H763" s="25" t="s">
        <v>1819</v>
      </c>
      <c r="I763" s="25" t="n">
        <f aca="false">IFERROR(IF(INDEX(Documents!$C$5:$C$657,MATCH(H763,Documents!$A$5:$A$657,0))="","",INDEX(Documents!$C$5:$C$657,MATCH(H763,Documents!$A$5:$A$657,0))),"")</f>
        <v>2008</v>
      </c>
      <c r="J763" s="25" t="str">
        <f aca="false">IFERROR(IF(INDEX(Documents!$D$5:$D$657,MATCH(H763,Documents!$A$5:$A$657,0))="","",INDEX(Documents!$D$5:$D$657,MATCH(H763,Documents!$A$5:$A$657,0))),"")</f>
        <v>Bioorg Med Chem</v>
      </c>
      <c r="K763" s="25" t="str">
        <f aca="false">IFERROR(IF(INDEX(Documents!$G$5:$G$657,MATCH(H763,Documents!$A$5:$A$657,0))="","",INDEX(Documents!$G$5:$G$657,MATCH(H763,Documents!$A$5:$A$657,0))),"")</f>
        <v>10.1016/j.bmc.2007.09.033</v>
      </c>
      <c r="L763" s="25" t="s">
        <v>709</v>
      </c>
    </row>
    <row r="764" customFormat="false" ht="15" hidden="false" customHeight="false" outlineLevel="0" collapsed="false">
      <c r="A764" s="25" t="n">
        <v>2130217</v>
      </c>
      <c r="B764" s="25" t="s">
        <v>1940</v>
      </c>
      <c r="C764" s="25" t="s">
        <v>1941</v>
      </c>
      <c r="D764" s="26" t="n">
        <v>1782</v>
      </c>
      <c r="E764" s="27" t="n">
        <v>5.74909230029914</v>
      </c>
      <c r="F764" s="27" t="n">
        <v>5.74909230029914</v>
      </c>
      <c r="G764" s="25" t="s">
        <v>1818</v>
      </c>
      <c r="H764" s="25" t="s">
        <v>1819</v>
      </c>
      <c r="I764" s="25" t="n">
        <f aca="false">IFERROR(IF(INDEX(Documents!$C$5:$C$657,MATCH(H764,Documents!$A$5:$A$657,0))="","",INDEX(Documents!$C$5:$C$657,MATCH(H764,Documents!$A$5:$A$657,0))),"")</f>
        <v>2008</v>
      </c>
      <c r="J764" s="25" t="str">
        <f aca="false">IFERROR(IF(INDEX(Documents!$D$5:$D$657,MATCH(H764,Documents!$A$5:$A$657,0))="","",INDEX(Documents!$D$5:$D$657,MATCH(H764,Documents!$A$5:$A$657,0))),"")</f>
        <v>Bioorg Med Chem</v>
      </c>
      <c r="K764" s="25" t="str">
        <f aca="false">IFERROR(IF(INDEX(Documents!$G$5:$G$657,MATCH(H764,Documents!$A$5:$A$657,0))="","",INDEX(Documents!$G$5:$G$657,MATCH(H764,Documents!$A$5:$A$657,0))),"")</f>
        <v>10.1016/j.bmc.2007.09.033</v>
      </c>
      <c r="L764" s="25" t="s">
        <v>709</v>
      </c>
    </row>
    <row r="765" customFormat="false" ht="15" hidden="false" customHeight="false" outlineLevel="0" collapsed="false">
      <c r="A765" s="25" t="n">
        <v>2130234</v>
      </c>
      <c r="B765" s="25" t="s">
        <v>1942</v>
      </c>
      <c r="C765" s="25" t="s">
        <v>1943</v>
      </c>
      <c r="D765" s="26" t="n">
        <v>2060</v>
      </c>
      <c r="E765" s="27" t="n">
        <v>5.68613277963085</v>
      </c>
      <c r="F765" s="27" t="n">
        <v>5.68613277963085</v>
      </c>
      <c r="G765" s="25" t="s">
        <v>1818</v>
      </c>
      <c r="H765" s="25" t="s">
        <v>1819</v>
      </c>
      <c r="I765" s="25" t="n">
        <f aca="false">IFERROR(IF(INDEX(Documents!$C$5:$C$657,MATCH(H765,Documents!$A$5:$A$657,0))="","",INDEX(Documents!$C$5:$C$657,MATCH(H765,Documents!$A$5:$A$657,0))),"")</f>
        <v>2008</v>
      </c>
      <c r="J765" s="25" t="str">
        <f aca="false">IFERROR(IF(INDEX(Documents!$D$5:$D$657,MATCH(H765,Documents!$A$5:$A$657,0))="","",INDEX(Documents!$D$5:$D$657,MATCH(H765,Documents!$A$5:$A$657,0))),"")</f>
        <v>Bioorg Med Chem</v>
      </c>
      <c r="K765" s="25" t="str">
        <f aca="false">IFERROR(IF(INDEX(Documents!$G$5:$G$657,MATCH(H765,Documents!$A$5:$A$657,0))="","",INDEX(Documents!$G$5:$G$657,MATCH(H765,Documents!$A$5:$A$657,0))),"")</f>
        <v>10.1016/j.bmc.2007.09.033</v>
      </c>
      <c r="L765" s="25" t="s">
        <v>709</v>
      </c>
    </row>
    <row r="766" customFormat="false" ht="15" hidden="false" customHeight="false" outlineLevel="0" collapsed="false">
      <c r="A766" s="25" t="n">
        <v>24996427</v>
      </c>
      <c r="B766" s="25" t="s">
        <v>1944</v>
      </c>
      <c r="C766" s="25" t="s">
        <v>1945</v>
      </c>
      <c r="D766" s="26" t="n">
        <v>3.4</v>
      </c>
      <c r="E766" s="27" t="n">
        <v>8.46852108295775</v>
      </c>
      <c r="F766" s="27" t="n">
        <v>8.46852108295775</v>
      </c>
      <c r="G766" s="25" t="s">
        <v>1826</v>
      </c>
      <c r="H766" s="25" t="s">
        <v>1827</v>
      </c>
      <c r="I766" s="25" t="n">
        <f aca="false">IFERROR(IF(INDEX(Documents!$C$5:$C$657,MATCH(H766,Documents!$A$5:$A$657,0))="","",INDEX(Documents!$C$5:$C$657,MATCH(H766,Documents!$A$5:$A$657,0))),"")</f>
        <v>2020</v>
      </c>
      <c r="J766" s="25" t="str">
        <f aca="false">IFERROR(IF(INDEX(Documents!$D$5:$D$657,MATCH(H766,Documents!$A$5:$A$657,0))="","",INDEX(Documents!$D$5:$D$657,MATCH(H766,Documents!$A$5:$A$657,0))),"")</f>
        <v>J Med Chem</v>
      </c>
      <c r="K766" s="25" t="str">
        <f aca="false">IFERROR(IF(INDEX(Documents!$G$5:$G$657,MATCH(H766,Documents!$A$5:$A$657,0))="","",INDEX(Documents!$G$5:$G$657,MATCH(H766,Documents!$A$5:$A$657,0))),"")</f>
        <v>10.1021/acs.jmedchem.0c01357</v>
      </c>
      <c r="L766" s="25" t="s">
        <v>1828</v>
      </c>
    </row>
    <row r="767" customFormat="false" ht="15" hidden="false" customHeight="false" outlineLevel="0" collapsed="false">
      <c r="A767" s="25" t="n">
        <v>5124702</v>
      </c>
      <c r="B767" s="25" t="s">
        <v>1946</v>
      </c>
      <c r="C767" s="25" t="s">
        <v>1947</v>
      </c>
      <c r="D767" s="26" t="n">
        <v>20.3</v>
      </c>
      <c r="E767" s="27" t="n">
        <v>7.69250396208679</v>
      </c>
      <c r="F767" s="27" t="n">
        <v>7.69250396208679</v>
      </c>
      <c r="G767" s="25" t="s">
        <v>1948</v>
      </c>
      <c r="H767" s="25" t="s">
        <v>1949</v>
      </c>
      <c r="I767" s="25" t="n">
        <f aca="false">IFERROR(IF(INDEX(Documents!$C$5:$C$657,MATCH(H767,Documents!$A$5:$A$657,0))="","",INDEX(Documents!$C$5:$C$657,MATCH(H767,Documents!$A$5:$A$657,0))),"")</f>
        <v>2010</v>
      </c>
      <c r="J767" s="25" t="str">
        <f aca="false">IFERROR(IF(INDEX(Documents!$D$5:$D$657,MATCH(H767,Documents!$A$5:$A$657,0))="","",INDEX(Documents!$D$5:$D$657,MATCH(H767,Documents!$A$5:$A$657,0))),"")</f>
        <v>J Med Chem</v>
      </c>
      <c r="K767" s="25" t="str">
        <f aca="false">IFERROR(IF(INDEX(Documents!$G$5:$G$657,MATCH(H767,Documents!$A$5:$A$657,0))="","",INDEX(Documents!$G$5:$G$657,MATCH(H767,Documents!$A$5:$A$657,0))),"")</f>
        <v>10.1021/jm100286k</v>
      </c>
      <c r="L767" s="25" t="s">
        <v>1950</v>
      </c>
    </row>
    <row r="768" customFormat="false" ht="15" hidden="false" customHeight="false" outlineLevel="0" collapsed="false">
      <c r="A768" s="25" t="n">
        <v>18679761</v>
      </c>
      <c r="B768" s="25" t="s">
        <v>1951</v>
      </c>
      <c r="C768" s="25" t="s">
        <v>1952</v>
      </c>
      <c r="D768" s="26" t="n">
        <v>6.1</v>
      </c>
      <c r="E768" s="27" t="n">
        <v>8.21467016498923</v>
      </c>
      <c r="F768" s="27" t="n">
        <v>8.21467016498923</v>
      </c>
      <c r="G768" s="25" t="s">
        <v>1623</v>
      </c>
      <c r="H768" s="25" t="s">
        <v>1624</v>
      </c>
      <c r="I768" s="25" t="n">
        <f aca="false">IFERROR(IF(INDEX(Documents!$C$5:$C$657,MATCH(H768,Documents!$A$5:$A$657,0))="","",INDEX(Documents!$C$5:$C$657,MATCH(H768,Documents!$A$5:$A$657,0))),"")</f>
        <v>2018</v>
      </c>
      <c r="J768" s="25" t="str">
        <f aca="false">IFERROR(IF(INDEX(Documents!$D$5:$D$657,MATCH(H768,Documents!$A$5:$A$657,0))="","",INDEX(Documents!$D$5:$D$657,MATCH(H768,Documents!$A$5:$A$657,0))),"")</f>
        <v>Bioorg Med Chem</v>
      </c>
      <c r="K768" s="25" t="str">
        <f aca="false">IFERROR(IF(INDEX(Documents!$G$5:$G$657,MATCH(H768,Documents!$A$5:$A$657,0))="","",INDEX(Documents!$G$5:$G$657,MATCH(H768,Documents!$A$5:$A$657,0))),"")</f>
        <v>10.1016/j.bmc.2018.08.003</v>
      </c>
      <c r="L768" s="25" t="s">
        <v>1625</v>
      </c>
    </row>
    <row r="769" customFormat="false" ht="15" hidden="false" customHeight="false" outlineLevel="0" collapsed="false">
      <c r="A769" s="25" t="n">
        <v>18679762</v>
      </c>
      <c r="B769" s="25" t="s">
        <v>1953</v>
      </c>
      <c r="C769" s="25" t="s">
        <v>1954</v>
      </c>
      <c r="D769" s="26" t="n">
        <v>24</v>
      </c>
      <c r="E769" s="27" t="n">
        <v>7.61978875828839</v>
      </c>
      <c r="F769" s="27" t="n">
        <v>7.61978875828839</v>
      </c>
      <c r="G769" s="25" t="s">
        <v>1623</v>
      </c>
      <c r="H769" s="25" t="s">
        <v>1624</v>
      </c>
      <c r="I769" s="25" t="n">
        <f aca="false">IFERROR(IF(INDEX(Documents!$C$5:$C$657,MATCH(H769,Documents!$A$5:$A$657,0))="","",INDEX(Documents!$C$5:$C$657,MATCH(H769,Documents!$A$5:$A$657,0))),"")</f>
        <v>2018</v>
      </c>
      <c r="J769" s="25" t="str">
        <f aca="false">IFERROR(IF(INDEX(Documents!$D$5:$D$657,MATCH(H769,Documents!$A$5:$A$657,0))="","",INDEX(Documents!$D$5:$D$657,MATCH(H769,Documents!$A$5:$A$657,0))),"")</f>
        <v>Bioorg Med Chem</v>
      </c>
      <c r="K769" s="25" t="str">
        <f aca="false">IFERROR(IF(INDEX(Documents!$G$5:$G$657,MATCH(H769,Documents!$A$5:$A$657,0))="","",INDEX(Documents!$G$5:$G$657,MATCH(H769,Documents!$A$5:$A$657,0))),"")</f>
        <v>10.1016/j.bmc.2018.08.003</v>
      </c>
      <c r="L769" s="25" t="s">
        <v>1625</v>
      </c>
    </row>
    <row r="770" customFormat="false" ht="15" hidden="false" customHeight="false" outlineLevel="0" collapsed="false">
      <c r="A770" s="25" t="n">
        <v>3508907</v>
      </c>
      <c r="B770" s="25" t="s">
        <v>1955</v>
      </c>
      <c r="C770" s="25" t="s">
        <v>1956</v>
      </c>
      <c r="D770" s="26" t="n">
        <v>15.1</v>
      </c>
      <c r="E770" s="27" t="n">
        <v>7.82102305270683</v>
      </c>
      <c r="F770" s="27" t="n">
        <v>7.82102305270683</v>
      </c>
      <c r="G770" s="25" t="s">
        <v>1396</v>
      </c>
      <c r="H770" s="25" t="s">
        <v>1397</v>
      </c>
      <c r="I770" s="25" t="n">
        <f aca="false">IFERROR(IF(INDEX(Documents!$C$5:$C$657,MATCH(H770,Documents!$A$5:$A$657,0))="","",INDEX(Documents!$C$5:$C$657,MATCH(H770,Documents!$A$5:$A$657,0))),"")</f>
        <v>2010</v>
      </c>
      <c r="J770" s="25" t="str">
        <f aca="false">IFERROR(IF(INDEX(Documents!$D$5:$D$657,MATCH(H770,Documents!$A$5:$A$657,0))="","",INDEX(Documents!$D$5:$D$657,MATCH(H770,Documents!$A$5:$A$657,0))),"")</f>
        <v>J Med Chem</v>
      </c>
      <c r="K770" s="25" t="str">
        <f aca="false">IFERROR(IF(INDEX(Documents!$G$5:$G$657,MATCH(H770,Documents!$A$5:$A$657,0))="","",INDEX(Documents!$G$5:$G$657,MATCH(H770,Documents!$A$5:$A$657,0))),"")</f>
        <v>10.1021/jm100641g</v>
      </c>
      <c r="L770" s="25" t="s">
        <v>1398</v>
      </c>
    </row>
    <row r="771" customFormat="false" ht="15" hidden="false" customHeight="false" outlineLevel="0" collapsed="false">
      <c r="A771" s="25" t="n">
        <v>3508904</v>
      </c>
      <c r="B771" s="25" t="s">
        <v>1957</v>
      </c>
      <c r="C771" s="25" t="s">
        <v>1958</v>
      </c>
      <c r="D771" s="26" t="n">
        <v>7.02</v>
      </c>
      <c r="E771" s="27" t="n">
        <v>8.15366288787019</v>
      </c>
      <c r="F771" s="27" t="n">
        <v>8.15366288787019</v>
      </c>
      <c r="G771" s="25" t="s">
        <v>1396</v>
      </c>
      <c r="H771" s="25" t="s">
        <v>1397</v>
      </c>
      <c r="I771" s="25" t="n">
        <f aca="false">IFERROR(IF(INDEX(Documents!$C$5:$C$657,MATCH(H771,Documents!$A$5:$A$657,0))="","",INDEX(Documents!$C$5:$C$657,MATCH(H771,Documents!$A$5:$A$657,0))),"")</f>
        <v>2010</v>
      </c>
      <c r="J771" s="25" t="str">
        <f aca="false">IFERROR(IF(INDEX(Documents!$D$5:$D$657,MATCH(H771,Documents!$A$5:$A$657,0))="","",INDEX(Documents!$D$5:$D$657,MATCH(H771,Documents!$A$5:$A$657,0))),"")</f>
        <v>J Med Chem</v>
      </c>
      <c r="K771" s="25" t="str">
        <f aca="false">IFERROR(IF(INDEX(Documents!$G$5:$G$657,MATCH(H771,Documents!$A$5:$A$657,0))="","",INDEX(Documents!$G$5:$G$657,MATCH(H771,Documents!$A$5:$A$657,0))),"")</f>
        <v>10.1021/jm100641g</v>
      </c>
      <c r="L771" s="25" t="s">
        <v>1398</v>
      </c>
    </row>
    <row r="772" customFormat="false" ht="15" hidden="false" customHeight="false" outlineLevel="0" collapsed="false">
      <c r="A772" s="25" t="n">
        <v>3089228</v>
      </c>
      <c r="B772" s="25" t="s">
        <v>1959</v>
      </c>
      <c r="C772" s="25" t="s">
        <v>1960</v>
      </c>
      <c r="D772" s="26" t="n">
        <v>5.4</v>
      </c>
      <c r="E772" s="27" t="n">
        <v>8.26760624017703</v>
      </c>
      <c r="F772" s="27" t="n">
        <v>8.26760624017703</v>
      </c>
      <c r="G772" s="25" t="s">
        <v>534</v>
      </c>
      <c r="H772" s="25" t="s">
        <v>535</v>
      </c>
      <c r="I772" s="25" t="n">
        <f aca="false">IFERROR(IF(INDEX(Documents!$C$5:$C$657,MATCH(H772,Documents!$A$5:$A$657,0))="","",INDEX(Documents!$C$5:$C$657,MATCH(H772,Documents!$A$5:$A$657,0))),"")</f>
        <v>2010</v>
      </c>
      <c r="J772" s="25" t="str">
        <f aca="false">IFERROR(IF(INDEX(Documents!$D$5:$D$657,MATCH(H772,Documents!$A$5:$A$657,0))="","",INDEX(Documents!$D$5:$D$657,MATCH(H772,Documents!$A$5:$A$657,0))),"")</f>
        <v>Bioorg Med Chem Lett</v>
      </c>
      <c r="K772" s="25" t="str">
        <f aca="false">IFERROR(IF(INDEX(Documents!$G$5:$G$657,MATCH(H772,Documents!$A$5:$A$657,0))="","",INDEX(Documents!$G$5:$G$657,MATCH(H772,Documents!$A$5:$A$657,0))),"")</f>
        <v>10.1016/j.bmcl.2009.11.084</v>
      </c>
      <c r="L772" s="25" t="s">
        <v>515</v>
      </c>
    </row>
    <row r="773" customFormat="false" ht="15" hidden="false" customHeight="false" outlineLevel="0" collapsed="false">
      <c r="A773" s="25" t="n">
        <v>12089870</v>
      </c>
      <c r="B773" s="25" t="s">
        <v>1961</v>
      </c>
      <c r="C773" s="25" t="s">
        <v>1962</v>
      </c>
      <c r="D773" s="26" t="n">
        <v>10.4</v>
      </c>
      <c r="E773" s="27" t="n">
        <v>7.98296666070122</v>
      </c>
      <c r="F773" s="27" t="n">
        <v>7.98296666070122</v>
      </c>
      <c r="G773" s="25" t="s">
        <v>1028</v>
      </c>
      <c r="H773" s="25" t="s">
        <v>1029</v>
      </c>
      <c r="I773" s="25" t="n">
        <f aca="false">IFERROR(IF(INDEX(Documents!$C$5:$C$657,MATCH(H773,Documents!$A$5:$A$657,0))="","",INDEX(Documents!$C$5:$C$657,MATCH(H773,Documents!$A$5:$A$657,0))),"")</f>
        <v>2012</v>
      </c>
      <c r="J773" s="25" t="str">
        <f aca="false">IFERROR(IF(INDEX(Documents!$D$5:$D$657,MATCH(H773,Documents!$A$5:$A$657,0))="","",INDEX(Documents!$D$5:$D$657,MATCH(H773,Documents!$A$5:$A$657,0))),"")</f>
        <v>J Med Chem</v>
      </c>
      <c r="K773" s="25" t="str">
        <f aca="false">IFERROR(IF(INDEX(Documents!$G$5:$G$657,MATCH(H773,Documents!$A$5:$A$657,0))="","",INDEX(Documents!$G$5:$G$657,MATCH(H773,Documents!$A$5:$A$657,0))),"")</f>
        <v>10.1021/jm300763w</v>
      </c>
      <c r="L773" s="25" t="s">
        <v>1030</v>
      </c>
    </row>
    <row r="774" customFormat="false" ht="15" hidden="false" customHeight="false" outlineLevel="0" collapsed="false">
      <c r="A774" s="25" t="n">
        <v>12089871</v>
      </c>
      <c r="B774" s="25" t="s">
        <v>1963</v>
      </c>
      <c r="C774" s="25" t="s">
        <v>1964</v>
      </c>
      <c r="D774" s="26" t="n">
        <v>38</v>
      </c>
      <c r="E774" s="27" t="n">
        <v>7.42021640338319</v>
      </c>
      <c r="F774" s="27" t="n">
        <v>7.42021640338319</v>
      </c>
      <c r="G774" s="25" t="s">
        <v>1028</v>
      </c>
      <c r="H774" s="25" t="s">
        <v>1029</v>
      </c>
      <c r="I774" s="25" t="n">
        <f aca="false">IFERROR(IF(INDEX(Documents!$C$5:$C$657,MATCH(H774,Documents!$A$5:$A$657,0))="","",INDEX(Documents!$C$5:$C$657,MATCH(H774,Documents!$A$5:$A$657,0))),"")</f>
        <v>2012</v>
      </c>
      <c r="J774" s="25" t="str">
        <f aca="false">IFERROR(IF(INDEX(Documents!$D$5:$D$657,MATCH(H774,Documents!$A$5:$A$657,0))="","",INDEX(Documents!$D$5:$D$657,MATCH(H774,Documents!$A$5:$A$657,0))),"")</f>
        <v>J Med Chem</v>
      </c>
      <c r="K774" s="25" t="str">
        <f aca="false">IFERROR(IF(INDEX(Documents!$G$5:$G$657,MATCH(H774,Documents!$A$5:$A$657,0))="","",INDEX(Documents!$G$5:$G$657,MATCH(H774,Documents!$A$5:$A$657,0))),"")</f>
        <v>10.1021/jm300763w</v>
      </c>
      <c r="L774" s="25" t="s">
        <v>1030</v>
      </c>
    </row>
    <row r="775" customFormat="false" ht="15" hidden="false" customHeight="false" outlineLevel="0" collapsed="false">
      <c r="A775" s="25" t="n">
        <v>12089872</v>
      </c>
      <c r="B775" s="25" t="s">
        <v>1965</v>
      </c>
      <c r="C775" s="25" t="s">
        <v>1966</v>
      </c>
      <c r="D775" s="26" t="n">
        <v>3.62</v>
      </c>
      <c r="E775" s="27" t="n">
        <v>8.44129142946684</v>
      </c>
      <c r="F775" s="27" t="n">
        <v>8.44129142946684</v>
      </c>
      <c r="G775" s="25" t="s">
        <v>1028</v>
      </c>
      <c r="H775" s="25" t="s">
        <v>1029</v>
      </c>
      <c r="I775" s="25" t="n">
        <f aca="false">IFERROR(IF(INDEX(Documents!$C$5:$C$657,MATCH(H775,Documents!$A$5:$A$657,0))="","",INDEX(Documents!$C$5:$C$657,MATCH(H775,Documents!$A$5:$A$657,0))),"")</f>
        <v>2012</v>
      </c>
      <c r="J775" s="25" t="str">
        <f aca="false">IFERROR(IF(INDEX(Documents!$D$5:$D$657,MATCH(H775,Documents!$A$5:$A$657,0))="","",INDEX(Documents!$D$5:$D$657,MATCH(H775,Documents!$A$5:$A$657,0))),"")</f>
        <v>J Med Chem</v>
      </c>
      <c r="K775" s="25" t="str">
        <f aca="false">IFERROR(IF(INDEX(Documents!$G$5:$G$657,MATCH(H775,Documents!$A$5:$A$657,0))="","",INDEX(Documents!$G$5:$G$657,MATCH(H775,Documents!$A$5:$A$657,0))),"")</f>
        <v>10.1021/jm300763w</v>
      </c>
      <c r="L775" s="25" t="s">
        <v>1030</v>
      </c>
    </row>
    <row r="776" customFormat="false" ht="15" hidden="false" customHeight="false" outlineLevel="0" collapsed="false">
      <c r="A776" s="25" t="n">
        <v>12089873</v>
      </c>
      <c r="B776" s="25" t="s">
        <v>1967</v>
      </c>
      <c r="C776" s="25" t="s">
        <v>1968</v>
      </c>
      <c r="D776" s="26" t="n">
        <v>2.34</v>
      </c>
      <c r="E776" s="27" t="n">
        <v>8.63078414258986</v>
      </c>
      <c r="F776" s="27" t="n">
        <v>8.63078414258986</v>
      </c>
      <c r="G776" s="25" t="s">
        <v>1028</v>
      </c>
      <c r="H776" s="25" t="s">
        <v>1029</v>
      </c>
      <c r="I776" s="25" t="n">
        <f aca="false">IFERROR(IF(INDEX(Documents!$C$5:$C$657,MATCH(H776,Documents!$A$5:$A$657,0))="","",INDEX(Documents!$C$5:$C$657,MATCH(H776,Documents!$A$5:$A$657,0))),"")</f>
        <v>2012</v>
      </c>
      <c r="J776" s="25" t="str">
        <f aca="false">IFERROR(IF(INDEX(Documents!$D$5:$D$657,MATCH(H776,Documents!$A$5:$A$657,0))="","",INDEX(Documents!$D$5:$D$657,MATCH(H776,Documents!$A$5:$A$657,0))),"")</f>
        <v>J Med Chem</v>
      </c>
      <c r="K776" s="25" t="str">
        <f aca="false">IFERROR(IF(INDEX(Documents!$G$5:$G$657,MATCH(H776,Documents!$A$5:$A$657,0))="","",INDEX(Documents!$G$5:$G$657,MATCH(H776,Documents!$A$5:$A$657,0))),"")</f>
        <v>10.1021/jm300763w</v>
      </c>
      <c r="L776" s="25" t="s">
        <v>1030</v>
      </c>
    </row>
    <row r="777" customFormat="false" ht="15" hidden="false" customHeight="false" outlineLevel="0" collapsed="false">
      <c r="A777" s="25" t="n">
        <v>12089875</v>
      </c>
      <c r="B777" s="25" t="s">
        <v>1969</v>
      </c>
      <c r="C777" s="25" t="s">
        <v>1970</v>
      </c>
      <c r="D777" s="26" t="n">
        <v>0.32</v>
      </c>
      <c r="E777" s="27" t="n">
        <v>9.49485002168009</v>
      </c>
      <c r="F777" s="27" t="n">
        <v>9.49485002168009</v>
      </c>
      <c r="G777" s="25" t="s">
        <v>1028</v>
      </c>
      <c r="H777" s="25" t="s">
        <v>1029</v>
      </c>
      <c r="I777" s="25" t="n">
        <f aca="false">IFERROR(IF(INDEX(Documents!$C$5:$C$657,MATCH(H777,Documents!$A$5:$A$657,0))="","",INDEX(Documents!$C$5:$C$657,MATCH(H777,Documents!$A$5:$A$657,0))),"")</f>
        <v>2012</v>
      </c>
      <c r="J777" s="25" t="str">
        <f aca="false">IFERROR(IF(INDEX(Documents!$D$5:$D$657,MATCH(H777,Documents!$A$5:$A$657,0))="","",INDEX(Documents!$D$5:$D$657,MATCH(H777,Documents!$A$5:$A$657,0))),"")</f>
        <v>J Med Chem</v>
      </c>
      <c r="K777" s="25" t="str">
        <f aca="false">IFERROR(IF(INDEX(Documents!$G$5:$G$657,MATCH(H777,Documents!$A$5:$A$657,0))="","",INDEX(Documents!$G$5:$G$657,MATCH(H777,Documents!$A$5:$A$657,0))),"")</f>
        <v>10.1021/jm300763w</v>
      </c>
      <c r="L777" s="25" t="s">
        <v>1030</v>
      </c>
    </row>
    <row r="778" customFormat="false" ht="15" hidden="false" customHeight="false" outlineLevel="0" collapsed="false">
      <c r="A778" s="25" t="n">
        <v>16462606</v>
      </c>
      <c r="B778" s="25" t="s">
        <v>1971</v>
      </c>
      <c r="C778" s="25" t="s">
        <v>1972</v>
      </c>
      <c r="D778" s="26" t="n">
        <v>1785</v>
      </c>
      <c r="E778" s="27" t="n">
        <v>5.74836177955179</v>
      </c>
      <c r="F778" s="27" t="n">
        <v>5.74836177955179</v>
      </c>
      <c r="G778" s="25" t="s">
        <v>1973</v>
      </c>
      <c r="H778" s="25" t="s">
        <v>1974</v>
      </c>
      <c r="I778" s="25" t="n">
        <f aca="false">IFERROR(IF(INDEX(Documents!$C$5:$C$657,MATCH(H778,Documents!$A$5:$A$657,0))="","",INDEX(Documents!$C$5:$C$657,MATCH(H778,Documents!$A$5:$A$657,0))),"")</f>
        <v>2016</v>
      </c>
      <c r="J778" s="25" t="str">
        <f aca="false">IFERROR(IF(INDEX(Documents!$D$5:$D$657,MATCH(H778,Documents!$A$5:$A$657,0))="","",INDEX(Documents!$D$5:$D$657,MATCH(H778,Documents!$A$5:$A$657,0))),"")</f>
        <v>Bioorg Med Chem</v>
      </c>
      <c r="K778" s="25" t="str">
        <f aca="false">IFERROR(IF(INDEX(Documents!$G$5:$G$657,MATCH(H778,Documents!$A$5:$A$657,0))="","",INDEX(Documents!$G$5:$G$657,MATCH(H778,Documents!$A$5:$A$657,0))),"")</f>
        <v>10.1016/j.bmc.2016.01.033</v>
      </c>
      <c r="L778" s="25" t="s">
        <v>1975</v>
      </c>
    </row>
    <row r="779" customFormat="false" ht="15" hidden="false" customHeight="false" outlineLevel="0" collapsed="false">
      <c r="A779" s="25" t="n">
        <v>18673910</v>
      </c>
      <c r="B779" s="25" t="s">
        <v>1976</v>
      </c>
      <c r="C779" s="25" t="s">
        <v>1977</v>
      </c>
      <c r="D779" s="26" t="n">
        <v>400</v>
      </c>
      <c r="E779" s="27" t="n">
        <v>6.39794000867204</v>
      </c>
      <c r="F779" s="27" t="n">
        <v>6.39794000867204</v>
      </c>
      <c r="G779" s="25" t="s">
        <v>664</v>
      </c>
      <c r="H779" s="25" t="s">
        <v>665</v>
      </c>
      <c r="I779" s="25" t="n">
        <f aca="false">IFERROR(IF(INDEX(Documents!$C$5:$C$657,MATCH(H779,Documents!$A$5:$A$657,0))="","",INDEX(Documents!$C$5:$C$657,MATCH(H779,Documents!$A$5:$A$657,0))),"")</f>
        <v>2018</v>
      </c>
      <c r="J779" s="25" t="str">
        <f aca="false">IFERROR(IF(INDEX(Documents!$D$5:$D$657,MATCH(H779,Documents!$A$5:$A$657,0))="","",INDEX(Documents!$D$5:$D$657,MATCH(H779,Documents!$A$5:$A$657,0))),"")</f>
        <v>Bioorg Med Chem</v>
      </c>
      <c r="K779" s="25" t="str">
        <f aca="false">IFERROR(IF(INDEX(Documents!$G$5:$G$657,MATCH(H779,Documents!$A$5:$A$657,0))="","",INDEX(Documents!$G$5:$G$657,MATCH(H779,Documents!$A$5:$A$657,0))),"")</f>
        <v>10.1016/j.bmc.2018.07.043</v>
      </c>
      <c r="L779" s="25" t="s">
        <v>666</v>
      </c>
    </row>
    <row r="780" customFormat="false" ht="15" hidden="false" customHeight="false" outlineLevel="0" collapsed="false">
      <c r="A780" s="25" t="n">
        <v>12146242</v>
      </c>
      <c r="B780" s="25" t="s">
        <v>1978</v>
      </c>
      <c r="C780" s="25" t="s">
        <v>1979</v>
      </c>
      <c r="D780" s="26" t="n">
        <v>182</v>
      </c>
      <c r="E780" s="27" t="n">
        <v>6.73992861201493</v>
      </c>
      <c r="F780" s="27" t="n">
        <v>6.73992861201493</v>
      </c>
      <c r="G780" s="25" t="s">
        <v>1126</v>
      </c>
      <c r="H780" s="25" t="s">
        <v>1127</v>
      </c>
      <c r="I780" s="25" t="n">
        <f aca="false">IFERROR(IF(INDEX(Documents!$C$5:$C$657,MATCH(H780,Documents!$A$5:$A$657,0))="","",INDEX(Documents!$C$5:$C$657,MATCH(H780,Documents!$A$5:$A$657,0))),"")</f>
        <v>2012</v>
      </c>
      <c r="J780" s="25" t="str">
        <f aca="false">IFERROR(IF(INDEX(Documents!$D$5:$D$657,MATCH(H780,Documents!$A$5:$A$657,0))="","",INDEX(Documents!$D$5:$D$657,MATCH(H780,Documents!$A$5:$A$657,0))),"")</f>
        <v>J Med Chem</v>
      </c>
      <c r="K780" s="25" t="str">
        <f aca="false">IFERROR(IF(INDEX(Documents!$G$5:$G$657,MATCH(H780,Documents!$A$5:$A$657,0))="","",INDEX(Documents!$G$5:$G$657,MATCH(H780,Documents!$A$5:$A$657,0))),"")</f>
        <v>10.1021/jm301212u</v>
      </c>
      <c r="L780" s="25" t="s">
        <v>1128</v>
      </c>
    </row>
    <row r="781" customFormat="false" ht="15" hidden="false" customHeight="false" outlineLevel="0" collapsed="false">
      <c r="A781" s="25" t="n">
        <v>12146275</v>
      </c>
      <c r="B781" s="25" t="s">
        <v>1978</v>
      </c>
      <c r="C781" s="25" t="s">
        <v>1979</v>
      </c>
      <c r="D781" s="26" t="n">
        <v>182</v>
      </c>
      <c r="E781" s="27" t="n">
        <v>6.73992861201493</v>
      </c>
      <c r="F781" s="27" t="n">
        <v>6.73992861201493</v>
      </c>
      <c r="G781" s="25" t="s">
        <v>1126</v>
      </c>
      <c r="H781" s="25" t="s">
        <v>1127</v>
      </c>
      <c r="I781" s="25" t="n">
        <f aca="false">IFERROR(IF(INDEX(Documents!$C$5:$C$657,MATCH(H781,Documents!$A$5:$A$657,0))="","",INDEX(Documents!$C$5:$C$657,MATCH(H781,Documents!$A$5:$A$657,0))),"")</f>
        <v>2012</v>
      </c>
      <c r="J781" s="25" t="str">
        <f aca="false">IFERROR(IF(INDEX(Documents!$D$5:$D$657,MATCH(H781,Documents!$A$5:$A$657,0))="","",INDEX(Documents!$D$5:$D$657,MATCH(H781,Documents!$A$5:$A$657,0))),"")</f>
        <v>J Med Chem</v>
      </c>
      <c r="K781" s="25" t="str">
        <f aca="false">IFERROR(IF(INDEX(Documents!$G$5:$G$657,MATCH(H781,Documents!$A$5:$A$657,0))="","",INDEX(Documents!$G$5:$G$657,MATCH(H781,Documents!$A$5:$A$657,0))),"")</f>
        <v>10.1021/jm301212u</v>
      </c>
      <c r="L781" s="25" t="s">
        <v>1128</v>
      </c>
    </row>
    <row r="782" customFormat="false" ht="15" hidden="false" customHeight="false" outlineLevel="0" collapsed="false">
      <c r="A782" s="25" t="n">
        <v>19180462</v>
      </c>
      <c r="B782" s="25" t="s">
        <v>1980</v>
      </c>
      <c r="C782" s="25" t="s">
        <v>1981</v>
      </c>
      <c r="D782" s="26" t="n">
        <v>420</v>
      </c>
      <c r="E782" s="27" t="n">
        <v>6.3767507096021</v>
      </c>
      <c r="F782" s="27" t="n">
        <v>6.3767507096021</v>
      </c>
      <c r="G782" s="25" t="s">
        <v>669</v>
      </c>
      <c r="H782" s="25" t="s">
        <v>670</v>
      </c>
      <c r="I782" s="25" t="n">
        <f aca="false">IFERROR(IF(INDEX(Documents!$C$5:$C$657,MATCH(H782,Documents!$A$5:$A$657,0))="","",INDEX(Documents!$C$5:$C$657,MATCH(H782,Documents!$A$5:$A$657,0))),"")</f>
        <v>2019</v>
      </c>
      <c r="J782" s="25" t="str">
        <f aca="false">IFERROR(IF(INDEX(Documents!$D$5:$D$657,MATCH(H782,Documents!$A$5:$A$657,0))="","",INDEX(Documents!$D$5:$D$657,MATCH(H782,Documents!$A$5:$A$657,0))),"")</f>
        <v>Bioorg Med Chem</v>
      </c>
      <c r="K782" s="25" t="str">
        <f aca="false">IFERROR(IF(INDEX(Documents!$G$5:$G$657,MATCH(H782,Documents!$A$5:$A$657,0))="","",INDEX(Documents!$G$5:$G$657,MATCH(H782,Documents!$A$5:$A$657,0))),"")</f>
        <v>10.1016/j.bmc.2019.07.002</v>
      </c>
      <c r="L782" s="25" t="s">
        <v>671</v>
      </c>
    </row>
    <row r="783" customFormat="false" ht="15" hidden="false" customHeight="false" outlineLevel="0" collapsed="false">
      <c r="A783" s="25" t="n">
        <v>13474017</v>
      </c>
      <c r="B783" s="25" t="s">
        <v>1982</v>
      </c>
      <c r="C783" s="25" t="s">
        <v>1983</v>
      </c>
      <c r="D783" s="26" t="n">
        <v>1046</v>
      </c>
      <c r="E783" s="27" t="n">
        <v>5.98046831546875</v>
      </c>
      <c r="F783" s="27" t="n">
        <v>5.98046831546875</v>
      </c>
      <c r="G783" s="25" t="s">
        <v>1033</v>
      </c>
      <c r="H783" s="25" t="s">
        <v>1034</v>
      </c>
      <c r="I783" s="25" t="n">
        <f aca="false">IFERROR(IF(INDEX(Documents!$C$5:$C$657,MATCH(H783,Documents!$A$5:$A$657,0))="","",INDEX(Documents!$C$5:$C$657,MATCH(H783,Documents!$A$5:$A$657,0))),"")</f>
        <v>2013</v>
      </c>
      <c r="J783" s="25" t="str">
        <f aca="false">IFERROR(IF(INDEX(Documents!$D$5:$D$657,MATCH(H783,Documents!$A$5:$A$657,0))="","",INDEX(Documents!$D$5:$D$657,MATCH(H783,Documents!$A$5:$A$657,0))),"")</f>
        <v>J Med Chem</v>
      </c>
      <c r="K783" s="25" t="str">
        <f aca="false">IFERROR(IF(INDEX(Documents!$G$5:$G$657,MATCH(H783,Documents!$A$5:$A$657,0))="","",INDEX(Documents!$G$5:$G$657,MATCH(H783,Documents!$A$5:$A$657,0))),"")</f>
        <v>10.1021/jm401129n</v>
      </c>
      <c r="L783" s="25" t="s">
        <v>1035</v>
      </c>
    </row>
    <row r="784" customFormat="false" ht="15" hidden="false" customHeight="false" outlineLevel="0" collapsed="false">
      <c r="A784" s="25" t="n">
        <v>17991514</v>
      </c>
      <c r="B784" s="25" t="s">
        <v>1984</v>
      </c>
      <c r="C784" s="25" t="s">
        <v>1985</v>
      </c>
      <c r="D784" s="26" t="n">
        <v>1</v>
      </c>
      <c r="E784" s="27" t="n">
        <v>9</v>
      </c>
      <c r="F784" s="27" t="n">
        <v>9</v>
      </c>
      <c r="G784" s="25" t="s">
        <v>1548</v>
      </c>
      <c r="H784" s="25" t="s">
        <v>1549</v>
      </c>
      <c r="I784" s="25" t="n">
        <f aca="false">IFERROR(IF(INDEX(Documents!$C$5:$C$657,MATCH(H784,Documents!$A$5:$A$657,0))="","",INDEX(Documents!$C$5:$C$657,MATCH(H784,Documents!$A$5:$A$657,0))),"")</f>
        <v>2015</v>
      </c>
      <c r="J784" s="25" t="str">
        <f aca="false">IFERROR(IF(INDEX(Documents!$D$5:$D$657,MATCH(H784,Documents!$A$5:$A$657,0))="","",INDEX(Documents!$D$5:$D$657,MATCH(H784,Documents!$A$5:$A$657,0))),"")</f>
        <v>J Med Chem</v>
      </c>
      <c r="K784" s="25" t="str">
        <f aca="false">IFERROR(IF(INDEX(Documents!$G$5:$G$657,MATCH(H784,Documents!$A$5:$A$657,0))="","",INDEX(Documents!$G$5:$G$657,MATCH(H784,Documents!$A$5:$A$657,0))),"")</f>
        <v>10.1021/jm501165d</v>
      </c>
      <c r="L784" s="25" t="s">
        <v>1550</v>
      </c>
    </row>
    <row r="785" customFormat="false" ht="15" hidden="false" customHeight="false" outlineLevel="0" collapsed="false">
      <c r="A785" s="25" t="n">
        <v>3082581</v>
      </c>
      <c r="B785" s="25" t="s">
        <v>1986</v>
      </c>
      <c r="C785" s="25" t="s">
        <v>1987</v>
      </c>
      <c r="D785" s="26" t="n">
        <v>1.1</v>
      </c>
      <c r="E785" s="27" t="n">
        <v>8.95860731484178</v>
      </c>
      <c r="F785" s="27" t="n">
        <v>8.95860731484178</v>
      </c>
      <c r="G785" s="25" t="s">
        <v>1760</v>
      </c>
      <c r="H785" s="25" t="s">
        <v>1761</v>
      </c>
      <c r="I785" s="25" t="n">
        <f aca="false">IFERROR(IF(INDEX(Documents!$C$5:$C$657,MATCH(H785,Documents!$A$5:$A$657,0))="","",INDEX(Documents!$C$5:$C$657,MATCH(H785,Documents!$A$5:$A$657,0))),"")</f>
        <v>2010</v>
      </c>
      <c r="J785" s="25" t="str">
        <f aca="false">IFERROR(IF(INDEX(Documents!$D$5:$D$657,MATCH(H785,Documents!$A$5:$A$657,0))="","",INDEX(Documents!$D$5:$D$657,MATCH(H785,Documents!$A$5:$A$657,0))),"")</f>
        <v>Bioorg Med Chem Lett</v>
      </c>
      <c r="K785" s="25" t="str">
        <f aca="false">IFERROR(IF(INDEX(Documents!$G$5:$G$657,MATCH(H785,Documents!$A$5:$A$657,0))="","",INDEX(Documents!$G$5:$G$657,MATCH(H785,Documents!$A$5:$A$657,0))),"")</f>
        <v>10.1016/j.bmcl.2009.10.062</v>
      </c>
      <c r="L785" s="25" t="s">
        <v>775</v>
      </c>
    </row>
    <row r="786" customFormat="false" ht="15" hidden="false" customHeight="false" outlineLevel="0" collapsed="false">
      <c r="A786" s="25" t="n">
        <v>3564071</v>
      </c>
      <c r="B786" s="25" t="s">
        <v>1988</v>
      </c>
      <c r="C786" s="25" t="s">
        <v>1989</v>
      </c>
      <c r="D786" s="26" t="n">
        <v>71</v>
      </c>
      <c r="E786" s="27" t="n">
        <v>7.14874165128093</v>
      </c>
      <c r="F786" s="27" t="n">
        <v>7.14874165128093</v>
      </c>
      <c r="G786" s="25" t="s">
        <v>1935</v>
      </c>
      <c r="H786" s="25" t="s">
        <v>1936</v>
      </c>
      <c r="I786" s="25" t="n">
        <f aca="false">IFERROR(IF(INDEX(Documents!$C$5:$C$657,MATCH(H786,Documents!$A$5:$A$657,0))="","",INDEX(Documents!$C$5:$C$657,MATCH(H786,Documents!$A$5:$A$657,0))),"")</f>
        <v>2010</v>
      </c>
      <c r="J786" s="25" t="str">
        <f aca="false">IFERROR(IF(INDEX(Documents!$D$5:$D$657,MATCH(H786,Documents!$A$5:$A$657,0))="","",INDEX(Documents!$D$5:$D$657,MATCH(H786,Documents!$A$5:$A$657,0))),"")</f>
        <v>Bioorg Med Chem</v>
      </c>
      <c r="K786" s="25" t="str">
        <f aca="false">IFERROR(IF(INDEX(Documents!$G$5:$G$657,MATCH(H786,Documents!$A$5:$A$657,0))="","",INDEX(Documents!$G$5:$G$657,MATCH(H786,Documents!$A$5:$A$657,0))),"")</f>
        <v>10.1016/j.bmc.2010.09.061</v>
      </c>
      <c r="L786" s="25" t="s">
        <v>1937</v>
      </c>
    </row>
    <row r="787" customFormat="false" ht="15" hidden="false" customHeight="false" outlineLevel="0" collapsed="false">
      <c r="A787" s="25" t="n">
        <v>24996428</v>
      </c>
      <c r="B787" s="25" t="s">
        <v>1990</v>
      </c>
      <c r="C787" s="25" t="s">
        <v>1991</v>
      </c>
      <c r="D787" s="26" t="n">
        <v>22.7</v>
      </c>
      <c r="E787" s="27" t="n">
        <v>7.64397414280688</v>
      </c>
      <c r="F787" s="27" t="n">
        <v>7.64397414280688</v>
      </c>
      <c r="G787" s="25" t="s">
        <v>1992</v>
      </c>
      <c r="H787" s="25" t="s">
        <v>1827</v>
      </c>
      <c r="I787" s="25" t="n">
        <f aca="false">IFERROR(IF(INDEX(Documents!$C$5:$C$657,MATCH(H787,Documents!$A$5:$A$657,0))="","",INDEX(Documents!$C$5:$C$657,MATCH(H787,Documents!$A$5:$A$657,0))),"")</f>
        <v>2020</v>
      </c>
      <c r="J787" s="25" t="str">
        <f aca="false">IFERROR(IF(INDEX(Documents!$D$5:$D$657,MATCH(H787,Documents!$A$5:$A$657,0))="","",INDEX(Documents!$D$5:$D$657,MATCH(H787,Documents!$A$5:$A$657,0))),"")</f>
        <v>J Med Chem</v>
      </c>
      <c r="K787" s="25" t="str">
        <f aca="false">IFERROR(IF(INDEX(Documents!$G$5:$G$657,MATCH(H787,Documents!$A$5:$A$657,0))="","",INDEX(Documents!$G$5:$G$657,MATCH(H787,Documents!$A$5:$A$657,0))),"")</f>
        <v>10.1021/acs.jmedchem.0c01357</v>
      </c>
      <c r="L787" s="25" t="s">
        <v>1993</v>
      </c>
    </row>
    <row r="788" customFormat="false" ht="15" hidden="false" customHeight="false" outlineLevel="0" collapsed="false">
      <c r="A788" s="25" t="n">
        <v>23303562</v>
      </c>
      <c r="B788" s="25" t="s">
        <v>1994</v>
      </c>
      <c r="C788" s="25" t="s">
        <v>1995</v>
      </c>
      <c r="D788" s="26" t="n">
        <v>231</v>
      </c>
      <c r="E788" s="27" t="n">
        <v>6.63638802010786</v>
      </c>
      <c r="F788" s="27" t="n">
        <v>6.63819094393938</v>
      </c>
      <c r="G788" s="25" t="s">
        <v>1996</v>
      </c>
      <c r="H788" s="25" t="s">
        <v>1997</v>
      </c>
      <c r="I788" s="25" t="n">
        <f aca="false">IFERROR(IF(INDEX(Documents!$C$5:$C$657,MATCH(H788,Documents!$A$5:$A$657,0))="","",INDEX(Documents!$C$5:$C$657,MATCH(H788,Documents!$A$5:$A$657,0))),"")</f>
        <v>2021</v>
      </c>
      <c r="J788" s="25" t="str">
        <f aca="false">IFERROR(IF(INDEX(Documents!$D$5:$D$657,MATCH(H788,Documents!$A$5:$A$657,0))="","",INDEX(Documents!$D$5:$D$657,MATCH(H788,Documents!$A$5:$A$657,0))),"")</f>
        <v>Eur J Med Chem</v>
      </c>
      <c r="K788" s="25" t="str">
        <f aca="false">IFERROR(IF(INDEX(Documents!$G$5:$G$657,MATCH(H788,Documents!$A$5:$A$657,0))="","",INDEX(Documents!$G$5:$G$657,MATCH(H788,Documents!$A$5:$A$657,0))),"")</f>
        <v>10.1016/j.ejmech.2021.113354</v>
      </c>
      <c r="L788" s="25" t="s">
        <v>1998</v>
      </c>
    </row>
    <row r="789" customFormat="false" ht="15" hidden="false" customHeight="false" outlineLevel="0" collapsed="false">
      <c r="A789" s="25" t="n">
        <v>23303512</v>
      </c>
      <c r="B789" s="25" t="s">
        <v>1994</v>
      </c>
      <c r="C789" s="25" t="s">
        <v>1995</v>
      </c>
      <c r="D789" s="26" t="n">
        <v>229.09</v>
      </c>
      <c r="E789" s="27" t="n">
        <v>6.6399938677709</v>
      </c>
      <c r="F789" s="27" t="n">
        <v>6.63819094393938</v>
      </c>
      <c r="G789" s="25" t="s">
        <v>1996</v>
      </c>
      <c r="H789" s="25" t="s">
        <v>1997</v>
      </c>
      <c r="I789" s="25" t="n">
        <f aca="false">IFERROR(IF(INDEX(Documents!$C$5:$C$657,MATCH(H789,Documents!$A$5:$A$657,0))="","",INDEX(Documents!$C$5:$C$657,MATCH(H789,Documents!$A$5:$A$657,0))),"")</f>
        <v>2021</v>
      </c>
      <c r="J789" s="25" t="str">
        <f aca="false">IFERROR(IF(INDEX(Documents!$D$5:$D$657,MATCH(H789,Documents!$A$5:$A$657,0))="","",INDEX(Documents!$D$5:$D$657,MATCH(H789,Documents!$A$5:$A$657,0))),"")</f>
        <v>Eur J Med Chem</v>
      </c>
      <c r="K789" s="25" t="str">
        <f aca="false">IFERROR(IF(INDEX(Documents!$G$5:$G$657,MATCH(H789,Documents!$A$5:$A$657,0))="","",INDEX(Documents!$G$5:$G$657,MATCH(H789,Documents!$A$5:$A$657,0))),"")</f>
        <v>10.1016/j.ejmech.2021.113354</v>
      </c>
      <c r="L789" s="25" t="s">
        <v>1998</v>
      </c>
    </row>
    <row r="790" customFormat="false" ht="15" hidden="false" customHeight="false" outlineLevel="0" collapsed="false">
      <c r="A790" s="25" t="n">
        <v>2130225</v>
      </c>
      <c r="B790" s="25" t="s">
        <v>1999</v>
      </c>
      <c r="C790" s="25" t="s">
        <v>2000</v>
      </c>
      <c r="D790" s="26" t="n">
        <v>546</v>
      </c>
      <c r="E790" s="27" t="n">
        <v>6.26280735729526</v>
      </c>
      <c r="F790" s="27" t="n">
        <v>6.26280735729526</v>
      </c>
      <c r="G790" s="25" t="s">
        <v>1818</v>
      </c>
      <c r="H790" s="25" t="s">
        <v>1819</v>
      </c>
      <c r="I790" s="25" t="n">
        <f aca="false">IFERROR(IF(INDEX(Documents!$C$5:$C$657,MATCH(H790,Documents!$A$5:$A$657,0))="","",INDEX(Documents!$C$5:$C$657,MATCH(H790,Documents!$A$5:$A$657,0))),"")</f>
        <v>2008</v>
      </c>
      <c r="J790" s="25" t="str">
        <f aca="false">IFERROR(IF(INDEX(Documents!$D$5:$D$657,MATCH(H790,Documents!$A$5:$A$657,0))="","",INDEX(Documents!$D$5:$D$657,MATCH(H790,Documents!$A$5:$A$657,0))),"")</f>
        <v>Bioorg Med Chem</v>
      </c>
      <c r="K790" s="25" t="str">
        <f aca="false">IFERROR(IF(INDEX(Documents!$G$5:$G$657,MATCH(H790,Documents!$A$5:$A$657,0))="","",INDEX(Documents!$G$5:$G$657,MATCH(H790,Documents!$A$5:$A$657,0))),"")</f>
        <v>10.1016/j.bmc.2007.09.033</v>
      </c>
      <c r="L790" s="25" t="s">
        <v>709</v>
      </c>
    </row>
    <row r="791" customFormat="false" ht="15" hidden="false" customHeight="false" outlineLevel="0" collapsed="false">
      <c r="A791" s="25" t="n">
        <v>2130216</v>
      </c>
      <c r="B791" s="25" t="s">
        <v>2001</v>
      </c>
      <c r="C791" s="25" t="s">
        <v>2002</v>
      </c>
      <c r="D791" s="26" t="n">
        <v>700</v>
      </c>
      <c r="E791" s="27" t="n">
        <v>6.15490195998574</v>
      </c>
      <c r="F791" s="27" t="n">
        <v>6.15490195998574</v>
      </c>
      <c r="G791" s="25" t="s">
        <v>1818</v>
      </c>
      <c r="H791" s="25" t="s">
        <v>1819</v>
      </c>
      <c r="I791" s="25" t="n">
        <f aca="false">IFERROR(IF(INDEX(Documents!$C$5:$C$657,MATCH(H791,Documents!$A$5:$A$657,0))="","",INDEX(Documents!$C$5:$C$657,MATCH(H791,Documents!$A$5:$A$657,0))),"")</f>
        <v>2008</v>
      </c>
      <c r="J791" s="25" t="str">
        <f aca="false">IFERROR(IF(INDEX(Documents!$D$5:$D$657,MATCH(H791,Documents!$A$5:$A$657,0))="","",INDEX(Documents!$D$5:$D$657,MATCH(H791,Documents!$A$5:$A$657,0))),"")</f>
        <v>Bioorg Med Chem</v>
      </c>
      <c r="K791" s="25" t="str">
        <f aca="false">IFERROR(IF(INDEX(Documents!$G$5:$G$657,MATCH(H791,Documents!$A$5:$A$657,0))="","",INDEX(Documents!$G$5:$G$657,MATCH(H791,Documents!$A$5:$A$657,0))),"")</f>
        <v>10.1016/j.bmc.2007.09.033</v>
      </c>
      <c r="L791" s="25" t="s">
        <v>709</v>
      </c>
    </row>
    <row r="792" customFormat="false" ht="15" hidden="false" customHeight="false" outlineLevel="0" collapsed="false">
      <c r="A792" s="25" t="n">
        <v>2130233</v>
      </c>
      <c r="B792" s="25" t="s">
        <v>2003</v>
      </c>
      <c r="C792" s="25" t="s">
        <v>2004</v>
      </c>
      <c r="D792" s="26" t="n">
        <v>639</v>
      </c>
      <c r="E792" s="27" t="n">
        <v>6.1944991418416</v>
      </c>
      <c r="F792" s="27" t="n">
        <v>6.1944991418416</v>
      </c>
      <c r="G792" s="25" t="s">
        <v>1818</v>
      </c>
      <c r="H792" s="25" t="s">
        <v>1819</v>
      </c>
      <c r="I792" s="25" t="n">
        <f aca="false">IFERROR(IF(INDEX(Documents!$C$5:$C$657,MATCH(H792,Documents!$A$5:$A$657,0))="","",INDEX(Documents!$C$5:$C$657,MATCH(H792,Documents!$A$5:$A$657,0))),"")</f>
        <v>2008</v>
      </c>
      <c r="J792" s="25" t="str">
        <f aca="false">IFERROR(IF(INDEX(Documents!$D$5:$D$657,MATCH(H792,Documents!$A$5:$A$657,0))="","",INDEX(Documents!$D$5:$D$657,MATCH(H792,Documents!$A$5:$A$657,0))),"")</f>
        <v>Bioorg Med Chem</v>
      </c>
      <c r="K792" s="25" t="str">
        <f aca="false">IFERROR(IF(INDEX(Documents!$G$5:$G$657,MATCH(H792,Documents!$A$5:$A$657,0))="","",INDEX(Documents!$G$5:$G$657,MATCH(H792,Documents!$A$5:$A$657,0))),"")</f>
        <v>10.1016/j.bmc.2007.09.033</v>
      </c>
      <c r="L792" s="25" t="s">
        <v>709</v>
      </c>
    </row>
    <row r="793" customFormat="false" ht="15" hidden="false" customHeight="false" outlineLevel="0" collapsed="false">
      <c r="A793" s="25" t="n">
        <v>12146214</v>
      </c>
      <c r="B793" s="25" t="s">
        <v>2005</v>
      </c>
      <c r="C793" s="25" t="s">
        <v>2006</v>
      </c>
      <c r="D793" s="26" t="n">
        <v>35970</v>
      </c>
      <c r="E793" s="27" t="n">
        <v>4.44405956218149</v>
      </c>
      <c r="F793" s="27" t="n">
        <v>4.44405980365757</v>
      </c>
      <c r="G793" s="25" t="s">
        <v>1126</v>
      </c>
      <c r="H793" s="25" t="s">
        <v>1127</v>
      </c>
      <c r="I793" s="25" t="n">
        <f aca="false">IFERROR(IF(INDEX(Documents!$C$5:$C$657,MATCH(H793,Documents!$A$5:$A$657,0))="","",INDEX(Documents!$C$5:$C$657,MATCH(H793,Documents!$A$5:$A$657,0))),"")</f>
        <v>2012</v>
      </c>
      <c r="J793" s="25" t="str">
        <f aca="false">IFERROR(IF(INDEX(Documents!$D$5:$D$657,MATCH(H793,Documents!$A$5:$A$657,0))="","",INDEX(Documents!$D$5:$D$657,MATCH(H793,Documents!$A$5:$A$657,0))),"")</f>
        <v>J Med Chem</v>
      </c>
      <c r="K793" s="25" t="str">
        <f aca="false">IFERROR(IF(INDEX(Documents!$G$5:$G$657,MATCH(H793,Documents!$A$5:$A$657,0))="","",INDEX(Documents!$G$5:$G$657,MATCH(H793,Documents!$A$5:$A$657,0))),"")</f>
        <v>10.1021/jm301212u</v>
      </c>
      <c r="L793" s="25" t="s">
        <v>1128</v>
      </c>
    </row>
    <row r="794" customFormat="false" ht="15" hidden="false" customHeight="false" outlineLevel="0" collapsed="false">
      <c r="A794" s="25" t="n">
        <v>12146304</v>
      </c>
      <c r="B794" s="25" t="s">
        <v>2005</v>
      </c>
      <c r="C794" s="25" t="s">
        <v>2006</v>
      </c>
      <c r="D794" s="26" t="n">
        <v>35969.96</v>
      </c>
      <c r="E794" s="27" t="n">
        <v>4.44406004513364</v>
      </c>
      <c r="F794" s="27" t="n">
        <v>4.44405980365757</v>
      </c>
      <c r="G794" s="25" t="s">
        <v>1126</v>
      </c>
      <c r="H794" s="25" t="s">
        <v>1127</v>
      </c>
      <c r="I794" s="25" t="n">
        <f aca="false">IFERROR(IF(INDEX(Documents!$C$5:$C$657,MATCH(H794,Documents!$A$5:$A$657,0))="","",INDEX(Documents!$C$5:$C$657,MATCH(H794,Documents!$A$5:$A$657,0))),"")</f>
        <v>2012</v>
      </c>
      <c r="J794" s="25" t="str">
        <f aca="false">IFERROR(IF(INDEX(Documents!$D$5:$D$657,MATCH(H794,Documents!$A$5:$A$657,0))="","",INDEX(Documents!$D$5:$D$657,MATCH(H794,Documents!$A$5:$A$657,0))),"")</f>
        <v>J Med Chem</v>
      </c>
      <c r="K794" s="25" t="str">
        <f aca="false">IFERROR(IF(INDEX(Documents!$G$5:$G$657,MATCH(H794,Documents!$A$5:$A$657,0))="","",INDEX(Documents!$G$5:$G$657,MATCH(H794,Documents!$A$5:$A$657,0))),"")</f>
        <v>10.1021/jm301212u</v>
      </c>
      <c r="L794" s="25" t="s">
        <v>1128</v>
      </c>
    </row>
    <row r="795" customFormat="false" ht="15" hidden="false" customHeight="false" outlineLevel="0" collapsed="false">
      <c r="A795" s="25" t="n">
        <v>7959359</v>
      </c>
      <c r="B795" s="25" t="s">
        <v>2007</v>
      </c>
      <c r="C795" s="25" t="s">
        <v>2008</v>
      </c>
      <c r="D795" s="26" t="n">
        <v>3000</v>
      </c>
      <c r="E795" s="27" t="n">
        <v>5.52287874528034</v>
      </c>
      <c r="F795" s="27" t="n">
        <v>5.52287874528034</v>
      </c>
      <c r="G795" s="25" t="s">
        <v>2009</v>
      </c>
      <c r="H795" s="25" t="s">
        <v>2010</v>
      </c>
      <c r="I795" s="25" t="n">
        <f aca="false">IFERROR(IF(INDEX(Documents!$C$5:$C$657,MATCH(H795,Documents!$A$5:$A$657,0))="","",INDEX(Documents!$C$5:$C$657,MATCH(H795,Documents!$A$5:$A$657,0))),"")</f>
        <v>2012</v>
      </c>
      <c r="J795" s="25" t="str">
        <f aca="false">IFERROR(IF(INDEX(Documents!$D$5:$D$657,MATCH(H795,Documents!$A$5:$A$657,0))="","",INDEX(Documents!$D$5:$D$657,MATCH(H795,Documents!$A$5:$A$657,0))),"")</f>
        <v>Bioorg Med Chem</v>
      </c>
      <c r="K795" s="25" t="str">
        <f aca="false">IFERROR(IF(INDEX(Documents!$G$5:$G$657,MATCH(H795,Documents!$A$5:$A$657,0))="","",INDEX(Documents!$G$5:$G$657,MATCH(H795,Documents!$A$5:$A$657,0))),"")</f>
        <v>10.1016/j.bmc.2011.11.028</v>
      </c>
      <c r="L795" s="25" t="s">
        <v>676</v>
      </c>
    </row>
    <row r="796" customFormat="false" ht="15" hidden="false" customHeight="false" outlineLevel="0" collapsed="false">
      <c r="A796" s="25" t="n">
        <v>1700211</v>
      </c>
      <c r="B796" s="25" t="s">
        <v>2011</v>
      </c>
      <c r="C796" s="25" t="s">
        <v>2012</v>
      </c>
      <c r="D796" s="26" t="n">
        <v>1900</v>
      </c>
      <c r="E796" s="27" t="n">
        <v>5.72124639904717</v>
      </c>
      <c r="F796" s="27" t="n">
        <v>5.72124639904717</v>
      </c>
      <c r="G796" s="25" t="s">
        <v>2013</v>
      </c>
      <c r="H796" s="25" t="s">
        <v>2014</v>
      </c>
      <c r="I796" s="25" t="n">
        <f aca="false">IFERROR(IF(INDEX(Documents!$C$5:$C$657,MATCH(H796,Documents!$A$5:$A$657,0))="","",INDEX(Documents!$C$5:$C$657,MATCH(H796,Documents!$A$5:$A$657,0))),"")</f>
        <v>2006</v>
      </c>
      <c r="J796" s="25" t="str">
        <f aca="false">IFERROR(IF(INDEX(Documents!$D$5:$D$657,MATCH(H796,Documents!$A$5:$A$657,0))="","",INDEX(Documents!$D$5:$D$657,MATCH(H796,Documents!$A$5:$A$657,0))),"")</f>
        <v>J Med Chem</v>
      </c>
      <c r="K796" s="25" t="str">
        <f aca="false">IFERROR(IF(INDEX(Documents!$G$5:$G$657,MATCH(H796,Documents!$A$5:$A$657,0))="","",INDEX(Documents!$G$5:$G$657,MATCH(H796,Documents!$A$5:$A$657,0))),"")</f>
        <v>10.1021/jm051240y</v>
      </c>
      <c r="L796" s="25" t="s">
        <v>2015</v>
      </c>
    </row>
    <row r="797" customFormat="false" ht="15" hidden="false" customHeight="false" outlineLevel="0" collapsed="false">
      <c r="A797" s="25" t="n">
        <v>1663264</v>
      </c>
      <c r="B797" s="25" t="s">
        <v>2016</v>
      </c>
      <c r="C797" s="25" t="s">
        <v>2017</v>
      </c>
      <c r="D797" s="26" t="n">
        <v>4200</v>
      </c>
      <c r="E797" s="27" t="n">
        <v>5.3767507096021</v>
      </c>
      <c r="F797" s="27" t="n">
        <v>5.3767507096021</v>
      </c>
      <c r="G797" s="25" t="s">
        <v>2018</v>
      </c>
      <c r="H797" s="25" t="s">
        <v>2019</v>
      </c>
      <c r="I797" s="25" t="n">
        <f aca="false">IFERROR(IF(INDEX(Documents!$C$5:$C$657,MATCH(H797,Documents!$A$5:$A$657,0))="","",INDEX(Documents!$C$5:$C$657,MATCH(H797,Documents!$A$5:$A$657,0))),"")</f>
        <v>2006</v>
      </c>
      <c r="J797" s="25" t="str">
        <f aca="false">IFERROR(IF(INDEX(Documents!$D$5:$D$657,MATCH(H797,Documents!$A$5:$A$657,0))="","",INDEX(Documents!$D$5:$D$657,MATCH(H797,Documents!$A$5:$A$657,0))),"")</f>
        <v>Bioorg Med Chem Lett</v>
      </c>
      <c r="K797" s="25" t="str">
        <f aca="false">IFERROR(IF(INDEX(Documents!$G$5:$G$657,MATCH(H797,Documents!$A$5:$A$657,0))="","",INDEX(Documents!$G$5:$G$657,MATCH(H797,Documents!$A$5:$A$657,0))),"")</f>
        <v>10.1016/j.bmcl.2005.09.023</v>
      </c>
      <c r="L797" s="25" t="s">
        <v>2020</v>
      </c>
    </row>
    <row r="798" customFormat="false" ht="15" hidden="false" customHeight="false" outlineLevel="0" collapsed="false">
      <c r="A798" s="25" t="n">
        <v>1663262</v>
      </c>
      <c r="B798" s="25" t="s">
        <v>2021</v>
      </c>
      <c r="C798" s="25" t="s">
        <v>2022</v>
      </c>
      <c r="D798" s="26" t="n">
        <v>5100</v>
      </c>
      <c r="E798" s="27" t="n">
        <v>5.29242982390206</v>
      </c>
      <c r="F798" s="27" t="n">
        <v>5.29242982390206</v>
      </c>
      <c r="G798" s="25" t="s">
        <v>2018</v>
      </c>
      <c r="H798" s="25" t="s">
        <v>2019</v>
      </c>
      <c r="I798" s="25" t="n">
        <f aca="false">IFERROR(IF(INDEX(Documents!$C$5:$C$657,MATCH(H798,Documents!$A$5:$A$657,0))="","",INDEX(Documents!$C$5:$C$657,MATCH(H798,Documents!$A$5:$A$657,0))),"")</f>
        <v>2006</v>
      </c>
      <c r="J798" s="25" t="str">
        <f aca="false">IFERROR(IF(INDEX(Documents!$D$5:$D$657,MATCH(H798,Documents!$A$5:$A$657,0))="","",INDEX(Documents!$D$5:$D$657,MATCH(H798,Documents!$A$5:$A$657,0))),"")</f>
        <v>Bioorg Med Chem Lett</v>
      </c>
      <c r="K798" s="25" t="str">
        <f aca="false">IFERROR(IF(INDEX(Documents!$G$5:$G$657,MATCH(H798,Documents!$A$5:$A$657,0))="","",INDEX(Documents!$G$5:$G$657,MATCH(H798,Documents!$A$5:$A$657,0))),"")</f>
        <v>10.1016/j.bmcl.2005.09.023</v>
      </c>
      <c r="L798" s="25" t="s">
        <v>2020</v>
      </c>
    </row>
    <row r="799" customFormat="false" ht="15" hidden="false" customHeight="false" outlineLevel="0" collapsed="false">
      <c r="A799" s="25" t="n">
        <v>2052305</v>
      </c>
      <c r="B799" s="25" t="s">
        <v>2023</v>
      </c>
      <c r="C799" s="25" t="s">
        <v>2024</v>
      </c>
      <c r="D799" s="26" t="n">
        <v>95</v>
      </c>
      <c r="E799" s="27" t="n">
        <v>7.02227639471115</v>
      </c>
      <c r="F799" s="27" t="n">
        <v>7.02227639471115</v>
      </c>
      <c r="G799" s="25" t="s">
        <v>2025</v>
      </c>
      <c r="H799" s="25" t="s">
        <v>2026</v>
      </c>
      <c r="I799" s="25" t="n">
        <f aca="false">IFERROR(IF(INDEX(Documents!$C$5:$C$657,MATCH(H799,Documents!$A$5:$A$657,0))="","",INDEX(Documents!$C$5:$C$657,MATCH(H799,Documents!$A$5:$A$657,0))),"")</f>
        <v>2007</v>
      </c>
      <c r="J799" s="25" t="str">
        <f aca="false">IFERROR(IF(INDEX(Documents!$D$5:$D$657,MATCH(H799,Documents!$A$5:$A$657,0))="","",INDEX(Documents!$D$5:$D$657,MATCH(H799,Documents!$A$5:$A$657,0))),"")</f>
        <v>Bioorg Med Chem Lett</v>
      </c>
      <c r="K799" s="25" t="str">
        <f aca="false">IFERROR(IF(INDEX(Documents!$G$5:$G$657,MATCH(H799,Documents!$A$5:$A$657,0))="","",INDEX(Documents!$G$5:$G$657,MATCH(H799,Documents!$A$5:$A$657,0))),"")</f>
        <v>10.1016/j.bmcl.2007.09.089</v>
      </c>
      <c r="L799" s="25" t="s">
        <v>601</v>
      </c>
    </row>
    <row r="800" customFormat="false" ht="15" hidden="false" customHeight="false" outlineLevel="0" collapsed="false">
      <c r="A800" s="25" t="n">
        <v>14574065</v>
      </c>
      <c r="B800" s="25" t="s">
        <v>2027</v>
      </c>
      <c r="C800" s="25" t="s">
        <v>2028</v>
      </c>
      <c r="D800" s="26" t="n">
        <v>371</v>
      </c>
      <c r="E800" s="27" t="n">
        <v>6.43062609038495</v>
      </c>
      <c r="F800" s="27" t="n">
        <v>6.75970910658542</v>
      </c>
      <c r="G800" s="25" t="s">
        <v>2029</v>
      </c>
      <c r="H800" s="25" t="s">
        <v>1358</v>
      </c>
      <c r="I800" s="25" t="n">
        <f aca="false">IFERROR(IF(INDEX(Documents!$C$5:$C$657,MATCH(H800,Documents!$A$5:$A$657,0))="","",INDEX(Documents!$C$5:$C$657,MATCH(H800,Documents!$A$5:$A$657,0))),"")</f>
        <v>2013</v>
      </c>
      <c r="J800" s="25" t="str">
        <f aca="false">IFERROR(IF(INDEX(Documents!$D$5:$D$657,MATCH(H800,Documents!$A$5:$A$657,0))="","",INDEX(Documents!$D$5:$D$657,MATCH(H800,Documents!$A$5:$A$657,0))),"")</f>
        <v>J Med Chem</v>
      </c>
      <c r="K800" s="25" t="str">
        <f aca="false">IFERROR(IF(INDEX(Documents!$G$5:$G$657,MATCH(H800,Documents!$A$5:$A$657,0))="","",INDEX(Documents!$G$5:$G$657,MATCH(H800,Documents!$A$5:$A$657,0))),"")</f>
        <v>10.1021/jm4005626</v>
      </c>
      <c r="L800" s="25" t="s">
        <v>2030</v>
      </c>
    </row>
    <row r="801" customFormat="false" ht="15" hidden="false" customHeight="false" outlineLevel="0" collapsed="false">
      <c r="A801" s="25" t="n">
        <v>1663269</v>
      </c>
      <c r="B801" s="25" t="s">
        <v>2027</v>
      </c>
      <c r="C801" s="25" t="s">
        <v>2028</v>
      </c>
      <c r="D801" s="26" t="n">
        <v>180</v>
      </c>
      <c r="E801" s="27" t="n">
        <v>6.74472749489669</v>
      </c>
      <c r="F801" s="27" t="n">
        <v>6.75970910658542</v>
      </c>
      <c r="G801" s="25" t="s">
        <v>2018</v>
      </c>
      <c r="H801" s="25" t="s">
        <v>2019</v>
      </c>
      <c r="I801" s="25" t="n">
        <f aca="false">IFERROR(IF(INDEX(Documents!$C$5:$C$657,MATCH(H801,Documents!$A$5:$A$657,0))="","",INDEX(Documents!$C$5:$C$657,MATCH(H801,Documents!$A$5:$A$657,0))),"")</f>
        <v>2006</v>
      </c>
      <c r="J801" s="25" t="str">
        <f aca="false">IFERROR(IF(INDEX(Documents!$D$5:$D$657,MATCH(H801,Documents!$A$5:$A$657,0))="","",INDEX(Documents!$D$5:$D$657,MATCH(H801,Documents!$A$5:$A$657,0))),"")</f>
        <v>Bioorg Med Chem Lett</v>
      </c>
      <c r="K801" s="25" t="str">
        <f aca="false">IFERROR(IF(INDEX(Documents!$G$5:$G$657,MATCH(H801,Documents!$A$5:$A$657,0))="","",INDEX(Documents!$G$5:$G$657,MATCH(H801,Documents!$A$5:$A$657,0))),"")</f>
        <v>10.1016/j.bmcl.2005.09.023</v>
      </c>
      <c r="L801" s="25" t="s">
        <v>2020</v>
      </c>
    </row>
    <row r="802" customFormat="false" ht="15" hidden="false" customHeight="false" outlineLevel="0" collapsed="false">
      <c r="A802" s="25" t="n">
        <v>2528357</v>
      </c>
      <c r="B802" s="25" t="s">
        <v>2027</v>
      </c>
      <c r="C802" s="25" t="s">
        <v>2028</v>
      </c>
      <c r="D802" s="26" t="n">
        <v>168</v>
      </c>
      <c r="E802" s="27" t="n">
        <v>6.77469071827414</v>
      </c>
      <c r="F802" s="27" t="n">
        <v>6.75970910658542</v>
      </c>
      <c r="G802" s="25" t="s">
        <v>2031</v>
      </c>
      <c r="H802" s="25" t="s">
        <v>2032</v>
      </c>
      <c r="I802" s="25" t="n">
        <f aca="false">IFERROR(IF(INDEX(Documents!$C$5:$C$657,MATCH(H802,Documents!$A$5:$A$657,0))="","",INDEX(Documents!$C$5:$C$657,MATCH(H802,Documents!$A$5:$A$657,0))),"")</f>
        <v>2009</v>
      </c>
      <c r="J802" s="25" t="str">
        <f aca="false">IFERROR(IF(INDEX(Documents!$D$5:$D$657,MATCH(H802,Documents!$A$5:$A$657,0))="","",INDEX(Documents!$D$5:$D$657,MATCH(H802,Documents!$A$5:$A$657,0))),"")</f>
        <v>J Med Chem</v>
      </c>
      <c r="K802" s="25" t="str">
        <f aca="false">IFERROR(IF(INDEX(Documents!$G$5:$G$657,MATCH(H802,Documents!$A$5:$A$657,0))="","",INDEX(Documents!$G$5:$G$657,MATCH(H802,Documents!$A$5:$A$657,0))),"")</f>
        <v>10.1021/jm900130m</v>
      </c>
      <c r="L802" s="25" t="s">
        <v>2033</v>
      </c>
    </row>
    <row r="803" customFormat="false" ht="15" hidden="false" customHeight="false" outlineLevel="0" collapsed="false">
      <c r="A803" s="25" t="n">
        <v>18560279</v>
      </c>
      <c r="B803" s="25" t="s">
        <v>2027</v>
      </c>
      <c r="C803" s="25" t="s">
        <v>2028</v>
      </c>
      <c r="D803" s="26" t="n">
        <v>160</v>
      </c>
      <c r="E803" s="27" t="n">
        <v>6.79588001734408</v>
      </c>
      <c r="F803" s="27" t="n">
        <v>6.75970910658542</v>
      </c>
      <c r="G803" s="25" t="s">
        <v>278</v>
      </c>
      <c r="H803" s="25" t="s">
        <v>279</v>
      </c>
      <c r="I803" s="25" t="n">
        <f aca="false">IFERROR(IF(INDEX(Documents!$C$5:$C$657,MATCH(H803,Documents!$A$5:$A$657,0))="","",INDEX(Documents!$C$5:$C$657,MATCH(H803,Documents!$A$5:$A$657,0))),"")</f>
        <v>2018</v>
      </c>
      <c r="J803" s="25" t="str">
        <f aca="false">IFERROR(IF(INDEX(Documents!$D$5:$D$657,MATCH(H803,Documents!$A$5:$A$657,0))="","",INDEX(Documents!$D$5:$D$657,MATCH(H803,Documents!$A$5:$A$657,0))),"")</f>
        <v>J Med Chem</v>
      </c>
      <c r="K803" s="25" t="str">
        <f aca="false">IFERROR(IF(INDEX(Documents!$G$5:$G$657,MATCH(H803,Documents!$A$5:$A$657,0))="","",INDEX(Documents!$G$5:$G$657,MATCH(H803,Documents!$A$5:$A$657,0))),"")</f>
        <v>10.1021/acs.jmedchem.8b00611</v>
      </c>
      <c r="L803" s="25" t="s">
        <v>280</v>
      </c>
    </row>
    <row r="804" customFormat="false" ht="15" hidden="false" customHeight="false" outlineLevel="0" collapsed="false">
      <c r="A804" s="25" t="n">
        <v>1663271</v>
      </c>
      <c r="B804" s="25" t="s">
        <v>2034</v>
      </c>
      <c r="C804" s="25" t="s">
        <v>2035</v>
      </c>
      <c r="D804" s="26" t="n">
        <v>4000</v>
      </c>
      <c r="E804" s="27" t="n">
        <v>5.39794000867204</v>
      </c>
      <c r="F804" s="27" t="n">
        <v>5.39794000867204</v>
      </c>
      <c r="G804" s="25" t="s">
        <v>2018</v>
      </c>
      <c r="H804" s="25" t="s">
        <v>2019</v>
      </c>
      <c r="I804" s="25" t="n">
        <f aca="false">IFERROR(IF(INDEX(Documents!$C$5:$C$657,MATCH(H804,Documents!$A$5:$A$657,0))="","",INDEX(Documents!$C$5:$C$657,MATCH(H804,Documents!$A$5:$A$657,0))),"")</f>
        <v>2006</v>
      </c>
      <c r="J804" s="25" t="str">
        <f aca="false">IFERROR(IF(INDEX(Documents!$D$5:$D$657,MATCH(H804,Documents!$A$5:$A$657,0))="","",INDEX(Documents!$D$5:$D$657,MATCH(H804,Documents!$A$5:$A$657,0))),"")</f>
        <v>Bioorg Med Chem Lett</v>
      </c>
      <c r="K804" s="25" t="str">
        <f aca="false">IFERROR(IF(INDEX(Documents!$G$5:$G$657,MATCH(H804,Documents!$A$5:$A$657,0))="","",INDEX(Documents!$G$5:$G$657,MATCH(H804,Documents!$A$5:$A$657,0))),"")</f>
        <v>10.1016/j.bmcl.2005.09.023</v>
      </c>
      <c r="L804" s="25" t="s">
        <v>2020</v>
      </c>
    </row>
    <row r="805" customFormat="false" ht="15" hidden="false" customHeight="false" outlineLevel="0" collapsed="false">
      <c r="A805" s="25" t="n">
        <v>1663266</v>
      </c>
      <c r="B805" s="25" t="s">
        <v>2036</v>
      </c>
      <c r="C805" s="25" t="s">
        <v>2037</v>
      </c>
      <c r="D805" s="26" t="n">
        <v>4100</v>
      </c>
      <c r="E805" s="27" t="n">
        <v>5.38721614328027</v>
      </c>
      <c r="F805" s="27" t="n">
        <v>5.38721614328027</v>
      </c>
      <c r="G805" s="25" t="s">
        <v>2018</v>
      </c>
      <c r="H805" s="25" t="s">
        <v>2019</v>
      </c>
      <c r="I805" s="25" t="n">
        <f aca="false">IFERROR(IF(INDEX(Documents!$C$5:$C$657,MATCH(H805,Documents!$A$5:$A$657,0))="","",INDEX(Documents!$C$5:$C$657,MATCH(H805,Documents!$A$5:$A$657,0))),"")</f>
        <v>2006</v>
      </c>
      <c r="J805" s="25" t="str">
        <f aca="false">IFERROR(IF(INDEX(Documents!$D$5:$D$657,MATCH(H805,Documents!$A$5:$A$657,0))="","",INDEX(Documents!$D$5:$D$657,MATCH(H805,Documents!$A$5:$A$657,0))),"")</f>
        <v>Bioorg Med Chem Lett</v>
      </c>
      <c r="K805" s="25" t="str">
        <f aca="false">IFERROR(IF(INDEX(Documents!$G$5:$G$657,MATCH(H805,Documents!$A$5:$A$657,0))="","",INDEX(Documents!$G$5:$G$657,MATCH(H805,Documents!$A$5:$A$657,0))),"")</f>
        <v>10.1016/j.bmcl.2005.09.023</v>
      </c>
      <c r="L805" s="25" t="s">
        <v>2020</v>
      </c>
    </row>
    <row r="806" customFormat="false" ht="15" hidden="false" customHeight="false" outlineLevel="0" collapsed="false">
      <c r="A806" s="25" t="n">
        <v>2598441</v>
      </c>
      <c r="B806" s="25" t="s">
        <v>2038</v>
      </c>
      <c r="C806" s="25" t="s">
        <v>2039</v>
      </c>
      <c r="D806" s="26" t="n">
        <v>100</v>
      </c>
      <c r="E806" s="27" t="n">
        <v>7</v>
      </c>
      <c r="F806" s="27" t="n">
        <v>7</v>
      </c>
      <c r="G806" s="25" t="s">
        <v>2040</v>
      </c>
      <c r="H806" s="25" t="s">
        <v>2041</v>
      </c>
      <c r="I806" s="25" t="n">
        <f aca="false">IFERROR(IF(INDEX(Documents!$C$5:$C$657,MATCH(H806,Documents!$A$5:$A$657,0))="","",INDEX(Documents!$C$5:$C$657,MATCH(H806,Documents!$A$5:$A$657,0))),"")</f>
        <v>2008</v>
      </c>
      <c r="J806" s="25" t="str">
        <f aca="false">IFERROR(IF(INDEX(Documents!$D$5:$D$657,MATCH(H806,Documents!$A$5:$A$657,0))="","",INDEX(Documents!$D$5:$D$657,MATCH(H806,Documents!$A$5:$A$657,0))),"")</f>
        <v>J Med Chem</v>
      </c>
      <c r="K806" s="25" t="str">
        <f aca="false">IFERROR(IF(INDEX(Documents!$G$5:$G$657,MATCH(H806,Documents!$A$5:$A$657,0))="","",INDEX(Documents!$G$5:$G$657,MATCH(H806,Documents!$A$5:$A$657,0))),"")</f>
        <v>10.1021/jm800807k</v>
      </c>
      <c r="L806" s="25" t="s">
        <v>601</v>
      </c>
    </row>
    <row r="807" customFormat="false" ht="15" hidden="false" customHeight="false" outlineLevel="0" collapsed="false">
      <c r="A807" s="25" t="n">
        <v>1663274</v>
      </c>
      <c r="B807" s="25" t="s">
        <v>2042</v>
      </c>
      <c r="C807" s="25" t="s">
        <v>2043</v>
      </c>
      <c r="D807" s="26" t="n">
        <v>4500</v>
      </c>
      <c r="E807" s="27" t="n">
        <v>5.34678748622466</v>
      </c>
      <c r="F807" s="27" t="n">
        <v>5.34678748622466</v>
      </c>
      <c r="G807" s="25" t="s">
        <v>2018</v>
      </c>
      <c r="H807" s="25" t="s">
        <v>2019</v>
      </c>
      <c r="I807" s="25" t="n">
        <f aca="false">IFERROR(IF(INDEX(Documents!$C$5:$C$657,MATCH(H807,Documents!$A$5:$A$657,0))="","",INDEX(Documents!$C$5:$C$657,MATCH(H807,Documents!$A$5:$A$657,0))),"")</f>
        <v>2006</v>
      </c>
      <c r="J807" s="25" t="str">
        <f aca="false">IFERROR(IF(INDEX(Documents!$D$5:$D$657,MATCH(H807,Documents!$A$5:$A$657,0))="","",INDEX(Documents!$D$5:$D$657,MATCH(H807,Documents!$A$5:$A$657,0))),"")</f>
        <v>Bioorg Med Chem Lett</v>
      </c>
      <c r="K807" s="25" t="str">
        <f aca="false">IFERROR(IF(INDEX(Documents!$G$5:$G$657,MATCH(H807,Documents!$A$5:$A$657,0))="","",INDEX(Documents!$G$5:$G$657,MATCH(H807,Documents!$A$5:$A$657,0))),"")</f>
        <v>10.1016/j.bmcl.2005.09.023</v>
      </c>
      <c r="L807" s="25" t="s">
        <v>2020</v>
      </c>
    </row>
    <row r="808" customFormat="false" ht="15" hidden="false" customHeight="false" outlineLevel="0" collapsed="false">
      <c r="A808" s="25" t="n">
        <v>1663265</v>
      </c>
      <c r="B808" s="25" t="s">
        <v>2044</v>
      </c>
      <c r="C808" s="25" t="s">
        <v>2045</v>
      </c>
      <c r="D808" s="26" t="n">
        <v>4000</v>
      </c>
      <c r="E808" s="27" t="n">
        <v>5.39794000867204</v>
      </c>
      <c r="F808" s="27" t="n">
        <v>5.39794000867204</v>
      </c>
      <c r="G808" s="25" t="s">
        <v>2018</v>
      </c>
      <c r="H808" s="25" t="s">
        <v>2019</v>
      </c>
      <c r="I808" s="25" t="n">
        <f aca="false">IFERROR(IF(INDEX(Documents!$C$5:$C$657,MATCH(H808,Documents!$A$5:$A$657,0))="","",INDEX(Documents!$C$5:$C$657,MATCH(H808,Documents!$A$5:$A$657,0))),"")</f>
        <v>2006</v>
      </c>
      <c r="J808" s="25" t="str">
        <f aca="false">IFERROR(IF(INDEX(Documents!$D$5:$D$657,MATCH(H808,Documents!$A$5:$A$657,0))="","",INDEX(Documents!$D$5:$D$657,MATCH(H808,Documents!$A$5:$A$657,0))),"")</f>
        <v>Bioorg Med Chem Lett</v>
      </c>
      <c r="K808" s="25" t="str">
        <f aca="false">IFERROR(IF(INDEX(Documents!$G$5:$G$657,MATCH(H808,Documents!$A$5:$A$657,0))="","",INDEX(Documents!$G$5:$G$657,MATCH(H808,Documents!$A$5:$A$657,0))),"")</f>
        <v>10.1016/j.bmcl.2005.09.023</v>
      </c>
      <c r="L808" s="25" t="s">
        <v>2020</v>
      </c>
    </row>
    <row r="809" customFormat="false" ht="15" hidden="false" customHeight="false" outlineLevel="0" collapsed="false">
      <c r="A809" s="25" t="n">
        <v>1700212</v>
      </c>
      <c r="B809" s="25" t="s">
        <v>2046</v>
      </c>
      <c r="C809" s="25" t="s">
        <v>2047</v>
      </c>
      <c r="D809" s="26" t="n">
        <v>81</v>
      </c>
      <c r="E809" s="27" t="n">
        <v>7.09151498112135</v>
      </c>
      <c r="F809" s="27" t="n">
        <v>7.09151498112135</v>
      </c>
      <c r="G809" s="25" t="s">
        <v>2013</v>
      </c>
      <c r="H809" s="25" t="s">
        <v>2014</v>
      </c>
      <c r="I809" s="25" t="n">
        <f aca="false">IFERROR(IF(INDEX(Documents!$C$5:$C$657,MATCH(H809,Documents!$A$5:$A$657,0))="","",INDEX(Documents!$C$5:$C$657,MATCH(H809,Documents!$A$5:$A$657,0))),"")</f>
        <v>2006</v>
      </c>
      <c r="J809" s="25" t="str">
        <f aca="false">IFERROR(IF(INDEX(Documents!$D$5:$D$657,MATCH(H809,Documents!$A$5:$A$657,0))="","",INDEX(Documents!$D$5:$D$657,MATCH(H809,Documents!$A$5:$A$657,0))),"")</f>
        <v>J Med Chem</v>
      </c>
      <c r="K809" s="25" t="str">
        <f aca="false">IFERROR(IF(INDEX(Documents!$G$5:$G$657,MATCH(H809,Documents!$A$5:$A$657,0))="","",INDEX(Documents!$G$5:$G$657,MATCH(H809,Documents!$A$5:$A$657,0))),"")</f>
        <v>10.1021/jm051240y</v>
      </c>
      <c r="L809" s="25" t="s">
        <v>2015</v>
      </c>
    </row>
    <row r="810" customFormat="false" ht="15" hidden="false" customHeight="false" outlineLevel="0" collapsed="false">
      <c r="A810" s="25" t="n">
        <v>2528362</v>
      </c>
      <c r="B810" s="25" t="s">
        <v>2048</v>
      </c>
      <c r="C810" s="25" t="s">
        <v>2049</v>
      </c>
      <c r="D810" s="26" t="n">
        <v>200</v>
      </c>
      <c r="E810" s="27" t="n">
        <v>6.69897000433602</v>
      </c>
      <c r="F810" s="27" t="n">
        <v>6.76143937264017</v>
      </c>
      <c r="G810" s="25" t="s">
        <v>2031</v>
      </c>
      <c r="H810" s="25" t="s">
        <v>2032</v>
      </c>
      <c r="I810" s="25" t="n">
        <f aca="false">IFERROR(IF(INDEX(Documents!$C$5:$C$657,MATCH(H810,Documents!$A$5:$A$657,0))="","",INDEX(Documents!$C$5:$C$657,MATCH(H810,Documents!$A$5:$A$657,0))),"")</f>
        <v>2009</v>
      </c>
      <c r="J810" s="25" t="str">
        <f aca="false">IFERROR(IF(INDEX(Documents!$D$5:$D$657,MATCH(H810,Documents!$A$5:$A$657,0))="","",INDEX(Documents!$D$5:$D$657,MATCH(H810,Documents!$A$5:$A$657,0))),"")</f>
        <v>J Med Chem</v>
      </c>
      <c r="K810" s="25" t="str">
        <f aca="false">IFERROR(IF(INDEX(Documents!$G$5:$G$657,MATCH(H810,Documents!$A$5:$A$657,0))="","",INDEX(Documents!$G$5:$G$657,MATCH(H810,Documents!$A$5:$A$657,0))),"")</f>
        <v>10.1021/jm900130m</v>
      </c>
      <c r="L810" s="25" t="s">
        <v>2033</v>
      </c>
    </row>
    <row r="811" customFormat="false" ht="15" hidden="false" customHeight="false" outlineLevel="0" collapsed="false">
      <c r="A811" s="25" t="n">
        <v>2528373</v>
      </c>
      <c r="B811" s="25" t="s">
        <v>2048</v>
      </c>
      <c r="C811" s="25" t="s">
        <v>2049</v>
      </c>
      <c r="D811" s="26" t="n">
        <v>150</v>
      </c>
      <c r="E811" s="27" t="n">
        <v>6.82390874094432</v>
      </c>
      <c r="F811" s="27" t="n">
        <v>6.76143937264017</v>
      </c>
      <c r="G811" s="25" t="s">
        <v>2031</v>
      </c>
      <c r="H811" s="25" t="s">
        <v>2032</v>
      </c>
      <c r="I811" s="25" t="n">
        <f aca="false">IFERROR(IF(INDEX(Documents!$C$5:$C$657,MATCH(H811,Documents!$A$5:$A$657,0))="","",INDEX(Documents!$C$5:$C$657,MATCH(H811,Documents!$A$5:$A$657,0))),"")</f>
        <v>2009</v>
      </c>
      <c r="J811" s="25" t="str">
        <f aca="false">IFERROR(IF(INDEX(Documents!$D$5:$D$657,MATCH(H811,Documents!$A$5:$A$657,0))="","",INDEX(Documents!$D$5:$D$657,MATCH(H811,Documents!$A$5:$A$657,0))),"")</f>
        <v>J Med Chem</v>
      </c>
      <c r="K811" s="25" t="str">
        <f aca="false">IFERROR(IF(INDEX(Documents!$G$5:$G$657,MATCH(H811,Documents!$A$5:$A$657,0))="","",INDEX(Documents!$G$5:$G$657,MATCH(H811,Documents!$A$5:$A$657,0))),"")</f>
        <v>10.1021/jm900130m</v>
      </c>
      <c r="L811" s="25" t="s">
        <v>2033</v>
      </c>
    </row>
    <row r="812" customFormat="false" ht="15" hidden="false" customHeight="false" outlineLevel="0" collapsed="false">
      <c r="A812" s="25" t="n">
        <v>2528378</v>
      </c>
      <c r="B812" s="25" t="s">
        <v>2050</v>
      </c>
      <c r="C812" s="25" t="s">
        <v>2051</v>
      </c>
      <c r="D812" s="26" t="n">
        <v>240</v>
      </c>
      <c r="E812" s="27" t="n">
        <v>6.61978875828839</v>
      </c>
      <c r="F812" s="27" t="n">
        <v>6.67051757866778</v>
      </c>
      <c r="G812" s="25" t="s">
        <v>2031</v>
      </c>
      <c r="H812" s="25" t="s">
        <v>2032</v>
      </c>
      <c r="I812" s="25" t="n">
        <f aca="false">IFERROR(IF(INDEX(Documents!$C$5:$C$657,MATCH(H812,Documents!$A$5:$A$657,0))="","",INDEX(Documents!$C$5:$C$657,MATCH(H812,Documents!$A$5:$A$657,0))),"")</f>
        <v>2009</v>
      </c>
      <c r="J812" s="25" t="str">
        <f aca="false">IFERROR(IF(INDEX(Documents!$D$5:$D$657,MATCH(H812,Documents!$A$5:$A$657,0))="","",INDEX(Documents!$D$5:$D$657,MATCH(H812,Documents!$A$5:$A$657,0))),"")</f>
        <v>J Med Chem</v>
      </c>
      <c r="K812" s="25" t="str">
        <f aca="false">IFERROR(IF(INDEX(Documents!$G$5:$G$657,MATCH(H812,Documents!$A$5:$A$657,0))="","",INDEX(Documents!$G$5:$G$657,MATCH(H812,Documents!$A$5:$A$657,0))),"")</f>
        <v>10.1021/jm900130m</v>
      </c>
      <c r="L812" s="25" t="s">
        <v>2033</v>
      </c>
    </row>
    <row r="813" customFormat="false" ht="15" hidden="false" customHeight="false" outlineLevel="0" collapsed="false">
      <c r="A813" s="25" t="n">
        <v>2528365</v>
      </c>
      <c r="B813" s="25" t="s">
        <v>2050</v>
      </c>
      <c r="C813" s="25" t="s">
        <v>2051</v>
      </c>
      <c r="D813" s="26" t="n">
        <v>190</v>
      </c>
      <c r="E813" s="27" t="n">
        <v>6.72124639904717</v>
      </c>
      <c r="F813" s="27" t="n">
        <v>6.67051757866778</v>
      </c>
      <c r="G813" s="25" t="s">
        <v>2031</v>
      </c>
      <c r="H813" s="25" t="s">
        <v>2032</v>
      </c>
      <c r="I813" s="25" t="n">
        <f aca="false">IFERROR(IF(INDEX(Documents!$C$5:$C$657,MATCH(H813,Documents!$A$5:$A$657,0))="","",INDEX(Documents!$C$5:$C$657,MATCH(H813,Documents!$A$5:$A$657,0))),"")</f>
        <v>2009</v>
      </c>
      <c r="J813" s="25" t="str">
        <f aca="false">IFERROR(IF(INDEX(Documents!$D$5:$D$657,MATCH(H813,Documents!$A$5:$A$657,0))="","",INDEX(Documents!$D$5:$D$657,MATCH(H813,Documents!$A$5:$A$657,0))),"")</f>
        <v>J Med Chem</v>
      </c>
      <c r="K813" s="25" t="str">
        <f aca="false">IFERROR(IF(INDEX(Documents!$G$5:$G$657,MATCH(H813,Documents!$A$5:$A$657,0))="","",INDEX(Documents!$G$5:$G$657,MATCH(H813,Documents!$A$5:$A$657,0))),"")</f>
        <v>10.1021/jm900130m</v>
      </c>
      <c r="L813" s="25" t="s">
        <v>2033</v>
      </c>
    </row>
    <row r="814" customFormat="false" ht="15" hidden="false" customHeight="false" outlineLevel="0" collapsed="false">
      <c r="A814" s="25" t="n">
        <v>18560291</v>
      </c>
      <c r="B814" s="25" t="s">
        <v>2052</v>
      </c>
      <c r="C814" s="25" t="s">
        <v>2053</v>
      </c>
      <c r="D814" s="26" t="n">
        <v>220</v>
      </c>
      <c r="E814" s="27" t="n">
        <v>6.65757731917779</v>
      </c>
      <c r="F814" s="27" t="n">
        <v>6.65757731917779</v>
      </c>
      <c r="G814" s="25" t="s">
        <v>278</v>
      </c>
      <c r="H814" s="25" t="s">
        <v>279</v>
      </c>
      <c r="I814" s="25" t="n">
        <f aca="false">IFERROR(IF(INDEX(Documents!$C$5:$C$657,MATCH(H814,Documents!$A$5:$A$657,0))="","",INDEX(Documents!$C$5:$C$657,MATCH(H814,Documents!$A$5:$A$657,0))),"")</f>
        <v>2018</v>
      </c>
      <c r="J814" s="25" t="str">
        <f aca="false">IFERROR(IF(INDEX(Documents!$D$5:$D$657,MATCH(H814,Documents!$A$5:$A$657,0))="","",INDEX(Documents!$D$5:$D$657,MATCH(H814,Documents!$A$5:$A$657,0))),"")</f>
        <v>J Med Chem</v>
      </c>
      <c r="K814" s="25" t="str">
        <f aca="false">IFERROR(IF(INDEX(Documents!$G$5:$G$657,MATCH(H814,Documents!$A$5:$A$657,0))="","",INDEX(Documents!$G$5:$G$657,MATCH(H814,Documents!$A$5:$A$657,0))),"")</f>
        <v>10.1021/acs.jmedchem.8b00611</v>
      </c>
      <c r="L814" s="25" t="s">
        <v>280</v>
      </c>
    </row>
    <row r="815" customFormat="false" ht="15" hidden="false" customHeight="false" outlineLevel="0" collapsed="false">
      <c r="A815" s="25" t="n">
        <v>2528367</v>
      </c>
      <c r="B815" s="25" t="s">
        <v>2054</v>
      </c>
      <c r="C815" s="25" t="s">
        <v>2055</v>
      </c>
      <c r="D815" s="26" t="n">
        <v>290</v>
      </c>
      <c r="E815" s="27" t="n">
        <v>6.53760200210104</v>
      </c>
      <c r="F815" s="27" t="n">
        <v>6.62879652449643</v>
      </c>
      <c r="G815" s="25" t="s">
        <v>2031</v>
      </c>
      <c r="H815" s="25" t="s">
        <v>2032</v>
      </c>
      <c r="I815" s="25" t="n">
        <f aca="false">IFERROR(IF(INDEX(Documents!$C$5:$C$657,MATCH(H815,Documents!$A$5:$A$657,0))="","",INDEX(Documents!$C$5:$C$657,MATCH(H815,Documents!$A$5:$A$657,0))),"")</f>
        <v>2009</v>
      </c>
      <c r="J815" s="25" t="str">
        <f aca="false">IFERROR(IF(INDEX(Documents!$D$5:$D$657,MATCH(H815,Documents!$A$5:$A$657,0))="","",INDEX(Documents!$D$5:$D$657,MATCH(H815,Documents!$A$5:$A$657,0))),"")</f>
        <v>J Med Chem</v>
      </c>
      <c r="K815" s="25" t="str">
        <f aca="false">IFERROR(IF(INDEX(Documents!$G$5:$G$657,MATCH(H815,Documents!$A$5:$A$657,0))="","",INDEX(Documents!$G$5:$G$657,MATCH(H815,Documents!$A$5:$A$657,0))),"")</f>
        <v>10.1021/jm900130m</v>
      </c>
      <c r="L815" s="25" t="s">
        <v>2033</v>
      </c>
    </row>
    <row r="816" customFormat="false" ht="15" hidden="false" customHeight="false" outlineLevel="0" collapsed="false">
      <c r="A816" s="25" t="n">
        <v>5205799</v>
      </c>
      <c r="B816" s="25" t="s">
        <v>2054</v>
      </c>
      <c r="C816" s="25" t="s">
        <v>2055</v>
      </c>
      <c r="D816" s="26" t="n">
        <v>190.55</v>
      </c>
      <c r="E816" s="27" t="n">
        <v>6.71999104689181</v>
      </c>
      <c r="F816" s="27" t="n">
        <v>6.62879652449643</v>
      </c>
      <c r="G816" s="25" t="s">
        <v>461</v>
      </c>
      <c r="H816" s="25" t="s">
        <v>462</v>
      </c>
      <c r="I816" s="25" t="n">
        <f aca="false">IFERROR(IF(INDEX(Documents!$C$5:$C$657,MATCH(H816,Documents!$A$5:$A$657,0))="","",INDEX(Documents!$C$5:$C$657,MATCH(H816,Documents!$A$5:$A$657,0))),"")</f>
        <v>2011</v>
      </c>
      <c r="J816" s="25" t="str">
        <f aca="false">IFERROR(IF(INDEX(Documents!$D$5:$D$657,MATCH(H816,Documents!$A$5:$A$657,0))="","",INDEX(Documents!$D$5:$D$657,MATCH(H816,Documents!$A$5:$A$657,0))),"")</f>
        <v>Eur J Med Chem</v>
      </c>
      <c r="K816" s="25" t="str">
        <f aca="false">IFERROR(IF(INDEX(Documents!$G$5:$G$657,MATCH(H816,Documents!$A$5:$A$657,0))="","",INDEX(Documents!$G$5:$G$657,MATCH(H816,Documents!$A$5:$A$657,0))),"")</f>
        <v>10.1016/j.ejmech.2010.11.034</v>
      </c>
      <c r="L816" s="25" t="s">
        <v>463</v>
      </c>
    </row>
    <row r="817" customFormat="false" ht="15" hidden="false" customHeight="false" outlineLevel="0" collapsed="false">
      <c r="A817" s="25" t="n">
        <v>2528364</v>
      </c>
      <c r="B817" s="25" t="s">
        <v>2056</v>
      </c>
      <c r="C817" s="25" t="s">
        <v>2057</v>
      </c>
      <c r="D817" s="26" t="n">
        <v>190</v>
      </c>
      <c r="E817" s="27" t="n">
        <v>6.72124639904717</v>
      </c>
      <c r="F817" s="27" t="n">
        <v>6.72124639904717</v>
      </c>
      <c r="G817" s="25" t="s">
        <v>2031</v>
      </c>
      <c r="H817" s="25" t="s">
        <v>2032</v>
      </c>
      <c r="I817" s="25" t="n">
        <f aca="false">IFERROR(IF(INDEX(Documents!$C$5:$C$657,MATCH(H817,Documents!$A$5:$A$657,0))="","",INDEX(Documents!$C$5:$C$657,MATCH(H817,Documents!$A$5:$A$657,0))),"")</f>
        <v>2009</v>
      </c>
      <c r="J817" s="25" t="str">
        <f aca="false">IFERROR(IF(INDEX(Documents!$D$5:$D$657,MATCH(H817,Documents!$A$5:$A$657,0))="","",INDEX(Documents!$D$5:$D$657,MATCH(H817,Documents!$A$5:$A$657,0))),"")</f>
        <v>J Med Chem</v>
      </c>
      <c r="K817" s="25" t="str">
        <f aca="false">IFERROR(IF(INDEX(Documents!$G$5:$G$657,MATCH(H817,Documents!$A$5:$A$657,0))="","",INDEX(Documents!$G$5:$G$657,MATCH(H817,Documents!$A$5:$A$657,0))),"")</f>
        <v>10.1021/jm900130m</v>
      </c>
      <c r="L817" s="25" t="s">
        <v>2033</v>
      </c>
    </row>
    <row r="818" customFormat="false" ht="15" hidden="false" customHeight="false" outlineLevel="0" collapsed="false">
      <c r="A818" s="25" t="n">
        <v>7959360</v>
      </c>
      <c r="B818" s="25" t="s">
        <v>2058</v>
      </c>
      <c r="C818" s="25" t="s">
        <v>2059</v>
      </c>
      <c r="D818" s="26" t="n">
        <v>5400</v>
      </c>
      <c r="E818" s="27" t="n">
        <v>5.26760624017703</v>
      </c>
      <c r="F818" s="27" t="n">
        <v>5.26760624017703</v>
      </c>
      <c r="G818" s="25" t="s">
        <v>2009</v>
      </c>
      <c r="H818" s="25" t="s">
        <v>2010</v>
      </c>
      <c r="I818" s="25" t="n">
        <f aca="false">IFERROR(IF(INDEX(Documents!$C$5:$C$657,MATCH(H818,Documents!$A$5:$A$657,0))="","",INDEX(Documents!$C$5:$C$657,MATCH(H818,Documents!$A$5:$A$657,0))),"")</f>
        <v>2012</v>
      </c>
      <c r="J818" s="25" t="str">
        <f aca="false">IFERROR(IF(INDEX(Documents!$D$5:$D$657,MATCH(H818,Documents!$A$5:$A$657,0))="","",INDEX(Documents!$D$5:$D$657,MATCH(H818,Documents!$A$5:$A$657,0))),"")</f>
        <v>Bioorg Med Chem</v>
      </c>
      <c r="K818" s="25" t="str">
        <f aca="false">IFERROR(IF(INDEX(Documents!$G$5:$G$657,MATCH(H818,Documents!$A$5:$A$657,0))="","",INDEX(Documents!$G$5:$G$657,MATCH(H818,Documents!$A$5:$A$657,0))),"")</f>
        <v>10.1016/j.bmc.2011.11.028</v>
      </c>
      <c r="L818" s="25" t="s">
        <v>676</v>
      </c>
    </row>
    <row r="819" customFormat="false" ht="15" hidden="false" customHeight="false" outlineLevel="0" collapsed="false">
      <c r="A819" s="25" t="n">
        <v>1663270</v>
      </c>
      <c r="B819" s="25" t="s">
        <v>2060</v>
      </c>
      <c r="C819" s="25" t="s">
        <v>2061</v>
      </c>
      <c r="D819" s="26" t="n">
        <v>4300</v>
      </c>
      <c r="E819" s="27" t="n">
        <v>5.36653154442041</v>
      </c>
      <c r="F819" s="27" t="n">
        <v>5.36653154442041</v>
      </c>
      <c r="G819" s="25" t="s">
        <v>2018</v>
      </c>
      <c r="H819" s="25" t="s">
        <v>2019</v>
      </c>
      <c r="I819" s="25" t="n">
        <f aca="false">IFERROR(IF(INDEX(Documents!$C$5:$C$657,MATCH(H819,Documents!$A$5:$A$657,0))="","",INDEX(Documents!$C$5:$C$657,MATCH(H819,Documents!$A$5:$A$657,0))),"")</f>
        <v>2006</v>
      </c>
      <c r="J819" s="25" t="str">
        <f aca="false">IFERROR(IF(INDEX(Documents!$D$5:$D$657,MATCH(H819,Documents!$A$5:$A$657,0))="","",INDEX(Documents!$D$5:$D$657,MATCH(H819,Documents!$A$5:$A$657,0))),"")</f>
        <v>Bioorg Med Chem Lett</v>
      </c>
      <c r="K819" s="25" t="str">
        <f aca="false">IFERROR(IF(INDEX(Documents!$G$5:$G$657,MATCH(H819,Documents!$A$5:$A$657,0))="","",INDEX(Documents!$G$5:$G$657,MATCH(H819,Documents!$A$5:$A$657,0))),"")</f>
        <v>10.1016/j.bmcl.2005.09.023</v>
      </c>
      <c r="L819" s="25" t="s">
        <v>2020</v>
      </c>
    </row>
    <row r="820" customFormat="false" ht="15" hidden="false" customHeight="false" outlineLevel="0" collapsed="false">
      <c r="A820" s="25" t="n">
        <v>2598440</v>
      </c>
      <c r="B820" s="25" t="s">
        <v>2062</v>
      </c>
      <c r="C820" s="25" t="s">
        <v>2063</v>
      </c>
      <c r="D820" s="26" t="n">
        <v>1000</v>
      </c>
      <c r="E820" s="27" t="n">
        <v>6</v>
      </c>
      <c r="F820" s="27" t="n">
        <v>6</v>
      </c>
      <c r="G820" s="25" t="s">
        <v>2040</v>
      </c>
      <c r="H820" s="25" t="s">
        <v>2041</v>
      </c>
      <c r="I820" s="25" t="n">
        <f aca="false">IFERROR(IF(INDEX(Documents!$C$5:$C$657,MATCH(H820,Documents!$A$5:$A$657,0))="","",INDEX(Documents!$C$5:$C$657,MATCH(H820,Documents!$A$5:$A$657,0))),"")</f>
        <v>2008</v>
      </c>
      <c r="J820" s="25" t="str">
        <f aca="false">IFERROR(IF(INDEX(Documents!$D$5:$D$657,MATCH(H820,Documents!$A$5:$A$657,0))="","",INDEX(Documents!$D$5:$D$657,MATCH(H820,Documents!$A$5:$A$657,0))),"")</f>
        <v>J Med Chem</v>
      </c>
      <c r="K820" s="25" t="str">
        <f aca="false">IFERROR(IF(INDEX(Documents!$G$5:$G$657,MATCH(H820,Documents!$A$5:$A$657,0))="","",INDEX(Documents!$G$5:$G$657,MATCH(H820,Documents!$A$5:$A$657,0))),"")</f>
        <v>10.1021/jm800807k</v>
      </c>
      <c r="L820" s="25" t="s">
        <v>601</v>
      </c>
    </row>
    <row r="821" customFormat="false" ht="15" hidden="false" customHeight="false" outlineLevel="0" collapsed="false">
      <c r="A821" s="25" t="n">
        <v>2598439</v>
      </c>
      <c r="B821" s="25" t="s">
        <v>2064</v>
      </c>
      <c r="C821" s="25" t="s">
        <v>2065</v>
      </c>
      <c r="D821" s="26" t="n">
        <v>1300</v>
      </c>
      <c r="E821" s="27" t="n">
        <v>5.88605664769316</v>
      </c>
      <c r="F821" s="27" t="n">
        <v>5.88605664769316</v>
      </c>
      <c r="G821" s="25" t="s">
        <v>2040</v>
      </c>
      <c r="H821" s="25" t="s">
        <v>2041</v>
      </c>
      <c r="I821" s="25" t="n">
        <f aca="false">IFERROR(IF(INDEX(Documents!$C$5:$C$657,MATCH(H821,Documents!$A$5:$A$657,0))="","",INDEX(Documents!$C$5:$C$657,MATCH(H821,Documents!$A$5:$A$657,0))),"")</f>
        <v>2008</v>
      </c>
      <c r="J821" s="25" t="str">
        <f aca="false">IFERROR(IF(INDEX(Documents!$D$5:$D$657,MATCH(H821,Documents!$A$5:$A$657,0))="","",INDEX(Documents!$D$5:$D$657,MATCH(H821,Documents!$A$5:$A$657,0))),"")</f>
        <v>J Med Chem</v>
      </c>
      <c r="K821" s="25" t="str">
        <f aca="false">IFERROR(IF(INDEX(Documents!$G$5:$G$657,MATCH(H821,Documents!$A$5:$A$657,0))="","",INDEX(Documents!$G$5:$G$657,MATCH(H821,Documents!$A$5:$A$657,0))),"")</f>
        <v>10.1021/jm800807k</v>
      </c>
      <c r="L821" s="25" t="s">
        <v>601</v>
      </c>
    </row>
    <row r="822" customFormat="false" ht="15" hidden="false" customHeight="false" outlineLevel="0" collapsed="false">
      <c r="A822" s="25" t="n">
        <v>1663275</v>
      </c>
      <c r="B822" s="25" t="s">
        <v>2066</v>
      </c>
      <c r="C822" s="25" t="s">
        <v>2067</v>
      </c>
      <c r="D822" s="26" t="n">
        <v>4000</v>
      </c>
      <c r="E822" s="27" t="n">
        <v>5.39794000867204</v>
      </c>
      <c r="F822" s="27" t="n">
        <v>5.39794000867204</v>
      </c>
      <c r="G822" s="25" t="s">
        <v>2018</v>
      </c>
      <c r="H822" s="25" t="s">
        <v>2019</v>
      </c>
      <c r="I822" s="25" t="n">
        <f aca="false">IFERROR(IF(INDEX(Documents!$C$5:$C$657,MATCH(H822,Documents!$A$5:$A$657,0))="","",INDEX(Documents!$C$5:$C$657,MATCH(H822,Documents!$A$5:$A$657,0))),"")</f>
        <v>2006</v>
      </c>
      <c r="J822" s="25" t="str">
        <f aca="false">IFERROR(IF(INDEX(Documents!$D$5:$D$657,MATCH(H822,Documents!$A$5:$A$657,0))="","",INDEX(Documents!$D$5:$D$657,MATCH(H822,Documents!$A$5:$A$657,0))),"")</f>
        <v>Bioorg Med Chem Lett</v>
      </c>
      <c r="K822" s="25" t="str">
        <f aca="false">IFERROR(IF(INDEX(Documents!$G$5:$G$657,MATCH(H822,Documents!$A$5:$A$657,0))="","",INDEX(Documents!$G$5:$G$657,MATCH(H822,Documents!$A$5:$A$657,0))),"")</f>
        <v>10.1016/j.bmcl.2005.09.023</v>
      </c>
      <c r="L822" s="25" t="s">
        <v>2020</v>
      </c>
    </row>
    <row r="823" customFormat="false" ht="15" hidden="false" customHeight="false" outlineLevel="0" collapsed="false">
      <c r="A823" s="25" t="n">
        <v>2598433</v>
      </c>
      <c r="B823" s="25" t="s">
        <v>2068</v>
      </c>
      <c r="C823" s="25" t="s">
        <v>2069</v>
      </c>
      <c r="D823" s="26" t="n">
        <v>1000</v>
      </c>
      <c r="E823" s="27" t="n">
        <v>6</v>
      </c>
      <c r="F823" s="27" t="n">
        <v>6</v>
      </c>
      <c r="G823" s="25" t="s">
        <v>2040</v>
      </c>
      <c r="H823" s="25" t="s">
        <v>2041</v>
      </c>
      <c r="I823" s="25" t="n">
        <f aca="false">IFERROR(IF(INDEX(Documents!$C$5:$C$657,MATCH(H823,Documents!$A$5:$A$657,0))="","",INDEX(Documents!$C$5:$C$657,MATCH(H823,Documents!$A$5:$A$657,0))),"")</f>
        <v>2008</v>
      </c>
      <c r="J823" s="25" t="str">
        <f aca="false">IFERROR(IF(INDEX(Documents!$D$5:$D$657,MATCH(H823,Documents!$A$5:$A$657,0))="","",INDEX(Documents!$D$5:$D$657,MATCH(H823,Documents!$A$5:$A$657,0))),"")</f>
        <v>J Med Chem</v>
      </c>
      <c r="K823" s="25" t="str">
        <f aca="false">IFERROR(IF(INDEX(Documents!$G$5:$G$657,MATCH(H823,Documents!$A$5:$A$657,0))="","",INDEX(Documents!$G$5:$G$657,MATCH(H823,Documents!$A$5:$A$657,0))),"")</f>
        <v>10.1021/jm800807k</v>
      </c>
      <c r="L823" s="25" t="s">
        <v>601</v>
      </c>
    </row>
    <row r="824" customFormat="false" ht="15" hidden="false" customHeight="false" outlineLevel="0" collapsed="false">
      <c r="A824" s="25" t="n">
        <v>7944838</v>
      </c>
      <c r="B824" s="25" t="s">
        <v>2070</v>
      </c>
      <c r="C824" s="25" t="s">
        <v>2071</v>
      </c>
      <c r="D824" s="26" t="n">
        <v>1400</v>
      </c>
      <c r="E824" s="27" t="n">
        <v>5.85387196432176</v>
      </c>
      <c r="F824" s="27" t="n">
        <v>5.86996430600746</v>
      </c>
      <c r="G824" s="25" t="s">
        <v>2072</v>
      </c>
      <c r="H824" s="25" t="s">
        <v>2073</v>
      </c>
      <c r="I824" s="25" t="n">
        <f aca="false">IFERROR(IF(INDEX(Documents!$C$5:$C$657,MATCH(H824,Documents!$A$5:$A$657,0))="","",INDEX(Documents!$C$5:$C$657,MATCH(H824,Documents!$A$5:$A$657,0))),"")</f>
        <v>2011</v>
      </c>
      <c r="J824" s="25" t="str">
        <f aca="false">IFERROR(IF(INDEX(Documents!$D$5:$D$657,MATCH(H824,Documents!$A$5:$A$657,0))="","",INDEX(Documents!$D$5:$D$657,MATCH(H824,Documents!$A$5:$A$657,0))),"")</f>
        <v>J Med Chem</v>
      </c>
      <c r="K824" s="25" t="str">
        <f aca="false">IFERROR(IF(INDEX(Documents!$G$5:$G$657,MATCH(H824,Documents!$A$5:$A$657,0))="","",INDEX(Documents!$G$5:$G$657,MATCH(H824,Documents!$A$5:$A$657,0))),"")</f>
        <v>10.1021/jm200529h</v>
      </c>
      <c r="L824" s="25" t="s">
        <v>2074</v>
      </c>
    </row>
    <row r="825" customFormat="false" ht="15" hidden="false" customHeight="false" outlineLevel="0" collapsed="false">
      <c r="A825" s="25" t="n">
        <v>6285507</v>
      </c>
      <c r="B825" s="25" t="s">
        <v>2070</v>
      </c>
      <c r="C825" s="25" t="s">
        <v>2071</v>
      </c>
      <c r="D825" s="26" t="n">
        <v>1300</v>
      </c>
      <c r="E825" s="27" t="n">
        <v>5.88605664769316</v>
      </c>
      <c r="F825" s="27" t="n">
        <v>5.86996430600746</v>
      </c>
      <c r="G825" s="25" t="s">
        <v>261</v>
      </c>
      <c r="H825" s="25" t="s">
        <v>262</v>
      </c>
      <c r="I825" s="25" t="n">
        <f aca="false">IFERROR(IF(INDEX(Documents!$C$5:$C$657,MATCH(H825,Documents!$A$5:$A$657,0))="","",INDEX(Documents!$C$5:$C$657,MATCH(H825,Documents!$A$5:$A$657,0))),"")</f>
        <v>2011</v>
      </c>
      <c r="J825" s="25" t="str">
        <f aca="false">IFERROR(IF(INDEX(Documents!$D$5:$D$657,MATCH(H825,Documents!$A$5:$A$657,0))="","",INDEX(Documents!$D$5:$D$657,MATCH(H825,Documents!$A$5:$A$657,0))),"")</f>
        <v>J Med Chem</v>
      </c>
      <c r="K825" s="25" t="str">
        <f aca="false">IFERROR(IF(INDEX(Documents!$G$5:$G$657,MATCH(H825,Documents!$A$5:$A$657,0))="","",INDEX(Documents!$G$5:$G$657,MATCH(H825,Documents!$A$5:$A$657,0))),"")</f>
        <v>10.1021/jm2004392</v>
      </c>
      <c r="L825" s="25" t="s">
        <v>263</v>
      </c>
    </row>
    <row r="826" customFormat="false" ht="15" hidden="false" customHeight="false" outlineLevel="0" collapsed="false">
      <c r="A826" s="25" t="n">
        <v>6285510</v>
      </c>
      <c r="B826" s="25" t="s">
        <v>2075</v>
      </c>
      <c r="C826" s="25" t="s">
        <v>2076</v>
      </c>
      <c r="D826" s="26" t="n">
        <v>379</v>
      </c>
      <c r="E826" s="27" t="n">
        <v>6.42136079003193</v>
      </c>
      <c r="F826" s="27" t="n">
        <v>6.42136079003193</v>
      </c>
      <c r="G826" s="25" t="s">
        <v>261</v>
      </c>
      <c r="H826" s="25" t="s">
        <v>262</v>
      </c>
      <c r="I826" s="25" t="n">
        <f aca="false">IFERROR(IF(INDEX(Documents!$C$5:$C$657,MATCH(H826,Documents!$A$5:$A$657,0))="","",INDEX(Documents!$C$5:$C$657,MATCH(H826,Documents!$A$5:$A$657,0))),"")</f>
        <v>2011</v>
      </c>
      <c r="J826" s="25" t="str">
        <f aca="false">IFERROR(IF(INDEX(Documents!$D$5:$D$657,MATCH(H826,Documents!$A$5:$A$657,0))="","",INDEX(Documents!$D$5:$D$657,MATCH(H826,Documents!$A$5:$A$657,0))),"")</f>
        <v>J Med Chem</v>
      </c>
      <c r="K826" s="25" t="str">
        <f aca="false">IFERROR(IF(INDEX(Documents!$G$5:$G$657,MATCH(H826,Documents!$A$5:$A$657,0))="","",INDEX(Documents!$G$5:$G$657,MATCH(H826,Documents!$A$5:$A$657,0))),"")</f>
        <v>10.1021/jm2004392</v>
      </c>
      <c r="L826" s="25" t="s">
        <v>263</v>
      </c>
    </row>
    <row r="827" customFormat="false" ht="15" hidden="false" customHeight="false" outlineLevel="0" collapsed="false">
      <c r="A827" s="25" t="n">
        <v>1700210</v>
      </c>
      <c r="B827" s="25" t="s">
        <v>2077</v>
      </c>
      <c r="C827" s="25" t="s">
        <v>2078</v>
      </c>
      <c r="D827" s="26" t="n">
        <v>2400</v>
      </c>
      <c r="E827" s="27" t="n">
        <v>5.61978875828839</v>
      </c>
      <c r="F827" s="27" t="n">
        <v>5.61978875828839</v>
      </c>
      <c r="G827" s="25" t="s">
        <v>2013</v>
      </c>
      <c r="H827" s="25" t="s">
        <v>2014</v>
      </c>
      <c r="I827" s="25" t="n">
        <f aca="false">IFERROR(IF(INDEX(Documents!$C$5:$C$657,MATCH(H827,Documents!$A$5:$A$657,0))="","",INDEX(Documents!$C$5:$C$657,MATCH(H827,Documents!$A$5:$A$657,0))),"")</f>
        <v>2006</v>
      </c>
      <c r="J827" s="25" t="str">
        <f aca="false">IFERROR(IF(INDEX(Documents!$D$5:$D$657,MATCH(H827,Documents!$A$5:$A$657,0))="","",INDEX(Documents!$D$5:$D$657,MATCH(H827,Documents!$A$5:$A$657,0))),"")</f>
        <v>J Med Chem</v>
      </c>
      <c r="K827" s="25" t="str">
        <f aca="false">IFERROR(IF(INDEX(Documents!$G$5:$G$657,MATCH(H827,Documents!$A$5:$A$657,0))="","",INDEX(Documents!$G$5:$G$657,MATCH(H827,Documents!$A$5:$A$657,0))),"")</f>
        <v>10.1021/jm051240y</v>
      </c>
      <c r="L827" s="25" t="s">
        <v>2015</v>
      </c>
    </row>
    <row r="828" customFormat="false" ht="15" hidden="false" customHeight="false" outlineLevel="0" collapsed="false">
      <c r="A828" s="25" t="n">
        <v>14574125</v>
      </c>
      <c r="B828" s="25" t="s">
        <v>2079</v>
      </c>
      <c r="C828" s="25" t="s">
        <v>2080</v>
      </c>
      <c r="D828" s="26" t="n">
        <v>3000</v>
      </c>
      <c r="E828" s="27" t="n">
        <v>5.52287874528034</v>
      </c>
      <c r="F828" s="27" t="n">
        <v>5.52287874528034</v>
      </c>
      <c r="G828" s="25" t="s">
        <v>2081</v>
      </c>
      <c r="H828" s="25" t="s">
        <v>1358</v>
      </c>
      <c r="I828" s="25" t="n">
        <f aca="false">IFERROR(IF(INDEX(Documents!$C$5:$C$657,MATCH(H828,Documents!$A$5:$A$657,0))="","",INDEX(Documents!$C$5:$C$657,MATCH(H828,Documents!$A$5:$A$657,0))),"")</f>
        <v>2013</v>
      </c>
      <c r="J828" s="25" t="str">
        <f aca="false">IFERROR(IF(INDEX(Documents!$D$5:$D$657,MATCH(H828,Documents!$A$5:$A$657,0))="","",INDEX(Documents!$D$5:$D$657,MATCH(H828,Documents!$A$5:$A$657,0))),"")</f>
        <v>J Med Chem</v>
      </c>
      <c r="K828" s="25" t="str">
        <f aca="false">IFERROR(IF(INDEX(Documents!$G$5:$G$657,MATCH(H828,Documents!$A$5:$A$657,0))="","",INDEX(Documents!$G$5:$G$657,MATCH(H828,Documents!$A$5:$A$657,0))),"")</f>
        <v>10.1021/jm4005626</v>
      </c>
      <c r="L828" s="25" t="s">
        <v>515</v>
      </c>
    </row>
    <row r="829" customFormat="false" ht="15" hidden="false" customHeight="false" outlineLevel="0" collapsed="false">
      <c r="A829" s="25" t="n">
        <v>6285511</v>
      </c>
      <c r="B829" s="25" t="s">
        <v>2082</v>
      </c>
      <c r="C829" s="25" t="s">
        <v>2083</v>
      </c>
      <c r="D829" s="26" t="n">
        <v>450</v>
      </c>
      <c r="E829" s="27" t="n">
        <v>6.34678748622466</v>
      </c>
      <c r="F829" s="27" t="n">
        <v>6.34678748622466</v>
      </c>
      <c r="G829" s="25" t="s">
        <v>261</v>
      </c>
      <c r="H829" s="25" t="s">
        <v>262</v>
      </c>
      <c r="I829" s="25" t="n">
        <f aca="false">IFERROR(IF(INDEX(Documents!$C$5:$C$657,MATCH(H829,Documents!$A$5:$A$657,0))="","",INDEX(Documents!$C$5:$C$657,MATCH(H829,Documents!$A$5:$A$657,0))),"")</f>
        <v>2011</v>
      </c>
      <c r="J829" s="25" t="str">
        <f aca="false">IFERROR(IF(INDEX(Documents!$D$5:$D$657,MATCH(H829,Documents!$A$5:$A$657,0))="","",INDEX(Documents!$D$5:$D$657,MATCH(H829,Documents!$A$5:$A$657,0))),"")</f>
        <v>J Med Chem</v>
      </c>
      <c r="K829" s="25" t="str">
        <f aca="false">IFERROR(IF(INDEX(Documents!$G$5:$G$657,MATCH(H829,Documents!$A$5:$A$657,0))="","",INDEX(Documents!$G$5:$G$657,MATCH(H829,Documents!$A$5:$A$657,0))),"")</f>
        <v>10.1021/jm2004392</v>
      </c>
      <c r="L829" s="25" t="s">
        <v>263</v>
      </c>
    </row>
    <row r="830" customFormat="false" ht="15" hidden="false" customHeight="false" outlineLevel="0" collapsed="false">
      <c r="A830" s="25" t="n">
        <v>18560280</v>
      </c>
      <c r="B830" s="25" t="s">
        <v>2084</v>
      </c>
      <c r="C830" s="25" t="s">
        <v>2085</v>
      </c>
      <c r="D830" s="26" t="n">
        <v>188</v>
      </c>
      <c r="E830" s="27" t="n">
        <v>6.72584215073632</v>
      </c>
      <c r="F830" s="27" t="n">
        <v>6.72584215073632</v>
      </c>
      <c r="G830" s="25" t="s">
        <v>278</v>
      </c>
      <c r="H830" s="25" t="s">
        <v>279</v>
      </c>
      <c r="I830" s="25" t="n">
        <f aca="false">IFERROR(IF(INDEX(Documents!$C$5:$C$657,MATCH(H830,Documents!$A$5:$A$657,0))="","",INDEX(Documents!$C$5:$C$657,MATCH(H830,Documents!$A$5:$A$657,0))),"")</f>
        <v>2018</v>
      </c>
      <c r="J830" s="25" t="str">
        <f aca="false">IFERROR(IF(INDEX(Documents!$D$5:$D$657,MATCH(H830,Documents!$A$5:$A$657,0))="","",INDEX(Documents!$D$5:$D$657,MATCH(H830,Documents!$A$5:$A$657,0))),"")</f>
        <v>J Med Chem</v>
      </c>
      <c r="K830" s="25" t="str">
        <f aca="false">IFERROR(IF(INDEX(Documents!$G$5:$G$657,MATCH(H830,Documents!$A$5:$A$657,0))="","",INDEX(Documents!$G$5:$G$657,MATCH(H830,Documents!$A$5:$A$657,0))),"")</f>
        <v>10.1021/acs.jmedchem.8b00611</v>
      </c>
      <c r="L830" s="25" t="s">
        <v>280</v>
      </c>
    </row>
    <row r="831" customFormat="false" ht="15" hidden="false" customHeight="false" outlineLevel="0" collapsed="false">
      <c r="A831" s="25" t="n">
        <v>18560286</v>
      </c>
      <c r="B831" s="25" t="s">
        <v>2086</v>
      </c>
      <c r="C831" s="25" t="s">
        <v>2087</v>
      </c>
      <c r="D831" s="26" t="n">
        <v>120</v>
      </c>
      <c r="E831" s="27" t="n">
        <v>6.92081875395238</v>
      </c>
      <c r="F831" s="27" t="n">
        <v>6.92081875395238</v>
      </c>
      <c r="G831" s="25" t="s">
        <v>278</v>
      </c>
      <c r="H831" s="25" t="s">
        <v>279</v>
      </c>
      <c r="I831" s="25" t="n">
        <f aca="false">IFERROR(IF(INDEX(Documents!$C$5:$C$657,MATCH(H831,Documents!$A$5:$A$657,0))="","",INDEX(Documents!$C$5:$C$657,MATCH(H831,Documents!$A$5:$A$657,0))),"")</f>
        <v>2018</v>
      </c>
      <c r="J831" s="25" t="str">
        <f aca="false">IFERROR(IF(INDEX(Documents!$D$5:$D$657,MATCH(H831,Documents!$A$5:$A$657,0))="","",INDEX(Documents!$D$5:$D$657,MATCH(H831,Documents!$A$5:$A$657,0))),"")</f>
        <v>J Med Chem</v>
      </c>
      <c r="K831" s="25" t="str">
        <f aca="false">IFERROR(IF(INDEX(Documents!$G$5:$G$657,MATCH(H831,Documents!$A$5:$A$657,0))="","",INDEX(Documents!$G$5:$G$657,MATCH(H831,Documents!$A$5:$A$657,0))),"")</f>
        <v>10.1021/acs.jmedchem.8b00611</v>
      </c>
      <c r="L831" s="25" t="s">
        <v>280</v>
      </c>
    </row>
    <row r="832" customFormat="false" ht="15" hidden="false" customHeight="false" outlineLevel="0" collapsed="false">
      <c r="A832" s="25" t="n">
        <v>18560281</v>
      </c>
      <c r="B832" s="25" t="s">
        <v>2088</v>
      </c>
      <c r="C832" s="25" t="s">
        <v>2089</v>
      </c>
      <c r="D832" s="26" t="n">
        <v>24.7</v>
      </c>
      <c r="E832" s="27" t="n">
        <v>7.60730304674033</v>
      </c>
      <c r="F832" s="27" t="n">
        <v>7.60730304674033</v>
      </c>
      <c r="G832" s="25" t="s">
        <v>278</v>
      </c>
      <c r="H832" s="25" t="s">
        <v>279</v>
      </c>
      <c r="I832" s="25" t="n">
        <f aca="false">IFERROR(IF(INDEX(Documents!$C$5:$C$657,MATCH(H832,Documents!$A$5:$A$657,0))="","",INDEX(Documents!$C$5:$C$657,MATCH(H832,Documents!$A$5:$A$657,0))),"")</f>
        <v>2018</v>
      </c>
      <c r="J832" s="25" t="str">
        <f aca="false">IFERROR(IF(INDEX(Documents!$D$5:$D$657,MATCH(H832,Documents!$A$5:$A$657,0))="","",INDEX(Documents!$D$5:$D$657,MATCH(H832,Documents!$A$5:$A$657,0))),"")</f>
        <v>J Med Chem</v>
      </c>
      <c r="K832" s="25" t="str">
        <f aca="false">IFERROR(IF(INDEX(Documents!$G$5:$G$657,MATCH(H832,Documents!$A$5:$A$657,0))="","",INDEX(Documents!$G$5:$G$657,MATCH(H832,Documents!$A$5:$A$657,0))),"")</f>
        <v>10.1021/acs.jmedchem.8b00611</v>
      </c>
      <c r="L832" s="25" t="s">
        <v>280</v>
      </c>
    </row>
    <row r="833" customFormat="false" ht="15" hidden="false" customHeight="false" outlineLevel="0" collapsed="false">
      <c r="A833" s="25" t="n">
        <v>18560287</v>
      </c>
      <c r="B833" s="25" t="s">
        <v>2090</v>
      </c>
      <c r="C833" s="25" t="s">
        <v>2091</v>
      </c>
      <c r="D833" s="26" t="n">
        <v>12.8</v>
      </c>
      <c r="E833" s="27" t="n">
        <v>7.89279003035213</v>
      </c>
      <c r="F833" s="27" t="n">
        <v>7.89279003035213</v>
      </c>
      <c r="G833" s="25" t="s">
        <v>278</v>
      </c>
      <c r="H833" s="25" t="s">
        <v>279</v>
      </c>
      <c r="I833" s="25" t="n">
        <f aca="false">IFERROR(IF(INDEX(Documents!$C$5:$C$657,MATCH(H833,Documents!$A$5:$A$657,0))="","",INDEX(Documents!$C$5:$C$657,MATCH(H833,Documents!$A$5:$A$657,0))),"")</f>
        <v>2018</v>
      </c>
      <c r="J833" s="25" t="str">
        <f aca="false">IFERROR(IF(INDEX(Documents!$D$5:$D$657,MATCH(H833,Documents!$A$5:$A$657,0))="","",INDEX(Documents!$D$5:$D$657,MATCH(H833,Documents!$A$5:$A$657,0))),"")</f>
        <v>J Med Chem</v>
      </c>
      <c r="K833" s="25" t="str">
        <f aca="false">IFERROR(IF(INDEX(Documents!$G$5:$G$657,MATCH(H833,Documents!$A$5:$A$657,0))="","",INDEX(Documents!$G$5:$G$657,MATCH(H833,Documents!$A$5:$A$657,0))),"")</f>
        <v>10.1021/acs.jmedchem.8b00611</v>
      </c>
      <c r="L833" s="25" t="s">
        <v>280</v>
      </c>
    </row>
    <row r="834" customFormat="false" ht="15" hidden="false" customHeight="false" outlineLevel="0" collapsed="false">
      <c r="A834" s="25" t="n">
        <v>15058667</v>
      </c>
      <c r="B834" s="25" t="s">
        <v>2092</v>
      </c>
      <c r="C834" s="25" t="s">
        <v>2093</v>
      </c>
      <c r="D834" s="26" t="n">
        <v>4110</v>
      </c>
      <c r="E834" s="27" t="n">
        <v>5.38615817812393</v>
      </c>
      <c r="F834" s="27" t="n">
        <v>5.38615817812393</v>
      </c>
      <c r="G834" s="25" t="s">
        <v>592</v>
      </c>
      <c r="H834" s="25" t="s">
        <v>593</v>
      </c>
      <c r="I834" s="25" t="n">
        <f aca="false">IFERROR(IF(INDEX(Documents!$C$5:$C$657,MATCH(H834,Documents!$A$5:$A$657,0))="","",INDEX(Documents!$C$5:$C$657,MATCH(H834,Documents!$A$5:$A$657,0))),"")</f>
        <v>2014</v>
      </c>
      <c r="J834" s="25" t="str">
        <f aca="false">IFERROR(IF(INDEX(Documents!$D$5:$D$657,MATCH(H834,Documents!$A$5:$A$657,0))="","",INDEX(Documents!$D$5:$D$657,MATCH(H834,Documents!$A$5:$A$657,0))),"")</f>
        <v>J Nat Prod</v>
      </c>
      <c r="K834" s="25" t="str">
        <f aca="false">IFERROR(IF(INDEX(Documents!$G$5:$G$657,MATCH(H834,Documents!$A$5:$A$657,0))="","",INDEX(Documents!$G$5:$G$657,MATCH(H834,Documents!$A$5:$A$657,0))),"")</f>
        <v>10.1021/np500292g</v>
      </c>
      <c r="L834" s="25" t="s">
        <v>594</v>
      </c>
    </row>
    <row r="835" customFormat="false" ht="15" hidden="false" customHeight="false" outlineLevel="0" collapsed="false">
      <c r="A835" s="25" t="n">
        <v>18560292</v>
      </c>
      <c r="B835" s="25" t="s">
        <v>2094</v>
      </c>
      <c r="C835" s="25" t="s">
        <v>2095</v>
      </c>
      <c r="D835" s="26" t="n">
        <v>4.3</v>
      </c>
      <c r="E835" s="27" t="n">
        <v>8.36653154442041</v>
      </c>
      <c r="F835" s="27" t="n">
        <v>8.36653154442041</v>
      </c>
      <c r="G835" s="25" t="s">
        <v>278</v>
      </c>
      <c r="H835" s="25" t="s">
        <v>279</v>
      </c>
      <c r="I835" s="25" t="n">
        <f aca="false">IFERROR(IF(INDEX(Documents!$C$5:$C$657,MATCH(H835,Documents!$A$5:$A$657,0))="","",INDEX(Documents!$C$5:$C$657,MATCH(H835,Documents!$A$5:$A$657,0))),"")</f>
        <v>2018</v>
      </c>
      <c r="J835" s="25" t="str">
        <f aca="false">IFERROR(IF(INDEX(Documents!$D$5:$D$657,MATCH(H835,Documents!$A$5:$A$657,0))="","",INDEX(Documents!$D$5:$D$657,MATCH(H835,Documents!$A$5:$A$657,0))),"")</f>
        <v>J Med Chem</v>
      </c>
      <c r="K835" s="25" t="str">
        <f aca="false">IFERROR(IF(INDEX(Documents!$G$5:$G$657,MATCH(H835,Documents!$A$5:$A$657,0))="","",INDEX(Documents!$G$5:$G$657,MATCH(H835,Documents!$A$5:$A$657,0))),"")</f>
        <v>10.1021/acs.jmedchem.8b00611</v>
      </c>
      <c r="L835" s="25" t="s">
        <v>280</v>
      </c>
    </row>
    <row r="836" customFormat="false" ht="15" hidden="false" customHeight="false" outlineLevel="0" collapsed="false">
      <c r="A836" s="25" t="n">
        <v>18560293</v>
      </c>
      <c r="B836" s="25" t="s">
        <v>2096</v>
      </c>
      <c r="C836" s="25" t="s">
        <v>2097</v>
      </c>
      <c r="D836" s="26" t="n">
        <v>6.8</v>
      </c>
      <c r="E836" s="27" t="n">
        <v>8.16749108729376</v>
      </c>
      <c r="F836" s="27" t="n">
        <v>8.16749108729376</v>
      </c>
      <c r="G836" s="25" t="s">
        <v>278</v>
      </c>
      <c r="H836" s="25" t="s">
        <v>279</v>
      </c>
      <c r="I836" s="25" t="n">
        <f aca="false">IFERROR(IF(INDEX(Documents!$C$5:$C$657,MATCH(H836,Documents!$A$5:$A$657,0))="","",INDEX(Documents!$C$5:$C$657,MATCH(H836,Documents!$A$5:$A$657,0))),"")</f>
        <v>2018</v>
      </c>
      <c r="J836" s="25" t="str">
        <f aca="false">IFERROR(IF(INDEX(Documents!$D$5:$D$657,MATCH(H836,Documents!$A$5:$A$657,0))="","",INDEX(Documents!$D$5:$D$657,MATCH(H836,Documents!$A$5:$A$657,0))),"")</f>
        <v>J Med Chem</v>
      </c>
      <c r="K836" s="25" t="str">
        <f aca="false">IFERROR(IF(INDEX(Documents!$G$5:$G$657,MATCH(H836,Documents!$A$5:$A$657,0))="","",INDEX(Documents!$G$5:$G$657,MATCH(H836,Documents!$A$5:$A$657,0))),"")</f>
        <v>10.1021/acs.jmedchem.8b00611</v>
      </c>
      <c r="L836" s="25" t="s">
        <v>280</v>
      </c>
    </row>
    <row r="837" customFormat="false" ht="15" hidden="false" customHeight="false" outlineLevel="0" collapsed="false">
      <c r="A837" s="25" t="n">
        <v>18560294</v>
      </c>
      <c r="B837" s="25" t="s">
        <v>2098</v>
      </c>
      <c r="C837" s="25" t="s">
        <v>2099</v>
      </c>
      <c r="D837" s="26" t="n">
        <v>139</v>
      </c>
      <c r="E837" s="27" t="n">
        <v>6.85698519974591</v>
      </c>
      <c r="F837" s="27" t="n">
        <v>6.85698519974591</v>
      </c>
      <c r="G837" s="25" t="s">
        <v>278</v>
      </c>
      <c r="H837" s="25" t="s">
        <v>279</v>
      </c>
      <c r="I837" s="25" t="n">
        <f aca="false">IFERROR(IF(INDEX(Documents!$C$5:$C$657,MATCH(H837,Documents!$A$5:$A$657,0))="","",INDEX(Documents!$C$5:$C$657,MATCH(H837,Documents!$A$5:$A$657,0))),"")</f>
        <v>2018</v>
      </c>
      <c r="J837" s="25" t="str">
        <f aca="false">IFERROR(IF(INDEX(Documents!$D$5:$D$657,MATCH(H837,Documents!$A$5:$A$657,0))="","",INDEX(Documents!$D$5:$D$657,MATCH(H837,Documents!$A$5:$A$657,0))),"")</f>
        <v>J Med Chem</v>
      </c>
      <c r="K837" s="25" t="str">
        <f aca="false">IFERROR(IF(INDEX(Documents!$G$5:$G$657,MATCH(H837,Documents!$A$5:$A$657,0))="","",INDEX(Documents!$G$5:$G$657,MATCH(H837,Documents!$A$5:$A$657,0))),"")</f>
        <v>10.1021/acs.jmedchem.8b00611</v>
      </c>
      <c r="L837" s="25" t="s">
        <v>280</v>
      </c>
    </row>
    <row r="838" customFormat="false" ht="15" hidden="false" customHeight="false" outlineLevel="0" collapsed="false">
      <c r="A838" s="25" t="n">
        <v>18560296</v>
      </c>
      <c r="B838" s="25" t="s">
        <v>2100</v>
      </c>
      <c r="C838" s="25" t="s">
        <v>2101</v>
      </c>
      <c r="D838" s="26" t="n">
        <v>10.4</v>
      </c>
      <c r="E838" s="27" t="n">
        <v>7.98296666070122</v>
      </c>
      <c r="F838" s="27" t="n">
        <v>7.98296666070122</v>
      </c>
      <c r="G838" s="25" t="s">
        <v>278</v>
      </c>
      <c r="H838" s="25" t="s">
        <v>279</v>
      </c>
      <c r="I838" s="25" t="n">
        <f aca="false">IFERROR(IF(INDEX(Documents!$C$5:$C$657,MATCH(H838,Documents!$A$5:$A$657,0))="","",INDEX(Documents!$C$5:$C$657,MATCH(H838,Documents!$A$5:$A$657,0))),"")</f>
        <v>2018</v>
      </c>
      <c r="J838" s="25" t="str">
        <f aca="false">IFERROR(IF(INDEX(Documents!$D$5:$D$657,MATCH(H838,Documents!$A$5:$A$657,0))="","",INDEX(Documents!$D$5:$D$657,MATCH(H838,Documents!$A$5:$A$657,0))),"")</f>
        <v>J Med Chem</v>
      </c>
      <c r="K838" s="25" t="str">
        <f aca="false">IFERROR(IF(INDEX(Documents!$G$5:$G$657,MATCH(H838,Documents!$A$5:$A$657,0))="","",INDEX(Documents!$G$5:$G$657,MATCH(H838,Documents!$A$5:$A$657,0))),"")</f>
        <v>10.1021/acs.jmedchem.8b00611</v>
      </c>
      <c r="L838" s="25" t="s">
        <v>280</v>
      </c>
    </row>
    <row r="839" customFormat="false" ht="15" hidden="false" customHeight="false" outlineLevel="0" collapsed="false">
      <c r="A839" s="25" t="n">
        <v>18560285</v>
      </c>
      <c r="B839" s="25" t="s">
        <v>2102</v>
      </c>
      <c r="C839" s="25" t="s">
        <v>2103</v>
      </c>
      <c r="D839" s="26" t="n">
        <v>50.5</v>
      </c>
      <c r="E839" s="27" t="n">
        <v>7.29670862188134</v>
      </c>
      <c r="F839" s="27" t="n">
        <v>7.29670862188134</v>
      </c>
      <c r="G839" s="25" t="s">
        <v>278</v>
      </c>
      <c r="H839" s="25" t="s">
        <v>279</v>
      </c>
      <c r="I839" s="25" t="n">
        <f aca="false">IFERROR(IF(INDEX(Documents!$C$5:$C$657,MATCH(H839,Documents!$A$5:$A$657,0))="","",INDEX(Documents!$C$5:$C$657,MATCH(H839,Documents!$A$5:$A$657,0))),"")</f>
        <v>2018</v>
      </c>
      <c r="J839" s="25" t="str">
        <f aca="false">IFERROR(IF(INDEX(Documents!$D$5:$D$657,MATCH(H839,Documents!$A$5:$A$657,0))="","",INDEX(Documents!$D$5:$D$657,MATCH(H839,Documents!$A$5:$A$657,0))),"")</f>
        <v>J Med Chem</v>
      </c>
      <c r="K839" s="25" t="str">
        <f aca="false">IFERROR(IF(INDEX(Documents!$G$5:$G$657,MATCH(H839,Documents!$A$5:$A$657,0))="","",INDEX(Documents!$G$5:$G$657,MATCH(H839,Documents!$A$5:$A$657,0))),"")</f>
        <v>10.1021/acs.jmedchem.8b00611</v>
      </c>
      <c r="L839" s="25" t="s">
        <v>280</v>
      </c>
    </row>
    <row r="840" customFormat="false" ht="15" hidden="false" customHeight="false" outlineLevel="0" collapsed="false">
      <c r="A840" s="25" t="n">
        <v>18560288</v>
      </c>
      <c r="B840" s="25" t="s">
        <v>2104</v>
      </c>
      <c r="C840" s="25" t="s">
        <v>2105</v>
      </c>
      <c r="D840" s="26" t="n">
        <v>176</v>
      </c>
      <c r="E840" s="27" t="n">
        <v>6.75448733218585</v>
      </c>
      <c r="F840" s="27" t="n">
        <v>6.75448733218585</v>
      </c>
      <c r="G840" s="25" t="s">
        <v>278</v>
      </c>
      <c r="H840" s="25" t="s">
        <v>279</v>
      </c>
      <c r="I840" s="25" t="n">
        <f aca="false">IFERROR(IF(INDEX(Documents!$C$5:$C$657,MATCH(H840,Documents!$A$5:$A$657,0))="","",INDEX(Documents!$C$5:$C$657,MATCH(H840,Documents!$A$5:$A$657,0))),"")</f>
        <v>2018</v>
      </c>
      <c r="J840" s="25" t="str">
        <f aca="false">IFERROR(IF(INDEX(Documents!$D$5:$D$657,MATCH(H840,Documents!$A$5:$A$657,0))="","",INDEX(Documents!$D$5:$D$657,MATCH(H840,Documents!$A$5:$A$657,0))),"")</f>
        <v>J Med Chem</v>
      </c>
      <c r="K840" s="25" t="str">
        <f aca="false">IFERROR(IF(INDEX(Documents!$G$5:$G$657,MATCH(H840,Documents!$A$5:$A$657,0))="","",INDEX(Documents!$G$5:$G$657,MATCH(H840,Documents!$A$5:$A$657,0))),"")</f>
        <v>10.1021/acs.jmedchem.8b00611</v>
      </c>
      <c r="L840" s="25" t="s">
        <v>280</v>
      </c>
    </row>
    <row r="841" customFormat="false" ht="15" hidden="false" customHeight="false" outlineLevel="0" collapsed="false">
      <c r="A841" s="25" t="n">
        <v>23303539</v>
      </c>
      <c r="B841" s="25" t="s">
        <v>2106</v>
      </c>
      <c r="C841" s="25" t="s">
        <v>2107</v>
      </c>
      <c r="D841" s="26" t="n">
        <v>1000</v>
      </c>
      <c r="E841" s="27" t="n">
        <v>6</v>
      </c>
      <c r="F841" s="27" t="n">
        <v>6</v>
      </c>
      <c r="G841" s="25" t="s">
        <v>1996</v>
      </c>
      <c r="H841" s="25" t="s">
        <v>1997</v>
      </c>
      <c r="I841" s="25" t="n">
        <f aca="false">IFERROR(IF(INDEX(Documents!$C$5:$C$657,MATCH(H841,Documents!$A$5:$A$657,0))="","",INDEX(Documents!$C$5:$C$657,MATCH(H841,Documents!$A$5:$A$657,0))),"")</f>
        <v>2021</v>
      </c>
      <c r="J841" s="25" t="str">
        <f aca="false">IFERROR(IF(INDEX(Documents!$D$5:$D$657,MATCH(H841,Documents!$A$5:$A$657,0))="","",INDEX(Documents!$D$5:$D$657,MATCH(H841,Documents!$A$5:$A$657,0))),"")</f>
        <v>Eur J Med Chem</v>
      </c>
      <c r="K841" s="25" t="str">
        <f aca="false">IFERROR(IF(INDEX(Documents!$G$5:$G$657,MATCH(H841,Documents!$A$5:$A$657,0))="","",INDEX(Documents!$G$5:$G$657,MATCH(H841,Documents!$A$5:$A$657,0))),"")</f>
        <v>10.1016/j.ejmech.2021.113354</v>
      </c>
      <c r="L841" s="25" t="s">
        <v>1998</v>
      </c>
    </row>
    <row r="842" customFormat="false" ht="15" hidden="false" customHeight="false" outlineLevel="0" collapsed="false">
      <c r="A842" s="25" t="n">
        <v>23303569</v>
      </c>
      <c r="B842" s="25" t="s">
        <v>2108</v>
      </c>
      <c r="C842" s="25" t="s">
        <v>2109</v>
      </c>
      <c r="D842" s="26" t="n">
        <v>106</v>
      </c>
      <c r="E842" s="27" t="n">
        <v>6.97469413473523</v>
      </c>
      <c r="F842" s="27" t="n">
        <v>6.97735298757197</v>
      </c>
      <c r="G842" s="25" t="s">
        <v>1996</v>
      </c>
      <c r="H842" s="25" t="s">
        <v>1997</v>
      </c>
      <c r="I842" s="25" t="n">
        <f aca="false">IFERROR(IF(INDEX(Documents!$C$5:$C$657,MATCH(H842,Documents!$A$5:$A$657,0))="","",INDEX(Documents!$C$5:$C$657,MATCH(H842,Documents!$A$5:$A$657,0))),"")</f>
        <v>2021</v>
      </c>
      <c r="J842" s="25" t="str">
        <f aca="false">IFERROR(IF(INDEX(Documents!$D$5:$D$657,MATCH(H842,Documents!$A$5:$A$657,0))="","",INDEX(Documents!$D$5:$D$657,MATCH(H842,Documents!$A$5:$A$657,0))),"")</f>
        <v>Eur J Med Chem</v>
      </c>
      <c r="K842" s="25" t="str">
        <f aca="false">IFERROR(IF(INDEX(Documents!$G$5:$G$657,MATCH(H842,Documents!$A$5:$A$657,0))="","",INDEX(Documents!$G$5:$G$657,MATCH(H842,Documents!$A$5:$A$657,0))),"")</f>
        <v>10.1016/j.ejmech.2021.113354</v>
      </c>
      <c r="L842" s="25" t="s">
        <v>1998</v>
      </c>
    </row>
    <row r="843" customFormat="false" ht="15" hidden="false" customHeight="false" outlineLevel="0" collapsed="false">
      <c r="A843" s="25" t="n">
        <v>23303547</v>
      </c>
      <c r="B843" s="25" t="s">
        <v>2108</v>
      </c>
      <c r="C843" s="25" t="s">
        <v>2109</v>
      </c>
      <c r="D843" s="26" t="n">
        <v>104.71</v>
      </c>
      <c r="E843" s="27" t="n">
        <v>6.98001184040871</v>
      </c>
      <c r="F843" s="27" t="n">
        <v>6.97735298757197</v>
      </c>
      <c r="G843" s="25" t="s">
        <v>1996</v>
      </c>
      <c r="H843" s="25" t="s">
        <v>1997</v>
      </c>
      <c r="I843" s="25" t="n">
        <f aca="false">IFERROR(IF(INDEX(Documents!$C$5:$C$657,MATCH(H843,Documents!$A$5:$A$657,0))="","",INDEX(Documents!$C$5:$C$657,MATCH(H843,Documents!$A$5:$A$657,0))),"")</f>
        <v>2021</v>
      </c>
      <c r="J843" s="25" t="str">
        <f aca="false">IFERROR(IF(INDEX(Documents!$D$5:$D$657,MATCH(H843,Documents!$A$5:$A$657,0))="","",INDEX(Documents!$D$5:$D$657,MATCH(H843,Documents!$A$5:$A$657,0))),"")</f>
        <v>Eur J Med Chem</v>
      </c>
      <c r="K843" s="25" t="str">
        <f aca="false">IFERROR(IF(INDEX(Documents!$G$5:$G$657,MATCH(H843,Documents!$A$5:$A$657,0))="","",INDEX(Documents!$G$5:$G$657,MATCH(H843,Documents!$A$5:$A$657,0))),"")</f>
        <v>10.1016/j.ejmech.2021.113354</v>
      </c>
      <c r="L843" s="25" t="s">
        <v>1998</v>
      </c>
    </row>
    <row r="844" customFormat="false" ht="15" hidden="false" customHeight="false" outlineLevel="0" collapsed="false">
      <c r="A844" s="25" t="n">
        <v>23303566</v>
      </c>
      <c r="B844" s="25" t="s">
        <v>2110</v>
      </c>
      <c r="C844" s="25" t="s">
        <v>2111</v>
      </c>
      <c r="D844" s="26" t="n">
        <v>60.6</v>
      </c>
      <c r="E844" s="27" t="n">
        <v>7.21752737583371</v>
      </c>
      <c r="F844" s="27" t="n">
        <v>7.21874912424819</v>
      </c>
      <c r="G844" s="25" t="s">
        <v>1996</v>
      </c>
      <c r="H844" s="25" t="s">
        <v>1997</v>
      </c>
      <c r="I844" s="25" t="n">
        <f aca="false">IFERROR(IF(INDEX(Documents!$C$5:$C$657,MATCH(H844,Documents!$A$5:$A$657,0))="","",INDEX(Documents!$C$5:$C$657,MATCH(H844,Documents!$A$5:$A$657,0))),"")</f>
        <v>2021</v>
      </c>
      <c r="J844" s="25" t="str">
        <f aca="false">IFERROR(IF(INDEX(Documents!$D$5:$D$657,MATCH(H844,Documents!$A$5:$A$657,0))="","",INDEX(Documents!$D$5:$D$657,MATCH(H844,Documents!$A$5:$A$657,0))),"")</f>
        <v>Eur J Med Chem</v>
      </c>
      <c r="K844" s="25" t="str">
        <f aca="false">IFERROR(IF(INDEX(Documents!$G$5:$G$657,MATCH(H844,Documents!$A$5:$A$657,0))="","",INDEX(Documents!$G$5:$G$657,MATCH(H844,Documents!$A$5:$A$657,0))),"")</f>
        <v>10.1016/j.ejmech.2021.113354</v>
      </c>
      <c r="L844" s="25" t="s">
        <v>1998</v>
      </c>
    </row>
    <row r="845" customFormat="false" ht="15" hidden="false" customHeight="false" outlineLevel="0" collapsed="false">
      <c r="A845" s="25" t="n">
        <v>23303541</v>
      </c>
      <c r="B845" s="25" t="s">
        <v>2110</v>
      </c>
      <c r="C845" s="25" t="s">
        <v>2111</v>
      </c>
      <c r="D845" s="26" t="n">
        <v>60.26</v>
      </c>
      <c r="E845" s="27" t="n">
        <v>7.21997087266266</v>
      </c>
      <c r="F845" s="27" t="n">
        <v>7.21874912424819</v>
      </c>
      <c r="G845" s="25" t="s">
        <v>1996</v>
      </c>
      <c r="H845" s="25" t="s">
        <v>1997</v>
      </c>
      <c r="I845" s="25" t="n">
        <f aca="false">IFERROR(IF(INDEX(Documents!$C$5:$C$657,MATCH(H845,Documents!$A$5:$A$657,0))="","",INDEX(Documents!$C$5:$C$657,MATCH(H845,Documents!$A$5:$A$657,0))),"")</f>
        <v>2021</v>
      </c>
      <c r="J845" s="25" t="str">
        <f aca="false">IFERROR(IF(INDEX(Documents!$D$5:$D$657,MATCH(H845,Documents!$A$5:$A$657,0))="","",INDEX(Documents!$D$5:$D$657,MATCH(H845,Documents!$A$5:$A$657,0))),"")</f>
        <v>Eur J Med Chem</v>
      </c>
      <c r="K845" s="25" t="str">
        <f aca="false">IFERROR(IF(INDEX(Documents!$G$5:$G$657,MATCH(H845,Documents!$A$5:$A$657,0))="","",INDEX(Documents!$G$5:$G$657,MATCH(H845,Documents!$A$5:$A$657,0))),"")</f>
        <v>10.1016/j.ejmech.2021.113354</v>
      </c>
      <c r="L845" s="25" t="s">
        <v>1998</v>
      </c>
    </row>
    <row r="846" customFormat="false" ht="15" hidden="false" customHeight="false" outlineLevel="0" collapsed="false">
      <c r="A846" s="25" t="n">
        <v>23303570</v>
      </c>
      <c r="B846" s="25" t="s">
        <v>2112</v>
      </c>
      <c r="C846" s="25" t="s">
        <v>2113</v>
      </c>
      <c r="D846" s="26" t="n">
        <v>39.1</v>
      </c>
      <c r="E846" s="27" t="n">
        <v>7.40782324260413</v>
      </c>
      <c r="F846" s="27" t="n">
        <v>7.40893682063921</v>
      </c>
      <c r="G846" s="25" t="s">
        <v>1996</v>
      </c>
      <c r="H846" s="25" t="s">
        <v>1997</v>
      </c>
      <c r="I846" s="25" t="n">
        <f aca="false">IFERROR(IF(INDEX(Documents!$C$5:$C$657,MATCH(H846,Documents!$A$5:$A$657,0))="","",INDEX(Documents!$C$5:$C$657,MATCH(H846,Documents!$A$5:$A$657,0))),"")</f>
        <v>2021</v>
      </c>
      <c r="J846" s="25" t="str">
        <f aca="false">IFERROR(IF(INDEX(Documents!$D$5:$D$657,MATCH(H846,Documents!$A$5:$A$657,0))="","",INDEX(Documents!$D$5:$D$657,MATCH(H846,Documents!$A$5:$A$657,0))),"")</f>
        <v>Eur J Med Chem</v>
      </c>
      <c r="K846" s="25" t="str">
        <f aca="false">IFERROR(IF(INDEX(Documents!$G$5:$G$657,MATCH(H846,Documents!$A$5:$A$657,0))="","",INDEX(Documents!$G$5:$G$657,MATCH(H846,Documents!$A$5:$A$657,0))),"")</f>
        <v>10.1016/j.ejmech.2021.113354</v>
      </c>
      <c r="L846" s="25" t="s">
        <v>1998</v>
      </c>
    </row>
    <row r="847" customFormat="false" ht="15" hidden="false" customHeight="false" outlineLevel="0" collapsed="false">
      <c r="A847" s="25" t="n">
        <v>23303549</v>
      </c>
      <c r="B847" s="25" t="s">
        <v>2112</v>
      </c>
      <c r="C847" s="25" t="s">
        <v>2113</v>
      </c>
      <c r="D847" s="26" t="n">
        <v>38.9</v>
      </c>
      <c r="E847" s="27" t="n">
        <v>7.41005039867429</v>
      </c>
      <c r="F847" s="27" t="n">
        <v>7.40893682063921</v>
      </c>
      <c r="G847" s="25" t="s">
        <v>1996</v>
      </c>
      <c r="H847" s="25" t="s">
        <v>1997</v>
      </c>
      <c r="I847" s="25" t="n">
        <f aca="false">IFERROR(IF(INDEX(Documents!$C$5:$C$657,MATCH(H847,Documents!$A$5:$A$657,0))="","",INDEX(Documents!$C$5:$C$657,MATCH(H847,Documents!$A$5:$A$657,0))),"")</f>
        <v>2021</v>
      </c>
      <c r="J847" s="25" t="str">
        <f aca="false">IFERROR(IF(INDEX(Documents!$D$5:$D$657,MATCH(H847,Documents!$A$5:$A$657,0))="","",INDEX(Documents!$D$5:$D$657,MATCH(H847,Documents!$A$5:$A$657,0))),"")</f>
        <v>Eur J Med Chem</v>
      </c>
      <c r="K847" s="25" t="str">
        <f aca="false">IFERROR(IF(INDEX(Documents!$G$5:$G$657,MATCH(H847,Documents!$A$5:$A$657,0))="","",INDEX(Documents!$G$5:$G$657,MATCH(H847,Documents!$A$5:$A$657,0))),"")</f>
        <v>10.1016/j.ejmech.2021.113354</v>
      </c>
      <c r="L847" s="25" t="s">
        <v>1998</v>
      </c>
    </row>
    <row r="848" customFormat="false" ht="15" hidden="false" customHeight="false" outlineLevel="0" collapsed="false">
      <c r="A848" s="25" t="n">
        <v>23303543</v>
      </c>
      <c r="B848" s="25" t="s">
        <v>2114</v>
      </c>
      <c r="C848" s="25" t="s">
        <v>2115</v>
      </c>
      <c r="D848" s="26" t="n">
        <v>18.62</v>
      </c>
      <c r="E848" s="27" t="n">
        <v>7.73002032335468</v>
      </c>
      <c r="F848" s="27" t="n">
        <v>7.73025368956838</v>
      </c>
      <c r="G848" s="25" t="s">
        <v>1996</v>
      </c>
      <c r="H848" s="25" t="s">
        <v>1997</v>
      </c>
      <c r="I848" s="25" t="n">
        <f aca="false">IFERROR(IF(INDEX(Documents!$C$5:$C$657,MATCH(H848,Documents!$A$5:$A$657,0))="","",INDEX(Documents!$C$5:$C$657,MATCH(H848,Documents!$A$5:$A$657,0))),"")</f>
        <v>2021</v>
      </c>
      <c r="J848" s="25" t="str">
        <f aca="false">IFERROR(IF(INDEX(Documents!$D$5:$D$657,MATCH(H848,Documents!$A$5:$A$657,0))="","",INDEX(Documents!$D$5:$D$657,MATCH(H848,Documents!$A$5:$A$657,0))),"")</f>
        <v>Eur J Med Chem</v>
      </c>
      <c r="K848" s="25" t="str">
        <f aca="false">IFERROR(IF(INDEX(Documents!$G$5:$G$657,MATCH(H848,Documents!$A$5:$A$657,0))="","",INDEX(Documents!$G$5:$G$657,MATCH(H848,Documents!$A$5:$A$657,0))),"")</f>
        <v>10.1016/j.ejmech.2021.113354</v>
      </c>
      <c r="L848" s="25" t="s">
        <v>1998</v>
      </c>
    </row>
    <row r="849" customFormat="false" ht="15" hidden="false" customHeight="false" outlineLevel="0" collapsed="false">
      <c r="A849" s="25" t="n">
        <v>23303567</v>
      </c>
      <c r="B849" s="25" t="s">
        <v>2114</v>
      </c>
      <c r="C849" s="25" t="s">
        <v>2115</v>
      </c>
      <c r="D849" s="26" t="n">
        <v>18.6</v>
      </c>
      <c r="E849" s="27" t="n">
        <v>7.73048705578208</v>
      </c>
      <c r="F849" s="27" t="n">
        <v>7.73025368956838</v>
      </c>
      <c r="G849" s="25" t="s">
        <v>1996</v>
      </c>
      <c r="H849" s="25" t="s">
        <v>1997</v>
      </c>
      <c r="I849" s="25" t="n">
        <f aca="false">IFERROR(IF(INDEX(Documents!$C$5:$C$657,MATCH(H849,Documents!$A$5:$A$657,0))="","",INDEX(Documents!$C$5:$C$657,MATCH(H849,Documents!$A$5:$A$657,0))),"")</f>
        <v>2021</v>
      </c>
      <c r="J849" s="25" t="str">
        <f aca="false">IFERROR(IF(INDEX(Documents!$D$5:$D$657,MATCH(H849,Documents!$A$5:$A$657,0))="","",INDEX(Documents!$D$5:$D$657,MATCH(H849,Documents!$A$5:$A$657,0))),"")</f>
        <v>Eur J Med Chem</v>
      </c>
      <c r="K849" s="25" t="str">
        <f aca="false">IFERROR(IF(INDEX(Documents!$G$5:$G$657,MATCH(H849,Documents!$A$5:$A$657,0))="","",INDEX(Documents!$G$5:$G$657,MATCH(H849,Documents!$A$5:$A$657,0))),"")</f>
        <v>10.1016/j.ejmech.2021.113354</v>
      </c>
      <c r="L849" s="25" t="s">
        <v>1998</v>
      </c>
    </row>
    <row r="850" customFormat="false" ht="15" hidden="false" customHeight="false" outlineLevel="0" collapsed="false">
      <c r="A850" s="25" t="n">
        <v>23303573</v>
      </c>
      <c r="B850" s="25" t="s">
        <v>2116</v>
      </c>
      <c r="C850" s="25" t="s">
        <v>2117</v>
      </c>
      <c r="D850" s="26" t="n">
        <v>6.5</v>
      </c>
      <c r="E850" s="27" t="n">
        <v>8.18708664335714</v>
      </c>
      <c r="F850" s="27" t="n">
        <v>8.18852792847565</v>
      </c>
      <c r="G850" s="25" t="s">
        <v>1996</v>
      </c>
      <c r="H850" s="25" t="s">
        <v>1997</v>
      </c>
      <c r="I850" s="25" t="n">
        <f aca="false">IFERROR(IF(INDEX(Documents!$C$5:$C$657,MATCH(H850,Documents!$A$5:$A$657,0))="","",INDEX(Documents!$C$5:$C$657,MATCH(H850,Documents!$A$5:$A$657,0))),"")</f>
        <v>2021</v>
      </c>
      <c r="J850" s="25" t="str">
        <f aca="false">IFERROR(IF(INDEX(Documents!$D$5:$D$657,MATCH(H850,Documents!$A$5:$A$657,0))="","",INDEX(Documents!$D$5:$D$657,MATCH(H850,Documents!$A$5:$A$657,0))),"")</f>
        <v>Eur J Med Chem</v>
      </c>
      <c r="K850" s="25" t="str">
        <f aca="false">IFERROR(IF(INDEX(Documents!$G$5:$G$657,MATCH(H850,Documents!$A$5:$A$657,0))="","",INDEX(Documents!$G$5:$G$657,MATCH(H850,Documents!$A$5:$A$657,0))),"")</f>
        <v>10.1016/j.ejmech.2021.113354</v>
      </c>
      <c r="L850" s="25" t="s">
        <v>1998</v>
      </c>
    </row>
    <row r="851" customFormat="false" ht="15" hidden="false" customHeight="false" outlineLevel="0" collapsed="false">
      <c r="A851" s="25" t="n">
        <v>23303551</v>
      </c>
      <c r="B851" s="25" t="s">
        <v>2116</v>
      </c>
      <c r="C851" s="25" t="s">
        <v>2117</v>
      </c>
      <c r="D851" s="26" t="n">
        <v>6.457</v>
      </c>
      <c r="E851" s="27" t="n">
        <v>8.18996921359416</v>
      </c>
      <c r="F851" s="27" t="n">
        <v>8.18852792847565</v>
      </c>
      <c r="G851" s="25" t="s">
        <v>1996</v>
      </c>
      <c r="H851" s="25" t="s">
        <v>1997</v>
      </c>
      <c r="I851" s="25" t="n">
        <f aca="false">IFERROR(IF(INDEX(Documents!$C$5:$C$657,MATCH(H851,Documents!$A$5:$A$657,0))="","",INDEX(Documents!$C$5:$C$657,MATCH(H851,Documents!$A$5:$A$657,0))),"")</f>
        <v>2021</v>
      </c>
      <c r="J851" s="25" t="str">
        <f aca="false">IFERROR(IF(INDEX(Documents!$D$5:$D$657,MATCH(H851,Documents!$A$5:$A$657,0))="","",INDEX(Documents!$D$5:$D$657,MATCH(H851,Documents!$A$5:$A$657,0))),"")</f>
        <v>Eur J Med Chem</v>
      </c>
      <c r="K851" s="25" t="str">
        <f aca="false">IFERROR(IF(INDEX(Documents!$G$5:$G$657,MATCH(H851,Documents!$A$5:$A$657,0))="","",INDEX(Documents!$G$5:$G$657,MATCH(H851,Documents!$A$5:$A$657,0))),"")</f>
        <v>10.1016/j.ejmech.2021.113354</v>
      </c>
      <c r="L851" s="25" t="s">
        <v>1998</v>
      </c>
    </row>
    <row r="852" customFormat="false" ht="15" hidden="false" customHeight="false" outlineLevel="0" collapsed="false">
      <c r="A852" s="25" t="n">
        <v>12137479</v>
      </c>
      <c r="B852" s="25" t="s">
        <v>2118</v>
      </c>
      <c r="C852" s="25" t="s">
        <v>2119</v>
      </c>
      <c r="D852" s="26" t="n">
        <v>68</v>
      </c>
      <c r="E852" s="27" t="n">
        <v>7.16749108729376</v>
      </c>
      <c r="F852" s="27" t="n">
        <v>7.16749108729376</v>
      </c>
      <c r="G852" s="25" t="s">
        <v>2120</v>
      </c>
      <c r="H852" s="25" t="s">
        <v>2121</v>
      </c>
      <c r="I852" s="25" t="n">
        <f aca="false">IFERROR(IF(INDEX(Documents!$C$5:$C$657,MATCH(H852,Documents!$A$5:$A$657,0))="","",INDEX(Documents!$C$5:$C$657,MATCH(H852,Documents!$A$5:$A$657,0))),"")</f>
        <v>2012</v>
      </c>
      <c r="J852" s="25" t="str">
        <f aca="false">IFERROR(IF(INDEX(Documents!$D$5:$D$657,MATCH(H852,Documents!$A$5:$A$657,0))="","",INDEX(Documents!$D$5:$D$657,MATCH(H852,Documents!$A$5:$A$657,0))),"")</f>
        <v>J Med Chem</v>
      </c>
      <c r="K852" s="25" t="str">
        <f aca="false">IFERROR(IF(INDEX(Documents!$G$5:$G$657,MATCH(H852,Documents!$A$5:$A$657,0))="","",INDEX(Documents!$G$5:$G$657,MATCH(H852,Documents!$A$5:$A$657,0))),"")</f>
        <v>10.1021/jm3008213</v>
      </c>
      <c r="L852" s="25" t="s">
        <v>2122</v>
      </c>
    </row>
    <row r="853" customFormat="false" ht="15" hidden="false" customHeight="false" outlineLevel="0" collapsed="false">
      <c r="A853" s="25" t="n">
        <v>12137477</v>
      </c>
      <c r="B853" s="25" t="s">
        <v>2123</v>
      </c>
      <c r="C853" s="25" t="s">
        <v>2124</v>
      </c>
      <c r="D853" s="26" t="n">
        <v>49</v>
      </c>
      <c r="E853" s="27" t="n">
        <v>7.30980391997149</v>
      </c>
      <c r="F853" s="27" t="n">
        <v>7.30980391997149</v>
      </c>
      <c r="G853" s="25" t="s">
        <v>2120</v>
      </c>
      <c r="H853" s="25" t="s">
        <v>2121</v>
      </c>
      <c r="I853" s="25" t="n">
        <f aca="false">IFERROR(IF(INDEX(Documents!$C$5:$C$657,MATCH(H853,Documents!$A$5:$A$657,0))="","",INDEX(Documents!$C$5:$C$657,MATCH(H853,Documents!$A$5:$A$657,0))),"")</f>
        <v>2012</v>
      </c>
      <c r="J853" s="25" t="str">
        <f aca="false">IFERROR(IF(INDEX(Documents!$D$5:$D$657,MATCH(H853,Documents!$A$5:$A$657,0))="","",INDEX(Documents!$D$5:$D$657,MATCH(H853,Documents!$A$5:$A$657,0))),"")</f>
        <v>J Med Chem</v>
      </c>
      <c r="K853" s="25" t="str">
        <f aca="false">IFERROR(IF(INDEX(Documents!$G$5:$G$657,MATCH(H853,Documents!$A$5:$A$657,0))="","",INDEX(Documents!$G$5:$G$657,MATCH(H853,Documents!$A$5:$A$657,0))),"")</f>
        <v>10.1021/jm3008213</v>
      </c>
      <c r="L853" s="25" t="s">
        <v>2122</v>
      </c>
    </row>
    <row r="854" customFormat="false" ht="15" hidden="false" customHeight="false" outlineLevel="0" collapsed="false">
      <c r="A854" s="25" t="n">
        <v>23303534</v>
      </c>
      <c r="B854" s="25" t="s">
        <v>2125</v>
      </c>
      <c r="C854" s="25" t="s">
        <v>2126</v>
      </c>
      <c r="D854" s="26" t="n">
        <v>72.44</v>
      </c>
      <c r="E854" s="27" t="n">
        <v>7.14002155835798</v>
      </c>
      <c r="F854" s="27" t="n">
        <v>7.14164633398755</v>
      </c>
      <c r="G854" s="25" t="s">
        <v>1996</v>
      </c>
      <c r="H854" s="25" t="s">
        <v>1997</v>
      </c>
      <c r="I854" s="25" t="n">
        <f aca="false">IFERROR(IF(INDEX(Documents!$C$5:$C$657,MATCH(H854,Documents!$A$5:$A$657,0))="","",INDEX(Documents!$C$5:$C$657,MATCH(H854,Documents!$A$5:$A$657,0))),"")</f>
        <v>2021</v>
      </c>
      <c r="J854" s="25" t="str">
        <f aca="false">IFERROR(IF(INDEX(Documents!$D$5:$D$657,MATCH(H854,Documents!$A$5:$A$657,0))="","",INDEX(Documents!$D$5:$D$657,MATCH(H854,Documents!$A$5:$A$657,0))),"")</f>
        <v>Eur J Med Chem</v>
      </c>
      <c r="K854" s="25" t="str">
        <f aca="false">IFERROR(IF(INDEX(Documents!$G$5:$G$657,MATCH(H854,Documents!$A$5:$A$657,0))="","",INDEX(Documents!$G$5:$G$657,MATCH(H854,Documents!$A$5:$A$657,0))),"")</f>
        <v>10.1016/j.ejmech.2021.113354</v>
      </c>
      <c r="L854" s="25" t="s">
        <v>1998</v>
      </c>
    </row>
    <row r="855" customFormat="false" ht="15" hidden="false" customHeight="false" outlineLevel="0" collapsed="false">
      <c r="A855" s="25" t="n">
        <v>23303565</v>
      </c>
      <c r="B855" s="25" t="s">
        <v>2125</v>
      </c>
      <c r="C855" s="25" t="s">
        <v>2126</v>
      </c>
      <c r="D855" s="26" t="n">
        <v>71.9</v>
      </c>
      <c r="E855" s="27" t="n">
        <v>7.14327110961712</v>
      </c>
      <c r="F855" s="27" t="n">
        <v>7.14164633398755</v>
      </c>
      <c r="G855" s="25" t="s">
        <v>1996</v>
      </c>
      <c r="H855" s="25" t="s">
        <v>1997</v>
      </c>
      <c r="I855" s="25" t="n">
        <f aca="false">IFERROR(IF(INDEX(Documents!$C$5:$C$657,MATCH(H855,Documents!$A$5:$A$657,0))="","",INDEX(Documents!$C$5:$C$657,MATCH(H855,Documents!$A$5:$A$657,0))),"")</f>
        <v>2021</v>
      </c>
      <c r="J855" s="25" t="str">
        <f aca="false">IFERROR(IF(INDEX(Documents!$D$5:$D$657,MATCH(H855,Documents!$A$5:$A$657,0))="","",INDEX(Documents!$D$5:$D$657,MATCH(H855,Documents!$A$5:$A$657,0))),"")</f>
        <v>Eur J Med Chem</v>
      </c>
      <c r="K855" s="25" t="str">
        <f aca="false">IFERROR(IF(INDEX(Documents!$G$5:$G$657,MATCH(H855,Documents!$A$5:$A$657,0))="","",INDEX(Documents!$G$5:$G$657,MATCH(H855,Documents!$A$5:$A$657,0))),"")</f>
        <v>10.1016/j.ejmech.2021.113354</v>
      </c>
      <c r="L855" s="25" t="s">
        <v>1998</v>
      </c>
    </row>
    <row r="856" customFormat="false" ht="15" hidden="false" customHeight="false" outlineLevel="0" collapsed="false">
      <c r="A856" s="25" t="n">
        <v>23303572</v>
      </c>
      <c r="B856" s="25" t="s">
        <v>2127</v>
      </c>
      <c r="C856" s="25" t="s">
        <v>2128</v>
      </c>
      <c r="D856" s="26" t="n">
        <v>310</v>
      </c>
      <c r="E856" s="27" t="n">
        <v>6.50863830616573</v>
      </c>
      <c r="F856" s="27" t="n">
        <v>6.50931883213739</v>
      </c>
      <c r="G856" s="25" t="s">
        <v>1996</v>
      </c>
      <c r="H856" s="25" t="s">
        <v>1997</v>
      </c>
      <c r="I856" s="25" t="n">
        <f aca="false">IFERROR(IF(INDEX(Documents!$C$5:$C$657,MATCH(H856,Documents!$A$5:$A$657,0))="","",INDEX(Documents!$C$5:$C$657,MATCH(H856,Documents!$A$5:$A$657,0))),"")</f>
        <v>2021</v>
      </c>
      <c r="J856" s="25" t="str">
        <f aca="false">IFERROR(IF(INDEX(Documents!$D$5:$D$657,MATCH(H856,Documents!$A$5:$A$657,0))="","",INDEX(Documents!$D$5:$D$657,MATCH(H856,Documents!$A$5:$A$657,0))),"")</f>
        <v>Eur J Med Chem</v>
      </c>
      <c r="K856" s="25" t="str">
        <f aca="false">IFERROR(IF(INDEX(Documents!$G$5:$G$657,MATCH(H856,Documents!$A$5:$A$657,0))="","",INDEX(Documents!$G$5:$G$657,MATCH(H856,Documents!$A$5:$A$657,0))),"")</f>
        <v>10.1016/j.ejmech.2021.113354</v>
      </c>
      <c r="L856" s="25" t="s">
        <v>1998</v>
      </c>
    </row>
    <row r="857" customFormat="false" ht="15" hidden="false" customHeight="false" outlineLevel="0" collapsed="false">
      <c r="A857" s="25" t="n">
        <v>23303530</v>
      </c>
      <c r="B857" s="25" t="s">
        <v>2127</v>
      </c>
      <c r="C857" s="25" t="s">
        <v>2128</v>
      </c>
      <c r="D857" s="26" t="n">
        <v>309.03</v>
      </c>
      <c r="E857" s="27" t="n">
        <v>6.50999935810905</v>
      </c>
      <c r="F857" s="27" t="n">
        <v>6.50931883213739</v>
      </c>
      <c r="G857" s="25" t="s">
        <v>1996</v>
      </c>
      <c r="H857" s="25" t="s">
        <v>1997</v>
      </c>
      <c r="I857" s="25" t="n">
        <f aca="false">IFERROR(IF(INDEX(Documents!$C$5:$C$657,MATCH(H857,Documents!$A$5:$A$657,0))="","",INDEX(Documents!$C$5:$C$657,MATCH(H857,Documents!$A$5:$A$657,0))),"")</f>
        <v>2021</v>
      </c>
      <c r="J857" s="25" t="str">
        <f aca="false">IFERROR(IF(INDEX(Documents!$D$5:$D$657,MATCH(H857,Documents!$A$5:$A$657,0))="","",INDEX(Documents!$D$5:$D$657,MATCH(H857,Documents!$A$5:$A$657,0))),"")</f>
        <v>Eur J Med Chem</v>
      </c>
      <c r="K857" s="25" t="str">
        <f aca="false">IFERROR(IF(INDEX(Documents!$G$5:$G$657,MATCH(H857,Documents!$A$5:$A$657,0))="","",INDEX(Documents!$G$5:$G$657,MATCH(H857,Documents!$A$5:$A$657,0))),"")</f>
        <v>10.1016/j.ejmech.2021.113354</v>
      </c>
      <c r="L857" s="25" t="s">
        <v>1998</v>
      </c>
    </row>
    <row r="858" customFormat="false" ht="15" hidden="false" customHeight="false" outlineLevel="0" collapsed="false">
      <c r="A858" s="25" t="n">
        <v>12137480</v>
      </c>
      <c r="B858" s="25" t="s">
        <v>2129</v>
      </c>
      <c r="C858" s="25" t="s">
        <v>2130</v>
      </c>
      <c r="D858" s="26" t="n">
        <v>1140</v>
      </c>
      <c r="E858" s="27" t="n">
        <v>5.94309514866353</v>
      </c>
      <c r="F858" s="27" t="n">
        <v>5.94309514866353</v>
      </c>
      <c r="G858" s="25" t="s">
        <v>2120</v>
      </c>
      <c r="H858" s="25" t="s">
        <v>2121</v>
      </c>
      <c r="I858" s="25" t="n">
        <f aca="false">IFERROR(IF(INDEX(Documents!$C$5:$C$657,MATCH(H858,Documents!$A$5:$A$657,0))="","",INDEX(Documents!$C$5:$C$657,MATCH(H858,Documents!$A$5:$A$657,0))),"")</f>
        <v>2012</v>
      </c>
      <c r="J858" s="25" t="str">
        <f aca="false">IFERROR(IF(INDEX(Documents!$D$5:$D$657,MATCH(H858,Documents!$A$5:$A$657,0))="","",INDEX(Documents!$D$5:$D$657,MATCH(H858,Documents!$A$5:$A$657,0))),"")</f>
        <v>J Med Chem</v>
      </c>
      <c r="K858" s="25" t="str">
        <f aca="false">IFERROR(IF(INDEX(Documents!$G$5:$G$657,MATCH(H858,Documents!$A$5:$A$657,0))="","",INDEX(Documents!$G$5:$G$657,MATCH(H858,Documents!$A$5:$A$657,0))),"")</f>
        <v>10.1021/jm3008213</v>
      </c>
      <c r="L858" s="25" t="s">
        <v>2122</v>
      </c>
    </row>
    <row r="859" customFormat="false" ht="15" hidden="false" customHeight="false" outlineLevel="0" collapsed="false">
      <c r="A859" s="25" t="n">
        <v>3413832</v>
      </c>
      <c r="B859" s="25" t="s">
        <v>2131</v>
      </c>
      <c r="C859" s="25" t="s">
        <v>2132</v>
      </c>
      <c r="D859" s="26" t="n">
        <v>74</v>
      </c>
      <c r="E859" s="27" t="n">
        <v>7.13076828026902</v>
      </c>
      <c r="F859" s="27" t="n">
        <v>7.13076828026902</v>
      </c>
      <c r="G859" s="25" t="s">
        <v>2133</v>
      </c>
      <c r="H859" s="25" t="s">
        <v>2134</v>
      </c>
      <c r="I859" s="25" t="n">
        <f aca="false">IFERROR(IF(INDEX(Documents!$C$5:$C$657,MATCH(H859,Documents!$A$5:$A$657,0))="","",INDEX(Documents!$C$5:$C$657,MATCH(H859,Documents!$A$5:$A$657,0))),"")</f>
        <v>2010</v>
      </c>
      <c r="J859" s="25" t="str">
        <f aca="false">IFERROR(IF(INDEX(Documents!$D$5:$D$657,MATCH(H859,Documents!$A$5:$A$657,0))="","",INDEX(Documents!$D$5:$D$657,MATCH(H859,Documents!$A$5:$A$657,0))),"")</f>
        <v>Bioorg Med Chem Lett</v>
      </c>
      <c r="K859" s="25" t="str">
        <f aca="false">IFERROR(IF(INDEX(Documents!$G$5:$G$657,MATCH(H859,Documents!$A$5:$A$657,0))="","",INDEX(Documents!$G$5:$G$657,MATCH(H859,Documents!$A$5:$A$657,0))),"")</f>
        <v>10.1016/j.bmcl.2010.07.056</v>
      </c>
      <c r="L859" s="25" t="s">
        <v>2135</v>
      </c>
    </row>
    <row r="860" customFormat="false" ht="15" hidden="false" customHeight="false" outlineLevel="0" collapsed="false">
      <c r="A860" s="25" t="n">
        <v>3413836</v>
      </c>
      <c r="B860" s="25" t="s">
        <v>2136</v>
      </c>
      <c r="C860" s="25" t="s">
        <v>2137</v>
      </c>
      <c r="D860" s="26" t="n">
        <v>89</v>
      </c>
      <c r="E860" s="27" t="n">
        <v>7.05060999335509</v>
      </c>
      <c r="F860" s="27" t="n">
        <v>7.05060999335509</v>
      </c>
      <c r="G860" s="25" t="s">
        <v>2133</v>
      </c>
      <c r="H860" s="25" t="s">
        <v>2134</v>
      </c>
      <c r="I860" s="25" t="n">
        <f aca="false">IFERROR(IF(INDEX(Documents!$C$5:$C$657,MATCH(H860,Documents!$A$5:$A$657,0))="","",INDEX(Documents!$C$5:$C$657,MATCH(H860,Documents!$A$5:$A$657,0))),"")</f>
        <v>2010</v>
      </c>
      <c r="J860" s="25" t="str">
        <f aca="false">IFERROR(IF(INDEX(Documents!$D$5:$D$657,MATCH(H860,Documents!$A$5:$A$657,0))="","",INDEX(Documents!$D$5:$D$657,MATCH(H860,Documents!$A$5:$A$657,0))),"")</f>
        <v>Bioorg Med Chem Lett</v>
      </c>
      <c r="K860" s="25" t="str">
        <f aca="false">IFERROR(IF(INDEX(Documents!$G$5:$G$657,MATCH(H860,Documents!$A$5:$A$657,0))="","",INDEX(Documents!$G$5:$G$657,MATCH(H860,Documents!$A$5:$A$657,0))),"")</f>
        <v>10.1016/j.bmcl.2010.07.056</v>
      </c>
      <c r="L860" s="25" t="s">
        <v>2135</v>
      </c>
    </row>
    <row r="861" customFormat="false" ht="15" hidden="false" customHeight="false" outlineLevel="0" collapsed="false">
      <c r="A861" s="25" t="n">
        <v>3413876</v>
      </c>
      <c r="B861" s="25" t="s">
        <v>2138</v>
      </c>
      <c r="C861" s="25" t="s">
        <v>2139</v>
      </c>
      <c r="D861" s="26" t="n">
        <v>11.9</v>
      </c>
      <c r="E861" s="27" t="n">
        <v>7.92445303860747</v>
      </c>
      <c r="F861" s="27" t="n">
        <v>7.92445303860747</v>
      </c>
      <c r="G861" s="25" t="s">
        <v>2133</v>
      </c>
      <c r="H861" s="25" t="s">
        <v>2134</v>
      </c>
      <c r="I861" s="25" t="n">
        <f aca="false">IFERROR(IF(INDEX(Documents!$C$5:$C$657,MATCH(H861,Documents!$A$5:$A$657,0))="","",INDEX(Documents!$C$5:$C$657,MATCH(H861,Documents!$A$5:$A$657,0))),"")</f>
        <v>2010</v>
      </c>
      <c r="J861" s="25" t="str">
        <f aca="false">IFERROR(IF(INDEX(Documents!$D$5:$D$657,MATCH(H861,Documents!$A$5:$A$657,0))="","",INDEX(Documents!$D$5:$D$657,MATCH(H861,Documents!$A$5:$A$657,0))),"")</f>
        <v>Bioorg Med Chem Lett</v>
      </c>
      <c r="K861" s="25" t="str">
        <f aca="false">IFERROR(IF(INDEX(Documents!$G$5:$G$657,MATCH(H861,Documents!$A$5:$A$657,0))="","",INDEX(Documents!$G$5:$G$657,MATCH(H861,Documents!$A$5:$A$657,0))),"")</f>
        <v>10.1016/j.bmcl.2010.07.056</v>
      </c>
      <c r="L861" s="25" t="s">
        <v>2135</v>
      </c>
    </row>
    <row r="862" customFormat="false" ht="15" hidden="false" customHeight="false" outlineLevel="0" collapsed="false">
      <c r="A862" s="25" t="n">
        <v>3413828</v>
      </c>
      <c r="B862" s="25" t="s">
        <v>2140</v>
      </c>
      <c r="C862" s="25" t="s">
        <v>2141</v>
      </c>
      <c r="D862" s="26" t="n">
        <v>35.6</v>
      </c>
      <c r="E862" s="27" t="n">
        <v>7.44855000202713</v>
      </c>
      <c r="F862" s="27" t="n">
        <v>7.44855000202713</v>
      </c>
      <c r="G862" s="25" t="s">
        <v>2133</v>
      </c>
      <c r="H862" s="25" t="s">
        <v>2134</v>
      </c>
      <c r="I862" s="25" t="n">
        <f aca="false">IFERROR(IF(INDEX(Documents!$C$5:$C$657,MATCH(H862,Documents!$A$5:$A$657,0))="","",INDEX(Documents!$C$5:$C$657,MATCH(H862,Documents!$A$5:$A$657,0))),"")</f>
        <v>2010</v>
      </c>
      <c r="J862" s="25" t="str">
        <f aca="false">IFERROR(IF(INDEX(Documents!$D$5:$D$657,MATCH(H862,Documents!$A$5:$A$657,0))="","",INDEX(Documents!$D$5:$D$657,MATCH(H862,Documents!$A$5:$A$657,0))),"")</f>
        <v>Bioorg Med Chem Lett</v>
      </c>
      <c r="K862" s="25" t="str">
        <f aca="false">IFERROR(IF(INDEX(Documents!$G$5:$G$657,MATCH(H862,Documents!$A$5:$A$657,0))="","",INDEX(Documents!$G$5:$G$657,MATCH(H862,Documents!$A$5:$A$657,0))),"")</f>
        <v>10.1016/j.bmcl.2010.07.056</v>
      </c>
      <c r="L862" s="25" t="s">
        <v>2135</v>
      </c>
    </row>
    <row r="863" customFormat="false" ht="15" hidden="false" customHeight="false" outlineLevel="0" collapsed="false">
      <c r="A863" s="25" t="n">
        <v>3413840</v>
      </c>
      <c r="B863" s="25" t="s">
        <v>2142</v>
      </c>
      <c r="C863" s="25" t="s">
        <v>2143</v>
      </c>
      <c r="D863" s="26" t="n">
        <v>62</v>
      </c>
      <c r="E863" s="27" t="n">
        <v>7.20760831050175</v>
      </c>
      <c r="F863" s="27" t="n">
        <v>7.20760831050175</v>
      </c>
      <c r="G863" s="25" t="s">
        <v>2133</v>
      </c>
      <c r="H863" s="25" t="s">
        <v>2134</v>
      </c>
      <c r="I863" s="25" t="n">
        <f aca="false">IFERROR(IF(INDEX(Documents!$C$5:$C$657,MATCH(H863,Documents!$A$5:$A$657,0))="","",INDEX(Documents!$C$5:$C$657,MATCH(H863,Documents!$A$5:$A$657,0))),"")</f>
        <v>2010</v>
      </c>
      <c r="J863" s="25" t="str">
        <f aca="false">IFERROR(IF(INDEX(Documents!$D$5:$D$657,MATCH(H863,Documents!$A$5:$A$657,0))="","",INDEX(Documents!$D$5:$D$657,MATCH(H863,Documents!$A$5:$A$657,0))),"")</f>
        <v>Bioorg Med Chem Lett</v>
      </c>
      <c r="K863" s="25" t="str">
        <f aca="false">IFERROR(IF(INDEX(Documents!$G$5:$G$657,MATCH(H863,Documents!$A$5:$A$657,0))="","",INDEX(Documents!$G$5:$G$657,MATCH(H863,Documents!$A$5:$A$657,0))),"")</f>
        <v>10.1016/j.bmcl.2010.07.056</v>
      </c>
      <c r="L863" s="25" t="s">
        <v>2135</v>
      </c>
    </row>
    <row r="864" customFormat="false" ht="15" hidden="false" customHeight="false" outlineLevel="0" collapsed="false">
      <c r="A864" s="25" t="n">
        <v>3413880</v>
      </c>
      <c r="B864" s="25" t="s">
        <v>2144</v>
      </c>
      <c r="C864" s="25" t="s">
        <v>2145</v>
      </c>
      <c r="D864" s="26" t="n">
        <v>3.4</v>
      </c>
      <c r="E864" s="27" t="n">
        <v>8.46852108295775</v>
      </c>
      <c r="F864" s="27" t="n">
        <v>8.46852108295775</v>
      </c>
      <c r="G864" s="25" t="s">
        <v>2133</v>
      </c>
      <c r="H864" s="25" t="s">
        <v>2134</v>
      </c>
      <c r="I864" s="25" t="n">
        <f aca="false">IFERROR(IF(INDEX(Documents!$C$5:$C$657,MATCH(H864,Documents!$A$5:$A$657,0))="","",INDEX(Documents!$C$5:$C$657,MATCH(H864,Documents!$A$5:$A$657,0))),"")</f>
        <v>2010</v>
      </c>
      <c r="J864" s="25" t="str">
        <f aca="false">IFERROR(IF(INDEX(Documents!$D$5:$D$657,MATCH(H864,Documents!$A$5:$A$657,0))="","",INDEX(Documents!$D$5:$D$657,MATCH(H864,Documents!$A$5:$A$657,0))),"")</f>
        <v>Bioorg Med Chem Lett</v>
      </c>
      <c r="K864" s="25" t="str">
        <f aca="false">IFERROR(IF(INDEX(Documents!$G$5:$G$657,MATCH(H864,Documents!$A$5:$A$657,0))="","",INDEX(Documents!$G$5:$G$657,MATCH(H864,Documents!$A$5:$A$657,0))),"")</f>
        <v>10.1016/j.bmcl.2010.07.056</v>
      </c>
      <c r="L864" s="25" t="s">
        <v>2135</v>
      </c>
    </row>
    <row r="865" customFormat="false" ht="15" hidden="false" customHeight="false" outlineLevel="0" collapsed="false">
      <c r="A865" s="25" t="n">
        <v>12146258</v>
      </c>
      <c r="B865" s="25" t="s">
        <v>2146</v>
      </c>
      <c r="C865" s="25" t="s">
        <v>2147</v>
      </c>
      <c r="D865" s="26" t="n">
        <v>25</v>
      </c>
      <c r="E865" s="27" t="n">
        <v>7.60205999132796</v>
      </c>
      <c r="F865" s="27" t="n">
        <v>7.60205999132796</v>
      </c>
      <c r="G865" s="25" t="s">
        <v>1126</v>
      </c>
      <c r="H865" s="25" t="s">
        <v>1127</v>
      </c>
      <c r="I865" s="25" t="n">
        <f aca="false">IFERROR(IF(INDEX(Documents!$C$5:$C$657,MATCH(H865,Documents!$A$5:$A$657,0))="","",INDEX(Documents!$C$5:$C$657,MATCH(H865,Documents!$A$5:$A$657,0))),"")</f>
        <v>2012</v>
      </c>
      <c r="J865" s="25" t="str">
        <f aca="false">IFERROR(IF(INDEX(Documents!$D$5:$D$657,MATCH(H865,Documents!$A$5:$A$657,0))="","",INDEX(Documents!$D$5:$D$657,MATCH(H865,Documents!$A$5:$A$657,0))),"")</f>
        <v>J Med Chem</v>
      </c>
      <c r="K865" s="25" t="str">
        <f aca="false">IFERROR(IF(INDEX(Documents!$G$5:$G$657,MATCH(H865,Documents!$A$5:$A$657,0))="","",INDEX(Documents!$G$5:$G$657,MATCH(H865,Documents!$A$5:$A$657,0))),"")</f>
        <v>10.1021/jm301212u</v>
      </c>
      <c r="L865" s="25" t="s">
        <v>1128</v>
      </c>
    </row>
    <row r="866" customFormat="false" ht="15" hidden="false" customHeight="false" outlineLevel="0" collapsed="false">
      <c r="A866" s="25" t="n">
        <v>12146265</v>
      </c>
      <c r="B866" s="25" t="s">
        <v>2146</v>
      </c>
      <c r="C866" s="25" t="s">
        <v>2147</v>
      </c>
      <c r="D866" s="26" t="n">
        <v>25</v>
      </c>
      <c r="E866" s="27" t="n">
        <v>7.60205999132796</v>
      </c>
      <c r="F866" s="27" t="n">
        <v>7.60205999132796</v>
      </c>
      <c r="G866" s="25" t="s">
        <v>1126</v>
      </c>
      <c r="H866" s="25" t="s">
        <v>1127</v>
      </c>
      <c r="I866" s="25" t="n">
        <f aca="false">IFERROR(IF(INDEX(Documents!$C$5:$C$657,MATCH(H866,Documents!$A$5:$A$657,0))="","",INDEX(Documents!$C$5:$C$657,MATCH(H866,Documents!$A$5:$A$657,0))),"")</f>
        <v>2012</v>
      </c>
      <c r="J866" s="25" t="str">
        <f aca="false">IFERROR(IF(INDEX(Documents!$D$5:$D$657,MATCH(H866,Documents!$A$5:$A$657,0))="","",INDEX(Documents!$D$5:$D$657,MATCH(H866,Documents!$A$5:$A$657,0))),"")</f>
        <v>J Med Chem</v>
      </c>
      <c r="K866" s="25" t="str">
        <f aca="false">IFERROR(IF(INDEX(Documents!$G$5:$G$657,MATCH(H866,Documents!$A$5:$A$657,0))="","",INDEX(Documents!$G$5:$G$657,MATCH(H866,Documents!$A$5:$A$657,0))),"")</f>
        <v>10.1021/jm301212u</v>
      </c>
      <c r="L866" s="25" t="s">
        <v>1128</v>
      </c>
    </row>
    <row r="867" customFormat="false" ht="15" hidden="false" customHeight="false" outlineLevel="0" collapsed="false">
      <c r="A867" s="25" t="n">
        <v>3564070</v>
      </c>
      <c r="B867" s="25" t="s">
        <v>2148</v>
      </c>
      <c r="C867" s="25" t="s">
        <v>2149</v>
      </c>
      <c r="D867" s="26" t="n">
        <v>28</v>
      </c>
      <c r="E867" s="27" t="n">
        <v>7.55284196865778</v>
      </c>
      <c r="F867" s="27" t="n">
        <v>7.55284196865778</v>
      </c>
      <c r="G867" s="25" t="s">
        <v>1935</v>
      </c>
      <c r="H867" s="25" t="s">
        <v>1936</v>
      </c>
      <c r="I867" s="25" t="n">
        <f aca="false">IFERROR(IF(INDEX(Documents!$C$5:$C$657,MATCH(H867,Documents!$A$5:$A$657,0))="","",INDEX(Documents!$C$5:$C$657,MATCH(H867,Documents!$A$5:$A$657,0))),"")</f>
        <v>2010</v>
      </c>
      <c r="J867" s="25" t="str">
        <f aca="false">IFERROR(IF(INDEX(Documents!$D$5:$D$657,MATCH(H867,Documents!$A$5:$A$657,0))="","",INDEX(Documents!$D$5:$D$657,MATCH(H867,Documents!$A$5:$A$657,0))),"")</f>
        <v>Bioorg Med Chem</v>
      </c>
      <c r="K867" s="25" t="str">
        <f aca="false">IFERROR(IF(INDEX(Documents!$G$5:$G$657,MATCH(H867,Documents!$A$5:$A$657,0))="","",INDEX(Documents!$G$5:$G$657,MATCH(H867,Documents!$A$5:$A$657,0))),"")</f>
        <v>10.1016/j.bmc.2010.09.061</v>
      </c>
      <c r="L867" s="25" t="s">
        <v>1937</v>
      </c>
    </row>
    <row r="868" customFormat="false" ht="15" hidden="false" customHeight="false" outlineLevel="0" collapsed="false">
      <c r="A868" s="25" t="n">
        <v>2251154</v>
      </c>
      <c r="B868" s="25" t="s">
        <v>2150</v>
      </c>
      <c r="C868" s="25" t="s">
        <v>2151</v>
      </c>
      <c r="D868" s="26" t="n">
        <v>18</v>
      </c>
      <c r="E868" s="27" t="n">
        <v>7.74472749489669</v>
      </c>
      <c r="F868" s="27" t="n">
        <v>7.74472749489669</v>
      </c>
      <c r="G868" s="25" t="s">
        <v>2152</v>
      </c>
      <c r="H868" s="25" t="s">
        <v>2153</v>
      </c>
      <c r="I868" s="25" t="n">
        <f aca="false">IFERROR(IF(INDEX(Documents!$C$5:$C$657,MATCH(H868,Documents!$A$5:$A$657,0))="","",INDEX(Documents!$C$5:$C$657,MATCH(H868,Documents!$A$5:$A$657,0))),"")</f>
        <v>2009</v>
      </c>
      <c r="J868" s="25" t="str">
        <f aca="false">IFERROR(IF(INDEX(Documents!$D$5:$D$657,MATCH(H868,Documents!$A$5:$A$657,0))="","",INDEX(Documents!$D$5:$D$657,MATCH(H868,Documents!$A$5:$A$657,0))),"")</f>
        <v>J Med Chem</v>
      </c>
      <c r="K868" s="25" t="str">
        <f aca="false">IFERROR(IF(INDEX(Documents!$G$5:$G$657,MATCH(H868,Documents!$A$5:$A$657,0))="","",INDEX(Documents!$G$5:$G$657,MATCH(H868,Documents!$A$5:$A$657,0))),"")</f>
        <v>10.1021/jm801044g</v>
      </c>
      <c r="L868" s="25" t="s">
        <v>2020</v>
      </c>
    </row>
    <row r="869" customFormat="false" ht="15" hidden="false" customHeight="false" outlineLevel="0" collapsed="false">
      <c r="A869" s="25" t="n">
        <v>2130224</v>
      </c>
      <c r="B869" s="25" t="s">
        <v>2154</v>
      </c>
      <c r="C869" s="25" t="s">
        <v>2155</v>
      </c>
      <c r="D869" s="26" t="n">
        <v>215</v>
      </c>
      <c r="E869" s="27" t="n">
        <v>6.66756154008439</v>
      </c>
      <c r="F869" s="27" t="n">
        <v>6.66756154008439</v>
      </c>
      <c r="G869" s="25" t="s">
        <v>1818</v>
      </c>
      <c r="H869" s="25" t="s">
        <v>1819</v>
      </c>
      <c r="I869" s="25" t="n">
        <f aca="false">IFERROR(IF(INDEX(Documents!$C$5:$C$657,MATCH(H869,Documents!$A$5:$A$657,0))="","",INDEX(Documents!$C$5:$C$657,MATCH(H869,Documents!$A$5:$A$657,0))),"")</f>
        <v>2008</v>
      </c>
      <c r="J869" s="25" t="str">
        <f aca="false">IFERROR(IF(INDEX(Documents!$D$5:$D$657,MATCH(H869,Documents!$A$5:$A$657,0))="","",INDEX(Documents!$D$5:$D$657,MATCH(H869,Documents!$A$5:$A$657,0))),"")</f>
        <v>Bioorg Med Chem</v>
      </c>
      <c r="K869" s="25" t="str">
        <f aca="false">IFERROR(IF(INDEX(Documents!$G$5:$G$657,MATCH(H869,Documents!$A$5:$A$657,0))="","",INDEX(Documents!$G$5:$G$657,MATCH(H869,Documents!$A$5:$A$657,0))),"")</f>
        <v>10.1016/j.bmc.2007.09.033</v>
      </c>
      <c r="L869" s="25" t="s">
        <v>709</v>
      </c>
    </row>
    <row r="870" customFormat="false" ht="15" hidden="false" customHeight="false" outlineLevel="0" collapsed="false">
      <c r="A870" s="25" t="n">
        <v>2130215</v>
      </c>
      <c r="B870" s="25" t="s">
        <v>2156</v>
      </c>
      <c r="C870" s="25" t="s">
        <v>2157</v>
      </c>
      <c r="D870" s="26" t="n">
        <v>221</v>
      </c>
      <c r="E870" s="27" t="n">
        <v>6.65560772631489</v>
      </c>
      <c r="F870" s="27" t="n">
        <v>6.65560772631489</v>
      </c>
      <c r="G870" s="25" t="s">
        <v>1818</v>
      </c>
      <c r="H870" s="25" t="s">
        <v>1819</v>
      </c>
      <c r="I870" s="25" t="n">
        <f aca="false">IFERROR(IF(INDEX(Documents!$C$5:$C$657,MATCH(H870,Documents!$A$5:$A$657,0))="","",INDEX(Documents!$C$5:$C$657,MATCH(H870,Documents!$A$5:$A$657,0))),"")</f>
        <v>2008</v>
      </c>
      <c r="J870" s="25" t="str">
        <f aca="false">IFERROR(IF(INDEX(Documents!$D$5:$D$657,MATCH(H870,Documents!$A$5:$A$657,0))="","",INDEX(Documents!$D$5:$D$657,MATCH(H870,Documents!$A$5:$A$657,0))),"")</f>
        <v>Bioorg Med Chem</v>
      </c>
      <c r="K870" s="25" t="str">
        <f aca="false">IFERROR(IF(INDEX(Documents!$G$5:$G$657,MATCH(H870,Documents!$A$5:$A$657,0))="","",INDEX(Documents!$G$5:$G$657,MATCH(H870,Documents!$A$5:$A$657,0))),"")</f>
        <v>10.1016/j.bmc.2007.09.033</v>
      </c>
      <c r="L870" s="25" t="s">
        <v>709</v>
      </c>
    </row>
    <row r="871" customFormat="false" ht="15" hidden="false" customHeight="false" outlineLevel="0" collapsed="false">
      <c r="A871" s="25" t="n">
        <v>3408608</v>
      </c>
      <c r="B871" s="25" t="s">
        <v>2158</v>
      </c>
      <c r="C871" s="25" t="s">
        <v>2159</v>
      </c>
      <c r="D871" s="26" t="n">
        <v>553</v>
      </c>
      <c r="E871" s="27" t="n">
        <v>6.2572748686953</v>
      </c>
      <c r="F871" s="27" t="n">
        <v>6.2572748686953</v>
      </c>
      <c r="G871" s="25" t="s">
        <v>2160</v>
      </c>
      <c r="H871" s="25" t="s">
        <v>2161</v>
      </c>
      <c r="I871" s="25" t="n">
        <f aca="false">IFERROR(IF(INDEX(Documents!$C$5:$C$657,MATCH(H871,Documents!$A$5:$A$657,0))="","",INDEX(Documents!$C$5:$C$657,MATCH(H871,Documents!$A$5:$A$657,0))),"")</f>
        <v>2010</v>
      </c>
      <c r="J871" s="25" t="str">
        <f aca="false">IFERROR(IF(INDEX(Documents!$D$5:$D$657,MATCH(H871,Documents!$A$5:$A$657,0))="","",INDEX(Documents!$D$5:$D$657,MATCH(H871,Documents!$A$5:$A$657,0))),"")</f>
        <v>Bioorg Med Chem</v>
      </c>
      <c r="K871" s="25" t="str">
        <f aca="false">IFERROR(IF(INDEX(Documents!$G$5:$G$657,MATCH(H871,Documents!$A$5:$A$657,0))="","",INDEX(Documents!$G$5:$G$657,MATCH(H871,Documents!$A$5:$A$657,0))),"")</f>
        <v>10.1016/j.bmc.2010.06.054</v>
      </c>
      <c r="L871" s="25" t="s">
        <v>2162</v>
      </c>
    </row>
    <row r="872" customFormat="false" ht="15" hidden="false" customHeight="false" outlineLevel="0" collapsed="false">
      <c r="A872" s="25" t="n">
        <v>2130232</v>
      </c>
      <c r="B872" s="25" t="s">
        <v>2163</v>
      </c>
      <c r="C872" s="25" t="s">
        <v>2164</v>
      </c>
      <c r="D872" s="26" t="n">
        <v>460</v>
      </c>
      <c r="E872" s="27" t="n">
        <v>6.33724216831843</v>
      </c>
      <c r="F872" s="27" t="n">
        <v>6.33724216831843</v>
      </c>
      <c r="G872" s="25" t="s">
        <v>1818</v>
      </c>
      <c r="H872" s="25" t="s">
        <v>1819</v>
      </c>
      <c r="I872" s="25" t="n">
        <f aca="false">IFERROR(IF(INDEX(Documents!$C$5:$C$657,MATCH(H872,Documents!$A$5:$A$657,0))="","",INDEX(Documents!$C$5:$C$657,MATCH(H872,Documents!$A$5:$A$657,0))),"")</f>
        <v>2008</v>
      </c>
      <c r="J872" s="25" t="str">
        <f aca="false">IFERROR(IF(INDEX(Documents!$D$5:$D$657,MATCH(H872,Documents!$A$5:$A$657,0))="","",INDEX(Documents!$D$5:$D$657,MATCH(H872,Documents!$A$5:$A$657,0))),"")</f>
        <v>Bioorg Med Chem</v>
      </c>
      <c r="K872" s="25" t="str">
        <f aca="false">IFERROR(IF(INDEX(Documents!$G$5:$G$657,MATCH(H872,Documents!$A$5:$A$657,0))="","",INDEX(Documents!$G$5:$G$657,MATCH(H872,Documents!$A$5:$A$657,0))),"")</f>
        <v>10.1016/j.bmc.2007.09.033</v>
      </c>
      <c r="L872" s="25" t="s">
        <v>709</v>
      </c>
    </row>
    <row r="873" customFormat="false" ht="15" hidden="false" customHeight="false" outlineLevel="0" collapsed="false">
      <c r="A873" s="25" t="n">
        <v>3408606</v>
      </c>
      <c r="B873" s="25" t="s">
        <v>2165</v>
      </c>
      <c r="C873" s="25" t="s">
        <v>2166</v>
      </c>
      <c r="D873" s="26" t="n">
        <v>693</v>
      </c>
      <c r="E873" s="27" t="n">
        <v>6.15926676538819</v>
      </c>
      <c r="F873" s="27" t="n">
        <v>6.15926676538819</v>
      </c>
      <c r="G873" s="25" t="s">
        <v>2160</v>
      </c>
      <c r="H873" s="25" t="s">
        <v>2161</v>
      </c>
      <c r="I873" s="25" t="n">
        <f aca="false">IFERROR(IF(INDEX(Documents!$C$5:$C$657,MATCH(H873,Documents!$A$5:$A$657,0))="","",INDEX(Documents!$C$5:$C$657,MATCH(H873,Documents!$A$5:$A$657,0))),"")</f>
        <v>2010</v>
      </c>
      <c r="J873" s="25" t="str">
        <f aca="false">IFERROR(IF(INDEX(Documents!$D$5:$D$657,MATCH(H873,Documents!$A$5:$A$657,0))="","",INDEX(Documents!$D$5:$D$657,MATCH(H873,Documents!$A$5:$A$657,0))),"")</f>
        <v>Bioorg Med Chem</v>
      </c>
      <c r="K873" s="25" t="str">
        <f aca="false">IFERROR(IF(INDEX(Documents!$G$5:$G$657,MATCH(H873,Documents!$A$5:$A$657,0))="","",INDEX(Documents!$G$5:$G$657,MATCH(H873,Documents!$A$5:$A$657,0))),"")</f>
        <v>10.1016/j.bmc.2010.06.054</v>
      </c>
      <c r="L873" s="25" t="s">
        <v>2162</v>
      </c>
    </row>
    <row r="874" customFormat="false" ht="15" hidden="false" customHeight="false" outlineLevel="0" collapsed="false">
      <c r="A874" s="25" t="n">
        <v>12146216</v>
      </c>
      <c r="B874" s="25" t="s">
        <v>2167</v>
      </c>
      <c r="C874" s="25" t="s">
        <v>2168</v>
      </c>
      <c r="D874" s="26" t="n">
        <v>18200</v>
      </c>
      <c r="E874" s="27" t="n">
        <v>4.73992861201493</v>
      </c>
      <c r="F874" s="27" t="n">
        <v>4.7399288506384</v>
      </c>
      <c r="G874" s="25" t="s">
        <v>1126</v>
      </c>
      <c r="H874" s="25" t="s">
        <v>1127</v>
      </c>
      <c r="I874" s="25" t="n">
        <f aca="false">IFERROR(IF(INDEX(Documents!$C$5:$C$657,MATCH(H874,Documents!$A$5:$A$657,0))="","",INDEX(Documents!$C$5:$C$657,MATCH(H874,Documents!$A$5:$A$657,0))),"")</f>
        <v>2012</v>
      </c>
      <c r="J874" s="25" t="str">
        <f aca="false">IFERROR(IF(INDEX(Documents!$D$5:$D$657,MATCH(H874,Documents!$A$5:$A$657,0))="","",INDEX(Documents!$D$5:$D$657,MATCH(H874,Documents!$A$5:$A$657,0))),"")</f>
        <v>J Med Chem</v>
      </c>
      <c r="K874" s="25" t="str">
        <f aca="false">IFERROR(IF(INDEX(Documents!$G$5:$G$657,MATCH(H874,Documents!$A$5:$A$657,0))="","",INDEX(Documents!$G$5:$G$657,MATCH(H874,Documents!$A$5:$A$657,0))),"")</f>
        <v>10.1021/jm301212u</v>
      </c>
      <c r="L874" s="25" t="s">
        <v>1128</v>
      </c>
    </row>
    <row r="875" customFormat="false" ht="15" hidden="false" customHeight="false" outlineLevel="0" collapsed="false">
      <c r="A875" s="25" t="n">
        <v>12146302</v>
      </c>
      <c r="B875" s="25" t="s">
        <v>2167</v>
      </c>
      <c r="C875" s="25" t="s">
        <v>2168</v>
      </c>
      <c r="D875" s="26" t="n">
        <v>18199.98</v>
      </c>
      <c r="E875" s="27" t="n">
        <v>4.73992908926187</v>
      </c>
      <c r="F875" s="27" t="n">
        <v>4.7399288506384</v>
      </c>
      <c r="G875" s="25" t="s">
        <v>1126</v>
      </c>
      <c r="H875" s="25" t="s">
        <v>1127</v>
      </c>
      <c r="I875" s="25" t="n">
        <f aca="false">IFERROR(IF(INDEX(Documents!$C$5:$C$657,MATCH(H875,Documents!$A$5:$A$657,0))="","",INDEX(Documents!$C$5:$C$657,MATCH(H875,Documents!$A$5:$A$657,0))),"")</f>
        <v>2012</v>
      </c>
      <c r="J875" s="25" t="str">
        <f aca="false">IFERROR(IF(INDEX(Documents!$D$5:$D$657,MATCH(H875,Documents!$A$5:$A$657,0))="","",INDEX(Documents!$D$5:$D$657,MATCH(H875,Documents!$A$5:$A$657,0))),"")</f>
        <v>J Med Chem</v>
      </c>
      <c r="K875" s="25" t="str">
        <f aca="false">IFERROR(IF(INDEX(Documents!$G$5:$G$657,MATCH(H875,Documents!$A$5:$A$657,0))="","",INDEX(Documents!$G$5:$G$657,MATCH(H875,Documents!$A$5:$A$657,0))),"")</f>
        <v>10.1021/jm301212u</v>
      </c>
      <c r="L875" s="25" t="s">
        <v>1128</v>
      </c>
    </row>
    <row r="876" customFormat="false" ht="15" hidden="false" customHeight="false" outlineLevel="0" collapsed="false">
      <c r="A876" s="25" t="n">
        <v>28220321</v>
      </c>
      <c r="B876" s="25" t="s">
        <v>2169</v>
      </c>
      <c r="C876" s="25" t="s">
        <v>2170</v>
      </c>
      <c r="D876" s="26" t="n">
        <v>55.5</v>
      </c>
      <c r="E876" s="27" t="n">
        <v>7.25570701687732</v>
      </c>
      <c r="F876" s="27" t="n">
        <v>7.25570701687732</v>
      </c>
      <c r="G876" s="25" t="s">
        <v>679</v>
      </c>
      <c r="H876" s="25" t="s">
        <v>680</v>
      </c>
      <c r="I876" s="25" t="n">
        <f aca="false">IFERROR(IF(INDEX(Documents!$C$5:$C$657,MATCH(H876,Documents!$A$5:$A$657,0))="","",INDEX(Documents!$C$5:$C$657,MATCH(H876,Documents!$A$5:$A$657,0))),"")</f>
        <v>2021</v>
      </c>
      <c r="J876" s="25" t="str">
        <f aca="false">IFERROR(IF(INDEX(Documents!$D$5:$D$657,MATCH(H876,Documents!$A$5:$A$657,0))="","",INDEX(Documents!$D$5:$D$657,MATCH(H876,Documents!$A$5:$A$657,0))),"")</f>
        <v/>
      </c>
      <c r="K876" s="25" t="str">
        <f aca="false">IFERROR(IF(INDEX(Documents!$G$5:$G$657,MATCH(H876,Documents!$A$5:$A$657,0))="","",INDEX(Documents!$G$5:$G$657,MATCH(H876,Documents!$A$5:$A$657,0))),"")</f>
        <v/>
      </c>
      <c r="L876" s="25" t="s">
        <v>681</v>
      </c>
    </row>
    <row r="877" customFormat="false" ht="15" hidden="false" customHeight="false" outlineLevel="0" collapsed="false">
      <c r="A877" s="25" t="n">
        <v>18693490</v>
      </c>
      <c r="B877" s="25" t="s">
        <v>2171</v>
      </c>
      <c r="C877" s="25" t="s">
        <v>2172</v>
      </c>
      <c r="D877" s="26" t="n">
        <v>2034</v>
      </c>
      <c r="E877" s="27" t="n">
        <v>5.69164905141327</v>
      </c>
      <c r="F877" s="27" t="n">
        <v>5.69164905141327</v>
      </c>
      <c r="G877" s="25" t="s">
        <v>471</v>
      </c>
      <c r="H877" s="25" t="s">
        <v>472</v>
      </c>
      <c r="I877" s="25" t="n">
        <f aca="false">IFERROR(IF(INDEX(Documents!$C$5:$C$657,MATCH(H877,Documents!$A$5:$A$657,0))="","",INDEX(Documents!$C$5:$C$657,MATCH(H877,Documents!$A$5:$A$657,0))),"")</f>
        <v>2018</v>
      </c>
      <c r="J877" s="25" t="str">
        <f aca="false">IFERROR(IF(INDEX(Documents!$D$5:$D$657,MATCH(H877,Documents!$A$5:$A$657,0))="","",INDEX(Documents!$D$5:$D$657,MATCH(H877,Documents!$A$5:$A$657,0))),"")</f>
        <v>Eur J Med Chem</v>
      </c>
      <c r="K877" s="25" t="str">
        <f aca="false">IFERROR(IF(INDEX(Documents!$G$5:$G$657,MATCH(H877,Documents!$A$5:$A$657,0))="","",INDEX(Documents!$G$5:$G$657,MATCH(H877,Documents!$A$5:$A$657,0))),"")</f>
        <v>10.1016/j.ejmech.2017.11.043</v>
      </c>
      <c r="L877" s="25" t="s">
        <v>473</v>
      </c>
    </row>
    <row r="878" customFormat="false" ht="15" hidden="false" customHeight="false" outlineLevel="0" collapsed="false">
      <c r="A878" s="25" t="n">
        <v>3413820</v>
      </c>
      <c r="B878" s="25" t="s">
        <v>2173</v>
      </c>
      <c r="C878" s="25" t="s">
        <v>2174</v>
      </c>
      <c r="D878" s="26" t="n">
        <v>17.6</v>
      </c>
      <c r="E878" s="27" t="n">
        <v>7.75448733218585</v>
      </c>
      <c r="F878" s="27" t="n">
        <v>7.75448733218585</v>
      </c>
      <c r="G878" s="25" t="s">
        <v>2133</v>
      </c>
      <c r="H878" s="25" t="s">
        <v>2134</v>
      </c>
      <c r="I878" s="25" t="n">
        <f aca="false">IFERROR(IF(INDEX(Documents!$C$5:$C$657,MATCH(H878,Documents!$A$5:$A$657,0))="","",INDEX(Documents!$C$5:$C$657,MATCH(H878,Documents!$A$5:$A$657,0))),"")</f>
        <v>2010</v>
      </c>
      <c r="J878" s="25" t="str">
        <f aca="false">IFERROR(IF(INDEX(Documents!$D$5:$D$657,MATCH(H878,Documents!$A$5:$A$657,0))="","",INDEX(Documents!$D$5:$D$657,MATCH(H878,Documents!$A$5:$A$657,0))),"")</f>
        <v>Bioorg Med Chem Lett</v>
      </c>
      <c r="K878" s="25" t="str">
        <f aca="false">IFERROR(IF(INDEX(Documents!$G$5:$G$657,MATCH(H878,Documents!$A$5:$A$657,0))="","",INDEX(Documents!$G$5:$G$657,MATCH(H878,Documents!$A$5:$A$657,0))),"")</f>
        <v>10.1016/j.bmcl.2010.07.056</v>
      </c>
      <c r="L878" s="25" t="s">
        <v>2135</v>
      </c>
    </row>
    <row r="879" customFormat="false" ht="15" hidden="false" customHeight="false" outlineLevel="0" collapsed="false">
      <c r="A879" s="25" t="n">
        <v>3413814</v>
      </c>
      <c r="B879" s="25" t="s">
        <v>2175</v>
      </c>
      <c r="C879" s="25" t="s">
        <v>2176</v>
      </c>
      <c r="D879" s="26" t="n">
        <v>14.9</v>
      </c>
      <c r="E879" s="27" t="n">
        <v>7.82681373158773</v>
      </c>
      <c r="F879" s="27" t="n">
        <v>7.82681373158773</v>
      </c>
      <c r="G879" s="25" t="s">
        <v>2133</v>
      </c>
      <c r="H879" s="25" t="s">
        <v>2134</v>
      </c>
      <c r="I879" s="25" t="n">
        <f aca="false">IFERROR(IF(INDEX(Documents!$C$5:$C$657,MATCH(H879,Documents!$A$5:$A$657,0))="","",INDEX(Documents!$C$5:$C$657,MATCH(H879,Documents!$A$5:$A$657,0))),"")</f>
        <v>2010</v>
      </c>
      <c r="J879" s="25" t="str">
        <f aca="false">IFERROR(IF(INDEX(Documents!$D$5:$D$657,MATCH(H879,Documents!$A$5:$A$657,0))="","",INDEX(Documents!$D$5:$D$657,MATCH(H879,Documents!$A$5:$A$657,0))),"")</f>
        <v>Bioorg Med Chem Lett</v>
      </c>
      <c r="K879" s="25" t="str">
        <f aca="false">IFERROR(IF(INDEX(Documents!$G$5:$G$657,MATCH(H879,Documents!$A$5:$A$657,0))="","",INDEX(Documents!$G$5:$G$657,MATCH(H879,Documents!$A$5:$A$657,0))),"")</f>
        <v>10.1016/j.bmcl.2010.07.056</v>
      </c>
      <c r="L879" s="25" t="s">
        <v>2135</v>
      </c>
    </row>
    <row r="880" customFormat="false" ht="15" hidden="false" customHeight="false" outlineLevel="0" collapsed="false">
      <c r="A880" s="25" t="n">
        <v>3413810</v>
      </c>
      <c r="B880" s="25" t="s">
        <v>2177</v>
      </c>
      <c r="C880" s="25" t="s">
        <v>2178</v>
      </c>
      <c r="D880" s="26" t="n">
        <v>6.3</v>
      </c>
      <c r="E880" s="27" t="n">
        <v>8.20065945054642</v>
      </c>
      <c r="F880" s="27" t="n">
        <v>8.20065945054642</v>
      </c>
      <c r="G880" s="25" t="s">
        <v>2133</v>
      </c>
      <c r="H880" s="25" t="s">
        <v>2134</v>
      </c>
      <c r="I880" s="25" t="n">
        <f aca="false">IFERROR(IF(INDEX(Documents!$C$5:$C$657,MATCH(H880,Documents!$A$5:$A$657,0))="","",INDEX(Documents!$C$5:$C$657,MATCH(H880,Documents!$A$5:$A$657,0))),"")</f>
        <v>2010</v>
      </c>
      <c r="J880" s="25" t="str">
        <f aca="false">IFERROR(IF(INDEX(Documents!$D$5:$D$657,MATCH(H880,Documents!$A$5:$A$657,0))="","",INDEX(Documents!$D$5:$D$657,MATCH(H880,Documents!$A$5:$A$657,0))),"")</f>
        <v>Bioorg Med Chem Lett</v>
      </c>
      <c r="K880" s="25" t="str">
        <f aca="false">IFERROR(IF(INDEX(Documents!$G$5:$G$657,MATCH(H880,Documents!$A$5:$A$657,0))="","",INDEX(Documents!$G$5:$G$657,MATCH(H880,Documents!$A$5:$A$657,0))),"")</f>
        <v>10.1016/j.bmcl.2010.07.056</v>
      </c>
      <c r="L880" s="25" t="s">
        <v>2135</v>
      </c>
    </row>
    <row r="881" customFormat="false" ht="15" hidden="false" customHeight="false" outlineLevel="0" collapsed="false">
      <c r="A881" s="25" t="n">
        <v>3413844</v>
      </c>
      <c r="B881" s="25" t="s">
        <v>2179</v>
      </c>
      <c r="C881" s="25" t="s">
        <v>2180</v>
      </c>
      <c r="D881" s="26" t="n">
        <v>79</v>
      </c>
      <c r="E881" s="27" t="n">
        <v>7.10237290870956</v>
      </c>
      <c r="F881" s="27" t="n">
        <v>7.10237290870956</v>
      </c>
      <c r="G881" s="25" t="s">
        <v>2133</v>
      </c>
      <c r="H881" s="25" t="s">
        <v>2134</v>
      </c>
      <c r="I881" s="25" t="n">
        <f aca="false">IFERROR(IF(INDEX(Documents!$C$5:$C$657,MATCH(H881,Documents!$A$5:$A$657,0))="","",INDEX(Documents!$C$5:$C$657,MATCH(H881,Documents!$A$5:$A$657,0))),"")</f>
        <v>2010</v>
      </c>
      <c r="J881" s="25" t="str">
        <f aca="false">IFERROR(IF(INDEX(Documents!$D$5:$D$657,MATCH(H881,Documents!$A$5:$A$657,0))="","",INDEX(Documents!$D$5:$D$657,MATCH(H881,Documents!$A$5:$A$657,0))),"")</f>
        <v>Bioorg Med Chem Lett</v>
      </c>
      <c r="K881" s="25" t="str">
        <f aca="false">IFERROR(IF(INDEX(Documents!$G$5:$G$657,MATCH(H881,Documents!$A$5:$A$657,0))="","",INDEX(Documents!$G$5:$G$657,MATCH(H881,Documents!$A$5:$A$657,0))),"")</f>
        <v>10.1016/j.bmcl.2010.07.056</v>
      </c>
      <c r="L881" s="25" t="s">
        <v>2135</v>
      </c>
    </row>
    <row r="882" customFormat="false" ht="15" hidden="false" customHeight="false" outlineLevel="0" collapsed="false">
      <c r="A882" s="25" t="n">
        <v>3413848</v>
      </c>
      <c r="B882" s="25" t="s">
        <v>2181</v>
      </c>
      <c r="C882" s="25" t="s">
        <v>2182</v>
      </c>
      <c r="D882" s="26" t="n">
        <v>19.8</v>
      </c>
      <c r="E882" s="27" t="n">
        <v>7.70333480973847</v>
      </c>
      <c r="F882" s="27" t="n">
        <v>7.70333480973847</v>
      </c>
      <c r="G882" s="25" t="s">
        <v>2133</v>
      </c>
      <c r="H882" s="25" t="s">
        <v>2134</v>
      </c>
      <c r="I882" s="25" t="n">
        <f aca="false">IFERROR(IF(INDEX(Documents!$C$5:$C$657,MATCH(H882,Documents!$A$5:$A$657,0))="","",INDEX(Documents!$C$5:$C$657,MATCH(H882,Documents!$A$5:$A$657,0))),"")</f>
        <v>2010</v>
      </c>
      <c r="J882" s="25" t="str">
        <f aca="false">IFERROR(IF(INDEX(Documents!$D$5:$D$657,MATCH(H882,Documents!$A$5:$A$657,0))="","",INDEX(Documents!$D$5:$D$657,MATCH(H882,Documents!$A$5:$A$657,0))),"")</f>
        <v>Bioorg Med Chem Lett</v>
      </c>
      <c r="K882" s="25" t="str">
        <f aca="false">IFERROR(IF(INDEX(Documents!$G$5:$G$657,MATCH(H882,Documents!$A$5:$A$657,0))="","",INDEX(Documents!$G$5:$G$657,MATCH(H882,Documents!$A$5:$A$657,0))),"")</f>
        <v>10.1016/j.bmcl.2010.07.056</v>
      </c>
      <c r="L882" s="25" t="s">
        <v>2135</v>
      </c>
    </row>
    <row r="883" customFormat="false" ht="15" hidden="false" customHeight="false" outlineLevel="0" collapsed="false">
      <c r="A883" s="25" t="n">
        <v>3413852</v>
      </c>
      <c r="B883" s="25" t="s">
        <v>2183</v>
      </c>
      <c r="C883" s="25" t="s">
        <v>2184</v>
      </c>
      <c r="D883" s="26" t="n">
        <v>26.6</v>
      </c>
      <c r="E883" s="27" t="n">
        <v>7.57511836336893</v>
      </c>
      <c r="F883" s="27" t="n">
        <v>7.57511836336893</v>
      </c>
      <c r="G883" s="25" t="s">
        <v>2133</v>
      </c>
      <c r="H883" s="25" t="s">
        <v>2134</v>
      </c>
      <c r="I883" s="25" t="n">
        <f aca="false">IFERROR(IF(INDEX(Documents!$C$5:$C$657,MATCH(H883,Documents!$A$5:$A$657,0))="","",INDEX(Documents!$C$5:$C$657,MATCH(H883,Documents!$A$5:$A$657,0))),"")</f>
        <v>2010</v>
      </c>
      <c r="J883" s="25" t="str">
        <f aca="false">IFERROR(IF(INDEX(Documents!$D$5:$D$657,MATCH(H883,Documents!$A$5:$A$657,0))="","",INDEX(Documents!$D$5:$D$657,MATCH(H883,Documents!$A$5:$A$657,0))),"")</f>
        <v>Bioorg Med Chem Lett</v>
      </c>
      <c r="K883" s="25" t="str">
        <f aca="false">IFERROR(IF(INDEX(Documents!$G$5:$G$657,MATCH(H883,Documents!$A$5:$A$657,0))="","",INDEX(Documents!$G$5:$G$657,MATCH(H883,Documents!$A$5:$A$657,0))),"")</f>
        <v>10.1016/j.bmcl.2010.07.056</v>
      </c>
      <c r="L883" s="25" t="s">
        <v>2135</v>
      </c>
    </row>
    <row r="884" customFormat="false" ht="15" hidden="false" customHeight="false" outlineLevel="0" collapsed="false">
      <c r="A884" s="25" t="n">
        <v>3413856</v>
      </c>
      <c r="B884" s="25" t="s">
        <v>2185</v>
      </c>
      <c r="C884" s="25" t="s">
        <v>2186</v>
      </c>
      <c r="D884" s="26" t="n">
        <v>22.5</v>
      </c>
      <c r="E884" s="27" t="n">
        <v>7.64781748188864</v>
      </c>
      <c r="F884" s="27" t="n">
        <v>7.64781748188864</v>
      </c>
      <c r="G884" s="25" t="s">
        <v>2133</v>
      </c>
      <c r="H884" s="25" t="s">
        <v>2134</v>
      </c>
      <c r="I884" s="25" t="n">
        <f aca="false">IFERROR(IF(INDEX(Documents!$C$5:$C$657,MATCH(H884,Documents!$A$5:$A$657,0))="","",INDEX(Documents!$C$5:$C$657,MATCH(H884,Documents!$A$5:$A$657,0))),"")</f>
        <v>2010</v>
      </c>
      <c r="J884" s="25" t="str">
        <f aca="false">IFERROR(IF(INDEX(Documents!$D$5:$D$657,MATCH(H884,Documents!$A$5:$A$657,0))="","",INDEX(Documents!$D$5:$D$657,MATCH(H884,Documents!$A$5:$A$657,0))),"")</f>
        <v>Bioorg Med Chem Lett</v>
      </c>
      <c r="K884" s="25" t="str">
        <f aca="false">IFERROR(IF(INDEX(Documents!$G$5:$G$657,MATCH(H884,Documents!$A$5:$A$657,0))="","",INDEX(Documents!$G$5:$G$657,MATCH(H884,Documents!$A$5:$A$657,0))),"")</f>
        <v>10.1016/j.bmcl.2010.07.056</v>
      </c>
      <c r="L884" s="25" t="s">
        <v>2135</v>
      </c>
    </row>
    <row r="885" customFormat="false" ht="15" hidden="false" customHeight="false" outlineLevel="0" collapsed="false">
      <c r="A885" s="25" t="n">
        <v>3413802</v>
      </c>
      <c r="B885" s="25" t="s">
        <v>2187</v>
      </c>
      <c r="C885" s="25" t="s">
        <v>2188</v>
      </c>
      <c r="D885" s="26" t="n">
        <v>8</v>
      </c>
      <c r="E885" s="27" t="n">
        <v>8.09691001300806</v>
      </c>
      <c r="F885" s="27" t="n">
        <v>8.09691001300806</v>
      </c>
      <c r="G885" s="25" t="s">
        <v>2133</v>
      </c>
      <c r="H885" s="25" t="s">
        <v>2134</v>
      </c>
      <c r="I885" s="25" t="n">
        <f aca="false">IFERROR(IF(INDEX(Documents!$C$5:$C$657,MATCH(H885,Documents!$A$5:$A$657,0))="","",INDEX(Documents!$C$5:$C$657,MATCH(H885,Documents!$A$5:$A$657,0))),"")</f>
        <v>2010</v>
      </c>
      <c r="J885" s="25" t="str">
        <f aca="false">IFERROR(IF(INDEX(Documents!$D$5:$D$657,MATCH(H885,Documents!$A$5:$A$657,0))="","",INDEX(Documents!$D$5:$D$657,MATCH(H885,Documents!$A$5:$A$657,0))),"")</f>
        <v>Bioorg Med Chem Lett</v>
      </c>
      <c r="K885" s="25" t="str">
        <f aca="false">IFERROR(IF(INDEX(Documents!$G$5:$G$657,MATCH(H885,Documents!$A$5:$A$657,0))="","",INDEX(Documents!$G$5:$G$657,MATCH(H885,Documents!$A$5:$A$657,0))),"")</f>
        <v>10.1016/j.bmcl.2010.07.056</v>
      </c>
      <c r="L885" s="25" t="s">
        <v>2135</v>
      </c>
    </row>
    <row r="886" customFormat="false" ht="15" hidden="false" customHeight="false" outlineLevel="0" collapsed="false">
      <c r="A886" s="25" t="n">
        <v>3413798</v>
      </c>
      <c r="B886" s="25" t="s">
        <v>2189</v>
      </c>
      <c r="C886" s="25" t="s">
        <v>2190</v>
      </c>
      <c r="D886" s="26" t="n">
        <v>53</v>
      </c>
      <c r="E886" s="27" t="n">
        <v>7.27572413039921</v>
      </c>
      <c r="F886" s="27" t="n">
        <v>7.27572413039921</v>
      </c>
      <c r="G886" s="25" t="s">
        <v>2133</v>
      </c>
      <c r="H886" s="25" t="s">
        <v>2134</v>
      </c>
      <c r="I886" s="25" t="n">
        <f aca="false">IFERROR(IF(INDEX(Documents!$C$5:$C$657,MATCH(H886,Documents!$A$5:$A$657,0))="","",INDEX(Documents!$C$5:$C$657,MATCH(H886,Documents!$A$5:$A$657,0))),"")</f>
        <v>2010</v>
      </c>
      <c r="J886" s="25" t="str">
        <f aca="false">IFERROR(IF(INDEX(Documents!$D$5:$D$657,MATCH(H886,Documents!$A$5:$A$657,0))="","",INDEX(Documents!$D$5:$D$657,MATCH(H886,Documents!$A$5:$A$657,0))),"")</f>
        <v>Bioorg Med Chem Lett</v>
      </c>
      <c r="K886" s="25" t="str">
        <f aca="false">IFERROR(IF(INDEX(Documents!$G$5:$G$657,MATCH(H886,Documents!$A$5:$A$657,0))="","",INDEX(Documents!$G$5:$G$657,MATCH(H886,Documents!$A$5:$A$657,0))),"")</f>
        <v>10.1016/j.bmcl.2010.07.056</v>
      </c>
      <c r="L886" s="25" t="s">
        <v>2135</v>
      </c>
    </row>
    <row r="887" customFormat="false" ht="15" hidden="false" customHeight="false" outlineLevel="0" collapsed="false">
      <c r="A887" s="25" t="n">
        <v>3413806</v>
      </c>
      <c r="B887" s="25" t="s">
        <v>2191</v>
      </c>
      <c r="C887" s="25" t="s">
        <v>2192</v>
      </c>
      <c r="D887" s="26" t="n">
        <v>13.3</v>
      </c>
      <c r="E887" s="27" t="n">
        <v>7.87614835903291</v>
      </c>
      <c r="F887" s="27" t="n">
        <v>7.87614835903291</v>
      </c>
      <c r="G887" s="25" t="s">
        <v>2133</v>
      </c>
      <c r="H887" s="25" t="s">
        <v>2134</v>
      </c>
      <c r="I887" s="25" t="n">
        <f aca="false">IFERROR(IF(INDEX(Documents!$C$5:$C$657,MATCH(H887,Documents!$A$5:$A$657,0))="","",INDEX(Documents!$C$5:$C$657,MATCH(H887,Documents!$A$5:$A$657,0))),"")</f>
        <v>2010</v>
      </c>
      <c r="J887" s="25" t="str">
        <f aca="false">IFERROR(IF(INDEX(Documents!$D$5:$D$657,MATCH(H887,Documents!$A$5:$A$657,0))="","",INDEX(Documents!$D$5:$D$657,MATCH(H887,Documents!$A$5:$A$657,0))),"")</f>
        <v>Bioorg Med Chem Lett</v>
      </c>
      <c r="K887" s="25" t="str">
        <f aca="false">IFERROR(IF(INDEX(Documents!$G$5:$G$657,MATCH(H887,Documents!$A$5:$A$657,0))="","",INDEX(Documents!$G$5:$G$657,MATCH(H887,Documents!$A$5:$A$657,0))),"")</f>
        <v>10.1016/j.bmcl.2010.07.056</v>
      </c>
      <c r="L887" s="25" t="s">
        <v>2135</v>
      </c>
    </row>
    <row r="888" customFormat="false" ht="15" hidden="false" customHeight="false" outlineLevel="0" collapsed="false">
      <c r="A888" s="25" t="n">
        <v>3413794</v>
      </c>
      <c r="B888" s="25" t="s">
        <v>2193</v>
      </c>
      <c r="C888" s="25" t="s">
        <v>2194</v>
      </c>
      <c r="D888" s="26" t="n">
        <v>260</v>
      </c>
      <c r="E888" s="27" t="n">
        <v>6.58502665202918</v>
      </c>
      <c r="F888" s="27" t="n">
        <v>6.58502665202918</v>
      </c>
      <c r="G888" s="25" t="s">
        <v>2133</v>
      </c>
      <c r="H888" s="25" t="s">
        <v>2134</v>
      </c>
      <c r="I888" s="25" t="n">
        <f aca="false">IFERROR(IF(INDEX(Documents!$C$5:$C$657,MATCH(H888,Documents!$A$5:$A$657,0))="","",INDEX(Documents!$C$5:$C$657,MATCH(H888,Documents!$A$5:$A$657,0))),"")</f>
        <v>2010</v>
      </c>
      <c r="J888" s="25" t="str">
        <f aca="false">IFERROR(IF(INDEX(Documents!$D$5:$D$657,MATCH(H888,Documents!$A$5:$A$657,0))="","",INDEX(Documents!$D$5:$D$657,MATCH(H888,Documents!$A$5:$A$657,0))),"")</f>
        <v>Bioorg Med Chem Lett</v>
      </c>
      <c r="K888" s="25" t="str">
        <f aca="false">IFERROR(IF(INDEX(Documents!$G$5:$G$657,MATCH(H888,Documents!$A$5:$A$657,0))="","",INDEX(Documents!$G$5:$G$657,MATCH(H888,Documents!$A$5:$A$657,0))),"")</f>
        <v>10.1016/j.bmcl.2010.07.056</v>
      </c>
      <c r="L888" s="25" t="s">
        <v>2135</v>
      </c>
    </row>
    <row r="889" customFormat="false" ht="15" hidden="false" customHeight="false" outlineLevel="0" collapsed="false">
      <c r="A889" s="25" t="n">
        <v>3413868</v>
      </c>
      <c r="B889" s="25" t="s">
        <v>2195</v>
      </c>
      <c r="C889" s="25" t="s">
        <v>2196</v>
      </c>
      <c r="D889" s="26" t="n">
        <v>36</v>
      </c>
      <c r="E889" s="27" t="n">
        <v>7.44369749923271</v>
      </c>
      <c r="F889" s="27" t="n">
        <v>8.13076828026902</v>
      </c>
      <c r="G889" s="25" t="s">
        <v>2133</v>
      </c>
      <c r="H889" s="25" t="s">
        <v>2134</v>
      </c>
      <c r="I889" s="25" t="n">
        <f aca="false">IFERROR(IF(INDEX(Documents!$C$5:$C$657,MATCH(H889,Documents!$A$5:$A$657,0))="","",INDEX(Documents!$C$5:$C$657,MATCH(H889,Documents!$A$5:$A$657,0))),"")</f>
        <v>2010</v>
      </c>
      <c r="J889" s="25" t="str">
        <f aca="false">IFERROR(IF(INDEX(Documents!$D$5:$D$657,MATCH(H889,Documents!$A$5:$A$657,0))="","",INDEX(Documents!$D$5:$D$657,MATCH(H889,Documents!$A$5:$A$657,0))),"")</f>
        <v>Bioorg Med Chem Lett</v>
      </c>
      <c r="K889" s="25" t="str">
        <f aca="false">IFERROR(IF(INDEX(Documents!$G$5:$G$657,MATCH(H889,Documents!$A$5:$A$657,0))="","",INDEX(Documents!$G$5:$G$657,MATCH(H889,Documents!$A$5:$A$657,0))),"")</f>
        <v>10.1016/j.bmcl.2010.07.056</v>
      </c>
      <c r="L889" s="25" t="s">
        <v>2135</v>
      </c>
    </row>
    <row r="890" customFormat="false" ht="15" hidden="false" customHeight="false" outlineLevel="0" collapsed="false">
      <c r="A890" s="25" t="n">
        <v>3413824</v>
      </c>
      <c r="B890" s="25" t="s">
        <v>2195</v>
      </c>
      <c r="C890" s="25" t="s">
        <v>2196</v>
      </c>
      <c r="D890" s="26" t="n">
        <v>7.4</v>
      </c>
      <c r="E890" s="27" t="n">
        <v>8.13076828026902</v>
      </c>
      <c r="F890" s="27" t="n">
        <v>8.13076828026902</v>
      </c>
      <c r="G890" s="25" t="s">
        <v>2133</v>
      </c>
      <c r="H890" s="25" t="s">
        <v>2134</v>
      </c>
      <c r="I890" s="25" t="n">
        <f aca="false">IFERROR(IF(INDEX(Documents!$C$5:$C$657,MATCH(H890,Documents!$A$5:$A$657,0))="","",INDEX(Documents!$C$5:$C$657,MATCH(H890,Documents!$A$5:$A$657,0))),"")</f>
        <v>2010</v>
      </c>
      <c r="J890" s="25" t="str">
        <f aca="false">IFERROR(IF(INDEX(Documents!$D$5:$D$657,MATCH(H890,Documents!$A$5:$A$657,0))="","",INDEX(Documents!$D$5:$D$657,MATCH(H890,Documents!$A$5:$A$657,0))),"")</f>
        <v>Bioorg Med Chem Lett</v>
      </c>
      <c r="K890" s="25" t="str">
        <f aca="false">IFERROR(IF(INDEX(Documents!$G$5:$G$657,MATCH(H890,Documents!$A$5:$A$657,0))="","",INDEX(Documents!$G$5:$G$657,MATCH(H890,Documents!$A$5:$A$657,0))),"")</f>
        <v>10.1016/j.bmcl.2010.07.056</v>
      </c>
      <c r="L890" s="25" t="s">
        <v>2135</v>
      </c>
    </row>
    <row r="891" customFormat="false" ht="15" hidden="false" customHeight="false" outlineLevel="0" collapsed="false">
      <c r="A891" s="25" t="n">
        <v>3413864</v>
      </c>
      <c r="B891" s="25" t="s">
        <v>2195</v>
      </c>
      <c r="C891" s="25" t="s">
        <v>2196</v>
      </c>
      <c r="D891" s="26" t="n">
        <v>5.3</v>
      </c>
      <c r="E891" s="27" t="n">
        <v>8.27572413039921</v>
      </c>
      <c r="F891" s="27" t="n">
        <v>8.13076828026902</v>
      </c>
      <c r="G891" s="25" t="s">
        <v>2133</v>
      </c>
      <c r="H891" s="25" t="s">
        <v>2134</v>
      </c>
      <c r="I891" s="25" t="n">
        <f aca="false">IFERROR(IF(INDEX(Documents!$C$5:$C$657,MATCH(H891,Documents!$A$5:$A$657,0))="","",INDEX(Documents!$C$5:$C$657,MATCH(H891,Documents!$A$5:$A$657,0))),"")</f>
        <v>2010</v>
      </c>
      <c r="J891" s="25" t="str">
        <f aca="false">IFERROR(IF(INDEX(Documents!$D$5:$D$657,MATCH(H891,Documents!$A$5:$A$657,0))="","",INDEX(Documents!$D$5:$D$657,MATCH(H891,Documents!$A$5:$A$657,0))),"")</f>
        <v>Bioorg Med Chem Lett</v>
      </c>
      <c r="K891" s="25" t="str">
        <f aca="false">IFERROR(IF(INDEX(Documents!$G$5:$G$657,MATCH(H891,Documents!$A$5:$A$657,0))="","",INDEX(Documents!$G$5:$G$657,MATCH(H891,Documents!$A$5:$A$657,0))),"")</f>
        <v>10.1016/j.bmcl.2010.07.056</v>
      </c>
      <c r="L891" s="25" t="s">
        <v>2135</v>
      </c>
    </row>
    <row r="892" customFormat="false" ht="15" hidden="false" customHeight="false" outlineLevel="0" collapsed="false">
      <c r="A892" s="25" t="n">
        <v>3413790</v>
      </c>
      <c r="B892" s="25" t="s">
        <v>2197</v>
      </c>
      <c r="C892" s="25" t="s">
        <v>2198</v>
      </c>
      <c r="D892" s="26" t="n">
        <v>36.6</v>
      </c>
      <c r="E892" s="27" t="n">
        <v>7.43651891460559</v>
      </c>
      <c r="F892" s="27" t="n">
        <v>7.43651891460559</v>
      </c>
      <c r="G892" s="25" t="s">
        <v>2133</v>
      </c>
      <c r="H892" s="25" t="s">
        <v>2134</v>
      </c>
      <c r="I892" s="25" t="n">
        <f aca="false">IFERROR(IF(INDEX(Documents!$C$5:$C$657,MATCH(H892,Documents!$A$5:$A$657,0))="","",INDEX(Documents!$C$5:$C$657,MATCH(H892,Documents!$A$5:$A$657,0))),"")</f>
        <v>2010</v>
      </c>
      <c r="J892" s="25" t="str">
        <f aca="false">IFERROR(IF(INDEX(Documents!$D$5:$D$657,MATCH(H892,Documents!$A$5:$A$657,0))="","",INDEX(Documents!$D$5:$D$657,MATCH(H892,Documents!$A$5:$A$657,0))),"")</f>
        <v>Bioorg Med Chem Lett</v>
      </c>
      <c r="K892" s="25" t="str">
        <f aca="false">IFERROR(IF(INDEX(Documents!$G$5:$G$657,MATCH(H892,Documents!$A$5:$A$657,0))="","",INDEX(Documents!$G$5:$G$657,MATCH(H892,Documents!$A$5:$A$657,0))),"")</f>
        <v>10.1016/j.bmcl.2010.07.056</v>
      </c>
      <c r="L892" s="25" t="s">
        <v>2135</v>
      </c>
    </row>
    <row r="893" customFormat="false" ht="15" hidden="false" customHeight="false" outlineLevel="0" collapsed="false">
      <c r="A893" s="25" t="n">
        <v>3413860</v>
      </c>
      <c r="B893" s="25" t="s">
        <v>2199</v>
      </c>
      <c r="C893" s="25" t="s">
        <v>2200</v>
      </c>
      <c r="D893" s="26" t="n">
        <v>15</v>
      </c>
      <c r="E893" s="27" t="n">
        <v>7.82390874094432</v>
      </c>
      <c r="F893" s="27" t="n">
        <v>7.82390874094432</v>
      </c>
      <c r="G893" s="25" t="s">
        <v>2133</v>
      </c>
      <c r="H893" s="25" t="s">
        <v>2134</v>
      </c>
      <c r="I893" s="25" t="n">
        <f aca="false">IFERROR(IF(INDEX(Documents!$C$5:$C$657,MATCH(H893,Documents!$A$5:$A$657,0))="","",INDEX(Documents!$C$5:$C$657,MATCH(H893,Documents!$A$5:$A$657,0))),"")</f>
        <v>2010</v>
      </c>
      <c r="J893" s="25" t="str">
        <f aca="false">IFERROR(IF(INDEX(Documents!$D$5:$D$657,MATCH(H893,Documents!$A$5:$A$657,0))="","",INDEX(Documents!$D$5:$D$657,MATCH(H893,Documents!$A$5:$A$657,0))),"")</f>
        <v>Bioorg Med Chem Lett</v>
      </c>
      <c r="K893" s="25" t="str">
        <f aca="false">IFERROR(IF(INDEX(Documents!$G$5:$G$657,MATCH(H893,Documents!$A$5:$A$657,0))="","",INDEX(Documents!$G$5:$G$657,MATCH(H893,Documents!$A$5:$A$657,0))),"")</f>
        <v>10.1016/j.bmcl.2010.07.056</v>
      </c>
      <c r="L893" s="25" t="s">
        <v>2135</v>
      </c>
    </row>
    <row r="894" customFormat="false" ht="15" hidden="false" customHeight="false" outlineLevel="0" collapsed="false">
      <c r="A894" s="25" t="n">
        <v>3413872</v>
      </c>
      <c r="B894" s="25" t="s">
        <v>2201</v>
      </c>
      <c r="C894" s="25" t="s">
        <v>2202</v>
      </c>
      <c r="D894" s="26" t="n">
        <v>103</v>
      </c>
      <c r="E894" s="27" t="n">
        <v>6.98716277529483</v>
      </c>
      <c r="F894" s="27" t="n">
        <v>6.98716277529483</v>
      </c>
      <c r="G894" s="25" t="s">
        <v>2133</v>
      </c>
      <c r="H894" s="25" t="s">
        <v>2134</v>
      </c>
      <c r="I894" s="25" t="n">
        <f aca="false">IFERROR(IF(INDEX(Documents!$C$5:$C$657,MATCH(H894,Documents!$A$5:$A$657,0))="","",INDEX(Documents!$C$5:$C$657,MATCH(H894,Documents!$A$5:$A$657,0))),"")</f>
        <v>2010</v>
      </c>
      <c r="J894" s="25" t="str">
        <f aca="false">IFERROR(IF(INDEX(Documents!$D$5:$D$657,MATCH(H894,Documents!$A$5:$A$657,0))="","",INDEX(Documents!$D$5:$D$657,MATCH(H894,Documents!$A$5:$A$657,0))),"")</f>
        <v>Bioorg Med Chem Lett</v>
      </c>
      <c r="K894" s="25" t="str">
        <f aca="false">IFERROR(IF(INDEX(Documents!$G$5:$G$657,MATCH(H894,Documents!$A$5:$A$657,0))="","",INDEX(Documents!$G$5:$G$657,MATCH(H894,Documents!$A$5:$A$657,0))),"")</f>
        <v>10.1016/j.bmcl.2010.07.056</v>
      </c>
      <c r="L894" s="25" t="s">
        <v>2135</v>
      </c>
    </row>
    <row r="895" customFormat="false" ht="15" hidden="false" customHeight="false" outlineLevel="0" collapsed="false">
      <c r="A895" s="25" t="n">
        <v>13827871</v>
      </c>
      <c r="B895" s="25" t="s">
        <v>2203</v>
      </c>
      <c r="C895" s="25" t="s">
        <v>2204</v>
      </c>
      <c r="D895" s="26" t="n">
        <v>134</v>
      </c>
      <c r="E895" s="27" t="n">
        <v>6.87289520163519</v>
      </c>
      <c r="F895" s="27" t="n">
        <v>6.87289520163519</v>
      </c>
      <c r="G895" s="25" t="s">
        <v>2205</v>
      </c>
      <c r="H895" s="25" t="s">
        <v>2206</v>
      </c>
      <c r="I895" s="25" t="n">
        <f aca="false">IFERROR(IF(INDEX(Documents!$C$5:$C$657,MATCH(H895,Documents!$A$5:$A$657,0))="","",INDEX(Documents!$C$5:$C$657,MATCH(H895,Documents!$A$5:$A$657,0))),"")</f>
        <v>2013</v>
      </c>
      <c r="J895" s="25" t="str">
        <f aca="false">IFERROR(IF(INDEX(Documents!$D$5:$D$657,MATCH(H895,Documents!$A$5:$A$657,0))="","",INDEX(Documents!$D$5:$D$657,MATCH(H895,Documents!$A$5:$A$657,0))),"")</f>
        <v>Eur J Med Chem</v>
      </c>
      <c r="K895" s="25" t="str">
        <f aca="false">IFERROR(IF(INDEX(Documents!$G$5:$G$657,MATCH(H895,Documents!$A$5:$A$657,0))="","",INDEX(Documents!$G$5:$G$657,MATCH(H895,Documents!$A$5:$A$657,0))),"")</f>
        <v>10.1016/j.ejmech.2013.09.043</v>
      </c>
      <c r="L895" s="25" t="s">
        <v>2207</v>
      </c>
    </row>
    <row r="896" customFormat="false" ht="15" hidden="false" customHeight="false" outlineLevel="0" collapsed="false">
      <c r="A896" s="25" t="n">
        <v>13827870</v>
      </c>
      <c r="B896" s="25" t="s">
        <v>2208</v>
      </c>
      <c r="C896" s="25" t="s">
        <v>2209</v>
      </c>
      <c r="D896" s="26" t="n">
        <v>672</v>
      </c>
      <c r="E896" s="27" t="n">
        <v>6.17263072694617</v>
      </c>
      <c r="F896" s="27" t="n">
        <v>6.17263072694617</v>
      </c>
      <c r="G896" s="25" t="s">
        <v>2205</v>
      </c>
      <c r="H896" s="25" t="s">
        <v>2206</v>
      </c>
      <c r="I896" s="25" t="n">
        <f aca="false">IFERROR(IF(INDEX(Documents!$C$5:$C$657,MATCH(H896,Documents!$A$5:$A$657,0))="","",INDEX(Documents!$C$5:$C$657,MATCH(H896,Documents!$A$5:$A$657,0))),"")</f>
        <v>2013</v>
      </c>
      <c r="J896" s="25" t="str">
        <f aca="false">IFERROR(IF(INDEX(Documents!$D$5:$D$657,MATCH(H896,Documents!$A$5:$A$657,0))="","",INDEX(Documents!$D$5:$D$657,MATCH(H896,Documents!$A$5:$A$657,0))),"")</f>
        <v>Eur J Med Chem</v>
      </c>
      <c r="K896" s="25" t="str">
        <f aca="false">IFERROR(IF(INDEX(Documents!$G$5:$G$657,MATCH(H896,Documents!$A$5:$A$657,0))="","",INDEX(Documents!$G$5:$G$657,MATCH(H896,Documents!$A$5:$A$657,0))),"")</f>
        <v>10.1016/j.ejmech.2013.09.043</v>
      </c>
      <c r="L896" s="25" t="s">
        <v>2207</v>
      </c>
    </row>
    <row r="897" customFormat="false" ht="15" hidden="false" customHeight="false" outlineLevel="0" collapsed="false">
      <c r="A897" s="25" t="n">
        <v>13827869</v>
      </c>
      <c r="B897" s="25" t="s">
        <v>2210</v>
      </c>
      <c r="C897" s="25" t="s">
        <v>2211</v>
      </c>
      <c r="D897" s="26" t="n">
        <v>3665</v>
      </c>
      <c r="E897" s="27" t="n">
        <v>5.43592602102285</v>
      </c>
      <c r="F897" s="27" t="n">
        <v>5.43592602102285</v>
      </c>
      <c r="G897" s="25" t="s">
        <v>2205</v>
      </c>
      <c r="H897" s="25" t="s">
        <v>2206</v>
      </c>
      <c r="I897" s="25" t="n">
        <f aca="false">IFERROR(IF(INDEX(Documents!$C$5:$C$657,MATCH(H897,Documents!$A$5:$A$657,0))="","",INDEX(Documents!$C$5:$C$657,MATCH(H897,Documents!$A$5:$A$657,0))),"")</f>
        <v>2013</v>
      </c>
      <c r="J897" s="25" t="str">
        <f aca="false">IFERROR(IF(INDEX(Documents!$D$5:$D$657,MATCH(H897,Documents!$A$5:$A$657,0))="","",INDEX(Documents!$D$5:$D$657,MATCH(H897,Documents!$A$5:$A$657,0))),"")</f>
        <v>Eur J Med Chem</v>
      </c>
      <c r="K897" s="25" t="str">
        <f aca="false">IFERROR(IF(INDEX(Documents!$G$5:$G$657,MATCH(H897,Documents!$A$5:$A$657,0))="","",INDEX(Documents!$G$5:$G$657,MATCH(H897,Documents!$A$5:$A$657,0))),"")</f>
        <v>10.1016/j.ejmech.2013.09.043</v>
      </c>
      <c r="L897" s="25" t="s">
        <v>2207</v>
      </c>
    </row>
    <row r="898" customFormat="false" ht="15" hidden="false" customHeight="false" outlineLevel="0" collapsed="false">
      <c r="A898" s="25" t="n">
        <v>15224215</v>
      </c>
      <c r="B898" s="25" t="s">
        <v>2212</v>
      </c>
      <c r="C898" s="25" t="s">
        <v>2213</v>
      </c>
      <c r="D898" s="26" t="n">
        <v>398</v>
      </c>
      <c r="E898" s="27" t="n">
        <v>6.40011692792631</v>
      </c>
      <c r="F898" s="27" t="n">
        <v>6.40011692792631</v>
      </c>
      <c r="G898" s="25" t="s">
        <v>2214</v>
      </c>
      <c r="H898" s="25" t="s">
        <v>2215</v>
      </c>
      <c r="I898" s="25" t="n">
        <f aca="false">IFERROR(IF(INDEX(Documents!$C$5:$C$657,MATCH(H898,Documents!$A$5:$A$657,0))="","",INDEX(Documents!$C$5:$C$657,MATCH(H898,Documents!$A$5:$A$657,0))),"")</f>
        <v>2015</v>
      </c>
      <c r="J898" s="25" t="str">
        <f aca="false">IFERROR(IF(INDEX(Documents!$D$5:$D$657,MATCH(H898,Documents!$A$5:$A$657,0))="","",INDEX(Documents!$D$5:$D$657,MATCH(H898,Documents!$A$5:$A$657,0))),"")</f>
        <v>J Med Chem</v>
      </c>
      <c r="K898" s="25" t="str">
        <f aca="false">IFERROR(IF(INDEX(Documents!$G$5:$G$657,MATCH(H898,Documents!$A$5:$A$657,0))="","",INDEX(Documents!$G$5:$G$657,MATCH(H898,Documents!$A$5:$A$657,0))),"")</f>
        <v>10.1021/acs.jmedchem.5b00078</v>
      </c>
      <c r="L898" s="25" t="s">
        <v>2216</v>
      </c>
    </row>
    <row r="899" customFormat="false" ht="15" hidden="false" customHeight="false" outlineLevel="0" collapsed="false">
      <c r="A899" s="25" t="n">
        <v>15224217</v>
      </c>
      <c r="B899" s="25" t="s">
        <v>2217</v>
      </c>
      <c r="C899" s="25" t="s">
        <v>2218</v>
      </c>
      <c r="D899" s="26" t="n">
        <v>529</v>
      </c>
      <c r="E899" s="27" t="n">
        <v>6.27654432796481</v>
      </c>
      <c r="F899" s="27" t="n">
        <v>6.27654432796481</v>
      </c>
      <c r="G899" s="25" t="s">
        <v>2214</v>
      </c>
      <c r="H899" s="25" t="s">
        <v>2215</v>
      </c>
      <c r="I899" s="25" t="n">
        <f aca="false">IFERROR(IF(INDEX(Documents!$C$5:$C$657,MATCH(H899,Documents!$A$5:$A$657,0))="","",INDEX(Documents!$C$5:$C$657,MATCH(H899,Documents!$A$5:$A$657,0))),"")</f>
        <v>2015</v>
      </c>
      <c r="J899" s="25" t="str">
        <f aca="false">IFERROR(IF(INDEX(Documents!$D$5:$D$657,MATCH(H899,Documents!$A$5:$A$657,0))="","",INDEX(Documents!$D$5:$D$657,MATCH(H899,Documents!$A$5:$A$657,0))),"")</f>
        <v>J Med Chem</v>
      </c>
      <c r="K899" s="25" t="str">
        <f aca="false">IFERROR(IF(INDEX(Documents!$G$5:$G$657,MATCH(H899,Documents!$A$5:$A$657,0))="","",INDEX(Documents!$G$5:$G$657,MATCH(H899,Documents!$A$5:$A$657,0))),"")</f>
        <v>10.1021/acs.jmedchem.5b00078</v>
      </c>
      <c r="L899" s="25" t="s">
        <v>2216</v>
      </c>
    </row>
    <row r="900" customFormat="false" ht="15" hidden="false" customHeight="false" outlineLevel="0" collapsed="false">
      <c r="A900" s="25" t="n">
        <v>15224216</v>
      </c>
      <c r="B900" s="25" t="s">
        <v>2219</v>
      </c>
      <c r="C900" s="25" t="s">
        <v>2220</v>
      </c>
      <c r="D900" s="26" t="n">
        <v>597</v>
      </c>
      <c r="E900" s="27" t="n">
        <v>6.22402566887063</v>
      </c>
      <c r="F900" s="27" t="n">
        <v>6.22402566887063</v>
      </c>
      <c r="G900" s="25" t="s">
        <v>2214</v>
      </c>
      <c r="H900" s="25" t="s">
        <v>2215</v>
      </c>
      <c r="I900" s="25" t="n">
        <f aca="false">IFERROR(IF(INDEX(Documents!$C$5:$C$657,MATCH(H900,Documents!$A$5:$A$657,0))="","",INDEX(Documents!$C$5:$C$657,MATCH(H900,Documents!$A$5:$A$657,0))),"")</f>
        <v>2015</v>
      </c>
      <c r="J900" s="25" t="str">
        <f aca="false">IFERROR(IF(INDEX(Documents!$D$5:$D$657,MATCH(H900,Documents!$A$5:$A$657,0))="","",INDEX(Documents!$D$5:$D$657,MATCH(H900,Documents!$A$5:$A$657,0))),"")</f>
        <v>J Med Chem</v>
      </c>
      <c r="K900" s="25" t="str">
        <f aca="false">IFERROR(IF(INDEX(Documents!$G$5:$G$657,MATCH(H900,Documents!$A$5:$A$657,0))="","",INDEX(Documents!$G$5:$G$657,MATCH(H900,Documents!$A$5:$A$657,0))),"")</f>
        <v>10.1021/acs.jmedchem.5b00078</v>
      </c>
      <c r="L900" s="25" t="s">
        <v>2216</v>
      </c>
    </row>
    <row r="901" customFormat="false" ht="15" hidden="false" customHeight="false" outlineLevel="0" collapsed="false">
      <c r="A901" s="25" t="n">
        <v>3564069</v>
      </c>
      <c r="B901" s="25" t="s">
        <v>2221</v>
      </c>
      <c r="C901" s="25" t="s">
        <v>2222</v>
      </c>
      <c r="D901" s="26" t="n">
        <v>34</v>
      </c>
      <c r="E901" s="27" t="n">
        <v>7.46852108295775</v>
      </c>
      <c r="F901" s="27" t="n">
        <v>7.46852108295775</v>
      </c>
      <c r="G901" s="25" t="s">
        <v>1935</v>
      </c>
      <c r="H901" s="25" t="s">
        <v>1936</v>
      </c>
      <c r="I901" s="25" t="n">
        <f aca="false">IFERROR(IF(INDEX(Documents!$C$5:$C$657,MATCH(H901,Documents!$A$5:$A$657,0))="","",INDEX(Documents!$C$5:$C$657,MATCH(H901,Documents!$A$5:$A$657,0))),"")</f>
        <v>2010</v>
      </c>
      <c r="J901" s="25" t="str">
        <f aca="false">IFERROR(IF(INDEX(Documents!$D$5:$D$657,MATCH(H901,Documents!$A$5:$A$657,0))="","",INDEX(Documents!$D$5:$D$657,MATCH(H901,Documents!$A$5:$A$657,0))),"")</f>
        <v>Bioorg Med Chem</v>
      </c>
      <c r="K901" s="25" t="str">
        <f aca="false">IFERROR(IF(INDEX(Documents!$G$5:$G$657,MATCH(H901,Documents!$A$5:$A$657,0))="","",INDEX(Documents!$G$5:$G$657,MATCH(H901,Documents!$A$5:$A$657,0))),"")</f>
        <v>10.1016/j.bmc.2010.09.061</v>
      </c>
      <c r="L901" s="25" t="s">
        <v>1937</v>
      </c>
    </row>
    <row r="902" customFormat="false" ht="15" hidden="false" customHeight="false" outlineLevel="0" collapsed="false">
      <c r="A902" s="25" t="n">
        <v>29084109</v>
      </c>
      <c r="B902" s="25" t="s">
        <v>2223</v>
      </c>
      <c r="C902" s="25" t="s">
        <v>2224</v>
      </c>
      <c r="D902" s="26" t="n">
        <v>0.64</v>
      </c>
      <c r="E902" s="27" t="n">
        <v>9.19382002601611</v>
      </c>
      <c r="F902" s="27" t="n">
        <v>9.37333099733695</v>
      </c>
      <c r="G902" s="25" t="s">
        <v>406</v>
      </c>
      <c r="H902" s="25" t="s">
        <v>381</v>
      </c>
      <c r="I902" s="25" t="n">
        <f aca="false">IFERROR(IF(INDEX(Documents!$C$5:$C$657,MATCH(H902,Documents!$A$5:$A$657,0))="","",INDEX(Documents!$C$5:$C$657,MATCH(H902,Documents!$A$5:$A$657,0))),"")</f>
        <v>2025</v>
      </c>
      <c r="J902" s="25" t="str">
        <f aca="false">IFERROR(IF(INDEX(Documents!$D$5:$D$657,MATCH(H902,Documents!$A$5:$A$657,0))="","",INDEX(Documents!$D$5:$D$657,MATCH(H902,Documents!$A$5:$A$657,0))),"")</f>
        <v>Bioorg Med Chem</v>
      </c>
      <c r="K902" s="25" t="str">
        <f aca="false">IFERROR(IF(INDEX(Documents!$G$5:$G$657,MATCH(H902,Documents!$A$5:$A$657,0))="","",INDEX(Documents!$G$5:$G$657,MATCH(H902,Documents!$A$5:$A$657,0))),"")</f>
        <v>10.1016/j.bmc.2024.118019</v>
      </c>
      <c r="L902" s="25" t="s">
        <v>407</v>
      </c>
    </row>
    <row r="903" customFormat="false" ht="15" hidden="false" customHeight="false" outlineLevel="0" collapsed="false">
      <c r="A903" s="25" t="n">
        <v>29084110</v>
      </c>
      <c r="B903" s="25" t="s">
        <v>2223</v>
      </c>
      <c r="C903" s="25" t="s">
        <v>2224</v>
      </c>
      <c r="D903" s="26" t="n">
        <v>0.28</v>
      </c>
      <c r="E903" s="27" t="n">
        <v>9.55284196865778</v>
      </c>
      <c r="F903" s="27" t="n">
        <v>9.37333099733695</v>
      </c>
      <c r="G903" s="25" t="s">
        <v>406</v>
      </c>
      <c r="H903" s="25" t="s">
        <v>381</v>
      </c>
      <c r="I903" s="25" t="n">
        <f aca="false">IFERROR(IF(INDEX(Documents!$C$5:$C$657,MATCH(H903,Documents!$A$5:$A$657,0))="","",INDEX(Documents!$C$5:$C$657,MATCH(H903,Documents!$A$5:$A$657,0))),"")</f>
        <v>2025</v>
      </c>
      <c r="J903" s="25" t="str">
        <f aca="false">IFERROR(IF(INDEX(Documents!$D$5:$D$657,MATCH(H903,Documents!$A$5:$A$657,0))="","",INDEX(Documents!$D$5:$D$657,MATCH(H903,Documents!$A$5:$A$657,0))),"")</f>
        <v>Bioorg Med Chem</v>
      </c>
      <c r="K903" s="25" t="str">
        <f aca="false">IFERROR(IF(INDEX(Documents!$G$5:$G$657,MATCH(H903,Documents!$A$5:$A$657,0))="","",INDEX(Documents!$G$5:$G$657,MATCH(H903,Documents!$A$5:$A$657,0))),"")</f>
        <v>10.1016/j.bmc.2024.118019</v>
      </c>
      <c r="L903" s="25" t="s">
        <v>407</v>
      </c>
    </row>
    <row r="904" customFormat="false" ht="15" hidden="false" customHeight="false" outlineLevel="0" collapsed="false">
      <c r="A904" s="25" t="n">
        <v>14573999</v>
      </c>
      <c r="B904" s="25" t="s">
        <v>2225</v>
      </c>
      <c r="C904" s="25" t="s">
        <v>2226</v>
      </c>
      <c r="D904" s="26" t="n">
        <v>9</v>
      </c>
      <c r="E904" s="27" t="n">
        <v>8.04575749056068</v>
      </c>
      <c r="F904" s="27" t="n">
        <v>8.04575749056068</v>
      </c>
      <c r="G904" s="25" t="s">
        <v>2081</v>
      </c>
      <c r="H904" s="25" t="s">
        <v>1358</v>
      </c>
      <c r="I904" s="25" t="n">
        <f aca="false">IFERROR(IF(INDEX(Documents!$C$5:$C$657,MATCH(H904,Documents!$A$5:$A$657,0))="","",INDEX(Documents!$C$5:$C$657,MATCH(H904,Documents!$A$5:$A$657,0))),"")</f>
        <v>2013</v>
      </c>
      <c r="J904" s="25" t="str">
        <f aca="false">IFERROR(IF(INDEX(Documents!$D$5:$D$657,MATCH(H904,Documents!$A$5:$A$657,0))="","",INDEX(Documents!$D$5:$D$657,MATCH(H904,Documents!$A$5:$A$657,0))),"")</f>
        <v>J Med Chem</v>
      </c>
      <c r="K904" s="25" t="str">
        <f aca="false">IFERROR(IF(INDEX(Documents!$G$5:$G$657,MATCH(H904,Documents!$A$5:$A$657,0))="","",INDEX(Documents!$G$5:$G$657,MATCH(H904,Documents!$A$5:$A$657,0))),"")</f>
        <v>10.1021/jm4005626</v>
      </c>
      <c r="L904" s="25" t="s">
        <v>515</v>
      </c>
    </row>
    <row r="905" customFormat="false" ht="15" hidden="false" customHeight="false" outlineLevel="0" collapsed="false">
      <c r="A905" s="25" t="n">
        <v>3413908</v>
      </c>
      <c r="B905" s="25" t="s">
        <v>2227</v>
      </c>
      <c r="C905" s="25" t="s">
        <v>2228</v>
      </c>
      <c r="D905" s="26" t="n">
        <v>17.6</v>
      </c>
      <c r="E905" s="27" t="n">
        <v>7.75448733218585</v>
      </c>
      <c r="F905" s="27" t="n">
        <v>7.97722898647086</v>
      </c>
      <c r="G905" s="25" t="s">
        <v>2133</v>
      </c>
      <c r="H905" s="25" t="s">
        <v>2134</v>
      </c>
      <c r="I905" s="25" t="n">
        <f aca="false">IFERROR(IF(INDEX(Documents!$C$5:$C$657,MATCH(H905,Documents!$A$5:$A$657,0))="","",INDEX(Documents!$C$5:$C$657,MATCH(H905,Documents!$A$5:$A$657,0))),"")</f>
        <v>2010</v>
      </c>
      <c r="J905" s="25" t="str">
        <f aca="false">IFERROR(IF(INDEX(Documents!$D$5:$D$657,MATCH(H905,Documents!$A$5:$A$657,0))="","",INDEX(Documents!$D$5:$D$657,MATCH(H905,Documents!$A$5:$A$657,0))),"")</f>
        <v>Bioorg Med Chem Lett</v>
      </c>
      <c r="K905" s="25" t="str">
        <f aca="false">IFERROR(IF(INDEX(Documents!$G$5:$G$657,MATCH(H905,Documents!$A$5:$A$657,0))="","",INDEX(Documents!$G$5:$G$657,MATCH(H905,Documents!$A$5:$A$657,0))),"")</f>
        <v>10.1016/j.bmcl.2010.07.056</v>
      </c>
      <c r="L905" s="25" t="s">
        <v>2135</v>
      </c>
    </row>
    <row r="906" customFormat="false" ht="15" hidden="false" customHeight="false" outlineLevel="0" collapsed="false">
      <c r="A906" s="25" t="n">
        <v>6366827</v>
      </c>
      <c r="B906" s="25" t="s">
        <v>2227</v>
      </c>
      <c r="C906" s="25" t="s">
        <v>2228</v>
      </c>
      <c r="D906" s="26" t="n">
        <v>6.31</v>
      </c>
      <c r="E906" s="27" t="n">
        <v>8.19997064075587</v>
      </c>
      <c r="F906" s="27" t="n">
        <v>7.97722898647086</v>
      </c>
      <c r="G906" s="25" t="s">
        <v>2229</v>
      </c>
      <c r="H906" s="25" t="s">
        <v>2230</v>
      </c>
      <c r="I906" s="25" t="n">
        <f aca="false">IFERROR(IF(INDEX(Documents!$C$5:$C$657,MATCH(H906,Documents!$A$5:$A$657,0))="","",INDEX(Documents!$C$5:$C$657,MATCH(H906,Documents!$A$5:$A$657,0))),"")</f>
        <v>2011</v>
      </c>
      <c r="J906" s="25" t="str">
        <f aca="false">IFERROR(IF(INDEX(Documents!$D$5:$D$657,MATCH(H906,Documents!$A$5:$A$657,0))="","",INDEX(Documents!$D$5:$D$657,MATCH(H906,Documents!$A$5:$A$657,0))),"")</f>
        <v>Eur J Med Chem</v>
      </c>
      <c r="K906" s="25" t="str">
        <f aca="false">IFERROR(IF(INDEX(Documents!$G$5:$G$657,MATCH(H906,Documents!$A$5:$A$657,0))="","",INDEX(Documents!$G$5:$G$657,MATCH(H906,Documents!$A$5:$A$657,0))),"")</f>
        <v>10.1016/j.ejmech.2011.08.021</v>
      </c>
      <c r="L906" s="25" t="s">
        <v>2231</v>
      </c>
    </row>
    <row r="907" customFormat="false" ht="15" hidden="false" customHeight="false" outlineLevel="0" collapsed="false">
      <c r="A907" s="25" t="n">
        <v>14574075</v>
      </c>
      <c r="B907" s="25" t="s">
        <v>2232</v>
      </c>
      <c r="C907" s="25" t="s">
        <v>2233</v>
      </c>
      <c r="D907" s="26" t="n">
        <v>170.5</v>
      </c>
      <c r="E907" s="27" t="n">
        <v>6.76827561667148</v>
      </c>
      <c r="F907" s="27" t="n">
        <v>6.76827561667148</v>
      </c>
      <c r="G907" s="25" t="s">
        <v>2081</v>
      </c>
      <c r="H907" s="25" t="s">
        <v>1358</v>
      </c>
      <c r="I907" s="25" t="n">
        <f aca="false">IFERROR(IF(INDEX(Documents!$C$5:$C$657,MATCH(H907,Documents!$A$5:$A$657,0))="","",INDEX(Documents!$C$5:$C$657,MATCH(H907,Documents!$A$5:$A$657,0))),"")</f>
        <v>2013</v>
      </c>
      <c r="J907" s="25" t="str">
        <f aca="false">IFERROR(IF(INDEX(Documents!$D$5:$D$657,MATCH(H907,Documents!$A$5:$A$657,0))="","",INDEX(Documents!$D$5:$D$657,MATCH(H907,Documents!$A$5:$A$657,0))),"")</f>
        <v>J Med Chem</v>
      </c>
      <c r="K907" s="25" t="str">
        <f aca="false">IFERROR(IF(INDEX(Documents!$G$5:$G$657,MATCH(H907,Documents!$A$5:$A$657,0))="","",INDEX(Documents!$G$5:$G$657,MATCH(H907,Documents!$A$5:$A$657,0))),"")</f>
        <v>10.1021/jm4005626</v>
      </c>
      <c r="L907" s="25" t="s">
        <v>515</v>
      </c>
    </row>
    <row r="908" customFormat="false" ht="15" hidden="false" customHeight="false" outlineLevel="0" collapsed="false">
      <c r="A908" s="25" t="n">
        <v>14573921</v>
      </c>
      <c r="B908" s="25" t="s">
        <v>2234</v>
      </c>
      <c r="C908" s="25" t="s">
        <v>2235</v>
      </c>
      <c r="D908" s="26" t="n">
        <v>0.032</v>
      </c>
      <c r="E908" s="27" t="n">
        <v>10.4948500216801</v>
      </c>
      <c r="F908" s="27" t="n">
        <v>10.4948500216801</v>
      </c>
      <c r="G908" s="25" t="s">
        <v>2081</v>
      </c>
      <c r="H908" s="25" t="s">
        <v>1358</v>
      </c>
      <c r="I908" s="25" t="n">
        <f aca="false">IFERROR(IF(INDEX(Documents!$C$5:$C$657,MATCH(H908,Documents!$A$5:$A$657,0))="","",INDEX(Documents!$C$5:$C$657,MATCH(H908,Documents!$A$5:$A$657,0))),"")</f>
        <v>2013</v>
      </c>
      <c r="J908" s="25" t="str">
        <f aca="false">IFERROR(IF(INDEX(Documents!$D$5:$D$657,MATCH(H908,Documents!$A$5:$A$657,0))="","",INDEX(Documents!$D$5:$D$657,MATCH(H908,Documents!$A$5:$A$657,0))),"")</f>
        <v>J Med Chem</v>
      </c>
      <c r="K908" s="25" t="str">
        <f aca="false">IFERROR(IF(INDEX(Documents!$G$5:$G$657,MATCH(H908,Documents!$A$5:$A$657,0))="","",INDEX(Documents!$G$5:$G$657,MATCH(H908,Documents!$A$5:$A$657,0))),"")</f>
        <v>10.1021/jm4005626</v>
      </c>
      <c r="L908" s="25" t="s">
        <v>515</v>
      </c>
    </row>
    <row r="909" customFormat="false" ht="15" hidden="false" customHeight="false" outlineLevel="0" collapsed="false">
      <c r="A909" s="25" t="n">
        <v>14657402</v>
      </c>
      <c r="B909" s="25" t="s">
        <v>2236</v>
      </c>
      <c r="C909" s="25" t="s">
        <v>2237</v>
      </c>
      <c r="D909" s="26" t="n">
        <v>52</v>
      </c>
      <c r="E909" s="27" t="n">
        <v>7.2839966563652</v>
      </c>
      <c r="F909" s="27" t="n">
        <v>7.2839966563652</v>
      </c>
      <c r="G909" s="25" t="s">
        <v>2238</v>
      </c>
      <c r="H909" s="25" t="s">
        <v>2239</v>
      </c>
      <c r="I909" s="25" t="n">
        <f aca="false">IFERROR(IF(INDEX(Documents!$C$5:$C$657,MATCH(H909,Documents!$A$5:$A$657,0))="","",INDEX(Documents!$C$5:$C$657,MATCH(H909,Documents!$A$5:$A$657,0))),"")</f>
        <v>2014</v>
      </c>
      <c r="J909" s="25" t="str">
        <f aca="false">IFERROR(IF(INDEX(Documents!$D$5:$D$657,MATCH(H909,Documents!$A$5:$A$657,0))="","",INDEX(Documents!$D$5:$D$657,MATCH(H909,Documents!$A$5:$A$657,0))),"")</f>
        <v>ACS Med Chem Lett</v>
      </c>
      <c r="K909" s="25" t="str">
        <f aca="false">IFERROR(IF(INDEX(Documents!$G$5:$G$657,MATCH(H909,Documents!$A$5:$A$657,0))="","",INDEX(Documents!$G$5:$G$657,MATCH(H909,Documents!$A$5:$A$657,0))),"")</f>
        <v>10.1021/ml4005304</v>
      </c>
      <c r="L909" s="25" t="s">
        <v>2240</v>
      </c>
    </row>
    <row r="910" customFormat="false" ht="15" hidden="false" customHeight="false" outlineLevel="0" collapsed="false">
      <c r="A910" s="25" t="n">
        <v>14657401</v>
      </c>
      <c r="B910" s="25" t="s">
        <v>2241</v>
      </c>
      <c r="C910" s="25" t="s">
        <v>2242</v>
      </c>
      <c r="D910" s="26" t="n">
        <v>94</v>
      </c>
      <c r="E910" s="27" t="n">
        <v>7.0268721464003</v>
      </c>
      <c r="F910" s="27" t="n">
        <v>7.0268721464003</v>
      </c>
      <c r="G910" s="25" t="s">
        <v>2238</v>
      </c>
      <c r="H910" s="25" t="s">
        <v>2239</v>
      </c>
      <c r="I910" s="25" t="n">
        <f aca="false">IFERROR(IF(INDEX(Documents!$C$5:$C$657,MATCH(H910,Documents!$A$5:$A$657,0))="","",INDEX(Documents!$C$5:$C$657,MATCH(H910,Documents!$A$5:$A$657,0))),"")</f>
        <v>2014</v>
      </c>
      <c r="J910" s="25" t="str">
        <f aca="false">IFERROR(IF(INDEX(Documents!$D$5:$D$657,MATCH(H910,Documents!$A$5:$A$657,0))="","",INDEX(Documents!$D$5:$D$657,MATCH(H910,Documents!$A$5:$A$657,0))),"")</f>
        <v>ACS Med Chem Lett</v>
      </c>
      <c r="K910" s="25" t="str">
        <f aca="false">IFERROR(IF(INDEX(Documents!$G$5:$G$657,MATCH(H910,Documents!$A$5:$A$657,0))="","",INDEX(Documents!$G$5:$G$657,MATCH(H910,Documents!$A$5:$A$657,0))),"")</f>
        <v>10.1021/ml4005304</v>
      </c>
      <c r="L910" s="25" t="s">
        <v>2240</v>
      </c>
    </row>
    <row r="911" customFormat="false" ht="15" hidden="false" customHeight="false" outlineLevel="0" collapsed="false">
      <c r="A911" s="25" t="n">
        <v>24382906</v>
      </c>
      <c r="B911" s="25" t="s">
        <v>2243</v>
      </c>
      <c r="C911" s="25" t="s">
        <v>2244</v>
      </c>
      <c r="D911" s="26" t="n">
        <v>2.1</v>
      </c>
      <c r="E911" s="27" t="n">
        <v>8.67778070526608</v>
      </c>
      <c r="F911" s="27" t="n">
        <v>8.67778070526608</v>
      </c>
      <c r="G911" s="25" t="s">
        <v>939</v>
      </c>
      <c r="H911" s="25" t="s">
        <v>940</v>
      </c>
      <c r="I911" s="25" t="n">
        <f aca="false">IFERROR(IF(INDEX(Documents!$C$5:$C$657,MATCH(H911,Documents!$A$5:$A$657,0))="","",INDEX(Documents!$C$5:$C$657,MATCH(H911,Documents!$A$5:$A$657,0))),"")</f>
        <v>2021</v>
      </c>
      <c r="J911" s="25" t="str">
        <f aca="false">IFERROR(IF(INDEX(Documents!$D$5:$D$657,MATCH(H911,Documents!$A$5:$A$657,0))="","",INDEX(Documents!$D$5:$D$657,MATCH(H911,Documents!$A$5:$A$657,0))),"")</f>
        <v>J Med Chem</v>
      </c>
      <c r="K911" s="25" t="str">
        <f aca="false">IFERROR(IF(INDEX(Documents!$G$5:$G$657,MATCH(H911,Documents!$A$5:$A$657,0))="","",INDEX(Documents!$G$5:$G$657,MATCH(H911,Documents!$A$5:$A$657,0))),"")</f>
        <v>10.1021/acs.jmedchem.0c02053</v>
      </c>
      <c r="L911" s="25" t="s">
        <v>941</v>
      </c>
    </row>
    <row r="912" customFormat="false" ht="15" hidden="false" customHeight="false" outlineLevel="0" collapsed="false">
      <c r="A912" s="25" t="n">
        <v>18679891</v>
      </c>
      <c r="B912" s="25" t="s">
        <v>2245</v>
      </c>
      <c r="C912" s="25" t="s">
        <v>2246</v>
      </c>
      <c r="D912" s="26" t="n">
        <v>9</v>
      </c>
      <c r="E912" s="27" t="n">
        <v>8.04575749056068</v>
      </c>
      <c r="F912" s="27" t="n">
        <v>8.04575749056068</v>
      </c>
      <c r="G912" s="25" t="s">
        <v>1623</v>
      </c>
      <c r="H912" s="25" t="s">
        <v>1624</v>
      </c>
      <c r="I912" s="25" t="n">
        <f aca="false">IFERROR(IF(INDEX(Documents!$C$5:$C$657,MATCH(H912,Documents!$A$5:$A$657,0))="","",INDEX(Documents!$C$5:$C$657,MATCH(H912,Documents!$A$5:$A$657,0))),"")</f>
        <v>2018</v>
      </c>
      <c r="J912" s="25" t="str">
        <f aca="false">IFERROR(IF(INDEX(Documents!$D$5:$D$657,MATCH(H912,Documents!$A$5:$A$657,0))="","",INDEX(Documents!$D$5:$D$657,MATCH(H912,Documents!$A$5:$A$657,0))),"")</f>
        <v>Bioorg Med Chem</v>
      </c>
      <c r="K912" s="25" t="str">
        <f aca="false">IFERROR(IF(INDEX(Documents!$G$5:$G$657,MATCH(H912,Documents!$A$5:$A$657,0))="","",INDEX(Documents!$G$5:$G$657,MATCH(H912,Documents!$A$5:$A$657,0))),"")</f>
        <v>10.1016/j.bmc.2018.08.003</v>
      </c>
      <c r="L912" s="25" t="s">
        <v>1625</v>
      </c>
    </row>
    <row r="913" customFormat="false" ht="15" hidden="false" customHeight="false" outlineLevel="0" collapsed="false">
      <c r="A913" s="25" t="n">
        <v>1846061</v>
      </c>
      <c r="B913" s="25" t="s">
        <v>2247</v>
      </c>
      <c r="C913" s="25" t="s">
        <v>2248</v>
      </c>
      <c r="D913" s="26" t="n">
        <v>150</v>
      </c>
      <c r="E913" s="27" t="n">
        <v>6.82390874094432</v>
      </c>
      <c r="F913" s="27" t="n">
        <v>6.82390874094432</v>
      </c>
      <c r="G913" s="25" t="s">
        <v>2249</v>
      </c>
      <c r="H913" s="25" t="s">
        <v>2250</v>
      </c>
      <c r="I913" s="25" t="n">
        <f aca="false">IFERROR(IF(INDEX(Documents!$C$5:$C$657,MATCH(H913,Documents!$A$5:$A$657,0))="","",INDEX(Documents!$C$5:$C$657,MATCH(H913,Documents!$A$5:$A$657,0))),"")</f>
        <v>2005</v>
      </c>
      <c r="J913" s="25" t="str">
        <f aca="false">IFERROR(IF(INDEX(Documents!$D$5:$D$657,MATCH(H913,Documents!$A$5:$A$657,0))="","",INDEX(Documents!$D$5:$D$657,MATCH(H913,Documents!$A$5:$A$657,0))),"")</f>
        <v>J Med Chem</v>
      </c>
      <c r="K913" s="25" t="str">
        <f aca="false">IFERROR(IF(INDEX(Documents!$G$5:$G$657,MATCH(H913,Documents!$A$5:$A$657,0))="","",INDEX(Documents!$G$5:$G$657,MATCH(H913,Documents!$A$5:$A$657,0))),"")</f>
        <v>10.1021/jm0501533</v>
      </c>
      <c r="L913" s="25" t="s">
        <v>2251</v>
      </c>
    </row>
    <row r="914" customFormat="false" ht="15" hidden="false" customHeight="false" outlineLevel="0" collapsed="false">
      <c r="A914" s="25" t="n">
        <v>29155896</v>
      </c>
      <c r="B914" s="25" t="s">
        <v>2252</v>
      </c>
      <c r="C914" s="25" t="s">
        <v>2253</v>
      </c>
      <c r="D914" s="26" t="n">
        <v>96</v>
      </c>
      <c r="E914" s="27" t="n">
        <v>7.01772876696043</v>
      </c>
      <c r="F914" s="27" t="n">
        <v>7.01772876696043</v>
      </c>
      <c r="G914" s="25" t="s">
        <v>2254</v>
      </c>
      <c r="H914" s="25" t="s">
        <v>2255</v>
      </c>
      <c r="I914" s="25" t="n">
        <f aca="false">IFERROR(IF(INDEX(Documents!$C$5:$C$657,MATCH(H914,Documents!$A$5:$A$657,0))="","",INDEX(Documents!$C$5:$C$657,MATCH(H914,Documents!$A$5:$A$657,0))),"")</f>
        <v>2025</v>
      </c>
      <c r="J914" s="25" t="str">
        <f aca="false">IFERROR(IF(INDEX(Documents!$D$5:$D$657,MATCH(H914,Documents!$A$5:$A$657,0))="","",INDEX(Documents!$D$5:$D$657,MATCH(H914,Documents!$A$5:$A$657,0))),"")</f>
        <v>Eur J Med Chem</v>
      </c>
      <c r="K914" s="25" t="str">
        <f aca="false">IFERROR(IF(INDEX(Documents!$G$5:$G$657,MATCH(H914,Documents!$A$5:$A$657,0))="","",INDEX(Documents!$G$5:$G$657,MATCH(H914,Documents!$A$5:$A$657,0))),"")</f>
        <v>10.1016/j.ejmech.2025.117262</v>
      </c>
      <c r="L914" s="25" t="s">
        <v>1359</v>
      </c>
    </row>
    <row r="915" customFormat="false" ht="15" hidden="false" customHeight="false" outlineLevel="0" collapsed="false">
      <c r="A915" s="25" t="n">
        <v>19404952</v>
      </c>
      <c r="B915" s="25" t="s">
        <v>2256</v>
      </c>
      <c r="C915" s="25" t="s">
        <v>2257</v>
      </c>
      <c r="D915" s="26" t="n">
        <v>39.6</v>
      </c>
      <c r="E915" s="27" t="n">
        <v>7.40230481407449</v>
      </c>
      <c r="F915" s="27" t="n">
        <v>7.40230481407449</v>
      </c>
      <c r="G915" s="25" t="s">
        <v>2258</v>
      </c>
      <c r="H915" s="25" t="s">
        <v>2259</v>
      </c>
      <c r="I915" s="25" t="n">
        <f aca="false">IFERROR(IF(INDEX(Documents!$C$5:$C$657,MATCH(H915,Documents!$A$5:$A$657,0))="","",INDEX(Documents!$C$5:$C$657,MATCH(H915,Documents!$A$5:$A$657,0))),"")</f>
        <v>2016</v>
      </c>
      <c r="J915" s="25" t="str">
        <f aca="false">IFERROR(IF(INDEX(Documents!$D$5:$D$657,MATCH(H915,Documents!$A$5:$A$657,0))="","",INDEX(Documents!$D$5:$D$657,MATCH(H915,Documents!$A$5:$A$657,0))),"")</f>
        <v>J Med Chem</v>
      </c>
      <c r="K915" s="25" t="str">
        <f aca="false">IFERROR(IF(INDEX(Documents!$G$5:$G$657,MATCH(H915,Documents!$A$5:$A$657,0))="","",INDEX(Documents!$G$5:$G$657,MATCH(H915,Documents!$A$5:$A$657,0))),"")</f>
        <v>10.1021/acs.jmedchem.6b00397</v>
      </c>
      <c r="L915" s="25" t="s">
        <v>2260</v>
      </c>
    </row>
    <row r="916" customFormat="false" ht="15" hidden="false" customHeight="false" outlineLevel="0" collapsed="false">
      <c r="A916" s="25" t="n">
        <v>19404953</v>
      </c>
      <c r="B916" s="25" t="s">
        <v>2261</v>
      </c>
      <c r="C916" s="25" t="s">
        <v>2262</v>
      </c>
      <c r="D916" s="26" t="n">
        <v>59.4</v>
      </c>
      <c r="E916" s="27" t="n">
        <v>7.22621355501881</v>
      </c>
      <c r="F916" s="27" t="n">
        <v>7.22621355501881</v>
      </c>
      <c r="G916" s="25" t="s">
        <v>2258</v>
      </c>
      <c r="H916" s="25" t="s">
        <v>2259</v>
      </c>
      <c r="I916" s="25" t="n">
        <f aca="false">IFERROR(IF(INDEX(Documents!$C$5:$C$657,MATCH(H916,Documents!$A$5:$A$657,0))="","",INDEX(Documents!$C$5:$C$657,MATCH(H916,Documents!$A$5:$A$657,0))),"")</f>
        <v>2016</v>
      </c>
      <c r="J916" s="25" t="str">
        <f aca="false">IFERROR(IF(INDEX(Documents!$D$5:$D$657,MATCH(H916,Documents!$A$5:$A$657,0))="","",INDEX(Documents!$D$5:$D$657,MATCH(H916,Documents!$A$5:$A$657,0))),"")</f>
        <v>J Med Chem</v>
      </c>
      <c r="K916" s="25" t="str">
        <f aca="false">IFERROR(IF(INDEX(Documents!$G$5:$G$657,MATCH(H916,Documents!$A$5:$A$657,0))="","",INDEX(Documents!$G$5:$G$657,MATCH(H916,Documents!$A$5:$A$657,0))),"")</f>
        <v>10.1021/acs.jmedchem.6b00397</v>
      </c>
      <c r="L916" s="25" t="s">
        <v>2260</v>
      </c>
    </row>
    <row r="917" customFormat="false" ht="15" hidden="false" customHeight="false" outlineLevel="0" collapsed="false">
      <c r="A917" s="25" t="n">
        <v>19404949</v>
      </c>
      <c r="B917" s="25" t="s">
        <v>2263</v>
      </c>
      <c r="C917" s="25" t="s">
        <v>2264</v>
      </c>
      <c r="D917" s="26" t="n">
        <v>270</v>
      </c>
      <c r="E917" s="27" t="n">
        <v>6.56863623584101</v>
      </c>
      <c r="F917" s="27" t="n">
        <v>6.56863623584101</v>
      </c>
      <c r="G917" s="25" t="s">
        <v>2258</v>
      </c>
      <c r="H917" s="25" t="s">
        <v>2259</v>
      </c>
      <c r="I917" s="25" t="n">
        <f aca="false">IFERROR(IF(INDEX(Documents!$C$5:$C$657,MATCH(H917,Documents!$A$5:$A$657,0))="","",INDEX(Documents!$C$5:$C$657,MATCH(H917,Documents!$A$5:$A$657,0))),"")</f>
        <v>2016</v>
      </c>
      <c r="J917" s="25" t="str">
        <f aca="false">IFERROR(IF(INDEX(Documents!$D$5:$D$657,MATCH(H917,Documents!$A$5:$A$657,0))="","",INDEX(Documents!$D$5:$D$657,MATCH(H917,Documents!$A$5:$A$657,0))),"")</f>
        <v>J Med Chem</v>
      </c>
      <c r="K917" s="25" t="str">
        <f aca="false">IFERROR(IF(INDEX(Documents!$G$5:$G$657,MATCH(H917,Documents!$A$5:$A$657,0))="","",INDEX(Documents!$G$5:$G$657,MATCH(H917,Documents!$A$5:$A$657,0))),"")</f>
        <v>10.1021/acs.jmedchem.6b00397</v>
      </c>
      <c r="L917" s="25" t="s">
        <v>2260</v>
      </c>
    </row>
    <row r="918" customFormat="false" ht="15" hidden="false" customHeight="false" outlineLevel="0" collapsed="false">
      <c r="A918" s="25" t="n">
        <v>19404955</v>
      </c>
      <c r="B918" s="25" t="s">
        <v>2265</v>
      </c>
      <c r="C918" s="25" t="s">
        <v>2266</v>
      </c>
      <c r="D918" s="26" t="n">
        <v>562</v>
      </c>
      <c r="E918" s="27" t="n">
        <v>6.25026368443094</v>
      </c>
      <c r="F918" s="27" t="n">
        <v>6.25026368443094</v>
      </c>
      <c r="G918" s="25" t="s">
        <v>2258</v>
      </c>
      <c r="H918" s="25" t="s">
        <v>2259</v>
      </c>
      <c r="I918" s="25" t="n">
        <f aca="false">IFERROR(IF(INDEX(Documents!$C$5:$C$657,MATCH(H918,Documents!$A$5:$A$657,0))="","",INDEX(Documents!$C$5:$C$657,MATCH(H918,Documents!$A$5:$A$657,0))),"")</f>
        <v>2016</v>
      </c>
      <c r="J918" s="25" t="str">
        <f aca="false">IFERROR(IF(INDEX(Documents!$D$5:$D$657,MATCH(H918,Documents!$A$5:$A$657,0))="","",INDEX(Documents!$D$5:$D$657,MATCH(H918,Documents!$A$5:$A$657,0))),"")</f>
        <v>J Med Chem</v>
      </c>
      <c r="K918" s="25" t="str">
        <f aca="false">IFERROR(IF(INDEX(Documents!$G$5:$G$657,MATCH(H918,Documents!$A$5:$A$657,0))="","",INDEX(Documents!$G$5:$G$657,MATCH(H918,Documents!$A$5:$A$657,0))),"")</f>
        <v>10.1021/acs.jmedchem.6b00397</v>
      </c>
      <c r="L918" s="25" t="s">
        <v>2260</v>
      </c>
    </row>
    <row r="919" customFormat="false" ht="15" hidden="false" customHeight="false" outlineLevel="0" collapsed="false">
      <c r="A919" s="25" t="n">
        <v>19404956</v>
      </c>
      <c r="B919" s="25" t="s">
        <v>2267</v>
      </c>
      <c r="C919" s="25" t="s">
        <v>2268</v>
      </c>
      <c r="D919" s="26" t="n">
        <v>53.7</v>
      </c>
      <c r="E919" s="27" t="n">
        <v>7.27002571430044</v>
      </c>
      <c r="F919" s="27" t="n">
        <v>7.27002571430044</v>
      </c>
      <c r="G919" s="25" t="s">
        <v>2258</v>
      </c>
      <c r="H919" s="25" t="s">
        <v>2259</v>
      </c>
      <c r="I919" s="25" t="n">
        <f aca="false">IFERROR(IF(INDEX(Documents!$C$5:$C$657,MATCH(H919,Documents!$A$5:$A$657,0))="","",INDEX(Documents!$C$5:$C$657,MATCH(H919,Documents!$A$5:$A$657,0))),"")</f>
        <v>2016</v>
      </c>
      <c r="J919" s="25" t="str">
        <f aca="false">IFERROR(IF(INDEX(Documents!$D$5:$D$657,MATCH(H919,Documents!$A$5:$A$657,0))="","",INDEX(Documents!$D$5:$D$657,MATCH(H919,Documents!$A$5:$A$657,0))),"")</f>
        <v>J Med Chem</v>
      </c>
      <c r="K919" s="25" t="str">
        <f aca="false">IFERROR(IF(INDEX(Documents!$G$5:$G$657,MATCH(H919,Documents!$A$5:$A$657,0))="","",INDEX(Documents!$G$5:$G$657,MATCH(H919,Documents!$A$5:$A$657,0))),"")</f>
        <v>10.1021/acs.jmedchem.6b00397</v>
      </c>
      <c r="L919" s="25" t="s">
        <v>2260</v>
      </c>
    </row>
    <row r="920" customFormat="false" ht="15" hidden="false" customHeight="false" outlineLevel="0" collapsed="false">
      <c r="A920" s="25" t="n">
        <v>19404951</v>
      </c>
      <c r="B920" s="25" t="s">
        <v>2269</v>
      </c>
      <c r="C920" s="25" t="s">
        <v>2270</v>
      </c>
      <c r="D920" s="26" t="n">
        <v>366</v>
      </c>
      <c r="E920" s="27" t="n">
        <v>6.43651891460559</v>
      </c>
      <c r="F920" s="27" t="n">
        <v>6.43651891460559</v>
      </c>
      <c r="G920" s="25" t="s">
        <v>2258</v>
      </c>
      <c r="H920" s="25" t="s">
        <v>2259</v>
      </c>
      <c r="I920" s="25" t="n">
        <f aca="false">IFERROR(IF(INDEX(Documents!$C$5:$C$657,MATCH(H920,Documents!$A$5:$A$657,0))="","",INDEX(Documents!$C$5:$C$657,MATCH(H920,Documents!$A$5:$A$657,0))),"")</f>
        <v>2016</v>
      </c>
      <c r="J920" s="25" t="str">
        <f aca="false">IFERROR(IF(INDEX(Documents!$D$5:$D$657,MATCH(H920,Documents!$A$5:$A$657,0))="","",INDEX(Documents!$D$5:$D$657,MATCH(H920,Documents!$A$5:$A$657,0))),"")</f>
        <v>J Med Chem</v>
      </c>
      <c r="K920" s="25" t="str">
        <f aca="false">IFERROR(IF(INDEX(Documents!$G$5:$G$657,MATCH(H920,Documents!$A$5:$A$657,0))="","",INDEX(Documents!$G$5:$G$657,MATCH(H920,Documents!$A$5:$A$657,0))),"")</f>
        <v>10.1021/acs.jmedchem.6b00397</v>
      </c>
      <c r="L920" s="25" t="s">
        <v>2260</v>
      </c>
    </row>
    <row r="921" customFormat="false" ht="15" hidden="false" customHeight="false" outlineLevel="0" collapsed="false">
      <c r="A921" s="25" t="n">
        <v>19404984</v>
      </c>
      <c r="B921" s="25" t="s">
        <v>2271</v>
      </c>
      <c r="C921" s="25" t="s">
        <v>2272</v>
      </c>
      <c r="D921" s="26" t="n">
        <v>5.3</v>
      </c>
      <c r="E921" s="27" t="n">
        <v>8.27572413039921</v>
      </c>
      <c r="F921" s="27" t="n">
        <v>8.27572413039921</v>
      </c>
      <c r="G921" s="25" t="s">
        <v>2258</v>
      </c>
      <c r="H921" s="25" t="s">
        <v>2259</v>
      </c>
      <c r="I921" s="25" t="n">
        <f aca="false">IFERROR(IF(INDEX(Documents!$C$5:$C$657,MATCH(H921,Documents!$A$5:$A$657,0))="","",INDEX(Documents!$C$5:$C$657,MATCH(H921,Documents!$A$5:$A$657,0))),"")</f>
        <v>2016</v>
      </c>
      <c r="J921" s="25" t="str">
        <f aca="false">IFERROR(IF(INDEX(Documents!$D$5:$D$657,MATCH(H921,Documents!$A$5:$A$657,0))="","",INDEX(Documents!$D$5:$D$657,MATCH(H921,Documents!$A$5:$A$657,0))),"")</f>
        <v>J Med Chem</v>
      </c>
      <c r="K921" s="25" t="str">
        <f aca="false">IFERROR(IF(INDEX(Documents!$G$5:$G$657,MATCH(H921,Documents!$A$5:$A$657,0))="","",INDEX(Documents!$G$5:$G$657,MATCH(H921,Documents!$A$5:$A$657,0))),"")</f>
        <v>10.1021/acs.jmedchem.6b00397</v>
      </c>
      <c r="L921" s="25" t="s">
        <v>2260</v>
      </c>
    </row>
    <row r="922" customFormat="false" ht="15" hidden="false" customHeight="false" outlineLevel="0" collapsed="false">
      <c r="A922" s="25" t="n">
        <v>25073170</v>
      </c>
      <c r="B922" s="25" t="s">
        <v>2273</v>
      </c>
      <c r="C922" s="25" t="s">
        <v>2274</v>
      </c>
      <c r="D922" s="26" t="n">
        <v>3.1</v>
      </c>
      <c r="E922" s="27" t="n">
        <v>8.50863830616573</v>
      </c>
      <c r="F922" s="27" t="n">
        <v>8.50863830616573</v>
      </c>
      <c r="G922" s="25" t="s">
        <v>2275</v>
      </c>
      <c r="H922" s="25" t="s">
        <v>2276</v>
      </c>
      <c r="I922" s="25" t="n">
        <f aca="false">IFERROR(IF(INDEX(Documents!$C$5:$C$657,MATCH(H922,Documents!$A$5:$A$657,0))="","",INDEX(Documents!$C$5:$C$657,MATCH(H922,Documents!$A$5:$A$657,0))),"")</f>
        <v>2016</v>
      </c>
      <c r="J922" s="25" t="str">
        <f aca="false">IFERROR(IF(INDEX(Documents!$D$5:$D$657,MATCH(H922,Documents!$A$5:$A$657,0))="","",INDEX(Documents!$D$5:$D$657,MATCH(H922,Documents!$A$5:$A$657,0))),"")</f>
        <v>Eur J Med Chem</v>
      </c>
      <c r="K922" s="25" t="str">
        <f aca="false">IFERROR(IF(INDEX(Documents!$G$5:$G$657,MATCH(H922,Documents!$A$5:$A$657,0))="","",INDEX(Documents!$G$5:$G$657,MATCH(H922,Documents!$A$5:$A$657,0))),"")</f>
        <v>10.1016/j.ejmech.2016.07.057</v>
      </c>
      <c r="L922" s="25" t="s">
        <v>2277</v>
      </c>
    </row>
    <row r="923" customFormat="false" ht="15" hidden="false" customHeight="false" outlineLevel="0" collapsed="false">
      <c r="A923" s="25" t="n">
        <v>2251142</v>
      </c>
      <c r="B923" s="25" t="s">
        <v>2278</v>
      </c>
      <c r="C923" s="25" t="s">
        <v>2279</v>
      </c>
      <c r="D923" s="26" t="n">
        <v>0.82</v>
      </c>
      <c r="E923" s="27" t="n">
        <v>9.08618614761628</v>
      </c>
      <c r="F923" s="27" t="n">
        <v>9.08618614761628</v>
      </c>
      <c r="G923" s="25" t="s">
        <v>2152</v>
      </c>
      <c r="H923" s="25" t="s">
        <v>2153</v>
      </c>
      <c r="I923" s="25" t="n">
        <f aca="false">IFERROR(IF(INDEX(Documents!$C$5:$C$657,MATCH(H923,Documents!$A$5:$A$657,0))="","",INDEX(Documents!$C$5:$C$657,MATCH(H923,Documents!$A$5:$A$657,0))),"")</f>
        <v>2009</v>
      </c>
      <c r="J923" s="25" t="str">
        <f aca="false">IFERROR(IF(INDEX(Documents!$D$5:$D$657,MATCH(H923,Documents!$A$5:$A$657,0))="","",INDEX(Documents!$D$5:$D$657,MATCH(H923,Documents!$A$5:$A$657,0))),"")</f>
        <v>J Med Chem</v>
      </c>
      <c r="K923" s="25" t="str">
        <f aca="false">IFERROR(IF(INDEX(Documents!$G$5:$G$657,MATCH(H923,Documents!$A$5:$A$657,0))="","",INDEX(Documents!$G$5:$G$657,MATCH(H923,Documents!$A$5:$A$657,0))),"")</f>
        <v>10.1021/jm801044g</v>
      </c>
      <c r="L923" s="25" t="s">
        <v>2020</v>
      </c>
    </row>
    <row r="924" customFormat="false" ht="15" hidden="false" customHeight="false" outlineLevel="0" collapsed="false">
      <c r="A924" s="25" t="n">
        <v>25073169</v>
      </c>
      <c r="B924" s="25" t="s">
        <v>2280</v>
      </c>
      <c r="C924" s="25" t="s">
        <v>2281</v>
      </c>
      <c r="D924" s="26" t="n">
        <v>6.7</v>
      </c>
      <c r="E924" s="27" t="n">
        <v>8.17392519729917</v>
      </c>
      <c r="F924" s="27" t="n">
        <v>8.17392519729917</v>
      </c>
      <c r="G924" s="25" t="s">
        <v>2275</v>
      </c>
      <c r="H924" s="25" t="s">
        <v>2276</v>
      </c>
      <c r="I924" s="25" t="n">
        <f aca="false">IFERROR(IF(INDEX(Documents!$C$5:$C$657,MATCH(H924,Documents!$A$5:$A$657,0))="","",INDEX(Documents!$C$5:$C$657,MATCH(H924,Documents!$A$5:$A$657,0))),"")</f>
        <v>2016</v>
      </c>
      <c r="J924" s="25" t="str">
        <f aca="false">IFERROR(IF(INDEX(Documents!$D$5:$D$657,MATCH(H924,Documents!$A$5:$A$657,0))="","",INDEX(Documents!$D$5:$D$657,MATCH(H924,Documents!$A$5:$A$657,0))),"")</f>
        <v>Eur J Med Chem</v>
      </c>
      <c r="K924" s="25" t="str">
        <f aca="false">IFERROR(IF(INDEX(Documents!$G$5:$G$657,MATCH(H924,Documents!$A$5:$A$657,0))="","",INDEX(Documents!$G$5:$G$657,MATCH(H924,Documents!$A$5:$A$657,0))),"")</f>
        <v>10.1016/j.ejmech.2016.07.057</v>
      </c>
      <c r="L924" s="25" t="s">
        <v>2277</v>
      </c>
    </row>
    <row r="925" customFormat="false" ht="15" hidden="false" customHeight="false" outlineLevel="0" collapsed="false">
      <c r="A925" s="25" t="n">
        <v>12137485</v>
      </c>
      <c r="B925" s="25" t="s">
        <v>2282</v>
      </c>
      <c r="C925" s="25" t="s">
        <v>2283</v>
      </c>
      <c r="D925" s="26" t="n">
        <v>465</v>
      </c>
      <c r="E925" s="27" t="n">
        <v>6.33254704711005</v>
      </c>
      <c r="F925" s="27" t="n">
        <v>6.33254704711005</v>
      </c>
      <c r="G925" s="25" t="s">
        <v>2120</v>
      </c>
      <c r="H925" s="25" t="s">
        <v>2121</v>
      </c>
      <c r="I925" s="25" t="n">
        <f aca="false">IFERROR(IF(INDEX(Documents!$C$5:$C$657,MATCH(H925,Documents!$A$5:$A$657,0))="","",INDEX(Documents!$C$5:$C$657,MATCH(H925,Documents!$A$5:$A$657,0))),"")</f>
        <v>2012</v>
      </c>
      <c r="J925" s="25" t="str">
        <f aca="false">IFERROR(IF(INDEX(Documents!$D$5:$D$657,MATCH(H925,Documents!$A$5:$A$657,0))="","",INDEX(Documents!$D$5:$D$657,MATCH(H925,Documents!$A$5:$A$657,0))),"")</f>
        <v>J Med Chem</v>
      </c>
      <c r="K925" s="25" t="str">
        <f aca="false">IFERROR(IF(INDEX(Documents!$G$5:$G$657,MATCH(H925,Documents!$A$5:$A$657,0))="","",INDEX(Documents!$G$5:$G$657,MATCH(H925,Documents!$A$5:$A$657,0))),"")</f>
        <v>10.1021/jm3008213</v>
      </c>
      <c r="L925" s="25" t="s">
        <v>2122</v>
      </c>
    </row>
    <row r="926" customFormat="false" ht="15" hidden="false" customHeight="false" outlineLevel="0" collapsed="false">
      <c r="A926" s="25" t="n">
        <v>23303574</v>
      </c>
      <c r="B926" s="25" t="s">
        <v>2284</v>
      </c>
      <c r="C926" s="25" t="s">
        <v>2285</v>
      </c>
      <c r="D926" s="26" t="n">
        <v>223.87</v>
      </c>
      <c r="E926" s="27" t="n">
        <v>6.65000410073714</v>
      </c>
      <c r="F926" s="27" t="n">
        <v>6.65182556314325</v>
      </c>
      <c r="G926" s="25" t="s">
        <v>1996</v>
      </c>
      <c r="H926" s="25" t="s">
        <v>1997</v>
      </c>
      <c r="I926" s="25" t="n">
        <f aca="false">IFERROR(IF(INDEX(Documents!$C$5:$C$657,MATCH(H926,Documents!$A$5:$A$657,0))="","",INDEX(Documents!$C$5:$C$657,MATCH(H926,Documents!$A$5:$A$657,0))),"")</f>
        <v>2021</v>
      </c>
      <c r="J926" s="25" t="str">
        <f aca="false">IFERROR(IF(INDEX(Documents!$D$5:$D$657,MATCH(H926,Documents!$A$5:$A$657,0))="","",INDEX(Documents!$D$5:$D$657,MATCH(H926,Documents!$A$5:$A$657,0))),"")</f>
        <v>Eur J Med Chem</v>
      </c>
      <c r="K926" s="25" t="str">
        <f aca="false">IFERROR(IF(INDEX(Documents!$G$5:$G$657,MATCH(H926,Documents!$A$5:$A$657,0))="","",INDEX(Documents!$G$5:$G$657,MATCH(H926,Documents!$A$5:$A$657,0))),"")</f>
        <v>10.1016/j.ejmech.2021.113354</v>
      </c>
      <c r="L926" s="25" t="s">
        <v>1998</v>
      </c>
    </row>
    <row r="927" customFormat="false" ht="15" hidden="false" customHeight="false" outlineLevel="0" collapsed="false">
      <c r="A927" s="25" t="n">
        <v>23303516</v>
      </c>
      <c r="B927" s="25" t="s">
        <v>2284</v>
      </c>
      <c r="C927" s="25" t="s">
        <v>2285</v>
      </c>
      <c r="D927" s="26" t="n">
        <v>222</v>
      </c>
      <c r="E927" s="27" t="n">
        <v>6.65364702554936</v>
      </c>
      <c r="F927" s="27" t="n">
        <v>6.65182556314325</v>
      </c>
      <c r="G927" s="25" t="s">
        <v>1996</v>
      </c>
      <c r="H927" s="25" t="s">
        <v>1997</v>
      </c>
      <c r="I927" s="25" t="n">
        <f aca="false">IFERROR(IF(INDEX(Documents!$C$5:$C$657,MATCH(H927,Documents!$A$5:$A$657,0))="","",INDEX(Documents!$C$5:$C$657,MATCH(H927,Documents!$A$5:$A$657,0))),"")</f>
        <v>2021</v>
      </c>
      <c r="J927" s="25" t="str">
        <f aca="false">IFERROR(IF(INDEX(Documents!$D$5:$D$657,MATCH(H927,Documents!$A$5:$A$657,0))="","",INDEX(Documents!$D$5:$D$657,MATCH(H927,Documents!$A$5:$A$657,0))),"")</f>
        <v>Eur J Med Chem</v>
      </c>
      <c r="K927" s="25" t="str">
        <f aca="false">IFERROR(IF(INDEX(Documents!$G$5:$G$657,MATCH(H927,Documents!$A$5:$A$657,0))="","",INDEX(Documents!$G$5:$G$657,MATCH(H927,Documents!$A$5:$A$657,0))),"")</f>
        <v>10.1016/j.ejmech.2021.113354</v>
      </c>
      <c r="L927" s="25" t="s">
        <v>1998</v>
      </c>
    </row>
    <row r="928" customFormat="false" ht="15" hidden="false" customHeight="false" outlineLevel="0" collapsed="false">
      <c r="A928" s="25" t="n">
        <v>12137483</v>
      </c>
      <c r="B928" s="25" t="s">
        <v>2286</v>
      </c>
      <c r="C928" s="25" t="s">
        <v>2287</v>
      </c>
      <c r="D928" s="26" t="n">
        <v>210</v>
      </c>
      <c r="E928" s="27" t="n">
        <v>6.67778070526608</v>
      </c>
      <c r="F928" s="27" t="n">
        <v>6.67778070526608</v>
      </c>
      <c r="G928" s="25" t="s">
        <v>2120</v>
      </c>
      <c r="H928" s="25" t="s">
        <v>2121</v>
      </c>
      <c r="I928" s="25" t="n">
        <f aca="false">IFERROR(IF(INDEX(Documents!$C$5:$C$657,MATCH(H928,Documents!$A$5:$A$657,0))="","",INDEX(Documents!$C$5:$C$657,MATCH(H928,Documents!$A$5:$A$657,0))),"")</f>
        <v>2012</v>
      </c>
      <c r="J928" s="25" t="str">
        <f aca="false">IFERROR(IF(INDEX(Documents!$D$5:$D$657,MATCH(H928,Documents!$A$5:$A$657,0))="","",INDEX(Documents!$D$5:$D$657,MATCH(H928,Documents!$A$5:$A$657,0))),"")</f>
        <v>J Med Chem</v>
      </c>
      <c r="K928" s="25" t="str">
        <f aca="false">IFERROR(IF(INDEX(Documents!$G$5:$G$657,MATCH(H928,Documents!$A$5:$A$657,0))="","",INDEX(Documents!$G$5:$G$657,MATCH(H928,Documents!$A$5:$A$657,0))),"")</f>
        <v>10.1021/jm3008213</v>
      </c>
      <c r="L928" s="25" t="s">
        <v>2122</v>
      </c>
    </row>
    <row r="929" customFormat="false" ht="15" hidden="false" customHeight="false" outlineLevel="0" collapsed="false">
      <c r="A929" s="25" t="n">
        <v>15052072</v>
      </c>
      <c r="B929" s="25" t="s">
        <v>2288</v>
      </c>
      <c r="C929" s="25" t="s">
        <v>2289</v>
      </c>
      <c r="D929" s="26" t="n">
        <v>814.8</v>
      </c>
      <c r="E929" s="27" t="n">
        <v>6.08894897967187</v>
      </c>
      <c r="F929" s="27" t="n">
        <v>6.08894897967187</v>
      </c>
      <c r="G929" s="25" t="s">
        <v>523</v>
      </c>
      <c r="H929" s="25" t="s">
        <v>524</v>
      </c>
      <c r="I929" s="25" t="n">
        <f aca="false">IFERROR(IF(INDEX(Documents!$C$5:$C$657,MATCH(H929,Documents!$A$5:$A$657,0))="","",INDEX(Documents!$C$5:$C$657,MATCH(H929,Documents!$A$5:$A$657,0))),"")</f>
        <v>2014</v>
      </c>
      <c r="J929" s="25" t="str">
        <f aca="false">IFERROR(IF(INDEX(Documents!$D$5:$D$657,MATCH(H929,Documents!$A$5:$A$657,0))="","",INDEX(Documents!$D$5:$D$657,MATCH(H929,Documents!$A$5:$A$657,0))),"")</f>
        <v>Bioorg Med Chem</v>
      </c>
      <c r="K929" s="25" t="str">
        <f aca="false">IFERROR(IF(INDEX(Documents!$G$5:$G$657,MATCH(H929,Documents!$A$5:$A$657,0))="","",INDEX(Documents!$G$5:$G$657,MATCH(H929,Documents!$A$5:$A$657,0))),"")</f>
        <v>10.1016/j.bmc.2014.07.006</v>
      </c>
      <c r="L929" s="25" t="s">
        <v>525</v>
      </c>
    </row>
    <row r="930" customFormat="false" ht="15" hidden="false" customHeight="false" outlineLevel="0" collapsed="false">
      <c r="A930" s="25" t="n">
        <v>2422706</v>
      </c>
      <c r="B930" s="25" t="s">
        <v>2290</v>
      </c>
      <c r="C930" s="25" t="s">
        <v>2291</v>
      </c>
      <c r="D930" s="26" t="n">
        <v>7.943</v>
      </c>
      <c r="E930" s="27" t="n">
        <v>8.10001543745061</v>
      </c>
      <c r="F930" s="27" t="n">
        <v>8.10119417308008</v>
      </c>
      <c r="G930" s="25" t="s">
        <v>1044</v>
      </c>
      <c r="H930" s="25" t="s">
        <v>1045</v>
      </c>
      <c r="I930" s="25" t="n">
        <f aca="false">IFERROR(IF(INDEX(Documents!$C$5:$C$657,MATCH(H930,Documents!$A$5:$A$657,0))="","",INDEX(Documents!$C$5:$C$657,MATCH(H930,Documents!$A$5:$A$657,0))),"")</f>
        <v>2009</v>
      </c>
      <c r="J930" s="25" t="str">
        <f aca="false">IFERROR(IF(INDEX(Documents!$D$5:$D$657,MATCH(H930,Documents!$A$5:$A$657,0))="","",INDEX(Documents!$D$5:$D$657,MATCH(H930,Documents!$A$5:$A$657,0))),"")</f>
        <v>J Med Chem</v>
      </c>
      <c r="K930" s="25" t="str">
        <f aca="false">IFERROR(IF(INDEX(Documents!$G$5:$G$657,MATCH(H930,Documents!$A$5:$A$657,0))="","",INDEX(Documents!$G$5:$G$657,MATCH(H930,Documents!$A$5:$A$657,0))),"")</f>
        <v>10.1021/jm8016255</v>
      </c>
      <c r="L930" s="25" t="s">
        <v>1046</v>
      </c>
    </row>
    <row r="931" customFormat="false" ht="15" hidden="false" customHeight="false" outlineLevel="0" collapsed="false">
      <c r="A931" s="25" t="n">
        <v>2422638</v>
      </c>
      <c r="B931" s="25" t="s">
        <v>2290</v>
      </c>
      <c r="C931" s="25" t="s">
        <v>2291</v>
      </c>
      <c r="D931" s="26" t="n">
        <v>7.9</v>
      </c>
      <c r="E931" s="27" t="n">
        <v>8.10237290870956</v>
      </c>
      <c r="F931" s="27" t="n">
        <v>8.10119417308008</v>
      </c>
      <c r="G931" s="25" t="s">
        <v>1044</v>
      </c>
      <c r="H931" s="25" t="s">
        <v>1045</v>
      </c>
      <c r="I931" s="25" t="n">
        <f aca="false">IFERROR(IF(INDEX(Documents!$C$5:$C$657,MATCH(H931,Documents!$A$5:$A$657,0))="","",INDEX(Documents!$C$5:$C$657,MATCH(H931,Documents!$A$5:$A$657,0))),"")</f>
        <v>2009</v>
      </c>
      <c r="J931" s="25" t="str">
        <f aca="false">IFERROR(IF(INDEX(Documents!$D$5:$D$657,MATCH(H931,Documents!$A$5:$A$657,0))="","",INDEX(Documents!$D$5:$D$657,MATCH(H931,Documents!$A$5:$A$657,0))),"")</f>
        <v>J Med Chem</v>
      </c>
      <c r="K931" s="25" t="str">
        <f aca="false">IFERROR(IF(INDEX(Documents!$G$5:$G$657,MATCH(H931,Documents!$A$5:$A$657,0))="","",INDEX(Documents!$G$5:$G$657,MATCH(H931,Documents!$A$5:$A$657,0))),"")</f>
        <v>10.1021/jm8016255</v>
      </c>
      <c r="L931" s="25" t="s">
        <v>1046</v>
      </c>
    </row>
    <row r="932" customFormat="false" ht="15" hidden="false" customHeight="false" outlineLevel="0" collapsed="false">
      <c r="A932" s="25" t="n">
        <v>15052065</v>
      </c>
      <c r="B932" s="25" t="s">
        <v>2292</v>
      </c>
      <c r="C932" s="25" t="s">
        <v>2293</v>
      </c>
      <c r="D932" s="26" t="n">
        <v>27.9</v>
      </c>
      <c r="E932" s="27" t="n">
        <v>7.5543957967264</v>
      </c>
      <c r="F932" s="27" t="n">
        <v>7.5543957967264</v>
      </c>
      <c r="G932" s="25" t="s">
        <v>523</v>
      </c>
      <c r="H932" s="25" t="s">
        <v>524</v>
      </c>
      <c r="I932" s="25" t="n">
        <f aca="false">IFERROR(IF(INDEX(Documents!$C$5:$C$657,MATCH(H932,Documents!$A$5:$A$657,0))="","",INDEX(Documents!$C$5:$C$657,MATCH(H932,Documents!$A$5:$A$657,0))),"")</f>
        <v>2014</v>
      </c>
      <c r="J932" s="25" t="str">
        <f aca="false">IFERROR(IF(INDEX(Documents!$D$5:$D$657,MATCH(H932,Documents!$A$5:$A$657,0))="","",INDEX(Documents!$D$5:$D$657,MATCH(H932,Documents!$A$5:$A$657,0))),"")</f>
        <v>Bioorg Med Chem</v>
      </c>
      <c r="K932" s="25" t="str">
        <f aca="false">IFERROR(IF(INDEX(Documents!$G$5:$G$657,MATCH(H932,Documents!$A$5:$A$657,0))="","",INDEX(Documents!$G$5:$G$657,MATCH(H932,Documents!$A$5:$A$657,0))),"")</f>
        <v>10.1016/j.bmc.2014.07.006</v>
      </c>
      <c r="L932" s="25" t="s">
        <v>525</v>
      </c>
    </row>
    <row r="933" customFormat="false" ht="15" hidden="false" customHeight="false" outlineLevel="0" collapsed="false">
      <c r="A933" s="25" t="n">
        <v>2422643</v>
      </c>
      <c r="B933" s="25" t="s">
        <v>2294</v>
      </c>
      <c r="C933" s="25" t="s">
        <v>2295</v>
      </c>
      <c r="D933" s="26" t="n">
        <v>34</v>
      </c>
      <c r="E933" s="27" t="n">
        <v>7.46852108295775</v>
      </c>
      <c r="F933" s="27" t="n">
        <v>7.48427960868078</v>
      </c>
      <c r="G933" s="25" t="s">
        <v>1044</v>
      </c>
      <c r="H933" s="25" t="s">
        <v>1045</v>
      </c>
      <c r="I933" s="25" t="n">
        <f aca="false">IFERROR(IF(INDEX(Documents!$C$5:$C$657,MATCH(H933,Documents!$A$5:$A$657,0))="","",INDEX(Documents!$C$5:$C$657,MATCH(H933,Documents!$A$5:$A$657,0))),"")</f>
        <v>2009</v>
      </c>
      <c r="J933" s="25" t="str">
        <f aca="false">IFERROR(IF(INDEX(Documents!$D$5:$D$657,MATCH(H933,Documents!$A$5:$A$657,0))="","",INDEX(Documents!$D$5:$D$657,MATCH(H933,Documents!$A$5:$A$657,0))),"")</f>
        <v>J Med Chem</v>
      </c>
      <c r="K933" s="25" t="str">
        <f aca="false">IFERROR(IF(INDEX(Documents!$G$5:$G$657,MATCH(H933,Documents!$A$5:$A$657,0))="","",INDEX(Documents!$G$5:$G$657,MATCH(H933,Documents!$A$5:$A$657,0))),"")</f>
        <v>10.1021/jm8016255</v>
      </c>
      <c r="L933" s="25" t="s">
        <v>1046</v>
      </c>
    </row>
    <row r="934" customFormat="false" ht="15" hidden="false" customHeight="false" outlineLevel="0" collapsed="false">
      <c r="A934" s="25" t="n">
        <v>2422716</v>
      </c>
      <c r="B934" s="25" t="s">
        <v>2294</v>
      </c>
      <c r="C934" s="25" t="s">
        <v>2295</v>
      </c>
      <c r="D934" s="26" t="n">
        <v>31.62</v>
      </c>
      <c r="E934" s="27" t="n">
        <v>7.50003813440381</v>
      </c>
      <c r="F934" s="27" t="n">
        <v>7.48427960868078</v>
      </c>
      <c r="G934" s="25" t="s">
        <v>1044</v>
      </c>
      <c r="H934" s="25" t="s">
        <v>1045</v>
      </c>
      <c r="I934" s="25" t="n">
        <f aca="false">IFERROR(IF(INDEX(Documents!$C$5:$C$657,MATCH(H934,Documents!$A$5:$A$657,0))="","",INDEX(Documents!$C$5:$C$657,MATCH(H934,Documents!$A$5:$A$657,0))),"")</f>
        <v>2009</v>
      </c>
      <c r="J934" s="25" t="str">
        <f aca="false">IFERROR(IF(INDEX(Documents!$D$5:$D$657,MATCH(H934,Documents!$A$5:$A$657,0))="","",INDEX(Documents!$D$5:$D$657,MATCH(H934,Documents!$A$5:$A$657,0))),"")</f>
        <v>J Med Chem</v>
      </c>
      <c r="K934" s="25" t="str">
        <f aca="false">IFERROR(IF(INDEX(Documents!$G$5:$G$657,MATCH(H934,Documents!$A$5:$A$657,0))="","",INDEX(Documents!$G$5:$G$657,MATCH(H934,Documents!$A$5:$A$657,0))),"")</f>
        <v>10.1021/jm8016255</v>
      </c>
      <c r="L934" s="25" t="s">
        <v>1046</v>
      </c>
    </row>
    <row r="935" customFormat="false" ht="15" hidden="false" customHeight="false" outlineLevel="0" collapsed="false">
      <c r="A935" s="25" t="n">
        <v>2422631</v>
      </c>
      <c r="B935" s="25" t="s">
        <v>2296</v>
      </c>
      <c r="C935" s="25" t="s">
        <v>2297</v>
      </c>
      <c r="D935" s="26" t="n">
        <v>160</v>
      </c>
      <c r="E935" s="27" t="n">
        <v>6.79588001734408</v>
      </c>
      <c r="F935" s="27" t="n">
        <v>6.79793907596874</v>
      </c>
      <c r="G935" s="25" t="s">
        <v>1044</v>
      </c>
      <c r="H935" s="25" t="s">
        <v>1045</v>
      </c>
      <c r="I935" s="25" t="n">
        <f aca="false">IFERROR(IF(INDEX(Documents!$C$5:$C$657,MATCH(H935,Documents!$A$5:$A$657,0))="","",INDEX(Documents!$C$5:$C$657,MATCH(H935,Documents!$A$5:$A$657,0))),"")</f>
        <v>2009</v>
      </c>
      <c r="J935" s="25" t="str">
        <f aca="false">IFERROR(IF(INDEX(Documents!$D$5:$D$657,MATCH(H935,Documents!$A$5:$A$657,0))="","",INDEX(Documents!$D$5:$D$657,MATCH(H935,Documents!$A$5:$A$657,0))),"")</f>
        <v>J Med Chem</v>
      </c>
      <c r="K935" s="25" t="str">
        <f aca="false">IFERROR(IF(INDEX(Documents!$G$5:$G$657,MATCH(H935,Documents!$A$5:$A$657,0))="","",INDEX(Documents!$G$5:$G$657,MATCH(H935,Documents!$A$5:$A$657,0))),"")</f>
        <v>10.1021/jm8016255</v>
      </c>
      <c r="L935" s="25" t="s">
        <v>1046</v>
      </c>
    </row>
    <row r="936" customFormat="false" ht="15" hidden="false" customHeight="false" outlineLevel="0" collapsed="false">
      <c r="A936" s="25" t="n">
        <v>2422692</v>
      </c>
      <c r="B936" s="25" t="s">
        <v>2296</v>
      </c>
      <c r="C936" s="25" t="s">
        <v>2297</v>
      </c>
      <c r="D936" s="26" t="n">
        <v>158.49</v>
      </c>
      <c r="E936" s="27" t="n">
        <v>6.7999981345934</v>
      </c>
      <c r="F936" s="27" t="n">
        <v>6.79793907596874</v>
      </c>
      <c r="G936" s="25" t="s">
        <v>1044</v>
      </c>
      <c r="H936" s="25" t="s">
        <v>1045</v>
      </c>
      <c r="I936" s="25" t="n">
        <f aca="false">IFERROR(IF(INDEX(Documents!$C$5:$C$657,MATCH(H936,Documents!$A$5:$A$657,0))="","",INDEX(Documents!$C$5:$C$657,MATCH(H936,Documents!$A$5:$A$657,0))),"")</f>
        <v>2009</v>
      </c>
      <c r="J936" s="25" t="str">
        <f aca="false">IFERROR(IF(INDEX(Documents!$D$5:$D$657,MATCH(H936,Documents!$A$5:$A$657,0))="","",INDEX(Documents!$D$5:$D$657,MATCH(H936,Documents!$A$5:$A$657,0))),"")</f>
        <v>J Med Chem</v>
      </c>
      <c r="K936" s="25" t="str">
        <f aca="false">IFERROR(IF(INDEX(Documents!$G$5:$G$657,MATCH(H936,Documents!$A$5:$A$657,0))="","",INDEX(Documents!$G$5:$G$657,MATCH(H936,Documents!$A$5:$A$657,0))),"")</f>
        <v>10.1021/jm8016255</v>
      </c>
      <c r="L936" s="25" t="s">
        <v>1046</v>
      </c>
    </row>
    <row r="937" customFormat="false" ht="15" hidden="false" customHeight="false" outlineLevel="0" collapsed="false">
      <c r="A937" s="25" t="n">
        <v>15052075</v>
      </c>
      <c r="B937" s="25" t="s">
        <v>2298</v>
      </c>
      <c r="C937" s="25" t="s">
        <v>2299</v>
      </c>
      <c r="D937" s="26" t="n">
        <v>50.2</v>
      </c>
      <c r="E937" s="27" t="n">
        <v>7.29929628285498</v>
      </c>
      <c r="F937" s="27" t="n">
        <v>7.29929628285498</v>
      </c>
      <c r="G937" s="25" t="s">
        <v>523</v>
      </c>
      <c r="H937" s="25" t="s">
        <v>524</v>
      </c>
      <c r="I937" s="25" t="n">
        <f aca="false">IFERROR(IF(INDEX(Documents!$C$5:$C$657,MATCH(H937,Documents!$A$5:$A$657,0))="","",INDEX(Documents!$C$5:$C$657,MATCH(H937,Documents!$A$5:$A$657,0))),"")</f>
        <v>2014</v>
      </c>
      <c r="J937" s="25" t="str">
        <f aca="false">IFERROR(IF(INDEX(Documents!$D$5:$D$657,MATCH(H937,Documents!$A$5:$A$657,0))="","",INDEX(Documents!$D$5:$D$657,MATCH(H937,Documents!$A$5:$A$657,0))),"")</f>
        <v>Bioorg Med Chem</v>
      </c>
      <c r="K937" s="25" t="str">
        <f aca="false">IFERROR(IF(INDEX(Documents!$G$5:$G$657,MATCH(H937,Documents!$A$5:$A$657,0))="","",INDEX(Documents!$G$5:$G$657,MATCH(H937,Documents!$A$5:$A$657,0))),"")</f>
        <v>10.1016/j.bmc.2014.07.006</v>
      </c>
      <c r="L937" s="25" t="s">
        <v>525</v>
      </c>
    </row>
    <row r="938" customFormat="false" ht="15" hidden="false" customHeight="false" outlineLevel="0" collapsed="false">
      <c r="A938" s="25" t="n">
        <v>7944820</v>
      </c>
      <c r="B938" s="25" t="s">
        <v>2300</v>
      </c>
      <c r="C938" s="25" t="s">
        <v>2301</v>
      </c>
      <c r="D938" s="26" t="n">
        <v>790</v>
      </c>
      <c r="E938" s="27" t="n">
        <v>6.10237290870956</v>
      </c>
      <c r="F938" s="27" t="n">
        <v>6.10237290870956</v>
      </c>
      <c r="G938" s="25" t="s">
        <v>2072</v>
      </c>
      <c r="H938" s="25" t="s">
        <v>2073</v>
      </c>
      <c r="I938" s="25" t="n">
        <f aca="false">IFERROR(IF(INDEX(Documents!$C$5:$C$657,MATCH(H938,Documents!$A$5:$A$657,0))="","",INDEX(Documents!$C$5:$C$657,MATCH(H938,Documents!$A$5:$A$657,0))),"")</f>
        <v>2011</v>
      </c>
      <c r="J938" s="25" t="str">
        <f aca="false">IFERROR(IF(INDEX(Documents!$D$5:$D$657,MATCH(H938,Documents!$A$5:$A$657,0))="","",INDEX(Documents!$D$5:$D$657,MATCH(H938,Documents!$A$5:$A$657,0))),"")</f>
        <v>J Med Chem</v>
      </c>
      <c r="K938" s="25" t="str">
        <f aca="false">IFERROR(IF(INDEX(Documents!$G$5:$G$657,MATCH(H938,Documents!$A$5:$A$657,0))="","",INDEX(Documents!$G$5:$G$657,MATCH(H938,Documents!$A$5:$A$657,0))),"")</f>
        <v>10.1021/jm200529h</v>
      </c>
      <c r="L938" s="25" t="s">
        <v>2074</v>
      </c>
    </row>
    <row r="939" customFormat="false" ht="15" hidden="false" customHeight="false" outlineLevel="0" collapsed="false">
      <c r="A939" s="25" t="n">
        <v>15052071</v>
      </c>
      <c r="B939" s="25" t="s">
        <v>2302</v>
      </c>
      <c r="C939" s="25" t="s">
        <v>2303</v>
      </c>
      <c r="D939" s="26" t="n">
        <v>230</v>
      </c>
      <c r="E939" s="27" t="n">
        <v>6.63827216398241</v>
      </c>
      <c r="F939" s="27" t="n">
        <v>6.63827216398241</v>
      </c>
      <c r="G939" s="25" t="s">
        <v>523</v>
      </c>
      <c r="H939" s="25" t="s">
        <v>524</v>
      </c>
      <c r="I939" s="25" t="n">
        <f aca="false">IFERROR(IF(INDEX(Documents!$C$5:$C$657,MATCH(H939,Documents!$A$5:$A$657,0))="","",INDEX(Documents!$C$5:$C$657,MATCH(H939,Documents!$A$5:$A$657,0))),"")</f>
        <v>2014</v>
      </c>
      <c r="J939" s="25" t="str">
        <f aca="false">IFERROR(IF(INDEX(Documents!$D$5:$D$657,MATCH(H939,Documents!$A$5:$A$657,0))="","",INDEX(Documents!$D$5:$D$657,MATCH(H939,Documents!$A$5:$A$657,0))),"")</f>
        <v>Bioorg Med Chem</v>
      </c>
      <c r="K939" s="25" t="str">
        <f aca="false">IFERROR(IF(INDEX(Documents!$G$5:$G$657,MATCH(H939,Documents!$A$5:$A$657,0))="","",INDEX(Documents!$G$5:$G$657,MATCH(H939,Documents!$A$5:$A$657,0))),"")</f>
        <v>10.1016/j.bmc.2014.07.006</v>
      </c>
      <c r="L939" s="25" t="s">
        <v>525</v>
      </c>
    </row>
    <row r="940" customFormat="false" ht="15" hidden="false" customHeight="false" outlineLevel="0" collapsed="false">
      <c r="A940" s="25" t="n">
        <v>2422708</v>
      </c>
      <c r="B940" s="25" t="s">
        <v>2304</v>
      </c>
      <c r="C940" s="25" t="s">
        <v>2305</v>
      </c>
      <c r="D940" s="26" t="n">
        <v>7.943</v>
      </c>
      <c r="E940" s="27" t="n">
        <v>8.10001543745061</v>
      </c>
      <c r="F940" s="27" t="n">
        <v>8.10119417308008</v>
      </c>
      <c r="G940" s="25" t="s">
        <v>1044</v>
      </c>
      <c r="H940" s="25" t="s">
        <v>1045</v>
      </c>
      <c r="I940" s="25" t="n">
        <f aca="false">IFERROR(IF(INDEX(Documents!$C$5:$C$657,MATCH(H940,Documents!$A$5:$A$657,0))="","",INDEX(Documents!$C$5:$C$657,MATCH(H940,Documents!$A$5:$A$657,0))),"")</f>
        <v>2009</v>
      </c>
      <c r="J940" s="25" t="str">
        <f aca="false">IFERROR(IF(INDEX(Documents!$D$5:$D$657,MATCH(H940,Documents!$A$5:$A$657,0))="","",INDEX(Documents!$D$5:$D$657,MATCH(H940,Documents!$A$5:$A$657,0))),"")</f>
        <v>J Med Chem</v>
      </c>
      <c r="K940" s="25" t="str">
        <f aca="false">IFERROR(IF(INDEX(Documents!$G$5:$G$657,MATCH(H940,Documents!$A$5:$A$657,0))="","",INDEX(Documents!$G$5:$G$657,MATCH(H940,Documents!$A$5:$A$657,0))),"")</f>
        <v>10.1021/jm8016255</v>
      </c>
      <c r="L940" s="25" t="s">
        <v>1046</v>
      </c>
    </row>
    <row r="941" customFormat="false" ht="15" hidden="false" customHeight="false" outlineLevel="0" collapsed="false">
      <c r="A941" s="25" t="n">
        <v>2422639</v>
      </c>
      <c r="B941" s="25" t="s">
        <v>2304</v>
      </c>
      <c r="C941" s="25" t="s">
        <v>2305</v>
      </c>
      <c r="D941" s="26" t="n">
        <v>7.9</v>
      </c>
      <c r="E941" s="27" t="n">
        <v>8.10237290870956</v>
      </c>
      <c r="F941" s="27" t="n">
        <v>8.10119417308008</v>
      </c>
      <c r="G941" s="25" t="s">
        <v>1044</v>
      </c>
      <c r="H941" s="25" t="s">
        <v>1045</v>
      </c>
      <c r="I941" s="25" t="n">
        <f aca="false">IFERROR(IF(INDEX(Documents!$C$5:$C$657,MATCH(H941,Documents!$A$5:$A$657,0))="","",INDEX(Documents!$C$5:$C$657,MATCH(H941,Documents!$A$5:$A$657,0))),"")</f>
        <v>2009</v>
      </c>
      <c r="J941" s="25" t="str">
        <f aca="false">IFERROR(IF(INDEX(Documents!$D$5:$D$657,MATCH(H941,Documents!$A$5:$A$657,0))="","",INDEX(Documents!$D$5:$D$657,MATCH(H941,Documents!$A$5:$A$657,0))),"")</f>
        <v>J Med Chem</v>
      </c>
      <c r="K941" s="25" t="str">
        <f aca="false">IFERROR(IF(INDEX(Documents!$G$5:$G$657,MATCH(H941,Documents!$A$5:$A$657,0))="","",INDEX(Documents!$G$5:$G$657,MATCH(H941,Documents!$A$5:$A$657,0))),"")</f>
        <v>10.1021/jm8016255</v>
      </c>
      <c r="L941" s="25" t="s">
        <v>1046</v>
      </c>
    </row>
    <row r="942" customFormat="false" ht="15" hidden="false" customHeight="false" outlineLevel="0" collapsed="false">
      <c r="A942" s="25" t="n">
        <v>2422644</v>
      </c>
      <c r="B942" s="25" t="s">
        <v>2306</v>
      </c>
      <c r="C942" s="25" t="s">
        <v>2307</v>
      </c>
      <c r="D942" s="26" t="n">
        <v>35</v>
      </c>
      <c r="E942" s="27" t="n">
        <v>7.45593195564972</v>
      </c>
      <c r="F942" s="27" t="n">
        <v>7.47798504502677</v>
      </c>
      <c r="G942" s="25" t="s">
        <v>1044</v>
      </c>
      <c r="H942" s="25" t="s">
        <v>1045</v>
      </c>
      <c r="I942" s="25" t="n">
        <f aca="false">IFERROR(IF(INDEX(Documents!$C$5:$C$657,MATCH(H942,Documents!$A$5:$A$657,0))="","",INDEX(Documents!$C$5:$C$657,MATCH(H942,Documents!$A$5:$A$657,0))),"")</f>
        <v>2009</v>
      </c>
      <c r="J942" s="25" t="str">
        <f aca="false">IFERROR(IF(INDEX(Documents!$D$5:$D$657,MATCH(H942,Documents!$A$5:$A$657,0))="","",INDEX(Documents!$D$5:$D$657,MATCH(H942,Documents!$A$5:$A$657,0))),"")</f>
        <v>J Med Chem</v>
      </c>
      <c r="K942" s="25" t="str">
        <f aca="false">IFERROR(IF(INDEX(Documents!$G$5:$G$657,MATCH(H942,Documents!$A$5:$A$657,0))="","",INDEX(Documents!$G$5:$G$657,MATCH(H942,Documents!$A$5:$A$657,0))),"")</f>
        <v>10.1021/jm8016255</v>
      </c>
      <c r="L942" s="25" t="s">
        <v>1046</v>
      </c>
    </row>
    <row r="943" customFormat="false" ht="15" hidden="false" customHeight="false" outlineLevel="0" collapsed="false">
      <c r="A943" s="25" t="n">
        <v>2422718</v>
      </c>
      <c r="B943" s="25" t="s">
        <v>2306</v>
      </c>
      <c r="C943" s="25" t="s">
        <v>2307</v>
      </c>
      <c r="D943" s="26" t="n">
        <v>31.62</v>
      </c>
      <c r="E943" s="27" t="n">
        <v>7.50003813440381</v>
      </c>
      <c r="F943" s="27" t="n">
        <v>7.47798504502677</v>
      </c>
      <c r="G943" s="25" t="s">
        <v>1044</v>
      </c>
      <c r="H943" s="25" t="s">
        <v>1045</v>
      </c>
      <c r="I943" s="25" t="n">
        <f aca="false">IFERROR(IF(INDEX(Documents!$C$5:$C$657,MATCH(H943,Documents!$A$5:$A$657,0))="","",INDEX(Documents!$C$5:$C$657,MATCH(H943,Documents!$A$5:$A$657,0))),"")</f>
        <v>2009</v>
      </c>
      <c r="J943" s="25" t="str">
        <f aca="false">IFERROR(IF(INDEX(Documents!$D$5:$D$657,MATCH(H943,Documents!$A$5:$A$657,0))="","",INDEX(Documents!$D$5:$D$657,MATCH(H943,Documents!$A$5:$A$657,0))),"")</f>
        <v>J Med Chem</v>
      </c>
      <c r="K943" s="25" t="str">
        <f aca="false">IFERROR(IF(INDEX(Documents!$G$5:$G$657,MATCH(H943,Documents!$A$5:$A$657,0))="","",INDEX(Documents!$G$5:$G$657,MATCH(H943,Documents!$A$5:$A$657,0))),"")</f>
        <v>10.1021/jm8016255</v>
      </c>
      <c r="L943" s="25" t="s">
        <v>1046</v>
      </c>
    </row>
    <row r="944" customFormat="false" ht="15" hidden="false" customHeight="false" outlineLevel="0" collapsed="false">
      <c r="A944" s="25" t="n">
        <v>2422694</v>
      </c>
      <c r="B944" s="25" t="s">
        <v>2308</v>
      </c>
      <c r="C944" s="25" t="s">
        <v>2309</v>
      </c>
      <c r="D944" s="26" t="n">
        <v>31.62</v>
      </c>
      <c r="E944" s="27" t="n">
        <v>7.50003813440381</v>
      </c>
      <c r="F944" s="27" t="n">
        <v>7.51145843984207</v>
      </c>
      <c r="G944" s="25" t="s">
        <v>1044</v>
      </c>
      <c r="H944" s="25" t="s">
        <v>1045</v>
      </c>
      <c r="I944" s="25" t="n">
        <f aca="false">IFERROR(IF(INDEX(Documents!$C$5:$C$657,MATCH(H944,Documents!$A$5:$A$657,0))="","",INDEX(Documents!$C$5:$C$657,MATCH(H944,Documents!$A$5:$A$657,0))),"")</f>
        <v>2009</v>
      </c>
      <c r="J944" s="25" t="str">
        <f aca="false">IFERROR(IF(INDEX(Documents!$D$5:$D$657,MATCH(H944,Documents!$A$5:$A$657,0))="","",INDEX(Documents!$D$5:$D$657,MATCH(H944,Documents!$A$5:$A$657,0))),"")</f>
        <v>J Med Chem</v>
      </c>
      <c r="K944" s="25" t="str">
        <f aca="false">IFERROR(IF(INDEX(Documents!$G$5:$G$657,MATCH(H944,Documents!$A$5:$A$657,0))="","",INDEX(Documents!$G$5:$G$657,MATCH(H944,Documents!$A$5:$A$657,0))),"")</f>
        <v>10.1021/jm8016255</v>
      </c>
      <c r="L944" s="25" t="s">
        <v>1046</v>
      </c>
    </row>
    <row r="945" customFormat="false" ht="15" hidden="false" customHeight="false" outlineLevel="0" collapsed="false">
      <c r="A945" s="25" t="n">
        <v>2422632</v>
      </c>
      <c r="B945" s="25" t="s">
        <v>2308</v>
      </c>
      <c r="C945" s="25" t="s">
        <v>2309</v>
      </c>
      <c r="D945" s="26" t="n">
        <v>30</v>
      </c>
      <c r="E945" s="27" t="n">
        <v>7.52287874528034</v>
      </c>
      <c r="F945" s="27" t="n">
        <v>7.51145843984207</v>
      </c>
      <c r="G945" s="25" t="s">
        <v>1044</v>
      </c>
      <c r="H945" s="25" t="s">
        <v>1045</v>
      </c>
      <c r="I945" s="25" t="n">
        <f aca="false">IFERROR(IF(INDEX(Documents!$C$5:$C$657,MATCH(H945,Documents!$A$5:$A$657,0))="","",INDEX(Documents!$C$5:$C$657,MATCH(H945,Documents!$A$5:$A$657,0))),"")</f>
        <v>2009</v>
      </c>
      <c r="J945" s="25" t="str">
        <f aca="false">IFERROR(IF(INDEX(Documents!$D$5:$D$657,MATCH(H945,Documents!$A$5:$A$657,0))="","",INDEX(Documents!$D$5:$D$657,MATCH(H945,Documents!$A$5:$A$657,0))),"")</f>
        <v>J Med Chem</v>
      </c>
      <c r="K945" s="25" t="str">
        <f aca="false">IFERROR(IF(INDEX(Documents!$G$5:$G$657,MATCH(H945,Documents!$A$5:$A$657,0))="","",INDEX(Documents!$G$5:$G$657,MATCH(H945,Documents!$A$5:$A$657,0))),"")</f>
        <v>10.1021/jm8016255</v>
      </c>
      <c r="L945" s="25" t="s">
        <v>1046</v>
      </c>
    </row>
    <row r="946" customFormat="false" ht="15" hidden="false" customHeight="false" outlineLevel="0" collapsed="false">
      <c r="A946" s="25" t="n">
        <v>2422646</v>
      </c>
      <c r="B946" s="25" t="s">
        <v>2310</v>
      </c>
      <c r="C946" s="25" t="s">
        <v>2311</v>
      </c>
      <c r="D946" s="26" t="n">
        <v>5000</v>
      </c>
      <c r="E946" s="27" t="n">
        <v>5.30102999566398</v>
      </c>
      <c r="F946" s="27" t="n">
        <v>5.30102999566398</v>
      </c>
      <c r="G946" s="25" t="s">
        <v>1044</v>
      </c>
      <c r="H946" s="25" t="s">
        <v>1045</v>
      </c>
      <c r="I946" s="25" t="n">
        <f aca="false">IFERROR(IF(INDEX(Documents!$C$5:$C$657,MATCH(H946,Documents!$A$5:$A$657,0))="","",INDEX(Documents!$C$5:$C$657,MATCH(H946,Documents!$A$5:$A$657,0))),"")</f>
        <v>2009</v>
      </c>
      <c r="J946" s="25" t="str">
        <f aca="false">IFERROR(IF(INDEX(Documents!$D$5:$D$657,MATCH(H946,Documents!$A$5:$A$657,0))="","",INDEX(Documents!$D$5:$D$657,MATCH(H946,Documents!$A$5:$A$657,0))),"")</f>
        <v>J Med Chem</v>
      </c>
      <c r="K946" s="25" t="str">
        <f aca="false">IFERROR(IF(INDEX(Documents!$G$5:$G$657,MATCH(H946,Documents!$A$5:$A$657,0))="","",INDEX(Documents!$G$5:$G$657,MATCH(H946,Documents!$A$5:$A$657,0))),"")</f>
        <v>10.1021/jm8016255</v>
      </c>
      <c r="L946" s="25" t="s">
        <v>1046</v>
      </c>
    </row>
    <row r="947" customFormat="false" ht="15" hidden="false" customHeight="false" outlineLevel="0" collapsed="false">
      <c r="A947" s="25" t="n">
        <v>2422647</v>
      </c>
      <c r="B947" s="25" t="s">
        <v>2312</v>
      </c>
      <c r="C947" s="25" t="s">
        <v>2313</v>
      </c>
      <c r="D947" s="26" t="n">
        <v>510</v>
      </c>
      <c r="E947" s="27" t="n">
        <v>6.29242982390206</v>
      </c>
      <c r="F947" s="27" t="n">
        <v>6.29242982390206</v>
      </c>
      <c r="G947" s="25" t="s">
        <v>1044</v>
      </c>
      <c r="H947" s="25" t="s">
        <v>1045</v>
      </c>
      <c r="I947" s="25" t="n">
        <f aca="false">IFERROR(IF(INDEX(Documents!$C$5:$C$657,MATCH(H947,Documents!$A$5:$A$657,0))="","",INDEX(Documents!$C$5:$C$657,MATCH(H947,Documents!$A$5:$A$657,0))),"")</f>
        <v>2009</v>
      </c>
      <c r="J947" s="25" t="str">
        <f aca="false">IFERROR(IF(INDEX(Documents!$D$5:$D$657,MATCH(H947,Documents!$A$5:$A$657,0))="","",INDEX(Documents!$D$5:$D$657,MATCH(H947,Documents!$A$5:$A$657,0))),"")</f>
        <v>J Med Chem</v>
      </c>
      <c r="K947" s="25" t="str">
        <f aca="false">IFERROR(IF(INDEX(Documents!$G$5:$G$657,MATCH(H947,Documents!$A$5:$A$657,0))="","",INDEX(Documents!$G$5:$G$657,MATCH(H947,Documents!$A$5:$A$657,0))),"")</f>
        <v>10.1021/jm8016255</v>
      </c>
      <c r="L947" s="25" t="s">
        <v>1046</v>
      </c>
    </row>
    <row r="948" customFormat="false" ht="15" hidden="false" customHeight="false" outlineLevel="0" collapsed="false">
      <c r="A948" s="25" t="n">
        <v>15052074</v>
      </c>
      <c r="B948" s="25" t="s">
        <v>2314</v>
      </c>
      <c r="C948" s="25" t="s">
        <v>2315</v>
      </c>
      <c r="D948" s="26" t="n">
        <v>21.2</v>
      </c>
      <c r="E948" s="27" t="n">
        <v>7.67366413907125</v>
      </c>
      <c r="F948" s="27" t="n">
        <v>7.67366413907125</v>
      </c>
      <c r="G948" s="25" t="s">
        <v>523</v>
      </c>
      <c r="H948" s="25" t="s">
        <v>524</v>
      </c>
      <c r="I948" s="25" t="n">
        <f aca="false">IFERROR(IF(INDEX(Documents!$C$5:$C$657,MATCH(H948,Documents!$A$5:$A$657,0))="","",INDEX(Documents!$C$5:$C$657,MATCH(H948,Documents!$A$5:$A$657,0))),"")</f>
        <v>2014</v>
      </c>
      <c r="J948" s="25" t="str">
        <f aca="false">IFERROR(IF(INDEX(Documents!$D$5:$D$657,MATCH(H948,Documents!$A$5:$A$657,0))="","",INDEX(Documents!$D$5:$D$657,MATCH(H948,Documents!$A$5:$A$657,0))),"")</f>
        <v>Bioorg Med Chem</v>
      </c>
      <c r="K948" s="25" t="str">
        <f aca="false">IFERROR(IF(INDEX(Documents!$G$5:$G$657,MATCH(H948,Documents!$A$5:$A$657,0))="","",INDEX(Documents!$G$5:$G$657,MATCH(H948,Documents!$A$5:$A$657,0))),"")</f>
        <v>10.1016/j.bmc.2014.07.006</v>
      </c>
      <c r="L948" s="25" t="s">
        <v>525</v>
      </c>
    </row>
    <row r="949" customFormat="false" ht="15" hidden="false" customHeight="false" outlineLevel="0" collapsed="false">
      <c r="A949" s="25" t="n">
        <v>7944821</v>
      </c>
      <c r="B949" s="25" t="s">
        <v>2316</v>
      </c>
      <c r="C949" s="25" t="s">
        <v>2317</v>
      </c>
      <c r="D949" s="26" t="n">
        <v>790</v>
      </c>
      <c r="E949" s="27" t="n">
        <v>6.10237290870956</v>
      </c>
      <c r="F949" s="27" t="n">
        <v>6.10237290870956</v>
      </c>
      <c r="G949" s="25" t="s">
        <v>2072</v>
      </c>
      <c r="H949" s="25" t="s">
        <v>2073</v>
      </c>
      <c r="I949" s="25" t="n">
        <f aca="false">IFERROR(IF(INDEX(Documents!$C$5:$C$657,MATCH(H949,Documents!$A$5:$A$657,0))="","",INDEX(Documents!$C$5:$C$657,MATCH(H949,Documents!$A$5:$A$657,0))),"")</f>
        <v>2011</v>
      </c>
      <c r="J949" s="25" t="str">
        <f aca="false">IFERROR(IF(INDEX(Documents!$D$5:$D$657,MATCH(H949,Documents!$A$5:$A$657,0))="","",INDEX(Documents!$D$5:$D$657,MATCH(H949,Documents!$A$5:$A$657,0))),"")</f>
        <v>J Med Chem</v>
      </c>
      <c r="K949" s="25" t="str">
        <f aca="false">IFERROR(IF(INDEX(Documents!$G$5:$G$657,MATCH(H949,Documents!$A$5:$A$657,0))="","",INDEX(Documents!$G$5:$G$657,MATCH(H949,Documents!$A$5:$A$657,0))),"")</f>
        <v>10.1021/jm200529h</v>
      </c>
      <c r="L949" s="25" t="s">
        <v>2074</v>
      </c>
    </row>
    <row r="950" customFormat="false" ht="15" hidden="false" customHeight="false" outlineLevel="0" collapsed="false">
      <c r="A950" s="25" t="n">
        <v>7944836</v>
      </c>
      <c r="B950" s="25" t="s">
        <v>2318</v>
      </c>
      <c r="C950" s="25" t="s">
        <v>2319</v>
      </c>
      <c r="D950" s="26" t="n">
        <v>310</v>
      </c>
      <c r="E950" s="27" t="n">
        <v>6.50863830616573</v>
      </c>
      <c r="F950" s="27" t="n">
        <v>6.50863830616573</v>
      </c>
      <c r="G950" s="25" t="s">
        <v>2072</v>
      </c>
      <c r="H950" s="25" t="s">
        <v>2073</v>
      </c>
      <c r="I950" s="25" t="n">
        <f aca="false">IFERROR(IF(INDEX(Documents!$C$5:$C$657,MATCH(H950,Documents!$A$5:$A$657,0))="","",INDEX(Documents!$C$5:$C$657,MATCH(H950,Documents!$A$5:$A$657,0))),"")</f>
        <v>2011</v>
      </c>
      <c r="J950" s="25" t="str">
        <f aca="false">IFERROR(IF(INDEX(Documents!$D$5:$D$657,MATCH(H950,Documents!$A$5:$A$657,0))="","",INDEX(Documents!$D$5:$D$657,MATCH(H950,Documents!$A$5:$A$657,0))),"")</f>
        <v>J Med Chem</v>
      </c>
      <c r="K950" s="25" t="str">
        <f aca="false">IFERROR(IF(INDEX(Documents!$G$5:$G$657,MATCH(H950,Documents!$A$5:$A$657,0))="","",INDEX(Documents!$G$5:$G$657,MATCH(H950,Documents!$A$5:$A$657,0))),"")</f>
        <v>10.1021/jm200529h</v>
      </c>
      <c r="L950" s="25" t="s">
        <v>2074</v>
      </c>
    </row>
    <row r="951" customFormat="false" ht="15" hidden="false" customHeight="false" outlineLevel="0" collapsed="false">
      <c r="A951" s="25" t="n">
        <v>2422640</v>
      </c>
      <c r="B951" s="25" t="s">
        <v>2320</v>
      </c>
      <c r="C951" s="25" t="s">
        <v>2321</v>
      </c>
      <c r="D951" s="26" t="n">
        <v>20</v>
      </c>
      <c r="E951" s="27" t="n">
        <v>7.69897000433602</v>
      </c>
      <c r="F951" s="27" t="n">
        <v>7.69951355215663</v>
      </c>
      <c r="G951" s="25" t="s">
        <v>1044</v>
      </c>
      <c r="H951" s="25" t="s">
        <v>1045</v>
      </c>
      <c r="I951" s="25" t="n">
        <f aca="false">IFERROR(IF(INDEX(Documents!$C$5:$C$657,MATCH(H951,Documents!$A$5:$A$657,0))="","",INDEX(Documents!$C$5:$C$657,MATCH(H951,Documents!$A$5:$A$657,0))),"")</f>
        <v>2009</v>
      </c>
      <c r="J951" s="25" t="str">
        <f aca="false">IFERROR(IF(INDEX(Documents!$D$5:$D$657,MATCH(H951,Documents!$A$5:$A$657,0))="","",INDEX(Documents!$D$5:$D$657,MATCH(H951,Documents!$A$5:$A$657,0))),"")</f>
        <v>J Med Chem</v>
      </c>
      <c r="K951" s="25" t="str">
        <f aca="false">IFERROR(IF(INDEX(Documents!$G$5:$G$657,MATCH(H951,Documents!$A$5:$A$657,0))="","",INDEX(Documents!$G$5:$G$657,MATCH(H951,Documents!$A$5:$A$657,0))),"")</f>
        <v>10.1021/jm8016255</v>
      </c>
      <c r="L951" s="25" t="s">
        <v>1046</v>
      </c>
    </row>
    <row r="952" customFormat="false" ht="15" hidden="false" customHeight="false" outlineLevel="0" collapsed="false">
      <c r="A952" s="25" t="n">
        <v>2422710</v>
      </c>
      <c r="B952" s="25" t="s">
        <v>2320</v>
      </c>
      <c r="C952" s="25" t="s">
        <v>2321</v>
      </c>
      <c r="D952" s="26" t="n">
        <v>19.95</v>
      </c>
      <c r="E952" s="27" t="n">
        <v>7.70005709997723</v>
      </c>
      <c r="F952" s="27" t="n">
        <v>7.69951355215663</v>
      </c>
      <c r="G952" s="25" t="s">
        <v>1044</v>
      </c>
      <c r="H952" s="25" t="s">
        <v>1045</v>
      </c>
      <c r="I952" s="25" t="n">
        <f aca="false">IFERROR(IF(INDEX(Documents!$C$5:$C$657,MATCH(H952,Documents!$A$5:$A$657,0))="","",INDEX(Documents!$C$5:$C$657,MATCH(H952,Documents!$A$5:$A$657,0))),"")</f>
        <v>2009</v>
      </c>
      <c r="J952" s="25" t="str">
        <f aca="false">IFERROR(IF(INDEX(Documents!$D$5:$D$657,MATCH(H952,Documents!$A$5:$A$657,0))="","",INDEX(Documents!$D$5:$D$657,MATCH(H952,Documents!$A$5:$A$657,0))),"")</f>
        <v>J Med Chem</v>
      </c>
      <c r="K952" s="25" t="str">
        <f aca="false">IFERROR(IF(INDEX(Documents!$G$5:$G$657,MATCH(H952,Documents!$A$5:$A$657,0))="","",INDEX(Documents!$G$5:$G$657,MATCH(H952,Documents!$A$5:$A$657,0))),"")</f>
        <v>10.1021/jm8016255</v>
      </c>
      <c r="L952" s="25" t="s">
        <v>1046</v>
      </c>
    </row>
    <row r="953" customFormat="false" ht="15" hidden="false" customHeight="false" outlineLevel="0" collapsed="false">
      <c r="A953" s="25" t="n">
        <v>2422720</v>
      </c>
      <c r="B953" s="25" t="s">
        <v>2322</v>
      </c>
      <c r="C953" s="25" t="s">
        <v>2323</v>
      </c>
      <c r="D953" s="26" t="n">
        <v>630.96</v>
      </c>
      <c r="E953" s="27" t="n">
        <v>6.19999817218203</v>
      </c>
      <c r="F953" s="27" t="n">
        <v>6.21092346089919</v>
      </c>
      <c r="G953" s="25" t="s">
        <v>1044</v>
      </c>
      <c r="H953" s="25" t="s">
        <v>1045</v>
      </c>
      <c r="I953" s="25" t="n">
        <f aca="false">IFERROR(IF(INDEX(Documents!$C$5:$C$657,MATCH(H953,Documents!$A$5:$A$657,0))="","",INDEX(Documents!$C$5:$C$657,MATCH(H953,Documents!$A$5:$A$657,0))),"")</f>
        <v>2009</v>
      </c>
      <c r="J953" s="25" t="str">
        <f aca="false">IFERROR(IF(INDEX(Documents!$D$5:$D$657,MATCH(H953,Documents!$A$5:$A$657,0))="","",INDEX(Documents!$D$5:$D$657,MATCH(H953,Documents!$A$5:$A$657,0))),"")</f>
        <v>J Med Chem</v>
      </c>
      <c r="K953" s="25" t="str">
        <f aca="false">IFERROR(IF(INDEX(Documents!$G$5:$G$657,MATCH(H953,Documents!$A$5:$A$657,0))="","",INDEX(Documents!$G$5:$G$657,MATCH(H953,Documents!$A$5:$A$657,0))),"")</f>
        <v>10.1021/jm8016255</v>
      </c>
      <c r="L953" s="25" t="s">
        <v>1046</v>
      </c>
    </row>
    <row r="954" customFormat="false" ht="15" hidden="false" customHeight="false" outlineLevel="0" collapsed="false">
      <c r="A954" s="25" t="n">
        <v>2422645</v>
      </c>
      <c r="B954" s="25" t="s">
        <v>2322</v>
      </c>
      <c r="C954" s="25" t="s">
        <v>2323</v>
      </c>
      <c r="D954" s="26" t="n">
        <v>600</v>
      </c>
      <c r="E954" s="27" t="n">
        <v>6.22184874961636</v>
      </c>
      <c r="F954" s="27" t="n">
        <v>6.21092346089919</v>
      </c>
      <c r="G954" s="25" t="s">
        <v>1044</v>
      </c>
      <c r="H954" s="25" t="s">
        <v>1045</v>
      </c>
      <c r="I954" s="25" t="n">
        <f aca="false">IFERROR(IF(INDEX(Documents!$C$5:$C$657,MATCH(H954,Documents!$A$5:$A$657,0))="","",INDEX(Documents!$C$5:$C$657,MATCH(H954,Documents!$A$5:$A$657,0))),"")</f>
        <v>2009</v>
      </c>
      <c r="J954" s="25" t="str">
        <f aca="false">IFERROR(IF(INDEX(Documents!$D$5:$D$657,MATCH(H954,Documents!$A$5:$A$657,0))="","",INDEX(Documents!$D$5:$D$657,MATCH(H954,Documents!$A$5:$A$657,0))),"")</f>
        <v>J Med Chem</v>
      </c>
      <c r="K954" s="25" t="str">
        <f aca="false">IFERROR(IF(INDEX(Documents!$G$5:$G$657,MATCH(H954,Documents!$A$5:$A$657,0))="","",INDEX(Documents!$G$5:$G$657,MATCH(H954,Documents!$A$5:$A$657,0))),"")</f>
        <v>10.1021/jm8016255</v>
      </c>
      <c r="L954" s="25" t="s">
        <v>1046</v>
      </c>
    </row>
    <row r="955" customFormat="false" ht="15" hidden="false" customHeight="false" outlineLevel="0" collapsed="false">
      <c r="A955" s="25" t="n">
        <v>2422633</v>
      </c>
      <c r="B955" s="25" t="s">
        <v>2324</v>
      </c>
      <c r="C955" s="25" t="s">
        <v>2325</v>
      </c>
      <c r="D955" s="26" t="n">
        <v>80</v>
      </c>
      <c r="E955" s="27" t="n">
        <v>7.09691001300806</v>
      </c>
      <c r="F955" s="27" t="n">
        <v>7.09846272522933</v>
      </c>
      <c r="G955" s="25" t="s">
        <v>1044</v>
      </c>
      <c r="H955" s="25" t="s">
        <v>1045</v>
      </c>
      <c r="I955" s="25" t="n">
        <f aca="false">IFERROR(IF(INDEX(Documents!$C$5:$C$657,MATCH(H955,Documents!$A$5:$A$657,0))="","",INDEX(Documents!$C$5:$C$657,MATCH(H955,Documents!$A$5:$A$657,0))),"")</f>
        <v>2009</v>
      </c>
      <c r="J955" s="25" t="str">
        <f aca="false">IFERROR(IF(INDEX(Documents!$D$5:$D$657,MATCH(H955,Documents!$A$5:$A$657,0))="","",INDEX(Documents!$D$5:$D$657,MATCH(H955,Documents!$A$5:$A$657,0))),"")</f>
        <v>J Med Chem</v>
      </c>
      <c r="K955" s="25" t="str">
        <f aca="false">IFERROR(IF(INDEX(Documents!$G$5:$G$657,MATCH(H955,Documents!$A$5:$A$657,0))="","",INDEX(Documents!$G$5:$G$657,MATCH(H955,Documents!$A$5:$A$657,0))),"")</f>
        <v>10.1021/jm8016255</v>
      </c>
      <c r="L955" s="25" t="s">
        <v>1046</v>
      </c>
    </row>
    <row r="956" customFormat="false" ht="15" hidden="false" customHeight="false" outlineLevel="0" collapsed="false">
      <c r="A956" s="25" t="n">
        <v>2422696</v>
      </c>
      <c r="B956" s="25" t="s">
        <v>2324</v>
      </c>
      <c r="C956" s="25" t="s">
        <v>2325</v>
      </c>
      <c r="D956" s="26" t="n">
        <v>79.43</v>
      </c>
      <c r="E956" s="27" t="n">
        <v>7.10001543745061</v>
      </c>
      <c r="F956" s="27" t="n">
        <v>7.09846272522933</v>
      </c>
      <c r="G956" s="25" t="s">
        <v>1044</v>
      </c>
      <c r="H956" s="25" t="s">
        <v>1045</v>
      </c>
      <c r="I956" s="25" t="n">
        <f aca="false">IFERROR(IF(INDEX(Documents!$C$5:$C$657,MATCH(H956,Documents!$A$5:$A$657,0))="","",INDEX(Documents!$C$5:$C$657,MATCH(H956,Documents!$A$5:$A$657,0))),"")</f>
        <v>2009</v>
      </c>
      <c r="J956" s="25" t="str">
        <f aca="false">IFERROR(IF(INDEX(Documents!$D$5:$D$657,MATCH(H956,Documents!$A$5:$A$657,0))="","",INDEX(Documents!$D$5:$D$657,MATCH(H956,Documents!$A$5:$A$657,0))),"")</f>
        <v>J Med Chem</v>
      </c>
      <c r="K956" s="25" t="str">
        <f aca="false">IFERROR(IF(INDEX(Documents!$G$5:$G$657,MATCH(H956,Documents!$A$5:$A$657,0))="","",INDEX(Documents!$G$5:$G$657,MATCH(H956,Documents!$A$5:$A$657,0))),"")</f>
        <v>10.1021/jm8016255</v>
      </c>
      <c r="L956" s="25" t="s">
        <v>1046</v>
      </c>
    </row>
    <row r="957" customFormat="false" ht="15" hidden="false" customHeight="false" outlineLevel="0" collapsed="false">
      <c r="A957" s="25" t="n">
        <v>7944822</v>
      </c>
      <c r="B957" s="25" t="s">
        <v>2326</v>
      </c>
      <c r="C957" s="25" t="s">
        <v>2327</v>
      </c>
      <c r="D957" s="26" t="n">
        <v>800</v>
      </c>
      <c r="E957" s="27" t="n">
        <v>6.09691001300806</v>
      </c>
      <c r="F957" s="27" t="n">
        <v>6.09691001300806</v>
      </c>
      <c r="G957" s="25" t="s">
        <v>2072</v>
      </c>
      <c r="H957" s="25" t="s">
        <v>2073</v>
      </c>
      <c r="I957" s="25" t="n">
        <f aca="false">IFERROR(IF(INDEX(Documents!$C$5:$C$657,MATCH(H957,Documents!$A$5:$A$657,0))="","",INDEX(Documents!$C$5:$C$657,MATCH(H957,Documents!$A$5:$A$657,0))),"")</f>
        <v>2011</v>
      </c>
      <c r="J957" s="25" t="str">
        <f aca="false">IFERROR(IF(INDEX(Documents!$D$5:$D$657,MATCH(H957,Documents!$A$5:$A$657,0))="","",INDEX(Documents!$D$5:$D$657,MATCH(H957,Documents!$A$5:$A$657,0))),"")</f>
        <v>J Med Chem</v>
      </c>
      <c r="K957" s="25" t="str">
        <f aca="false">IFERROR(IF(INDEX(Documents!$G$5:$G$657,MATCH(H957,Documents!$A$5:$A$657,0))="","",INDEX(Documents!$G$5:$G$657,MATCH(H957,Documents!$A$5:$A$657,0))),"")</f>
        <v>10.1021/jm200529h</v>
      </c>
      <c r="L957" s="25" t="s">
        <v>2074</v>
      </c>
    </row>
    <row r="958" customFormat="false" ht="15" hidden="false" customHeight="false" outlineLevel="0" collapsed="false">
      <c r="A958" s="25" t="n">
        <v>7944832</v>
      </c>
      <c r="B958" s="25" t="s">
        <v>2328</v>
      </c>
      <c r="C958" s="25" t="s">
        <v>2329</v>
      </c>
      <c r="D958" s="26" t="n">
        <v>1670</v>
      </c>
      <c r="E958" s="27" t="n">
        <v>5.77728352885242</v>
      </c>
      <c r="F958" s="27" t="n">
        <v>5.77728352885242</v>
      </c>
      <c r="G958" s="25" t="s">
        <v>2072</v>
      </c>
      <c r="H958" s="25" t="s">
        <v>2073</v>
      </c>
      <c r="I958" s="25" t="n">
        <f aca="false">IFERROR(IF(INDEX(Documents!$C$5:$C$657,MATCH(H958,Documents!$A$5:$A$657,0))="","",INDEX(Documents!$C$5:$C$657,MATCH(H958,Documents!$A$5:$A$657,0))),"")</f>
        <v>2011</v>
      </c>
      <c r="J958" s="25" t="str">
        <f aca="false">IFERROR(IF(INDEX(Documents!$D$5:$D$657,MATCH(H958,Documents!$A$5:$A$657,0))="","",INDEX(Documents!$D$5:$D$657,MATCH(H958,Documents!$A$5:$A$657,0))),"")</f>
        <v>J Med Chem</v>
      </c>
      <c r="K958" s="25" t="str">
        <f aca="false">IFERROR(IF(INDEX(Documents!$G$5:$G$657,MATCH(H958,Documents!$A$5:$A$657,0))="","",INDEX(Documents!$G$5:$G$657,MATCH(H958,Documents!$A$5:$A$657,0))),"")</f>
        <v>10.1021/jm200529h</v>
      </c>
      <c r="L958" s="25" t="s">
        <v>2074</v>
      </c>
    </row>
    <row r="959" customFormat="false" ht="15" hidden="false" customHeight="false" outlineLevel="0" collapsed="false">
      <c r="A959" s="25" t="n">
        <v>15052054</v>
      </c>
      <c r="B959" s="25" t="s">
        <v>2330</v>
      </c>
      <c r="C959" s="25" t="s">
        <v>2331</v>
      </c>
      <c r="D959" s="26" t="n">
        <v>650</v>
      </c>
      <c r="E959" s="27" t="n">
        <v>6.18708664335714</v>
      </c>
      <c r="F959" s="27" t="n">
        <v>6.18708664335714</v>
      </c>
      <c r="G959" s="25" t="s">
        <v>523</v>
      </c>
      <c r="H959" s="25" t="s">
        <v>524</v>
      </c>
      <c r="I959" s="25" t="n">
        <f aca="false">IFERROR(IF(INDEX(Documents!$C$5:$C$657,MATCH(H959,Documents!$A$5:$A$657,0))="","",INDEX(Documents!$C$5:$C$657,MATCH(H959,Documents!$A$5:$A$657,0))),"")</f>
        <v>2014</v>
      </c>
      <c r="J959" s="25" t="str">
        <f aca="false">IFERROR(IF(INDEX(Documents!$D$5:$D$657,MATCH(H959,Documents!$A$5:$A$657,0))="","",INDEX(Documents!$D$5:$D$657,MATCH(H959,Documents!$A$5:$A$657,0))),"")</f>
        <v>Bioorg Med Chem</v>
      </c>
      <c r="K959" s="25" t="str">
        <f aca="false">IFERROR(IF(INDEX(Documents!$G$5:$G$657,MATCH(H959,Documents!$A$5:$A$657,0))="","",INDEX(Documents!$G$5:$G$657,MATCH(H959,Documents!$A$5:$A$657,0))),"")</f>
        <v>10.1016/j.bmc.2014.07.006</v>
      </c>
      <c r="L959" s="25" t="s">
        <v>525</v>
      </c>
    </row>
    <row r="960" customFormat="false" ht="15" hidden="false" customHeight="false" outlineLevel="0" collapsed="false">
      <c r="A960" s="25" t="n">
        <v>7944831</v>
      </c>
      <c r="B960" s="25" t="s">
        <v>2332</v>
      </c>
      <c r="C960" s="25" t="s">
        <v>2333</v>
      </c>
      <c r="D960" s="26" t="n">
        <v>380</v>
      </c>
      <c r="E960" s="27" t="n">
        <v>6.42021640338319</v>
      </c>
      <c r="F960" s="27" t="n">
        <v>6.42021640338319</v>
      </c>
      <c r="G960" s="25" t="s">
        <v>2072</v>
      </c>
      <c r="H960" s="25" t="s">
        <v>2073</v>
      </c>
      <c r="I960" s="25" t="n">
        <f aca="false">IFERROR(IF(INDEX(Documents!$C$5:$C$657,MATCH(H960,Documents!$A$5:$A$657,0))="","",INDEX(Documents!$C$5:$C$657,MATCH(H960,Documents!$A$5:$A$657,0))),"")</f>
        <v>2011</v>
      </c>
      <c r="J960" s="25" t="str">
        <f aca="false">IFERROR(IF(INDEX(Documents!$D$5:$D$657,MATCH(H960,Documents!$A$5:$A$657,0))="","",INDEX(Documents!$D$5:$D$657,MATCH(H960,Documents!$A$5:$A$657,0))),"")</f>
        <v>J Med Chem</v>
      </c>
      <c r="K960" s="25" t="str">
        <f aca="false">IFERROR(IF(INDEX(Documents!$G$5:$G$657,MATCH(H960,Documents!$A$5:$A$657,0))="","",INDEX(Documents!$G$5:$G$657,MATCH(H960,Documents!$A$5:$A$657,0))),"")</f>
        <v>10.1021/jm200529h</v>
      </c>
      <c r="L960" s="25" t="s">
        <v>2074</v>
      </c>
    </row>
    <row r="961" customFormat="false" ht="15" hidden="false" customHeight="false" outlineLevel="0" collapsed="false">
      <c r="A961" s="25" t="n">
        <v>7944830</v>
      </c>
      <c r="B961" s="25" t="s">
        <v>2334</v>
      </c>
      <c r="C961" s="25" t="s">
        <v>2335</v>
      </c>
      <c r="D961" s="26" t="n">
        <v>110</v>
      </c>
      <c r="E961" s="27" t="n">
        <v>6.95860731484178</v>
      </c>
      <c r="F961" s="27" t="n">
        <v>6.95860731484178</v>
      </c>
      <c r="G961" s="25" t="s">
        <v>2072</v>
      </c>
      <c r="H961" s="25" t="s">
        <v>2073</v>
      </c>
      <c r="I961" s="25" t="n">
        <f aca="false">IFERROR(IF(INDEX(Documents!$C$5:$C$657,MATCH(H961,Documents!$A$5:$A$657,0))="","",INDEX(Documents!$C$5:$C$657,MATCH(H961,Documents!$A$5:$A$657,0))),"")</f>
        <v>2011</v>
      </c>
      <c r="J961" s="25" t="str">
        <f aca="false">IFERROR(IF(INDEX(Documents!$D$5:$D$657,MATCH(H961,Documents!$A$5:$A$657,0))="","",INDEX(Documents!$D$5:$D$657,MATCH(H961,Documents!$A$5:$A$657,0))),"")</f>
        <v>J Med Chem</v>
      </c>
      <c r="K961" s="25" t="str">
        <f aca="false">IFERROR(IF(INDEX(Documents!$G$5:$G$657,MATCH(H961,Documents!$A$5:$A$657,0))="","",INDEX(Documents!$G$5:$G$657,MATCH(H961,Documents!$A$5:$A$657,0))),"")</f>
        <v>10.1021/jm200529h</v>
      </c>
      <c r="L961" s="25" t="s">
        <v>2074</v>
      </c>
    </row>
    <row r="962" customFormat="false" ht="15" hidden="false" customHeight="false" outlineLevel="0" collapsed="false">
      <c r="A962" s="25" t="n">
        <v>7944829</v>
      </c>
      <c r="B962" s="25" t="s">
        <v>2336</v>
      </c>
      <c r="C962" s="25" t="s">
        <v>2337</v>
      </c>
      <c r="D962" s="26" t="n">
        <v>190</v>
      </c>
      <c r="E962" s="27" t="n">
        <v>6.72124639904717</v>
      </c>
      <c r="F962" s="27" t="n">
        <v>6.72124639904717</v>
      </c>
      <c r="G962" s="25" t="s">
        <v>2072</v>
      </c>
      <c r="H962" s="25" t="s">
        <v>2073</v>
      </c>
      <c r="I962" s="25" t="n">
        <f aca="false">IFERROR(IF(INDEX(Documents!$C$5:$C$657,MATCH(H962,Documents!$A$5:$A$657,0))="","",INDEX(Documents!$C$5:$C$657,MATCH(H962,Documents!$A$5:$A$657,0))),"")</f>
        <v>2011</v>
      </c>
      <c r="J962" s="25" t="str">
        <f aca="false">IFERROR(IF(INDEX(Documents!$D$5:$D$657,MATCH(H962,Documents!$A$5:$A$657,0))="","",INDEX(Documents!$D$5:$D$657,MATCH(H962,Documents!$A$5:$A$657,0))),"")</f>
        <v>J Med Chem</v>
      </c>
      <c r="K962" s="25" t="str">
        <f aca="false">IFERROR(IF(INDEX(Documents!$G$5:$G$657,MATCH(H962,Documents!$A$5:$A$657,0))="","",INDEX(Documents!$G$5:$G$657,MATCH(H962,Documents!$A$5:$A$657,0))),"")</f>
        <v>10.1021/jm200529h</v>
      </c>
      <c r="L962" s="25" t="s">
        <v>2074</v>
      </c>
    </row>
    <row r="963" customFormat="false" ht="15" hidden="false" customHeight="false" outlineLevel="0" collapsed="false">
      <c r="A963" s="25" t="n">
        <v>14729939</v>
      </c>
      <c r="B963" s="25" t="s">
        <v>2338</v>
      </c>
      <c r="C963" s="25" t="s">
        <v>2339</v>
      </c>
      <c r="D963" s="26" t="n">
        <v>51</v>
      </c>
      <c r="E963" s="27" t="n">
        <v>7.29242982390206</v>
      </c>
      <c r="F963" s="27" t="n">
        <v>7.29242982390206</v>
      </c>
      <c r="G963" s="25" t="s">
        <v>2340</v>
      </c>
      <c r="H963" s="25" t="s">
        <v>2341</v>
      </c>
      <c r="I963" s="25" t="n">
        <f aca="false">IFERROR(IF(INDEX(Documents!$C$5:$C$657,MATCH(H963,Documents!$A$5:$A$657,0))="","",INDEX(Documents!$C$5:$C$657,MATCH(H963,Documents!$A$5:$A$657,0))),"")</f>
        <v>2014</v>
      </c>
      <c r="J963" s="25" t="str">
        <f aca="false">IFERROR(IF(INDEX(Documents!$D$5:$D$657,MATCH(H963,Documents!$A$5:$A$657,0))="","",INDEX(Documents!$D$5:$D$657,MATCH(H963,Documents!$A$5:$A$657,0))),"")</f>
        <v>Bioorg Med Chem</v>
      </c>
      <c r="K963" s="25" t="str">
        <f aca="false">IFERROR(IF(INDEX(Documents!$G$5:$G$657,MATCH(H963,Documents!$A$5:$A$657,0))="","",INDEX(Documents!$G$5:$G$657,MATCH(H963,Documents!$A$5:$A$657,0))),"")</f>
        <v>10.1016/j.bmc.2014.04.062</v>
      </c>
      <c r="L963" s="25" t="s">
        <v>2342</v>
      </c>
    </row>
    <row r="964" customFormat="false" ht="15" hidden="false" customHeight="false" outlineLevel="0" collapsed="false">
      <c r="A964" s="25" t="n">
        <v>2251160</v>
      </c>
      <c r="B964" s="25" t="s">
        <v>2343</v>
      </c>
      <c r="C964" s="25" t="s">
        <v>2344</v>
      </c>
      <c r="D964" s="26" t="n">
        <v>342</v>
      </c>
      <c r="E964" s="27" t="n">
        <v>6.46597389394387</v>
      </c>
      <c r="F964" s="27" t="n">
        <v>6.46597389394387</v>
      </c>
      <c r="G964" s="25" t="s">
        <v>2152</v>
      </c>
      <c r="H964" s="25" t="s">
        <v>2153</v>
      </c>
      <c r="I964" s="25" t="n">
        <f aca="false">IFERROR(IF(INDEX(Documents!$C$5:$C$657,MATCH(H964,Documents!$A$5:$A$657,0))="","",INDEX(Documents!$C$5:$C$657,MATCH(H964,Documents!$A$5:$A$657,0))),"")</f>
        <v>2009</v>
      </c>
      <c r="J964" s="25" t="str">
        <f aca="false">IFERROR(IF(INDEX(Documents!$D$5:$D$657,MATCH(H964,Documents!$A$5:$A$657,0))="","",INDEX(Documents!$D$5:$D$657,MATCH(H964,Documents!$A$5:$A$657,0))),"")</f>
        <v>J Med Chem</v>
      </c>
      <c r="K964" s="25" t="str">
        <f aca="false">IFERROR(IF(INDEX(Documents!$G$5:$G$657,MATCH(H964,Documents!$A$5:$A$657,0))="","",INDEX(Documents!$G$5:$G$657,MATCH(H964,Documents!$A$5:$A$657,0))),"")</f>
        <v>10.1021/jm801044g</v>
      </c>
      <c r="L964" s="25" t="s">
        <v>2020</v>
      </c>
    </row>
    <row r="965" customFormat="false" ht="15" hidden="false" customHeight="false" outlineLevel="0" collapsed="false">
      <c r="A965" s="25" t="n">
        <v>15703311</v>
      </c>
      <c r="B965" s="25" t="s">
        <v>2345</v>
      </c>
      <c r="C965" s="25" t="s">
        <v>2346</v>
      </c>
      <c r="D965" s="26" t="n">
        <v>11.2</v>
      </c>
      <c r="E965" s="27" t="n">
        <v>7.95078197732982</v>
      </c>
      <c r="F965" s="27" t="n">
        <v>7.95078197732982</v>
      </c>
      <c r="G965" s="25" t="s">
        <v>2347</v>
      </c>
      <c r="H965" s="25" t="s">
        <v>2348</v>
      </c>
      <c r="I965" s="25" t="n">
        <f aca="false">IFERROR(IF(INDEX(Documents!$C$5:$C$657,MATCH(H965,Documents!$A$5:$A$657,0))="","",INDEX(Documents!$C$5:$C$657,MATCH(H965,Documents!$A$5:$A$657,0))),"")</f>
        <v>2015</v>
      </c>
      <c r="J965" s="25" t="str">
        <f aca="false">IFERROR(IF(INDEX(Documents!$D$5:$D$657,MATCH(H965,Documents!$A$5:$A$657,0))="","",INDEX(Documents!$D$5:$D$657,MATCH(H965,Documents!$A$5:$A$657,0))),"")</f>
        <v>Eur J Med Chem</v>
      </c>
      <c r="K965" s="25" t="str">
        <f aca="false">IFERROR(IF(INDEX(Documents!$G$5:$G$657,MATCH(H965,Documents!$A$5:$A$657,0))="","",INDEX(Documents!$G$5:$G$657,MATCH(H965,Documents!$A$5:$A$657,0))),"")</f>
        <v>10.1016/j.ejmech.2015.06.057</v>
      </c>
      <c r="L965" s="25" t="s">
        <v>2349</v>
      </c>
    </row>
    <row r="966" customFormat="false" ht="15" hidden="false" customHeight="false" outlineLevel="0" collapsed="false">
      <c r="A966" s="25" t="n">
        <v>2251163</v>
      </c>
      <c r="B966" s="25" t="s">
        <v>2350</v>
      </c>
      <c r="C966" s="25" t="s">
        <v>2351</v>
      </c>
      <c r="D966" s="26" t="n">
        <v>23</v>
      </c>
      <c r="E966" s="27" t="n">
        <v>7.63827216398241</v>
      </c>
      <c r="F966" s="27" t="n">
        <v>7.63827216398241</v>
      </c>
      <c r="G966" s="25" t="s">
        <v>2152</v>
      </c>
      <c r="H966" s="25" t="s">
        <v>2153</v>
      </c>
      <c r="I966" s="25" t="n">
        <f aca="false">IFERROR(IF(INDEX(Documents!$C$5:$C$657,MATCH(H966,Documents!$A$5:$A$657,0))="","",INDEX(Documents!$C$5:$C$657,MATCH(H966,Documents!$A$5:$A$657,0))),"")</f>
        <v>2009</v>
      </c>
      <c r="J966" s="25" t="str">
        <f aca="false">IFERROR(IF(INDEX(Documents!$D$5:$D$657,MATCH(H966,Documents!$A$5:$A$657,0))="","",INDEX(Documents!$D$5:$D$657,MATCH(H966,Documents!$A$5:$A$657,0))),"")</f>
        <v>J Med Chem</v>
      </c>
      <c r="K966" s="25" t="str">
        <f aca="false">IFERROR(IF(INDEX(Documents!$G$5:$G$657,MATCH(H966,Documents!$A$5:$A$657,0))="","",INDEX(Documents!$G$5:$G$657,MATCH(H966,Documents!$A$5:$A$657,0))),"")</f>
        <v>10.1021/jm801044g</v>
      </c>
      <c r="L966" s="25" t="s">
        <v>2020</v>
      </c>
    </row>
    <row r="967" customFormat="false" ht="15" hidden="false" customHeight="false" outlineLevel="0" collapsed="false">
      <c r="A967" s="25" t="n">
        <v>24666745</v>
      </c>
      <c r="B967" s="25" t="s">
        <v>2352</v>
      </c>
      <c r="C967" s="25" t="s">
        <v>2353</v>
      </c>
      <c r="D967" s="26" t="n">
        <v>43.65</v>
      </c>
      <c r="E967" s="27" t="n">
        <v>7.36001575195841</v>
      </c>
      <c r="F967" s="27" t="n">
        <v>7.64397414280688</v>
      </c>
      <c r="G967" s="25" t="s">
        <v>397</v>
      </c>
      <c r="H967" s="25" t="s">
        <v>398</v>
      </c>
      <c r="I967" s="25" t="n">
        <f aca="false">IFERROR(IF(INDEX(Documents!$C$5:$C$657,MATCH(H967,Documents!$A$5:$A$657,0))="","",INDEX(Documents!$C$5:$C$657,MATCH(H967,Documents!$A$5:$A$657,0))),"")</f>
        <v>2021</v>
      </c>
      <c r="J967" s="25" t="str">
        <f aca="false">IFERROR(IF(INDEX(Documents!$D$5:$D$657,MATCH(H967,Documents!$A$5:$A$657,0))="","",INDEX(Documents!$D$5:$D$657,MATCH(H967,Documents!$A$5:$A$657,0))),"")</f>
        <v>Eur J Med Chem</v>
      </c>
      <c r="K967" s="25" t="str">
        <f aca="false">IFERROR(IF(INDEX(Documents!$G$5:$G$657,MATCH(H967,Documents!$A$5:$A$657,0))="","",INDEX(Documents!$G$5:$G$657,MATCH(H967,Documents!$A$5:$A$657,0))),"")</f>
        <v>10.1016/j.ejmech.2021.113878</v>
      </c>
      <c r="L967" s="25" t="s">
        <v>399</v>
      </c>
    </row>
    <row r="968" customFormat="false" ht="15" hidden="false" customHeight="false" outlineLevel="0" collapsed="false">
      <c r="A968" s="25" t="n">
        <v>14574028</v>
      </c>
      <c r="B968" s="25" t="s">
        <v>2352</v>
      </c>
      <c r="C968" s="25" t="s">
        <v>2353</v>
      </c>
      <c r="D968" s="26" t="n">
        <v>22.7</v>
      </c>
      <c r="E968" s="27" t="n">
        <v>7.64397414280688</v>
      </c>
      <c r="F968" s="27" t="n">
        <v>7.64397414280688</v>
      </c>
      <c r="G968" s="25" t="s">
        <v>2354</v>
      </c>
      <c r="H968" s="25" t="s">
        <v>1358</v>
      </c>
      <c r="I968" s="25" t="n">
        <f aca="false">IFERROR(IF(INDEX(Documents!$C$5:$C$657,MATCH(H968,Documents!$A$5:$A$657,0))="","",INDEX(Documents!$C$5:$C$657,MATCH(H968,Documents!$A$5:$A$657,0))),"")</f>
        <v>2013</v>
      </c>
      <c r="J968" s="25" t="str">
        <f aca="false">IFERROR(IF(INDEX(Documents!$D$5:$D$657,MATCH(H968,Documents!$A$5:$A$657,0))="","",INDEX(Documents!$D$5:$D$657,MATCH(H968,Documents!$A$5:$A$657,0))),"")</f>
        <v>J Med Chem</v>
      </c>
      <c r="K968" s="25" t="str">
        <f aca="false">IFERROR(IF(INDEX(Documents!$G$5:$G$657,MATCH(H968,Documents!$A$5:$A$657,0))="","",INDEX(Documents!$G$5:$G$657,MATCH(H968,Documents!$A$5:$A$657,0))),"")</f>
        <v>10.1021/jm4005626</v>
      </c>
      <c r="L968" s="25" t="s">
        <v>2355</v>
      </c>
    </row>
    <row r="969" customFormat="false" ht="15" hidden="false" customHeight="false" outlineLevel="0" collapsed="false">
      <c r="A969" s="25" t="n">
        <v>13922846</v>
      </c>
      <c r="B969" s="25" t="s">
        <v>2352</v>
      </c>
      <c r="C969" s="25" t="s">
        <v>2353</v>
      </c>
      <c r="D969" s="26" t="n">
        <v>11.2</v>
      </c>
      <c r="E969" s="27" t="n">
        <v>7.95078197732982</v>
      </c>
      <c r="F969" s="27" t="n">
        <v>7.64397414280688</v>
      </c>
      <c r="G969" s="25" t="s">
        <v>243</v>
      </c>
      <c r="H969" s="25" t="s">
        <v>244</v>
      </c>
      <c r="I969" s="25" t="n">
        <f aca="false">IFERROR(IF(INDEX(Documents!$C$5:$C$657,MATCH(H969,Documents!$A$5:$A$657,0))="","",INDEX(Documents!$C$5:$C$657,MATCH(H969,Documents!$A$5:$A$657,0))),"")</f>
        <v>2014</v>
      </c>
      <c r="J969" s="25" t="str">
        <f aca="false">IFERROR(IF(INDEX(Documents!$D$5:$D$657,MATCH(H969,Documents!$A$5:$A$657,0))="","",INDEX(Documents!$D$5:$D$657,MATCH(H969,Documents!$A$5:$A$657,0))),"")</f>
        <v>Eur J Med Chem</v>
      </c>
      <c r="K969" s="25" t="str">
        <f aca="false">IFERROR(IF(INDEX(Documents!$G$5:$G$657,MATCH(H969,Documents!$A$5:$A$657,0))="","",INDEX(Documents!$G$5:$G$657,MATCH(H969,Documents!$A$5:$A$657,0))),"")</f>
        <v>10.1016/j.ejmech.2013.11.026</v>
      </c>
      <c r="L969" s="25" t="s">
        <v>245</v>
      </c>
    </row>
    <row r="970" customFormat="false" ht="15" hidden="false" customHeight="false" outlineLevel="0" collapsed="false">
      <c r="A970" s="25" t="n">
        <v>14574030</v>
      </c>
      <c r="B970" s="25" t="s">
        <v>2356</v>
      </c>
      <c r="C970" s="25" t="s">
        <v>2357</v>
      </c>
      <c r="D970" s="26" t="n">
        <v>23.1</v>
      </c>
      <c r="E970" s="27" t="n">
        <v>7.63638802010786</v>
      </c>
      <c r="F970" s="27" t="n">
        <v>7.63638802010786</v>
      </c>
      <c r="G970" s="25" t="s">
        <v>2358</v>
      </c>
      <c r="H970" s="25" t="s">
        <v>1358</v>
      </c>
      <c r="I970" s="25" t="n">
        <f aca="false">IFERROR(IF(INDEX(Documents!$C$5:$C$657,MATCH(H970,Documents!$A$5:$A$657,0))="","",INDEX(Documents!$C$5:$C$657,MATCH(H970,Documents!$A$5:$A$657,0))),"")</f>
        <v>2013</v>
      </c>
      <c r="J970" s="25" t="str">
        <f aca="false">IFERROR(IF(INDEX(Documents!$D$5:$D$657,MATCH(H970,Documents!$A$5:$A$657,0))="","",INDEX(Documents!$D$5:$D$657,MATCH(H970,Documents!$A$5:$A$657,0))),"")</f>
        <v>J Med Chem</v>
      </c>
      <c r="K970" s="25" t="str">
        <f aca="false">IFERROR(IF(INDEX(Documents!$G$5:$G$657,MATCH(H970,Documents!$A$5:$A$657,0))="","",INDEX(Documents!$G$5:$G$657,MATCH(H970,Documents!$A$5:$A$657,0))),"")</f>
        <v>10.1021/jm4005626</v>
      </c>
      <c r="L970" s="25" t="s">
        <v>2231</v>
      </c>
    </row>
    <row r="971" customFormat="false" ht="15" hidden="false" customHeight="false" outlineLevel="0" collapsed="false">
      <c r="A971" s="25" t="n">
        <v>5205731</v>
      </c>
      <c r="B971" s="25" t="s">
        <v>2359</v>
      </c>
      <c r="C971" s="25" t="s">
        <v>2360</v>
      </c>
      <c r="D971" s="26" t="n">
        <v>6.4</v>
      </c>
      <c r="E971" s="27" t="n">
        <v>8.19382002601611</v>
      </c>
      <c r="F971" s="27" t="n">
        <v>8.19382002601611</v>
      </c>
      <c r="G971" s="25" t="s">
        <v>461</v>
      </c>
      <c r="H971" s="25" t="s">
        <v>462</v>
      </c>
      <c r="I971" s="25" t="n">
        <f aca="false">IFERROR(IF(INDEX(Documents!$C$5:$C$657,MATCH(H971,Documents!$A$5:$A$657,0))="","",INDEX(Documents!$C$5:$C$657,MATCH(H971,Documents!$A$5:$A$657,0))),"")</f>
        <v>2011</v>
      </c>
      <c r="J971" s="25" t="str">
        <f aca="false">IFERROR(IF(INDEX(Documents!$D$5:$D$657,MATCH(H971,Documents!$A$5:$A$657,0))="","",INDEX(Documents!$D$5:$D$657,MATCH(H971,Documents!$A$5:$A$657,0))),"")</f>
        <v>Eur J Med Chem</v>
      </c>
      <c r="K971" s="25" t="str">
        <f aca="false">IFERROR(IF(INDEX(Documents!$G$5:$G$657,MATCH(H971,Documents!$A$5:$A$657,0))="","",INDEX(Documents!$G$5:$G$657,MATCH(H971,Documents!$A$5:$A$657,0))),"")</f>
        <v>10.1016/j.ejmech.2010.11.034</v>
      </c>
      <c r="L971" s="25" t="s">
        <v>463</v>
      </c>
    </row>
    <row r="972" customFormat="false" ht="15" hidden="false" customHeight="false" outlineLevel="0" collapsed="false">
      <c r="A972" s="25" t="n">
        <v>19404958</v>
      </c>
      <c r="B972" s="25" t="s">
        <v>2361</v>
      </c>
      <c r="C972" s="25" t="s">
        <v>2362</v>
      </c>
      <c r="D972" s="26" t="n">
        <v>66.4</v>
      </c>
      <c r="E972" s="27" t="n">
        <v>7.17783192063198</v>
      </c>
      <c r="F972" s="27" t="n">
        <v>7.17783192063198</v>
      </c>
      <c r="G972" s="25" t="s">
        <v>2258</v>
      </c>
      <c r="H972" s="25" t="s">
        <v>2259</v>
      </c>
      <c r="I972" s="25" t="n">
        <f aca="false">IFERROR(IF(INDEX(Documents!$C$5:$C$657,MATCH(H972,Documents!$A$5:$A$657,0))="","",INDEX(Documents!$C$5:$C$657,MATCH(H972,Documents!$A$5:$A$657,0))),"")</f>
        <v>2016</v>
      </c>
      <c r="J972" s="25" t="str">
        <f aca="false">IFERROR(IF(INDEX(Documents!$D$5:$D$657,MATCH(H972,Documents!$A$5:$A$657,0))="","",INDEX(Documents!$D$5:$D$657,MATCH(H972,Documents!$A$5:$A$657,0))),"")</f>
        <v>J Med Chem</v>
      </c>
      <c r="K972" s="25" t="str">
        <f aca="false">IFERROR(IF(INDEX(Documents!$G$5:$G$657,MATCH(H972,Documents!$A$5:$A$657,0))="","",INDEX(Documents!$G$5:$G$657,MATCH(H972,Documents!$A$5:$A$657,0))),"")</f>
        <v>10.1021/acs.jmedchem.6b00397</v>
      </c>
      <c r="L972" s="25" t="s">
        <v>2260</v>
      </c>
    </row>
    <row r="973" customFormat="false" ht="15" hidden="false" customHeight="false" outlineLevel="0" collapsed="false">
      <c r="A973" s="25" t="n">
        <v>19404960</v>
      </c>
      <c r="B973" s="25" t="s">
        <v>2363</v>
      </c>
      <c r="C973" s="25" t="s">
        <v>2364</v>
      </c>
      <c r="D973" s="26" t="n">
        <v>92.6</v>
      </c>
      <c r="E973" s="27" t="n">
        <v>7.03338901331807</v>
      </c>
      <c r="F973" s="27" t="n">
        <v>7.03338901331807</v>
      </c>
      <c r="G973" s="25" t="s">
        <v>2258</v>
      </c>
      <c r="H973" s="25" t="s">
        <v>2259</v>
      </c>
      <c r="I973" s="25" t="n">
        <f aca="false">IFERROR(IF(INDEX(Documents!$C$5:$C$657,MATCH(H973,Documents!$A$5:$A$657,0))="","",INDEX(Documents!$C$5:$C$657,MATCH(H973,Documents!$A$5:$A$657,0))),"")</f>
        <v>2016</v>
      </c>
      <c r="J973" s="25" t="str">
        <f aca="false">IFERROR(IF(INDEX(Documents!$D$5:$D$657,MATCH(H973,Documents!$A$5:$A$657,0))="","",INDEX(Documents!$D$5:$D$657,MATCH(H973,Documents!$A$5:$A$657,0))),"")</f>
        <v>J Med Chem</v>
      </c>
      <c r="K973" s="25" t="str">
        <f aca="false">IFERROR(IF(INDEX(Documents!$G$5:$G$657,MATCH(H973,Documents!$A$5:$A$657,0))="","",INDEX(Documents!$G$5:$G$657,MATCH(H973,Documents!$A$5:$A$657,0))),"")</f>
        <v>10.1021/acs.jmedchem.6b00397</v>
      </c>
      <c r="L973" s="25" t="s">
        <v>2260</v>
      </c>
    </row>
    <row r="974" customFormat="false" ht="15" hidden="false" customHeight="false" outlineLevel="0" collapsed="false">
      <c r="A974" s="25" t="n">
        <v>19404957</v>
      </c>
      <c r="B974" s="25" t="s">
        <v>2365</v>
      </c>
      <c r="C974" s="25" t="s">
        <v>2366</v>
      </c>
      <c r="D974" s="26" t="n">
        <v>87.1</v>
      </c>
      <c r="E974" s="27" t="n">
        <v>7.05998184499234</v>
      </c>
      <c r="F974" s="27" t="n">
        <v>7.05998184499234</v>
      </c>
      <c r="G974" s="25" t="s">
        <v>2258</v>
      </c>
      <c r="H974" s="25" t="s">
        <v>2259</v>
      </c>
      <c r="I974" s="25" t="n">
        <f aca="false">IFERROR(IF(INDEX(Documents!$C$5:$C$657,MATCH(H974,Documents!$A$5:$A$657,0))="","",INDEX(Documents!$C$5:$C$657,MATCH(H974,Documents!$A$5:$A$657,0))),"")</f>
        <v>2016</v>
      </c>
      <c r="J974" s="25" t="str">
        <f aca="false">IFERROR(IF(INDEX(Documents!$D$5:$D$657,MATCH(H974,Documents!$A$5:$A$657,0))="","",INDEX(Documents!$D$5:$D$657,MATCH(H974,Documents!$A$5:$A$657,0))),"")</f>
        <v>J Med Chem</v>
      </c>
      <c r="K974" s="25" t="str">
        <f aca="false">IFERROR(IF(INDEX(Documents!$G$5:$G$657,MATCH(H974,Documents!$A$5:$A$657,0))="","",INDEX(Documents!$G$5:$G$657,MATCH(H974,Documents!$A$5:$A$657,0))),"")</f>
        <v>10.1021/acs.jmedchem.6b00397</v>
      </c>
      <c r="L974" s="25" t="s">
        <v>2260</v>
      </c>
    </row>
    <row r="975" customFormat="false" ht="15" hidden="false" customHeight="false" outlineLevel="0" collapsed="false">
      <c r="A975" s="25" t="n">
        <v>19404961</v>
      </c>
      <c r="B975" s="25" t="s">
        <v>2367</v>
      </c>
      <c r="C975" s="25" t="s">
        <v>2368</v>
      </c>
      <c r="D975" s="26" t="n">
        <v>2256</v>
      </c>
      <c r="E975" s="27" t="n">
        <v>5.6466609046887</v>
      </c>
      <c r="F975" s="27" t="n">
        <v>5.6466609046887</v>
      </c>
      <c r="G975" s="25" t="s">
        <v>2258</v>
      </c>
      <c r="H975" s="25" t="s">
        <v>2259</v>
      </c>
      <c r="I975" s="25" t="n">
        <f aca="false">IFERROR(IF(INDEX(Documents!$C$5:$C$657,MATCH(H975,Documents!$A$5:$A$657,0))="","",INDEX(Documents!$C$5:$C$657,MATCH(H975,Documents!$A$5:$A$657,0))),"")</f>
        <v>2016</v>
      </c>
      <c r="J975" s="25" t="str">
        <f aca="false">IFERROR(IF(INDEX(Documents!$D$5:$D$657,MATCH(H975,Documents!$A$5:$A$657,0))="","",INDEX(Documents!$D$5:$D$657,MATCH(H975,Documents!$A$5:$A$657,0))),"")</f>
        <v>J Med Chem</v>
      </c>
      <c r="K975" s="25" t="str">
        <f aca="false">IFERROR(IF(INDEX(Documents!$G$5:$G$657,MATCH(H975,Documents!$A$5:$A$657,0))="","",INDEX(Documents!$G$5:$G$657,MATCH(H975,Documents!$A$5:$A$657,0))),"")</f>
        <v>10.1021/acs.jmedchem.6b00397</v>
      </c>
      <c r="L975" s="25" t="s">
        <v>2260</v>
      </c>
    </row>
    <row r="976" customFormat="false" ht="15" hidden="false" customHeight="false" outlineLevel="0" collapsed="false">
      <c r="A976" s="25" t="n">
        <v>19404962</v>
      </c>
      <c r="B976" s="25" t="s">
        <v>2369</v>
      </c>
      <c r="C976" s="25" t="s">
        <v>2370</v>
      </c>
      <c r="D976" s="26" t="n">
        <v>1493</v>
      </c>
      <c r="E976" s="27" t="n">
        <v>5.82594019227498</v>
      </c>
      <c r="F976" s="27" t="n">
        <v>5.82594019227498</v>
      </c>
      <c r="G976" s="25" t="s">
        <v>2258</v>
      </c>
      <c r="H976" s="25" t="s">
        <v>2259</v>
      </c>
      <c r="I976" s="25" t="n">
        <f aca="false">IFERROR(IF(INDEX(Documents!$C$5:$C$657,MATCH(H976,Documents!$A$5:$A$657,0))="","",INDEX(Documents!$C$5:$C$657,MATCH(H976,Documents!$A$5:$A$657,0))),"")</f>
        <v>2016</v>
      </c>
      <c r="J976" s="25" t="str">
        <f aca="false">IFERROR(IF(INDEX(Documents!$D$5:$D$657,MATCH(H976,Documents!$A$5:$A$657,0))="","",INDEX(Documents!$D$5:$D$657,MATCH(H976,Documents!$A$5:$A$657,0))),"")</f>
        <v>J Med Chem</v>
      </c>
      <c r="K976" s="25" t="str">
        <f aca="false">IFERROR(IF(INDEX(Documents!$G$5:$G$657,MATCH(H976,Documents!$A$5:$A$657,0))="","",INDEX(Documents!$G$5:$G$657,MATCH(H976,Documents!$A$5:$A$657,0))),"")</f>
        <v>10.1021/acs.jmedchem.6b00397</v>
      </c>
      <c r="L976" s="25" t="s">
        <v>2260</v>
      </c>
    </row>
    <row r="977" customFormat="false" ht="15" hidden="false" customHeight="false" outlineLevel="0" collapsed="false">
      <c r="A977" s="25" t="n">
        <v>19404959</v>
      </c>
      <c r="B977" s="25" t="s">
        <v>2371</v>
      </c>
      <c r="C977" s="25" t="s">
        <v>2372</v>
      </c>
      <c r="D977" s="26" t="n">
        <v>159.5</v>
      </c>
      <c r="E977" s="27" t="n">
        <v>6.7972393126068</v>
      </c>
      <c r="F977" s="27" t="n">
        <v>6.7972393126068</v>
      </c>
      <c r="G977" s="25" t="s">
        <v>2258</v>
      </c>
      <c r="H977" s="25" t="s">
        <v>2259</v>
      </c>
      <c r="I977" s="25" t="n">
        <f aca="false">IFERROR(IF(INDEX(Documents!$C$5:$C$657,MATCH(H977,Documents!$A$5:$A$657,0))="","",INDEX(Documents!$C$5:$C$657,MATCH(H977,Documents!$A$5:$A$657,0))),"")</f>
        <v>2016</v>
      </c>
      <c r="J977" s="25" t="str">
        <f aca="false">IFERROR(IF(INDEX(Documents!$D$5:$D$657,MATCH(H977,Documents!$A$5:$A$657,0))="","",INDEX(Documents!$D$5:$D$657,MATCH(H977,Documents!$A$5:$A$657,0))),"")</f>
        <v>J Med Chem</v>
      </c>
      <c r="K977" s="25" t="str">
        <f aca="false">IFERROR(IF(INDEX(Documents!$G$5:$G$657,MATCH(H977,Documents!$A$5:$A$657,0))="","",INDEX(Documents!$G$5:$G$657,MATCH(H977,Documents!$A$5:$A$657,0))),"")</f>
        <v>10.1021/acs.jmedchem.6b00397</v>
      </c>
      <c r="L977" s="25" t="s">
        <v>2260</v>
      </c>
    </row>
    <row r="978" customFormat="false" ht="15" hidden="false" customHeight="false" outlineLevel="0" collapsed="false">
      <c r="A978" s="25" t="n">
        <v>19404985</v>
      </c>
      <c r="B978" s="25" t="s">
        <v>2373</v>
      </c>
      <c r="C978" s="25" t="s">
        <v>2374</v>
      </c>
      <c r="D978" s="26" t="n">
        <v>12.8</v>
      </c>
      <c r="E978" s="27" t="n">
        <v>7.89279003035213</v>
      </c>
      <c r="F978" s="27" t="n">
        <v>7.89279003035213</v>
      </c>
      <c r="G978" s="25" t="s">
        <v>2258</v>
      </c>
      <c r="H978" s="25" t="s">
        <v>2259</v>
      </c>
      <c r="I978" s="25" t="n">
        <f aca="false">IFERROR(IF(INDEX(Documents!$C$5:$C$657,MATCH(H978,Documents!$A$5:$A$657,0))="","",INDEX(Documents!$C$5:$C$657,MATCH(H978,Documents!$A$5:$A$657,0))),"")</f>
        <v>2016</v>
      </c>
      <c r="J978" s="25" t="str">
        <f aca="false">IFERROR(IF(INDEX(Documents!$D$5:$D$657,MATCH(H978,Documents!$A$5:$A$657,0))="","",INDEX(Documents!$D$5:$D$657,MATCH(H978,Documents!$A$5:$A$657,0))),"")</f>
        <v>J Med Chem</v>
      </c>
      <c r="K978" s="25" t="str">
        <f aca="false">IFERROR(IF(INDEX(Documents!$G$5:$G$657,MATCH(H978,Documents!$A$5:$A$657,0))="","",INDEX(Documents!$G$5:$G$657,MATCH(H978,Documents!$A$5:$A$657,0))),"")</f>
        <v>10.1021/acs.jmedchem.6b00397</v>
      </c>
      <c r="L978" s="25" t="s">
        <v>2260</v>
      </c>
    </row>
    <row r="979" customFormat="false" ht="15" hidden="false" customHeight="false" outlineLevel="0" collapsed="false">
      <c r="A979" s="25" t="n">
        <v>12137486</v>
      </c>
      <c r="B979" s="25" t="s">
        <v>2375</v>
      </c>
      <c r="C979" s="25" t="s">
        <v>2376</v>
      </c>
      <c r="D979" s="26" t="n">
        <v>4120</v>
      </c>
      <c r="E979" s="27" t="n">
        <v>5.38510278396687</v>
      </c>
      <c r="F979" s="27" t="n">
        <v>5.38510278396687</v>
      </c>
      <c r="G979" s="25" t="s">
        <v>2120</v>
      </c>
      <c r="H979" s="25" t="s">
        <v>2121</v>
      </c>
      <c r="I979" s="25" t="n">
        <f aca="false">IFERROR(IF(INDEX(Documents!$C$5:$C$657,MATCH(H979,Documents!$A$5:$A$657,0))="","",INDEX(Documents!$C$5:$C$657,MATCH(H979,Documents!$A$5:$A$657,0))),"")</f>
        <v>2012</v>
      </c>
      <c r="J979" s="25" t="str">
        <f aca="false">IFERROR(IF(INDEX(Documents!$D$5:$D$657,MATCH(H979,Documents!$A$5:$A$657,0))="","",INDEX(Documents!$D$5:$D$657,MATCH(H979,Documents!$A$5:$A$657,0))),"")</f>
        <v>J Med Chem</v>
      </c>
      <c r="K979" s="25" t="str">
        <f aca="false">IFERROR(IF(INDEX(Documents!$G$5:$G$657,MATCH(H979,Documents!$A$5:$A$657,0))="","",INDEX(Documents!$G$5:$G$657,MATCH(H979,Documents!$A$5:$A$657,0))),"")</f>
        <v>10.1021/jm3008213</v>
      </c>
      <c r="L979" s="25" t="s">
        <v>2122</v>
      </c>
    </row>
    <row r="980" customFormat="false" ht="15" hidden="false" customHeight="false" outlineLevel="0" collapsed="false">
      <c r="A980" s="25" t="n">
        <v>12137484</v>
      </c>
      <c r="B980" s="25" t="s">
        <v>2377</v>
      </c>
      <c r="C980" s="25" t="s">
        <v>2378</v>
      </c>
      <c r="D980" s="26" t="n">
        <v>3010</v>
      </c>
      <c r="E980" s="27" t="n">
        <v>5.52143350440616</v>
      </c>
      <c r="F980" s="27" t="n">
        <v>5.52143350440616</v>
      </c>
      <c r="G980" s="25" t="s">
        <v>2120</v>
      </c>
      <c r="H980" s="25" t="s">
        <v>2121</v>
      </c>
      <c r="I980" s="25" t="n">
        <f aca="false">IFERROR(IF(INDEX(Documents!$C$5:$C$657,MATCH(H980,Documents!$A$5:$A$657,0))="","",INDEX(Documents!$C$5:$C$657,MATCH(H980,Documents!$A$5:$A$657,0))),"")</f>
        <v>2012</v>
      </c>
      <c r="J980" s="25" t="str">
        <f aca="false">IFERROR(IF(INDEX(Documents!$D$5:$D$657,MATCH(H980,Documents!$A$5:$A$657,0))="","",INDEX(Documents!$D$5:$D$657,MATCH(H980,Documents!$A$5:$A$657,0))),"")</f>
        <v>J Med Chem</v>
      </c>
      <c r="K980" s="25" t="str">
        <f aca="false">IFERROR(IF(INDEX(Documents!$G$5:$G$657,MATCH(H980,Documents!$A$5:$A$657,0))="","",INDEX(Documents!$G$5:$G$657,MATCH(H980,Documents!$A$5:$A$657,0))),"")</f>
        <v>10.1021/jm3008213</v>
      </c>
      <c r="L980" s="25" t="s">
        <v>2122</v>
      </c>
    </row>
    <row r="981" customFormat="false" ht="15" hidden="false" customHeight="false" outlineLevel="0" collapsed="false">
      <c r="A981" s="25" t="n">
        <v>20682929</v>
      </c>
      <c r="B981" s="25" t="s">
        <v>2379</v>
      </c>
      <c r="C981" s="25" t="s">
        <v>2380</v>
      </c>
      <c r="D981" s="26" t="n">
        <v>4.2</v>
      </c>
      <c r="E981" s="27" t="n">
        <v>8.3767507096021</v>
      </c>
      <c r="F981" s="27" t="n">
        <v>8.3767507096021</v>
      </c>
      <c r="G981" s="25" t="s">
        <v>518</v>
      </c>
      <c r="H981" s="25" t="s">
        <v>519</v>
      </c>
      <c r="I981" s="25" t="n">
        <f aca="false">IFERROR(IF(INDEX(Documents!$C$5:$C$657,MATCH(H981,Documents!$A$5:$A$657,0))="","",INDEX(Documents!$C$5:$C$657,MATCH(H981,Documents!$A$5:$A$657,0))),"")</f>
        <v>2020</v>
      </c>
      <c r="J981" s="25" t="str">
        <f aca="false">IFERROR(IF(INDEX(Documents!$D$5:$D$657,MATCH(H981,Documents!$A$5:$A$657,0))="","",INDEX(Documents!$D$5:$D$657,MATCH(H981,Documents!$A$5:$A$657,0))),"")</f>
        <v>Bioorg Med Chem</v>
      </c>
      <c r="K981" s="25" t="str">
        <f aca="false">IFERROR(IF(INDEX(Documents!$G$5:$G$657,MATCH(H981,Documents!$A$5:$A$657,0))="","",INDEX(Documents!$G$5:$G$657,MATCH(H981,Documents!$A$5:$A$657,0))),"")</f>
        <v>10.1016/j.bmc.2020.115513</v>
      </c>
      <c r="L981" s="25" t="s">
        <v>520</v>
      </c>
    </row>
    <row r="982" customFormat="false" ht="15" hidden="false" customHeight="false" outlineLevel="0" collapsed="false">
      <c r="A982" s="25" t="n">
        <v>20682938</v>
      </c>
      <c r="B982" s="25" t="s">
        <v>2381</v>
      </c>
      <c r="C982" s="25" t="s">
        <v>2382</v>
      </c>
      <c r="D982" s="26" t="n">
        <v>92.8</v>
      </c>
      <c r="E982" s="27" t="n">
        <v>7.03245202378114</v>
      </c>
      <c r="F982" s="27" t="n">
        <v>7.03245202378114</v>
      </c>
      <c r="G982" s="25" t="s">
        <v>518</v>
      </c>
      <c r="H982" s="25" t="s">
        <v>519</v>
      </c>
      <c r="I982" s="25" t="n">
        <f aca="false">IFERROR(IF(INDEX(Documents!$C$5:$C$657,MATCH(H982,Documents!$A$5:$A$657,0))="","",INDEX(Documents!$C$5:$C$657,MATCH(H982,Documents!$A$5:$A$657,0))),"")</f>
        <v>2020</v>
      </c>
      <c r="J982" s="25" t="str">
        <f aca="false">IFERROR(IF(INDEX(Documents!$D$5:$D$657,MATCH(H982,Documents!$A$5:$A$657,0))="","",INDEX(Documents!$D$5:$D$657,MATCH(H982,Documents!$A$5:$A$657,0))),"")</f>
        <v>Bioorg Med Chem</v>
      </c>
      <c r="K982" s="25" t="str">
        <f aca="false">IFERROR(IF(INDEX(Documents!$G$5:$G$657,MATCH(H982,Documents!$A$5:$A$657,0))="","",INDEX(Documents!$G$5:$G$657,MATCH(H982,Documents!$A$5:$A$657,0))),"")</f>
        <v>10.1016/j.bmc.2020.115513</v>
      </c>
      <c r="L982" s="25" t="s">
        <v>520</v>
      </c>
    </row>
    <row r="983" customFormat="false" ht="15" hidden="false" customHeight="false" outlineLevel="0" collapsed="false">
      <c r="A983" s="25" t="n">
        <v>20682926</v>
      </c>
      <c r="B983" s="25" t="s">
        <v>2383</v>
      </c>
      <c r="C983" s="25" t="s">
        <v>2384</v>
      </c>
      <c r="D983" s="26" t="n">
        <v>129.4</v>
      </c>
      <c r="E983" s="27" t="n">
        <v>6.88806572366732</v>
      </c>
      <c r="F983" s="27" t="n">
        <v>6.88806572366732</v>
      </c>
      <c r="G983" s="25" t="s">
        <v>518</v>
      </c>
      <c r="H983" s="25" t="s">
        <v>519</v>
      </c>
      <c r="I983" s="25" t="n">
        <f aca="false">IFERROR(IF(INDEX(Documents!$C$5:$C$657,MATCH(H983,Documents!$A$5:$A$657,0))="","",INDEX(Documents!$C$5:$C$657,MATCH(H983,Documents!$A$5:$A$657,0))),"")</f>
        <v>2020</v>
      </c>
      <c r="J983" s="25" t="str">
        <f aca="false">IFERROR(IF(INDEX(Documents!$D$5:$D$657,MATCH(H983,Documents!$A$5:$A$657,0))="","",INDEX(Documents!$D$5:$D$657,MATCH(H983,Documents!$A$5:$A$657,0))),"")</f>
        <v>Bioorg Med Chem</v>
      </c>
      <c r="K983" s="25" t="str">
        <f aca="false">IFERROR(IF(INDEX(Documents!$G$5:$G$657,MATCH(H983,Documents!$A$5:$A$657,0))="","",INDEX(Documents!$G$5:$G$657,MATCH(H983,Documents!$A$5:$A$657,0))),"")</f>
        <v>10.1016/j.bmc.2020.115513</v>
      </c>
      <c r="L983" s="25" t="s">
        <v>520</v>
      </c>
    </row>
    <row r="984" customFormat="false" ht="15" hidden="false" customHeight="false" outlineLevel="0" collapsed="false">
      <c r="A984" s="25" t="n">
        <v>20682940</v>
      </c>
      <c r="B984" s="25" t="s">
        <v>2385</v>
      </c>
      <c r="C984" s="25" t="s">
        <v>2386</v>
      </c>
      <c r="D984" s="26" t="n">
        <v>1371.2</v>
      </c>
      <c r="E984" s="27" t="n">
        <v>5.86289919542088</v>
      </c>
      <c r="F984" s="27" t="n">
        <v>5.86289919542088</v>
      </c>
      <c r="G984" s="25" t="s">
        <v>518</v>
      </c>
      <c r="H984" s="25" t="s">
        <v>519</v>
      </c>
      <c r="I984" s="25" t="n">
        <f aca="false">IFERROR(IF(INDEX(Documents!$C$5:$C$657,MATCH(H984,Documents!$A$5:$A$657,0))="","",INDEX(Documents!$C$5:$C$657,MATCH(H984,Documents!$A$5:$A$657,0))),"")</f>
        <v>2020</v>
      </c>
      <c r="J984" s="25" t="str">
        <f aca="false">IFERROR(IF(INDEX(Documents!$D$5:$D$657,MATCH(H984,Documents!$A$5:$A$657,0))="","",INDEX(Documents!$D$5:$D$657,MATCH(H984,Documents!$A$5:$A$657,0))),"")</f>
        <v>Bioorg Med Chem</v>
      </c>
      <c r="K984" s="25" t="str">
        <f aca="false">IFERROR(IF(INDEX(Documents!$G$5:$G$657,MATCH(H984,Documents!$A$5:$A$657,0))="","",INDEX(Documents!$G$5:$G$657,MATCH(H984,Documents!$A$5:$A$657,0))),"")</f>
        <v>10.1016/j.bmc.2020.115513</v>
      </c>
      <c r="L984" s="25" t="s">
        <v>520</v>
      </c>
    </row>
    <row r="985" customFormat="false" ht="15" hidden="false" customHeight="false" outlineLevel="0" collapsed="false">
      <c r="A985" s="25" t="n">
        <v>20682930</v>
      </c>
      <c r="B985" s="25" t="s">
        <v>2387</v>
      </c>
      <c r="C985" s="25" t="s">
        <v>2388</v>
      </c>
      <c r="D985" s="26" t="n">
        <v>26.1</v>
      </c>
      <c r="E985" s="27" t="n">
        <v>7.58335949266172</v>
      </c>
      <c r="F985" s="27" t="n">
        <v>7.58335949266172</v>
      </c>
      <c r="G985" s="25" t="s">
        <v>518</v>
      </c>
      <c r="H985" s="25" t="s">
        <v>519</v>
      </c>
      <c r="I985" s="25" t="n">
        <f aca="false">IFERROR(IF(INDEX(Documents!$C$5:$C$657,MATCH(H985,Documents!$A$5:$A$657,0))="","",INDEX(Documents!$C$5:$C$657,MATCH(H985,Documents!$A$5:$A$657,0))),"")</f>
        <v>2020</v>
      </c>
      <c r="J985" s="25" t="str">
        <f aca="false">IFERROR(IF(INDEX(Documents!$D$5:$D$657,MATCH(H985,Documents!$A$5:$A$657,0))="","",INDEX(Documents!$D$5:$D$657,MATCH(H985,Documents!$A$5:$A$657,0))),"")</f>
        <v>Bioorg Med Chem</v>
      </c>
      <c r="K985" s="25" t="str">
        <f aca="false">IFERROR(IF(INDEX(Documents!$G$5:$G$657,MATCH(H985,Documents!$A$5:$A$657,0))="","",INDEX(Documents!$G$5:$G$657,MATCH(H985,Documents!$A$5:$A$657,0))),"")</f>
        <v>10.1016/j.bmc.2020.115513</v>
      </c>
      <c r="L985" s="25" t="s">
        <v>520</v>
      </c>
    </row>
    <row r="986" customFormat="false" ht="15" hidden="false" customHeight="false" outlineLevel="0" collapsed="false">
      <c r="A986" s="25" t="n">
        <v>20682932</v>
      </c>
      <c r="B986" s="25" t="s">
        <v>2389</v>
      </c>
      <c r="C986" s="25" t="s">
        <v>2390</v>
      </c>
      <c r="D986" s="26" t="n">
        <v>322.3</v>
      </c>
      <c r="E986" s="27" t="n">
        <v>6.49173969448767</v>
      </c>
      <c r="F986" s="27" t="n">
        <v>6.49173969448767</v>
      </c>
      <c r="G986" s="25" t="s">
        <v>518</v>
      </c>
      <c r="H986" s="25" t="s">
        <v>519</v>
      </c>
      <c r="I986" s="25" t="n">
        <f aca="false">IFERROR(IF(INDEX(Documents!$C$5:$C$657,MATCH(H986,Documents!$A$5:$A$657,0))="","",INDEX(Documents!$C$5:$C$657,MATCH(H986,Documents!$A$5:$A$657,0))),"")</f>
        <v>2020</v>
      </c>
      <c r="J986" s="25" t="str">
        <f aca="false">IFERROR(IF(INDEX(Documents!$D$5:$D$657,MATCH(H986,Documents!$A$5:$A$657,0))="","",INDEX(Documents!$D$5:$D$657,MATCH(H986,Documents!$A$5:$A$657,0))),"")</f>
        <v>Bioorg Med Chem</v>
      </c>
      <c r="K986" s="25" t="str">
        <f aca="false">IFERROR(IF(INDEX(Documents!$G$5:$G$657,MATCH(H986,Documents!$A$5:$A$657,0))="","",INDEX(Documents!$G$5:$G$657,MATCH(H986,Documents!$A$5:$A$657,0))),"")</f>
        <v>10.1016/j.bmc.2020.115513</v>
      </c>
      <c r="L986" s="25" t="s">
        <v>520</v>
      </c>
    </row>
    <row r="987" customFormat="false" ht="15" hidden="false" customHeight="false" outlineLevel="0" collapsed="false">
      <c r="A987" s="25" t="n">
        <v>20682927</v>
      </c>
      <c r="B987" s="25" t="s">
        <v>2391</v>
      </c>
      <c r="C987" s="25" t="s">
        <v>2392</v>
      </c>
      <c r="D987" s="26" t="n">
        <v>104.4</v>
      </c>
      <c r="E987" s="27" t="n">
        <v>6.98129950133376</v>
      </c>
      <c r="F987" s="27" t="n">
        <v>6.98129950133376</v>
      </c>
      <c r="G987" s="25" t="s">
        <v>518</v>
      </c>
      <c r="H987" s="25" t="s">
        <v>519</v>
      </c>
      <c r="I987" s="25" t="n">
        <f aca="false">IFERROR(IF(INDEX(Documents!$C$5:$C$657,MATCH(H987,Documents!$A$5:$A$657,0))="","",INDEX(Documents!$C$5:$C$657,MATCH(H987,Documents!$A$5:$A$657,0))),"")</f>
        <v>2020</v>
      </c>
      <c r="J987" s="25" t="str">
        <f aca="false">IFERROR(IF(INDEX(Documents!$D$5:$D$657,MATCH(H987,Documents!$A$5:$A$657,0))="","",INDEX(Documents!$D$5:$D$657,MATCH(H987,Documents!$A$5:$A$657,0))),"")</f>
        <v>Bioorg Med Chem</v>
      </c>
      <c r="K987" s="25" t="str">
        <f aca="false">IFERROR(IF(INDEX(Documents!$G$5:$G$657,MATCH(H987,Documents!$A$5:$A$657,0))="","",INDEX(Documents!$G$5:$G$657,MATCH(H987,Documents!$A$5:$A$657,0))),"")</f>
        <v>10.1016/j.bmc.2020.115513</v>
      </c>
      <c r="L987" s="25" t="s">
        <v>520</v>
      </c>
    </row>
    <row r="988" customFormat="false" ht="15" hidden="false" customHeight="false" outlineLevel="0" collapsed="false">
      <c r="A988" s="25" t="n">
        <v>19404963</v>
      </c>
      <c r="B988" s="25" t="s">
        <v>2393</v>
      </c>
      <c r="C988" s="25" t="s">
        <v>2394</v>
      </c>
      <c r="D988" s="26" t="n">
        <v>3545</v>
      </c>
      <c r="E988" s="27" t="n">
        <v>5.45038376048091</v>
      </c>
      <c r="F988" s="27" t="n">
        <v>5.45038376048091</v>
      </c>
      <c r="G988" s="25" t="s">
        <v>2258</v>
      </c>
      <c r="H988" s="25" t="s">
        <v>2259</v>
      </c>
      <c r="I988" s="25" t="n">
        <f aca="false">IFERROR(IF(INDEX(Documents!$C$5:$C$657,MATCH(H988,Documents!$A$5:$A$657,0))="","",INDEX(Documents!$C$5:$C$657,MATCH(H988,Documents!$A$5:$A$657,0))),"")</f>
        <v>2016</v>
      </c>
      <c r="J988" s="25" t="str">
        <f aca="false">IFERROR(IF(INDEX(Documents!$D$5:$D$657,MATCH(H988,Documents!$A$5:$A$657,0))="","",INDEX(Documents!$D$5:$D$657,MATCH(H988,Documents!$A$5:$A$657,0))),"")</f>
        <v>J Med Chem</v>
      </c>
      <c r="K988" s="25" t="str">
        <f aca="false">IFERROR(IF(INDEX(Documents!$G$5:$G$657,MATCH(H988,Documents!$A$5:$A$657,0))="","",INDEX(Documents!$G$5:$G$657,MATCH(H988,Documents!$A$5:$A$657,0))),"")</f>
        <v>10.1021/acs.jmedchem.6b00397</v>
      </c>
      <c r="L988" s="25" t="s">
        <v>2260</v>
      </c>
    </row>
    <row r="989" customFormat="false" ht="15" hidden="false" customHeight="false" outlineLevel="0" collapsed="false">
      <c r="A989" s="25" t="n">
        <v>19404981</v>
      </c>
      <c r="B989" s="25" t="s">
        <v>2395</v>
      </c>
      <c r="C989" s="25" t="s">
        <v>2396</v>
      </c>
      <c r="D989" s="26" t="n">
        <v>78.7</v>
      </c>
      <c r="E989" s="27" t="n">
        <v>7.10402526764094</v>
      </c>
      <c r="F989" s="27" t="n">
        <v>7.10402526764094</v>
      </c>
      <c r="G989" s="25" t="s">
        <v>2258</v>
      </c>
      <c r="H989" s="25" t="s">
        <v>2259</v>
      </c>
      <c r="I989" s="25" t="n">
        <f aca="false">IFERROR(IF(INDEX(Documents!$C$5:$C$657,MATCH(H989,Documents!$A$5:$A$657,0))="","",INDEX(Documents!$C$5:$C$657,MATCH(H989,Documents!$A$5:$A$657,0))),"")</f>
        <v>2016</v>
      </c>
      <c r="J989" s="25" t="str">
        <f aca="false">IFERROR(IF(INDEX(Documents!$D$5:$D$657,MATCH(H989,Documents!$A$5:$A$657,0))="","",INDEX(Documents!$D$5:$D$657,MATCH(H989,Documents!$A$5:$A$657,0))),"")</f>
        <v>J Med Chem</v>
      </c>
      <c r="K989" s="25" t="str">
        <f aca="false">IFERROR(IF(INDEX(Documents!$G$5:$G$657,MATCH(H989,Documents!$A$5:$A$657,0))="","",INDEX(Documents!$G$5:$G$657,MATCH(H989,Documents!$A$5:$A$657,0))),"")</f>
        <v>10.1021/acs.jmedchem.6b00397</v>
      </c>
      <c r="L989" s="25" t="s">
        <v>2260</v>
      </c>
    </row>
    <row r="990" customFormat="false" ht="15" hidden="false" customHeight="false" outlineLevel="0" collapsed="false">
      <c r="A990" s="25" t="n">
        <v>19404979</v>
      </c>
      <c r="B990" s="25" t="s">
        <v>2397</v>
      </c>
      <c r="C990" s="25" t="s">
        <v>2398</v>
      </c>
      <c r="D990" s="26" t="n">
        <v>77.3</v>
      </c>
      <c r="E990" s="27" t="n">
        <v>7.11182050608168</v>
      </c>
      <c r="F990" s="27" t="n">
        <v>7.11182050608168</v>
      </c>
      <c r="G990" s="25" t="s">
        <v>2258</v>
      </c>
      <c r="H990" s="25" t="s">
        <v>2259</v>
      </c>
      <c r="I990" s="25" t="n">
        <f aca="false">IFERROR(IF(INDEX(Documents!$C$5:$C$657,MATCH(H990,Documents!$A$5:$A$657,0))="","",INDEX(Documents!$C$5:$C$657,MATCH(H990,Documents!$A$5:$A$657,0))),"")</f>
        <v>2016</v>
      </c>
      <c r="J990" s="25" t="str">
        <f aca="false">IFERROR(IF(INDEX(Documents!$D$5:$D$657,MATCH(H990,Documents!$A$5:$A$657,0))="","",INDEX(Documents!$D$5:$D$657,MATCH(H990,Documents!$A$5:$A$657,0))),"")</f>
        <v>J Med Chem</v>
      </c>
      <c r="K990" s="25" t="str">
        <f aca="false">IFERROR(IF(INDEX(Documents!$G$5:$G$657,MATCH(H990,Documents!$A$5:$A$657,0))="","",INDEX(Documents!$G$5:$G$657,MATCH(H990,Documents!$A$5:$A$657,0))),"")</f>
        <v>10.1021/acs.jmedchem.6b00397</v>
      </c>
      <c r="L990" s="25" t="s">
        <v>2260</v>
      </c>
    </row>
    <row r="991" customFormat="false" ht="15" hidden="false" customHeight="false" outlineLevel="0" collapsed="false">
      <c r="A991" s="25" t="n">
        <v>19404980</v>
      </c>
      <c r="B991" s="25" t="s">
        <v>2399</v>
      </c>
      <c r="C991" s="25" t="s">
        <v>2400</v>
      </c>
      <c r="D991" s="26" t="n">
        <v>87.1</v>
      </c>
      <c r="E991" s="27" t="n">
        <v>7.05998184499234</v>
      </c>
      <c r="F991" s="27" t="n">
        <v>7.05998184499234</v>
      </c>
      <c r="G991" s="25" t="s">
        <v>2258</v>
      </c>
      <c r="H991" s="25" t="s">
        <v>2259</v>
      </c>
      <c r="I991" s="25" t="n">
        <f aca="false">IFERROR(IF(INDEX(Documents!$C$5:$C$657,MATCH(H991,Documents!$A$5:$A$657,0))="","",INDEX(Documents!$C$5:$C$657,MATCH(H991,Documents!$A$5:$A$657,0))),"")</f>
        <v>2016</v>
      </c>
      <c r="J991" s="25" t="str">
        <f aca="false">IFERROR(IF(INDEX(Documents!$D$5:$D$657,MATCH(H991,Documents!$A$5:$A$657,0))="","",INDEX(Documents!$D$5:$D$657,MATCH(H991,Documents!$A$5:$A$657,0))),"")</f>
        <v>J Med Chem</v>
      </c>
      <c r="K991" s="25" t="str">
        <f aca="false">IFERROR(IF(INDEX(Documents!$G$5:$G$657,MATCH(H991,Documents!$A$5:$A$657,0))="","",INDEX(Documents!$G$5:$G$657,MATCH(H991,Documents!$A$5:$A$657,0))),"")</f>
        <v>10.1021/acs.jmedchem.6b00397</v>
      </c>
      <c r="L991" s="25" t="s">
        <v>2260</v>
      </c>
    </row>
    <row r="992" customFormat="false" ht="15" hidden="false" customHeight="false" outlineLevel="0" collapsed="false">
      <c r="A992" s="25" t="n">
        <v>19404971</v>
      </c>
      <c r="B992" s="25" t="s">
        <v>2401</v>
      </c>
      <c r="C992" s="25" t="s">
        <v>2402</v>
      </c>
      <c r="D992" s="26" t="n">
        <v>364</v>
      </c>
      <c r="E992" s="27" t="n">
        <v>6.43889861635094</v>
      </c>
      <c r="F992" s="27" t="n">
        <v>6.43889861635094</v>
      </c>
      <c r="G992" s="25" t="s">
        <v>2258</v>
      </c>
      <c r="H992" s="25" t="s">
        <v>2259</v>
      </c>
      <c r="I992" s="25" t="n">
        <f aca="false">IFERROR(IF(INDEX(Documents!$C$5:$C$657,MATCH(H992,Documents!$A$5:$A$657,0))="","",INDEX(Documents!$C$5:$C$657,MATCH(H992,Documents!$A$5:$A$657,0))),"")</f>
        <v>2016</v>
      </c>
      <c r="J992" s="25" t="str">
        <f aca="false">IFERROR(IF(INDEX(Documents!$D$5:$D$657,MATCH(H992,Documents!$A$5:$A$657,0))="","",INDEX(Documents!$D$5:$D$657,MATCH(H992,Documents!$A$5:$A$657,0))),"")</f>
        <v>J Med Chem</v>
      </c>
      <c r="K992" s="25" t="str">
        <f aca="false">IFERROR(IF(INDEX(Documents!$G$5:$G$657,MATCH(H992,Documents!$A$5:$A$657,0))="","",INDEX(Documents!$G$5:$G$657,MATCH(H992,Documents!$A$5:$A$657,0))),"")</f>
        <v>10.1021/acs.jmedchem.6b00397</v>
      </c>
      <c r="L992" s="25" t="s">
        <v>2260</v>
      </c>
    </row>
    <row r="993" customFormat="false" ht="15" hidden="false" customHeight="false" outlineLevel="0" collapsed="false">
      <c r="A993" s="25" t="n">
        <v>19404973</v>
      </c>
      <c r="B993" s="25" t="s">
        <v>2403</v>
      </c>
      <c r="C993" s="25" t="s">
        <v>2404</v>
      </c>
      <c r="D993" s="26" t="n">
        <v>97.4</v>
      </c>
      <c r="E993" s="27" t="n">
        <v>7.01144104312138</v>
      </c>
      <c r="F993" s="27" t="n">
        <v>7.01144104312138</v>
      </c>
      <c r="G993" s="25" t="s">
        <v>2258</v>
      </c>
      <c r="H993" s="25" t="s">
        <v>2259</v>
      </c>
      <c r="I993" s="25" t="n">
        <f aca="false">IFERROR(IF(INDEX(Documents!$C$5:$C$657,MATCH(H993,Documents!$A$5:$A$657,0))="","",INDEX(Documents!$C$5:$C$657,MATCH(H993,Documents!$A$5:$A$657,0))),"")</f>
        <v>2016</v>
      </c>
      <c r="J993" s="25" t="str">
        <f aca="false">IFERROR(IF(INDEX(Documents!$D$5:$D$657,MATCH(H993,Documents!$A$5:$A$657,0))="","",INDEX(Documents!$D$5:$D$657,MATCH(H993,Documents!$A$5:$A$657,0))),"")</f>
        <v>J Med Chem</v>
      </c>
      <c r="K993" s="25" t="str">
        <f aca="false">IFERROR(IF(INDEX(Documents!$G$5:$G$657,MATCH(H993,Documents!$A$5:$A$657,0))="","",INDEX(Documents!$G$5:$G$657,MATCH(H993,Documents!$A$5:$A$657,0))),"")</f>
        <v>10.1021/acs.jmedchem.6b00397</v>
      </c>
      <c r="L993" s="25" t="s">
        <v>2260</v>
      </c>
    </row>
    <row r="994" customFormat="false" ht="15" hidden="false" customHeight="false" outlineLevel="0" collapsed="false">
      <c r="A994" s="25" t="n">
        <v>19404970</v>
      </c>
      <c r="B994" s="25" t="s">
        <v>2405</v>
      </c>
      <c r="C994" s="25" t="s">
        <v>2406</v>
      </c>
      <c r="D994" s="26" t="n">
        <v>26</v>
      </c>
      <c r="E994" s="27" t="n">
        <v>7.58502665202918</v>
      </c>
      <c r="F994" s="27" t="n">
        <v>7.58502665202918</v>
      </c>
      <c r="G994" s="25" t="s">
        <v>2258</v>
      </c>
      <c r="H994" s="25" t="s">
        <v>2259</v>
      </c>
      <c r="I994" s="25" t="n">
        <f aca="false">IFERROR(IF(INDEX(Documents!$C$5:$C$657,MATCH(H994,Documents!$A$5:$A$657,0))="","",INDEX(Documents!$C$5:$C$657,MATCH(H994,Documents!$A$5:$A$657,0))),"")</f>
        <v>2016</v>
      </c>
      <c r="J994" s="25" t="str">
        <f aca="false">IFERROR(IF(INDEX(Documents!$D$5:$D$657,MATCH(H994,Documents!$A$5:$A$657,0))="","",INDEX(Documents!$D$5:$D$657,MATCH(H994,Documents!$A$5:$A$657,0))),"")</f>
        <v>J Med Chem</v>
      </c>
      <c r="K994" s="25" t="str">
        <f aca="false">IFERROR(IF(INDEX(Documents!$G$5:$G$657,MATCH(H994,Documents!$A$5:$A$657,0))="","",INDEX(Documents!$G$5:$G$657,MATCH(H994,Documents!$A$5:$A$657,0))),"")</f>
        <v>10.1021/acs.jmedchem.6b00397</v>
      </c>
      <c r="L994" s="25" t="s">
        <v>2260</v>
      </c>
    </row>
    <row r="995" customFormat="false" ht="15" hidden="false" customHeight="false" outlineLevel="0" collapsed="false">
      <c r="A995" s="25" t="n">
        <v>19404972</v>
      </c>
      <c r="B995" s="25" t="s">
        <v>2407</v>
      </c>
      <c r="C995" s="25" t="s">
        <v>2408</v>
      </c>
      <c r="D995" s="26" t="n">
        <v>440</v>
      </c>
      <c r="E995" s="27" t="n">
        <v>6.35654732351381</v>
      </c>
      <c r="F995" s="27" t="n">
        <v>6.35654732351381</v>
      </c>
      <c r="G995" s="25" t="s">
        <v>2258</v>
      </c>
      <c r="H995" s="25" t="s">
        <v>2259</v>
      </c>
      <c r="I995" s="25" t="n">
        <f aca="false">IFERROR(IF(INDEX(Documents!$C$5:$C$657,MATCH(H995,Documents!$A$5:$A$657,0))="","",INDEX(Documents!$C$5:$C$657,MATCH(H995,Documents!$A$5:$A$657,0))),"")</f>
        <v>2016</v>
      </c>
      <c r="J995" s="25" t="str">
        <f aca="false">IFERROR(IF(INDEX(Documents!$D$5:$D$657,MATCH(H995,Documents!$A$5:$A$657,0))="","",INDEX(Documents!$D$5:$D$657,MATCH(H995,Documents!$A$5:$A$657,0))),"")</f>
        <v>J Med Chem</v>
      </c>
      <c r="K995" s="25" t="str">
        <f aca="false">IFERROR(IF(INDEX(Documents!$G$5:$G$657,MATCH(H995,Documents!$A$5:$A$657,0))="","",INDEX(Documents!$G$5:$G$657,MATCH(H995,Documents!$A$5:$A$657,0))),"")</f>
        <v>10.1021/acs.jmedchem.6b00397</v>
      </c>
      <c r="L995" s="25" t="s">
        <v>2260</v>
      </c>
    </row>
    <row r="996" customFormat="false" ht="15" hidden="false" customHeight="false" outlineLevel="0" collapsed="false">
      <c r="A996" s="25" t="n">
        <v>19404986</v>
      </c>
      <c r="B996" s="25" t="s">
        <v>2409</v>
      </c>
      <c r="C996" s="25" t="s">
        <v>2410</v>
      </c>
      <c r="D996" s="26" t="n">
        <v>65.5</v>
      </c>
      <c r="E996" s="27" t="n">
        <v>7.18375870000822</v>
      </c>
      <c r="F996" s="27" t="n">
        <v>7.18375870000822</v>
      </c>
      <c r="G996" s="25" t="s">
        <v>2258</v>
      </c>
      <c r="H996" s="25" t="s">
        <v>2259</v>
      </c>
      <c r="I996" s="25" t="n">
        <f aca="false">IFERROR(IF(INDEX(Documents!$C$5:$C$657,MATCH(H996,Documents!$A$5:$A$657,0))="","",INDEX(Documents!$C$5:$C$657,MATCH(H996,Documents!$A$5:$A$657,0))),"")</f>
        <v>2016</v>
      </c>
      <c r="J996" s="25" t="str">
        <f aca="false">IFERROR(IF(INDEX(Documents!$D$5:$D$657,MATCH(H996,Documents!$A$5:$A$657,0))="","",INDEX(Documents!$D$5:$D$657,MATCH(H996,Documents!$A$5:$A$657,0))),"")</f>
        <v>J Med Chem</v>
      </c>
      <c r="K996" s="25" t="str">
        <f aca="false">IFERROR(IF(INDEX(Documents!$G$5:$G$657,MATCH(H996,Documents!$A$5:$A$657,0))="","",INDEX(Documents!$G$5:$G$657,MATCH(H996,Documents!$A$5:$A$657,0))),"")</f>
        <v>10.1021/acs.jmedchem.6b00397</v>
      </c>
      <c r="L996" s="25" t="s">
        <v>2260</v>
      </c>
    </row>
    <row r="997" customFormat="false" ht="15" hidden="false" customHeight="false" outlineLevel="0" collapsed="false">
      <c r="A997" s="25" t="n">
        <v>19404977</v>
      </c>
      <c r="B997" s="25" t="s">
        <v>2411</v>
      </c>
      <c r="C997" s="25" t="s">
        <v>2412</v>
      </c>
      <c r="D997" s="26" t="n">
        <v>39.8</v>
      </c>
      <c r="E997" s="27" t="n">
        <v>7.40011692792631</v>
      </c>
      <c r="F997" s="27" t="n">
        <v>7.40011692792631</v>
      </c>
      <c r="G997" s="25" t="s">
        <v>2258</v>
      </c>
      <c r="H997" s="25" t="s">
        <v>2259</v>
      </c>
      <c r="I997" s="25" t="n">
        <f aca="false">IFERROR(IF(INDEX(Documents!$C$5:$C$657,MATCH(H997,Documents!$A$5:$A$657,0))="","",INDEX(Documents!$C$5:$C$657,MATCH(H997,Documents!$A$5:$A$657,0))),"")</f>
        <v>2016</v>
      </c>
      <c r="J997" s="25" t="str">
        <f aca="false">IFERROR(IF(INDEX(Documents!$D$5:$D$657,MATCH(H997,Documents!$A$5:$A$657,0))="","",INDEX(Documents!$D$5:$D$657,MATCH(H997,Documents!$A$5:$A$657,0))),"")</f>
        <v>J Med Chem</v>
      </c>
      <c r="K997" s="25" t="str">
        <f aca="false">IFERROR(IF(INDEX(Documents!$G$5:$G$657,MATCH(H997,Documents!$A$5:$A$657,0))="","",INDEX(Documents!$G$5:$G$657,MATCH(H997,Documents!$A$5:$A$657,0))),"")</f>
        <v>10.1021/acs.jmedchem.6b00397</v>
      </c>
      <c r="L997" s="25" t="s">
        <v>2260</v>
      </c>
    </row>
    <row r="998" customFormat="false" ht="15" hidden="false" customHeight="false" outlineLevel="0" collapsed="false">
      <c r="A998" s="25" t="n">
        <v>19404978</v>
      </c>
      <c r="B998" s="25" t="s">
        <v>2413</v>
      </c>
      <c r="C998" s="25" t="s">
        <v>2414</v>
      </c>
      <c r="D998" s="26" t="n">
        <v>210.6</v>
      </c>
      <c r="E998" s="27" t="n">
        <v>6.67654163315053</v>
      </c>
      <c r="F998" s="27" t="n">
        <v>6.67654163315053</v>
      </c>
      <c r="G998" s="25" t="s">
        <v>2258</v>
      </c>
      <c r="H998" s="25" t="s">
        <v>2259</v>
      </c>
      <c r="I998" s="25" t="n">
        <f aca="false">IFERROR(IF(INDEX(Documents!$C$5:$C$657,MATCH(H998,Documents!$A$5:$A$657,0))="","",INDEX(Documents!$C$5:$C$657,MATCH(H998,Documents!$A$5:$A$657,0))),"")</f>
        <v>2016</v>
      </c>
      <c r="J998" s="25" t="str">
        <f aca="false">IFERROR(IF(INDEX(Documents!$D$5:$D$657,MATCH(H998,Documents!$A$5:$A$657,0))="","",INDEX(Documents!$D$5:$D$657,MATCH(H998,Documents!$A$5:$A$657,0))),"")</f>
        <v>J Med Chem</v>
      </c>
      <c r="K998" s="25" t="str">
        <f aca="false">IFERROR(IF(INDEX(Documents!$G$5:$G$657,MATCH(H998,Documents!$A$5:$A$657,0))="","",INDEX(Documents!$G$5:$G$657,MATCH(H998,Documents!$A$5:$A$657,0))),"")</f>
        <v>10.1021/acs.jmedchem.6b00397</v>
      </c>
      <c r="L998" s="25" t="s">
        <v>2260</v>
      </c>
    </row>
    <row r="999" customFormat="false" ht="15" hidden="false" customHeight="false" outlineLevel="0" collapsed="false">
      <c r="A999" s="25" t="n">
        <v>19404976</v>
      </c>
      <c r="B999" s="25" t="s">
        <v>2415</v>
      </c>
      <c r="C999" s="25" t="s">
        <v>2416</v>
      </c>
      <c r="D999" s="26" t="n">
        <v>3.6</v>
      </c>
      <c r="E999" s="27" t="n">
        <v>8.44369749923271</v>
      </c>
      <c r="F999" s="27" t="n">
        <v>8.44369749923271</v>
      </c>
      <c r="G999" s="25" t="s">
        <v>2258</v>
      </c>
      <c r="H999" s="25" t="s">
        <v>2259</v>
      </c>
      <c r="I999" s="25" t="n">
        <f aca="false">IFERROR(IF(INDEX(Documents!$C$5:$C$657,MATCH(H999,Documents!$A$5:$A$657,0))="","",INDEX(Documents!$C$5:$C$657,MATCH(H999,Documents!$A$5:$A$657,0))),"")</f>
        <v>2016</v>
      </c>
      <c r="J999" s="25" t="str">
        <f aca="false">IFERROR(IF(INDEX(Documents!$D$5:$D$657,MATCH(H999,Documents!$A$5:$A$657,0))="","",INDEX(Documents!$D$5:$D$657,MATCH(H999,Documents!$A$5:$A$657,0))),"")</f>
        <v>J Med Chem</v>
      </c>
      <c r="K999" s="25" t="str">
        <f aca="false">IFERROR(IF(INDEX(Documents!$G$5:$G$657,MATCH(H999,Documents!$A$5:$A$657,0))="","",INDEX(Documents!$G$5:$G$657,MATCH(H999,Documents!$A$5:$A$657,0))),"")</f>
        <v>10.1021/acs.jmedchem.6b00397</v>
      </c>
      <c r="L999" s="25" t="s">
        <v>2260</v>
      </c>
    </row>
    <row r="1000" customFormat="false" ht="15" hidden="false" customHeight="false" outlineLevel="0" collapsed="false">
      <c r="A1000" s="25" t="n">
        <v>19404965</v>
      </c>
      <c r="B1000" s="25" t="s">
        <v>2417</v>
      </c>
      <c r="C1000" s="25" t="s">
        <v>2418</v>
      </c>
      <c r="D1000" s="26" t="n">
        <v>208.8</v>
      </c>
      <c r="E1000" s="27" t="n">
        <v>6.68026950566978</v>
      </c>
      <c r="F1000" s="27" t="n">
        <v>6.68026950566978</v>
      </c>
      <c r="G1000" s="25" t="s">
        <v>2258</v>
      </c>
      <c r="H1000" s="25" t="s">
        <v>2259</v>
      </c>
      <c r="I1000" s="25" t="n">
        <f aca="false">IFERROR(IF(INDEX(Documents!$C$5:$C$657,MATCH(H1000,Documents!$A$5:$A$657,0))="","",INDEX(Documents!$C$5:$C$657,MATCH(H1000,Documents!$A$5:$A$657,0))),"")</f>
        <v>2016</v>
      </c>
      <c r="J1000" s="25" t="str">
        <f aca="false">IFERROR(IF(INDEX(Documents!$D$5:$D$657,MATCH(H1000,Documents!$A$5:$A$657,0))="","",INDEX(Documents!$D$5:$D$657,MATCH(H1000,Documents!$A$5:$A$657,0))),"")</f>
        <v>J Med Chem</v>
      </c>
      <c r="K1000" s="25" t="str">
        <f aca="false">IFERROR(IF(INDEX(Documents!$G$5:$G$657,MATCH(H1000,Documents!$A$5:$A$657,0))="","",INDEX(Documents!$G$5:$G$657,MATCH(H1000,Documents!$A$5:$A$657,0))),"")</f>
        <v>10.1021/acs.jmedchem.6b00397</v>
      </c>
      <c r="L1000" s="25" t="s">
        <v>2260</v>
      </c>
    </row>
    <row r="1001" customFormat="false" ht="15" hidden="false" customHeight="false" outlineLevel="0" collapsed="false">
      <c r="A1001" s="25" t="n">
        <v>19404967</v>
      </c>
      <c r="B1001" s="25" t="s">
        <v>2419</v>
      </c>
      <c r="C1001" s="25" t="s">
        <v>2420</v>
      </c>
      <c r="D1001" s="26" t="n">
        <v>212.2</v>
      </c>
      <c r="E1001" s="27" t="n">
        <v>6.67325462043468</v>
      </c>
      <c r="F1001" s="27" t="n">
        <v>6.67325462043468</v>
      </c>
      <c r="G1001" s="25" t="s">
        <v>2258</v>
      </c>
      <c r="H1001" s="25" t="s">
        <v>2259</v>
      </c>
      <c r="I1001" s="25" t="n">
        <f aca="false">IFERROR(IF(INDEX(Documents!$C$5:$C$657,MATCH(H1001,Documents!$A$5:$A$657,0))="","",INDEX(Documents!$C$5:$C$657,MATCH(H1001,Documents!$A$5:$A$657,0))),"")</f>
        <v>2016</v>
      </c>
      <c r="J1001" s="25" t="str">
        <f aca="false">IFERROR(IF(INDEX(Documents!$D$5:$D$657,MATCH(H1001,Documents!$A$5:$A$657,0))="","",INDEX(Documents!$D$5:$D$657,MATCH(H1001,Documents!$A$5:$A$657,0))),"")</f>
        <v>J Med Chem</v>
      </c>
      <c r="K1001" s="25" t="str">
        <f aca="false">IFERROR(IF(INDEX(Documents!$G$5:$G$657,MATCH(H1001,Documents!$A$5:$A$657,0))="","",INDEX(Documents!$G$5:$G$657,MATCH(H1001,Documents!$A$5:$A$657,0))),"")</f>
        <v>10.1021/acs.jmedchem.6b00397</v>
      </c>
      <c r="L1001" s="25" t="s">
        <v>2260</v>
      </c>
    </row>
    <row r="1002" customFormat="false" ht="15" hidden="false" customHeight="false" outlineLevel="0" collapsed="false">
      <c r="A1002" s="25" t="n">
        <v>19404964</v>
      </c>
      <c r="B1002" s="25" t="s">
        <v>2421</v>
      </c>
      <c r="C1002" s="25" t="s">
        <v>2422</v>
      </c>
      <c r="D1002" s="26" t="n">
        <v>93.3</v>
      </c>
      <c r="E1002" s="27" t="n">
        <v>7.0301183562535</v>
      </c>
      <c r="F1002" s="27" t="n">
        <v>7.0301183562535</v>
      </c>
      <c r="G1002" s="25" t="s">
        <v>2258</v>
      </c>
      <c r="H1002" s="25" t="s">
        <v>2259</v>
      </c>
      <c r="I1002" s="25" t="n">
        <f aca="false">IFERROR(IF(INDEX(Documents!$C$5:$C$657,MATCH(H1002,Documents!$A$5:$A$657,0))="","",INDEX(Documents!$C$5:$C$657,MATCH(H1002,Documents!$A$5:$A$657,0))),"")</f>
        <v>2016</v>
      </c>
      <c r="J1002" s="25" t="str">
        <f aca="false">IFERROR(IF(INDEX(Documents!$D$5:$D$657,MATCH(H1002,Documents!$A$5:$A$657,0))="","",INDEX(Documents!$D$5:$D$657,MATCH(H1002,Documents!$A$5:$A$657,0))),"")</f>
        <v>J Med Chem</v>
      </c>
      <c r="K1002" s="25" t="str">
        <f aca="false">IFERROR(IF(INDEX(Documents!$G$5:$G$657,MATCH(H1002,Documents!$A$5:$A$657,0))="","",INDEX(Documents!$G$5:$G$657,MATCH(H1002,Documents!$A$5:$A$657,0))),"")</f>
        <v>10.1021/acs.jmedchem.6b00397</v>
      </c>
      <c r="L1002" s="25" t="s">
        <v>2260</v>
      </c>
    </row>
    <row r="1003" customFormat="false" ht="15" hidden="false" customHeight="false" outlineLevel="0" collapsed="false">
      <c r="A1003" s="25" t="n">
        <v>19404968</v>
      </c>
      <c r="B1003" s="25" t="s">
        <v>2423</v>
      </c>
      <c r="C1003" s="25" t="s">
        <v>2424</v>
      </c>
      <c r="D1003" s="26" t="n">
        <v>3740</v>
      </c>
      <c r="E1003" s="27" t="n">
        <v>5.42712839779952</v>
      </c>
      <c r="F1003" s="27" t="n">
        <v>5.42712839779952</v>
      </c>
      <c r="G1003" s="25" t="s">
        <v>2258</v>
      </c>
      <c r="H1003" s="25" t="s">
        <v>2259</v>
      </c>
      <c r="I1003" s="25" t="n">
        <f aca="false">IFERROR(IF(INDEX(Documents!$C$5:$C$657,MATCH(H1003,Documents!$A$5:$A$657,0))="","",INDEX(Documents!$C$5:$C$657,MATCH(H1003,Documents!$A$5:$A$657,0))),"")</f>
        <v>2016</v>
      </c>
      <c r="J1003" s="25" t="str">
        <f aca="false">IFERROR(IF(INDEX(Documents!$D$5:$D$657,MATCH(H1003,Documents!$A$5:$A$657,0))="","",INDEX(Documents!$D$5:$D$657,MATCH(H1003,Documents!$A$5:$A$657,0))),"")</f>
        <v>J Med Chem</v>
      </c>
      <c r="K1003" s="25" t="str">
        <f aca="false">IFERROR(IF(INDEX(Documents!$G$5:$G$657,MATCH(H1003,Documents!$A$5:$A$657,0))="","",INDEX(Documents!$G$5:$G$657,MATCH(H1003,Documents!$A$5:$A$657,0))),"")</f>
        <v>10.1021/acs.jmedchem.6b00397</v>
      </c>
      <c r="L1003" s="25" t="s">
        <v>2260</v>
      </c>
    </row>
    <row r="1004" customFormat="false" ht="15" hidden="false" customHeight="false" outlineLevel="0" collapsed="false">
      <c r="A1004" s="25" t="n">
        <v>19404966</v>
      </c>
      <c r="B1004" s="25" t="s">
        <v>2425</v>
      </c>
      <c r="C1004" s="25" t="s">
        <v>2426</v>
      </c>
      <c r="D1004" s="26" t="n">
        <v>295.9</v>
      </c>
      <c r="E1004" s="27" t="n">
        <v>6.52885503483937</v>
      </c>
      <c r="F1004" s="27" t="n">
        <v>6.52885503483937</v>
      </c>
      <c r="G1004" s="25" t="s">
        <v>2258</v>
      </c>
      <c r="H1004" s="25" t="s">
        <v>2259</v>
      </c>
      <c r="I1004" s="25" t="n">
        <f aca="false">IFERROR(IF(INDEX(Documents!$C$5:$C$657,MATCH(H1004,Documents!$A$5:$A$657,0))="","",INDEX(Documents!$C$5:$C$657,MATCH(H1004,Documents!$A$5:$A$657,0))),"")</f>
        <v>2016</v>
      </c>
      <c r="J1004" s="25" t="str">
        <f aca="false">IFERROR(IF(INDEX(Documents!$D$5:$D$657,MATCH(H1004,Documents!$A$5:$A$657,0))="","",INDEX(Documents!$D$5:$D$657,MATCH(H1004,Documents!$A$5:$A$657,0))),"")</f>
        <v>J Med Chem</v>
      </c>
      <c r="K1004" s="25" t="str">
        <f aca="false">IFERROR(IF(INDEX(Documents!$G$5:$G$657,MATCH(H1004,Documents!$A$5:$A$657,0))="","",INDEX(Documents!$G$5:$G$657,MATCH(H1004,Documents!$A$5:$A$657,0))),"")</f>
        <v>10.1021/acs.jmedchem.6b00397</v>
      </c>
      <c r="L1004" s="25" t="s">
        <v>2260</v>
      </c>
    </row>
    <row r="1005" customFormat="false" ht="15" hidden="false" customHeight="false" outlineLevel="0" collapsed="false">
      <c r="A1005" s="25" t="n">
        <v>19404982</v>
      </c>
      <c r="B1005" s="25" t="s">
        <v>2427</v>
      </c>
      <c r="C1005" s="25" t="s">
        <v>2428</v>
      </c>
      <c r="D1005" s="26" t="n">
        <v>563.8</v>
      </c>
      <c r="E1005" s="27" t="n">
        <v>6.24887492846442</v>
      </c>
      <c r="F1005" s="27" t="n">
        <v>6.24887492846442</v>
      </c>
      <c r="G1005" s="25" t="s">
        <v>2258</v>
      </c>
      <c r="H1005" s="25" t="s">
        <v>2259</v>
      </c>
      <c r="I1005" s="25" t="n">
        <f aca="false">IFERROR(IF(INDEX(Documents!$C$5:$C$657,MATCH(H1005,Documents!$A$5:$A$657,0))="","",INDEX(Documents!$C$5:$C$657,MATCH(H1005,Documents!$A$5:$A$657,0))),"")</f>
        <v>2016</v>
      </c>
      <c r="J1005" s="25" t="str">
        <f aca="false">IFERROR(IF(INDEX(Documents!$D$5:$D$657,MATCH(H1005,Documents!$A$5:$A$657,0))="","",INDEX(Documents!$D$5:$D$657,MATCH(H1005,Documents!$A$5:$A$657,0))),"")</f>
        <v>J Med Chem</v>
      </c>
      <c r="K1005" s="25" t="str">
        <f aca="false">IFERROR(IF(INDEX(Documents!$G$5:$G$657,MATCH(H1005,Documents!$A$5:$A$657,0))="","",INDEX(Documents!$G$5:$G$657,MATCH(H1005,Documents!$A$5:$A$657,0))),"")</f>
        <v>10.1021/acs.jmedchem.6b00397</v>
      </c>
      <c r="L1005" s="25" t="s">
        <v>2260</v>
      </c>
    </row>
    <row r="1006" customFormat="false" ht="15" hidden="false" customHeight="false" outlineLevel="0" collapsed="false">
      <c r="A1006" s="25" t="n">
        <v>19404983</v>
      </c>
      <c r="B1006" s="25" t="s">
        <v>2429</v>
      </c>
      <c r="C1006" s="25" t="s">
        <v>2430</v>
      </c>
      <c r="D1006" s="26" t="n">
        <v>121.6</v>
      </c>
      <c r="E1006" s="27" t="n">
        <v>6.91506642506328</v>
      </c>
      <c r="F1006" s="27" t="n">
        <v>6.91506642506328</v>
      </c>
      <c r="G1006" s="25" t="s">
        <v>2258</v>
      </c>
      <c r="H1006" s="25" t="s">
        <v>2259</v>
      </c>
      <c r="I1006" s="25" t="n">
        <f aca="false">IFERROR(IF(INDEX(Documents!$C$5:$C$657,MATCH(H1006,Documents!$A$5:$A$657,0))="","",INDEX(Documents!$C$5:$C$657,MATCH(H1006,Documents!$A$5:$A$657,0))),"")</f>
        <v>2016</v>
      </c>
      <c r="J1006" s="25" t="str">
        <f aca="false">IFERROR(IF(INDEX(Documents!$D$5:$D$657,MATCH(H1006,Documents!$A$5:$A$657,0))="","",INDEX(Documents!$D$5:$D$657,MATCH(H1006,Documents!$A$5:$A$657,0))),"")</f>
        <v>J Med Chem</v>
      </c>
      <c r="K1006" s="25" t="str">
        <f aca="false">IFERROR(IF(INDEX(Documents!$G$5:$G$657,MATCH(H1006,Documents!$A$5:$A$657,0))="","",INDEX(Documents!$G$5:$G$657,MATCH(H1006,Documents!$A$5:$A$657,0))),"")</f>
        <v>10.1021/acs.jmedchem.6b00397</v>
      </c>
      <c r="L1006" s="25" t="s">
        <v>2260</v>
      </c>
    </row>
    <row r="1007" customFormat="false" ht="15" hidden="false" customHeight="false" outlineLevel="0" collapsed="false">
      <c r="A1007" s="25" t="n">
        <v>1968471</v>
      </c>
      <c r="B1007" s="25" t="s">
        <v>2431</v>
      </c>
      <c r="C1007" s="25" t="s">
        <v>2432</v>
      </c>
      <c r="D1007" s="26" t="n">
        <v>18</v>
      </c>
      <c r="E1007" s="27" t="n">
        <v>7.74472749489669</v>
      </c>
      <c r="F1007" s="27" t="n">
        <v>7.74472749489669</v>
      </c>
      <c r="G1007" s="25" t="s">
        <v>2433</v>
      </c>
      <c r="H1007" s="25" t="s">
        <v>2434</v>
      </c>
      <c r="I1007" s="25" t="n">
        <f aca="false">IFERROR(IF(INDEX(Documents!$C$5:$C$657,MATCH(H1007,Documents!$A$5:$A$657,0))="","",INDEX(Documents!$C$5:$C$657,MATCH(H1007,Documents!$A$5:$A$657,0))),"")</f>
        <v>2007</v>
      </c>
      <c r="J1007" s="25" t="str">
        <f aca="false">IFERROR(IF(INDEX(Documents!$D$5:$D$657,MATCH(H1007,Documents!$A$5:$A$657,0))="","",INDEX(Documents!$D$5:$D$657,MATCH(H1007,Documents!$A$5:$A$657,0))),"")</f>
        <v>Bioorg Med Chem Lett</v>
      </c>
      <c r="K1007" s="25" t="str">
        <f aca="false">IFERROR(IF(INDEX(Documents!$G$5:$G$657,MATCH(H1007,Documents!$A$5:$A$657,0))="","",INDEX(Documents!$G$5:$G$657,MATCH(H1007,Documents!$A$5:$A$657,0))),"")</f>
        <v>10.1016/j.bmcl.2007.04.059</v>
      </c>
      <c r="L1007" s="25" t="s">
        <v>2435</v>
      </c>
    </row>
    <row r="1008" customFormat="false" ht="15" hidden="false" customHeight="false" outlineLevel="0" collapsed="false">
      <c r="A1008" s="25" t="n">
        <v>1968451</v>
      </c>
      <c r="B1008" s="25" t="s">
        <v>2436</v>
      </c>
      <c r="C1008" s="25" t="s">
        <v>2437</v>
      </c>
      <c r="D1008" s="26" t="n">
        <v>320</v>
      </c>
      <c r="E1008" s="27" t="n">
        <v>6.49485002168009</v>
      </c>
      <c r="F1008" s="27" t="n">
        <v>6.49485002168009</v>
      </c>
      <c r="G1008" s="25" t="s">
        <v>2433</v>
      </c>
      <c r="H1008" s="25" t="s">
        <v>2434</v>
      </c>
      <c r="I1008" s="25" t="n">
        <f aca="false">IFERROR(IF(INDEX(Documents!$C$5:$C$657,MATCH(H1008,Documents!$A$5:$A$657,0))="","",INDEX(Documents!$C$5:$C$657,MATCH(H1008,Documents!$A$5:$A$657,0))),"")</f>
        <v>2007</v>
      </c>
      <c r="J1008" s="25" t="str">
        <f aca="false">IFERROR(IF(INDEX(Documents!$D$5:$D$657,MATCH(H1008,Documents!$A$5:$A$657,0))="","",INDEX(Documents!$D$5:$D$657,MATCH(H1008,Documents!$A$5:$A$657,0))),"")</f>
        <v>Bioorg Med Chem Lett</v>
      </c>
      <c r="K1008" s="25" t="str">
        <f aca="false">IFERROR(IF(INDEX(Documents!$G$5:$G$657,MATCH(H1008,Documents!$A$5:$A$657,0))="","",INDEX(Documents!$G$5:$G$657,MATCH(H1008,Documents!$A$5:$A$657,0))),"")</f>
        <v>10.1016/j.bmcl.2007.04.059</v>
      </c>
      <c r="L1008" s="25" t="s">
        <v>2435</v>
      </c>
    </row>
    <row r="1009" customFormat="false" ht="15" hidden="false" customHeight="false" outlineLevel="0" collapsed="false">
      <c r="A1009" s="25" t="n">
        <v>1968448</v>
      </c>
      <c r="B1009" s="25" t="s">
        <v>2438</v>
      </c>
      <c r="C1009" s="25" t="s">
        <v>2439</v>
      </c>
      <c r="D1009" s="26" t="n">
        <v>380</v>
      </c>
      <c r="E1009" s="27" t="n">
        <v>6.42021640338319</v>
      </c>
      <c r="F1009" s="27" t="n">
        <v>6.42021640338319</v>
      </c>
      <c r="G1009" s="25" t="s">
        <v>2433</v>
      </c>
      <c r="H1009" s="25" t="s">
        <v>2434</v>
      </c>
      <c r="I1009" s="25" t="n">
        <f aca="false">IFERROR(IF(INDEX(Documents!$C$5:$C$657,MATCH(H1009,Documents!$A$5:$A$657,0))="","",INDEX(Documents!$C$5:$C$657,MATCH(H1009,Documents!$A$5:$A$657,0))),"")</f>
        <v>2007</v>
      </c>
      <c r="J1009" s="25" t="str">
        <f aca="false">IFERROR(IF(INDEX(Documents!$D$5:$D$657,MATCH(H1009,Documents!$A$5:$A$657,0))="","",INDEX(Documents!$D$5:$D$657,MATCH(H1009,Documents!$A$5:$A$657,0))),"")</f>
        <v>Bioorg Med Chem Lett</v>
      </c>
      <c r="K1009" s="25" t="str">
        <f aca="false">IFERROR(IF(INDEX(Documents!$G$5:$G$657,MATCH(H1009,Documents!$A$5:$A$657,0))="","",INDEX(Documents!$G$5:$G$657,MATCH(H1009,Documents!$A$5:$A$657,0))),"")</f>
        <v>10.1016/j.bmcl.2007.04.059</v>
      </c>
      <c r="L1009" s="25" t="s">
        <v>2435</v>
      </c>
    </row>
    <row r="1010" customFormat="false" ht="15" hidden="false" customHeight="false" outlineLevel="0" collapsed="false">
      <c r="A1010" s="25" t="n">
        <v>1968445</v>
      </c>
      <c r="B1010" s="25" t="s">
        <v>2440</v>
      </c>
      <c r="C1010" s="25" t="s">
        <v>2441</v>
      </c>
      <c r="D1010" s="26" t="n">
        <v>660</v>
      </c>
      <c r="E1010" s="27" t="n">
        <v>6.18045606445813</v>
      </c>
      <c r="F1010" s="27" t="n">
        <v>6.18045606445813</v>
      </c>
      <c r="G1010" s="25" t="s">
        <v>2433</v>
      </c>
      <c r="H1010" s="25" t="s">
        <v>2434</v>
      </c>
      <c r="I1010" s="25" t="n">
        <f aca="false">IFERROR(IF(INDEX(Documents!$C$5:$C$657,MATCH(H1010,Documents!$A$5:$A$657,0))="","",INDEX(Documents!$C$5:$C$657,MATCH(H1010,Documents!$A$5:$A$657,0))),"")</f>
        <v>2007</v>
      </c>
      <c r="J1010" s="25" t="str">
        <f aca="false">IFERROR(IF(INDEX(Documents!$D$5:$D$657,MATCH(H1010,Documents!$A$5:$A$657,0))="","",INDEX(Documents!$D$5:$D$657,MATCH(H1010,Documents!$A$5:$A$657,0))),"")</f>
        <v>Bioorg Med Chem Lett</v>
      </c>
      <c r="K1010" s="25" t="str">
        <f aca="false">IFERROR(IF(INDEX(Documents!$G$5:$G$657,MATCH(H1010,Documents!$A$5:$A$657,0))="","",INDEX(Documents!$G$5:$G$657,MATCH(H1010,Documents!$A$5:$A$657,0))),"")</f>
        <v>10.1016/j.bmcl.2007.04.059</v>
      </c>
      <c r="L1010" s="25" t="s">
        <v>2435</v>
      </c>
    </row>
    <row r="1011" customFormat="false" ht="15" hidden="false" customHeight="false" outlineLevel="0" collapsed="false">
      <c r="A1011" s="25" t="n">
        <v>1968449</v>
      </c>
      <c r="B1011" s="25" t="s">
        <v>2442</v>
      </c>
      <c r="C1011" s="25" t="s">
        <v>2443</v>
      </c>
      <c r="D1011" s="26" t="n">
        <v>480</v>
      </c>
      <c r="E1011" s="27" t="n">
        <v>6.31875876262441</v>
      </c>
      <c r="F1011" s="27" t="n">
        <v>6.31875876262441</v>
      </c>
      <c r="G1011" s="25" t="s">
        <v>2433</v>
      </c>
      <c r="H1011" s="25" t="s">
        <v>2434</v>
      </c>
      <c r="I1011" s="25" t="n">
        <f aca="false">IFERROR(IF(INDEX(Documents!$C$5:$C$657,MATCH(H1011,Documents!$A$5:$A$657,0))="","",INDEX(Documents!$C$5:$C$657,MATCH(H1011,Documents!$A$5:$A$657,0))),"")</f>
        <v>2007</v>
      </c>
      <c r="J1011" s="25" t="str">
        <f aca="false">IFERROR(IF(INDEX(Documents!$D$5:$D$657,MATCH(H1011,Documents!$A$5:$A$657,0))="","",INDEX(Documents!$D$5:$D$657,MATCH(H1011,Documents!$A$5:$A$657,0))),"")</f>
        <v>Bioorg Med Chem Lett</v>
      </c>
      <c r="K1011" s="25" t="str">
        <f aca="false">IFERROR(IF(INDEX(Documents!$G$5:$G$657,MATCH(H1011,Documents!$A$5:$A$657,0))="","",INDEX(Documents!$G$5:$G$657,MATCH(H1011,Documents!$A$5:$A$657,0))),"")</f>
        <v>10.1016/j.bmcl.2007.04.059</v>
      </c>
      <c r="L1011" s="25" t="s">
        <v>2435</v>
      </c>
    </row>
    <row r="1012" customFormat="false" ht="15" hidden="false" customHeight="false" outlineLevel="0" collapsed="false">
      <c r="A1012" s="25" t="n">
        <v>1968446</v>
      </c>
      <c r="B1012" s="25" t="s">
        <v>2444</v>
      </c>
      <c r="C1012" s="25" t="s">
        <v>2445</v>
      </c>
      <c r="D1012" s="26" t="n">
        <v>0.81</v>
      </c>
      <c r="E1012" s="27" t="n">
        <v>9.09151498112135</v>
      </c>
      <c r="F1012" s="27" t="n">
        <v>9.09151498112135</v>
      </c>
      <c r="G1012" s="25" t="s">
        <v>2433</v>
      </c>
      <c r="H1012" s="25" t="s">
        <v>2434</v>
      </c>
      <c r="I1012" s="25" t="n">
        <f aca="false">IFERROR(IF(INDEX(Documents!$C$5:$C$657,MATCH(H1012,Documents!$A$5:$A$657,0))="","",INDEX(Documents!$C$5:$C$657,MATCH(H1012,Documents!$A$5:$A$657,0))),"")</f>
        <v>2007</v>
      </c>
      <c r="J1012" s="25" t="str">
        <f aca="false">IFERROR(IF(INDEX(Documents!$D$5:$D$657,MATCH(H1012,Documents!$A$5:$A$657,0))="","",INDEX(Documents!$D$5:$D$657,MATCH(H1012,Documents!$A$5:$A$657,0))),"")</f>
        <v>Bioorg Med Chem Lett</v>
      </c>
      <c r="K1012" s="25" t="str">
        <f aca="false">IFERROR(IF(INDEX(Documents!$G$5:$G$657,MATCH(H1012,Documents!$A$5:$A$657,0))="","",INDEX(Documents!$G$5:$G$657,MATCH(H1012,Documents!$A$5:$A$657,0))),"")</f>
        <v>10.1016/j.bmcl.2007.04.059</v>
      </c>
      <c r="L1012" s="25" t="s">
        <v>2435</v>
      </c>
    </row>
    <row r="1013" customFormat="false" ht="15" hidden="false" customHeight="false" outlineLevel="0" collapsed="false">
      <c r="A1013" s="25" t="n">
        <v>1968453</v>
      </c>
      <c r="B1013" s="25" t="s">
        <v>2446</v>
      </c>
      <c r="C1013" s="25" t="s">
        <v>2447</v>
      </c>
      <c r="D1013" s="26" t="n">
        <v>51</v>
      </c>
      <c r="E1013" s="27" t="n">
        <v>7.29242982390206</v>
      </c>
      <c r="F1013" s="27" t="n">
        <v>7.29242982390206</v>
      </c>
      <c r="G1013" s="25" t="s">
        <v>2433</v>
      </c>
      <c r="H1013" s="25" t="s">
        <v>2434</v>
      </c>
      <c r="I1013" s="25" t="n">
        <f aca="false">IFERROR(IF(INDEX(Documents!$C$5:$C$657,MATCH(H1013,Documents!$A$5:$A$657,0))="","",INDEX(Documents!$C$5:$C$657,MATCH(H1013,Documents!$A$5:$A$657,0))),"")</f>
        <v>2007</v>
      </c>
      <c r="J1013" s="25" t="str">
        <f aca="false">IFERROR(IF(INDEX(Documents!$D$5:$D$657,MATCH(H1013,Documents!$A$5:$A$657,0))="","",INDEX(Documents!$D$5:$D$657,MATCH(H1013,Documents!$A$5:$A$657,0))),"")</f>
        <v>Bioorg Med Chem Lett</v>
      </c>
      <c r="K1013" s="25" t="str">
        <f aca="false">IFERROR(IF(INDEX(Documents!$G$5:$G$657,MATCH(H1013,Documents!$A$5:$A$657,0))="","",INDEX(Documents!$G$5:$G$657,MATCH(H1013,Documents!$A$5:$A$657,0))),"")</f>
        <v>10.1016/j.bmcl.2007.04.059</v>
      </c>
      <c r="L1013" s="25" t="s">
        <v>2435</v>
      </c>
    </row>
    <row r="1014" customFormat="false" ht="15" hidden="false" customHeight="false" outlineLevel="0" collapsed="false">
      <c r="A1014" s="25" t="n">
        <v>1968443</v>
      </c>
      <c r="B1014" s="25" t="s">
        <v>2448</v>
      </c>
      <c r="C1014" s="25" t="s">
        <v>2449</v>
      </c>
      <c r="D1014" s="26" t="n">
        <v>2.3</v>
      </c>
      <c r="E1014" s="27" t="n">
        <v>8.63827216398241</v>
      </c>
      <c r="F1014" s="27" t="n">
        <v>8.63827216398241</v>
      </c>
      <c r="G1014" s="25" t="s">
        <v>2433</v>
      </c>
      <c r="H1014" s="25" t="s">
        <v>2434</v>
      </c>
      <c r="I1014" s="25" t="n">
        <f aca="false">IFERROR(IF(INDEX(Documents!$C$5:$C$657,MATCH(H1014,Documents!$A$5:$A$657,0))="","",INDEX(Documents!$C$5:$C$657,MATCH(H1014,Documents!$A$5:$A$657,0))),"")</f>
        <v>2007</v>
      </c>
      <c r="J1014" s="25" t="str">
        <f aca="false">IFERROR(IF(INDEX(Documents!$D$5:$D$657,MATCH(H1014,Documents!$A$5:$A$657,0))="","",INDEX(Documents!$D$5:$D$657,MATCH(H1014,Documents!$A$5:$A$657,0))),"")</f>
        <v>Bioorg Med Chem Lett</v>
      </c>
      <c r="K1014" s="25" t="str">
        <f aca="false">IFERROR(IF(INDEX(Documents!$G$5:$G$657,MATCH(H1014,Documents!$A$5:$A$657,0))="","",INDEX(Documents!$G$5:$G$657,MATCH(H1014,Documents!$A$5:$A$657,0))),"")</f>
        <v>10.1016/j.bmcl.2007.04.059</v>
      </c>
      <c r="L1014" s="25" t="s">
        <v>2435</v>
      </c>
    </row>
    <row r="1015" customFormat="false" ht="15" hidden="false" customHeight="false" outlineLevel="0" collapsed="false">
      <c r="A1015" s="25" t="n">
        <v>1968455</v>
      </c>
      <c r="B1015" s="25" t="s">
        <v>2450</v>
      </c>
      <c r="C1015" s="25" t="s">
        <v>2451</v>
      </c>
      <c r="D1015" s="26" t="n">
        <v>34</v>
      </c>
      <c r="E1015" s="27" t="n">
        <v>7.46852108295775</v>
      </c>
      <c r="F1015" s="27" t="n">
        <v>7.46852108295775</v>
      </c>
      <c r="G1015" s="25" t="s">
        <v>2433</v>
      </c>
      <c r="H1015" s="25" t="s">
        <v>2434</v>
      </c>
      <c r="I1015" s="25" t="n">
        <f aca="false">IFERROR(IF(INDEX(Documents!$C$5:$C$657,MATCH(H1015,Documents!$A$5:$A$657,0))="","",INDEX(Documents!$C$5:$C$657,MATCH(H1015,Documents!$A$5:$A$657,0))),"")</f>
        <v>2007</v>
      </c>
      <c r="J1015" s="25" t="str">
        <f aca="false">IFERROR(IF(INDEX(Documents!$D$5:$D$657,MATCH(H1015,Documents!$A$5:$A$657,0))="","",INDEX(Documents!$D$5:$D$657,MATCH(H1015,Documents!$A$5:$A$657,0))),"")</f>
        <v>Bioorg Med Chem Lett</v>
      </c>
      <c r="K1015" s="25" t="str">
        <f aca="false">IFERROR(IF(INDEX(Documents!$G$5:$G$657,MATCH(H1015,Documents!$A$5:$A$657,0))="","",INDEX(Documents!$G$5:$G$657,MATCH(H1015,Documents!$A$5:$A$657,0))),"")</f>
        <v>10.1016/j.bmcl.2007.04.059</v>
      </c>
      <c r="L1015" s="25" t="s">
        <v>2435</v>
      </c>
    </row>
    <row r="1016" customFormat="false" ht="15" hidden="false" customHeight="false" outlineLevel="0" collapsed="false">
      <c r="A1016" s="25" t="n">
        <v>1968470</v>
      </c>
      <c r="B1016" s="25" t="s">
        <v>2452</v>
      </c>
      <c r="C1016" s="25" t="s">
        <v>2453</v>
      </c>
      <c r="D1016" s="26" t="n">
        <v>6.6</v>
      </c>
      <c r="E1016" s="27" t="n">
        <v>8.18045606445813</v>
      </c>
      <c r="F1016" s="27" t="n">
        <v>8.18045606445813</v>
      </c>
      <c r="G1016" s="25" t="s">
        <v>2433</v>
      </c>
      <c r="H1016" s="25" t="s">
        <v>2434</v>
      </c>
      <c r="I1016" s="25" t="n">
        <f aca="false">IFERROR(IF(INDEX(Documents!$C$5:$C$657,MATCH(H1016,Documents!$A$5:$A$657,0))="","",INDEX(Documents!$C$5:$C$657,MATCH(H1016,Documents!$A$5:$A$657,0))),"")</f>
        <v>2007</v>
      </c>
      <c r="J1016" s="25" t="str">
        <f aca="false">IFERROR(IF(INDEX(Documents!$D$5:$D$657,MATCH(H1016,Documents!$A$5:$A$657,0))="","",INDEX(Documents!$D$5:$D$657,MATCH(H1016,Documents!$A$5:$A$657,0))),"")</f>
        <v>Bioorg Med Chem Lett</v>
      </c>
      <c r="K1016" s="25" t="str">
        <f aca="false">IFERROR(IF(INDEX(Documents!$G$5:$G$657,MATCH(H1016,Documents!$A$5:$A$657,0))="","",INDEX(Documents!$G$5:$G$657,MATCH(H1016,Documents!$A$5:$A$657,0))),"")</f>
        <v>10.1016/j.bmcl.2007.04.059</v>
      </c>
      <c r="L1016" s="25" t="s">
        <v>2435</v>
      </c>
    </row>
    <row r="1017" customFormat="false" ht="15" hidden="false" customHeight="false" outlineLevel="0" collapsed="false">
      <c r="A1017" s="25" t="n">
        <v>1968468</v>
      </c>
      <c r="B1017" s="25" t="s">
        <v>2454</v>
      </c>
      <c r="C1017" s="25" t="s">
        <v>2455</v>
      </c>
      <c r="D1017" s="26" t="n">
        <v>830</v>
      </c>
      <c r="E1017" s="27" t="n">
        <v>6.08092190762393</v>
      </c>
      <c r="F1017" s="27" t="n">
        <v>6.08092190762393</v>
      </c>
      <c r="G1017" s="25" t="s">
        <v>2433</v>
      </c>
      <c r="H1017" s="25" t="s">
        <v>2434</v>
      </c>
      <c r="I1017" s="25" t="n">
        <f aca="false">IFERROR(IF(INDEX(Documents!$C$5:$C$657,MATCH(H1017,Documents!$A$5:$A$657,0))="","",INDEX(Documents!$C$5:$C$657,MATCH(H1017,Documents!$A$5:$A$657,0))),"")</f>
        <v>2007</v>
      </c>
      <c r="J1017" s="25" t="str">
        <f aca="false">IFERROR(IF(INDEX(Documents!$D$5:$D$657,MATCH(H1017,Documents!$A$5:$A$657,0))="","",INDEX(Documents!$D$5:$D$657,MATCH(H1017,Documents!$A$5:$A$657,0))),"")</f>
        <v>Bioorg Med Chem Lett</v>
      </c>
      <c r="K1017" s="25" t="str">
        <f aca="false">IFERROR(IF(INDEX(Documents!$G$5:$G$657,MATCH(H1017,Documents!$A$5:$A$657,0))="","",INDEX(Documents!$G$5:$G$657,MATCH(H1017,Documents!$A$5:$A$657,0))),"")</f>
        <v>10.1016/j.bmcl.2007.04.059</v>
      </c>
      <c r="L1017" s="25" t="s">
        <v>2435</v>
      </c>
    </row>
    <row r="1018" customFormat="false" ht="15" hidden="false" customHeight="false" outlineLevel="0" collapsed="false">
      <c r="A1018" s="25" t="n">
        <v>1968461</v>
      </c>
      <c r="B1018" s="25" t="s">
        <v>2456</v>
      </c>
      <c r="C1018" s="25" t="s">
        <v>2457</v>
      </c>
      <c r="D1018" s="26" t="n">
        <v>1000</v>
      </c>
      <c r="E1018" s="27" t="n">
        <v>6</v>
      </c>
      <c r="F1018" s="27" t="n">
        <v>6</v>
      </c>
      <c r="G1018" s="25" t="s">
        <v>2433</v>
      </c>
      <c r="H1018" s="25" t="s">
        <v>2434</v>
      </c>
      <c r="I1018" s="25" t="n">
        <f aca="false">IFERROR(IF(INDEX(Documents!$C$5:$C$657,MATCH(H1018,Documents!$A$5:$A$657,0))="","",INDEX(Documents!$C$5:$C$657,MATCH(H1018,Documents!$A$5:$A$657,0))),"")</f>
        <v>2007</v>
      </c>
      <c r="J1018" s="25" t="str">
        <f aca="false">IFERROR(IF(INDEX(Documents!$D$5:$D$657,MATCH(H1018,Documents!$A$5:$A$657,0))="","",INDEX(Documents!$D$5:$D$657,MATCH(H1018,Documents!$A$5:$A$657,0))),"")</f>
        <v>Bioorg Med Chem Lett</v>
      </c>
      <c r="K1018" s="25" t="str">
        <f aca="false">IFERROR(IF(INDEX(Documents!$G$5:$G$657,MATCH(H1018,Documents!$A$5:$A$657,0))="","",INDEX(Documents!$G$5:$G$657,MATCH(H1018,Documents!$A$5:$A$657,0))),"")</f>
        <v>10.1016/j.bmcl.2007.04.059</v>
      </c>
      <c r="L1018" s="25" t="s">
        <v>2435</v>
      </c>
    </row>
    <row r="1019" customFormat="false" ht="15" hidden="false" customHeight="false" outlineLevel="0" collapsed="false">
      <c r="A1019" s="25" t="n">
        <v>1968464</v>
      </c>
      <c r="B1019" s="25" t="s">
        <v>2458</v>
      </c>
      <c r="C1019" s="25" t="s">
        <v>2459</v>
      </c>
      <c r="D1019" s="26" t="n">
        <v>1700</v>
      </c>
      <c r="E1019" s="27" t="n">
        <v>5.76955107862173</v>
      </c>
      <c r="F1019" s="27" t="n">
        <v>5.76955107862173</v>
      </c>
      <c r="G1019" s="25" t="s">
        <v>2433</v>
      </c>
      <c r="H1019" s="25" t="s">
        <v>2434</v>
      </c>
      <c r="I1019" s="25" t="n">
        <f aca="false">IFERROR(IF(INDEX(Documents!$C$5:$C$657,MATCH(H1019,Documents!$A$5:$A$657,0))="","",INDEX(Documents!$C$5:$C$657,MATCH(H1019,Documents!$A$5:$A$657,0))),"")</f>
        <v>2007</v>
      </c>
      <c r="J1019" s="25" t="str">
        <f aca="false">IFERROR(IF(INDEX(Documents!$D$5:$D$657,MATCH(H1019,Documents!$A$5:$A$657,0))="","",INDEX(Documents!$D$5:$D$657,MATCH(H1019,Documents!$A$5:$A$657,0))),"")</f>
        <v>Bioorg Med Chem Lett</v>
      </c>
      <c r="K1019" s="25" t="str">
        <f aca="false">IFERROR(IF(INDEX(Documents!$G$5:$G$657,MATCH(H1019,Documents!$A$5:$A$657,0))="","",INDEX(Documents!$G$5:$G$657,MATCH(H1019,Documents!$A$5:$A$657,0))),"")</f>
        <v>10.1016/j.bmcl.2007.04.059</v>
      </c>
      <c r="L1019" s="25" t="s">
        <v>2435</v>
      </c>
    </row>
    <row r="1020" customFormat="false" ht="15" hidden="false" customHeight="false" outlineLevel="0" collapsed="false">
      <c r="A1020" s="25" t="n">
        <v>1968460</v>
      </c>
      <c r="B1020" s="25" t="s">
        <v>2460</v>
      </c>
      <c r="C1020" s="25" t="s">
        <v>2461</v>
      </c>
      <c r="D1020" s="26" t="n">
        <v>45</v>
      </c>
      <c r="E1020" s="27" t="n">
        <v>7.34678748622466</v>
      </c>
      <c r="F1020" s="27" t="n">
        <v>7.34678748622466</v>
      </c>
      <c r="G1020" s="25" t="s">
        <v>2433</v>
      </c>
      <c r="H1020" s="25" t="s">
        <v>2434</v>
      </c>
      <c r="I1020" s="25" t="n">
        <f aca="false">IFERROR(IF(INDEX(Documents!$C$5:$C$657,MATCH(H1020,Documents!$A$5:$A$657,0))="","",INDEX(Documents!$C$5:$C$657,MATCH(H1020,Documents!$A$5:$A$657,0))),"")</f>
        <v>2007</v>
      </c>
      <c r="J1020" s="25" t="str">
        <f aca="false">IFERROR(IF(INDEX(Documents!$D$5:$D$657,MATCH(H1020,Documents!$A$5:$A$657,0))="","",INDEX(Documents!$D$5:$D$657,MATCH(H1020,Documents!$A$5:$A$657,0))),"")</f>
        <v>Bioorg Med Chem Lett</v>
      </c>
      <c r="K1020" s="25" t="str">
        <f aca="false">IFERROR(IF(INDEX(Documents!$G$5:$G$657,MATCH(H1020,Documents!$A$5:$A$657,0))="","",INDEX(Documents!$G$5:$G$657,MATCH(H1020,Documents!$A$5:$A$657,0))),"")</f>
        <v>10.1016/j.bmcl.2007.04.059</v>
      </c>
      <c r="L1020" s="25" t="s">
        <v>2435</v>
      </c>
    </row>
    <row r="1021" customFormat="false" ht="15" hidden="false" customHeight="false" outlineLevel="0" collapsed="false">
      <c r="A1021" s="25" t="n">
        <v>1968469</v>
      </c>
      <c r="B1021" s="25" t="s">
        <v>2462</v>
      </c>
      <c r="C1021" s="25" t="s">
        <v>2463</v>
      </c>
      <c r="D1021" s="26" t="n">
        <v>20</v>
      </c>
      <c r="E1021" s="27" t="n">
        <v>7.69897000433602</v>
      </c>
      <c r="F1021" s="27" t="n">
        <v>7.69897000433602</v>
      </c>
      <c r="G1021" s="25" t="s">
        <v>2433</v>
      </c>
      <c r="H1021" s="25" t="s">
        <v>2434</v>
      </c>
      <c r="I1021" s="25" t="n">
        <f aca="false">IFERROR(IF(INDEX(Documents!$C$5:$C$657,MATCH(H1021,Documents!$A$5:$A$657,0))="","",INDEX(Documents!$C$5:$C$657,MATCH(H1021,Documents!$A$5:$A$657,0))),"")</f>
        <v>2007</v>
      </c>
      <c r="J1021" s="25" t="str">
        <f aca="false">IFERROR(IF(INDEX(Documents!$D$5:$D$657,MATCH(H1021,Documents!$A$5:$A$657,0))="","",INDEX(Documents!$D$5:$D$657,MATCH(H1021,Documents!$A$5:$A$657,0))),"")</f>
        <v>Bioorg Med Chem Lett</v>
      </c>
      <c r="K1021" s="25" t="str">
        <f aca="false">IFERROR(IF(INDEX(Documents!$G$5:$G$657,MATCH(H1021,Documents!$A$5:$A$657,0))="","",INDEX(Documents!$G$5:$G$657,MATCH(H1021,Documents!$A$5:$A$657,0))),"")</f>
        <v>10.1016/j.bmcl.2007.04.059</v>
      </c>
      <c r="L1021" s="25" t="s">
        <v>2435</v>
      </c>
    </row>
    <row r="1022" customFormat="false" ht="15" hidden="false" customHeight="false" outlineLevel="0" collapsed="false">
      <c r="A1022" s="25" t="n">
        <v>1968462</v>
      </c>
      <c r="B1022" s="25" t="s">
        <v>2464</v>
      </c>
      <c r="C1022" s="25" t="s">
        <v>2465</v>
      </c>
      <c r="D1022" s="26" t="n">
        <v>44</v>
      </c>
      <c r="E1022" s="27" t="n">
        <v>7.35654732351381</v>
      </c>
      <c r="F1022" s="27" t="n">
        <v>7.35654732351381</v>
      </c>
      <c r="G1022" s="25" t="s">
        <v>2433</v>
      </c>
      <c r="H1022" s="25" t="s">
        <v>2434</v>
      </c>
      <c r="I1022" s="25" t="n">
        <f aca="false">IFERROR(IF(INDEX(Documents!$C$5:$C$657,MATCH(H1022,Documents!$A$5:$A$657,0))="","",INDEX(Documents!$C$5:$C$657,MATCH(H1022,Documents!$A$5:$A$657,0))),"")</f>
        <v>2007</v>
      </c>
      <c r="J1022" s="25" t="str">
        <f aca="false">IFERROR(IF(INDEX(Documents!$D$5:$D$657,MATCH(H1022,Documents!$A$5:$A$657,0))="","",INDEX(Documents!$D$5:$D$657,MATCH(H1022,Documents!$A$5:$A$657,0))),"")</f>
        <v>Bioorg Med Chem Lett</v>
      </c>
      <c r="K1022" s="25" t="str">
        <f aca="false">IFERROR(IF(INDEX(Documents!$G$5:$G$657,MATCH(H1022,Documents!$A$5:$A$657,0))="","",INDEX(Documents!$G$5:$G$657,MATCH(H1022,Documents!$A$5:$A$657,0))),"")</f>
        <v>10.1016/j.bmcl.2007.04.059</v>
      </c>
      <c r="L1022" s="25" t="s">
        <v>2435</v>
      </c>
    </row>
    <row r="1023" customFormat="false" ht="15" hidden="false" customHeight="false" outlineLevel="0" collapsed="false">
      <c r="A1023" s="25" t="n">
        <v>1968465</v>
      </c>
      <c r="B1023" s="25" t="s">
        <v>2466</v>
      </c>
      <c r="C1023" s="25" t="s">
        <v>2467</v>
      </c>
      <c r="D1023" s="26" t="n">
        <v>580</v>
      </c>
      <c r="E1023" s="27" t="n">
        <v>6.23657200643706</v>
      </c>
      <c r="F1023" s="27" t="n">
        <v>6.23657200643706</v>
      </c>
      <c r="G1023" s="25" t="s">
        <v>2433</v>
      </c>
      <c r="H1023" s="25" t="s">
        <v>2434</v>
      </c>
      <c r="I1023" s="25" t="n">
        <f aca="false">IFERROR(IF(INDEX(Documents!$C$5:$C$657,MATCH(H1023,Documents!$A$5:$A$657,0))="","",INDEX(Documents!$C$5:$C$657,MATCH(H1023,Documents!$A$5:$A$657,0))),"")</f>
        <v>2007</v>
      </c>
      <c r="J1023" s="25" t="str">
        <f aca="false">IFERROR(IF(INDEX(Documents!$D$5:$D$657,MATCH(H1023,Documents!$A$5:$A$657,0))="","",INDEX(Documents!$D$5:$D$657,MATCH(H1023,Documents!$A$5:$A$657,0))),"")</f>
        <v>Bioorg Med Chem Lett</v>
      </c>
      <c r="K1023" s="25" t="str">
        <f aca="false">IFERROR(IF(INDEX(Documents!$G$5:$G$657,MATCH(H1023,Documents!$A$5:$A$657,0))="","",INDEX(Documents!$G$5:$G$657,MATCH(H1023,Documents!$A$5:$A$657,0))),"")</f>
        <v>10.1016/j.bmcl.2007.04.059</v>
      </c>
      <c r="L1023" s="25" t="s">
        <v>2435</v>
      </c>
    </row>
    <row r="1024" customFormat="false" ht="15" hidden="false" customHeight="false" outlineLevel="0" collapsed="false">
      <c r="A1024" s="25" t="n">
        <v>1968466</v>
      </c>
      <c r="B1024" s="25" t="s">
        <v>2468</v>
      </c>
      <c r="C1024" s="25" t="s">
        <v>2469</v>
      </c>
      <c r="D1024" s="26" t="n">
        <v>7.8</v>
      </c>
      <c r="E1024" s="27" t="n">
        <v>8.10790539730952</v>
      </c>
      <c r="F1024" s="27" t="n">
        <v>8.10790539730952</v>
      </c>
      <c r="G1024" s="25" t="s">
        <v>2433</v>
      </c>
      <c r="H1024" s="25" t="s">
        <v>2434</v>
      </c>
      <c r="I1024" s="25" t="n">
        <f aca="false">IFERROR(IF(INDEX(Documents!$C$5:$C$657,MATCH(H1024,Documents!$A$5:$A$657,0))="","",INDEX(Documents!$C$5:$C$657,MATCH(H1024,Documents!$A$5:$A$657,0))),"")</f>
        <v>2007</v>
      </c>
      <c r="J1024" s="25" t="str">
        <f aca="false">IFERROR(IF(INDEX(Documents!$D$5:$D$657,MATCH(H1024,Documents!$A$5:$A$657,0))="","",INDEX(Documents!$D$5:$D$657,MATCH(H1024,Documents!$A$5:$A$657,0))),"")</f>
        <v>Bioorg Med Chem Lett</v>
      </c>
      <c r="K1024" s="25" t="str">
        <f aca="false">IFERROR(IF(INDEX(Documents!$G$5:$G$657,MATCH(H1024,Documents!$A$5:$A$657,0))="","",INDEX(Documents!$G$5:$G$657,MATCH(H1024,Documents!$A$5:$A$657,0))),"")</f>
        <v>10.1016/j.bmcl.2007.04.059</v>
      </c>
      <c r="L1024" s="25" t="s">
        <v>2435</v>
      </c>
    </row>
    <row r="1025" customFormat="false" ht="15" hidden="false" customHeight="false" outlineLevel="0" collapsed="false">
      <c r="A1025" s="25" t="n">
        <v>1968463</v>
      </c>
      <c r="B1025" s="25" t="s">
        <v>2470</v>
      </c>
      <c r="C1025" s="25" t="s">
        <v>2471</v>
      </c>
      <c r="D1025" s="26" t="n">
        <v>17</v>
      </c>
      <c r="E1025" s="27" t="n">
        <v>7.76955107862173</v>
      </c>
      <c r="F1025" s="27" t="n">
        <v>7.76955107862173</v>
      </c>
      <c r="G1025" s="25" t="s">
        <v>2433</v>
      </c>
      <c r="H1025" s="25" t="s">
        <v>2434</v>
      </c>
      <c r="I1025" s="25" t="n">
        <f aca="false">IFERROR(IF(INDEX(Documents!$C$5:$C$657,MATCH(H1025,Documents!$A$5:$A$657,0))="","",INDEX(Documents!$C$5:$C$657,MATCH(H1025,Documents!$A$5:$A$657,0))),"")</f>
        <v>2007</v>
      </c>
      <c r="J1025" s="25" t="str">
        <f aca="false">IFERROR(IF(INDEX(Documents!$D$5:$D$657,MATCH(H1025,Documents!$A$5:$A$657,0))="","",INDEX(Documents!$D$5:$D$657,MATCH(H1025,Documents!$A$5:$A$657,0))),"")</f>
        <v>Bioorg Med Chem Lett</v>
      </c>
      <c r="K1025" s="25" t="str">
        <f aca="false">IFERROR(IF(INDEX(Documents!$G$5:$G$657,MATCH(H1025,Documents!$A$5:$A$657,0))="","",INDEX(Documents!$G$5:$G$657,MATCH(H1025,Documents!$A$5:$A$657,0))),"")</f>
        <v>10.1016/j.bmcl.2007.04.059</v>
      </c>
      <c r="L1025" s="25" t="s">
        <v>2435</v>
      </c>
    </row>
    <row r="1026" customFormat="false" ht="15" hidden="false" customHeight="false" outlineLevel="0" collapsed="false">
      <c r="A1026" s="25" t="n">
        <v>1968467</v>
      </c>
      <c r="B1026" s="25" t="s">
        <v>2472</v>
      </c>
      <c r="C1026" s="25" t="s">
        <v>2473</v>
      </c>
      <c r="D1026" s="26" t="n">
        <v>1</v>
      </c>
      <c r="E1026" s="27" t="n">
        <v>9</v>
      </c>
      <c r="F1026" s="27" t="n">
        <v>9</v>
      </c>
      <c r="G1026" s="25" t="s">
        <v>2433</v>
      </c>
      <c r="H1026" s="25" t="s">
        <v>2434</v>
      </c>
      <c r="I1026" s="25" t="n">
        <f aca="false">IFERROR(IF(INDEX(Documents!$C$5:$C$657,MATCH(H1026,Documents!$A$5:$A$657,0))="","",INDEX(Documents!$C$5:$C$657,MATCH(H1026,Documents!$A$5:$A$657,0))),"")</f>
        <v>2007</v>
      </c>
      <c r="J1026" s="25" t="str">
        <f aca="false">IFERROR(IF(INDEX(Documents!$D$5:$D$657,MATCH(H1026,Documents!$A$5:$A$657,0))="","",INDEX(Documents!$D$5:$D$657,MATCH(H1026,Documents!$A$5:$A$657,0))),"")</f>
        <v>Bioorg Med Chem Lett</v>
      </c>
      <c r="K1026" s="25" t="str">
        <f aca="false">IFERROR(IF(INDEX(Documents!$G$5:$G$657,MATCH(H1026,Documents!$A$5:$A$657,0))="","",INDEX(Documents!$G$5:$G$657,MATCH(H1026,Documents!$A$5:$A$657,0))),"")</f>
        <v>10.1016/j.bmcl.2007.04.059</v>
      </c>
      <c r="L1026" s="25" t="s">
        <v>2435</v>
      </c>
    </row>
    <row r="1027" customFormat="false" ht="15" hidden="false" customHeight="false" outlineLevel="0" collapsed="false">
      <c r="A1027" s="25" t="n">
        <v>1968457</v>
      </c>
      <c r="B1027" s="25" t="s">
        <v>2474</v>
      </c>
      <c r="C1027" s="25" t="s">
        <v>2475</v>
      </c>
      <c r="D1027" s="26" t="n">
        <v>20</v>
      </c>
      <c r="E1027" s="27" t="n">
        <v>7.69897000433602</v>
      </c>
      <c r="F1027" s="27" t="n">
        <v>7.69897000433602</v>
      </c>
      <c r="G1027" s="25" t="s">
        <v>2433</v>
      </c>
      <c r="H1027" s="25" t="s">
        <v>2434</v>
      </c>
      <c r="I1027" s="25" t="n">
        <f aca="false">IFERROR(IF(INDEX(Documents!$C$5:$C$657,MATCH(H1027,Documents!$A$5:$A$657,0))="","",INDEX(Documents!$C$5:$C$657,MATCH(H1027,Documents!$A$5:$A$657,0))),"")</f>
        <v>2007</v>
      </c>
      <c r="J1027" s="25" t="str">
        <f aca="false">IFERROR(IF(INDEX(Documents!$D$5:$D$657,MATCH(H1027,Documents!$A$5:$A$657,0))="","",INDEX(Documents!$D$5:$D$657,MATCH(H1027,Documents!$A$5:$A$657,0))),"")</f>
        <v>Bioorg Med Chem Lett</v>
      </c>
      <c r="K1027" s="25" t="str">
        <f aca="false">IFERROR(IF(INDEX(Documents!$G$5:$G$657,MATCH(H1027,Documents!$A$5:$A$657,0))="","",INDEX(Documents!$G$5:$G$657,MATCH(H1027,Documents!$A$5:$A$657,0))),"")</f>
        <v>10.1016/j.bmcl.2007.04.059</v>
      </c>
      <c r="L1027" s="25" t="s">
        <v>2435</v>
      </c>
    </row>
    <row r="1028" customFormat="false" ht="15" hidden="false" customHeight="false" outlineLevel="0" collapsed="false">
      <c r="A1028" s="25" t="n">
        <v>2045807</v>
      </c>
      <c r="B1028" s="25" t="s">
        <v>2476</v>
      </c>
      <c r="C1028" s="25" t="s">
        <v>2477</v>
      </c>
      <c r="D1028" s="26" t="n">
        <v>78.22</v>
      </c>
      <c r="E1028" s="27" t="n">
        <v>7.10668218838389</v>
      </c>
      <c r="F1028" s="27" t="n">
        <v>7.10668218838389</v>
      </c>
      <c r="G1028" s="25" t="s">
        <v>2478</v>
      </c>
      <c r="H1028" s="25" t="s">
        <v>2479</v>
      </c>
      <c r="I1028" s="25" t="n">
        <f aca="false">IFERROR(IF(INDEX(Documents!$C$5:$C$657,MATCH(H1028,Documents!$A$5:$A$657,0))="","",INDEX(Documents!$C$5:$C$657,MATCH(H1028,Documents!$A$5:$A$657,0))),"")</f>
        <v>2007</v>
      </c>
      <c r="J1028" s="25" t="str">
        <f aca="false">IFERROR(IF(INDEX(Documents!$D$5:$D$657,MATCH(H1028,Documents!$A$5:$A$657,0))="","",INDEX(Documents!$D$5:$D$657,MATCH(H1028,Documents!$A$5:$A$657,0))),"")</f>
        <v>Bioorg Med Chem</v>
      </c>
      <c r="K1028" s="25" t="str">
        <f aca="false">IFERROR(IF(INDEX(Documents!$G$5:$G$657,MATCH(H1028,Documents!$A$5:$A$657,0))="","",INDEX(Documents!$G$5:$G$657,MATCH(H1028,Documents!$A$5:$A$657,0))),"")</f>
        <v>10.1016/j.bmc.2007.08.039</v>
      </c>
      <c r="L1028" s="25" t="s">
        <v>659</v>
      </c>
    </row>
    <row r="1029" customFormat="false" ht="15" hidden="false" customHeight="false" outlineLevel="0" collapsed="false">
      <c r="A1029" s="25" t="n">
        <v>2130223</v>
      </c>
      <c r="B1029" s="25" t="s">
        <v>2480</v>
      </c>
      <c r="C1029" s="25" t="s">
        <v>2481</v>
      </c>
      <c r="D1029" s="26" t="n">
        <v>178</v>
      </c>
      <c r="E1029" s="27" t="n">
        <v>6.74957999769111</v>
      </c>
      <c r="F1029" s="27" t="n">
        <v>6.74957999769111</v>
      </c>
      <c r="G1029" s="25" t="s">
        <v>1818</v>
      </c>
      <c r="H1029" s="25" t="s">
        <v>1819</v>
      </c>
      <c r="I1029" s="25" t="n">
        <f aca="false">IFERROR(IF(INDEX(Documents!$C$5:$C$657,MATCH(H1029,Documents!$A$5:$A$657,0))="","",INDEX(Documents!$C$5:$C$657,MATCH(H1029,Documents!$A$5:$A$657,0))),"")</f>
        <v>2008</v>
      </c>
      <c r="J1029" s="25" t="str">
        <f aca="false">IFERROR(IF(INDEX(Documents!$D$5:$D$657,MATCH(H1029,Documents!$A$5:$A$657,0))="","",INDEX(Documents!$D$5:$D$657,MATCH(H1029,Documents!$A$5:$A$657,0))),"")</f>
        <v>Bioorg Med Chem</v>
      </c>
      <c r="K1029" s="25" t="str">
        <f aca="false">IFERROR(IF(INDEX(Documents!$G$5:$G$657,MATCH(H1029,Documents!$A$5:$A$657,0))="","",INDEX(Documents!$G$5:$G$657,MATCH(H1029,Documents!$A$5:$A$657,0))),"")</f>
        <v>10.1016/j.bmc.2007.09.033</v>
      </c>
      <c r="L1029" s="25" t="s">
        <v>709</v>
      </c>
    </row>
    <row r="1030" customFormat="false" ht="15" hidden="false" customHeight="false" outlineLevel="0" collapsed="false">
      <c r="A1030" s="25" t="n">
        <v>2130214</v>
      </c>
      <c r="B1030" s="25" t="s">
        <v>2482</v>
      </c>
      <c r="C1030" s="25" t="s">
        <v>2483</v>
      </c>
      <c r="D1030" s="26" t="n">
        <v>238</v>
      </c>
      <c r="E1030" s="27" t="n">
        <v>6.62342304294349</v>
      </c>
      <c r="F1030" s="27" t="n">
        <v>6.62342304294349</v>
      </c>
      <c r="G1030" s="25" t="s">
        <v>1818</v>
      </c>
      <c r="H1030" s="25" t="s">
        <v>1819</v>
      </c>
      <c r="I1030" s="25" t="n">
        <f aca="false">IFERROR(IF(INDEX(Documents!$C$5:$C$657,MATCH(H1030,Documents!$A$5:$A$657,0))="","",INDEX(Documents!$C$5:$C$657,MATCH(H1030,Documents!$A$5:$A$657,0))),"")</f>
        <v>2008</v>
      </c>
      <c r="J1030" s="25" t="str">
        <f aca="false">IFERROR(IF(INDEX(Documents!$D$5:$D$657,MATCH(H1030,Documents!$A$5:$A$657,0))="","",INDEX(Documents!$D$5:$D$657,MATCH(H1030,Documents!$A$5:$A$657,0))),"")</f>
        <v>Bioorg Med Chem</v>
      </c>
      <c r="K1030" s="25" t="str">
        <f aca="false">IFERROR(IF(INDEX(Documents!$G$5:$G$657,MATCH(H1030,Documents!$A$5:$A$657,0))="","",INDEX(Documents!$G$5:$G$657,MATCH(H1030,Documents!$A$5:$A$657,0))),"")</f>
        <v>10.1016/j.bmc.2007.09.033</v>
      </c>
      <c r="L1030" s="25" t="s">
        <v>709</v>
      </c>
    </row>
    <row r="1031" customFormat="false" ht="15" hidden="false" customHeight="false" outlineLevel="0" collapsed="false">
      <c r="A1031" s="25" t="n">
        <v>3408605</v>
      </c>
      <c r="B1031" s="25" t="s">
        <v>2484</v>
      </c>
      <c r="C1031" s="25" t="s">
        <v>2485</v>
      </c>
      <c r="D1031" s="26" t="n">
        <v>808</v>
      </c>
      <c r="E1031" s="27" t="n">
        <v>6.09258863922541</v>
      </c>
      <c r="F1031" s="27" t="n">
        <v>6.09258863922541</v>
      </c>
      <c r="G1031" s="25" t="s">
        <v>2160</v>
      </c>
      <c r="H1031" s="25" t="s">
        <v>2161</v>
      </c>
      <c r="I1031" s="25" t="n">
        <f aca="false">IFERROR(IF(INDEX(Documents!$C$5:$C$657,MATCH(H1031,Documents!$A$5:$A$657,0))="","",INDEX(Documents!$C$5:$C$657,MATCH(H1031,Documents!$A$5:$A$657,0))),"")</f>
        <v>2010</v>
      </c>
      <c r="J1031" s="25" t="str">
        <f aca="false">IFERROR(IF(INDEX(Documents!$D$5:$D$657,MATCH(H1031,Documents!$A$5:$A$657,0))="","",INDEX(Documents!$D$5:$D$657,MATCH(H1031,Documents!$A$5:$A$657,0))),"")</f>
        <v>Bioorg Med Chem</v>
      </c>
      <c r="K1031" s="25" t="str">
        <f aca="false">IFERROR(IF(INDEX(Documents!$G$5:$G$657,MATCH(H1031,Documents!$A$5:$A$657,0))="","",INDEX(Documents!$G$5:$G$657,MATCH(H1031,Documents!$A$5:$A$657,0))),"")</f>
        <v>10.1016/j.bmc.2010.06.054</v>
      </c>
      <c r="L1031" s="25" t="s">
        <v>2162</v>
      </c>
    </row>
    <row r="1032" customFormat="false" ht="15" hidden="false" customHeight="false" outlineLevel="0" collapsed="false">
      <c r="A1032" s="25" t="n">
        <v>2130231</v>
      </c>
      <c r="B1032" s="25" t="s">
        <v>2486</v>
      </c>
      <c r="C1032" s="25" t="s">
        <v>2487</v>
      </c>
      <c r="D1032" s="26" t="n">
        <v>231</v>
      </c>
      <c r="E1032" s="27" t="n">
        <v>6.63638802010786</v>
      </c>
      <c r="F1032" s="27" t="n">
        <v>6.63638802010786</v>
      </c>
      <c r="G1032" s="25" t="s">
        <v>1818</v>
      </c>
      <c r="H1032" s="25" t="s">
        <v>1819</v>
      </c>
      <c r="I1032" s="25" t="n">
        <f aca="false">IFERROR(IF(INDEX(Documents!$C$5:$C$657,MATCH(H1032,Documents!$A$5:$A$657,0))="","",INDEX(Documents!$C$5:$C$657,MATCH(H1032,Documents!$A$5:$A$657,0))),"")</f>
        <v>2008</v>
      </c>
      <c r="J1032" s="25" t="str">
        <f aca="false">IFERROR(IF(INDEX(Documents!$D$5:$D$657,MATCH(H1032,Documents!$A$5:$A$657,0))="","",INDEX(Documents!$D$5:$D$657,MATCH(H1032,Documents!$A$5:$A$657,0))),"")</f>
        <v>Bioorg Med Chem</v>
      </c>
      <c r="K1032" s="25" t="str">
        <f aca="false">IFERROR(IF(INDEX(Documents!$G$5:$G$657,MATCH(H1032,Documents!$A$5:$A$657,0))="","",INDEX(Documents!$G$5:$G$657,MATCH(H1032,Documents!$A$5:$A$657,0))),"")</f>
        <v>10.1016/j.bmc.2007.09.033</v>
      </c>
      <c r="L1032" s="25" t="s">
        <v>709</v>
      </c>
    </row>
    <row r="1033" customFormat="false" ht="15" hidden="false" customHeight="false" outlineLevel="0" collapsed="false">
      <c r="A1033" s="25" t="n">
        <v>3408610</v>
      </c>
      <c r="B1033" s="25" t="s">
        <v>2488</v>
      </c>
      <c r="C1033" s="25" t="s">
        <v>2489</v>
      </c>
      <c r="D1033" s="26" t="n">
        <v>178</v>
      </c>
      <c r="E1033" s="27" t="n">
        <v>6.74957999769111</v>
      </c>
      <c r="F1033" s="27" t="n">
        <v>6.74957999769111</v>
      </c>
      <c r="G1033" s="25" t="s">
        <v>2160</v>
      </c>
      <c r="H1033" s="25" t="s">
        <v>2161</v>
      </c>
      <c r="I1033" s="25" t="n">
        <f aca="false">IFERROR(IF(INDEX(Documents!$C$5:$C$657,MATCH(H1033,Documents!$A$5:$A$657,0))="","",INDEX(Documents!$C$5:$C$657,MATCH(H1033,Documents!$A$5:$A$657,0))),"")</f>
        <v>2010</v>
      </c>
      <c r="J1033" s="25" t="str">
        <f aca="false">IFERROR(IF(INDEX(Documents!$D$5:$D$657,MATCH(H1033,Documents!$A$5:$A$657,0))="","",INDEX(Documents!$D$5:$D$657,MATCH(H1033,Documents!$A$5:$A$657,0))),"")</f>
        <v>Bioorg Med Chem</v>
      </c>
      <c r="K1033" s="25" t="str">
        <f aca="false">IFERROR(IF(INDEX(Documents!$G$5:$G$657,MATCH(H1033,Documents!$A$5:$A$657,0))="","",INDEX(Documents!$G$5:$G$657,MATCH(H1033,Documents!$A$5:$A$657,0))),"")</f>
        <v>10.1016/j.bmc.2010.06.054</v>
      </c>
      <c r="L1033" s="25" t="s">
        <v>2162</v>
      </c>
    </row>
    <row r="1034" customFormat="false" ht="15" hidden="false" customHeight="false" outlineLevel="0" collapsed="false">
      <c r="A1034" s="25" t="n">
        <v>2045801</v>
      </c>
      <c r="B1034" s="25" t="s">
        <v>2490</v>
      </c>
      <c r="C1034" s="25" t="s">
        <v>2491</v>
      </c>
      <c r="D1034" s="26" t="n">
        <v>189</v>
      </c>
      <c r="E1034" s="27" t="n">
        <v>6.72353819582676</v>
      </c>
      <c r="F1034" s="27" t="n">
        <v>6.72353819582676</v>
      </c>
      <c r="G1034" s="25" t="s">
        <v>2478</v>
      </c>
      <c r="H1034" s="25" t="s">
        <v>2479</v>
      </c>
      <c r="I1034" s="25" t="n">
        <f aca="false">IFERROR(IF(INDEX(Documents!$C$5:$C$657,MATCH(H1034,Documents!$A$5:$A$657,0))="","",INDEX(Documents!$C$5:$C$657,MATCH(H1034,Documents!$A$5:$A$657,0))),"")</f>
        <v>2007</v>
      </c>
      <c r="J1034" s="25" t="str">
        <f aca="false">IFERROR(IF(INDEX(Documents!$D$5:$D$657,MATCH(H1034,Documents!$A$5:$A$657,0))="","",INDEX(Documents!$D$5:$D$657,MATCH(H1034,Documents!$A$5:$A$657,0))),"")</f>
        <v>Bioorg Med Chem</v>
      </c>
      <c r="K1034" s="25" t="str">
        <f aca="false">IFERROR(IF(INDEX(Documents!$G$5:$G$657,MATCH(H1034,Documents!$A$5:$A$657,0))="","",INDEX(Documents!$G$5:$G$657,MATCH(H1034,Documents!$A$5:$A$657,0))),"")</f>
        <v>10.1016/j.bmc.2007.08.039</v>
      </c>
      <c r="L1034" s="25" t="s">
        <v>659</v>
      </c>
    </row>
    <row r="1035" customFormat="false" ht="15" hidden="false" customHeight="false" outlineLevel="0" collapsed="false">
      <c r="A1035" s="25" t="n">
        <v>2045800</v>
      </c>
      <c r="B1035" s="25" t="s">
        <v>2492</v>
      </c>
      <c r="C1035" s="25" t="s">
        <v>2493</v>
      </c>
      <c r="D1035" s="26" t="n">
        <v>21.48</v>
      </c>
      <c r="E1035" s="27" t="n">
        <v>7.66796572297248</v>
      </c>
      <c r="F1035" s="27" t="n">
        <v>7.66796572297248</v>
      </c>
      <c r="G1035" s="25" t="s">
        <v>2478</v>
      </c>
      <c r="H1035" s="25" t="s">
        <v>2479</v>
      </c>
      <c r="I1035" s="25" t="n">
        <f aca="false">IFERROR(IF(INDEX(Documents!$C$5:$C$657,MATCH(H1035,Documents!$A$5:$A$657,0))="","",INDEX(Documents!$C$5:$C$657,MATCH(H1035,Documents!$A$5:$A$657,0))),"")</f>
        <v>2007</v>
      </c>
      <c r="J1035" s="25" t="str">
        <f aca="false">IFERROR(IF(INDEX(Documents!$D$5:$D$657,MATCH(H1035,Documents!$A$5:$A$657,0))="","",INDEX(Documents!$D$5:$D$657,MATCH(H1035,Documents!$A$5:$A$657,0))),"")</f>
        <v>Bioorg Med Chem</v>
      </c>
      <c r="K1035" s="25" t="str">
        <f aca="false">IFERROR(IF(INDEX(Documents!$G$5:$G$657,MATCH(H1035,Documents!$A$5:$A$657,0))="","",INDEX(Documents!$G$5:$G$657,MATCH(H1035,Documents!$A$5:$A$657,0))),"")</f>
        <v>10.1016/j.bmc.2007.08.039</v>
      </c>
      <c r="L1035" s="25" t="s">
        <v>659</v>
      </c>
    </row>
    <row r="1036" customFormat="false" ht="15" hidden="false" customHeight="false" outlineLevel="0" collapsed="false">
      <c r="A1036" s="25" t="n">
        <v>2045806</v>
      </c>
      <c r="B1036" s="25" t="s">
        <v>2494</v>
      </c>
      <c r="C1036" s="25" t="s">
        <v>2495</v>
      </c>
      <c r="D1036" s="26" t="n">
        <v>257.33</v>
      </c>
      <c r="E1036" s="27" t="n">
        <v>6.58950957999655</v>
      </c>
      <c r="F1036" s="27" t="n">
        <v>6.58950957999655</v>
      </c>
      <c r="G1036" s="25" t="s">
        <v>2478</v>
      </c>
      <c r="H1036" s="25" t="s">
        <v>2479</v>
      </c>
      <c r="I1036" s="25" t="n">
        <f aca="false">IFERROR(IF(INDEX(Documents!$C$5:$C$657,MATCH(H1036,Documents!$A$5:$A$657,0))="","",INDEX(Documents!$C$5:$C$657,MATCH(H1036,Documents!$A$5:$A$657,0))),"")</f>
        <v>2007</v>
      </c>
      <c r="J1036" s="25" t="str">
        <f aca="false">IFERROR(IF(INDEX(Documents!$D$5:$D$657,MATCH(H1036,Documents!$A$5:$A$657,0))="","",INDEX(Documents!$D$5:$D$657,MATCH(H1036,Documents!$A$5:$A$657,0))),"")</f>
        <v>Bioorg Med Chem</v>
      </c>
      <c r="K1036" s="25" t="str">
        <f aca="false">IFERROR(IF(INDEX(Documents!$G$5:$G$657,MATCH(H1036,Documents!$A$5:$A$657,0))="","",INDEX(Documents!$G$5:$G$657,MATCH(H1036,Documents!$A$5:$A$657,0))),"")</f>
        <v>10.1016/j.bmc.2007.08.039</v>
      </c>
      <c r="L1036" s="25" t="s">
        <v>659</v>
      </c>
    </row>
    <row r="1037" customFormat="false" ht="15" hidden="false" customHeight="false" outlineLevel="0" collapsed="false">
      <c r="A1037" s="25" t="n">
        <v>5100347</v>
      </c>
      <c r="B1037" s="25" t="s">
        <v>2496</v>
      </c>
      <c r="C1037" s="25" t="s">
        <v>2497</v>
      </c>
      <c r="D1037" s="26" t="n">
        <v>135.5</v>
      </c>
      <c r="E1037" s="27" t="n">
        <v>6.86806070478958</v>
      </c>
      <c r="F1037" s="27" t="n">
        <v>6.86806070478958</v>
      </c>
      <c r="G1037" s="25" t="s">
        <v>1811</v>
      </c>
      <c r="H1037" s="25" t="s">
        <v>1812</v>
      </c>
      <c r="I1037" s="25" t="n">
        <f aca="false">IFERROR(IF(INDEX(Documents!$C$5:$C$657,MATCH(H1037,Documents!$A$5:$A$657,0))="","",INDEX(Documents!$C$5:$C$657,MATCH(H1037,Documents!$A$5:$A$657,0))),"")</f>
        <v>2010</v>
      </c>
      <c r="J1037" s="25" t="str">
        <f aca="false">IFERROR(IF(INDEX(Documents!$D$5:$D$657,MATCH(H1037,Documents!$A$5:$A$657,0))="","",INDEX(Documents!$D$5:$D$657,MATCH(H1037,Documents!$A$5:$A$657,0))),"")</f>
        <v>Eur J Med Chem</v>
      </c>
      <c r="K1037" s="25" t="str">
        <f aca="false">IFERROR(IF(INDEX(Documents!$G$5:$G$657,MATCH(H1037,Documents!$A$5:$A$657,0))="","",INDEX(Documents!$G$5:$G$657,MATCH(H1037,Documents!$A$5:$A$657,0))),"")</f>
        <v>10.1016/j.ejmech.2010.09.053</v>
      </c>
      <c r="L1037" s="25" t="s">
        <v>1813</v>
      </c>
    </row>
    <row r="1038" customFormat="false" ht="15" hidden="false" customHeight="false" outlineLevel="0" collapsed="false">
      <c r="A1038" s="25" t="n">
        <v>5100342</v>
      </c>
      <c r="B1038" s="25" t="s">
        <v>2498</v>
      </c>
      <c r="C1038" s="25" t="s">
        <v>2499</v>
      </c>
      <c r="D1038" s="26" t="n">
        <v>237.3</v>
      </c>
      <c r="E1038" s="27" t="n">
        <v>6.62470226178266</v>
      </c>
      <c r="F1038" s="27" t="n">
        <v>6.62470226178266</v>
      </c>
      <c r="G1038" s="25" t="s">
        <v>1811</v>
      </c>
      <c r="H1038" s="25" t="s">
        <v>1812</v>
      </c>
      <c r="I1038" s="25" t="n">
        <f aca="false">IFERROR(IF(INDEX(Documents!$C$5:$C$657,MATCH(H1038,Documents!$A$5:$A$657,0))="","",INDEX(Documents!$C$5:$C$657,MATCH(H1038,Documents!$A$5:$A$657,0))),"")</f>
        <v>2010</v>
      </c>
      <c r="J1038" s="25" t="str">
        <f aca="false">IFERROR(IF(INDEX(Documents!$D$5:$D$657,MATCH(H1038,Documents!$A$5:$A$657,0))="","",INDEX(Documents!$D$5:$D$657,MATCH(H1038,Documents!$A$5:$A$657,0))),"")</f>
        <v>Eur J Med Chem</v>
      </c>
      <c r="K1038" s="25" t="str">
        <f aca="false">IFERROR(IF(INDEX(Documents!$G$5:$G$657,MATCH(H1038,Documents!$A$5:$A$657,0))="","",INDEX(Documents!$G$5:$G$657,MATCH(H1038,Documents!$A$5:$A$657,0))),"")</f>
        <v>10.1016/j.ejmech.2010.09.053</v>
      </c>
      <c r="L1038" s="25" t="s">
        <v>1813</v>
      </c>
    </row>
    <row r="1039" customFormat="false" ht="15" hidden="false" customHeight="false" outlineLevel="0" collapsed="false">
      <c r="A1039" s="25" t="n">
        <v>28220312</v>
      </c>
      <c r="B1039" s="25" t="s">
        <v>2500</v>
      </c>
      <c r="C1039" s="25" t="s">
        <v>2501</v>
      </c>
      <c r="D1039" s="26" t="n">
        <v>1000</v>
      </c>
      <c r="E1039" s="27" t="n">
        <v>6</v>
      </c>
      <c r="F1039" s="27" t="n">
        <v>6</v>
      </c>
      <c r="G1039" s="25" t="s">
        <v>679</v>
      </c>
      <c r="H1039" s="25" t="s">
        <v>680</v>
      </c>
      <c r="I1039" s="25" t="n">
        <f aca="false">IFERROR(IF(INDEX(Documents!$C$5:$C$657,MATCH(H1039,Documents!$A$5:$A$657,0))="","",INDEX(Documents!$C$5:$C$657,MATCH(H1039,Documents!$A$5:$A$657,0))),"")</f>
        <v>2021</v>
      </c>
      <c r="J1039" s="25" t="str">
        <f aca="false">IFERROR(IF(INDEX(Documents!$D$5:$D$657,MATCH(H1039,Documents!$A$5:$A$657,0))="","",INDEX(Documents!$D$5:$D$657,MATCH(H1039,Documents!$A$5:$A$657,0))),"")</f>
        <v/>
      </c>
      <c r="K1039" s="25" t="str">
        <f aca="false">IFERROR(IF(INDEX(Documents!$G$5:$G$657,MATCH(H1039,Documents!$A$5:$A$657,0))="","",INDEX(Documents!$G$5:$G$657,MATCH(H1039,Documents!$A$5:$A$657,0))),"")</f>
        <v/>
      </c>
      <c r="L1039" s="25" t="s">
        <v>681</v>
      </c>
    </row>
    <row r="1040" customFormat="false" ht="15" hidden="false" customHeight="false" outlineLevel="0" collapsed="false">
      <c r="A1040" s="25" t="n">
        <v>19371518</v>
      </c>
      <c r="B1040" s="25" t="s">
        <v>2502</v>
      </c>
      <c r="C1040" s="25" t="s">
        <v>2503</v>
      </c>
      <c r="D1040" s="26" t="n">
        <v>60</v>
      </c>
      <c r="E1040" s="27" t="n">
        <v>7.22184874961636</v>
      </c>
      <c r="F1040" s="27" t="n">
        <v>7.25292270299078</v>
      </c>
      <c r="G1040" s="25" t="s">
        <v>350</v>
      </c>
      <c r="H1040" s="25" t="s">
        <v>341</v>
      </c>
      <c r="I1040" s="25" t="n">
        <f aca="false">IFERROR(IF(INDEX(Documents!$C$5:$C$657,MATCH(H1040,Documents!$A$5:$A$657,0))="","",INDEX(Documents!$C$5:$C$657,MATCH(H1040,Documents!$A$5:$A$657,0))),"")</f>
        <v>2019</v>
      </c>
      <c r="J1040" s="25" t="str">
        <f aca="false">IFERROR(IF(INDEX(Documents!$D$5:$D$657,MATCH(H1040,Documents!$A$5:$A$657,0))="","",INDEX(Documents!$D$5:$D$657,MATCH(H1040,Documents!$A$5:$A$657,0))),"")</f>
        <v>J Nat Prod</v>
      </c>
      <c r="K1040" s="25" t="str">
        <f aca="false">IFERROR(IF(INDEX(Documents!$G$5:$G$657,MATCH(H1040,Documents!$A$5:$A$657,0))="","",INDEX(Documents!$G$5:$G$657,MATCH(H1040,Documents!$A$5:$A$657,0))),"")</f>
        <v>10.1021/acs.jnatprod.8b00874</v>
      </c>
      <c r="L1040" s="25" t="s">
        <v>351</v>
      </c>
    </row>
    <row r="1041" customFormat="false" ht="15" hidden="false" customHeight="false" outlineLevel="0" collapsed="false">
      <c r="A1041" s="25" t="n">
        <v>1883210</v>
      </c>
      <c r="B1041" s="25" t="s">
        <v>2502</v>
      </c>
      <c r="C1041" s="25" t="s">
        <v>2503</v>
      </c>
      <c r="D1041" s="26" t="n">
        <v>52</v>
      </c>
      <c r="E1041" s="27" t="n">
        <v>7.2839966563652</v>
      </c>
      <c r="F1041" s="27" t="n">
        <v>7.25292270299078</v>
      </c>
      <c r="G1041" s="25" t="s">
        <v>2504</v>
      </c>
      <c r="H1041" s="25" t="s">
        <v>2505</v>
      </c>
      <c r="I1041" s="25" t="n">
        <f aca="false">IFERROR(IF(INDEX(Documents!$C$5:$C$657,MATCH(H1041,Documents!$A$5:$A$657,0))="","",INDEX(Documents!$C$5:$C$657,MATCH(H1041,Documents!$A$5:$A$657,0))),"")</f>
        <v>2007</v>
      </c>
      <c r="J1041" s="25" t="str">
        <f aca="false">IFERROR(IF(INDEX(Documents!$D$5:$D$657,MATCH(H1041,Documents!$A$5:$A$657,0))="","",INDEX(Documents!$D$5:$D$657,MATCH(H1041,Documents!$A$5:$A$657,0))),"")</f>
        <v>J Nat Prod</v>
      </c>
      <c r="K1041" s="25" t="str">
        <f aca="false">IFERROR(IF(INDEX(Documents!$G$5:$G$657,MATCH(H1041,Documents!$A$5:$A$657,0))="","",INDEX(Documents!$G$5:$G$657,MATCH(H1041,Documents!$A$5:$A$657,0))),"")</f>
        <v>10.1021/np060598+</v>
      </c>
      <c r="L1041" s="25" t="s">
        <v>2506</v>
      </c>
    </row>
    <row r="1042" customFormat="false" ht="15" hidden="false" customHeight="false" outlineLevel="0" collapsed="false">
      <c r="A1042" s="25" t="n">
        <v>5205737</v>
      </c>
      <c r="B1042" s="25" t="s">
        <v>2507</v>
      </c>
      <c r="C1042" s="25" t="s">
        <v>2508</v>
      </c>
      <c r="D1042" s="26" t="n">
        <v>0.9</v>
      </c>
      <c r="E1042" s="27" t="n">
        <v>9.04575749056068</v>
      </c>
      <c r="F1042" s="27" t="n">
        <v>9.04575749056068</v>
      </c>
      <c r="G1042" s="25" t="s">
        <v>461</v>
      </c>
      <c r="H1042" s="25" t="s">
        <v>462</v>
      </c>
      <c r="I1042" s="25" t="n">
        <f aca="false">IFERROR(IF(INDEX(Documents!$C$5:$C$657,MATCH(H1042,Documents!$A$5:$A$657,0))="","",INDEX(Documents!$C$5:$C$657,MATCH(H1042,Documents!$A$5:$A$657,0))),"")</f>
        <v>2011</v>
      </c>
      <c r="J1042" s="25" t="str">
        <f aca="false">IFERROR(IF(INDEX(Documents!$D$5:$D$657,MATCH(H1042,Documents!$A$5:$A$657,0))="","",INDEX(Documents!$D$5:$D$657,MATCH(H1042,Documents!$A$5:$A$657,0))),"")</f>
        <v>Eur J Med Chem</v>
      </c>
      <c r="K1042" s="25" t="str">
        <f aca="false">IFERROR(IF(INDEX(Documents!$G$5:$G$657,MATCH(H1042,Documents!$A$5:$A$657,0))="","",INDEX(Documents!$G$5:$G$657,MATCH(H1042,Documents!$A$5:$A$657,0))),"")</f>
        <v>10.1016/j.ejmech.2010.11.034</v>
      </c>
      <c r="L1042" s="25" t="s">
        <v>463</v>
      </c>
    </row>
    <row r="1043" customFormat="false" ht="15" hidden="false" customHeight="false" outlineLevel="0" collapsed="false">
      <c r="A1043" s="25" t="n">
        <v>5205734</v>
      </c>
      <c r="B1043" s="25" t="s">
        <v>2509</v>
      </c>
      <c r="C1043" s="25" t="s">
        <v>2510</v>
      </c>
      <c r="D1043" s="26" t="n">
        <v>1.3</v>
      </c>
      <c r="E1043" s="27" t="n">
        <v>8.88605664769316</v>
      </c>
      <c r="F1043" s="27" t="n">
        <v>8.88605664769316</v>
      </c>
      <c r="G1043" s="25" t="s">
        <v>461</v>
      </c>
      <c r="H1043" s="25" t="s">
        <v>462</v>
      </c>
      <c r="I1043" s="25" t="n">
        <f aca="false">IFERROR(IF(INDEX(Documents!$C$5:$C$657,MATCH(H1043,Documents!$A$5:$A$657,0))="","",INDEX(Documents!$C$5:$C$657,MATCH(H1043,Documents!$A$5:$A$657,0))),"")</f>
        <v>2011</v>
      </c>
      <c r="J1043" s="25" t="str">
        <f aca="false">IFERROR(IF(INDEX(Documents!$D$5:$D$657,MATCH(H1043,Documents!$A$5:$A$657,0))="","",INDEX(Documents!$D$5:$D$657,MATCH(H1043,Documents!$A$5:$A$657,0))),"")</f>
        <v>Eur J Med Chem</v>
      </c>
      <c r="K1043" s="25" t="str">
        <f aca="false">IFERROR(IF(INDEX(Documents!$G$5:$G$657,MATCH(H1043,Documents!$A$5:$A$657,0))="","",INDEX(Documents!$G$5:$G$657,MATCH(H1043,Documents!$A$5:$A$657,0))),"")</f>
        <v>10.1016/j.ejmech.2010.11.034</v>
      </c>
      <c r="L1043" s="25" t="s">
        <v>463</v>
      </c>
    </row>
    <row r="1044" customFormat="false" ht="15" hidden="false" customHeight="false" outlineLevel="0" collapsed="false">
      <c r="A1044" s="25" t="n">
        <v>5205733</v>
      </c>
      <c r="B1044" s="25" t="s">
        <v>2511</v>
      </c>
      <c r="C1044" s="25" t="s">
        <v>2512</v>
      </c>
      <c r="D1044" s="26" t="n">
        <v>0.2</v>
      </c>
      <c r="E1044" s="27" t="n">
        <v>9.69897000433602</v>
      </c>
      <c r="F1044" s="27" t="n">
        <v>9.69897000433602</v>
      </c>
      <c r="G1044" s="25" t="s">
        <v>461</v>
      </c>
      <c r="H1044" s="25" t="s">
        <v>462</v>
      </c>
      <c r="I1044" s="25" t="n">
        <f aca="false">IFERROR(IF(INDEX(Documents!$C$5:$C$657,MATCH(H1044,Documents!$A$5:$A$657,0))="","",INDEX(Documents!$C$5:$C$657,MATCH(H1044,Documents!$A$5:$A$657,0))),"")</f>
        <v>2011</v>
      </c>
      <c r="J1044" s="25" t="str">
        <f aca="false">IFERROR(IF(INDEX(Documents!$D$5:$D$657,MATCH(H1044,Documents!$A$5:$A$657,0))="","",INDEX(Documents!$D$5:$D$657,MATCH(H1044,Documents!$A$5:$A$657,0))),"")</f>
        <v>Eur J Med Chem</v>
      </c>
      <c r="K1044" s="25" t="str">
        <f aca="false">IFERROR(IF(INDEX(Documents!$G$5:$G$657,MATCH(H1044,Documents!$A$5:$A$657,0))="","",INDEX(Documents!$G$5:$G$657,MATCH(H1044,Documents!$A$5:$A$657,0))),"")</f>
        <v>10.1016/j.ejmech.2010.11.034</v>
      </c>
      <c r="L1044" s="25" t="s">
        <v>463</v>
      </c>
    </row>
    <row r="1045" customFormat="false" ht="15" hidden="false" customHeight="false" outlineLevel="0" collapsed="false">
      <c r="A1045" s="25" t="n">
        <v>3508908</v>
      </c>
      <c r="B1045" s="25" t="s">
        <v>2513</v>
      </c>
      <c r="C1045" s="25" t="s">
        <v>2514</v>
      </c>
      <c r="D1045" s="26" t="n">
        <v>11.9</v>
      </c>
      <c r="E1045" s="27" t="n">
        <v>7.92445303860747</v>
      </c>
      <c r="F1045" s="27" t="n">
        <v>7.92445303860747</v>
      </c>
      <c r="G1045" s="25" t="s">
        <v>1396</v>
      </c>
      <c r="H1045" s="25" t="s">
        <v>1397</v>
      </c>
      <c r="I1045" s="25" t="n">
        <f aca="false">IFERROR(IF(INDEX(Documents!$C$5:$C$657,MATCH(H1045,Documents!$A$5:$A$657,0))="","",INDEX(Documents!$C$5:$C$657,MATCH(H1045,Documents!$A$5:$A$657,0))),"")</f>
        <v>2010</v>
      </c>
      <c r="J1045" s="25" t="str">
        <f aca="false">IFERROR(IF(INDEX(Documents!$D$5:$D$657,MATCH(H1045,Documents!$A$5:$A$657,0))="","",INDEX(Documents!$D$5:$D$657,MATCH(H1045,Documents!$A$5:$A$657,0))),"")</f>
        <v>J Med Chem</v>
      </c>
      <c r="K1045" s="25" t="str">
        <f aca="false">IFERROR(IF(INDEX(Documents!$G$5:$G$657,MATCH(H1045,Documents!$A$5:$A$657,0))="","",INDEX(Documents!$G$5:$G$657,MATCH(H1045,Documents!$A$5:$A$657,0))),"")</f>
        <v>10.1021/jm100641g</v>
      </c>
      <c r="L1045" s="25" t="s">
        <v>1398</v>
      </c>
    </row>
    <row r="1046" customFormat="false" ht="15" hidden="false" customHeight="false" outlineLevel="0" collapsed="false">
      <c r="A1046" s="25" t="n">
        <v>3508905</v>
      </c>
      <c r="B1046" s="25" t="s">
        <v>2515</v>
      </c>
      <c r="C1046" s="25" t="s">
        <v>2516</v>
      </c>
      <c r="D1046" s="26" t="n">
        <v>3.34</v>
      </c>
      <c r="E1046" s="27" t="n">
        <v>8.47625353318844</v>
      </c>
      <c r="F1046" s="27" t="n">
        <v>8.47625353318844</v>
      </c>
      <c r="G1046" s="25" t="s">
        <v>1396</v>
      </c>
      <c r="H1046" s="25" t="s">
        <v>1397</v>
      </c>
      <c r="I1046" s="25" t="n">
        <f aca="false">IFERROR(IF(INDEX(Documents!$C$5:$C$657,MATCH(H1046,Documents!$A$5:$A$657,0))="","",INDEX(Documents!$C$5:$C$657,MATCH(H1046,Documents!$A$5:$A$657,0))),"")</f>
        <v>2010</v>
      </c>
      <c r="J1046" s="25" t="str">
        <f aca="false">IFERROR(IF(INDEX(Documents!$D$5:$D$657,MATCH(H1046,Documents!$A$5:$A$657,0))="","",INDEX(Documents!$D$5:$D$657,MATCH(H1046,Documents!$A$5:$A$657,0))),"")</f>
        <v>J Med Chem</v>
      </c>
      <c r="K1046" s="25" t="str">
        <f aca="false">IFERROR(IF(INDEX(Documents!$G$5:$G$657,MATCH(H1046,Documents!$A$5:$A$657,0))="","",INDEX(Documents!$G$5:$G$657,MATCH(H1046,Documents!$A$5:$A$657,0))),"")</f>
        <v>10.1021/jm100641g</v>
      </c>
      <c r="L1046" s="25" t="s">
        <v>1398</v>
      </c>
    </row>
    <row r="1047" customFormat="false" ht="15" hidden="false" customHeight="false" outlineLevel="0" collapsed="false">
      <c r="A1047" s="25" t="n">
        <v>3508906</v>
      </c>
      <c r="B1047" s="25" t="s">
        <v>2517</v>
      </c>
      <c r="C1047" s="25" t="s">
        <v>2518</v>
      </c>
      <c r="D1047" s="26" t="n">
        <v>32.6</v>
      </c>
      <c r="E1047" s="27" t="n">
        <v>7.48678239993206</v>
      </c>
      <c r="F1047" s="27" t="n">
        <v>7.48678239993206</v>
      </c>
      <c r="G1047" s="25" t="s">
        <v>1396</v>
      </c>
      <c r="H1047" s="25" t="s">
        <v>1397</v>
      </c>
      <c r="I1047" s="25" t="n">
        <f aca="false">IFERROR(IF(INDEX(Documents!$C$5:$C$657,MATCH(H1047,Documents!$A$5:$A$657,0))="","",INDEX(Documents!$C$5:$C$657,MATCH(H1047,Documents!$A$5:$A$657,0))),"")</f>
        <v>2010</v>
      </c>
      <c r="J1047" s="25" t="str">
        <f aca="false">IFERROR(IF(INDEX(Documents!$D$5:$D$657,MATCH(H1047,Documents!$A$5:$A$657,0))="","",INDEX(Documents!$D$5:$D$657,MATCH(H1047,Documents!$A$5:$A$657,0))),"")</f>
        <v>J Med Chem</v>
      </c>
      <c r="K1047" s="25" t="str">
        <f aca="false">IFERROR(IF(INDEX(Documents!$G$5:$G$657,MATCH(H1047,Documents!$A$5:$A$657,0))="","",INDEX(Documents!$G$5:$G$657,MATCH(H1047,Documents!$A$5:$A$657,0))),"")</f>
        <v>10.1021/jm100641g</v>
      </c>
      <c r="L1047" s="25" t="s">
        <v>1398</v>
      </c>
    </row>
    <row r="1048" customFormat="false" ht="15" hidden="false" customHeight="false" outlineLevel="0" collapsed="false">
      <c r="A1048" s="25" t="n">
        <v>3508912</v>
      </c>
      <c r="B1048" s="25" t="s">
        <v>2519</v>
      </c>
      <c r="C1048" s="25" t="s">
        <v>2520</v>
      </c>
      <c r="D1048" s="26" t="n">
        <v>5.13</v>
      </c>
      <c r="E1048" s="27" t="n">
        <v>8.28988263488818</v>
      </c>
      <c r="F1048" s="27" t="n">
        <v>8.28988263488818</v>
      </c>
      <c r="G1048" s="25" t="s">
        <v>1396</v>
      </c>
      <c r="H1048" s="25" t="s">
        <v>1397</v>
      </c>
      <c r="I1048" s="25" t="n">
        <f aca="false">IFERROR(IF(INDEX(Documents!$C$5:$C$657,MATCH(H1048,Documents!$A$5:$A$657,0))="","",INDEX(Documents!$C$5:$C$657,MATCH(H1048,Documents!$A$5:$A$657,0))),"")</f>
        <v>2010</v>
      </c>
      <c r="J1048" s="25" t="str">
        <f aca="false">IFERROR(IF(INDEX(Documents!$D$5:$D$657,MATCH(H1048,Documents!$A$5:$A$657,0))="","",INDEX(Documents!$D$5:$D$657,MATCH(H1048,Documents!$A$5:$A$657,0))),"")</f>
        <v>J Med Chem</v>
      </c>
      <c r="K1048" s="25" t="str">
        <f aca="false">IFERROR(IF(INDEX(Documents!$G$5:$G$657,MATCH(H1048,Documents!$A$5:$A$657,0))="","",INDEX(Documents!$G$5:$G$657,MATCH(H1048,Documents!$A$5:$A$657,0))),"")</f>
        <v>10.1021/jm100641g</v>
      </c>
      <c r="L1048" s="25" t="s">
        <v>1398</v>
      </c>
    </row>
    <row r="1049" customFormat="false" ht="15" hidden="false" customHeight="false" outlineLevel="0" collapsed="false">
      <c r="A1049" s="25" t="n">
        <v>1968485</v>
      </c>
      <c r="B1049" s="25" t="s">
        <v>2521</v>
      </c>
      <c r="C1049" s="25" t="s">
        <v>2522</v>
      </c>
      <c r="D1049" s="26" t="n">
        <v>55</v>
      </c>
      <c r="E1049" s="27" t="n">
        <v>7.25963731050576</v>
      </c>
      <c r="F1049" s="27" t="n">
        <v>7.25963731050576</v>
      </c>
      <c r="G1049" s="25" t="s">
        <v>2433</v>
      </c>
      <c r="H1049" s="25" t="s">
        <v>2434</v>
      </c>
      <c r="I1049" s="25" t="n">
        <f aca="false">IFERROR(IF(INDEX(Documents!$C$5:$C$657,MATCH(H1049,Documents!$A$5:$A$657,0))="","",INDEX(Documents!$C$5:$C$657,MATCH(H1049,Documents!$A$5:$A$657,0))),"")</f>
        <v>2007</v>
      </c>
      <c r="J1049" s="25" t="str">
        <f aca="false">IFERROR(IF(INDEX(Documents!$D$5:$D$657,MATCH(H1049,Documents!$A$5:$A$657,0))="","",INDEX(Documents!$D$5:$D$657,MATCH(H1049,Documents!$A$5:$A$657,0))),"")</f>
        <v>Bioorg Med Chem Lett</v>
      </c>
      <c r="K1049" s="25" t="str">
        <f aca="false">IFERROR(IF(INDEX(Documents!$G$5:$G$657,MATCH(H1049,Documents!$A$5:$A$657,0))="","",INDEX(Documents!$G$5:$G$657,MATCH(H1049,Documents!$A$5:$A$657,0))),"")</f>
        <v>10.1016/j.bmcl.2007.04.059</v>
      </c>
      <c r="L1049" s="25" t="s">
        <v>2435</v>
      </c>
    </row>
    <row r="1050" customFormat="false" ht="15" hidden="false" customHeight="false" outlineLevel="0" collapsed="false">
      <c r="A1050" s="25" t="n">
        <v>1968484</v>
      </c>
      <c r="B1050" s="25" t="s">
        <v>2523</v>
      </c>
      <c r="C1050" s="25" t="s">
        <v>2524</v>
      </c>
      <c r="D1050" s="26" t="n">
        <v>5.5</v>
      </c>
      <c r="E1050" s="27" t="n">
        <v>8.25963731050576</v>
      </c>
      <c r="F1050" s="27" t="n">
        <v>8.25963731050576</v>
      </c>
      <c r="G1050" s="25" t="s">
        <v>2433</v>
      </c>
      <c r="H1050" s="25" t="s">
        <v>2434</v>
      </c>
      <c r="I1050" s="25" t="n">
        <f aca="false">IFERROR(IF(INDEX(Documents!$C$5:$C$657,MATCH(H1050,Documents!$A$5:$A$657,0))="","",INDEX(Documents!$C$5:$C$657,MATCH(H1050,Documents!$A$5:$A$657,0))),"")</f>
        <v>2007</v>
      </c>
      <c r="J1050" s="25" t="str">
        <f aca="false">IFERROR(IF(INDEX(Documents!$D$5:$D$657,MATCH(H1050,Documents!$A$5:$A$657,0))="","",INDEX(Documents!$D$5:$D$657,MATCH(H1050,Documents!$A$5:$A$657,0))),"")</f>
        <v>Bioorg Med Chem Lett</v>
      </c>
      <c r="K1050" s="25" t="str">
        <f aca="false">IFERROR(IF(INDEX(Documents!$G$5:$G$657,MATCH(H1050,Documents!$A$5:$A$657,0))="","",INDEX(Documents!$G$5:$G$657,MATCH(H1050,Documents!$A$5:$A$657,0))),"")</f>
        <v>10.1016/j.bmcl.2007.04.059</v>
      </c>
      <c r="L1050" s="25" t="s">
        <v>2435</v>
      </c>
    </row>
    <row r="1051" customFormat="false" ht="15" hidden="false" customHeight="false" outlineLevel="0" collapsed="false">
      <c r="A1051" s="25" t="n">
        <v>1968483</v>
      </c>
      <c r="B1051" s="25" t="s">
        <v>2525</v>
      </c>
      <c r="C1051" s="25" t="s">
        <v>2526</v>
      </c>
      <c r="D1051" s="26" t="n">
        <v>1.7</v>
      </c>
      <c r="E1051" s="27" t="n">
        <v>8.76955107862173</v>
      </c>
      <c r="F1051" s="27" t="n">
        <v>8.76955107862173</v>
      </c>
      <c r="G1051" s="25" t="s">
        <v>2433</v>
      </c>
      <c r="H1051" s="25" t="s">
        <v>2434</v>
      </c>
      <c r="I1051" s="25" t="n">
        <f aca="false">IFERROR(IF(INDEX(Documents!$C$5:$C$657,MATCH(H1051,Documents!$A$5:$A$657,0))="","",INDEX(Documents!$C$5:$C$657,MATCH(H1051,Documents!$A$5:$A$657,0))),"")</f>
        <v>2007</v>
      </c>
      <c r="J1051" s="25" t="str">
        <f aca="false">IFERROR(IF(INDEX(Documents!$D$5:$D$657,MATCH(H1051,Documents!$A$5:$A$657,0))="","",INDEX(Documents!$D$5:$D$657,MATCH(H1051,Documents!$A$5:$A$657,0))),"")</f>
        <v>Bioorg Med Chem Lett</v>
      </c>
      <c r="K1051" s="25" t="str">
        <f aca="false">IFERROR(IF(INDEX(Documents!$G$5:$G$657,MATCH(H1051,Documents!$A$5:$A$657,0))="","",INDEX(Documents!$G$5:$G$657,MATCH(H1051,Documents!$A$5:$A$657,0))),"")</f>
        <v>10.1016/j.bmcl.2007.04.059</v>
      </c>
      <c r="L1051" s="25" t="s">
        <v>2435</v>
      </c>
    </row>
    <row r="1052" customFormat="false" ht="15" hidden="false" customHeight="false" outlineLevel="0" collapsed="false">
      <c r="A1052" s="25" t="n">
        <v>5205740</v>
      </c>
      <c r="B1052" s="25" t="s">
        <v>2527</v>
      </c>
      <c r="C1052" s="25" t="s">
        <v>2528</v>
      </c>
      <c r="D1052" s="26" t="n">
        <v>5.4</v>
      </c>
      <c r="E1052" s="27" t="n">
        <v>8.26760624017703</v>
      </c>
      <c r="F1052" s="27" t="n">
        <v>8.26760624017703</v>
      </c>
      <c r="G1052" s="25" t="s">
        <v>461</v>
      </c>
      <c r="H1052" s="25" t="s">
        <v>462</v>
      </c>
      <c r="I1052" s="25" t="n">
        <f aca="false">IFERROR(IF(INDEX(Documents!$C$5:$C$657,MATCH(H1052,Documents!$A$5:$A$657,0))="","",INDEX(Documents!$C$5:$C$657,MATCH(H1052,Documents!$A$5:$A$657,0))),"")</f>
        <v>2011</v>
      </c>
      <c r="J1052" s="25" t="str">
        <f aca="false">IFERROR(IF(INDEX(Documents!$D$5:$D$657,MATCH(H1052,Documents!$A$5:$A$657,0))="","",INDEX(Documents!$D$5:$D$657,MATCH(H1052,Documents!$A$5:$A$657,0))),"")</f>
        <v>Eur J Med Chem</v>
      </c>
      <c r="K1052" s="25" t="str">
        <f aca="false">IFERROR(IF(INDEX(Documents!$G$5:$G$657,MATCH(H1052,Documents!$A$5:$A$657,0))="","",INDEX(Documents!$G$5:$G$657,MATCH(H1052,Documents!$A$5:$A$657,0))),"")</f>
        <v>10.1016/j.ejmech.2010.11.034</v>
      </c>
      <c r="L1052" s="25" t="s">
        <v>463</v>
      </c>
    </row>
    <row r="1053" customFormat="false" ht="15" hidden="false" customHeight="false" outlineLevel="0" collapsed="false">
      <c r="A1053" s="25" t="n">
        <v>12663673</v>
      </c>
      <c r="B1053" s="25" t="s">
        <v>2529</v>
      </c>
      <c r="C1053" s="25" t="s">
        <v>2530</v>
      </c>
      <c r="D1053" s="26" t="n">
        <v>638.26</v>
      </c>
      <c r="E1053" s="27" t="n">
        <v>6.1950023721198</v>
      </c>
      <c r="F1053" s="27" t="n">
        <v>6.19509084669932</v>
      </c>
      <c r="G1053" s="25" t="s">
        <v>2531</v>
      </c>
      <c r="H1053" s="25" t="s">
        <v>2532</v>
      </c>
      <c r="I1053" s="25" t="n">
        <f aca="false">IFERROR(IF(INDEX(Documents!$C$5:$C$657,MATCH(H1053,Documents!$A$5:$A$657,0))="","",INDEX(Documents!$C$5:$C$657,MATCH(H1053,Documents!$A$5:$A$657,0))),"")</f>
        <v>2013</v>
      </c>
      <c r="J1053" s="25" t="str">
        <f aca="false">IFERROR(IF(INDEX(Documents!$D$5:$D$657,MATCH(H1053,Documents!$A$5:$A$657,0))="","",INDEX(Documents!$D$5:$D$657,MATCH(H1053,Documents!$A$5:$A$657,0))),"")</f>
        <v>J Med Chem</v>
      </c>
      <c r="K1053" s="25" t="str">
        <f aca="false">IFERROR(IF(INDEX(Documents!$G$5:$G$657,MATCH(H1053,Documents!$A$5:$A$657,0))="","",INDEX(Documents!$G$5:$G$657,MATCH(H1053,Documents!$A$5:$A$657,0))),"")</f>
        <v>10.1021/jm3017464</v>
      </c>
      <c r="L1053" s="25" t="s">
        <v>2533</v>
      </c>
    </row>
    <row r="1054" customFormat="false" ht="15" hidden="false" customHeight="false" outlineLevel="0" collapsed="false">
      <c r="A1054" s="25" t="n">
        <v>12664976</v>
      </c>
      <c r="B1054" s="25" t="s">
        <v>2529</v>
      </c>
      <c r="C1054" s="25" t="s">
        <v>2530</v>
      </c>
      <c r="D1054" s="26" t="n">
        <v>638</v>
      </c>
      <c r="E1054" s="27" t="n">
        <v>6.19517932127884</v>
      </c>
      <c r="F1054" s="27" t="n">
        <v>6.19509084669932</v>
      </c>
      <c r="G1054" s="25" t="s">
        <v>2531</v>
      </c>
      <c r="H1054" s="25" t="s">
        <v>2532</v>
      </c>
      <c r="I1054" s="25" t="n">
        <f aca="false">IFERROR(IF(INDEX(Documents!$C$5:$C$657,MATCH(H1054,Documents!$A$5:$A$657,0))="","",INDEX(Documents!$C$5:$C$657,MATCH(H1054,Documents!$A$5:$A$657,0))),"")</f>
        <v>2013</v>
      </c>
      <c r="J1054" s="25" t="str">
        <f aca="false">IFERROR(IF(INDEX(Documents!$D$5:$D$657,MATCH(H1054,Documents!$A$5:$A$657,0))="","",INDEX(Documents!$D$5:$D$657,MATCH(H1054,Documents!$A$5:$A$657,0))),"")</f>
        <v>J Med Chem</v>
      </c>
      <c r="K1054" s="25" t="str">
        <f aca="false">IFERROR(IF(INDEX(Documents!$G$5:$G$657,MATCH(H1054,Documents!$A$5:$A$657,0))="","",INDEX(Documents!$G$5:$G$657,MATCH(H1054,Documents!$A$5:$A$657,0))),"")</f>
        <v>10.1021/jm3017464</v>
      </c>
      <c r="L1054" s="25" t="s">
        <v>2533</v>
      </c>
    </row>
    <row r="1055" customFormat="false" ht="15" hidden="false" customHeight="false" outlineLevel="0" collapsed="false">
      <c r="A1055" s="25" t="n">
        <v>12146248</v>
      </c>
      <c r="B1055" s="25" t="s">
        <v>2534</v>
      </c>
      <c r="C1055" s="25" t="s">
        <v>2535</v>
      </c>
      <c r="D1055" s="26" t="n">
        <v>146</v>
      </c>
      <c r="E1055" s="27" t="n">
        <v>6.83564714421556</v>
      </c>
      <c r="F1055" s="27" t="n">
        <v>6.83564714421556</v>
      </c>
      <c r="G1055" s="25" t="s">
        <v>1126</v>
      </c>
      <c r="H1055" s="25" t="s">
        <v>1127</v>
      </c>
      <c r="I1055" s="25" t="n">
        <f aca="false">IFERROR(IF(INDEX(Documents!$C$5:$C$657,MATCH(H1055,Documents!$A$5:$A$657,0))="","",INDEX(Documents!$C$5:$C$657,MATCH(H1055,Documents!$A$5:$A$657,0))),"")</f>
        <v>2012</v>
      </c>
      <c r="J1055" s="25" t="str">
        <f aca="false">IFERROR(IF(INDEX(Documents!$D$5:$D$657,MATCH(H1055,Documents!$A$5:$A$657,0))="","",INDEX(Documents!$D$5:$D$657,MATCH(H1055,Documents!$A$5:$A$657,0))),"")</f>
        <v>J Med Chem</v>
      </c>
      <c r="K1055" s="25" t="str">
        <f aca="false">IFERROR(IF(INDEX(Documents!$G$5:$G$657,MATCH(H1055,Documents!$A$5:$A$657,0))="","",INDEX(Documents!$G$5:$G$657,MATCH(H1055,Documents!$A$5:$A$657,0))),"")</f>
        <v>10.1021/jm301212u</v>
      </c>
      <c r="L1055" s="25" t="s">
        <v>1128</v>
      </c>
    </row>
    <row r="1056" customFormat="false" ht="15" hidden="false" customHeight="false" outlineLevel="0" collapsed="false">
      <c r="A1056" s="25" t="n">
        <v>12146270</v>
      </c>
      <c r="B1056" s="25" t="s">
        <v>2534</v>
      </c>
      <c r="C1056" s="25" t="s">
        <v>2535</v>
      </c>
      <c r="D1056" s="26" t="n">
        <v>146</v>
      </c>
      <c r="E1056" s="27" t="n">
        <v>6.83564714421556</v>
      </c>
      <c r="F1056" s="27" t="n">
        <v>6.83564714421556</v>
      </c>
      <c r="G1056" s="25" t="s">
        <v>1126</v>
      </c>
      <c r="H1056" s="25" t="s">
        <v>1127</v>
      </c>
      <c r="I1056" s="25" t="n">
        <f aca="false">IFERROR(IF(INDEX(Documents!$C$5:$C$657,MATCH(H1056,Documents!$A$5:$A$657,0))="","",INDEX(Documents!$C$5:$C$657,MATCH(H1056,Documents!$A$5:$A$657,0))),"")</f>
        <v>2012</v>
      </c>
      <c r="J1056" s="25" t="str">
        <f aca="false">IFERROR(IF(INDEX(Documents!$D$5:$D$657,MATCH(H1056,Documents!$A$5:$A$657,0))="","",INDEX(Documents!$D$5:$D$657,MATCH(H1056,Documents!$A$5:$A$657,0))),"")</f>
        <v>J Med Chem</v>
      </c>
      <c r="K1056" s="25" t="str">
        <f aca="false">IFERROR(IF(INDEX(Documents!$G$5:$G$657,MATCH(H1056,Documents!$A$5:$A$657,0))="","",INDEX(Documents!$G$5:$G$657,MATCH(H1056,Documents!$A$5:$A$657,0))),"")</f>
        <v>10.1021/jm301212u</v>
      </c>
      <c r="L1056" s="25" t="s">
        <v>1128</v>
      </c>
    </row>
    <row r="1057" customFormat="false" ht="15" hidden="false" customHeight="false" outlineLevel="0" collapsed="false">
      <c r="A1057" s="25" t="n">
        <v>12137481</v>
      </c>
      <c r="B1057" s="25" t="s">
        <v>2536</v>
      </c>
      <c r="C1057" s="25" t="s">
        <v>2537</v>
      </c>
      <c r="D1057" s="26" t="n">
        <v>292</v>
      </c>
      <c r="E1057" s="27" t="n">
        <v>6.53461714855158</v>
      </c>
      <c r="F1057" s="27" t="n">
        <v>6.53461714855158</v>
      </c>
      <c r="G1057" s="25" t="s">
        <v>2120</v>
      </c>
      <c r="H1057" s="25" t="s">
        <v>2121</v>
      </c>
      <c r="I1057" s="25" t="n">
        <f aca="false">IFERROR(IF(INDEX(Documents!$C$5:$C$657,MATCH(H1057,Documents!$A$5:$A$657,0))="","",INDEX(Documents!$C$5:$C$657,MATCH(H1057,Documents!$A$5:$A$657,0))),"")</f>
        <v>2012</v>
      </c>
      <c r="J1057" s="25" t="str">
        <f aca="false">IFERROR(IF(INDEX(Documents!$D$5:$D$657,MATCH(H1057,Documents!$A$5:$A$657,0))="","",INDEX(Documents!$D$5:$D$657,MATCH(H1057,Documents!$A$5:$A$657,0))),"")</f>
        <v>J Med Chem</v>
      </c>
      <c r="K1057" s="25" t="str">
        <f aca="false">IFERROR(IF(INDEX(Documents!$G$5:$G$657,MATCH(H1057,Documents!$A$5:$A$657,0))="","",INDEX(Documents!$G$5:$G$657,MATCH(H1057,Documents!$A$5:$A$657,0))),"")</f>
        <v>10.1021/jm3008213</v>
      </c>
      <c r="L1057" s="25" t="s">
        <v>2122</v>
      </c>
    </row>
    <row r="1058" customFormat="false" ht="15" hidden="false" customHeight="false" outlineLevel="0" collapsed="false">
      <c r="A1058" s="25" t="n">
        <v>12137482</v>
      </c>
      <c r="B1058" s="25" t="s">
        <v>2538</v>
      </c>
      <c r="C1058" s="25" t="s">
        <v>2539</v>
      </c>
      <c r="D1058" s="26" t="n">
        <v>10000</v>
      </c>
      <c r="E1058" s="27" t="n">
        <v>5</v>
      </c>
      <c r="F1058" s="27" t="n">
        <v>5</v>
      </c>
      <c r="G1058" s="25" t="s">
        <v>2120</v>
      </c>
      <c r="H1058" s="25" t="s">
        <v>2121</v>
      </c>
      <c r="I1058" s="25" t="n">
        <f aca="false">IFERROR(IF(INDEX(Documents!$C$5:$C$657,MATCH(H1058,Documents!$A$5:$A$657,0))="","",INDEX(Documents!$C$5:$C$657,MATCH(H1058,Documents!$A$5:$A$657,0))),"")</f>
        <v>2012</v>
      </c>
      <c r="J1058" s="25" t="str">
        <f aca="false">IFERROR(IF(INDEX(Documents!$D$5:$D$657,MATCH(H1058,Documents!$A$5:$A$657,0))="","",INDEX(Documents!$D$5:$D$657,MATCH(H1058,Documents!$A$5:$A$657,0))),"")</f>
        <v>J Med Chem</v>
      </c>
      <c r="K1058" s="25" t="str">
        <f aca="false">IFERROR(IF(INDEX(Documents!$G$5:$G$657,MATCH(H1058,Documents!$A$5:$A$657,0))="","",INDEX(Documents!$G$5:$G$657,MATCH(H1058,Documents!$A$5:$A$657,0))),"")</f>
        <v>10.1021/jm3008213</v>
      </c>
      <c r="L1058" s="25" t="s">
        <v>2122</v>
      </c>
    </row>
    <row r="1059" customFormat="false" ht="15" hidden="false" customHeight="false" outlineLevel="0" collapsed="false">
      <c r="A1059" s="25" t="n">
        <v>2130222</v>
      </c>
      <c r="B1059" s="25" t="s">
        <v>2540</v>
      </c>
      <c r="C1059" s="25" t="s">
        <v>2541</v>
      </c>
      <c r="D1059" s="26" t="n">
        <v>154</v>
      </c>
      <c r="E1059" s="27" t="n">
        <v>6.81247927916354</v>
      </c>
      <c r="F1059" s="27" t="n">
        <v>6.81247927916354</v>
      </c>
      <c r="G1059" s="25" t="s">
        <v>1818</v>
      </c>
      <c r="H1059" s="25" t="s">
        <v>1819</v>
      </c>
      <c r="I1059" s="25" t="n">
        <f aca="false">IFERROR(IF(INDEX(Documents!$C$5:$C$657,MATCH(H1059,Documents!$A$5:$A$657,0))="","",INDEX(Documents!$C$5:$C$657,MATCH(H1059,Documents!$A$5:$A$657,0))),"")</f>
        <v>2008</v>
      </c>
      <c r="J1059" s="25" t="str">
        <f aca="false">IFERROR(IF(INDEX(Documents!$D$5:$D$657,MATCH(H1059,Documents!$A$5:$A$657,0))="","",INDEX(Documents!$D$5:$D$657,MATCH(H1059,Documents!$A$5:$A$657,0))),"")</f>
        <v>Bioorg Med Chem</v>
      </c>
      <c r="K1059" s="25" t="str">
        <f aca="false">IFERROR(IF(INDEX(Documents!$G$5:$G$657,MATCH(H1059,Documents!$A$5:$A$657,0))="","",INDEX(Documents!$G$5:$G$657,MATCH(H1059,Documents!$A$5:$A$657,0))),"")</f>
        <v>10.1016/j.bmc.2007.09.033</v>
      </c>
      <c r="L1059" s="25" t="s">
        <v>709</v>
      </c>
    </row>
    <row r="1060" customFormat="false" ht="15" hidden="false" customHeight="false" outlineLevel="0" collapsed="false">
      <c r="A1060" s="25" t="n">
        <v>2130213</v>
      </c>
      <c r="B1060" s="25" t="s">
        <v>2542</v>
      </c>
      <c r="C1060" s="25" t="s">
        <v>2543</v>
      </c>
      <c r="D1060" s="26" t="n">
        <v>173</v>
      </c>
      <c r="E1060" s="27" t="n">
        <v>6.76195389687121</v>
      </c>
      <c r="F1060" s="27" t="n">
        <v>6.76195389687121</v>
      </c>
      <c r="G1060" s="25" t="s">
        <v>1818</v>
      </c>
      <c r="H1060" s="25" t="s">
        <v>1819</v>
      </c>
      <c r="I1060" s="25" t="n">
        <f aca="false">IFERROR(IF(INDEX(Documents!$C$5:$C$657,MATCH(H1060,Documents!$A$5:$A$657,0))="","",INDEX(Documents!$C$5:$C$657,MATCH(H1060,Documents!$A$5:$A$657,0))),"")</f>
        <v>2008</v>
      </c>
      <c r="J1060" s="25" t="str">
        <f aca="false">IFERROR(IF(INDEX(Documents!$D$5:$D$657,MATCH(H1060,Documents!$A$5:$A$657,0))="","",INDEX(Documents!$D$5:$D$657,MATCH(H1060,Documents!$A$5:$A$657,0))),"")</f>
        <v>Bioorg Med Chem</v>
      </c>
      <c r="K1060" s="25" t="str">
        <f aca="false">IFERROR(IF(INDEX(Documents!$G$5:$G$657,MATCH(H1060,Documents!$A$5:$A$657,0))="","",INDEX(Documents!$G$5:$G$657,MATCH(H1060,Documents!$A$5:$A$657,0))),"")</f>
        <v>10.1016/j.bmc.2007.09.033</v>
      </c>
      <c r="L1060" s="25" t="s">
        <v>709</v>
      </c>
    </row>
    <row r="1061" customFormat="false" ht="15" hidden="false" customHeight="false" outlineLevel="0" collapsed="false">
      <c r="A1061" s="25" t="n">
        <v>2130230</v>
      </c>
      <c r="B1061" s="25" t="s">
        <v>2544</v>
      </c>
      <c r="C1061" s="25" t="s">
        <v>2545</v>
      </c>
      <c r="D1061" s="26" t="n">
        <v>672</v>
      </c>
      <c r="E1061" s="27" t="n">
        <v>6.17263072694617</v>
      </c>
      <c r="F1061" s="27" t="n">
        <v>6.17263072694617</v>
      </c>
      <c r="G1061" s="25" t="s">
        <v>1818</v>
      </c>
      <c r="H1061" s="25" t="s">
        <v>1819</v>
      </c>
      <c r="I1061" s="25" t="n">
        <f aca="false">IFERROR(IF(INDEX(Documents!$C$5:$C$657,MATCH(H1061,Documents!$A$5:$A$657,0))="","",INDEX(Documents!$C$5:$C$657,MATCH(H1061,Documents!$A$5:$A$657,0))),"")</f>
        <v>2008</v>
      </c>
      <c r="J1061" s="25" t="str">
        <f aca="false">IFERROR(IF(INDEX(Documents!$D$5:$D$657,MATCH(H1061,Documents!$A$5:$A$657,0))="","",INDEX(Documents!$D$5:$D$657,MATCH(H1061,Documents!$A$5:$A$657,0))),"")</f>
        <v>Bioorg Med Chem</v>
      </c>
      <c r="K1061" s="25" t="str">
        <f aca="false">IFERROR(IF(INDEX(Documents!$G$5:$G$657,MATCH(H1061,Documents!$A$5:$A$657,0))="","",INDEX(Documents!$G$5:$G$657,MATCH(H1061,Documents!$A$5:$A$657,0))),"")</f>
        <v>10.1016/j.bmc.2007.09.033</v>
      </c>
      <c r="L1061" s="25" t="s">
        <v>709</v>
      </c>
    </row>
    <row r="1062" customFormat="false" ht="15" hidden="false" customHeight="false" outlineLevel="0" collapsed="false">
      <c r="A1062" s="25" t="n">
        <v>1663296</v>
      </c>
      <c r="B1062" s="25" t="s">
        <v>2546</v>
      </c>
      <c r="C1062" s="25" t="s">
        <v>2547</v>
      </c>
      <c r="D1062" s="26" t="n">
        <v>5200</v>
      </c>
      <c r="E1062" s="27" t="n">
        <v>5.2839966563652</v>
      </c>
      <c r="F1062" s="27" t="n">
        <v>5.2839966563652</v>
      </c>
      <c r="G1062" s="25" t="s">
        <v>2018</v>
      </c>
      <c r="H1062" s="25" t="s">
        <v>2019</v>
      </c>
      <c r="I1062" s="25" t="n">
        <f aca="false">IFERROR(IF(INDEX(Documents!$C$5:$C$657,MATCH(H1062,Documents!$A$5:$A$657,0))="","",INDEX(Documents!$C$5:$C$657,MATCH(H1062,Documents!$A$5:$A$657,0))),"")</f>
        <v>2006</v>
      </c>
      <c r="J1062" s="25" t="str">
        <f aca="false">IFERROR(IF(INDEX(Documents!$D$5:$D$657,MATCH(H1062,Documents!$A$5:$A$657,0))="","",INDEX(Documents!$D$5:$D$657,MATCH(H1062,Documents!$A$5:$A$657,0))),"")</f>
        <v>Bioorg Med Chem Lett</v>
      </c>
      <c r="K1062" s="25" t="str">
        <f aca="false">IFERROR(IF(INDEX(Documents!$G$5:$G$657,MATCH(H1062,Documents!$A$5:$A$657,0))="","",INDEX(Documents!$G$5:$G$657,MATCH(H1062,Documents!$A$5:$A$657,0))),"")</f>
        <v>10.1016/j.bmcl.2005.09.023</v>
      </c>
      <c r="L1062" s="25" t="s">
        <v>2020</v>
      </c>
    </row>
    <row r="1063" customFormat="false" ht="15" hidden="false" customHeight="false" outlineLevel="0" collapsed="false">
      <c r="A1063" s="25" t="n">
        <v>1663297</v>
      </c>
      <c r="B1063" s="25" t="s">
        <v>2548</v>
      </c>
      <c r="C1063" s="25" t="s">
        <v>2549</v>
      </c>
      <c r="D1063" s="26" t="n">
        <v>5100</v>
      </c>
      <c r="E1063" s="27" t="n">
        <v>5.29242982390206</v>
      </c>
      <c r="F1063" s="27" t="n">
        <v>5.29242982390206</v>
      </c>
      <c r="G1063" s="25" t="s">
        <v>2018</v>
      </c>
      <c r="H1063" s="25" t="s">
        <v>2019</v>
      </c>
      <c r="I1063" s="25" t="n">
        <f aca="false">IFERROR(IF(INDEX(Documents!$C$5:$C$657,MATCH(H1063,Documents!$A$5:$A$657,0))="","",INDEX(Documents!$C$5:$C$657,MATCH(H1063,Documents!$A$5:$A$657,0))),"")</f>
        <v>2006</v>
      </c>
      <c r="J1063" s="25" t="str">
        <f aca="false">IFERROR(IF(INDEX(Documents!$D$5:$D$657,MATCH(H1063,Documents!$A$5:$A$657,0))="","",INDEX(Documents!$D$5:$D$657,MATCH(H1063,Documents!$A$5:$A$657,0))),"")</f>
        <v>Bioorg Med Chem Lett</v>
      </c>
      <c r="K1063" s="25" t="str">
        <f aca="false">IFERROR(IF(INDEX(Documents!$G$5:$G$657,MATCH(H1063,Documents!$A$5:$A$657,0))="","",INDEX(Documents!$G$5:$G$657,MATCH(H1063,Documents!$A$5:$A$657,0))),"")</f>
        <v>10.1016/j.bmcl.2005.09.023</v>
      </c>
      <c r="L1063" s="25" t="s">
        <v>2020</v>
      </c>
    </row>
    <row r="1064" customFormat="false" ht="15" hidden="false" customHeight="false" outlineLevel="0" collapsed="false">
      <c r="A1064" s="25" t="n">
        <v>1663222</v>
      </c>
      <c r="B1064" s="25" t="s">
        <v>2550</v>
      </c>
      <c r="C1064" s="25" t="s">
        <v>2551</v>
      </c>
      <c r="D1064" s="26" t="n">
        <v>2500</v>
      </c>
      <c r="E1064" s="27" t="n">
        <v>5.60205999132796</v>
      </c>
      <c r="F1064" s="27" t="n">
        <v>5.60205999132796</v>
      </c>
      <c r="G1064" s="25" t="s">
        <v>2018</v>
      </c>
      <c r="H1064" s="25" t="s">
        <v>2019</v>
      </c>
      <c r="I1064" s="25" t="n">
        <f aca="false">IFERROR(IF(INDEX(Documents!$C$5:$C$657,MATCH(H1064,Documents!$A$5:$A$657,0))="","",INDEX(Documents!$C$5:$C$657,MATCH(H1064,Documents!$A$5:$A$657,0))),"")</f>
        <v>2006</v>
      </c>
      <c r="J1064" s="25" t="str">
        <f aca="false">IFERROR(IF(INDEX(Documents!$D$5:$D$657,MATCH(H1064,Documents!$A$5:$A$657,0))="","",INDEX(Documents!$D$5:$D$657,MATCH(H1064,Documents!$A$5:$A$657,0))),"")</f>
        <v>Bioorg Med Chem Lett</v>
      </c>
      <c r="K1064" s="25" t="str">
        <f aca="false">IFERROR(IF(INDEX(Documents!$G$5:$G$657,MATCH(H1064,Documents!$A$5:$A$657,0))="","",INDEX(Documents!$G$5:$G$657,MATCH(H1064,Documents!$A$5:$A$657,0))),"")</f>
        <v>10.1016/j.bmcl.2005.09.023</v>
      </c>
      <c r="L1064" s="25" t="s">
        <v>2020</v>
      </c>
    </row>
    <row r="1065" customFormat="false" ht="15" hidden="false" customHeight="false" outlineLevel="0" collapsed="false">
      <c r="A1065" s="25" t="n">
        <v>1700207</v>
      </c>
      <c r="B1065" s="25" t="s">
        <v>2552</v>
      </c>
      <c r="C1065" s="25" t="s">
        <v>2553</v>
      </c>
      <c r="D1065" s="26" t="n">
        <v>5400</v>
      </c>
      <c r="E1065" s="27" t="n">
        <v>5.26760624017703</v>
      </c>
      <c r="F1065" s="27" t="n">
        <v>5.26760624017703</v>
      </c>
      <c r="G1065" s="25" t="s">
        <v>2013</v>
      </c>
      <c r="H1065" s="25" t="s">
        <v>2014</v>
      </c>
      <c r="I1065" s="25" t="n">
        <f aca="false">IFERROR(IF(INDEX(Documents!$C$5:$C$657,MATCH(H1065,Documents!$A$5:$A$657,0))="","",INDEX(Documents!$C$5:$C$657,MATCH(H1065,Documents!$A$5:$A$657,0))),"")</f>
        <v>2006</v>
      </c>
      <c r="J1065" s="25" t="str">
        <f aca="false">IFERROR(IF(INDEX(Documents!$D$5:$D$657,MATCH(H1065,Documents!$A$5:$A$657,0))="","",INDEX(Documents!$D$5:$D$657,MATCH(H1065,Documents!$A$5:$A$657,0))),"")</f>
        <v>J Med Chem</v>
      </c>
      <c r="K1065" s="25" t="str">
        <f aca="false">IFERROR(IF(INDEX(Documents!$G$5:$G$657,MATCH(H1065,Documents!$A$5:$A$657,0))="","",INDEX(Documents!$G$5:$G$657,MATCH(H1065,Documents!$A$5:$A$657,0))),"")</f>
        <v>10.1021/jm051240y</v>
      </c>
      <c r="L1065" s="25" t="s">
        <v>2015</v>
      </c>
    </row>
    <row r="1066" customFormat="false" ht="15" hidden="false" customHeight="false" outlineLevel="0" collapsed="false">
      <c r="A1066" s="25" t="n">
        <v>1700208</v>
      </c>
      <c r="B1066" s="25" t="s">
        <v>2554</v>
      </c>
      <c r="C1066" s="25" t="s">
        <v>2555</v>
      </c>
      <c r="D1066" s="26" t="n">
        <v>3800</v>
      </c>
      <c r="E1066" s="27" t="n">
        <v>5.42021640338319</v>
      </c>
      <c r="F1066" s="27" t="n">
        <v>5.42021640338319</v>
      </c>
      <c r="G1066" s="25" t="s">
        <v>2013</v>
      </c>
      <c r="H1066" s="25" t="s">
        <v>2014</v>
      </c>
      <c r="I1066" s="25" t="n">
        <f aca="false">IFERROR(IF(INDEX(Documents!$C$5:$C$657,MATCH(H1066,Documents!$A$5:$A$657,0))="","",INDEX(Documents!$C$5:$C$657,MATCH(H1066,Documents!$A$5:$A$657,0))),"")</f>
        <v>2006</v>
      </c>
      <c r="J1066" s="25" t="str">
        <f aca="false">IFERROR(IF(INDEX(Documents!$D$5:$D$657,MATCH(H1066,Documents!$A$5:$A$657,0))="","",INDEX(Documents!$D$5:$D$657,MATCH(H1066,Documents!$A$5:$A$657,0))),"")</f>
        <v>J Med Chem</v>
      </c>
      <c r="K1066" s="25" t="str">
        <f aca="false">IFERROR(IF(INDEX(Documents!$G$5:$G$657,MATCH(H1066,Documents!$A$5:$A$657,0))="","",INDEX(Documents!$G$5:$G$657,MATCH(H1066,Documents!$A$5:$A$657,0))),"")</f>
        <v>10.1021/jm051240y</v>
      </c>
      <c r="L1066" s="25" t="s">
        <v>2015</v>
      </c>
    </row>
    <row r="1067" customFormat="false" ht="15" hidden="false" customHeight="false" outlineLevel="0" collapsed="false">
      <c r="A1067" s="25" t="n">
        <v>2528394</v>
      </c>
      <c r="B1067" s="25" t="s">
        <v>2556</v>
      </c>
      <c r="C1067" s="25" t="s">
        <v>2557</v>
      </c>
      <c r="D1067" s="26" t="n">
        <v>2040</v>
      </c>
      <c r="E1067" s="27" t="n">
        <v>5.6903698325741</v>
      </c>
      <c r="F1067" s="27" t="n">
        <v>6.07944545776592</v>
      </c>
      <c r="G1067" s="25" t="s">
        <v>2031</v>
      </c>
      <c r="H1067" s="25" t="s">
        <v>2032</v>
      </c>
      <c r="I1067" s="25" t="n">
        <f aca="false">IFERROR(IF(INDEX(Documents!$C$5:$C$657,MATCH(H1067,Documents!$A$5:$A$657,0))="","",INDEX(Documents!$C$5:$C$657,MATCH(H1067,Documents!$A$5:$A$657,0))),"")</f>
        <v>2009</v>
      </c>
      <c r="J1067" s="25" t="str">
        <f aca="false">IFERROR(IF(INDEX(Documents!$D$5:$D$657,MATCH(H1067,Documents!$A$5:$A$657,0))="","",INDEX(Documents!$D$5:$D$657,MATCH(H1067,Documents!$A$5:$A$657,0))),"")</f>
        <v>J Med Chem</v>
      </c>
      <c r="K1067" s="25" t="str">
        <f aca="false">IFERROR(IF(INDEX(Documents!$G$5:$G$657,MATCH(H1067,Documents!$A$5:$A$657,0))="","",INDEX(Documents!$G$5:$G$657,MATCH(H1067,Documents!$A$5:$A$657,0))),"")</f>
        <v>10.1021/jm900130m</v>
      </c>
      <c r="L1067" s="25" t="s">
        <v>2033</v>
      </c>
    </row>
    <row r="1068" customFormat="false" ht="15" hidden="false" customHeight="false" outlineLevel="0" collapsed="false">
      <c r="A1068" s="25" t="n">
        <v>2528386</v>
      </c>
      <c r="B1068" s="25" t="s">
        <v>2556</v>
      </c>
      <c r="C1068" s="25" t="s">
        <v>2557</v>
      </c>
      <c r="D1068" s="26" t="n">
        <v>340</v>
      </c>
      <c r="E1068" s="27" t="n">
        <v>6.46852108295775</v>
      </c>
      <c r="F1068" s="27" t="n">
        <v>6.07944545776592</v>
      </c>
      <c r="G1068" s="25" t="s">
        <v>2031</v>
      </c>
      <c r="H1068" s="25" t="s">
        <v>2032</v>
      </c>
      <c r="I1068" s="25" t="n">
        <f aca="false">IFERROR(IF(INDEX(Documents!$C$5:$C$657,MATCH(H1068,Documents!$A$5:$A$657,0))="","",INDEX(Documents!$C$5:$C$657,MATCH(H1068,Documents!$A$5:$A$657,0))),"")</f>
        <v>2009</v>
      </c>
      <c r="J1068" s="25" t="str">
        <f aca="false">IFERROR(IF(INDEX(Documents!$D$5:$D$657,MATCH(H1068,Documents!$A$5:$A$657,0))="","",INDEX(Documents!$D$5:$D$657,MATCH(H1068,Documents!$A$5:$A$657,0))),"")</f>
        <v>J Med Chem</v>
      </c>
      <c r="K1068" s="25" t="str">
        <f aca="false">IFERROR(IF(INDEX(Documents!$G$5:$G$657,MATCH(H1068,Documents!$A$5:$A$657,0))="","",INDEX(Documents!$G$5:$G$657,MATCH(H1068,Documents!$A$5:$A$657,0))),"")</f>
        <v>10.1021/jm900130m</v>
      </c>
      <c r="L1068" s="25" t="s">
        <v>2033</v>
      </c>
    </row>
    <row r="1069" customFormat="false" ht="15" hidden="false" customHeight="false" outlineLevel="0" collapsed="false">
      <c r="A1069" s="25" t="n">
        <v>1700206</v>
      </c>
      <c r="B1069" s="25" t="s">
        <v>2558</v>
      </c>
      <c r="C1069" s="25" t="s">
        <v>2559</v>
      </c>
      <c r="D1069" s="26" t="n">
        <v>8600</v>
      </c>
      <c r="E1069" s="27" t="n">
        <v>5.06550154875643</v>
      </c>
      <c r="F1069" s="27" t="n">
        <v>5.06550154875643</v>
      </c>
      <c r="G1069" s="25" t="s">
        <v>2013</v>
      </c>
      <c r="H1069" s="25" t="s">
        <v>2014</v>
      </c>
      <c r="I1069" s="25" t="n">
        <f aca="false">IFERROR(IF(INDEX(Documents!$C$5:$C$657,MATCH(H1069,Documents!$A$5:$A$657,0))="","",INDEX(Documents!$C$5:$C$657,MATCH(H1069,Documents!$A$5:$A$657,0))),"")</f>
        <v>2006</v>
      </c>
      <c r="J1069" s="25" t="str">
        <f aca="false">IFERROR(IF(INDEX(Documents!$D$5:$D$657,MATCH(H1069,Documents!$A$5:$A$657,0))="","",INDEX(Documents!$D$5:$D$657,MATCH(H1069,Documents!$A$5:$A$657,0))),"")</f>
        <v>J Med Chem</v>
      </c>
      <c r="K1069" s="25" t="str">
        <f aca="false">IFERROR(IF(INDEX(Documents!$G$5:$G$657,MATCH(H1069,Documents!$A$5:$A$657,0))="","",INDEX(Documents!$G$5:$G$657,MATCH(H1069,Documents!$A$5:$A$657,0))),"")</f>
        <v>10.1021/jm051240y</v>
      </c>
      <c r="L1069" s="25" t="s">
        <v>2015</v>
      </c>
    </row>
    <row r="1070" customFormat="false" ht="15" hidden="false" customHeight="false" outlineLevel="0" collapsed="false">
      <c r="A1070" s="25" t="n">
        <v>2130221</v>
      </c>
      <c r="B1070" s="25" t="s">
        <v>2560</v>
      </c>
      <c r="C1070" s="25" t="s">
        <v>2561</v>
      </c>
      <c r="D1070" s="26" t="n">
        <v>1077</v>
      </c>
      <c r="E1070" s="27" t="n">
        <v>5.96778429670202</v>
      </c>
      <c r="F1070" s="27" t="n">
        <v>5.96778429670202</v>
      </c>
      <c r="G1070" s="25" t="s">
        <v>1818</v>
      </c>
      <c r="H1070" s="25" t="s">
        <v>1819</v>
      </c>
      <c r="I1070" s="25" t="n">
        <f aca="false">IFERROR(IF(INDEX(Documents!$C$5:$C$657,MATCH(H1070,Documents!$A$5:$A$657,0))="","",INDEX(Documents!$C$5:$C$657,MATCH(H1070,Documents!$A$5:$A$657,0))),"")</f>
        <v>2008</v>
      </c>
      <c r="J1070" s="25" t="str">
        <f aca="false">IFERROR(IF(INDEX(Documents!$D$5:$D$657,MATCH(H1070,Documents!$A$5:$A$657,0))="","",INDEX(Documents!$D$5:$D$657,MATCH(H1070,Documents!$A$5:$A$657,0))),"")</f>
        <v>Bioorg Med Chem</v>
      </c>
      <c r="K1070" s="25" t="str">
        <f aca="false">IFERROR(IF(INDEX(Documents!$G$5:$G$657,MATCH(H1070,Documents!$A$5:$A$657,0))="","",INDEX(Documents!$G$5:$G$657,MATCH(H1070,Documents!$A$5:$A$657,0))),"")</f>
        <v>10.1016/j.bmc.2007.09.033</v>
      </c>
      <c r="L1070" s="25" t="s">
        <v>709</v>
      </c>
    </row>
    <row r="1071" customFormat="false" ht="15" hidden="false" customHeight="false" outlineLevel="0" collapsed="false">
      <c r="A1071" s="25" t="n">
        <v>2130212</v>
      </c>
      <c r="B1071" s="25" t="s">
        <v>2562</v>
      </c>
      <c r="C1071" s="25" t="s">
        <v>2563</v>
      </c>
      <c r="D1071" s="26" t="n">
        <v>421</v>
      </c>
      <c r="E1071" s="27" t="n">
        <v>6.37571790416433</v>
      </c>
      <c r="F1071" s="27" t="n">
        <v>6.37571790416433</v>
      </c>
      <c r="G1071" s="25" t="s">
        <v>1818</v>
      </c>
      <c r="H1071" s="25" t="s">
        <v>1819</v>
      </c>
      <c r="I1071" s="25" t="n">
        <f aca="false">IFERROR(IF(INDEX(Documents!$C$5:$C$657,MATCH(H1071,Documents!$A$5:$A$657,0))="","",INDEX(Documents!$C$5:$C$657,MATCH(H1071,Documents!$A$5:$A$657,0))),"")</f>
        <v>2008</v>
      </c>
      <c r="J1071" s="25" t="str">
        <f aca="false">IFERROR(IF(INDEX(Documents!$D$5:$D$657,MATCH(H1071,Documents!$A$5:$A$657,0))="","",INDEX(Documents!$D$5:$D$657,MATCH(H1071,Documents!$A$5:$A$657,0))),"")</f>
        <v>Bioorg Med Chem</v>
      </c>
      <c r="K1071" s="25" t="str">
        <f aca="false">IFERROR(IF(INDEX(Documents!$G$5:$G$657,MATCH(H1071,Documents!$A$5:$A$657,0))="","",INDEX(Documents!$G$5:$G$657,MATCH(H1071,Documents!$A$5:$A$657,0))),"")</f>
        <v>10.1016/j.bmc.2007.09.033</v>
      </c>
      <c r="L1071" s="25" t="s">
        <v>709</v>
      </c>
    </row>
    <row r="1072" customFormat="false" ht="15" hidden="false" customHeight="false" outlineLevel="0" collapsed="false">
      <c r="A1072" s="25" t="n">
        <v>2130229</v>
      </c>
      <c r="B1072" s="25" t="s">
        <v>2564</v>
      </c>
      <c r="C1072" s="25" t="s">
        <v>2565</v>
      </c>
      <c r="D1072" s="26" t="n">
        <v>1120</v>
      </c>
      <c r="E1072" s="27" t="n">
        <v>5.95078197732982</v>
      </c>
      <c r="F1072" s="27" t="n">
        <v>5.95078197732982</v>
      </c>
      <c r="G1072" s="25" t="s">
        <v>1818</v>
      </c>
      <c r="H1072" s="25" t="s">
        <v>1819</v>
      </c>
      <c r="I1072" s="25" t="n">
        <f aca="false">IFERROR(IF(INDEX(Documents!$C$5:$C$657,MATCH(H1072,Documents!$A$5:$A$657,0))="","",INDEX(Documents!$C$5:$C$657,MATCH(H1072,Documents!$A$5:$A$657,0))),"")</f>
        <v>2008</v>
      </c>
      <c r="J1072" s="25" t="str">
        <f aca="false">IFERROR(IF(INDEX(Documents!$D$5:$D$657,MATCH(H1072,Documents!$A$5:$A$657,0))="","",INDEX(Documents!$D$5:$D$657,MATCH(H1072,Documents!$A$5:$A$657,0))),"")</f>
        <v>Bioorg Med Chem</v>
      </c>
      <c r="K1072" s="25" t="str">
        <f aca="false">IFERROR(IF(INDEX(Documents!$G$5:$G$657,MATCH(H1072,Documents!$A$5:$A$657,0))="","",INDEX(Documents!$G$5:$G$657,MATCH(H1072,Documents!$A$5:$A$657,0))),"")</f>
        <v>10.1016/j.bmc.2007.09.033</v>
      </c>
      <c r="L1072" s="25" t="s">
        <v>709</v>
      </c>
    </row>
    <row r="1073" customFormat="false" ht="15" hidden="false" customHeight="false" outlineLevel="0" collapsed="false">
      <c r="A1073" s="25" t="n">
        <v>12146244</v>
      </c>
      <c r="B1073" s="25" t="s">
        <v>2566</v>
      </c>
      <c r="C1073" s="25" t="s">
        <v>2567</v>
      </c>
      <c r="D1073" s="26" t="n">
        <v>160</v>
      </c>
      <c r="E1073" s="27" t="n">
        <v>6.79588001734408</v>
      </c>
      <c r="F1073" s="27" t="n">
        <v>6.79588001734408</v>
      </c>
      <c r="G1073" s="25" t="s">
        <v>1126</v>
      </c>
      <c r="H1073" s="25" t="s">
        <v>1127</v>
      </c>
      <c r="I1073" s="25" t="n">
        <f aca="false">IFERROR(IF(INDEX(Documents!$C$5:$C$657,MATCH(H1073,Documents!$A$5:$A$657,0))="","",INDEX(Documents!$C$5:$C$657,MATCH(H1073,Documents!$A$5:$A$657,0))),"")</f>
        <v>2012</v>
      </c>
      <c r="J1073" s="25" t="str">
        <f aca="false">IFERROR(IF(INDEX(Documents!$D$5:$D$657,MATCH(H1073,Documents!$A$5:$A$657,0))="","",INDEX(Documents!$D$5:$D$657,MATCH(H1073,Documents!$A$5:$A$657,0))),"")</f>
        <v>J Med Chem</v>
      </c>
      <c r="K1073" s="25" t="str">
        <f aca="false">IFERROR(IF(INDEX(Documents!$G$5:$G$657,MATCH(H1073,Documents!$A$5:$A$657,0))="","",INDEX(Documents!$G$5:$G$657,MATCH(H1073,Documents!$A$5:$A$657,0))),"")</f>
        <v>10.1021/jm301212u</v>
      </c>
      <c r="L1073" s="25" t="s">
        <v>1128</v>
      </c>
    </row>
    <row r="1074" customFormat="false" ht="15" hidden="false" customHeight="false" outlineLevel="0" collapsed="false">
      <c r="A1074" s="25" t="n">
        <v>12146273</v>
      </c>
      <c r="B1074" s="25" t="s">
        <v>2566</v>
      </c>
      <c r="C1074" s="25" t="s">
        <v>2567</v>
      </c>
      <c r="D1074" s="26" t="n">
        <v>160</v>
      </c>
      <c r="E1074" s="27" t="n">
        <v>6.79588001734408</v>
      </c>
      <c r="F1074" s="27" t="n">
        <v>6.79588001734408</v>
      </c>
      <c r="G1074" s="25" t="s">
        <v>1126</v>
      </c>
      <c r="H1074" s="25" t="s">
        <v>1127</v>
      </c>
      <c r="I1074" s="25" t="n">
        <f aca="false">IFERROR(IF(INDEX(Documents!$C$5:$C$657,MATCH(H1074,Documents!$A$5:$A$657,0))="","",INDEX(Documents!$C$5:$C$657,MATCH(H1074,Documents!$A$5:$A$657,0))),"")</f>
        <v>2012</v>
      </c>
      <c r="J1074" s="25" t="str">
        <f aca="false">IFERROR(IF(INDEX(Documents!$D$5:$D$657,MATCH(H1074,Documents!$A$5:$A$657,0))="","",INDEX(Documents!$D$5:$D$657,MATCH(H1074,Documents!$A$5:$A$657,0))),"")</f>
        <v>J Med Chem</v>
      </c>
      <c r="K1074" s="25" t="str">
        <f aca="false">IFERROR(IF(INDEX(Documents!$G$5:$G$657,MATCH(H1074,Documents!$A$5:$A$657,0))="","",INDEX(Documents!$G$5:$G$657,MATCH(H1074,Documents!$A$5:$A$657,0))),"")</f>
        <v>10.1021/jm301212u</v>
      </c>
      <c r="L1074" s="25" t="s">
        <v>1128</v>
      </c>
    </row>
    <row r="1075" customFormat="false" ht="15" hidden="false" customHeight="false" outlineLevel="0" collapsed="false">
      <c r="A1075" s="25" t="n">
        <v>2528392</v>
      </c>
      <c r="B1075" s="25" t="s">
        <v>2568</v>
      </c>
      <c r="C1075" s="25" t="s">
        <v>2569</v>
      </c>
      <c r="D1075" s="26" t="n">
        <v>2420</v>
      </c>
      <c r="E1075" s="27" t="n">
        <v>5.61618463401957</v>
      </c>
      <c r="F1075" s="27" t="n">
        <v>5.61618463401957</v>
      </c>
      <c r="G1075" s="25" t="s">
        <v>2031</v>
      </c>
      <c r="H1075" s="25" t="s">
        <v>2032</v>
      </c>
      <c r="I1075" s="25" t="n">
        <f aca="false">IFERROR(IF(INDEX(Documents!$C$5:$C$657,MATCH(H1075,Documents!$A$5:$A$657,0))="","",INDEX(Documents!$C$5:$C$657,MATCH(H1075,Documents!$A$5:$A$657,0))),"")</f>
        <v>2009</v>
      </c>
      <c r="J1075" s="25" t="str">
        <f aca="false">IFERROR(IF(INDEX(Documents!$D$5:$D$657,MATCH(H1075,Documents!$A$5:$A$657,0))="","",INDEX(Documents!$D$5:$D$657,MATCH(H1075,Documents!$A$5:$A$657,0))),"")</f>
        <v>J Med Chem</v>
      </c>
      <c r="K1075" s="25" t="str">
        <f aca="false">IFERROR(IF(INDEX(Documents!$G$5:$G$657,MATCH(H1075,Documents!$A$5:$A$657,0))="","",INDEX(Documents!$G$5:$G$657,MATCH(H1075,Documents!$A$5:$A$657,0))),"")</f>
        <v>10.1021/jm900130m</v>
      </c>
      <c r="L1075" s="25" t="s">
        <v>2033</v>
      </c>
    </row>
    <row r="1076" customFormat="false" ht="15" hidden="false" customHeight="false" outlineLevel="0" collapsed="false">
      <c r="A1076" s="25" t="n">
        <v>2528390</v>
      </c>
      <c r="B1076" s="25" t="s">
        <v>2570</v>
      </c>
      <c r="C1076" s="25" t="s">
        <v>2571</v>
      </c>
      <c r="D1076" s="26" t="n">
        <v>1630</v>
      </c>
      <c r="E1076" s="27" t="n">
        <v>5.78781239559604</v>
      </c>
      <c r="F1076" s="27" t="n">
        <v>5.78781239559604</v>
      </c>
      <c r="G1076" s="25" t="s">
        <v>2031</v>
      </c>
      <c r="H1076" s="25" t="s">
        <v>2032</v>
      </c>
      <c r="I1076" s="25" t="n">
        <f aca="false">IFERROR(IF(INDEX(Documents!$C$5:$C$657,MATCH(H1076,Documents!$A$5:$A$657,0))="","",INDEX(Documents!$C$5:$C$657,MATCH(H1076,Documents!$A$5:$A$657,0))),"")</f>
        <v>2009</v>
      </c>
      <c r="J1076" s="25" t="str">
        <f aca="false">IFERROR(IF(INDEX(Documents!$D$5:$D$657,MATCH(H1076,Documents!$A$5:$A$657,0))="","",INDEX(Documents!$D$5:$D$657,MATCH(H1076,Documents!$A$5:$A$657,0))),"")</f>
        <v>J Med Chem</v>
      </c>
      <c r="K1076" s="25" t="str">
        <f aca="false">IFERROR(IF(INDEX(Documents!$G$5:$G$657,MATCH(H1076,Documents!$A$5:$A$657,0))="","",INDEX(Documents!$G$5:$G$657,MATCH(H1076,Documents!$A$5:$A$657,0))),"")</f>
        <v>10.1021/jm900130m</v>
      </c>
      <c r="L1076" s="25" t="s">
        <v>2033</v>
      </c>
    </row>
    <row r="1077" customFormat="false" ht="15" hidden="false" customHeight="false" outlineLevel="0" collapsed="false">
      <c r="A1077" s="25" t="n">
        <v>2469631</v>
      </c>
      <c r="B1077" s="25" t="s">
        <v>2572</v>
      </c>
      <c r="C1077" s="25" t="s">
        <v>2573</v>
      </c>
      <c r="D1077" s="26" t="n">
        <v>6400</v>
      </c>
      <c r="E1077" s="27" t="n">
        <v>5.19382002601611</v>
      </c>
      <c r="F1077" s="27" t="n">
        <v>5.19382002601611</v>
      </c>
      <c r="G1077" s="25" t="s">
        <v>2574</v>
      </c>
      <c r="H1077" s="25" t="s">
        <v>2575</v>
      </c>
      <c r="I1077" s="25" t="n">
        <f aca="false">IFERROR(IF(INDEX(Documents!$C$5:$C$657,MATCH(H1077,Documents!$A$5:$A$657,0))="","",INDEX(Documents!$C$5:$C$657,MATCH(H1077,Documents!$A$5:$A$657,0))),"")</f>
        <v>2008</v>
      </c>
      <c r="J1077" s="25" t="str">
        <f aca="false">IFERROR(IF(INDEX(Documents!$D$5:$D$657,MATCH(H1077,Documents!$A$5:$A$657,0))="","",INDEX(Documents!$D$5:$D$657,MATCH(H1077,Documents!$A$5:$A$657,0))),"")</f>
        <v>J Med Chem</v>
      </c>
      <c r="K1077" s="25" t="str">
        <f aca="false">IFERROR(IF(INDEX(Documents!$G$5:$G$657,MATCH(H1077,Documents!$A$5:$A$657,0))="","",INDEX(Documents!$G$5:$G$657,MATCH(H1077,Documents!$A$5:$A$657,0))),"")</f>
        <v>10.1021/jm800978m</v>
      </c>
      <c r="L1077" s="25" t="s">
        <v>2576</v>
      </c>
    </row>
    <row r="1078" customFormat="false" ht="15" hidden="false" customHeight="false" outlineLevel="0" collapsed="false">
      <c r="A1078" s="25" t="n">
        <v>2469626</v>
      </c>
      <c r="B1078" s="25" t="s">
        <v>2577</v>
      </c>
      <c r="C1078" s="25" t="s">
        <v>2578</v>
      </c>
      <c r="D1078" s="26" t="n">
        <v>7400</v>
      </c>
      <c r="E1078" s="27" t="n">
        <v>5.13076828026902</v>
      </c>
      <c r="F1078" s="27" t="n">
        <v>5.13076828026902</v>
      </c>
      <c r="G1078" s="25" t="s">
        <v>2574</v>
      </c>
      <c r="H1078" s="25" t="s">
        <v>2575</v>
      </c>
      <c r="I1078" s="25" t="n">
        <f aca="false">IFERROR(IF(INDEX(Documents!$C$5:$C$657,MATCH(H1078,Documents!$A$5:$A$657,0))="","",INDEX(Documents!$C$5:$C$657,MATCH(H1078,Documents!$A$5:$A$657,0))),"")</f>
        <v>2008</v>
      </c>
      <c r="J1078" s="25" t="str">
        <f aca="false">IFERROR(IF(INDEX(Documents!$D$5:$D$657,MATCH(H1078,Documents!$A$5:$A$657,0))="","",INDEX(Documents!$D$5:$D$657,MATCH(H1078,Documents!$A$5:$A$657,0))),"")</f>
        <v>J Med Chem</v>
      </c>
      <c r="K1078" s="25" t="str">
        <f aca="false">IFERROR(IF(INDEX(Documents!$G$5:$G$657,MATCH(H1078,Documents!$A$5:$A$657,0))="","",INDEX(Documents!$G$5:$G$657,MATCH(H1078,Documents!$A$5:$A$657,0))),"")</f>
        <v>10.1021/jm800978m</v>
      </c>
      <c r="L1078" s="25" t="s">
        <v>2576</v>
      </c>
    </row>
    <row r="1079" customFormat="false" ht="15" hidden="false" customHeight="false" outlineLevel="0" collapsed="false">
      <c r="A1079" s="25" t="n">
        <v>18986535</v>
      </c>
      <c r="B1079" s="25" t="s">
        <v>2579</v>
      </c>
      <c r="C1079" s="25" t="s">
        <v>2580</v>
      </c>
      <c r="D1079" s="26" t="n">
        <v>2220</v>
      </c>
      <c r="E1079" s="27" t="n">
        <v>5.65364702554936</v>
      </c>
      <c r="F1079" s="27" t="n">
        <v>5.65364702554936</v>
      </c>
      <c r="G1079" s="25" t="s">
        <v>2581</v>
      </c>
      <c r="H1079" s="25" t="s">
        <v>2582</v>
      </c>
      <c r="I1079" s="25" t="n">
        <f aca="false">IFERROR(IF(INDEX(Documents!$C$5:$C$657,MATCH(H1079,Documents!$A$5:$A$657,0))="","",INDEX(Documents!$C$5:$C$657,MATCH(H1079,Documents!$A$5:$A$657,0))),"")</f>
        <v>2019</v>
      </c>
      <c r="J1079" s="25" t="str">
        <f aca="false">IFERROR(IF(INDEX(Documents!$D$5:$D$657,MATCH(H1079,Documents!$A$5:$A$657,0))="","",INDEX(Documents!$D$5:$D$657,MATCH(H1079,Documents!$A$5:$A$657,0))),"")</f>
        <v>ACS Med Chem Lett</v>
      </c>
      <c r="K1079" s="25" t="str">
        <f aca="false">IFERROR(IF(INDEX(Documents!$G$5:$G$657,MATCH(H1079,Documents!$A$5:$A$657,0))="","",INDEX(Documents!$G$5:$G$657,MATCH(H1079,Documents!$A$5:$A$657,0))),"")</f>
        <v>10.1021/acsmedchemlett.8b00594</v>
      </c>
      <c r="L1079" s="25" t="s">
        <v>2583</v>
      </c>
    </row>
    <row r="1080" customFormat="false" ht="15" hidden="false" customHeight="false" outlineLevel="0" collapsed="false">
      <c r="A1080" s="25" t="n">
        <v>12664961</v>
      </c>
      <c r="B1080" s="25" t="s">
        <v>2584</v>
      </c>
      <c r="C1080" s="25" t="s">
        <v>2585</v>
      </c>
      <c r="D1080" s="26" t="n">
        <v>212</v>
      </c>
      <c r="E1080" s="27" t="n">
        <v>6.67366413907125</v>
      </c>
      <c r="F1080" s="27" t="n">
        <v>6.67382808565582</v>
      </c>
      <c r="G1080" s="25" t="s">
        <v>2531</v>
      </c>
      <c r="H1080" s="25" t="s">
        <v>2532</v>
      </c>
      <c r="I1080" s="25" t="n">
        <f aca="false">IFERROR(IF(INDEX(Documents!$C$5:$C$657,MATCH(H1080,Documents!$A$5:$A$657,0))="","",INDEX(Documents!$C$5:$C$657,MATCH(H1080,Documents!$A$5:$A$657,0))),"")</f>
        <v>2013</v>
      </c>
      <c r="J1080" s="25" t="str">
        <f aca="false">IFERROR(IF(INDEX(Documents!$D$5:$D$657,MATCH(H1080,Documents!$A$5:$A$657,0))="","",INDEX(Documents!$D$5:$D$657,MATCH(H1080,Documents!$A$5:$A$657,0))),"")</f>
        <v>J Med Chem</v>
      </c>
      <c r="K1080" s="25" t="str">
        <f aca="false">IFERROR(IF(INDEX(Documents!$G$5:$G$657,MATCH(H1080,Documents!$A$5:$A$657,0))="","",INDEX(Documents!$G$5:$G$657,MATCH(H1080,Documents!$A$5:$A$657,0))),"")</f>
        <v>10.1021/jm3017464</v>
      </c>
      <c r="L1080" s="25" t="s">
        <v>2533</v>
      </c>
    </row>
    <row r="1081" customFormat="false" ht="15" hidden="false" customHeight="false" outlineLevel="0" collapsed="false">
      <c r="A1081" s="25" t="n">
        <v>12663659</v>
      </c>
      <c r="B1081" s="25" t="s">
        <v>2584</v>
      </c>
      <c r="C1081" s="25" t="s">
        <v>2585</v>
      </c>
      <c r="D1081" s="26" t="n">
        <v>211.84</v>
      </c>
      <c r="E1081" s="27" t="n">
        <v>6.67399203224039</v>
      </c>
      <c r="F1081" s="27" t="n">
        <v>6.67382808565582</v>
      </c>
      <c r="G1081" s="25" t="s">
        <v>2531</v>
      </c>
      <c r="H1081" s="25" t="s">
        <v>2532</v>
      </c>
      <c r="I1081" s="25" t="n">
        <f aca="false">IFERROR(IF(INDEX(Documents!$C$5:$C$657,MATCH(H1081,Documents!$A$5:$A$657,0))="","",INDEX(Documents!$C$5:$C$657,MATCH(H1081,Documents!$A$5:$A$657,0))),"")</f>
        <v>2013</v>
      </c>
      <c r="J1081" s="25" t="str">
        <f aca="false">IFERROR(IF(INDEX(Documents!$D$5:$D$657,MATCH(H1081,Documents!$A$5:$A$657,0))="","",INDEX(Documents!$D$5:$D$657,MATCH(H1081,Documents!$A$5:$A$657,0))),"")</f>
        <v>J Med Chem</v>
      </c>
      <c r="K1081" s="25" t="str">
        <f aca="false">IFERROR(IF(INDEX(Documents!$G$5:$G$657,MATCH(H1081,Documents!$A$5:$A$657,0))="","",INDEX(Documents!$G$5:$G$657,MATCH(H1081,Documents!$A$5:$A$657,0))),"")</f>
        <v>10.1021/jm3017464</v>
      </c>
      <c r="L1081" s="25" t="s">
        <v>2533</v>
      </c>
    </row>
    <row r="1082" customFormat="false" ht="15" hidden="false" customHeight="false" outlineLevel="0" collapsed="false">
      <c r="A1082" s="25" t="n">
        <v>12663661</v>
      </c>
      <c r="B1082" s="25" t="s">
        <v>2586</v>
      </c>
      <c r="C1082" s="25" t="s">
        <v>2587</v>
      </c>
      <c r="D1082" s="26" t="n">
        <v>696.63</v>
      </c>
      <c r="E1082" s="27" t="n">
        <v>6.15699782681446</v>
      </c>
      <c r="F1082" s="27" t="n">
        <v>6.15719429360195</v>
      </c>
      <c r="G1082" s="25" t="s">
        <v>2531</v>
      </c>
      <c r="H1082" s="25" t="s">
        <v>2532</v>
      </c>
      <c r="I1082" s="25" t="n">
        <f aca="false">IFERROR(IF(INDEX(Documents!$C$5:$C$657,MATCH(H1082,Documents!$A$5:$A$657,0))="","",INDEX(Documents!$C$5:$C$657,MATCH(H1082,Documents!$A$5:$A$657,0))),"")</f>
        <v>2013</v>
      </c>
      <c r="J1082" s="25" t="str">
        <f aca="false">IFERROR(IF(INDEX(Documents!$D$5:$D$657,MATCH(H1082,Documents!$A$5:$A$657,0))="","",INDEX(Documents!$D$5:$D$657,MATCH(H1082,Documents!$A$5:$A$657,0))),"")</f>
        <v>J Med Chem</v>
      </c>
      <c r="K1082" s="25" t="str">
        <f aca="false">IFERROR(IF(INDEX(Documents!$G$5:$G$657,MATCH(H1082,Documents!$A$5:$A$657,0))="","",INDEX(Documents!$G$5:$G$657,MATCH(H1082,Documents!$A$5:$A$657,0))),"")</f>
        <v>10.1021/jm3017464</v>
      </c>
      <c r="L1082" s="25" t="s">
        <v>2533</v>
      </c>
    </row>
    <row r="1083" customFormat="false" ht="15" hidden="false" customHeight="false" outlineLevel="0" collapsed="false">
      <c r="A1083" s="25" t="n">
        <v>12664963</v>
      </c>
      <c r="B1083" s="25" t="s">
        <v>2586</v>
      </c>
      <c r="C1083" s="25" t="s">
        <v>2587</v>
      </c>
      <c r="D1083" s="26" t="n">
        <v>696</v>
      </c>
      <c r="E1083" s="27" t="n">
        <v>6.15739076038944</v>
      </c>
      <c r="F1083" s="27" t="n">
        <v>6.15719429360195</v>
      </c>
      <c r="G1083" s="25" t="s">
        <v>2531</v>
      </c>
      <c r="H1083" s="25" t="s">
        <v>2532</v>
      </c>
      <c r="I1083" s="25" t="n">
        <f aca="false">IFERROR(IF(INDEX(Documents!$C$5:$C$657,MATCH(H1083,Documents!$A$5:$A$657,0))="","",INDEX(Documents!$C$5:$C$657,MATCH(H1083,Documents!$A$5:$A$657,0))),"")</f>
        <v>2013</v>
      </c>
      <c r="J1083" s="25" t="str">
        <f aca="false">IFERROR(IF(INDEX(Documents!$D$5:$D$657,MATCH(H1083,Documents!$A$5:$A$657,0))="","",INDEX(Documents!$D$5:$D$657,MATCH(H1083,Documents!$A$5:$A$657,0))),"")</f>
        <v>J Med Chem</v>
      </c>
      <c r="K1083" s="25" t="str">
        <f aca="false">IFERROR(IF(INDEX(Documents!$G$5:$G$657,MATCH(H1083,Documents!$A$5:$A$657,0))="","",INDEX(Documents!$G$5:$G$657,MATCH(H1083,Documents!$A$5:$A$657,0))),"")</f>
        <v>10.1021/jm3017464</v>
      </c>
      <c r="L1083" s="25" t="s">
        <v>2533</v>
      </c>
    </row>
    <row r="1084" customFormat="false" ht="15" hidden="false" customHeight="false" outlineLevel="0" collapsed="false">
      <c r="A1084" s="25" t="n">
        <v>12663662</v>
      </c>
      <c r="B1084" s="25" t="s">
        <v>2588</v>
      </c>
      <c r="C1084" s="25" t="s">
        <v>2589</v>
      </c>
      <c r="D1084" s="26" t="n">
        <v>1312.2</v>
      </c>
      <c r="E1084" s="27" t="n">
        <v>5.88199996657872</v>
      </c>
      <c r="F1084" s="27" t="n">
        <v>5.88203306576954</v>
      </c>
      <c r="G1084" s="25" t="s">
        <v>2531</v>
      </c>
      <c r="H1084" s="25" t="s">
        <v>2532</v>
      </c>
      <c r="I1084" s="25" t="n">
        <f aca="false">IFERROR(IF(INDEX(Documents!$C$5:$C$657,MATCH(H1084,Documents!$A$5:$A$657,0))="","",INDEX(Documents!$C$5:$C$657,MATCH(H1084,Documents!$A$5:$A$657,0))),"")</f>
        <v>2013</v>
      </c>
      <c r="J1084" s="25" t="str">
        <f aca="false">IFERROR(IF(INDEX(Documents!$D$5:$D$657,MATCH(H1084,Documents!$A$5:$A$657,0))="","",INDEX(Documents!$D$5:$D$657,MATCH(H1084,Documents!$A$5:$A$657,0))),"")</f>
        <v>J Med Chem</v>
      </c>
      <c r="K1084" s="25" t="str">
        <f aca="false">IFERROR(IF(INDEX(Documents!$G$5:$G$657,MATCH(H1084,Documents!$A$5:$A$657,0))="","",INDEX(Documents!$G$5:$G$657,MATCH(H1084,Documents!$A$5:$A$657,0))),"")</f>
        <v>10.1021/jm3017464</v>
      </c>
      <c r="L1084" s="25" t="s">
        <v>2533</v>
      </c>
    </row>
    <row r="1085" customFormat="false" ht="15" hidden="false" customHeight="false" outlineLevel="0" collapsed="false">
      <c r="A1085" s="25" t="n">
        <v>12664964</v>
      </c>
      <c r="B1085" s="25" t="s">
        <v>2588</v>
      </c>
      <c r="C1085" s="25" t="s">
        <v>2589</v>
      </c>
      <c r="D1085" s="26" t="n">
        <v>1312</v>
      </c>
      <c r="E1085" s="27" t="n">
        <v>5.88206616496036</v>
      </c>
      <c r="F1085" s="27" t="n">
        <v>5.88203306576954</v>
      </c>
      <c r="G1085" s="25" t="s">
        <v>2531</v>
      </c>
      <c r="H1085" s="25" t="s">
        <v>2532</v>
      </c>
      <c r="I1085" s="25" t="n">
        <f aca="false">IFERROR(IF(INDEX(Documents!$C$5:$C$657,MATCH(H1085,Documents!$A$5:$A$657,0))="","",INDEX(Documents!$C$5:$C$657,MATCH(H1085,Documents!$A$5:$A$657,0))),"")</f>
        <v>2013</v>
      </c>
      <c r="J1085" s="25" t="str">
        <f aca="false">IFERROR(IF(INDEX(Documents!$D$5:$D$657,MATCH(H1085,Documents!$A$5:$A$657,0))="","",INDEX(Documents!$D$5:$D$657,MATCH(H1085,Documents!$A$5:$A$657,0))),"")</f>
        <v>J Med Chem</v>
      </c>
      <c r="K1085" s="25" t="str">
        <f aca="false">IFERROR(IF(INDEX(Documents!$G$5:$G$657,MATCH(H1085,Documents!$A$5:$A$657,0))="","",INDEX(Documents!$G$5:$G$657,MATCH(H1085,Documents!$A$5:$A$657,0))),"")</f>
        <v>10.1021/jm3017464</v>
      </c>
      <c r="L1085" s="25" t="s">
        <v>2533</v>
      </c>
    </row>
    <row r="1086" customFormat="false" ht="15" hidden="false" customHeight="false" outlineLevel="0" collapsed="false">
      <c r="A1086" s="25" t="n">
        <v>12664962</v>
      </c>
      <c r="B1086" s="25" t="s">
        <v>2590</v>
      </c>
      <c r="C1086" s="25" t="s">
        <v>2591</v>
      </c>
      <c r="D1086" s="26" t="n">
        <v>1280</v>
      </c>
      <c r="E1086" s="27" t="n">
        <v>5.89279003035213</v>
      </c>
      <c r="F1086" s="27" t="n">
        <v>5.89289523652865</v>
      </c>
      <c r="G1086" s="25" t="s">
        <v>2531</v>
      </c>
      <c r="H1086" s="25" t="s">
        <v>2532</v>
      </c>
      <c r="I1086" s="25" t="n">
        <f aca="false">IFERROR(IF(INDEX(Documents!$C$5:$C$657,MATCH(H1086,Documents!$A$5:$A$657,0))="","",INDEX(Documents!$C$5:$C$657,MATCH(H1086,Documents!$A$5:$A$657,0))),"")</f>
        <v>2013</v>
      </c>
      <c r="J1086" s="25" t="str">
        <f aca="false">IFERROR(IF(INDEX(Documents!$D$5:$D$657,MATCH(H1086,Documents!$A$5:$A$657,0))="","",INDEX(Documents!$D$5:$D$657,MATCH(H1086,Documents!$A$5:$A$657,0))),"")</f>
        <v>J Med Chem</v>
      </c>
      <c r="K1086" s="25" t="str">
        <f aca="false">IFERROR(IF(INDEX(Documents!$G$5:$G$657,MATCH(H1086,Documents!$A$5:$A$657,0))="","",INDEX(Documents!$G$5:$G$657,MATCH(H1086,Documents!$A$5:$A$657,0))),"")</f>
        <v>10.1021/jm3017464</v>
      </c>
      <c r="L1086" s="25" t="s">
        <v>2533</v>
      </c>
    </row>
    <row r="1087" customFormat="false" ht="15" hidden="false" customHeight="false" outlineLevel="0" collapsed="false">
      <c r="A1087" s="25" t="n">
        <v>12663660</v>
      </c>
      <c r="B1087" s="25" t="s">
        <v>2590</v>
      </c>
      <c r="C1087" s="25" t="s">
        <v>2591</v>
      </c>
      <c r="D1087" s="26" t="n">
        <v>1279.38</v>
      </c>
      <c r="E1087" s="27" t="n">
        <v>5.89300044270516</v>
      </c>
      <c r="F1087" s="27" t="n">
        <v>5.89289523652865</v>
      </c>
      <c r="G1087" s="25" t="s">
        <v>2531</v>
      </c>
      <c r="H1087" s="25" t="s">
        <v>2532</v>
      </c>
      <c r="I1087" s="25" t="n">
        <f aca="false">IFERROR(IF(INDEX(Documents!$C$5:$C$657,MATCH(H1087,Documents!$A$5:$A$657,0))="","",INDEX(Documents!$C$5:$C$657,MATCH(H1087,Documents!$A$5:$A$657,0))),"")</f>
        <v>2013</v>
      </c>
      <c r="J1087" s="25" t="str">
        <f aca="false">IFERROR(IF(INDEX(Documents!$D$5:$D$657,MATCH(H1087,Documents!$A$5:$A$657,0))="","",INDEX(Documents!$D$5:$D$657,MATCH(H1087,Documents!$A$5:$A$657,0))),"")</f>
        <v>J Med Chem</v>
      </c>
      <c r="K1087" s="25" t="str">
        <f aca="false">IFERROR(IF(INDEX(Documents!$G$5:$G$657,MATCH(H1087,Documents!$A$5:$A$657,0))="","",INDEX(Documents!$G$5:$G$657,MATCH(H1087,Documents!$A$5:$A$657,0))),"")</f>
        <v>10.1021/jm3017464</v>
      </c>
      <c r="L1087" s="25" t="s">
        <v>2533</v>
      </c>
    </row>
    <row r="1088" customFormat="false" ht="15" hidden="false" customHeight="false" outlineLevel="0" collapsed="false">
      <c r="A1088" s="25" t="n">
        <v>12663663</v>
      </c>
      <c r="B1088" s="25" t="s">
        <v>2592</v>
      </c>
      <c r="C1088" s="25" t="s">
        <v>2593</v>
      </c>
      <c r="D1088" s="26" t="n">
        <v>696.63</v>
      </c>
      <c r="E1088" s="27" t="n">
        <v>6.15699782681446</v>
      </c>
      <c r="F1088" s="27" t="n">
        <v>6.16224445705411</v>
      </c>
      <c r="G1088" s="25" t="s">
        <v>2531</v>
      </c>
      <c r="H1088" s="25" t="s">
        <v>2532</v>
      </c>
      <c r="I1088" s="25" t="n">
        <f aca="false">IFERROR(IF(INDEX(Documents!$C$5:$C$657,MATCH(H1088,Documents!$A$5:$A$657,0))="","",INDEX(Documents!$C$5:$C$657,MATCH(H1088,Documents!$A$5:$A$657,0))),"")</f>
        <v>2013</v>
      </c>
      <c r="J1088" s="25" t="str">
        <f aca="false">IFERROR(IF(INDEX(Documents!$D$5:$D$657,MATCH(H1088,Documents!$A$5:$A$657,0))="","",INDEX(Documents!$D$5:$D$657,MATCH(H1088,Documents!$A$5:$A$657,0))),"")</f>
        <v>J Med Chem</v>
      </c>
      <c r="K1088" s="25" t="str">
        <f aca="false">IFERROR(IF(INDEX(Documents!$G$5:$G$657,MATCH(H1088,Documents!$A$5:$A$657,0))="","",INDEX(Documents!$G$5:$G$657,MATCH(H1088,Documents!$A$5:$A$657,0))),"")</f>
        <v>10.1021/jm3017464</v>
      </c>
      <c r="L1088" s="25" t="s">
        <v>2533</v>
      </c>
    </row>
    <row r="1089" customFormat="false" ht="15" hidden="false" customHeight="false" outlineLevel="0" collapsed="false">
      <c r="A1089" s="25" t="n">
        <v>12664965</v>
      </c>
      <c r="B1089" s="25" t="s">
        <v>2592</v>
      </c>
      <c r="C1089" s="25" t="s">
        <v>2593</v>
      </c>
      <c r="D1089" s="26" t="n">
        <v>680</v>
      </c>
      <c r="E1089" s="27" t="n">
        <v>6.16749108729376</v>
      </c>
      <c r="F1089" s="27" t="n">
        <v>6.16224445705411</v>
      </c>
      <c r="G1089" s="25" t="s">
        <v>2531</v>
      </c>
      <c r="H1089" s="25" t="s">
        <v>2532</v>
      </c>
      <c r="I1089" s="25" t="n">
        <f aca="false">IFERROR(IF(INDEX(Documents!$C$5:$C$657,MATCH(H1089,Documents!$A$5:$A$657,0))="","",INDEX(Documents!$C$5:$C$657,MATCH(H1089,Documents!$A$5:$A$657,0))),"")</f>
        <v>2013</v>
      </c>
      <c r="J1089" s="25" t="str">
        <f aca="false">IFERROR(IF(INDEX(Documents!$D$5:$D$657,MATCH(H1089,Documents!$A$5:$A$657,0))="","",INDEX(Documents!$D$5:$D$657,MATCH(H1089,Documents!$A$5:$A$657,0))),"")</f>
        <v>J Med Chem</v>
      </c>
      <c r="K1089" s="25" t="str">
        <f aca="false">IFERROR(IF(INDEX(Documents!$G$5:$G$657,MATCH(H1089,Documents!$A$5:$A$657,0))="","",INDEX(Documents!$G$5:$G$657,MATCH(H1089,Documents!$A$5:$A$657,0))),"")</f>
        <v>10.1021/jm3017464</v>
      </c>
      <c r="L1089" s="25" t="s">
        <v>2533</v>
      </c>
    </row>
    <row r="1090" customFormat="false" ht="15" hidden="false" customHeight="false" outlineLevel="0" collapsed="false">
      <c r="A1090" s="25" t="n">
        <v>12664966</v>
      </c>
      <c r="B1090" s="25" t="s">
        <v>2594</v>
      </c>
      <c r="C1090" s="25" t="s">
        <v>2595</v>
      </c>
      <c r="D1090" s="26" t="n">
        <v>273</v>
      </c>
      <c r="E1090" s="27" t="n">
        <v>6.56383735295924</v>
      </c>
      <c r="F1090" s="27" t="n">
        <v>6.56391690864467</v>
      </c>
      <c r="G1090" s="25" t="s">
        <v>2531</v>
      </c>
      <c r="H1090" s="25" t="s">
        <v>2532</v>
      </c>
      <c r="I1090" s="25" t="n">
        <f aca="false">IFERROR(IF(INDEX(Documents!$C$5:$C$657,MATCH(H1090,Documents!$A$5:$A$657,0))="","",INDEX(Documents!$C$5:$C$657,MATCH(H1090,Documents!$A$5:$A$657,0))),"")</f>
        <v>2013</v>
      </c>
      <c r="J1090" s="25" t="str">
        <f aca="false">IFERROR(IF(INDEX(Documents!$D$5:$D$657,MATCH(H1090,Documents!$A$5:$A$657,0))="","",INDEX(Documents!$D$5:$D$657,MATCH(H1090,Documents!$A$5:$A$657,0))),"")</f>
        <v>J Med Chem</v>
      </c>
      <c r="K1090" s="25" t="str">
        <f aca="false">IFERROR(IF(INDEX(Documents!$G$5:$G$657,MATCH(H1090,Documents!$A$5:$A$657,0))="","",INDEX(Documents!$G$5:$G$657,MATCH(H1090,Documents!$A$5:$A$657,0))),"")</f>
        <v>10.1021/jm3017464</v>
      </c>
      <c r="L1090" s="25" t="s">
        <v>2533</v>
      </c>
    </row>
    <row r="1091" customFormat="false" ht="15" hidden="false" customHeight="false" outlineLevel="0" collapsed="false">
      <c r="A1091" s="25" t="n">
        <v>12663664</v>
      </c>
      <c r="B1091" s="25" t="s">
        <v>2594</v>
      </c>
      <c r="C1091" s="25" t="s">
        <v>2595</v>
      </c>
      <c r="D1091" s="26" t="n">
        <v>272.9</v>
      </c>
      <c r="E1091" s="27" t="n">
        <v>6.5639964643301</v>
      </c>
      <c r="F1091" s="27" t="n">
        <v>6.56391690864467</v>
      </c>
      <c r="G1091" s="25" t="s">
        <v>2531</v>
      </c>
      <c r="H1091" s="25" t="s">
        <v>2532</v>
      </c>
      <c r="I1091" s="25" t="n">
        <f aca="false">IFERROR(IF(INDEX(Documents!$C$5:$C$657,MATCH(H1091,Documents!$A$5:$A$657,0))="","",INDEX(Documents!$C$5:$C$657,MATCH(H1091,Documents!$A$5:$A$657,0))),"")</f>
        <v>2013</v>
      </c>
      <c r="J1091" s="25" t="str">
        <f aca="false">IFERROR(IF(INDEX(Documents!$D$5:$D$657,MATCH(H1091,Documents!$A$5:$A$657,0))="","",INDEX(Documents!$D$5:$D$657,MATCH(H1091,Documents!$A$5:$A$657,0))),"")</f>
        <v>J Med Chem</v>
      </c>
      <c r="K1091" s="25" t="str">
        <f aca="false">IFERROR(IF(INDEX(Documents!$G$5:$G$657,MATCH(H1091,Documents!$A$5:$A$657,0))="","",INDEX(Documents!$G$5:$G$657,MATCH(H1091,Documents!$A$5:$A$657,0))),"")</f>
        <v>10.1021/jm3017464</v>
      </c>
      <c r="L1091" s="25" t="s">
        <v>2533</v>
      </c>
    </row>
    <row r="1092" customFormat="false" ht="15" hidden="false" customHeight="false" outlineLevel="0" collapsed="false">
      <c r="A1092" s="25" t="n">
        <v>12663668</v>
      </c>
      <c r="B1092" s="25" t="s">
        <v>2596</v>
      </c>
      <c r="C1092" s="25" t="s">
        <v>2597</v>
      </c>
      <c r="D1092" s="26" t="n">
        <v>13001.7</v>
      </c>
      <c r="E1092" s="27" t="n">
        <v>4.88599985905086</v>
      </c>
      <c r="F1092" s="27" t="n">
        <v>4.88602825337201</v>
      </c>
      <c r="G1092" s="25" t="s">
        <v>2531</v>
      </c>
      <c r="H1092" s="25" t="s">
        <v>2532</v>
      </c>
      <c r="I1092" s="25" t="n">
        <f aca="false">IFERROR(IF(INDEX(Documents!$C$5:$C$657,MATCH(H1092,Documents!$A$5:$A$657,0))="","",INDEX(Documents!$C$5:$C$657,MATCH(H1092,Documents!$A$5:$A$657,0))),"")</f>
        <v>2013</v>
      </c>
      <c r="J1092" s="25" t="str">
        <f aca="false">IFERROR(IF(INDEX(Documents!$D$5:$D$657,MATCH(H1092,Documents!$A$5:$A$657,0))="","",INDEX(Documents!$D$5:$D$657,MATCH(H1092,Documents!$A$5:$A$657,0))),"")</f>
        <v>J Med Chem</v>
      </c>
      <c r="K1092" s="25" t="str">
        <f aca="false">IFERROR(IF(INDEX(Documents!$G$5:$G$657,MATCH(H1092,Documents!$A$5:$A$657,0))="","",INDEX(Documents!$G$5:$G$657,MATCH(H1092,Documents!$A$5:$A$657,0))),"")</f>
        <v>10.1021/jm3017464</v>
      </c>
      <c r="L1092" s="25" t="s">
        <v>2533</v>
      </c>
    </row>
    <row r="1093" customFormat="false" ht="15" hidden="false" customHeight="false" outlineLevel="0" collapsed="false">
      <c r="A1093" s="25" t="n">
        <v>12664971</v>
      </c>
      <c r="B1093" s="25" t="s">
        <v>2596</v>
      </c>
      <c r="C1093" s="25" t="s">
        <v>2597</v>
      </c>
      <c r="D1093" s="26" t="n">
        <v>13000</v>
      </c>
      <c r="E1093" s="27" t="n">
        <v>4.88605664769316</v>
      </c>
      <c r="F1093" s="27" t="n">
        <v>4.88602825337201</v>
      </c>
      <c r="G1093" s="25" t="s">
        <v>2531</v>
      </c>
      <c r="H1093" s="25" t="s">
        <v>2532</v>
      </c>
      <c r="I1093" s="25" t="n">
        <f aca="false">IFERROR(IF(INDEX(Documents!$C$5:$C$657,MATCH(H1093,Documents!$A$5:$A$657,0))="","",INDEX(Documents!$C$5:$C$657,MATCH(H1093,Documents!$A$5:$A$657,0))),"")</f>
        <v>2013</v>
      </c>
      <c r="J1093" s="25" t="str">
        <f aca="false">IFERROR(IF(INDEX(Documents!$D$5:$D$657,MATCH(H1093,Documents!$A$5:$A$657,0))="","",INDEX(Documents!$D$5:$D$657,MATCH(H1093,Documents!$A$5:$A$657,0))),"")</f>
        <v>J Med Chem</v>
      </c>
      <c r="K1093" s="25" t="str">
        <f aca="false">IFERROR(IF(INDEX(Documents!$G$5:$G$657,MATCH(H1093,Documents!$A$5:$A$657,0))="","",INDEX(Documents!$G$5:$G$657,MATCH(H1093,Documents!$A$5:$A$657,0))),"")</f>
        <v>10.1021/jm3017464</v>
      </c>
      <c r="L1093" s="25" t="s">
        <v>2533</v>
      </c>
    </row>
    <row r="1094" customFormat="false" ht="15" hidden="false" customHeight="false" outlineLevel="0" collapsed="false">
      <c r="A1094" s="25" t="n">
        <v>12663670</v>
      </c>
      <c r="B1094" s="25" t="s">
        <v>2598</v>
      </c>
      <c r="C1094" s="25" t="s">
        <v>2599</v>
      </c>
      <c r="D1094" s="26" t="n">
        <v>2747.89</v>
      </c>
      <c r="E1094" s="27" t="n">
        <v>5.56100065638293</v>
      </c>
      <c r="F1094" s="27" t="n">
        <v>5.56122915379841</v>
      </c>
      <c r="G1094" s="25" t="s">
        <v>2531</v>
      </c>
      <c r="H1094" s="25" t="s">
        <v>2532</v>
      </c>
      <c r="I1094" s="25" t="n">
        <f aca="false">IFERROR(IF(INDEX(Documents!$C$5:$C$657,MATCH(H1094,Documents!$A$5:$A$657,0))="","",INDEX(Documents!$C$5:$C$657,MATCH(H1094,Documents!$A$5:$A$657,0))),"")</f>
        <v>2013</v>
      </c>
      <c r="J1094" s="25" t="str">
        <f aca="false">IFERROR(IF(INDEX(Documents!$D$5:$D$657,MATCH(H1094,Documents!$A$5:$A$657,0))="","",INDEX(Documents!$D$5:$D$657,MATCH(H1094,Documents!$A$5:$A$657,0))),"")</f>
        <v>J Med Chem</v>
      </c>
      <c r="K1094" s="25" t="str">
        <f aca="false">IFERROR(IF(INDEX(Documents!$G$5:$G$657,MATCH(H1094,Documents!$A$5:$A$657,0))="","",INDEX(Documents!$G$5:$G$657,MATCH(H1094,Documents!$A$5:$A$657,0))),"")</f>
        <v>10.1021/jm3017464</v>
      </c>
      <c r="L1094" s="25" t="s">
        <v>2533</v>
      </c>
    </row>
    <row r="1095" customFormat="false" ht="15" hidden="false" customHeight="false" outlineLevel="0" collapsed="false">
      <c r="A1095" s="25" t="n">
        <v>12664973</v>
      </c>
      <c r="B1095" s="25" t="s">
        <v>2598</v>
      </c>
      <c r="C1095" s="25" t="s">
        <v>2599</v>
      </c>
      <c r="D1095" s="26" t="n">
        <v>2745</v>
      </c>
      <c r="E1095" s="27" t="n">
        <v>5.56145765121389</v>
      </c>
      <c r="F1095" s="27" t="n">
        <v>5.56122915379841</v>
      </c>
      <c r="G1095" s="25" t="s">
        <v>2531</v>
      </c>
      <c r="H1095" s="25" t="s">
        <v>2532</v>
      </c>
      <c r="I1095" s="25" t="n">
        <f aca="false">IFERROR(IF(INDEX(Documents!$C$5:$C$657,MATCH(H1095,Documents!$A$5:$A$657,0))="","",INDEX(Documents!$C$5:$C$657,MATCH(H1095,Documents!$A$5:$A$657,0))),"")</f>
        <v>2013</v>
      </c>
      <c r="J1095" s="25" t="str">
        <f aca="false">IFERROR(IF(INDEX(Documents!$D$5:$D$657,MATCH(H1095,Documents!$A$5:$A$657,0))="","",INDEX(Documents!$D$5:$D$657,MATCH(H1095,Documents!$A$5:$A$657,0))),"")</f>
        <v>J Med Chem</v>
      </c>
      <c r="K1095" s="25" t="str">
        <f aca="false">IFERROR(IF(INDEX(Documents!$G$5:$G$657,MATCH(H1095,Documents!$A$5:$A$657,0))="","",INDEX(Documents!$G$5:$G$657,MATCH(H1095,Documents!$A$5:$A$657,0))),"")</f>
        <v>10.1021/jm3017464</v>
      </c>
      <c r="L1095" s="25" t="s">
        <v>2533</v>
      </c>
    </row>
    <row r="1096" customFormat="false" ht="15" hidden="false" customHeight="false" outlineLevel="0" collapsed="false">
      <c r="A1096" s="25" t="n">
        <v>12663665</v>
      </c>
      <c r="B1096" s="25" t="s">
        <v>2600</v>
      </c>
      <c r="C1096" s="25" t="s">
        <v>2601</v>
      </c>
      <c r="D1096" s="26" t="n">
        <v>6745.28</v>
      </c>
      <c r="E1096" s="27" t="n">
        <v>5.17100001783329</v>
      </c>
      <c r="F1096" s="27" t="n">
        <v>5.17117006064899</v>
      </c>
      <c r="G1096" s="25" t="s">
        <v>2531</v>
      </c>
      <c r="H1096" s="25" t="s">
        <v>2532</v>
      </c>
      <c r="I1096" s="25" t="n">
        <f aca="false">IFERROR(IF(INDEX(Documents!$C$5:$C$657,MATCH(H1096,Documents!$A$5:$A$657,0))="","",INDEX(Documents!$C$5:$C$657,MATCH(H1096,Documents!$A$5:$A$657,0))),"")</f>
        <v>2013</v>
      </c>
      <c r="J1096" s="25" t="str">
        <f aca="false">IFERROR(IF(INDEX(Documents!$D$5:$D$657,MATCH(H1096,Documents!$A$5:$A$657,0))="","",INDEX(Documents!$D$5:$D$657,MATCH(H1096,Documents!$A$5:$A$657,0))),"")</f>
        <v>J Med Chem</v>
      </c>
      <c r="K1096" s="25" t="str">
        <f aca="false">IFERROR(IF(INDEX(Documents!$G$5:$G$657,MATCH(H1096,Documents!$A$5:$A$657,0))="","",INDEX(Documents!$G$5:$G$657,MATCH(H1096,Documents!$A$5:$A$657,0))),"")</f>
        <v>10.1021/jm3017464</v>
      </c>
      <c r="L1096" s="25" t="s">
        <v>2533</v>
      </c>
    </row>
    <row r="1097" customFormat="false" ht="15" hidden="false" customHeight="false" outlineLevel="0" collapsed="false">
      <c r="A1097" s="25" t="n">
        <v>12664967</v>
      </c>
      <c r="B1097" s="25" t="s">
        <v>2600</v>
      </c>
      <c r="C1097" s="25" t="s">
        <v>2601</v>
      </c>
      <c r="D1097" s="26" t="n">
        <v>6740</v>
      </c>
      <c r="E1097" s="27" t="n">
        <v>5.17134010346468</v>
      </c>
      <c r="F1097" s="27" t="n">
        <v>5.17117006064899</v>
      </c>
      <c r="G1097" s="25" t="s">
        <v>2531</v>
      </c>
      <c r="H1097" s="25" t="s">
        <v>2532</v>
      </c>
      <c r="I1097" s="25" t="n">
        <f aca="false">IFERROR(IF(INDEX(Documents!$C$5:$C$657,MATCH(H1097,Documents!$A$5:$A$657,0))="","",INDEX(Documents!$C$5:$C$657,MATCH(H1097,Documents!$A$5:$A$657,0))),"")</f>
        <v>2013</v>
      </c>
      <c r="J1097" s="25" t="str">
        <f aca="false">IFERROR(IF(INDEX(Documents!$D$5:$D$657,MATCH(H1097,Documents!$A$5:$A$657,0))="","",INDEX(Documents!$D$5:$D$657,MATCH(H1097,Documents!$A$5:$A$657,0))),"")</f>
        <v>J Med Chem</v>
      </c>
      <c r="K1097" s="25" t="str">
        <f aca="false">IFERROR(IF(INDEX(Documents!$G$5:$G$657,MATCH(H1097,Documents!$A$5:$A$657,0))="","",INDEX(Documents!$G$5:$G$657,MATCH(H1097,Documents!$A$5:$A$657,0))),"")</f>
        <v>10.1021/jm3017464</v>
      </c>
      <c r="L1097" s="25" t="s">
        <v>2533</v>
      </c>
    </row>
    <row r="1098" customFormat="false" ht="15" hidden="false" customHeight="false" outlineLevel="0" collapsed="false">
      <c r="A1098" s="25" t="n">
        <v>12663666</v>
      </c>
      <c r="B1098" s="25" t="s">
        <v>2602</v>
      </c>
      <c r="C1098" s="25" t="s">
        <v>2603</v>
      </c>
      <c r="D1098" s="26" t="n">
        <v>1101.54</v>
      </c>
      <c r="E1098" s="27" t="n">
        <v>5.95799972777889</v>
      </c>
      <c r="F1098" s="27" t="n">
        <v>5.95810620440357</v>
      </c>
      <c r="G1098" s="25" t="s">
        <v>2531</v>
      </c>
      <c r="H1098" s="25" t="s">
        <v>2532</v>
      </c>
      <c r="I1098" s="25" t="n">
        <f aca="false">IFERROR(IF(INDEX(Documents!$C$5:$C$657,MATCH(H1098,Documents!$A$5:$A$657,0))="","",INDEX(Documents!$C$5:$C$657,MATCH(H1098,Documents!$A$5:$A$657,0))),"")</f>
        <v>2013</v>
      </c>
      <c r="J1098" s="25" t="str">
        <f aca="false">IFERROR(IF(INDEX(Documents!$D$5:$D$657,MATCH(H1098,Documents!$A$5:$A$657,0))="","",INDEX(Documents!$D$5:$D$657,MATCH(H1098,Documents!$A$5:$A$657,0))),"")</f>
        <v>J Med Chem</v>
      </c>
      <c r="K1098" s="25" t="str">
        <f aca="false">IFERROR(IF(INDEX(Documents!$G$5:$G$657,MATCH(H1098,Documents!$A$5:$A$657,0))="","",INDEX(Documents!$G$5:$G$657,MATCH(H1098,Documents!$A$5:$A$657,0))),"")</f>
        <v>10.1021/jm3017464</v>
      </c>
      <c r="L1098" s="25" t="s">
        <v>2533</v>
      </c>
    </row>
    <row r="1099" customFormat="false" ht="15" hidden="false" customHeight="false" outlineLevel="0" collapsed="false">
      <c r="A1099" s="25" t="n">
        <v>12664968</v>
      </c>
      <c r="B1099" s="25" t="s">
        <v>2602</v>
      </c>
      <c r="C1099" s="25" t="s">
        <v>2603</v>
      </c>
      <c r="D1099" s="26" t="n">
        <v>1101</v>
      </c>
      <c r="E1099" s="27" t="n">
        <v>5.95821268102825</v>
      </c>
      <c r="F1099" s="27" t="n">
        <v>5.95810620440357</v>
      </c>
      <c r="G1099" s="25" t="s">
        <v>2531</v>
      </c>
      <c r="H1099" s="25" t="s">
        <v>2532</v>
      </c>
      <c r="I1099" s="25" t="n">
        <f aca="false">IFERROR(IF(INDEX(Documents!$C$5:$C$657,MATCH(H1099,Documents!$A$5:$A$657,0))="","",INDEX(Documents!$C$5:$C$657,MATCH(H1099,Documents!$A$5:$A$657,0))),"")</f>
        <v>2013</v>
      </c>
      <c r="J1099" s="25" t="str">
        <f aca="false">IFERROR(IF(INDEX(Documents!$D$5:$D$657,MATCH(H1099,Documents!$A$5:$A$657,0))="","",INDEX(Documents!$D$5:$D$657,MATCH(H1099,Documents!$A$5:$A$657,0))),"")</f>
        <v>J Med Chem</v>
      </c>
      <c r="K1099" s="25" t="str">
        <f aca="false">IFERROR(IF(INDEX(Documents!$G$5:$G$657,MATCH(H1099,Documents!$A$5:$A$657,0))="","",INDEX(Documents!$G$5:$G$657,MATCH(H1099,Documents!$A$5:$A$657,0))),"")</f>
        <v>10.1021/jm3017464</v>
      </c>
      <c r="L1099" s="25" t="s">
        <v>2533</v>
      </c>
    </row>
    <row r="1100" customFormat="false" ht="15" hidden="false" customHeight="false" outlineLevel="0" collapsed="false">
      <c r="A1100" s="25" t="n">
        <v>12664970</v>
      </c>
      <c r="B1100" s="25" t="s">
        <v>2604</v>
      </c>
      <c r="C1100" s="25" t="s">
        <v>2605</v>
      </c>
      <c r="D1100" s="26" t="n">
        <v>5193</v>
      </c>
      <c r="E1100" s="27" t="n">
        <v>5.28458167740494</v>
      </c>
      <c r="F1100" s="27" t="n">
        <v>5.28479085499645</v>
      </c>
      <c r="G1100" s="25" t="s">
        <v>2531</v>
      </c>
      <c r="H1100" s="25" t="s">
        <v>2532</v>
      </c>
      <c r="I1100" s="25" t="n">
        <f aca="false">IFERROR(IF(INDEX(Documents!$C$5:$C$657,MATCH(H1100,Documents!$A$5:$A$657,0))="","",INDEX(Documents!$C$5:$C$657,MATCH(H1100,Documents!$A$5:$A$657,0))),"")</f>
        <v>2013</v>
      </c>
      <c r="J1100" s="25" t="str">
        <f aca="false">IFERROR(IF(INDEX(Documents!$D$5:$D$657,MATCH(H1100,Documents!$A$5:$A$657,0))="","",INDEX(Documents!$D$5:$D$657,MATCH(H1100,Documents!$A$5:$A$657,0))),"")</f>
        <v>J Med Chem</v>
      </c>
      <c r="K1100" s="25" t="str">
        <f aca="false">IFERROR(IF(INDEX(Documents!$G$5:$G$657,MATCH(H1100,Documents!$A$5:$A$657,0))="","",INDEX(Documents!$G$5:$G$657,MATCH(H1100,Documents!$A$5:$A$657,0))),"")</f>
        <v>10.1021/jm3017464</v>
      </c>
      <c r="L1100" s="25" t="s">
        <v>2533</v>
      </c>
    </row>
    <row r="1101" customFormat="false" ht="15" hidden="false" customHeight="false" outlineLevel="0" collapsed="false">
      <c r="A1101" s="25" t="n">
        <v>12663667</v>
      </c>
      <c r="B1101" s="25" t="s">
        <v>2604</v>
      </c>
      <c r="C1101" s="25" t="s">
        <v>2605</v>
      </c>
      <c r="D1101" s="26" t="n">
        <v>5188</v>
      </c>
      <c r="E1101" s="27" t="n">
        <v>5.28500003258796</v>
      </c>
      <c r="F1101" s="27" t="n">
        <v>5.28479085499645</v>
      </c>
      <c r="G1101" s="25" t="s">
        <v>2531</v>
      </c>
      <c r="H1101" s="25" t="s">
        <v>2532</v>
      </c>
      <c r="I1101" s="25" t="n">
        <f aca="false">IFERROR(IF(INDEX(Documents!$C$5:$C$657,MATCH(H1101,Documents!$A$5:$A$657,0))="","",INDEX(Documents!$C$5:$C$657,MATCH(H1101,Documents!$A$5:$A$657,0))),"")</f>
        <v>2013</v>
      </c>
      <c r="J1101" s="25" t="str">
        <f aca="false">IFERROR(IF(INDEX(Documents!$D$5:$D$657,MATCH(H1101,Documents!$A$5:$A$657,0))="","",INDEX(Documents!$D$5:$D$657,MATCH(H1101,Documents!$A$5:$A$657,0))),"")</f>
        <v>J Med Chem</v>
      </c>
      <c r="K1101" s="25" t="str">
        <f aca="false">IFERROR(IF(INDEX(Documents!$G$5:$G$657,MATCH(H1101,Documents!$A$5:$A$657,0))="","",INDEX(Documents!$G$5:$G$657,MATCH(H1101,Documents!$A$5:$A$657,0))),"")</f>
        <v>10.1021/jm3017464</v>
      </c>
      <c r="L1101" s="25" t="s">
        <v>2533</v>
      </c>
    </row>
    <row r="1102" customFormat="false" ht="15" hidden="false" customHeight="false" outlineLevel="0" collapsed="false">
      <c r="A1102" s="25" t="n">
        <v>12664972</v>
      </c>
      <c r="B1102" s="25" t="s">
        <v>2606</v>
      </c>
      <c r="C1102" s="25" t="s">
        <v>2607</v>
      </c>
      <c r="D1102" s="26" t="n">
        <v>2303</v>
      </c>
      <c r="E1102" s="27" t="n">
        <v>5.63770606203577</v>
      </c>
      <c r="F1102" s="27" t="n">
        <v>5.63785320249535</v>
      </c>
      <c r="G1102" s="25" t="s">
        <v>2531</v>
      </c>
      <c r="H1102" s="25" t="s">
        <v>2532</v>
      </c>
      <c r="I1102" s="25" t="n">
        <f aca="false">IFERROR(IF(INDEX(Documents!$C$5:$C$657,MATCH(H1102,Documents!$A$5:$A$657,0))="","",INDEX(Documents!$C$5:$C$657,MATCH(H1102,Documents!$A$5:$A$657,0))),"")</f>
        <v>2013</v>
      </c>
      <c r="J1102" s="25" t="str">
        <f aca="false">IFERROR(IF(INDEX(Documents!$D$5:$D$657,MATCH(H1102,Documents!$A$5:$A$657,0))="","",INDEX(Documents!$D$5:$D$657,MATCH(H1102,Documents!$A$5:$A$657,0))),"")</f>
        <v>J Med Chem</v>
      </c>
      <c r="K1102" s="25" t="str">
        <f aca="false">IFERROR(IF(INDEX(Documents!$G$5:$G$657,MATCH(H1102,Documents!$A$5:$A$657,0))="","",INDEX(Documents!$G$5:$G$657,MATCH(H1102,Documents!$A$5:$A$657,0))),"")</f>
        <v>10.1021/jm3017464</v>
      </c>
      <c r="L1102" s="25" t="s">
        <v>2533</v>
      </c>
    </row>
    <row r="1103" customFormat="false" ht="15" hidden="false" customHeight="false" outlineLevel="0" collapsed="false">
      <c r="A1103" s="25" t="n">
        <v>12663669</v>
      </c>
      <c r="B1103" s="25" t="s">
        <v>2606</v>
      </c>
      <c r="C1103" s="25" t="s">
        <v>2607</v>
      </c>
      <c r="D1103" s="26" t="n">
        <v>2301.44</v>
      </c>
      <c r="E1103" s="27" t="n">
        <v>5.63800034295492</v>
      </c>
      <c r="F1103" s="27" t="n">
        <v>5.63785320249535</v>
      </c>
      <c r="G1103" s="25" t="s">
        <v>2531</v>
      </c>
      <c r="H1103" s="25" t="s">
        <v>2532</v>
      </c>
      <c r="I1103" s="25" t="n">
        <f aca="false">IFERROR(IF(INDEX(Documents!$C$5:$C$657,MATCH(H1103,Documents!$A$5:$A$657,0))="","",INDEX(Documents!$C$5:$C$657,MATCH(H1103,Documents!$A$5:$A$657,0))),"")</f>
        <v>2013</v>
      </c>
      <c r="J1103" s="25" t="str">
        <f aca="false">IFERROR(IF(INDEX(Documents!$D$5:$D$657,MATCH(H1103,Documents!$A$5:$A$657,0))="","",INDEX(Documents!$D$5:$D$657,MATCH(H1103,Documents!$A$5:$A$657,0))),"")</f>
        <v>J Med Chem</v>
      </c>
      <c r="K1103" s="25" t="str">
        <f aca="false">IFERROR(IF(INDEX(Documents!$G$5:$G$657,MATCH(H1103,Documents!$A$5:$A$657,0))="","",INDEX(Documents!$G$5:$G$657,MATCH(H1103,Documents!$A$5:$A$657,0))),"")</f>
        <v>10.1021/jm3017464</v>
      </c>
      <c r="L1103" s="25" t="s">
        <v>2533</v>
      </c>
    </row>
    <row r="1104" customFormat="false" ht="15" hidden="false" customHeight="false" outlineLevel="0" collapsed="false">
      <c r="A1104" s="25" t="n">
        <v>18986538</v>
      </c>
      <c r="B1104" s="25" t="s">
        <v>2608</v>
      </c>
      <c r="C1104" s="25" t="s">
        <v>2609</v>
      </c>
      <c r="D1104" s="26" t="n">
        <v>980</v>
      </c>
      <c r="E1104" s="27" t="n">
        <v>6.00877392430751</v>
      </c>
      <c r="F1104" s="27" t="n">
        <v>6.00877392430751</v>
      </c>
      <c r="G1104" s="25" t="s">
        <v>2581</v>
      </c>
      <c r="H1104" s="25" t="s">
        <v>2582</v>
      </c>
      <c r="I1104" s="25" t="n">
        <f aca="false">IFERROR(IF(INDEX(Documents!$C$5:$C$657,MATCH(H1104,Documents!$A$5:$A$657,0))="","",INDEX(Documents!$C$5:$C$657,MATCH(H1104,Documents!$A$5:$A$657,0))),"")</f>
        <v>2019</v>
      </c>
      <c r="J1104" s="25" t="str">
        <f aca="false">IFERROR(IF(INDEX(Documents!$D$5:$D$657,MATCH(H1104,Documents!$A$5:$A$657,0))="","",INDEX(Documents!$D$5:$D$657,MATCH(H1104,Documents!$A$5:$A$657,0))),"")</f>
        <v>ACS Med Chem Lett</v>
      </c>
      <c r="K1104" s="25" t="str">
        <f aca="false">IFERROR(IF(INDEX(Documents!$G$5:$G$657,MATCH(H1104,Documents!$A$5:$A$657,0))="","",INDEX(Documents!$G$5:$G$657,MATCH(H1104,Documents!$A$5:$A$657,0))),"")</f>
        <v>10.1021/acsmedchemlett.8b00594</v>
      </c>
      <c r="L1104" s="25" t="s">
        <v>2583</v>
      </c>
    </row>
    <row r="1105" customFormat="false" ht="15" hidden="false" customHeight="false" outlineLevel="0" collapsed="false">
      <c r="A1105" s="25" t="n">
        <v>18986537</v>
      </c>
      <c r="B1105" s="25" t="s">
        <v>2610</v>
      </c>
      <c r="C1105" s="25" t="s">
        <v>2611</v>
      </c>
      <c r="D1105" s="26" t="n">
        <v>2510</v>
      </c>
      <c r="E1105" s="27" t="n">
        <v>5.60032627851896</v>
      </c>
      <c r="F1105" s="27" t="n">
        <v>5.60032627851896</v>
      </c>
      <c r="G1105" s="25" t="s">
        <v>2581</v>
      </c>
      <c r="H1105" s="25" t="s">
        <v>2582</v>
      </c>
      <c r="I1105" s="25" t="n">
        <f aca="false">IFERROR(IF(INDEX(Documents!$C$5:$C$657,MATCH(H1105,Documents!$A$5:$A$657,0))="","",INDEX(Documents!$C$5:$C$657,MATCH(H1105,Documents!$A$5:$A$657,0))),"")</f>
        <v>2019</v>
      </c>
      <c r="J1105" s="25" t="str">
        <f aca="false">IFERROR(IF(INDEX(Documents!$D$5:$D$657,MATCH(H1105,Documents!$A$5:$A$657,0))="","",INDEX(Documents!$D$5:$D$657,MATCH(H1105,Documents!$A$5:$A$657,0))),"")</f>
        <v>ACS Med Chem Lett</v>
      </c>
      <c r="K1105" s="25" t="str">
        <f aca="false">IFERROR(IF(INDEX(Documents!$G$5:$G$657,MATCH(H1105,Documents!$A$5:$A$657,0))="","",INDEX(Documents!$G$5:$G$657,MATCH(H1105,Documents!$A$5:$A$657,0))),"")</f>
        <v>10.1021/acsmedchemlett.8b00594</v>
      </c>
      <c r="L1105" s="25" t="s">
        <v>2583</v>
      </c>
    </row>
    <row r="1106" customFormat="false" ht="15" hidden="false" customHeight="false" outlineLevel="0" collapsed="false">
      <c r="A1106" s="25" t="n">
        <v>18986544</v>
      </c>
      <c r="B1106" s="25" t="s">
        <v>2612</v>
      </c>
      <c r="C1106" s="25" t="s">
        <v>2613</v>
      </c>
      <c r="D1106" s="26" t="n">
        <v>1740</v>
      </c>
      <c r="E1106" s="27" t="n">
        <v>5.7594507517174</v>
      </c>
      <c r="F1106" s="27" t="n">
        <v>5.7594507517174</v>
      </c>
      <c r="G1106" s="25" t="s">
        <v>2581</v>
      </c>
      <c r="H1106" s="25" t="s">
        <v>2582</v>
      </c>
      <c r="I1106" s="25" t="n">
        <f aca="false">IFERROR(IF(INDEX(Documents!$C$5:$C$657,MATCH(H1106,Documents!$A$5:$A$657,0))="","",INDEX(Documents!$C$5:$C$657,MATCH(H1106,Documents!$A$5:$A$657,0))),"")</f>
        <v>2019</v>
      </c>
      <c r="J1106" s="25" t="str">
        <f aca="false">IFERROR(IF(INDEX(Documents!$D$5:$D$657,MATCH(H1106,Documents!$A$5:$A$657,0))="","",INDEX(Documents!$D$5:$D$657,MATCH(H1106,Documents!$A$5:$A$657,0))),"")</f>
        <v>ACS Med Chem Lett</v>
      </c>
      <c r="K1106" s="25" t="str">
        <f aca="false">IFERROR(IF(INDEX(Documents!$G$5:$G$657,MATCH(H1106,Documents!$A$5:$A$657,0))="","",INDEX(Documents!$G$5:$G$657,MATCH(H1106,Documents!$A$5:$A$657,0))),"")</f>
        <v>10.1021/acsmedchemlett.8b00594</v>
      </c>
      <c r="L1106" s="25" t="s">
        <v>2583</v>
      </c>
    </row>
    <row r="1107" customFormat="false" ht="15" hidden="false" customHeight="false" outlineLevel="0" collapsed="false">
      <c r="A1107" s="25" t="n">
        <v>18986534</v>
      </c>
      <c r="B1107" s="25" t="s">
        <v>2614</v>
      </c>
      <c r="C1107" s="25" t="s">
        <v>2615</v>
      </c>
      <c r="D1107" s="26" t="n">
        <v>2010</v>
      </c>
      <c r="E1107" s="27" t="n">
        <v>5.69680394257951</v>
      </c>
      <c r="F1107" s="27" t="n">
        <v>5.69680394257951</v>
      </c>
      <c r="G1107" s="25" t="s">
        <v>2581</v>
      </c>
      <c r="H1107" s="25" t="s">
        <v>2582</v>
      </c>
      <c r="I1107" s="25" t="n">
        <f aca="false">IFERROR(IF(INDEX(Documents!$C$5:$C$657,MATCH(H1107,Documents!$A$5:$A$657,0))="","",INDEX(Documents!$C$5:$C$657,MATCH(H1107,Documents!$A$5:$A$657,0))),"")</f>
        <v>2019</v>
      </c>
      <c r="J1107" s="25" t="str">
        <f aca="false">IFERROR(IF(INDEX(Documents!$D$5:$D$657,MATCH(H1107,Documents!$A$5:$A$657,0))="","",INDEX(Documents!$D$5:$D$657,MATCH(H1107,Documents!$A$5:$A$657,0))),"")</f>
        <v>ACS Med Chem Lett</v>
      </c>
      <c r="K1107" s="25" t="str">
        <f aca="false">IFERROR(IF(INDEX(Documents!$G$5:$G$657,MATCH(H1107,Documents!$A$5:$A$657,0))="","",INDEX(Documents!$G$5:$G$657,MATCH(H1107,Documents!$A$5:$A$657,0))),"")</f>
        <v>10.1021/acsmedchemlett.8b00594</v>
      </c>
      <c r="L1107" s="25" t="s">
        <v>2583</v>
      </c>
    </row>
    <row r="1108" customFormat="false" ht="15" hidden="false" customHeight="false" outlineLevel="0" collapsed="false">
      <c r="A1108" s="25" t="n">
        <v>5100336</v>
      </c>
      <c r="B1108" s="25" t="s">
        <v>2616</v>
      </c>
      <c r="C1108" s="25" t="s">
        <v>2617</v>
      </c>
      <c r="D1108" s="26" t="n">
        <v>204.8</v>
      </c>
      <c r="E1108" s="27" t="n">
        <v>6.68867004769621</v>
      </c>
      <c r="F1108" s="27" t="n">
        <v>6.68867004769621</v>
      </c>
      <c r="G1108" s="25" t="s">
        <v>1811</v>
      </c>
      <c r="H1108" s="25" t="s">
        <v>1812</v>
      </c>
      <c r="I1108" s="25" t="n">
        <f aca="false">IFERROR(IF(INDEX(Documents!$C$5:$C$657,MATCH(H1108,Documents!$A$5:$A$657,0))="","",INDEX(Documents!$C$5:$C$657,MATCH(H1108,Documents!$A$5:$A$657,0))),"")</f>
        <v>2010</v>
      </c>
      <c r="J1108" s="25" t="str">
        <f aca="false">IFERROR(IF(INDEX(Documents!$D$5:$D$657,MATCH(H1108,Documents!$A$5:$A$657,0))="","",INDEX(Documents!$D$5:$D$657,MATCH(H1108,Documents!$A$5:$A$657,0))),"")</f>
        <v>Eur J Med Chem</v>
      </c>
      <c r="K1108" s="25" t="str">
        <f aca="false">IFERROR(IF(INDEX(Documents!$G$5:$G$657,MATCH(H1108,Documents!$A$5:$A$657,0))="","",INDEX(Documents!$G$5:$G$657,MATCH(H1108,Documents!$A$5:$A$657,0))),"")</f>
        <v>10.1016/j.ejmech.2010.09.053</v>
      </c>
      <c r="L1108" s="25" t="s">
        <v>1813</v>
      </c>
    </row>
    <row r="1109" customFormat="false" ht="15" hidden="false" customHeight="false" outlineLevel="0" collapsed="false">
      <c r="A1109" s="25" t="n">
        <v>5100330</v>
      </c>
      <c r="B1109" s="25" t="s">
        <v>2618</v>
      </c>
      <c r="C1109" s="25" t="s">
        <v>2619</v>
      </c>
      <c r="D1109" s="26" t="n">
        <v>255.1</v>
      </c>
      <c r="E1109" s="27" t="n">
        <v>6.59328954139021</v>
      </c>
      <c r="F1109" s="27" t="n">
        <v>6.59328954139021</v>
      </c>
      <c r="G1109" s="25" t="s">
        <v>1811</v>
      </c>
      <c r="H1109" s="25" t="s">
        <v>1812</v>
      </c>
      <c r="I1109" s="25" t="n">
        <f aca="false">IFERROR(IF(INDEX(Documents!$C$5:$C$657,MATCH(H1109,Documents!$A$5:$A$657,0))="","",INDEX(Documents!$C$5:$C$657,MATCH(H1109,Documents!$A$5:$A$657,0))),"")</f>
        <v>2010</v>
      </c>
      <c r="J1109" s="25" t="str">
        <f aca="false">IFERROR(IF(INDEX(Documents!$D$5:$D$657,MATCH(H1109,Documents!$A$5:$A$657,0))="","",INDEX(Documents!$D$5:$D$657,MATCH(H1109,Documents!$A$5:$A$657,0))),"")</f>
        <v>Eur J Med Chem</v>
      </c>
      <c r="K1109" s="25" t="str">
        <f aca="false">IFERROR(IF(INDEX(Documents!$G$5:$G$657,MATCH(H1109,Documents!$A$5:$A$657,0))="","",INDEX(Documents!$G$5:$G$657,MATCH(H1109,Documents!$A$5:$A$657,0))),"")</f>
        <v>10.1016/j.ejmech.2010.09.053</v>
      </c>
      <c r="L1109" s="25" t="s">
        <v>1813</v>
      </c>
    </row>
    <row r="1110" customFormat="false" ht="15" hidden="false" customHeight="false" outlineLevel="0" collapsed="false">
      <c r="A1110" s="25" t="n">
        <v>5100337</v>
      </c>
      <c r="B1110" s="25" t="s">
        <v>2620</v>
      </c>
      <c r="C1110" s="25" t="s">
        <v>2621</v>
      </c>
      <c r="D1110" s="26" t="n">
        <v>365.5</v>
      </c>
      <c r="E1110" s="27" t="n">
        <v>6.43711261870612</v>
      </c>
      <c r="F1110" s="27" t="n">
        <v>6.43711261870612</v>
      </c>
      <c r="G1110" s="25" t="s">
        <v>1811</v>
      </c>
      <c r="H1110" s="25" t="s">
        <v>1812</v>
      </c>
      <c r="I1110" s="25" t="n">
        <f aca="false">IFERROR(IF(INDEX(Documents!$C$5:$C$657,MATCH(H1110,Documents!$A$5:$A$657,0))="","",INDEX(Documents!$C$5:$C$657,MATCH(H1110,Documents!$A$5:$A$657,0))),"")</f>
        <v>2010</v>
      </c>
      <c r="J1110" s="25" t="str">
        <f aca="false">IFERROR(IF(INDEX(Documents!$D$5:$D$657,MATCH(H1110,Documents!$A$5:$A$657,0))="","",INDEX(Documents!$D$5:$D$657,MATCH(H1110,Documents!$A$5:$A$657,0))),"")</f>
        <v>Eur J Med Chem</v>
      </c>
      <c r="K1110" s="25" t="str">
        <f aca="false">IFERROR(IF(INDEX(Documents!$G$5:$G$657,MATCH(H1110,Documents!$A$5:$A$657,0))="","",INDEX(Documents!$G$5:$G$657,MATCH(H1110,Documents!$A$5:$A$657,0))),"")</f>
        <v>10.1016/j.ejmech.2010.09.053</v>
      </c>
      <c r="L1110" s="25" t="s">
        <v>1813</v>
      </c>
    </row>
    <row r="1111" customFormat="false" ht="15" hidden="false" customHeight="false" outlineLevel="0" collapsed="false">
      <c r="A1111" s="25" t="n">
        <v>18986542</v>
      </c>
      <c r="B1111" s="25" t="s">
        <v>2622</v>
      </c>
      <c r="C1111" s="25" t="s">
        <v>2623</v>
      </c>
      <c r="D1111" s="26" t="n">
        <v>1010</v>
      </c>
      <c r="E1111" s="27" t="n">
        <v>5.99567862621736</v>
      </c>
      <c r="F1111" s="27" t="n">
        <v>5.99567862621736</v>
      </c>
      <c r="G1111" s="25" t="s">
        <v>2581</v>
      </c>
      <c r="H1111" s="25" t="s">
        <v>2582</v>
      </c>
      <c r="I1111" s="25" t="n">
        <f aca="false">IFERROR(IF(INDEX(Documents!$C$5:$C$657,MATCH(H1111,Documents!$A$5:$A$657,0))="","",INDEX(Documents!$C$5:$C$657,MATCH(H1111,Documents!$A$5:$A$657,0))),"")</f>
        <v>2019</v>
      </c>
      <c r="J1111" s="25" t="str">
        <f aca="false">IFERROR(IF(INDEX(Documents!$D$5:$D$657,MATCH(H1111,Documents!$A$5:$A$657,0))="","",INDEX(Documents!$D$5:$D$657,MATCH(H1111,Documents!$A$5:$A$657,0))),"")</f>
        <v>ACS Med Chem Lett</v>
      </c>
      <c r="K1111" s="25" t="str">
        <f aca="false">IFERROR(IF(INDEX(Documents!$G$5:$G$657,MATCH(H1111,Documents!$A$5:$A$657,0))="","",INDEX(Documents!$G$5:$G$657,MATCH(H1111,Documents!$A$5:$A$657,0))),"")</f>
        <v>10.1021/acsmedchemlett.8b00594</v>
      </c>
      <c r="L1111" s="25" t="s">
        <v>2583</v>
      </c>
    </row>
    <row r="1112" customFormat="false" ht="15" hidden="false" customHeight="false" outlineLevel="0" collapsed="false">
      <c r="A1112" s="25" t="n">
        <v>25462072</v>
      </c>
      <c r="B1112" s="25" t="s">
        <v>2624</v>
      </c>
      <c r="C1112" s="25" t="s">
        <v>2625</v>
      </c>
      <c r="D1112" s="26" t="n">
        <v>1180</v>
      </c>
      <c r="E1112" s="27" t="n">
        <v>5.92811799269387</v>
      </c>
      <c r="F1112" s="27" t="n">
        <v>5.92811799269387</v>
      </c>
      <c r="G1112" s="25" t="s">
        <v>2626</v>
      </c>
      <c r="H1112" s="25" t="s">
        <v>2627</v>
      </c>
      <c r="I1112" s="25" t="n">
        <f aca="false">IFERROR(IF(INDEX(Documents!$C$5:$C$657,MATCH(H1112,Documents!$A$5:$A$657,0))="","",INDEX(Documents!$C$5:$C$657,MATCH(H1112,Documents!$A$5:$A$657,0))),"")</f>
        <v>2023</v>
      </c>
      <c r="J1112" s="25" t="str">
        <f aca="false">IFERROR(IF(INDEX(Documents!$D$5:$D$657,MATCH(H1112,Documents!$A$5:$A$657,0))="","",INDEX(Documents!$D$5:$D$657,MATCH(H1112,Documents!$A$5:$A$657,0))),"")</f>
        <v>Eur J Med Chem</v>
      </c>
      <c r="K1112" s="25" t="str">
        <f aca="false">IFERROR(IF(INDEX(Documents!$G$5:$G$657,MATCH(H1112,Documents!$A$5:$A$657,0))="","",INDEX(Documents!$G$5:$G$657,MATCH(H1112,Documents!$A$5:$A$657,0))),"")</f>
        <v>10.1016/j.ejmech.2023.115109</v>
      </c>
      <c r="L1112" s="25" t="s">
        <v>2628</v>
      </c>
    </row>
    <row r="1113" customFormat="false" ht="15" hidden="false" customHeight="false" outlineLevel="0" collapsed="false">
      <c r="A1113" s="25" t="n">
        <v>25462077</v>
      </c>
      <c r="B1113" s="25" t="s">
        <v>2629</v>
      </c>
      <c r="C1113" s="25" t="s">
        <v>2630</v>
      </c>
      <c r="D1113" s="26" t="n">
        <v>160</v>
      </c>
      <c r="E1113" s="27" t="n">
        <v>6.79588001734408</v>
      </c>
      <c r="F1113" s="27" t="n">
        <v>6.79588001734408</v>
      </c>
      <c r="G1113" s="25" t="s">
        <v>2626</v>
      </c>
      <c r="H1113" s="25" t="s">
        <v>2627</v>
      </c>
      <c r="I1113" s="25" t="n">
        <f aca="false">IFERROR(IF(INDEX(Documents!$C$5:$C$657,MATCH(H1113,Documents!$A$5:$A$657,0))="","",INDEX(Documents!$C$5:$C$657,MATCH(H1113,Documents!$A$5:$A$657,0))),"")</f>
        <v>2023</v>
      </c>
      <c r="J1113" s="25" t="str">
        <f aca="false">IFERROR(IF(INDEX(Documents!$D$5:$D$657,MATCH(H1113,Documents!$A$5:$A$657,0))="","",INDEX(Documents!$D$5:$D$657,MATCH(H1113,Documents!$A$5:$A$657,0))),"")</f>
        <v>Eur J Med Chem</v>
      </c>
      <c r="K1113" s="25" t="str">
        <f aca="false">IFERROR(IF(INDEX(Documents!$G$5:$G$657,MATCH(H1113,Documents!$A$5:$A$657,0))="","",INDEX(Documents!$G$5:$G$657,MATCH(H1113,Documents!$A$5:$A$657,0))),"")</f>
        <v>10.1016/j.ejmech.2023.115109</v>
      </c>
      <c r="L1113" s="25" t="s">
        <v>2628</v>
      </c>
    </row>
    <row r="1114" customFormat="false" ht="15" hidden="false" customHeight="false" outlineLevel="0" collapsed="false">
      <c r="A1114" s="25" t="n">
        <v>19087975</v>
      </c>
      <c r="B1114" s="25" t="s">
        <v>2631</v>
      </c>
      <c r="C1114" s="25" t="s">
        <v>2632</v>
      </c>
      <c r="D1114" s="26" t="n">
        <v>410</v>
      </c>
      <c r="E1114" s="27" t="n">
        <v>6.38721614328027</v>
      </c>
      <c r="F1114" s="27" t="n">
        <v>6.38721614328027</v>
      </c>
      <c r="G1114" s="25" t="s">
        <v>2633</v>
      </c>
      <c r="H1114" s="25" t="s">
        <v>2634</v>
      </c>
      <c r="I1114" s="25" t="n">
        <f aca="false">IFERROR(IF(INDEX(Documents!$C$5:$C$657,MATCH(H1114,Documents!$A$5:$A$657,0))="","",INDEX(Documents!$C$5:$C$657,MATCH(H1114,Documents!$A$5:$A$657,0))),"")</f>
        <v>2019</v>
      </c>
      <c r="J1114" s="25" t="str">
        <f aca="false">IFERROR(IF(INDEX(Documents!$D$5:$D$657,MATCH(H1114,Documents!$A$5:$A$657,0))="","",INDEX(Documents!$D$5:$D$657,MATCH(H1114,Documents!$A$5:$A$657,0))),"")</f>
        <v>Eur J Med Chem</v>
      </c>
      <c r="K1114" s="25" t="str">
        <f aca="false">IFERROR(IF(INDEX(Documents!$G$5:$G$657,MATCH(H1114,Documents!$A$5:$A$657,0))="","",INDEX(Documents!$G$5:$G$657,MATCH(H1114,Documents!$A$5:$A$657,0))),"")</f>
        <v>10.1016/j.ejmech.2019.05.080</v>
      </c>
      <c r="L1114" s="25" t="s">
        <v>2635</v>
      </c>
    </row>
    <row r="1115" customFormat="false" ht="15" hidden="false" customHeight="false" outlineLevel="0" collapsed="false">
      <c r="A1115" s="25" t="n">
        <v>25462068</v>
      </c>
      <c r="B1115" s="25" t="s">
        <v>2636</v>
      </c>
      <c r="C1115" s="25" t="s">
        <v>2637</v>
      </c>
      <c r="D1115" s="26" t="n">
        <v>922.5</v>
      </c>
      <c r="E1115" s="27" t="n">
        <v>6.0350336251689</v>
      </c>
      <c r="F1115" s="27" t="n">
        <v>6.0350336251689</v>
      </c>
      <c r="G1115" s="25" t="s">
        <v>2626</v>
      </c>
      <c r="H1115" s="25" t="s">
        <v>2627</v>
      </c>
      <c r="I1115" s="25" t="n">
        <f aca="false">IFERROR(IF(INDEX(Documents!$C$5:$C$657,MATCH(H1115,Documents!$A$5:$A$657,0))="","",INDEX(Documents!$C$5:$C$657,MATCH(H1115,Documents!$A$5:$A$657,0))),"")</f>
        <v>2023</v>
      </c>
      <c r="J1115" s="25" t="str">
        <f aca="false">IFERROR(IF(INDEX(Documents!$D$5:$D$657,MATCH(H1115,Documents!$A$5:$A$657,0))="","",INDEX(Documents!$D$5:$D$657,MATCH(H1115,Documents!$A$5:$A$657,0))),"")</f>
        <v>Eur J Med Chem</v>
      </c>
      <c r="K1115" s="25" t="str">
        <f aca="false">IFERROR(IF(INDEX(Documents!$G$5:$G$657,MATCH(H1115,Documents!$A$5:$A$657,0))="","",INDEX(Documents!$G$5:$G$657,MATCH(H1115,Documents!$A$5:$A$657,0))),"")</f>
        <v>10.1016/j.ejmech.2023.115109</v>
      </c>
      <c r="L1115" s="25" t="s">
        <v>2628</v>
      </c>
    </row>
    <row r="1116" customFormat="false" ht="15" hidden="false" customHeight="false" outlineLevel="0" collapsed="false">
      <c r="A1116" s="25" t="n">
        <v>18986543</v>
      </c>
      <c r="B1116" s="25" t="s">
        <v>2638</v>
      </c>
      <c r="C1116" s="25" t="s">
        <v>2639</v>
      </c>
      <c r="D1116" s="26" t="n">
        <v>230</v>
      </c>
      <c r="E1116" s="27" t="n">
        <v>6.63827216398241</v>
      </c>
      <c r="F1116" s="27" t="n">
        <v>6.63827216398241</v>
      </c>
      <c r="G1116" s="25" t="s">
        <v>2581</v>
      </c>
      <c r="H1116" s="25" t="s">
        <v>2582</v>
      </c>
      <c r="I1116" s="25" t="n">
        <f aca="false">IFERROR(IF(INDEX(Documents!$C$5:$C$657,MATCH(H1116,Documents!$A$5:$A$657,0))="","",INDEX(Documents!$C$5:$C$657,MATCH(H1116,Documents!$A$5:$A$657,0))),"")</f>
        <v>2019</v>
      </c>
      <c r="J1116" s="25" t="str">
        <f aca="false">IFERROR(IF(INDEX(Documents!$D$5:$D$657,MATCH(H1116,Documents!$A$5:$A$657,0))="","",INDEX(Documents!$D$5:$D$657,MATCH(H1116,Documents!$A$5:$A$657,0))),"")</f>
        <v>ACS Med Chem Lett</v>
      </c>
      <c r="K1116" s="25" t="str">
        <f aca="false">IFERROR(IF(INDEX(Documents!$G$5:$G$657,MATCH(H1116,Documents!$A$5:$A$657,0))="","",INDEX(Documents!$G$5:$G$657,MATCH(H1116,Documents!$A$5:$A$657,0))),"")</f>
        <v>10.1021/acsmedchemlett.8b00594</v>
      </c>
      <c r="L1116" s="25" t="s">
        <v>2583</v>
      </c>
    </row>
    <row r="1117" customFormat="false" ht="15" hidden="false" customHeight="false" outlineLevel="0" collapsed="false">
      <c r="A1117" s="25" t="n">
        <v>2422636</v>
      </c>
      <c r="B1117" s="25" t="s">
        <v>2640</v>
      </c>
      <c r="C1117" s="25" t="s">
        <v>2641</v>
      </c>
      <c r="D1117" s="26" t="n">
        <v>210</v>
      </c>
      <c r="E1117" s="27" t="n">
        <v>6.67778070526608</v>
      </c>
      <c r="F1117" s="27" t="n">
        <v>6.68888625135613</v>
      </c>
      <c r="G1117" s="25" t="s">
        <v>1044</v>
      </c>
      <c r="H1117" s="25" t="s">
        <v>1045</v>
      </c>
      <c r="I1117" s="25" t="n">
        <f aca="false">IFERROR(IF(INDEX(Documents!$C$5:$C$657,MATCH(H1117,Documents!$A$5:$A$657,0))="","",INDEX(Documents!$C$5:$C$657,MATCH(H1117,Documents!$A$5:$A$657,0))),"")</f>
        <v>2009</v>
      </c>
      <c r="J1117" s="25" t="str">
        <f aca="false">IFERROR(IF(INDEX(Documents!$D$5:$D$657,MATCH(H1117,Documents!$A$5:$A$657,0))="","",INDEX(Documents!$D$5:$D$657,MATCH(H1117,Documents!$A$5:$A$657,0))),"")</f>
        <v>J Med Chem</v>
      </c>
      <c r="K1117" s="25" t="str">
        <f aca="false">IFERROR(IF(INDEX(Documents!$G$5:$G$657,MATCH(H1117,Documents!$A$5:$A$657,0))="","",INDEX(Documents!$G$5:$G$657,MATCH(H1117,Documents!$A$5:$A$657,0))),"")</f>
        <v>10.1021/jm8016255</v>
      </c>
      <c r="L1117" s="25" t="s">
        <v>1046</v>
      </c>
    </row>
    <row r="1118" customFormat="false" ht="15" hidden="false" customHeight="false" outlineLevel="0" collapsed="false">
      <c r="A1118" s="25" t="n">
        <v>2422702</v>
      </c>
      <c r="B1118" s="25" t="s">
        <v>2640</v>
      </c>
      <c r="C1118" s="25" t="s">
        <v>2641</v>
      </c>
      <c r="D1118" s="26" t="n">
        <v>199.53</v>
      </c>
      <c r="E1118" s="27" t="n">
        <v>6.69999179744619</v>
      </c>
      <c r="F1118" s="27" t="n">
        <v>6.68888625135613</v>
      </c>
      <c r="G1118" s="25" t="s">
        <v>1044</v>
      </c>
      <c r="H1118" s="25" t="s">
        <v>1045</v>
      </c>
      <c r="I1118" s="25" t="n">
        <f aca="false">IFERROR(IF(INDEX(Documents!$C$5:$C$657,MATCH(H1118,Documents!$A$5:$A$657,0))="","",INDEX(Documents!$C$5:$C$657,MATCH(H1118,Documents!$A$5:$A$657,0))),"")</f>
        <v>2009</v>
      </c>
      <c r="J1118" s="25" t="str">
        <f aca="false">IFERROR(IF(INDEX(Documents!$D$5:$D$657,MATCH(H1118,Documents!$A$5:$A$657,0))="","",INDEX(Documents!$D$5:$D$657,MATCH(H1118,Documents!$A$5:$A$657,0))),"")</f>
        <v>J Med Chem</v>
      </c>
      <c r="K1118" s="25" t="str">
        <f aca="false">IFERROR(IF(INDEX(Documents!$G$5:$G$657,MATCH(H1118,Documents!$A$5:$A$657,0))="","",INDEX(Documents!$G$5:$G$657,MATCH(H1118,Documents!$A$5:$A$657,0))),"")</f>
        <v>10.1021/jm8016255</v>
      </c>
      <c r="L1118" s="25" t="s">
        <v>1046</v>
      </c>
    </row>
    <row r="1119" customFormat="false" ht="15" hidden="false" customHeight="false" outlineLevel="0" collapsed="false">
      <c r="A1119" s="25" t="n">
        <v>2422688</v>
      </c>
      <c r="B1119" s="25" t="s">
        <v>2642</v>
      </c>
      <c r="C1119" s="25" t="s">
        <v>2643</v>
      </c>
      <c r="D1119" s="26" t="n">
        <v>2511.89</v>
      </c>
      <c r="E1119" s="27" t="n">
        <v>5.59999938302362</v>
      </c>
      <c r="F1119" s="27" t="n">
        <v>5.6080920085216</v>
      </c>
      <c r="G1119" s="25" t="s">
        <v>1044</v>
      </c>
      <c r="H1119" s="25" t="s">
        <v>1045</v>
      </c>
      <c r="I1119" s="25" t="n">
        <f aca="false">IFERROR(IF(INDEX(Documents!$C$5:$C$657,MATCH(H1119,Documents!$A$5:$A$657,0))="","",INDEX(Documents!$C$5:$C$657,MATCH(H1119,Documents!$A$5:$A$657,0))),"")</f>
        <v>2009</v>
      </c>
      <c r="J1119" s="25" t="str">
        <f aca="false">IFERROR(IF(INDEX(Documents!$D$5:$D$657,MATCH(H1119,Documents!$A$5:$A$657,0))="","",INDEX(Documents!$D$5:$D$657,MATCH(H1119,Documents!$A$5:$A$657,0))),"")</f>
        <v>J Med Chem</v>
      </c>
      <c r="K1119" s="25" t="str">
        <f aca="false">IFERROR(IF(INDEX(Documents!$G$5:$G$657,MATCH(H1119,Documents!$A$5:$A$657,0))="","",INDEX(Documents!$G$5:$G$657,MATCH(H1119,Documents!$A$5:$A$657,0))),"")</f>
        <v>10.1021/jm8016255</v>
      </c>
      <c r="L1119" s="25" t="s">
        <v>1046</v>
      </c>
    </row>
    <row r="1120" customFormat="false" ht="15" hidden="false" customHeight="false" outlineLevel="0" collapsed="false">
      <c r="A1120" s="25" t="n">
        <v>2422629</v>
      </c>
      <c r="B1120" s="25" t="s">
        <v>2642</v>
      </c>
      <c r="C1120" s="25" t="s">
        <v>2643</v>
      </c>
      <c r="D1120" s="26" t="n">
        <v>2420</v>
      </c>
      <c r="E1120" s="27" t="n">
        <v>5.61618463401957</v>
      </c>
      <c r="F1120" s="27" t="n">
        <v>5.6080920085216</v>
      </c>
      <c r="G1120" s="25" t="s">
        <v>1044</v>
      </c>
      <c r="H1120" s="25" t="s">
        <v>1045</v>
      </c>
      <c r="I1120" s="25" t="n">
        <f aca="false">IFERROR(IF(INDEX(Documents!$C$5:$C$657,MATCH(H1120,Documents!$A$5:$A$657,0))="","",INDEX(Documents!$C$5:$C$657,MATCH(H1120,Documents!$A$5:$A$657,0))),"")</f>
        <v>2009</v>
      </c>
      <c r="J1120" s="25" t="str">
        <f aca="false">IFERROR(IF(INDEX(Documents!$D$5:$D$657,MATCH(H1120,Documents!$A$5:$A$657,0))="","",INDEX(Documents!$D$5:$D$657,MATCH(H1120,Documents!$A$5:$A$657,0))),"")</f>
        <v>J Med Chem</v>
      </c>
      <c r="K1120" s="25" t="str">
        <f aca="false">IFERROR(IF(INDEX(Documents!$G$5:$G$657,MATCH(H1120,Documents!$A$5:$A$657,0))="","",INDEX(Documents!$G$5:$G$657,MATCH(H1120,Documents!$A$5:$A$657,0))),"")</f>
        <v>10.1021/jm8016255</v>
      </c>
      <c r="L1120" s="25" t="s">
        <v>1046</v>
      </c>
    </row>
    <row r="1121" customFormat="false" ht="15" hidden="false" customHeight="false" outlineLevel="0" collapsed="false">
      <c r="A1121" s="25" t="n">
        <v>24661781</v>
      </c>
      <c r="B1121" s="25" t="s">
        <v>2644</v>
      </c>
      <c r="C1121" s="25" t="s">
        <v>2645</v>
      </c>
      <c r="D1121" s="26" t="n">
        <v>6.9</v>
      </c>
      <c r="E1121" s="27" t="n">
        <v>8.16115090926274</v>
      </c>
      <c r="F1121" s="27" t="n">
        <v>8.16115090926274</v>
      </c>
      <c r="G1121" s="25" t="s">
        <v>2646</v>
      </c>
      <c r="H1121" s="25" t="s">
        <v>2647</v>
      </c>
      <c r="I1121" s="25" t="n">
        <f aca="false">IFERROR(IF(INDEX(Documents!$C$5:$C$657,MATCH(H1121,Documents!$A$5:$A$657,0))="","",INDEX(Documents!$C$5:$C$657,MATCH(H1121,Documents!$A$5:$A$657,0))),"")</f>
        <v>2021</v>
      </c>
      <c r="J1121" s="25" t="str">
        <f aca="false">IFERROR(IF(INDEX(Documents!$D$5:$D$657,MATCH(H1121,Documents!$A$5:$A$657,0))="","",INDEX(Documents!$D$5:$D$657,MATCH(H1121,Documents!$A$5:$A$657,0))),"")</f>
        <v>J Nat Prod</v>
      </c>
      <c r="K1121" s="25" t="str">
        <f aca="false">IFERROR(IF(INDEX(Documents!$G$5:$G$657,MATCH(H1121,Documents!$A$5:$A$657,0))="","",INDEX(Documents!$G$5:$G$657,MATCH(H1121,Documents!$A$5:$A$657,0))),"")</f>
        <v>10.1021/acs.jnatprod.0c00965</v>
      </c>
      <c r="L1121" s="25" t="s">
        <v>2648</v>
      </c>
    </row>
    <row r="1122" customFormat="false" ht="15" hidden="false" customHeight="false" outlineLevel="0" collapsed="false">
      <c r="A1122" s="25" t="n">
        <v>13499118</v>
      </c>
      <c r="B1122" s="25" t="s">
        <v>2649</v>
      </c>
      <c r="C1122" s="25" t="s">
        <v>2650</v>
      </c>
      <c r="D1122" s="26" t="n">
        <v>827</v>
      </c>
      <c r="E1122" s="27" t="n">
        <v>6.08249449044745</v>
      </c>
      <c r="F1122" s="27" t="n">
        <v>6.08249449044745</v>
      </c>
      <c r="G1122" s="25" t="s">
        <v>757</v>
      </c>
      <c r="H1122" s="25" t="s">
        <v>758</v>
      </c>
      <c r="I1122" s="25" t="n">
        <f aca="false">IFERROR(IF(INDEX(Documents!$C$5:$C$657,MATCH(H1122,Documents!$A$5:$A$657,0))="","",INDEX(Documents!$C$5:$C$657,MATCH(H1122,Documents!$A$5:$A$657,0))),"")</f>
        <v>2013</v>
      </c>
      <c r="J1122" s="25" t="str">
        <f aca="false">IFERROR(IF(INDEX(Documents!$D$5:$D$657,MATCH(H1122,Documents!$A$5:$A$657,0))="","",INDEX(Documents!$D$5:$D$657,MATCH(H1122,Documents!$A$5:$A$657,0))),"")</f>
        <v>Eur J Med Chem</v>
      </c>
      <c r="K1122" s="25" t="str">
        <f aca="false">IFERROR(IF(INDEX(Documents!$G$5:$G$657,MATCH(H1122,Documents!$A$5:$A$657,0))="","",INDEX(Documents!$G$5:$G$657,MATCH(H1122,Documents!$A$5:$A$657,0))),"")</f>
        <v>10.1016/j.ejmech.2013.09.038</v>
      </c>
      <c r="L1122" s="25" t="s">
        <v>759</v>
      </c>
    </row>
    <row r="1123" customFormat="false" ht="15" hidden="false" customHeight="false" outlineLevel="0" collapsed="false">
      <c r="A1123" s="25" t="n">
        <v>1793649</v>
      </c>
      <c r="B1123" s="25" t="s">
        <v>2651</v>
      </c>
      <c r="C1123" s="25" t="s">
        <v>2652</v>
      </c>
      <c r="D1123" s="26" t="n">
        <v>62</v>
      </c>
      <c r="E1123" s="27" t="n">
        <v>7.20760831050175</v>
      </c>
      <c r="F1123" s="27" t="n">
        <v>7.20760831050175</v>
      </c>
      <c r="G1123" s="25" t="s">
        <v>2653</v>
      </c>
      <c r="H1123" s="25" t="s">
        <v>2654</v>
      </c>
      <c r="I1123" s="25" t="n">
        <f aca="false">IFERROR(IF(INDEX(Documents!$C$5:$C$657,MATCH(H1123,Documents!$A$5:$A$657,0))="","",INDEX(Documents!$C$5:$C$657,MATCH(H1123,Documents!$A$5:$A$657,0))),"")</f>
        <v>2006</v>
      </c>
      <c r="J1123" s="25" t="str">
        <f aca="false">IFERROR(IF(INDEX(Documents!$D$5:$D$657,MATCH(H1123,Documents!$A$5:$A$657,0))="","",INDEX(Documents!$D$5:$D$657,MATCH(H1123,Documents!$A$5:$A$657,0))),"")</f>
        <v>Bioorg Med Chem Lett</v>
      </c>
      <c r="K1123" s="25" t="str">
        <f aca="false">IFERROR(IF(INDEX(Documents!$G$5:$G$657,MATCH(H1123,Documents!$A$5:$A$657,0))="","",INDEX(Documents!$G$5:$G$657,MATCH(H1123,Documents!$A$5:$A$657,0))),"")</f>
        <v>10.1016/j.bmcl.2006.07.051</v>
      </c>
      <c r="L1123" s="25" t="s">
        <v>709</v>
      </c>
    </row>
    <row r="1124" customFormat="false" ht="15" hidden="false" customHeight="false" outlineLevel="0" collapsed="false">
      <c r="A1124" s="25" t="n">
        <v>2224634</v>
      </c>
      <c r="B1124" s="25" t="s">
        <v>2655</v>
      </c>
      <c r="C1124" s="25" t="s">
        <v>2656</v>
      </c>
      <c r="D1124" s="26" t="n">
        <v>13.9</v>
      </c>
      <c r="E1124" s="27" t="n">
        <v>7.85698519974591</v>
      </c>
      <c r="F1124" s="27" t="n">
        <v>7.85698519974591</v>
      </c>
      <c r="G1124" s="25" t="s">
        <v>2657</v>
      </c>
      <c r="H1124" s="25" t="s">
        <v>2658</v>
      </c>
      <c r="I1124" s="25" t="n">
        <f aca="false">IFERROR(IF(INDEX(Documents!$C$5:$C$657,MATCH(H1124,Documents!$A$5:$A$657,0))="","",INDEX(Documents!$C$5:$C$657,MATCH(H1124,Documents!$A$5:$A$657,0))),"")</f>
        <v>2008</v>
      </c>
      <c r="J1124" s="25" t="str">
        <f aca="false">IFERROR(IF(INDEX(Documents!$D$5:$D$657,MATCH(H1124,Documents!$A$5:$A$657,0))="","",INDEX(Documents!$D$5:$D$657,MATCH(H1124,Documents!$A$5:$A$657,0))),"")</f>
        <v>J Med Chem</v>
      </c>
      <c r="K1124" s="25" t="str">
        <f aca="false">IFERROR(IF(INDEX(Documents!$G$5:$G$657,MATCH(H1124,Documents!$A$5:$A$657,0))="","",INDEX(Documents!$G$5:$G$657,MATCH(H1124,Documents!$A$5:$A$657,0))),"")</f>
        <v>10.1021/jm8002203</v>
      </c>
      <c r="L1124" s="25" t="s">
        <v>2659</v>
      </c>
    </row>
    <row r="1125" customFormat="false" ht="15" hidden="false" customHeight="false" outlineLevel="0" collapsed="false">
      <c r="A1125" s="25" t="n">
        <v>2250650</v>
      </c>
      <c r="B1125" s="25" t="s">
        <v>2660</v>
      </c>
      <c r="C1125" s="25" t="s">
        <v>2661</v>
      </c>
      <c r="D1125" s="26" t="n">
        <v>89.9</v>
      </c>
      <c r="E1125" s="27" t="n">
        <v>7.04624030826677</v>
      </c>
      <c r="F1125" s="27" t="n">
        <v>7.04624030826677</v>
      </c>
      <c r="G1125" s="25" t="s">
        <v>2662</v>
      </c>
      <c r="H1125" s="25" t="s">
        <v>2663</v>
      </c>
      <c r="I1125" s="25" t="n">
        <f aca="false">IFERROR(IF(INDEX(Documents!$C$5:$C$657,MATCH(H1125,Documents!$A$5:$A$657,0))="","",INDEX(Documents!$C$5:$C$657,MATCH(H1125,Documents!$A$5:$A$657,0))),"")</f>
        <v>2009</v>
      </c>
      <c r="J1125" s="25" t="str">
        <f aca="false">IFERROR(IF(INDEX(Documents!$D$5:$D$657,MATCH(H1125,Documents!$A$5:$A$657,0))="","",INDEX(Documents!$D$5:$D$657,MATCH(H1125,Documents!$A$5:$A$657,0))),"")</f>
        <v>J Med Chem</v>
      </c>
      <c r="K1125" s="25" t="str">
        <f aca="false">IFERROR(IF(INDEX(Documents!$G$5:$G$657,MATCH(H1125,Documents!$A$5:$A$657,0))="","",INDEX(Documents!$G$5:$G$657,MATCH(H1125,Documents!$A$5:$A$657,0))),"")</f>
        <v>10.1021/jm801353p</v>
      </c>
      <c r="L1125" s="25" t="s">
        <v>2664</v>
      </c>
    </row>
    <row r="1126" customFormat="false" ht="15" hidden="false" customHeight="false" outlineLevel="0" collapsed="false">
      <c r="A1126" s="25" t="n">
        <v>2224635</v>
      </c>
      <c r="B1126" s="25" t="s">
        <v>2665</v>
      </c>
      <c r="C1126" s="25" t="s">
        <v>2666</v>
      </c>
      <c r="D1126" s="26" t="n">
        <v>44.3</v>
      </c>
      <c r="E1126" s="27" t="n">
        <v>7.35359627377693</v>
      </c>
      <c r="F1126" s="27" t="n">
        <v>7.35359627377693</v>
      </c>
      <c r="G1126" s="25" t="s">
        <v>2657</v>
      </c>
      <c r="H1126" s="25" t="s">
        <v>2658</v>
      </c>
      <c r="I1126" s="25" t="n">
        <f aca="false">IFERROR(IF(INDEX(Documents!$C$5:$C$657,MATCH(H1126,Documents!$A$5:$A$657,0))="","",INDEX(Documents!$C$5:$C$657,MATCH(H1126,Documents!$A$5:$A$657,0))),"")</f>
        <v>2008</v>
      </c>
      <c r="J1126" s="25" t="str">
        <f aca="false">IFERROR(IF(INDEX(Documents!$D$5:$D$657,MATCH(H1126,Documents!$A$5:$A$657,0))="","",INDEX(Documents!$D$5:$D$657,MATCH(H1126,Documents!$A$5:$A$657,0))),"")</f>
        <v>J Med Chem</v>
      </c>
      <c r="K1126" s="25" t="str">
        <f aca="false">IFERROR(IF(INDEX(Documents!$G$5:$G$657,MATCH(H1126,Documents!$A$5:$A$657,0))="","",INDEX(Documents!$G$5:$G$657,MATCH(H1126,Documents!$A$5:$A$657,0))),"")</f>
        <v>10.1021/jm8002203</v>
      </c>
      <c r="L1126" s="25" t="s">
        <v>2659</v>
      </c>
    </row>
    <row r="1127" customFormat="false" ht="15" hidden="false" customHeight="false" outlineLevel="0" collapsed="false">
      <c r="A1127" s="25" t="n">
        <v>18986539</v>
      </c>
      <c r="B1127" s="25" t="s">
        <v>2667</v>
      </c>
      <c r="C1127" s="25" t="s">
        <v>2668</v>
      </c>
      <c r="D1127" s="26" t="n">
        <v>1010</v>
      </c>
      <c r="E1127" s="27" t="n">
        <v>5.99567862621736</v>
      </c>
      <c r="F1127" s="27" t="n">
        <v>5.99567862621736</v>
      </c>
      <c r="G1127" s="25" t="s">
        <v>2581</v>
      </c>
      <c r="H1127" s="25" t="s">
        <v>2582</v>
      </c>
      <c r="I1127" s="25" t="n">
        <f aca="false">IFERROR(IF(INDEX(Documents!$C$5:$C$657,MATCH(H1127,Documents!$A$5:$A$657,0))="","",INDEX(Documents!$C$5:$C$657,MATCH(H1127,Documents!$A$5:$A$657,0))),"")</f>
        <v>2019</v>
      </c>
      <c r="J1127" s="25" t="str">
        <f aca="false">IFERROR(IF(INDEX(Documents!$D$5:$D$657,MATCH(H1127,Documents!$A$5:$A$657,0))="","",INDEX(Documents!$D$5:$D$657,MATCH(H1127,Documents!$A$5:$A$657,0))),"")</f>
        <v>ACS Med Chem Lett</v>
      </c>
      <c r="K1127" s="25" t="str">
        <f aca="false">IFERROR(IF(INDEX(Documents!$G$5:$G$657,MATCH(H1127,Documents!$A$5:$A$657,0))="","",INDEX(Documents!$G$5:$G$657,MATCH(H1127,Documents!$A$5:$A$657,0))),"")</f>
        <v>10.1021/acsmedchemlett.8b00594</v>
      </c>
      <c r="L1127" s="25" t="s">
        <v>2583</v>
      </c>
    </row>
    <row r="1128" customFormat="false" ht="15" hidden="false" customHeight="false" outlineLevel="0" collapsed="false">
      <c r="A1128" s="25" t="n">
        <v>18986533</v>
      </c>
      <c r="B1128" s="25" t="s">
        <v>2669</v>
      </c>
      <c r="C1128" s="25" t="s">
        <v>2670</v>
      </c>
      <c r="D1128" s="26" t="n">
        <v>2060</v>
      </c>
      <c r="E1128" s="27" t="n">
        <v>5.68613277963085</v>
      </c>
      <c r="F1128" s="27" t="n">
        <v>5.68613277963085</v>
      </c>
      <c r="G1128" s="25" t="s">
        <v>2581</v>
      </c>
      <c r="H1128" s="25" t="s">
        <v>2582</v>
      </c>
      <c r="I1128" s="25" t="n">
        <f aca="false">IFERROR(IF(INDEX(Documents!$C$5:$C$657,MATCH(H1128,Documents!$A$5:$A$657,0))="","",INDEX(Documents!$C$5:$C$657,MATCH(H1128,Documents!$A$5:$A$657,0))),"")</f>
        <v>2019</v>
      </c>
      <c r="J1128" s="25" t="str">
        <f aca="false">IFERROR(IF(INDEX(Documents!$D$5:$D$657,MATCH(H1128,Documents!$A$5:$A$657,0))="","",INDEX(Documents!$D$5:$D$657,MATCH(H1128,Documents!$A$5:$A$657,0))),"")</f>
        <v>ACS Med Chem Lett</v>
      </c>
      <c r="K1128" s="25" t="str">
        <f aca="false">IFERROR(IF(INDEX(Documents!$G$5:$G$657,MATCH(H1128,Documents!$A$5:$A$657,0))="","",INDEX(Documents!$G$5:$G$657,MATCH(H1128,Documents!$A$5:$A$657,0))),"")</f>
        <v>10.1021/acsmedchemlett.8b00594</v>
      </c>
      <c r="L1128" s="25" t="s">
        <v>2583</v>
      </c>
    </row>
    <row r="1129" customFormat="false" ht="15" hidden="false" customHeight="false" outlineLevel="0" collapsed="false">
      <c r="A1129" s="25" t="n">
        <v>18108694</v>
      </c>
      <c r="B1129" s="25" t="s">
        <v>2671</v>
      </c>
      <c r="C1129" s="25" t="s">
        <v>2672</v>
      </c>
      <c r="D1129" s="26" t="n">
        <v>1900</v>
      </c>
      <c r="E1129" s="27" t="n">
        <v>5.72124639904717</v>
      </c>
      <c r="F1129" s="27" t="n">
        <v>5.72124639904717</v>
      </c>
      <c r="G1129" s="25" t="s">
        <v>2673</v>
      </c>
      <c r="H1129" s="25" t="s">
        <v>2674</v>
      </c>
      <c r="I1129" s="25" t="n">
        <f aca="false">IFERROR(IF(INDEX(Documents!$C$5:$C$657,MATCH(H1129,Documents!$A$5:$A$657,0))="","",INDEX(Documents!$C$5:$C$657,MATCH(H1129,Documents!$A$5:$A$657,0))),"")</f>
        <v>2018</v>
      </c>
      <c r="J1129" s="25" t="str">
        <f aca="false">IFERROR(IF(INDEX(Documents!$D$5:$D$657,MATCH(H1129,Documents!$A$5:$A$657,0))="","",INDEX(Documents!$D$5:$D$657,MATCH(H1129,Documents!$A$5:$A$657,0))),"")</f>
        <v>J Med Chem</v>
      </c>
      <c r="K1129" s="25" t="str">
        <f aca="false">IFERROR(IF(INDEX(Documents!$G$5:$G$657,MATCH(H1129,Documents!$A$5:$A$657,0))="","",INDEX(Documents!$G$5:$G$657,MATCH(H1129,Documents!$A$5:$A$657,0))),"")</f>
        <v>10.1021/acs.jmedchem.7b01760</v>
      </c>
      <c r="L1129" s="25" t="s">
        <v>2675</v>
      </c>
    </row>
    <row r="1130" customFormat="false" ht="15" hidden="false" customHeight="false" outlineLevel="0" collapsed="false">
      <c r="A1130" s="25" t="n">
        <v>5205794</v>
      </c>
      <c r="B1130" s="25" t="s">
        <v>2676</v>
      </c>
      <c r="C1130" s="25" t="s">
        <v>2677</v>
      </c>
      <c r="D1130" s="26" t="n">
        <v>891.25</v>
      </c>
      <c r="E1130" s="27" t="n">
        <v>6.05000045714008</v>
      </c>
      <c r="F1130" s="27" t="n">
        <v>6.05000045714008</v>
      </c>
      <c r="G1130" s="25" t="s">
        <v>461</v>
      </c>
      <c r="H1130" s="25" t="s">
        <v>462</v>
      </c>
      <c r="I1130" s="25" t="n">
        <f aca="false">IFERROR(IF(INDEX(Documents!$C$5:$C$657,MATCH(H1130,Documents!$A$5:$A$657,0))="","",INDEX(Documents!$C$5:$C$657,MATCH(H1130,Documents!$A$5:$A$657,0))),"")</f>
        <v>2011</v>
      </c>
      <c r="J1130" s="25" t="str">
        <f aca="false">IFERROR(IF(INDEX(Documents!$D$5:$D$657,MATCH(H1130,Documents!$A$5:$A$657,0))="","",INDEX(Documents!$D$5:$D$657,MATCH(H1130,Documents!$A$5:$A$657,0))),"")</f>
        <v>Eur J Med Chem</v>
      </c>
      <c r="K1130" s="25" t="str">
        <f aca="false">IFERROR(IF(INDEX(Documents!$G$5:$G$657,MATCH(H1130,Documents!$A$5:$A$657,0))="","",INDEX(Documents!$G$5:$G$657,MATCH(H1130,Documents!$A$5:$A$657,0))),"")</f>
        <v>10.1016/j.ejmech.2010.11.034</v>
      </c>
      <c r="L1130" s="25" t="s">
        <v>463</v>
      </c>
    </row>
    <row r="1131" customFormat="false" ht="15" hidden="false" customHeight="false" outlineLevel="0" collapsed="false">
      <c r="A1131" s="25" t="n">
        <v>5100329</v>
      </c>
      <c r="B1131" s="25" t="s">
        <v>2678</v>
      </c>
      <c r="C1131" s="25" t="s">
        <v>2679</v>
      </c>
      <c r="D1131" s="26" t="n">
        <v>383.3</v>
      </c>
      <c r="E1131" s="27" t="n">
        <v>6.41646118074565</v>
      </c>
      <c r="F1131" s="27" t="n">
        <v>6.41646118074565</v>
      </c>
      <c r="G1131" s="25" t="s">
        <v>1811</v>
      </c>
      <c r="H1131" s="25" t="s">
        <v>1812</v>
      </c>
      <c r="I1131" s="25" t="n">
        <f aca="false">IFERROR(IF(INDEX(Documents!$C$5:$C$657,MATCH(H1131,Documents!$A$5:$A$657,0))="","",INDEX(Documents!$C$5:$C$657,MATCH(H1131,Documents!$A$5:$A$657,0))),"")</f>
        <v>2010</v>
      </c>
      <c r="J1131" s="25" t="str">
        <f aca="false">IFERROR(IF(INDEX(Documents!$D$5:$D$657,MATCH(H1131,Documents!$A$5:$A$657,0))="","",INDEX(Documents!$D$5:$D$657,MATCH(H1131,Documents!$A$5:$A$657,0))),"")</f>
        <v>Eur J Med Chem</v>
      </c>
      <c r="K1131" s="25" t="str">
        <f aca="false">IFERROR(IF(INDEX(Documents!$G$5:$G$657,MATCH(H1131,Documents!$A$5:$A$657,0))="","",INDEX(Documents!$G$5:$G$657,MATCH(H1131,Documents!$A$5:$A$657,0))),"")</f>
        <v>10.1016/j.ejmech.2010.09.053</v>
      </c>
      <c r="L1131" s="25" t="s">
        <v>1813</v>
      </c>
    </row>
    <row r="1132" customFormat="false" ht="15" hidden="false" customHeight="false" outlineLevel="0" collapsed="false">
      <c r="A1132" s="25" t="n">
        <v>5100335</v>
      </c>
      <c r="B1132" s="25" t="s">
        <v>2680</v>
      </c>
      <c r="C1132" s="25" t="s">
        <v>2681</v>
      </c>
      <c r="D1132" s="26" t="n">
        <v>487.3</v>
      </c>
      <c r="E1132" s="27" t="n">
        <v>6.31220358861871</v>
      </c>
      <c r="F1132" s="27" t="n">
        <v>6.31220358861871</v>
      </c>
      <c r="G1132" s="25" t="s">
        <v>1811</v>
      </c>
      <c r="H1132" s="25" t="s">
        <v>1812</v>
      </c>
      <c r="I1132" s="25" t="n">
        <f aca="false">IFERROR(IF(INDEX(Documents!$C$5:$C$657,MATCH(H1132,Documents!$A$5:$A$657,0))="","",INDEX(Documents!$C$5:$C$657,MATCH(H1132,Documents!$A$5:$A$657,0))),"")</f>
        <v>2010</v>
      </c>
      <c r="J1132" s="25" t="str">
        <f aca="false">IFERROR(IF(INDEX(Documents!$D$5:$D$657,MATCH(H1132,Documents!$A$5:$A$657,0))="","",INDEX(Documents!$D$5:$D$657,MATCH(H1132,Documents!$A$5:$A$657,0))),"")</f>
        <v>Eur J Med Chem</v>
      </c>
      <c r="K1132" s="25" t="str">
        <f aca="false">IFERROR(IF(INDEX(Documents!$G$5:$G$657,MATCH(H1132,Documents!$A$5:$A$657,0))="","",INDEX(Documents!$G$5:$G$657,MATCH(H1132,Documents!$A$5:$A$657,0))),"")</f>
        <v>10.1016/j.ejmech.2010.09.053</v>
      </c>
      <c r="L1132" s="25" t="s">
        <v>1813</v>
      </c>
    </row>
    <row r="1133" customFormat="false" ht="15" hidden="false" customHeight="false" outlineLevel="0" collapsed="false">
      <c r="A1133" s="25" t="n">
        <v>25462071</v>
      </c>
      <c r="B1133" s="25" t="s">
        <v>2682</v>
      </c>
      <c r="C1133" s="25" t="s">
        <v>2683</v>
      </c>
      <c r="D1133" s="26" t="n">
        <v>209.4</v>
      </c>
      <c r="E1133" s="27" t="n">
        <v>6.67902332265718</v>
      </c>
      <c r="F1133" s="27" t="n">
        <v>6.67902332265718</v>
      </c>
      <c r="G1133" s="25" t="s">
        <v>2626</v>
      </c>
      <c r="H1133" s="25" t="s">
        <v>2627</v>
      </c>
      <c r="I1133" s="25" t="n">
        <f aca="false">IFERROR(IF(INDEX(Documents!$C$5:$C$657,MATCH(H1133,Documents!$A$5:$A$657,0))="","",INDEX(Documents!$C$5:$C$657,MATCH(H1133,Documents!$A$5:$A$657,0))),"")</f>
        <v>2023</v>
      </c>
      <c r="J1133" s="25" t="str">
        <f aca="false">IFERROR(IF(INDEX(Documents!$D$5:$D$657,MATCH(H1133,Documents!$A$5:$A$657,0))="","",INDEX(Documents!$D$5:$D$657,MATCH(H1133,Documents!$A$5:$A$657,0))),"")</f>
        <v>Eur J Med Chem</v>
      </c>
      <c r="K1133" s="25" t="str">
        <f aca="false">IFERROR(IF(INDEX(Documents!$G$5:$G$657,MATCH(H1133,Documents!$A$5:$A$657,0))="","",INDEX(Documents!$G$5:$G$657,MATCH(H1133,Documents!$A$5:$A$657,0))),"")</f>
        <v>10.1016/j.ejmech.2023.115109</v>
      </c>
      <c r="L1133" s="25" t="s">
        <v>2628</v>
      </c>
    </row>
    <row r="1134" customFormat="false" ht="15" hidden="false" customHeight="false" outlineLevel="0" collapsed="false">
      <c r="A1134" s="25" t="n">
        <v>25462074</v>
      </c>
      <c r="B1134" s="25" t="s">
        <v>2684</v>
      </c>
      <c r="C1134" s="25" t="s">
        <v>2685</v>
      </c>
      <c r="D1134" s="26" t="n">
        <v>6500</v>
      </c>
      <c r="E1134" s="27" t="n">
        <v>5.18708664335714</v>
      </c>
      <c r="F1134" s="27" t="n">
        <v>5.18708664335714</v>
      </c>
      <c r="G1134" s="25" t="s">
        <v>2626</v>
      </c>
      <c r="H1134" s="25" t="s">
        <v>2627</v>
      </c>
      <c r="I1134" s="25" t="n">
        <f aca="false">IFERROR(IF(INDEX(Documents!$C$5:$C$657,MATCH(H1134,Documents!$A$5:$A$657,0))="","",INDEX(Documents!$C$5:$C$657,MATCH(H1134,Documents!$A$5:$A$657,0))),"")</f>
        <v>2023</v>
      </c>
      <c r="J1134" s="25" t="str">
        <f aca="false">IFERROR(IF(INDEX(Documents!$D$5:$D$657,MATCH(H1134,Documents!$A$5:$A$657,0))="","",INDEX(Documents!$D$5:$D$657,MATCH(H1134,Documents!$A$5:$A$657,0))),"")</f>
        <v>Eur J Med Chem</v>
      </c>
      <c r="K1134" s="25" t="str">
        <f aca="false">IFERROR(IF(INDEX(Documents!$G$5:$G$657,MATCH(H1134,Documents!$A$5:$A$657,0))="","",INDEX(Documents!$G$5:$G$657,MATCH(H1134,Documents!$A$5:$A$657,0))),"")</f>
        <v>10.1016/j.ejmech.2023.115109</v>
      </c>
      <c r="L1134" s="25" t="s">
        <v>2628</v>
      </c>
    </row>
    <row r="1135" customFormat="false" ht="15" hidden="false" customHeight="false" outlineLevel="0" collapsed="false">
      <c r="A1135" s="25" t="n">
        <v>25462076</v>
      </c>
      <c r="B1135" s="25" t="s">
        <v>2686</v>
      </c>
      <c r="C1135" s="25" t="s">
        <v>2687</v>
      </c>
      <c r="D1135" s="26" t="n">
        <v>465</v>
      </c>
      <c r="E1135" s="27" t="n">
        <v>6.33254704711005</v>
      </c>
      <c r="F1135" s="27" t="n">
        <v>6.33254704711005</v>
      </c>
      <c r="G1135" s="25" t="s">
        <v>2626</v>
      </c>
      <c r="H1135" s="25" t="s">
        <v>2627</v>
      </c>
      <c r="I1135" s="25" t="n">
        <f aca="false">IFERROR(IF(INDEX(Documents!$C$5:$C$657,MATCH(H1135,Documents!$A$5:$A$657,0))="","",INDEX(Documents!$C$5:$C$657,MATCH(H1135,Documents!$A$5:$A$657,0))),"")</f>
        <v>2023</v>
      </c>
      <c r="J1135" s="25" t="str">
        <f aca="false">IFERROR(IF(INDEX(Documents!$D$5:$D$657,MATCH(H1135,Documents!$A$5:$A$657,0))="","",INDEX(Documents!$D$5:$D$657,MATCH(H1135,Documents!$A$5:$A$657,0))),"")</f>
        <v>Eur J Med Chem</v>
      </c>
      <c r="K1135" s="25" t="str">
        <f aca="false">IFERROR(IF(INDEX(Documents!$G$5:$G$657,MATCH(H1135,Documents!$A$5:$A$657,0))="","",INDEX(Documents!$G$5:$G$657,MATCH(H1135,Documents!$A$5:$A$657,0))),"")</f>
        <v>10.1016/j.ejmech.2023.115109</v>
      </c>
      <c r="L1135" s="25" t="s">
        <v>2628</v>
      </c>
    </row>
    <row r="1136" customFormat="false" ht="15" hidden="false" customHeight="false" outlineLevel="0" collapsed="false">
      <c r="A1136" s="25" t="n">
        <v>25462067</v>
      </c>
      <c r="B1136" s="25" t="s">
        <v>2688</v>
      </c>
      <c r="C1136" s="25" t="s">
        <v>2689</v>
      </c>
      <c r="D1136" s="26" t="n">
        <v>485.2</v>
      </c>
      <c r="E1136" s="27" t="n">
        <v>6.31407920780547</v>
      </c>
      <c r="F1136" s="27" t="n">
        <v>6.31407920780547</v>
      </c>
      <c r="G1136" s="25" t="s">
        <v>2626</v>
      </c>
      <c r="H1136" s="25" t="s">
        <v>2627</v>
      </c>
      <c r="I1136" s="25" t="n">
        <f aca="false">IFERROR(IF(INDEX(Documents!$C$5:$C$657,MATCH(H1136,Documents!$A$5:$A$657,0))="","",INDEX(Documents!$C$5:$C$657,MATCH(H1136,Documents!$A$5:$A$657,0))),"")</f>
        <v>2023</v>
      </c>
      <c r="J1136" s="25" t="str">
        <f aca="false">IFERROR(IF(INDEX(Documents!$D$5:$D$657,MATCH(H1136,Documents!$A$5:$A$657,0))="","",INDEX(Documents!$D$5:$D$657,MATCH(H1136,Documents!$A$5:$A$657,0))),"")</f>
        <v>Eur J Med Chem</v>
      </c>
      <c r="K1136" s="25" t="str">
        <f aca="false">IFERROR(IF(INDEX(Documents!$G$5:$G$657,MATCH(H1136,Documents!$A$5:$A$657,0))="","",INDEX(Documents!$G$5:$G$657,MATCH(H1136,Documents!$A$5:$A$657,0))),"")</f>
        <v>10.1016/j.ejmech.2023.115109</v>
      </c>
      <c r="L1136" s="25" t="s">
        <v>2628</v>
      </c>
    </row>
    <row r="1137" customFormat="false" ht="15" hidden="false" customHeight="false" outlineLevel="0" collapsed="false">
      <c r="A1137" s="25" t="n">
        <v>13405026</v>
      </c>
      <c r="B1137" s="25" t="s">
        <v>2690</v>
      </c>
      <c r="C1137" s="25" t="s">
        <v>2691</v>
      </c>
      <c r="D1137" s="26" t="n">
        <v>30.5</v>
      </c>
      <c r="E1137" s="27" t="n">
        <v>7.51570016065321</v>
      </c>
      <c r="F1137" s="27" t="n">
        <v>7.51570016065321</v>
      </c>
      <c r="G1137" s="25" t="s">
        <v>2692</v>
      </c>
      <c r="H1137" s="25" t="s">
        <v>2693</v>
      </c>
      <c r="I1137" s="25" t="n">
        <f aca="false">IFERROR(IF(INDEX(Documents!$C$5:$C$657,MATCH(H1137,Documents!$A$5:$A$657,0))="","",INDEX(Documents!$C$5:$C$657,MATCH(H1137,Documents!$A$5:$A$657,0))),"")</f>
        <v>2013</v>
      </c>
      <c r="J1137" s="25" t="str">
        <f aca="false">IFERROR(IF(INDEX(Documents!$D$5:$D$657,MATCH(H1137,Documents!$A$5:$A$657,0))="","",INDEX(Documents!$D$5:$D$657,MATCH(H1137,Documents!$A$5:$A$657,0))),"")</f>
        <v>Bioorg Med Chem</v>
      </c>
      <c r="K1137" s="25" t="str">
        <f aca="false">IFERROR(IF(INDEX(Documents!$G$5:$G$657,MATCH(H1137,Documents!$A$5:$A$657,0))="","",INDEX(Documents!$G$5:$G$657,MATCH(H1137,Documents!$A$5:$A$657,0))),"")</f>
        <v>10.1016/j.bmc.2013.06.010</v>
      </c>
      <c r="L1137" s="25" t="s">
        <v>2694</v>
      </c>
    </row>
    <row r="1138" customFormat="false" ht="15" hidden="false" customHeight="false" outlineLevel="0" collapsed="false">
      <c r="A1138" s="25" t="n">
        <v>24666750</v>
      </c>
      <c r="B1138" s="25" t="s">
        <v>2695</v>
      </c>
      <c r="C1138" s="25" t="s">
        <v>2696</v>
      </c>
      <c r="D1138" s="26" t="n">
        <v>42.26</v>
      </c>
      <c r="E1138" s="27" t="n">
        <v>7.37407050728371</v>
      </c>
      <c r="F1138" s="27" t="n">
        <v>7.37407050728371</v>
      </c>
      <c r="G1138" s="25" t="s">
        <v>397</v>
      </c>
      <c r="H1138" s="25" t="s">
        <v>398</v>
      </c>
      <c r="I1138" s="25" t="n">
        <f aca="false">IFERROR(IF(INDEX(Documents!$C$5:$C$657,MATCH(H1138,Documents!$A$5:$A$657,0))="","",INDEX(Documents!$C$5:$C$657,MATCH(H1138,Documents!$A$5:$A$657,0))),"")</f>
        <v>2021</v>
      </c>
      <c r="J1138" s="25" t="str">
        <f aca="false">IFERROR(IF(INDEX(Documents!$D$5:$D$657,MATCH(H1138,Documents!$A$5:$A$657,0))="","",INDEX(Documents!$D$5:$D$657,MATCH(H1138,Documents!$A$5:$A$657,0))),"")</f>
        <v>Eur J Med Chem</v>
      </c>
      <c r="K1138" s="25" t="str">
        <f aca="false">IFERROR(IF(INDEX(Documents!$G$5:$G$657,MATCH(H1138,Documents!$A$5:$A$657,0))="","",INDEX(Documents!$G$5:$G$657,MATCH(H1138,Documents!$A$5:$A$657,0))),"")</f>
        <v>10.1016/j.ejmech.2021.113878</v>
      </c>
      <c r="L1138" s="25" t="s">
        <v>399</v>
      </c>
    </row>
    <row r="1139" customFormat="false" ht="15" hidden="false" customHeight="false" outlineLevel="0" collapsed="false">
      <c r="A1139" s="25" t="n">
        <v>24666756</v>
      </c>
      <c r="B1139" s="25" t="s">
        <v>2697</v>
      </c>
      <c r="C1139" s="25" t="s">
        <v>2698</v>
      </c>
      <c r="D1139" s="26" t="n">
        <v>166.82</v>
      </c>
      <c r="E1139" s="27" t="n">
        <v>6.77775188314107</v>
      </c>
      <c r="F1139" s="27" t="n">
        <v>6.77775188314107</v>
      </c>
      <c r="G1139" s="25" t="s">
        <v>397</v>
      </c>
      <c r="H1139" s="25" t="s">
        <v>398</v>
      </c>
      <c r="I1139" s="25" t="n">
        <f aca="false">IFERROR(IF(INDEX(Documents!$C$5:$C$657,MATCH(H1139,Documents!$A$5:$A$657,0))="","",INDEX(Documents!$C$5:$C$657,MATCH(H1139,Documents!$A$5:$A$657,0))),"")</f>
        <v>2021</v>
      </c>
      <c r="J1139" s="25" t="str">
        <f aca="false">IFERROR(IF(INDEX(Documents!$D$5:$D$657,MATCH(H1139,Documents!$A$5:$A$657,0))="","",INDEX(Documents!$D$5:$D$657,MATCH(H1139,Documents!$A$5:$A$657,0))),"")</f>
        <v>Eur J Med Chem</v>
      </c>
      <c r="K1139" s="25" t="str">
        <f aca="false">IFERROR(IF(INDEX(Documents!$G$5:$G$657,MATCH(H1139,Documents!$A$5:$A$657,0))="","",INDEX(Documents!$G$5:$G$657,MATCH(H1139,Documents!$A$5:$A$657,0))),"")</f>
        <v>10.1016/j.ejmech.2021.113878</v>
      </c>
      <c r="L1139" s="25" t="s">
        <v>399</v>
      </c>
    </row>
    <row r="1140" customFormat="false" ht="15" hidden="false" customHeight="false" outlineLevel="0" collapsed="false">
      <c r="A1140" s="25" t="n">
        <v>24666751</v>
      </c>
      <c r="B1140" s="25" t="s">
        <v>2699</v>
      </c>
      <c r="C1140" s="25" t="s">
        <v>2700</v>
      </c>
      <c r="D1140" s="26" t="n">
        <v>9.08</v>
      </c>
      <c r="E1140" s="27" t="n">
        <v>8.04191415147892</v>
      </c>
      <c r="F1140" s="27" t="n">
        <v>8.04191415147892</v>
      </c>
      <c r="G1140" s="25" t="s">
        <v>397</v>
      </c>
      <c r="H1140" s="25" t="s">
        <v>398</v>
      </c>
      <c r="I1140" s="25" t="n">
        <f aca="false">IFERROR(IF(INDEX(Documents!$C$5:$C$657,MATCH(H1140,Documents!$A$5:$A$657,0))="","",INDEX(Documents!$C$5:$C$657,MATCH(H1140,Documents!$A$5:$A$657,0))),"")</f>
        <v>2021</v>
      </c>
      <c r="J1140" s="25" t="str">
        <f aca="false">IFERROR(IF(INDEX(Documents!$D$5:$D$657,MATCH(H1140,Documents!$A$5:$A$657,0))="","",INDEX(Documents!$D$5:$D$657,MATCH(H1140,Documents!$A$5:$A$657,0))),"")</f>
        <v>Eur J Med Chem</v>
      </c>
      <c r="K1140" s="25" t="str">
        <f aca="false">IFERROR(IF(INDEX(Documents!$G$5:$G$657,MATCH(H1140,Documents!$A$5:$A$657,0))="","",INDEX(Documents!$G$5:$G$657,MATCH(H1140,Documents!$A$5:$A$657,0))),"")</f>
        <v>10.1016/j.ejmech.2021.113878</v>
      </c>
      <c r="L1140" s="25" t="s">
        <v>399</v>
      </c>
    </row>
    <row r="1141" customFormat="false" ht="15" hidden="false" customHeight="false" outlineLevel="0" collapsed="false">
      <c r="A1141" s="25" t="n">
        <v>24666757</v>
      </c>
      <c r="B1141" s="25" t="s">
        <v>2701</v>
      </c>
      <c r="C1141" s="25" t="s">
        <v>2702</v>
      </c>
      <c r="D1141" s="26" t="n">
        <v>164.87</v>
      </c>
      <c r="E1141" s="27" t="n">
        <v>6.78285836206172</v>
      </c>
      <c r="F1141" s="27" t="n">
        <v>6.78285836206172</v>
      </c>
      <c r="G1141" s="25" t="s">
        <v>397</v>
      </c>
      <c r="H1141" s="25" t="s">
        <v>398</v>
      </c>
      <c r="I1141" s="25" t="n">
        <f aca="false">IFERROR(IF(INDEX(Documents!$C$5:$C$657,MATCH(H1141,Documents!$A$5:$A$657,0))="","",INDEX(Documents!$C$5:$C$657,MATCH(H1141,Documents!$A$5:$A$657,0))),"")</f>
        <v>2021</v>
      </c>
      <c r="J1141" s="25" t="str">
        <f aca="false">IFERROR(IF(INDEX(Documents!$D$5:$D$657,MATCH(H1141,Documents!$A$5:$A$657,0))="","",INDEX(Documents!$D$5:$D$657,MATCH(H1141,Documents!$A$5:$A$657,0))),"")</f>
        <v>Eur J Med Chem</v>
      </c>
      <c r="K1141" s="25" t="str">
        <f aca="false">IFERROR(IF(INDEX(Documents!$G$5:$G$657,MATCH(H1141,Documents!$A$5:$A$657,0))="","",INDEX(Documents!$G$5:$G$657,MATCH(H1141,Documents!$A$5:$A$657,0))),"")</f>
        <v>10.1016/j.ejmech.2021.113878</v>
      </c>
      <c r="L1141" s="25" t="s">
        <v>399</v>
      </c>
    </row>
    <row r="1142" customFormat="false" ht="15" hidden="false" customHeight="false" outlineLevel="0" collapsed="false">
      <c r="A1142" s="25" t="n">
        <v>24666752</v>
      </c>
      <c r="B1142" s="25" t="s">
        <v>2703</v>
      </c>
      <c r="C1142" s="25" t="s">
        <v>2704</v>
      </c>
      <c r="D1142" s="26" t="n">
        <v>6.53</v>
      </c>
      <c r="E1142" s="27" t="n">
        <v>8.18508681872493</v>
      </c>
      <c r="F1142" s="27" t="n">
        <v>8.18508681872493</v>
      </c>
      <c r="G1142" s="25" t="s">
        <v>397</v>
      </c>
      <c r="H1142" s="25" t="s">
        <v>398</v>
      </c>
      <c r="I1142" s="25" t="n">
        <f aca="false">IFERROR(IF(INDEX(Documents!$C$5:$C$657,MATCH(H1142,Documents!$A$5:$A$657,0))="","",INDEX(Documents!$C$5:$C$657,MATCH(H1142,Documents!$A$5:$A$657,0))),"")</f>
        <v>2021</v>
      </c>
      <c r="J1142" s="25" t="str">
        <f aca="false">IFERROR(IF(INDEX(Documents!$D$5:$D$657,MATCH(H1142,Documents!$A$5:$A$657,0))="","",INDEX(Documents!$D$5:$D$657,MATCH(H1142,Documents!$A$5:$A$657,0))),"")</f>
        <v>Eur J Med Chem</v>
      </c>
      <c r="K1142" s="25" t="str">
        <f aca="false">IFERROR(IF(INDEX(Documents!$G$5:$G$657,MATCH(H1142,Documents!$A$5:$A$657,0))="","",INDEX(Documents!$G$5:$G$657,MATCH(H1142,Documents!$A$5:$A$657,0))),"")</f>
        <v>10.1016/j.ejmech.2021.113878</v>
      </c>
      <c r="L1142" s="25" t="s">
        <v>399</v>
      </c>
    </row>
    <row r="1143" customFormat="false" ht="15" hidden="false" customHeight="false" outlineLevel="0" collapsed="false">
      <c r="A1143" s="25" t="n">
        <v>24666758</v>
      </c>
      <c r="B1143" s="25" t="s">
        <v>2705</v>
      </c>
      <c r="C1143" s="25" t="s">
        <v>2706</v>
      </c>
      <c r="D1143" s="26" t="n">
        <v>67.2</v>
      </c>
      <c r="E1143" s="27" t="n">
        <v>7.17263072694617</v>
      </c>
      <c r="F1143" s="27" t="n">
        <v>7.17263072694617</v>
      </c>
      <c r="G1143" s="25" t="s">
        <v>397</v>
      </c>
      <c r="H1143" s="25" t="s">
        <v>398</v>
      </c>
      <c r="I1143" s="25" t="n">
        <f aca="false">IFERROR(IF(INDEX(Documents!$C$5:$C$657,MATCH(H1143,Documents!$A$5:$A$657,0))="","",INDEX(Documents!$C$5:$C$657,MATCH(H1143,Documents!$A$5:$A$657,0))),"")</f>
        <v>2021</v>
      </c>
      <c r="J1143" s="25" t="str">
        <f aca="false">IFERROR(IF(INDEX(Documents!$D$5:$D$657,MATCH(H1143,Documents!$A$5:$A$657,0))="","",INDEX(Documents!$D$5:$D$657,MATCH(H1143,Documents!$A$5:$A$657,0))),"")</f>
        <v>Eur J Med Chem</v>
      </c>
      <c r="K1143" s="25" t="str">
        <f aca="false">IFERROR(IF(INDEX(Documents!$G$5:$G$657,MATCH(H1143,Documents!$A$5:$A$657,0))="","",INDEX(Documents!$G$5:$G$657,MATCH(H1143,Documents!$A$5:$A$657,0))),"")</f>
        <v>10.1016/j.ejmech.2021.113878</v>
      </c>
      <c r="L1143" s="25" t="s">
        <v>399</v>
      </c>
    </row>
    <row r="1144" customFormat="false" ht="15" hidden="false" customHeight="false" outlineLevel="0" collapsed="false">
      <c r="A1144" s="25" t="n">
        <v>24666744</v>
      </c>
      <c r="B1144" s="25" t="s">
        <v>2707</v>
      </c>
      <c r="C1144" s="25" t="s">
        <v>2708</v>
      </c>
      <c r="D1144" s="26" t="n">
        <v>11.43</v>
      </c>
      <c r="E1144" s="27" t="n">
        <v>7.94195376960472</v>
      </c>
      <c r="F1144" s="27" t="n">
        <v>7.94195376960472</v>
      </c>
      <c r="G1144" s="25" t="s">
        <v>397</v>
      </c>
      <c r="H1144" s="25" t="s">
        <v>398</v>
      </c>
      <c r="I1144" s="25" t="n">
        <f aca="false">IFERROR(IF(INDEX(Documents!$C$5:$C$657,MATCH(H1144,Documents!$A$5:$A$657,0))="","",INDEX(Documents!$C$5:$C$657,MATCH(H1144,Documents!$A$5:$A$657,0))),"")</f>
        <v>2021</v>
      </c>
      <c r="J1144" s="25" t="str">
        <f aca="false">IFERROR(IF(INDEX(Documents!$D$5:$D$657,MATCH(H1144,Documents!$A$5:$A$657,0))="","",INDEX(Documents!$D$5:$D$657,MATCH(H1144,Documents!$A$5:$A$657,0))),"")</f>
        <v>Eur J Med Chem</v>
      </c>
      <c r="K1144" s="25" t="str">
        <f aca="false">IFERROR(IF(INDEX(Documents!$G$5:$G$657,MATCH(H1144,Documents!$A$5:$A$657,0))="","",INDEX(Documents!$G$5:$G$657,MATCH(H1144,Documents!$A$5:$A$657,0))),"")</f>
        <v>10.1016/j.ejmech.2021.113878</v>
      </c>
      <c r="L1144" s="25" t="s">
        <v>399</v>
      </c>
    </row>
    <row r="1145" customFormat="false" ht="15" hidden="false" customHeight="false" outlineLevel="0" collapsed="false">
      <c r="A1145" s="25" t="n">
        <v>24666739</v>
      </c>
      <c r="B1145" s="25" t="s">
        <v>2709</v>
      </c>
      <c r="C1145" s="25" t="s">
        <v>2710</v>
      </c>
      <c r="D1145" s="26" t="n">
        <v>0.97</v>
      </c>
      <c r="E1145" s="27" t="n">
        <v>9.01322826573376</v>
      </c>
      <c r="F1145" s="27" t="n">
        <v>9.01322826573376</v>
      </c>
      <c r="G1145" s="25" t="s">
        <v>397</v>
      </c>
      <c r="H1145" s="25" t="s">
        <v>398</v>
      </c>
      <c r="I1145" s="25" t="n">
        <f aca="false">IFERROR(IF(INDEX(Documents!$C$5:$C$657,MATCH(H1145,Documents!$A$5:$A$657,0))="","",INDEX(Documents!$C$5:$C$657,MATCH(H1145,Documents!$A$5:$A$657,0))),"")</f>
        <v>2021</v>
      </c>
      <c r="J1145" s="25" t="str">
        <f aca="false">IFERROR(IF(INDEX(Documents!$D$5:$D$657,MATCH(H1145,Documents!$A$5:$A$657,0))="","",INDEX(Documents!$D$5:$D$657,MATCH(H1145,Documents!$A$5:$A$657,0))),"")</f>
        <v>Eur J Med Chem</v>
      </c>
      <c r="K1145" s="25" t="str">
        <f aca="false">IFERROR(IF(INDEX(Documents!$G$5:$G$657,MATCH(H1145,Documents!$A$5:$A$657,0))="","",INDEX(Documents!$G$5:$G$657,MATCH(H1145,Documents!$A$5:$A$657,0))),"")</f>
        <v>10.1016/j.ejmech.2021.113878</v>
      </c>
      <c r="L1145" s="25" t="s">
        <v>399</v>
      </c>
    </row>
    <row r="1146" customFormat="false" ht="15" hidden="false" customHeight="false" outlineLevel="0" collapsed="false">
      <c r="A1146" s="25" t="n">
        <v>24666735</v>
      </c>
      <c r="B1146" s="25" t="s">
        <v>2711</v>
      </c>
      <c r="C1146" s="25" t="s">
        <v>2712</v>
      </c>
      <c r="D1146" s="26" t="n">
        <v>7.41</v>
      </c>
      <c r="E1146" s="27" t="n">
        <v>8.13018179202067</v>
      </c>
      <c r="F1146" s="27" t="n">
        <v>8.13018179202067</v>
      </c>
      <c r="G1146" s="25" t="s">
        <v>397</v>
      </c>
      <c r="H1146" s="25" t="s">
        <v>398</v>
      </c>
      <c r="I1146" s="25" t="n">
        <f aca="false">IFERROR(IF(INDEX(Documents!$C$5:$C$657,MATCH(H1146,Documents!$A$5:$A$657,0))="","",INDEX(Documents!$C$5:$C$657,MATCH(H1146,Documents!$A$5:$A$657,0))),"")</f>
        <v>2021</v>
      </c>
      <c r="J1146" s="25" t="str">
        <f aca="false">IFERROR(IF(INDEX(Documents!$D$5:$D$657,MATCH(H1146,Documents!$A$5:$A$657,0))="","",INDEX(Documents!$D$5:$D$657,MATCH(H1146,Documents!$A$5:$A$657,0))),"")</f>
        <v>Eur J Med Chem</v>
      </c>
      <c r="K1146" s="25" t="str">
        <f aca="false">IFERROR(IF(INDEX(Documents!$G$5:$G$657,MATCH(H1146,Documents!$A$5:$A$657,0))="","",INDEX(Documents!$G$5:$G$657,MATCH(H1146,Documents!$A$5:$A$657,0))),"")</f>
        <v>10.1016/j.ejmech.2021.113878</v>
      </c>
      <c r="L1146" s="25" t="s">
        <v>399</v>
      </c>
    </row>
    <row r="1147" customFormat="false" ht="15" hidden="false" customHeight="false" outlineLevel="0" collapsed="false">
      <c r="A1147" s="25" t="n">
        <v>24666737</v>
      </c>
      <c r="B1147" s="25" t="s">
        <v>2713</v>
      </c>
      <c r="C1147" s="25" t="s">
        <v>2714</v>
      </c>
      <c r="D1147" s="26" t="n">
        <v>2.21</v>
      </c>
      <c r="E1147" s="27" t="n">
        <v>8.65560772631489</v>
      </c>
      <c r="F1147" s="27" t="n">
        <v>8.65560772631489</v>
      </c>
      <c r="G1147" s="25" t="s">
        <v>397</v>
      </c>
      <c r="H1147" s="25" t="s">
        <v>398</v>
      </c>
      <c r="I1147" s="25" t="n">
        <f aca="false">IFERROR(IF(INDEX(Documents!$C$5:$C$657,MATCH(H1147,Documents!$A$5:$A$657,0))="","",INDEX(Documents!$C$5:$C$657,MATCH(H1147,Documents!$A$5:$A$657,0))),"")</f>
        <v>2021</v>
      </c>
      <c r="J1147" s="25" t="str">
        <f aca="false">IFERROR(IF(INDEX(Documents!$D$5:$D$657,MATCH(H1147,Documents!$A$5:$A$657,0))="","",INDEX(Documents!$D$5:$D$657,MATCH(H1147,Documents!$A$5:$A$657,0))),"")</f>
        <v>Eur J Med Chem</v>
      </c>
      <c r="K1147" s="25" t="str">
        <f aca="false">IFERROR(IF(INDEX(Documents!$G$5:$G$657,MATCH(H1147,Documents!$A$5:$A$657,0))="","",INDEX(Documents!$G$5:$G$657,MATCH(H1147,Documents!$A$5:$A$657,0))),"")</f>
        <v>10.1016/j.ejmech.2021.113878</v>
      </c>
      <c r="L1147" s="25" t="s">
        <v>399</v>
      </c>
    </row>
    <row r="1148" customFormat="false" ht="15" hidden="false" customHeight="false" outlineLevel="0" collapsed="false">
      <c r="A1148" s="25" t="n">
        <v>24666741</v>
      </c>
      <c r="B1148" s="25" t="s">
        <v>2715</v>
      </c>
      <c r="C1148" s="25" t="s">
        <v>2716</v>
      </c>
      <c r="D1148" s="26" t="n">
        <v>1.25</v>
      </c>
      <c r="E1148" s="27" t="n">
        <v>8.90308998699194</v>
      </c>
      <c r="F1148" s="27" t="n">
        <v>8.90308998699194</v>
      </c>
      <c r="G1148" s="25" t="s">
        <v>397</v>
      </c>
      <c r="H1148" s="25" t="s">
        <v>398</v>
      </c>
      <c r="I1148" s="25" t="n">
        <f aca="false">IFERROR(IF(INDEX(Documents!$C$5:$C$657,MATCH(H1148,Documents!$A$5:$A$657,0))="","",INDEX(Documents!$C$5:$C$657,MATCH(H1148,Documents!$A$5:$A$657,0))),"")</f>
        <v>2021</v>
      </c>
      <c r="J1148" s="25" t="str">
        <f aca="false">IFERROR(IF(INDEX(Documents!$D$5:$D$657,MATCH(H1148,Documents!$A$5:$A$657,0))="","",INDEX(Documents!$D$5:$D$657,MATCH(H1148,Documents!$A$5:$A$657,0))),"")</f>
        <v>Eur J Med Chem</v>
      </c>
      <c r="K1148" s="25" t="str">
        <f aca="false">IFERROR(IF(INDEX(Documents!$G$5:$G$657,MATCH(H1148,Documents!$A$5:$A$657,0))="","",INDEX(Documents!$G$5:$G$657,MATCH(H1148,Documents!$A$5:$A$657,0))),"")</f>
        <v>10.1016/j.ejmech.2021.113878</v>
      </c>
      <c r="L1148" s="25" t="s">
        <v>399</v>
      </c>
    </row>
    <row r="1149" customFormat="false" ht="15" hidden="false" customHeight="false" outlineLevel="0" collapsed="false">
      <c r="A1149" s="25" t="n">
        <v>24666743</v>
      </c>
      <c r="B1149" s="25" t="s">
        <v>2717</v>
      </c>
      <c r="C1149" s="25" t="s">
        <v>2718</v>
      </c>
      <c r="D1149" s="26" t="n">
        <v>4934</v>
      </c>
      <c r="E1149" s="27" t="n">
        <v>5.30680085484628</v>
      </c>
      <c r="F1149" s="27" t="n">
        <v>5.30680085484628</v>
      </c>
      <c r="G1149" s="25" t="s">
        <v>397</v>
      </c>
      <c r="H1149" s="25" t="s">
        <v>398</v>
      </c>
      <c r="I1149" s="25" t="n">
        <f aca="false">IFERROR(IF(INDEX(Documents!$C$5:$C$657,MATCH(H1149,Documents!$A$5:$A$657,0))="","",INDEX(Documents!$C$5:$C$657,MATCH(H1149,Documents!$A$5:$A$657,0))),"")</f>
        <v>2021</v>
      </c>
      <c r="J1149" s="25" t="str">
        <f aca="false">IFERROR(IF(INDEX(Documents!$D$5:$D$657,MATCH(H1149,Documents!$A$5:$A$657,0))="","",INDEX(Documents!$D$5:$D$657,MATCH(H1149,Documents!$A$5:$A$657,0))),"")</f>
        <v>Eur J Med Chem</v>
      </c>
      <c r="K1149" s="25" t="str">
        <f aca="false">IFERROR(IF(INDEX(Documents!$G$5:$G$657,MATCH(H1149,Documents!$A$5:$A$657,0))="","",INDEX(Documents!$G$5:$G$657,MATCH(H1149,Documents!$A$5:$A$657,0))),"")</f>
        <v>10.1016/j.ejmech.2021.113878</v>
      </c>
      <c r="L1149" s="25" t="s">
        <v>399</v>
      </c>
    </row>
    <row r="1150" customFormat="false" ht="15" hidden="false" customHeight="false" outlineLevel="0" collapsed="false">
      <c r="A1150" s="25" t="n">
        <v>1887194</v>
      </c>
      <c r="B1150" s="25" t="s">
        <v>2719</v>
      </c>
      <c r="C1150" s="25" t="s">
        <v>2720</v>
      </c>
      <c r="D1150" s="26" t="n">
        <v>1800</v>
      </c>
      <c r="E1150" s="27" t="n">
        <v>5.74472749489669</v>
      </c>
      <c r="F1150" s="27" t="n">
        <v>5.74472749489669</v>
      </c>
      <c r="G1150" s="25" t="s">
        <v>2721</v>
      </c>
      <c r="H1150" s="25" t="s">
        <v>2722</v>
      </c>
      <c r="I1150" s="25" t="n">
        <f aca="false">IFERROR(IF(INDEX(Documents!$C$5:$C$657,MATCH(H1150,Documents!$A$5:$A$657,0))="","",INDEX(Documents!$C$5:$C$657,MATCH(H1150,Documents!$A$5:$A$657,0))),"")</f>
        <v>2007</v>
      </c>
      <c r="J1150" s="25" t="str">
        <f aca="false">IFERROR(IF(INDEX(Documents!$D$5:$D$657,MATCH(H1150,Documents!$A$5:$A$657,0))="","",INDEX(Documents!$D$5:$D$657,MATCH(H1150,Documents!$A$5:$A$657,0))),"")</f>
        <v>Bioorg Med Chem</v>
      </c>
      <c r="K1150" s="25" t="str">
        <f aca="false">IFERROR(IF(INDEX(Documents!$G$5:$G$657,MATCH(H1150,Documents!$A$5:$A$657,0))="","",INDEX(Documents!$G$5:$G$657,MATCH(H1150,Documents!$A$5:$A$657,0))),"")</f>
        <v>10.1016/j.bmc.2007.05.060</v>
      </c>
      <c r="L1150" s="25" t="s">
        <v>285</v>
      </c>
    </row>
    <row r="1151" customFormat="false" ht="15" hidden="false" customHeight="false" outlineLevel="0" collapsed="false">
      <c r="A1151" s="25" t="n">
        <v>1887195</v>
      </c>
      <c r="B1151" s="25" t="s">
        <v>2723</v>
      </c>
      <c r="C1151" s="25" t="s">
        <v>2724</v>
      </c>
      <c r="D1151" s="26" t="n">
        <v>3940</v>
      </c>
      <c r="E1151" s="27" t="n">
        <v>5.40450377817443</v>
      </c>
      <c r="F1151" s="27" t="n">
        <v>5.40450377817443</v>
      </c>
      <c r="G1151" s="25" t="s">
        <v>2721</v>
      </c>
      <c r="H1151" s="25" t="s">
        <v>2722</v>
      </c>
      <c r="I1151" s="25" t="n">
        <f aca="false">IFERROR(IF(INDEX(Documents!$C$5:$C$657,MATCH(H1151,Documents!$A$5:$A$657,0))="","",INDEX(Documents!$C$5:$C$657,MATCH(H1151,Documents!$A$5:$A$657,0))),"")</f>
        <v>2007</v>
      </c>
      <c r="J1151" s="25" t="str">
        <f aca="false">IFERROR(IF(INDEX(Documents!$D$5:$D$657,MATCH(H1151,Documents!$A$5:$A$657,0))="","",INDEX(Documents!$D$5:$D$657,MATCH(H1151,Documents!$A$5:$A$657,0))),"")</f>
        <v>Bioorg Med Chem</v>
      </c>
      <c r="K1151" s="25" t="str">
        <f aca="false">IFERROR(IF(INDEX(Documents!$G$5:$G$657,MATCH(H1151,Documents!$A$5:$A$657,0))="","",INDEX(Documents!$G$5:$G$657,MATCH(H1151,Documents!$A$5:$A$657,0))),"")</f>
        <v>10.1016/j.bmc.2007.05.060</v>
      </c>
      <c r="L1151" s="25" t="s">
        <v>285</v>
      </c>
    </row>
    <row r="1152" customFormat="false" ht="15" hidden="false" customHeight="false" outlineLevel="0" collapsed="false">
      <c r="A1152" s="25" t="n">
        <v>1887193</v>
      </c>
      <c r="B1152" s="25" t="s">
        <v>2725</v>
      </c>
      <c r="C1152" s="25" t="s">
        <v>2726</v>
      </c>
      <c r="D1152" s="26" t="n">
        <v>470</v>
      </c>
      <c r="E1152" s="27" t="n">
        <v>6.32790214206428</v>
      </c>
      <c r="F1152" s="27" t="n">
        <v>6.32790214206428</v>
      </c>
      <c r="G1152" s="25" t="s">
        <v>2721</v>
      </c>
      <c r="H1152" s="25" t="s">
        <v>2722</v>
      </c>
      <c r="I1152" s="25" t="n">
        <f aca="false">IFERROR(IF(INDEX(Documents!$C$5:$C$657,MATCH(H1152,Documents!$A$5:$A$657,0))="","",INDEX(Documents!$C$5:$C$657,MATCH(H1152,Documents!$A$5:$A$657,0))),"")</f>
        <v>2007</v>
      </c>
      <c r="J1152" s="25" t="str">
        <f aca="false">IFERROR(IF(INDEX(Documents!$D$5:$D$657,MATCH(H1152,Documents!$A$5:$A$657,0))="","",INDEX(Documents!$D$5:$D$657,MATCH(H1152,Documents!$A$5:$A$657,0))),"")</f>
        <v>Bioorg Med Chem</v>
      </c>
      <c r="K1152" s="25" t="str">
        <f aca="false">IFERROR(IF(INDEX(Documents!$G$5:$G$657,MATCH(H1152,Documents!$A$5:$A$657,0))="","",INDEX(Documents!$G$5:$G$657,MATCH(H1152,Documents!$A$5:$A$657,0))),"")</f>
        <v>10.1016/j.bmc.2007.05.060</v>
      </c>
      <c r="L1152" s="25" t="s">
        <v>285</v>
      </c>
    </row>
    <row r="1153" customFormat="false" ht="15" hidden="false" customHeight="false" outlineLevel="0" collapsed="false">
      <c r="A1153" s="25" t="n">
        <v>1887192</v>
      </c>
      <c r="B1153" s="25" t="s">
        <v>2727</v>
      </c>
      <c r="C1153" s="25" t="s">
        <v>2728</v>
      </c>
      <c r="D1153" s="26" t="n">
        <v>7900</v>
      </c>
      <c r="E1153" s="27" t="n">
        <v>5.10237290870956</v>
      </c>
      <c r="F1153" s="27" t="n">
        <v>5.10237290870956</v>
      </c>
      <c r="G1153" s="25" t="s">
        <v>2721</v>
      </c>
      <c r="H1153" s="25" t="s">
        <v>2722</v>
      </c>
      <c r="I1153" s="25" t="n">
        <f aca="false">IFERROR(IF(INDEX(Documents!$C$5:$C$657,MATCH(H1153,Documents!$A$5:$A$657,0))="","",INDEX(Documents!$C$5:$C$657,MATCH(H1153,Documents!$A$5:$A$657,0))),"")</f>
        <v>2007</v>
      </c>
      <c r="J1153" s="25" t="str">
        <f aca="false">IFERROR(IF(INDEX(Documents!$D$5:$D$657,MATCH(H1153,Documents!$A$5:$A$657,0))="","",INDEX(Documents!$D$5:$D$657,MATCH(H1153,Documents!$A$5:$A$657,0))),"")</f>
        <v>Bioorg Med Chem</v>
      </c>
      <c r="K1153" s="25" t="str">
        <f aca="false">IFERROR(IF(INDEX(Documents!$G$5:$G$657,MATCH(H1153,Documents!$A$5:$A$657,0))="","",INDEX(Documents!$G$5:$G$657,MATCH(H1153,Documents!$A$5:$A$657,0))),"")</f>
        <v>10.1016/j.bmc.2007.05.060</v>
      </c>
      <c r="L1153" s="25" t="s">
        <v>285</v>
      </c>
    </row>
    <row r="1154" customFormat="false" ht="15" hidden="false" customHeight="false" outlineLevel="0" collapsed="false">
      <c r="A1154" s="25" t="n">
        <v>1887191</v>
      </c>
      <c r="B1154" s="25" t="s">
        <v>2729</v>
      </c>
      <c r="C1154" s="25" t="s">
        <v>2730</v>
      </c>
      <c r="D1154" s="26" t="n">
        <v>2100</v>
      </c>
      <c r="E1154" s="27" t="n">
        <v>5.67778070526608</v>
      </c>
      <c r="F1154" s="27" t="n">
        <v>5.67778070526608</v>
      </c>
      <c r="G1154" s="25" t="s">
        <v>2721</v>
      </c>
      <c r="H1154" s="25" t="s">
        <v>2722</v>
      </c>
      <c r="I1154" s="25" t="n">
        <f aca="false">IFERROR(IF(INDEX(Documents!$C$5:$C$657,MATCH(H1154,Documents!$A$5:$A$657,0))="","",INDEX(Documents!$C$5:$C$657,MATCH(H1154,Documents!$A$5:$A$657,0))),"")</f>
        <v>2007</v>
      </c>
      <c r="J1154" s="25" t="str">
        <f aca="false">IFERROR(IF(INDEX(Documents!$D$5:$D$657,MATCH(H1154,Documents!$A$5:$A$657,0))="","",INDEX(Documents!$D$5:$D$657,MATCH(H1154,Documents!$A$5:$A$657,0))),"")</f>
        <v>Bioorg Med Chem</v>
      </c>
      <c r="K1154" s="25" t="str">
        <f aca="false">IFERROR(IF(INDEX(Documents!$G$5:$G$657,MATCH(H1154,Documents!$A$5:$A$657,0))="","",INDEX(Documents!$G$5:$G$657,MATCH(H1154,Documents!$A$5:$A$657,0))),"")</f>
        <v>10.1016/j.bmc.2007.05.060</v>
      </c>
      <c r="L1154" s="25" t="s">
        <v>285</v>
      </c>
    </row>
    <row r="1155" customFormat="false" ht="15" hidden="false" customHeight="false" outlineLevel="0" collapsed="false">
      <c r="A1155" s="25" t="n">
        <v>1887189</v>
      </c>
      <c r="B1155" s="25" t="s">
        <v>2731</v>
      </c>
      <c r="C1155" s="25" t="s">
        <v>2732</v>
      </c>
      <c r="D1155" s="26" t="n">
        <v>39</v>
      </c>
      <c r="E1155" s="27" t="n">
        <v>7.4089353929735</v>
      </c>
      <c r="F1155" s="27" t="n">
        <v>7.4089353929735</v>
      </c>
      <c r="G1155" s="25" t="s">
        <v>2721</v>
      </c>
      <c r="H1155" s="25" t="s">
        <v>2722</v>
      </c>
      <c r="I1155" s="25" t="n">
        <f aca="false">IFERROR(IF(INDEX(Documents!$C$5:$C$657,MATCH(H1155,Documents!$A$5:$A$657,0))="","",INDEX(Documents!$C$5:$C$657,MATCH(H1155,Documents!$A$5:$A$657,0))),"")</f>
        <v>2007</v>
      </c>
      <c r="J1155" s="25" t="str">
        <f aca="false">IFERROR(IF(INDEX(Documents!$D$5:$D$657,MATCH(H1155,Documents!$A$5:$A$657,0))="","",INDEX(Documents!$D$5:$D$657,MATCH(H1155,Documents!$A$5:$A$657,0))),"")</f>
        <v>Bioorg Med Chem</v>
      </c>
      <c r="K1155" s="25" t="str">
        <f aca="false">IFERROR(IF(INDEX(Documents!$G$5:$G$657,MATCH(H1155,Documents!$A$5:$A$657,0))="","",INDEX(Documents!$G$5:$G$657,MATCH(H1155,Documents!$A$5:$A$657,0))),"")</f>
        <v>10.1016/j.bmc.2007.05.060</v>
      </c>
      <c r="L1155" s="25" t="s">
        <v>285</v>
      </c>
    </row>
    <row r="1156" customFormat="false" ht="15" hidden="false" customHeight="false" outlineLevel="0" collapsed="false">
      <c r="A1156" s="25" t="n">
        <v>1887190</v>
      </c>
      <c r="B1156" s="25" t="s">
        <v>2733</v>
      </c>
      <c r="C1156" s="25" t="s">
        <v>2734</v>
      </c>
      <c r="D1156" s="26" t="n">
        <v>1420</v>
      </c>
      <c r="E1156" s="27" t="n">
        <v>5.84771165561694</v>
      </c>
      <c r="F1156" s="27" t="n">
        <v>5.84771165561694</v>
      </c>
      <c r="G1156" s="25" t="s">
        <v>2721</v>
      </c>
      <c r="H1156" s="25" t="s">
        <v>2722</v>
      </c>
      <c r="I1156" s="25" t="n">
        <f aca="false">IFERROR(IF(INDEX(Documents!$C$5:$C$657,MATCH(H1156,Documents!$A$5:$A$657,0))="","",INDEX(Documents!$C$5:$C$657,MATCH(H1156,Documents!$A$5:$A$657,0))),"")</f>
        <v>2007</v>
      </c>
      <c r="J1156" s="25" t="str">
        <f aca="false">IFERROR(IF(INDEX(Documents!$D$5:$D$657,MATCH(H1156,Documents!$A$5:$A$657,0))="","",INDEX(Documents!$D$5:$D$657,MATCH(H1156,Documents!$A$5:$A$657,0))),"")</f>
        <v>Bioorg Med Chem</v>
      </c>
      <c r="K1156" s="25" t="str">
        <f aca="false">IFERROR(IF(INDEX(Documents!$G$5:$G$657,MATCH(H1156,Documents!$A$5:$A$657,0))="","",INDEX(Documents!$G$5:$G$657,MATCH(H1156,Documents!$A$5:$A$657,0))),"")</f>
        <v>10.1016/j.bmc.2007.05.060</v>
      </c>
      <c r="L1156" s="25" t="s">
        <v>285</v>
      </c>
    </row>
    <row r="1157" customFormat="false" ht="15" hidden="false" customHeight="false" outlineLevel="0" collapsed="false">
      <c r="A1157" s="25" t="n">
        <v>2251100</v>
      </c>
      <c r="B1157" s="25" t="s">
        <v>2735</v>
      </c>
      <c r="C1157" s="25" t="s">
        <v>2736</v>
      </c>
      <c r="D1157" s="26" t="n">
        <v>1.78</v>
      </c>
      <c r="E1157" s="27" t="n">
        <v>8.74957999769111</v>
      </c>
      <c r="F1157" s="27" t="n">
        <v>8.74957999769111</v>
      </c>
      <c r="G1157" s="25" t="s">
        <v>2152</v>
      </c>
      <c r="H1157" s="25" t="s">
        <v>2153</v>
      </c>
      <c r="I1157" s="25" t="n">
        <f aca="false">IFERROR(IF(INDEX(Documents!$C$5:$C$657,MATCH(H1157,Documents!$A$5:$A$657,0))="","",INDEX(Documents!$C$5:$C$657,MATCH(H1157,Documents!$A$5:$A$657,0))),"")</f>
        <v>2009</v>
      </c>
      <c r="J1157" s="25" t="str">
        <f aca="false">IFERROR(IF(INDEX(Documents!$D$5:$D$657,MATCH(H1157,Documents!$A$5:$A$657,0))="","",INDEX(Documents!$D$5:$D$657,MATCH(H1157,Documents!$A$5:$A$657,0))),"")</f>
        <v>J Med Chem</v>
      </c>
      <c r="K1157" s="25" t="str">
        <f aca="false">IFERROR(IF(INDEX(Documents!$G$5:$G$657,MATCH(H1157,Documents!$A$5:$A$657,0))="","",INDEX(Documents!$G$5:$G$657,MATCH(H1157,Documents!$A$5:$A$657,0))),"")</f>
        <v>10.1021/jm801044g</v>
      </c>
      <c r="L1157" s="25" t="s">
        <v>2020</v>
      </c>
    </row>
    <row r="1158" customFormat="false" ht="15" hidden="false" customHeight="false" outlineLevel="0" collapsed="false">
      <c r="A1158" s="25" t="n">
        <v>1846067</v>
      </c>
      <c r="B1158" s="25" t="s">
        <v>2737</v>
      </c>
      <c r="C1158" s="25" t="s">
        <v>2738</v>
      </c>
      <c r="D1158" s="26" t="n">
        <v>3570</v>
      </c>
      <c r="E1158" s="27" t="n">
        <v>5.44733178388781</v>
      </c>
      <c r="F1158" s="27" t="n">
        <v>5.44733178388781</v>
      </c>
      <c r="G1158" s="25" t="s">
        <v>2249</v>
      </c>
      <c r="H1158" s="25" t="s">
        <v>2250</v>
      </c>
      <c r="I1158" s="25" t="n">
        <f aca="false">IFERROR(IF(INDEX(Documents!$C$5:$C$657,MATCH(H1158,Documents!$A$5:$A$657,0))="","",INDEX(Documents!$C$5:$C$657,MATCH(H1158,Documents!$A$5:$A$657,0))),"")</f>
        <v>2005</v>
      </c>
      <c r="J1158" s="25" t="str">
        <f aca="false">IFERROR(IF(INDEX(Documents!$D$5:$D$657,MATCH(H1158,Documents!$A$5:$A$657,0))="","",INDEX(Documents!$D$5:$D$657,MATCH(H1158,Documents!$A$5:$A$657,0))),"")</f>
        <v>J Med Chem</v>
      </c>
      <c r="K1158" s="25" t="str">
        <f aca="false">IFERROR(IF(INDEX(Documents!$G$5:$G$657,MATCH(H1158,Documents!$A$5:$A$657,0))="","",INDEX(Documents!$G$5:$G$657,MATCH(H1158,Documents!$A$5:$A$657,0))),"")</f>
        <v>10.1021/jm0501533</v>
      </c>
      <c r="L1158" s="25" t="s">
        <v>2251</v>
      </c>
    </row>
    <row r="1159" customFormat="false" ht="15" hidden="false" customHeight="false" outlineLevel="0" collapsed="false">
      <c r="A1159" s="25" t="n">
        <v>7944818</v>
      </c>
      <c r="B1159" s="25" t="s">
        <v>2739</v>
      </c>
      <c r="C1159" s="25" t="s">
        <v>2740</v>
      </c>
      <c r="D1159" s="26" t="n">
        <v>1800</v>
      </c>
      <c r="E1159" s="27" t="n">
        <v>5.74472749489669</v>
      </c>
      <c r="F1159" s="27" t="n">
        <v>5.74472749489669</v>
      </c>
      <c r="G1159" s="25" t="s">
        <v>2072</v>
      </c>
      <c r="H1159" s="25" t="s">
        <v>2073</v>
      </c>
      <c r="I1159" s="25" t="n">
        <f aca="false">IFERROR(IF(INDEX(Documents!$C$5:$C$657,MATCH(H1159,Documents!$A$5:$A$657,0))="","",INDEX(Documents!$C$5:$C$657,MATCH(H1159,Documents!$A$5:$A$657,0))),"")</f>
        <v>2011</v>
      </c>
      <c r="J1159" s="25" t="str">
        <f aca="false">IFERROR(IF(INDEX(Documents!$D$5:$D$657,MATCH(H1159,Documents!$A$5:$A$657,0))="","",INDEX(Documents!$D$5:$D$657,MATCH(H1159,Documents!$A$5:$A$657,0))),"")</f>
        <v>J Med Chem</v>
      </c>
      <c r="K1159" s="25" t="str">
        <f aca="false">IFERROR(IF(INDEX(Documents!$G$5:$G$657,MATCH(H1159,Documents!$A$5:$A$657,0))="","",INDEX(Documents!$G$5:$G$657,MATCH(H1159,Documents!$A$5:$A$657,0))),"")</f>
        <v>10.1021/jm200529h</v>
      </c>
      <c r="L1159" s="25" t="s">
        <v>2074</v>
      </c>
    </row>
    <row r="1160" customFormat="false" ht="15" hidden="false" customHeight="false" outlineLevel="0" collapsed="false">
      <c r="A1160" s="25" t="n">
        <v>15052070</v>
      </c>
      <c r="B1160" s="25" t="s">
        <v>2741</v>
      </c>
      <c r="C1160" s="25" t="s">
        <v>2742</v>
      </c>
      <c r="D1160" s="26" t="n">
        <v>2370</v>
      </c>
      <c r="E1160" s="27" t="n">
        <v>5.6252516539899</v>
      </c>
      <c r="F1160" s="27" t="n">
        <v>5.6252516539899</v>
      </c>
      <c r="G1160" s="25" t="s">
        <v>523</v>
      </c>
      <c r="H1160" s="25" t="s">
        <v>524</v>
      </c>
      <c r="I1160" s="25" t="n">
        <f aca="false">IFERROR(IF(INDEX(Documents!$C$5:$C$657,MATCH(H1160,Documents!$A$5:$A$657,0))="","",INDEX(Documents!$C$5:$C$657,MATCH(H1160,Documents!$A$5:$A$657,0))),"")</f>
        <v>2014</v>
      </c>
      <c r="J1160" s="25" t="str">
        <f aca="false">IFERROR(IF(INDEX(Documents!$D$5:$D$657,MATCH(H1160,Documents!$A$5:$A$657,0))="","",INDEX(Documents!$D$5:$D$657,MATCH(H1160,Documents!$A$5:$A$657,0))),"")</f>
        <v>Bioorg Med Chem</v>
      </c>
      <c r="K1160" s="25" t="str">
        <f aca="false">IFERROR(IF(INDEX(Documents!$G$5:$G$657,MATCH(H1160,Documents!$A$5:$A$657,0))="","",INDEX(Documents!$G$5:$G$657,MATCH(H1160,Documents!$A$5:$A$657,0))),"")</f>
        <v>10.1016/j.bmc.2014.07.006</v>
      </c>
      <c r="L1160" s="25" t="s">
        <v>525</v>
      </c>
    </row>
    <row r="1161" customFormat="false" ht="15" hidden="false" customHeight="false" outlineLevel="0" collapsed="false">
      <c r="A1161" s="25" t="n">
        <v>1846065</v>
      </c>
      <c r="B1161" s="25" t="s">
        <v>2743</v>
      </c>
      <c r="C1161" s="25" t="s">
        <v>2744</v>
      </c>
      <c r="D1161" s="26" t="n">
        <v>30</v>
      </c>
      <c r="E1161" s="27" t="n">
        <v>7.52287874528034</v>
      </c>
      <c r="F1161" s="27" t="n">
        <v>7.52287874528034</v>
      </c>
      <c r="G1161" s="25" t="s">
        <v>2249</v>
      </c>
      <c r="H1161" s="25" t="s">
        <v>2250</v>
      </c>
      <c r="I1161" s="25" t="n">
        <f aca="false">IFERROR(IF(INDEX(Documents!$C$5:$C$657,MATCH(H1161,Documents!$A$5:$A$657,0))="","",INDEX(Documents!$C$5:$C$657,MATCH(H1161,Documents!$A$5:$A$657,0))),"")</f>
        <v>2005</v>
      </c>
      <c r="J1161" s="25" t="str">
        <f aca="false">IFERROR(IF(INDEX(Documents!$D$5:$D$657,MATCH(H1161,Documents!$A$5:$A$657,0))="","",INDEX(Documents!$D$5:$D$657,MATCH(H1161,Documents!$A$5:$A$657,0))),"")</f>
        <v>J Med Chem</v>
      </c>
      <c r="K1161" s="25" t="str">
        <f aca="false">IFERROR(IF(INDEX(Documents!$G$5:$G$657,MATCH(H1161,Documents!$A$5:$A$657,0))="","",INDEX(Documents!$G$5:$G$657,MATCH(H1161,Documents!$A$5:$A$657,0))),"")</f>
        <v>10.1021/jm0501533</v>
      </c>
      <c r="L1161" s="25" t="s">
        <v>2251</v>
      </c>
    </row>
    <row r="1162" customFormat="false" ht="15" hidden="false" customHeight="false" outlineLevel="0" collapsed="false">
      <c r="A1162" s="25" t="n">
        <v>1846066</v>
      </c>
      <c r="B1162" s="25" t="s">
        <v>2745</v>
      </c>
      <c r="C1162" s="25" t="s">
        <v>2746</v>
      </c>
      <c r="D1162" s="26" t="n">
        <v>420</v>
      </c>
      <c r="E1162" s="27" t="n">
        <v>6.3767507096021</v>
      </c>
      <c r="F1162" s="27" t="n">
        <v>6.3767507096021</v>
      </c>
      <c r="G1162" s="25" t="s">
        <v>2249</v>
      </c>
      <c r="H1162" s="25" t="s">
        <v>2250</v>
      </c>
      <c r="I1162" s="25" t="n">
        <f aca="false">IFERROR(IF(INDEX(Documents!$C$5:$C$657,MATCH(H1162,Documents!$A$5:$A$657,0))="","",INDEX(Documents!$C$5:$C$657,MATCH(H1162,Documents!$A$5:$A$657,0))),"")</f>
        <v>2005</v>
      </c>
      <c r="J1162" s="25" t="str">
        <f aca="false">IFERROR(IF(INDEX(Documents!$D$5:$D$657,MATCH(H1162,Documents!$A$5:$A$657,0))="","",INDEX(Documents!$D$5:$D$657,MATCH(H1162,Documents!$A$5:$A$657,0))),"")</f>
        <v>J Med Chem</v>
      </c>
      <c r="K1162" s="25" t="str">
        <f aca="false">IFERROR(IF(INDEX(Documents!$G$5:$G$657,MATCH(H1162,Documents!$A$5:$A$657,0))="","",INDEX(Documents!$G$5:$G$657,MATCH(H1162,Documents!$A$5:$A$657,0))),"")</f>
        <v>10.1021/jm0501533</v>
      </c>
      <c r="L1162" s="25" t="s">
        <v>2251</v>
      </c>
    </row>
    <row r="1163" customFormat="false" ht="15" hidden="false" customHeight="false" outlineLevel="0" collapsed="false">
      <c r="A1163" s="25" t="n">
        <v>1846064</v>
      </c>
      <c r="B1163" s="25" t="s">
        <v>2747</v>
      </c>
      <c r="C1163" s="25" t="s">
        <v>2748</v>
      </c>
      <c r="D1163" s="26" t="n">
        <v>2110</v>
      </c>
      <c r="E1163" s="27" t="n">
        <v>5.67571754470231</v>
      </c>
      <c r="F1163" s="27" t="n">
        <v>5.67571754470231</v>
      </c>
      <c r="G1163" s="25" t="s">
        <v>2249</v>
      </c>
      <c r="H1163" s="25" t="s">
        <v>2250</v>
      </c>
      <c r="I1163" s="25" t="n">
        <f aca="false">IFERROR(IF(INDEX(Documents!$C$5:$C$657,MATCH(H1163,Documents!$A$5:$A$657,0))="","",INDEX(Documents!$C$5:$C$657,MATCH(H1163,Documents!$A$5:$A$657,0))),"")</f>
        <v>2005</v>
      </c>
      <c r="J1163" s="25" t="str">
        <f aca="false">IFERROR(IF(INDEX(Documents!$D$5:$D$657,MATCH(H1163,Documents!$A$5:$A$657,0))="","",INDEX(Documents!$D$5:$D$657,MATCH(H1163,Documents!$A$5:$A$657,0))),"")</f>
        <v>J Med Chem</v>
      </c>
      <c r="K1163" s="25" t="str">
        <f aca="false">IFERROR(IF(INDEX(Documents!$G$5:$G$657,MATCH(H1163,Documents!$A$5:$A$657,0))="","",INDEX(Documents!$G$5:$G$657,MATCH(H1163,Documents!$A$5:$A$657,0))),"")</f>
        <v>10.1021/jm0501533</v>
      </c>
      <c r="L1163" s="25" t="s">
        <v>2251</v>
      </c>
    </row>
    <row r="1164" customFormat="false" ht="15" hidden="false" customHeight="false" outlineLevel="0" collapsed="false">
      <c r="A1164" s="25" t="n">
        <v>7944819</v>
      </c>
      <c r="B1164" s="25" t="s">
        <v>2749</v>
      </c>
      <c r="C1164" s="25" t="s">
        <v>2750</v>
      </c>
      <c r="D1164" s="26" t="n">
        <v>1800</v>
      </c>
      <c r="E1164" s="27" t="n">
        <v>5.74472749489669</v>
      </c>
      <c r="F1164" s="27" t="n">
        <v>5.74472749489669</v>
      </c>
      <c r="G1164" s="25" t="s">
        <v>2072</v>
      </c>
      <c r="H1164" s="25" t="s">
        <v>2073</v>
      </c>
      <c r="I1164" s="25" t="n">
        <f aca="false">IFERROR(IF(INDEX(Documents!$C$5:$C$657,MATCH(H1164,Documents!$A$5:$A$657,0))="","",INDEX(Documents!$C$5:$C$657,MATCH(H1164,Documents!$A$5:$A$657,0))),"")</f>
        <v>2011</v>
      </c>
      <c r="J1164" s="25" t="str">
        <f aca="false">IFERROR(IF(INDEX(Documents!$D$5:$D$657,MATCH(H1164,Documents!$A$5:$A$657,0))="","",INDEX(Documents!$D$5:$D$657,MATCH(H1164,Documents!$A$5:$A$657,0))),"")</f>
        <v>J Med Chem</v>
      </c>
      <c r="K1164" s="25" t="str">
        <f aca="false">IFERROR(IF(INDEX(Documents!$G$5:$G$657,MATCH(H1164,Documents!$A$5:$A$657,0))="","",INDEX(Documents!$G$5:$G$657,MATCH(H1164,Documents!$A$5:$A$657,0))),"")</f>
        <v>10.1021/jm200529h</v>
      </c>
      <c r="L1164" s="25" t="s">
        <v>2074</v>
      </c>
    </row>
    <row r="1165" customFormat="false" ht="15" hidden="false" customHeight="false" outlineLevel="0" collapsed="false">
      <c r="A1165" s="25" t="n">
        <v>7944835</v>
      </c>
      <c r="B1165" s="25" t="s">
        <v>2751</v>
      </c>
      <c r="C1165" s="25" t="s">
        <v>2752</v>
      </c>
      <c r="D1165" s="26" t="n">
        <v>4820</v>
      </c>
      <c r="E1165" s="27" t="n">
        <v>5.31695296176115</v>
      </c>
      <c r="F1165" s="27" t="n">
        <v>5.31695296176115</v>
      </c>
      <c r="G1165" s="25" t="s">
        <v>2072</v>
      </c>
      <c r="H1165" s="25" t="s">
        <v>2073</v>
      </c>
      <c r="I1165" s="25" t="n">
        <f aca="false">IFERROR(IF(INDEX(Documents!$C$5:$C$657,MATCH(H1165,Documents!$A$5:$A$657,0))="","",INDEX(Documents!$C$5:$C$657,MATCH(H1165,Documents!$A$5:$A$657,0))),"")</f>
        <v>2011</v>
      </c>
      <c r="J1165" s="25" t="str">
        <f aca="false">IFERROR(IF(INDEX(Documents!$D$5:$D$657,MATCH(H1165,Documents!$A$5:$A$657,0))="","",INDEX(Documents!$D$5:$D$657,MATCH(H1165,Documents!$A$5:$A$657,0))),"")</f>
        <v>J Med Chem</v>
      </c>
      <c r="K1165" s="25" t="str">
        <f aca="false">IFERROR(IF(INDEX(Documents!$G$5:$G$657,MATCH(H1165,Documents!$A$5:$A$657,0))="","",INDEX(Documents!$G$5:$G$657,MATCH(H1165,Documents!$A$5:$A$657,0))),"")</f>
        <v>10.1021/jm200529h</v>
      </c>
      <c r="L1165" s="25" t="s">
        <v>2074</v>
      </c>
    </row>
    <row r="1166" customFormat="false" ht="15" hidden="false" customHeight="false" outlineLevel="0" collapsed="false">
      <c r="A1166" s="25" t="n">
        <v>1846063</v>
      </c>
      <c r="B1166" s="25" t="s">
        <v>2753</v>
      </c>
      <c r="C1166" s="25" t="s">
        <v>2754</v>
      </c>
      <c r="D1166" s="26" t="n">
        <v>2490</v>
      </c>
      <c r="E1166" s="27" t="n">
        <v>5.60380065290426</v>
      </c>
      <c r="F1166" s="27" t="n">
        <v>5.60380065290426</v>
      </c>
      <c r="G1166" s="25" t="s">
        <v>2249</v>
      </c>
      <c r="H1166" s="25" t="s">
        <v>2250</v>
      </c>
      <c r="I1166" s="25" t="n">
        <f aca="false">IFERROR(IF(INDEX(Documents!$C$5:$C$657,MATCH(H1166,Documents!$A$5:$A$657,0))="","",INDEX(Documents!$C$5:$C$657,MATCH(H1166,Documents!$A$5:$A$657,0))),"")</f>
        <v>2005</v>
      </c>
      <c r="J1166" s="25" t="str">
        <f aca="false">IFERROR(IF(INDEX(Documents!$D$5:$D$657,MATCH(H1166,Documents!$A$5:$A$657,0))="","",INDEX(Documents!$D$5:$D$657,MATCH(H1166,Documents!$A$5:$A$657,0))),"")</f>
        <v>J Med Chem</v>
      </c>
      <c r="K1166" s="25" t="str">
        <f aca="false">IFERROR(IF(INDEX(Documents!$G$5:$G$657,MATCH(H1166,Documents!$A$5:$A$657,0))="","",INDEX(Documents!$G$5:$G$657,MATCH(H1166,Documents!$A$5:$A$657,0))),"")</f>
        <v>10.1021/jm0501533</v>
      </c>
      <c r="L1166" s="25" t="s">
        <v>2251</v>
      </c>
    </row>
    <row r="1167" customFormat="false" ht="15" hidden="false" customHeight="false" outlineLevel="0" collapsed="false">
      <c r="A1167" s="25" t="n">
        <v>15052053</v>
      </c>
      <c r="B1167" s="25" t="s">
        <v>2755</v>
      </c>
      <c r="C1167" s="25" t="s">
        <v>2756</v>
      </c>
      <c r="D1167" s="26" t="n">
        <v>250</v>
      </c>
      <c r="E1167" s="27" t="n">
        <v>6.60205999132796</v>
      </c>
      <c r="F1167" s="27" t="n">
        <v>6.60205999132796</v>
      </c>
      <c r="G1167" s="25" t="s">
        <v>523</v>
      </c>
      <c r="H1167" s="25" t="s">
        <v>524</v>
      </c>
      <c r="I1167" s="25" t="n">
        <f aca="false">IFERROR(IF(INDEX(Documents!$C$5:$C$657,MATCH(H1167,Documents!$A$5:$A$657,0))="","",INDEX(Documents!$C$5:$C$657,MATCH(H1167,Documents!$A$5:$A$657,0))),"")</f>
        <v>2014</v>
      </c>
      <c r="J1167" s="25" t="str">
        <f aca="false">IFERROR(IF(INDEX(Documents!$D$5:$D$657,MATCH(H1167,Documents!$A$5:$A$657,0))="","",INDEX(Documents!$D$5:$D$657,MATCH(H1167,Documents!$A$5:$A$657,0))),"")</f>
        <v>Bioorg Med Chem</v>
      </c>
      <c r="K1167" s="25" t="str">
        <f aca="false">IFERROR(IF(INDEX(Documents!$G$5:$G$657,MATCH(H1167,Documents!$A$5:$A$657,0))="","",INDEX(Documents!$G$5:$G$657,MATCH(H1167,Documents!$A$5:$A$657,0))),"")</f>
        <v>10.1016/j.bmc.2014.07.006</v>
      </c>
      <c r="L1167" s="25" t="s">
        <v>525</v>
      </c>
    </row>
    <row r="1168" customFormat="false" ht="15" hidden="false" customHeight="false" outlineLevel="0" collapsed="false">
      <c r="A1168" s="25" t="n">
        <v>20682933</v>
      </c>
      <c r="B1168" s="25" t="s">
        <v>2757</v>
      </c>
      <c r="C1168" s="25" t="s">
        <v>2758</v>
      </c>
      <c r="D1168" s="26" t="n">
        <v>62.6</v>
      </c>
      <c r="E1168" s="27" t="n">
        <v>7.20342566678957</v>
      </c>
      <c r="F1168" s="27" t="n">
        <v>7.20342566678957</v>
      </c>
      <c r="G1168" s="25" t="s">
        <v>518</v>
      </c>
      <c r="H1168" s="25" t="s">
        <v>519</v>
      </c>
      <c r="I1168" s="25" t="n">
        <f aca="false">IFERROR(IF(INDEX(Documents!$C$5:$C$657,MATCH(H1168,Documents!$A$5:$A$657,0))="","",INDEX(Documents!$C$5:$C$657,MATCH(H1168,Documents!$A$5:$A$657,0))),"")</f>
        <v>2020</v>
      </c>
      <c r="J1168" s="25" t="str">
        <f aca="false">IFERROR(IF(INDEX(Documents!$D$5:$D$657,MATCH(H1168,Documents!$A$5:$A$657,0))="","",INDEX(Documents!$D$5:$D$657,MATCH(H1168,Documents!$A$5:$A$657,0))),"")</f>
        <v>Bioorg Med Chem</v>
      </c>
      <c r="K1168" s="25" t="str">
        <f aca="false">IFERROR(IF(INDEX(Documents!$G$5:$G$657,MATCH(H1168,Documents!$A$5:$A$657,0))="","",INDEX(Documents!$G$5:$G$657,MATCH(H1168,Documents!$A$5:$A$657,0))),"")</f>
        <v>10.1016/j.bmc.2020.115513</v>
      </c>
      <c r="L1168" s="25" t="s">
        <v>520</v>
      </c>
    </row>
    <row r="1169" customFormat="false" ht="15" hidden="false" customHeight="false" outlineLevel="0" collapsed="false">
      <c r="A1169" s="25" t="n">
        <v>1846072</v>
      </c>
      <c r="B1169" s="25" t="s">
        <v>2759</v>
      </c>
      <c r="C1169" s="25" t="s">
        <v>2760</v>
      </c>
      <c r="D1169" s="26" t="n">
        <v>540</v>
      </c>
      <c r="E1169" s="27" t="n">
        <v>6.26760624017703</v>
      </c>
      <c r="F1169" s="27" t="n">
        <v>6.26760624017703</v>
      </c>
      <c r="G1169" s="25" t="s">
        <v>2249</v>
      </c>
      <c r="H1169" s="25" t="s">
        <v>2250</v>
      </c>
      <c r="I1169" s="25" t="n">
        <f aca="false">IFERROR(IF(INDEX(Documents!$C$5:$C$657,MATCH(H1169,Documents!$A$5:$A$657,0))="","",INDEX(Documents!$C$5:$C$657,MATCH(H1169,Documents!$A$5:$A$657,0))),"")</f>
        <v>2005</v>
      </c>
      <c r="J1169" s="25" t="str">
        <f aca="false">IFERROR(IF(INDEX(Documents!$D$5:$D$657,MATCH(H1169,Documents!$A$5:$A$657,0))="","",INDEX(Documents!$D$5:$D$657,MATCH(H1169,Documents!$A$5:$A$657,0))),"")</f>
        <v>J Med Chem</v>
      </c>
      <c r="K1169" s="25" t="str">
        <f aca="false">IFERROR(IF(INDEX(Documents!$G$5:$G$657,MATCH(H1169,Documents!$A$5:$A$657,0))="","",INDEX(Documents!$G$5:$G$657,MATCH(H1169,Documents!$A$5:$A$657,0))),"")</f>
        <v>10.1021/jm0501533</v>
      </c>
      <c r="L1169" s="25" t="s">
        <v>2251</v>
      </c>
    </row>
    <row r="1170" customFormat="false" ht="15" hidden="false" customHeight="false" outlineLevel="0" collapsed="false">
      <c r="A1170" s="25" t="n">
        <v>1846073</v>
      </c>
      <c r="B1170" s="25" t="s">
        <v>2761</v>
      </c>
      <c r="C1170" s="25" t="s">
        <v>2762</v>
      </c>
      <c r="D1170" s="26" t="n">
        <v>6430</v>
      </c>
      <c r="E1170" s="27" t="n">
        <v>5.19178902707578</v>
      </c>
      <c r="F1170" s="27" t="n">
        <v>5.19178902707578</v>
      </c>
      <c r="G1170" s="25" t="s">
        <v>2249</v>
      </c>
      <c r="H1170" s="25" t="s">
        <v>2250</v>
      </c>
      <c r="I1170" s="25" t="n">
        <f aca="false">IFERROR(IF(INDEX(Documents!$C$5:$C$657,MATCH(H1170,Documents!$A$5:$A$657,0))="","",INDEX(Documents!$C$5:$C$657,MATCH(H1170,Documents!$A$5:$A$657,0))),"")</f>
        <v>2005</v>
      </c>
      <c r="J1170" s="25" t="str">
        <f aca="false">IFERROR(IF(INDEX(Documents!$D$5:$D$657,MATCH(H1170,Documents!$A$5:$A$657,0))="","",INDEX(Documents!$D$5:$D$657,MATCH(H1170,Documents!$A$5:$A$657,0))),"")</f>
        <v>J Med Chem</v>
      </c>
      <c r="K1170" s="25" t="str">
        <f aca="false">IFERROR(IF(INDEX(Documents!$G$5:$G$657,MATCH(H1170,Documents!$A$5:$A$657,0))="","",INDEX(Documents!$G$5:$G$657,MATCH(H1170,Documents!$A$5:$A$657,0))),"")</f>
        <v>10.1021/jm0501533</v>
      </c>
      <c r="L1170" s="25" t="s">
        <v>2251</v>
      </c>
    </row>
    <row r="1171" customFormat="false" ht="15" hidden="false" customHeight="false" outlineLevel="0" collapsed="false">
      <c r="A1171" s="25" t="n">
        <v>1887187</v>
      </c>
      <c r="B1171" s="25" t="s">
        <v>2763</v>
      </c>
      <c r="C1171" s="25" t="s">
        <v>2764</v>
      </c>
      <c r="D1171" s="26" t="n">
        <v>280</v>
      </c>
      <c r="E1171" s="27" t="n">
        <v>6.55284196865778</v>
      </c>
      <c r="F1171" s="27" t="n">
        <v>6.55284196865778</v>
      </c>
      <c r="G1171" s="25" t="s">
        <v>2721</v>
      </c>
      <c r="H1171" s="25" t="s">
        <v>2722</v>
      </c>
      <c r="I1171" s="25" t="n">
        <f aca="false">IFERROR(IF(INDEX(Documents!$C$5:$C$657,MATCH(H1171,Documents!$A$5:$A$657,0))="","",INDEX(Documents!$C$5:$C$657,MATCH(H1171,Documents!$A$5:$A$657,0))),"")</f>
        <v>2007</v>
      </c>
      <c r="J1171" s="25" t="str">
        <f aca="false">IFERROR(IF(INDEX(Documents!$D$5:$D$657,MATCH(H1171,Documents!$A$5:$A$657,0))="","",INDEX(Documents!$D$5:$D$657,MATCH(H1171,Documents!$A$5:$A$657,0))),"")</f>
        <v>Bioorg Med Chem</v>
      </c>
      <c r="K1171" s="25" t="str">
        <f aca="false">IFERROR(IF(INDEX(Documents!$G$5:$G$657,MATCH(H1171,Documents!$A$5:$A$657,0))="","",INDEX(Documents!$G$5:$G$657,MATCH(H1171,Documents!$A$5:$A$657,0))),"")</f>
        <v>10.1016/j.bmc.2007.05.060</v>
      </c>
      <c r="L1171" s="25" t="s">
        <v>285</v>
      </c>
    </row>
    <row r="1172" customFormat="false" ht="15" hidden="false" customHeight="false" outlineLevel="0" collapsed="false">
      <c r="A1172" s="25" t="n">
        <v>1887188</v>
      </c>
      <c r="B1172" s="25" t="s">
        <v>2765</v>
      </c>
      <c r="C1172" s="25" t="s">
        <v>2766</v>
      </c>
      <c r="D1172" s="26" t="n">
        <v>2400</v>
      </c>
      <c r="E1172" s="27" t="n">
        <v>5.61978875828839</v>
      </c>
      <c r="F1172" s="27" t="n">
        <v>5.61978875828839</v>
      </c>
      <c r="G1172" s="25" t="s">
        <v>2721</v>
      </c>
      <c r="H1172" s="25" t="s">
        <v>2722</v>
      </c>
      <c r="I1172" s="25" t="n">
        <f aca="false">IFERROR(IF(INDEX(Documents!$C$5:$C$657,MATCH(H1172,Documents!$A$5:$A$657,0))="","",INDEX(Documents!$C$5:$C$657,MATCH(H1172,Documents!$A$5:$A$657,0))),"")</f>
        <v>2007</v>
      </c>
      <c r="J1172" s="25" t="str">
        <f aca="false">IFERROR(IF(INDEX(Documents!$D$5:$D$657,MATCH(H1172,Documents!$A$5:$A$657,0))="","",INDEX(Documents!$D$5:$D$657,MATCH(H1172,Documents!$A$5:$A$657,0))),"")</f>
        <v>Bioorg Med Chem</v>
      </c>
      <c r="K1172" s="25" t="str">
        <f aca="false">IFERROR(IF(INDEX(Documents!$G$5:$G$657,MATCH(H1172,Documents!$A$5:$A$657,0))="","",INDEX(Documents!$G$5:$G$657,MATCH(H1172,Documents!$A$5:$A$657,0))),"")</f>
        <v>10.1016/j.bmc.2007.05.060</v>
      </c>
      <c r="L1172" s="25" t="s">
        <v>285</v>
      </c>
    </row>
    <row r="1173" customFormat="false" ht="15" hidden="false" customHeight="false" outlineLevel="0" collapsed="false">
      <c r="A1173" s="25" t="n">
        <v>7944816</v>
      </c>
      <c r="B1173" s="25" t="s">
        <v>2767</v>
      </c>
      <c r="C1173" s="25" t="s">
        <v>2768</v>
      </c>
      <c r="D1173" s="26" t="n">
        <v>7870</v>
      </c>
      <c r="E1173" s="27" t="n">
        <v>5.10402526764094</v>
      </c>
      <c r="F1173" s="27" t="n">
        <v>5.10402526764094</v>
      </c>
      <c r="G1173" s="25" t="s">
        <v>2072</v>
      </c>
      <c r="H1173" s="25" t="s">
        <v>2073</v>
      </c>
      <c r="I1173" s="25" t="n">
        <f aca="false">IFERROR(IF(INDEX(Documents!$C$5:$C$657,MATCH(H1173,Documents!$A$5:$A$657,0))="","",INDEX(Documents!$C$5:$C$657,MATCH(H1173,Documents!$A$5:$A$657,0))),"")</f>
        <v>2011</v>
      </c>
      <c r="J1173" s="25" t="str">
        <f aca="false">IFERROR(IF(INDEX(Documents!$D$5:$D$657,MATCH(H1173,Documents!$A$5:$A$657,0))="","",INDEX(Documents!$D$5:$D$657,MATCH(H1173,Documents!$A$5:$A$657,0))),"")</f>
        <v>J Med Chem</v>
      </c>
      <c r="K1173" s="25" t="str">
        <f aca="false">IFERROR(IF(INDEX(Documents!$G$5:$G$657,MATCH(H1173,Documents!$A$5:$A$657,0))="","",INDEX(Documents!$G$5:$G$657,MATCH(H1173,Documents!$A$5:$A$657,0))),"")</f>
        <v>10.1021/jm200529h</v>
      </c>
      <c r="L1173" s="25" t="s">
        <v>2074</v>
      </c>
    </row>
    <row r="1174" customFormat="false" ht="15" hidden="false" customHeight="false" outlineLevel="0" collapsed="false">
      <c r="A1174" s="25" t="n">
        <v>1846070</v>
      </c>
      <c r="B1174" s="25" t="s">
        <v>2769</v>
      </c>
      <c r="C1174" s="25" t="s">
        <v>2770</v>
      </c>
      <c r="D1174" s="26" t="n">
        <v>350</v>
      </c>
      <c r="E1174" s="27" t="n">
        <v>6.45593195564972</v>
      </c>
      <c r="F1174" s="27" t="n">
        <v>6.45593195564972</v>
      </c>
      <c r="G1174" s="25" t="s">
        <v>2249</v>
      </c>
      <c r="H1174" s="25" t="s">
        <v>2250</v>
      </c>
      <c r="I1174" s="25" t="n">
        <f aca="false">IFERROR(IF(INDEX(Documents!$C$5:$C$657,MATCH(H1174,Documents!$A$5:$A$657,0))="","",INDEX(Documents!$C$5:$C$657,MATCH(H1174,Documents!$A$5:$A$657,0))),"")</f>
        <v>2005</v>
      </c>
      <c r="J1174" s="25" t="str">
        <f aca="false">IFERROR(IF(INDEX(Documents!$D$5:$D$657,MATCH(H1174,Documents!$A$5:$A$657,0))="","",INDEX(Documents!$D$5:$D$657,MATCH(H1174,Documents!$A$5:$A$657,0))),"")</f>
        <v>J Med Chem</v>
      </c>
      <c r="K1174" s="25" t="str">
        <f aca="false">IFERROR(IF(INDEX(Documents!$G$5:$G$657,MATCH(H1174,Documents!$A$5:$A$657,0))="","",INDEX(Documents!$G$5:$G$657,MATCH(H1174,Documents!$A$5:$A$657,0))),"")</f>
        <v>10.1021/jm0501533</v>
      </c>
      <c r="L1174" s="25" t="s">
        <v>2251</v>
      </c>
    </row>
    <row r="1175" customFormat="false" ht="15" hidden="false" customHeight="false" outlineLevel="0" collapsed="false">
      <c r="A1175" s="25" t="n">
        <v>1887186</v>
      </c>
      <c r="B1175" s="25" t="s">
        <v>2771</v>
      </c>
      <c r="C1175" s="25" t="s">
        <v>2772</v>
      </c>
      <c r="D1175" s="26" t="n">
        <v>2900</v>
      </c>
      <c r="E1175" s="27" t="n">
        <v>5.53760200210104</v>
      </c>
      <c r="F1175" s="27" t="n">
        <v>5.53760200210104</v>
      </c>
      <c r="G1175" s="25" t="s">
        <v>2721</v>
      </c>
      <c r="H1175" s="25" t="s">
        <v>2722</v>
      </c>
      <c r="I1175" s="25" t="n">
        <f aca="false">IFERROR(IF(INDEX(Documents!$C$5:$C$657,MATCH(H1175,Documents!$A$5:$A$657,0))="","",INDEX(Documents!$C$5:$C$657,MATCH(H1175,Documents!$A$5:$A$657,0))),"")</f>
        <v>2007</v>
      </c>
      <c r="J1175" s="25" t="str">
        <f aca="false">IFERROR(IF(INDEX(Documents!$D$5:$D$657,MATCH(H1175,Documents!$A$5:$A$657,0))="","",INDEX(Documents!$D$5:$D$657,MATCH(H1175,Documents!$A$5:$A$657,0))),"")</f>
        <v>Bioorg Med Chem</v>
      </c>
      <c r="K1175" s="25" t="str">
        <f aca="false">IFERROR(IF(INDEX(Documents!$G$5:$G$657,MATCH(H1175,Documents!$A$5:$A$657,0))="","",INDEX(Documents!$G$5:$G$657,MATCH(H1175,Documents!$A$5:$A$657,0))),"")</f>
        <v>10.1016/j.bmc.2007.05.060</v>
      </c>
      <c r="L1175" s="25" t="s">
        <v>285</v>
      </c>
    </row>
    <row r="1176" customFormat="false" ht="15" hidden="false" customHeight="false" outlineLevel="0" collapsed="false">
      <c r="A1176" s="25" t="n">
        <v>20682934</v>
      </c>
      <c r="B1176" s="25" t="s">
        <v>2773</v>
      </c>
      <c r="C1176" s="25" t="s">
        <v>2774</v>
      </c>
      <c r="D1176" s="26" t="n">
        <v>48.8</v>
      </c>
      <c r="E1176" s="27" t="n">
        <v>7.31158017799729</v>
      </c>
      <c r="F1176" s="27" t="n">
        <v>7.31158017799729</v>
      </c>
      <c r="G1176" s="25" t="s">
        <v>518</v>
      </c>
      <c r="H1176" s="25" t="s">
        <v>519</v>
      </c>
      <c r="I1176" s="25" t="n">
        <f aca="false">IFERROR(IF(INDEX(Documents!$C$5:$C$657,MATCH(H1176,Documents!$A$5:$A$657,0))="","",INDEX(Documents!$C$5:$C$657,MATCH(H1176,Documents!$A$5:$A$657,0))),"")</f>
        <v>2020</v>
      </c>
      <c r="J1176" s="25" t="str">
        <f aca="false">IFERROR(IF(INDEX(Documents!$D$5:$D$657,MATCH(H1176,Documents!$A$5:$A$657,0))="","",INDEX(Documents!$D$5:$D$657,MATCH(H1176,Documents!$A$5:$A$657,0))),"")</f>
        <v>Bioorg Med Chem</v>
      </c>
      <c r="K1176" s="25" t="str">
        <f aca="false">IFERROR(IF(INDEX(Documents!$G$5:$G$657,MATCH(H1176,Documents!$A$5:$A$657,0))="","",INDEX(Documents!$G$5:$G$657,MATCH(H1176,Documents!$A$5:$A$657,0))),"")</f>
        <v>10.1016/j.bmc.2020.115513</v>
      </c>
      <c r="L1176" s="25" t="s">
        <v>520</v>
      </c>
    </row>
    <row r="1177" customFormat="false" ht="15" hidden="false" customHeight="false" outlineLevel="0" collapsed="false">
      <c r="A1177" s="25" t="n">
        <v>1846071</v>
      </c>
      <c r="B1177" s="25" t="s">
        <v>2775</v>
      </c>
      <c r="C1177" s="25" t="s">
        <v>2776</v>
      </c>
      <c r="D1177" s="26" t="n">
        <v>2700</v>
      </c>
      <c r="E1177" s="27" t="n">
        <v>5.56863623584101</v>
      </c>
      <c r="F1177" s="27" t="n">
        <v>5.56863623584101</v>
      </c>
      <c r="G1177" s="25" t="s">
        <v>2249</v>
      </c>
      <c r="H1177" s="25" t="s">
        <v>2250</v>
      </c>
      <c r="I1177" s="25" t="n">
        <f aca="false">IFERROR(IF(INDEX(Documents!$C$5:$C$657,MATCH(H1177,Documents!$A$5:$A$657,0))="","",INDEX(Documents!$C$5:$C$657,MATCH(H1177,Documents!$A$5:$A$657,0))),"")</f>
        <v>2005</v>
      </c>
      <c r="J1177" s="25" t="str">
        <f aca="false">IFERROR(IF(INDEX(Documents!$D$5:$D$657,MATCH(H1177,Documents!$A$5:$A$657,0))="","",INDEX(Documents!$D$5:$D$657,MATCH(H1177,Documents!$A$5:$A$657,0))),"")</f>
        <v>J Med Chem</v>
      </c>
      <c r="K1177" s="25" t="str">
        <f aca="false">IFERROR(IF(INDEX(Documents!$G$5:$G$657,MATCH(H1177,Documents!$A$5:$A$657,0))="","",INDEX(Documents!$G$5:$G$657,MATCH(H1177,Documents!$A$5:$A$657,0))),"")</f>
        <v>10.1021/jm0501533</v>
      </c>
      <c r="L1177" s="25" t="s">
        <v>2251</v>
      </c>
    </row>
    <row r="1178" customFormat="false" ht="15" hidden="false" customHeight="false" outlineLevel="0" collapsed="false">
      <c r="A1178" s="25" t="n">
        <v>7944817</v>
      </c>
      <c r="B1178" s="25" t="s">
        <v>2777</v>
      </c>
      <c r="C1178" s="25" t="s">
        <v>2778</v>
      </c>
      <c r="D1178" s="26" t="n">
        <v>7870</v>
      </c>
      <c r="E1178" s="27" t="n">
        <v>5.10402526764094</v>
      </c>
      <c r="F1178" s="27" t="n">
        <v>5.10402526764094</v>
      </c>
      <c r="G1178" s="25" t="s">
        <v>2072</v>
      </c>
      <c r="H1178" s="25" t="s">
        <v>2073</v>
      </c>
      <c r="I1178" s="25" t="n">
        <f aca="false">IFERROR(IF(INDEX(Documents!$C$5:$C$657,MATCH(H1178,Documents!$A$5:$A$657,0))="","",INDEX(Documents!$C$5:$C$657,MATCH(H1178,Documents!$A$5:$A$657,0))),"")</f>
        <v>2011</v>
      </c>
      <c r="J1178" s="25" t="str">
        <f aca="false">IFERROR(IF(INDEX(Documents!$D$5:$D$657,MATCH(H1178,Documents!$A$5:$A$657,0))="","",INDEX(Documents!$D$5:$D$657,MATCH(H1178,Documents!$A$5:$A$657,0))),"")</f>
        <v>J Med Chem</v>
      </c>
      <c r="K1178" s="25" t="str">
        <f aca="false">IFERROR(IF(INDEX(Documents!$G$5:$G$657,MATCH(H1178,Documents!$A$5:$A$657,0))="","",INDEX(Documents!$G$5:$G$657,MATCH(H1178,Documents!$A$5:$A$657,0))),"")</f>
        <v>10.1021/jm200529h</v>
      </c>
      <c r="L1178" s="25" t="s">
        <v>2074</v>
      </c>
    </row>
    <row r="1179" customFormat="false" ht="15" hidden="false" customHeight="false" outlineLevel="0" collapsed="false">
      <c r="A1179" s="25" t="n">
        <v>7944834</v>
      </c>
      <c r="B1179" s="25" t="s">
        <v>2779</v>
      </c>
      <c r="C1179" s="25" t="s">
        <v>2780</v>
      </c>
      <c r="D1179" s="26" t="n">
        <v>10440</v>
      </c>
      <c r="E1179" s="27" t="n">
        <v>4.98129950133376</v>
      </c>
      <c r="F1179" s="27" t="n">
        <v>4.98129950133376</v>
      </c>
      <c r="G1179" s="25" t="s">
        <v>2072</v>
      </c>
      <c r="H1179" s="25" t="s">
        <v>2073</v>
      </c>
      <c r="I1179" s="25" t="n">
        <f aca="false">IFERROR(IF(INDEX(Documents!$C$5:$C$657,MATCH(H1179,Documents!$A$5:$A$657,0))="","",INDEX(Documents!$C$5:$C$657,MATCH(H1179,Documents!$A$5:$A$657,0))),"")</f>
        <v>2011</v>
      </c>
      <c r="J1179" s="25" t="str">
        <f aca="false">IFERROR(IF(INDEX(Documents!$D$5:$D$657,MATCH(H1179,Documents!$A$5:$A$657,0))="","",INDEX(Documents!$D$5:$D$657,MATCH(H1179,Documents!$A$5:$A$657,0))),"")</f>
        <v>J Med Chem</v>
      </c>
      <c r="K1179" s="25" t="str">
        <f aca="false">IFERROR(IF(INDEX(Documents!$G$5:$G$657,MATCH(H1179,Documents!$A$5:$A$657,0))="","",INDEX(Documents!$G$5:$G$657,MATCH(H1179,Documents!$A$5:$A$657,0))),"")</f>
        <v>10.1021/jm200529h</v>
      </c>
      <c r="L1179" s="25" t="s">
        <v>2074</v>
      </c>
    </row>
    <row r="1180" customFormat="false" ht="15" hidden="false" customHeight="false" outlineLevel="0" collapsed="false">
      <c r="A1180" s="25" t="n">
        <v>1887185</v>
      </c>
      <c r="B1180" s="25" t="s">
        <v>2781</v>
      </c>
      <c r="C1180" s="25" t="s">
        <v>2782</v>
      </c>
      <c r="D1180" s="26" t="n">
        <v>3940</v>
      </c>
      <c r="E1180" s="27" t="n">
        <v>5.40450377817443</v>
      </c>
      <c r="F1180" s="27" t="n">
        <v>5.40450377817443</v>
      </c>
      <c r="G1180" s="25" t="s">
        <v>2721</v>
      </c>
      <c r="H1180" s="25" t="s">
        <v>2722</v>
      </c>
      <c r="I1180" s="25" t="n">
        <f aca="false">IFERROR(IF(INDEX(Documents!$C$5:$C$657,MATCH(H1180,Documents!$A$5:$A$657,0))="","",INDEX(Documents!$C$5:$C$657,MATCH(H1180,Documents!$A$5:$A$657,0))),"")</f>
        <v>2007</v>
      </c>
      <c r="J1180" s="25" t="str">
        <f aca="false">IFERROR(IF(INDEX(Documents!$D$5:$D$657,MATCH(H1180,Documents!$A$5:$A$657,0))="","",INDEX(Documents!$D$5:$D$657,MATCH(H1180,Documents!$A$5:$A$657,0))),"")</f>
        <v>Bioorg Med Chem</v>
      </c>
      <c r="K1180" s="25" t="str">
        <f aca="false">IFERROR(IF(INDEX(Documents!$G$5:$G$657,MATCH(H1180,Documents!$A$5:$A$657,0))="","",INDEX(Documents!$G$5:$G$657,MATCH(H1180,Documents!$A$5:$A$657,0))),"")</f>
        <v>10.1016/j.bmc.2007.05.060</v>
      </c>
      <c r="L1180" s="25" t="s">
        <v>285</v>
      </c>
    </row>
    <row r="1181" customFormat="false" ht="15" hidden="false" customHeight="false" outlineLevel="0" collapsed="false">
      <c r="A1181" s="25" t="n">
        <v>7944828</v>
      </c>
      <c r="B1181" s="25" t="s">
        <v>2783</v>
      </c>
      <c r="C1181" s="25" t="s">
        <v>2784</v>
      </c>
      <c r="D1181" s="26" t="n">
        <v>2390</v>
      </c>
      <c r="E1181" s="27" t="n">
        <v>5.62160209905186</v>
      </c>
      <c r="F1181" s="27" t="n">
        <v>5.62160209905186</v>
      </c>
      <c r="G1181" s="25" t="s">
        <v>2072</v>
      </c>
      <c r="H1181" s="25" t="s">
        <v>2073</v>
      </c>
      <c r="I1181" s="25" t="n">
        <f aca="false">IFERROR(IF(INDEX(Documents!$C$5:$C$657,MATCH(H1181,Documents!$A$5:$A$657,0))="","",INDEX(Documents!$C$5:$C$657,MATCH(H1181,Documents!$A$5:$A$657,0))),"")</f>
        <v>2011</v>
      </c>
      <c r="J1181" s="25" t="str">
        <f aca="false">IFERROR(IF(INDEX(Documents!$D$5:$D$657,MATCH(H1181,Documents!$A$5:$A$657,0))="","",INDEX(Documents!$D$5:$D$657,MATCH(H1181,Documents!$A$5:$A$657,0))),"")</f>
        <v>J Med Chem</v>
      </c>
      <c r="K1181" s="25" t="str">
        <f aca="false">IFERROR(IF(INDEX(Documents!$G$5:$G$657,MATCH(H1181,Documents!$A$5:$A$657,0))="","",INDEX(Documents!$G$5:$G$657,MATCH(H1181,Documents!$A$5:$A$657,0))),"")</f>
        <v>10.1021/jm200529h</v>
      </c>
      <c r="L1181" s="25" t="s">
        <v>2074</v>
      </c>
    </row>
    <row r="1182" customFormat="false" ht="15" hidden="false" customHeight="false" outlineLevel="0" collapsed="false">
      <c r="A1182" s="25" t="n">
        <v>7944827</v>
      </c>
      <c r="B1182" s="25" t="s">
        <v>2785</v>
      </c>
      <c r="C1182" s="25" t="s">
        <v>2786</v>
      </c>
      <c r="D1182" s="26" t="n">
        <v>1130</v>
      </c>
      <c r="E1182" s="27" t="n">
        <v>5.94692155651658</v>
      </c>
      <c r="F1182" s="27" t="n">
        <v>5.94692155651658</v>
      </c>
      <c r="G1182" s="25" t="s">
        <v>2072</v>
      </c>
      <c r="H1182" s="25" t="s">
        <v>2073</v>
      </c>
      <c r="I1182" s="25" t="n">
        <f aca="false">IFERROR(IF(INDEX(Documents!$C$5:$C$657,MATCH(H1182,Documents!$A$5:$A$657,0))="","",INDEX(Documents!$C$5:$C$657,MATCH(H1182,Documents!$A$5:$A$657,0))),"")</f>
        <v>2011</v>
      </c>
      <c r="J1182" s="25" t="str">
        <f aca="false">IFERROR(IF(INDEX(Documents!$D$5:$D$657,MATCH(H1182,Documents!$A$5:$A$657,0))="","",INDEX(Documents!$D$5:$D$657,MATCH(H1182,Documents!$A$5:$A$657,0))),"")</f>
        <v>J Med Chem</v>
      </c>
      <c r="K1182" s="25" t="str">
        <f aca="false">IFERROR(IF(INDEX(Documents!$G$5:$G$657,MATCH(H1182,Documents!$A$5:$A$657,0))="","",INDEX(Documents!$G$5:$G$657,MATCH(H1182,Documents!$A$5:$A$657,0))),"")</f>
        <v>10.1021/jm200529h</v>
      </c>
      <c r="L1182" s="25" t="s">
        <v>2074</v>
      </c>
    </row>
    <row r="1183" customFormat="false" ht="15" hidden="false" customHeight="false" outlineLevel="0" collapsed="false">
      <c r="A1183" s="25" t="n">
        <v>12718756</v>
      </c>
      <c r="B1183" s="25" t="s">
        <v>2787</v>
      </c>
      <c r="C1183" s="25" t="s">
        <v>2788</v>
      </c>
      <c r="D1183" s="26" t="n">
        <v>3082</v>
      </c>
      <c r="E1183" s="27" t="n">
        <v>5.5111673656176</v>
      </c>
      <c r="F1183" s="27" t="n">
        <v>5.5111673656176</v>
      </c>
      <c r="G1183" s="25" t="s">
        <v>2789</v>
      </c>
      <c r="H1183" s="25" t="s">
        <v>2790</v>
      </c>
      <c r="I1183" s="25" t="n">
        <f aca="false">IFERROR(IF(INDEX(Documents!$C$5:$C$657,MATCH(H1183,Documents!$A$5:$A$657,0))="","",INDEX(Documents!$C$5:$C$657,MATCH(H1183,Documents!$A$5:$A$657,0))),"")</f>
        <v>2013</v>
      </c>
      <c r="J1183" s="25" t="str">
        <f aca="false">IFERROR(IF(INDEX(Documents!$D$5:$D$657,MATCH(H1183,Documents!$A$5:$A$657,0))="","",INDEX(Documents!$D$5:$D$657,MATCH(H1183,Documents!$A$5:$A$657,0))),"")</f>
        <v>Bioorg Med Chem</v>
      </c>
      <c r="K1183" s="25" t="str">
        <f aca="false">IFERROR(IF(INDEX(Documents!$G$5:$G$657,MATCH(H1183,Documents!$A$5:$A$657,0))="","",INDEX(Documents!$G$5:$G$657,MATCH(H1183,Documents!$A$5:$A$657,0))),"")</f>
        <v>10.1016/j.bmc.2013.01.055</v>
      </c>
      <c r="L1183" s="25" t="s">
        <v>2791</v>
      </c>
    </row>
    <row r="1184" customFormat="false" ht="15" hidden="false" customHeight="false" outlineLevel="0" collapsed="false">
      <c r="A1184" s="25" t="n">
        <v>19482348</v>
      </c>
      <c r="B1184" s="25" t="s">
        <v>2792</v>
      </c>
      <c r="C1184" s="25" t="s">
        <v>2793</v>
      </c>
      <c r="D1184" s="26" t="n">
        <v>39</v>
      </c>
      <c r="E1184" s="27" t="n">
        <v>7.4089353929735</v>
      </c>
      <c r="F1184" s="27" t="n">
        <v>7.4089353929735</v>
      </c>
      <c r="G1184" s="25" t="s">
        <v>1161</v>
      </c>
      <c r="H1184" s="25" t="s">
        <v>724</v>
      </c>
      <c r="I1184" s="25" t="n">
        <f aca="false">IFERROR(IF(INDEX(Documents!$C$5:$C$657,MATCH(H1184,Documents!$A$5:$A$657,0))="","",INDEX(Documents!$C$5:$C$657,MATCH(H1184,Documents!$A$5:$A$657,0))),"")</f>
        <v>2019</v>
      </c>
      <c r="J1184" s="25" t="str">
        <f aca="false">IFERROR(IF(INDEX(Documents!$D$5:$D$657,MATCH(H1184,Documents!$A$5:$A$657,0))="","",INDEX(Documents!$D$5:$D$657,MATCH(H1184,Documents!$A$5:$A$657,0))),"")</f>
        <v>Eur J Med Chem</v>
      </c>
      <c r="K1184" s="25" t="str">
        <f aca="false">IFERROR(IF(INDEX(Documents!$G$5:$G$657,MATCH(H1184,Documents!$A$5:$A$657,0))="","",INDEX(Documents!$G$5:$G$657,MATCH(H1184,Documents!$A$5:$A$657,0))),"")</f>
        <v>10.1016/j.ejmech.2018.12.008</v>
      </c>
      <c r="L1184" s="25" t="s">
        <v>1162</v>
      </c>
    </row>
    <row r="1185" customFormat="false" ht="15" hidden="false" customHeight="false" outlineLevel="0" collapsed="false">
      <c r="A1185" s="25" t="n">
        <v>12723318</v>
      </c>
      <c r="B1185" s="25" t="s">
        <v>2794</v>
      </c>
      <c r="C1185" s="25" t="s">
        <v>2795</v>
      </c>
      <c r="D1185" s="26" t="n">
        <v>609</v>
      </c>
      <c r="E1185" s="27" t="n">
        <v>6.21538270736713</v>
      </c>
      <c r="F1185" s="27" t="n">
        <v>6.21538270736713</v>
      </c>
      <c r="G1185" s="25" t="s">
        <v>2796</v>
      </c>
      <c r="H1185" s="25" t="s">
        <v>2797</v>
      </c>
      <c r="I1185" s="25" t="n">
        <f aca="false">IFERROR(IF(INDEX(Documents!$C$5:$C$657,MATCH(H1185,Documents!$A$5:$A$657,0))="","",INDEX(Documents!$C$5:$C$657,MATCH(H1185,Documents!$A$5:$A$657,0))),"")</f>
        <v>2013</v>
      </c>
      <c r="J1185" s="25" t="str">
        <f aca="false">IFERROR(IF(INDEX(Documents!$D$5:$D$657,MATCH(H1185,Documents!$A$5:$A$657,0))="","",INDEX(Documents!$D$5:$D$657,MATCH(H1185,Documents!$A$5:$A$657,0))),"")</f>
        <v>Bioorg Med Chem</v>
      </c>
      <c r="K1185" s="25" t="str">
        <f aca="false">IFERROR(IF(INDEX(Documents!$G$5:$G$657,MATCH(H1185,Documents!$A$5:$A$657,0))="","",INDEX(Documents!$G$5:$G$657,MATCH(H1185,Documents!$A$5:$A$657,0))),"")</f>
        <v>10.1016/j.bmc.2013.01.006</v>
      </c>
      <c r="L1185" s="25" t="s">
        <v>2798</v>
      </c>
    </row>
    <row r="1186" customFormat="false" ht="15" hidden="false" customHeight="false" outlineLevel="0" collapsed="false">
      <c r="A1186" s="25" t="n">
        <v>13499119</v>
      </c>
      <c r="B1186" s="25" t="s">
        <v>2799</v>
      </c>
      <c r="C1186" s="25" t="s">
        <v>2800</v>
      </c>
      <c r="D1186" s="26" t="n">
        <v>96</v>
      </c>
      <c r="E1186" s="27" t="n">
        <v>7.01772876696043</v>
      </c>
      <c r="F1186" s="27" t="n">
        <v>7.01772876696043</v>
      </c>
      <c r="G1186" s="25" t="s">
        <v>757</v>
      </c>
      <c r="H1186" s="25" t="s">
        <v>758</v>
      </c>
      <c r="I1186" s="25" t="n">
        <f aca="false">IFERROR(IF(INDEX(Documents!$C$5:$C$657,MATCH(H1186,Documents!$A$5:$A$657,0))="","",INDEX(Documents!$C$5:$C$657,MATCH(H1186,Documents!$A$5:$A$657,0))),"")</f>
        <v>2013</v>
      </c>
      <c r="J1186" s="25" t="str">
        <f aca="false">IFERROR(IF(INDEX(Documents!$D$5:$D$657,MATCH(H1186,Documents!$A$5:$A$657,0))="","",INDEX(Documents!$D$5:$D$657,MATCH(H1186,Documents!$A$5:$A$657,0))),"")</f>
        <v>Eur J Med Chem</v>
      </c>
      <c r="K1186" s="25" t="str">
        <f aca="false">IFERROR(IF(INDEX(Documents!$G$5:$G$657,MATCH(H1186,Documents!$A$5:$A$657,0))="","",INDEX(Documents!$G$5:$G$657,MATCH(H1186,Documents!$A$5:$A$657,0))),"")</f>
        <v>10.1016/j.ejmech.2013.09.038</v>
      </c>
      <c r="L1186" s="25" t="s">
        <v>759</v>
      </c>
    </row>
    <row r="1187" customFormat="false" ht="15" hidden="false" customHeight="false" outlineLevel="0" collapsed="false">
      <c r="A1187" s="25" t="n">
        <v>5124682</v>
      </c>
      <c r="B1187" s="25" t="s">
        <v>2801</v>
      </c>
      <c r="C1187" s="25" t="s">
        <v>2802</v>
      </c>
      <c r="D1187" s="26" t="n">
        <v>13.5</v>
      </c>
      <c r="E1187" s="27" t="n">
        <v>7.86966623150499</v>
      </c>
      <c r="F1187" s="27" t="n">
        <v>7.86966623150499</v>
      </c>
      <c r="G1187" s="25" t="s">
        <v>1948</v>
      </c>
      <c r="H1187" s="25" t="s">
        <v>1949</v>
      </c>
      <c r="I1187" s="25" t="n">
        <f aca="false">IFERROR(IF(INDEX(Documents!$C$5:$C$657,MATCH(H1187,Documents!$A$5:$A$657,0))="","",INDEX(Documents!$C$5:$C$657,MATCH(H1187,Documents!$A$5:$A$657,0))),"")</f>
        <v>2010</v>
      </c>
      <c r="J1187" s="25" t="str">
        <f aca="false">IFERROR(IF(INDEX(Documents!$D$5:$D$657,MATCH(H1187,Documents!$A$5:$A$657,0))="","",INDEX(Documents!$D$5:$D$657,MATCH(H1187,Documents!$A$5:$A$657,0))),"")</f>
        <v>J Med Chem</v>
      </c>
      <c r="K1187" s="25" t="str">
        <f aca="false">IFERROR(IF(INDEX(Documents!$G$5:$G$657,MATCH(H1187,Documents!$A$5:$A$657,0))="","",INDEX(Documents!$G$5:$G$657,MATCH(H1187,Documents!$A$5:$A$657,0))),"")</f>
        <v>10.1021/jm100286k</v>
      </c>
      <c r="L1187" s="25" t="s">
        <v>1950</v>
      </c>
    </row>
    <row r="1188" customFormat="false" ht="15" hidden="false" customHeight="false" outlineLevel="0" collapsed="false">
      <c r="A1188" s="25" t="n">
        <v>12619640</v>
      </c>
      <c r="B1188" s="25" t="s">
        <v>2803</v>
      </c>
      <c r="C1188" s="25" t="s">
        <v>2804</v>
      </c>
      <c r="D1188" s="26" t="n">
        <v>325</v>
      </c>
      <c r="E1188" s="27" t="n">
        <v>6.48811663902113</v>
      </c>
      <c r="F1188" s="27" t="n">
        <v>6.48811663902113</v>
      </c>
      <c r="G1188" s="25" t="s">
        <v>2805</v>
      </c>
      <c r="H1188" s="25" t="s">
        <v>2806</v>
      </c>
      <c r="I1188" s="25" t="n">
        <f aca="false">IFERROR(IF(INDEX(Documents!$C$5:$C$657,MATCH(H1188,Documents!$A$5:$A$657,0))="","",INDEX(Documents!$C$5:$C$657,MATCH(H1188,Documents!$A$5:$A$657,0))),"")</f>
        <v>2013</v>
      </c>
      <c r="J1188" s="25" t="str">
        <f aca="false">IFERROR(IF(INDEX(Documents!$D$5:$D$657,MATCH(H1188,Documents!$A$5:$A$657,0))="","",INDEX(Documents!$D$5:$D$657,MATCH(H1188,Documents!$A$5:$A$657,0))),"")</f>
        <v>J Med Chem</v>
      </c>
      <c r="K1188" s="25" t="str">
        <f aca="false">IFERROR(IF(INDEX(Documents!$G$5:$G$657,MATCH(H1188,Documents!$A$5:$A$657,0))="","",INDEX(Documents!$G$5:$G$657,MATCH(H1188,Documents!$A$5:$A$657,0))),"")</f>
        <v>10.1021/jm301527r</v>
      </c>
      <c r="L1188" s="25" t="s">
        <v>2807</v>
      </c>
    </row>
    <row r="1189" customFormat="false" ht="15" hidden="false" customHeight="false" outlineLevel="0" collapsed="false">
      <c r="A1189" s="25" t="n">
        <v>5205755</v>
      </c>
      <c r="B1189" s="25" t="s">
        <v>2808</v>
      </c>
      <c r="C1189" s="25" t="s">
        <v>2809</v>
      </c>
      <c r="D1189" s="26" t="n">
        <v>8</v>
      </c>
      <c r="E1189" s="27" t="n">
        <v>8.09691001300806</v>
      </c>
      <c r="F1189" s="27" t="n">
        <v>8.09691001300806</v>
      </c>
      <c r="G1189" s="25" t="s">
        <v>461</v>
      </c>
      <c r="H1189" s="25" t="s">
        <v>462</v>
      </c>
      <c r="I1189" s="25" t="n">
        <f aca="false">IFERROR(IF(INDEX(Documents!$C$5:$C$657,MATCH(H1189,Documents!$A$5:$A$657,0))="","",INDEX(Documents!$C$5:$C$657,MATCH(H1189,Documents!$A$5:$A$657,0))),"")</f>
        <v>2011</v>
      </c>
      <c r="J1189" s="25" t="str">
        <f aca="false">IFERROR(IF(INDEX(Documents!$D$5:$D$657,MATCH(H1189,Documents!$A$5:$A$657,0))="","",INDEX(Documents!$D$5:$D$657,MATCH(H1189,Documents!$A$5:$A$657,0))),"")</f>
        <v>Eur J Med Chem</v>
      </c>
      <c r="K1189" s="25" t="str">
        <f aca="false">IFERROR(IF(INDEX(Documents!$G$5:$G$657,MATCH(H1189,Documents!$A$5:$A$657,0))="","",INDEX(Documents!$G$5:$G$657,MATCH(H1189,Documents!$A$5:$A$657,0))),"")</f>
        <v>10.1016/j.ejmech.2010.11.034</v>
      </c>
      <c r="L1189" s="25" t="s">
        <v>463</v>
      </c>
    </row>
    <row r="1190" customFormat="false" ht="15" hidden="false" customHeight="false" outlineLevel="0" collapsed="false">
      <c r="A1190" s="25" t="n">
        <v>1667538</v>
      </c>
      <c r="B1190" s="25" t="s">
        <v>2810</v>
      </c>
      <c r="C1190" s="25" t="s">
        <v>2811</v>
      </c>
      <c r="D1190" s="26" t="n">
        <v>844</v>
      </c>
      <c r="E1190" s="27" t="n">
        <v>6.07365755337434</v>
      </c>
      <c r="F1190" s="27" t="n">
        <v>6.07365755337434</v>
      </c>
      <c r="G1190" s="25" t="s">
        <v>1538</v>
      </c>
      <c r="H1190" s="25" t="s">
        <v>1539</v>
      </c>
      <c r="I1190" s="25" t="n">
        <f aca="false">IFERROR(IF(INDEX(Documents!$C$5:$C$657,MATCH(H1190,Documents!$A$5:$A$657,0))="","",INDEX(Documents!$C$5:$C$657,MATCH(H1190,Documents!$A$5:$A$657,0))),"")</f>
        <v>2006</v>
      </c>
      <c r="J1190" s="25" t="str">
        <f aca="false">IFERROR(IF(INDEX(Documents!$D$5:$D$657,MATCH(H1190,Documents!$A$5:$A$657,0))="","",INDEX(Documents!$D$5:$D$657,MATCH(H1190,Documents!$A$5:$A$657,0))),"")</f>
        <v>J Med Chem</v>
      </c>
      <c r="K1190" s="25" t="str">
        <f aca="false">IFERROR(IF(INDEX(Documents!$G$5:$G$657,MATCH(H1190,Documents!$A$5:$A$657,0))="","",INDEX(Documents!$G$5:$G$657,MATCH(H1190,Documents!$A$5:$A$657,0))),"")</f>
        <v>10.1021/jm050467q</v>
      </c>
      <c r="L1190" s="25" t="s">
        <v>775</v>
      </c>
    </row>
    <row r="1191" customFormat="false" ht="15" hidden="false" customHeight="false" outlineLevel="0" collapsed="false">
      <c r="A1191" s="25" t="n">
        <v>1993829</v>
      </c>
      <c r="B1191" s="25" t="s">
        <v>2812</v>
      </c>
      <c r="C1191" s="25" t="s">
        <v>2813</v>
      </c>
      <c r="D1191" s="26" t="n">
        <v>582</v>
      </c>
      <c r="E1191" s="27" t="n">
        <v>6.23507701535011</v>
      </c>
      <c r="F1191" s="27" t="n">
        <v>6.23507701535011</v>
      </c>
      <c r="G1191" s="25" t="s">
        <v>1527</v>
      </c>
      <c r="H1191" s="25" t="s">
        <v>1528</v>
      </c>
      <c r="I1191" s="25" t="n">
        <f aca="false">IFERROR(IF(INDEX(Documents!$C$5:$C$657,MATCH(H1191,Documents!$A$5:$A$657,0))="","",INDEX(Documents!$C$5:$C$657,MATCH(H1191,Documents!$A$5:$A$657,0))),"")</f>
        <v>2007</v>
      </c>
      <c r="J1191" s="25" t="str">
        <f aca="false">IFERROR(IF(INDEX(Documents!$D$5:$D$657,MATCH(H1191,Documents!$A$5:$A$657,0))="","",INDEX(Documents!$D$5:$D$657,MATCH(H1191,Documents!$A$5:$A$657,0))),"")</f>
        <v>J Med Chem</v>
      </c>
      <c r="K1191" s="25" t="str">
        <f aca="false">IFERROR(IF(INDEX(Documents!$G$5:$G$657,MATCH(H1191,Documents!$A$5:$A$657,0))="","",INDEX(Documents!$G$5:$G$657,MATCH(H1191,Documents!$A$5:$A$657,0))),"")</f>
        <v>10.1021/jm070387h</v>
      </c>
      <c r="L1191" s="25" t="s">
        <v>1529</v>
      </c>
    </row>
    <row r="1192" customFormat="false" ht="15" hidden="false" customHeight="false" outlineLevel="0" collapsed="false">
      <c r="A1192" s="25" t="n">
        <v>1793650</v>
      </c>
      <c r="B1192" s="25" t="s">
        <v>2814</v>
      </c>
      <c r="C1192" s="25" t="s">
        <v>2815</v>
      </c>
      <c r="D1192" s="26" t="n">
        <v>7.1</v>
      </c>
      <c r="E1192" s="27" t="n">
        <v>8.14874165128093</v>
      </c>
      <c r="F1192" s="27" t="n">
        <v>8.14874165128093</v>
      </c>
      <c r="G1192" s="25" t="s">
        <v>2653</v>
      </c>
      <c r="H1192" s="25" t="s">
        <v>2654</v>
      </c>
      <c r="I1192" s="25" t="n">
        <f aca="false">IFERROR(IF(INDEX(Documents!$C$5:$C$657,MATCH(H1192,Documents!$A$5:$A$657,0))="","",INDEX(Documents!$C$5:$C$657,MATCH(H1192,Documents!$A$5:$A$657,0))),"")</f>
        <v>2006</v>
      </c>
      <c r="J1192" s="25" t="str">
        <f aca="false">IFERROR(IF(INDEX(Documents!$D$5:$D$657,MATCH(H1192,Documents!$A$5:$A$657,0))="","",INDEX(Documents!$D$5:$D$657,MATCH(H1192,Documents!$A$5:$A$657,0))),"")</f>
        <v>Bioorg Med Chem Lett</v>
      </c>
      <c r="K1192" s="25" t="str">
        <f aca="false">IFERROR(IF(INDEX(Documents!$G$5:$G$657,MATCH(H1192,Documents!$A$5:$A$657,0))="","",INDEX(Documents!$G$5:$G$657,MATCH(H1192,Documents!$A$5:$A$657,0))),"")</f>
        <v>10.1016/j.bmcl.2006.07.051</v>
      </c>
      <c r="L1192" s="25" t="s">
        <v>709</v>
      </c>
    </row>
    <row r="1193" customFormat="false" ht="15" hidden="false" customHeight="false" outlineLevel="0" collapsed="false">
      <c r="A1193" s="25" t="n">
        <v>15233390</v>
      </c>
      <c r="B1193" s="25" t="s">
        <v>2816</v>
      </c>
      <c r="C1193" s="25" t="s">
        <v>2817</v>
      </c>
      <c r="D1193" s="26" t="n">
        <v>7.7</v>
      </c>
      <c r="E1193" s="27" t="n">
        <v>8.11350927482752</v>
      </c>
      <c r="F1193" s="27" t="n">
        <v>8.11350927482752</v>
      </c>
      <c r="G1193" s="25" t="s">
        <v>2818</v>
      </c>
      <c r="H1193" s="25" t="s">
        <v>2819</v>
      </c>
      <c r="I1193" s="25" t="n">
        <f aca="false">IFERROR(IF(INDEX(Documents!$C$5:$C$657,MATCH(H1193,Documents!$A$5:$A$657,0))="","",INDEX(Documents!$C$5:$C$657,MATCH(H1193,Documents!$A$5:$A$657,0))),"")</f>
        <v>2015</v>
      </c>
      <c r="J1193" s="25" t="str">
        <f aca="false">IFERROR(IF(INDEX(Documents!$D$5:$D$657,MATCH(H1193,Documents!$A$5:$A$657,0))="","",INDEX(Documents!$D$5:$D$657,MATCH(H1193,Documents!$A$5:$A$657,0))),"")</f>
        <v>ACS Med Chem Lett</v>
      </c>
      <c r="K1193" s="25" t="str">
        <f aca="false">IFERROR(IF(INDEX(Documents!$G$5:$G$657,MATCH(H1193,Documents!$A$5:$A$657,0))="","",INDEX(Documents!$G$5:$G$657,MATCH(H1193,Documents!$A$5:$A$657,0))),"")</f>
        <v>10.1021/ml500439x</v>
      </c>
      <c r="L1193" s="25" t="s">
        <v>2820</v>
      </c>
    </row>
    <row r="1194" customFormat="false" ht="15" hidden="false" customHeight="false" outlineLevel="0" collapsed="false">
      <c r="A1194" s="25" t="n">
        <v>6390510</v>
      </c>
      <c r="B1194" s="25" t="s">
        <v>2821</v>
      </c>
      <c r="C1194" s="25" t="s">
        <v>2822</v>
      </c>
      <c r="D1194" s="26" t="n">
        <v>387</v>
      </c>
      <c r="E1194" s="27" t="n">
        <v>6.41228903498109</v>
      </c>
      <c r="F1194" s="27" t="n">
        <v>6.41228903498109</v>
      </c>
      <c r="G1194" s="25" t="s">
        <v>2823</v>
      </c>
      <c r="H1194" s="25" t="s">
        <v>2824</v>
      </c>
      <c r="I1194" s="25" t="n">
        <f aca="false">IFERROR(IF(INDEX(Documents!$C$5:$C$657,MATCH(H1194,Documents!$A$5:$A$657,0))="","",INDEX(Documents!$C$5:$C$657,MATCH(H1194,Documents!$A$5:$A$657,0))),"")</f>
        <v>2011</v>
      </c>
      <c r="J1194" s="25" t="str">
        <f aca="false">IFERROR(IF(INDEX(Documents!$D$5:$D$657,MATCH(H1194,Documents!$A$5:$A$657,0))="","",INDEX(Documents!$D$5:$D$657,MATCH(H1194,Documents!$A$5:$A$657,0))),"")</f>
        <v>Bioorg Med Chem Lett</v>
      </c>
      <c r="K1194" s="25" t="str">
        <f aca="false">IFERROR(IF(INDEX(Documents!$G$5:$G$657,MATCH(H1194,Documents!$A$5:$A$657,0))="","",INDEX(Documents!$G$5:$G$657,MATCH(H1194,Documents!$A$5:$A$657,0))),"")</f>
        <v>10.1016/j.bmcl.2011.07.099</v>
      </c>
      <c r="L1194" s="25" t="s">
        <v>2825</v>
      </c>
    </row>
    <row r="1195" customFormat="false" ht="15" hidden="false" customHeight="false" outlineLevel="0" collapsed="false">
      <c r="A1195" s="25" t="n">
        <v>20662658</v>
      </c>
      <c r="B1195" s="25" t="s">
        <v>2826</v>
      </c>
      <c r="C1195" s="25" t="s">
        <v>2827</v>
      </c>
      <c r="D1195" s="26" t="n">
        <v>0.9</v>
      </c>
      <c r="E1195" s="27" t="n">
        <v>9.04575749056068</v>
      </c>
      <c r="F1195" s="27" t="n">
        <v>9.04575749056068</v>
      </c>
      <c r="G1195" s="25" t="s">
        <v>643</v>
      </c>
      <c r="H1195" s="25" t="s">
        <v>644</v>
      </c>
      <c r="I1195" s="25" t="n">
        <f aca="false">IFERROR(IF(INDEX(Documents!$C$5:$C$657,MATCH(H1195,Documents!$A$5:$A$657,0))="","",INDEX(Documents!$C$5:$C$657,MATCH(H1195,Documents!$A$5:$A$657,0))),"")</f>
        <v>2020</v>
      </c>
      <c r="J1195" s="25" t="str">
        <f aca="false">IFERROR(IF(INDEX(Documents!$D$5:$D$657,MATCH(H1195,Documents!$A$5:$A$657,0))="","",INDEX(Documents!$D$5:$D$657,MATCH(H1195,Documents!$A$5:$A$657,0))),"")</f>
        <v>J Med Chem</v>
      </c>
      <c r="K1195" s="25" t="str">
        <f aca="false">IFERROR(IF(INDEX(Documents!$G$5:$G$657,MATCH(H1195,Documents!$A$5:$A$657,0))="","",INDEX(Documents!$G$5:$G$657,MATCH(H1195,Documents!$A$5:$A$657,0))),"")</f>
        <v>10.1021/acs.jmedchem.0c00595</v>
      </c>
      <c r="L1195" s="25" t="s">
        <v>645</v>
      </c>
    </row>
    <row r="1196" customFormat="false" ht="15" hidden="false" customHeight="false" outlineLevel="0" collapsed="false">
      <c r="A1196" s="25" t="n">
        <v>3413888</v>
      </c>
      <c r="B1196" s="25" t="s">
        <v>2828</v>
      </c>
      <c r="C1196" s="25" t="s">
        <v>2829</v>
      </c>
      <c r="D1196" s="26" t="n">
        <v>121</v>
      </c>
      <c r="E1196" s="27" t="n">
        <v>6.91721462968355</v>
      </c>
      <c r="F1196" s="27" t="n">
        <v>6.91721462968355</v>
      </c>
      <c r="G1196" s="25" t="s">
        <v>2133</v>
      </c>
      <c r="H1196" s="25" t="s">
        <v>2134</v>
      </c>
      <c r="I1196" s="25" t="n">
        <f aca="false">IFERROR(IF(INDEX(Documents!$C$5:$C$657,MATCH(H1196,Documents!$A$5:$A$657,0))="","",INDEX(Documents!$C$5:$C$657,MATCH(H1196,Documents!$A$5:$A$657,0))),"")</f>
        <v>2010</v>
      </c>
      <c r="J1196" s="25" t="str">
        <f aca="false">IFERROR(IF(INDEX(Documents!$D$5:$D$657,MATCH(H1196,Documents!$A$5:$A$657,0))="","",INDEX(Documents!$D$5:$D$657,MATCH(H1196,Documents!$A$5:$A$657,0))),"")</f>
        <v>Bioorg Med Chem Lett</v>
      </c>
      <c r="K1196" s="25" t="str">
        <f aca="false">IFERROR(IF(INDEX(Documents!$G$5:$G$657,MATCH(H1196,Documents!$A$5:$A$657,0))="","",INDEX(Documents!$G$5:$G$657,MATCH(H1196,Documents!$A$5:$A$657,0))),"")</f>
        <v>10.1016/j.bmcl.2010.07.056</v>
      </c>
      <c r="L1196" s="25" t="s">
        <v>2135</v>
      </c>
    </row>
    <row r="1197" customFormat="false" ht="15" hidden="false" customHeight="false" outlineLevel="0" collapsed="false">
      <c r="A1197" s="25" t="n">
        <v>3413884</v>
      </c>
      <c r="B1197" s="25" t="s">
        <v>2830</v>
      </c>
      <c r="C1197" s="25" t="s">
        <v>2831</v>
      </c>
      <c r="D1197" s="26" t="n">
        <v>7.1</v>
      </c>
      <c r="E1197" s="27" t="n">
        <v>8.14874165128093</v>
      </c>
      <c r="F1197" s="27" t="n">
        <v>8.14874165128093</v>
      </c>
      <c r="G1197" s="25" t="s">
        <v>2133</v>
      </c>
      <c r="H1197" s="25" t="s">
        <v>2134</v>
      </c>
      <c r="I1197" s="25" t="n">
        <f aca="false">IFERROR(IF(INDEX(Documents!$C$5:$C$657,MATCH(H1197,Documents!$A$5:$A$657,0))="","",INDEX(Documents!$C$5:$C$657,MATCH(H1197,Documents!$A$5:$A$657,0))),"")</f>
        <v>2010</v>
      </c>
      <c r="J1197" s="25" t="str">
        <f aca="false">IFERROR(IF(INDEX(Documents!$D$5:$D$657,MATCH(H1197,Documents!$A$5:$A$657,0))="","",INDEX(Documents!$D$5:$D$657,MATCH(H1197,Documents!$A$5:$A$657,0))),"")</f>
        <v>Bioorg Med Chem Lett</v>
      </c>
      <c r="K1197" s="25" t="str">
        <f aca="false">IFERROR(IF(INDEX(Documents!$G$5:$G$657,MATCH(H1197,Documents!$A$5:$A$657,0))="","",INDEX(Documents!$G$5:$G$657,MATCH(H1197,Documents!$A$5:$A$657,0))),"")</f>
        <v>10.1016/j.bmcl.2010.07.056</v>
      </c>
      <c r="L1197" s="25" t="s">
        <v>2135</v>
      </c>
    </row>
    <row r="1198" customFormat="false" ht="15" hidden="false" customHeight="false" outlineLevel="0" collapsed="false">
      <c r="A1198" s="25" t="n">
        <v>3413892</v>
      </c>
      <c r="B1198" s="25" t="s">
        <v>2832</v>
      </c>
      <c r="C1198" s="25" t="s">
        <v>2833</v>
      </c>
      <c r="D1198" s="26" t="n">
        <v>20.1</v>
      </c>
      <c r="E1198" s="27" t="n">
        <v>7.69680394257951</v>
      </c>
      <c r="F1198" s="27" t="n">
        <v>7.69680394257951</v>
      </c>
      <c r="G1198" s="25" t="s">
        <v>2133</v>
      </c>
      <c r="H1198" s="25" t="s">
        <v>2134</v>
      </c>
      <c r="I1198" s="25" t="n">
        <f aca="false">IFERROR(IF(INDEX(Documents!$C$5:$C$657,MATCH(H1198,Documents!$A$5:$A$657,0))="","",INDEX(Documents!$C$5:$C$657,MATCH(H1198,Documents!$A$5:$A$657,0))),"")</f>
        <v>2010</v>
      </c>
      <c r="J1198" s="25" t="str">
        <f aca="false">IFERROR(IF(INDEX(Documents!$D$5:$D$657,MATCH(H1198,Documents!$A$5:$A$657,0))="","",INDEX(Documents!$D$5:$D$657,MATCH(H1198,Documents!$A$5:$A$657,0))),"")</f>
        <v>Bioorg Med Chem Lett</v>
      </c>
      <c r="K1198" s="25" t="str">
        <f aca="false">IFERROR(IF(INDEX(Documents!$G$5:$G$657,MATCH(H1198,Documents!$A$5:$A$657,0))="","",INDEX(Documents!$G$5:$G$657,MATCH(H1198,Documents!$A$5:$A$657,0))),"")</f>
        <v>10.1016/j.bmcl.2010.07.056</v>
      </c>
      <c r="L1198" s="25" t="s">
        <v>2135</v>
      </c>
    </row>
    <row r="1199" customFormat="false" ht="15" hidden="false" customHeight="false" outlineLevel="0" collapsed="false">
      <c r="A1199" s="25" t="n">
        <v>3413896</v>
      </c>
      <c r="B1199" s="25" t="s">
        <v>2834</v>
      </c>
      <c r="C1199" s="25" t="s">
        <v>2835</v>
      </c>
      <c r="D1199" s="26" t="n">
        <v>9.1</v>
      </c>
      <c r="E1199" s="27" t="n">
        <v>8.04095860767891</v>
      </c>
      <c r="F1199" s="27" t="n">
        <v>8.04095860767891</v>
      </c>
      <c r="G1199" s="25" t="s">
        <v>2133</v>
      </c>
      <c r="H1199" s="25" t="s">
        <v>2134</v>
      </c>
      <c r="I1199" s="25" t="n">
        <f aca="false">IFERROR(IF(INDEX(Documents!$C$5:$C$657,MATCH(H1199,Documents!$A$5:$A$657,0))="","",INDEX(Documents!$C$5:$C$657,MATCH(H1199,Documents!$A$5:$A$657,0))),"")</f>
        <v>2010</v>
      </c>
      <c r="J1199" s="25" t="str">
        <f aca="false">IFERROR(IF(INDEX(Documents!$D$5:$D$657,MATCH(H1199,Documents!$A$5:$A$657,0))="","",INDEX(Documents!$D$5:$D$657,MATCH(H1199,Documents!$A$5:$A$657,0))),"")</f>
        <v>Bioorg Med Chem Lett</v>
      </c>
      <c r="K1199" s="25" t="str">
        <f aca="false">IFERROR(IF(INDEX(Documents!$G$5:$G$657,MATCH(H1199,Documents!$A$5:$A$657,0))="","",INDEX(Documents!$G$5:$G$657,MATCH(H1199,Documents!$A$5:$A$657,0))),"")</f>
        <v>10.1016/j.bmcl.2010.07.056</v>
      </c>
      <c r="L1199" s="25" t="s">
        <v>2135</v>
      </c>
    </row>
    <row r="1200" customFormat="false" ht="15" hidden="false" customHeight="false" outlineLevel="0" collapsed="false">
      <c r="A1200" s="25" t="n">
        <v>17991504</v>
      </c>
      <c r="B1200" s="25" t="s">
        <v>2836</v>
      </c>
      <c r="C1200" s="25" t="s">
        <v>2837</v>
      </c>
      <c r="D1200" s="26" t="n">
        <v>2.8</v>
      </c>
      <c r="E1200" s="27" t="n">
        <v>8.55284196865778</v>
      </c>
      <c r="F1200" s="27" t="n">
        <v>8.55284196865778</v>
      </c>
      <c r="G1200" s="25" t="s">
        <v>1548</v>
      </c>
      <c r="H1200" s="25" t="s">
        <v>1549</v>
      </c>
      <c r="I1200" s="25" t="n">
        <f aca="false">IFERROR(IF(INDEX(Documents!$C$5:$C$657,MATCH(H1200,Documents!$A$5:$A$657,0))="","",INDEX(Documents!$C$5:$C$657,MATCH(H1200,Documents!$A$5:$A$657,0))),"")</f>
        <v>2015</v>
      </c>
      <c r="J1200" s="25" t="str">
        <f aca="false">IFERROR(IF(INDEX(Documents!$D$5:$D$657,MATCH(H1200,Documents!$A$5:$A$657,0))="","",INDEX(Documents!$D$5:$D$657,MATCH(H1200,Documents!$A$5:$A$657,0))),"")</f>
        <v>J Med Chem</v>
      </c>
      <c r="K1200" s="25" t="str">
        <f aca="false">IFERROR(IF(INDEX(Documents!$G$5:$G$657,MATCH(H1200,Documents!$A$5:$A$657,0))="","",INDEX(Documents!$G$5:$G$657,MATCH(H1200,Documents!$A$5:$A$657,0))),"")</f>
        <v>10.1021/jm501165d</v>
      </c>
      <c r="L1200" s="25" t="s">
        <v>1550</v>
      </c>
    </row>
    <row r="1201" customFormat="false" ht="15" hidden="false" customHeight="false" outlineLevel="0" collapsed="false">
      <c r="A1201" s="25" t="n">
        <v>5100333</v>
      </c>
      <c r="B1201" s="25" t="s">
        <v>2838</v>
      </c>
      <c r="C1201" s="25" t="s">
        <v>2839</v>
      </c>
      <c r="D1201" s="26" t="n">
        <v>495.3</v>
      </c>
      <c r="E1201" s="27" t="n">
        <v>6.30513167201754</v>
      </c>
      <c r="F1201" s="27" t="n">
        <v>6.30513167201754</v>
      </c>
      <c r="G1201" s="25" t="s">
        <v>1811</v>
      </c>
      <c r="H1201" s="25" t="s">
        <v>1812</v>
      </c>
      <c r="I1201" s="25" t="n">
        <f aca="false">IFERROR(IF(INDEX(Documents!$C$5:$C$657,MATCH(H1201,Documents!$A$5:$A$657,0))="","",INDEX(Documents!$C$5:$C$657,MATCH(H1201,Documents!$A$5:$A$657,0))),"")</f>
        <v>2010</v>
      </c>
      <c r="J1201" s="25" t="str">
        <f aca="false">IFERROR(IF(INDEX(Documents!$D$5:$D$657,MATCH(H1201,Documents!$A$5:$A$657,0))="","",INDEX(Documents!$D$5:$D$657,MATCH(H1201,Documents!$A$5:$A$657,0))),"")</f>
        <v>Eur J Med Chem</v>
      </c>
      <c r="K1201" s="25" t="str">
        <f aca="false">IFERROR(IF(INDEX(Documents!$G$5:$G$657,MATCH(H1201,Documents!$A$5:$A$657,0))="","",INDEX(Documents!$G$5:$G$657,MATCH(H1201,Documents!$A$5:$A$657,0))),"")</f>
        <v>10.1016/j.ejmech.2010.09.053</v>
      </c>
      <c r="L1201" s="25" t="s">
        <v>1813</v>
      </c>
    </row>
    <row r="1202" customFormat="false" ht="15" hidden="false" customHeight="false" outlineLevel="0" collapsed="false">
      <c r="A1202" s="25" t="n">
        <v>5100327</v>
      </c>
      <c r="B1202" s="25" t="s">
        <v>2840</v>
      </c>
      <c r="C1202" s="25" t="s">
        <v>2841</v>
      </c>
      <c r="D1202" s="26" t="n">
        <v>205.9</v>
      </c>
      <c r="E1202" s="27" t="n">
        <v>6.68634365338197</v>
      </c>
      <c r="F1202" s="27" t="n">
        <v>6.68634365338197</v>
      </c>
      <c r="G1202" s="25" t="s">
        <v>1811</v>
      </c>
      <c r="H1202" s="25" t="s">
        <v>1812</v>
      </c>
      <c r="I1202" s="25" t="n">
        <f aca="false">IFERROR(IF(INDEX(Documents!$C$5:$C$657,MATCH(H1202,Documents!$A$5:$A$657,0))="","",INDEX(Documents!$C$5:$C$657,MATCH(H1202,Documents!$A$5:$A$657,0))),"")</f>
        <v>2010</v>
      </c>
      <c r="J1202" s="25" t="str">
        <f aca="false">IFERROR(IF(INDEX(Documents!$D$5:$D$657,MATCH(H1202,Documents!$A$5:$A$657,0))="","",INDEX(Documents!$D$5:$D$657,MATCH(H1202,Documents!$A$5:$A$657,0))),"")</f>
        <v>Eur J Med Chem</v>
      </c>
      <c r="K1202" s="25" t="str">
        <f aca="false">IFERROR(IF(INDEX(Documents!$G$5:$G$657,MATCH(H1202,Documents!$A$5:$A$657,0))="","",INDEX(Documents!$G$5:$G$657,MATCH(H1202,Documents!$A$5:$A$657,0))),"")</f>
        <v>10.1016/j.ejmech.2010.09.053</v>
      </c>
      <c r="L1202" s="25" t="s">
        <v>1813</v>
      </c>
    </row>
    <row r="1203" customFormat="false" ht="15" hidden="false" customHeight="false" outlineLevel="0" collapsed="false">
      <c r="A1203" s="25" t="n">
        <v>15197381</v>
      </c>
      <c r="B1203" s="25" t="s">
        <v>2842</v>
      </c>
      <c r="C1203" s="25" t="s">
        <v>2843</v>
      </c>
      <c r="D1203" s="26" t="n">
        <v>0.088</v>
      </c>
      <c r="E1203" s="27" t="n">
        <v>10.0555173278498</v>
      </c>
      <c r="F1203" s="27" t="n">
        <v>10.055764226388</v>
      </c>
      <c r="G1203" s="25" t="s">
        <v>2844</v>
      </c>
      <c r="H1203" s="25" t="s">
        <v>2845</v>
      </c>
      <c r="I1203" s="25" t="n">
        <f aca="false">IFERROR(IF(INDEX(Documents!$C$5:$C$657,MATCH(H1203,Documents!$A$5:$A$657,0))="","",INDEX(Documents!$C$5:$C$657,MATCH(H1203,Documents!$A$5:$A$657,0))),"")</f>
        <v>2015</v>
      </c>
      <c r="J1203" s="25" t="str">
        <f aca="false">IFERROR(IF(INDEX(Documents!$D$5:$D$657,MATCH(H1203,Documents!$A$5:$A$657,0))="","",INDEX(Documents!$D$5:$D$657,MATCH(H1203,Documents!$A$5:$A$657,0))),"")</f>
        <v>Eur J Med Chem</v>
      </c>
      <c r="K1203" s="25" t="str">
        <f aca="false">IFERROR(IF(INDEX(Documents!$G$5:$G$657,MATCH(H1203,Documents!$A$5:$A$657,0))="","",INDEX(Documents!$G$5:$G$657,MATCH(H1203,Documents!$A$5:$A$657,0))),"")</f>
        <v>10.1016/j.ejmech.2015.01.054</v>
      </c>
      <c r="L1203" s="25" t="s">
        <v>1359</v>
      </c>
    </row>
    <row r="1204" customFormat="false" ht="15" hidden="false" customHeight="false" outlineLevel="0" collapsed="false">
      <c r="A1204" s="25" t="n">
        <v>15198655</v>
      </c>
      <c r="B1204" s="25" t="s">
        <v>2842</v>
      </c>
      <c r="C1204" s="25" t="s">
        <v>2843</v>
      </c>
      <c r="D1204" s="26" t="n">
        <v>0.0879</v>
      </c>
      <c r="E1204" s="27" t="n">
        <v>10.0560111249262</v>
      </c>
      <c r="F1204" s="27" t="n">
        <v>10.055764226388</v>
      </c>
      <c r="G1204" s="25" t="s">
        <v>2844</v>
      </c>
      <c r="H1204" s="25" t="s">
        <v>2845</v>
      </c>
      <c r="I1204" s="25" t="n">
        <f aca="false">IFERROR(IF(INDEX(Documents!$C$5:$C$657,MATCH(H1204,Documents!$A$5:$A$657,0))="","",INDEX(Documents!$C$5:$C$657,MATCH(H1204,Documents!$A$5:$A$657,0))),"")</f>
        <v>2015</v>
      </c>
      <c r="J1204" s="25" t="str">
        <f aca="false">IFERROR(IF(INDEX(Documents!$D$5:$D$657,MATCH(H1204,Documents!$A$5:$A$657,0))="","",INDEX(Documents!$D$5:$D$657,MATCH(H1204,Documents!$A$5:$A$657,0))),"")</f>
        <v>Eur J Med Chem</v>
      </c>
      <c r="K1204" s="25" t="str">
        <f aca="false">IFERROR(IF(INDEX(Documents!$G$5:$G$657,MATCH(H1204,Documents!$A$5:$A$657,0))="","",INDEX(Documents!$G$5:$G$657,MATCH(H1204,Documents!$A$5:$A$657,0))),"")</f>
        <v>10.1016/j.ejmech.2015.01.054</v>
      </c>
      <c r="L1204" s="25" t="s">
        <v>1359</v>
      </c>
    </row>
    <row r="1205" customFormat="false" ht="15" hidden="false" customHeight="false" outlineLevel="0" collapsed="false">
      <c r="A1205" s="25" t="n">
        <v>25462081</v>
      </c>
      <c r="B1205" s="25" t="s">
        <v>2846</v>
      </c>
      <c r="C1205" s="25" t="s">
        <v>2847</v>
      </c>
      <c r="D1205" s="26" t="n">
        <v>128.6</v>
      </c>
      <c r="E1205" s="27" t="n">
        <v>6.8907590314118</v>
      </c>
      <c r="F1205" s="27" t="n">
        <v>6.8907590314118</v>
      </c>
      <c r="G1205" s="25" t="s">
        <v>2626</v>
      </c>
      <c r="H1205" s="25" t="s">
        <v>2627</v>
      </c>
      <c r="I1205" s="25" t="n">
        <f aca="false">IFERROR(IF(INDEX(Documents!$C$5:$C$657,MATCH(H1205,Documents!$A$5:$A$657,0))="","",INDEX(Documents!$C$5:$C$657,MATCH(H1205,Documents!$A$5:$A$657,0))),"")</f>
        <v>2023</v>
      </c>
      <c r="J1205" s="25" t="str">
        <f aca="false">IFERROR(IF(INDEX(Documents!$D$5:$D$657,MATCH(H1205,Documents!$A$5:$A$657,0))="","",INDEX(Documents!$D$5:$D$657,MATCH(H1205,Documents!$A$5:$A$657,0))),"")</f>
        <v>Eur J Med Chem</v>
      </c>
      <c r="K1205" s="25" t="str">
        <f aca="false">IFERROR(IF(INDEX(Documents!$G$5:$G$657,MATCH(H1205,Documents!$A$5:$A$657,0))="","",INDEX(Documents!$G$5:$G$657,MATCH(H1205,Documents!$A$5:$A$657,0))),"")</f>
        <v>10.1016/j.ejmech.2023.115109</v>
      </c>
      <c r="L1205" s="25" t="s">
        <v>2628</v>
      </c>
    </row>
    <row r="1206" customFormat="false" ht="15" hidden="false" customHeight="false" outlineLevel="0" collapsed="false">
      <c r="A1206" s="25" t="n">
        <v>25462078</v>
      </c>
      <c r="B1206" s="25" t="s">
        <v>2848</v>
      </c>
      <c r="C1206" s="25" t="s">
        <v>2849</v>
      </c>
      <c r="D1206" s="26" t="n">
        <v>89.5</v>
      </c>
      <c r="E1206" s="27" t="n">
        <v>7.04817696468409</v>
      </c>
      <c r="F1206" s="27" t="n">
        <v>7.04817696468409</v>
      </c>
      <c r="G1206" s="25" t="s">
        <v>2626</v>
      </c>
      <c r="H1206" s="25" t="s">
        <v>2627</v>
      </c>
      <c r="I1206" s="25" t="n">
        <f aca="false">IFERROR(IF(INDEX(Documents!$C$5:$C$657,MATCH(H1206,Documents!$A$5:$A$657,0))="","",INDEX(Documents!$C$5:$C$657,MATCH(H1206,Documents!$A$5:$A$657,0))),"")</f>
        <v>2023</v>
      </c>
      <c r="J1206" s="25" t="str">
        <f aca="false">IFERROR(IF(INDEX(Documents!$D$5:$D$657,MATCH(H1206,Documents!$A$5:$A$657,0))="","",INDEX(Documents!$D$5:$D$657,MATCH(H1206,Documents!$A$5:$A$657,0))),"")</f>
        <v>Eur J Med Chem</v>
      </c>
      <c r="K1206" s="25" t="str">
        <f aca="false">IFERROR(IF(INDEX(Documents!$G$5:$G$657,MATCH(H1206,Documents!$A$5:$A$657,0))="","",INDEX(Documents!$G$5:$G$657,MATCH(H1206,Documents!$A$5:$A$657,0))),"")</f>
        <v>10.1016/j.ejmech.2023.115109</v>
      </c>
      <c r="L1206" s="25" t="s">
        <v>2628</v>
      </c>
    </row>
    <row r="1207" customFormat="false" ht="15" hidden="false" customHeight="false" outlineLevel="0" collapsed="false">
      <c r="A1207" s="25" t="n">
        <v>25462080</v>
      </c>
      <c r="B1207" s="25" t="s">
        <v>2850</v>
      </c>
      <c r="C1207" s="25" t="s">
        <v>2851</v>
      </c>
      <c r="D1207" s="26" t="n">
        <v>148.1</v>
      </c>
      <c r="E1207" s="27" t="n">
        <v>6.82944494147879</v>
      </c>
      <c r="F1207" s="27" t="n">
        <v>6.82944494147879</v>
      </c>
      <c r="G1207" s="25" t="s">
        <v>2626</v>
      </c>
      <c r="H1207" s="25" t="s">
        <v>2627</v>
      </c>
      <c r="I1207" s="25" t="n">
        <f aca="false">IFERROR(IF(INDEX(Documents!$C$5:$C$657,MATCH(H1207,Documents!$A$5:$A$657,0))="","",INDEX(Documents!$C$5:$C$657,MATCH(H1207,Documents!$A$5:$A$657,0))),"")</f>
        <v>2023</v>
      </c>
      <c r="J1207" s="25" t="str">
        <f aca="false">IFERROR(IF(INDEX(Documents!$D$5:$D$657,MATCH(H1207,Documents!$A$5:$A$657,0))="","",INDEX(Documents!$D$5:$D$657,MATCH(H1207,Documents!$A$5:$A$657,0))),"")</f>
        <v>Eur J Med Chem</v>
      </c>
      <c r="K1207" s="25" t="str">
        <f aca="false">IFERROR(IF(INDEX(Documents!$G$5:$G$657,MATCH(H1207,Documents!$A$5:$A$657,0))="","",INDEX(Documents!$G$5:$G$657,MATCH(H1207,Documents!$A$5:$A$657,0))),"")</f>
        <v>10.1016/j.ejmech.2023.115109</v>
      </c>
      <c r="L1207" s="25" t="s">
        <v>2628</v>
      </c>
    </row>
    <row r="1208" customFormat="false" ht="15" hidden="false" customHeight="false" outlineLevel="0" collapsed="false">
      <c r="A1208" s="25" t="n">
        <v>25462079</v>
      </c>
      <c r="B1208" s="25" t="s">
        <v>2852</v>
      </c>
      <c r="C1208" s="25" t="s">
        <v>2853</v>
      </c>
      <c r="D1208" s="26" t="n">
        <v>71</v>
      </c>
      <c r="E1208" s="27" t="n">
        <v>7.14874165128093</v>
      </c>
      <c r="F1208" s="27" t="n">
        <v>7.14874165128093</v>
      </c>
      <c r="G1208" s="25" t="s">
        <v>2626</v>
      </c>
      <c r="H1208" s="25" t="s">
        <v>2627</v>
      </c>
      <c r="I1208" s="25" t="n">
        <f aca="false">IFERROR(IF(INDEX(Documents!$C$5:$C$657,MATCH(H1208,Documents!$A$5:$A$657,0))="","",INDEX(Documents!$C$5:$C$657,MATCH(H1208,Documents!$A$5:$A$657,0))),"")</f>
        <v>2023</v>
      </c>
      <c r="J1208" s="25" t="str">
        <f aca="false">IFERROR(IF(INDEX(Documents!$D$5:$D$657,MATCH(H1208,Documents!$A$5:$A$657,0))="","",INDEX(Documents!$D$5:$D$657,MATCH(H1208,Documents!$A$5:$A$657,0))),"")</f>
        <v>Eur J Med Chem</v>
      </c>
      <c r="K1208" s="25" t="str">
        <f aca="false">IFERROR(IF(INDEX(Documents!$G$5:$G$657,MATCH(H1208,Documents!$A$5:$A$657,0))="","",INDEX(Documents!$G$5:$G$657,MATCH(H1208,Documents!$A$5:$A$657,0))),"")</f>
        <v>10.1016/j.ejmech.2023.115109</v>
      </c>
      <c r="L1208" s="25" t="s">
        <v>2628</v>
      </c>
    </row>
    <row r="1209" customFormat="false" ht="15" hidden="false" customHeight="false" outlineLevel="0" collapsed="false">
      <c r="A1209" s="25" t="n">
        <v>25462070</v>
      </c>
      <c r="B1209" s="25" t="s">
        <v>2854</v>
      </c>
      <c r="C1209" s="25" t="s">
        <v>2855</v>
      </c>
      <c r="D1209" s="26" t="n">
        <v>47.8</v>
      </c>
      <c r="E1209" s="27" t="n">
        <v>7.32057210338788</v>
      </c>
      <c r="F1209" s="27" t="n">
        <v>7.32057210338788</v>
      </c>
      <c r="G1209" s="25" t="s">
        <v>2626</v>
      </c>
      <c r="H1209" s="25" t="s">
        <v>2627</v>
      </c>
      <c r="I1209" s="25" t="n">
        <f aca="false">IFERROR(IF(INDEX(Documents!$C$5:$C$657,MATCH(H1209,Documents!$A$5:$A$657,0))="","",INDEX(Documents!$C$5:$C$657,MATCH(H1209,Documents!$A$5:$A$657,0))),"")</f>
        <v>2023</v>
      </c>
      <c r="J1209" s="25" t="str">
        <f aca="false">IFERROR(IF(INDEX(Documents!$D$5:$D$657,MATCH(H1209,Documents!$A$5:$A$657,0))="","",INDEX(Documents!$D$5:$D$657,MATCH(H1209,Documents!$A$5:$A$657,0))),"")</f>
        <v>Eur J Med Chem</v>
      </c>
      <c r="K1209" s="25" t="str">
        <f aca="false">IFERROR(IF(INDEX(Documents!$G$5:$G$657,MATCH(H1209,Documents!$A$5:$A$657,0))="","",INDEX(Documents!$G$5:$G$657,MATCH(H1209,Documents!$A$5:$A$657,0))),"")</f>
        <v>10.1016/j.ejmech.2023.115109</v>
      </c>
      <c r="L1209" s="25" t="s">
        <v>2628</v>
      </c>
    </row>
    <row r="1210" customFormat="false" ht="15" hidden="false" customHeight="false" outlineLevel="0" collapsed="false">
      <c r="A1210" s="25" t="n">
        <v>25462073</v>
      </c>
      <c r="B1210" s="25" t="s">
        <v>2856</v>
      </c>
      <c r="C1210" s="25" t="s">
        <v>2857</v>
      </c>
      <c r="D1210" s="26" t="n">
        <v>330</v>
      </c>
      <c r="E1210" s="27" t="n">
        <v>6.48148606012211</v>
      </c>
      <c r="F1210" s="27" t="n">
        <v>6.48148606012211</v>
      </c>
      <c r="G1210" s="25" t="s">
        <v>2626</v>
      </c>
      <c r="H1210" s="25" t="s">
        <v>2627</v>
      </c>
      <c r="I1210" s="25" t="n">
        <f aca="false">IFERROR(IF(INDEX(Documents!$C$5:$C$657,MATCH(H1210,Documents!$A$5:$A$657,0))="","",INDEX(Documents!$C$5:$C$657,MATCH(H1210,Documents!$A$5:$A$657,0))),"")</f>
        <v>2023</v>
      </c>
      <c r="J1210" s="25" t="str">
        <f aca="false">IFERROR(IF(INDEX(Documents!$D$5:$D$657,MATCH(H1210,Documents!$A$5:$A$657,0))="","",INDEX(Documents!$D$5:$D$657,MATCH(H1210,Documents!$A$5:$A$657,0))),"")</f>
        <v>Eur J Med Chem</v>
      </c>
      <c r="K1210" s="25" t="str">
        <f aca="false">IFERROR(IF(INDEX(Documents!$G$5:$G$657,MATCH(H1210,Documents!$A$5:$A$657,0))="","",INDEX(Documents!$G$5:$G$657,MATCH(H1210,Documents!$A$5:$A$657,0))),"")</f>
        <v>10.1016/j.ejmech.2023.115109</v>
      </c>
      <c r="L1210" s="25" t="s">
        <v>2628</v>
      </c>
    </row>
    <row r="1211" customFormat="false" ht="15" hidden="false" customHeight="false" outlineLevel="0" collapsed="false">
      <c r="A1211" s="25" t="n">
        <v>25462075</v>
      </c>
      <c r="B1211" s="25" t="s">
        <v>2858</v>
      </c>
      <c r="C1211" s="25" t="s">
        <v>2859</v>
      </c>
      <c r="D1211" s="26" t="n">
        <v>2600</v>
      </c>
      <c r="E1211" s="27" t="n">
        <v>5.58502665202918</v>
      </c>
      <c r="F1211" s="27" t="n">
        <v>5.58502665202918</v>
      </c>
      <c r="G1211" s="25" t="s">
        <v>2626</v>
      </c>
      <c r="H1211" s="25" t="s">
        <v>2627</v>
      </c>
      <c r="I1211" s="25" t="n">
        <f aca="false">IFERROR(IF(INDEX(Documents!$C$5:$C$657,MATCH(H1211,Documents!$A$5:$A$657,0))="","",INDEX(Documents!$C$5:$C$657,MATCH(H1211,Documents!$A$5:$A$657,0))),"")</f>
        <v>2023</v>
      </c>
      <c r="J1211" s="25" t="str">
        <f aca="false">IFERROR(IF(INDEX(Documents!$D$5:$D$657,MATCH(H1211,Documents!$A$5:$A$657,0))="","",INDEX(Documents!$D$5:$D$657,MATCH(H1211,Documents!$A$5:$A$657,0))),"")</f>
        <v>Eur J Med Chem</v>
      </c>
      <c r="K1211" s="25" t="str">
        <f aca="false">IFERROR(IF(INDEX(Documents!$G$5:$G$657,MATCH(H1211,Documents!$A$5:$A$657,0))="","",INDEX(Documents!$G$5:$G$657,MATCH(H1211,Documents!$A$5:$A$657,0))),"")</f>
        <v>10.1016/j.ejmech.2023.115109</v>
      </c>
      <c r="L1211" s="25" t="s">
        <v>2628</v>
      </c>
    </row>
    <row r="1212" customFormat="false" ht="15" hidden="false" customHeight="false" outlineLevel="0" collapsed="false">
      <c r="A1212" s="25" t="n">
        <v>25462069</v>
      </c>
      <c r="B1212" s="25" t="s">
        <v>2860</v>
      </c>
      <c r="C1212" s="25" t="s">
        <v>2861</v>
      </c>
      <c r="D1212" s="26" t="n">
        <v>455.7</v>
      </c>
      <c r="E1212" s="27" t="n">
        <v>6.34132097141755</v>
      </c>
      <c r="F1212" s="27" t="n">
        <v>6.34132097141755</v>
      </c>
      <c r="G1212" s="25" t="s">
        <v>2626</v>
      </c>
      <c r="H1212" s="25" t="s">
        <v>2627</v>
      </c>
      <c r="I1212" s="25" t="n">
        <f aca="false">IFERROR(IF(INDEX(Documents!$C$5:$C$657,MATCH(H1212,Documents!$A$5:$A$657,0))="","",INDEX(Documents!$C$5:$C$657,MATCH(H1212,Documents!$A$5:$A$657,0))),"")</f>
        <v>2023</v>
      </c>
      <c r="J1212" s="25" t="str">
        <f aca="false">IFERROR(IF(INDEX(Documents!$D$5:$D$657,MATCH(H1212,Documents!$A$5:$A$657,0))="","",INDEX(Documents!$D$5:$D$657,MATCH(H1212,Documents!$A$5:$A$657,0))),"")</f>
        <v>Eur J Med Chem</v>
      </c>
      <c r="K1212" s="25" t="str">
        <f aca="false">IFERROR(IF(INDEX(Documents!$G$5:$G$657,MATCH(H1212,Documents!$A$5:$A$657,0))="","",INDEX(Documents!$G$5:$G$657,MATCH(H1212,Documents!$A$5:$A$657,0))),"")</f>
        <v>10.1016/j.ejmech.2023.115109</v>
      </c>
      <c r="L1212" s="25" t="s">
        <v>2628</v>
      </c>
    </row>
    <row r="1213" customFormat="false" ht="15" hidden="false" customHeight="false" outlineLevel="0" collapsed="false">
      <c r="A1213" s="25" t="n">
        <v>19087974</v>
      </c>
      <c r="B1213" s="25" t="s">
        <v>2862</v>
      </c>
      <c r="C1213" s="25" t="s">
        <v>2863</v>
      </c>
      <c r="D1213" s="26" t="n">
        <v>70</v>
      </c>
      <c r="E1213" s="27" t="n">
        <v>7.15490195998574</v>
      </c>
      <c r="F1213" s="27" t="n">
        <v>7.15490195998574</v>
      </c>
      <c r="G1213" s="25" t="s">
        <v>2633</v>
      </c>
      <c r="H1213" s="25" t="s">
        <v>2634</v>
      </c>
      <c r="I1213" s="25" t="n">
        <f aca="false">IFERROR(IF(INDEX(Documents!$C$5:$C$657,MATCH(H1213,Documents!$A$5:$A$657,0))="","",INDEX(Documents!$C$5:$C$657,MATCH(H1213,Documents!$A$5:$A$657,0))),"")</f>
        <v>2019</v>
      </c>
      <c r="J1213" s="25" t="str">
        <f aca="false">IFERROR(IF(INDEX(Documents!$D$5:$D$657,MATCH(H1213,Documents!$A$5:$A$657,0))="","",INDEX(Documents!$D$5:$D$657,MATCH(H1213,Documents!$A$5:$A$657,0))),"")</f>
        <v>Eur J Med Chem</v>
      </c>
      <c r="K1213" s="25" t="str">
        <f aca="false">IFERROR(IF(INDEX(Documents!$G$5:$G$657,MATCH(H1213,Documents!$A$5:$A$657,0))="","",INDEX(Documents!$G$5:$G$657,MATCH(H1213,Documents!$A$5:$A$657,0))),"")</f>
        <v>10.1016/j.ejmech.2019.05.080</v>
      </c>
      <c r="L1213" s="25" t="s">
        <v>2635</v>
      </c>
    </row>
    <row r="1214" customFormat="false" ht="15" hidden="false" customHeight="false" outlineLevel="0" collapsed="false">
      <c r="A1214" s="25" t="n">
        <v>25462066</v>
      </c>
      <c r="B1214" s="25" t="s">
        <v>2864</v>
      </c>
      <c r="C1214" s="25" t="s">
        <v>2865</v>
      </c>
      <c r="D1214" s="26" t="n">
        <v>55.7</v>
      </c>
      <c r="E1214" s="27" t="n">
        <v>7.25414480482627</v>
      </c>
      <c r="F1214" s="27" t="n">
        <v>7.25414480482627</v>
      </c>
      <c r="G1214" s="25" t="s">
        <v>2626</v>
      </c>
      <c r="H1214" s="25" t="s">
        <v>2627</v>
      </c>
      <c r="I1214" s="25" t="n">
        <f aca="false">IFERROR(IF(INDEX(Documents!$C$5:$C$657,MATCH(H1214,Documents!$A$5:$A$657,0))="","",INDEX(Documents!$C$5:$C$657,MATCH(H1214,Documents!$A$5:$A$657,0))),"")</f>
        <v>2023</v>
      </c>
      <c r="J1214" s="25" t="str">
        <f aca="false">IFERROR(IF(INDEX(Documents!$D$5:$D$657,MATCH(H1214,Documents!$A$5:$A$657,0))="","",INDEX(Documents!$D$5:$D$657,MATCH(H1214,Documents!$A$5:$A$657,0))),"")</f>
        <v>Eur J Med Chem</v>
      </c>
      <c r="K1214" s="25" t="str">
        <f aca="false">IFERROR(IF(INDEX(Documents!$G$5:$G$657,MATCH(H1214,Documents!$A$5:$A$657,0))="","",INDEX(Documents!$G$5:$G$657,MATCH(H1214,Documents!$A$5:$A$657,0))),"")</f>
        <v>10.1016/j.ejmech.2023.115109</v>
      </c>
      <c r="L1214" s="25" t="s">
        <v>2628</v>
      </c>
    </row>
    <row r="1215" customFormat="false" ht="15" hidden="false" customHeight="false" outlineLevel="0" collapsed="false">
      <c r="A1215" s="25" t="n">
        <v>1911796</v>
      </c>
      <c r="B1215" s="25" t="s">
        <v>2866</v>
      </c>
      <c r="C1215" s="25" t="s">
        <v>2867</v>
      </c>
      <c r="D1215" s="26" t="n">
        <v>1100</v>
      </c>
      <c r="E1215" s="27" t="n">
        <v>5.95860731484178</v>
      </c>
      <c r="F1215" s="27" t="n">
        <v>5.95860731484178</v>
      </c>
      <c r="G1215" s="25" t="s">
        <v>2868</v>
      </c>
      <c r="H1215" s="25" t="s">
        <v>2869</v>
      </c>
      <c r="I1215" s="25" t="n">
        <f aca="false">IFERROR(IF(INDEX(Documents!$C$5:$C$657,MATCH(H1215,Documents!$A$5:$A$657,0))="","",INDEX(Documents!$C$5:$C$657,MATCH(H1215,Documents!$A$5:$A$657,0))),"")</f>
        <v>2007</v>
      </c>
      <c r="J1215" s="25" t="str">
        <f aca="false">IFERROR(IF(INDEX(Documents!$D$5:$D$657,MATCH(H1215,Documents!$A$5:$A$657,0))="","",INDEX(Documents!$D$5:$D$657,MATCH(H1215,Documents!$A$5:$A$657,0))),"")</f>
        <v>Bioorg Med Chem Lett</v>
      </c>
      <c r="K1215" s="25" t="str">
        <f aca="false">IFERROR(IF(INDEX(Documents!$G$5:$G$657,MATCH(H1215,Documents!$A$5:$A$657,0))="","",INDEX(Documents!$G$5:$G$657,MATCH(H1215,Documents!$A$5:$A$657,0))),"")</f>
        <v>10.1016/j.bmcl.2007.06.055</v>
      </c>
      <c r="L1215" s="25" t="s">
        <v>775</v>
      </c>
    </row>
    <row r="1216" customFormat="false" ht="15" hidden="false" customHeight="false" outlineLevel="0" collapsed="false">
      <c r="A1216" s="25" t="n">
        <v>1911807</v>
      </c>
      <c r="B1216" s="25" t="s">
        <v>2870</v>
      </c>
      <c r="C1216" s="25" t="s">
        <v>2871</v>
      </c>
      <c r="D1216" s="26" t="n">
        <v>270</v>
      </c>
      <c r="E1216" s="27" t="n">
        <v>6.56863623584101</v>
      </c>
      <c r="F1216" s="27" t="n">
        <v>6.56863623584101</v>
      </c>
      <c r="G1216" s="25" t="s">
        <v>2868</v>
      </c>
      <c r="H1216" s="25" t="s">
        <v>2869</v>
      </c>
      <c r="I1216" s="25" t="n">
        <f aca="false">IFERROR(IF(INDEX(Documents!$C$5:$C$657,MATCH(H1216,Documents!$A$5:$A$657,0))="","",INDEX(Documents!$C$5:$C$657,MATCH(H1216,Documents!$A$5:$A$657,0))),"")</f>
        <v>2007</v>
      </c>
      <c r="J1216" s="25" t="str">
        <f aca="false">IFERROR(IF(INDEX(Documents!$D$5:$D$657,MATCH(H1216,Documents!$A$5:$A$657,0))="","",INDEX(Documents!$D$5:$D$657,MATCH(H1216,Documents!$A$5:$A$657,0))),"")</f>
        <v>Bioorg Med Chem Lett</v>
      </c>
      <c r="K1216" s="25" t="str">
        <f aca="false">IFERROR(IF(INDEX(Documents!$G$5:$G$657,MATCH(H1216,Documents!$A$5:$A$657,0))="","",INDEX(Documents!$G$5:$G$657,MATCH(H1216,Documents!$A$5:$A$657,0))),"")</f>
        <v>10.1016/j.bmcl.2007.06.055</v>
      </c>
      <c r="L1216" s="25" t="s">
        <v>775</v>
      </c>
    </row>
    <row r="1217" customFormat="false" ht="15" hidden="false" customHeight="false" outlineLevel="0" collapsed="false">
      <c r="A1217" s="25" t="n">
        <v>1911805</v>
      </c>
      <c r="B1217" s="25" t="s">
        <v>2872</v>
      </c>
      <c r="C1217" s="25" t="s">
        <v>2873</v>
      </c>
      <c r="D1217" s="26" t="n">
        <v>4000</v>
      </c>
      <c r="E1217" s="27" t="n">
        <v>5.39794000867204</v>
      </c>
      <c r="F1217" s="27" t="n">
        <v>5.39794000867204</v>
      </c>
      <c r="G1217" s="25" t="s">
        <v>2868</v>
      </c>
      <c r="H1217" s="25" t="s">
        <v>2869</v>
      </c>
      <c r="I1217" s="25" t="n">
        <f aca="false">IFERROR(IF(INDEX(Documents!$C$5:$C$657,MATCH(H1217,Documents!$A$5:$A$657,0))="","",INDEX(Documents!$C$5:$C$657,MATCH(H1217,Documents!$A$5:$A$657,0))),"")</f>
        <v>2007</v>
      </c>
      <c r="J1217" s="25" t="str">
        <f aca="false">IFERROR(IF(INDEX(Documents!$D$5:$D$657,MATCH(H1217,Documents!$A$5:$A$657,0))="","",INDEX(Documents!$D$5:$D$657,MATCH(H1217,Documents!$A$5:$A$657,0))),"")</f>
        <v>Bioorg Med Chem Lett</v>
      </c>
      <c r="K1217" s="25" t="str">
        <f aca="false">IFERROR(IF(INDEX(Documents!$G$5:$G$657,MATCH(H1217,Documents!$A$5:$A$657,0))="","",INDEX(Documents!$G$5:$G$657,MATCH(H1217,Documents!$A$5:$A$657,0))),"")</f>
        <v>10.1016/j.bmcl.2007.06.055</v>
      </c>
      <c r="L1217" s="25" t="s">
        <v>775</v>
      </c>
    </row>
    <row r="1218" customFormat="false" ht="15" hidden="false" customHeight="false" outlineLevel="0" collapsed="false">
      <c r="A1218" s="25" t="n">
        <v>15197377</v>
      </c>
      <c r="B1218" s="25" t="s">
        <v>2874</v>
      </c>
      <c r="C1218" s="25" t="s">
        <v>2875</v>
      </c>
      <c r="D1218" s="26" t="n">
        <v>3.7</v>
      </c>
      <c r="E1218" s="27" t="n">
        <v>8.43179827593301</v>
      </c>
      <c r="F1218" s="27" t="n">
        <v>8.43191568455493</v>
      </c>
      <c r="G1218" s="25" t="s">
        <v>2844</v>
      </c>
      <c r="H1218" s="25" t="s">
        <v>2845</v>
      </c>
      <c r="I1218" s="25" t="n">
        <f aca="false">IFERROR(IF(INDEX(Documents!$C$5:$C$657,MATCH(H1218,Documents!$A$5:$A$657,0))="","",INDEX(Documents!$C$5:$C$657,MATCH(H1218,Documents!$A$5:$A$657,0))),"")</f>
        <v>2015</v>
      </c>
      <c r="J1218" s="25" t="str">
        <f aca="false">IFERROR(IF(INDEX(Documents!$D$5:$D$657,MATCH(H1218,Documents!$A$5:$A$657,0))="","",INDEX(Documents!$D$5:$D$657,MATCH(H1218,Documents!$A$5:$A$657,0))),"")</f>
        <v>Eur J Med Chem</v>
      </c>
      <c r="K1218" s="25" t="str">
        <f aca="false">IFERROR(IF(INDEX(Documents!$G$5:$G$657,MATCH(H1218,Documents!$A$5:$A$657,0))="","",INDEX(Documents!$G$5:$G$657,MATCH(H1218,Documents!$A$5:$A$657,0))),"")</f>
        <v>10.1016/j.ejmech.2015.01.054</v>
      </c>
      <c r="L1218" s="25" t="s">
        <v>1359</v>
      </c>
    </row>
    <row r="1219" customFormat="false" ht="15" hidden="false" customHeight="false" outlineLevel="0" collapsed="false">
      <c r="A1219" s="25" t="n">
        <v>15198651</v>
      </c>
      <c r="B1219" s="25" t="s">
        <v>2874</v>
      </c>
      <c r="C1219" s="25" t="s">
        <v>2875</v>
      </c>
      <c r="D1219" s="26" t="n">
        <v>3.698</v>
      </c>
      <c r="E1219" s="27" t="n">
        <v>8.43203309317685</v>
      </c>
      <c r="F1219" s="27" t="n">
        <v>8.43191568455493</v>
      </c>
      <c r="G1219" s="25" t="s">
        <v>2844</v>
      </c>
      <c r="H1219" s="25" t="s">
        <v>2845</v>
      </c>
      <c r="I1219" s="25" t="n">
        <f aca="false">IFERROR(IF(INDEX(Documents!$C$5:$C$657,MATCH(H1219,Documents!$A$5:$A$657,0))="","",INDEX(Documents!$C$5:$C$657,MATCH(H1219,Documents!$A$5:$A$657,0))),"")</f>
        <v>2015</v>
      </c>
      <c r="J1219" s="25" t="str">
        <f aca="false">IFERROR(IF(INDEX(Documents!$D$5:$D$657,MATCH(H1219,Documents!$A$5:$A$657,0))="","",INDEX(Documents!$D$5:$D$657,MATCH(H1219,Documents!$A$5:$A$657,0))),"")</f>
        <v>Eur J Med Chem</v>
      </c>
      <c r="K1219" s="25" t="str">
        <f aca="false">IFERROR(IF(INDEX(Documents!$G$5:$G$657,MATCH(H1219,Documents!$A$5:$A$657,0))="","",INDEX(Documents!$G$5:$G$657,MATCH(H1219,Documents!$A$5:$A$657,0))),"")</f>
        <v>10.1016/j.ejmech.2015.01.054</v>
      </c>
      <c r="L1219" s="25" t="s">
        <v>1359</v>
      </c>
    </row>
    <row r="1220" customFormat="false" ht="15" hidden="false" customHeight="false" outlineLevel="0" collapsed="false">
      <c r="A1220" s="25" t="n">
        <v>15197378</v>
      </c>
      <c r="B1220" s="25" t="s">
        <v>2876</v>
      </c>
      <c r="C1220" s="25" t="s">
        <v>2877</v>
      </c>
      <c r="D1220" s="26" t="n">
        <v>8.4</v>
      </c>
      <c r="E1220" s="27" t="n">
        <v>8.07572071393812</v>
      </c>
      <c r="F1220" s="27" t="n">
        <v>8.07585000673203</v>
      </c>
      <c r="G1220" s="25" t="s">
        <v>2844</v>
      </c>
      <c r="H1220" s="25" t="s">
        <v>2845</v>
      </c>
      <c r="I1220" s="25" t="n">
        <f aca="false">IFERROR(IF(INDEX(Documents!$C$5:$C$657,MATCH(H1220,Documents!$A$5:$A$657,0))="","",INDEX(Documents!$C$5:$C$657,MATCH(H1220,Documents!$A$5:$A$657,0))),"")</f>
        <v>2015</v>
      </c>
      <c r="J1220" s="25" t="str">
        <f aca="false">IFERROR(IF(INDEX(Documents!$D$5:$D$657,MATCH(H1220,Documents!$A$5:$A$657,0))="","",INDEX(Documents!$D$5:$D$657,MATCH(H1220,Documents!$A$5:$A$657,0))),"")</f>
        <v>Eur J Med Chem</v>
      </c>
      <c r="K1220" s="25" t="str">
        <f aca="false">IFERROR(IF(INDEX(Documents!$G$5:$G$657,MATCH(H1220,Documents!$A$5:$A$657,0))="","",INDEX(Documents!$G$5:$G$657,MATCH(H1220,Documents!$A$5:$A$657,0))),"")</f>
        <v>10.1016/j.ejmech.2015.01.054</v>
      </c>
      <c r="L1220" s="25" t="s">
        <v>1359</v>
      </c>
    </row>
    <row r="1221" customFormat="false" ht="15" hidden="false" customHeight="false" outlineLevel="0" collapsed="false">
      <c r="A1221" s="25" t="n">
        <v>15198652</v>
      </c>
      <c r="B1221" s="25" t="s">
        <v>2876</v>
      </c>
      <c r="C1221" s="25" t="s">
        <v>2877</v>
      </c>
      <c r="D1221" s="26" t="n">
        <v>8.395</v>
      </c>
      <c r="E1221" s="27" t="n">
        <v>8.07597929952593</v>
      </c>
      <c r="F1221" s="27" t="n">
        <v>8.07585000673203</v>
      </c>
      <c r="G1221" s="25" t="s">
        <v>2844</v>
      </c>
      <c r="H1221" s="25" t="s">
        <v>2845</v>
      </c>
      <c r="I1221" s="25" t="n">
        <f aca="false">IFERROR(IF(INDEX(Documents!$C$5:$C$657,MATCH(H1221,Documents!$A$5:$A$657,0))="","",INDEX(Documents!$C$5:$C$657,MATCH(H1221,Documents!$A$5:$A$657,0))),"")</f>
        <v>2015</v>
      </c>
      <c r="J1221" s="25" t="str">
        <f aca="false">IFERROR(IF(INDEX(Documents!$D$5:$D$657,MATCH(H1221,Documents!$A$5:$A$657,0))="","",INDEX(Documents!$D$5:$D$657,MATCH(H1221,Documents!$A$5:$A$657,0))),"")</f>
        <v>Eur J Med Chem</v>
      </c>
      <c r="K1221" s="25" t="str">
        <f aca="false">IFERROR(IF(INDEX(Documents!$G$5:$G$657,MATCH(H1221,Documents!$A$5:$A$657,0))="","",INDEX(Documents!$G$5:$G$657,MATCH(H1221,Documents!$A$5:$A$657,0))),"")</f>
        <v>10.1016/j.ejmech.2015.01.054</v>
      </c>
      <c r="L1221" s="25" t="s">
        <v>1359</v>
      </c>
    </row>
    <row r="1222" customFormat="false" ht="15" hidden="false" customHeight="false" outlineLevel="0" collapsed="false">
      <c r="A1222" s="25" t="n">
        <v>15197379</v>
      </c>
      <c r="B1222" s="25" t="s">
        <v>2878</v>
      </c>
      <c r="C1222" s="25" t="s">
        <v>2879</v>
      </c>
      <c r="D1222" s="26" t="n">
        <v>7.3</v>
      </c>
      <c r="E1222" s="27" t="n">
        <v>8.13667713987955</v>
      </c>
      <c r="F1222" s="27" t="n">
        <v>8.13682592182504</v>
      </c>
      <c r="G1222" s="25" t="s">
        <v>2844</v>
      </c>
      <c r="H1222" s="25" t="s">
        <v>2845</v>
      </c>
      <c r="I1222" s="25" t="n">
        <f aca="false">IFERROR(IF(INDEX(Documents!$C$5:$C$657,MATCH(H1222,Documents!$A$5:$A$657,0))="","",INDEX(Documents!$C$5:$C$657,MATCH(H1222,Documents!$A$5:$A$657,0))),"")</f>
        <v>2015</v>
      </c>
      <c r="J1222" s="25" t="str">
        <f aca="false">IFERROR(IF(INDEX(Documents!$D$5:$D$657,MATCH(H1222,Documents!$A$5:$A$657,0))="","",INDEX(Documents!$D$5:$D$657,MATCH(H1222,Documents!$A$5:$A$657,0))),"")</f>
        <v>Eur J Med Chem</v>
      </c>
      <c r="K1222" s="25" t="str">
        <f aca="false">IFERROR(IF(INDEX(Documents!$G$5:$G$657,MATCH(H1222,Documents!$A$5:$A$657,0))="","",INDEX(Documents!$G$5:$G$657,MATCH(H1222,Documents!$A$5:$A$657,0))),"")</f>
        <v>10.1016/j.ejmech.2015.01.054</v>
      </c>
      <c r="L1222" s="25" t="s">
        <v>1359</v>
      </c>
    </row>
    <row r="1223" customFormat="false" ht="15" hidden="false" customHeight="false" outlineLevel="0" collapsed="false">
      <c r="A1223" s="25" t="n">
        <v>15198653</v>
      </c>
      <c r="B1223" s="25" t="s">
        <v>2878</v>
      </c>
      <c r="C1223" s="25" t="s">
        <v>2879</v>
      </c>
      <c r="D1223" s="26" t="n">
        <v>7.295</v>
      </c>
      <c r="E1223" s="27" t="n">
        <v>8.13697470377053</v>
      </c>
      <c r="F1223" s="27" t="n">
        <v>8.13682592182504</v>
      </c>
      <c r="G1223" s="25" t="s">
        <v>2844</v>
      </c>
      <c r="H1223" s="25" t="s">
        <v>2845</v>
      </c>
      <c r="I1223" s="25" t="n">
        <f aca="false">IFERROR(IF(INDEX(Documents!$C$5:$C$657,MATCH(H1223,Documents!$A$5:$A$657,0))="","",INDEX(Documents!$C$5:$C$657,MATCH(H1223,Documents!$A$5:$A$657,0))),"")</f>
        <v>2015</v>
      </c>
      <c r="J1223" s="25" t="str">
        <f aca="false">IFERROR(IF(INDEX(Documents!$D$5:$D$657,MATCH(H1223,Documents!$A$5:$A$657,0))="","",INDEX(Documents!$D$5:$D$657,MATCH(H1223,Documents!$A$5:$A$657,0))),"")</f>
        <v>Eur J Med Chem</v>
      </c>
      <c r="K1223" s="25" t="str">
        <f aca="false">IFERROR(IF(INDEX(Documents!$G$5:$G$657,MATCH(H1223,Documents!$A$5:$A$657,0))="","",INDEX(Documents!$G$5:$G$657,MATCH(H1223,Documents!$A$5:$A$657,0))),"")</f>
        <v>10.1016/j.ejmech.2015.01.054</v>
      </c>
      <c r="L1223" s="25" t="s">
        <v>1359</v>
      </c>
    </row>
    <row r="1224" customFormat="false" ht="15" hidden="false" customHeight="false" outlineLevel="0" collapsed="false">
      <c r="A1224" s="25" t="n">
        <v>15197380</v>
      </c>
      <c r="B1224" s="25" t="s">
        <v>2880</v>
      </c>
      <c r="C1224" s="25" t="s">
        <v>2881</v>
      </c>
      <c r="D1224" s="26" t="n">
        <v>1.8</v>
      </c>
      <c r="E1224" s="27" t="n">
        <v>8.74472749489669</v>
      </c>
      <c r="F1224" s="27" t="n">
        <v>8.74484816577557</v>
      </c>
      <c r="G1224" s="25" t="s">
        <v>2844</v>
      </c>
      <c r="H1224" s="25" t="s">
        <v>2845</v>
      </c>
      <c r="I1224" s="25" t="n">
        <f aca="false">IFERROR(IF(INDEX(Documents!$C$5:$C$657,MATCH(H1224,Documents!$A$5:$A$657,0))="","",INDEX(Documents!$C$5:$C$657,MATCH(H1224,Documents!$A$5:$A$657,0))),"")</f>
        <v>2015</v>
      </c>
      <c r="J1224" s="25" t="str">
        <f aca="false">IFERROR(IF(INDEX(Documents!$D$5:$D$657,MATCH(H1224,Documents!$A$5:$A$657,0))="","",INDEX(Documents!$D$5:$D$657,MATCH(H1224,Documents!$A$5:$A$657,0))),"")</f>
        <v>Eur J Med Chem</v>
      </c>
      <c r="K1224" s="25" t="str">
        <f aca="false">IFERROR(IF(INDEX(Documents!$G$5:$G$657,MATCH(H1224,Documents!$A$5:$A$657,0))="","",INDEX(Documents!$G$5:$G$657,MATCH(H1224,Documents!$A$5:$A$657,0))),"")</f>
        <v>10.1016/j.ejmech.2015.01.054</v>
      </c>
      <c r="L1224" s="25" t="s">
        <v>1359</v>
      </c>
    </row>
    <row r="1225" customFormat="false" ht="15" hidden="false" customHeight="false" outlineLevel="0" collapsed="false">
      <c r="A1225" s="25" t="n">
        <v>15198654</v>
      </c>
      <c r="B1225" s="25" t="s">
        <v>2880</v>
      </c>
      <c r="C1225" s="25" t="s">
        <v>2881</v>
      </c>
      <c r="D1225" s="26" t="n">
        <v>1.799</v>
      </c>
      <c r="E1225" s="27" t="n">
        <v>8.74496883665445</v>
      </c>
      <c r="F1225" s="27" t="n">
        <v>8.74484816577557</v>
      </c>
      <c r="G1225" s="25" t="s">
        <v>2844</v>
      </c>
      <c r="H1225" s="25" t="s">
        <v>2845</v>
      </c>
      <c r="I1225" s="25" t="n">
        <f aca="false">IFERROR(IF(INDEX(Documents!$C$5:$C$657,MATCH(H1225,Documents!$A$5:$A$657,0))="","",INDEX(Documents!$C$5:$C$657,MATCH(H1225,Documents!$A$5:$A$657,0))),"")</f>
        <v>2015</v>
      </c>
      <c r="J1225" s="25" t="str">
        <f aca="false">IFERROR(IF(INDEX(Documents!$D$5:$D$657,MATCH(H1225,Documents!$A$5:$A$657,0))="","",INDEX(Documents!$D$5:$D$657,MATCH(H1225,Documents!$A$5:$A$657,0))),"")</f>
        <v>Eur J Med Chem</v>
      </c>
      <c r="K1225" s="25" t="str">
        <f aca="false">IFERROR(IF(INDEX(Documents!$G$5:$G$657,MATCH(H1225,Documents!$A$5:$A$657,0))="","",INDEX(Documents!$G$5:$G$657,MATCH(H1225,Documents!$A$5:$A$657,0))),"")</f>
        <v>10.1016/j.ejmech.2015.01.054</v>
      </c>
      <c r="L1225" s="25" t="s">
        <v>1359</v>
      </c>
    </row>
    <row r="1226" customFormat="false" ht="15" hidden="false" customHeight="false" outlineLevel="0" collapsed="false">
      <c r="A1226" s="25" t="n">
        <v>15197383</v>
      </c>
      <c r="B1226" s="25" t="s">
        <v>2882</v>
      </c>
      <c r="C1226" s="25" t="s">
        <v>2883</v>
      </c>
      <c r="D1226" s="26" t="n">
        <v>14</v>
      </c>
      <c r="E1226" s="27" t="n">
        <v>7.85387196432176</v>
      </c>
      <c r="F1226" s="27" t="n">
        <v>7.85387196432176</v>
      </c>
      <c r="G1226" s="25" t="s">
        <v>2844</v>
      </c>
      <c r="H1226" s="25" t="s">
        <v>2845</v>
      </c>
      <c r="I1226" s="25" t="n">
        <f aca="false">IFERROR(IF(INDEX(Documents!$C$5:$C$657,MATCH(H1226,Documents!$A$5:$A$657,0))="","",INDEX(Documents!$C$5:$C$657,MATCH(H1226,Documents!$A$5:$A$657,0))),"")</f>
        <v>2015</v>
      </c>
      <c r="J1226" s="25" t="str">
        <f aca="false">IFERROR(IF(INDEX(Documents!$D$5:$D$657,MATCH(H1226,Documents!$A$5:$A$657,0))="","",INDEX(Documents!$D$5:$D$657,MATCH(H1226,Documents!$A$5:$A$657,0))),"")</f>
        <v>Eur J Med Chem</v>
      </c>
      <c r="K1226" s="25" t="str">
        <f aca="false">IFERROR(IF(INDEX(Documents!$G$5:$G$657,MATCH(H1226,Documents!$A$5:$A$657,0))="","",INDEX(Documents!$G$5:$G$657,MATCH(H1226,Documents!$A$5:$A$657,0))),"")</f>
        <v>10.1016/j.ejmech.2015.01.054</v>
      </c>
      <c r="L1226" s="25" t="s">
        <v>1359</v>
      </c>
    </row>
    <row r="1227" customFormat="false" ht="15" hidden="false" customHeight="false" outlineLevel="0" collapsed="false">
      <c r="A1227" s="25" t="n">
        <v>15198657</v>
      </c>
      <c r="B1227" s="25" t="s">
        <v>2882</v>
      </c>
      <c r="C1227" s="25" t="s">
        <v>2883</v>
      </c>
      <c r="D1227" s="26" t="n">
        <v>14</v>
      </c>
      <c r="E1227" s="27" t="n">
        <v>7.85387196432176</v>
      </c>
      <c r="F1227" s="27" t="n">
        <v>7.85387196432176</v>
      </c>
      <c r="G1227" s="25" t="s">
        <v>2844</v>
      </c>
      <c r="H1227" s="25" t="s">
        <v>2845</v>
      </c>
      <c r="I1227" s="25" t="n">
        <f aca="false">IFERROR(IF(INDEX(Documents!$C$5:$C$657,MATCH(H1227,Documents!$A$5:$A$657,0))="","",INDEX(Documents!$C$5:$C$657,MATCH(H1227,Documents!$A$5:$A$657,0))),"")</f>
        <v>2015</v>
      </c>
      <c r="J1227" s="25" t="str">
        <f aca="false">IFERROR(IF(INDEX(Documents!$D$5:$D$657,MATCH(H1227,Documents!$A$5:$A$657,0))="","",INDEX(Documents!$D$5:$D$657,MATCH(H1227,Documents!$A$5:$A$657,0))),"")</f>
        <v>Eur J Med Chem</v>
      </c>
      <c r="K1227" s="25" t="str">
        <f aca="false">IFERROR(IF(INDEX(Documents!$G$5:$G$657,MATCH(H1227,Documents!$A$5:$A$657,0))="","",INDEX(Documents!$G$5:$G$657,MATCH(H1227,Documents!$A$5:$A$657,0))),"")</f>
        <v>10.1016/j.ejmech.2015.01.054</v>
      </c>
      <c r="L1227" s="25" t="s">
        <v>1359</v>
      </c>
    </row>
    <row r="1228" customFormat="false" ht="15" hidden="false" customHeight="false" outlineLevel="0" collapsed="false">
      <c r="A1228" s="25" t="n">
        <v>15198623</v>
      </c>
      <c r="B1228" s="25" t="s">
        <v>2884</v>
      </c>
      <c r="C1228" s="25" t="s">
        <v>2885</v>
      </c>
      <c r="D1228" s="26" t="n">
        <v>11</v>
      </c>
      <c r="E1228" s="27" t="n">
        <v>7.95860731484178</v>
      </c>
      <c r="F1228" s="27" t="n">
        <v>7.95880481120914</v>
      </c>
      <c r="G1228" s="25" t="s">
        <v>2844</v>
      </c>
      <c r="H1228" s="25" t="s">
        <v>2845</v>
      </c>
      <c r="I1228" s="25" t="n">
        <f aca="false">IFERROR(IF(INDEX(Documents!$C$5:$C$657,MATCH(H1228,Documents!$A$5:$A$657,0))="","",INDEX(Documents!$C$5:$C$657,MATCH(H1228,Documents!$A$5:$A$657,0))),"")</f>
        <v>2015</v>
      </c>
      <c r="J1228" s="25" t="str">
        <f aca="false">IFERROR(IF(INDEX(Documents!$D$5:$D$657,MATCH(H1228,Documents!$A$5:$A$657,0))="","",INDEX(Documents!$D$5:$D$657,MATCH(H1228,Documents!$A$5:$A$657,0))),"")</f>
        <v>Eur J Med Chem</v>
      </c>
      <c r="K1228" s="25" t="str">
        <f aca="false">IFERROR(IF(INDEX(Documents!$G$5:$G$657,MATCH(H1228,Documents!$A$5:$A$657,0))="","",INDEX(Documents!$G$5:$G$657,MATCH(H1228,Documents!$A$5:$A$657,0))),"")</f>
        <v>10.1016/j.ejmech.2015.01.054</v>
      </c>
      <c r="L1228" s="25" t="s">
        <v>1359</v>
      </c>
    </row>
    <row r="1229" customFormat="false" ht="15" hidden="false" customHeight="false" outlineLevel="0" collapsed="false">
      <c r="A1229" s="25" t="n">
        <v>15198678</v>
      </c>
      <c r="B1229" s="25" t="s">
        <v>2884</v>
      </c>
      <c r="C1229" s="25" t="s">
        <v>2885</v>
      </c>
      <c r="D1229" s="26" t="n">
        <v>10.99</v>
      </c>
      <c r="E1229" s="27" t="n">
        <v>7.95900230757651</v>
      </c>
      <c r="F1229" s="27" t="n">
        <v>7.95880481120914</v>
      </c>
      <c r="G1229" s="25" t="s">
        <v>2844</v>
      </c>
      <c r="H1229" s="25" t="s">
        <v>2845</v>
      </c>
      <c r="I1229" s="25" t="n">
        <f aca="false">IFERROR(IF(INDEX(Documents!$C$5:$C$657,MATCH(H1229,Documents!$A$5:$A$657,0))="","",INDEX(Documents!$C$5:$C$657,MATCH(H1229,Documents!$A$5:$A$657,0))),"")</f>
        <v>2015</v>
      </c>
      <c r="J1229" s="25" t="str">
        <f aca="false">IFERROR(IF(INDEX(Documents!$D$5:$D$657,MATCH(H1229,Documents!$A$5:$A$657,0))="","",INDEX(Documents!$D$5:$D$657,MATCH(H1229,Documents!$A$5:$A$657,0))),"")</f>
        <v>Eur J Med Chem</v>
      </c>
      <c r="K1229" s="25" t="str">
        <f aca="false">IFERROR(IF(INDEX(Documents!$G$5:$G$657,MATCH(H1229,Documents!$A$5:$A$657,0))="","",INDEX(Documents!$G$5:$G$657,MATCH(H1229,Documents!$A$5:$A$657,0))),"")</f>
        <v>10.1016/j.ejmech.2015.01.054</v>
      </c>
      <c r="L1229" s="25" t="s">
        <v>1359</v>
      </c>
    </row>
    <row r="1230" customFormat="false" ht="15" hidden="false" customHeight="false" outlineLevel="0" collapsed="false">
      <c r="A1230" s="25" t="n">
        <v>15198618</v>
      </c>
      <c r="B1230" s="25" t="s">
        <v>2886</v>
      </c>
      <c r="C1230" s="25" t="s">
        <v>2887</v>
      </c>
      <c r="D1230" s="26" t="n">
        <v>100</v>
      </c>
      <c r="E1230" s="27" t="n">
        <v>7</v>
      </c>
      <c r="F1230" s="27" t="n">
        <v>7</v>
      </c>
      <c r="G1230" s="25" t="s">
        <v>2844</v>
      </c>
      <c r="H1230" s="25" t="s">
        <v>2845</v>
      </c>
      <c r="I1230" s="25" t="n">
        <f aca="false">IFERROR(IF(INDEX(Documents!$C$5:$C$657,MATCH(H1230,Documents!$A$5:$A$657,0))="","",INDEX(Documents!$C$5:$C$657,MATCH(H1230,Documents!$A$5:$A$657,0))),"")</f>
        <v>2015</v>
      </c>
      <c r="J1230" s="25" t="str">
        <f aca="false">IFERROR(IF(INDEX(Documents!$D$5:$D$657,MATCH(H1230,Documents!$A$5:$A$657,0))="","",INDEX(Documents!$D$5:$D$657,MATCH(H1230,Documents!$A$5:$A$657,0))),"")</f>
        <v>Eur J Med Chem</v>
      </c>
      <c r="K1230" s="25" t="str">
        <f aca="false">IFERROR(IF(INDEX(Documents!$G$5:$G$657,MATCH(H1230,Documents!$A$5:$A$657,0))="","",INDEX(Documents!$G$5:$G$657,MATCH(H1230,Documents!$A$5:$A$657,0))),"")</f>
        <v>10.1016/j.ejmech.2015.01.054</v>
      </c>
      <c r="L1230" s="25" t="s">
        <v>1359</v>
      </c>
    </row>
    <row r="1231" customFormat="false" ht="15" hidden="false" customHeight="false" outlineLevel="0" collapsed="false">
      <c r="A1231" s="25" t="n">
        <v>15198673</v>
      </c>
      <c r="B1231" s="25" t="s">
        <v>2886</v>
      </c>
      <c r="C1231" s="25" t="s">
        <v>2887</v>
      </c>
      <c r="D1231" s="26" t="n">
        <v>100</v>
      </c>
      <c r="E1231" s="27" t="n">
        <v>7</v>
      </c>
      <c r="F1231" s="27" t="n">
        <v>7</v>
      </c>
      <c r="G1231" s="25" t="s">
        <v>2844</v>
      </c>
      <c r="H1231" s="25" t="s">
        <v>2845</v>
      </c>
      <c r="I1231" s="25" t="n">
        <f aca="false">IFERROR(IF(INDEX(Documents!$C$5:$C$657,MATCH(H1231,Documents!$A$5:$A$657,0))="","",INDEX(Documents!$C$5:$C$657,MATCH(H1231,Documents!$A$5:$A$657,0))),"")</f>
        <v>2015</v>
      </c>
      <c r="J1231" s="25" t="str">
        <f aca="false">IFERROR(IF(INDEX(Documents!$D$5:$D$657,MATCH(H1231,Documents!$A$5:$A$657,0))="","",INDEX(Documents!$D$5:$D$657,MATCH(H1231,Documents!$A$5:$A$657,0))),"")</f>
        <v>Eur J Med Chem</v>
      </c>
      <c r="K1231" s="25" t="str">
        <f aca="false">IFERROR(IF(INDEX(Documents!$G$5:$G$657,MATCH(H1231,Documents!$A$5:$A$657,0))="","",INDEX(Documents!$G$5:$G$657,MATCH(H1231,Documents!$A$5:$A$657,0))),"")</f>
        <v>10.1016/j.ejmech.2015.01.054</v>
      </c>
      <c r="L1231" s="25" t="s">
        <v>1359</v>
      </c>
    </row>
    <row r="1232" customFormat="false" ht="15" hidden="false" customHeight="false" outlineLevel="0" collapsed="false">
      <c r="A1232" s="25" t="n">
        <v>15197359</v>
      </c>
      <c r="B1232" s="25" t="s">
        <v>2888</v>
      </c>
      <c r="C1232" s="25" t="s">
        <v>2889</v>
      </c>
      <c r="D1232" s="26" t="n">
        <v>118.3</v>
      </c>
      <c r="E1232" s="27" t="n">
        <v>6.92701525537207</v>
      </c>
      <c r="F1232" s="27" t="n">
        <v>6.92701525537207</v>
      </c>
      <c r="G1232" s="25" t="s">
        <v>2844</v>
      </c>
      <c r="H1232" s="25" t="s">
        <v>2845</v>
      </c>
      <c r="I1232" s="25" t="n">
        <f aca="false">IFERROR(IF(INDEX(Documents!$C$5:$C$657,MATCH(H1232,Documents!$A$5:$A$657,0))="","",INDEX(Documents!$C$5:$C$657,MATCH(H1232,Documents!$A$5:$A$657,0))),"")</f>
        <v>2015</v>
      </c>
      <c r="J1232" s="25" t="str">
        <f aca="false">IFERROR(IF(INDEX(Documents!$D$5:$D$657,MATCH(H1232,Documents!$A$5:$A$657,0))="","",INDEX(Documents!$D$5:$D$657,MATCH(H1232,Documents!$A$5:$A$657,0))),"")</f>
        <v>Eur J Med Chem</v>
      </c>
      <c r="K1232" s="25" t="str">
        <f aca="false">IFERROR(IF(INDEX(Documents!$G$5:$G$657,MATCH(H1232,Documents!$A$5:$A$657,0))="","",INDEX(Documents!$G$5:$G$657,MATCH(H1232,Documents!$A$5:$A$657,0))),"")</f>
        <v>10.1016/j.ejmech.2015.01.054</v>
      </c>
      <c r="L1232" s="25" t="s">
        <v>1359</v>
      </c>
    </row>
    <row r="1233" customFormat="false" ht="15" hidden="false" customHeight="false" outlineLevel="0" collapsed="false">
      <c r="A1233" s="25" t="n">
        <v>15198633</v>
      </c>
      <c r="B1233" s="25" t="s">
        <v>2888</v>
      </c>
      <c r="C1233" s="25" t="s">
        <v>2889</v>
      </c>
      <c r="D1233" s="26" t="n">
        <v>118.3</v>
      </c>
      <c r="E1233" s="27" t="n">
        <v>6.92701525537207</v>
      </c>
      <c r="F1233" s="27" t="n">
        <v>6.92701525537207</v>
      </c>
      <c r="G1233" s="25" t="s">
        <v>2844</v>
      </c>
      <c r="H1233" s="25" t="s">
        <v>2845</v>
      </c>
      <c r="I1233" s="25" t="n">
        <f aca="false">IFERROR(IF(INDEX(Documents!$C$5:$C$657,MATCH(H1233,Documents!$A$5:$A$657,0))="","",INDEX(Documents!$C$5:$C$657,MATCH(H1233,Documents!$A$5:$A$657,0))),"")</f>
        <v>2015</v>
      </c>
      <c r="J1233" s="25" t="str">
        <f aca="false">IFERROR(IF(INDEX(Documents!$D$5:$D$657,MATCH(H1233,Documents!$A$5:$A$657,0))="","",INDEX(Documents!$D$5:$D$657,MATCH(H1233,Documents!$A$5:$A$657,0))),"")</f>
        <v>Eur J Med Chem</v>
      </c>
      <c r="K1233" s="25" t="str">
        <f aca="false">IFERROR(IF(INDEX(Documents!$G$5:$G$657,MATCH(H1233,Documents!$A$5:$A$657,0))="","",INDEX(Documents!$G$5:$G$657,MATCH(H1233,Documents!$A$5:$A$657,0))),"")</f>
        <v>10.1016/j.ejmech.2015.01.054</v>
      </c>
      <c r="L1233" s="25" t="s">
        <v>1359</v>
      </c>
    </row>
    <row r="1234" customFormat="false" ht="15" hidden="false" customHeight="false" outlineLevel="0" collapsed="false">
      <c r="A1234" s="25" t="n">
        <v>15198643</v>
      </c>
      <c r="B1234" s="25" t="s">
        <v>2890</v>
      </c>
      <c r="C1234" s="25" t="s">
        <v>2891</v>
      </c>
      <c r="D1234" s="26" t="n">
        <v>0.01901</v>
      </c>
      <c r="E1234" s="27" t="n">
        <v>10.7210178831346</v>
      </c>
      <c r="F1234" s="27" t="n">
        <v>10.7211321410909</v>
      </c>
      <c r="G1234" s="25" t="s">
        <v>2844</v>
      </c>
      <c r="H1234" s="25" t="s">
        <v>2845</v>
      </c>
      <c r="I1234" s="25" t="n">
        <f aca="false">IFERROR(IF(INDEX(Documents!$C$5:$C$657,MATCH(H1234,Documents!$A$5:$A$657,0))="","",INDEX(Documents!$C$5:$C$657,MATCH(H1234,Documents!$A$5:$A$657,0))),"")</f>
        <v>2015</v>
      </c>
      <c r="J1234" s="25" t="str">
        <f aca="false">IFERROR(IF(INDEX(Documents!$D$5:$D$657,MATCH(H1234,Documents!$A$5:$A$657,0))="","",INDEX(Documents!$D$5:$D$657,MATCH(H1234,Documents!$A$5:$A$657,0))),"")</f>
        <v>Eur J Med Chem</v>
      </c>
      <c r="K1234" s="25" t="str">
        <f aca="false">IFERROR(IF(INDEX(Documents!$G$5:$G$657,MATCH(H1234,Documents!$A$5:$A$657,0))="","",INDEX(Documents!$G$5:$G$657,MATCH(H1234,Documents!$A$5:$A$657,0))),"")</f>
        <v>10.1016/j.ejmech.2015.01.054</v>
      </c>
      <c r="L1234" s="25" t="s">
        <v>1359</v>
      </c>
    </row>
    <row r="1235" customFormat="false" ht="15" hidden="false" customHeight="false" outlineLevel="0" collapsed="false">
      <c r="A1235" s="25" t="n">
        <v>15197369</v>
      </c>
      <c r="B1235" s="25" t="s">
        <v>2890</v>
      </c>
      <c r="C1235" s="25" t="s">
        <v>2891</v>
      </c>
      <c r="D1235" s="26" t="n">
        <v>0.019</v>
      </c>
      <c r="E1235" s="27" t="n">
        <v>10.7212463990472</v>
      </c>
      <c r="F1235" s="27" t="n">
        <v>10.7211321410909</v>
      </c>
      <c r="G1235" s="25" t="s">
        <v>2844</v>
      </c>
      <c r="H1235" s="25" t="s">
        <v>2845</v>
      </c>
      <c r="I1235" s="25" t="n">
        <f aca="false">IFERROR(IF(INDEX(Documents!$C$5:$C$657,MATCH(H1235,Documents!$A$5:$A$657,0))="","",INDEX(Documents!$C$5:$C$657,MATCH(H1235,Documents!$A$5:$A$657,0))),"")</f>
        <v>2015</v>
      </c>
      <c r="J1235" s="25" t="str">
        <f aca="false">IFERROR(IF(INDEX(Documents!$D$5:$D$657,MATCH(H1235,Documents!$A$5:$A$657,0))="","",INDEX(Documents!$D$5:$D$657,MATCH(H1235,Documents!$A$5:$A$657,0))),"")</f>
        <v>Eur J Med Chem</v>
      </c>
      <c r="K1235" s="25" t="str">
        <f aca="false">IFERROR(IF(INDEX(Documents!$G$5:$G$657,MATCH(H1235,Documents!$A$5:$A$657,0))="","",INDEX(Documents!$G$5:$G$657,MATCH(H1235,Documents!$A$5:$A$657,0))),"")</f>
        <v>10.1016/j.ejmech.2015.01.054</v>
      </c>
      <c r="L1235" s="25" t="s">
        <v>1359</v>
      </c>
    </row>
    <row r="1236" customFormat="false" ht="15" hidden="false" customHeight="false" outlineLevel="0" collapsed="false">
      <c r="A1236" s="25" t="n">
        <v>15198621</v>
      </c>
      <c r="B1236" s="25" t="s">
        <v>2892</v>
      </c>
      <c r="C1236" s="25" t="s">
        <v>2893</v>
      </c>
      <c r="D1236" s="26" t="n">
        <v>0.021</v>
      </c>
      <c r="E1236" s="27" t="n">
        <v>10.6777807052661</v>
      </c>
      <c r="F1236" s="27" t="n">
        <v>10.6778841333418</v>
      </c>
      <c r="G1236" s="25" t="s">
        <v>2844</v>
      </c>
      <c r="H1236" s="25" t="s">
        <v>2845</v>
      </c>
      <c r="I1236" s="25" t="n">
        <f aca="false">IFERROR(IF(INDEX(Documents!$C$5:$C$657,MATCH(H1236,Documents!$A$5:$A$657,0))="","",INDEX(Documents!$C$5:$C$657,MATCH(H1236,Documents!$A$5:$A$657,0))),"")</f>
        <v>2015</v>
      </c>
      <c r="J1236" s="25" t="str">
        <f aca="false">IFERROR(IF(INDEX(Documents!$D$5:$D$657,MATCH(H1236,Documents!$A$5:$A$657,0))="","",INDEX(Documents!$D$5:$D$657,MATCH(H1236,Documents!$A$5:$A$657,0))),"")</f>
        <v>Eur J Med Chem</v>
      </c>
      <c r="K1236" s="25" t="str">
        <f aca="false">IFERROR(IF(INDEX(Documents!$G$5:$G$657,MATCH(H1236,Documents!$A$5:$A$657,0))="","",INDEX(Documents!$G$5:$G$657,MATCH(H1236,Documents!$A$5:$A$657,0))),"")</f>
        <v>10.1016/j.ejmech.2015.01.054</v>
      </c>
      <c r="L1236" s="25" t="s">
        <v>1359</v>
      </c>
    </row>
    <row r="1237" customFormat="false" ht="15" hidden="false" customHeight="false" outlineLevel="0" collapsed="false">
      <c r="A1237" s="25" t="n">
        <v>15198676</v>
      </c>
      <c r="B1237" s="25" t="s">
        <v>2892</v>
      </c>
      <c r="C1237" s="25" t="s">
        <v>2893</v>
      </c>
      <c r="D1237" s="26" t="n">
        <v>0.02099</v>
      </c>
      <c r="E1237" s="27" t="n">
        <v>10.6779875614176</v>
      </c>
      <c r="F1237" s="27" t="n">
        <v>10.6778841333418</v>
      </c>
      <c r="G1237" s="25" t="s">
        <v>2844</v>
      </c>
      <c r="H1237" s="25" t="s">
        <v>2845</v>
      </c>
      <c r="I1237" s="25" t="n">
        <f aca="false">IFERROR(IF(INDEX(Documents!$C$5:$C$657,MATCH(H1237,Documents!$A$5:$A$657,0))="","",INDEX(Documents!$C$5:$C$657,MATCH(H1237,Documents!$A$5:$A$657,0))),"")</f>
        <v>2015</v>
      </c>
      <c r="J1237" s="25" t="str">
        <f aca="false">IFERROR(IF(INDEX(Documents!$D$5:$D$657,MATCH(H1237,Documents!$A$5:$A$657,0))="","",INDEX(Documents!$D$5:$D$657,MATCH(H1237,Documents!$A$5:$A$657,0))),"")</f>
        <v>Eur J Med Chem</v>
      </c>
      <c r="K1237" s="25" t="str">
        <f aca="false">IFERROR(IF(INDEX(Documents!$G$5:$G$657,MATCH(H1237,Documents!$A$5:$A$657,0))="","",INDEX(Documents!$G$5:$G$657,MATCH(H1237,Documents!$A$5:$A$657,0))),"")</f>
        <v>10.1016/j.ejmech.2015.01.054</v>
      </c>
      <c r="L1237" s="25" t="s">
        <v>1359</v>
      </c>
    </row>
    <row r="1238" customFormat="false" ht="15" hidden="false" customHeight="false" outlineLevel="0" collapsed="false">
      <c r="A1238" s="25" t="n">
        <v>15198636</v>
      </c>
      <c r="B1238" s="25" t="s">
        <v>2894</v>
      </c>
      <c r="C1238" s="25" t="s">
        <v>2895</v>
      </c>
      <c r="D1238" s="26" t="n">
        <v>0.9705</v>
      </c>
      <c r="E1238" s="27" t="n">
        <v>9.01300446027562</v>
      </c>
      <c r="F1238" s="27" t="n">
        <v>9.01311636300469</v>
      </c>
      <c r="G1238" s="25" t="s">
        <v>2844</v>
      </c>
      <c r="H1238" s="25" t="s">
        <v>2845</v>
      </c>
      <c r="I1238" s="25" t="n">
        <f aca="false">IFERROR(IF(INDEX(Documents!$C$5:$C$657,MATCH(H1238,Documents!$A$5:$A$657,0))="","",INDEX(Documents!$C$5:$C$657,MATCH(H1238,Documents!$A$5:$A$657,0))),"")</f>
        <v>2015</v>
      </c>
      <c r="J1238" s="25" t="str">
        <f aca="false">IFERROR(IF(INDEX(Documents!$D$5:$D$657,MATCH(H1238,Documents!$A$5:$A$657,0))="","",INDEX(Documents!$D$5:$D$657,MATCH(H1238,Documents!$A$5:$A$657,0))),"")</f>
        <v>Eur J Med Chem</v>
      </c>
      <c r="K1238" s="25" t="str">
        <f aca="false">IFERROR(IF(INDEX(Documents!$G$5:$G$657,MATCH(H1238,Documents!$A$5:$A$657,0))="","",INDEX(Documents!$G$5:$G$657,MATCH(H1238,Documents!$A$5:$A$657,0))),"")</f>
        <v>10.1016/j.ejmech.2015.01.054</v>
      </c>
      <c r="L1238" s="25" t="s">
        <v>1359</v>
      </c>
    </row>
    <row r="1239" customFormat="false" ht="15" hidden="false" customHeight="false" outlineLevel="0" collapsed="false">
      <c r="A1239" s="25" t="n">
        <v>15197362</v>
      </c>
      <c r="B1239" s="25" t="s">
        <v>2894</v>
      </c>
      <c r="C1239" s="25" t="s">
        <v>2895</v>
      </c>
      <c r="D1239" s="26" t="n">
        <v>0.97</v>
      </c>
      <c r="E1239" s="27" t="n">
        <v>9.01322826573376</v>
      </c>
      <c r="F1239" s="27" t="n">
        <v>9.01311636300469</v>
      </c>
      <c r="G1239" s="25" t="s">
        <v>2844</v>
      </c>
      <c r="H1239" s="25" t="s">
        <v>2845</v>
      </c>
      <c r="I1239" s="25" t="n">
        <f aca="false">IFERROR(IF(INDEX(Documents!$C$5:$C$657,MATCH(H1239,Documents!$A$5:$A$657,0))="","",INDEX(Documents!$C$5:$C$657,MATCH(H1239,Documents!$A$5:$A$657,0))),"")</f>
        <v>2015</v>
      </c>
      <c r="J1239" s="25" t="str">
        <f aca="false">IFERROR(IF(INDEX(Documents!$D$5:$D$657,MATCH(H1239,Documents!$A$5:$A$657,0))="","",INDEX(Documents!$D$5:$D$657,MATCH(H1239,Documents!$A$5:$A$657,0))),"")</f>
        <v>Eur J Med Chem</v>
      </c>
      <c r="K1239" s="25" t="str">
        <f aca="false">IFERROR(IF(INDEX(Documents!$G$5:$G$657,MATCH(H1239,Documents!$A$5:$A$657,0))="","",INDEX(Documents!$G$5:$G$657,MATCH(H1239,Documents!$A$5:$A$657,0))),"")</f>
        <v>10.1016/j.ejmech.2015.01.054</v>
      </c>
      <c r="L1239" s="25" t="s">
        <v>1359</v>
      </c>
    </row>
    <row r="1240" customFormat="false" ht="15" hidden="false" customHeight="false" outlineLevel="0" collapsed="false">
      <c r="A1240" s="25" t="n">
        <v>15197360</v>
      </c>
      <c r="B1240" s="25" t="s">
        <v>2896</v>
      </c>
      <c r="C1240" s="25" t="s">
        <v>2897</v>
      </c>
      <c r="D1240" s="26" t="n">
        <v>0.48</v>
      </c>
      <c r="E1240" s="27" t="n">
        <v>9.31875876262441</v>
      </c>
      <c r="F1240" s="27" t="n">
        <v>9.31889452207926</v>
      </c>
      <c r="G1240" s="25" t="s">
        <v>2844</v>
      </c>
      <c r="H1240" s="25" t="s">
        <v>2845</v>
      </c>
      <c r="I1240" s="25" t="n">
        <f aca="false">IFERROR(IF(INDEX(Documents!$C$5:$C$657,MATCH(H1240,Documents!$A$5:$A$657,0))="","",INDEX(Documents!$C$5:$C$657,MATCH(H1240,Documents!$A$5:$A$657,0))),"")</f>
        <v>2015</v>
      </c>
      <c r="J1240" s="25" t="str">
        <f aca="false">IFERROR(IF(INDEX(Documents!$D$5:$D$657,MATCH(H1240,Documents!$A$5:$A$657,0))="","",INDEX(Documents!$D$5:$D$657,MATCH(H1240,Documents!$A$5:$A$657,0))),"")</f>
        <v>Eur J Med Chem</v>
      </c>
      <c r="K1240" s="25" t="str">
        <f aca="false">IFERROR(IF(INDEX(Documents!$G$5:$G$657,MATCH(H1240,Documents!$A$5:$A$657,0))="","",INDEX(Documents!$G$5:$G$657,MATCH(H1240,Documents!$A$5:$A$657,0))),"")</f>
        <v>10.1016/j.ejmech.2015.01.054</v>
      </c>
      <c r="L1240" s="25" t="s">
        <v>1359</v>
      </c>
    </row>
    <row r="1241" customFormat="false" ht="15" hidden="false" customHeight="false" outlineLevel="0" collapsed="false">
      <c r="A1241" s="25" t="n">
        <v>15198634</v>
      </c>
      <c r="B1241" s="25" t="s">
        <v>2896</v>
      </c>
      <c r="C1241" s="25" t="s">
        <v>2897</v>
      </c>
      <c r="D1241" s="26" t="n">
        <v>0.4797</v>
      </c>
      <c r="E1241" s="27" t="n">
        <v>9.3190302815341</v>
      </c>
      <c r="F1241" s="27" t="n">
        <v>9.31889452207926</v>
      </c>
      <c r="G1241" s="25" t="s">
        <v>2844</v>
      </c>
      <c r="H1241" s="25" t="s">
        <v>2845</v>
      </c>
      <c r="I1241" s="25" t="n">
        <f aca="false">IFERROR(IF(INDEX(Documents!$C$5:$C$657,MATCH(H1241,Documents!$A$5:$A$657,0))="","",INDEX(Documents!$C$5:$C$657,MATCH(H1241,Documents!$A$5:$A$657,0))),"")</f>
        <v>2015</v>
      </c>
      <c r="J1241" s="25" t="str">
        <f aca="false">IFERROR(IF(INDEX(Documents!$D$5:$D$657,MATCH(H1241,Documents!$A$5:$A$657,0))="","",INDEX(Documents!$D$5:$D$657,MATCH(H1241,Documents!$A$5:$A$657,0))),"")</f>
        <v>Eur J Med Chem</v>
      </c>
      <c r="K1241" s="25" t="str">
        <f aca="false">IFERROR(IF(INDEX(Documents!$G$5:$G$657,MATCH(H1241,Documents!$A$5:$A$657,0))="","",INDEX(Documents!$G$5:$G$657,MATCH(H1241,Documents!$A$5:$A$657,0))),"")</f>
        <v>10.1016/j.ejmech.2015.01.054</v>
      </c>
      <c r="L1241" s="25" t="s">
        <v>1359</v>
      </c>
    </row>
    <row r="1242" customFormat="false" ht="15" hidden="false" customHeight="false" outlineLevel="0" collapsed="false">
      <c r="A1242" s="25" t="n">
        <v>15198619</v>
      </c>
      <c r="B1242" s="25" t="s">
        <v>2898</v>
      </c>
      <c r="C1242" s="25" t="s">
        <v>2899</v>
      </c>
      <c r="D1242" s="26" t="n">
        <v>0.18</v>
      </c>
      <c r="E1242" s="27" t="n">
        <v>9.74472749489669</v>
      </c>
      <c r="F1242" s="27" t="n">
        <v>9.74484816577557</v>
      </c>
      <c r="G1242" s="25" t="s">
        <v>2844</v>
      </c>
      <c r="H1242" s="25" t="s">
        <v>2845</v>
      </c>
      <c r="I1242" s="25" t="n">
        <f aca="false">IFERROR(IF(INDEX(Documents!$C$5:$C$657,MATCH(H1242,Documents!$A$5:$A$657,0))="","",INDEX(Documents!$C$5:$C$657,MATCH(H1242,Documents!$A$5:$A$657,0))),"")</f>
        <v>2015</v>
      </c>
      <c r="J1242" s="25" t="str">
        <f aca="false">IFERROR(IF(INDEX(Documents!$D$5:$D$657,MATCH(H1242,Documents!$A$5:$A$657,0))="","",INDEX(Documents!$D$5:$D$657,MATCH(H1242,Documents!$A$5:$A$657,0))),"")</f>
        <v>Eur J Med Chem</v>
      </c>
      <c r="K1242" s="25" t="str">
        <f aca="false">IFERROR(IF(INDEX(Documents!$G$5:$G$657,MATCH(H1242,Documents!$A$5:$A$657,0))="","",INDEX(Documents!$G$5:$G$657,MATCH(H1242,Documents!$A$5:$A$657,0))),"")</f>
        <v>10.1016/j.ejmech.2015.01.054</v>
      </c>
      <c r="L1242" s="25" t="s">
        <v>1359</v>
      </c>
    </row>
    <row r="1243" customFormat="false" ht="15" hidden="false" customHeight="false" outlineLevel="0" collapsed="false">
      <c r="A1243" s="25" t="n">
        <v>15198674</v>
      </c>
      <c r="B1243" s="25" t="s">
        <v>2898</v>
      </c>
      <c r="C1243" s="25" t="s">
        <v>2899</v>
      </c>
      <c r="D1243" s="26" t="n">
        <v>0.1799</v>
      </c>
      <c r="E1243" s="27" t="n">
        <v>9.74496883665445</v>
      </c>
      <c r="F1243" s="27" t="n">
        <v>9.74484816577557</v>
      </c>
      <c r="G1243" s="25" t="s">
        <v>2844</v>
      </c>
      <c r="H1243" s="25" t="s">
        <v>2845</v>
      </c>
      <c r="I1243" s="25" t="n">
        <f aca="false">IFERROR(IF(INDEX(Documents!$C$5:$C$657,MATCH(H1243,Documents!$A$5:$A$657,0))="","",INDEX(Documents!$C$5:$C$657,MATCH(H1243,Documents!$A$5:$A$657,0))),"")</f>
        <v>2015</v>
      </c>
      <c r="J1243" s="25" t="str">
        <f aca="false">IFERROR(IF(INDEX(Documents!$D$5:$D$657,MATCH(H1243,Documents!$A$5:$A$657,0))="","",INDEX(Documents!$D$5:$D$657,MATCH(H1243,Documents!$A$5:$A$657,0))),"")</f>
        <v>Eur J Med Chem</v>
      </c>
      <c r="K1243" s="25" t="str">
        <f aca="false">IFERROR(IF(INDEX(Documents!$G$5:$G$657,MATCH(H1243,Documents!$A$5:$A$657,0))="","",INDEX(Documents!$G$5:$G$657,MATCH(H1243,Documents!$A$5:$A$657,0))),"")</f>
        <v>10.1016/j.ejmech.2015.01.054</v>
      </c>
      <c r="L1243" s="25" t="s">
        <v>1359</v>
      </c>
    </row>
    <row r="1244" customFormat="false" ht="15" hidden="false" customHeight="false" outlineLevel="0" collapsed="false">
      <c r="A1244" s="25" t="n">
        <v>15197368</v>
      </c>
      <c r="B1244" s="25" t="s">
        <v>2900</v>
      </c>
      <c r="C1244" s="25" t="s">
        <v>2901</v>
      </c>
      <c r="D1244" s="26" t="n">
        <v>0.13</v>
      </c>
      <c r="E1244" s="27" t="n">
        <v>9.88605664769317</v>
      </c>
      <c r="F1244" s="27" t="n">
        <v>9.88605664769317</v>
      </c>
      <c r="G1244" s="25" t="s">
        <v>2844</v>
      </c>
      <c r="H1244" s="25" t="s">
        <v>2845</v>
      </c>
      <c r="I1244" s="25" t="n">
        <f aca="false">IFERROR(IF(INDEX(Documents!$C$5:$C$657,MATCH(H1244,Documents!$A$5:$A$657,0))="","",INDEX(Documents!$C$5:$C$657,MATCH(H1244,Documents!$A$5:$A$657,0))),"")</f>
        <v>2015</v>
      </c>
      <c r="J1244" s="25" t="str">
        <f aca="false">IFERROR(IF(INDEX(Documents!$D$5:$D$657,MATCH(H1244,Documents!$A$5:$A$657,0))="","",INDEX(Documents!$D$5:$D$657,MATCH(H1244,Documents!$A$5:$A$657,0))),"")</f>
        <v>Eur J Med Chem</v>
      </c>
      <c r="K1244" s="25" t="str">
        <f aca="false">IFERROR(IF(INDEX(Documents!$G$5:$G$657,MATCH(H1244,Documents!$A$5:$A$657,0))="","",INDEX(Documents!$G$5:$G$657,MATCH(H1244,Documents!$A$5:$A$657,0))),"")</f>
        <v>10.1016/j.ejmech.2015.01.054</v>
      </c>
      <c r="L1244" s="25" t="s">
        <v>1359</v>
      </c>
    </row>
    <row r="1245" customFormat="false" ht="15" hidden="false" customHeight="false" outlineLevel="0" collapsed="false">
      <c r="A1245" s="25" t="n">
        <v>15198642</v>
      </c>
      <c r="B1245" s="25" t="s">
        <v>2900</v>
      </c>
      <c r="C1245" s="25" t="s">
        <v>2901</v>
      </c>
      <c r="D1245" s="26" t="n">
        <v>0.13</v>
      </c>
      <c r="E1245" s="27" t="n">
        <v>9.88605664769317</v>
      </c>
      <c r="F1245" s="27" t="n">
        <v>9.88605664769317</v>
      </c>
      <c r="G1245" s="25" t="s">
        <v>2844</v>
      </c>
      <c r="H1245" s="25" t="s">
        <v>2845</v>
      </c>
      <c r="I1245" s="25" t="n">
        <f aca="false">IFERROR(IF(INDEX(Documents!$C$5:$C$657,MATCH(H1245,Documents!$A$5:$A$657,0))="","",INDEX(Documents!$C$5:$C$657,MATCH(H1245,Documents!$A$5:$A$657,0))),"")</f>
        <v>2015</v>
      </c>
      <c r="J1245" s="25" t="str">
        <f aca="false">IFERROR(IF(INDEX(Documents!$D$5:$D$657,MATCH(H1245,Documents!$A$5:$A$657,0))="","",INDEX(Documents!$D$5:$D$657,MATCH(H1245,Documents!$A$5:$A$657,0))),"")</f>
        <v>Eur J Med Chem</v>
      </c>
      <c r="K1245" s="25" t="str">
        <f aca="false">IFERROR(IF(INDEX(Documents!$G$5:$G$657,MATCH(H1245,Documents!$A$5:$A$657,0))="","",INDEX(Documents!$G$5:$G$657,MATCH(H1245,Documents!$A$5:$A$657,0))),"")</f>
        <v>10.1016/j.ejmech.2015.01.054</v>
      </c>
      <c r="L1245" s="25" t="s">
        <v>1359</v>
      </c>
    </row>
    <row r="1246" customFormat="false" ht="15" hidden="false" customHeight="false" outlineLevel="0" collapsed="false">
      <c r="A1246" s="25" t="n">
        <v>15197365</v>
      </c>
      <c r="B1246" s="25" t="s">
        <v>2902</v>
      </c>
      <c r="C1246" s="25" t="s">
        <v>2903</v>
      </c>
      <c r="D1246" s="26" t="n">
        <v>0.75</v>
      </c>
      <c r="E1246" s="27" t="n">
        <v>9.1249387366083</v>
      </c>
      <c r="F1246" s="27" t="n">
        <v>9.12496769150413</v>
      </c>
      <c r="G1246" s="25" t="s">
        <v>2844</v>
      </c>
      <c r="H1246" s="25" t="s">
        <v>2845</v>
      </c>
      <c r="I1246" s="25" t="n">
        <f aca="false">IFERROR(IF(INDEX(Documents!$C$5:$C$657,MATCH(H1246,Documents!$A$5:$A$657,0))="","",INDEX(Documents!$C$5:$C$657,MATCH(H1246,Documents!$A$5:$A$657,0))),"")</f>
        <v>2015</v>
      </c>
      <c r="J1246" s="25" t="str">
        <f aca="false">IFERROR(IF(INDEX(Documents!$D$5:$D$657,MATCH(H1246,Documents!$A$5:$A$657,0))="","",INDEX(Documents!$D$5:$D$657,MATCH(H1246,Documents!$A$5:$A$657,0))),"")</f>
        <v>Eur J Med Chem</v>
      </c>
      <c r="K1246" s="25" t="str">
        <f aca="false">IFERROR(IF(INDEX(Documents!$G$5:$G$657,MATCH(H1246,Documents!$A$5:$A$657,0))="","",INDEX(Documents!$G$5:$G$657,MATCH(H1246,Documents!$A$5:$A$657,0))),"")</f>
        <v>10.1016/j.ejmech.2015.01.054</v>
      </c>
      <c r="L1246" s="25" t="s">
        <v>1359</v>
      </c>
    </row>
    <row r="1247" customFormat="false" ht="15" hidden="false" customHeight="false" outlineLevel="0" collapsed="false">
      <c r="A1247" s="25" t="n">
        <v>15198639</v>
      </c>
      <c r="B1247" s="25" t="s">
        <v>2902</v>
      </c>
      <c r="C1247" s="25" t="s">
        <v>2903</v>
      </c>
      <c r="D1247" s="26" t="n">
        <v>0.7499</v>
      </c>
      <c r="E1247" s="27" t="n">
        <v>9.12499664639996</v>
      </c>
      <c r="F1247" s="27" t="n">
        <v>9.12496769150413</v>
      </c>
      <c r="G1247" s="25" t="s">
        <v>2844</v>
      </c>
      <c r="H1247" s="25" t="s">
        <v>2845</v>
      </c>
      <c r="I1247" s="25" t="n">
        <f aca="false">IFERROR(IF(INDEX(Documents!$C$5:$C$657,MATCH(H1247,Documents!$A$5:$A$657,0))="","",INDEX(Documents!$C$5:$C$657,MATCH(H1247,Documents!$A$5:$A$657,0))),"")</f>
        <v>2015</v>
      </c>
      <c r="J1247" s="25" t="str">
        <f aca="false">IFERROR(IF(INDEX(Documents!$D$5:$D$657,MATCH(H1247,Documents!$A$5:$A$657,0))="","",INDEX(Documents!$D$5:$D$657,MATCH(H1247,Documents!$A$5:$A$657,0))),"")</f>
        <v>Eur J Med Chem</v>
      </c>
      <c r="K1247" s="25" t="str">
        <f aca="false">IFERROR(IF(INDEX(Documents!$G$5:$G$657,MATCH(H1247,Documents!$A$5:$A$657,0))="","",INDEX(Documents!$G$5:$G$657,MATCH(H1247,Documents!$A$5:$A$657,0))),"")</f>
        <v>10.1016/j.ejmech.2015.01.054</v>
      </c>
      <c r="L1247" s="25" t="s">
        <v>1359</v>
      </c>
    </row>
    <row r="1248" customFormat="false" ht="15" hidden="false" customHeight="false" outlineLevel="0" collapsed="false">
      <c r="A1248" s="25" t="n">
        <v>15197366</v>
      </c>
      <c r="B1248" s="25" t="s">
        <v>2904</v>
      </c>
      <c r="C1248" s="25" t="s">
        <v>2905</v>
      </c>
      <c r="D1248" s="26" t="n">
        <v>0.22</v>
      </c>
      <c r="E1248" s="27" t="n">
        <v>9.65757731917779</v>
      </c>
      <c r="F1248" s="27" t="n">
        <v>9.65777481554516</v>
      </c>
      <c r="G1248" s="25" t="s">
        <v>2844</v>
      </c>
      <c r="H1248" s="25" t="s">
        <v>2845</v>
      </c>
      <c r="I1248" s="25" t="n">
        <f aca="false">IFERROR(IF(INDEX(Documents!$C$5:$C$657,MATCH(H1248,Documents!$A$5:$A$657,0))="","",INDEX(Documents!$C$5:$C$657,MATCH(H1248,Documents!$A$5:$A$657,0))),"")</f>
        <v>2015</v>
      </c>
      <c r="J1248" s="25" t="str">
        <f aca="false">IFERROR(IF(INDEX(Documents!$D$5:$D$657,MATCH(H1248,Documents!$A$5:$A$657,0))="","",INDEX(Documents!$D$5:$D$657,MATCH(H1248,Documents!$A$5:$A$657,0))),"")</f>
        <v>Eur J Med Chem</v>
      </c>
      <c r="K1248" s="25" t="str">
        <f aca="false">IFERROR(IF(INDEX(Documents!$G$5:$G$657,MATCH(H1248,Documents!$A$5:$A$657,0))="","",INDEX(Documents!$G$5:$G$657,MATCH(H1248,Documents!$A$5:$A$657,0))),"")</f>
        <v>10.1016/j.ejmech.2015.01.054</v>
      </c>
      <c r="L1248" s="25" t="s">
        <v>1359</v>
      </c>
    </row>
    <row r="1249" customFormat="false" ht="15" hidden="false" customHeight="false" outlineLevel="0" collapsed="false">
      <c r="A1249" s="25" t="n">
        <v>15198640</v>
      </c>
      <c r="B1249" s="25" t="s">
        <v>2904</v>
      </c>
      <c r="C1249" s="25" t="s">
        <v>2905</v>
      </c>
      <c r="D1249" s="26" t="n">
        <v>0.2198</v>
      </c>
      <c r="E1249" s="27" t="n">
        <v>9.65797231191253</v>
      </c>
      <c r="F1249" s="27" t="n">
        <v>9.65777481554516</v>
      </c>
      <c r="G1249" s="25" t="s">
        <v>2844</v>
      </c>
      <c r="H1249" s="25" t="s">
        <v>2845</v>
      </c>
      <c r="I1249" s="25" t="n">
        <f aca="false">IFERROR(IF(INDEX(Documents!$C$5:$C$657,MATCH(H1249,Documents!$A$5:$A$657,0))="","",INDEX(Documents!$C$5:$C$657,MATCH(H1249,Documents!$A$5:$A$657,0))),"")</f>
        <v>2015</v>
      </c>
      <c r="J1249" s="25" t="str">
        <f aca="false">IFERROR(IF(INDEX(Documents!$D$5:$D$657,MATCH(H1249,Documents!$A$5:$A$657,0))="","",INDEX(Documents!$D$5:$D$657,MATCH(H1249,Documents!$A$5:$A$657,0))),"")</f>
        <v>Eur J Med Chem</v>
      </c>
      <c r="K1249" s="25" t="str">
        <f aca="false">IFERROR(IF(INDEX(Documents!$G$5:$G$657,MATCH(H1249,Documents!$A$5:$A$657,0))="","",INDEX(Documents!$G$5:$G$657,MATCH(H1249,Documents!$A$5:$A$657,0))),"")</f>
        <v>10.1016/j.ejmech.2015.01.054</v>
      </c>
      <c r="L1249" s="25" t="s">
        <v>1359</v>
      </c>
    </row>
    <row r="1250" customFormat="false" ht="15" hidden="false" customHeight="false" outlineLevel="0" collapsed="false">
      <c r="A1250" s="25" t="n">
        <v>15197353</v>
      </c>
      <c r="B1250" s="25" t="s">
        <v>2906</v>
      </c>
      <c r="C1250" s="25" t="s">
        <v>2907</v>
      </c>
      <c r="D1250" s="26" t="n">
        <v>0.087</v>
      </c>
      <c r="E1250" s="27" t="n">
        <v>10.0604807473814</v>
      </c>
      <c r="F1250" s="27" t="n">
        <v>10.0607304854664</v>
      </c>
      <c r="G1250" s="25" t="s">
        <v>2844</v>
      </c>
      <c r="H1250" s="25" t="s">
        <v>2845</v>
      </c>
      <c r="I1250" s="25" t="n">
        <f aca="false">IFERROR(IF(INDEX(Documents!$C$5:$C$657,MATCH(H1250,Documents!$A$5:$A$657,0))="","",INDEX(Documents!$C$5:$C$657,MATCH(H1250,Documents!$A$5:$A$657,0))),"")</f>
        <v>2015</v>
      </c>
      <c r="J1250" s="25" t="str">
        <f aca="false">IFERROR(IF(INDEX(Documents!$D$5:$D$657,MATCH(H1250,Documents!$A$5:$A$657,0))="","",INDEX(Documents!$D$5:$D$657,MATCH(H1250,Documents!$A$5:$A$657,0))),"")</f>
        <v>Eur J Med Chem</v>
      </c>
      <c r="K1250" s="25" t="str">
        <f aca="false">IFERROR(IF(INDEX(Documents!$G$5:$G$657,MATCH(H1250,Documents!$A$5:$A$657,0))="","",INDEX(Documents!$G$5:$G$657,MATCH(H1250,Documents!$A$5:$A$657,0))),"")</f>
        <v>10.1016/j.ejmech.2015.01.054</v>
      </c>
      <c r="L1250" s="25" t="s">
        <v>1359</v>
      </c>
    </row>
    <row r="1251" customFormat="false" ht="15" hidden="false" customHeight="false" outlineLevel="0" collapsed="false">
      <c r="A1251" s="25" t="n">
        <v>15198627</v>
      </c>
      <c r="B1251" s="25" t="s">
        <v>2906</v>
      </c>
      <c r="C1251" s="25" t="s">
        <v>2907</v>
      </c>
      <c r="D1251" s="26" t="n">
        <v>0.0869</v>
      </c>
      <c r="E1251" s="27" t="n">
        <v>10.0609802235513</v>
      </c>
      <c r="F1251" s="27" t="n">
        <v>10.0607304854664</v>
      </c>
      <c r="G1251" s="25" t="s">
        <v>2844</v>
      </c>
      <c r="H1251" s="25" t="s">
        <v>2845</v>
      </c>
      <c r="I1251" s="25" t="n">
        <f aca="false">IFERROR(IF(INDEX(Documents!$C$5:$C$657,MATCH(H1251,Documents!$A$5:$A$657,0))="","",INDEX(Documents!$C$5:$C$657,MATCH(H1251,Documents!$A$5:$A$657,0))),"")</f>
        <v>2015</v>
      </c>
      <c r="J1251" s="25" t="str">
        <f aca="false">IFERROR(IF(INDEX(Documents!$D$5:$D$657,MATCH(H1251,Documents!$A$5:$A$657,0))="","",INDEX(Documents!$D$5:$D$657,MATCH(H1251,Documents!$A$5:$A$657,0))),"")</f>
        <v>Eur J Med Chem</v>
      </c>
      <c r="K1251" s="25" t="str">
        <f aca="false">IFERROR(IF(INDEX(Documents!$G$5:$G$657,MATCH(H1251,Documents!$A$5:$A$657,0))="","",INDEX(Documents!$G$5:$G$657,MATCH(H1251,Documents!$A$5:$A$657,0))),"")</f>
        <v>10.1016/j.ejmech.2015.01.054</v>
      </c>
      <c r="L1251" s="25" t="s">
        <v>1359</v>
      </c>
    </row>
    <row r="1252" customFormat="false" ht="15" hidden="false" customHeight="false" outlineLevel="0" collapsed="false">
      <c r="A1252" s="25" t="n">
        <v>15198622</v>
      </c>
      <c r="B1252" s="25" t="s">
        <v>2908</v>
      </c>
      <c r="C1252" s="25" t="s">
        <v>2909</v>
      </c>
      <c r="D1252" s="26" t="n">
        <v>4.8</v>
      </c>
      <c r="E1252" s="27" t="n">
        <v>8.31875876262441</v>
      </c>
      <c r="F1252" s="27" t="n">
        <v>8.31889452207926</v>
      </c>
      <c r="G1252" s="25" t="s">
        <v>2844</v>
      </c>
      <c r="H1252" s="25" t="s">
        <v>2845</v>
      </c>
      <c r="I1252" s="25" t="n">
        <f aca="false">IFERROR(IF(INDEX(Documents!$C$5:$C$657,MATCH(H1252,Documents!$A$5:$A$657,0))="","",INDEX(Documents!$C$5:$C$657,MATCH(H1252,Documents!$A$5:$A$657,0))),"")</f>
        <v>2015</v>
      </c>
      <c r="J1252" s="25" t="str">
        <f aca="false">IFERROR(IF(INDEX(Documents!$D$5:$D$657,MATCH(H1252,Documents!$A$5:$A$657,0))="","",INDEX(Documents!$D$5:$D$657,MATCH(H1252,Documents!$A$5:$A$657,0))),"")</f>
        <v>Eur J Med Chem</v>
      </c>
      <c r="K1252" s="25" t="str">
        <f aca="false">IFERROR(IF(INDEX(Documents!$G$5:$G$657,MATCH(H1252,Documents!$A$5:$A$657,0))="","",INDEX(Documents!$G$5:$G$657,MATCH(H1252,Documents!$A$5:$A$657,0))),"")</f>
        <v>10.1016/j.ejmech.2015.01.054</v>
      </c>
      <c r="L1252" s="25" t="s">
        <v>1359</v>
      </c>
    </row>
    <row r="1253" customFormat="false" ht="15" hidden="false" customHeight="false" outlineLevel="0" collapsed="false">
      <c r="A1253" s="25" t="n">
        <v>15198677</v>
      </c>
      <c r="B1253" s="25" t="s">
        <v>2908</v>
      </c>
      <c r="C1253" s="25" t="s">
        <v>2909</v>
      </c>
      <c r="D1253" s="26" t="n">
        <v>4.797</v>
      </c>
      <c r="E1253" s="27" t="n">
        <v>8.3190302815341</v>
      </c>
      <c r="F1253" s="27" t="n">
        <v>8.31889452207926</v>
      </c>
      <c r="G1253" s="25" t="s">
        <v>2844</v>
      </c>
      <c r="H1253" s="25" t="s">
        <v>2845</v>
      </c>
      <c r="I1253" s="25" t="n">
        <f aca="false">IFERROR(IF(INDEX(Documents!$C$5:$C$657,MATCH(H1253,Documents!$A$5:$A$657,0))="","",INDEX(Documents!$C$5:$C$657,MATCH(H1253,Documents!$A$5:$A$657,0))),"")</f>
        <v>2015</v>
      </c>
      <c r="J1253" s="25" t="str">
        <f aca="false">IFERROR(IF(INDEX(Documents!$D$5:$D$657,MATCH(H1253,Documents!$A$5:$A$657,0))="","",INDEX(Documents!$D$5:$D$657,MATCH(H1253,Documents!$A$5:$A$657,0))),"")</f>
        <v>Eur J Med Chem</v>
      </c>
      <c r="K1253" s="25" t="str">
        <f aca="false">IFERROR(IF(INDEX(Documents!$G$5:$G$657,MATCH(H1253,Documents!$A$5:$A$657,0))="","",INDEX(Documents!$G$5:$G$657,MATCH(H1253,Documents!$A$5:$A$657,0))),"")</f>
        <v>10.1016/j.ejmech.2015.01.054</v>
      </c>
      <c r="L1253" s="25" t="s">
        <v>1359</v>
      </c>
    </row>
    <row r="1254" customFormat="false" ht="15" hidden="false" customHeight="false" outlineLevel="0" collapsed="false">
      <c r="A1254" s="25" t="n">
        <v>15197376</v>
      </c>
      <c r="B1254" s="25" t="s">
        <v>2910</v>
      </c>
      <c r="C1254" s="25" t="s">
        <v>2911</v>
      </c>
      <c r="D1254" s="26" t="n">
        <v>44</v>
      </c>
      <c r="E1254" s="27" t="n">
        <v>7.35654732351381</v>
      </c>
      <c r="F1254" s="27" t="n">
        <v>7.35679422205201</v>
      </c>
      <c r="G1254" s="25" t="s">
        <v>2844</v>
      </c>
      <c r="H1254" s="25" t="s">
        <v>2845</v>
      </c>
      <c r="I1254" s="25" t="n">
        <f aca="false">IFERROR(IF(INDEX(Documents!$C$5:$C$657,MATCH(H1254,Documents!$A$5:$A$657,0))="","",INDEX(Documents!$C$5:$C$657,MATCH(H1254,Documents!$A$5:$A$657,0))),"")</f>
        <v>2015</v>
      </c>
      <c r="J1254" s="25" t="str">
        <f aca="false">IFERROR(IF(INDEX(Documents!$D$5:$D$657,MATCH(H1254,Documents!$A$5:$A$657,0))="","",INDEX(Documents!$D$5:$D$657,MATCH(H1254,Documents!$A$5:$A$657,0))),"")</f>
        <v>Eur J Med Chem</v>
      </c>
      <c r="K1254" s="25" t="str">
        <f aca="false">IFERROR(IF(INDEX(Documents!$G$5:$G$657,MATCH(H1254,Documents!$A$5:$A$657,0))="","",INDEX(Documents!$G$5:$G$657,MATCH(H1254,Documents!$A$5:$A$657,0))),"")</f>
        <v>10.1016/j.ejmech.2015.01.054</v>
      </c>
      <c r="L1254" s="25" t="s">
        <v>1359</v>
      </c>
    </row>
    <row r="1255" customFormat="false" ht="15" hidden="false" customHeight="false" outlineLevel="0" collapsed="false">
      <c r="A1255" s="25" t="n">
        <v>15198650</v>
      </c>
      <c r="B1255" s="25" t="s">
        <v>2910</v>
      </c>
      <c r="C1255" s="25" t="s">
        <v>2911</v>
      </c>
      <c r="D1255" s="26" t="n">
        <v>43.95</v>
      </c>
      <c r="E1255" s="27" t="n">
        <v>7.35704112059021</v>
      </c>
      <c r="F1255" s="27" t="n">
        <v>7.35679422205201</v>
      </c>
      <c r="G1255" s="25" t="s">
        <v>2844</v>
      </c>
      <c r="H1255" s="25" t="s">
        <v>2845</v>
      </c>
      <c r="I1255" s="25" t="n">
        <f aca="false">IFERROR(IF(INDEX(Documents!$C$5:$C$657,MATCH(H1255,Documents!$A$5:$A$657,0))="","",INDEX(Documents!$C$5:$C$657,MATCH(H1255,Documents!$A$5:$A$657,0))),"")</f>
        <v>2015</v>
      </c>
      <c r="J1255" s="25" t="str">
        <f aca="false">IFERROR(IF(INDEX(Documents!$D$5:$D$657,MATCH(H1255,Documents!$A$5:$A$657,0))="","",INDEX(Documents!$D$5:$D$657,MATCH(H1255,Documents!$A$5:$A$657,0))),"")</f>
        <v>Eur J Med Chem</v>
      </c>
      <c r="K1255" s="25" t="str">
        <f aca="false">IFERROR(IF(INDEX(Documents!$G$5:$G$657,MATCH(H1255,Documents!$A$5:$A$657,0))="","",INDEX(Documents!$G$5:$G$657,MATCH(H1255,Documents!$A$5:$A$657,0))),"")</f>
        <v>10.1016/j.ejmech.2015.01.054</v>
      </c>
      <c r="L1255" s="25" t="s">
        <v>1359</v>
      </c>
    </row>
    <row r="1256" customFormat="false" ht="15" hidden="false" customHeight="false" outlineLevel="0" collapsed="false">
      <c r="A1256" s="25" t="n">
        <v>15197354</v>
      </c>
      <c r="B1256" s="25" t="s">
        <v>2912</v>
      </c>
      <c r="C1256" s="25" t="s">
        <v>2913</v>
      </c>
      <c r="D1256" s="26" t="n">
        <v>18</v>
      </c>
      <c r="E1256" s="27" t="n">
        <v>7.74472749489669</v>
      </c>
      <c r="F1256" s="27" t="n">
        <v>7.74484816577557</v>
      </c>
      <c r="G1256" s="25" t="s">
        <v>2844</v>
      </c>
      <c r="H1256" s="25" t="s">
        <v>2845</v>
      </c>
      <c r="I1256" s="25" t="n">
        <f aca="false">IFERROR(IF(INDEX(Documents!$C$5:$C$657,MATCH(H1256,Documents!$A$5:$A$657,0))="","",INDEX(Documents!$C$5:$C$657,MATCH(H1256,Documents!$A$5:$A$657,0))),"")</f>
        <v>2015</v>
      </c>
      <c r="J1256" s="25" t="str">
        <f aca="false">IFERROR(IF(INDEX(Documents!$D$5:$D$657,MATCH(H1256,Documents!$A$5:$A$657,0))="","",INDEX(Documents!$D$5:$D$657,MATCH(H1256,Documents!$A$5:$A$657,0))),"")</f>
        <v>Eur J Med Chem</v>
      </c>
      <c r="K1256" s="25" t="str">
        <f aca="false">IFERROR(IF(INDEX(Documents!$G$5:$G$657,MATCH(H1256,Documents!$A$5:$A$657,0))="","",INDEX(Documents!$G$5:$G$657,MATCH(H1256,Documents!$A$5:$A$657,0))),"")</f>
        <v>10.1016/j.ejmech.2015.01.054</v>
      </c>
      <c r="L1256" s="25" t="s">
        <v>1359</v>
      </c>
    </row>
    <row r="1257" customFormat="false" ht="15" hidden="false" customHeight="false" outlineLevel="0" collapsed="false">
      <c r="A1257" s="25" t="n">
        <v>15198628</v>
      </c>
      <c r="B1257" s="25" t="s">
        <v>2912</v>
      </c>
      <c r="C1257" s="25" t="s">
        <v>2913</v>
      </c>
      <c r="D1257" s="26" t="n">
        <v>17.99</v>
      </c>
      <c r="E1257" s="27" t="n">
        <v>7.74496883665445</v>
      </c>
      <c r="F1257" s="27" t="n">
        <v>7.74484816577557</v>
      </c>
      <c r="G1257" s="25" t="s">
        <v>2844</v>
      </c>
      <c r="H1257" s="25" t="s">
        <v>2845</v>
      </c>
      <c r="I1257" s="25" t="n">
        <f aca="false">IFERROR(IF(INDEX(Documents!$C$5:$C$657,MATCH(H1257,Documents!$A$5:$A$657,0))="","",INDEX(Documents!$C$5:$C$657,MATCH(H1257,Documents!$A$5:$A$657,0))),"")</f>
        <v>2015</v>
      </c>
      <c r="J1257" s="25" t="str">
        <f aca="false">IFERROR(IF(INDEX(Documents!$D$5:$D$657,MATCH(H1257,Documents!$A$5:$A$657,0))="","",INDEX(Documents!$D$5:$D$657,MATCH(H1257,Documents!$A$5:$A$657,0))),"")</f>
        <v>Eur J Med Chem</v>
      </c>
      <c r="K1257" s="25" t="str">
        <f aca="false">IFERROR(IF(INDEX(Documents!$G$5:$G$657,MATCH(H1257,Documents!$A$5:$A$657,0))="","",INDEX(Documents!$G$5:$G$657,MATCH(H1257,Documents!$A$5:$A$657,0))),"")</f>
        <v>10.1016/j.ejmech.2015.01.054</v>
      </c>
      <c r="L1257" s="25" t="s">
        <v>1359</v>
      </c>
    </row>
    <row r="1258" customFormat="false" ht="15" hidden="false" customHeight="false" outlineLevel="0" collapsed="false">
      <c r="A1258" s="25" t="n">
        <v>15198617</v>
      </c>
      <c r="B1258" s="25" t="s">
        <v>2914</v>
      </c>
      <c r="C1258" s="25" t="s">
        <v>2915</v>
      </c>
      <c r="D1258" s="26" t="n">
        <v>2.5</v>
      </c>
      <c r="E1258" s="27" t="n">
        <v>8.60205999132796</v>
      </c>
      <c r="F1258" s="27" t="n">
        <v>8.60205999132796</v>
      </c>
      <c r="G1258" s="25" t="s">
        <v>2844</v>
      </c>
      <c r="H1258" s="25" t="s">
        <v>2845</v>
      </c>
      <c r="I1258" s="25" t="n">
        <f aca="false">IFERROR(IF(INDEX(Documents!$C$5:$C$657,MATCH(H1258,Documents!$A$5:$A$657,0))="","",INDEX(Documents!$C$5:$C$657,MATCH(H1258,Documents!$A$5:$A$657,0))),"")</f>
        <v>2015</v>
      </c>
      <c r="J1258" s="25" t="str">
        <f aca="false">IFERROR(IF(INDEX(Documents!$D$5:$D$657,MATCH(H1258,Documents!$A$5:$A$657,0))="","",INDEX(Documents!$D$5:$D$657,MATCH(H1258,Documents!$A$5:$A$657,0))),"")</f>
        <v>Eur J Med Chem</v>
      </c>
      <c r="K1258" s="25" t="str">
        <f aca="false">IFERROR(IF(INDEX(Documents!$G$5:$G$657,MATCH(H1258,Documents!$A$5:$A$657,0))="","",INDEX(Documents!$G$5:$G$657,MATCH(H1258,Documents!$A$5:$A$657,0))),"")</f>
        <v>10.1016/j.ejmech.2015.01.054</v>
      </c>
      <c r="L1258" s="25" t="s">
        <v>1359</v>
      </c>
    </row>
    <row r="1259" customFormat="false" ht="15" hidden="false" customHeight="false" outlineLevel="0" collapsed="false">
      <c r="A1259" s="25" t="n">
        <v>15198672</v>
      </c>
      <c r="B1259" s="25" t="s">
        <v>2914</v>
      </c>
      <c r="C1259" s="25" t="s">
        <v>2915</v>
      </c>
      <c r="D1259" s="26" t="n">
        <v>2.5</v>
      </c>
      <c r="E1259" s="27" t="n">
        <v>8.60205999132796</v>
      </c>
      <c r="F1259" s="27" t="n">
        <v>8.60205999132796</v>
      </c>
      <c r="G1259" s="25" t="s">
        <v>2844</v>
      </c>
      <c r="H1259" s="25" t="s">
        <v>2845</v>
      </c>
      <c r="I1259" s="25" t="n">
        <f aca="false">IFERROR(IF(INDEX(Documents!$C$5:$C$657,MATCH(H1259,Documents!$A$5:$A$657,0))="","",INDEX(Documents!$C$5:$C$657,MATCH(H1259,Documents!$A$5:$A$657,0))),"")</f>
        <v>2015</v>
      </c>
      <c r="J1259" s="25" t="str">
        <f aca="false">IFERROR(IF(INDEX(Documents!$D$5:$D$657,MATCH(H1259,Documents!$A$5:$A$657,0))="","",INDEX(Documents!$D$5:$D$657,MATCH(H1259,Documents!$A$5:$A$657,0))),"")</f>
        <v>Eur J Med Chem</v>
      </c>
      <c r="K1259" s="25" t="str">
        <f aca="false">IFERROR(IF(INDEX(Documents!$G$5:$G$657,MATCH(H1259,Documents!$A$5:$A$657,0))="","",INDEX(Documents!$G$5:$G$657,MATCH(H1259,Documents!$A$5:$A$657,0))),"")</f>
        <v>10.1016/j.ejmech.2015.01.054</v>
      </c>
      <c r="L1259" s="25" t="s">
        <v>1359</v>
      </c>
    </row>
    <row r="1260" customFormat="false" ht="15" hidden="false" customHeight="false" outlineLevel="0" collapsed="false">
      <c r="A1260" s="25" t="n">
        <v>15197355</v>
      </c>
      <c r="B1260" s="25" t="s">
        <v>2916</v>
      </c>
      <c r="C1260" s="25" t="s">
        <v>2917</v>
      </c>
      <c r="D1260" s="26" t="n">
        <v>73</v>
      </c>
      <c r="E1260" s="27" t="n">
        <v>7.13667713987954</v>
      </c>
      <c r="F1260" s="27" t="n">
        <v>7.13682592182504</v>
      </c>
      <c r="G1260" s="25" t="s">
        <v>2844</v>
      </c>
      <c r="H1260" s="25" t="s">
        <v>2845</v>
      </c>
      <c r="I1260" s="25" t="n">
        <f aca="false">IFERROR(IF(INDEX(Documents!$C$5:$C$657,MATCH(H1260,Documents!$A$5:$A$657,0))="","",INDEX(Documents!$C$5:$C$657,MATCH(H1260,Documents!$A$5:$A$657,0))),"")</f>
        <v>2015</v>
      </c>
      <c r="J1260" s="25" t="str">
        <f aca="false">IFERROR(IF(INDEX(Documents!$D$5:$D$657,MATCH(H1260,Documents!$A$5:$A$657,0))="","",INDEX(Documents!$D$5:$D$657,MATCH(H1260,Documents!$A$5:$A$657,0))),"")</f>
        <v>Eur J Med Chem</v>
      </c>
      <c r="K1260" s="25" t="str">
        <f aca="false">IFERROR(IF(INDEX(Documents!$G$5:$G$657,MATCH(H1260,Documents!$A$5:$A$657,0))="","",INDEX(Documents!$G$5:$G$657,MATCH(H1260,Documents!$A$5:$A$657,0))),"")</f>
        <v>10.1016/j.ejmech.2015.01.054</v>
      </c>
      <c r="L1260" s="25" t="s">
        <v>1359</v>
      </c>
    </row>
    <row r="1261" customFormat="false" ht="15" hidden="false" customHeight="false" outlineLevel="0" collapsed="false">
      <c r="A1261" s="25" t="n">
        <v>15198629</v>
      </c>
      <c r="B1261" s="25" t="s">
        <v>2916</v>
      </c>
      <c r="C1261" s="25" t="s">
        <v>2917</v>
      </c>
      <c r="D1261" s="26" t="n">
        <v>72.95</v>
      </c>
      <c r="E1261" s="27" t="n">
        <v>7.13697470377053</v>
      </c>
      <c r="F1261" s="27" t="n">
        <v>7.13682592182504</v>
      </c>
      <c r="G1261" s="25" t="s">
        <v>2844</v>
      </c>
      <c r="H1261" s="25" t="s">
        <v>2845</v>
      </c>
      <c r="I1261" s="25" t="n">
        <f aca="false">IFERROR(IF(INDEX(Documents!$C$5:$C$657,MATCH(H1261,Documents!$A$5:$A$657,0))="","",INDEX(Documents!$C$5:$C$657,MATCH(H1261,Documents!$A$5:$A$657,0))),"")</f>
        <v>2015</v>
      </c>
      <c r="J1261" s="25" t="str">
        <f aca="false">IFERROR(IF(INDEX(Documents!$D$5:$D$657,MATCH(H1261,Documents!$A$5:$A$657,0))="","",INDEX(Documents!$D$5:$D$657,MATCH(H1261,Documents!$A$5:$A$657,0))),"")</f>
        <v>Eur J Med Chem</v>
      </c>
      <c r="K1261" s="25" t="str">
        <f aca="false">IFERROR(IF(INDEX(Documents!$G$5:$G$657,MATCH(H1261,Documents!$A$5:$A$657,0))="","",INDEX(Documents!$G$5:$G$657,MATCH(H1261,Documents!$A$5:$A$657,0))),"")</f>
        <v>10.1016/j.ejmech.2015.01.054</v>
      </c>
      <c r="L1261" s="25" t="s">
        <v>1359</v>
      </c>
    </row>
    <row r="1262" customFormat="false" ht="15" hidden="false" customHeight="false" outlineLevel="0" collapsed="false">
      <c r="A1262" s="25" t="n">
        <v>15198631</v>
      </c>
      <c r="B1262" s="25" t="s">
        <v>2918</v>
      </c>
      <c r="C1262" s="25" t="s">
        <v>2919</v>
      </c>
      <c r="D1262" s="26" t="n">
        <v>1.901</v>
      </c>
      <c r="E1262" s="27" t="n">
        <v>8.72101788313456</v>
      </c>
      <c r="F1262" s="27" t="n">
        <v>8.72113214109086</v>
      </c>
      <c r="G1262" s="25" t="s">
        <v>2844</v>
      </c>
      <c r="H1262" s="25" t="s">
        <v>2845</v>
      </c>
      <c r="I1262" s="25" t="n">
        <f aca="false">IFERROR(IF(INDEX(Documents!$C$5:$C$657,MATCH(H1262,Documents!$A$5:$A$657,0))="","",INDEX(Documents!$C$5:$C$657,MATCH(H1262,Documents!$A$5:$A$657,0))),"")</f>
        <v>2015</v>
      </c>
      <c r="J1262" s="25" t="str">
        <f aca="false">IFERROR(IF(INDEX(Documents!$D$5:$D$657,MATCH(H1262,Documents!$A$5:$A$657,0))="","",INDEX(Documents!$D$5:$D$657,MATCH(H1262,Documents!$A$5:$A$657,0))),"")</f>
        <v>Eur J Med Chem</v>
      </c>
      <c r="K1262" s="25" t="str">
        <f aca="false">IFERROR(IF(INDEX(Documents!$G$5:$G$657,MATCH(H1262,Documents!$A$5:$A$657,0))="","",INDEX(Documents!$G$5:$G$657,MATCH(H1262,Documents!$A$5:$A$657,0))),"")</f>
        <v>10.1016/j.ejmech.2015.01.054</v>
      </c>
      <c r="L1262" s="25" t="s">
        <v>1359</v>
      </c>
    </row>
    <row r="1263" customFormat="false" ht="15" hidden="false" customHeight="false" outlineLevel="0" collapsed="false">
      <c r="A1263" s="25" t="n">
        <v>15197357</v>
      </c>
      <c r="B1263" s="25" t="s">
        <v>2918</v>
      </c>
      <c r="C1263" s="25" t="s">
        <v>2919</v>
      </c>
      <c r="D1263" s="26" t="n">
        <v>1.9</v>
      </c>
      <c r="E1263" s="27" t="n">
        <v>8.72124639904717</v>
      </c>
      <c r="F1263" s="27" t="n">
        <v>8.72113214109086</v>
      </c>
      <c r="G1263" s="25" t="s">
        <v>2844</v>
      </c>
      <c r="H1263" s="25" t="s">
        <v>2845</v>
      </c>
      <c r="I1263" s="25" t="n">
        <f aca="false">IFERROR(IF(INDEX(Documents!$C$5:$C$657,MATCH(H1263,Documents!$A$5:$A$657,0))="","",INDEX(Documents!$C$5:$C$657,MATCH(H1263,Documents!$A$5:$A$657,0))),"")</f>
        <v>2015</v>
      </c>
      <c r="J1263" s="25" t="str">
        <f aca="false">IFERROR(IF(INDEX(Documents!$D$5:$D$657,MATCH(H1263,Documents!$A$5:$A$657,0))="","",INDEX(Documents!$D$5:$D$657,MATCH(H1263,Documents!$A$5:$A$657,0))),"")</f>
        <v>Eur J Med Chem</v>
      </c>
      <c r="K1263" s="25" t="str">
        <f aca="false">IFERROR(IF(INDEX(Documents!$G$5:$G$657,MATCH(H1263,Documents!$A$5:$A$657,0))="","",INDEX(Documents!$G$5:$G$657,MATCH(H1263,Documents!$A$5:$A$657,0))),"")</f>
        <v>10.1016/j.ejmech.2015.01.054</v>
      </c>
      <c r="L1263" s="25" t="s">
        <v>1359</v>
      </c>
    </row>
    <row r="1264" customFormat="false" ht="15" hidden="false" customHeight="false" outlineLevel="0" collapsed="false">
      <c r="A1264" s="25" t="n">
        <v>15197356</v>
      </c>
      <c r="B1264" s="25" t="s">
        <v>2920</v>
      </c>
      <c r="C1264" s="25" t="s">
        <v>2921</v>
      </c>
      <c r="D1264" s="26" t="n">
        <v>0.44</v>
      </c>
      <c r="E1264" s="27" t="n">
        <v>9.35654732351381</v>
      </c>
      <c r="F1264" s="27" t="n">
        <v>9.35679422205201</v>
      </c>
      <c r="G1264" s="25" t="s">
        <v>2844</v>
      </c>
      <c r="H1264" s="25" t="s">
        <v>2845</v>
      </c>
      <c r="I1264" s="25" t="n">
        <f aca="false">IFERROR(IF(INDEX(Documents!$C$5:$C$657,MATCH(H1264,Documents!$A$5:$A$657,0))="","",INDEX(Documents!$C$5:$C$657,MATCH(H1264,Documents!$A$5:$A$657,0))),"")</f>
        <v>2015</v>
      </c>
      <c r="J1264" s="25" t="str">
        <f aca="false">IFERROR(IF(INDEX(Documents!$D$5:$D$657,MATCH(H1264,Documents!$A$5:$A$657,0))="","",INDEX(Documents!$D$5:$D$657,MATCH(H1264,Documents!$A$5:$A$657,0))),"")</f>
        <v>Eur J Med Chem</v>
      </c>
      <c r="K1264" s="25" t="str">
        <f aca="false">IFERROR(IF(INDEX(Documents!$G$5:$G$657,MATCH(H1264,Documents!$A$5:$A$657,0))="","",INDEX(Documents!$G$5:$G$657,MATCH(H1264,Documents!$A$5:$A$657,0))),"")</f>
        <v>10.1016/j.ejmech.2015.01.054</v>
      </c>
      <c r="L1264" s="25" t="s">
        <v>1359</v>
      </c>
    </row>
    <row r="1265" customFormat="false" ht="15" hidden="false" customHeight="false" outlineLevel="0" collapsed="false">
      <c r="A1265" s="25" t="n">
        <v>15198630</v>
      </c>
      <c r="B1265" s="25" t="s">
        <v>2920</v>
      </c>
      <c r="C1265" s="25" t="s">
        <v>2921</v>
      </c>
      <c r="D1265" s="26" t="n">
        <v>0.4395</v>
      </c>
      <c r="E1265" s="27" t="n">
        <v>9.35704112059021</v>
      </c>
      <c r="F1265" s="27" t="n">
        <v>9.35679422205201</v>
      </c>
      <c r="G1265" s="25" t="s">
        <v>2844</v>
      </c>
      <c r="H1265" s="25" t="s">
        <v>2845</v>
      </c>
      <c r="I1265" s="25" t="n">
        <f aca="false">IFERROR(IF(INDEX(Documents!$C$5:$C$657,MATCH(H1265,Documents!$A$5:$A$657,0))="","",INDEX(Documents!$C$5:$C$657,MATCH(H1265,Documents!$A$5:$A$657,0))),"")</f>
        <v>2015</v>
      </c>
      <c r="J1265" s="25" t="str">
        <f aca="false">IFERROR(IF(INDEX(Documents!$D$5:$D$657,MATCH(H1265,Documents!$A$5:$A$657,0))="","",INDEX(Documents!$D$5:$D$657,MATCH(H1265,Documents!$A$5:$A$657,0))),"")</f>
        <v>Eur J Med Chem</v>
      </c>
      <c r="K1265" s="25" t="str">
        <f aca="false">IFERROR(IF(INDEX(Documents!$G$5:$G$657,MATCH(H1265,Documents!$A$5:$A$657,0))="","",INDEX(Documents!$G$5:$G$657,MATCH(H1265,Documents!$A$5:$A$657,0))),"")</f>
        <v>10.1016/j.ejmech.2015.01.054</v>
      </c>
      <c r="L1265" s="25" t="s">
        <v>1359</v>
      </c>
    </row>
    <row r="1266" customFormat="false" ht="15" hidden="false" customHeight="false" outlineLevel="0" collapsed="false">
      <c r="A1266" s="25" t="n">
        <v>10890220</v>
      </c>
      <c r="B1266" s="25" t="s">
        <v>2922</v>
      </c>
      <c r="C1266" s="25" t="s">
        <v>2923</v>
      </c>
      <c r="D1266" s="26" t="n">
        <v>19</v>
      </c>
      <c r="E1266" s="27" t="n">
        <v>7.72124639904717</v>
      </c>
      <c r="F1266" s="27" t="n">
        <v>7.72124639904717</v>
      </c>
      <c r="G1266" s="25" t="s">
        <v>2924</v>
      </c>
      <c r="H1266" s="25" t="s">
        <v>2925</v>
      </c>
      <c r="I1266" s="25" t="n">
        <f aca="false">IFERROR(IF(INDEX(Documents!$C$5:$C$657,MATCH(H1266,Documents!$A$5:$A$657,0))="","",INDEX(Documents!$C$5:$C$657,MATCH(H1266,Documents!$A$5:$A$657,0))),"")</f>
        <v>2012</v>
      </c>
      <c r="J1266" s="25" t="str">
        <f aca="false">IFERROR(IF(INDEX(Documents!$D$5:$D$657,MATCH(H1266,Documents!$A$5:$A$657,0))="","",INDEX(Documents!$D$5:$D$657,MATCH(H1266,Documents!$A$5:$A$657,0))),"")</f>
        <v>Bioorg Med Chem Lett</v>
      </c>
      <c r="K1266" s="25" t="str">
        <f aca="false">IFERROR(IF(INDEX(Documents!$G$5:$G$657,MATCH(H1266,Documents!$A$5:$A$657,0))="","",INDEX(Documents!$G$5:$G$657,MATCH(H1266,Documents!$A$5:$A$657,0))),"")</f>
        <v>10.1016/j.bmcl.2012.04.128</v>
      </c>
      <c r="L1266" s="25" t="s">
        <v>515</v>
      </c>
    </row>
    <row r="1267" customFormat="false" ht="15" hidden="false" customHeight="false" outlineLevel="0" collapsed="false">
      <c r="A1267" s="25" t="n">
        <v>15197382</v>
      </c>
      <c r="B1267" s="25" t="s">
        <v>2926</v>
      </c>
      <c r="C1267" s="25" t="s">
        <v>2927</v>
      </c>
      <c r="D1267" s="26" t="n">
        <v>0.11</v>
      </c>
      <c r="E1267" s="27" t="n">
        <v>9.95860731484178</v>
      </c>
      <c r="F1267" s="27" t="n">
        <v>9.95880481120914</v>
      </c>
      <c r="G1267" s="25" t="s">
        <v>2844</v>
      </c>
      <c r="H1267" s="25" t="s">
        <v>2845</v>
      </c>
      <c r="I1267" s="25" t="n">
        <f aca="false">IFERROR(IF(INDEX(Documents!$C$5:$C$657,MATCH(H1267,Documents!$A$5:$A$657,0))="","",INDEX(Documents!$C$5:$C$657,MATCH(H1267,Documents!$A$5:$A$657,0))),"")</f>
        <v>2015</v>
      </c>
      <c r="J1267" s="25" t="str">
        <f aca="false">IFERROR(IF(INDEX(Documents!$D$5:$D$657,MATCH(H1267,Documents!$A$5:$A$657,0))="","",INDEX(Documents!$D$5:$D$657,MATCH(H1267,Documents!$A$5:$A$657,0))),"")</f>
        <v>Eur J Med Chem</v>
      </c>
      <c r="K1267" s="25" t="str">
        <f aca="false">IFERROR(IF(INDEX(Documents!$G$5:$G$657,MATCH(H1267,Documents!$A$5:$A$657,0))="","",INDEX(Documents!$G$5:$G$657,MATCH(H1267,Documents!$A$5:$A$657,0))),"")</f>
        <v>10.1016/j.ejmech.2015.01.054</v>
      </c>
      <c r="L1267" s="25" t="s">
        <v>1359</v>
      </c>
    </row>
    <row r="1268" customFormat="false" ht="15" hidden="false" customHeight="false" outlineLevel="0" collapsed="false">
      <c r="A1268" s="25" t="n">
        <v>15198656</v>
      </c>
      <c r="B1268" s="25" t="s">
        <v>2926</v>
      </c>
      <c r="C1268" s="25" t="s">
        <v>2927</v>
      </c>
      <c r="D1268" s="26" t="n">
        <v>0.1099</v>
      </c>
      <c r="E1268" s="27" t="n">
        <v>9.95900230757651</v>
      </c>
      <c r="F1268" s="27" t="n">
        <v>9.95880481120914</v>
      </c>
      <c r="G1268" s="25" t="s">
        <v>2844</v>
      </c>
      <c r="H1268" s="25" t="s">
        <v>2845</v>
      </c>
      <c r="I1268" s="25" t="n">
        <f aca="false">IFERROR(IF(INDEX(Documents!$C$5:$C$657,MATCH(H1268,Documents!$A$5:$A$657,0))="","",INDEX(Documents!$C$5:$C$657,MATCH(H1268,Documents!$A$5:$A$657,0))),"")</f>
        <v>2015</v>
      </c>
      <c r="J1268" s="25" t="str">
        <f aca="false">IFERROR(IF(INDEX(Documents!$D$5:$D$657,MATCH(H1268,Documents!$A$5:$A$657,0))="","",INDEX(Documents!$D$5:$D$657,MATCH(H1268,Documents!$A$5:$A$657,0))),"")</f>
        <v>Eur J Med Chem</v>
      </c>
      <c r="K1268" s="25" t="str">
        <f aca="false">IFERROR(IF(INDEX(Documents!$G$5:$G$657,MATCH(H1268,Documents!$A$5:$A$657,0))="","",INDEX(Documents!$G$5:$G$657,MATCH(H1268,Documents!$A$5:$A$657,0))),"")</f>
        <v>10.1016/j.ejmech.2015.01.054</v>
      </c>
      <c r="L1268" s="25" t="s">
        <v>1359</v>
      </c>
    </row>
    <row r="1269" customFormat="false" ht="15" hidden="false" customHeight="false" outlineLevel="0" collapsed="false">
      <c r="A1269" s="25" t="n">
        <v>15197358</v>
      </c>
      <c r="B1269" s="25" t="s">
        <v>2928</v>
      </c>
      <c r="C1269" s="25" t="s">
        <v>2929</v>
      </c>
      <c r="D1269" s="26" t="n">
        <v>0.026</v>
      </c>
      <c r="E1269" s="27" t="n">
        <v>10.5850266520292</v>
      </c>
      <c r="F1269" s="27" t="n">
        <v>10.5850266520292</v>
      </c>
      <c r="G1269" s="25" t="s">
        <v>2844</v>
      </c>
      <c r="H1269" s="25" t="s">
        <v>2845</v>
      </c>
      <c r="I1269" s="25" t="n">
        <f aca="false">IFERROR(IF(INDEX(Documents!$C$5:$C$657,MATCH(H1269,Documents!$A$5:$A$657,0))="","",INDEX(Documents!$C$5:$C$657,MATCH(H1269,Documents!$A$5:$A$657,0))),"")</f>
        <v>2015</v>
      </c>
      <c r="J1269" s="25" t="str">
        <f aca="false">IFERROR(IF(INDEX(Documents!$D$5:$D$657,MATCH(H1269,Documents!$A$5:$A$657,0))="","",INDEX(Documents!$D$5:$D$657,MATCH(H1269,Documents!$A$5:$A$657,0))),"")</f>
        <v>Eur J Med Chem</v>
      </c>
      <c r="K1269" s="25" t="str">
        <f aca="false">IFERROR(IF(INDEX(Documents!$G$5:$G$657,MATCH(H1269,Documents!$A$5:$A$657,0))="","",INDEX(Documents!$G$5:$G$657,MATCH(H1269,Documents!$A$5:$A$657,0))),"")</f>
        <v>10.1016/j.ejmech.2015.01.054</v>
      </c>
      <c r="L1269" s="25" t="s">
        <v>1359</v>
      </c>
    </row>
    <row r="1270" customFormat="false" ht="15" hidden="false" customHeight="false" outlineLevel="0" collapsed="false">
      <c r="A1270" s="25" t="n">
        <v>15198632</v>
      </c>
      <c r="B1270" s="25" t="s">
        <v>2928</v>
      </c>
      <c r="C1270" s="25" t="s">
        <v>2929</v>
      </c>
      <c r="D1270" s="26" t="n">
        <v>0.026</v>
      </c>
      <c r="E1270" s="27" t="n">
        <v>10.5850266520292</v>
      </c>
      <c r="F1270" s="27" t="n">
        <v>10.5850266520292</v>
      </c>
      <c r="G1270" s="25" t="s">
        <v>2844</v>
      </c>
      <c r="H1270" s="25" t="s">
        <v>2845</v>
      </c>
      <c r="I1270" s="25" t="n">
        <f aca="false">IFERROR(IF(INDEX(Documents!$C$5:$C$657,MATCH(H1270,Documents!$A$5:$A$657,0))="","",INDEX(Documents!$C$5:$C$657,MATCH(H1270,Documents!$A$5:$A$657,0))),"")</f>
        <v>2015</v>
      </c>
      <c r="J1270" s="25" t="str">
        <f aca="false">IFERROR(IF(INDEX(Documents!$D$5:$D$657,MATCH(H1270,Documents!$A$5:$A$657,0))="","",INDEX(Documents!$D$5:$D$657,MATCH(H1270,Documents!$A$5:$A$657,0))),"")</f>
        <v>Eur J Med Chem</v>
      </c>
      <c r="K1270" s="25" t="str">
        <f aca="false">IFERROR(IF(INDEX(Documents!$G$5:$G$657,MATCH(H1270,Documents!$A$5:$A$657,0))="","",INDEX(Documents!$G$5:$G$657,MATCH(H1270,Documents!$A$5:$A$657,0))),"")</f>
        <v>10.1016/j.ejmech.2015.01.054</v>
      </c>
      <c r="L1270" s="25" t="s">
        <v>1359</v>
      </c>
    </row>
    <row r="1271" customFormat="false" ht="15" hidden="false" customHeight="false" outlineLevel="0" collapsed="false">
      <c r="A1271" s="25" t="n">
        <v>6309535</v>
      </c>
      <c r="B1271" s="25" t="s">
        <v>2930</v>
      </c>
      <c r="C1271" s="25" t="s">
        <v>2931</v>
      </c>
      <c r="D1271" s="26" t="n">
        <v>60</v>
      </c>
      <c r="E1271" s="27" t="n">
        <v>7.22184874961636</v>
      </c>
      <c r="F1271" s="27" t="n">
        <v>7.22184874961636</v>
      </c>
      <c r="G1271" s="25" t="s">
        <v>1917</v>
      </c>
      <c r="H1271" s="25" t="s">
        <v>1918</v>
      </c>
      <c r="I1271" s="25" t="n">
        <f aca="false">IFERROR(IF(INDEX(Documents!$C$5:$C$657,MATCH(H1271,Documents!$A$5:$A$657,0))="","",INDEX(Documents!$C$5:$C$657,MATCH(H1271,Documents!$A$5:$A$657,0))),"")</f>
        <v>2011</v>
      </c>
      <c r="J1271" s="25" t="str">
        <f aca="false">IFERROR(IF(INDEX(Documents!$D$5:$D$657,MATCH(H1271,Documents!$A$5:$A$657,0))="","",INDEX(Documents!$D$5:$D$657,MATCH(H1271,Documents!$A$5:$A$657,0))),"")</f>
        <v>J Med Chem</v>
      </c>
      <c r="K1271" s="25" t="str">
        <f aca="false">IFERROR(IF(INDEX(Documents!$G$5:$G$657,MATCH(H1271,Documents!$A$5:$A$657,0))="","",INDEX(Documents!$G$5:$G$657,MATCH(H1271,Documents!$A$5:$A$657,0))),"")</f>
        <v>10.1021/jm200476p</v>
      </c>
      <c r="L1271" s="25" t="s">
        <v>676</v>
      </c>
    </row>
    <row r="1272" customFormat="false" ht="15" hidden="false" customHeight="false" outlineLevel="0" collapsed="false">
      <c r="A1272" s="25" t="n">
        <v>13404993</v>
      </c>
      <c r="B1272" s="25" t="s">
        <v>2932</v>
      </c>
      <c r="C1272" s="25" t="s">
        <v>2933</v>
      </c>
      <c r="D1272" s="26" t="n">
        <v>33</v>
      </c>
      <c r="E1272" s="27" t="n">
        <v>7.48148606012211</v>
      </c>
      <c r="F1272" s="27" t="n">
        <v>7.5685468932185</v>
      </c>
      <c r="G1272" s="25" t="s">
        <v>2934</v>
      </c>
      <c r="H1272" s="25" t="s">
        <v>2693</v>
      </c>
      <c r="I1272" s="25" t="n">
        <f aca="false">IFERROR(IF(INDEX(Documents!$C$5:$C$657,MATCH(H1272,Documents!$A$5:$A$657,0))="","",INDEX(Documents!$C$5:$C$657,MATCH(H1272,Documents!$A$5:$A$657,0))),"")</f>
        <v>2013</v>
      </c>
      <c r="J1272" s="25" t="str">
        <f aca="false">IFERROR(IF(INDEX(Documents!$D$5:$D$657,MATCH(H1272,Documents!$A$5:$A$657,0))="","",INDEX(Documents!$D$5:$D$657,MATCH(H1272,Documents!$A$5:$A$657,0))),"")</f>
        <v>Bioorg Med Chem</v>
      </c>
      <c r="K1272" s="25" t="str">
        <f aca="false">IFERROR(IF(INDEX(Documents!$G$5:$G$657,MATCH(H1272,Documents!$A$5:$A$657,0))="","",INDEX(Documents!$G$5:$G$657,MATCH(H1272,Documents!$A$5:$A$657,0))),"")</f>
        <v>10.1016/j.bmc.2013.06.010</v>
      </c>
      <c r="L1272" s="25" t="s">
        <v>2935</v>
      </c>
    </row>
    <row r="1273" customFormat="false" ht="15" hidden="false" customHeight="false" outlineLevel="0" collapsed="false">
      <c r="A1273" s="25" t="n">
        <v>13405008</v>
      </c>
      <c r="B1273" s="25" t="s">
        <v>2932</v>
      </c>
      <c r="C1273" s="25" t="s">
        <v>2933</v>
      </c>
      <c r="D1273" s="26" t="n">
        <v>22.1</v>
      </c>
      <c r="E1273" s="27" t="n">
        <v>7.65560772631489</v>
      </c>
      <c r="F1273" s="27" t="n">
        <v>7.5685468932185</v>
      </c>
      <c r="G1273" s="25" t="s">
        <v>2692</v>
      </c>
      <c r="H1273" s="25" t="s">
        <v>2693</v>
      </c>
      <c r="I1273" s="25" t="n">
        <f aca="false">IFERROR(IF(INDEX(Documents!$C$5:$C$657,MATCH(H1273,Documents!$A$5:$A$657,0))="","",INDEX(Documents!$C$5:$C$657,MATCH(H1273,Documents!$A$5:$A$657,0))),"")</f>
        <v>2013</v>
      </c>
      <c r="J1273" s="25" t="str">
        <f aca="false">IFERROR(IF(INDEX(Documents!$D$5:$D$657,MATCH(H1273,Documents!$A$5:$A$657,0))="","",INDEX(Documents!$D$5:$D$657,MATCH(H1273,Documents!$A$5:$A$657,0))),"")</f>
        <v>Bioorg Med Chem</v>
      </c>
      <c r="K1273" s="25" t="str">
        <f aca="false">IFERROR(IF(INDEX(Documents!$G$5:$G$657,MATCH(H1273,Documents!$A$5:$A$657,0))="","",INDEX(Documents!$G$5:$G$657,MATCH(H1273,Documents!$A$5:$A$657,0))),"")</f>
        <v>10.1016/j.bmc.2013.06.010</v>
      </c>
      <c r="L1273" s="25" t="s">
        <v>2694</v>
      </c>
    </row>
    <row r="1274" customFormat="false" ht="15" hidden="false" customHeight="false" outlineLevel="0" collapsed="false">
      <c r="A1274" s="25" t="n">
        <v>13405027</v>
      </c>
      <c r="B1274" s="25" t="s">
        <v>2936</v>
      </c>
      <c r="C1274" s="25" t="s">
        <v>2937</v>
      </c>
      <c r="D1274" s="26" t="n">
        <v>36</v>
      </c>
      <c r="E1274" s="27" t="n">
        <v>7.44369749923271</v>
      </c>
      <c r="F1274" s="27" t="n">
        <v>7.44369749923271</v>
      </c>
      <c r="G1274" s="25" t="s">
        <v>2692</v>
      </c>
      <c r="H1274" s="25" t="s">
        <v>2693</v>
      </c>
      <c r="I1274" s="25" t="n">
        <f aca="false">IFERROR(IF(INDEX(Documents!$C$5:$C$657,MATCH(H1274,Documents!$A$5:$A$657,0))="","",INDEX(Documents!$C$5:$C$657,MATCH(H1274,Documents!$A$5:$A$657,0))),"")</f>
        <v>2013</v>
      </c>
      <c r="J1274" s="25" t="str">
        <f aca="false">IFERROR(IF(INDEX(Documents!$D$5:$D$657,MATCH(H1274,Documents!$A$5:$A$657,0))="","",INDEX(Documents!$D$5:$D$657,MATCH(H1274,Documents!$A$5:$A$657,0))),"")</f>
        <v>Bioorg Med Chem</v>
      </c>
      <c r="K1274" s="25" t="str">
        <f aca="false">IFERROR(IF(INDEX(Documents!$G$5:$G$657,MATCH(H1274,Documents!$A$5:$A$657,0))="","",INDEX(Documents!$G$5:$G$657,MATCH(H1274,Documents!$A$5:$A$657,0))),"")</f>
        <v>10.1016/j.bmc.2013.06.010</v>
      </c>
      <c r="L1274" s="25" t="s">
        <v>2694</v>
      </c>
    </row>
    <row r="1275" customFormat="false" ht="15" hidden="false" customHeight="false" outlineLevel="0" collapsed="false">
      <c r="A1275" s="25" t="n">
        <v>13405020</v>
      </c>
      <c r="B1275" s="25" t="s">
        <v>2938</v>
      </c>
      <c r="C1275" s="25" t="s">
        <v>2939</v>
      </c>
      <c r="D1275" s="26" t="n">
        <v>9</v>
      </c>
      <c r="E1275" s="27" t="n">
        <v>8.04575749056068</v>
      </c>
      <c r="F1275" s="27" t="n">
        <v>8.04575749056068</v>
      </c>
      <c r="G1275" s="25" t="s">
        <v>2692</v>
      </c>
      <c r="H1275" s="25" t="s">
        <v>2693</v>
      </c>
      <c r="I1275" s="25" t="n">
        <f aca="false">IFERROR(IF(INDEX(Documents!$C$5:$C$657,MATCH(H1275,Documents!$A$5:$A$657,0))="","",INDEX(Documents!$C$5:$C$657,MATCH(H1275,Documents!$A$5:$A$657,0))),"")</f>
        <v>2013</v>
      </c>
      <c r="J1275" s="25" t="str">
        <f aca="false">IFERROR(IF(INDEX(Documents!$D$5:$D$657,MATCH(H1275,Documents!$A$5:$A$657,0))="","",INDEX(Documents!$D$5:$D$657,MATCH(H1275,Documents!$A$5:$A$657,0))),"")</f>
        <v>Bioorg Med Chem</v>
      </c>
      <c r="K1275" s="25" t="str">
        <f aca="false">IFERROR(IF(INDEX(Documents!$G$5:$G$657,MATCH(H1275,Documents!$A$5:$A$657,0))="","",INDEX(Documents!$G$5:$G$657,MATCH(H1275,Documents!$A$5:$A$657,0))),"")</f>
        <v>10.1016/j.bmc.2013.06.010</v>
      </c>
      <c r="L1275" s="25" t="s">
        <v>2694</v>
      </c>
    </row>
    <row r="1276" customFormat="false" ht="15" hidden="false" customHeight="false" outlineLevel="0" collapsed="false">
      <c r="A1276" s="25" t="n">
        <v>13405021</v>
      </c>
      <c r="B1276" s="25" t="s">
        <v>2940</v>
      </c>
      <c r="C1276" s="25" t="s">
        <v>2941</v>
      </c>
      <c r="D1276" s="26" t="n">
        <v>60.1</v>
      </c>
      <c r="E1276" s="27" t="n">
        <v>7.22112552799726</v>
      </c>
      <c r="F1276" s="27" t="n">
        <v>7.22112552799726</v>
      </c>
      <c r="G1276" s="25" t="s">
        <v>2692</v>
      </c>
      <c r="H1276" s="25" t="s">
        <v>2693</v>
      </c>
      <c r="I1276" s="25" t="n">
        <f aca="false">IFERROR(IF(INDEX(Documents!$C$5:$C$657,MATCH(H1276,Documents!$A$5:$A$657,0))="","",INDEX(Documents!$C$5:$C$657,MATCH(H1276,Documents!$A$5:$A$657,0))),"")</f>
        <v>2013</v>
      </c>
      <c r="J1276" s="25" t="str">
        <f aca="false">IFERROR(IF(INDEX(Documents!$D$5:$D$657,MATCH(H1276,Documents!$A$5:$A$657,0))="","",INDEX(Documents!$D$5:$D$657,MATCH(H1276,Documents!$A$5:$A$657,0))),"")</f>
        <v>Bioorg Med Chem</v>
      </c>
      <c r="K1276" s="25" t="str">
        <f aca="false">IFERROR(IF(INDEX(Documents!$G$5:$G$657,MATCH(H1276,Documents!$A$5:$A$657,0))="","",INDEX(Documents!$G$5:$G$657,MATCH(H1276,Documents!$A$5:$A$657,0))),"")</f>
        <v>10.1016/j.bmc.2013.06.010</v>
      </c>
      <c r="L1276" s="25" t="s">
        <v>2694</v>
      </c>
    </row>
    <row r="1277" customFormat="false" ht="15" hidden="false" customHeight="false" outlineLevel="0" collapsed="false">
      <c r="A1277" s="25" t="n">
        <v>13405018</v>
      </c>
      <c r="B1277" s="25" t="s">
        <v>2942</v>
      </c>
      <c r="C1277" s="25" t="s">
        <v>2943</v>
      </c>
      <c r="D1277" s="26" t="n">
        <v>412</v>
      </c>
      <c r="E1277" s="27" t="n">
        <v>6.38510278396687</v>
      </c>
      <c r="F1277" s="27" t="n">
        <v>6.38510278396687</v>
      </c>
      <c r="G1277" s="25" t="s">
        <v>2692</v>
      </c>
      <c r="H1277" s="25" t="s">
        <v>2693</v>
      </c>
      <c r="I1277" s="25" t="n">
        <f aca="false">IFERROR(IF(INDEX(Documents!$C$5:$C$657,MATCH(H1277,Documents!$A$5:$A$657,0))="","",INDEX(Documents!$C$5:$C$657,MATCH(H1277,Documents!$A$5:$A$657,0))),"")</f>
        <v>2013</v>
      </c>
      <c r="J1277" s="25" t="str">
        <f aca="false">IFERROR(IF(INDEX(Documents!$D$5:$D$657,MATCH(H1277,Documents!$A$5:$A$657,0))="","",INDEX(Documents!$D$5:$D$657,MATCH(H1277,Documents!$A$5:$A$657,0))),"")</f>
        <v>Bioorg Med Chem</v>
      </c>
      <c r="K1277" s="25" t="str">
        <f aca="false">IFERROR(IF(INDEX(Documents!$G$5:$G$657,MATCH(H1277,Documents!$A$5:$A$657,0))="","",INDEX(Documents!$G$5:$G$657,MATCH(H1277,Documents!$A$5:$A$657,0))),"")</f>
        <v>10.1016/j.bmc.2013.06.010</v>
      </c>
      <c r="L1277" s="25" t="s">
        <v>2694</v>
      </c>
    </row>
    <row r="1278" customFormat="false" ht="15" hidden="false" customHeight="false" outlineLevel="0" collapsed="false">
      <c r="A1278" s="25" t="n">
        <v>13405017</v>
      </c>
      <c r="B1278" s="25" t="s">
        <v>2944</v>
      </c>
      <c r="C1278" s="25" t="s">
        <v>2945</v>
      </c>
      <c r="D1278" s="26" t="n">
        <v>60.9</v>
      </c>
      <c r="E1278" s="27" t="n">
        <v>7.21538270736713</v>
      </c>
      <c r="F1278" s="27" t="n">
        <v>7.21538270736713</v>
      </c>
      <c r="G1278" s="25" t="s">
        <v>2692</v>
      </c>
      <c r="H1278" s="25" t="s">
        <v>2693</v>
      </c>
      <c r="I1278" s="25" t="n">
        <f aca="false">IFERROR(IF(INDEX(Documents!$C$5:$C$657,MATCH(H1278,Documents!$A$5:$A$657,0))="","",INDEX(Documents!$C$5:$C$657,MATCH(H1278,Documents!$A$5:$A$657,0))),"")</f>
        <v>2013</v>
      </c>
      <c r="J1278" s="25" t="str">
        <f aca="false">IFERROR(IF(INDEX(Documents!$D$5:$D$657,MATCH(H1278,Documents!$A$5:$A$657,0))="","",INDEX(Documents!$D$5:$D$657,MATCH(H1278,Documents!$A$5:$A$657,0))),"")</f>
        <v>Bioorg Med Chem</v>
      </c>
      <c r="K1278" s="25" t="str">
        <f aca="false">IFERROR(IF(INDEX(Documents!$G$5:$G$657,MATCH(H1278,Documents!$A$5:$A$657,0))="","",INDEX(Documents!$G$5:$G$657,MATCH(H1278,Documents!$A$5:$A$657,0))),"")</f>
        <v>10.1016/j.bmc.2013.06.010</v>
      </c>
      <c r="L1278" s="25" t="s">
        <v>2694</v>
      </c>
    </row>
    <row r="1279" customFormat="false" ht="15" hidden="false" customHeight="false" outlineLevel="0" collapsed="false">
      <c r="A1279" s="25" t="n">
        <v>13405016</v>
      </c>
      <c r="B1279" s="25" t="s">
        <v>2946</v>
      </c>
      <c r="C1279" s="25" t="s">
        <v>2947</v>
      </c>
      <c r="D1279" s="26" t="n">
        <v>22.8</v>
      </c>
      <c r="E1279" s="27" t="n">
        <v>7.64206515299955</v>
      </c>
      <c r="F1279" s="27" t="n">
        <v>7.64206515299955</v>
      </c>
      <c r="G1279" s="25" t="s">
        <v>2692</v>
      </c>
      <c r="H1279" s="25" t="s">
        <v>2693</v>
      </c>
      <c r="I1279" s="25" t="n">
        <f aca="false">IFERROR(IF(INDEX(Documents!$C$5:$C$657,MATCH(H1279,Documents!$A$5:$A$657,0))="","",INDEX(Documents!$C$5:$C$657,MATCH(H1279,Documents!$A$5:$A$657,0))),"")</f>
        <v>2013</v>
      </c>
      <c r="J1279" s="25" t="str">
        <f aca="false">IFERROR(IF(INDEX(Documents!$D$5:$D$657,MATCH(H1279,Documents!$A$5:$A$657,0))="","",INDEX(Documents!$D$5:$D$657,MATCH(H1279,Documents!$A$5:$A$657,0))),"")</f>
        <v>Bioorg Med Chem</v>
      </c>
      <c r="K1279" s="25" t="str">
        <f aca="false">IFERROR(IF(INDEX(Documents!$G$5:$G$657,MATCH(H1279,Documents!$A$5:$A$657,0))="","",INDEX(Documents!$G$5:$G$657,MATCH(H1279,Documents!$A$5:$A$657,0))),"")</f>
        <v>10.1016/j.bmc.2013.06.010</v>
      </c>
      <c r="L1279" s="25" t="s">
        <v>2694</v>
      </c>
    </row>
    <row r="1280" customFormat="false" ht="15" hidden="false" customHeight="false" outlineLevel="0" collapsed="false">
      <c r="A1280" s="25" t="n">
        <v>13405014</v>
      </c>
      <c r="B1280" s="25" t="s">
        <v>2948</v>
      </c>
      <c r="C1280" s="25" t="s">
        <v>2949</v>
      </c>
      <c r="D1280" s="26" t="n">
        <v>60.8</v>
      </c>
      <c r="E1280" s="27" t="n">
        <v>7.21609642072727</v>
      </c>
      <c r="F1280" s="27" t="n">
        <v>7.21609642072727</v>
      </c>
      <c r="G1280" s="25" t="s">
        <v>2692</v>
      </c>
      <c r="H1280" s="25" t="s">
        <v>2693</v>
      </c>
      <c r="I1280" s="25" t="n">
        <f aca="false">IFERROR(IF(INDEX(Documents!$C$5:$C$657,MATCH(H1280,Documents!$A$5:$A$657,0))="","",INDEX(Documents!$C$5:$C$657,MATCH(H1280,Documents!$A$5:$A$657,0))),"")</f>
        <v>2013</v>
      </c>
      <c r="J1280" s="25" t="str">
        <f aca="false">IFERROR(IF(INDEX(Documents!$D$5:$D$657,MATCH(H1280,Documents!$A$5:$A$657,0))="","",INDEX(Documents!$D$5:$D$657,MATCH(H1280,Documents!$A$5:$A$657,0))),"")</f>
        <v>Bioorg Med Chem</v>
      </c>
      <c r="K1280" s="25" t="str">
        <f aca="false">IFERROR(IF(INDEX(Documents!$G$5:$G$657,MATCH(H1280,Documents!$A$5:$A$657,0))="","",INDEX(Documents!$G$5:$G$657,MATCH(H1280,Documents!$A$5:$A$657,0))),"")</f>
        <v>10.1016/j.bmc.2013.06.010</v>
      </c>
      <c r="L1280" s="25" t="s">
        <v>2694</v>
      </c>
    </row>
    <row r="1281" customFormat="false" ht="15" hidden="false" customHeight="false" outlineLevel="0" collapsed="false">
      <c r="A1281" s="25" t="n">
        <v>13405013</v>
      </c>
      <c r="B1281" s="25" t="s">
        <v>2950</v>
      </c>
      <c r="C1281" s="25" t="s">
        <v>2951</v>
      </c>
      <c r="D1281" s="26" t="n">
        <v>73.5</v>
      </c>
      <c r="E1281" s="27" t="n">
        <v>7.13371266091581</v>
      </c>
      <c r="F1281" s="27" t="n">
        <v>7.13371266091581</v>
      </c>
      <c r="G1281" s="25" t="s">
        <v>2692</v>
      </c>
      <c r="H1281" s="25" t="s">
        <v>2693</v>
      </c>
      <c r="I1281" s="25" t="n">
        <f aca="false">IFERROR(IF(INDEX(Documents!$C$5:$C$657,MATCH(H1281,Documents!$A$5:$A$657,0))="","",INDEX(Documents!$C$5:$C$657,MATCH(H1281,Documents!$A$5:$A$657,0))),"")</f>
        <v>2013</v>
      </c>
      <c r="J1281" s="25" t="str">
        <f aca="false">IFERROR(IF(INDEX(Documents!$D$5:$D$657,MATCH(H1281,Documents!$A$5:$A$657,0))="","",INDEX(Documents!$D$5:$D$657,MATCH(H1281,Documents!$A$5:$A$657,0))),"")</f>
        <v>Bioorg Med Chem</v>
      </c>
      <c r="K1281" s="25" t="str">
        <f aca="false">IFERROR(IF(INDEX(Documents!$G$5:$G$657,MATCH(H1281,Documents!$A$5:$A$657,0))="","",INDEX(Documents!$G$5:$G$657,MATCH(H1281,Documents!$A$5:$A$657,0))),"")</f>
        <v>10.1016/j.bmc.2013.06.010</v>
      </c>
      <c r="L1281" s="25" t="s">
        <v>2694</v>
      </c>
    </row>
    <row r="1282" customFormat="false" ht="15" hidden="false" customHeight="false" outlineLevel="0" collapsed="false">
      <c r="A1282" s="25" t="n">
        <v>13405015</v>
      </c>
      <c r="B1282" s="25" t="s">
        <v>2952</v>
      </c>
      <c r="C1282" s="25" t="s">
        <v>2953</v>
      </c>
      <c r="D1282" s="26" t="n">
        <v>600</v>
      </c>
      <c r="E1282" s="27" t="n">
        <v>6.22184874961636</v>
      </c>
      <c r="F1282" s="27" t="n">
        <v>6.22184874961636</v>
      </c>
      <c r="G1282" s="25" t="s">
        <v>2692</v>
      </c>
      <c r="H1282" s="25" t="s">
        <v>2693</v>
      </c>
      <c r="I1282" s="25" t="n">
        <f aca="false">IFERROR(IF(INDEX(Documents!$C$5:$C$657,MATCH(H1282,Documents!$A$5:$A$657,0))="","",INDEX(Documents!$C$5:$C$657,MATCH(H1282,Documents!$A$5:$A$657,0))),"")</f>
        <v>2013</v>
      </c>
      <c r="J1282" s="25" t="str">
        <f aca="false">IFERROR(IF(INDEX(Documents!$D$5:$D$657,MATCH(H1282,Documents!$A$5:$A$657,0))="","",INDEX(Documents!$D$5:$D$657,MATCH(H1282,Documents!$A$5:$A$657,0))),"")</f>
        <v>Bioorg Med Chem</v>
      </c>
      <c r="K1282" s="25" t="str">
        <f aca="false">IFERROR(IF(INDEX(Documents!$G$5:$G$657,MATCH(H1282,Documents!$A$5:$A$657,0))="","",INDEX(Documents!$G$5:$G$657,MATCH(H1282,Documents!$A$5:$A$657,0))),"")</f>
        <v>10.1016/j.bmc.2013.06.010</v>
      </c>
      <c r="L1282" s="25" t="s">
        <v>2694</v>
      </c>
    </row>
    <row r="1283" customFormat="false" ht="15" hidden="false" customHeight="false" outlineLevel="0" collapsed="false">
      <c r="A1283" s="25" t="n">
        <v>25443272</v>
      </c>
      <c r="B1283" s="25" t="s">
        <v>2954</v>
      </c>
      <c r="C1283" s="25" t="s">
        <v>2955</v>
      </c>
      <c r="D1283" s="26" t="n">
        <v>10.8</v>
      </c>
      <c r="E1283" s="27" t="n">
        <v>7.96657624451305</v>
      </c>
      <c r="F1283" s="27" t="n">
        <v>7.96657624451305</v>
      </c>
      <c r="G1283" s="25" t="s">
        <v>2956</v>
      </c>
      <c r="H1283" s="25" t="s">
        <v>2957</v>
      </c>
      <c r="I1283" s="25" t="n">
        <f aca="false">IFERROR(IF(INDEX(Documents!$C$5:$C$657,MATCH(H1283,Documents!$A$5:$A$657,0))="","",INDEX(Documents!$C$5:$C$657,MATCH(H1283,Documents!$A$5:$A$657,0))),"")</f>
        <v>2023</v>
      </c>
      <c r="J1283" s="25" t="str">
        <f aca="false">IFERROR(IF(INDEX(Documents!$D$5:$D$657,MATCH(H1283,Documents!$A$5:$A$657,0))="","",INDEX(Documents!$D$5:$D$657,MATCH(H1283,Documents!$A$5:$A$657,0))),"")</f>
        <v>J Med Chem</v>
      </c>
      <c r="K1283" s="25" t="str">
        <f aca="false">IFERROR(IF(INDEX(Documents!$G$5:$G$657,MATCH(H1283,Documents!$A$5:$A$657,0))="","",INDEX(Documents!$G$5:$G$657,MATCH(H1283,Documents!$A$5:$A$657,0))),"")</f>
        <v>10.1021/acs.jmedchem.2c01084</v>
      </c>
      <c r="L1283" s="25" t="s">
        <v>2958</v>
      </c>
    </row>
    <row r="1284" customFormat="false" ht="15" hidden="false" customHeight="false" outlineLevel="0" collapsed="false">
      <c r="A1284" s="25" t="n">
        <v>13922863</v>
      </c>
      <c r="B1284" s="25" t="s">
        <v>2959</v>
      </c>
      <c r="C1284" s="25" t="s">
        <v>2960</v>
      </c>
      <c r="D1284" s="26" t="n">
        <v>680</v>
      </c>
      <c r="E1284" s="27" t="n">
        <v>6.16749108729376</v>
      </c>
      <c r="F1284" s="27" t="n">
        <v>6.16749108729376</v>
      </c>
      <c r="G1284" s="25" t="s">
        <v>243</v>
      </c>
      <c r="H1284" s="25" t="s">
        <v>244</v>
      </c>
      <c r="I1284" s="25" t="n">
        <f aca="false">IFERROR(IF(INDEX(Documents!$C$5:$C$657,MATCH(H1284,Documents!$A$5:$A$657,0))="","",INDEX(Documents!$C$5:$C$657,MATCH(H1284,Documents!$A$5:$A$657,0))),"")</f>
        <v>2014</v>
      </c>
      <c r="J1284" s="25" t="str">
        <f aca="false">IFERROR(IF(INDEX(Documents!$D$5:$D$657,MATCH(H1284,Documents!$A$5:$A$657,0))="","",INDEX(Documents!$D$5:$D$657,MATCH(H1284,Documents!$A$5:$A$657,0))),"")</f>
        <v>Eur J Med Chem</v>
      </c>
      <c r="K1284" s="25" t="str">
        <f aca="false">IFERROR(IF(INDEX(Documents!$G$5:$G$657,MATCH(H1284,Documents!$A$5:$A$657,0))="","",INDEX(Documents!$G$5:$G$657,MATCH(H1284,Documents!$A$5:$A$657,0))),"")</f>
        <v>10.1016/j.ejmech.2013.11.026</v>
      </c>
      <c r="L1284" s="25" t="s">
        <v>245</v>
      </c>
    </row>
    <row r="1285" customFormat="false" ht="15" hidden="false" customHeight="false" outlineLevel="0" collapsed="false">
      <c r="A1285" s="25" t="n">
        <v>19180490</v>
      </c>
      <c r="B1285" s="25" t="s">
        <v>2961</v>
      </c>
      <c r="C1285" s="25" t="s">
        <v>2962</v>
      </c>
      <c r="D1285" s="26" t="n">
        <v>570</v>
      </c>
      <c r="E1285" s="27" t="n">
        <v>6.24412514432751</v>
      </c>
      <c r="F1285" s="27" t="n">
        <v>6.24412514432751</v>
      </c>
      <c r="G1285" s="25" t="s">
        <v>669</v>
      </c>
      <c r="H1285" s="25" t="s">
        <v>670</v>
      </c>
      <c r="I1285" s="25" t="n">
        <f aca="false">IFERROR(IF(INDEX(Documents!$C$5:$C$657,MATCH(H1285,Documents!$A$5:$A$657,0))="","",INDEX(Documents!$C$5:$C$657,MATCH(H1285,Documents!$A$5:$A$657,0))),"")</f>
        <v>2019</v>
      </c>
      <c r="J1285" s="25" t="str">
        <f aca="false">IFERROR(IF(INDEX(Documents!$D$5:$D$657,MATCH(H1285,Documents!$A$5:$A$657,0))="","",INDEX(Documents!$D$5:$D$657,MATCH(H1285,Documents!$A$5:$A$657,0))),"")</f>
        <v>Bioorg Med Chem</v>
      </c>
      <c r="K1285" s="25" t="str">
        <f aca="false">IFERROR(IF(INDEX(Documents!$G$5:$G$657,MATCH(H1285,Documents!$A$5:$A$657,0))="","",INDEX(Documents!$G$5:$G$657,MATCH(H1285,Documents!$A$5:$A$657,0))),"")</f>
        <v>10.1016/j.bmc.2019.07.002</v>
      </c>
      <c r="L1285" s="25" t="s">
        <v>671</v>
      </c>
    </row>
    <row r="1286" customFormat="false" ht="15" hidden="false" customHeight="false" outlineLevel="0" collapsed="false">
      <c r="A1286" s="25" t="n">
        <v>15197375</v>
      </c>
      <c r="B1286" s="25" t="s">
        <v>2963</v>
      </c>
      <c r="C1286" s="25" t="s">
        <v>2964</v>
      </c>
      <c r="D1286" s="26" t="n">
        <v>1.1</v>
      </c>
      <c r="E1286" s="27" t="n">
        <v>8.95860731484178</v>
      </c>
      <c r="F1286" s="27" t="n">
        <v>8.95880481120914</v>
      </c>
      <c r="G1286" s="25" t="s">
        <v>2844</v>
      </c>
      <c r="H1286" s="25" t="s">
        <v>2845</v>
      </c>
      <c r="I1286" s="25" t="n">
        <f aca="false">IFERROR(IF(INDEX(Documents!$C$5:$C$657,MATCH(H1286,Documents!$A$5:$A$657,0))="","",INDEX(Documents!$C$5:$C$657,MATCH(H1286,Documents!$A$5:$A$657,0))),"")</f>
        <v>2015</v>
      </c>
      <c r="J1286" s="25" t="str">
        <f aca="false">IFERROR(IF(INDEX(Documents!$D$5:$D$657,MATCH(H1286,Documents!$A$5:$A$657,0))="","",INDEX(Documents!$D$5:$D$657,MATCH(H1286,Documents!$A$5:$A$657,0))),"")</f>
        <v>Eur J Med Chem</v>
      </c>
      <c r="K1286" s="25" t="str">
        <f aca="false">IFERROR(IF(INDEX(Documents!$G$5:$G$657,MATCH(H1286,Documents!$A$5:$A$657,0))="","",INDEX(Documents!$G$5:$G$657,MATCH(H1286,Documents!$A$5:$A$657,0))),"")</f>
        <v>10.1016/j.ejmech.2015.01.054</v>
      </c>
      <c r="L1286" s="25" t="s">
        <v>1359</v>
      </c>
    </row>
    <row r="1287" customFormat="false" ht="15" hidden="false" customHeight="false" outlineLevel="0" collapsed="false">
      <c r="A1287" s="25" t="n">
        <v>15198649</v>
      </c>
      <c r="B1287" s="25" t="s">
        <v>2963</v>
      </c>
      <c r="C1287" s="25" t="s">
        <v>2964</v>
      </c>
      <c r="D1287" s="26" t="n">
        <v>1.099</v>
      </c>
      <c r="E1287" s="27" t="n">
        <v>8.95900230757651</v>
      </c>
      <c r="F1287" s="27" t="n">
        <v>8.95880481120914</v>
      </c>
      <c r="G1287" s="25" t="s">
        <v>2844</v>
      </c>
      <c r="H1287" s="25" t="s">
        <v>2845</v>
      </c>
      <c r="I1287" s="25" t="n">
        <f aca="false">IFERROR(IF(INDEX(Documents!$C$5:$C$657,MATCH(H1287,Documents!$A$5:$A$657,0))="","",INDEX(Documents!$C$5:$C$657,MATCH(H1287,Documents!$A$5:$A$657,0))),"")</f>
        <v>2015</v>
      </c>
      <c r="J1287" s="25" t="str">
        <f aca="false">IFERROR(IF(INDEX(Documents!$D$5:$D$657,MATCH(H1287,Documents!$A$5:$A$657,0))="","",INDEX(Documents!$D$5:$D$657,MATCH(H1287,Documents!$A$5:$A$657,0))),"")</f>
        <v>Eur J Med Chem</v>
      </c>
      <c r="K1287" s="25" t="str">
        <f aca="false">IFERROR(IF(INDEX(Documents!$G$5:$G$657,MATCH(H1287,Documents!$A$5:$A$657,0))="","",INDEX(Documents!$G$5:$G$657,MATCH(H1287,Documents!$A$5:$A$657,0))),"")</f>
        <v>10.1016/j.ejmech.2015.01.054</v>
      </c>
      <c r="L1287" s="25" t="s">
        <v>1359</v>
      </c>
    </row>
    <row r="1288" customFormat="false" ht="15" hidden="false" customHeight="false" outlineLevel="0" collapsed="false">
      <c r="A1288" s="25" t="n">
        <v>12718754</v>
      </c>
      <c r="B1288" s="25" t="s">
        <v>2965</v>
      </c>
      <c r="C1288" s="25" t="s">
        <v>2966</v>
      </c>
      <c r="D1288" s="26" t="n">
        <v>458.2</v>
      </c>
      <c r="E1288" s="27" t="n">
        <v>6.33894491514662</v>
      </c>
      <c r="F1288" s="27" t="n">
        <v>6.33894491514662</v>
      </c>
      <c r="G1288" s="25" t="s">
        <v>2789</v>
      </c>
      <c r="H1288" s="25" t="s">
        <v>2790</v>
      </c>
      <c r="I1288" s="25" t="n">
        <f aca="false">IFERROR(IF(INDEX(Documents!$C$5:$C$657,MATCH(H1288,Documents!$A$5:$A$657,0))="","",INDEX(Documents!$C$5:$C$657,MATCH(H1288,Documents!$A$5:$A$657,0))),"")</f>
        <v>2013</v>
      </c>
      <c r="J1288" s="25" t="str">
        <f aca="false">IFERROR(IF(INDEX(Documents!$D$5:$D$657,MATCH(H1288,Documents!$A$5:$A$657,0))="","",INDEX(Documents!$D$5:$D$657,MATCH(H1288,Documents!$A$5:$A$657,0))),"")</f>
        <v>Bioorg Med Chem</v>
      </c>
      <c r="K1288" s="25" t="str">
        <f aca="false">IFERROR(IF(INDEX(Documents!$G$5:$G$657,MATCH(H1288,Documents!$A$5:$A$657,0))="","",INDEX(Documents!$G$5:$G$657,MATCH(H1288,Documents!$A$5:$A$657,0))),"")</f>
        <v>10.1016/j.bmc.2013.01.055</v>
      </c>
      <c r="L1288" s="25" t="s">
        <v>2791</v>
      </c>
    </row>
    <row r="1289" customFormat="false" ht="15" hidden="false" customHeight="false" outlineLevel="0" collapsed="false">
      <c r="A1289" s="25" t="n">
        <v>12718755</v>
      </c>
      <c r="B1289" s="25" t="s">
        <v>2967</v>
      </c>
      <c r="C1289" s="25" t="s">
        <v>2968</v>
      </c>
      <c r="D1289" s="26" t="n">
        <v>2943</v>
      </c>
      <c r="E1289" s="27" t="n">
        <v>5.53120973790039</v>
      </c>
      <c r="F1289" s="27" t="n">
        <v>5.53120973790039</v>
      </c>
      <c r="G1289" s="25" t="s">
        <v>2789</v>
      </c>
      <c r="H1289" s="25" t="s">
        <v>2790</v>
      </c>
      <c r="I1289" s="25" t="n">
        <f aca="false">IFERROR(IF(INDEX(Documents!$C$5:$C$657,MATCH(H1289,Documents!$A$5:$A$657,0))="","",INDEX(Documents!$C$5:$C$657,MATCH(H1289,Documents!$A$5:$A$657,0))),"")</f>
        <v>2013</v>
      </c>
      <c r="J1289" s="25" t="str">
        <f aca="false">IFERROR(IF(INDEX(Documents!$D$5:$D$657,MATCH(H1289,Documents!$A$5:$A$657,0))="","",INDEX(Documents!$D$5:$D$657,MATCH(H1289,Documents!$A$5:$A$657,0))),"")</f>
        <v>Bioorg Med Chem</v>
      </c>
      <c r="K1289" s="25" t="str">
        <f aca="false">IFERROR(IF(INDEX(Documents!$G$5:$G$657,MATCH(H1289,Documents!$A$5:$A$657,0))="","",INDEX(Documents!$G$5:$G$657,MATCH(H1289,Documents!$A$5:$A$657,0))),"")</f>
        <v>10.1016/j.bmc.2013.01.055</v>
      </c>
      <c r="L1289" s="25" t="s">
        <v>2791</v>
      </c>
    </row>
    <row r="1290" customFormat="false" ht="15" hidden="false" customHeight="false" outlineLevel="0" collapsed="false">
      <c r="A1290" s="25" t="n">
        <v>3564073</v>
      </c>
      <c r="B1290" s="25" t="s">
        <v>2969</v>
      </c>
      <c r="C1290" s="25" t="s">
        <v>2970</v>
      </c>
      <c r="D1290" s="26" t="n">
        <v>555</v>
      </c>
      <c r="E1290" s="27" t="n">
        <v>6.25570701687732</v>
      </c>
      <c r="F1290" s="27" t="n">
        <v>6.25570701687732</v>
      </c>
      <c r="G1290" s="25" t="s">
        <v>1935</v>
      </c>
      <c r="H1290" s="25" t="s">
        <v>1936</v>
      </c>
      <c r="I1290" s="25" t="n">
        <f aca="false">IFERROR(IF(INDEX(Documents!$C$5:$C$657,MATCH(H1290,Documents!$A$5:$A$657,0))="","",INDEX(Documents!$C$5:$C$657,MATCH(H1290,Documents!$A$5:$A$657,0))),"")</f>
        <v>2010</v>
      </c>
      <c r="J1290" s="25" t="str">
        <f aca="false">IFERROR(IF(INDEX(Documents!$D$5:$D$657,MATCH(H1290,Documents!$A$5:$A$657,0))="","",INDEX(Documents!$D$5:$D$657,MATCH(H1290,Documents!$A$5:$A$657,0))),"")</f>
        <v>Bioorg Med Chem</v>
      </c>
      <c r="K1290" s="25" t="str">
        <f aca="false">IFERROR(IF(INDEX(Documents!$G$5:$G$657,MATCH(H1290,Documents!$A$5:$A$657,0))="","",INDEX(Documents!$G$5:$G$657,MATCH(H1290,Documents!$A$5:$A$657,0))),"")</f>
        <v>10.1016/j.bmc.2010.09.061</v>
      </c>
      <c r="L1290" s="25" t="s">
        <v>1937</v>
      </c>
    </row>
    <row r="1291" customFormat="false" ht="15" hidden="false" customHeight="false" outlineLevel="0" collapsed="false">
      <c r="A1291" s="25" t="n">
        <v>6351836</v>
      </c>
      <c r="B1291" s="25" t="s">
        <v>2971</v>
      </c>
      <c r="C1291" s="25" t="s">
        <v>2972</v>
      </c>
      <c r="D1291" s="26" t="n">
        <v>180</v>
      </c>
      <c r="E1291" s="27" t="n">
        <v>6.74472749489669</v>
      </c>
      <c r="F1291" s="27" t="n">
        <v>6.74472749489669</v>
      </c>
      <c r="G1291" s="25" t="s">
        <v>2973</v>
      </c>
      <c r="H1291" s="25" t="s">
        <v>2974</v>
      </c>
      <c r="I1291" s="25" t="n">
        <f aca="false">IFERROR(IF(INDEX(Documents!$C$5:$C$657,MATCH(H1291,Documents!$A$5:$A$657,0))="","",INDEX(Documents!$C$5:$C$657,MATCH(H1291,Documents!$A$5:$A$657,0))),"")</f>
        <v>2011</v>
      </c>
      <c r="J1291" s="25" t="str">
        <f aca="false">IFERROR(IF(INDEX(Documents!$D$5:$D$657,MATCH(H1291,Documents!$A$5:$A$657,0))="","",INDEX(Documents!$D$5:$D$657,MATCH(H1291,Documents!$A$5:$A$657,0))),"")</f>
        <v>J Nat Prod</v>
      </c>
      <c r="K1291" s="25" t="str">
        <f aca="false">IFERROR(IF(INDEX(Documents!$G$5:$G$657,MATCH(H1291,Documents!$A$5:$A$657,0))="","",INDEX(Documents!$G$5:$G$657,MATCH(H1291,Documents!$A$5:$A$657,0))),"")</f>
        <v>10.1021/np200500p</v>
      </c>
      <c r="L1291" s="25" t="s">
        <v>2975</v>
      </c>
    </row>
    <row r="1292" customFormat="false" ht="15" hidden="false" customHeight="false" outlineLevel="0" collapsed="false">
      <c r="A1292" s="25" t="n">
        <v>29084043</v>
      </c>
      <c r="B1292" s="25" t="s">
        <v>2976</v>
      </c>
      <c r="C1292" s="25" t="s">
        <v>2977</v>
      </c>
      <c r="D1292" s="26" t="n">
        <v>12.1</v>
      </c>
      <c r="E1292" s="27" t="n">
        <v>7.91721462968355</v>
      </c>
      <c r="F1292" s="27" t="n">
        <v>7.91721462968355</v>
      </c>
      <c r="G1292" s="25" t="s">
        <v>2978</v>
      </c>
      <c r="H1292" s="25" t="s">
        <v>381</v>
      </c>
      <c r="I1292" s="25" t="n">
        <f aca="false">IFERROR(IF(INDEX(Documents!$C$5:$C$657,MATCH(H1292,Documents!$A$5:$A$657,0))="","",INDEX(Documents!$C$5:$C$657,MATCH(H1292,Documents!$A$5:$A$657,0))),"")</f>
        <v>2025</v>
      </c>
      <c r="J1292" s="25" t="str">
        <f aca="false">IFERROR(IF(INDEX(Documents!$D$5:$D$657,MATCH(H1292,Documents!$A$5:$A$657,0))="","",INDEX(Documents!$D$5:$D$657,MATCH(H1292,Documents!$A$5:$A$657,0))),"")</f>
        <v>Bioorg Med Chem</v>
      </c>
      <c r="K1292" s="25" t="str">
        <f aca="false">IFERROR(IF(INDEX(Documents!$G$5:$G$657,MATCH(H1292,Documents!$A$5:$A$657,0))="","",INDEX(Documents!$G$5:$G$657,MATCH(H1292,Documents!$A$5:$A$657,0))),"")</f>
        <v>10.1016/j.bmc.2024.118019</v>
      </c>
      <c r="L1292" s="25" t="s">
        <v>2979</v>
      </c>
    </row>
    <row r="1293" customFormat="false" ht="15" hidden="false" customHeight="false" outlineLevel="0" collapsed="false">
      <c r="A1293" s="25" t="n">
        <v>2048395</v>
      </c>
      <c r="B1293" s="25" t="s">
        <v>2980</v>
      </c>
      <c r="C1293" s="25" t="s">
        <v>2981</v>
      </c>
      <c r="D1293" s="26" t="n">
        <v>140</v>
      </c>
      <c r="E1293" s="27" t="n">
        <v>6.85387196432176</v>
      </c>
      <c r="F1293" s="27" t="n">
        <v>6.85387196432176</v>
      </c>
      <c r="G1293" s="25" t="s">
        <v>513</v>
      </c>
      <c r="H1293" s="25" t="s">
        <v>514</v>
      </c>
      <c r="I1293" s="25" t="n">
        <f aca="false">IFERROR(IF(INDEX(Documents!$C$5:$C$657,MATCH(H1293,Documents!$A$5:$A$657,0))="","",INDEX(Documents!$C$5:$C$657,MATCH(H1293,Documents!$A$5:$A$657,0))),"")</f>
        <v>2007</v>
      </c>
      <c r="J1293" s="25" t="str">
        <f aca="false">IFERROR(IF(INDEX(Documents!$D$5:$D$657,MATCH(H1293,Documents!$A$5:$A$657,0))="","",INDEX(Documents!$D$5:$D$657,MATCH(H1293,Documents!$A$5:$A$657,0))),"")</f>
        <v>Bioorg Med Chem Lett</v>
      </c>
      <c r="K1293" s="25" t="str">
        <f aca="false">IFERROR(IF(INDEX(Documents!$G$5:$G$657,MATCH(H1293,Documents!$A$5:$A$657,0))="","",INDEX(Documents!$G$5:$G$657,MATCH(H1293,Documents!$A$5:$A$657,0))),"")</f>
        <v>10.1016/j.bmcl.2007.09.019</v>
      </c>
      <c r="L1293" s="25" t="s">
        <v>515</v>
      </c>
    </row>
    <row r="1294" customFormat="false" ht="15" hidden="false" customHeight="false" outlineLevel="0" collapsed="false">
      <c r="A1294" s="25" t="n">
        <v>18693504</v>
      </c>
      <c r="B1294" s="25" t="s">
        <v>2982</v>
      </c>
      <c r="C1294" s="25" t="s">
        <v>2983</v>
      </c>
      <c r="D1294" s="26" t="n">
        <v>300</v>
      </c>
      <c r="E1294" s="27" t="n">
        <v>6.52287874528034</v>
      </c>
      <c r="F1294" s="27" t="n">
        <v>6.52287874528034</v>
      </c>
      <c r="G1294" s="25" t="s">
        <v>471</v>
      </c>
      <c r="H1294" s="25" t="s">
        <v>472</v>
      </c>
      <c r="I1294" s="25" t="n">
        <f aca="false">IFERROR(IF(INDEX(Documents!$C$5:$C$657,MATCH(H1294,Documents!$A$5:$A$657,0))="","",INDEX(Documents!$C$5:$C$657,MATCH(H1294,Documents!$A$5:$A$657,0))),"")</f>
        <v>2018</v>
      </c>
      <c r="J1294" s="25" t="str">
        <f aca="false">IFERROR(IF(INDEX(Documents!$D$5:$D$657,MATCH(H1294,Documents!$A$5:$A$657,0))="","",INDEX(Documents!$D$5:$D$657,MATCH(H1294,Documents!$A$5:$A$657,0))),"")</f>
        <v>Eur J Med Chem</v>
      </c>
      <c r="K1294" s="25" t="str">
        <f aca="false">IFERROR(IF(INDEX(Documents!$G$5:$G$657,MATCH(H1294,Documents!$A$5:$A$657,0))="","",INDEX(Documents!$G$5:$G$657,MATCH(H1294,Documents!$A$5:$A$657,0))),"")</f>
        <v>10.1016/j.ejmech.2017.11.043</v>
      </c>
      <c r="L1294" s="25" t="s">
        <v>473</v>
      </c>
    </row>
    <row r="1295" customFormat="false" ht="15" hidden="false" customHeight="false" outlineLevel="0" collapsed="false">
      <c r="A1295" s="25" t="n">
        <v>18693506</v>
      </c>
      <c r="B1295" s="25" t="s">
        <v>2984</v>
      </c>
      <c r="C1295" s="25" t="s">
        <v>2985</v>
      </c>
      <c r="D1295" s="26" t="n">
        <v>990</v>
      </c>
      <c r="E1295" s="27" t="n">
        <v>6.00436480540245</v>
      </c>
      <c r="F1295" s="27" t="n">
        <v>6.00436480540245</v>
      </c>
      <c r="G1295" s="25" t="s">
        <v>471</v>
      </c>
      <c r="H1295" s="25" t="s">
        <v>472</v>
      </c>
      <c r="I1295" s="25" t="n">
        <f aca="false">IFERROR(IF(INDEX(Documents!$C$5:$C$657,MATCH(H1295,Documents!$A$5:$A$657,0))="","",INDEX(Documents!$C$5:$C$657,MATCH(H1295,Documents!$A$5:$A$657,0))),"")</f>
        <v>2018</v>
      </c>
      <c r="J1295" s="25" t="str">
        <f aca="false">IFERROR(IF(INDEX(Documents!$D$5:$D$657,MATCH(H1295,Documents!$A$5:$A$657,0))="","",INDEX(Documents!$D$5:$D$657,MATCH(H1295,Documents!$A$5:$A$657,0))),"")</f>
        <v>Eur J Med Chem</v>
      </c>
      <c r="K1295" s="25" t="str">
        <f aca="false">IFERROR(IF(INDEX(Documents!$G$5:$G$657,MATCH(H1295,Documents!$A$5:$A$657,0))="","",INDEX(Documents!$G$5:$G$657,MATCH(H1295,Documents!$A$5:$A$657,0))),"")</f>
        <v>10.1016/j.ejmech.2017.11.043</v>
      </c>
      <c r="L1295" s="25" t="s">
        <v>473</v>
      </c>
    </row>
    <row r="1296" customFormat="false" ht="15" hidden="false" customHeight="false" outlineLevel="0" collapsed="false">
      <c r="A1296" s="25" t="n">
        <v>14999685</v>
      </c>
      <c r="B1296" s="25" t="s">
        <v>2986</v>
      </c>
      <c r="C1296" s="25" t="s">
        <v>2987</v>
      </c>
      <c r="D1296" s="26" t="n">
        <v>17</v>
      </c>
      <c r="E1296" s="27" t="n">
        <v>7.76955107862173</v>
      </c>
      <c r="F1296" s="27" t="n">
        <v>7.76955107862173</v>
      </c>
      <c r="G1296" s="25" t="s">
        <v>2988</v>
      </c>
      <c r="H1296" s="25" t="s">
        <v>2989</v>
      </c>
      <c r="I1296" s="25" t="n">
        <f aca="false">IFERROR(IF(INDEX(Documents!$C$5:$C$657,MATCH(H1296,Documents!$A$5:$A$657,0))="","",INDEX(Documents!$C$5:$C$657,MATCH(H1296,Documents!$A$5:$A$657,0))),"")</f>
        <v>2014</v>
      </c>
      <c r="J1296" s="25" t="str">
        <f aca="false">IFERROR(IF(INDEX(Documents!$D$5:$D$657,MATCH(H1296,Documents!$A$5:$A$657,0))="","",INDEX(Documents!$D$5:$D$657,MATCH(H1296,Documents!$A$5:$A$657,0))),"")</f>
        <v>Eur J Med Chem</v>
      </c>
      <c r="K1296" s="25" t="str">
        <f aca="false">IFERROR(IF(INDEX(Documents!$G$5:$G$657,MATCH(H1296,Documents!$A$5:$A$657,0))="","",INDEX(Documents!$G$5:$G$657,MATCH(H1296,Documents!$A$5:$A$657,0))),"")</f>
        <v>10.1016/j.ejmech.2014.07.062</v>
      </c>
      <c r="L1296" s="25" t="s">
        <v>2990</v>
      </c>
    </row>
    <row r="1297" customFormat="false" ht="15" hidden="false" customHeight="false" outlineLevel="0" collapsed="false">
      <c r="A1297" s="25" t="n">
        <v>14999686</v>
      </c>
      <c r="B1297" s="25" t="s">
        <v>2991</v>
      </c>
      <c r="C1297" s="25" t="s">
        <v>2992</v>
      </c>
      <c r="D1297" s="26" t="n">
        <v>18</v>
      </c>
      <c r="E1297" s="27" t="n">
        <v>7.74472749489669</v>
      </c>
      <c r="F1297" s="27" t="n">
        <v>7.74472749489669</v>
      </c>
      <c r="G1297" s="25" t="s">
        <v>2988</v>
      </c>
      <c r="H1297" s="25" t="s">
        <v>2989</v>
      </c>
      <c r="I1297" s="25" t="n">
        <f aca="false">IFERROR(IF(INDEX(Documents!$C$5:$C$657,MATCH(H1297,Documents!$A$5:$A$657,0))="","",INDEX(Documents!$C$5:$C$657,MATCH(H1297,Documents!$A$5:$A$657,0))),"")</f>
        <v>2014</v>
      </c>
      <c r="J1297" s="25" t="str">
        <f aca="false">IFERROR(IF(INDEX(Documents!$D$5:$D$657,MATCH(H1297,Documents!$A$5:$A$657,0))="","",INDEX(Documents!$D$5:$D$657,MATCH(H1297,Documents!$A$5:$A$657,0))),"")</f>
        <v>Eur J Med Chem</v>
      </c>
      <c r="K1297" s="25" t="str">
        <f aca="false">IFERROR(IF(INDEX(Documents!$G$5:$G$657,MATCH(H1297,Documents!$A$5:$A$657,0))="","",INDEX(Documents!$G$5:$G$657,MATCH(H1297,Documents!$A$5:$A$657,0))),"")</f>
        <v>10.1016/j.ejmech.2014.07.062</v>
      </c>
      <c r="L1297" s="25" t="s">
        <v>2990</v>
      </c>
    </row>
    <row r="1298" customFormat="false" ht="15" hidden="false" customHeight="false" outlineLevel="0" collapsed="false">
      <c r="A1298" s="25" t="n">
        <v>18693500</v>
      </c>
      <c r="B1298" s="25" t="s">
        <v>2993</v>
      </c>
      <c r="C1298" s="25" t="s">
        <v>2994</v>
      </c>
      <c r="D1298" s="26" t="n">
        <v>9.5</v>
      </c>
      <c r="E1298" s="27" t="n">
        <v>8.02227639471115</v>
      </c>
      <c r="F1298" s="27" t="n">
        <v>8.02227639471115</v>
      </c>
      <c r="G1298" s="25" t="s">
        <v>471</v>
      </c>
      <c r="H1298" s="25" t="s">
        <v>472</v>
      </c>
      <c r="I1298" s="25" t="n">
        <f aca="false">IFERROR(IF(INDEX(Documents!$C$5:$C$657,MATCH(H1298,Documents!$A$5:$A$657,0))="","",INDEX(Documents!$C$5:$C$657,MATCH(H1298,Documents!$A$5:$A$657,0))),"")</f>
        <v>2018</v>
      </c>
      <c r="J1298" s="25" t="str">
        <f aca="false">IFERROR(IF(INDEX(Documents!$D$5:$D$657,MATCH(H1298,Documents!$A$5:$A$657,0))="","",INDEX(Documents!$D$5:$D$657,MATCH(H1298,Documents!$A$5:$A$657,0))),"")</f>
        <v>Eur J Med Chem</v>
      </c>
      <c r="K1298" s="25" t="str">
        <f aca="false">IFERROR(IF(INDEX(Documents!$G$5:$G$657,MATCH(H1298,Documents!$A$5:$A$657,0))="","",INDEX(Documents!$G$5:$G$657,MATCH(H1298,Documents!$A$5:$A$657,0))),"")</f>
        <v>10.1016/j.ejmech.2017.11.043</v>
      </c>
      <c r="L1298" s="25" t="s">
        <v>473</v>
      </c>
    </row>
    <row r="1299" customFormat="false" ht="15" hidden="false" customHeight="false" outlineLevel="0" collapsed="false">
      <c r="A1299" s="25" t="n">
        <v>2444708</v>
      </c>
      <c r="B1299" s="25" t="s">
        <v>2995</v>
      </c>
      <c r="C1299" s="25" t="s">
        <v>2996</v>
      </c>
      <c r="D1299" s="26" t="n">
        <v>25</v>
      </c>
      <c r="E1299" s="27" t="n">
        <v>7.60205999132796</v>
      </c>
      <c r="F1299" s="27" t="n">
        <v>7.76143937264017</v>
      </c>
      <c r="G1299" s="25" t="s">
        <v>1571</v>
      </c>
      <c r="H1299" s="25" t="s">
        <v>1572</v>
      </c>
      <c r="I1299" s="25" t="n">
        <f aca="false">IFERROR(IF(INDEX(Documents!$C$5:$C$657,MATCH(H1299,Documents!$A$5:$A$657,0))="","",INDEX(Documents!$C$5:$C$657,MATCH(H1299,Documents!$A$5:$A$657,0))),"")</f>
        <v>2008</v>
      </c>
      <c r="J1299" s="25" t="str">
        <f aca="false">IFERROR(IF(INDEX(Documents!$D$5:$D$657,MATCH(H1299,Documents!$A$5:$A$657,0))="","",INDEX(Documents!$D$5:$D$657,MATCH(H1299,Documents!$A$5:$A$657,0))),"")</f>
        <v>Bioorg Med Chem</v>
      </c>
      <c r="K1299" s="25" t="str">
        <f aca="false">IFERROR(IF(INDEX(Documents!$G$5:$G$657,MATCH(H1299,Documents!$A$5:$A$657,0))="","",INDEX(Documents!$G$5:$G$657,MATCH(H1299,Documents!$A$5:$A$657,0))),"")</f>
        <v>10.1016/j.bmc.2008.05.034</v>
      </c>
      <c r="L1299" s="25" t="s">
        <v>1573</v>
      </c>
    </row>
    <row r="1300" customFormat="false" ht="15" hidden="false" customHeight="false" outlineLevel="0" collapsed="false">
      <c r="A1300" s="25" t="n">
        <v>15626759</v>
      </c>
      <c r="B1300" s="25" t="s">
        <v>2995</v>
      </c>
      <c r="C1300" s="25" t="s">
        <v>2996</v>
      </c>
      <c r="D1300" s="26" t="n">
        <v>12</v>
      </c>
      <c r="E1300" s="27" t="n">
        <v>7.92081875395238</v>
      </c>
      <c r="F1300" s="27" t="n">
        <v>7.76143937264017</v>
      </c>
      <c r="G1300" s="25" t="s">
        <v>466</v>
      </c>
      <c r="H1300" s="25" t="s">
        <v>467</v>
      </c>
      <c r="I1300" s="25" t="n">
        <f aca="false">IFERROR(IF(INDEX(Documents!$C$5:$C$657,MATCH(H1300,Documents!$A$5:$A$657,0))="","",INDEX(Documents!$C$5:$C$657,MATCH(H1300,Documents!$A$5:$A$657,0))),"")</f>
        <v>2015</v>
      </c>
      <c r="J1300" s="25" t="str">
        <f aca="false">IFERROR(IF(INDEX(Documents!$D$5:$D$657,MATCH(H1300,Documents!$A$5:$A$657,0))="","",INDEX(Documents!$D$5:$D$657,MATCH(H1300,Documents!$A$5:$A$657,0))),"")</f>
        <v>J Nat Prod</v>
      </c>
      <c r="K1300" s="25" t="str">
        <f aca="false">IFERROR(IF(INDEX(Documents!$G$5:$G$657,MATCH(H1300,Documents!$A$5:$A$657,0))="","",INDEX(Documents!$G$5:$G$657,MATCH(H1300,Documents!$A$5:$A$657,0))),"")</f>
        <v>10.1021/acs.jnatprod.5b00065</v>
      </c>
      <c r="L1300" s="25" t="s">
        <v>468</v>
      </c>
    </row>
    <row r="1301" customFormat="false" ht="15" hidden="false" customHeight="false" outlineLevel="0" collapsed="false">
      <c r="A1301" s="25" t="n">
        <v>15626764</v>
      </c>
      <c r="B1301" s="25" t="s">
        <v>2997</v>
      </c>
      <c r="C1301" s="25" t="s">
        <v>2998</v>
      </c>
      <c r="D1301" s="26" t="n">
        <v>3274</v>
      </c>
      <c r="E1301" s="27" t="n">
        <v>5.48492132492408</v>
      </c>
      <c r="F1301" s="27" t="n">
        <v>5.48492132492408</v>
      </c>
      <c r="G1301" s="25" t="s">
        <v>466</v>
      </c>
      <c r="H1301" s="25" t="s">
        <v>467</v>
      </c>
      <c r="I1301" s="25" t="n">
        <f aca="false">IFERROR(IF(INDEX(Documents!$C$5:$C$657,MATCH(H1301,Documents!$A$5:$A$657,0))="","",INDEX(Documents!$C$5:$C$657,MATCH(H1301,Documents!$A$5:$A$657,0))),"")</f>
        <v>2015</v>
      </c>
      <c r="J1301" s="25" t="str">
        <f aca="false">IFERROR(IF(INDEX(Documents!$D$5:$D$657,MATCH(H1301,Documents!$A$5:$A$657,0))="","",INDEX(Documents!$D$5:$D$657,MATCH(H1301,Documents!$A$5:$A$657,0))),"")</f>
        <v>J Nat Prod</v>
      </c>
      <c r="K1301" s="25" t="str">
        <f aca="false">IFERROR(IF(INDEX(Documents!$G$5:$G$657,MATCH(H1301,Documents!$A$5:$A$657,0))="","",INDEX(Documents!$G$5:$G$657,MATCH(H1301,Documents!$A$5:$A$657,0))),"")</f>
        <v>10.1021/acs.jnatprod.5b00065</v>
      </c>
      <c r="L1301" s="25" t="s">
        <v>468</v>
      </c>
    </row>
    <row r="1302" customFormat="false" ht="15" hidden="false" customHeight="false" outlineLevel="0" collapsed="false">
      <c r="A1302" s="25" t="n">
        <v>15626765</v>
      </c>
      <c r="B1302" s="25" t="s">
        <v>2999</v>
      </c>
      <c r="C1302" s="25" t="s">
        <v>3000</v>
      </c>
      <c r="D1302" s="26" t="n">
        <v>30</v>
      </c>
      <c r="E1302" s="27" t="n">
        <v>7.52287874528034</v>
      </c>
      <c r="F1302" s="27" t="n">
        <v>7.52287874528034</v>
      </c>
      <c r="G1302" s="25" t="s">
        <v>466</v>
      </c>
      <c r="H1302" s="25" t="s">
        <v>467</v>
      </c>
      <c r="I1302" s="25" t="n">
        <f aca="false">IFERROR(IF(INDEX(Documents!$C$5:$C$657,MATCH(H1302,Documents!$A$5:$A$657,0))="","",INDEX(Documents!$C$5:$C$657,MATCH(H1302,Documents!$A$5:$A$657,0))),"")</f>
        <v>2015</v>
      </c>
      <c r="J1302" s="25" t="str">
        <f aca="false">IFERROR(IF(INDEX(Documents!$D$5:$D$657,MATCH(H1302,Documents!$A$5:$A$657,0))="","",INDEX(Documents!$D$5:$D$657,MATCH(H1302,Documents!$A$5:$A$657,0))),"")</f>
        <v>J Nat Prod</v>
      </c>
      <c r="K1302" s="25" t="str">
        <f aca="false">IFERROR(IF(INDEX(Documents!$G$5:$G$657,MATCH(H1302,Documents!$A$5:$A$657,0))="","",INDEX(Documents!$G$5:$G$657,MATCH(H1302,Documents!$A$5:$A$657,0))),"")</f>
        <v>10.1021/acs.jnatprod.5b00065</v>
      </c>
      <c r="L1302" s="25" t="s">
        <v>468</v>
      </c>
    </row>
    <row r="1303" customFormat="false" ht="15" hidden="false" customHeight="false" outlineLevel="0" collapsed="false">
      <c r="A1303" s="25" t="n">
        <v>23296351</v>
      </c>
      <c r="B1303" s="25" t="s">
        <v>3001</v>
      </c>
      <c r="C1303" s="25" t="s">
        <v>3002</v>
      </c>
      <c r="D1303" s="26" t="n">
        <v>4750</v>
      </c>
      <c r="E1303" s="27" t="n">
        <v>5.32330639037513</v>
      </c>
      <c r="F1303" s="27" t="n">
        <v>5.32330639037513</v>
      </c>
      <c r="G1303" s="25" t="s">
        <v>3003</v>
      </c>
      <c r="H1303" s="25" t="s">
        <v>3004</v>
      </c>
      <c r="I1303" s="25" t="n">
        <f aca="false">IFERROR(IF(INDEX(Documents!$C$5:$C$657,MATCH(H1303,Documents!$A$5:$A$657,0))="","",INDEX(Documents!$C$5:$C$657,MATCH(H1303,Documents!$A$5:$A$657,0))),"")</f>
        <v>2021</v>
      </c>
      <c r="J1303" s="25" t="str">
        <f aca="false">IFERROR(IF(INDEX(Documents!$D$5:$D$657,MATCH(H1303,Documents!$A$5:$A$657,0))="","",INDEX(Documents!$D$5:$D$657,MATCH(H1303,Documents!$A$5:$A$657,0))),"")</f>
        <v>J Nat Prod</v>
      </c>
      <c r="K1303" s="25" t="str">
        <f aca="false">IFERROR(IF(INDEX(Documents!$G$5:$G$657,MATCH(H1303,Documents!$A$5:$A$657,0))="","",INDEX(Documents!$G$5:$G$657,MATCH(H1303,Documents!$A$5:$A$657,0))),"")</f>
        <v>10.1021/acs.jnatprod.1c00513</v>
      </c>
      <c r="L1303" s="25" t="s">
        <v>3005</v>
      </c>
    </row>
    <row r="1304" customFormat="false" ht="15" hidden="false" customHeight="false" outlineLevel="0" collapsed="false">
      <c r="A1304" s="25" t="n">
        <v>15626762</v>
      </c>
      <c r="B1304" s="25" t="s">
        <v>3006</v>
      </c>
      <c r="C1304" s="25" t="s">
        <v>3007</v>
      </c>
      <c r="D1304" s="26" t="n">
        <v>335</v>
      </c>
      <c r="E1304" s="27" t="n">
        <v>6.47495519296315</v>
      </c>
      <c r="F1304" s="27" t="n">
        <v>6.47495519296315</v>
      </c>
      <c r="G1304" s="25" t="s">
        <v>466</v>
      </c>
      <c r="H1304" s="25" t="s">
        <v>467</v>
      </c>
      <c r="I1304" s="25" t="n">
        <f aca="false">IFERROR(IF(INDEX(Documents!$C$5:$C$657,MATCH(H1304,Documents!$A$5:$A$657,0))="","",INDEX(Documents!$C$5:$C$657,MATCH(H1304,Documents!$A$5:$A$657,0))),"")</f>
        <v>2015</v>
      </c>
      <c r="J1304" s="25" t="str">
        <f aca="false">IFERROR(IF(INDEX(Documents!$D$5:$D$657,MATCH(H1304,Documents!$A$5:$A$657,0))="","",INDEX(Documents!$D$5:$D$657,MATCH(H1304,Documents!$A$5:$A$657,0))),"")</f>
        <v>J Nat Prod</v>
      </c>
      <c r="K1304" s="25" t="str">
        <f aca="false">IFERROR(IF(INDEX(Documents!$G$5:$G$657,MATCH(H1304,Documents!$A$5:$A$657,0))="","",INDEX(Documents!$G$5:$G$657,MATCH(H1304,Documents!$A$5:$A$657,0))),"")</f>
        <v>10.1021/acs.jnatprod.5b00065</v>
      </c>
      <c r="L1304" s="25" t="s">
        <v>468</v>
      </c>
    </row>
    <row r="1305" customFormat="false" ht="15" hidden="false" customHeight="false" outlineLevel="0" collapsed="false">
      <c r="A1305" s="25" t="n">
        <v>15626760</v>
      </c>
      <c r="B1305" s="25" t="s">
        <v>3008</v>
      </c>
      <c r="C1305" s="25" t="s">
        <v>3009</v>
      </c>
      <c r="D1305" s="26" t="n">
        <v>2143</v>
      </c>
      <c r="E1305" s="27" t="n">
        <v>5.66897782895817</v>
      </c>
      <c r="F1305" s="27" t="n">
        <v>5.66897782895817</v>
      </c>
      <c r="G1305" s="25" t="s">
        <v>466</v>
      </c>
      <c r="H1305" s="25" t="s">
        <v>467</v>
      </c>
      <c r="I1305" s="25" t="n">
        <f aca="false">IFERROR(IF(INDEX(Documents!$C$5:$C$657,MATCH(H1305,Documents!$A$5:$A$657,0))="","",INDEX(Documents!$C$5:$C$657,MATCH(H1305,Documents!$A$5:$A$657,0))),"")</f>
        <v>2015</v>
      </c>
      <c r="J1305" s="25" t="str">
        <f aca="false">IFERROR(IF(INDEX(Documents!$D$5:$D$657,MATCH(H1305,Documents!$A$5:$A$657,0))="","",INDEX(Documents!$D$5:$D$657,MATCH(H1305,Documents!$A$5:$A$657,0))),"")</f>
        <v>J Nat Prod</v>
      </c>
      <c r="K1305" s="25" t="str">
        <f aca="false">IFERROR(IF(INDEX(Documents!$G$5:$G$657,MATCH(H1305,Documents!$A$5:$A$657,0))="","",INDEX(Documents!$G$5:$G$657,MATCH(H1305,Documents!$A$5:$A$657,0))),"")</f>
        <v>10.1021/acs.jnatprod.5b00065</v>
      </c>
      <c r="L1305" s="25" t="s">
        <v>468</v>
      </c>
    </row>
    <row r="1306" customFormat="false" ht="15" hidden="false" customHeight="false" outlineLevel="0" collapsed="false">
      <c r="A1306" s="25" t="n">
        <v>15626766</v>
      </c>
      <c r="B1306" s="25" t="s">
        <v>3010</v>
      </c>
      <c r="C1306" s="25" t="s">
        <v>3011</v>
      </c>
      <c r="D1306" s="26" t="n">
        <v>88</v>
      </c>
      <c r="E1306" s="27" t="n">
        <v>7.05551732784983</v>
      </c>
      <c r="F1306" s="27" t="n">
        <v>7.05551732784983</v>
      </c>
      <c r="G1306" s="25" t="s">
        <v>466</v>
      </c>
      <c r="H1306" s="25" t="s">
        <v>467</v>
      </c>
      <c r="I1306" s="25" t="n">
        <f aca="false">IFERROR(IF(INDEX(Documents!$C$5:$C$657,MATCH(H1306,Documents!$A$5:$A$657,0))="","",INDEX(Documents!$C$5:$C$657,MATCH(H1306,Documents!$A$5:$A$657,0))),"")</f>
        <v>2015</v>
      </c>
      <c r="J1306" s="25" t="str">
        <f aca="false">IFERROR(IF(INDEX(Documents!$D$5:$D$657,MATCH(H1306,Documents!$A$5:$A$657,0))="","",INDEX(Documents!$D$5:$D$657,MATCH(H1306,Documents!$A$5:$A$657,0))),"")</f>
        <v>J Nat Prod</v>
      </c>
      <c r="K1306" s="25" t="str">
        <f aca="false">IFERROR(IF(INDEX(Documents!$G$5:$G$657,MATCH(H1306,Documents!$A$5:$A$657,0))="","",INDEX(Documents!$G$5:$G$657,MATCH(H1306,Documents!$A$5:$A$657,0))),"")</f>
        <v>10.1021/acs.jnatprod.5b00065</v>
      </c>
      <c r="L1306" s="25" t="s">
        <v>468</v>
      </c>
    </row>
    <row r="1307" customFormat="false" ht="15" hidden="false" customHeight="false" outlineLevel="0" collapsed="false">
      <c r="A1307" s="25" t="n">
        <v>15626767</v>
      </c>
      <c r="B1307" s="25" t="s">
        <v>3012</v>
      </c>
      <c r="C1307" s="25" t="s">
        <v>3013</v>
      </c>
      <c r="D1307" s="26" t="n">
        <v>3219</v>
      </c>
      <c r="E1307" s="27" t="n">
        <v>5.49227902331439</v>
      </c>
      <c r="F1307" s="27" t="n">
        <v>5.49227902331439</v>
      </c>
      <c r="G1307" s="25" t="s">
        <v>466</v>
      </c>
      <c r="H1307" s="25" t="s">
        <v>467</v>
      </c>
      <c r="I1307" s="25" t="n">
        <f aca="false">IFERROR(IF(INDEX(Documents!$C$5:$C$657,MATCH(H1307,Documents!$A$5:$A$657,0))="","",INDEX(Documents!$C$5:$C$657,MATCH(H1307,Documents!$A$5:$A$657,0))),"")</f>
        <v>2015</v>
      </c>
      <c r="J1307" s="25" t="str">
        <f aca="false">IFERROR(IF(INDEX(Documents!$D$5:$D$657,MATCH(H1307,Documents!$A$5:$A$657,0))="","",INDEX(Documents!$D$5:$D$657,MATCH(H1307,Documents!$A$5:$A$657,0))),"")</f>
        <v>J Nat Prod</v>
      </c>
      <c r="K1307" s="25" t="str">
        <f aca="false">IFERROR(IF(INDEX(Documents!$G$5:$G$657,MATCH(H1307,Documents!$A$5:$A$657,0))="","",INDEX(Documents!$G$5:$G$657,MATCH(H1307,Documents!$A$5:$A$657,0))),"")</f>
        <v>10.1021/acs.jnatprod.5b00065</v>
      </c>
      <c r="L1307" s="25" t="s">
        <v>468</v>
      </c>
    </row>
    <row r="1308" customFormat="false" ht="15" hidden="false" customHeight="false" outlineLevel="0" collapsed="false">
      <c r="A1308" s="25" t="n">
        <v>18679892</v>
      </c>
      <c r="B1308" s="25" t="s">
        <v>3014</v>
      </c>
      <c r="C1308" s="25" t="s">
        <v>3015</v>
      </c>
      <c r="D1308" s="26" t="n">
        <v>51.5</v>
      </c>
      <c r="E1308" s="27" t="n">
        <v>7.28819277095881</v>
      </c>
      <c r="F1308" s="27" t="n">
        <v>7.28819277095881</v>
      </c>
      <c r="G1308" s="25" t="s">
        <v>1623</v>
      </c>
      <c r="H1308" s="25" t="s">
        <v>1624</v>
      </c>
      <c r="I1308" s="25" t="n">
        <f aca="false">IFERROR(IF(INDEX(Documents!$C$5:$C$657,MATCH(H1308,Documents!$A$5:$A$657,0))="","",INDEX(Documents!$C$5:$C$657,MATCH(H1308,Documents!$A$5:$A$657,0))),"")</f>
        <v>2018</v>
      </c>
      <c r="J1308" s="25" t="str">
        <f aca="false">IFERROR(IF(INDEX(Documents!$D$5:$D$657,MATCH(H1308,Documents!$A$5:$A$657,0))="","",INDEX(Documents!$D$5:$D$657,MATCH(H1308,Documents!$A$5:$A$657,0))),"")</f>
        <v>Bioorg Med Chem</v>
      </c>
      <c r="K1308" s="25" t="str">
        <f aca="false">IFERROR(IF(INDEX(Documents!$G$5:$G$657,MATCH(H1308,Documents!$A$5:$A$657,0))="","",INDEX(Documents!$G$5:$G$657,MATCH(H1308,Documents!$A$5:$A$657,0))),"")</f>
        <v>10.1016/j.bmc.2018.08.003</v>
      </c>
      <c r="L1308" s="25" t="s">
        <v>1625</v>
      </c>
    </row>
    <row r="1309" customFormat="false" ht="15" hidden="false" customHeight="false" outlineLevel="0" collapsed="false">
      <c r="A1309" s="25" t="n">
        <v>23296352</v>
      </c>
      <c r="B1309" s="25" t="s">
        <v>3016</v>
      </c>
      <c r="C1309" s="25" t="s">
        <v>3017</v>
      </c>
      <c r="D1309" s="26" t="n">
        <v>99</v>
      </c>
      <c r="E1309" s="27" t="n">
        <v>7.00436480540245</v>
      </c>
      <c r="F1309" s="27" t="n">
        <v>7.00436480540245</v>
      </c>
      <c r="G1309" s="25" t="s">
        <v>3003</v>
      </c>
      <c r="H1309" s="25" t="s">
        <v>3004</v>
      </c>
      <c r="I1309" s="25" t="n">
        <f aca="false">IFERROR(IF(INDEX(Documents!$C$5:$C$657,MATCH(H1309,Documents!$A$5:$A$657,0))="","",INDEX(Documents!$C$5:$C$657,MATCH(H1309,Documents!$A$5:$A$657,0))),"")</f>
        <v>2021</v>
      </c>
      <c r="J1309" s="25" t="str">
        <f aca="false">IFERROR(IF(INDEX(Documents!$D$5:$D$657,MATCH(H1309,Documents!$A$5:$A$657,0))="","",INDEX(Documents!$D$5:$D$657,MATCH(H1309,Documents!$A$5:$A$657,0))),"")</f>
        <v>J Nat Prod</v>
      </c>
      <c r="K1309" s="25" t="str">
        <f aca="false">IFERROR(IF(INDEX(Documents!$G$5:$G$657,MATCH(H1309,Documents!$A$5:$A$657,0))="","",INDEX(Documents!$G$5:$G$657,MATCH(H1309,Documents!$A$5:$A$657,0))),"")</f>
        <v>10.1021/acs.jnatprod.1c00513</v>
      </c>
      <c r="L1309" s="25" t="s">
        <v>3005</v>
      </c>
    </row>
    <row r="1310" customFormat="false" ht="15" hidden="false" customHeight="false" outlineLevel="0" collapsed="false">
      <c r="A1310" s="25" t="n">
        <v>19371451</v>
      </c>
      <c r="B1310" s="25" t="s">
        <v>3018</v>
      </c>
      <c r="C1310" s="25" t="s">
        <v>3019</v>
      </c>
      <c r="D1310" s="26" t="n">
        <v>257</v>
      </c>
      <c r="E1310" s="27" t="n">
        <v>6.59006687666871</v>
      </c>
      <c r="F1310" s="27" t="n">
        <v>6.64451844050236</v>
      </c>
      <c r="G1310" s="25" t="s">
        <v>389</v>
      </c>
      <c r="H1310" s="25" t="s">
        <v>341</v>
      </c>
      <c r="I1310" s="25" t="n">
        <f aca="false">IFERROR(IF(INDEX(Documents!$C$5:$C$657,MATCH(H1310,Documents!$A$5:$A$657,0))="","",INDEX(Documents!$C$5:$C$657,MATCH(H1310,Documents!$A$5:$A$657,0))),"")</f>
        <v>2019</v>
      </c>
      <c r="J1310" s="25" t="str">
        <f aca="false">IFERROR(IF(INDEX(Documents!$D$5:$D$657,MATCH(H1310,Documents!$A$5:$A$657,0))="","",INDEX(Documents!$D$5:$D$657,MATCH(H1310,Documents!$A$5:$A$657,0))),"")</f>
        <v>J Nat Prod</v>
      </c>
      <c r="K1310" s="25" t="str">
        <f aca="false">IFERROR(IF(INDEX(Documents!$G$5:$G$657,MATCH(H1310,Documents!$A$5:$A$657,0))="","",INDEX(Documents!$G$5:$G$657,MATCH(H1310,Documents!$A$5:$A$657,0))),"")</f>
        <v>10.1021/acs.jnatprod.8b00874</v>
      </c>
      <c r="L1310" s="25" t="s">
        <v>390</v>
      </c>
    </row>
    <row r="1311" customFormat="false" ht="15" hidden="false" customHeight="false" outlineLevel="0" collapsed="false">
      <c r="A1311" s="25" t="n">
        <v>29092159</v>
      </c>
      <c r="B1311" s="25" t="s">
        <v>3018</v>
      </c>
      <c r="C1311" s="25" t="s">
        <v>3019</v>
      </c>
      <c r="D1311" s="26" t="n">
        <v>200</v>
      </c>
      <c r="E1311" s="27" t="n">
        <v>6.69897000433602</v>
      </c>
      <c r="F1311" s="27" t="n">
        <v>6.64451844050236</v>
      </c>
      <c r="G1311" s="25" t="s">
        <v>3020</v>
      </c>
      <c r="H1311" s="25" t="s">
        <v>3021</v>
      </c>
      <c r="I1311" s="25" t="n">
        <f aca="false">IFERROR(IF(INDEX(Documents!$C$5:$C$657,MATCH(H1311,Documents!$A$5:$A$657,0))="","",INDEX(Documents!$C$5:$C$657,MATCH(H1311,Documents!$A$5:$A$657,0))),"")</f>
        <v>2024</v>
      </c>
      <c r="J1311" s="25" t="str">
        <f aca="false">IFERROR(IF(INDEX(Documents!$D$5:$D$657,MATCH(H1311,Documents!$A$5:$A$657,0))="","",INDEX(Documents!$D$5:$D$657,MATCH(H1311,Documents!$A$5:$A$657,0))),"")</f>
        <v>Eur J Med Chem</v>
      </c>
      <c r="K1311" s="25" t="str">
        <f aca="false">IFERROR(IF(INDEX(Documents!$G$5:$G$657,MATCH(H1311,Documents!$A$5:$A$657,0))="","",INDEX(Documents!$G$5:$G$657,MATCH(H1311,Documents!$A$5:$A$657,0))),"")</f>
        <v>10.1016/j.ejmech.2024.116164</v>
      </c>
      <c r="L1311" s="25" t="s">
        <v>3022</v>
      </c>
    </row>
    <row r="1312" customFormat="false" ht="15" hidden="false" customHeight="false" outlineLevel="0" collapsed="false">
      <c r="A1312" s="25" t="n">
        <v>14999680</v>
      </c>
      <c r="B1312" s="25" t="s">
        <v>3023</v>
      </c>
      <c r="C1312" s="25" t="s">
        <v>3024</v>
      </c>
      <c r="D1312" s="26" t="n">
        <v>470</v>
      </c>
      <c r="E1312" s="27" t="n">
        <v>6.32790214206428</v>
      </c>
      <c r="F1312" s="27" t="n">
        <v>6.32790214206428</v>
      </c>
      <c r="G1312" s="25" t="s">
        <v>2988</v>
      </c>
      <c r="H1312" s="25" t="s">
        <v>2989</v>
      </c>
      <c r="I1312" s="25" t="n">
        <f aca="false">IFERROR(IF(INDEX(Documents!$C$5:$C$657,MATCH(H1312,Documents!$A$5:$A$657,0))="","",INDEX(Documents!$C$5:$C$657,MATCH(H1312,Documents!$A$5:$A$657,0))),"")</f>
        <v>2014</v>
      </c>
      <c r="J1312" s="25" t="str">
        <f aca="false">IFERROR(IF(INDEX(Documents!$D$5:$D$657,MATCH(H1312,Documents!$A$5:$A$657,0))="","",INDEX(Documents!$D$5:$D$657,MATCH(H1312,Documents!$A$5:$A$657,0))),"")</f>
        <v>Eur J Med Chem</v>
      </c>
      <c r="K1312" s="25" t="str">
        <f aca="false">IFERROR(IF(INDEX(Documents!$G$5:$G$657,MATCH(H1312,Documents!$A$5:$A$657,0))="","",INDEX(Documents!$G$5:$G$657,MATCH(H1312,Documents!$A$5:$A$657,0))),"")</f>
        <v>10.1016/j.ejmech.2014.07.062</v>
      </c>
      <c r="L1312" s="25" t="s">
        <v>2990</v>
      </c>
    </row>
    <row r="1313" customFormat="false" ht="15" hidden="false" customHeight="false" outlineLevel="0" collapsed="false">
      <c r="A1313" s="25" t="n">
        <v>14999679</v>
      </c>
      <c r="B1313" s="25" t="s">
        <v>3025</v>
      </c>
      <c r="C1313" s="25" t="s">
        <v>3026</v>
      </c>
      <c r="D1313" s="26" t="n">
        <v>180</v>
      </c>
      <c r="E1313" s="27" t="n">
        <v>6.74472749489669</v>
      </c>
      <c r="F1313" s="27" t="n">
        <v>6.74472749489669</v>
      </c>
      <c r="G1313" s="25" t="s">
        <v>2988</v>
      </c>
      <c r="H1313" s="25" t="s">
        <v>2989</v>
      </c>
      <c r="I1313" s="25" t="n">
        <f aca="false">IFERROR(IF(INDEX(Documents!$C$5:$C$657,MATCH(H1313,Documents!$A$5:$A$657,0))="","",INDEX(Documents!$C$5:$C$657,MATCH(H1313,Documents!$A$5:$A$657,0))),"")</f>
        <v>2014</v>
      </c>
      <c r="J1313" s="25" t="str">
        <f aca="false">IFERROR(IF(INDEX(Documents!$D$5:$D$657,MATCH(H1313,Documents!$A$5:$A$657,0))="","",INDEX(Documents!$D$5:$D$657,MATCH(H1313,Documents!$A$5:$A$657,0))),"")</f>
        <v>Eur J Med Chem</v>
      </c>
      <c r="K1313" s="25" t="str">
        <f aca="false">IFERROR(IF(INDEX(Documents!$G$5:$G$657,MATCH(H1313,Documents!$A$5:$A$657,0))="","",INDEX(Documents!$G$5:$G$657,MATCH(H1313,Documents!$A$5:$A$657,0))),"")</f>
        <v>10.1016/j.ejmech.2014.07.062</v>
      </c>
      <c r="L1313" s="25" t="s">
        <v>2990</v>
      </c>
    </row>
    <row r="1314" customFormat="false" ht="15" hidden="false" customHeight="false" outlineLevel="0" collapsed="false">
      <c r="A1314" s="25" t="n">
        <v>12137493</v>
      </c>
      <c r="B1314" s="25" t="s">
        <v>3027</v>
      </c>
      <c r="C1314" s="25" t="s">
        <v>3028</v>
      </c>
      <c r="D1314" s="26" t="n">
        <v>1760</v>
      </c>
      <c r="E1314" s="27" t="n">
        <v>5.75448733218585</v>
      </c>
      <c r="F1314" s="27" t="n">
        <v>5.75448733218585</v>
      </c>
      <c r="G1314" s="25" t="s">
        <v>2120</v>
      </c>
      <c r="H1314" s="25" t="s">
        <v>2121</v>
      </c>
      <c r="I1314" s="25" t="n">
        <f aca="false">IFERROR(IF(INDEX(Documents!$C$5:$C$657,MATCH(H1314,Documents!$A$5:$A$657,0))="","",INDEX(Documents!$C$5:$C$657,MATCH(H1314,Documents!$A$5:$A$657,0))),"")</f>
        <v>2012</v>
      </c>
      <c r="J1314" s="25" t="str">
        <f aca="false">IFERROR(IF(INDEX(Documents!$D$5:$D$657,MATCH(H1314,Documents!$A$5:$A$657,0))="","",INDEX(Documents!$D$5:$D$657,MATCH(H1314,Documents!$A$5:$A$657,0))),"")</f>
        <v>J Med Chem</v>
      </c>
      <c r="K1314" s="25" t="str">
        <f aca="false">IFERROR(IF(INDEX(Documents!$G$5:$G$657,MATCH(H1314,Documents!$A$5:$A$657,0))="","",INDEX(Documents!$G$5:$G$657,MATCH(H1314,Documents!$A$5:$A$657,0))),"")</f>
        <v>10.1021/jm3008213</v>
      </c>
      <c r="L1314" s="25" t="s">
        <v>2122</v>
      </c>
    </row>
    <row r="1315" customFormat="false" ht="15" hidden="false" customHeight="false" outlineLevel="0" collapsed="false">
      <c r="A1315" s="25" t="n">
        <v>12137487</v>
      </c>
      <c r="B1315" s="25" t="s">
        <v>3029</v>
      </c>
      <c r="C1315" s="25" t="s">
        <v>3030</v>
      </c>
      <c r="D1315" s="26" t="n">
        <v>2200</v>
      </c>
      <c r="E1315" s="27" t="n">
        <v>5.65757731917779</v>
      </c>
      <c r="F1315" s="27" t="n">
        <v>5.65757731917779</v>
      </c>
      <c r="G1315" s="25" t="s">
        <v>2120</v>
      </c>
      <c r="H1315" s="25" t="s">
        <v>2121</v>
      </c>
      <c r="I1315" s="25" t="n">
        <f aca="false">IFERROR(IF(INDEX(Documents!$C$5:$C$657,MATCH(H1315,Documents!$A$5:$A$657,0))="","",INDEX(Documents!$C$5:$C$657,MATCH(H1315,Documents!$A$5:$A$657,0))),"")</f>
        <v>2012</v>
      </c>
      <c r="J1315" s="25" t="str">
        <f aca="false">IFERROR(IF(INDEX(Documents!$D$5:$D$657,MATCH(H1315,Documents!$A$5:$A$657,0))="","",INDEX(Documents!$D$5:$D$657,MATCH(H1315,Documents!$A$5:$A$657,0))),"")</f>
        <v>J Med Chem</v>
      </c>
      <c r="K1315" s="25" t="str">
        <f aca="false">IFERROR(IF(INDEX(Documents!$G$5:$G$657,MATCH(H1315,Documents!$A$5:$A$657,0))="","",INDEX(Documents!$G$5:$G$657,MATCH(H1315,Documents!$A$5:$A$657,0))),"")</f>
        <v>10.1021/jm3008213</v>
      </c>
      <c r="L1315" s="25" t="s">
        <v>2122</v>
      </c>
    </row>
    <row r="1316" customFormat="false" ht="15" hidden="false" customHeight="false" outlineLevel="0" collapsed="false">
      <c r="A1316" s="25" t="n">
        <v>12137499</v>
      </c>
      <c r="B1316" s="25" t="s">
        <v>3031</v>
      </c>
      <c r="C1316" s="25" t="s">
        <v>3032</v>
      </c>
      <c r="D1316" s="26" t="n">
        <v>5150</v>
      </c>
      <c r="E1316" s="27" t="n">
        <v>5.28819277095881</v>
      </c>
      <c r="F1316" s="27" t="n">
        <v>5.28819277095881</v>
      </c>
      <c r="G1316" s="25" t="s">
        <v>2120</v>
      </c>
      <c r="H1316" s="25" t="s">
        <v>2121</v>
      </c>
      <c r="I1316" s="25" t="n">
        <f aca="false">IFERROR(IF(INDEX(Documents!$C$5:$C$657,MATCH(H1316,Documents!$A$5:$A$657,0))="","",INDEX(Documents!$C$5:$C$657,MATCH(H1316,Documents!$A$5:$A$657,0))),"")</f>
        <v>2012</v>
      </c>
      <c r="J1316" s="25" t="str">
        <f aca="false">IFERROR(IF(INDEX(Documents!$D$5:$D$657,MATCH(H1316,Documents!$A$5:$A$657,0))="","",INDEX(Documents!$D$5:$D$657,MATCH(H1316,Documents!$A$5:$A$657,0))),"")</f>
        <v>J Med Chem</v>
      </c>
      <c r="K1316" s="25" t="str">
        <f aca="false">IFERROR(IF(INDEX(Documents!$G$5:$G$657,MATCH(H1316,Documents!$A$5:$A$657,0))="","",INDEX(Documents!$G$5:$G$657,MATCH(H1316,Documents!$A$5:$A$657,0))),"")</f>
        <v>10.1021/jm3008213</v>
      </c>
      <c r="L1316" s="25" t="s">
        <v>2122</v>
      </c>
    </row>
    <row r="1317" customFormat="false" ht="15" hidden="false" customHeight="false" outlineLevel="0" collapsed="false">
      <c r="A1317" s="25" t="n">
        <v>12137497</v>
      </c>
      <c r="B1317" s="25" t="s">
        <v>3033</v>
      </c>
      <c r="C1317" s="25" t="s">
        <v>3034</v>
      </c>
      <c r="D1317" s="26" t="n">
        <v>1680</v>
      </c>
      <c r="E1317" s="27" t="n">
        <v>5.77469071827414</v>
      </c>
      <c r="F1317" s="27" t="n">
        <v>5.77469071827414</v>
      </c>
      <c r="G1317" s="25" t="s">
        <v>2120</v>
      </c>
      <c r="H1317" s="25" t="s">
        <v>2121</v>
      </c>
      <c r="I1317" s="25" t="n">
        <f aca="false">IFERROR(IF(INDEX(Documents!$C$5:$C$657,MATCH(H1317,Documents!$A$5:$A$657,0))="","",INDEX(Documents!$C$5:$C$657,MATCH(H1317,Documents!$A$5:$A$657,0))),"")</f>
        <v>2012</v>
      </c>
      <c r="J1317" s="25" t="str">
        <f aca="false">IFERROR(IF(INDEX(Documents!$D$5:$D$657,MATCH(H1317,Documents!$A$5:$A$657,0))="","",INDEX(Documents!$D$5:$D$657,MATCH(H1317,Documents!$A$5:$A$657,0))),"")</f>
        <v>J Med Chem</v>
      </c>
      <c r="K1317" s="25" t="str">
        <f aca="false">IFERROR(IF(INDEX(Documents!$G$5:$G$657,MATCH(H1317,Documents!$A$5:$A$657,0))="","",INDEX(Documents!$G$5:$G$657,MATCH(H1317,Documents!$A$5:$A$657,0))),"")</f>
        <v>10.1021/jm3008213</v>
      </c>
      <c r="L1317" s="25" t="s">
        <v>2122</v>
      </c>
    </row>
    <row r="1318" customFormat="false" ht="15" hidden="false" customHeight="false" outlineLevel="0" collapsed="false">
      <c r="A1318" s="25" t="n">
        <v>12137495</v>
      </c>
      <c r="B1318" s="25" t="s">
        <v>3035</v>
      </c>
      <c r="C1318" s="25" t="s">
        <v>3036</v>
      </c>
      <c r="D1318" s="26" t="n">
        <v>3570</v>
      </c>
      <c r="E1318" s="27" t="n">
        <v>5.44733178388781</v>
      </c>
      <c r="F1318" s="27" t="n">
        <v>5.44733178388781</v>
      </c>
      <c r="G1318" s="25" t="s">
        <v>2120</v>
      </c>
      <c r="H1318" s="25" t="s">
        <v>2121</v>
      </c>
      <c r="I1318" s="25" t="n">
        <f aca="false">IFERROR(IF(INDEX(Documents!$C$5:$C$657,MATCH(H1318,Documents!$A$5:$A$657,0))="","",INDEX(Documents!$C$5:$C$657,MATCH(H1318,Documents!$A$5:$A$657,0))),"")</f>
        <v>2012</v>
      </c>
      <c r="J1318" s="25" t="str">
        <f aca="false">IFERROR(IF(INDEX(Documents!$D$5:$D$657,MATCH(H1318,Documents!$A$5:$A$657,0))="","",INDEX(Documents!$D$5:$D$657,MATCH(H1318,Documents!$A$5:$A$657,0))),"")</f>
        <v>J Med Chem</v>
      </c>
      <c r="K1318" s="25" t="str">
        <f aca="false">IFERROR(IF(INDEX(Documents!$G$5:$G$657,MATCH(H1318,Documents!$A$5:$A$657,0))="","",INDEX(Documents!$G$5:$G$657,MATCH(H1318,Documents!$A$5:$A$657,0))),"")</f>
        <v>10.1021/jm3008213</v>
      </c>
      <c r="L1318" s="25" t="s">
        <v>2122</v>
      </c>
    </row>
    <row r="1319" customFormat="false" ht="15" hidden="false" customHeight="false" outlineLevel="0" collapsed="false">
      <c r="A1319" s="25" t="n">
        <v>12137489</v>
      </c>
      <c r="B1319" s="25" t="s">
        <v>3037</v>
      </c>
      <c r="C1319" s="25" t="s">
        <v>3038</v>
      </c>
      <c r="D1319" s="26" t="n">
        <v>1940</v>
      </c>
      <c r="E1319" s="27" t="n">
        <v>5.71219827006977</v>
      </c>
      <c r="F1319" s="27" t="n">
        <v>5.71219827006977</v>
      </c>
      <c r="G1319" s="25" t="s">
        <v>2120</v>
      </c>
      <c r="H1319" s="25" t="s">
        <v>2121</v>
      </c>
      <c r="I1319" s="25" t="n">
        <f aca="false">IFERROR(IF(INDEX(Documents!$C$5:$C$657,MATCH(H1319,Documents!$A$5:$A$657,0))="","",INDEX(Documents!$C$5:$C$657,MATCH(H1319,Documents!$A$5:$A$657,0))),"")</f>
        <v>2012</v>
      </c>
      <c r="J1319" s="25" t="str">
        <f aca="false">IFERROR(IF(INDEX(Documents!$D$5:$D$657,MATCH(H1319,Documents!$A$5:$A$657,0))="","",INDEX(Documents!$D$5:$D$657,MATCH(H1319,Documents!$A$5:$A$657,0))),"")</f>
        <v>J Med Chem</v>
      </c>
      <c r="K1319" s="25" t="str">
        <f aca="false">IFERROR(IF(INDEX(Documents!$G$5:$G$657,MATCH(H1319,Documents!$A$5:$A$657,0))="","",INDEX(Documents!$G$5:$G$657,MATCH(H1319,Documents!$A$5:$A$657,0))),"")</f>
        <v>10.1021/jm3008213</v>
      </c>
      <c r="L1319" s="25" t="s">
        <v>2122</v>
      </c>
    </row>
    <row r="1320" customFormat="false" ht="15" hidden="false" customHeight="false" outlineLevel="0" collapsed="false">
      <c r="A1320" s="25" t="n">
        <v>12137491</v>
      </c>
      <c r="B1320" s="25" t="s">
        <v>3039</v>
      </c>
      <c r="C1320" s="25" t="s">
        <v>3040</v>
      </c>
      <c r="D1320" s="26" t="n">
        <v>4800</v>
      </c>
      <c r="E1320" s="27" t="n">
        <v>5.31875876262441</v>
      </c>
      <c r="F1320" s="27" t="n">
        <v>5.31875876262441</v>
      </c>
      <c r="G1320" s="25" t="s">
        <v>2120</v>
      </c>
      <c r="H1320" s="25" t="s">
        <v>2121</v>
      </c>
      <c r="I1320" s="25" t="n">
        <f aca="false">IFERROR(IF(INDEX(Documents!$C$5:$C$657,MATCH(H1320,Documents!$A$5:$A$657,0))="","",INDEX(Documents!$C$5:$C$657,MATCH(H1320,Documents!$A$5:$A$657,0))),"")</f>
        <v>2012</v>
      </c>
      <c r="J1320" s="25" t="str">
        <f aca="false">IFERROR(IF(INDEX(Documents!$D$5:$D$657,MATCH(H1320,Documents!$A$5:$A$657,0))="","",INDEX(Documents!$D$5:$D$657,MATCH(H1320,Documents!$A$5:$A$657,0))),"")</f>
        <v>J Med Chem</v>
      </c>
      <c r="K1320" s="25" t="str">
        <f aca="false">IFERROR(IF(INDEX(Documents!$G$5:$G$657,MATCH(H1320,Documents!$A$5:$A$657,0))="","",INDEX(Documents!$G$5:$G$657,MATCH(H1320,Documents!$A$5:$A$657,0))),"")</f>
        <v>10.1021/jm3008213</v>
      </c>
      <c r="L1320" s="25" t="s">
        <v>2122</v>
      </c>
    </row>
    <row r="1321" customFormat="false" ht="15" hidden="false" customHeight="false" outlineLevel="0" collapsed="false">
      <c r="A1321" s="25" t="n">
        <v>1846060</v>
      </c>
      <c r="B1321" s="25" t="s">
        <v>3041</v>
      </c>
      <c r="C1321" s="25" t="s">
        <v>3042</v>
      </c>
      <c r="D1321" s="26" t="n">
        <v>960</v>
      </c>
      <c r="E1321" s="27" t="n">
        <v>6.01772876696043</v>
      </c>
      <c r="F1321" s="27" t="n">
        <v>6.01772876696043</v>
      </c>
      <c r="G1321" s="25" t="s">
        <v>2249</v>
      </c>
      <c r="H1321" s="25" t="s">
        <v>2250</v>
      </c>
      <c r="I1321" s="25" t="n">
        <f aca="false">IFERROR(IF(INDEX(Documents!$C$5:$C$657,MATCH(H1321,Documents!$A$5:$A$657,0))="","",INDEX(Documents!$C$5:$C$657,MATCH(H1321,Documents!$A$5:$A$657,0))),"")</f>
        <v>2005</v>
      </c>
      <c r="J1321" s="25" t="str">
        <f aca="false">IFERROR(IF(INDEX(Documents!$D$5:$D$657,MATCH(H1321,Documents!$A$5:$A$657,0))="","",INDEX(Documents!$D$5:$D$657,MATCH(H1321,Documents!$A$5:$A$657,0))),"")</f>
        <v>J Med Chem</v>
      </c>
      <c r="K1321" s="25" t="str">
        <f aca="false">IFERROR(IF(INDEX(Documents!$G$5:$G$657,MATCH(H1321,Documents!$A$5:$A$657,0))="","",INDEX(Documents!$G$5:$G$657,MATCH(H1321,Documents!$A$5:$A$657,0))),"")</f>
        <v>10.1021/jm0501533</v>
      </c>
      <c r="L1321" s="25" t="s">
        <v>2251</v>
      </c>
    </row>
    <row r="1322" customFormat="false" ht="15" hidden="false" customHeight="false" outlineLevel="0" collapsed="false">
      <c r="A1322" s="25" t="n">
        <v>1887200</v>
      </c>
      <c r="B1322" s="25" t="s">
        <v>3043</v>
      </c>
      <c r="C1322" s="25" t="s">
        <v>3044</v>
      </c>
      <c r="D1322" s="26" t="n">
        <v>39</v>
      </c>
      <c r="E1322" s="27" t="n">
        <v>7.4089353929735</v>
      </c>
      <c r="F1322" s="27" t="n">
        <v>7.4089353929735</v>
      </c>
      <c r="G1322" s="25" t="s">
        <v>2721</v>
      </c>
      <c r="H1322" s="25" t="s">
        <v>2722</v>
      </c>
      <c r="I1322" s="25" t="n">
        <f aca="false">IFERROR(IF(INDEX(Documents!$C$5:$C$657,MATCH(H1322,Documents!$A$5:$A$657,0))="","",INDEX(Documents!$C$5:$C$657,MATCH(H1322,Documents!$A$5:$A$657,0))),"")</f>
        <v>2007</v>
      </c>
      <c r="J1322" s="25" t="str">
        <f aca="false">IFERROR(IF(INDEX(Documents!$D$5:$D$657,MATCH(H1322,Documents!$A$5:$A$657,0))="","",INDEX(Documents!$D$5:$D$657,MATCH(H1322,Documents!$A$5:$A$657,0))),"")</f>
        <v>Bioorg Med Chem</v>
      </c>
      <c r="K1322" s="25" t="str">
        <f aca="false">IFERROR(IF(INDEX(Documents!$G$5:$G$657,MATCH(H1322,Documents!$A$5:$A$657,0))="","",INDEX(Documents!$G$5:$G$657,MATCH(H1322,Documents!$A$5:$A$657,0))),"")</f>
        <v>10.1016/j.bmc.2007.05.060</v>
      </c>
      <c r="L1322" s="25" t="s">
        <v>285</v>
      </c>
    </row>
    <row r="1323" customFormat="false" ht="15" hidden="false" customHeight="false" outlineLevel="0" collapsed="false">
      <c r="A1323" s="25" t="n">
        <v>1887183</v>
      </c>
      <c r="B1323" s="25" t="s">
        <v>3045</v>
      </c>
      <c r="C1323" s="25" t="s">
        <v>3046</v>
      </c>
      <c r="D1323" s="26" t="n">
        <v>390</v>
      </c>
      <c r="E1323" s="27" t="n">
        <v>6.4089353929735</v>
      </c>
      <c r="F1323" s="27" t="n">
        <v>6.4089353929735</v>
      </c>
      <c r="G1323" s="25" t="s">
        <v>2721</v>
      </c>
      <c r="H1323" s="25" t="s">
        <v>2722</v>
      </c>
      <c r="I1323" s="25" t="n">
        <f aca="false">IFERROR(IF(INDEX(Documents!$C$5:$C$657,MATCH(H1323,Documents!$A$5:$A$657,0))="","",INDEX(Documents!$C$5:$C$657,MATCH(H1323,Documents!$A$5:$A$657,0))),"")</f>
        <v>2007</v>
      </c>
      <c r="J1323" s="25" t="str">
        <f aca="false">IFERROR(IF(INDEX(Documents!$D$5:$D$657,MATCH(H1323,Documents!$A$5:$A$657,0))="","",INDEX(Documents!$D$5:$D$657,MATCH(H1323,Documents!$A$5:$A$657,0))),"")</f>
        <v>Bioorg Med Chem</v>
      </c>
      <c r="K1323" s="25" t="str">
        <f aca="false">IFERROR(IF(INDEX(Documents!$G$5:$G$657,MATCH(H1323,Documents!$A$5:$A$657,0))="","",INDEX(Documents!$G$5:$G$657,MATCH(H1323,Documents!$A$5:$A$657,0))),"")</f>
        <v>10.1016/j.bmc.2007.05.060</v>
      </c>
      <c r="L1323" s="25" t="s">
        <v>285</v>
      </c>
    </row>
    <row r="1324" customFormat="false" ht="15" hidden="false" customHeight="false" outlineLevel="0" collapsed="false">
      <c r="A1324" s="25" t="n">
        <v>15052077</v>
      </c>
      <c r="B1324" s="25" t="s">
        <v>3047</v>
      </c>
      <c r="C1324" s="25" t="s">
        <v>3048</v>
      </c>
      <c r="D1324" s="26" t="n">
        <v>119.3</v>
      </c>
      <c r="E1324" s="27" t="n">
        <v>6.92335955632966</v>
      </c>
      <c r="F1324" s="27" t="n">
        <v>6.92335955632966</v>
      </c>
      <c r="G1324" s="25" t="s">
        <v>523</v>
      </c>
      <c r="H1324" s="25" t="s">
        <v>524</v>
      </c>
      <c r="I1324" s="25" t="n">
        <f aca="false">IFERROR(IF(INDEX(Documents!$C$5:$C$657,MATCH(H1324,Documents!$A$5:$A$657,0))="","",INDEX(Documents!$C$5:$C$657,MATCH(H1324,Documents!$A$5:$A$657,0))),"")</f>
        <v>2014</v>
      </c>
      <c r="J1324" s="25" t="str">
        <f aca="false">IFERROR(IF(INDEX(Documents!$D$5:$D$657,MATCH(H1324,Documents!$A$5:$A$657,0))="","",INDEX(Documents!$D$5:$D$657,MATCH(H1324,Documents!$A$5:$A$657,0))),"")</f>
        <v>Bioorg Med Chem</v>
      </c>
      <c r="K1324" s="25" t="str">
        <f aca="false">IFERROR(IF(INDEX(Documents!$G$5:$G$657,MATCH(H1324,Documents!$A$5:$A$657,0))="","",INDEX(Documents!$G$5:$G$657,MATCH(H1324,Documents!$A$5:$A$657,0))),"")</f>
        <v>10.1016/j.bmc.2014.07.006</v>
      </c>
      <c r="L1324" s="25" t="s">
        <v>525</v>
      </c>
    </row>
    <row r="1325" customFormat="false" ht="15" hidden="false" customHeight="false" outlineLevel="0" collapsed="false">
      <c r="A1325" s="25" t="n">
        <v>7944814</v>
      </c>
      <c r="B1325" s="25" t="s">
        <v>3049</v>
      </c>
      <c r="C1325" s="25" t="s">
        <v>3050</v>
      </c>
      <c r="D1325" s="26" t="n">
        <v>7870</v>
      </c>
      <c r="E1325" s="27" t="n">
        <v>5.10402526764094</v>
      </c>
      <c r="F1325" s="27" t="n">
        <v>5.10402526764094</v>
      </c>
      <c r="G1325" s="25" t="s">
        <v>2072</v>
      </c>
      <c r="H1325" s="25" t="s">
        <v>2073</v>
      </c>
      <c r="I1325" s="25" t="n">
        <f aca="false">IFERROR(IF(INDEX(Documents!$C$5:$C$657,MATCH(H1325,Documents!$A$5:$A$657,0))="","",INDEX(Documents!$C$5:$C$657,MATCH(H1325,Documents!$A$5:$A$657,0))),"")</f>
        <v>2011</v>
      </c>
      <c r="J1325" s="25" t="str">
        <f aca="false">IFERROR(IF(INDEX(Documents!$D$5:$D$657,MATCH(H1325,Documents!$A$5:$A$657,0))="","",INDEX(Documents!$D$5:$D$657,MATCH(H1325,Documents!$A$5:$A$657,0))),"")</f>
        <v>J Med Chem</v>
      </c>
      <c r="K1325" s="25" t="str">
        <f aca="false">IFERROR(IF(INDEX(Documents!$G$5:$G$657,MATCH(H1325,Documents!$A$5:$A$657,0))="","",INDEX(Documents!$G$5:$G$657,MATCH(H1325,Documents!$A$5:$A$657,0))),"")</f>
        <v>10.1021/jm200529h</v>
      </c>
      <c r="L1325" s="25" t="s">
        <v>2074</v>
      </c>
    </row>
    <row r="1326" customFormat="false" ht="15" hidden="false" customHeight="false" outlineLevel="0" collapsed="false">
      <c r="A1326" s="25" t="n">
        <v>15052073</v>
      </c>
      <c r="B1326" s="25" t="s">
        <v>3051</v>
      </c>
      <c r="C1326" s="25" t="s">
        <v>3052</v>
      </c>
      <c r="D1326" s="26" t="n">
        <v>540</v>
      </c>
      <c r="E1326" s="27" t="n">
        <v>6.26760624017703</v>
      </c>
      <c r="F1326" s="27" t="n">
        <v>6.26760624017703</v>
      </c>
      <c r="G1326" s="25" t="s">
        <v>523</v>
      </c>
      <c r="H1326" s="25" t="s">
        <v>524</v>
      </c>
      <c r="I1326" s="25" t="n">
        <f aca="false">IFERROR(IF(INDEX(Documents!$C$5:$C$657,MATCH(H1326,Documents!$A$5:$A$657,0))="","",INDEX(Documents!$C$5:$C$657,MATCH(H1326,Documents!$A$5:$A$657,0))),"")</f>
        <v>2014</v>
      </c>
      <c r="J1326" s="25" t="str">
        <f aca="false">IFERROR(IF(INDEX(Documents!$D$5:$D$657,MATCH(H1326,Documents!$A$5:$A$657,0))="","",INDEX(Documents!$D$5:$D$657,MATCH(H1326,Documents!$A$5:$A$657,0))),"")</f>
        <v>Bioorg Med Chem</v>
      </c>
      <c r="K1326" s="25" t="str">
        <f aca="false">IFERROR(IF(INDEX(Documents!$G$5:$G$657,MATCH(H1326,Documents!$A$5:$A$657,0))="","",INDEX(Documents!$G$5:$G$657,MATCH(H1326,Documents!$A$5:$A$657,0))),"")</f>
        <v>10.1016/j.bmc.2014.07.006</v>
      </c>
      <c r="L1326" s="25" t="s">
        <v>525</v>
      </c>
    </row>
    <row r="1327" customFormat="false" ht="15" hidden="false" customHeight="false" outlineLevel="0" collapsed="false">
      <c r="A1327" s="25" t="n">
        <v>1846077</v>
      </c>
      <c r="B1327" s="25" t="s">
        <v>3053</v>
      </c>
      <c r="C1327" s="25" t="s">
        <v>3054</v>
      </c>
      <c r="D1327" s="26" t="n">
        <v>13</v>
      </c>
      <c r="E1327" s="27" t="n">
        <v>7.88605664769316</v>
      </c>
      <c r="F1327" s="27" t="n">
        <v>7.88605664769316</v>
      </c>
      <c r="G1327" s="25" t="s">
        <v>2249</v>
      </c>
      <c r="H1327" s="25" t="s">
        <v>2250</v>
      </c>
      <c r="I1327" s="25" t="n">
        <f aca="false">IFERROR(IF(INDEX(Documents!$C$5:$C$657,MATCH(H1327,Documents!$A$5:$A$657,0))="","",INDEX(Documents!$C$5:$C$657,MATCH(H1327,Documents!$A$5:$A$657,0))),"")</f>
        <v>2005</v>
      </c>
      <c r="J1327" s="25" t="str">
        <f aca="false">IFERROR(IF(INDEX(Documents!$D$5:$D$657,MATCH(H1327,Documents!$A$5:$A$657,0))="","",INDEX(Documents!$D$5:$D$657,MATCH(H1327,Documents!$A$5:$A$657,0))),"")</f>
        <v>J Med Chem</v>
      </c>
      <c r="K1327" s="25" t="str">
        <f aca="false">IFERROR(IF(INDEX(Documents!$G$5:$G$657,MATCH(H1327,Documents!$A$5:$A$657,0))="","",INDEX(Documents!$G$5:$G$657,MATCH(H1327,Documents!$A$5:$A$657,0))),"")</f>
        <v>10.1021/jm0501533</v>
      </c>
      <c r="L1327" s="25" t="s">
        <v>2251</v>
      </c>
    </row>
    <row r="1328" customFormat="false" ht="15" hidden="false" customHeight="false" outlineLevel="0" collapsed="false">
      <c r="A1328" s="25" t="n">
        <v>15052066</v>
      </c>
      <c r="B1328" s="25" t="s">
        <v>3055</v>
      </c>
      <c r="C1328" s="25" t="s">
        <v>3056</v>
      </c>
      <c r="D1328" s="26" t="n">
        <v>96.3</v>
      </c>
      <c r="E1328" s="27" t="n">
        <v>7.01637371287547</v>
      </c>
      <c r="F1328" s="27" t="n">
        <v>7.01637371287547</v>
      </c>
      <c r="G1328" s="25" t="s">
        <v>523</v>
      </c>
      <c r="H1328" s="25" t="s">
        <v>524</v>
      </c>
      <c r="I1328" s="25" t="n">
        <f aca="false">IFERROR(IF(INDEX(Documents!$C$5:$C$657,MATCH(H1328,Documents!$A$5:$A$657,0))="","",INDEX(Documents!$C$5:$C$657,MATCH(H1328,Documents!$A$5:$A$657,0))),"")</f>
        <v>2014</v>
      </c>
      <c r="J1328" s="25" t="str">
        <f aca="false">IFERROR(IF(INDEX(Documents!$D$5:$D$657,MATCH(H1328,Documents!$A$5:$A$657,0))="","",INDEX(Documents!$D$5:$D$657,MATCH(H1328,Documents!$A$5:$A$657,0))),"")</f>
        <v>Bioorg Med Chem</v>
      </c>
      <c r="K1328" s="25" t="str">
        <f aca="false">IFERROR(IF(INDEX(Documents!$G$5:$G$657,MATCH(H1328,Documents!$A$5:$A$657,0))="","",INDEX(Documents!$G$5:$G$657,MATCH(H1328,Documents!$A$5:$A$657,0))),"")</f>
        <v>10.1016/j.bmc.2014.07.006</v>
      </c>
      <c r="L1328" s="25" t="s">
        <v>525</v>
      </c>
    </row>
    <row r="1329" customFormat="false" ht="15" hidden="false" customHeight="false" outlineLevel="0" collapsed="false">
      <c r="A1329" s="25" t="n">
        <v>1887199</v>
      </c>
      <c r="B1329" s="25" t="s">
        <v>3057</v>
      </c>
      <c r="C1329" s="25" t="s">
        <v>3058</v>
      </c>
      <c r="D1329" s="26" t="n">
        <v>80</v>
      </c>
      <c r="E1329" s="27" t="n">
        <v>7.09691001300806</v>
      </c>
      <c r="F1329" s="27" t="n">
        <v>7.09691001300806</v>
      </c>
      <c r="G1329" s="25" t="s">
        <v>2721</v>
      </c>
      <c r="H1329" s="25" t="s">
        <v>2722</v>
      </c>
      <c r="I1329" s="25" t="n">
        <f aca="false">IFERROR(IF(INDEX(Documents!$C$5:$C$657,MATCH(H1329,Documents!$A$5:$A$657,0))="","",INDEX(Documents!$C$5:$C$657,MATCH(H1329,Documents!$A$5:$A$657,0))),"")</f>
        <v>2007</v>
      </c>
      <c r="J1329" s="25" t="str">
        <f aca="false">IFERROR(IF(INDEX(Documents!$D$5:$D$657,MATCH(H1329,Documents!$A$5:$A$657,0))="","",INDEX(Documents!$D$5:$D$657,MATCH(H1329,Documents!$A$5:$A$657,0))),"")</f>
        <v>Bioorg Med Chem</v>
      </c>
      <c r="K1329" s="25" t="str">
        <f aca="false">IFERROR(IF(INDEX(Documents!$G$5:$G$657,MATCH(H1329,Documents!$A$5:$A$657,0))="","",INDEX(Documents!$G$5:$G$657,MATCH(H1329,Documents!$A$5:$A$657,0))),"")</f>
        <v>10.1016/j.bmc.2007.05.060</v>
      </c>
      <c r="L1329" s="25" t="s">
        <v>285</v>
      </c>
    </row>
    <row r="1330" customFormat="false" ht="15" hidden="false" customHeight="false" outlineLevel="0" collapsed="false">
      <c r="A1330" s="25" t="n">
        <v>1846078</v>
      </c>
      <c r="B1330" s="25" t="s">
        <v>3059</v>
      </c>
      <c r="C1330" s="25" t="s">
        <v>3060</v>
      </c>
      <c r="D1330" s="26" t="n">
        <v>160</v>
      </c>
      <c r="E1330" s="27" t="n">
        <v>6.79588001734408</v>
      </c>
      <c r="F1330" s="27" t="n">
        <v>6.79588001734408</v>
      </c>
      <c r="G1330" s="25" t="s">
        <v>2249</v>
      </c>
      <c r="H1330" s="25" t="s">
        <v>2250</v>
      </c>
      <c r="I1330" s="25" t="n">
        <f aca="false">IFERROR(IF(INDEX(Documents!$C$5:$C$657,MATCH(H1330,Documents!$A$5:$A$657,0))="","",INDEX(Documents!$C$5:$C$657,MATCH(H1330,Documents!$A$5:$A$657,0))),"")</f>
        <v>2005</v>
      </c>
      <c r="J1330" s="25" t="str">
        <f aca="false">IFERROR(IF(INDEX(Documents!$D$5:$D$657,MATCH(H1330,Documents!$A$5:$A$657,0))="","",INDEX(Documents!$D$5:$D$657,MATCH(H1330,Documents!$A$5:$A$657,0))),"")</f>
        <v>J Med Chem</v>
      </c>
      <c r="K1330" s="25" t="str">
        <f aca="false">IFERROR(IF(INDEX(Documents!$G$5:$G$657,MATCH(H1330,Documents!$A$5:$A$657,0))="","",INDEX(Documents!$G$5:$G$657,MATCH(H1330,Documents!$A$5:$A$657,0))),"")</f>
        <v>10.1021/jm0501533</v>
      </c>
      <c r="L1330" s="25" t="s">
        <v>2251</v>
      </c>
    </row>
    <row r="1331" customFormat="false" ht="15" hidden="false" customHeight="false" outlineLevel="0" collapsed="false">
      <c r="A1331" s="25" t="n">
        <v>1887198</v>
      </c>
      <c r="B1331" s="25" t="s">
        <v>3061</v>
      </c>
      <c r="C1331" s="25" t="s">
        <v>3062</v>
      </c>
      <c r="D1331" s="26" t="n">
        <v>1650</v>
      </c>
      <c r="E1331" s="27" t="n">
        <v>5.78251605578609</v>
      </c>
      <c r="F1331" s="27" t="n">
        <v>5.78251605578609</v>
      </c>
      <c r="G1331" s="25" t="s">
        <v>2721</v>
      </c>
      <c r="H1331" s="25" t="s">
        <v>2722</v>
      </c>
      <c r="I1331" s="25" t="n">
        <f aca="false">IFERROR(IF(INDEX(Documents!$C$5:$C$657,MATCH(H1331,Documents!$A$5:$A$657,0))="","",INDEX(Documents!$C$5:$C$657,MATCH(H1331,Documents!$A$5:$A$657,0))),"")</f>
        <v>2007</v>
      </c>
      <c r="J1331" s="25" t="str">
        <f aca="false">IFERROR(IF(INDEX(Documents!$D$5:$D$657,MATCH(H1331,Documents!$A$5:$A$657,0))="","",INDEX(Documents!$D$5:$D$657,MATCH(H1331,Documents!$A$5:$A$657,0))),"")</f>
        <v>Bioorg Med Chem</v>
      </c>
      <c r="K1331" s="25" t="str">
        <f aca="false">IFERROR(IF(INDEX(Documents!$G$5:$G$657,MATCH(H1331,Documents!$A$5:$A$657,0))="","",INDEX(Documents!$G$5:$G$657,MATCH(H1331,Documents!$A$5:$A$657,0))),"")</f>
        <v>10.1016/j.bmc.2007.05.060</v>
      </c>
      <c r="L1331" s="25" t="s">
        <v>285</v>
      </c>
    </row>
    <row r="1332" customFormat="false" ht="15" hidden="false" customHeight="false" outlineLevel="0" collapsed="false">
      <c r="A1332" s="25" t="n">
        <v>15052063</v>
      </c>
      <c r="B1332" s="25" t="s">
        <v>3063</v>
      </c>
      <c r="C1332" s="25" t="s">
        <v>3064</v>
      </c>
      <c r="D1332" s="26" t="n">
        <v>202.3</v>
      </c>
      <c r="E1332" s="27" t="n">
        <v>6.6940041172292</v>
      </c>
      <c r="F1332" s="27" t="n">
        <v>6.6940041172292</v>
      </c>
      <c r="G1332" s="25" t="s">
        <v>523</v>
      </c>
      <c r="H1332" s="25" t="s">
        <v>524</v>
      </c>
      <c r="I1332" s="25" t="n">
        <f aca="false">IFERROR(IF(INDEX(Documents!$C$5:$C$657,MATCH(H1332,Documents!$A$5:$A$657,0))="","",INDEX(Documents!$C$5:$C$657,MATCH(H1332,Documents!$A$5:$A$657,0))),"")</f>
        <v>2014</v>
      </c>
      <c r="J1332" s="25" t="str">
        <f aca="false">IFERROR(IF(INDEX(Documents!$D$5:$D$657,MATCH(H1332,Documents!$A$5:$A$657,0))="","",INDEX(Documents!$D$5:$D$657,MATCH(H1332,Documents!$A$5:$A$657,0))),"")</f>
        <v>Bioorg Med Chem</v>
      </c>
      <c r="K1332" s="25" t="str">
        <f aca="false">IFERROR(IF(INDEX(Documents!$G$5:$G$657,MATCH(H1332,Documents!$A$5:$A$657,0))="","",INDEX(Documents!$G$5:$G$657,MATCH(H1332,Documents!$A$5:$A$657,0))),"")</f>
        <v>10.1016/j.bmc.2014.07.006</v>
      </c>
      <c r="L1332" s="25" t="s">
        <v>525</v>
      </c>
    </row>
    <row r="1333" customFormat="false" ht="15" hidden="false" customHeight="false" outlineLevel="0" collapsed="false">
      <c r="A1333" s="25" t="n">
        <v>15052057</v>
      </c>
      <c r="B1333" s="25" t="s">
        <v>3065</v>
      </c>
      <c r="C1333" s="25" t="s">
        <v>3066</v>
      </c>
      <c r="D1333" s="26" t="n">
        <v>182.6</v>
      </c>
      <c r="E1333" s="27" t="n">
        <v>6.73849922680172</v>
      </c>
      <c r="F1333" s="27" t="n">
        <v>6.73849922680172</v>
      </c>
      <c r="G1333" s="25" t="s">
        <v>523</v>
      </c>
      <c r="H1333" s="25" t="s">
        <v>524</v>
      </c>
      <c r="I1333" s="25" t="n">
        <f aca="false">IFERROR(IF(INDEX(Documents!$C$5:$C$657,MATCH(H1333,Documents!$A$5:$A$657,0))="","",INDEX(Documents!$C$5:$C$657,MATCH(H1333,Documents!$A$5:$A$657,0))),"")</f>
        <v>2014</v>
      </c>
      <c r="J1333" s="25" t="str">
        <f aca="false">IFERROR(IF(INDEX(Documents!$D$5:$D$657,MATCH(H1333,Documents!$A$5:$A$657,0))="","",INDEX(Documents!$D$5:$D$657,MATCH(H1333,Documents!$A$5:$A$657,0))),"")</f>
        <v>Bioorg Med Chem</v>
      </c>
      <c r="K1333" s="25" t="str">
        <f aca="false">IFERROR(IF(INDEX(Documents!$G$5:$G$657,MATCH(H1333,Documents!$A$5:$A$657,0))="","",INDEX(Documents!$G$5:$G$657,MATCH(H1333,Documents!$A$5:$A$657,0))),"")</f>
        <v>10.1016/j.bmc.2014.07.006</v>
      </c>
      <c r="L1333" s="25" t="s">
        <v>525</v>
      </c>
    </row>
    <row r="1334" customFormat="false" ht="15" hidden="false" customHeight="false" outlineLevel="0" collapsed="false">
      <c r="A1334" s="25" t="n">
        <v>15052056</v>
      </c>
      <c r="B1334" s="25" t="s">
        <v>3067</v>
      </c>
      <c r="C1334" s="25" t="s">
        <v>3068</v>
      </c>
      <c r="D1334" s="26" t="n">
        <v>677.8</v>
      </c>
      <c r="E1334" s="27" t="n">
        <v>6.16889843549864</v>
      </c>
      <c r="F1334" s="27" t="n">
        <v>6.16889843549864</v>
      </c>
      <c r="G1334" s="25" t="s">
        <v>523</v>
      </c>
      <c r="H1334" s="25" t="s">
        <v>524</v>
      </c>
      <c r="I1334" s="25" t="n">
        <f aca="false">IFERROR(IF(INDEX(Documents!$C$5:$C$657,MATCH(H1334,Documents!$A$5:$A$657,0))="","",INDEX(Documents!$C$5:$C$657,MATCH(H1334,Documents!$A$5:$A$657,0))),"")</f>
        <v>2014</v>
      </c>
      <c r="J1334" s="25" t="str">
        <f aca="false">IFERROR(IF(INDEX(Documents!$D$5:$D$657,MATCH(H1334,Documents!$A$5:$A$657,0))="","",INDEX(Documents!$D$5:$D$657,MATCH(H1334,Documents!$A$5:$A$657,0))),"")</f>
        <v>Bioorg Med Chem</v>
      </c>
      <c r="K1334" s="25" t="str">
        <f aca="false">IFERROR(IF(INDEX(Documents!$G$5:$G$657,MATCH(H1334,Documents!$A$5:$A$657,0))="","",INDEX(Documents!$G$5:$G$657,MATCH(H1334,Documents!$A$5:$A$657,0))),"")</f>
        <v>10.1016/j.bmc.2014.07.006</v>
      </c>
      <c r="L1334" s="25" t="s">
        <v>525</v>
      </c>
    </row>
    <row r="1335" customFormat="false" ht="15" hidden="false" customHeight="false" outlineLevel="0" collapsed="false">
      <c r="A1335" s="25" t="n">
        <v>15052076</v>
      </c>
      <c r="B1335" s="25" t="s">
        <v>3069</v>
      </c>
      <c r="C1335" s="25" t="s">
        <v>3070</v>
      </c>
      <c r="D1335" s="26" t="n">
        <v>97.2</v>
      </c>
      <c r="E1335" s="27" t="n">
        <v>7.01233373507373</v>
      </c>
      <c r="F1335" s="27" t="n">
        <v>7.01233373507373</v>
      </c>
      <c r="G1335" s="25" t="s">
        <v>523</v>
      </c>
      <c r="H1335" s="25" t="s">
        <v>524</v>
      </c>
      <c r="I1335" s="25" t="n">
        <f aca="false">IFERROR(IF(INDEX(Documents!$C$5:$C$657,MATCH(H1335,Documents!$A$5:$A$657,0))="","",INDEX(Documents!$C$5:$C$657,MATCH(H1335,Documents!$A$5:$A$657,0))),"")</f>
        <v>2014</v>
      </c>
      <c r="J1335" s="25" t="str">
        <f aca="false">IFERROR(IF(INDEX(Documents!$D$5:$D$657,MATCH(H1335,Documents!$A$5:$A$657,0))="","",INDEX(Documents!$D$5:$D$657,MATCH(H1335,Documents!$A$5:$A$657,0))),"")</f>
        <v>Bioorg Med Chem</v>
      </c>
      <c r="K1335" s="25" t="str">
        <f aca="false">IFERROR(IF(INDEX(Documents!$G$5:$G$657,MATCH(H1335,Documents!$A$5:$A$657,0))="","",INDEX(Documents!$G$5:$G$657,MATCH(H1335,Documents!$A$5:$A$657,0))),"")</f>
        <v>10.1016/j.bmc.2014.07.006</v>
      </c>
      <c r="L1335" s="25" t="s">
        <v>525</v>
      </c>
    </row>
    <row r="1336" customFormat="false" ht="15" hidden="false" customHeight="false" outlineLevel="0" collapsed="false">
      <c r="A1336" s="25" t="n">
        <v>1846076</v>
      </c>
      <c r="B1336" s="25" t="s">
        <v>3071</v>
      </c>
      <c r="C1336" s="25" t="s">
        <v>3072</v>
      </c>
      <c r="D1336" s="26" t="n">
        <v>1400</v>
      </c>
      <c r="E1336" s="27" t="n">
        <v>5.85387196432176</v>
      </c>
      <c r="F1336" s="27" t="n">
        <v>5.85387196432176</v>
      </c>
      <c r="G1336" s="25" t="s">
        <v>2249</v>
      </c>
      <c r="H1336" s="25" t="s">
        <v>2250</v>
      </c>
      <c r="I1336" s="25" t="n">
        <f aca="false">IFERROR(IF(INDEX(Documents!$C$5:$C$657,MATCH(H1336,Documents!$A$5:$A$657,0))="","",INDEX(Documents!$C$5:$C$657,MATCH(H1336,Documents!$A$5:$A$657,0))),"")</f>
        <v>2005</v>
      </c>
      <c r="J1336" s="25" t="str">
        <f aca="false">IFERROR(IF(INDEX(Documents!$D$5:$D$657,MATCH(H1336,Documents!$A$5:$A$657,0))="","",INDEX(Documents!$D$5:$D$657,MATCH(H1336,Documents!$A$5:$A$657,0))),"")</f>
        <v>J Med Chem</v>
      </c>
      <c r="K1336" s="25" t="str">
        <f aca="false">IFERROR(IF(INDEX(Documents!$G$5:$G$657,MATCH(H1336,Documents!$A$5:$A$657,0))="","",INDEX(Documents!$G$5:$G$657,MATCH(H1336,Documents!$A$5:$A$657,0))),"")</f>
        <v>10.1021/jm0501533</v>
      </c>
      <c r="L1336" s="25" t="s">
        <v>2251</v>
      </c>
    </row>
    <row r="1337" customFormat="false" ht="15" hidden="false" customHeight="false" outlineLevel="0" collapsed="false">
      <c r="A1337" s="25" t="n">
        <v>15052064</v>
      </c>
      <c r="B1337" s="25" t="s">
        <v>3073</v>
      </c>
      <c r="C1337" s="25" t="s">
        <v>3074</v>
      </c>
      <c r="D1337" s="26" t="n">
        <v>127.8</v>
      </c>
      <c r="E1337" s="27" t="n">
        <v>6.89346914617762</v>
      </c>
      <c r="F1337" s="27" t="n">
        <v>6.89346914617762</v>
      </c>
      <c r="G1337" s="25" t="s">
        <v>523</v>
      </c>
      <c r="H1337" s="25" t="s">
        <v>524</v>
      </c>
      <c r="I1337" s="25" t="n">
        <f aca="false">IFERROR(IF(INDEX(Documents!$C$5:$C$657,MATCH(H1337,Documents!$A$5:$A$657,0))="","",INDEX(Documents!$C$5:$C$657,MATCH(H1337,Documents!$A$5:$A$657,0))),"")</f>
        <v>2014</v>
      </c>
      <c r="J1337" s="25" t="str">
        <f aca="false">IFERROR(IF(INDEX(Documents!$D$5:$D$657,MATCH(H1337,Documents!$A$5:$A$657,0))="","",INDEX(Documents!$D$5:$D$657,MATCH(H1337,Documents!$A$5:$A$657,0))),"")</f>
        <v>Bioorg Med Chem</v>
      </c>
      <c r="K1337" s="25" t="str">
        <f aca="false">IFERROR(IF(INDEX(Documents!$G$5:$G$657,MATCH(H1337,Documents!$A$5:$A$657,0))="","",INDEX(Documents!$G$5:$G$657,MATCH(H1337,Documents!$A$5:$A$657,0))),"")</f>
        <v>10.1016/j.bmc.2014.07.006</v>
      </c>
      <c r="L1337" s="25" t="s">
        <v>525</v>
      </c>
    </row>
    <row r="1338" customFormat="false" ht="15" hidden="false" customHeight="false" outlineLevel="0" collapsed="false">
      <c r="A1338" s="25" t="n">
        <v>7944815</v>
      </c>
      <c r="B1338" s="25" t="s">
        <v>3075</v>
      </c>
      <c r="C1338" s="25" t="s">
        <v>3076</v>
      </c>
      <c r="D1338" s="26" t="n">
        <v>870</v>
      </c>
      <c r="E1338" s="27" t="n">
        <v>6.06048074738138</v>
      </c>
      <c r="F1338" s="27" t="n">
        <v>6.06048074738138</v>
      </c>
      <c r="G1338" s="25" t="s">
        <v>2072</v>
      </c>
      <c r="H1338" s="25" t="s">
        <v>2073</v>
      </c>
      <c r="I1338" s="25" t="n">
        <f aca="false">IFERROR(IF(INDEX(Documents!$C$5:$C$657,MATCH(H1338,Documents!$A$5:$A$657,0))="","",INDEX(Documents!$C$5:$C$657,MATCH(H1338,Documents!$A$5:$A$657,0))),"")</f>
        <v>2011</v>
      </c>
      <c r="J1338" s="25" t="str">
        <f aca="false">IFERROR(IF(INDEX(Documents!$D$5:$D$657,MATCH(H1338,Documents!$A$5:$A$657,0))="","",INDEX(Documents!$D$5:$D$657,MATCH(H1338,Documents!$A$5:$A$657,0))),"")</f>
        <v>J Med Chem</v>
      </c>
      <c r="K1338" s="25" t="str">
        <f aca="false">IFERROR(IF(INDEX(Documents!$G$5:$G$657,MATCH(H1338,Documents!$A$5:$A$657,0))="","",INDEX(Documents!$G$5:$G$657,MATCH(H1338,Documents!$A$5:$A$657,0))),"")</f>
        <v>10.1021/jm200529h</v>
      </c>
      <c r="L1338" s="25" t="s">
        <v>2074</v>
      </c>
    </row>
    <row r="1339" customFormat="false" ht="15" hidden="false" customHeight="false" outlineLevel="0" collapsed="false">
      <c r="A1339" s="25" t="n">
        <v>7944833</v>
      </c>
      <c r="B1339" s="25" t="s">
        <v>3077</v>
      </c>
      <c r="C1339" s="25" t="s">
        <v>3078</v>
      </c>
      <c r="D1339" s="26" t="n">
        <v>7910</v>
      </c>
      <c r="E1339" s="27" t="n">
        <v>5.10182351650232</v>
      </c>
      <c r="F1339" s="27" t="n">
        <v>5.10182351650232</v>
      </c>
      <c r="G1339" s="25" t="s">
        <v>2072</v>
      </c>
      <c r="H1339" s="25" t="s">
        <v>2073</v>
      </c>
      <c r="I1339" s="25" t="n">
        <f aca="false">IFERROR(IF(INDEX(Documents!$C$5:$C$657,MATCH(H1339,Documents!$A$5:$A$657,0))="","",INDEX(Documents!$C$5:$C$657,MATCH(H1339,Documents!$A$5:$A$657,0))),"")</f>
        <v>2011</v>
      </c>
      <c r="J1339" s="25" t="str">
        <f aca="false">IFERROR(IF(INDEX(Documents!$D$5:$D$657,MATCH(H1339,Documents!$A$5:$A$657,0))="","",INDEX(Documents!$D$5:$D$657,MATCH(H1339,Documents!$A$5:$A$657,0))),"")</f>
        <v>J Med Chem</v>
      </c>
      <c r="K1339" s="25" t="str">
        <f aca="false">IFERROR(IF(INDEX(Documents!$G$5:$G$657,MATCH(H1339,Documents!$A$5:$A$657,0))="","",INDEX(Documents!$G$5:$G$657,MATCH(H1339,Documents!$A$5:$A$657,0))),"")</f>
        <v>10.1021/jm200529h</v>
      </c>
      <c r="L1339" s="25" t="s">
        <v>2074</v>
      </c>
    </row>
    <row r="1340" customFormat="false" ht="15" hidden="false" customHeight="false" outlineLevel="0" collapsed="false">
      <c r="A1340" s="25" t="n">
        <v>1887196</v>
      </c>
      <c r="B1340" s="25" t="s">
        <v>3079</v>
      </c>
      <c r="C1340" s="25" t="s">
        <v>3080</v>
      </c>
      <c r="D1340" s="26" t="n">
        <v>310</v>
      </c>
      <c r="E1340" s="27" t="n">
        <v>6.50863830616573</v>
      </c>
      <c r="F1340" s="27" t="n">
        <v>6.50863830616573</v>
      </c>
      <c r="G1340" s="25" t="s">
        <v>2721</v>
      </c>
      <c r="H1340" s="25" t="s">
        <v>2722</v>
      </c>
      <c r="I1340" s="25" t="n">
        <f aca="false">IFERROR(IF(INDEX(Documents!$C$5:$C$657,MATCH(H1340,Documents!$A$5:$A$657,0))="","",INDEX(Documents!$C$5:$C$657,MATCH(H1340,Documents!$A$5:$A$657,0))),"")</f>
        <v>2007</v>
      </c>
      <c r="J1340" s="25" t="str">
        <f aca="false">IFERROR(IF(INDEX(Documents!$D$5:$D$657,MATCH(H1340,Documents!$A$5:$A$657,0))="","",INDEX(Documents!$D$5:$D$657,MATCH(H1340,Documents!$A$5:$A$657,0))),"")</f>
        <v>Bioorg Med Chem</v>
      </c>
      <c r="K1340" s="25" t="str">
        <f aca="false">IFERROR(IF(INDEX(Documents!$G$5:$G$657,MATCH(H1340,Documents!$A$5:$A$657,0))="","",INDEX(Documents!$G$5:$G$657,MATCH(H1340,Documents!$A$5:$A$657,0))),"")</f>
        <v>10.1016/j.bmc.2007.05.060</v>
      </c>
      <c r="L1340" s="25" t="s">
        <v>285</v>
      </c>
    </row>
    <row r="1341" customFormat="false" ht="15" hidden="false" customHeight="false" outlineLevel="0" collapsed="false">
      <c r="A1341" s="25" t="n">
        <v>1887197</v>
      </c>
      <c r="B1341" s="25" t="s">
        <v>3081</v>
      </c>
      <c r="C1341" s="25" t="s">
        <v>3082</v>
      </c>
      <c r="D1341" s="26" t="n">
        <v>39</v>
      </c>
      <c r="E1341" s="27" t="n">
        <v>7.4089353929735</v>
      </c>
      <c r="F1341" s="27" t="n">
        <v>7.4089353929735</v>
      </c>
      <c r="G1341" s="25" t="s">
        <v>2721</v>
      </c>
      <c r="H1341" s="25" t="s">
        <v>2722</v>
      </c>
      <c r="I1341" s="25" t="n">
        <f aca="false">IFERROR(IF(INDEX(Documents!$C$5:$C$657,MATCH(H1341,Documents!$A$5:$A$657,0))="","",INDEX(Documents!$C$5:$C$657,MATCH(H1341,Documents!$A$5:$A$657,0))),"")</f>
        <v>2007</v>
      </c>
      <c r="J1341" s="25" t="str">
        <f aca="false">IFERROR(IF(INDEX(Documents!$D$5:$D$657,MATCH(H1341,Documents!$A$5:$A$657,0))="","",INDEX(Documents!$D$5:$D$657,MATCH(H1341,Documents!$A$5:$A$657,0))),"")</f>
        <v>Bioorg Med Chem</v>
      </c>
      <c r="K1341" s="25" t="str">
        <f aca="false">IFERROR(IF(INDEX(Documents!$G$5:$G$657,MATCH(H1341,Documents!$A$5:$A$657,0))="","",INDEX(Documents!$G$5:$G$657,MATCH(H1341,Documents!$A$5:$A$657,0))),"")</f>
        <v>10.1016/j.bmc.2007.05.060</v>
      </c>
      <c r="L1341" s="25" t="s">
        <v>285</v>
      </c>
    </row>
    <row r="1342" customFormat="false" ht="15" hidden="false" customHeight="false" outlineLevel="0" collapsed="false">
      <c r="A1342" s="25" t="n">
        <v>15052055</v>
      </c>
      <c r="B1342" s="25" t="s">
        <v>3083</v>
      </c>
      <c r="C1342" s="25" t="s">
        <v>3084</v>
      </c>
      <c r="D1342" s="26" t="n">
        <v>460</v>
      </c>
      <c r="E1342" s="27" t="n">
        <v>6.33724216831843</v>
      </c>
      <c r="F1342" s="27" t="n">
        <v>6.33724216831843</v>
      </c>
      <c r="G1342" s="25" t="s">
        <v>523</v>
      </c>
      <c r="H1342" s="25" t="s">
        <v>524</v>
      </c>
      <c r="I1342" s="25" t="n">
        <f aca="false">IFERROR(IF(INDEX(Documents!$C$5:$C$657,MATCH(H1342,Documents!$A$5:$A$657,0))="","",INDEX(Documents!$C$5:$C$657,MATCH(H1342,Documents!$A$5:$A$657,0))),"")</f>
        <v>2014</v>
      </c>
      <c r="J1342" s="25" t="str">
        <f aca="false">IFERROR(IF(INDEX(Documents!$D$5:$D$657,MATCH(H1342,Documents!$A$5:$A$657,0))="","",INDEX(Documents!$D$5:$D$657,MATCH(H1342,Documents!$A$5:$A$657,0))),"")</f>
        <v>Bioorg Med Chem</v>
      </c>
      <c r="K1342" s="25" t="str">
        <f aca="false">IFERROR(IF(INDEX(Documents!$G$5:$G$657,MATCH(H1342,Documents!$A$5:$A$657,0))="","",INDEX(Documents!$G$5:$G$657,MATCH(H1342,Documents!$A$5:$A$657,0))),"")</f>
        <v>10.1016/j.bmc.2014.07.006</v>
      </c>
      <c r="L1342" s="25" t="s">
        <v>525</v>
      </c>
    </row>
    <row r="1343" customFormat="false" ht="15" hidden="false" customHeight="false" outlineLevel="0" collapsed="false">
      <c r="A1343" s="25" t="n">
        <v>15052048</v>
      </c>
      <c r="B1343" s="25" t="s">
        <v>3085</v>
      </c>
      <c r="C1343" s="25" t="s">
        <v>3086</v>
      </c>
      <c r="D1343" s="26" t="n">
        <v>1890</v>
      </c>
      <c r="E1343" s="27" t="n">
        <v>5.72353819582676</v>
      </c>
      <c r="F1343" s="27" t="n">
        <v>5.72353819582676</v>
      </c>
      <c r="G1343" s="25" t="s">
        <v>523</v>
      </c>
      <c r="H1343" s="25" t="s">
        <v>524</v>
      </c>
      <c r="I1343" s="25" t="n">
        <f aca="false">IFERROR(IF(INDEX(Documents!$C$5:$C$657,MATCH(H1343,Documents!$A$5:$A$657,0))="","",INDEX(Documents!$C$5:$C$657,MATCH(H1343,Documents!$A$5:$A$657,0))),"")</f>
        <v>2014</v>
      </c>
      <c r="J1343" s="25" t="str">
        <f aca="false">IFERROR(IF(INDEX(Documents!$D$5:$D$657,MATCH(H1343,Documents!$A$5:$A$657,0))="","",INDEX(Documents!$D$5:$D$657,MATCH(H1343,Documents!$A$5:$A$657,0))),"")</f>
        <v>Bioorg Med Chem</v>
      </c>
      <c r="K1343" s="25" t="str">
        <f aca="false">IFERROR(IF(INDEX(Documents!$G$5:$G$657,MATCH(H1343,Documents!$A$5:$A$657,0))="","",INDEX(Documents!$G$5:$G$657,MATCH(H1343,Documents!$A$5:$A$657,0))),"")</f>
        <v>10.1016/j.bmc.2014.07.006</v>
      </c>
      <c r="L1343" s="25" t="s">
        <v>525</v>
      </c>
    </row>
    <row r="1344" customFormat="false" ht="15" hidden="false" customHeight="false" outlineLevel="0" collapsed="false">
      <c r="A1344" s="25" t="n">
        <v>15052049</v>
      </c>
      <c r="B1344" s="25" t="s">
        <v>3087</v>
      </c>
      <c r="C1344" s="25" t="s">
        <v>3088</v>
      </c>
      <c r="D1344" s="26" t="n">
        <v>830</v>
      </c>
      <c r="E1344" s="27" t="n">
        <v>6.08092190762393</v>
      </c>
      <c r="F1344" s="27" t="n">
        <v>6.08092190762393</v>
      </c>
      <c r="G1344" s="25" t="s">
        <v>523</v>
      </c>
      <c r="H1344" s="25" t="s">
        <v>524</v>
      </c>
      <c r="I1344" s="25" t="n">
        <f aca="false">IFERROR(IF(INDEX(Documents!$C$5:$C$657,MATCH(H1344,Documents!$A$5:$A$657,0))="","",INDEX(Documents!$C$5:$C$657,MATCH(H1344,Documents!$A$5:$A$657,0))),"")</f>
        <v>2014</v>
      </c>
      <c r="J1344" s="25" t="str">
        <f aca="false">IFERROR(IF(INDEX(Documents!$D$5:$D$657,MATCH(H1344,Documents!$A$5:$A$657,0))="","",INDEX(Documents!$D$5:$D$657,MATCH(H1344,Documents!$A$5:$A$657,0))),"")</f>
        <v>Bioorg Med Chem</v>
      </c>
      <c r="K1344" s="25" t="str">
        <f aca="false">IFERROR(IF(INDEX(Documents!$G$5:$G$657,MATCH(H1344,Documents!$A$5:$A$657,0))="","",INDEX(Documents!$G$5:$G$657,MATCH(H1344,Documents!$A$5:$A$657,0))),"")</f>
        <v>10.1016/j.bmc.2014.07.006</v>
      </c>
      <c r="L1344" s="25" t="s">
        <v>525</v>
      </c>
    </row>
    <row r="1345" customFormat="false" ht="15" hidden="false" customHeight="false" outlineLevel="0" collapsed="false">
      <c r="A1345" s="25" t="n">
        <v>15052051</v>
      </c>
      <c r="B1345" s="25" t="s">
        <v>3089</v>
      </c>
      <c r="C1345" s="25" t="s">
        <v>3090</v>
      </c>
      <c r="D1345" s="26" t="n">
        <v>1520</v>
      </c>
      <c r="E1345" s="27" t="n">
        <v>5.81815641205523</v>
      </c>
      <c r="F1345" s="27" t="n">
        <v>5.81815641205523</v>
      </c>
      <c r="G1345" s="25" t="s">
        <v>523</v>
      </c>
      <c r="H1345" s="25" t="s">
        <v>524</v>
      </c>
      <c r="I1345" s="25" t="n">
        <f aca="false">IFERROR(IF(INDEX(Documents!$C$5:$C$657,MATCH(H1345,Documents!$A$5:$A$657,0))="","",INDEX(Documents!$C$5:$C$657,MATCH(H1345,Documents!$A$5:$A$657,0))),"")</f>
        <v>2014</v>
      </c>
      <c r="J1345" s="25" t="str">
        <f aca="false">IFERROR(IF(INDEX(Documents!$D$5:$D$657,MATCH(H1345,Documents!$A$5:$A$657,0))="","",INDEX(Documents!$D$5:$D$657,MATCH(H1345,Documents!$A$5:$A$657,0))),"")</f>
        <v>Bioorg Med Chem</v>
      </c>
      <c r="K1345" s="25" t="str">
        <f aca="false">IFERROR(IF(INDEX(Documents!$G$5:$G$657,MATCH(H1345,Documents!$A$5:$A$657,0))="","",INDEX(Documents!$G$5:$G$657,MATCH(H1345,Documents!$A$5:$A$657,0))),"")</f>
        <v>10.1016/j.bmc.2014.07.006</v>
      </c>
      <c r="L1345" s="25" t="s">
        <v>525</v>
      </c>
    </row>
    <row r="1346" customFormat="false" ht="15" hidden="false" customHeight="false" outlineLevel="0" collapsed="false">
      <c r="A1346" s="25" t="n">
        <v>7944824</v>
      </c>
      <c r="B1346" s="25" t="s">
        <v>3091</v>
      </c>
      <c r="C1346" s="25" t="s">
        <v>3092</v>
      </c>
      <c r="D1346" s="26" t="n">
        <v>1160</v>
      </c>
      <c r="E1346" s="27" t="n">
        <v>5.93554201077308</v>
      </c>
      <c r="F1346" s="27" t="n">
        <v>5.93554201077308</v>
      </c>
      <c r="G1346" s="25" t="s">
        <v>2072</v>
      </c>
      <c r="H1346" s="25" t="s">
        <v>2073</v>
      </c>
      <c r="I1346" s="25" t="n">
        <f aca="false">IFERROR(IF(INDEX(Documents!$C$5:$C$657,MATCH(H1346,Documents!$A$5:$A$657,0))="","",INDEX(Documents!$C$5:$C$657,MATCH(H1346,Documents!$A$5:$A$657,0))),"")</f>
        <v>2011</v>
      </c>
      <c r="J1346" s="25" t="str">
        <f aca="false">IFERROR(IF(INDEX(Documents!$D$5:$D$657,MATCH(H1346,Documents!$A$5:$A$657,0))="","",INDEX(Documents!$D$5:$D$657,MATCH(H1346,Documents!$A$5:$A$657,0))),"")</f>
        <v>J Med Chem</v>
      </c>
      <c r="K1346" s="25" t="str">
        <f aca="false">IFERROR(IF(INDEX(Documents!$G$5:$G$657,MATCH(H1346,Documents!$A$5:$A$657,0))="","",INDEX(Documents!$G$5:$G$657,MATCH(H1346,Documents!$A$5:$A$657,0))),"")</f>
        <v>10.1021/jm200529h</v>
      </c>
      <c r="L1346" s="25" t="s">
        <v>2074</v>
      </c>
    </row>
    <row r="1347" customFormat="false" ht="15" hidden="false" customHeight="false" outlineLevel="0" collapsed="false">
      <c r="A1347" s="25" t="n">
        <v>7944823</v>
      </c>
      <c r="B1347" s="25" t="s">
        <v>3093</v>
      </c>
      <c r="C1347" s="25" t="s">
        <v>3094</v>
      </c>
      <c r="D1347" s="26" t="n">
        <v>910</v>
      </c>
      <c r="E1347" s="27" t="n">
        <v>6.04095860767891</v>
      </c>
      <c r="F1347" s="27" t="n">
        <v>6.04095860767891</v>
      </c>
      <c r="G1347" s="25" t="s">
        <v>2072</v>
      </c>
      <c r="H1347" s="25" t="s">
        <v>2073</v>
      </c>
      <c r="I1347" s="25" t="n">
        <f aca="false">IFERROR(IF(INDEX(Documents!$C$5:$C$657,MATCH(H1347,Documents!$A$5:$A$657,0))="","",INDEX(Documents!$C$5:$C$657,MATCH(H1347,Documents!$A$5:$A$657,0))),"")</f>
        <v>2011</v>
      </c>
      <c r="J1347" s="25" t="str">
        <f aca="false">IFERROR(IF(INDEX(Documents!$D$5:$D$657,MATCH(H1347,Documents!$A$5:$A$657,0))="","",INDEX(Documents!$D$5:$D$657,MATCH(H1347,Documents!$A$5:$A$657,0))),"")</f>
        <v>J Med Chem</v>
      </c>
      <c r="K1347" s="25" t="str">
        <f aca="false">IFERROR(IF(INDEX(Documents!$G$5:$G$657,MATCH(H1347,Documents!$A$5:$A$657,0))="","",INDEX(Documents!$G$5:$G$657,MATCH(H1347,Documents!$A$5:$A$657,0))),"")</f>
        <v>10.1021/jm200529h</v>
      </c>
      <c r="L1347" s="25" t="s">
        <v>2074</v>
      </c>
    </row>
    <row r="1348" customFormat="false" ht="15" hidden="false" customHeight="false" outlineLevel="0" collapsed="false">
      <c r="A1348" s="25" t="n">
        <v>18693502</v>
      </c>
      <c r="B1348" s="25" t="s">
        <v>3095</v>
      </c>
      <c r="C1348" s="25" t="s">
        <v>3096</v>
      </c>
      <c r="D1348" s="26" t="n">
        <v>464</v>
      </c>
      <c r="E1348" s="27" t="n">
        <v>6.33348201944512</v>
      </c>
      <c r="F1348" s="27" t="n">
        <v>6.33348201944512</v>
      </c>
      <c r="G1348" s="25" t="s">
        <v>471</v>
      </c>
      <c r="H1348" s="25" t="s">
        <v>472</v>
      </c>
      <c r="I1348" s="25" t="n">
        <f aca="false">IFERROR(IF(INDEX(Documents!$C$5:$C$657,MATCH(H1348,Documents!$A$5:$A$657,0))="","",INDEX(Documents!$C$5:$C$657,MATCH(H1348,Documents!$A$5:$A$657,0))),"")</f>
        <v>2018</v>
      </c>
      <c r="J1348" s="25" t="str">
        <f aca="false">IFERROR(IF(INDEX(Documents!$D$5:$D$657,MATCH(H1348,Documents!$A$5:$A$657,0))="","",INDEX(Documents!$D$5:$D$657,MATCH(H1348,Documents!$A$5:$A$657,0))),"")</f>
        <v>Eur J Med Chem</v>
      </c>
      <c r="K1348" s="25" t="str">
        <f aca="false">IFERROR(IF(INDEX(Documents!$G$5:$G$657,MATCH(H1348,Documents!$A$5:$A$657,0))="","",INDEX(Documents!$G$5:$G$657,MATCH(H1348,Documents!$A$5:$A$657,0))),"")</f>
        <v>10.1016/j.ejmech.2017.11.043</v>
      </c>
      <c r="L1348" s="25" t="s">
        <v>473</v>
      </c>
    </row>
    <row r="1349" customFormat="false" ht="15" hidden="false" customHeight="false" outlineLevel="0" collapsed="false">
      <c r="A1349" s="25" t="n">
        <v>18693488</v>
      </c>
      <c r="B1349" s="25" t="s">
        <v>3097</v>
      </c>
      <c r="C1349" s="25" t="s">
        <v>3098</v>
      </c>
      <c r="D1349" s="26" t="n">
        <v>158</v>
      </c>
      <c r="E1349" s="27" t="n">
        <v>6.80134291304558</v>
      </c>
      <c r="F1349" s="27" t="n">
        <v>6.80134291304558</v>
      </c>
      <c r="G1349" s="25" t="s">
        <v>471</v>
      </c>
      <c r="H1349" s="25" t="s">
        <v>472</v>
      </c>
      <c r="I1349" s="25" t="n">
        <f aca="false">IFERROR(IF(INDEX(Documents!$C$5:$C$657,MATCH(H1349,Documents!$A$5:$A$657,0))="","",INDEX(Documents!$C$5:$C$657,MATCH(H1349,Documents!$A$5:$A$657,0))),"")</f>
        <v>2018</v>
      </c>
      <c r="J1349" s="25" t="str">
        <f aca="false">IFERROR(IF(INDEX(Documents!$D$5:$D$657,MATCH(H1349,Documents!$A$5:$A$657,0))="","",INDEX(Documents!$D$5:$D$657,MATCH(H1349,Documents!$A$5:$A$657,0))),"")</f>
        <v>Eur J Med Chem</v>
      </c>
      <c r="K1349" s="25" t="str">
        <f aca="false">IFERROR(IF(INDEX(Documents!$G$5:$G$657,MATCH(H1349,Documents!$A$5:$A$657,0))="","",INDEX(Documents!$G$5:$G$657,MATCH(H1349,Documents!$A$5:$A$657,0))),"")</f>
        <v>10.1016/j.ejmech.2017.11.043</v>
      </c>
      <c r="L1349" s="25" t="s">
        <v>473</v>
      </c>
    </row>
    <row r="1350" customFormat="false" ht="15" hidden="false" customHeight="false" outlineLevel="0" collapsed="false">
      <c r="A1350" s="25" t="n">
        <v>13321873</v>
      </c>
      <c r="B1350" s="25" t="s">
        <v>3099</v>
      </c>
      <c r="C1350" s="25" t="s">
        <v>3100</v>
      </c>
      <c r="D1350" s="26" t="n">
        <v>578</v>
      </c>
      <c r="E1350" s="27" t="n">
        <v>6.23807216157947</v>
      </c>
      <c r="F1350" s="27" t="n">
        <v>6.23807216157947</v>
      </c>
      <c r="G1350" s="25" t="s">
        <v>3101</v>
      </c>
      <c r="H1350" s="25" t="s">
        <v>3102</v>
      </c>
      <c r="I1350" s="25" t="n">
        <f aca="false">IFERROR(IF(INDEX(Documents!$C$5:$C$657,MATCH(H1350,Documents!$A$5:$A$657,0))="","",INDEX(Documents!$C$5:$C$657,MATCH(H1350,Documents!$A$5:$A$657,0))),"")</f>
        <v>2013</v>
      </c>
      <c r="J1350" s="25" t="str">
        <f aca="false">IFERROR(IF(INDEX(Documents!$D$5:$D$657,MATCH(H1350,Documents!$A$5:$A$657,0))="","",INDEX(Documents!$D$5:$D$657,MATCH(H1350,Documents!$A$5:$A$657,0))),"")</f>
        <v>J Med Chem</v>
      </c>
      <c r="K1350" s="25" t="str">
        <f aca="false">IFERROR(IF(INDEX(Documents!$G$5:$G$657,MATCH(H1350,Documents!$A$5:$A$657,0))="","",INDEX(Documents!$G$5:$G$657,MATCH(H1350,Documents!$A$5:$A$657,0))),"")</f>
        <v>10.1021/jm4005175</v>
      </c>
      <c r="L1350" s="25" t="s">
        <v>3103</v>
      </c>
    </row>
    <row r="1351" customFormat="false" ht="15" hidden="false" customHeight="false" outlineLevel="0" collapsed="false">
      <c r="A1351" s="25" t="n">
        <v>13321874</v>
      </c>
      <c r="B1351" s="25" t="s">
        <v>3104</v>
      </c>
      <c r="C1351" s="25" t="s">
        <v>3105</v>
      </c>
      <c r="D1351" s="26" t="n">
        <v>578</v>
      </c>
      <c r="E1351" s="27" t="n">
        <v>6.23807216157947</v>
      </c>
      <c r="F1351" s="27" t="n">
        <v>6.23807216157947</v>
      </c>
      <c r="G1351" s="25" t="s">
        <v>3101</v>
      </c>
      <c r="H1351" s="25" t="s">
        <v>3102</v>
      </c>
      <c r="I1351" s="25" t="n">
        <f aca="false">IFERROR(IF(INDEX(Documents!$C$5:$C$657,MATCH(H1351,Documents!$A$5:$A$657,0))="","",INDEX(Documents!$C$5:$C$657,MATCH(H1351,Documents!$A$5:$A$657,0))),"")</f>
        <v>2013</v>
      </c>
      <c r="J1351" s="25" t="str">
        <f aca="false">IFERROR(IF(INDEX(Documents!$D$5:$D$657,MATCH(H1351,Documents!$A$5:$A$657,0))="","",INDEX(Documents!$D$5:$D$657,MATCH(H1351,Documents!$A$5:$A$657,0))),"")</f>
        <v>J Med Chem</v>
      </c>
      <c r="K1351" s="25" t="str">
        <f aca="false">IFERROR(IF(INDEX(Documents!$G$5:$G$657,MATCH(H1351,Documents!$A$5:$A$657,0))="","",INDEX(Documents!$G$5:$G$657,MATCH(H1351,Documents!$A$5:$A$657,0))),"")</f>
        <v>10.1021/jm4005175</v>
      </c>
      <c r="L1351" s="25" t="s">
        <v>3103</v>
      </c>
    </row>
    <row r="1352" customFormat="false" ht="15" hidden="false" customHeight="false" outlineLevel="0" collapsed="false">
      <c r="A1352" s="25" t="n">
        <v>12137494</v>
      </c>
      <c r="B1352" s="25" t="s">
        <v>3106</v>
      </c>
      <c r="C1352" s="25" t="s">
        <v>3107</v>
      </c>
      <c r="D1352" s="26" t="n">
        <v>392</v>
      </c>
      <c r="E1352" s="27" t="n">
        <v>6.40671393297954</v>
      </c>
      <c r="F1352" s="27" t="n">
        <v>6.40671393297954</v>
      </c>
      <c r="G1352" s="25" t="s">
        <v>2120</v>
      </c>
      <c r="H1352" s="25" t="s">
        <v>2121</v>
      </c>
      <c r="I1352" s="25" t="n">
        <f aca="false">IFERROR(IF(INDEX(Documents!$C$5:$C$657,MATCH(H1352,Documents!$A$5:$A$657,0))="","",INDEX(Documents!$C$5:$C$657,MATCH(H1352,Documents!$A$5:$A$657,0))),"")</f>
        <v>2012</v>
      </c>
      <c r="J1352" s="25" t="str">
        <f aca="false">IFERROR(IF(INDEX(Documents!$D$5:$D$657,MATCH(H1352,Documents!$A$5:$A$657,0))="","",INDEX(Documents!$D$5:$D$657,MATCH(H1352,Documents!$A$5:$A$657,0))),"")</f>
        <v>J Med Chem</v>
      </c>
      <c r="K1352" s="25" t="str">
        <f aca="false">IFERROR(IF(INDEX(Documents!$G$5:$G$657,MATCH(H1352,Documents!$A$5:$A$657,0))="","",INDEX(Documents!$G$5:$G$657,MATCH(H1352,Documents!$A$5:$A$657,0))),"")</f>
        <v>10.1021/jm3008213</v>
      </c>
      <c r="L1352" s="25" t="s">
        <v>2122</v>
      </c>
    </row>
    <row r="1353" customFormat="false" ht="15" hidden="false" customHeight="false" outlineLevel="0" collapsed="false">
      <c r="A1353" s="25" t="n">
        <v>12137488</v>
      </c>
      <c r="B1353" s="25" t="s">
        <v>3108</v>
      </c>
      <c r="C1353" s="25" t="s">
        <v>3109</v>
      </c>
      <c r="D1353" s="26" t="n">
        <v>350</v>
      </c>
      <c r="E1353" s="27" t="n">
        <v>6.45593195564972</v>
      </c>
      <c r="F1353" s="27" t="n">
        <v>6.45593195564972</v>
      </c>
      <c r="G1353" s="25" t="s">
        <v>2120</v>
      </c>
      <c r="H1353" s="25" t="s">
        <v>2121</v>
      </c>
      <c r="I1353" s="25" t="n">
        <f aca="false">IFERROR(IF(INDEX(Documents!$C$5:$C$657,MATCH(H1353,Documents!$A$5:$A$657,0))="","",INDEX(Documents!$C$5:$C$657,MATCH(H1353,Documents!$A$5:$A$657,0))),"")</f>
        <v>2012</v>
      </c>
      <c r="J1353" s="25" t="str">
        <f aca="false">IFERROR(IF(INDEX(Documents!$D$5:$D$657,MATCH(H1353,Documents!$A$5:$A$657,0))="","",INDEX(Documents!$D$5:$D$657,MATCH(H1353,Documents!$A$5:$A$657,0))),"")</f>
        <v>J Med Chem</v>
      </c>
      <c r="K1353" s="25" t="str">
        <f aca="false">IFERROR(IF(INDEX(Documents!$G$5:$G$657,MATCH(H1353,Documents!$A$5:$A$657,0))="","",INDEX(Documents!$G$5:$G$657,MATCH(H1353,Documents!$A$5:$A$657,0))),"")</f>
        <v>10.1021/jm3008213</v>
      </c>
      <c r="L1353" s="25" t="s">
        <v>2122</v>
      </c>
    </row>
    <row r="1354" customFormat="false" ht="15" hidden="false" customHeight="false" outlineLevel="0" collapsed="false">
      <c r="A1354" s="25" t="n">
        <v>12137500</v>
      </c>
      <c r="B1354" s="25" t="s">
        <v>3110</v>
      </c>
      <c r="C1354" s="25" t="s">
        <v>3111</v>
      </c>
      <c r="D1354" s="26" t="n">
        <v>143</v>
      </c>
      <c r="E1354" s="27" t="n">
        <v>6.84466396253494</v>
      </c>
      <c r="F1354" s="27" t="n">
        <v>6.84466396253494</v>
      </c>
      <c r="G1354" s="25" t="s">
        <v>2120</v>
      </c>
      <c r="H1354" s="25" t="s">
        <v>2121</v>
      </c>
      <c r="I1354" s="25" t="n">
        <f aca="false">IFERROR(IF(INDEX(Documents!$C$5:$C$657,MATCH(H1354,Documents!$A$5:$A$657,0))="","",INDEX(Documents!$C$5:$C$657,MATCH(H1354,Documents!$A$5:$A$657,0))),"")</f>
        <v>2012</v>
      </c>
      <c r="J1354" s="25" t="str">
        <f aca="false">IFERROR(IF(INDEX(Documents!$D$5:$D$657,MATCH(H1354,Documents!$A$5:$A$657,0))="","",INDEX(Documents!$D$5:$D$657,MATCH(H1354,Documents!$A$5:$A$657,0))),"")</f>
        <v>J Med Chem</v>
      </c>
      <c r="K1354" s="25" t="str">
        <f aca="false">IFERROR(IF(INDEX(Documents!$G$5:$G$657,MATCH(H1354,Documents!$A$5:$A$657,0))="","",INDEX(Documents!$G$5:$G$657,MATCH(H1354,Documents!$A$5:$A$657,0))),"")</f>
        <v>10.1021/jm3008213</v>
      </c>
      <c r="L1354" s="25" t="s">
        <v>2122</v>
      </c>
    </row>
    <row r="1355" customFormat="false" ht="15" hidden="false" customHeight="false" outlineLevel="0" collapsed="false">
      <c r="A1355" s="25" t="n">
        <v>12137498</v>
      </c>
      <c r="B1355" s="25" t="s">
        <v>3112</v>
      </c>
      <c r="C1355" s="25" t="s">
        <v>3113</v>
      </c>
      <c r="D1355" s="26" t="n">
        <v>267</v>
      </c>
      <c r="E1355" s="27" t="n">
        <v>6.57348873863542</v>
      </c>
      <c r="F1355" s="27" t="n">
        <v>6.57348873863542</v>
      </c>
      <c r="G1355" s="25" t="s">
        <v>2120</v>
      </c>
      <c r="H1355" s="25" t="s">
        <v>2121</v>
      </c>
      <c r="I1355" s="25" t="n">
        <f aca="false">IFERROR(IF(INDEX(Documents!$C$5:$C$657,MATCH(H1355,Documents!$A$5:$A$657,0))="","",INDEX(Documents!$C$5:$C$657,MATCH(H1355,Documents!$A$5:$A$657,0))),"")</f>
        <v>2012</v>
      </c>
      <c r="J1355" s="25" t="str">
        <f aca="false">IFERROR(IF(INDEX(Documents!$D$5:$D$657,MATCH(H1355,Documents!$A$5:$A$657,0))="","",INDEX(Documents!$D$5:$D$657,MATCH(H1355,Documents!$A$5:$A$657,0))),"")</f>
        <v>J Med Chem</v>
      </c>
      <c r="K1355" s="25" t="str">
        <f aca="false">IFERROR(IF(INDEX(Documents!$G$5:$G$657,MATCH(H1355,Documents!$A$5:$A$657,0))="","",INDEX(Documents!$G$5:$G$657,MATCH(H1355,Documents!$A$5:$A$657,0))),"")</f>
        <v>10.1021/jm3008213</v>
      </c>
      <c r="L1355" s="25" t="s">
        <v>2122</v>
      </c>
    </row>
    <row r="1356" customFormat="false" ht="15" hidden="false" customHeight="false" outlineLevel="0" collapsed="false">
      <c r="A1356" s="25" t="n">
        <v>12137496</v>
      </c>
      <c r="B1356" s="25" t="s">
        <v>3114</v>
      </c>
      <c r="C1356" s="25" t="s">
        <v>3115</v>
      </c>
      <c r="D1356" s="26" t="n">
        <v>405</v>
      </c>
      <c r="E1356" s="27" t="n">
        <v>6.39254497678533</v>
      </c>
      <c r="F1356" s="27" t="n">
        <v>6.39254497678533</v>
      </c>
      <c r="G1356" s="25" t="s">
        <v>2120</v>
      </c>
      <c r="H1356" s="25" t="s">
        <v>2121</v>
      </c>
      <c r="I1356" s="25" t="n">
        <f aca="false">IFERROR(IF(INDEX(Documents!$C$5:$C$657,MATCH(H1356,Documents!$A$5:$A$657,0))="","",INDEX(Documents!$C$5:$C$657,MATCH(H1356,Documents!$A$5:$A$657,0))),"")</f>
        <v>2012</v>
      </c>
      <c r="J1356" s="25" t="str">
        <f aca="false">IFERROR(IF(INDEX(Documents!$D$5:$D$657,MATCH(H1356,Documents!$A$5:$A$657,0))="","",INDEX(Documents!$D$5:$D$657,MATCH(H1356,Documents!$A$5:$A$657,0))),"")</f>
        <v>J Med Chem</v>
      </c>
      <c r="K1356" s="25" t="str">
        <f aca="false">IFERROR(IF(INDEX(Documents!$G$5:$G$657,MATCH(H1356,Documents!$A$5:$A$657,0))="","",INDEX(Documents!$G$5:$G$657,MATCH(H1356,Documents!$A$5:$A$657,0))),"")</f>
        <v>10.1021/jm3008213</v>
      </c>
      <c r="L1356" s="25" t="s">
        <v>2122</v>
      </c>
    </row>
    <row r="1357" customFormat="false" ht="15" hidden="false" customHeight="false" outlineLevel="0" collapsed="false">
      <c r="A1357" s="25" t="n">
        <v>12137490</v>
      </c>
      <c r="B1357" s="25" t="s">
        <v>3116</v>
      </c>
      <c r="C1357" s="25" t="s">
        <v>3117</v>
      </c>
      <c r="D1357" s="26" t="n">
        <v>185</v>
      </c>
      <c r="E1357" s="27" t="n">
        <v>6.73282827159699</v>
      </c>
      <c r="F1357" s="27" t="n">
        <v>6.73282827159699</v>
      </c>
      <c r="G1357" s="25" t="s">
        <v>2120</v>
      </c>
      <c r="H1357" s="25" t="s">
        <v>2121</v>
      </c>
      <c r="I1357" s="25" t="n">
        <f aca="false">IFERROR(IF(INDEX(Documents!$C$5:$C$657,MATCH(H1357,Documents!$A$5:$A$657,0))="","",INDEX(Documents!$C$5:$C$657,MATCH(H1357,Documents!$A$5:$A$657,0))),"")</f>
        <v>2012</v>
      </c>
      <c r="J1357" s="25" t="str">
        <f aca="false">IFERROR(IF(INDEX(Documents!$D$5:$D$657,MATCH(H1357,Documents!$A$5:$A$657,0))="","",INDEX(Documents!$D$5:$D$657,MATCH(H1357,Documents!$A$5:$A$657,0))),"")</f>
        <v>J Med Chem</v>
      </c>
      <c r="K1357" s="25" t="str">
        <f aca="false">IFERROR(IF(INDEX(Documents!$G$5:$G$657,MATCH(H1357,Documents!$A$5:$A$657,0))="","",INDEX(Documents!$G$5:$G$657,MATCH(H1357,Documents!$A$5:$A$657,0))),"")</f>
        <v>10.1021/jm3008213</v>
      </c>
      <c r="L1357" s="25" t="s">
        <v>2122</v>
      </c>
    </row>
    <row r="1358" customFormat="false" ht="15" hidden="false" customHeight="false" outlineLevel="0" collapsed="false">
      <c r="A1358" s="25" t="n">
        <v>12137492</v>
      </c>
      <c r="B1358" s="25" t="s">
        <v>3118</v>
      </c>
      <c r="C1358" s="25" t="s">
        <v>3119</v>
      </c>
      <c r="D1358" s="26" t="n">
        <v>49</v>
      </c>
      <c r="E1358" s="27" t="n">
        <v>7.30980391997149</v>
      </c>
      <c r="F1358" s="27" t="n">
        <v>7.30980391997149</v>
      </c>
      <c r="G1358" s="25" t="s">
        <v>2120</v>
      </c>
      <c r="H1358" s="25" t="s">
        <v>2121</v>
      </c>
      <c r="I1358" s="25" t="n">
        <f aca="false">IFERROR(IF(INDEX(Documents!$C$5:$C$657,MATCH(H1358,Documents!$A$5:$A$657,0))="","",INDEX(Documents!$C$5:$C$657,MATCH(H1358,Documents!$A$5:$A$657,0))),"")</f>
        <v>2012</v>
      </c>
      <c r="J1358" s="25" t="str">
        <f aca="false">IFERROR(IF(INDEX(Documents!$D$5:$D$657,MATCH(H1358,Documents!$A$5:$A$657,0))="","",INDEX(Documents!$D$5:$D$657,MATCH(H1358,Documents!$A$5:$A$657,0))),"")</f>
        <v>J Med Chem</v>
      </c>
      <c r="K1358" s="25" t="str">
        <f aca="false">IFERROR(IF(INDEX(Documents!$G$5:$G$657,MATCH(H1358,Documents!$A$5:$A$657,0))="","",INDEX(Documents!$G$5:$G$657,MATCH(H1358,Documents!$A$5:$A$657,0))),"")</f>
        <v>10.1021/jm3008213</v>
      </c>
      <c r="L1358" s="25" t="s">
        <v>2122</v>
      </c>
    </row>
    <row r="1359" customFormat="false" ht="15" hidden="false" customHeight="false" outlineLevel="0" collapsed="false">
      <c r="A1359" s="25" t="n">
        <v>23303521</v>
      </c>
      <c r="B1359" s="25" t="s">
        <v>3120</v>
      </c>
      <c r="C1359" s="25" t="s">
        <v>3121</v>
      </c>
      <c r="D1359" s="26" t="n">
        <v>83.18</v>
      </c>
      <c r="E1359" s="27" t="n">
        <v>7.07998108397109</v>
      </c>
      <c r="F1359" s="27" t="n">
        <v>7.08202693613699</v>
      </c>
      <c r="G1359" s="25" t="s">
        <v>1996</v>
      </c>
      <c r="H1359" s="25" t="s">
        <v>1997</v>
      </c>
      <c r="I1359" s="25" t="n">
        <f aca="false">IFERROR(IF(INDEX(Documents!$C$5:$C$657,MATCH(H1359,Documents!$A$5:$A$657,0))="","",INDEX(Documents!$C$5:$C$657,MATCH(H1359,Documents!$A$5:$A$657,0))),"")</f>
        <v>2021</v>
      </c>
      <c r="J1359" s="25" t="str">
        <f aca="false">IFERROR(IF(INDEX(Documents!$D$5:$D$657,MATCH(H1359,Documents!$A$5:$A$657,0))="","",INDEX(Documents!$D$5:$D$657,MATCH(H1359,Documents!$A$5:$A$657,0))),"")</f>
        <v>Eur J Med Chem</v>
      </c>
      <c r="K1359" s="25" t="str">
        <f aca="false">IFERROR(IF(INDEX(Documents!$G$5:$G$657,MATCH(H1359,Documents!$A$5:$A$657,0))="","",INDEX(Documents!$G$5:$G$657,MATCH(H1359,Documents!$A$5:$A$657,0))),"")</f>
        <v>10.1016/j.ejmech.2021.113354</v>
      </c>
      <c r="L1359" s="25" t="s">
        <v>1998</v>
      </c>
    </row>
    <row r="1360" customFormat="false" ht="15" hidden="false" customHeight="false" outlineLevel="0" collapsed="false">
      <c r="A1360" s="25" t="n">
        <v>23303563</v>
      </c>
      <c r="B1360" s="25" t="s">
        <v>3120</v>
      </c>
      <c r="C1360" s="25" t="s">
        <v>3121</v>
      </c>
      <c r="D1360" s="26" t="n">
        <v>82.4</v>
      </c>
      <c r="E1360" s="27" t="n">
        <v>7.08407278830288</v>
      </c>
      <c r="F1360" s="27" t="n">
        <v>7.08202693613699</v>
      </c>
      <c r="G1360" s="25" t="s">
        <v>1996</v>
      </c>
      <c r="H1360" s="25" t="s">
        <v>1997</v>
      </c>
      <c r="I1360" s="25" t="n">
        <f aca="false">IFERROR(IF(INDEX(Documents!$C$5:$C$657,MATCH(H1360,Documents!$A$5:$A$657,0))="","",INDEX(Documents!$C$5:$C$657,MATCH(H1360,Documents!$A$5:$A$657,0))),"")</f>
        <v>2021</v>
      </c>
      <c r="J1360" s="25" t="str">
        <f aca="false">IFERROR(IF(INDEX(Documents!$D$5:$D$657,MATCH(H1360,Documents!$A$5:$A$657,0))="","",INDEX(Documents!$D$5:$D$657,MATCH(H1360,Documents!$A$5:$A$657,0))),"")</f>
        <v>Eur J Med Chem</v>
      </c>
      <c r="K1360" s="25" t="str">
        <f aca="false">IFERROR(IF(INDEX(Documents!$G$5:$G$657,MATCH(H1360,Documents!$A$5:$A$657,0))="","",INDEX(Documents!$G$5:$G$657,MATCH(H1360,Documents!$A$5:$A$657,0))),"")</f>
        <v>10.1016/j.ejmech.2021.113354</v>
      </c>
      <c r="L1360" s="25" t="s">
        <v>1998</v>
      </c>
    </row>
    <row r="1361" customFormat="false" ht="15" hidden="false" customHeight="false" outlineLevel="0" collapsed="false">
      <c r="A1361" s="25" t="n">
        <v>23303564</v>
      </c>
      <c r="B1361" s="25" t="s">
        <v>3122</v>
      </c>
      <c r="C1361" s="25" t="s">
        <v>3123</v>
      </c>
      <c r="D1361" s="26" t="n">
        <v>56.5</v>
      </c>
      <c r="E1361" s="27" t="n">
        <v>7.24795155218056</v>
      </c>
      <c r="F1361" s="27" t="n">
        <v>7.24899173433558</v>
      </c>
      <c r="G1361" s="25" t="s">
        <v>1996</v>
      </c>
      <c r="H1361" s="25" t="s">
        <v>1997</v>
      </c>
      <c r="I1361" s="25" t="n">
        <f aca="false">IFERROR(IF(INDEX(Documents!$C$5:$C$657,MATCH(H1361,Documents!$A$5:$A$657,0))="","",INDEX(Documents!$C$5:$C$657,MATCH(H1361,Documents!$A$5:$A$657,0))),"")</f>
        <v>2021</v>
      </c>
      <c r="J1361" s="25" t="str">
        <f aca="false">IFERROR(IF(INDEX(Documents!$D$5:$D$657,MATCH(H1361,Documents!$A$5:$A$657,0))="","",INDEX(Documents!$D$5:$D$657,MATCH(H1361,Documents!$A$5:$A$657,0))),"")</f>
        <v>Eur J Med Chem</v>
      </c>
      <c r="K1361" s="25" t="str">
        <f aca="false">IFERROR(IF(INDEX(Documents!$G$5:$G$657,MATCH(H1361,Documents!$A$5:$A$657,0))="","",INDEX(Documents!$G$5:$G$657,MATCH(H1361,Documents!$A$5:$A$657,0))),"")</f>
        <v>10.1016/j.ejmech.2021.113354</v>
      </c>
      <c r="L1361" s="25" t="s">
        <v>1998</v>
      </c>
    </row>
    <row r="1362" customFormat="false" ht="15" hidden="false" customHeight="false" outlineLevel="0" collapsed="false">
      <c r="A1362" s="25" t="n">
        <v>23303523</v>
      </c>
      <c r="B1362" s="25" t="s">
        <v>3122</v>
      </c>
      <c r="C1362" s="25" t="s">
        <v>3123</v>
      </c>
      <c r="D1362" s="26" t="n">
        <v>56.23</v>
      </c>
      <c r="E1362" s="27" t="n">
        <v>7.2500319164906</v>
      </c>
      <c r="F1362" s="27" t="n">
        <v>7.24899173433558</v>
      </c>
      <c r="G1362" s="25" t="s">
        <v>1996</v>
      </c>
      <c r="H1362" s="25" t="s">
        <v>1997</v>
      </c>
      <c r="I1362" s="25" t="n">
        <f aca="false">IFERROR(IF(INDEX(Documents!$C$5:$C$657,MATCH(H1362,Documents!$A$5:$A$657,0))="","",INDEX(Documents!$C$5:$C$657,MATCH(H1362,Documents!$A$5:$A$657,0))),"")</f>
        <v>2021</v>
      </c>
      <c r="J1362" s="25" t="str">
        <f aca="false">IFERROR(IF(INDEX(Documents!$D$5:$D$657,MATCH(H1362,Documents!$A$5:$A$657,0))="","",INDEX(Documents!$D$5:$D$657,MATCH(H1362,Documents!$A$5:$A$657,0))),"")</f>
        <v>Eur J Med Chem</v>
      </c>
      <c r="K1362" s="25" t="str">
        <f aca="false">IFERROR(IF(INDEX(Documents!$G$5:$G$657,MATCH(H1362,Documents!$A$5:$A$657,0))="","",INDEX(Documents!$G$5:$G$657,MATCH(H1362,Documents!$A$5:$A$657,0))),"")</f>
        <v>10.1016/j.ejmech.2021.113354</v>
      </c>
      <c r="L1362" s="25" t="s">
        <v>1998</v>
      </c>
    </row>
    <row r="1363" customFormat="false" ht="15" hidden="false" customHeight="false" outlineLevel="0" collapsed="false">
      <c r="A1363" s="25" t="n">
        <v>20682924</v>
      </c>
      <c r="B1363" s="25" t="s">
        <v>3124</v>
      </c>
      <c r="C1363" s="25" t="s">
        <v>3125</v>
      </c>
      <c r="D1363" s="26" t="n">
        <v>41.9</v>
      </c>
      <c r="E1363" s="27" t="n">
        <v>7.37778597703371</v>
      </c>
      <c r="F1363" s="27" t="n">
        <v>7.37778597703371</v>
      </c>
      <c r="G1363" s="25" t="s">
        <v>518</v>
      </c>
      <c r="H1363" s="25" t="s">
        <v>519</v>
      </c>
      <c r="I1363" s="25" t="n">
        <f aca="false">IFERROR(IF(INDEX(Documents!$C$5:$C$657,MATCH(H1363,Documents!$A$5:$A$657,0))="","",INDEX(Documents!$C$5:$C$657,MATCH(H1363,Documents!$A$5:$A$657,0))),"")</f>
        <v>2020</v>
      </c>
      <c r="J1363" s="25" t="str">
        <f aca="false">IFERROR(IF(INDEX(Documents!$D$5:$D$657,MATCH(H1363,Documents!$A$5:$A$657,0))="","",INDEX(Documents!$D$5:$D$657,MATCH(H1363,Documents!$A$5:$A$657,0))),"")</f>
        <v>Bioorg Med Chem</v>
      </c>
      <c r="K1363" s="25" t="str">
        <f aca="false">IFERROR(IF(INDEX(Documents!$G$5:$G$657,MATCH(H1363,Documents!$A$5:$A$657,0))="","",INDEX(Documents!$G$5:$G$657,MATCH(H1363,Documents!$A$5:$A$657,0))),"")</f>
        <v>10.1016/j.bmc.2020.115513</v>
      </c>
      <c r="L1363" s="25" t="s">
        <v>520</v>
      </c>
    </row>
    <row r="1364" customFormat="false" ht="15" hidden="false" customHeight="false" outlineLevel="0" collapsed="false">
      <c r="A1364" s="25" t="n">
        <v>20682939</v>
      </c>
      <c r="B1364" s="25" t="s">
        <v>3126</v>
      </c>
      <c r="C1364" s="25" t="s">
        <v>3127</v>
      </c>
      <c r="D1364" s="26" t="n">
        <v>597.6</v>
      </c>
      <c r="E1364" s="27" t="n">
        <v>6.22358941119266</v>
      </c>
      <c r="F1364" s="27" t="n">
        <v>6.22358941119266</v>
      </c>
      <c r="G1364" s="25" t="s">
        <v>518</v>
      </c>
      <c r="H1364" s="25" t="s">
        <v>519</v>
      </c>
      <c r="I1364" s="25" t="n">
        <f aca="false">IFERROR(IF(INDEX(Documents!$C$5:$C$657,MATCH(H1364,Documents!$A$5:$A$657,0))="","",INDEX(Documents!$C$5:$C$657,MATCH(H1364,Documents!$A$5:$A$657,0))),"")</f>
        <v>2020</v>
      </c>
      <c r="J1364" s="25" t="str">
        <f aca="false">IFERROR(IF(INDEX(Documents!$D$5:$D$657,MATCH(H1364,Documents!$A$5:$A$657,0))="","",INDEX(Documents!$D$5:$D$657,MATCH(H1364,Documents!$A$5:$A$657,0))),"")</f>
        <v>Bioorg Med Chem</v>
      </c>
      <c r="K1364" s="25" t="str">
        <f aca="false">IFERROR(IF(INDEX(Documents!$G$5:$G$657,MATCH(H1364,Documents!$A$5:$A$657,0))="","",INDEX(Documents!$G$5:$G$657,MATCH(H1364,Documents!$A$5:$A$657,0))),"")</f>
        <v>10.1016/j.bmc.2020.115513</v>
      </c>
      <c r="L1364" s="25" t="s">
        <v>520</v>
      </c>
    </row>
    <row r="1365" customFormat="false" ht="15" hidden="false" customHeight="false" outlineLevel="0" collapsed="false">
      <c r="A1365" s="25" t="n">
        <v>20682928</v>
      </c>
      <c r="B1365" s="25" t="s">
        <v>3128</v>
      </c>
      <c r="C1365" s="25" t="s">
        <v>3129</v>
      </c>
      <c r="D1365" s="26" t="n">
        <v>1.2</v>
      </c>
      <c r="E1365" s="27" t="n">
        <v>8.92081875395238</v>
      </c>
      <c r="F1365" s="27" t="n">
        <v>8.92081875395238</v>
      </c>
      <c r="G1365" s="25" t="s">
        <v>518</v>
      </c>
      <c r="H1365" s="25" t="s">
        <v>519</v>
      </c>
      <c r="I1365" s="25" t="n">
        <f aca="false">IFERROR(IF(INDEX(Documents!$C$5:$C$657,MATCH(H1365,Documents!$A$5:$A$657,0))="","",INDEX(Documents!$C$5:$C$657,MATCH(H1365,Documents!$A$5:$A$657,0))),"")</f>
        <v>2020</v>
      </c>
      <c r="J1365" s="25" t="str">
        <f aca="false">IFERROR(IF(INDEX(Documents!$D$5:$D$657,MATCH(H1365,Documents!$A$5:$A$657,0))="","",INDEX(Documents!$D$5:$D$657,MATCH(H1365,Documents!$A$5:$A$657,0))),"")</f>
        <v>Bioorg Med Chem</v>
      </c>
      <c r="K1365" s="25" t="str">
        <f aca="false">IFERROR(IF(INDEX(Documents!$G$5:$G$657,MATCH(H1365,Documents!$A$5:$A$657,0))="","",INDEX(Documents!$G$5:$G$657,MATCH(H1365,Documents!$A$5:$A$657,0))),"")</f>
        <v>10.1016/j.bmc.2020.115513</v>
      </c>
      <c r="L1365" s="25" t="s">
        <v>520</v>
      </c>
    </row>
    <row r="1366" customFormat="false" ht="15" hidden="false" customHeight="false" outlineLevel="0" collapsed="false">
      <c r="A1366" s="25" t="n">
        <v>20682937</v>
      </c>
      <c r="B1366" s="25" t="s">
        <v>3130</v>
      </c>
      <c r="C1366" s="25" t="s">
        <v>3131</v>
      </c>
      <c r="D1366" s="26" t="n">
        <v>22.9</v>
      </c>
      <c r="E1366" s="27" t="n">
        <v>7.64016451766011</v>
      </c>
      <c r="F1366" s="27" t="n">
        <v>7.64016451766011</v>
      </c>
      <c r="G1366" s="25" t="s">
        <v>518</v>
      </c>
      <c r="H1366" s="25" t="s">
        <v>519</v>
      </c>
      <c r="I1366" s="25" t="n">
        <f aca="false">IFERROR(IF(INDEX(Documents!$C$5:$C$657,MATCH(H1366,Documents!$A$5:$A$657,0))="","",INDEX(Documents!$C$5:$C$657,MATCH(H1366,Documents!$A$5:$A$657,0))),"")</f>
        <v>2020</v>
      </c>
      <c r="J1366" s="25" t="str">
        <f aca="false">IFERROR(IF(INDEX(Documents!$D$5:$D$657,MATCH(H1366,Documents!$A$5:$A$657,0))="","",INDEX(Documents!$D$5:$D$657,MATCH(H1366,Documents!$A$5:$A$657,0))),"")</f>
        <v>Bioorg Med Chem</v>
      </c>
      <c r="K1366" s="25" t="str">
        <f aca="false">IFERROR(IF(INDEX(Documents!$G$5:$G$657,MATCH(H1366,Documents!$A$5:$A$657,0))="","",INDEX(Documents!$G$5:$G$657,MATCH(H1366,Documents!$A$5:$A$657,0))),"")</f>
        <v>10.1016/j.bmc.2020.115513</v>
      </c>
      <c r="L1366" s="25" t="s">
        <v>520</v>
      </c>
    </row>
    <row r="1367" customFormat="false" ht="15" hidden="false" customHeight="false" outlineLevel="0" collapsed="false">
      <c r="A1367" s="25" t="n">
        <v>20682931</v>
      </c>
      <c r="B1367" s="25" t="s">
        <v>3132</v>
      </c>
      <c r="C1367" s="25" t="s">
        <v>3133</v>
      </c>
      <c r="D1367" s="26" t="n">
        <v>10.3</v>
      </c>
      <c r="E1367" s="27" t="n">
        <v>7.98716277529483</v>
      </c>
      <c r="F1367" s="27" t="n">
        <v>7.98716277529483</v>
      </c>
      <c r="G1367" s="25" t="s">
        <v>518</v>
      </c>
      <c r="H1367" s="25" t="s">
        <v>519</v>
      </c>
      <c r="I1367" s="25" t="n">
        <f aca="false">IFERROR(IF(INDEX(Documents!$C$5:$C$657,MATCH(H1367,Documents!$A$5:$A$657,0))="","",INDEX(Documents!$C$5:$C$657,MATCH(H1367,Documents!$A$5:$A$657,0))),"")</f>
        <v>2020</v>
      </c>
      <c r="J1367" s="25" t="str">
        <f aca="false">IFERROR(IF(INDEX(Documents!$D$5:$D$657,MATCH(H1367,Documents!$A$5:$A$657,0))="","",INDEX(Documents!$D$5:$D$657,MATCH(H1367,Documents!$A$5:$A$657,0))),"")</f>
        <v>Bioorg Med Chem</v>
      </c>
      <c r="K1367" s="25" t="str">
        <f aca="false">IFERROR(IF(INDEX(Documents!$G$5:$G$657,MATCH(H1367,Documents!$A$5:$A$657,0))="","",INDEX(Documents!$G$5:$G$657,MATCH(H1367,Documents!$A$5:$A$657,0))),"")</f>
        <v>10.1016/j.bmc.2020.115513</v>
      </c>
      <c r="L1367" s="25" t="s">
        <v>520</v>
      </c>
    </row>
    <row r="1368" customFormat="false" ht="15" hidden="false" customHeight="false" outlineLevel="0" collapsed="false">
      <c r="A1368" s="25" t="n">
        <v>20682925</v>
      </c>
      <c r="B1368" s="25" t="s">
        <v>3134</v>
      </c>
      <c r="C1368" s="25" t="s">
        <v>3135</v>
      </c>
      <c r="D1368" s="26" t="n">
        <v>33.2</v>
      </c>
      <c r="E1368" s="27" t="n">
        <v>7.47886191629596</v>
      </c>
      <c r="F1368" s="27" t="n">
        <v>7.47886191629596</v>
      </c>
      <c r="G1368" s="25" t="s">
        <v>518</v>
      </c>
      <c r="H1368" s="25" t="s">
        <v>519</v>
      </c>
      <c r="I1368" s="25" t="n">
        <f aca="false">IFERROR(IF(INDEX(Documents!$C$5:$C$657,MATCH(H1368,Documents!$A$5:$A$657,0))="","",INDEX(Documents!$C$5:$C$657,MATCH(H1368,Documents!$A$5:$A$657,0))),"")</f>
        <v>2020</v>
      </c>
      <c r="J1368" s="25" t="str">
        <f aca="false">IFERROR(IF(INDEX(Documents!$D$5:$D$657,MATCH(H1368,Documents!$A$5:$A$657,0))="","",INDEX(Documents!$D$5:$D$657,MATCH(H1368,Documents!$A$5:$A$657,0))),"")</f>
        <v>Bioorg Med Chem</v>
      </c>
      <c r="K1368" s="25" t="str">
        <f aca="false">IFERROR(IF(INDEX(Documents!$G$5:$G$657,MATCH(H1368,Documents!$A$5:$A$657,0))="","",INDEX(Documents!$G$5:$G$657,MATCH(H1368,Documents!$A$5:$A$657,0))),"")</f>
        <v>10.1016/j.bmc.2020.115513</v>
      </c>
      <c r="L1368" s="25" t="s">
        <v>520</v>
      </c>
    </row>
    <row r="1369" customFormat="false" ht="15" hidden="false" customHeight="false" outlineLevel="0" collapsed="false">
      <c r="A1369" s="25" t="n">
        <v>20682941</v>
      </c>
      <c r="B1369" s="25" t="s">
        <v>3136</v>
      </c>
      <c r="C1369" s="25" t="s">
        <v>3137</v>
      </c>
      <c r="D1369" s="26" t="n">
        <v>308.9</v>
      </c>
      <c r="E1369" s="27" t="n">
        <v>6.51018209169855</v>
      </c>
      <c r="F1369" s="27" t="n">
        <v>6.51018209169855</v>
      </c>
      <c r="G1369" s="25" t="s">
        <v>518</v>
      </c>
      <c r="H1369" s="25" t="s">
        <v>519</v>
      </c>
      <c r="I1369" s="25" t="n">
        <f aca="false">IFERROR(IF(INDEX(Documents!$C$5:$C$657,MATCH(H1369,Documents!$A$5:$A$657,0))="","",INDEX(Documents!$C$5:$C$657,MATCH(H1369,Documents!$A$5:$A$657,0))),"")</f>
        <v>2020</v>
      </c>
      <c r="J1369" s="25" t="str">
        <f aca="false">IFERROR(IF(INDEX(Documents!$D$5:$D$657,MATCH(H1369,Documents!$A$5:$A$657,0))="","",INDEX(Documents!$D$5:$D$657,MATCH(H1369,Documents!$A$5:$A$657,0))),"")</f>
        <v>Bioorg Med Chem</v>
      </c>
      <c r="K1369" s="25" t="str">
        <f aca="false">IFERROR(IF(INDEX(Documents!$G$5:$G$657,MATCH(H1369,Documents!$A$5:$A$657,0))="","",INDEX(Documents!$G$5:$G$657,MATCH(H1369,Documents!$A$5:$A$657,0))),"")</f>
        <v>10.1016/j.bmc.2020.115513</v>
      </c>
      <c r="L1369" s="25" t="s">
        <v>520</v>
      </c>
    </row>
    <row r="1370" customFormat="false" ht="15" hidden="false" customHeight="false" outlineLevel="0" collapsed="false">
      <c r="A1370" s="25" t="n">
        <v>20682945</v>
      </c>
      <c r="B1370" s="25" t="s">
        <v>3138</v>
      </c>
      <c r="C1370" s="25" t="s">
        <v>3139</v>
      </c>
      <c r="D1370" s="26" t="n">
        <v>6.7</v>
      </c>
      <c r="E1370" s="27" t="n">
        <v>8.17392519729917</v>
      </c>
      <c r="F1370" s="27" t="n">
        <v>8.17392519729917</v>
      </c>
      <c r="G1370" s="25" t="s">
        <v>518</v>
      </c>
      <c r="H1370" s="25" t="s">
        <v>519</v>
      </c>
      <c r="I1370" s="25" t="n">
        <f aca="false">IFERROR(IF(INDEX(Documents!$C$5:$C$657,MATCH(H1370,Documents!$A$5:$A$657,0))="","",INDEX(Documents!$C$5:$C$657,MATCH(H1370,Documents!$A$5:$A$657,0))),"")</f>
        <v>2020</v>
      </c>
      <c r="J1370" s="25" t="str">
        <f aca="false">IFERROR(IF(INDEX(Documents!$D$5:$D$657,MATCH(H1370,Documents!$A$5:$A$657,0))="","",INDEX(Documents!$D$5:$D$657,MATCH(H1370,Documents!$A$5:$A$657,0))),"")</f>
        <v>Bioorg Med Chem</v>
      </c>
      <c r="K1370" s="25" t="str">
        <f aca="false">IFERROR(IF(INDEX(Documents!$G$5:$G$657,MATCH(H1370,Documents!$A$5:$A$657,0))="","",INDEX(Documents!$G$5:$G$657,MATCH(H1370,Documents!$A$5:$A$657,0))),"")</f>
        <v>10.1016/j.bmc.2020.115513</v>
      </c>
      <c r="L1370" s="25" t="s">
        <v>520</v>
      </c>
    </row>
    <row r="1371" customFormat="false" ht="15" hidden="false" customHeight="false" outlineLevel="0" collapsed="false">
      <c r="A1371" s="25" t="n">
        <v>20682947</v>
      </c>
      <c r="B1371" s="25" t="s">
        <v>3140</v>
      </c>
      <c r="C1371" s="25" t="s">
        <v>3141</v>
      </c>
      <c r="D1371" s="26" t="n">
        <v>21.5</v>
      </c>
      <c r="E1371" s="27" t="n">
        <v>7.66756154008439</v>
      </c>
      <c r="F1371" s="27" t="n">
        <v>7.66756154008439</v>
      </c>
      <c r="G1371" s="25" t="s">
        <v>518</v>
      </c>
      <c r="H1371" s="25" t="s">
        <v>519</v>
      </c>
      <c r="I1371" s="25" t="n">
        <f aca="false">IFERROR(IF(INDEX(Documents!$C$5:$C$657,MATCH(H1371,Documents!$A$5:$A$657,0))="","",INDEX(Documents!$C$5:$C$657,MATCH(H1371,Documents!$A$5:$A$657,0))),"")</f>
        <v>2020</v>
      </c>
      <c r="J1371" s="25" t="str">
        <f aca="false">IFERROR(IF(INDEX(Documents!$D$5:$D$657,MATCH(H1371,Documents!$A$5:$A$657,0))="","",INDEX(Documents!$D$5:$D$657,MATCH(H1371,Documents!$A$5:$A$657,0))),"")</f>
        <v>Bioorg Med Chem</v>
      </c>
      <c r="K1371" s="25" t="str">
        <f aca="false">IFERROR(IF(INDEX(Documents!$G$5:$G$657,MATCH(H1371,Documents!$A$5:$A$657,0))="","",INDEX(Documents!$G$5:$G$657,MATCH(H1371,Documents!$A$5:$A$657,0))),"")</f>
        <v>10.1016/j.bmc.2020.115513</v>
      </c>
      <c r="L1371" s="25" t="s">
        <v>520</v>
      </c>
    </row>
    <row r="1372" customFormat="false" ht="15" hidden="false" customHeight="false" outlineLevel="0" collapsed="false">
      <c r="A1372" s="25" t="n">
        <v>20682946</v>
      </c>
      <c r="B1372" s="25" t="s">
        <v>3142</v>
      </c>
      <c r="C1372" s="25" t="s">
        <v>3143</v>
      </c>
      <c r="D1372" s="26" t="n">
        <v>2.7</v>
      </c>
      <c r="E1372" s="27" t="n">
        <v>8.56863623584101</v>
      </c>
      <c r="F1372" s="27" t="n">
        <v>8.56863623584101</v>
      </c>
      <c r="G1372" s="25" t="s">
        <v>518</v>
      </c>
      <c r="H1372" s="25" t="s">
        <v>519</v>
      </c>
      <c r="I1372" s="25" t="n">
        <f aca="false">IFERROR(IF(INDEX(Documents!$C$5:$C$657,MATCH(H1372,Documents!$A$5:$A$657,0))="","",INDEX(Documents!$C$5:$C$657,MATCH(H1372,Documents!$A$5:$A$657,0))),"")</f>
        <v>2020</v>
      </c>
      <c r="J1372" s="25" t="str">
        <f aca="false">IFERROR(IF(INDEX(Documents!$D$5:$D$657,MATCH(H1372,Documents!$A$5:$A$657,0))="","",INDEX(Documents!$D$5:$D$657,MATCH(H1372,Documents!$A$5:$A$657,0))),"")</f>
        <v>Bioorg Med Chem</v>
      </c>
      <c r="K1372" s="25" t="str">
        <f aca="false">IFERROR(IF(INDEX(Documents!$G$5:$G$657,MATCH(H1372,Documents!$A$5:$A$657,0))="","",INDEX(Documents!$G$5:$G$657,MATCH(H1372,Documents!$A$5:$A$657,0))),"")</f>
        <v>10.1016/j.bmc.2020.115513</v>
      </c>
      <c r="L1372" s="25" t="s">
        <v>520</v>
      </c>
    </row>
    <row r="1373" customFormat="false" ht="15" hidden="false" customHeight="false" outlineLevel="0" collapsed="false">
      <c r="A1373" s="25" t="n">
        <v>19371454</v>
      </c>
      <c r="B1373" s="25" t="s">
        <v>3144</v>
      </c>
      <c r="C1373" s="25" t="s">
        <v>3145</v>
      </c>
      <c r="D1373" s="26" t="n">
        <v>56</v>
      </c>
      <c r="E1373" s="27" t="n">
        <v>7.2518119729938</v>
      </c>
      <c r="F1373" s="27" t="n">
        <v>7.2518119729938</v>
      </c>
      <c r="G1373" s="25" t="s">
        <v>389</v>
      </c>
      <c r="H1373" s="25" t="s">
        <v>341</v>
      </c>
      <c r="I1373" s="25" t="n">
        <f aca="false">IFERROR(IF(INDEX(Documents!$C$5:$C$657,MATCH(H1373,Documents!$A$5:$A$657,0))="","",INDEX(Documents!$C$5:$C$657,MATCH(H1373,Documents!$A$5:$A$657,0))),"")</f>
        <v>2019</v>
      </c>
      <c r="J1373" s="25" t="str">
        <f aca="false">IFERROR(IF(INDEX(Documents!$D$5:$D$657,MATCH(H1373,Documents!$A$5:$A$657,0))="","",INDEX(Documents!$D$5:$D$657,MATCH(H1373,Documents!$A$5:$A$657,0))),"")</f>
        <v>J Nat Prod</v>
      </c>
      <c r="K1373" s="25" t="str">
        <f aca="false">IFERROR(IF(INDEX(Documents!$G$5:$G$657,MATCH(H1373,Documents!$A$5:$A$657,0))="","",INDEX(Documents!$G$5:$G$657,MATCH(H1373,Documents!$A$5:$A$657,0))),"")</f>
        <v>10.1021/acs.jnatprod.8b00874</v>
      </c>
      <c r="L1373" s="25" t="s">
        <v>390</v>
      </c>
    </row>
    <row r="1374" customFormat="false" ht="15" hidden="false" customHeight="false" outlineLevel="0" collapsed="false">
      <c r="A1374" s="25" t="n">
        <v>15626761</v>
      </c>
      <c r="B1374" s="25" t="s">
        <v>3146</v>
      </c>
      <c r="C1374" s="25" t="s">
        <v>3147</v>
      </c>
      <c r="D1374" s="26" t="n">
        <v>912</v>
      </c>
      <c r="E1374" s="27" t="n">
        <v>6.04000516167158</v>
      </c>
      <c r="F1374" s="27" t="n">
        <v>6.04000516167158</v>
      </c>
      <c r="G1374" s="25" t="s">
        <v>466</v>
      </c>
      <c r="H1374" s="25" t="s">
        <v>467</v>
      </c>
      <c r="I1374" s="25" t="n">
        <f aca="false">IFERROR(IF(INDEX(Documents!$C$5:$C$657,MATCH(H1374,Documents!$A$5:$A$657,0))="","",INDEX(Documents!$C$5:$C$657,MATCH(H1374,Documents!$A$5:$A$657,0))),"")</f>
        <v>2015</v>
      </c>
      <c r="J1374" s="25" t="str">
        <f aca="false">IFERROR(IF(INDEX(Documents!$D$5:$D$657,MATCH(H1374,Documents!$A$5:$A$657,0))="","",INDEX(Documents!$D$5:$D$657,MATCH(H1374,Documents!$A$5:$A$657,0))),"")</f>
        <v>J Nat Prod</v>
      </c>
      <c r="K1374" s="25" t="str">
        <f aca="false">IFERROR(IF(INDEX(Documents!$G$5:$G$657,MATCH(H1374,Documents!$A$5:$A$657,0))="","",INDEX(Documents!$G$5:$G$657,MATCH(H1374,Documents!$A$5:$A$657,0))),"")</f>
        <v>10.1021/acs.jnatprod.5b00065</v>
      </c>
      <c r="L1374" s="25" t="s">
        <v>468</v>
      </c>
    </row>
    <row r="1375" customFormat="false" ht="15" hidden="false" customHeight="false" outlineLevel="0" collapsed="false">
      <c r="A1375" s="25" t="n">
        <v>18693496</v>
      </c>
      <c r="B1375" s="25" t="s">
        <v>3148</v>
      </c>
      <c r="C1375" s="25" t="s">
        <v>3149</v>
      </c>
      <c r="D1375" s="26" t="n">
        <v>211</v>
      </c>
      <c r="E1375" s="27" t="n">
        <v>6.67571754470231</v>
      </c>
      <c r="F1375" s="27" t="n">
        <v>6.67571754470231</v>
      </c>
      <c r="G1375" s="25" t="s">
        <v>471</v>
      </c>
      <c r="H1375" s="25" t="s">
        <v>472</v>
      </c>
      <c r="I1375" s="25" t="n">
        <f aca="false">IFERROR(IF(INDEX(Documents!$C$5:$C$657,MATCH(H1375,Documents!$A$5:$A$657,0))="","",INDEX(Documents!$C$5:$C$657,MATCH(H1375,Documents!$A$5:$A$657,0))),"")</f>
        <v>2018</v>
      </c>
      <c r="J1375" s="25" t="str">
        <f aca="false">IFERROR(IF(INDEX(Documents!$D$5:$D$657,MATCH(H1375,Documents!$A$5:$A$657,0))="","",INDEX(Documents!$D$5:$D$657,MATCH(H1375,Documents!$A$5:$A$657,0))),"")</f>
        <v>Eur J Med Chem</v>
      </c>
      <c r="K1375" s="25" t="str">
        <f aca="false">IFERROR(IF(INDEX(Documents!$G$5:$G$657,MATCH(H1375,Documents!$A$5:$A$657,0))="","",INDEX(Documents!$G$5:$G$657,MATCH(H1375,Documents!$A$5:$A$657,0))),"")</f>
        <v>10.1016/j.ejmech.2017.11.043</v>
      </c>
      <c r="L1375" s="25" t="s">
        <v>473</v>
      </c>
    </row>
    <row r="1376" customFormat="false" ht="15" hidden="false" customHeight="false" outlineLevel="0" collapsed="false">
      <c r="A1376" s="25" t="n">
        <v>18693494</v>
      </c>
      <c r="B1376" s="25" t="s">
        <v>3150</v>
      </c>
      <c r="C1376" s="25" t="s">
        <v>3151</v>
      </c>
      <c r="D1376" s="26" t="n">
        <v>552</v>
      </c>
      <c r="E1376" s="27" t="n">
        <v>6.2580609222708</v>
      </c>
      <c r="F1376" s="27" t="n">
        <v>6.2580609222708</v>
      </c>
      <c r="G1376" s="25" t="s">
        <v>471</v>
      </c>
      <c r="H1376" s="25" t="s">
        <v>472</v>
      </c>
      <c r="I1376" s="25" t="n">
        <f aca="false">IFERROR(IF(INDEX(Documents!$C$5:$C$657,MATCH(H1376,Documents!$A$5:$A$657,0))="","",INDEX(Documents!$C$5:$C$657,MATCH(H1376,Documents!$A$5:$A$657,0))),"")</f>
        <v>2018</v>
      </c>
      <c r="J1376" s="25" t="str">
        <f aca="false">IFERROR(IF(INDEX(Documents!$D$5:$D$657,MATCH(H1376,Documents!$A$5:$A$657,0))="","",INDEX(Documents!$D$5:$D$657,MATCH(H1376,Documents!$A$5:$A$657,0))),"")</f>
        <v>Eur J Med Chem</v>
      </c>
      <c r="K1376" s="25" t="str">
        <f aca="false">IFERROR(IF(INDEX(Documents!$G$5:$G$657,MATCH(H1376,Documents!$A$5:$A$657,0))="","",INDEX(Documents!$G$5:$G$657,MATCH(H1376,Documents!$A$5:$A$657,0))),"")</f>
        <v>10.1016/j.ejmech.2017.11.043</v>
      </c>
      <c r="L1376" s="25" t="s">
        <v>473</v>
      </c>
    </row>
    <row r="1377" customFormat="false" ht="15" hidden="false" customHeight="false" outlineLevel="0" collapsed="false">
      <c r="A1377" s="25" t="n">
        <v>18693492</v>
      </c>
      <c r="B1377" s="25" t="s">
        <v>3152</v>
      </c>
      <c r="C1377" s="25" t="s">
        <v>3153</v>
      </c>
      <c r="D1377" s="26" t="n">
        <v>426</v>
      </c>
      <c r="E1377" s="27" t="n">
        <v>6.37059040089728</v>
      </c>
      <c r="F1377" s="27" t="n">
        <v>6.37059040089728</v>
      </c>
      <c r="G1377" s="25" t="s">
        <v>471</v>
      </c>
      <c r="H1377" s="25" t="s">
        <v>472</v>
      </c>
      <c r="I1377" s="25" t="n">
        <f aca="false">IFERROR(IF(INDEX(Documents!$C$5:$C$657,MATCH(H1377,Documents!$A$5:$A$657,0))="","",INDEX(Documents!$C$5:$C$657,MATCH(H1377,Documents!$A$5:$A$657,0))),"")</f>
        <v>2018</v>
      </c>
      <c r="J1377" s="25" t="str">
        <f aca="false">IFERROR(IF(INDEX(Documents!$D$5:$D$657,MATCH(H1377,Documents!$A$5:$A$657,0))="","",INDEX(Documents!$D$5:$D$657,MATCH(H1377,Documents!$A$5:$A$657,0))),"")</f>
        <v>Eur J Med Chem</v>
      </c>
      <c r="K1377" s="25" t="str">
        <f aca="false">IFERROR(IF(INDEX(Documents!$G$5:$G$657,MATCH(H1377,Documents!$A$5:$A$657,0))="","",INDEX(Documents!$G$5:$G$657,MATCH(H1377,Documents!$A$5:$A$657,0))),"")</f>
        <v>10.1016/j.ejmech.2017.11.043</v>
      </c>
      <c r="L1377" s="25" t="s">
        <v>473</v>
      </c>
    </row>
    <row r="1378" customFormat="false" ht="15" hidden="false" customHeight="false" outlineLevel="0" collapsed="false">
      <c r="A1378" s="25" t="n">
        <v>1887184</v>
      </c>
      <c r="B1378" s="25" t="s">
        <v>3154</v>
      </c>
      <c r="C1378" s="25" t="s">
        <v>3155</v>
      </c>
      <c r="D1378" s="26" t="n">
        <v>13</v>
      </c>
      <c r="E1378" s="27" t="n">
        <v>7.88605664769316</v>
      </c>
      <c r="F1378" s="27" t="n">
        <v>7.88605664769316</v>
      </c>
      <c r="G1378" s="25" t="s">
        <v>2721</v>
      </c>
      <c r="H1378" s="25" t="s">
        <v>2722</v>
      </c>
      <c r="I1378" s="25" t="n">
        <f aca="false">IFERROR(IF(INDEX(Documents!$C$5:$C$657,MATCH(H1378,Documents!$A$5:$A$657,0))="","",INDEX(Documents!$C$5:$C$657,MATCH(H1378,Documents!$A$5:$A$657,0))),"")</f>
        <v>2007</v>
      </c>
      <c r="J1378" s="25" t="str">
        <f aca="false">IFERROR(IF(INDEX(Documents!$D$5:$D$657,MATCH(H1378,Documents!$A$5:$A$657,0))="","",INDEX(Documents!$D$5:$D$657,MATCH(H1378,Documents!$A$5:$A$657,0))),"")</f>
        <v>Bioorg Med Chem</v>
      </c>
      <c r="K1378" s="25" t="str">
        <f aca="false">IFERROR(IF(INDEX(Documents!$G$5:$G$657,MATCH(H1378,Documents!$A$5:$A$657,0))="","",INDEX(Documents!$G$5:$G$657,MATCH(H1378,Documents!$A$5:$A$657,0))),"")</f>
        <v>10.1016/j.bmc.2007.05.060</v>
      </c>
      <c r="L1378" s="25" t="s">
        <v>285</v>
      </c>
    </row>
    <row r="1379" customFormat="false" ht="15" hidden="false" customHeight="false" outlineLevel="0" collapsed="false">
      <c r="A1379" s="25" t="n">
        <v>14574039</v>
      </c>
      <c r="B1379" s="25" t="s">
        <v>3156</v>
      </c>
      <c r="C1379" s="25" t="s">
        <v>3157</v>
      </c>
      <c r="D1379" s="26" t="n">
        <v>32</v>
      </c>
      <c r="E1379" s="27" t="n">
        <v>7.49485002168009</v>
      </c>
      <c r="F1379" s="27" t="n">
        <v>7.49485002168009</v>
      </c>
      <c r="G1379" s="25" t="s">
        <v>2081</v>
      </c>
      <c r="H1379" s="25" t="s">
        <v>1358</v>
      </c>
      <c r="I1379" s="25" t="n">
        <f aca="false">IFERROR(IF(INDEX(Documents!$C$5:$C$657,MATCH(H1379,Documents!$A$5:$A$657,0))="","",INDEX(Documents!$C$5:$C$657,MATCH(H1379,Documents!$A$5:$A$657,0))),"")</f>
        <v>2013</v>
      </c>
      <c r="J1379" s="25" t="str">
        <f aca="false">IFERROR(IF(INDEX(Documents!$D$5:$D$657,MATCH(H1379,Documents!$A$5:$A$657,0))="","",INDEX(Documents!$D$5:$D$657,MATCH(H1379,Documents!$A$5:$A$657,0))),"")</f>
        <v>J Med Chem</v>
      </c>
      <c r="K1379" s="25" t="str">
        <f aca="false">IFERROR(IF(INDEX(Documents!$G$5:$G$657,MATCH(H1379,Documents!$A$5:$A$657,0))="","",INDEX(Documents!$G$5:$G$657,MATCH(H1379,Documents!$A$5:$A$657,0))),"")</f>
        <v>10.1021/jm4005626</v>
      </c>
      <c r="L1379" s="25" t="s">
        <v>515</v>
      </c>
    </row>
    <row r="1380" customFormat="false" ht="15" hidden="false" customHeight="false" outlineLevel="0" collapsed="false">
      <c r="A1380" s="25" t="n">
        <v>20682949</v>
      </c>
      <c r="B1380" s="25" t="s">
        <v>3158</v>
      </c>
      <c r="C1380" s="25" t="s">
        <v>3159</v>
      </c>
      <c r="D1380" s="26" t="n">
        <v>3.5</v>
      </c>
      <c r="E1380" s="27" t="n">
        <v>8.45593195564972</v>
      </c>
      <c r="F1380" s="27" t="n">
        <v>8.45593195564972</v>
      </c>
      <c r="G1380" s="25" t="s">
        <v>518</v>
      </c>
      <c r="H1380" s="25" t="s">
        <v>519</v>
      </c>
      <c r="I1380" s="25" t="n">
        <f aca="false">IFERROR(IF(INDEX(Documents!$C$5:$C$657,MATCH(H1380,Documents!$A$5:$A$657,0))="","",INDEX(Documents!$C$5:$C$657,MATCH(H1380,Documents!$A$5:$A$657,0))),"")</f>
        <v>2020</v>
      </c>
      <c r="J1380" s="25" t="str">
        <f aca="false">IFERROR(IF(INDEX(Documents!$D$5:$D$657,MATCH(H1380,Documents!$A$5:$A$657,0))="","",INDEX(Documents!$D$5:$D$657,MATCH(H1380,Documents!$A$5:$A$657,0))),"")</f>
        <v>Bioorg Med Chem</v>
      </c>
      <c r="K1380" s="25" t="str">
        <f aca="false">IFERROR(IF(INDEX(Documents!$G$5:$G$657,MATCH(H1380,Documents!$A$5:$A$657,0))="","",INDEX(Documents!$G$5:$G$657,MATCH(H1380,Documents!$A$5:$A$657,0))),"")</f>
        <v>10.1016/j.bmc.2020.115513</v>
      </c>
      <c r="L1380" s="25" t="s">
        <v>520</v>
      </c>
    </row>
    <row r="1381" customFormat="false" ht="15" hidden="false" customHeight="false" outlineLevel="0" collapsed="false">
      <c r="A1381" s="25" t="n">
        <v>18936397</v>
      </c>
      <c r="B1381" s="25" t="s">
        <v>3160</v>
      </c>
      <c r="C1381" s="25" t="s">
        <v>3161</v>
      </c>
      <c r="D1381" s="26" t="n">
        <v>8.03</v>
      </c>
      <c r="E1381" s="27" t="n">
        <v>8.09528445472132</v>
      </c>
      <c r="F1381" s="27" t="n">
        <v>8.09528445472132</v>
      </c>
      <c r="G1381" s="25" t="s">
        <v>3162</v>
      </c>
      <c r="H1381" s="25" t="s">
        <v>3163</v>
      </c>
      <c r="I1381" s="25" t="n">
        <f aca="false">IFERROR(IF(INDEX(Documents!$C$5:$C$657,MATCH(H1381,Documents!$A$5:$A$657,0))="","",INDEX(Documents!$C$5:$C$657,MATCH(H1381,Documents!$A$5:$A$657,0))),"")</f>
        <v>2019</v>
      </c>
      <c r="J1381" s="25" t="str">
        <f aca="false">IFERROR(IF(INDEX(Documents!$D$5:$D$657,MATCH(H1381,Documents!$A$5:$A$657,0))="","",INDEX(Documents!$D$5:$D$657,MATCH(H1381,Documents!$A$5:$A$657,0))),"")</f>
        <v>Eur J Med Chem</v>
      </c>
      <c r="K1381" s="25" t="str">
        <f aca="false">IFERROR(IF(INDEX(Documents!$G$5:$G$657,MATCH(H1381,Documents!$A$5:$A$657,0))="","",INDEX(Documents!$G$5:$G$657,MATCH(H1381,Documents!$A$5:$A$657,0))),"")</f>
        <v>10.1016/j.ejmech.2018.09.070</v>
      </c>
      <c r="L1381" s="25" t="s">
        <v>3164</v>
      </c>
    </row>
    <row r="1382" customFormat="false" ht="15" hidden="false" customHeight="false" outlineLevel="0" collapsed="false">
      <c r="A1382" s="25" t="n">
        <v>16823053</v>
      </c>
      <c r="B1382" s="25" t="s">
        <v>3165</v>
      </c>
      <c r="C1382" s="25" t="s">
        <v>3166</v>
      </c>
      <c r="D1382" s="26" t="n">
        <v>300</v>
      </c>
      <c r="E1382" s="27" t="n">
        <v>6.52287874528034</v>
      </c>
      <c r="F1382" s="27" t="n">
        <v>6.52287874528034</v>
      </c>
      <c r="G1382" s="25" t="s">
        <v>934</v>
      </c>
      <c r="H1382" s="25" t="s">
        <v>935</v>
      </c>
      <c r="I1382" s="25" t="n">
        <f aca="false">IFERROR(IF(INDEX(Documents!$C$5:$C$657,MATCH(H1382,Documents!$A$5:$A$657,0))="","",INDEX(Documents!$C$5:$C$657,MATCH(H1382,Documents!$A$5:$A$657,0))),"")</f>
        <v>2016</v>
      </c>
      <c r="J1382" s="25" t="str">
        <f aca="false">IFERROR(IF(INDEX(Documents!$D$5:$D$657,MATCH(H1382,Documents!$A$5:$A$657,0))="","",INDEX(Documents!$D$5:$D$657,MATCH(H1382,Documents!$A$5:$A$657,0))),"")</f>
        <v>Eur J Med Chem</v>
      </c>
      <c r="K1382" s="25" t="str">
        <f aca="false">IFERROR(IF(INDEX(Documents!$G$5:$G$657,MATCH(H1382,Documents!$A$5:$A$657,0))="","",INDEX(Documents!$G$5:$G$657,MATCH(H1382,Documents!$A$5:$A$657,0))),"")</f>
        <v>10.1016/j.ejmech.2016.08.005</v>
      </c>
      <c r="L1382" s="25" t="s">
        <v>936</v>
      </c>
    </row>
    <row r="1383" customFormat="false" ht="15" hidden="false" customHeight="false" outlineLevel="0" collapsed="false">
      <c r="A1383" s="25" t="n">
        <v>16823049</v>
      </c>
      <c r="B1383" s="25" t="s">
        <v>3167</v>
      </c>
      <c r="C1383" s="25" t="s">
        <v>3168</v>
      </c>
      <c r="D1383" s="26" t="n">
        <v>300</v>
      </c>
      <c r="E1383" s="27" t="n">
        <v>6.52287874528034</v>
      </c>
      <c r="F1383" s="27" t="n">
        <v>6.52287874528034</v>
      </c>
      <c r="G1383" s="25" t="s">
        <v>934</v>
      </c>
      <c r="H1383" s="25" t="s">
        <v>935</v>
      </c>
      <c r="I1383" s="25" t="n">
        <f aca="false">IFERROR(IF(INDEX(Documents!$C$5:$C$657,MATCH(H1383,Documents!$A$5:$A$657,0))="","",INDEX(Documents!$C$5:$C$657,MATCH(H1383,Documents!$A$5:$A$657,0))),"")</f>
        <v>2016</v>
      </c>
      <c r="J1383" s="25" t="str">
        <f aca="false">IFERROR(IF(INDEX(Documents!$D$5:$D$657,MATCH(H1383,Documents!$A$5:$A$657,0))="","",INDEX(Documents!$D$5:$D$657,MATCH(H1383,Documents!$A$5:$A$657,0))),"")</f>
        <v>Eur J Med Chem</v>
      </c>
      <c r="K1383" s="25" t="str">
        <f aca="false">IFERROR(IF(INDEX(Documents!$G$5:$G$657,MATCH(H1383,Documents!$A$5:$A$657,0))="","",INDEX(Documents!$G$5:$G$657,MATCH(H1383,Documents!$A$5:$A$657,0))),"")</f>
        <v>10.1016/j.ejmech.2016.08.005</v>
      </c>
      <c r="L1383" s="25" t="s">
        <v>936</v>
      </c>
    </row>
    <row r="1384" customFormat="false" ht="15" hidden="false" customHeight="false" outlineLevel="0" collapsed="false">
      <c r="A1384" s="25" t="n">
        <v>19097542</v>
      </c>
      <c r="B1384" s="25" t="s">
        <v>3169</v>
      </c>
      <c r="C1384" s="25" t="s">
        <v>3170</v>
      </c>
      <c r="D1384" s="26" t="n">
        <v>460</v>
      </c>
      <c r="E1384" s="27" t="n">
        <v>6.33724216831843</v>
      </c>
      <c r="F1384" s="27" t="n">
        <v>6.33724216831843</v>
      </c>
      <c r="G1384" s="25" t="s">
        <v>3171</v>
      </c>
      <c r="H1384" s="25" t="s">
        <v>3172</v>
      </c>
      <c r="I1384" s="25" t="n">
        <f aca="false">IFERROR(IF(INDEX(Documents!$C$5:$C$657,MATCH(H1384,Documents!$A$5:$A$657,0))="","",INDEX(Documents!$C$5:$C$657,MATCH(H1384,Documents!$A$5:$A$657,0))),"")</f>
        <v>2019</v>
      </c>
      <c r="J1384" s="25" t="str">
        <f aca="false">IFERROR(IF(INDEX(Documents!$D$5:$D$657,MATCH(H1384,Documents!$A$5:$A$657,0))="","",INDEX(Documents!$D$5:$D$657,MATCH(H1384,Documents!$A$5:$A$657,0))),"")</f>
        <v>Eur J Med Chem</v>
      </c>
      <c r="K1384" s="25" t="str">
        <f aca="false">IFERROR(IF(INDEX(Documents!$G$5:$G$657,MATCH(H1384,Documents!$A$5:$A$657,0))="","",INDEX(Documents!$G$5:$G$657,MATCH(H1384,Documents!$A$5:$A$657,0))),"")</f>
        <v>10.1016/j.ejmech.2019.07.002</v>
      </c>
      <c r="L1384" s="25" t="s">
        <v>3173</v>
      </c>
    </row>
    <row r="1385" customFormat="false" ht="15" hidden="false" customHeight="false" outlineLevel="0" collapsed="false">
      <c r="A1385" s="25" t="n">
        <v>19097540</v>
      </c>
      <c r="B1385" s="25" t="s">
        <v>3174</v>
      </c>
      <c r="C1385" s="25" t="s">
        <v>3175</v>
      </c>
      <c r="D1385" s="26" t="n">
        <v>2</v>
      </c>
      <c r="E1385" s="27" t="n">
        <v>8.69897000433602</v>
      </c>
      <c r="F1385" s="27" t="n">
        <v>8.69897000433602</v>
      </c>
      <c r="G1385" s="25" t="s">
        <v>3171</v>
      </c>
      <c r="H1385" s="25" t="s">
        <v>3172</v>
      </c>
      <c r="I1385" s="25" t="n">
        <f aca="false">IFERROR(IF(INDEX(Documents!$C$5:$C$657,MATCH(H1385,Documents!$A$5:$A$657,0))="","",INDEX(Documents!$C$5:$C$657,MATCH(H1385,Documents!$A$5:$A$657,0))),"")</f>
        <v>2019</v>
      </c>
      <c r="J1385" s="25" t="str">
        <f aca="false">IFERROR(IF(INDEX(Documents!$D$5:$D$657,MATCH(H1385,Documents!$A$5:$A$657,0))="","",INDEX(Documents!$D$5:$D$657,MATCH(H1385,Documents!$A$5:$A$657,0))),"")</f>
        <v>Eur J Med Chem</v>
      </c>
      <c r="K1385" s="25" t="str">
        <f aca="false">IFERROR(IF(INDEX(Documents!$G$5:$G$657,MATCH(H1385,Documents!$A$5:$A$657,0))="","",INDEX(Documents!$G$5:$G$657,MATCH(H1385,Documents!$A$5:$A$657,0))),"")</f>
        <v>10.1016/j.ejmech.2019.07.002</v>
      </c>
      <c r="L1385" s="25" t="s">
        <v>3173</v>
      </c>
    </row>
    <row r="1386" customFormat="false" ht="15" hidden="false" customHeight="false" outlineLevel="0" collapsed="false">
      <c r="A1386" s="25" t="n">
        <v>19097539</v>
      </c>
      <c r="B1386" s="25" t="s">
        <v>3176</v>
      </c>
      <c r="C1386" s="25" t="s">
        <v>3177</v>
      </c>
      <c r="D1386" s="26" t="n">
        <v>12</v>
      </c>
      <c r="E1386" s="27" t="n">
        <v>7.92081875395238</v>
      </c>
      <c r="F1386" s="27" t="n">
        <v>7.92081875395238</v>
      </c>
      <c r="G1386" s="25" t="s">
        <v>3171</v>
      </c>
      <c r="H1386" s="25" t="s">
        <v>3172</v>
      </c>
      <c r="I1386" s="25" t="n">
        <f aca="false">IFERROR(IF(INDEX(Documents!$C$5:$C$657,MATCH(H1386,Documents!$A$5:$A$657,0))="","",INDEX(Documents!$C$5:$C$657,MATCH(H1386,Documents!$A$5:$A$657,0))),"")</f>
        <v>2019</v>
      </c>
      <c r="J1386" s="25" t="str">
        <f aca="false">IFERROR(IF(INDEX(Documents!$D$5:$D$657,MATCH(H1386,Documents!$A$5:$A$657,0))="","",INDEX(Documents!$D$5:$D$657,MATCH(H1386,Documents!$A$5:$A$657,0))),"")</f>
        <v>Eur J Med Chem</v>
      </c>
      <c r="K1386" s="25" t="str">
        <f aca="false">IFERROR(IF(INDEX(Documents!$G$5:$G$657,MATCH(H1386,Documents!$A$5:$A$657,0))="","",INDEX(Documents!$G$5:$G$657,MATCH(H1386,Documents!$A$5:$A$657,0))),"")</f>
        <v>10.1016/j.ejmech.2019.07.002</v>
      </c>
      <c r="L1386" s="25" t="s">
        <v>3173</v>
      </c>
    </row>
    <row r="1387" customFormat="false" ht="15" hidden="false" customHeight="false" outlineLevel="0" collapsed="false">
      <c r="A1387" s="25" t="n">
        <v>1993860</v>
      </c>
      <c r="B1387" s="25" t="s">
        <v>3178</v>
      </c>
      <c r="C1387" s="25" t="s">
        <v>3179</v>
      </c>
      <c r="D1387" s="26" t="n">
        <v>119</v>
      </c>
      <c r="E1387" s="27" t="n">
        <v>6.92445303860747</v>
      </c>
      <c r="F1387" s="27" t="n">
        <v>6.92445303860747</v>
      </c>
      <c r="G1387" s="25" t="s">
        <v>1527</v>
      </c>
      <c r="H1387" s="25" t="s">
        <v>1528</v>
      </c>
      <c r="I1387" s="25" t="n">
        <f aca="false">IFERROR(IF(INDEX(Documents!$C$5:$C$657,MATCH(H1387,Documents!$A$5:$A$657,0))="","",INDEX(Documents!$C$5:$C$657,MATCH(H1387,Documents!$A$5:$A$657,0))),"")</f>
        <v>2007</v>
      </c>
      <c r="J1387" s="25" t="str">
        <f aca="false">IFERROR(IF(INDEX(Documents!$D$5:$D$657,MATCH(H1387,Documents!$A$5:$A$657,0))="","",INDEX(Documents!$D$5:$D$657,MATCH(H1387,Documents!$A$5:$A$657,0))),"")</f>
        <v>J Med Chem</v>
      </c>
      <c r="K1387" s="25" t="str">
        <f aca="false">IFERROR(IF(INDEX(Documents!$G$5:$G$657,MATCH(H1387,Documents!$A$5:$A$657,0))="","",INDEX(Documents!$G$5:$G$657,MATCH(H1387,Documents!$A$5:$A$657,0))),"")</f>
        <v>10.1021/jm070387h</v>
      </c>
      <c r="L1387" s="25" t="s">
        <v>1529</v>
      </c>
    </row>
    <row r="1388" customFormat="false" ht="15" hidden="false" customHeight="false" outlineLevel="0" collapsed="false">
      <c r="A1388" s="25" t="n">
        <v>1993855</v>
      </c>
      <c r="B1388" s="25" t="s">
        <v>3180</v>
      </c>
      <c r="C1388" s="25" t="s">
        <v>3181</v>
      </c>
      <c r="D1388" s="26" t="n">
        <v>338</v>
      </c>
      <c r="E1388" s="27" t="n">
        <v>6.47108329972235</v>
      </c>
      <c r="F1388" s="27" t="n">
        <v>6.47108329972235</v>
      </c>
      <c r="G1388" s="25" t="s">
        <v>1527</v>
      </c>
      <c r="H1388" s="25" t="s">
        <v>1528</v>
      </c>
      <c r="I1388" s="25" t="n">
        <f aca="false">IFERROR(IF(INDEX(Documents!$C$5:$C$657,MATCH(H1388,Documents!$A$5:$A$657,0))="","",INDEX(Documents!$C$5:$C$657,MATCH(H1388,Documents!$A$5:$A$657,0))),"")</f>
        <v>2007</v>
      </c>
      <c r="J1388" s="25" t="str">
        <f aca="false">IFERROR(IF(INDEX(Documents!$D$5:$D$657,MATCH(H1388,Documents!$A$5:$A$657,0))="","",INDEX(Documents!$D$5:$D$657,MATCH(H1388,Documents!$A$5:$A$657,0))),"")</f>
        <v>J Med Chem</v>
      </c>
      <c r="K1388" s="25" t="str">
        <f aca="false">IFERROR(IF(INDEX(Documents!$G$5:$G$657,MATCH(H1388,Documents!$A$5:$A$657,0))="","",INDEX(Documents!$G$5:$G$657,MATCH(H1388,Documents!$A$5:$A$657,0))),"")</f>
        <v>10.1021/jm070387h</v>
      </c>
      <c r="L1388" s="25" t="s">
        <v>1529</v>
      </c>
    </row>
    <row r="1389" customFormat="false" ht="15" hidden="false" customHeight="false" outlineLevel="0" collapsed="false">
      <c r="A1389" s="25" t="n">
        <v>6309532</v>
      </c>
      <c r="B1389" s="25" t="s">
        <v>3182</v>
      </c>
      <c r="C1389" s="25" t="s">
        <v>3183</v>
      </c>
      <c r="D1389" s="26" t="n">
        <v>15</v>
      </c>
      <c r="E1389" s="27" t="n">
        <v>7.82390874094432</v>
      </c>
      <c r="F1389" s="27" t="n">
        <v>7.82390874094432</v>
      </c>
      <c r="G1389" s="25" t="s">
        <v>1917</v>
      </c>
      <c r="H1389" s="25" t="s">
        <v>1918</v>
      </c>
      <c r="I1389" s="25" t="n">
        <f aca="false">IFERROR(IF(INDEX(Documents!$C$5:$C$657,MATCH(H1389,Documents!$A$5:$A$657,0))="","",INDEX(Documents!$C$5:$C$657,MATCH(H1389,Documents!$A$5:$A$657,0))),"")</f>
        <v>2011</v>
      </c>
      <c r="J1389" s="25" t="str">
        <f aca="false">IFERROR(IF(INDEX(Documents!$D$5:$D$657,MATCH(H1389,Documents!$A$5:$A$657,0))="","",INDEX(Documents!$D$5:$D$657,MATCH(H1389,Documents!$A$5:$A$657,0))),"")</f>
        <v>J Med Chem</v>
      </c>
      <c r="K1389" s="25" t="str">
        <f aca="false">IFERROR(IF(INDEX(Documents!$G$5:$G$657,MATCH(H1389,Documents!$A$5:$A$657,0))="","",INDEX(Documents!$G$5:$G$657,MATCH(H1389,Documents!$A$5:$A$657,0))),"")</f>
        <v>10.1021/jm200476p</v>
      </c>
      <c r="L1389" s="25" t="s">
        <v>676</v>
      </c>
    </row>
    <row r="1390" customFormat="false" ht="15" hidden="false" customHeight="false" outlineLevel="0" collapsed="false">
      <c r="A1390" s="25" t="n">
        <v>6309531</v>
      </c>
      <c r="B1390" s="25" t="s">
        <v>3184</v>
      </c>
      <c r="C1390" s="25" t="s">
        <v>3185</v>
      </c>
      <c r="D1390" s="26" t="n">
        <v>29.4</v>
      </c>
      <c r="E1390" s="27" t="n">
        <v>7.53165266958784</v>
      </c>
      <c r="F1390" s="27" t="n">
        <v>7.53165266958784</v>
      </c>
      <c r="G1390" s="25" t="s">
        <v>1917</v>
      </c>
      <c r="H1390" s="25" t="s">
        <v>1918</v>
      </c>
      <c r="I1390" s="25" t="n">
        <f aca="false">IFERROR(IF(INDEX(Documents!$C$5:$C$657,MATCH(H1390,Documents!$A$5:$A$657,0))="","",INDEX(Documents!$C$5:$C$657,MATCH(H1390,Documents!$A$5:$A$657,0))),"")</f>
        <v>2011</v>
      </c>
      <c r="J1390" s="25" t="str">
        <f aca="false">IFERROR(IF(INDEX(Documents!$D$5:$D$657,MATCH(H1390,Documents!$A$5:$A$657,0))="","",INDEX(Documents!$D$5:$D$657,MATCH(H1390,Documents!$A$5:$A$657,0))),"")</f>
        <v>J Med Chem</v>
      </c>
      <c r="K1390" s="25" t="str">
        <f aca="false">IFERROR(IF(INDEX(Documents!$G$5:$G$657,MATCH(H1390,Documents!$A$5:$A$657,0))="","",INDEX(Documents!$G$5:$G$657,MATCH(H1390,Documents!$A$5:$A$657,0))),"")</f>
        <v>10.1021/jm200476p</v>
      </c>
      <c r="L1390" s="25" t="s">
        <v>676</v>
      </c>
    </row>
    <row r="1391" customFormat="false" ht="15" hidden="false" customHeight="false" outlineLevel="0" collapsed="false">
      <c r="A1391" s="25" t="n">
        <v>24752346</v>
      </c>
      <c r="B1391" s="25" t="s">
        <v>3186</v>
      </c>
      <c r="C1391" s="25" t="s">
        <v>3187</v>
      </c>
      <c r="D1391" s="26" t="n">
        <v>0.8</v>
      </c>
      <c r="E1391" s="27" t="n">
        <v>9.09691001300806</v>
      </c>
      <c r="F1391" s="27" t="n">
        <v>9.09691001300806</v>
      </c>
      <c r="G1391" s="25" t="s">
        <v>3188</v>
      </c>
      <c r="H1391" s="25" t="s">
        <v>3189</v>
      </c>
      <c r="I1391" s="25" t="n">
        <f aca="false">IFERROR(IF(INDEX(Documents!$C$5:$C$657,MATCH(H1391,Documents!$A$5:$A$657,0))="","",INDEX(Documents!$C$5:$C$657,MATCH(H1391,Documents!$A$5:$A$657,0))),"")</f>
        <v>2022</v>
      </c>
      <c r="J1391" s="25" t="str">
        <f aca="false">IFERROR(IF(INDEX(Documents!$D$5:$D$657,MATCH(H1391,Documents!$A$5:$A$657,0))="","",INDEX(Documents!$D$5:$D$657,MATCH(H1391,Documents!$A$5:$A$657,0))),"")</f>
        <v>Bioorg Med Chem</v>
      </c>
      <c r="K1391" s="25" t="str">
        <f aca="false">IFERROR(IF(INDEX(Documents!$G$5:$G$657,MATCH(H1391,Documents!$A$5:$A$657,0))="","",INDEX(Documents!$G$5:$G$657,MATCH(H1391,Documents!$A$5:$A$657,0))),"")</f>
        <v>10.1016/j.bmc.2022.116614</v>
      </c>
      <c r="L1391" s="25" t="s">
        <v>3190</v>
      </c>
    </row>
    <row r="1392" customFormat="false" ht="15" hidden="false" customHeight="false" outlineLevel="0" collapsed="false">
      <c r="A1392" s="25" t="n">
        <v>20662652</v>
      </c>
      <c r="B1392" s="25" t="s">
        <v>3191</v>
      </c>
      <c r="C1392" s="25" t="s">
        <v>3192</v>
      </c>
      <c r="D1392" s="26" t="n">
        <v>0.18</v>
      </c>
      <c r="E1392" s="27" t="n">
        <v>9.74472749489669</v>
      </c>
      <c r="F1392" s="27" t="n">
        <v>9.74472749489669</v>
      </c>
      <c r="G1392" s="25" t="s">
        <v>643</v>
      </c>
      <c r="H1392" s="25" t="s">
        <v>644</v>
      </c>
      <c r="I1392" s="25" t="n">
        <f aca="false">IFERROR(IF(INDEX(Documents!$C$5:$C$657,MATCH(H1392,Documents!$A$5:$A$657,0))="","",INDEX(Documents!$C$5:$C$657,MATCH(H1392,Documents!$A$5:$A$657,0))),"")</f>
        <v>2020</v>
      </c>
      <c r="J1392" s="25" t="str">
        <f aca="false">IFERROR(IF(INDEX(Documents!$D$5:$D$657,MATCH(H1392,Documents!$A$5:$A$657,0))="","",INDEX(Documents!$D$5:$D$657,MATCH(H1392,Documents!$A$5:$A$657,0))),"")</f>
        <v>J Med Chem</v>
      </c>
      <c r="K1392" s="25" t="str">
        <f aca="false">IFERROR(IF(INDEX(Documents!$G$5:$G$657,MATCH(H1392,Documents!$A$5:$A$657,0))="","",INDEX(Documents!$G$5:$G$657,MATCH(H1392,Documents!$A$5:$A$657,0))),"")</f>
        <v>10.1021/acs.jmedchem.0c00595</v>
      </c>
      <c r="L1392" s="25" t="s">
        <v>645</v>
      </c>
    </row>
    <row r="1393" customFormat="false" ht="15" hidden="false" customHeight="false" outlineLevel="0" collapsed="false">
      <c r="A1393" s="25" t="n">
        <v>20662661</v>
      </c>
      <c r="B1393" s="25" t="s">
        <v>3193</v>
      </c>
      <c r="C1393" s="25" t="s">
        <v>3194</v>
      </c>
      <c r="D1393" s="26" t="n">
        <v>4.8</v>
      </c>
      <c r="E1393" s="27" t="n">
        <v>8.31875876262441</v>
      </c>
      <c r="F1393" s="27" t="n">
        <v>8.31875876262441</v>
      </c>
      <c r="G1393" s="25" t="s">
        <v>643</v>
      </c>
      <c r="H1393" s="25" t="s">
        <v>644</v>
      </c>
      <c r="I1393" s="25" t="n">
        <f aca="false">IFERROR(IF(INDEX(Documents!$C$5:$C$657,MATCH(H1393,Documents!$A$5:$A$657,0))="","",INDEX(Documents!$C$5:$C$657,MATCH(H1393,Documents!$A$5:$A$657,0))),"")</f>
        <v>2020</v>
      </c>
      <c r="J1393" s="25" t="str">
        <f aca="false">IFERROR(IF(INDEX(Documents!$D$5:$D$657,MATCH(H1393,Documents!$A$5:$A$657,0))="","",INDEX(Documents!$D$5:$D$657,MATCH(H1393,Documents!$A$5:$A$657,0))),"")</f>
        <v>J Med Chem</v>
      </c>
      <c r="K1393" s="25" t="str">
        <f aca="false">IFERROR(IF(INDEX(Documents!$G$5:$G$657,MATCH(H1393,Documents!$A$5:$A$657,0))="","",INDEX(Documents!$G$5:$G$657,MATCH(H1393,Documents!$A$5:$A$657,0))),"")</f>
        <v>10.1021/acs.jmedchem.0c00595</v>
      </c>
      <c r="L1393" s="25" t="s">
        <v>645</v>
      </c>
    </row>
    <row r="1394" customFormat="false" ht="15" hidden="false" customHeight="false" outlineLevel="0" collapsed="false">
      <c r="A1394" s="25" t="n">
        <v>6309533</v>
      </c>
      <c r="B1394" s="25" t="s">
        <v>3195</v>
      </c>
      <c r="C1394" s="25" t="s">
        <v>3196</v>
      </c>
      <c r="D1394" s="26" t="n">
        <v>0.2</v>
      </c>
      <c r="E1394" s="27" t="n">
        <v>9.69897000433602</v>
      </c>
      <c r="F1394" s="27" t="n">
        <v>9.69897000433602</v>
      </c>
      <c r="G1394" s="25" t="s">
        <v>1917</v>
      </c>
      <c r="H1394" s="25" t="s">
        <v>1918</v>
      </c>
      <c r="I1394" s="25" t="n">
        <f aca="false">IFERROR(IF(INDEX(Documents!$C$5:$C$657,MATCH(H1394,Documents!$A$5:$A$657,0))="","",INDEX(Documents!$C$5:$C$657,MATCH(H1394,Documents!$A$5:$A$657,0))),"")</f>
        <v>2011</v>
      </c>
      <c r="J1394" s="25" t="str">
        <f aca="false">IFERROR(IF(INDEX(Documents!$D$5:$D$657,MATCH(H1394,Documents!$A$5:$A$657,0))="","",INDEX(Documents!$D$5:$D$657,MATCH(H1394,Documents!$A$5:$A$657,0))),"")</f>
        <v>J Med Chem</v>
      </c>
      <c r="K1394" s="25" t="str">
        <f aca="false">IFERROR(IF(INDEX(Documents!$G$5:$G$657,MATCH(H1394,Documents!$A$5:$A$657,0))="","",INDEX(Documents!$G$5:$G$657,MATCH(H1394,Documents!$A$5:$A$657,0))),"")</f>
        <v>10.1021/jm200476p</v>
      </c>
      <c r="L1394" s="25" t="s">
        <v>676</v>
      </c>
    </row>
    <row r="1395" customFormat="false" ht="15" hidden="false" customHeight="false" outlineLevel="0" collapsed="false">
      <c r="A1395" s="25" t="n">
        <v>20662662</v>
      </c>
      <c r="B1395" s="25" t="s">
        <v>3197</v>
      </c>
      <c r="C1395" s="25" t="s">
        <v>3198</v>
      </c>
      <c r="D1395" s="26" t="n">
        <v>57.1</v>
      </c>
      <c r="E1395" s="27" t="n">
        <v>7.24336389175415</v>
      </c>
      <c r="F1395" s="27" t="n">
        <v>7.24336389175415</v>
      </c>
      <c r="G1395" s="25" t="s">
        <v>643</v>
      </c>
      <c r="H1395" s="25" t="s">
        <v>644</v>
      </c>
      <c r="I1395" s="25" t="n">
        <f aca="false">IFERROR(IF(INDEX(Documents!$C$5:$C$657,MATCH(H1395,Documents!$A$5:$A$657,0))="","",INDEX(Documents!$C$5:$C$657,MATCH(H1395,Documents!$A$5:$A$657,0))),"")</f>
        <v>2020</v>
      </c>
      <c r="J1395" s="25" t="str">
        <f aca="false">IFERROR(IF(INDEX(Documents!$D$5:$D$657,MATCH(H1395,Documents!$A$5:$A$657,0))="","",INDEX(Documents!$D$5:$D$657,MATCH(H1395,Documents!$A$5:$A$657,0))),"")</f>
        <v>J Med Chem</v>
      </c>
      <c r="K1395" s="25" t="str">
        <f aca="false">IFERROR(IF(INDEX(Documents!$G$5:$G$657,MATCH(H1395,Documents!$A$5:$A$657,0))="","",INDEX(Documents!$G$5:$G$657,MATCH(H1395,Documents!$A$5:$A$657,0))),"")</f>
        <v>10.1021/acs.jmedchem.0c00595</v>
      </c>
      <c r="L1395" s="25" t="s">
        <v>645</v>
      </c>
    </row>
    <row r="1396" customFormat="false" ht="15" hidden="false" customHeight="false" outlineLevel="0" collapsed="false">
      <c r="A1396" s="25" t="n">
        <v>15239940</v>
      </c>
      <c r="B1396" s="25" t="s">
        <v>3199</v>
      </c>
      <c r="C1396" s="25" t="s">
        <v>3200</v>
      </c>
      <c r="D1396" s="26" t="n">
        <v>1.5</v>
      </c>
      <c r="E1396" s="27" t="n">
        <v>8.82390874094432</v>
      </c>
      <c r="F1396" s="27" t="n">
        <v>8.82390874094432</v>
      </c>
      <c r="G1396" s="25" t="s">
        <v>1653</v>
      </c>
      <c r="H1396" s="25" t="s">
        <v>1654</v>
      </c>
      <c r="I1396" s="25" t="n">
        <f aca="false">IFERROR(IF(INDEX(Documents!$C$5:$C$657,MATCH(H1396,Documents!$A$5:$A$657,0))="","",INDEX(Documents!$C$5:$C$657,MATCH(H1396,Documents!$A$5:$A$657,0))),"")</f>
        <v>2015</v>
      </c>
      <c r="J1396" s="25" t="str">
        <f aca="false">IFERROR(IF(INDEX(Documents!$D$5:$D$657,MATCH(H1396,Documents!$A$5:$A$657,0))="","",INDEX(Documents!$D$5:$D$657,MATCH(H1396,Documents!$A$5:$A$657,0))),"")</f>
        <v>Eur J Med Chem</v>
      </c>
      <c r="K1396" s="25" t="str">
        <f aca="false">IFERROR(IF(INDEX(Documents!$G$5:$G$657,MATCH(H1396,Documents!$A$5:$A$657,0))="","",INDEX(Documents!$G$5:$G$657,MATCH(H1396,Documents!$A$5:$A$657,0))),"")</f>
        <v>10.1016/j.ejmech.2015.04.034</v>
      </c>
      <c r="L1396" s="25" t="s">
        <v>1655</v>
      </c>
    </row>
    <row r="1397" customFormat="false" ht="15" hidden="false" customHeight="false" outlineLevel="0" collapsed="false">
      <c r="A1397" s="25" t="n">
        <v>15077962</v>
      </c>
      <c r="B1397" s="25" t="s">
        <v>3201</v>
      </c>
      <c r="C1397" s="25" t="s">
        <v>3202</v>
      </c>
      <c r="D1397" s="26" t="n">
        <v>2.82</v>
      </c>
      <c r="E1397" s="27" t="n">
        <v>8.54975089168064</v>
      </c>
      <c r="F1397" s="27" t="n">
        <v>8.54975089168064</v>
      </c>
      <c r="G1397" s="25" t="s">
        <v>1662</v>
      </c>
      <c r="H1397" s="25" t="s">
        <v>1663</v>
      </c>
      <c r="I1397" s="25" t="n">
        <f aca="false">IFERROR(IF(INDEX(Documents!$C$5:$C$657,MATCH(H1397,Documents!$A$5:$A$657,0))="","",INDEX(Documents!$C$5:$C$657,MATCH(H1397,Documents!$A$5:$A$657,0))),"")</f>
        <v>2014</v>
      </c>
      <c r="J1397" s="25" t="str">
        <f aca="false">IFERROR(IF(INDEX(Documents!$D$5:$D$657,MATCH(H1397,Documents!$A$5:$A$657,0))="","",INDEX(Documents!$D$5:$D$657,MATCH(H1397,Documents!$A$5:$A$657,0))),"")</f>
        <v>J Med Chem</v>
      </c>
      <c r="K1397" s="25" t="str">
        <f aca="false">IFERROR(IF(INDEX(Documents!$G$5:$G$657,MATCH(H1397,Documents!$A$5:$A$657,0))="","",INDEX(Documents!$G$5:$G$657,MATCH(H1397,Documents!$A$5:$A$657,0))),"")</f>
        <v>10.1021/jm500807e</v>
      </c>
      <c r="L1397" s="25" t="s">
        <v>1664</v>
      </c>
    </row>
    <row r="1398" customFormat="false" ht="15" hidden="false" customHeight="false" outlineLevel="0" collapsed="false">
      <c r="A1398" s="25" t="n">
        <v>19482315</v>
      </c>
      <c r="B1398" s="25" t="s">
        <v>3203</v>
      </c>
      <c r="C1398" s="25" t="s">
        <v>3204</v>
      </c>
      <c r="D1398" s="26" t="n">
        <v>251</v>
      </c>
      <c r="E1398" s="27" t="n">
        <v>6.60032627851896</v>
      </c>
      <c r="F1398" s="27" t="n">
        <v>6.60032627851896</v>
      </c>
      <c r="G1398" s="25" t="s">
        <v>1161</v>
      </c>
      <c r="H1398" s="25" t="s">
        <v>724</v>
      </c>
      <c r="I1398" s="25" t="n">
        <f aca="false">IFERROR(IF(INDEX(Documents!$C$5:$C$657,MATCH(H1398,Documents!$A$5:$A$657,0))="","",INDEX(Documents!$C$5:$C$657,MATCH(H1398,Documents!$A$5:$A$657,0))),"")</f>
        <v>2019</v>
      </c>
      <c r="J1398" s="25" t="str">
        <f aca="false">IFERROR(IF(INDEX(Documents!$D$5:$D$657,MATCH(H1398,Documents!$A$5:$A$657,0))="","",INDEX(Documents!$D$5:$D$657,MATCH(H1398,Documents!$A$5:$A$657,0))),"")</f>
        <v>Eur J Med Chem</v>
      </c>
      <c r="K1398" s="25" t="str">
        <f aca="false">IFERROR(IF(INDEX(Documents!$G$5:$G$657,MATCH(H1398,Documents!$A$5:$A$657,0))="","",INDEX(Documents!$G$5:$G$657,MATCH(H1398,Documents!$A$5:$A$657,0))),"")</f>
        <v>10.1016/j.ejmech.2018.12.008</v>
      </c>
      <c r="L1398" s="25" t="s">
        <v>1162</v>
      </c>
    </row>
    <row r="1399" customFormat="false" ht="15" hidden="false" customHeight="false" outlineLevel="0" collapsed="false">
      <c r="A1399" s="25" t="n">
        <v>19482316</v>
      </c>
      <c r="B1399" s="25" t="s">
        <v>3205</v>
      </c>
      <c r="C1399" s="25" t="s">
        <v>3206</v>
      </c>
      <c r="D1399" s="26" t="n">
        <v>438</v>
      </c>
      <c r="E1399" s="27" t="n">
        <v>6.3585258894959</v>
      </c>
      <c r="F1399" s="27" t="n">
        <v>6.3585258894959</v>
      </c>
      <c r="G1399" s="25" t="s">
        <v>1161</v>
      </c>
      <c r="H1399" s="25" t="s">
        <v>724</v>
      </c>
      <c r="I1399" s="25" t="n">
        <f aca="false">IFERROR(IF(INDEX(Documents!$C$5:$C$657,MATCH(H1399,Documents!$A$5:$A$657,0))="","",INDEX(Documents!$C$5:$C$657,MATCH(H1399,Documents!$A$5:$A$657,0))),"")</f>
        <v>2019</v>
      </c>
      <c r="J1399" s="25" t="str">
        <f aca="false">IFERROR(IF(INDEX(Documents!$D$5:$D$657,MATCH(H1399,Documents!$A$5:$A$657,0))="","",INDEX(Documents!$D$5:$D$657,MATCH(H1399,Documents!$A$5:$A$657,0))),"")</f>
        <v>Eur J Med Chem</v>
      </c>
      <c r="K1399" s="25" t="str">
        <f aca="false">IFERROR(IF(INDEX(Documents!$G$5:$G$657,MATCH(H1399,Documents!$A$5:$A$657,0))="","",INDEX(Documents!$G$5:$G$657,MATCH(H1399,Documents!$A$5:$A$657,0))),"")</f>
        <v>10.1016/j.ejmech.2018.12.008</v>
      </c>
      <c r="L1399" s="25" t="s">
        <v>1162</v>
      </c>
    </row>
    <row r="1400" customFormat="false" ht="15" hidden="false" customHeight="false" outlineLevel="0" collapsed="false">
      <c r="A1400" s="25" t="n">
        <v>19482351</v>
      </c>
      <c r="B1400" s="25" t="s">
        <v>3207</v>
      </c>
      <c r="C1400" s="25" t="s">
        <v>3208</v>
      </c>
      <c r="D1400" s="26" t="n">
        <v>13.5</v>
      </c>
      <c r="E1400" s="27" t="n">
        <v>7.86966623150499</v>
      </c>
      <c r="F1400" s="27" t="n">
        <v>7.86966623150499</v>
      </c>
      <c r="G1400" s="25" t="s">
        <v>1161</v>
      </c>
      <c r="H1400" s="25" t="s">
        <v>724</v>
      </c>
      <c r="I1400" s="25" t="n">
        <f aca="false">IFERROR(IF(INDEX(Documents!$C$5:$C$657,MATCH(H1400,Documents!$A$5:$A$657,0))="","",INDEX(Documents!$C$5:$C$657,MATCH(H1400,Documents!$A$5:$A$657,0))),"")</f>
        <v>2019</v>
      </c>
      <c r="J1400" s="25" t="str">
        <f aca="false">IFERROR(IF(INDEX(Documents!$D$5:$D$657,MATCH(H1400,Documents!$A$5:$A$657,0))="","",INDEX(Documents!$D$5:$D$657,MATCH(H1400,Documents!$A$5:$A$657,0))),"")</f>
        <v>Eur J Med Chem</v>
      </c>
      <c r="K1400" s="25" t="str">
        <f aca="false">IFERROR(IF(INDEX(Documents!$G$5:$G$657,MATCH(H1400,Documents!$A$5:$A$657,0))="","",INDEX(Documents!$G$5:$G$657,MATCH(H1400,Documents!$A$5:$A$657,0))),"")</f>
        <v>10.1016/j.ejmech.2018.12.008</v>
      </c>
      <c r="L1400" s="25" t="s">
        <v>1162</v>
      </c>
    </row>
    <row r="1401" customFormat="false" ht="15" hidden="false" customHeight="false" outlineLevel="0" collapsed="false">
      <c r="A1401" s="25" t="n">
        <v>19482350</v>
      </c>
      <c r="B1401" s="25" t="s">
        <v>3209</v>
      </c>
      <c r="C1401" s="25" t="s">
        <v>3210</v>
      </c>
      <c r="D1401" s="26" t="n">
        <v>210</v>
      </c>
      <c r="E1401" s="27" t="n">
        <v>6.67778070526608</v>
      </c>
      <c r="F1401" s="27" t="n">
        <v>6.67778070526608</v>
      </c>
      <c r="G1401" s="25" t="s">
        <v>1161</v>
      </c>
      <c r="H1401" s="25" t="s">
        <v>724</v>
      </c>
      <c r="I1401" s="25" t="n">
        <f aca="false">IFERROR(IF(INDEX(Documents!$C$5:$C$657,MATCH(H1401,Documents!$A$5:$A$657,0))="","",INDEX(Documents!$C$5:$C$657,MATCH(H1401,Documents!$A$5:$A$657,0))),"")</f>
        <v>2019</v>
      </c>
      <c r="J1401" s="25" t="str">
        <f aca="false">IFERROR(IF(INDEX(Documents!$D$5:$D$657,MATCH(H1401,Documents!$A$5:$A$657,0))="","",INDEX(Documents!$D$5:$D$657,MATCH(H1401,Documents!$A$5:$A$657,0))),"")</f>
        <v>Eur J Med Chem</v>
      </c>
      <c r="K1401" s="25" t="str">
        <f aca="false">IFERROR(IF(INDEX(Documents!$G$5:$G$657,MATCH(H1401,Documents!$A$5:$A$657,0))="","",INDEX(Documents!$G$5:$G$657,MATCH(H1401,Documents!$A$5:$A$657,0))),"")</f>
        <v>10.1016/j.ejmech.2018.12.008</v>
      </c>
      <c r="L1401" s="25" t="s">
        <v>1162</v>
      </c>
    </row>
    <row r="1402" customFormat="false" ht="15" hidden="false" customHeight="false" outlineLevel="0" collapsed="false">
      <c r="A1402" s="25" t="n">
        <v>19482279</v>
      </c>
      <c r="B1402" s="25" t="s">
        <v>3211</v>
      </c>
      <c r="C1402" s="25" t="s">
        <v>3212</v>
      </c>
      <c r="D1402" s="26" t="n">
        <v>49.5</v>
      </c>
      <c r="E1402" s="27" t="n">
        <v>7.30539480106643</v>
      </c>
      <c r="F1402" s="27" t="n">
        <v>7.30539480106643</v>
      </c>
      <c r="G1402" s="25" t="s">
        <v>1161</v>
      </c>
      <c r="H1402" s="25" t="s">
        <v>724</v>
      </c>
      <c r="I1402" s="25" t="n">
        <f aca="false">IFERROR(IF(INDEX(Documents!$C$5:$C$657,MATCH(H1402,Documents!$A$5:$A$657,0))="","",INDEX(Documents!$C$5:$C$657,MATCH(H1402,Documents!$A$5:$A$657,0))),"")</f>
        <v>2019</v>
      </c>
      <c r="J1402" s="25" t="str">
        <f aca="false">IFERROR(IF(INDEX(Documents!$D$5:$D$657,MATCH(H1402,Documents!$A$5:$A$657,0))="","",INDEX(Documents!$D$5:$D$657,MATCH(H1402,Documents!$A$5:$A$657,0))),"")</f>
        <v>Eur J Med Chem</v>
      </c>
      <c r="K1402" s="25" t="str">
        <f aca="false">IFERROR(IF(INDEX(Documents!$G$5:$G$657,MATCH(H1402,Documents!$A$5:$A$657,0))="","",INDEX(Documents!$G$5:$G$657,MATCH(H1402,Documents!$A$5:$A$657,0))),"")</f>
        <v>10.1016/j.ejmech.2018.12.008</v>
      </c>
      <c r="L1402" s="25" t="s">
        <v>1162</v>
      </c>
    </row>
    <row r="1403" customFormat="false" ht="15" hidden="false" customHeight="false" outlineLevel="0" collapsed="false">
      <c r="A1403" s="25" t="n">
        <v>19482313</v>
      </c>
      <c r="B1403" s="25" t="s">
        <v>3213</v>
      </c>
      <c r="C1403" s="25" t="s">
        <v>3214</v>
      </c>
      <c r="D1403" s="26" t="n">
        <v>272</v>
      </c>
      <c r="E1403" s="27" t="n">
        <v>6.5654310959658</v>
      </c>
      <c r="F1403" s="27" t="n">
        <v>6.5654310959658</v>
      </c>
      <c r="G1403" s="25" t="s">
        <v>1161</v>
      </c>
      <c r="H1403" s="25" t="s">
        <v>724</v>
      </c>
      <c r="I1403" s="25" t="n">
        <f aca="false">IFERROR(IF(INDEX(Documents!$C$5:$C$657,MATCH(H1403,Documents!$A$5:$A$657,0))="","",INDEX(Documents!$C$5:$C$657,MATCH(H1403,Documents!$A$5:$A$657,0))),"")</f>
        <v>2019</v>
      </c>
      <c r="J1403" s="25" t="str">
        <f aca="false">IFERROR(IF(INDEX(Documents!$D$5:$D$657,MATCH(H1403,Documents!$A$5:$A$657,0))="","",INDEX(Documents!$D$5:$D$657,MATCH(H1403,Documents!$A$5:$A$657,0))),"")</f>
        <v>Eur J Med Chem</v>
      </c>
      <c r="K1403" s="25" t="str">
        <f aca="false">IFERROR(IF(INDEX(Documents!$G$5:$G$657,MATCH(H1403,Documents!$A$5:$A$657,0))="","",INDEX(Documents!$G$5:$G$657,MATCH(H1403,Documents!$A$5:$A$657,0))),"")</f>
        <v>10.1016/j.ejmech.2018.12.008</v>
      </c>
      <c r="L1403" s="25" t="s">
        <v>1162</v>
      </c>
    </row>
    <row r="1404" customFormat="false" ht="15" hidden="false" customHeight="false" outlineLevel="0" collapsed="false">
      <c r="A1404" s="25" t="n">
        <v>19482314</v>
      </c>
      <c r="B1404" s="25" t="s">
        <v>3215</v>
      </c>
      <c r="C1404" s="25" t="s">
        <v>3216</v>
      </c>
      <c r="D1404" s="26" t="n">
        <v>344</v>
      </c>
      <c r="E1404" s="27" t="n">
        <v>6.46344155742847</v>
      </c>
      <c r="F1404" s="27" t="n">
        <v>6.46344155742847</v>
      </c>
      <c r="G1404" s="25" t="s">
        <v>1161</v>
      </c>
      <c r="H1404" s="25" t="s">
        <v>724</v>
      </c>
      <c r="I1404" s="25" t="n">
        <f aca="false">IFERROR(IF(INDEX(Documents!$C$5:$C$657,MATCH(H1404,Documents!$A$5:$A$657,0))="","",INDEX(Documents!$C$5:$C$657,MATCH(H1404,Documents!$A$5:$A$657,0))),"")</f>
        <v>2019</v>
      </c>
      <c r="J1404" s="25" t="str">
        <f aca="false">IFERROR(IF(INDEX(Documents!$D$5:$D$657,MATCH(H1404,Documents!$A$5:$A$657,0))="","",INDEX(Documents!$D$5:$D$657,MATCH(H1404,Documents!$A$5:$A$657,0))),"")</f>
        <v>Eur J Med Chem</v>
      </c>
      <c r="K1404" s="25" t="str">
        <f aca="false">IFERROR(IF(INDEX(Documents!$G$5:$G$657,MATCH(H1404,Documents!$A$5:$A$657,0))="","",INDEX(Documents!$G$5:$G$657,MATCH(H1404,Documents!$A$5:$A$657,0))),"")</f>
        <v>10.1016/j.ejmech.2018.12.008</v>
      </c>
      <c r="L1404" s="25" t="s">
        <v>1162</v>
      </c>
    </row>
    <row r="1405" customFormat="false" ht="15" hidden="false" customHeight="false" outlineLevel="0" collapsed="false">
      <c r="A1405" s="25" t="n">
        <v>19482312</v>
      </c>
      <c r="B1405" s="25" t="s">
        <v>3217</v>
      </c>
      <c r="C1405" s="25" t="s">
        <v>3218</v>
      </c>
      <c r="D1405" s="26" t="n">
        <v>144</v>
      </c>
      <c r="E1405" s="27" t="n">
        <v>6.84163750790475</v>
      </c>
      <c r="F1405" s="27" t="n">
        <v>6.84163750790475</v>
      </c>
      <c r="G1405" s="25" t="s">
        <v>1161</v>
      </c>
      <c r="H1405" s="25" t="s">
        <v>724</v>
      </c>
      <c r="I1405" s="25" t="n">
        <f aca="false">IFERROR(IF(INDEX(Documents!$C$5:$C$657,MATCH(H1405,Documents!$A$5:$A$657,0))="","",INDEX(Documents!$C$5:$C$657,MATCH(H1405,Documents!$A$5:$A$657,0))),"")</f>
        <v>2019</v>
      </c>
      <c r="J1405" s="25" t="str">
        <f aca="false">IFERROR(IF(INDEX(Documents!$D$5:$D$657,MATCH(H1405,Documents!$A$5:$A$657,0))="","",INDEX(Documents!$D$5:$D$657,MATCH(H1405,Documents!$A$5:$A$657,0))),"")</f>
        <v>Eur J Med Chem</v>
      </c>
      <c r="K1405" s="25" t="str">
        <f aca="false">IFERROR(IF(INDEX(Documents!$G$5:$G$657,MATCH(H1405,Documents!$A$5:$A$657,0))="","",INDEX(Documents!$G$5:$G$657,MATCH(H1405,Documents!$A$5:$A$657,0))),"")</f>
        <v>10.1016/j.ejmech.2018.12.008</v>
      </c>
      <c r="L1405" s="25" t="s">
        <v>1162</v>
      </c>
    </row>
    <row r="1406" customFormat="false" ht="15" hidden="false" customHeight="false" outlineLevel="0" collapsed="false">
      <c r="A1406" s="25" t="n">
        <v>19482389</v>
      </c>
      <c r="B1406" s="25" t="s">
        <v>3219</v>
      </c>
      <c r="C1406" s="25" t="s">
        <v>3220</v>
      </c>
      <c r="D1406" s="26" t="n">
        <v>525.8</v>
      </c>
      <c r="E1406" s="27" t="n">
        <v>6.27917941822966</v>
      </c>
      <c r="F1406" s="27" t="n">
        <v>6.27917941822966</v>
      </c>
      <c r="G1406" s="25" t="s">
        <v>1161</v>
      </c>
      <c r="H1406" s="25" t="s">
        <v>724</v>
      </c>
      <c r="I1406" s="25" t="n">
        <f aca="false">IFERROR(IF(INDEX(Documents!$C$5:$C$657,MATCH(H1406,Documents!$A$5:$A$657,0))="","",INDEX(Documents!$C$5:$C$657,MATCH(H1406,Documents!$A$5:$A$657,0))),"")</f>
        <v>2019</v>
      </c>
      <c r="J1406" s="25" t="str">
        <f aca="false">IFERROR(IF(INDEX(Documents!$D$5:$D$657,MATCH(H1406,Documents!$A$5:$A$657,0))="","",INDEX(Documents!$D$5:$D$657,MATCH(H1406,Documents!$A$5:$A$657,0))),"")</f>
        <v>Eur J Med Chem</v>
      </c>
      <c r="K1406" s="25" t="str">
        <f aca="false">IFERROR(IF(INDEX(Documents!$G$5:$G$657,MATCH(H1406,Documents!$A$5:$A$657,0))="","",INDEX(Documents!$G$5:$G$657,MATCH(H1406,Documents!$A$5:$A$657,0))),"")</f>
        <v>10.1016/j.ejmech.2018.12.008</v>
      </c>
      <c r="L1406" s="25" t="s">
        <v>1162</v>
      </c>
    </row>
    <row r="1407" customFormat="false" ht="15" hidden="false" customHeight="false" outlineLevel="0" collapsed="false">
      <c r="A1407" s="25" t="n">
        <v>1478282</v>
      </c>
      <c r="B1407" s="25" t="s">
        <v>3221</v>
      </c>
      <c r="C1407" s="25" t="s">
        <v>3222</v>
      </c>
      <c r="D1407" s="26" t="n">
        <v>2679</v>
      </c>
      <c r="E1407" s="27" t="n">
        <v>5.57202728639179</v>
      </c>
      <c r="F1407" s="27" t="n">
        <v>5.57202728639179</v>
      </c>
      <c r="G1407" s="25" t="s">
        <v>3223</v>
      </c>
      <c r="H1407" s="25" t="s">
        <v>3224</v>
      </c>
      <c r="I1407" s="25" t="n">
        <f aca="false">IFERROR(IF(INDEX(Documents!$C$5:$C$657,MATCH(H1407,Documents!$A$5:$A$657,0))="","",INDEX(Documents!$C$5:$C$657,MATCH(H1407,Documents!$A$5:$A$657,0))),"")</f>
        <v>2005</v>
      </c>
      <c r="J1407" s="25" t="str">
        <f aca="false">IFERROR(IF(INDEX(Documents!$D$5:$D$657,MATCH(H1407,Documents!$A$5:$A$657,0))="","",INDEX(Documents!$D$5:$D$657,MATCH(H1407,Documents!$A$5:$A$657,0))),"")</f>
        <v>Bioorg Med Chem Lett</v>
      </c>
      <c r="K1407" s="25" t="str">
        <f aca="false">IFERROR(IF(INDEX(Documents!$G$5:$G$657,MATCH(H1407,Documents!$A$5:$A$657,0))="","",INDEX(Documents!$G$5:$G$657,MATCH(H1407,Documents!$A$5:$A$657,0))),"")</f>
        <v>10.1016/j.bmcl.2005.06.008</v>
      </c>
      <c r="L1407" s="25" t="s">
        <v>3225</v>
      </c>
    </row>
    <row r="1408" customFormat="false" ht="15" hidden="false" customHeight="false" outlineLevel="0" collapsed="false">
      <c r="A1408" s="25" t="n">
        <v>1477966</v>
      </c>
      <c r="B1408" s="25" t="s">
        <v>3226</v>
      </c>
      <c r="C1408" s="25" t="s">
        <v>3227</v>
      </c>
      <c r="D1408" s="26" t="n">
        <v>1353</v>
      </c>
      <c r="E1408" s="27" t="n">
        <v>5.86870220340238</v>
      </c>
      <c r="F1408" s="27" t="n">
        <v>5.86870220340238</v>
      </c>
      <c r="G1408" s="25" t="s">
        <v>3223</v>
      </c>
      <c r="H1408" s="25" t="s">
        <v>3224</v>
      </c>
      <c r="I1408" s="25" t="n">
        <f aca="false">IFERROR(IF(INDEX(Documents!$C$5:$C$657,MATCH(H1408,Documents!$A$5:$A$657,0))="","",INDEX(Documents!$C$5:$C$657,MATCH(H1408,Documents!$A$5:$A$657,0))),"")</f>
        <v>2005</v>
      </c>
      <c r="J1408" s="25" t="str">
        <f aca="false">IFERROR(IF(INDEX(Documents!$D$5:$D$657,MATCH(H1408,Documents!$A$5:$A$657,0))="","",INDEX(Documents!$D$5:$D$657,MATCH(H1408,Documents!$A$5:$A$657,0))),"")</f>
        <v>Bioorg Med Chem Lett</v>
      </c>
      <c r="K1408" s="25" t="str">
        <f aca="false">IFERROR(IF(INDEX(Documents!$G$5:$G$657,MATCH(H1408,Documents!$A$5:$A$657,0))="","",INDEX(Documents!$G$5:$G$657,MATCH(H1408,Documents!$A$5:$A$657,0))),"")</f>
        <v>10.1016/j.bmcl.2005.06.008</v>
      </c>
      <c r="L1408" s="25" t="s">
        <v>3225</v>
      </c>
    </row>
    <row r="1409" customFormat="false" ht="15" hidden="false" customHeight="false" outlineLevel="0" collapsed="false">
      <c r="A1409" s="25" t="n">
        <v>1478263</v>
      </c>
      <c r="B1409" s="25" t="s">
        <v>3228</v>
      </c>
      <c r="C1409" s="25" t="s">
        <v>3229</v>
      </c>
      <c r="D1409" s="26" t="n">
        <v>3723</v>
      </c>
      <c r="E1409" s="27" t="n">
        <v>5.42910696378161</v>
      </c>
      <c r="F1409" s="27" t="n">
        <v>5.42910696378161</v>
      </c>
      <c r="G1409" s="25" t="s">
        <v>3223</v>
      </c>
      <c r="H1409" s="25" t="s">
        <v>3224</v>
      </c>
      <c r="I1409" s="25" t="n">
        <f aca="false">IFERROR(IF(INDEX(Documents!$C$5:$C$657,MATCH(H1409,Documents!$A$5:$A$657,0))="","",INDEX(Documents!$C$5:$C$657,MATCH(H1409,Documents!$A$5:$A$657,0))),"")</f>
        <v>2005</v>
      </c>
      <c r="J1409" s="25" t="str">
        <f aca="false">IFERROR(IF(INDEX(Documents!$D$5:$D$657,MATCH(H1409,Documents!$A$5:$A$657,0))="","",INDEX(Documents!$D$5:$D$657,MATCH(H1409,Documents!$A$5:$A$657,0))),"")</f>
        <v>Bioorg Med Chem Lett</v>
      </c>
      <c r="K1409" s="25" t="str">
        <f aca="false">IFERROR(IF(INDEX(Documents!$G$5:$G$657,MATCH(H1409,Documents!$A$5:$A$657,0))="","",INDEX(Documents!$G$5:$G$657,MATCH(H1409,Documents!$A$5:$A$657,0))),"")</f>
        <v>10.1016/j.bmcl.2005.06.008</v>
      </c>
      <c r="L1409" s="25" t="s">
        <v>3225</v>
      </c>
    </row>
    <row r="1410" customFormat="false" ht="15" hidden="false" customHeight="false" outlineLevel="0" collapsed="false">
      <c r="A1410" s="25" t="n">
        <v>1478137</v>
      </c>
      <c r="B1410" s="25" t="s">
        <v>3230</v>
      </c>
      <c r="C1410" s="25" t="s">
        <v>3231</v>
      </c>
      <c r="D1410" s="26" t="n">
        <v>781</v>
      </c>
      <c r="E1410" s="27" t="n">
        <v>6.1073489661227</v>
      </c>
      <c r="F1410" s="27" t="n">
        <v>6.1073489661227</v>
      </c>
      <c r="G1410" s="25" t="s">
        <v>3223</v>
      </c>
      <c r="H1410" s="25" t="s">
        <v>3224</v>
      </c>
      <c r="I1410" s="25" t="n">
        <f aca="false">IFERROR(IF(INDEX(Documents!$C$5:$C$657,MATCH(H1410,Documents!$A$5:$A$657,0))="","",INDEX(Documents!$C$5:$C$657,MATCH(H1410,Documents!$A$5:$A$657,0))),"")</f>
        <v>2005</v>
      </c>
      <c r="J1410" s="25" t="str">
        <f aca="false">IFERROR(IF(INDEX(Documents!$D$5:$D$657,MATCH(H1410,Documents!$A$5:$A$657,0))="","",INDEX(Documents!$D$5:$D$657,MATCH(H1410,Documents!$A$5:$A$657,0))),"")</f>
        <v>Bioorg Med Chem Lett</v>
      </c>
      <c r="K1410" s="25" t="str">
        <f aca="false">IFERROR(IF(INDEX(Documents!$G$5:$G$657,MATCH(H1410,Documents!$A$5:$A$657,0))="","",INDEX(Documents!$G$5:$G$657,MATCH(H1410,Documents!$A$5:$A$657,0))),"")</f>
        <v>10.1016/j.bmcl.2005.06.008</v>
      </c>
      <c r="L1410" s="25" t="s">
        <v>3225</v>
      </c>
    </row>
    <row r="1411" customFormat="false" ht="15" hidden="false" customHeight="false" outlineLevel="0" collapsed="false">
      <c r="A1411" s="25" t="n">
        <v>1477980</v>
      </c>
      <c r="B1411" s="25" t="s">
        <v>3232</v>
      </c>
      <c r="C1411" s="25" t="s">
        <v>3233</v>
      </c>
      <c r="D1411" s="26" t="n">
        <v>645</v>
      </c>
      <c r="E1411" s="27" t="n">
        <v>6.19044028536473</v>
      </c>
      <c r="F1411" s="27" t="n">
        <v>6.19044028536473</v>
      </c>
      <c r="G1411" s="25" t="s">
        <v>3223</v>
      </c>
      <c r="H1411" s="25" t="s">
        <v>3224</v>
      </c>
      <c r="I1411" s="25" t="n">
        <f aca="false">IFERROR(IF(INDEX(Documents!$C$5:$C$657,MATCH(H1411,Documents!$A$5:$A$657,0))="","",INDEX(Documents!$C$5:$C$657,MATCH(H1411,Documents!$A$5:$A$657,0))),"")</f>
        <v>2005</v>
      </c>
      <c r="J1411" s="25" t="str">
        <f aca="false">IFERROR(IF(INDEX(Documents!$D$5:$D$657,MATCH(H1411,Documents!$A$5:$A$657,0))="","",INDEX(Documents!$D$5:$D$657,MATCH(H1411,Documents!$A$5:$A$657,0))),"")</f>
        <v>Bioorg Med Chem Lett</v>
      </c>
      <c r="K1411" s="25" t="str">
        <f aca="false">IFERROR(IF(INDEX(Documents!$G$5:$G$657,MATCH(H1411,Documents!$A$5:$A$657,0))="","",INDEX(Documents!$G$5:$G$657,MATCH(H1411,Documents!$A$5:$A$657,0))),"")</f>
        <v>10.1016/j.bmcl.2005.06.008</v>
      </c>
      <c r="L1411" s="25" t="s">
        <v>3225</v>
      </c>
    </row>
    <row r="1412" customFormat="false" ht="15" hidden="false" customHeight="false" outlineLevel="0" collapsed="false">
      <c r="A1412" s="25" t="n">
        <v>1478255</v>
      </c>
      <c r="B1412" s="25" t="s">
        <v>3234</v>
      </c>
      <c r="C1412" s="25" t="s">
        <v>3235</v>
      </c>
      <c r="D1412" s="26" t="n">
        <v>138</v>
      </c>
      <c r="E1412" s="27" t="n">
        <v>6.86012091359876</v>
      </c>
      <c r="F1412" s="27" t="n">
        <v>6.86012091359876</v>
      </c>
      <c r="G1412" s="25" t="s">
        <v>3223</v>
      </c>
      <c r="H1412" s="25" t="s">
        <v>3224</v>
      </c>
      <c r="I1412" s="25" t="n">
        <f aca="false">IFERROR(IF(INDEX(Documents!$C$5:$C$657,MATCH(H1412,Documents!$A$5:$A$657,0))="","",INDEX(Documents!$C$5:$C$657,MATCH(H1412,Documents!$A$5:$A$657,0))),"")</f>
        <v>2005</v>
      </c>
      <c r="J1412" s="25" t="str">
        <f aca="false">IFERROR(IF(INDEX(Documents!$D$5:$D$657,MATCH(H1412,Documents!$A$5:$A$657,0))="","",INDEX(Documents!$D$5:$D$657,MATCH(H1412,Documents!$A$5:$A$657,0))),"")</f>
        <v>Bioorg Med Chem Lett</v>
      </c>
      <c r="K1412" s="25" t="str">
        <f aca="false">IFERROR(IF(INDEX(Documents!$G$5:$G$657,MATCH(H1412,Documents!$A$5:$A$657,0))="","",INDEX(Documents!$G$5:$G$657,MATCH(H1412,Documents!$A$5:$A$657,0))),"")</f>
        <v>10.1016/j.bmcl.2005.06.008</v>
      </c>
      <c r="L1412" s="25" t="s">
        <v>3225</v>
      </c>
    </row>
    <row r="1413" customFormat="false" ht="15" hidden="false" customHeight="false" outlineLevel="0" collapsed="false">
      <c r="A1413" s="25" t="n">
        <v>1478404</v>
      </c>
      <c r="B1413" s="25" t="s">
        <v>3236</v>
      </c>
      <c r="C1413" s="25" t="s">
        <v>3237</v>
      </c>
      <c r="D1413" s="26" t="n">
        <v>182</v>
      </c>
      <c r="E1413" s="27" t="n">
        <v>6.73992861201493</v>
      </c>
      <c r="F1413" s="27" t="n">
        <v>6.73992861201493</v>
      </c>
      <c r="G1413" s="25" t="s">
        <v>3223</v>
      </c>
      <c r="H1413" s="25" t="s">
        <v>3224</v>
      </c>
      <c r="I1413" s="25" t="n">
        <f aca="false">IFERROR(IF(INDEX(Documents!$C$5:$C$657,MATCH(H1413,Documents!$A$5:$A$657,0))="","",INDEX(Documents!$C$5:$C$657,MATCH(H1413,Documents!$A$5:$A$657,0))),"")</f>
        <v>2005</v>
      </c>
      <c r="J1413" s="25" t="str">
        <f aca="false">IFERROR(IF(INDEX(Documents!$D$5:$D$657,MATCH(H1413,Documents!$A$5:$A$657,0))="","",INDEX(Documents!$D$5:$D$657,MATCH(H1413,Documents!$A$5:$A$657,0))),"")</f>
        <v>Bioorg Med Chem Lett</v>
      </c>
      <c r="K1413" s="25" t="str">
        <f aca="false">IFERROR(IF(INDEX(Documents!$G$5:$G$657,MATCH(H1413,Documents!$A$5:$A$657,0))="","",INDEX(Documents!$G$5:$G$657,MATCH(H1413,Documents!$A$5:$A$657,0))),"")</f>
        <v>10.1016/j.bmcl.2005.06.008</v>
      </c>
      <c r="L1413" s="25" t="s">
        <v>3225</v>
      </c>
    </row>
    <row r="1414" customFormat="false" ht="15" hidden="false" customHeight="false" outlineLevel="0" collapsed="false">
      <c r="A1414" s="25" t="n">
        <v>1477857</v>
      </c>
      <c r="B1414" s="25" t="s">
        <v>3238</v>
      </c>
      <c r="C1414" s="25" t="s">
        <v>3239</v>
      </c>
      <c r="D1414" s="26" t="n">
        <v>84</v>
      </c>
      <c r="E1414" s="27" t="n">
        <v>7.07572071393812</v>
      </c>
      <c r="F1414" s="27" t="n">
        <v>7.07572071393812</v>
      </c>
      <c r="G1414" s="25" t="s">
        <v>3223</v>
      </c>
      <c r="H1414" s="25" t="s">
        <v>3224</v>
      </c>
      <c r="I1414" s="25" t="n">
        <f aca="false">IFERROR(IF(INDEX(Documents!$C$5:$C$657,MATCH(H1414,Documents!$A$5:$A$657,0))="","",INDEX(Documents!$C$5:$C$657,MATCH(H1414,Documents!$A$5:$A$657,0))),"")</f>
        <v>2005</v>
      </c>
      <c r="J1414" s="25" t="str">
        <f aca="false">IFERROR(IF(INDEX(Documents!$D$5:$D$657,MATCH(H1414,Documents!$A$5:$A$657,0))="","",INDEX(Documents!$D$5:$D$657,MATCH(H1414,Documents!$A$5:$A$657,0))),"")</f>
        <v>Bioorg Med Chem Lett</v>
      </c>
      <c r="K1414" s="25" t="str">
        <f aca="false">IFERROR(IF(INDEX(Documents!$G$5:$G$657,MATCH(H1414,Documents!$A$5:$A$657,0))="","",INDEX(Documents!$G$5:$G$657,MATCH(H1414,Documents!$A$5:$A$657,0))),"")</f>
        <v>10.1016/j.bmcl.2005.06.008</v>
      </c>
      <c r="L1414" s="25" t="s">
        <v>3225</v>
      </c>
    </row>
    <row r="1415" customFormat="false" ht="15" hidden="false" customHeight="false" outlineLevel="0" collapsed="false">
      <c r="A1415" s="25" t="n">
        <v>1477847</v>
      </c>
      <c r="B1415" s="25" t="s">
        <v>3240</v>
      </c>
      <c r="C1415" s="25" t="s">
        <v>3241</v>
      </c>
      <c r="D1415" s="26" t="n">
        <v>180</v>
      </c>
      <c r="E1415" s="27" t="n">
        <v>6.74472749489669</v>
      </c>
      <c r="F1415" s="27" t="n">
        <v>6.74472749489669</v>
      </c>
      <c r="G1415" s="25" t="s">
        <v>3223</v>
      </c>
      <c r="H1415" s="25" t="s">
        <v>3224</v>
      </c>
      <c r="I1415" s="25" t="n">
        <f aca="false">IFERROR(IF(INDEX(Documents!$C$5:$C$657,MATCH(H1415,Documents!$A$5:$A$657,0))="","",INDEX(Documents!$C$5:$C$657,MATCH(H1415,Documents!$A$5:$A$657,0))),"")</f>
        <v>2005</v>
      </c>
      <c r="J1415" s="25" t="str">
        <f aca="false">IFERROR(IF(INDEX(Documents!$D$5:$D$657,MATCH(H1415,Documents!$A$5:$A$657,0))="","",INDEX(Documents!$D$5:$D$657,MATCH(H1415,Documents!$A$5:$A$657,0))),"")</f>
        <v>Bioorg Med Chem Lett</v>
      </c>
      <c r="K1415" s="25" t="str">
        <f aca="false">IFERROR(IF(INDEX(Documents!$G$5:$G$657,MATCH(H1415,Documents!$A$5:$A$657,0))="","",INDEX(Documents!$G$5:$G$657,MATCH(H1415,Documents!$A$5:$A$657,0))),"")</f>
        <v>10.1016/j.bmcl.2005.06.008</v>
      </c>
      <c r="L1415" s="25" t="s">
        <v>3225</v>
      </c>
    </row>
    <row r="1416" customFormat="false" ht="15" hidden="false" customHeight="false" outlineLevel="0" collapsed="false">
      <c r="A1416" s="25" t="n">
        <v>1478272</v>
      </c>
      <c r="B1416" s="25" t="s">
        <v>3242</v>
      </c>
      <c r="C1416" s="25" t="s">
        <v>3243</v>
      </c>
      <c r="D1416" s="26" t="n">
        <v>29</v>
      </c>
      <c r="E1416" s="27" t="n">
        <v>7.53760200210104</v>
      </c>
      <c r="F1416" s="27" t="n">
        <v>7.53760200210104</v>
      </c>
      <c r="G1416" s="25" t="s">
        <v>3223</v>
      </c>
      <c r="H1416" s="25" t="s">
        <v>3224</v>
      </c>
      <c r="I1416" s="25" t="n">
        <f aca="false">IFERROR(IF(INDEX(Documents!$C$5:$C$657,MATCH(H1416,Documents!$A$5:$A$657,0))="","",INDEX(Documents!$C$5:$C$657,MATCH(H1416,Documents!$A$5:$A$657,0))),"")</f>
        <v>2005</v>
      </c>
      <c r="J1416" s="25" t="str">
        <f aca="false">IFERROR(IF(INDEX(Documents!$D$5:$D$657,MATCH(H1416,Documents!$A$5:$A$657,0))="","",INDEX(Documents!$D$5:$D$657,MATCH(H1416,Documents!$A$5:$A$657,0))),"")</f>
        <v>Bioorg Med Chem Lett</v>
      </c>
      <c r="K1416" s="25" t="str">
        <f aca="false">IFERROR(IF(INDEX(Documents!$G$5:$G$657,MATCH(H1416,Documents!$A$5:$A$657,0))="","",INDEX(Documents!$G$5:$G$657,MATCH(H1416,Documents!$A$5:$A$657,0))),"")</f>
        <v>10.1016/j.bmcl.2005.06.008</v>
      </c>
      <c r="L1416" s="25" t="s">
        <v>3225</v>
      </c>
    </row>
    <row r="1417" customFormat="false" ht="15" hidden="false" customHeight="false" outlineLevel="0" collapsed="false">
      <c r="A1417" s="25" t="n">
        <v>1477441</v>
      </c>
      <c r="B1417" s="25" t="s">
        <v>3244</v>
      </c>
      <c r="C1417" s="25" t="s">
        <v>3245</v>
      </c>
      <c r="D1417" s="26" t="n">
        <v>19</v>
      </c>
      <c r="E1417" s="27" t="n">
        <v>7.72124639904717</v>
      </c>
      <c r="F1417" s="27" t="n">
        <v>7.72124639904717</v>
      </c>
      <c r="G1417" s="25" t="s">
        <v>3223</v>
      </c>
      <c r="H1417" s="25" t="s">
        <v>3224</v>
      </c>
      <c r="I1417" s="25" t="n">
        <f aca="false">IFERROR(IF(INDEX(Documents!$C$5:$C$657,MATCH(H1417,Documents!$A$5:$A$657,0))="","",INDEX(Documents!$C$5:$C$657,MATCH(H1417,Documents!$A$5:$A$657,0))),"")</f>
        <v>2005</v>
      </c>
      <c r="J1417" s="25" t="str">
        <f aca="false">IFERROR(IF(INDEX(Documents!$D$5:$D$657,MATCH(H1417,Documents!$A$5:$A$657,0))="","",INDEX(Documents!$D$5:$D$657,MATCH(H1417,Documents!$A$5:$A$657,0))),"")</f>
        <v>Bioorg Med Chem Lett</v>
      </c>
      <c r="K1417" s="25" t="str">
        <f aca="false">IFERROR(IF(INDEX(Documents!$G$5:$G$657,MATCH(H1417,Documents!$A$5:$A$657,0))="","",INDEX(Documents!$G$5:$G$657,MATCH(H1417,Documents!$A$5:$A$657,0))),"")</f>
        <v>10.1016/j.bmcl.2005.06.008</v>
      </c>
      <c r="L1417" s="25" t="s">
        <v>3225</v>
      </c>
    </row>
    <row r="1418" customFormat="false" ht="15" hidden="false" customHeight="false" outlineLevel="0" collapsed="false">
      <c r="A1418" s="25" t="n">
        <v>1478145</v>
      </c>
      <c r="B1418" s="25" t="s">
        <v>3246</v>
      </c>
      <c r="C1418" s="25" t="s">
        <v>3247</v>
      </c>
      <c r="D1418" s="26" t="n">
        <v>25</v>
      </c>
      <c r="E1418" s="27" t="n">
        <v>7.60205999132796</v>
      </c>
      <c r="F1418" s="27" t="n">
        <v>7.60205999132796</v>
      </c>
      <c r="G1418" s="25" t="s">
        <v>3223</v>
      </c>
      <c r="H1418" s="25" t="s">
        <v>3224</v>
      </c>
      <c r="I1418" s="25" t="n">
        <f aca="false">IFERROR(IF(INDEX(Documents!$C$5:$C$657,MATCH(H1418,Documents!$A$5:$A$657,0))="","",INDEX(Documents!$C$5:$C$657,MATCH(H1418,Documents!$A$5:$A$657,0))),"")</f>
        <v>2005</v>
      </c>
      <c r="J1418" s="25" t="str">
        <f aca="false">IFERROR(IF(INDEX(Documents!$D$5:$D$657,MATCH(H1418,Documents!$A$5:$A$657,0))="","",INDEX(Documents!$D$5:$D$657,MATCH(H1418,Documents!$A$5:$A$657,0))),"")</f>
        <v>Bioorg Med Chem Lett</v>
      </c>
      <c r="K1418" s="25" t="str">
        <f aca="false">IFERROR(IF(INDEX(Documents!$G$5:$G$657,MATCH(H1418,Documents!$A$5:$A$657,0))="","",INDEX(Documents!$G$5:$G$657,MATCH(H1418,Documents!$A$5:$A$657,0))),"")</f>
        <v>10.1016/j.bmcl.2005.06.008</v>
      </c>
      <c r="L1418" s="25" t="s">
        <v>3225</v>
      </c>
    </row>
    <row r="1419" customFormat="false" ht="15" hidden="false" customHeight="false" outlineLevel="0" collapsed="false">
      <c r="A1419" s="25" t="n">
        <v>1477986</v>
      </c>
      <c r="B1419" s="25" t="s">
        <v>3248</v>
      </c>
      <c r="C1419" s="25" t="s">
        <v>3249</v>
      </c>
      <c r="D1419" s="26" t="n">
        <v>76</v>
      </c>
      <c r="E1419" s="27" t="n">
        <v>7.11918640771921</v>
      </c>
      <c r="F1419" s="27" t="n">
        <v>7.11918640771921</v>
      </c>
      <c r="G1419" s="25" t="s">
        <v>3223</v>
      </c>
      <c r="H1419" s="25" t="s">
        <v>3224</v>
      </c>
      <c r="I1419" s="25" t="n">
        <f aca="false">IFERROR(IF(INDEX(Documents!$C$5:$C$657,MATCH(H1419,Documents!$A$5:$A$657,0))="","",INDEX(Documents!$C$5:$C$657,MATCH(H1419,Documents!$A$5:$A$657,0))),"")</f>
        <v>2005</v>
      </c>
      <c r="J1419" s="25" t="str">
        <f aca="false">IFERROR(IF(INDEX(Documents!$D$5:$D$657,MATCH(H1419,Documents!$A$5:$A$657,0))="","",INDEX(Documents!$D$5:$D$657,MATCH(H1419,Documents!$A$5:$A$657,0))),"")</f>
        <v>Bioorg Med Chem Lett</v>
      </c>
      <c r="K1419" s="25" t="str">
        <f aca="false">IFERROR(IF(INDEX(Documents!$G$5:$G$657,MATCH(H1419,Documents!$A$5:$A$657,0))="","",INDEX(Documents!$G$5:$G$657,MATCH(H1419,Documents!$A$5:$A$657,0))),"")</f>
        <v>10.1016/j.bmcl.2005.06.008</v>
      </c>
      <c r="L1419" s="25" t="s">
        <v>3225</v>
      </c>
    </row>
    <row r="1420" customFormat="false" ht="15" hidden="false" customHeight="false" outlineLevel="0" collapsed="false">
      <c r="A1420" s="25" t="n">
        <v>1477860</v>
      </c>
      <c r="B1420" s="25" t="s">
        <v>3250</v>
      </c>
      <c r="C1420" s="25" t="s">
        <v>3251</v>
      </c>
      <c r="D1420" s="26" t="n">
        <v>82</v>
      </c>
      <c r="E1420" s="27" t="n">
        <v>7.08618614761628</v>
      </c>
      <c r="F1420" s="27" t="n">
        <v>7.08618614761628</v>
      </c>
      <c r="G1420" s="25" t="s">
        <v>3223</v>
      </c>
      <c r="H1420" s="25" t="s">
        <v>3224</v>
      </c>
      <c r="I1420" s="25" t="n">
        <f aca="false">IFERROR(IF(INDEX(Documents!$C$5:$C$657,MATCH(H1420,Documents!$A$5:$A$657,0))="","",INDEX(Documents!$C$5:$C$657,MATCH(H1420,Documents!$A$5:$A$657,0))),"")</f>
        <v>2005</v>
      </c>
      <c r="J1420" s="25" t="str">
        <f aca="false">IFERROR(IF(INDEX(Documents!$D$5:$D$657,MATCH(H1420,Documents!$A$5:$A$657,0))="","",INDEX(Documents!$D$5:$D$657,MATCH(H1420,Documents!$A$5:$A$657,0))),"")</f>
        <v>Bioorg Med Chem Lett</v>
      </c>
      <c r="K1420" s="25" t="str">
        <f aca="false">IFERROR(IF(INDEX(Documents!$G$5:$G$657,MATCH(H1420,Documents!$A$5:$A$657,0))="","",INDEX(Documents!$G$5:$G$657,MATCH(H1420,Documents!$A$5:$A$657,0))),"")</f>
        <v>10.1016/j.bmcl.2005.06.008</v>
      </c>
      <c r="L1420" s="25" t="s">
        <v>3225</v>
      </c>
    </row>
    <row r="1421" customFormat="false" ht="15" hidden="false" customHeight="false" outlineLevel="0" collapsed="false">
      <c r="A1421" s="25" t="n">
        <v>1993858</v>
      </c>
      <c r="B1421" s="25" t="s">
        <v>3252</v>
      </c>
      <c r="C1421" s="25" t="s">
        <v>3253</v>
      </c>
      <c r="D1421" s="26" t="n">
        <v>663</v>
      </c>
      <c r="E1421" s="27" t="n">
        <v>6.17848647159523</v>
      </c>
      <c r="F1421" s="27" t="n">
        <v>6.17848647159523</v>
      </c>
      <c r="G1421" s="25" t="s">
        <v>1527</v>
      </c>
      <c r="H1421" s="25" t="s">
        <v>1528</v>
      </c>
      <c r="I1421" s="25" t="n">
        <f aca="false">IFERROR(IF(INDEX(Documents!$C$5:$C$657,MATCH(H1421,Documents!$A$5:$A$657,0))="","",INDEX(Documents!$C$5:$C$657,MATCH(H1421,Documents!$A$5:$A$657,0))),"")</f>
        <v>2007</v>
      </c>
      <c r="J1421" s="25" t="str">
        <f aca="false">IFERROR(IF(INDEX(Documents!$D$5:$D$657,MATCH(H1421,Documents!$A$5:$A$657,0))="","",INDEX(Documents!$D$5:$D$657,MATCH(H1421,Documents!$A$5:$A$657,0))),"")</f>
        <v>J Med Chem</v>
      </c>
      <c r="K1421" s="25" t="str">
        <f aca="false">IFERROR(IF(INDEX(Documents!$G$5:$G$657,MATCH(H1421,Documents!$A$5:$A$657,0))="","",INDEX(Documents!$G$5:$G$657,MATCH(H1421,Documents!$A$5:$A$657,0))),"")</f>
        <v>10.1021/jm070387h</v>
      </c>
      <c r="L1421" s="25" t="s">
        <v>1529</v>
      </c>
    </row>
    <row r="1422" customFormat="false" ht="15" hidden="false" customHeight="false" outlineLevel="0" collapsed="false">
      <c r="A1422" s="25" t="n">
        <v>1993861</v>
      </c>
      <c r="B1422" s="25" t="s">
        <v>3254</v>
      </c>
      <c r="C1422" s="25" t="s">
        <v>3255</v>
      </c>
      <c r="D1422" s="26" t="n">
        <v>200</v>
      </c>
      <c r="E1422" s="27" t="n">
        <v>6.69897000433602</v>
      </c>
      <c r="F1422" s="27" t="n">
        <v>6.69897000433602</v>
      </c>
      <c r="G1422" s="25" t="s">
        <v>1527</v>
      </c>
      <c r="H1422" s="25" t="s">
        <v>1528</v>
      </c>
      <c r="I1422" s="25" t="n">
        <f aca="false">IFERROR(IF(INDEX(Documents!$C$5:$C$657,MATCH(H1422,Documents!$A$5:$A$657,0))="","",INDEX(Documents!$C$5:$C$657,MATCH(H1422,Documents!$A$5:$A$657,0))),"")</f>
        <v>2007</v>
      </c>
      <c r="J1422" s="25" t="str">
        <f aca="false">IFERROR(IF(INDEX(Documents!$D$5:$D$657,MATCH(H1422,Documents!$A$5:$A$657,0))="","",INDEX(Documents!$D$5:$D$657,MATCH(H1422,Documents!$A$5:$A$657,0))),"")</f>
        <v>J Med Chem</v>
      </c>
      <c r="K1422" s="25" t="str">
        <f aca="false">IFERROR(IF(INDEX(Documents!$G$5:$G$657,MATCH(H1422,Documents!$A$5:$A$657,0))="","",INDEX(Documents!$G$5:$G$657,MATCH(H1422,Documents!$A$5:$A$657,0))),"")</f>
        <v>10.1021/jm070387h</v>
      </c>
      <c r="L1422" s="25" t="s">
        <v>1529</v>
      </c>
    </row>
    <row r="1423" customFormat="false" ht="15" hidden="false" customHeight="false" outlineLevel="0" collapsed="false">
      <c r="A1423" s="25" t="n">
        <v>2251157</v>
      </c>
      <c r="B1423" s="25" t="s">
        <v>3256</v>
      </c>
      <c r="C1423" s="25" t="s">
        <v>3257</v>
      </c>
      <c r="D1423" s="26" t="n">
        <v>40</v>
      </c>
      <c r="E1423" s="27" t="n">
        <v>7.39794000867204</v>
      </c>
      <c r="F1423" s="27" t="n">
        <v>7.39794000867204</v>
      </c>
      <c r="G1423" s="25" t="s">
        <v>2152</v>
      </c>
      <c r="H1423" s="25" t="s">
        <v>2153</v>
      </c>
      <c r="I1423" s="25" t="n">
        <f aca="false">IFERROR(IF(INDEX(Documents!$C$5:$C$657,MATCH(H1423,Documents!$A$5:$A$657,0))="","",INDEX(Documents!$C$5:$C$657,MATCH(H1423,Documents!$A$5:$A$657,0))),"")</f>
        <v>2009</v>
      </c>
      <c r="J1423" s="25" t="str">
        <f aca="false">IFERROR(IF(INDEX(Documents!$D$5:$D$657,MATCH(H1423,Documents!$A$5:$A$657,0))="","",INDEX(Documents!$D$5:$D$657,MATCH(H1423,Documents!$A$5:$A$657,0))),"")</f>
        <v>J Med Chem</v>
      </c>
      <c r="K1423" s="25" t="str">
        <f aca="false">IFERROR(IF(INDEX(Documents!$G$5:$G$657,MATCH(H1423,Documents!$A$5:$A$657,0))="","",INDEX(Documents!$G$5:$G$657,MATCH(H1423,Documents!$A$5:$A$657,0))),"")</f>
        <v>10.1021/jm801044g</v>
      </c>
      <c r="L1423" s="25" t="s">
        <v>2020</v>
      </c>
    </row>
    <row r="1424" customFormat="false" ht="15" hidden="false" customHeight="false" outlineLevel="0" collapsed="false">
      <c r="A1424" s="25" t="n">
        <v>12181907</v>
      </c>
      <c r="B1424" s="25" t="s">
        <v>3258</v>
      </c>
      <c r="C1424" s="25" t="s">
        <v>3259</v>
      </c>
      <c r="D1424" s="26" t="n">
        <v>2.8</v>
      </c>
      <c r="E1424" s="27" t="n">
        <v>8.55284196865778</v>
      </c>
      <c r="F1424" s="27" t="n">
        <v>8.55284196865778</v>
      </c>
      <c r="G1424" s="25" t="s">
        <v>3260</v>
      </c>
      <c r="H1424" s="25" t="s">
        <v>3261</v>
      </c>
      <c r="I1424" s="25" t="n">
        <f aca="false">IFERROR(IF(INDEX(Documents!$C$5:$C$657,MATCH(H1424,Documents!$A$5:$A$657,0))="","",INDEX(Documents!$C$5:$C$657,MATCH(H1424,Documents!$A$5:$A$657,0))),"")</f>
        <v>2012</v>
      </c>
      <c r="J1424" s="25" t="str">
        <f aca="false">IFERROR(IF(INDEX(Documents!$D$5:$D$657,MATCH(H1424,Documents!$A$5:$A$657,0))="","",INDEX(Documents!$D$5:$D$657,MATCH(H1424,Documents!$A$5:$A$657,0))),"")</f>
        <v>Bioorg Med Chem</v>
      </c>
      <c r="K1424" s="25" t="str">
        <f aca="false">IFERROR(IF(INDEX(Documents!$G$5:$G$657,MATCH(H1424,Documents!$A$5:$A$657,0))="","",INDEX(Documents!$G$5:$G$657,MATCH(H1424,Documents!$A$5:$A$657,0))),"")</f>
        <v>10.1016/j.bmc.2012.01.038</v>
      </c>
      <c r="L1424" s="25" t="s">
        <v>3262</v>
      </c>
    </row>
    <row r="1425" customFormat="false" ht="15" hidden="false" customHeight="false" outlineLevel="0" collapsed="false">
      <c r="A1425" s="25" t="n">
        <v>2650300</v>
      </c>
      <c r="B1425" s="25" t="s">
        <v>3263</v>
      </c>
      <c r="C1425" s="25" t="s">
        <v>3264</v>
      </c>
      <c r="D1425" s="26" t="n">
        <v>0.7295</v>
      </c>
      <c r="E1425" s="27" t="n">
        <v>9.13697470377053</v>
      </c>
      <c r="F1425" s="27" t="n">
        <v>9.13697470377053</v>
      </c>
      <c r="G1425" s="25" t="s">
        <v>3265</v>
      </c>
      <c r="H1425" s="25" t="s">
        <v>3266</v>
      </c>
      <c r="I1425" s="25" t="n">
        <f aca="false">IFERROR(IF(INDEX(Documents!$C$5:$C$657,MATCH(H1425,Documents!$A$5:$A$657,0))="","",INDEX(Documents!$C$5:$C$657,MATCH(H1425,Documents!$A$5:$A$657,0))),"")</f>
        <v>2009</v>
      </c>
      <c r="J1425" s="25" t="str">
        <f aca="false">IFERROR(IF(INDEX(Documents!$D$5:$D$657,MATCH(H1425,Documents!$A$5:$A$657,0))="","",INDEX(Documents!$D$5:$D$657,MATCH(H1425,Documents!$A$5:$A$657,0))),"")</f>
        <v>Eur J Med Chem</v>
      </c>
      <c r="K1425" s="25" t="str">
        <f aca="false">IFERROR(IF(INDEX(Documents!$G$5:$G$657,MATCH(H1425,Documents!$A$5:$A$657,0))="","",INDEX(Documents!$G$5:$G$657,MATCH(H1425,Documents!$A$5:$A$657,0))),"")</f>
        <v>10.1016/j.ejmech.2009.01.026</v>
      </c>
      <c r="L1425" s="25" t="s">
        <v>3267</v>
      </c>
    </row>
    <row r="1426" customFormat="false" ht="15" hidden="false" customHeight="false" outlineLevel="0" collapsed="false">
      <c r="A1426" s="25" t="n">
        <v>2650345</v>
      </c>
      <c r="B1426" s="25" t="s">
        <v>3268</v>
      </c>
      <c r="C1426" s="25" t="s">
        <v>3269</v>
      </c>
      <c r="D1426" s="26" t="n">
        <v>0.4198</v>
      </c>
      <c r="E1426" s="27" t="n">
        <v>9.37695756575362</v>
      </c>
      <c r="F1426" s="27" t="n">
        <v>9.37695756575362</v>
      </c>
      <c r="G1426" s="25" t="s">
        <v>3265</v>
      </c>
      <c r="H1426" s="25" t="s">
        <v>3266</v>
      </c>
      <c r="I1426" s="25" t="n">
        <f aca="false">IFERROR(IF(INDEX(Documents!$C$5:$C$657,MATCH(H1426,Documents!$A$5:$A$657,0))="","",INDEX(Documents!$C$5:$C$657,MATCH(H1426,Documents!$A$5:$A$657,0))),"")</f>
        <v>2009</v>
      </c>
      <c r="J1426" s="25" t="str">
        <f aca="false">IFERROR(IF(INDEX(Documents!$D$5:$D$657,MATCH(H1426,Documents!$A$5:$A$657,0))="","",INDEX(Documents!$D$5:$D$657,MATCH(H1426,Documents!$A$5:$A$657,0))),"")</f>
        <v>Eur J Med Chem</v>
      </c>
      <c r="K1426" s="25" t="str">
        <f aca="false">IFERROR(IF(INDEX(Documents!$G$5:$G$657,MATCH(H1426,Documents!$A$5:$A$657,0))="","",INDEX(Documents!$G$5:$G$657,MATCH(H1426,Documents!$A$5:$A$657,0))),"")</f>
        <v>10.1016/j.ejmech.2009.01.026</v>
      </c>
      <c r="L1426" s="25" t="s">
        <v>3267</v>
      </c>
    </row>
    <row r="1427" customFormat="false" ht="15" hidden="false" customHeight="false" outlineLevel="0" collapsed="false">
      <c r="A1427" s="25" t="n">
        <v>2650327</v>
      </c>
      <c r="B1427" s="25" t="s">
        <v>3270</v>
      </c>
      <c r="C1427" s="25" t="s">
        <v>3271</v>
      </c>
      <c r="D1427" s="26" t="n">
        <v>0.6194</v>
      </c>
      <c r="E1427" s="27" t="n">
        <v>9.20802879897923</v>
      </c>
      <c r="F1427" s="27" t="n">
        <v>9.20802879897923</v>
      </c>
      <c r="G1427" s="25" t="s">
        <v>3265</v>
      </c>
      <c r="H1427" s="25" t="s">
        <v>3266</v>
      </c>
      <c r="I1427" s="25" t="n">
        <f aca="false">IFERROR(IF(INDEX(Documents!$C$5:$C$657,MATCH(H1427,Documents!$A$5:$A$657,0))="","",INDEX(Documents!$C$5:$C$657,MATCH(H1427,Documents!$A$5:$A$657,0))),"")</f>
        <v>2009</v>
      </c>
      <c r="J1427" s="25" t="str">
        <f aca="false">IFERROR(IF(INDEX(Documents!$D$5:$D$657,MATCH(H1427,Documents!$A$5:$A$657,0))="","",INDEX(Documents!$D$5:$D$657,MATCH(H1427,Documents!$A$5:$A$657,0))),"")</f>
        <v>Eur J Med Chem</v>
      </c>
      <c r="K1427" s="25" t="str">
        <f aca="false">IFERROR(IF(INDEX(Documents!$G$5:$G$657,MATCH(H1427,Documents!$A$5:$A$657,0))="","",INDEX(Documents!$G$5:$G$657,MATCH(H1427,Documents!$A$5:$A$657,0))),"")</f>
        <v>10.1016/j.ejmech.2009.01.026</v>
      </c>
      <c r="L1427" s="25" t="s">
        <v>3267</v>
      </c>
    </row>
    <row r="1428" customFormat="false" ht="15" hidden="false" customHeight="false" outlineLevel="0" collapsed="false">
      <c r="A1428" s="25" t="n">
        <v>5205757</v>
      </c>
      <c r="B1428" s="25" t="s">
        <v>3272</v>
      </c>
      <c r="C1428" s="25" t="s">
        <v>3273</v>
      </c>
      <c r="D1428" s="26" t="n">
        <v>6.5</v>
      </c>
      <c r="E1428" s="27" t="n">
        <v>8.18708664335714</v>
      </c>
      <c r="F1428" s="27" t="n">
        <v>8.18708664335714</v>
      </c>
      <c r="G1428" s="25" t="s">
        <v>461</v>
      </c>
      <c r="H1428" s="25" t="s">
        <v>462</v>
      </c>
      <c r="I1428" s="25" t="n">
        <f aca="false">IFERROR(IF(INDEX(Documents!$C$5:$C$657,MATCH(H1428,Documents!$A$5:$A$657,0))="","",INDEX(Documents!$C$5:$C$657,MATCH(H1428,Documents!$A$5:$A$657,0))),"")</f>
        <v>2011</v>
      </c>
      <c r="J1428" s="25" t="str">
        <f aca="false">IFERROR(IF(INDEX(Documents!$D$5:$D$657,MATCH(H1428,Documents!$A$5:$A$657,0))="","",INDEX(Documents!$D$5:$D$657,MATCH(H1428,Documents!$A$5:$A$657,0))),"")</f>
        <v>Eur J Med Chem</v>
      </c>
      <c r="K1428" s="25" t="str">
        <f aca="false">IFERROR(IF(INDEX(Documents!$G$5:$G$657,MATCH(H1428,Documents!$A$5:$A$657,0))="","",INDEX(Documents!$G$5:$G$657,MATCH(H1428,Documents!$A$5:$A$657,0))),"")</f>
        <v>10.1016/j.ejmech.2010.11.034</v>
      </c>
      <c r="L1428" s="25" t="s">
        <v>463</v>
      </c>
    </row>
    <row r="1429" customFormat="false" ht="15" hidden="false" customHeight="false" outlineLevel="0" collapsed="false">
      <c r="A1429" s="25" t="n">
        <v>2650366</v>
      </c>
      <c r="B1429" s="25" t="s">
        <v>3274</v>
      </c>
      <c r="C1429" s="25" t="s">
        <v>3275</v>
      </c>
      <c r="D1429" s="26" t="n">
        <v>6.501</v>
      </c>
      <c r="E1429" s="27" t="n">
        <v>8.18701983396052</v>
      </c>
      <c r="F1429" s="27" t="n">
        <v>8.18701983396052</v>
      </c>
      <c r="G1429" s="25" t="s">
        <v>3265</v>
      </c>
      <c r="H1429" s="25" t="s">
        <v>3266</v>
      </c>
      <c r="I1429" s="25" t="n">
        <f aca="false">IFERROR(IF(INDEX(Documents!$C$5:$C$657,MATCH(H1429,Documents!$A$5:$A$657,0))="","",INDEX(Documents!$C$5:$C$657,MATCH(H1429,Documents!$A$5:$A$657,0))),"")</f>
        <v>2009</v>
      </c>
      <c r="J1429" s="25" t="str">
        <f aca="false">IFERROR(IF(INDEX(Documents!$D$5:$D$657,MATCH(H1429,Documents!$A$5:$A$657,0))="","",INDEX(Documents!$D$5:$D$657,MATCH(H1429,Documents!$A$5:$A$657,0))),"")</f>
        <v>Eur J Med Chem</v>
      </c>
      <c r="K1429" s="25" t="str">
        <f aca="false">IFERROR(IF(INDEX(Documents!$G$5:$G$657,MATCH(H1429,Documents!$A$5:$A$657,0))="","",INDEX(Documents!$G$5:$G$657,MATCH(H1429,Documents!$A$5:$A$657,0))),"")</f>
        <v>10.1016/j.ejmech.2009.01.026</v>
      </c>
      <c r="L1429" s="25" t="s">
        <v>3267</v>
      </c>
    </row>
    <row r="1430" customFormat="false" ht="15" hidden="false" customHeight="false" outlineLevel="0" collapsed="false">
      <c r="A1430" s="25" t="n">
        <v>12181911</v>
      </c>
      <c r="B1430" s="25" t="s">
        <v>3276</v>
      </c>
      <c r="C1430" s="25" t="s">
        <v>3277</v>
      </c>
      <c r="D1430" s="26" t="n">
        <v>2.3</v>
      </c>
      <c r="E1430" s="27" t="n">
        <v>8.63827216398241</v>
      </c>
      <c r="F1430" s="27" t="n">
        <v>8.63827216398241</v>
      </c>
      <c r="G1430" s="25" t="s">
        <v>3260</v>
      </c>
      <c r="H1430" s="25" t="s">
        <v>3261</v>
      </c>
      <c r="I1430" s="25" t="n">
        <f aca="false">IFERROR(IF(INDEX(Documents!$C$5:$C$657,MATCH(H1430,Documents!$A$5:$A$657,0))="","",INDEX(Documents!$C$5:$C$657,MATCH(H1430,Documents!$A$5:$A$657,0))),"")</f>
        <v>2012</v>
      </c>
      <c r="J1430" s="25" t="str">
        <f aca="false">IFERROR(IF(INDEX(Documents!$D$5:$D$657,MATCH(H1430,Documents!$A$5:$A$657,0))="","",INDEX(Documents!$D$5:$D$657,MATCH(H1430,Documents!$A$5:$A$657,0))),"")</f>
        <v>Bioorg Med Chem</v>
      </c>
      <c r="K1430" s="25" t="str">
        <f aca="false">IFERROR(IF(INDEX(Documents!$G$5:$G$657,MATCH(H1430,Documents!$A$5:$A$657,0))="","",INDEX(Documents!$G$5:$G$657,MATCH(H1430,Documents!$A$5:$A$657,0))),"")</f>
        <v>10.1016/j.bmc.2012.01.038</v>
      </c>
      <c r="L1430" s="25" t="s">
        <v>3262</v>
      </c>
    </row>
    <row r="1431" customFormat="false" ht="15" hidden="false" customHeight="false" outlineLevel="0" collapsed="false">
      <c r="A1431" s="25" t="n">
        <v>12181915</v>
      </c>
      <c r="B1431" s="25" t="s">
        <v>3278</v>
      </c>
      <c r="C1431" s="25" t="s">
        <v>3279</v>
      </c>
      <c r="D1431" s="26" t="n">
        <v>2.2</v>
      </c>
      <c r="E1431" s="27" t="n">
        <v>8.65757731917779</v>
      </c>
      <c r="F1431" s="27" t="n">
        <v>8.65757731917779</v>
      </c>
      <c r="G1431" s="25" t="s">
        <v>3260</v>
      </c>
      <c r="H1431" s="25" t="s">
        <v>3261</v>
      </c>
      <c r="I1431" s="25" t="n">
        <f aca="false">IFERROR(IF(INDEX(Documents!$C$5:$C$657,MATCH(H1431,Documents!$A$5:$A$657,0))="","",INDEX(Documents!$C$5:$C$657,MATCH(H1431,Documents!$A$5:$A$657,0))),"")</f>
        <v>2012</v>
      </c>
      <c r="J1431" s="25" t="str">
        <f aca="false">IFERROR(IF(INDEX(Documents!$D$5:$D$657,MATCH(H1431,Documents!$A$5:$A$657,0))="","",INDEX(Documents!$D$5:$D$657,MATCH(H1431,Documents!$A$5:$A$657,0))),"")</f>
        <v>Bioorg Med Chem</v>
      </c>
      <c r="K1431" s="25" t="str">
        <f aca="false">IFERROR(IF(INDEX(Documents!$G$5:$G$657,MATCH(H1431,Documents!$A$5:$A$657,0))="","",INDEX(Documents!$G$5:$G$657,MATCH(H1431,Documents!$A$5:$A$657,0))),"")</f>
        <v>10.1016/j.bmc.2012.01.038</v>
      </c>
      <c r="L1431" s="25" t="s">
        <v>3262</v>
      </c>
    </row>
    <row r="1432" customFormat="false" ht="15" hidden="false" customHeight="false" outlineLevel="0" collapsed="false">
      <c r="A1432" s="25" t="n">
        <v>12181903</v>
      </c>
      <c r="B1432" s="25" t="s">
        <v>3280</v>
      </c>
      <c r="C1432" s="25" t="s">
        <v>3281</v>
      </c>
      <c r="D1432" s="26" t="n">
        <v>2.1</v>
      </c>
      <c r="E1432" s="27" t="n">
        <v>8.67778070526608</v>
      </c>
      <c r="F1432" s="27" t="n">
        <v>8.67778070526608</v>
      </c>
      <c r="G1432" s="25" t="s">
        <v>3260</v>
      </c>
      <c r="H1432" s="25" t="s">
        <v>3261</v>
      </c>
      <c r="I1432" s="25" t="n">
        <f aca="false">IFERROR(IF(INDEX(Documents!$C$5:$C$657,MATCH(H1432,Documents!$A$5:$A$657,0))="","",INDEX(Documents!$C$5:$C$657,MATCH(H1432,Documents!$A$5:$A$657,0))),"")</f>
        <v>2012</v>
      </c>
      <c r="J1432" s="25" t="str">
        <f aca="false">IFERROR(IF(INDEX(Documents!$D$5:$D$657,MATCH(H1432,Documents!$A$5:$A$657,0))="","",INDEX(Documents!$D$5:$D$657,MATCH(H1432,Documents!$A$5:$A$657,0))),"")</f>
        <v>Bioorg Med Chem</v>
      </c>
      <c r="K1432" s="25" t="str">
        <f aca="false">IFERROR(IF(INDEX(Documents!$G$5:$G$657,MATCH(H1432,Documents!$A$5:$A$657,0))="","",INDEX(Documents!$G$5:$G$657,MATCH(H1432,Documents!$A$5:$A$657,0))),"")</f>
        <v>10.1016/j.bmc.2012.01.038</v>
      </c>
      <c r="L1432" s="25" t="s">
        <v>3262</v>
      </c>
    </row>
    <row r="1433" customFormat="false" ht="15" hidden="false" customHeight="false" outlineLevel="0" collapsed="false">
      <c r="A1433" s="25" t="n">
        <v>2650288</v>
      </c>
      <c r="B1433" s="25" t="s">
        <v>3282</v>
      </c>
      <c r="C1433" s="25" t="s">
        <v>3283</v>
      </c>
      <c r="D1433" s="26" t="n">
        <v>1.901</v>
      </c>
      <c r="E1433" s="27" t="n">
        <v>8.72101788313456</v>
      </c>
      <c r="F1433" s="27" t="n">
        <v>8.72101788313456</v>
      </c>
      <c r="G1433" s="25" t="s">
        <v>3265</v>
      </c>
      <c r="H1433" s="25" t="s">
        <v>3266</v>
      </c>
      <c r="I1433" s="25" t="n">
        <f aca="false">IFERROR(IF(INDEX(Documents!$C$5:$C$657,MATCH(H1433,Documents!$A$5:$A$657,0))="","",INDEX(Documents!$C$5:$C$657,MATCH(H1433,Documents!$A$5:$A$657,0))),"")</f>
        <v>2009</v>
      </c>
      <c r="J1433" s="25" t="str">
        <f aca="false">IFERROR(IF(INDEX(Documents!$D$5:$D$657,MATCH(H1433,Documents!$A$5:$A$657,0))="","",INDEX(Documents!$D$5:$D$657,MATCH(H1433,Documents!$A$5:$A$657,0))),"")</f>
        <v>Eur J Med Chem</v>
      </c>
      <c r="K1433" s="25" t="str">
        <f aca="false">IFERROR(IF(INDEX(Documents!$G$5:$G$657,MATCH(H1433,Documents!$A$5:$A$657,0))="","",INDEX(Documents!$G$5:$G$657,MATCH(H1433,Documents!$A$5:$A$657,0))),"")</f>
        <v>10.1016/j.ejmech.2009.01.026</v>
      </c>
      <c r="L1433" s="25" t="s">
        <v>3267</v>
      </c>
    </row>
    <row r="1434" customFormat="false" ht="15" hidden="false" customHeight="false" outlineLevel="0" collapsed="false">
      <c r="A1434" s="25" t="n">
        <v>2650375</v>
      </c>
      <c r="B1434" s="25" t="s">
        <v>3284</v>
      </c>
      <c r="C1434" s="25" t="s">
        <v>3285</v>
      </c>
      <c r="D1434" s="26" t="n">
        <v>25</v>
      </c>
      <c r="E1434" s="27" t="n">
        <v>7.60205999132796</v>
      </c>
      <c r="F1434" s="27" t="n">
        <v>7.60205999132796</v>
      </c>
      <c r="G1434" s="25" t="s">
        <v>3265</v>
      </c>
      <c r="H1434" s="25" t="s">
        <v>3266</v>
      </c>
      <c r="I1434" s="25" t="n">
        <f aca="false">IFERROR(IF(INDEX(Documents!$C$5:$C$657,MATCH(H1434,Documents!$A$5:$A$657,0))="","",INDEX(Documents!$C$5:$C$657,MATCH(H1434,Documents!$A$5:$A$657,0))),"")</f>
        <v>2009</v>
      </c>
      <c r="J1434" s="25" t="str">
        <f aca="false">IFERROR(IF(INDEX(Documents!$D$5:$D$657,MATCH(H1434,Documents!$A$5:$A$657,0))="","",INDEX(Documents!$D$5:$D$657,MATCH(H1434,Documents!$A$5:$A$657,0))),"")</f>
        <v>Eur J Med Chem</v>
      </c>
      <c r="K1434" s="25" t="str">
        <f aca="false">IFERROR(IF(INDEX(Documents!$G$5:$G$657,MATCH(H1434,Documents!$A$5:$A$657,0))="","",INDEX(Documents!$G$5:$G$657,MATCH(H1434,Documents!$A$5:$A$657,0))),"")</f>
        <v>10.1016/j.ejmech.2009.01.026</v>
      </c>
      <c r="L1434" s="25" t="s">
        <v>3267</v>
      </c>
    </row>
    <row r="1435" customFormat="false" ht="15" hidden="false" customHeight="false" outlineLevel="0" collapsed="false">
      <c r="A1435" s="25" t="n">
        <v>2650303</v>
      </c>
      <c r="B1435" s="25" t="s">
        <v>3286</v>
      </c>
      <c r="C1435" s="25" t="s">
        <v>3287</v>
      </c>
      <c r="D1435" s="26" t="n">
        <v>10.99</v>
      </c>
      <c r="E1435" s="27" t="n">
        <v>7.95900230757651</v>
      </c>
      <c r="F1435" s="27" t="n">
        <v>7.95900230757651</v>
      </c>
      <c r="G1435" s="25" t="s">
        <v>3265</v>
      </c>
      <c r="H1435" s="25" t="s">
        <v>3266</v>
      </c>
      <c r="I1435" s="25" t="n">
        <f aca="false">IFERROR(IF(INDEX(Documents!$C$5:$C$657,MATCH(H1435,Documents!$A$5:$A$657,0))="","",INDEX(Documents!$C$5:$C$657,MATCH(H1435,Documents!$A$5:$A$657,0))),"")</f>
        <v>2009</v>
      </c>
      <c r="J1435" s="25" t="str">
        <f aca="false">IFERROR(IF(INDEX(Documents!$D$5:$D$657,MATCH(H1435,Documents!$A$5:$A$657,0))="","",INDEX(Documents!$D$5:$D$657,MATCH(H1435,Documents!$A$5:$A$657,0))),"")</f>
        <v>Eur J Med Chem</v>
      </c>
      <c r="K1435" s="25" t="str">
        <f aca="false">IFERROR(IF(INDEX(Documents!$G$5:$G$657,MATCH(H1435,Documents!$A$5:$A$657,0))="","",INDEX(Documents!$G$5:$G$657,MATCH(H1435,Documents!$A$5:$A$657,0))),"")</f>
        <v>10.1016/j.ejmech.2009.01.026</v>
      </c>
      <c r="L1435" s="25" t="s">
        <v>3267</v>
      </c>
    </row>
    <row r="1436" customFormat="false" ht="15" hidden="false" customHeight="false" outlineLevel="0" collapsed="false">
      <c r="A1436" s="25" t="n">
        <v>2650270</v>
      </c>
      <c r="B1436" s="25" t="s">
        <v>3288</v>
      </c>
      <c r="C1436" s="25" t="s">
        <v>3289</v>
      </c>
      <c r="D1436" s="26" t="n">
        <v>0.4898</v>
      </c>
      <c r="E1436" s="27" t="n">
        <v>9.3099812192113</v>
      </c>
      <c r="F1436" s="27" t="n">
        <v>9.3099812192113</v>
      </c>
      <c r="G1436" s="25" t="s">
        <v>3265</v>
      </c>
      <c r="H1436" s="25" t="s">
        <v>3266</v>
      </c>
      <c r="I1436" s="25" t="n">
        <f aca="false">IFERROR(IF(INDEX(Documents!$C$5:$C$657,MATCH(H1436,Documents!$A$5:$A$657,0))="","",INDEX(Documents!$C$5:$C$657,MATCH(H1436,Documents!$A$5:$A$657,0))),"")</f>
        <v>2009</v>
      </c>
      <c r="J1436" s="25" t="str">
        <f aca="false">IFERROR(IF(INDEX(Documents!$D$5:$D$657,MATCH(H1436,Documents!$A$5:$A$657,0))="","",INDEX(Documents!$D$5:$D$657,MATCH(H1436,Documents!$A$5:$A$657,0))),"")</f>
        <v>Eur J Med Chem</v>
      </c>
      <c r="K1436" s="25" t="str">
        <f aca="false">IFERROR(IF(INDEX(Documents!$G$5:$G$657,MATCH(H1436,Documents!$A$5:$A$657,0))="","",INDEX(Documents!$G$5:$G$657,MATCH(H1436,Documents!$A$5:$A$657,0))),"")</f>
        <v>10.1016/j.ejmech.2009.01.026</v>
      </c>
      <c r="L1436" s="25" t="s">
        <v>3267</v>
      </c>
    </row>
    <row r="1437" customFormat="false" ht="15" hidden="false" customHeight="false" outlineLevel="0" collapsed="false">
      <c r="A1437" s="25" t="n">
        <v>2650381</v>
      </c>
      <c r="B1437" s="25" t="s">
        <v>3290</v>
      </c>
      <c r="C1437" s="25" t="s">
        <v>3291</v>
      </c>
      <c r="D1437" s="26" t="n">
        <v>5.598</v>
      </c>
      <c r="E1437" s="27" t="n">
        <v>8.25196710586986</v>
      </c>
      <c r="F1437" s="27" t="n">
        <v>8.25196710586986</v>
      </c>
      <c r="G1437" s="25" t="s">
        <v>3265</v>
      </c>
      <c r="H1437" s="25" t="s">
        <v>3266</v>
      </c>
      <c r="I1437" s="25" t="n">
        <f aca="false">IFERROR(IF(INDEX(Documents!$C$5:$C$657,MATCH(H1437,Documents!$A$5:$A$657,0))="","",INDEX(Documents!$C$5:$C$657,MATCH(H1437,Documents!$A$5:$A$657,0))),"")</f>
        <v>2009</v>
      </c>
      <c r="J1437" s="25" t="str">
        <f aca="false">IFERROR(IF(INDEX(Documents!$D$5:$D$657,MATCH(H1437,Documents!$A$5:$A$657,0))="","",INDEX(Documents!$D$5:$D$657,MATCH(H1437,Documents!$A$5:$A$657,0))),"")</f>
        <v>Eur J Med Chem</v>
      </c>
      <c r="K1437" s="25" t="str">
        <f aca="false">IFERROR(IF(INDEX(Documents!$G$5:$G$657,MATCH(H1437,Documents!$A$5:$A$657,0))="","",INDEX(Documents!$G$5:$G$657,MATCH(H1437,Documents!$A$5:$A$657,0))),"")</f>
        <v>10.1016/j.ejmech.2009.01.026</v>
      </c>
      <c r="L1437" s="25" t="s">
        <v>3267</v>
      </c>
    </row>
    <row r="1438" customFormat="false" ht="15" hidden="false" customHeight="false" outlineLevel="0" collapsed="false">
      <c r="A1438" s="25" t="n">
        <v>2650306</v>
      </c>
      <c r="B1438" s="25" t="s">
        <v>3292</v>
      </c>
      <c r="C1438" s="25" t="s">
        <v>3293</v>
      </c>
      <c r="D1438" s="26" t="n">
        <v>10.4</v>
      </c>
      <c r="E1438" s="27" t="n">
        <v>7.98296666070122</v>
      </c>
      <c r="F1438" s="27" t="n">
        <v>7.98296666070122</v>
      </c>
      <c r="G1438" s="25" t="s">
        <v>3265</v>
      </c>
      <c r="H1438" s="25" t="s">
        <v>3266</v>
      </c>
      <c r="I1438" s="25" t="n">
        <f aca="false">IFERROR(IF(INDEX(Documents!$C$5:$C$657,MATCH(H1438,Documents!$A$5:$A$657,0))="","",INDEX(Documents!$C$5:$C$657,MATCH(H1438,Documents!$A$5:$A$657,0))),"")</f>
        <v>2009</v>
      </c>
      <c r="J1438" s="25" t="str">
        <f aca="false">IFERROR(IF(INDEX(Documents!$D$5:$D$657,MATCH(H1438,Documents!$A$5:$A$657,0))="","",INDEX(Documents!$D$5:$D$657,MATCH(H1438,Documents!$A$5:$A$657,0))),"")</f>
        <v>Eur J Med Chem</v>
      </c>
      <c r="K1438" s="25" t="str">
        <f aca="false">IFERROR(IF(INDEX(Documents!$G$5:$G$657,MATCH(H1438,Documents!$A$5:$A$657,0))="","",INDEX(Documents!$G$5:$G$657,MATCH(H1438,Documents!$A$5:$A$657,0))),"")</f>
        <v>10.1016/j.ejmech.2009.01.026</v>
      </c>
      <c r="L1438" s="25" t="s">
        <v>3267</v>
      </c>
    </row>
    <row r="1439" customFormat="false" ht="15" hidden="false" customHeight="false" outlineLevel="0" collapsed="false">
      <c r="A1439" s="25" t="n">
        <v>12181895</v>
      </c>
      <c r="B1439" s="25" t="s">
        <v>3294</v>
      </c>
      <c r="C1439" s="25" t="s">
        <v>3295</v>
      </c>
      <c r="D1439" s="26" t="n">
        <v>10</v>
      </c>
      <c r="E1439" s="27" t="n">
        <v>8</v>
      </c>
      <c r="F1439" s="27" t="n">
        <v>8</v>
      </c>
      <c r="G1439" s="25" t="s">
        <v>3260</v>
      </c>
      <c r="H1439" s="25" t="s">
        <v>3261</v>
      </c>
      <c r="I1439" s="25" t="n">
        <f aca="false">IFERROR(IF(INDEX(Documents!$C$5:$C$657,MATCH(H1439,Documents!$A$5:$A$657,0))="","",INDEX(Documents!$C$5:$C$657,MATCH(H1439,Documents!$A$5:$A$657,0))),"")</f>
        <v>2012</v>
      </c>
      <c r="J1439" s="25" t="str">
        <f aca="false">IFERROR(IF(INDEX(Documents!$D$5:$D$657,MATCH(H1439,Documents!$A$5:$A$657,0))="","",INDEX(Documents!$D$5:$D$657,MATCH(H1439,Documents!$A$5:$A$657,0))),"")</f>
        <v>Bioorg Med Chem</v>
      </c>
      <c r="K1439" s="25" t="str">
        <f aca="false">IFERROR(IF(INDEX(Documents!$G$5:$G$657,MATCH(H1439,Documents!$A$5:$A$657,0))="","",INDEX(Documents!$G$5:$G$657,MATCH(H1439,Documents!$A$5:$A$657,0))),"")</f>
        <v>10.1016/j.bmc.2012.01.038</v>
      </c>
      <c r="L1439" s="25" t="s">
        <v>3262</v>
      </c>
    </row>
    <row r="1440" customFormat="false" ht="15" hidden="false" customHeight="false" outlineLevel="0" collapsed="false">
      <c r="A1440" s="25" t="n">
        <v>12181899</v>
      </c>
      <c r="B1440" s="25" t="s">
        <v>3296</v>
      </c>
      <c r="C1440" s="25" t="s">
        <v>3297</v>
      </c>
      <c r="D1440" s="26" t="n">
        <v>19</v>
      </c>
      <c r="E1440" s="27" t="n">
        <v>7.72124639904717</v>
      </c>
      <c r="F1440" s="27" t="n">
        <v>7.72124639904717</v>
      </c>
      <c r="G1440" s="25" t="s">
        <v>3260</v>
      </c>
      <c r="H1440" s="25" t="s">
        <v>3261</v>
      </c>
      <c r="I1440" s="25" t="n">
        <f aca="false">IFERROR(IF(INDEX(Documents!$C$5:$C$657,MATCH(H1440,Documents!$A$5:$A$657,0))="","",INDEX(Documents!$C$5:$C$657,MATCH(H1440,Documents!$A$5:$A$657,0))),"")</f>
        <v>2012</v>
      </c>
      <c r="J1440" s="25" t="str">
        <f aca="false">IFERROR(IF(INDEX(Documents!$D$5:$D$657,MATCH(H1440,Documents!$A$5:$A$657,0))="","",INDEX(Documents!$D$5:$D$657,MATCH(H1440,Documents!$A$5:$A$657,0))),"")</f>
        <v>Bioorg Med Chem</v>
      </c>
      <c r="K1440" s="25" t="str">
        <f aca="false">IFERROR(IF(INDEX(Documents!$G$5:$G$657,MATCH(H1440,Documents!$A$5:$A$657,0))="","",INDEX(Documents!$G$5:$G$657,MATCH(H1440,Documents!$A$5:$A$657,0))),"")</f>
        <v>10.1016/j.bmc.2012.01.038</v>
      </c>
      <c r="L1440" s="25" t="s">
        <v>3262</v>
      </c>
    </row>
    <row r="1441" customFormat="false" ht="15" hidden="false" customHeight="false" outlineLevel="0" collapsed="false">
      <c r="A1441" s="25" t="n">
        <v>12181891</v>
      </c>
      <c r="B1441" s="25" t="s">
        <v>3298</v>
      </c>
      <c r="C1441" s="25" t="s">
        <v>3299</v>
      </c>
      <c r="D1441" s="26" t="n">
        <v>13</v>
      </c>
      <c r="E1441" s="27" t="n">
        <v>7.88605664769316</v>
      </c>
      <c r="F1441" s="27" t="n">
        <v>7.88605664769316</v>
      </c>
      <c r="G1441" s="25" t="s">
        <v>3260</v>
      </c>
      <c r="H1441" s="25" t="s">
        <v>3261</v>
      </c>
      <c r="I1441" s="25" t="n">
        <f aca="false">IFERROR(IF(INDEX(Documents!$C$5:$C$657,MATCH(H1441,Documents!$A$5:$A$657,0))="","",INDEX(Documents!$C$5:$C$657,MATCH(H1441,Documents!$A$5:$A$657,0))),"")</f>
        <v>2012</v>
      </c>
      <c r="J1441" s="25" t="str">
        <f aca="false">IFERROR(IF(INDEX(Documents!$D$5:$D$657,MATCH(H1441,Documents!$A$5:$A$657,0))="","",INDEX(Documents!$D$5:$D$657,MATCH(H1441,Documents!$A$5:$A$657,0))),"")</f>
        <v>Bioorg Med Chem</v>
      </c>
      <c r="K1441" s="25" t="str">
        <f aca="false">IFERROR(IF(INDEX(Documents!$G$5:$G$657,MATCH(H1441,Documents!$A$5:$A$657,0))="","",INDEX(Documents!$G$5:$G$657,MATCH(H1441,Documents!$A$5:$A$657,0))),"")</f>
        <v>10.1016/j.bmc.2012.01.038</v>
      </c>
      <c r="L1441" s="25" t="s">
        <v>3262</v>
      </c>
    </row>
    <row r="1442" customFormat="false" ht="15" hidden="false" customHeight="false" outlineLevel="0" collapsed="false">
      <c r="A1442" s="25" t="n">
        <v>2650258</v>
      </c>
      <c r="B1442" s="25" t="s">
        <v>3300</v>
      </c>
      <c r="C1442" s="25" t="s">
        <v>3301</v>
      </c>
      <c r="D1442" s="26" t="n">
        <v>2.897</v>
      </c>
      <c r="E1442" s="27" t="n">
        <v>8.53805150479624</v>
      </c>
      <c r="F1442" s="27" t="n">
        <v>8.53805150479624</v>
      </c>
      <c r="G1442" s="25" t="s">
        <v>3265</v>
      </c>
      <c r="H1442" s="25" t="s">
        <v>3266</v>
      </c>
      <c r="I1442" s="25" t="n">
        <f aca="false">IFERROR(IF(INDEX(Documents!$C$5:$C$657,MATCH(H1442,Documents!$A$5:$A$657,0))="","",INDEX(Documents!$C$5:$C$657,MATCH(H1442,Documents!$A$5:$A$657,0))),"")</f>
        <v>2009</v>
      </c>
      <c r="J1442" s="25" t="str">
        <f aca="false">IFERROR(IF(INDEX(Documents!$D$5:$D$657,MATCH(H1442,Documents!$A$5:$A$657,0))="","",INDEX(Documents!$D$5:$D$657,MATCH(H1442,Documents!$A$5:$A$657,0))),"")</f>
        <v>Eur J Med Chem</v>
      </c>
      <c r="K1442" s="25" t="str">
        <f aca="false">IFERROR(IF(INDEX(Documents!$G$5:$G$657,MATCH(H1442,Documents!$A$5:$A$657,0))="","",INDEX(Documents!$G$5:$G$657,MATCH(H1442,Documents!$A$5:$A$657,0))),"")</f>
        <v>10.1016/j.ejmech.2009.01.026</v>
      </c>
      <c r="L1442" s="25" t="s">
        <v>3267</v>
      </c>
    </row>
    <row r="1443" customFormat="false" ht="15" hidden="false" customHeight="false" outlineLevel="0" collapsed="false">
      <c r="A1443" s="25" t="n">
        <v>12723319</v>
      </c>
      <c r="B1443" s="25" t="s">
        <v>3302</v>
      </c>
      <c r="C1443" s="25" t="s">
        <v>3303</v>
      </c>
      <c r="D1443" s="26" t="n">
        <v>214</v>
      </c>
      <c r="E1443" s="27" t="n">
        <v>6.66958622665081</v>
      </c>
      <c r="F1443" s="27" t="n">
        <v>6.66958622665081</v>
      </c>
      <c r="G1443" s="25" t="s">
        <v>2796</v>
      </c>
      <c r="H1443" s="25" t="s">
        <v>2797</v>
      </c>
      <c r="I1443" s="25" t="n">
        <f aca="false">IFERROR(IF(INDEX(Documents!$C$5:$C$657,MATCH(H1443,Documents!$A$5:$A$657,0))="","",INDEX(Documents!$C$5:$C$657,MATCH(H1443,Documents!$A$5:$A$657,0))),"")</f>
        <v>2013</v>
      </c>
      <c r="J1443" s="25" t="str">
        <f aca="false">IFERROR(IF(INDEX(Documents!$D$5:$D$657,MATCH(H1443,Documents!$A$5:$A$657,0))="","",INDEX(Documents!$D$5:$D$657,MATCH(H1443,Documents!$A$5:$A$657,0))),"")</f>
        <v>Bioorg Med Chem</v>
      </c>
      <c r="K1443" s="25" t="str">
        <f aca="false">IFERROR(IF(INDEX(Documents!$G$5:$G$657,MATCH(H1443,Documents!$A$5:$A$657,0))="","",INDEX(Documents!$G$5:$G$657,MATCH(H1443,Documents!$A$5:$A$657,0))),"")</f>
        <v>10.1016/j.bmc.2013.01.006</v>
      </c>
      <c r="L1443" s="25" t="s">
        <v>2798</v>
      </c>
    </row>
    <row r="1444" customFormat="false" ht="15" hidden="false" customHeight="false" outlineLevel="0" collapsed="false">
      <c r="A1444" s="25" t="n">
        <v>13498201</v>
      </c>
      <c r="B1444" s="25" t="s">
        <v>3304</v>
      </c>
      <c r="C1444" s="25" t="s">
        <v>3305</v>
      </c>
      <c r="D1444" s="26" t="n">
        <v>7.5</v>
      </c>
      <c r="E1444" s="27" t="n">
        <v>8.1249387366083</v>
      </c>
      <c r="F1444" s="27" t="n">
        <v>8.1249387366083</v>
      </c>
      <c r="G1444" s="25" t="s">
        <v>757</v>
      </c>
      <c r="H1444" s="25" t="s">
        <v>758</v>
      </c>
      <c r="I1444" s="25" t="n">
        <f aca="false">IFERROR(IF(INDEX(Documents!$C$5:$C$657,MATCH(H1444,Documents!$A$5:$A$657,0))="","",INDEX(Documents!$C$5:$C$657,MATCH(H1444,Documents!$A$5:$A$657,0))),"")</f>
        <v>2013</v>
      </c>
      <c r="J1444" s="25" t="str">
        <f aca="false">IFERROR(IF(INDEX(Documents!$D$5:$D$657,MATCH(H1444,Documents!$A$5:$A$657,0))="","",INDEX(Documents!$D$5:$D$657,MATCH(H1444,Documents!$A$5:$A$657,0))),"")</f>
        <v>Eur J Med Chem</v>
      </c>
      <c r="K1444" s="25" t="str">
        <f aca="false">IFERROR(IF(INDEX(Documents!$G$5:$G$657,MATCH(H1444,Documents!$A$5:$A$657,0))="","",INDEX(Documents!$G$5:$G$657,MATCH(H1444,Documents!$A$5:$A$657,0))),"")</f>
        <v>10.1016/j.ejmech.2013.09.038</v>
      </c>
      <c r="L1444" s="25" t="s">
        <v>759</v>
      </c>
    </row>
    <row r="1445" customFormat="false" ht="15" hidden="false" customHeight="false" outlineLevel="0" collapsed="false">
      <c r="A1445" s="25" t="n">
        <v>13499133</v>
      </c>
      <c r="B1445" s="25" t="s">
        <v>3306</v>
      </c>
      <c r="C1445" s="25" t="s">
        <v>3307</v>
      </c>
      <c r="D1445" s="26" t="n">
        <v>1093</v>
      </c>
      <c r="E1445" s="27" t="n">
        <v>5.9613798380503</v>
      </c>
      <c r="F1445" s="27" t="n">
        <v>5.9613798380503</v>
      </c>
      <c r="G1445" s="25" t="s">
        <v>757</v>
      </c>
      <c r="H1445" s="25" t="s">
        <v>758</v>
      </c>
      <c r="I1445" s="25" t="n">
        <f aca="false">IFERROR(IF(INDEX(Documents!$C$5:$C$657,MATCH(H1445,Documents!$A$5:$A$657,0))="","",INDEX(Documents!$C$5:$C$657,MATCH(H1445,Documents!$A$5:$A$657,0))),"")</f>
        <v>2013</v>
      </c>
      <c r="J1445" s="25" t="str">
        <f aca="false">IFERROR(IF(INDEX(Documents!$D$5:$D$657,MATCH(H1445,Documents!$A$5:$A$657,0))="","",INDEX(Documents!$D$5:$D$657,MATCH(H1445,Documents!$A$5:$A$657,0))),"")</f>
        <v>Eur J Med Chem</v>
      </c>
      <c r="K1445" s="25" t="str">
        <f aca="false">IFERROR(IF(INDEX(Documents!$G$5:$G$657,MATCH(H1445,Documents!$A$5:$A$657,0))="","",INDEX(Documents!$G$5:$G$657,MATCH(H1445,Documents!$A$5:$A$657,0))),"")</f>
        <v>10.1016/j.ejmech.2013.09.038</v>
      </c>
      <c r="L1445" s="25" t="s">
        <v>759</v>
      </c>
    </row>
    <row r="1446" customFormat="false" ht="15" hidden="false" customHeight="false" outlineLevel="0" collapsed="false">
      <c r="A1446" s="25" t="n">
        <v>13499131</v>
      </c>
      <c r="B1446" s="25" t="s">
        <v>3308</v>
      </c>
      <c r="C1446" s="25" t="s">
        <v>3309</v>
      </c>
      <c r="D1446" s="26" t="n">
        <v>398</v>
      </c>
      <c r="E1446" s="27" t="n">
        <v>6.40011692792631</v>
      </c>
      <c r="F1446" s="27" t="n">
        <v>6.40011692792631</v>
      </c>
      <c r="G1446" s="25" t="s">
        <v>757</v>
      </c>
      <c r="H1446" s="25" t="s">
        <v>758</v>
      </c>
      <c r="I1446" s="25" t="n">
        <f aca="false">IFERROR(IF(INDEX(Documents!$C$5:$C$657,MATCH(H1446,Documents!$A$5:$A$657,0))="","",INDEX(Documents!$C$5:$C$657,MATCH(H1446,Documents!$A$5:$A$657,0))),"")</f>
        <v>2013</v>
      </c>
      <c r="J1446" s="25" t="str">
        <f aca="false">IFERROR(IF(INDEX(Documents!$D$5:$D$657,MATCH(H1446,Documents!$A$5:$A$657,0))="","",INDEX(Documents!$D$5:$D$657,MATCH(H1446,Documents!$A$5:$A$657,0))),"")</f>
        <v>Eur J Med Chem</v>
      </c>
      <c r="K1446" s="25" t="str">
        <f aca="false">IFERROR(IF(INDEX(Documents!$G$5:$G$657,MATCH(H1446,Documents!$A$5:$A$657,0))="","",INDEX(Documents!$G$5:$G$657,MATCH(H1446,Documents!$A$5:$A$657,0))),"")</f>
        <v>10.1016/j.ejmech.2013.09.038</v>
      </c>
      <c r="L1446" s="25" t="s">
        <v>759</v>
      </c>
    </row>
    <row r="1447" customFormat="false" ht="15" hidden="false" customHeight="false" outlineLevel="0" collapsed="false">
      <c r="A1447" s="25" t="n">
        <v>13499132</v>
      </c>
      <c r="B1447" s="25" t="s">
        <v>3310</v>
      </c>
      <c r="C1447" s="25" t="s">
        <v>3311</v>
      </c>
      <c r="D1447" s="26" t="n">
        <v>502</v>
      </c>
      <c r="E1447" s="27" t="n">
        <v>6.29929628285498</v>
      </c>
      <c r="F1447" s="27" t="n">
        <v>6.29929628285498</v>
      </c>
      <c r="G1447" s="25" t="s">
        <v>757</v>
      </c>
      <c r="H1447" s="25" t="s">
        <v>758</v>
      </c>
      <c r="I1447" s="25" t="n">
        <f aca="false">IFERROR(IF(INDEX(Documents!$C$5:$C$657,MATCH(H1447,Documents!$A$5:$A$657,0))="","",INDEX(Documents!$C$5:$C$657,MATCH(H1447,Documents!$A$5:$A$657,0))),"")</f>
        <v>2013</v>
      </c>
      <c r="J1447" s="25" t="str">
        <f aca="false">IFERROR(IF(INDEX(Documents!$D$5:$D$657,MATCH(H1447,Documents!$A$5:$A$657,0))="","",INDEX(Documents!$D$5:$D$657,MATCH(H1447,Documents!$A$5:$A$657,0))),"")</f>
        <v>Eur J Med Chem</v>
      </c>
      <c r="K1447" s="25" t="str">
        <f aca="false">IFERROR(IF(INDEX(Documents!$G$5:$G$657,MATCH(H1447,Documents!$A$5:$A$657,0))="","",INDEX(Documents!$G$5:$G$657,MATCH(H1447,Documents!$A$5:$A$657,0))),"")</f>
        <v>10.1016/j.ejmech.2013.09.038</v>
      </c>
      <c r="L1447" s="25" t="s">
        <v>759</v>
      </c>
    </row>
    <row r="1448" customFormat="false" ht="15" hidden="false" customHeight="false" outlineLevel="0" collapsed="false">
      <c r="A1448" s="25" t="n">
        <v>13499145</v>
      </c>
      <c r="B1448" s="25" t="s">
        <v>3312</v>
      </c>
      <c r="C1448" s="25" t="s">
        <v>3313</v>
      </c>
      <c r="D1448" s="26" t="n">
        <v>51.8</v>
      </c>
      <c r="E1448" s="27" t="n">
        <v>7.28567024025477</v>
      </c>
      <c r="F1448" s="27" t="n">
        <v>7.28567024025477</v>
      </c>
      <c r="G1448" s="25" t="s">
        <v>757</v>
      </c>
      <c r="H1448" s="25" t="s">
        <v>758</v>
      </c>
      <c r="I1448" s="25" t="n">
        <f aca="false">IFERROR(IF(INDEX(Documents!$C$5:$C$657,MATCH(H1448,Documents!$A$5:$A$657,0))="","",INDEX(Documents!$C$5:$C$657,MATCH(H1448,Documents!$A$5:$A$657,0))),"")</f>
        <v>2013</v>
      </c>
      <c r="J1448" s="25" t="str">
        <f aca="false">IFERROR(IF(INDEX(Documents!$D$5:$D$657,MATCH(H1448,Documents!$A$5:$A$657,0))="","",INDEX(Documents!$D$5:$D$657,MATCH(H1448,Documents!$A$5:$A$657,0))),"")</f>
        <v>Eur J Med Chem</v>
      </c>
      <c r="K1448" s="25" t="str">
        <f aca="false">IFERROR(IF(INDEX(Documents!$G$5:$G$657,MATCH(H1448,Documents!$A$5:$A$657,0))="","",INDEX(Documents!$G$5:$G$657,MATCH(H1448,Documents!$A$5:$A$657,0))),"")</f>
        <v>10.1016/j.ejmech.2013.09.038</v>
      </c>
      <c r="L1448" s="25" t="s">
        <v>759</v>
      </c>
    </row>
    <row r="1449" customFormat="false" ht="15" hidden="false" customHeight="false" outlineLevel="0" collapsed="false">
      <c r="A1449" s="25" t="n">
        <v>13499146</v>
      </c>
      <c r="B1449" s="25" t="s">
        <v>3314</v>
      </c>
      <c r="C1449" s="25" t="s">
        <v>3315</v>
      </c>
      <c r="D1449" s="26" t="n">
        <v>73</v>
      </c>
      <c r="E1449" s="27" t="n">
        <v>7.13667713987954</v>
      </c>
      <c r="F1449" s="27" t="n">
        <v>7.13667713987954</v>
      </c>
      <c r="G1449" s="25" t="s">
        <v>757</v>
      </c>
      <c r="H1449" s="25" t="s">
        <v>758</v>
      </c>
      <c r="I1449" s="25" t="n">
        <f aca="false">IFERROR(IF(INDEX(Documents!$C$5:$C$657,MATCH(H1449,Documents!$A$5:$A$657,0))="","",INDEX(Documents!$C$5:$C$657,MATCH(H1449,Documents!$A$5:$A$657,0))),"")</f>
        <v>2013</v>
      </c>
      <c r="J1449" s="25" t="str">
        <f aca="false">IFERROR(IF(INDEX(Documents!$D$5:$D$657,MATCH(H1449,Documents!$A$5:$A$657,0))="","",INDEX(Documents!$D$5:$D$657,MATCH(H1449,Documents!$A$5:$A$657,0))),"")</f>
        <v>Eur J Med Chem</v>
      </c>
      <c r="K1449" s="25" t="str">
        <f aca="false">IFERROR(IF(INDEX(Documents!$G$5:$G$657,MATCH(H1449,Documents!$A$5:$A$657,0))="","",INDEX(Documents!$G$5:$G$657,MATCH(H1449,Documents!$A$5:$A$657,0))),"")</f>
        <v>10.1016/j.ejmech.2013.09.038</v>
      </c>
      <c r="L1449" s="25" t="s">
        <v>759</v>
      </c>
    </row>
    <row r="1450" customFormat="false" ht="15" hidden="false" customHeight="false" outlineLevel="0" collapsed="false">
      <c r="A1450" s="25" t="n">
        <v>13499123</v>
      </c>
      <c r="B1450" s="25" t="s">
        <v>3316</v>
      </c>
      <c r="C1450" s="25" t="s">
        <v>3317</v>
      </c>
      <c r="D1450" s="26" t="n">
        <v>35.3</v>
      </c>
      <c r="E1450" s="27" t="n">
        <v>7.45222529461218</v>
      </c>
      <c r="F1450" s="27" t="n">
        <v>7.45222529461218</v>
      </c>
      <c r="G1450" s="25" t="s">
        <v>757</v>
      </c>
      <c r="H1450" s="25" t="s">
        <v>758</v>
      </c>
      <c r="I1450" s="25" t="n">
        <f aca="false">IFERROR(IF(INDEX(Documents!$C$5:$C$657,MATCH(H1450,Documents!$A$5:$A$657,0))="","",INDEX(Documents!$C$5:$C$657,MATCH(H1450,Documents!$A$5:$A$657,0))),"")</f>
        <v>2013</v>
      </c>
      <c r="J1450" s="25" t="str">
        <f aca="false">IFERROR(IF(INDEX(Documents!$D$5:$D$657,MATCH(H1450,Documents!$A$5:$A$657,0))="","",INDEX(Documents!$D$5:$D$657,MATCH(H1450,Documents!$A$5:$A$657,0))),"")</f>
        <v>Eur J Med Chem</v>
      </c>
      <c r="K1450" s="25" t="str">
        <f aca="false">IFERROR(IF(INDEX(Documents!$G$5:$G$657,MATCH(H1450,Documents!$A$5:$A$657,0))="","",INDEX(Documents!$G$5:$G$657,MATCH(H1450,Documents!$A$5:$A$657,0))),"")</f>
        <v>10.1016/j.ejmech.2013.09.038</v>
      </c>
      <c r="L1450" s="25" t="s">
        <v>759</v>
      </c>
    </row>
    <row r="1451" customFormat="false" ht="15" hidden="false" customHeight="false" outlineLevel="0" collapsed="false">
      <c r="A1451" s="25" t="n">
        <v>27457973</v>
      </c>
      <c r="B1451" s="25" t="s">
        <v>3318</v>
      </c>
      <c r="C1451" s="25" t="s">
        <v>3319</v>
      </c>
      <c r="D1451" s="26" t="n">
        <v>2957</v>
      </c>
      <c r="E1451" s="27" t="n">
        <v>5.52914867547388</v>
      </c>
      <c r="F1451" s="27" t="n">
        <v>5.52914867547388</v>
      </c>
      <c r="G1451" s="25" t="s">
        <v>3320</v>
      </c>
      <c r="H1451" s="25" t="s">
        <v>3321</v>
      </c>
      <c r="I1451" s="25" t="n">
        <f aca="false">IFERROR(IF(INDEX(Documents!$C$5:$C$657,MATCH(H1451,Documents!$A$5:$A$657,0))="","",INDEX(Documents!$C$5:$C$657,MATCH(H1451,Documents!$A$5:$A$657,0))),"")</f>
        <v>2019</v>
      </c>
      <c r="J1451" s="25" t="str">
        <f aca="false">IFERROR(IF(INDEX(Documents!$D$5:$D$657,MATCH(H1451,Documents!$A$5:$A$657,0))="","",INDEX(Documents!$D$5:$D$657,MATCH(H1451,Documents!$A$5:$A$657,0))),"")</f>
        <v/>
      </c>
      <c r="K1451" s="25" t="str">
        <f aca="false">IFERROR(IF(INDEX(Documents!$G$5:$G$657,MATCH(H1451,Documents!$A$5:$A$657,0))="","",INDEX(Documents!$G$5:$G$657,MATCH(H1451,Documents!$A$5:$A$657,0))),"")</f>
        <v/>
      </c>
      <c r="L1451" s="25" t="s">
        <v>3322</v>
      </c>
    </row>
    <row r="1452" customFormat="false" ht="15" hidden="false" customHeight="false" outlineLevel="0" collapsed="false">
      <c r="A1452" s="25" t="n">
        <v>13499141</v>
      </c>
      <c r="B1452" s="25" t="s">
        <v>3323</v>
      </c>
      <c r="C1452" s="25" t="s">
        <v>3324</v>
      </c>
      <c r="D1452" s="26" t="n">
        <v>35.4</v>
      </c>
      <c r="E1452" s="27" t="n">
        <v>7.45099673797421</v>
      </c>
      <c r="F1452" s="27" t="n">
        <v>7.45099673797421</v>
      </c>
      <c r="G1452" s="25" t="s">
        <v>757</v>
      </c>
      <c r="H1452" s="25" t="s">
        <v>758</v>
      </c>
      <c r="I1452" s="25" t="n">
        <f aca="false">IFERROR(IF(INDEX(Documents!$C$5:$C$657,MATCH(H1452,Documents!$A$5:$A$657,0))="","",INDEX(Documents!$C$5:$C$657,MATCH(H1452,Documents!$A$5:$A$657,0))),"")</f>
        <v>2013</v>
      </c>
      <c r="J1452" s="25" t="str">
        <f aca="false">IFERROR(IF(INDEX(Documents!$D$5:$D$657,MATCH(H1452,Documents!$A$5:$A$657,0))="","",INDEX(Documents!$D$5:$D$657,MATCH(H1452,Documents!$A$5:$A$657,0))),"")</f>
        <v>Eur J Med Chem</v>
      </c>
      <c r="K1452" s="25" t="str">
        <f aca="false">IFERROR(IF(INDEX(Documents!$G$5:$G$657,MATCH(H1452,Documents!$A$5:$A$657,0))="","",INDEX(Documents!$G$5:$G$657,MATCH(H1452,Documents!$A$5:$A$657,0))),"")</f>
        <v>10.1016/j.ejmech.2013.09.038</v>
      </c>
      <c r="L1452" s="25" t="s">
        <v>759</v>
      </c>
    </row>
    <row r="1453" customFormat="false" ht="15" hidden="false" customHeight="false" outlineLevel="0" collapsed="false">
      <c r="A1453" s="25" t="n">
        <v>27457991</v>
      </c>
      <c r="B1453" s="25" t="s">
        <v>3325</v>
      </c>
      <c r="C1453" s="25" t="s">
        <v>3326</v>
      </c>
      <c r="D1453" s="26" t="n">
        <v>1968</v>
      </c>
      <c r="E1453" s="27" t="n">
        <v>5.70597490590468</v>
      </c>
      <c r="F1453" s="27" t="n">
        <v>5.70597490590468</v>
      </c>
      <c r="G1453" s="25" t="s">
        <v>3320</v>
      </c>
      <c r="H1453" s="25" t="s">
        <v>3321</v>
      </c>
      <c r="I1453" s="25" t="n">
        <f aca="false">IFERROR(IF(INDEX(Documents!$C$5:$C$657,MATCH(H1453,Documents!$A$5:$A$657,0))="","",INDEX(Documents!$C$5:$C$657,MATCH(H1453,Documents!$A$5:$A$657,0))),"")</f>
        <v>2019</v>
      </c>
      <c r="J1453" s="25" t="str">
        <f aca="false">IFERROR(IF(INDEX(Documents!$D$5:$D$657,MATCH(H1453,Documents!$A$5:$A$657,0))="","",INDEX(Documents!$D$5:$D$657,MATCH(H1453,Documents!$A$5:$A$657,0))),"")</f>
        <v/>
      </c>
      <c r="K1453" s="25" t="str">
        <f aca="false">IFERROR(IF(INDEX(Documents!$G$5:$G$657,MATCH(H1453,Documents!$A$5:$A$657,0))="","",INDEX(Documents!$G$5:$G$657,MATCH(H1453,Documents!$A$5:$A$657,0))),"")</f>
        <v/>
      </c>
      <c r="L1453" s="25" t="s">
        <v>3322</v>
      </c>
    </row>
    <row r="1454" customFormat="false" ht="15" hidden="false" customHeight="false" outlineLevel="0" collapsed="false">
      <c r="A1454" s="25" t="n">
        <v>13499137</v>
      </c>
      <c r="B1454" s="25" t="s">
        <v>3327</v>
      </c>
      <c r="C1454" s="25" t="s">
        <v>3328</v>
      </c>
      <c r="D1454" s="26" t="n">
        <v>2833</v>
      </c>
      <c r="E1454" s="27" t="n">
        <v>5.54775342547956</v>
      </c>
      <c r="F1454" s="27" t="n">
        <v>5.54775342547956</v>
      </c>
      <c r="G1454" s="25" t="s">
        <v>757</v>
      </c>
      <c r="H1454" s="25" t="s">
        <v>758</v>
      </c>
      <c r="I1454" s="25" t="n">
        <f aca="false">IFERROR(IF(INDEX(Documents!$C$5:$C$657,MATCH(H1454,Documents!$A$5:$A$657,0))="","",INDEX(Documents!$C$5:$C$657,MATCH(H1454,Documents!$A$5:$A$657,0))),"")</f>
        <v>2013</v>
      </c>
      <c r="J1454" s="25" t="str">
        <f aca="false">IFERROR(IF(INDEX(Documents!$D$5:$D$657,MATCH(H1454,Documents!$A$5:$A$657,0))="","",INDEX(Documents!$D$5:$D$657,MATCH(H1454,Documents!$A$5:$A$657,0))),"")</f>
        <v>Eur J Med Chem</v>
      </c>
      <c r="K1454" s="25" t="str">
        <f aca="false">IFERROR(IF(INDEX(Documents!$G$5:$G$657,MATCH(H1454,Documents!$A$5:$A$657,0))="","",INDEX(Documents!$G$5:$G$657,MATCH(H1454,Documents!$A$5:$A$657,0))),"")</f>
        <v>10.1016/j.ejmech.2013.09.038</v>
      </c>
      <c r="L1454" s="25" t="s">
        <v>759</v>
      </c>
    </row>
    <row r="1455" customFormat="false" ht="15" hidden="false" customHeight="false" outlineLevel="0" collapsed="false">
      <c r="A1455" s="25" t="n">
        <v>13499142</v>
      </c>
      <c r="B1455" s="25" t="s">
        <v>3329</v>
      </c>
      <c r="C1455" s="25" t="s">
        <v>3330</v>
      </c>
      <c r="D1455" s="26" t="n">
        <v>84.5</v>
      </c>
      <c r="E1455" s="27" t="n">
        <v>7.07314329105031</v>
      </c>
      <c r="F1455" s="27" t="n">
        <v>7.07314329105031</v>
      </c>
      <c r="G1455" s="25" t="s">
        <v>757</v>
      </c>
      <c r="H1455" s="25" t="s">
        <v>758</v>
      </c>
      <c r="I1455" s="25" t="n">
        <f aca="false">IFERROR(IF(INDEX(Documents!$C$5:$C$657,MATCH(H1455,Documents!$A$5:$A$657,0))="","",INDEX(Documents!$C$5:$C$657,MATCH(H1455,Documents!$A$5:$A$657,0))),"")</f>
        <v>2013</v>
      </c>
      <c r="J1455" s="25" t="str">
        <f aca="false">IFERROR(IF(INDEX(Documents!$D$5:$D$657,MATCH(H1455,Documents!$A$5:$A$657,0))="","",INDEX(Documents!$D$5:$D$657,MATCH(H1455,Documents!$A$5:$A$657,0))),"")</f>
        <v>Eur J Med Chem</v>
      </c>
      <c r="K1455" s="25" t="str">
        <f aca="false">IFERROR(IF(INDEX(Documents!$G$5:$G$657,MATCH(H1455,Documents!$A$5:$A$657,0))="","",INDEX(Documents!$G$5:$G$657,MATCH(H1455,Documents!$A$5:$A$657,0))),"")</f>
        <v>10.1016/j.ejmech.2013.09.038</v>
      </c>
      <c r="L1455" s="25" t="s">
        <v>759</v>
      </c>
    </row>
    <row r="1456" customFormat="false" ht="15" hidden="false" customHeight="false" outlineLevel="0" collapsed="false">
      <c r="A1456" s="25" t="n">
        <v>13499144</v>
      </c>
      <c r="B1456" s="25" t="s">
        <v>3331</v>
      </c>
      <c r="C1456" s="25" t="s">
        <v>3332</v>
      </c>
      <c r="D1456" s="26" t="n">
        <v>225</v>
      </c>
      <c r="E1456" s="27" t="n">
        <v>6.64781748188864</v>
      </c>
      <c r="F1456" s="27" t="n">
        <v>6.64781748188864</v>
      </c>
      <c r="G1456" s="25" t="s">
        <v>757</v>
      </c>
      <c r="H1456" s="25" t="s">
        <v>758</v>
      </c>
      <c r="I1456" s="25" t="n">
        <f aca="false">IFERROR(IF(INDEX(Documents!$C$5:$C$657,MATCH(H1456,Documents!$A$5:$A$657,0))="","",INDEX(Documents!$C$5:$C$657,MATCH(H1456,Documents!$A$5:$A$657,0))),"")</f>
        <v>2013</v>
      </c>
      <c r="J1456" s="25" t="str">
        <f aca="false">IFERROR(IF(INDEX(Documents!$D$5:$D$657,MATCH(H1456,Documents!$A$5:$A$657,0))="","",INDEX(Documents!$D$5:$D$657,MATCH(H1456,Documents!$A$5:$A$657,0))),"")</f>
        <v>Eur J Med Chem</v>
      </c>
      <c r="K1456" s="25" t="str">
        <f aca="false">IFERROR(IF(INDEX(Documents!$G$5:$G$657,MATCH(H1456,Documents!$A$5:$A$657,0))="","",INDEX(Documents!$G$5:$G$657,MATCH(H1456,Documents!$A$5:$A$657,0))),"")</f>
        <v>10.1016/j.ejmech.2013.09.038</v>
      </c>
      <c r="L1456" s="25" t="s">
        <v>759</v>
      </c>
    </row>
    <row r="1457" customFormat="false" ht="15" hidden="false" customHeight="false" outlineLevel="0" collapsed="false">
      <c r="A1457" s="25" t="n">
        <v>13499140</v>
      </c>
      <c r="B1457" s="25" t="s">
        <v>3333</v>
      </c>
      <c r="C1457" s="25" t="s">
        <v>3334</v>
      </c>
      <c r="D1457" s="26" t="n">
        <v>288.5</v>
      </c>
      <c r="E1457" s="27" t="n">
        <v>6.53985418250825</v>
      </c>
      <c r="F1457" s="27" t="n">
        <v>6.53985418250825</v>
      </c>
      <c r="G1457" s="25" t="s">
        <v>757</v>
      </c>
      <c r="H1457" s="25" t="s">
        <v>758</v>
      </c>
      <c r="I1457" s="25" t="n">
        <f aca="false">IFERROR(IF(INDEX(Documents!$C$5:$C$657,MATCH(H1457,Documents!$A$5:$A$657,0))="","",INDEX(Documents!$C$5:$C$657,MATCH(H1457,Documents!$A$5:$A$657,0))),"")</f>
        <v>2013</v>
      </c>
      <c r="J1457" s="25" t="str">
        <f aca="false">IFERROR(IF(INDEX(Documents!$D$5:$D$657,MATCH(H1457,Documents!$A$5:$A$657,0))="","",INDEX(Documents!$D$5:$D$657,MATCH(H1457,Documents!$A$5:$A$657,0))),"")</f>
        <v>Eur J Med Chem</v>
      </c>
      <c r="K1457" s="25" t="str">
        <f aca="false">IFERROR(IF(INDEX(Documents!$G$5:$G$657,MATCH(H1457,Documents!$A$5:$A$657,0))="","",INDEX(Documents!$G$5:$G$657,MATCH(H1457,Documents!$A$5:$A$657,0))),"")</f>
        <v>10.1016/j.ejmech.2013.09.038</v>
      </c>
      <c r="L1457" s="25" t="s">
        <v>759</v>
      </c>
    </row>
    <row r="1458" customFormat="false" ht="15" hidden="false" customHeight="false" outlineLevel="0" collapsed="false">
      <c r="A1458" s="25" t="n">
        <v>13499121</v>
      </c>
      <c r="B1458" s="25" t="s">
        <v>3335</v>
      </c>
      <c r="C1458" s="25" t="s">
        <v>3336</v>
      </c>
      <c r="D1458" s="26" t="n">
        <v>26.5</v>
      </c>
      <c r="E1458" s="27" t="n">
        <v>7.57675412606319</v>
      </c>
      <c r="F1458" s="27" t="n">
        <v>7.57675412606319</v>
      </c>
      <c r="G1458" s="25" t="s">
        <v>757</v>
      </c>
      <c r="H1458" s="25" t="s">
        <v>758</v>
      </c>
      <c r="I1458" s="25" t="n">
        <f aca="false">IFERROR(IF(INDEX(Documents!$C$5:$C$657,MATCH(H1458,Documents!$A$5:$A$657,0))="","",INDEX(Documents!$C$5:$C$657,MATCH(H1458,Documents!$A$5:$A$657,0))),"")</f>
        <v>2013</v>
      </c>
      <c r="J1458" s="25" t="str">
        <f aca="false">IFERROR(IF(INDEX(Documents!$D$5:$D$657,MATCH(H1458,Documents!$A$5:$A$657,0))="","",INDEX(Documents!$D$5:$D$657,MATCH(H1458,Documents!$A$5:$A$657,0))),"")</f>
        <v>Eur J Med Chem</v>
      </c>
      <c r="K1458" s="25" t="str">
        <f aca="false">IFERROR(IF(INDEX(Documents!$G$5:$G$657,MATCH(H1458,Documents!$A$5:$A$657,0))="","",INDEX(Documents!$G$5:$G$657,MATCH(H1458,Documents!$A$5:$A$657,0))),"")</f>
        <v>10.1016/j.ejmech.2013.09.038</v>
      </c>
      <c r="L1458" s="25" t="s">
        <v>759</v>
      </c>
    </row>
    <row r="1459" customFormat="false" ht="15" hidden="false" customHeight="false" outlineLevel="0" collapsed="false">
      <c r="A1459" s="25" t="n">
        <v>13499139</v>
      </c>
      <c r="B1459" s="25" t="s">
        <v>3337</v>
      </c>
      <c r="C1459" s="25" t="s">
        <v>3338</v>
      </c>
      <c r="D1459" s="26" t="n">
        <v>3594</v>
      </c>
      <c r="E1459" s="27" t="n">
        <v>5.44442192722705</v>
      </c>
      <c r="F1459" s="27" t="n">
        <v>5.44442192722705</v>
      </c>
      <c r="G1459" s="25" t="s">
        <v>757</v>
      </c>
      <c r="H1459" s="25" t="s">
        <v>758</v>
      </c>
      <c r="I1459" s="25" t="n">
        <f aca="false">IFERROR(IF(INDEX(Documents!$C$5:$C$657,MATCH(H1459,Documents!$A$5:$A$657,0))="","",INDEX(Documents!$C$5:$C$657,MATCH(H1459,Documents!$A$5:$A$657,0))),"")</f>
        <v>2013</v>
      </c>
      <c r="J1459" s="25" t="str">
        <f aca="false">IFERROR(IF(INDEX(Documents!$D$5:$D$657,MATCH(H1459,Documents!$A$5:$A$657,0))="","",INDEX(Documents!$D$5:$D$657,MATCH(H1459,Documents!$A$5:$A$657,0))),"")</f>
        <v>Eur J Med Chem</v>
      </c>
      <c r="K1459" s="25" t="str">
        <f aca="false">IFERROR(IF(INDEX(Documents!$G$5:$G$657,MATCH(H1459,Documents!$A$5:$A$657,0))="","",INDEX(Documents!$G$5:$G$657,MATCH(H1459,Documents!$A$5:$A$657,0))),"")</f>
        <v>10.1016/j.ejmech.2013.09.038</v>
      </c>
      <c r="L1459" s="25" t="s">
        <v>759</v>
      </c>
    </row>
    <row r="1460" customFormat="false" ht="15" hidden="false" customHeight="false" outlineLevel="0" collapsed="false">
      <c r="A1460" s="25" t="n">
        <v>13499143</v>
      </c>
      <c r="B1460" s="25" t="s">
        <v>3339</v>
      </c>
      <c r="C1460" s="25" t="s">
        <v>3340</v>
      </c>
      <c r="D1460" s="26" t="n">
        <v>1609</v>
      </c>
      <c r="E1460" s="27" t="n">
        <v>5.79344395590097</v>
      </c>
      <c r="F1460" s="27" t="n">
        <v>5.79344395590097</v>
      </c>
      <c r="G1460" s="25" t="s">
        <v>757</v>
      </c>
      <c r="H1460" s="25" t="s">
        <v>758</v>
      </c>
      <c r="I1460" s="25" t="n">
        <f aca="false">IFERROR(IF(INDEX(Documents!$C$5:$C$657,MATCH(H1460,Documents!$A$5:$A$657,0))="","",INDEX(Documents!$C$5:$C$657,MATCH(H1460,Documents!$A$5:$A$657,0))),"")</f>
        <v>2013</v>
      </c>
      <c r="J1460" s="25" t="str">
        <f aca="false">IFERROR(IF(INDEX(Documents!$D$5:$D$657,MATCH(H1460,Documents!$A$5:$A$657,0))="","",INDEX(Documents!$D$5:$D$657,MATCH(H1460,Documents!$A$5:$A$657,0))),"")</f>
        <v>Eur J Med Chem</v>
      </c>
      <c r="K1460" s="25" t="str">
        <f aca="false">IFERROR(IF(INDEX(Documents!$G$5:$G$657,MATCH(H1460,Documents!$A$5:$A$657,0))="","",INDEX(Documents!$G$5:$G$657,MATCH(H1460,Documents!$A$5:$A$657,0))),"")</f>
        <v>10.1016/j.ejmech.2013.09.038</v>
      </c>
      <c r="L1460" s="25" t="s">
        <v>759</v>
      </c>
    </row>
    <row r="1461" customFormat="false" ht="15" hidden="false" customHeight="false" outlineLevel="0" collapsed="false">
      <c r="A1461" s="25" t="n">
        <v>13499122</v>
      </c>
      <c r="B1461" s="25" t="s">
        <v>3341</v>
      </c>
      <c r="C1461" s="25" t="s">
        <v>3342</v>
      </c>
      <c r="D1461" s="26" t="n">
        <v>171.1</v>
      </c>
      <c r="E1461" s="27" t="n">
        <v>6.7667499904589</v>
      </c>
      <c r="F1461" s="27" t="n">
        <v>6.7667499904589</v>
      </c>
      <c r="G1461" s="25" t="s">
        <v>757</v>
      </c>
      <c r="H1461" s="25" t="s">
        <v>758</v>
      </c>
      <c r="I1461" s="25" t="n">
        <f aca="false">IFERROR(IF(INDEX(Documents!$C$5:$C$657,MATCH(H1461,Documents!$A$5:$A$657,0))="","",INDEX(Documents!$C$5:$C$657,MATCH(H1461,Documents!$A$5:$A$657,0))),"")</f>
        <v>2013</v>
      </c>
      <c r="J1461" s="25" t="str">
        <f aca="false">IFERROR(IF(INDEX(Documents!$D$5:$D$657,MATCH(H1461,Documents!$A$5:$A$657,0))="","",INDEX(Documents!$D$5:$D$657,MATCH(H1461,Documents!$A$5:$A$657,0))),"")</f>
        <v>Eur J Med Chem</v>
      </c>
      <c r="K1461" s="25" t="str">
        <f aca="false">IFERROR(IF(INDEX(Documents!$G$5:$G$657,MATCH(H1461,Documents!$A$5:$A$657,0))="","",INDEX(Documents!$G$5:$G$657,MATCH(H1461,Documents!$A$5:$A$657,0))),"")</f>
        <v>10.1016/j.ejmech.2013.09.038</v>
      </c>
      <c r="L1461" s="25" t="s">
        <v>759</v>
      </c>
    </row>
    <row r="1462" customFormat="false" ht="15" hidden="false" customHeight="false" outlineLevel="0" collapsed="false">
      <c r="A1462" s="25" t="n">
        <v>13499124</v>
      </c>
      <c r="B1462" s="25" t="s">
        <v>3343</v>
      </c>
      <c r="C1462" s="25" t="s">
        <v>3344</v>
      </c>
      <c r="D1462" s="26" t="n">
        <v>1367</v>
      </c>
      <c r="E1462" s="27" t="n">
        <v>5.86423148543218</v>
      </c>
      <c r="F1462" s="27" t="n">
        <v>5.86423148543218</v>
      </c>
      <c r="G1462" s="25" t="s">
        <v>757</v>
      </c>
      <c r="H1462" s="25" t="s">
        <v>758</v>
      </c>
      <c r="I1462" s="25" t="n">
        <f aca="false">IFERROR(IF(INDEX(Documents!$C$5:$C$657,MATCH(H1462,Documents!$A$5:$A$657,0))="","",INDEX(Documents!$C$5:$C$657,MATCH(H1462,Documents!$A$5:$A$657,0))),"")</f>
        <v>2013</v>
      </c>
      <c r="J1462" s="25" t="str">
        <f aca="false">IFERROR(IF(INDEX(Documents!$D$5:$D$657,MATCH(H1462,Documents!$A$5:$A$657,0))="","",INDEX(Documents!$D$5:$D$657,MATCH(H1462,Documents!$A$5:$A$657,0))),"")</f>
        <v>Eur J Med Chem</v>
      </c>
      <c r="K1462" s="25" t="str">
        <f aca="false">IFERROR(IF(INDEX(Documents!$G$5:$G$657,MATCH(H1462,Documents!$A$5:$A$657,0))="","",INDEX(Documents!$G$5:$G$657,MATCH(H1462,Documents!$A$5:$A$657,0))),"")</f>
        <v>10.1016/j.ejmech.2013.09.038</v>
      </c>
      <c r="L1462" s="25" t="s">
        <v>759</v>
      </c>
    </row>
    <row r="1463" customFormat="false" ht="15" hidden="false" customHeight="false" outlineLevel="0" collapsed="false">
      <c r="A1463" s="25" t="n">
        <v>13499135</v>
      </c>
      <c r="B1463" s="25" t="s">
        <v>3345</v>
      </c>
      <c r="C1463" s="25" t="s">
        <v>3346</v>
      </c>
      <c r="D1463" s="26" t="n">
        <v>1927</v>
      </c>
      <c r="E1463" s="27" t="n">
        <v>5.71511828534455</v>
      </c>
      <c r="F1463" s="27" t="n">
        <v>5.71511828534455</v>
      </c>
      <c r="G1463" s="25" t="s">
        <v>757</v>
      </c>
      <c r="H1463" s="25" t="s">
        <v>758</v>
      </c>
      <c r="I1463" s="25" t="n">
        <f aca="false">IFERROR(IF(INDEX(Documents!$C$5:$C$657,MATCH(H1463,Documents!$A$5:$A$657,0))="","",INDEX(Documents!$C$5:$C$657,MATCH(H1463,Documents!$A$5:$A$657,0))),"")</f>
        <v>2013</v>
      </c>
      <c r="J1463" s="25" t="str">
        <f aca="false">IFERROR(IF(INDEX(Documents!$D$5:$D$657,MATCH(H1463,Documents!$A$5:$A$657,0))="","",INDEX(Documents!$D$5:$D$657,MATCH(H1463,Documents!$A$5:$A$657,0))),"")</f>
        <v>Eur J Med Chem</v>
      </c>
      <c r="K1463" s="25" t="str">
        <f aca="false">IFERROR(IF(INDEX(Documents!$G$5:$G$657,MATCH(H1463,Documents!$A$5:$A$657,0))="","",INDEX(Documents!$G$5:$G$657,MATCH(H1463,Documents!$A$5:$A$657,0))),"")</f>
        <v>10.1016/j.ejmech.2013.09.038</v>
      </c>
      <c r="L1463" s="25" t="s">
        <v>759</v>
      </c>
    </row>
    <row r="1464" customFormat="false" ht="15" hidden="false" customHeight="false" outlineLevel="0" collapsed="false">
      <c r="A1464" s="25" t="n">
        <v>13499136</v>
      </c>
      <c r="B1464" s="25" t="s">
        <v>3347</v>
      </c>
      <c r="C1464" s="25" t="s">
        <v>3348</v>
      </c>
      <c r="D1464" s="26" t="n">
        <v>1392</v>
      </c>
      <c r="E1464" s="27" t="n">
        <v>5.85636076472546</v>
      </c>
      <c r="F1464" s="27" t="n">
        <v>5.85636076472546</v>
      </c>
      <c r="G1464" s="25" t="s">
        <v>757</v>
      </c>
      <c r="H1464" s="25" t="s">
        <v>758</v>
      </c>
      <c r="I1464" s="25" t="n">
        <f aca="false">IFERROR(IF(INDEX(Documents!$C$5:$C$657,MATCH(H1464,Documents!$A$5:$A$657,0))="","",INDEX(Documents!$C$5:$C$657,MATCH(H1464,Documents!$A$5:$A$657,0))),"")</f>
        <v>2013</v>
      </c>
      <c r="J1464" s="25" t="str">
        <f aca="false">IFERROR(IF(INDEX(Documents!$D$5:$D$657,MATCH(H1464,Documents!$A$5:$A$657,0))="","",INDEX(Documents!$D$5:$D$657,MATCH(H1464,Documents!$A$5:$A$657,0))),"")</f>
        <v>Eur J Med Chem</v>
      </c>
      <c r="K1464" s="25" t="str">
        <f aca="false">IFERROR(IF(INDEX(Documents!$G$5:$G$657,MATCH(H1464,Documents!$A$5:$A$657,0))="","",INDEX(Documents!$G$5:$G$657,MATCH(H1464,Documents!$A$5:$A$657,0))),"")</f>
        <v>10.1016/j.ejmech.2013.09.038</v>
      </c>
      <c r="L1464" s="25" t="s">
        <v>759</v>
      </c>
    </row>
    <row r="1465" customFormat="false" ht="15" hidden="false" customHeight="false" outlineLevel="0" collapsed="false">
      <c r="A1465" s="25" t="n">
        <v>13499134</v>
      </c>
      <c r="B1465" s="25" t="s">
        <v>3349</v>
      </c>
      <c r="C1465" s="25" t="s">
        <v>3350</v>
      </c>
      <c r="D1465" s="26" t="n">
        <v>101</v>
      </c>
      <c r="E1465" s="27" t="n">
        <v>6.99567862621736</v>
      </c>
      <c r="F1465" s="27" t="n">
        <v>6.99567862621736</v>
      </c>
      <c r="G1465" s="25" t="s">
        <v>757</v>
      </c>
      <c r="H1465" s="25" t="s">
        <v>758</v>
      </c>
      <c r="I1465" s="25" t="n">
        <f aca="false">IFERROR(IF(INDEX(Documents!$C$5:$C$657,MATCH(H1465,Documents!$A$5:$A$657,0))="","",INDEX(Documents!$C$5:$C$657,MATCH(H1465,Documents!$A$5:$A$657,0))),"")</f>
        <v>2013</v>
      </c>
      <c r="J1465" s="25" t="str">
        <f aca="false">IFERROR(IF(INDEX(Documents!$D$5:$D$657,MATCH(H1465,Documents!$A$5:$A$657,0))="","",INDEX(Documents!$D$5:$D$657,MATCH(H1465,Documents!$A$5:$A$657,0))),"")</f>
        <v>Eur J Med Chem</v>
      </c>
      <c r="K1465" s="25" t="str">
        <f aca="false">IFERROR(IF(INDEX(Documents!$G$5:$G$657,MATCH(H1465,Documents!$A$5:$A$657,0))="","",INDEX(Documents!$G$5:$G$657,MATCH(H1465,Documents!$A$5:$A$657,0))),"")</f>
        <v>10.1016/j.ejmech.2013.09.038</v>
      </c>
      <c r="L1465" s="25" t="s">
        <v>759</v>
      </c>
    </row>
    <row r="1466" customFormat="false" ht="15" hidden="false" customHeight="false" outlineLevel="0" collapsed="false">
      <c r="A1466" s="25" t="n">
        <v>13499128</v>
      </c>
      <c r="B1466" s="25" t="s">
        <v>3351</v>
      </c>
      <c r="C1466" s="25" t="s">
        <v>3352</v>
      </c>
      <c r="D1466" s="26" t="n">
        <v>49.6</v>
      </c>
      <c r="E1466" s="27" t="n">
        <v>7.3045183235098</v>
      </c>
      <c r="F1466" s="27" t="n">
        <v>7.3045183235098</v>
      </c>
      <c r="G1466" s="25" t="s">
        <v>757</v>
      </c>
      <c r="H1466" s="25" t="s">
        <v>758</v>
      </c>
      <c r="I1466" s="25" t="n">
        <f aca="false">IFERROR(IF(INDEX(Documents!$C$5:$C$657,MATCH(H1466,Documents!$A$5:$A$657,0))="","",INDEX(Documents!$C$5:$C$657,MATCH(H1466,Documents!$A$5:$A$657,0))),"")</f>
        <v>2013</v>
      </c>
      <c r="J1466" s="25" t="str">
        <f aca="false">IFERROR(IF(INDEX(Documents!$D$5:$D$657,MATCH(H1466,Documents!$A$5:$A$657,0))="","",INDEX(Documents!$D$5:$D$657,MATCH(H1466,Documents!$A$5:$A$657,0))),"")</f>
        <v>Eur J Med Chem</v>
      </c>
      <c r="K1466" s="25" t="str">
        <f aca="false">IFERROR(IF(INDEX(Documents!$G$5:$G$657,MATCH(H1466,Documents!$A$5:$A$657,0))="","",INDEX(Documents!$G$5:$G$657,MATCH(H1466,Documents!$A$5:$A$657,0))),"")</f>
        <v>10.1016/j.ejmech.2013.09.038</v>
      </c>
      <c r="L1466" s="25" t="s">
        <v>759</v>
      </c>
    </row>
    <row r="1467" customFormat="false" ht="15" hidden="false" customHeight="false" outlineLevel="0" collapsed="false">
      <c r="A1467" s="25" t="n">
        <v>13499127</v>
      </c>
      <c r="B1467" s="25" t="s">
        <v>3353</v>
      </c>
      <c r="C1467" s="25" t="s">
        <v>3354</v>
      </c>
      <c r="D1467" s="26" t="n">
        <v>370</v>
      </c>
      <c r="E1467" s="27" t="n">
        <v>6.43179827593301</v>
      </c>
      <c r="F1467" s="27" t="n">
        <v>6.43179827593301</v>
      </c>
      <c r="G1467" s="25" t="s">
        <v>757</v>
      </c>
      <c r="H1467" s="25" t="s">
        <v>758</v>
      </c>
      <c r="I1467" s="25" t="n">
        <f aca="false">IFERROR(IF(INDEX(Documents!$C$5:$C$657,MATCH(H1467,Documents!$A$5:$A$657,0))="","",INDEX(Documents!$C$5:$C$657,MATCH(H1467,Documents!$A$5:$A$657,0))),"")</f>
        <v>2013</v>
      </c>
      <c r="J1467" s="25" t="str">
        <f aca="false">IFERROR(IF(INDEX(Documents!$D$5:$D$657,MATCH(H1467,Documents!$A$5:$A$657,0))="","",INDEX(Documents!$D$5:$D$657,MATCH(H1467,Documents!$A$5:$A$657,0))),"")</f>
        <v>Eur J Med Chem</v>
      </c>
      <c r="K1467" s="25" t="str">
        <f aca="false">IFERROR(IF(INDEX(Documents!$G$5:$G$657,MATCH(H1467,Documents!$A$5:$A$657,0))="","",INDEX(Documents!$G$5:$G$657,MATCH(H1467,Documents!$A$5:$A$657,0))),"")</f>
        <v>10.1016/j.ejmech.2013.09.038</v>
      </c>
      <c r="L1467" s="25" t="s">
        <v>759</v>
      </c>
    </row>
    <row r="1468" customFormat="false" ht="15" hidden="false" customHeight="false" outlineLevel="0" collapsed="false">
      <c r="A1468" s="25" t="n">
        <v>13499126</v>
      </c>
      <c r="B1468" s="25" t="s">
        <v>3355</v>
      </c>
      <c r="C1468" s="25" t="s">
        <v>3356</v>
      </c>
      <c r="D1468" s="26" t="n">
        <v>740</v>
      </c>
      <c r="E1468" s="27" t="n">
        <v>6.13076828026902</v>
      </c>
      <c r="F1468" s="27" t="n">
        <v>6.13076828026902</v>
      </c>
      <c r="G1468" s="25" t="s">
        <v>757</v>
      </c>
      <c r="H1468" s="25" t="s">
        <v>758</v>
      </c>
      <c r="I1468" s="25" t="n">
        <f aca="false">IFERROR(IF(INDEX(Documents!$C$5:$C$657,MATCH(H1468,Documents!$A$5:$A$657,0))="","",INDEX(Documents!$C$5:$C$657,MATCH(H1468,Documents!$A$5:$A$657,0))),"")</f>
        <v>2013</v>
      </c>
      <c r="J1468" s="25" t="str">
        <f aca="false">IFERROR(IF(INDEX(Documents!$D$5:$D$657,MATCH(H1468,Documents!$A$5:$A$657,0))="","",INDEX(Documents!$D$5:$D$657,MATCH(H1468,Documents!$A$5:$A$657,0))),"")</f>
        <v>Eur J Med Chem</v>
      </c>
      <c r="K1468" s="25" t="str">
        <f aca="false">IFERROR(IF(INDEX(Documents!$G$5:$G$657,MATCH(H1468,Documents!$A$5:$A$657,0))="","",INDEX(Documents!$G$5:$G$657,MATCH(H1468,Documents!$A$5:$A$657,0))),"")</f>
        <v>10.1016/j.ejmech.2013.09.038</v>
      </c>
      <c r="L1468" s="25" t="s">
        <v>759</v>
      </c>
    </row>
    <row r="1469" customFormat="false" ht="15" hidden="false" customHeight="false" outlineLevel="0" collapsed="false">
      <c r="A1469" s="25" t="n">
        <v>18138851</v>
      </c>
      <c r="B1469" s="25" t="s">
        <v>3357</v>
      </c>
      <c r="C1469" s="25" t="s">
        <v>3358</v>
      </c>
      <c r="D1469" s="26" t="n">
        <v>1.2</v>
      </c>
      <c r="E1469" s="27" t="n">
        <v>8.92081875395238</v>
      </c>
      <c r="F1469" s="27" t="n">
        <v>8.92081875395238</v>
      </c>
      <c r="G1469" s="25" t="s">
        <v>3359</v>
      </c>
      <c r="H1469" s="25" t="s">
        <v>3360</v>
      </c>
      <c r="I1469" s="25" t="n">
        <f aca="false">IFERROR(IF(INDEX(Documents!$C$5:$C$657,MATCH(H1469,Documents!$A$5:$A$657,0))="","",INDEX(Documents!$C$5:$C$657,MATCH(H1469,Documents!$A$5:$A$657,0))),"")</f>
        <v>2017</v>
      </c>
      <c r="J1469" s="25" t="str">
        <f aca="false">IFERROR(IF(INDEX(Documents!$D$5:$D$657,MATCH(H1469,Documents!$A$5:$A$657,0))="","",INDEX(Documents!$D$5:$D$657,MATCH(H1469,Documents!$A$5:$A$657,0))),"")</f>
        <v>J Med Chem</v>
      </c>
      <c r="K1469" s="25" t="str">
        <f aca="false">IFERROR(IF(INDEX(Documents!$G$5:$G$657,MATCH(H1469,Documents!$A$5:$A$657,0))="","",INDEX(Documents!$G$5:$G$657,MATCH(H1469,Documents!$A$5:$A$657,0))),"")</f>
        <v>10.1021/acs.jmedchem.7b00155</v>
      </c>
      <c r="L1469" s="25" t="s">
        <v>3361</v>
      </c>
    </row>
    <row r="1470" customFormat="false" ht="15" hidden="false" customHeight="false" outlineLevel="0" collapsed="false">
      <c r="A1470" s="25" t="n">
        <v>22905362</v>
      </c>
      <c r="B1470" s="25" t="s">
        <v>3362</v>
      </c>
      <c r="C1470" s="25" t="s">
        <v>3363</v>
      </c>
      <c r="D1470" s="26" t="n">
        <v>0.4</v>
      </c>
      <c r="E1470" s="27" t="n">
        <v>9.39794000867204</v>
      </c>
      <c r="F1470" s="27" t="n">
        <v>9.39794000867204</v>
      </c>
      <c r="G1470" s="25" t="s">
        <v>3364</v>
      </c>
      <c r="H1470" s="25" t="s">
        <v>3365</v>
      </c>
      <c r="I1470" s="25" t="n">
        <f aca="false">IFERROR(IF(INDEX(Documents!$C$5:$C$657,MATCH(H1470,Documents!$A$5:$A$657,0))="","",INDEX(Documents!$C$5:$C$657,MATCH(H1470,Documents!$A$5:$A$657,0))),"")</f>
        <v>2020</v>
      </c>
      <c r="J1470" s="25" t="str">
        <f aca="false">IFERROR(IF(INDEX(Documents!$D$5:$D$657,MATCH(H1470,Documents!$A$5:$A$657,0))="","",INDEX(Documents!$D$5:$D$657,MATCH(H1470,Documents!$A$5:$A$657,0))),"")</f>
        <v>J Med Chem</v>
      </c>
      <c r="K1470" s="25" t="str">
        <f aca="false">IFERROR(IF(INDEX(Documents!$G$5:$G$657,MATCH(H1470,Documents!$A$5:$A$657,0))="","",INDEX(Documents!$G$5:$G$657,MATCH(H1470,Documents!$A$5:$A$657,0))),"")</f>
        <v>10.1021/acs.jmedchem.0c00530</v>
      </c>
      <c r="L1470" s="25" t="s">
        <v>3366</v>
      </c>
    </row>
    <row r="1471" customFormat="false" ht="15" hidden="false" customHeight="false" outlineLevel="0" collapsed="false">
      <c r="A1471" s="25" t="n">
        <v>22905361</v>
      </c>
      <c r="B1471" s="25" t="s">
        <v>3367</v>
      </c>
      <c r="C1471" s="25" t="s">
        <v>3368</v>
      </c>
      <c r="D1471" s="26" t="n">
        <v>6.5</v>
      </c>
      <c r="E1471" s="27" t="n">
        <v>8.18708664335714</v>
      </c>
      <c r="F1471" s="27" t="n">
        <v>8.18708664335714</v>
      </c>
      <c r="G1471" s="25" t="s">
        <v>3364</v>
      </c>
      <c r="H1471" s="25" t="s">
        <v>3365</v>
      </c>
      <c r="I1471" s="25" t="n">
        <f aca="false">IFERROR(IF(INDEX(Documents!$C$5:$C$657,MATCH(H1471,Documents!$A$5:$A$657,0))="","",INDEX(Documents!$C$5:$C$657,MATCH(H1471,Documents!$A$5:$A$657,0))),"")</f>
        <v>2020</v>
      </c>
      <c r="J1471" s="25" t="str">
        <f aca="false">IFERROR(IF(INDEX(Documents!$D$5:$D$657,MATCH(H1471,Documents!$A$5:$A$657,0))="","",INDEX(Documents!$D$5:$D$657,MATCH(H1471,Documents!$A$5:$A$657,0))),"")</f>
        <v>J Med Chem</v>
      </c>
      <c r="K1471" s="25" t="str">
        <f aca="false">IFERROR(IF(INDEX(Documents!$G$5:$G$657,MATCH(H1471,Documents!$A$5:$A$657,0))="","",INDEX(Documents!$G$5:$G$657,MATCH(H1471,Documents!$A$5:$A$657,0))),"")</f>
        <v>10.1021/acs.jmedchem.0c00530</v>
      </c>
      <c r="L1471" s="25" t="s">
        <v>3366</v>
      </c>
    </row>
    <row r="1472" customFormat="false" ht="15" hidden="false" customHeight="false" outlineLevel="0" collapsed="false">
      <c r="A1472" s="25" t="n">
        <v>11019977</v>
      </c>
      <c r="B1472" s="25" t="s">
        <v>3369</v>
      </c>
      <c r="C1472" s="25" t="s">
        <v>3370</v>
      </c>
      <c r="D1472" s="26" t="n">
        <v>12.7</v>
      </c>
      <c r="E1472" s="27" t="n">
        <v>7.89619627904404</v>
      </c>
      <c r="F1472" s="27" t="n">
        <v>7.89619627904404</v>
      </c>
      <c r="G1472" s="25" t="s">
        <v>496</v>
      </c>
      <c r="H1472" s="25" t="s">
        <v>497</v>
      </c>
      <c r="I1472" s="25" t="n">
        <f aca="false">IFERROR(IF(INDEX(Documents!$C$5:$C$657,MATCH(H1472,Documents!$A$5:$A$657,0))="","",INDEX(Documents!$C$5:$C$657,MATCH(H1472,Documents!$A$5:$A$657,0))),"")</f>
        <v>2012</v>
      </c>
      <c r="J1472" s="25" t="str">
        <f aca="false">IFERROR(IF(INDEX(Documents!$D$5:$D$657,MATCH(H1472,Documents!$A$5:$A$657,0))="","",INDEX(Documents!$D$5:$D$657,MATCH(H1472,Documents!$A$5:$A$657,0))),"")</f>
        <v>J Med Chem</v>
      </c>
      <c r="K1472" s="25" t="str">
        <f aca="false">IFERROR(IF(INDEX(Documents!$G$5:$G$657,MATCH(H1472,Documents!$A$5:$A$657,0))="","",INDEX(Documents!$G$5:$G$657,MATCH(H1472,Documents!$A$5:$A$657,0))),"")</f>
        <v>10.1021/jm3003334</v>
      </c>
      <c r="L1472" s="25" t="s">
        <v>498</v>
      </c>
    </row>
    <row r="1473" customFormat="false" ht="15" hidden="false" customHeight="false" outlineLevel="0" collapsed="false">
      <c r="A1473" s="25" t="n">
        <v>11019976</v>
      </c>
      <c r="B1473" s="25" t="s">
        <v>3371</v>
      </c>
      <c r="C1473" s="25" t="s">
        <v>3372</v>
      </c>
      <c r="D1473" s="26" t="n">
        <v>0.37</v>
      </c>
      <c r="E1473" s="27" t="n">
        <v>9.431798275933</v>
      </c>
      <c r="F1473" s="27" t="n">
        <v>9.431798275933</v>
      </c>
      <c r="G1473" s="25" t="s">
        <v>496</v>
      </c>
      <c r="H1473" s="25" t="s">
        <v>497</v>
      </c>
      <c r="I1473" s="25" t="n">
        <f aca="false">IFERROR(IF(INDEX(Documents!$C$5:$C$657,MATCH(H1473,Documents!$A$5:$A$657,0))="","",INDEX(Documents!$C$5:$C$657,MATCH(H1473,Documents!$A$5:$A$657,0))),"")</f>
        <v>2012</v>
      </c>
      <c r="J1473" s="25" t="str">
        <f aca="false">IFERROR(IF(INDEX(Documents!$D$5:$D$657,MATCH(H1473,Documents!$A$5:$A$657,0))="","",INDEX(Documents!$D$5:$D$657,MATCH(H1473,Documents!$A$5:$A$657,0))),"")</f>
        <v>J Med Chem</v>
      </c>
      <c r="K1473" s="25" t="str">
        <f aca="false">IFERROR(IF(INDEX(Documents!$G$5:$G$657,MATCH(H1473,Documents!$A$5:$A$657,0))="","",INDEX(Documents!$G$5:$G$657,MATCH(H1473,Documents!$A$5:$A$657,0))),"")</f>
        <v>10.1021/jm3003334</v>
      </c>
      <c r="L1473" s="25" t="s">
        <v>498</v>
      </c>
    </row>
    <row r="1474" customFormat="false" ht="15" hidden="false" customHeight="false" outlineLevel="0" collapsed="false">
      <c r="A1474" s="25" t="n">
        <v>11019980</v>
      </c>
      <c r="B1474" s="25" t="s">
        <v>3373</v>
      </c>
      <c r="C1474" s="25" t="s">
        <v>3374</v>
      </c>
      <c r="D1474" s="26" t="n">
        <v>11.2</v>
      </c>
      <c r="E1474" s="27" t="n">
        <v>7.95078197732982</v>
      </c>
      <c r="F1474" s="27" t="n">
        <v>7.95078197732982</v>
      </c>
      <c r="G1474" s="25" t="s">
        <v>496</v>
      </c>
      <c r="H1474" s="25" t="s">
        <v>497</v>
      </c>
      <c r="I1474" s="25" t="n">
        <f aca="false">IFERROR(IF(INDEX(Documents!$C$5:$C$657,MATCH(H1474,Documents!$A$5:$A$657,0))="","",INDEX(Documents!$C$5:$C$657,MATCH(H1474,Documents!$A$5:$A$657,0))),"")</f>
        <v>2012</v>
      </c>
      <c r="J1474" s="25" t="str">
        <f aca="false">IFERROR(IF(INDEX(Documents!$D$5:$D$657,MATCH(H1474,Documents!$A$5:$A$657,0))="","",INDEX(Documents!$D$5:$D$657,MATCH(H1474,Documents!$A$5:$A$657,0))),"")</f>
        <v>J Med Chem</v>
      </c>
      <c r="K1474" s="25" t="str">
        <f aca="false">IFERROR(IF(INDEX(Documents!$G$5:$G$657,MATCH(H1474,Documents!$A$5:$A$657,0))="","",INDEX(Documents!$G$5:$G$657,MATCH(H1474,Documents!$A$5:$A$657,0))),"")</f>
        <v>10.1021/jm3003334</v>
      </c>
      <c r="L1474" s="25" t="s">
        <v>498</v>
      </c>
    </row>
    <row r="1475" customFormat="false" ht="15" hidden="false" customHeight="false" outlineLevel="0" collapsed="false">
      <c r="A1475" s="25" t="n">
        <v>2980580</v>
      </c>
      <c r="B1475" s="25" t="s">
        <v>3375</v>
      </c>
      <c r="C1475" s="25" t="s">
        <v>3376</v>
      </c>
      <c r="D1475" s="26" t="n">
        <v>1.82</v>
      </c>
      <c r="E1475" s="27" t="n">
        <v>8.73992861201493</v>
      </c>
      <c r="F1475" s="27" t="n">
        <v>8.74232805345581</v>
      </c>
      <c r="G1475" s="25" t="s">
        <v>599</v>
      </c>
      <c r="H1475" s="25" t="s">
        <v>600</v>
      </c>
      <c r="I1475" s="25" t="n">
        <f aca="false">IFERROR(IF(INDEX(Documents!$C$5:$C$657,MATCH(H1475,Documents!$A$5:$A$657,0))="","",INDEX(Documents!$C$5:$C$657,MATCH(H1475,Documents!$A$5:$A$657,0))),"")</f>
        <v>2010</v>
      </c>
      <c r="J1475" s="25" t="str">
        <f aca="false">IFERROR(IF(INDEX(Documents!$D$5:$D$657,MATCH(H1475,Documents!$A$5:$A$657,0))="","",INDEX(Documents!$D$5:$D$657,MATCH(H1475,Documents!$A$5:$A$657,0))),"")</f>
        <v>J Med Chem</v>
      </c>
      <c r="K1475" s="25" t="str">
        <f aca="false">IFERROR(IF(INDEX(Documents!$G$5:$G$657,MATCH(H1475,Documents!$A$5:$A$657,0))="","",INDEX(Documents!$G$5:$G$657,MATCH(H1475,Documents!$A$5:$A$657,0))),"")</f>
        <v>10.1021/jm901214q</v>
      </c>
      <c r="L1475" s="25" t="s">
        <v>601</v>
      </c>
    </row>
    <row r="1476" customFormat="false" ht="15" hidden="false" customHeight="false" outlineLevel="0" collapsed="false">
      <c r="A1476" s="25" t="n">
        <v>2980497</v>
      </c>
      <c r="B1476" s="25" t="s">
        <v>3375</v>
      </c>
      <c r="C1476" s="25" t="s">
        <v>3376</v>
      </c>
      <c r="D1476" s="26" t="n">
        <v>1.8</v>
      </c>
      <c r="E1476" s="27" t="n">
        <v>8.74472749489669</v>
      </c>
      <c r="F1476" s="27" t="n">
        <v>8.74232805345581</v>
      </c>
      <c r="G1476" s="25" t="s">
        <v>599</v>
      </c>
      <c r="H1476" s="25" t="s">
        <v>600</v>
      </c>
      <c r="I1476" s="25" t="n">
        <f aca="false">IFERROR(IF(INDEX(Documents!$C$5:$C$657,MATCH(H1476,Documents!$A$5:$A$657,0))="","",INDEX(Documents!$C$5:$C$657,MATCH(H1476,Documents!$A$5:$A$657,0))),"")</f>
        <v>2010</v>
      </c>
      <c r="J1476" s="25" t="str">
        <f aca="false">IFERROR(IF(INDEX(Documents!$D$5:$D$657,MATCH(H1476,Documents!$A$5:$A$657,0))="","",INDEX(Documents!$D$5:$D$657,MATCH(H1476,Documents!$A$5:$A$657,0))),"")</f>
        <v>J Med Chem</v>
      </c>
      <c r="K1476" s="25" t="str">
        <f aca="false">IFERROR(IF(INDEX(Documents!$G$5:$G$657,MATCH(H1476,Documents!$A$5:$A$657,0))="","",INDEX(Documents!$G$5:$G$657,MATCH(H1476,Documents!$A$5:$A$657,0))),"")</f>
        <v>10.1021/jm901214q</v>
      </c>
      <c r="L1476" s="25" t="s">
        <v>601</v>
      </c>
    </row>
    <row r="1477" customFormat="false" ht="15" hidden="false" customHeight="false" outlineLevel="0" collapsed="false">
      <c r="A1477" s="25" t="n">
        <v>1478276</v>
      </c>
      <c r="B1477" s="25" t="s">
        <v>3377</v>
      </c>
      <c r="C1477" s="25" t="s">
        <v>3378</v>
      </c>
      <c r="D1477" s="26" t="n">
        <v>657</v>
      </c>
      <c r="E1477" s="27" t="n">
        <v>6.18243463044022</v>
      </c>
      <c r="F1477" s="27" t="n">
        <v>6.18243463044022</v>
      </c>
      <c r="G1477" s="25" t="s">
        <v>3223</v>
      </c>
      <c r="H1477" s="25" t="s">
        <v>3224</v>
      </c>
      <c r="I1477" s="25" t="n">
        <f aca="false">IFERROR(IF(INDEX(Documents!$C$5:$C$657,MATCH(H1477,Documents!$A$5:$A$657,0))="","",INDEX(Documents!$C$5:$C$657,MATCH(H1477,Documents!$A$5:$A$657,0))),"")</f>
        <v>2005</v>
      </c>
      <c r="J1477" s="25" t="str">
        <f aca="false">IFERROR(IF(INDEX(Documents!$D$5:$D$657,MATCH(H1477,Documents!$A$5:$A$657,0))="","",INDEX(Documents!$D$5:$D$657,MATCH(H1477,Documents!$A$5:$A$657,0))),"")</f>
        <v>Bioorg Med Chem Lett</v>
      </c>
      <c r="K1477" s="25" t="str">
        <f aca="false">IFERROR(IF(INDEX(Documents!$G$5:$G$657,MATCH(H1477,Documents!$A$5:$A$657,0))="","",INDEX(Documents!$G$5:$G$657,MATCH(H1477,Documents!$A$5:$A$657,0))),"")</f>
        <v>10.1016/j.bmcl.2005.06.008</v>
      </c>
      <c r="L1477" s="25" t="s">
        <v>3225</v>
      </c>
    </row>
    <row r="1478" customFormat="false" ht="15" hidden="false" customHeight="false" outlineLevel="0" collapsed="false">
      <c r="A1478" s="25" t="n">
        <v>1477707</v>
      </c>
      <c r="B1478" s="25" t="s">
        <v>3379</v>
      </c>
      <c r="C1478" s="25" t="s">
        <v>3380</v>
      </c>
      <c r="D1478" s="26" t="n">
        <v>570</v>
      </c>
      <c r="E1478" s="27" t="n">
        <v>6.24412514432751</v>
      </c>
      <c r="F1478" s="27" t="n">
        <v>6.24412514432751</v>
      </c>
      <c r="G1478" s="25" t="s">
        <v>3223</v>
      </c>
      <c r="H1478" s="25" t="s">
        <v>3224</v>
      </c>
      <c r="I1478" s="25" t="n">
        <f aca="false">IFERROR(IF(INDEX(Documents!$C$5:$C$657,MATCH(H1478,Documents!$A$5:$A$657,0))="","",INDEX(Documents!$C$5:$C$657,MATCH(H1478,Documents!$A$5:$A$657,0))),"")</f>
        <v>2005</v>
      </c>
      <c r="J1478" s="25" t="str">
        <f aca="false">IFERROR(IF(INDEX(Documents!$D$5:$D$657,MATCH(H1478,Documents!$A$5:$A$657,0))="","",INDEX(Documents!$D$5:$D$657,MATCH(H1478,Documents!$A$5:$A$657,0))),"")</f>
        <v>Bioorg Med Chem Lett</v>
      </c>
      <c r="K1478" s="25" t="str">
        <f aca="false">IFERROR(IF(INDEX(Documents!$G$5:$G$657,MATCH(H1478,Documents!$A$5:$A$657,0))="","",INDEX(Documents!$G$5:$G$657,MATCH(H1478,Documents!$A$5:$A$657,0))),"")</f>
        <v>10.1016/j.bmcl.2005.06.008</v>
      </c>
      <c r="L1478" s="25" t="s">
        <v>3225</v>
      </c>
    </row>
    <row r="1479" customFormat="false" ht="15" hidden="false" customHeight="false" outlineLevel="0" collapsed="false">
      <c r="A1479" s="25" t="n">
        <v>1478260</v>
      </c>
      <c r="B1479" s="25" t="s">
        <v>3381</v>
      </c>
      <c r="C1479" s="25" t="s">
        <v>3382</v>
      </c>
      <c r="D1479" s="26" t="n">
        <v>498</v>
      </c>
      <c r="E1479" s="27" t="n">
        <v>6.30277065724028</v>
      </c>
      <c r="F1479" s="27" t="n">
        <v>6.30277065724028</v>
      </c>
      <c r="G1479" s="25" t="s">
        <v>3223</v>
      </c>
      <c r="H1479" s="25" t="s">
        <v>3224</v>
      </c>
      <c r="I1479" s="25" t="n">
        <f aca="false">IFERROR(IF(INDEX(Documents!$C$5:$C$657,MATCH(H1479,Documents!$A$5:$A$657,0))="","",INDEX(Documents!$C$5:$C$657,MATCH(H1479,Documents!$A$5:$A$657,0))),"")</f>
        <v>2005</v>
      </c>
      <c r="J1479" s="25" t="str">
        <f aca="false">IFERROR(IF(INDEX(Documents!$D$5:$D$657,MATCH(H1479,Documents!$A$5:$A$657,0))="","",INDEX(Documents!$D$5:$D$657,MATCH(H1479,Documents!$A$5:$A$657,0))),"")</f>
        <v>Bioorg Med Chem Lett</v>
      </c>
      <c r="K1479" s="25" t="str">
        <f aca="false">IFERROR(IF(INDEX(Documents!$G$5:$G$657,MATCH(H1479,Documents!$A$5:$A$657,0))="","",INDEX(Documents!$G$5:$G$657,MATCH(H1479,Documents!$A$5:$A$657,0))),"")</f>
        <v>10.1016/j.bmcl.2005.06.008</v>
      </c>
      <c r="L1479" s="25" t="s">
        <v>3225</v>
      </c>
    </row>
    <row r="1480" customFormat="false" ht="15" hidden="false" customHeight="false" outlineLevel="0" collapsed="false">
      <c r="A1480" s="25" t="n">
        <v>1478127</v>
      </c>
      <c r="B1480" s="25" t="s">
        <v>3383</v>
      </c>
      <c r="C1480" s="25" t="s">
        <v>3384</v>
      </c>
      <c r="D1480" s="26" t="n">
        <v>365</v>
      </c>
      <c r="E1480" s="27" t="n">
        <v>6.43770713554353</v>
      </c>
      <c r="F1480" s="27" t="n">
        <v>6.43770713554353</v>
      </c>
      <c r="G1480" s="25" t="s">
        <v>3223</v>
      </c>
      <c r="H1480" s="25" t="s">
        <v>3224</v>
      </c>
      <c r="I1480" s="25" t="n">
        <f aca="false">IFERROR(IF(INDEX(Documents!$C$5:$C$657,MATCH(H1480,Documents!$A$5:$A$657,0))="","",INDEX(Documents!$C$5:$C$657,MATCH(H1480,Documents!$A$5:$A$657,0))),"")</f>
        <v>2005</v>
      </c>
      <c r="J1480" s="25" t="str">
        <f aca="false">IFERROR(IF(INDEX(Documents!$D$5:$D$657,MATCH(H1480,Documents!$A$5:$A$657,0))="","",INDEX(Documents!$D$5:$D$657,MATCH(H1480,Documents!$A$5:$A$657,0))),"")</f>
        <v>Bioorg Med Chem Lett</v>
      </c>
      <c r="K1480" s="25" t="str">
        <f aca="false">IFERROR(IF(INDEX(Documents!$G$5:$G$657,MATCH(H1480,Documents!$A$5:$A$657,0))="","",INDEX(Documents!$G$5:$G$657,MATCH(H1480,Documents!$A$5:$A$657,0))),"")</f>
        <v>10.1016/j.bmcl.2005.06.008</v>
      </c>
      <c r="L1480" s="25" t="s">
        <v>3225</v>
      </c>
    </row>
    <row r="1481" customFormat="false" ht="15" hidden="false" customHeight="false" outlineLevel="0" collapsed="false">
      <c r="A1481" s="25" t="n">
        <v>1477983</v>
      </c>
      <c r="B1481" s="25" t="s">
        <v>3385</v>
      </c>
      <c r="C1481" s="25" t="s">
        <v>3386</v>
      </c>
      <c r="D1481" s="26" t="n">
        <v>444</v>
      </c>
      <c r="E1481" s="27" t="n">
        <v>6.35261702988538</v>
      </c>
      <c r="F1481" s="27" t="n">
        <v>6.35261702988538</v>
      </c>
      <c r="G1481" s="25" t="s">
        <v>3223</v>
      </c>
      <c r="H1481" s="25" t="s">
        <v>3224</v>
      </c>
      <c r="I1481" s="25" t="n">
        <f aca="false">IFERROR(IF(INDEX(Documents!$C$5:$C$657,MATCH(H1481,Documents!$A$5:$A$657,0))="","",INDEX(Documents!$C$5:$C$657,MATCH(H1481,Documents!$A$5:$A$657,0))),"")</f>
        <v>2005</v>
      </c>
      <c r="J1481" s="25" t="str">
        <f aca="false">IFERROR(IF(INDEX(Documents!$D$5:$D$657,MATCH(H1481,Documents!$A$5:$A$657,0))="","",INDEX(Documents!$D$5:$D$657,MATCH(H1481,Documents!$A$5:$A$657,0))),"")</f>
        <v>Bioorg Med Chem Lett</v>
      </c>
      <c r="K1481" s="25" t="str">
        <f aca="false">IFERROR(IF(INDEX(Documents!$G$5:$G$657,MATCH(H1481,Documents!$A$5:$A$657,0))="","",INDEX(Documents!$G$5:$G$657,MATCH(H1481,Documents!$A$5:$A$657,0))),"")</f>
        <v>10.1016/j.bmcl.2005.06.008</v>
      </c>
      <c r="L1481" s="25" t="s">
        <v>3225</v>
      </c>
    </row>
    <row r="1482" customFormat="false" ht="15" hidden="false" customHeight="false" outlineLevel="0" collapsed="false">
      <c r="A1482" s="25" t="n">
        <v>1478252</v>
      </c>
      <c r="B1482" s="25" t="s">
        <v>3387</v>
      </c>
      <c r="C1482" s="25" t="s">
        <v>3388</v>
      </c>
      <c r="D1482" s="26" t="n">
        <v>106</v>
      </c>
      <c r="E1482" s="27" t="n">
        <v>6.97469413473523</v>
      </c>
      <c r="F1482" s="27" t="n">
        <v>6.97469413473523</v>
      </c>
      <c r="G1482" s="25" t="s">
        <v>3223</v>
      </c>
      <c r="H1482" s="25" t="s">
        <v>3224</v>
      </c>
      <c r="I1482" s="25" t="n">
        <f aca="false">IFERROR(IF(INDEX(Documents!$C$5:$C$657,MATCH(H1482,Documents!$A$5:$A$657,0))="","",INDEX(Documents!$C$5:$C$657,MATCH(H1482,Documents!$A$5:$A$657,0))),"")</f>
        <v>2005</v>
      </c>
      <c r="J1482" s="25" t="str">
        <f aca="false">IFERROR(IF(INDEX(Documents!$D$5:$D$657,MATCH(H1482,Documents!$A$5:$A$657,0))="","",INDEX(Documents!$D$5:$D$657,MATCH(H1482,Documents!$A$5:$A$657,0))),"")</f>
        <v>Bioorg Med Chem Lett</v>
      </c>
      <c r="K1482" s="25" t="str">
        <f aca="false">IFERROR(IF(INDEX(Documents!$G$5:$G$657,MATCH(H1482,Documents!$A$5:$A$657,0))="","",INDEX(Documents!$G$5:$G$657,MATCH(H1482,Documents!$A$5:$A$657,0))),"")</f>
        <v>10.1016/j.bmcl.2005.06.008</v>
      </c>
      <c r="L1482" s="25" t="s">
        <v>3225</v>
      </c>
    </row>
    <row r="1483" customFormat="false" ht="15" hidden="false" customHeight="false" outlineLevel="0" collapsed="false">
      <c r="A1483" s="25" t="n">
        <v>1478279</v>
      </c>
      <c r="B1483" s="25" t="s">
        <v>3389</v>
      </c>
      <c r="C1483" s="25" t="s">
        <v>3390</v>
      </c>
      <c r="D1483" s="26" t="n">
        <v>91</v>
      </c>
      <c r="E1483" s="27" t="n">
        <v>7.04095860767891</v>
      </c>
      <c r="F1483" s="27" t="n">
        <v>7.04095860767891</v>
      </c>
      <c r="G1483" s="25" t="s">
        <v>3223</v>
      </c>
      <c r="H1483" s="25" t="s">
        <v>3224</v>
      </c>
      <c r="I1483" s="25" t="n">
        <f aca="false">IFERROR(IF(INDEX(Documents!$C$5:$C$657,MATCH(H1483,Documents!$A$5:$A$657,0))="","",INDEX(Documents!$C$5:$C$657,MATCH(H1483,Documents!$A$5:$A$657,0))),"")</f>
        <v>2005</v>
      </c>
      <c r="J1483" s="25" t="str">
        <f aca="false">IFERROR(IF(INDEX(Documents!$D$5:$D$657,MATCH(H1483,Documents!$A$5:$A$657,0))="","",INDEX(Documents!$D$5:$D$657,MATCH(H1483,Documents!$A$5:$A$657,0))),"")</f>
        <v>Bioorg Med Chem Lett</v>
      </c>
      <c r="K1483" s="25" t="str">
        <f aca="false">IFERROR(IF(INDEX(Documents!$G$5:$G$657,MATCH(H1483,Documents!$A$5:$A$657,0))="","",INDEX(Documents!$G$5:$G$657,MATCH(H1483,Documents!$A$5:$A$657,0))),"")</f>
        <v>10.1016/j.bmcl.2005.06.008</v>
      </c>
      <c r="L1483" s="25" t="s">
        <v>3225</v>
      </c>
    </row>
    <row r="1484" customFormat="false" ht="15" hidden="false" customHeight="false" outlineLevel="0" collapsed="false">
      <c r="A1484" s="25" t="n">
        <v>1477973</v>
      </c>
      <c r="B1484" s="25" t="s">
        <v>3391</v>
      </c>
      <c r="C1484" s="25" t="s">
        <v>3392</v>
      </c>
      <c r="D1484" s="26" t="n">
        <v>89</v>
      </c>
      <c r="E1484" s="27" t="n">
        <v>7.05060999335509</v>
      </c>
      <c r="F1484" s="27" t="n">
        <v>7.05060999335509</v>
      </c>
      <c r="G1484" s="25" t="s">
        <v>3223</v>
      </c>
      <c r="H1484" s="25" t="s">
        <v>3224</v>
      </c>
      <c r="I1484" s="25" t="n">
        <f aca="false">IFERROR(IF(INDEX(Documents!$C$5:$C$657,MATCH(H1484,Documents!$A$5:$A$657,0))="","",INDEX(Documents!$C$5:$C$657,MATCH(H1484,Documents!$A$5:$A$657,0))),"")</f>
        <v>2005</v>
      </c>
      <c r="J1484" s="25" t="str">
        <f aca="false">IFERROR(IF(INDEX(Documents!$D$5:$D$657,MATCH(H1484,Documents!$A$5:$A$657,0))="","",INDEX(Documents!$D$5:$D$657,MATCH(H1484,Documents!$A$5:$A$657,0))),"")</f>
        <v>Bioorg Med Chem Lett</v>
      </c>
      <c r="K1484" s="25" t="str">
        <f aca="false">IFERROR(IF(INDEX(Documents!$G$5:$G$657,MATCH(H1484,Documents!$A$5:$A$657,0))="","",INDEX(Documents!$G$5:$G$657,MATCH(H1484,Documents!$A$5:$A$657,0))),"")</f>
        <v>10.1016/j.bmcl.2005.06.008</v>
      </c>
      <c r="L1484" s="25" t="s">
        <v>3225</v>
      </c>
    </row>
    <row r="1485" customFormat="false" ht="15" hidden="false" customHeight="false" outlineLevel="0" collapsed="false">
      <c r="A1485" s="25" t="n">
        <v>1477555</v>
      </c>
      <c r="B1485" s="25" t="s">
        <v>3393</v>
      </c>
      <c r="C1485" s="25" t="s">
        <v>3394</v>
      </c>
      <c r="D1485" s="26" t="n">
        <v>159</v>
      </c>
      <c r="E1485" s="27" t="n">
        <v>6.79860287567955</v>
      </c>
      <c r="F1485" s="27" t="n">
        <v>6.79860287567955</v>
      </c>
      <c r="G1485" s="25" t="s">
        <v>3223</v>
      </c>
      <c r="H1485" s="25" t="s">
        <v>3224</v>
      </c>
      <c r="I1485" s="25" t="n">
        <f aca="false">IFERROR(IF(INDEX(Documents!$C$5:$C$657,MATCH(H1485,Documents!$A$5:$A$657,0))="","",INDEX(Documents!$C$5:$C$657,MATCH(H1485,Documents!$A$5:$A$657,0))),"")</f>
        <v>2005</v>
      </c>
      <c r="J1485" s="25" t="str">
        <f aca="false">IFERROR(IF(INDEX(Documents!$D$5:$D$657,MATCH(H1485,Documents!$A$5:$A$657,0))="","",INDEX(Documents!$D$5:$D$657,MATCH(H1485,Documents!$A$5:$A$657,0))),"")</f>
        <v>Bioorg Med Chem Lett</v>
      </c>
      <c r="K1485" s="25" t="str">
        <f aca="false">IFERROR(IF(INDEX(Documents!$G$5:$G$657,MATCH(H1485,Documents!$A$5:$A$657,0))="","",INDEX(Documents!$G$5:$G$657,MATCH(H1485,Documents!$A$5:$A$657,0))),"")</f>
        <v>10.1016/j.bmcl.2005.06.008</v>
      </c>
      <c r="L1485" s="25" t="s">
        <v>3225</v>
      </c>
    </row>
    <row r="1486" customFormat="false" ht="15" hidden="false" customHeight="false" outlineLevel="0" collapsed="false">
      <c r="A1486" s="25" t="n">
        <v>1478266</v>
      </c>
      <c r="B1486" s="25" t="s">
        <v>3395</v>
      </c>
      <c r="C1486" s="25" t="s">
        <v>3396</v>
      </c>
      <c r="D1486" s="26" t="n">
        <v>20</v>
      </c>
      <c r="E1486" s="27" t="n">
        <v>7.69897000433602</v>
      </c>
      <c r="F1486" s="27" t="n">
        <v>7.69897000433602</v>
      </c>
      <c r="G1486" s="25" t="s">
        <v>3223</v>
      </c>
      <c r="H1486" s="25" t="s">
        <v>3224</v>
      </c>
      <c r="I1486" s="25" t="n">
        <f aca="false">IFERROR(IF(INDEX(Documents!$C$5:$C$657,MATCH(H1486,Documents!$A$5:$A$657,0))="","",INDEX(Documents!$C$5:$C$657,MATCH(H1486,Documents!$A$5:$A$657,0))),"")</f>
        <v>2005</v>
      </c>
      <c r="J1486" s="25" t="str">
        <f aca="false">IFERROR(IF(INDEX(Documents!$D$5:$D$657,MATCH(H1486,Documents!$A$5:$A$657,0))="","",INDEX(Documents!$D$5:$D$657,MATCH(H1486,Documents!$A$5:$A$657,0))),"")</f>
        <v>Bioorg Med Chem Lett</v>
      </c>
      <c r="K1486" s="25" t="str">
        <f aca="false">IFERROR(IF(INDEX(Documents!$G$5:$G$657,MATCH(H1486,Documents!$A$5:$A$657,0))="","",INDEX(Documents!$G$5:$G$657,MATCH(H1486,Documents!$A$5:$A$657,0))),"")</f>
        <v>10.1016/j.bmcl.2005.06.008</v>
      </c>
      <c r="L1486" s="25" t="s">
        <v>3225</v>
      </c>
    </row>
    <row r="1487" customFormat="false" ht="15" hidden="false" customHeight="false" outlineLevel="0" collapsed="false">
      <c r="A1487" s="25" t="n">
        <v>1477713</v>
      </c>
      <c r="B1487" s="25" t="s">
        <v>3397</v>
      </c>
      <c r="C1487" s="25" t="s">
        <v>3398</v>
      </c>
      <c r="D1487" s="26" t="n">
        <v>146</v>
      </c>
      <c r="E1487" s="27" t="n">
        <v>6.83564714421556</v>
      </c>
      <c r="F1487" s="27" t="n">
        <v>6.83564714421556</v>
      </c>
      <c r="G1487" s="25" t="s">
        <v>3223</v>
      </c>
      <c r="H1487" s="25" t="s">
        <v>3224</v>
      </c>
      <c r="I1487" s="25" t="n">
        <f aca="false">IFERROR(IF(INDEX(Documents!$C$5:$C$657,MATCH(H1487,Documents!$A$5:$A$657,0))="","",INDEX(Documents!$C$5:$C$657,MATCH(H1487,Documents!$A$5:$A$657,0))),"")</f>
        <v>2005</v>
      </c>
      <c r="J1487" s="25" t="str">
        <f aca="false">IFERROR(IF(INDEX(Documents!$D$5:$D$657,MATCH(H1487,Documents!$A$5:$A$657,0))="","",INDEX(Documents!$D$5:$D$657,MATCH(H1487,Documents!$A$5:$A$657,0))),"")</f>
        <v>Bioorg Med Chem Lett</v>
      </c>
      <c r="K1487" s="25" t="str">
        <f aca="false">IFERROR(IF(INDEX(Documents!$G$5:$G$657,MATCH(H1487,Documents!$A$5:$A$657,0))="","",INDEX(Documents!$G$5:$G$657,MATCH(H1487,Documents!$A$5:$A$657,0))),"")</f>
        <v>10.1016/j.bmcl.2005.06.008</v>
      </c>
      <c r="L1487" s="25" t="s">
        <v>3225</v>
      </c>
    </row>
    <row r="1488" customFormat="false" ht="15" hidden="false" customHeight="false" outlineLevel="0" collapsed="false">
      <c r="A1488" s="25" t="n">
        <v>1478140</v>
      </c>
      <c r="B1488" s="25" t="s">
        <v>3399</v>
      </c>
      <c r="C1488" s="25" t="s">
        <v>3400</v>
      </c>
      <c r="D1488" s="26" t="n">
        <v>7</v>
      </c>
      <c r="E1488" s="27" t="n">
        <v>8.15490195998574</v>
      </c>
      <c r="F1488" s="27" t="n">
        <v>8.15490195998574</v>
      </c>
      <c r="G1488" s="25" t="s">
        <v>3223</v>
      </c>
      <c r="H1488" s="25" t="s">
        <v>3224</v>
      </c>
      <c r="I1488" s="25" t="n">
        <f aca="false">IFERROR(IF(INDEX(Documents!$C$5:$C$657,MATCH(H1488,Documents!$A$5:$A$657,0))="","",INDEX(Documents!$C$5:$C$657,MATCH(H1488,Documents!$A$5:$A$657,0))),"")</f>
        <v>2005</v>
      </c>
      <c r="J1488" s="25" t="str">
        <f aca="false">IFERROR(IF(INDEX(Documents!$D$5:$D$657,MATCH(H1488,Documents!$A$5:$A$657,0))="","",INDEX(Documents!$D$5:$D$657,MATCH(H1488,Documents!$A$5:$A$657,0))),"")</f>
        <v>Bioorg Med Chem Lett</v>
      </c>
      <c r="K1488" s="25" t="str">
        <f aca="false">IFERROR(IF(INDEX(Documents!$G$5:$G$657,MATCH(H1488,Documents!$A$5:$A$657,0))="","",INDEX(Documents!$G$5:$G$657,MATCH(H1488,Documents!$A$5:$A$657,0))),"")</f>
        <v>10.1016/j.bmcl.2005.06.008</v>
      </c>
      <c r="L1488" s="25" t="s">
        <v>3225</v>
      </c>
    </row>
    <row r="1489" customFormat="false" ht="15" hidden="false" customHeight="false" outlineLevel="0" collapsed="false">
      <c r="A1489" s="25" t="n">
        <v>1477989</v>
      </c>
      <c r="B1489" s="25" t="s">
        <v>3401</v>
      </c>
      <c r="C1489" s="25" t="s">
        <v>3402</v>
      </c>
      <c r="D1489" s="26" t="n">
        <v>39</v>
      </c>
      <c r="E1489" s="27" t="n">
        <v>7.4089353929735</v>
      </c>
      <c r="F1489" s="27" t="n">
        <v>7.4089353929735</v>
      </c>
      <c r="G1489" s="25" t="s">
        <v>3223</v>
      </c>
      <c r="H1489" s="25" t="s">
        <v>3224</v>
      </c>
      <c r="I1489" s="25" t="n">
        <f aca="false">IFERROR(IF(INDEX(Documents!$C$5:$C$657,MATCH(H1489,Documents!$A$5:$A$657,0))="","",INDEX(Documents!$C$5:$C$657,MATCH(H1489,Documents!$A$5:$A$657,0))),"")</f>
        <v>2005</v>
      </c>
      <c r="J1489" s="25" t="str">
        <f aca="false">IFERROR(IF(INDEX(Documents!$D$5:$D$657,MATCH(H1489,Documents!$A$5:$A$657,0))="","",INDEX(Documents!$D$5:$D$657,MATCH(H1489,Documents!$A$5:$A$657,0))),"")</f>
        <v>Bioorg Med Chem Lett</v>
      </c>
      <c r="K1489" s="25" t="str">
        <f aca="false">IFERROR(IF(INDEX(Documents!$G$5:$G$657,MATCH(H1489,Documents!$A$5:$A$657,0))="","",INDEX(Documents!$G$5:$G$657,MATCH(H1489,Documents!$A$5:$A$657,0))),"")</f>
        <v>10.1016/j.bmcl.2005.06.008</v>
      </c>
      <c r="L1489" s="25" t="s">
        <v>3225</v>
      </c>
    </row>
    <row r="1490" customFormat="false" ht="15" hidden="false" customHeight="false" outlineLevel="0" collapsed="false">
      <c r="A1490" s="25" t="n">
        <v>1477970</v>
      </c>
      <c r="B1490" s="25" t="s">
        <v>3403</v>
      </c>
      <c r="C1490" s="25" t="s">
        <v>3404</v>
      </c>
      <c r="D1490" s="26" t="n">
        <v>33</v>
      </c>
      <c r="E1490" s="27" t="n">
        <v>7.48148606012211</v>
      </c>
      <c r="F1490" s="27" t="n">
        <v>7.48148606012211</v>
      </c>
      <c r="G1490" s="25" t="s">
        <v>3223</v>
      </c>
      <c r="H1490" s="25" t="s">
        <v>3224</v>
      </c>
      <c r="I1490" s="25" t="n">
        <f aca="false">IFERROR(IF(INDEX(Documents!$C$5:$C$657,MATCH(H1490,Documents!$A$5:$A$657,0))="","",INDEX(Documents!$C$5:$C$657,MATCH(H1490,Documents!$A$5:$A$657,0))),"")</f>
        <v>2005</v>
      </c>
      <c r="J1490" s="25" t="str">
        <f aca="false">IFERROR(IF(INDEX(Documents!$D$5:$D$657,MATCH(H1490,Documents!$A$5:$A$657,0))="","",INDEX(Documents!$D$5:$D$657,MATCH(H1490,Documents!$A$5:$A$657,0))),"")</f>
        <v>Bioorg Med Chem Lett</v>
      </c>
      <c r="K1490" s="25" t="str">
        <f aca="false">IFERROR(IF(INDEX(Documents!$G$5:$G$657,MATCH(H1490,Documents!$A$5:$A$657,0))="","",INDEX(Documents!$G$5:$G$657,MATCH(H1490,Documents!$A$5:$A$657,0))),"")</f>
        <v>10.1016/j.bmcl.2005.06.008</v>
      </c>
      <c r="L1490" s="25" t="s">
        <v>3225</v>
      </c>
    </row>
    <row r="1491" customFormat="false" ht="15" hidden="false" customHeight="false" outlineLevel="0" collapsed="false">
      <c r="A1491" s="25" t="n">
        <v>12052767</v>
      </c>
      <c r="B1491" s="25" t="s">
        <v>3405</v>
      </c>
      <c r="C1491" s="25" t="s">
        <v>3406</v>
      </c>
      <c r="D1491" s="26" t="n">
        <v>230</v>
      </c>
      <c r="E1491" s="27" t="n">
        <v>6.63827216398241</v>
      </c>
      <c r="F1491" s="27" t="n">
        <v>6.63827216398241</v>
      </c>
      <c r="G1491" s="25" t="s">
        <v>587</v>
      </c>
      <c r="H1491" s="25" t="s">
        <v>588</v>
      </c>
      <c r="I1491" s="25" t="n">
        <f aca="false">IFERROR(IF(INDEX(Documents!$C$5:$C$657,MATCH(H1491,Documents!$A$5:$A$657,0))="","",INDEX(Documents!$C$5:$C$657,MATCH(H1491,Documents!$A$5:$A$657,0))),"")</f>
        <v>2012</v>
      </c>
      <c r="J1491" s="25" t="str">
        <f aca="false">IFERROR(IF(INDEX(Documents!$D$5:$D$657,MATCH(H1491,Documents!$A$5:$A$657,0))="","",INDEX(Documents!$D$5:$D$657,MATCH(H1491,Documents!$A$5:$A$657,0))),"")</f>
        <v>Eur J Med Chem</v>
      </c>
      <c r="K1491" s="25" t="str">
        <f aca="false">IFERROR(IF(INDEX(Documents!$G$5:$G$657,MATCH(H1491,Documents!$A$5:$A$657,0))="","",INDEX(Documents!$G$5:$G$657,MATCH(H1491,Documents!$A$5:$A$657,0))),"")</f>
        <v>10.1016/j.ejmech.2012.09.035</v>
      </c>
      <c r="L1491" s="25" t="s">
        <v>589</v>
      </c>
    </row>
    <row r="1492" customFormat="false" ht="15" hidden="false" customHeight="false" outlineLevel="0" collapsed="false">
      <c r="A1492" s="25" t="n">
        <v>12052764</v>
      </c>
      <c r="B1492" s="25" t="s">
        <v>3407</v>
      </c>
      <c r="C1492" s="25" t="s">
        <v>3408</v>
      </c>
      <c r="D1492" s="26" t="n">
        <v>14.8</v>
      </c>
      <c r="E1492" s="27" t="n">
        <v>7.82973828460504</v>
      </c>
      <c r="F1492" s="27" t="n">
        <v>7.82973828460504</v>
      </c>
      <c r="G1492" s="25" t="s">
        <v>587</v>
      </c>
      <c r="H1492" s="25" t="s">
        <v>588</v>
      </c>
      <c r="I1492" s="25" t="n">
        <f aca="false">IFERROR(IF(INDEX(Documents!$C$5:$C$657,MATCH(H1492,Documents!$A$5:$A$657,0))="","",INDEX(Documents!$C$5:$C$657,MATCH(H1492,Documents!$A$5:$A$657,0))),"")</f>
        <v>2012</v>
      </c>
      <c r="J1492" s="25" t="str">
        <f aca="false">IFERROR(IF(INDEX(Documents!$D$5:$D$657,MATCH(H1492,Documents!$A$5:$A$657,0))="","",INDEX(Documents!$D$5:$D$657,MATCH(H1492,Documents!$A$5:$A$657,0))),"")</f>
        <v>Eur J Med Chem</v>
      </c>
      <c r="K1492" s="25" t="str">
        <f aca="false">IFERROR(IF(INDEX(Documents!$G$5:$G$657,MATCH(H1492,Documents!$A$5:$A$657,0))="","",INDEX(Documents!$G$5:$G$657,MATCH(H1492,Documents!$A$5:$A$657,0))),"")</f>
        <v>10.1016/j.ejmech.2012.09.035</v>
      </c>
      <c r="L1492" s="25" t="s">
        <v>589</v>
      </c>
    </row>
    <row r="1493" customFormat="false" ht="15" hidden="false" customHeight="false" outlineLevel="0" collapsed="false">
      <c r="A1493" s="25" t="n">
        <v>1993843</v>
      </c>
      <c r="B1493" s="25" t="s">
        <v>3409</v>
      </c>
      <c r="C1493" s="25" t="s">
        <v>3410</v>
      </c>
      <c r="D1493" s="26" t="n">
        <v>235</v>
      </c>
      <c r="E1493" s="27" t="n">
        <v>6.62893213772826</v>
      </c>
      <c r="F1493" s="27" t="n">
        <v>6.65364702554936</v>
      </c>
      <c r="G1493" s="25" t="s">
        <v>1527</v>
      </c>
      <c r="H1493" s="25" t="s">
        <v>1528</v>
      </c>
      <c r="I1493" s="25" t="n">
        <f aca="false">IFERROR(IF(INDEX(Documents!$C$5:$C$657,MATCH(H1493,Documents!$A$5:$A$657,0))="","",INDEX(Documents!$C$5:$C$657,MATCH(H1493,Documents!$A$5:$A$657,0))),"")</f>
        <v>2007</v>
      </c>
      <c r="J1493" s="25" t="str">
        <f aca="false">IFERROR(IF(INDEX(Documents!$D$5:$D$657,MATCH(H1493,Documents!$A$5:$A$657,0))="","",INDEX(Documents!$D$5:$D$657,MATCH(H1493,Documents!$A$5:$A$657,0))),"")</f>
        <v>J Med Chem</v>
      </c>
      <c r="K1493" s="25" t="str">
        <f aca="false">IFERROR(IF(INDEX(Documents!$G$5:$G$657,MATCH(H1493,Documents!$A$5:$A$657,0))="","",INDEX(Documents!$G$5:$G$657,MATCH(H1493,Documents!$A$5:$A$657,0))),"")</f>
        <v>10.1021/jm070387h</v>
      </c>
      <c r="L1493" s="25" t="s">
        <v>1529</v>
      </c>
    </row>
    <row r="1494" customFormat="false" ht="15" hidden="false" customHeight="false" outlineLevel="0" collapsed="false">
      <c r="A1494" s="25" t="n">
        <v>1993844</v>
      </c>
      <c r="B1494" s="25" t="s">
        <v>3409</v>
      </c>
      <c r="C1494" s="25" t="s">
        <v>3410</v>
      </c>
      <c r="D1494" s="26" t="n">
        <v>222</v>
      </c>
      <c r="E1494" s="27" t="n">
        <v>6.65364702554936</v>
      </c>
      <c r="F1494" s="27" t="n">
        <v>6.65364702554936</v>
      </c>
      <c r="G1494" s="25" t="s">
        <v>1527</v>
      </c>
      <c r="H1494" s="25" t="s">
        <v>1528</v>
      </c>
      <c r="I1494" s="25" t="n">
        <f aca="false">IFERROR(IF(INDEX(Documents!$C$5:$C$657,MATCH(H1494,Documents!$A$5:$A$657,0))="","",INDEX(Documents!$C$5:$C$657,MATCH(H1494,Documents!$A$5:$A$657,0))),"")</f>
        <v>2007</v>
      </c>
      <c r="J1494" s="25" t="str">
        <f aca="false">IFERROR(IF(INDEX(Documents!$D$5:$D$657,MATCH(H1494,Documents!$A$5:$A$657,0))="","",INDEX(Documents!$D$5:$D$657,MATCH(H1494,Documents!$A$5:$A$657,0))),"")</f>
        <v>J Med Chem</v>
      </c>
      <c r="K1494" s="25" t="str">
        <f aca="false">IFERROR(IF(INDEX(Documents!$G$5:$G$657,MATCH(H1494,Documents!$A$5:$A$657,0))="","",INDEX(Documents!$G$5:$G$657,MATCH(H1494,Documents!$A$5:$A$657,0))),"")</f>
        <v>10.1021/jm070387h</v>
      </c>
      <c r="L1494" s="25" t="s">
        <v>1529</v>
      </c>
    </row>
    <row r="1495" customFormat="false" ht="15" hidden="false" customHeight="false" outlineLevel="0" collapsed="false">
      <c r="A1495" s="25" t="n">
        <v>1993842</v>
      </c>
      <c r="B1495" s="25" t="s">
        <v>3409</v>
      </c>
      <c r="C1495" s="25" t="s">
        <v>3410</v>
      </c>
      <c r="D1495" s="26" t="n">
        <v>144</v>
      </c>
      <c r="E1495" s="27" t="n">
        <v>6.84163750790475</v>
      </c>
      <c r="F1495" s="27" t="n">
        <v>6.65364702554936</v>
      </c>
      <c r="G1495" s="25" t="s">
        <v>1527</v>
      </c>
      <c r="H1495" s="25" t="s">
        <v>1528</v>
      </c>
      <c r="I1495" s="25" t="n">
        <f aca="false">IFERROR(IF(INDEX(Documents!$C$5:$C$657,MATCH(H1495,Documents!$A$5:$A$657,0))="","",INDEX(Documents!$C$5:$C$657,MATCH(H1495,Documents!$A$5:$A$657,0))),"")</f>
        <v>2007</v>
      </c>
      <c r="J1495" s="25" t="str">
        <f aca="false">IFERROR(IF(INDEX(Documents!$D$5:$D$657,MATCH(H1495,Documents!$A$5:$A$657,0))="","",INDEX(Documents!$D$5:$D$657,MATCH(H1495,Documents!$A$5:$A$657,0))),"")</f>
        <v>J Med Chem</v>
      </c>
      <c r="K1495" s="25" t="str">
        <f aca="false">IFERROR(IF(INDEX(Documents!$G$5:$G$657,MATCH(H1495,Documents!$A$5:$A$657,0))="","",INDEX(Documents!$G$5:$G$657,MATCH(H1495,Documents!$A$5:$A$657,0))),"")</f>
        <v>10.1021/jm070387h</v>
      </c>
      <c r="L1495" s="25" t="s">
        <v>1529</v>
      </c>
    </row>
    <row r="1496" customFormat="false" ht="15" hidden="false" customHeight="false" outlineLevel="0" collapsed="false">
      <c r="A1496" s="25" t="n">
        <v>5124676</v>
      </c>
      <c r="B1496" s="25" t="s">
        <v>3411</v>
      </c>
      <c r="C1496" s="25" t="s">
        <v>3412</v>
      </c>
      <c r="D1496" s="26" t="n">
        <v>14.3</v>
      </c>
      <c r="E1496" s="27" t="n">
        <v>7.84466396253494</v>
      </c>
      <c r="F1496" s="27" t="n">
        <v>7.84466396253494</v>
      </c>
      <c r="G1496" s="25" t="s">
        <v>1948</v>
      </c>
      <c r="H1496" s="25" t="s">
        <v>1949</v>
      </c>
      <c r="I1496" s="25" t="n">
        <f aca="false">IFERROR(IF(INDEX(Documents!$C$5:$C$657,MATCH(H1496,Documents!$A$5:$A$657,0))="","",INDEX(Documents!$C$5:$C$657,MATCH(H1496,Documents!$A$5:$A$657,0))),"")</f>
        <v>2010</v>
      </c>
      <c r="J1496" s="25" t="str">
        <f aca="false">IFERROR(IF(INDEX(Documents!$D$5:$D$657,MATCH(H1496,Documents!$A$5:$A$657,0))="","",INDEX(Documents!$D$5:$D$657,MATCH(H1496,Documents!$A$5:$A$657,0))),"")</f>
        <v>J Med Chem</v>
      </c>
      <c r="K1496" s="25" t="str">
        <f aca="false">IFERROR(IF(INDEX(Documents!$G$5:$G$657,MATCH(H1496,Documents!$A$5:$A$657,0))="","",INDEX(Documents!$G$5:$G$657,MATCH(H1496,Documents!$A$5:$A$657,0))),"")</f>
        <v>10.1021/jm100286k</v>
      </c>
      <c r="L1496" s="25" t="s">
        <v>1950</v>
      </c>
    </row>
    <row r="1497" customFormat="false" ht="15" hidden="false" customHeight="false" outlineLevel="0" collapsed="false">
      <c r="A1497" s="25" t="n">
        <v>12116573</v>
      </c>
      <c r="B1497" s="25" t="s">
        <v>3413</v>
      </c>
      <c r="C1497" s="25" t="s">
        <v>3414</v>
      </c>
      <c r="D1497" s="26" t="n">
        <v>6.4</v>
      </c>
      <c r="E1497" s="27" t="n">
        <v>8.19382002601611</v>
      </c>
      <c r="F1497" s="27" t="n">
        <v>8.19382002601611</v>
      </c>
      <c r="G1497" s="25" t="s">
        <v>3415</v>
      </c>
      <c r="H1497" s="25" t="s">
        <v>3416</v>
      </c>
      <c r="I1497" s="25" t="n">
        <f aca="false">IFERROR(IF(INDEX(Documents!$C$5:$C$657,MATCH(H1497,Documents!$A$5:$A$657,0))="","",INDEX(Documents!$C$5:$C$657,MATCH(H1497,Documents!$A$5:$A$657,0))),"")</f>
        <v>2012</v>
      </c>
      <c r="J1497" s="25" t="str">
        <f aca="false">IFERROR(IF(INDEX(Documents!$D$5:$D$657,MATCH(H1497,Documents!$A$5:$A$657,0))="","",INDEX(Documents!$D$5:$D$657,MATCH(H1497,Documents!$A$5:$A$657,0))),"")</f>
        <v>J Med Chem</v>
      </c>
      <c r="K1497" s="25" t="str">
        <f aca="false">IFERROR(IF(INDEX(Documents!$G$5:$G$657,MATCH(H1497,Documents!$A$5:$A$657,0))="","",INDEX(Documents!$G$5:$G$657,MATCH(H1497,Documents!$A$5:$A$657,0))),"")</f>
        <v>10.1021/jm3008568</v>
      </c>
      <c r="L1497" s="25" t="s">
        <v>3417</v>
      </c>
    </row>
    <row r="1498" customFormat="false" ht="15" hidden="false" customHeight="false" outlineLevel="0" collapsed="false">
      <c r="A1498" s="25" t="n">
        <v>12116578</v>
      </c>
      <c r="B1498" s="25" t="s">
        <v>3418</v>
      </c>
      <c r="C1498" s="25" t="s">
        <v>3419</v>
      </c>
      <c r="D1498" s="26" t="n">
        <v>9</v>
      </c>
      <c r="E1498" s="27" t="n">
        <v>8.04575749056068</v>
      </c>
      <c r="F1498" s="27" t="n">
        <v>8.04575749056068</v>
      </c>
      <c r="G1498" s="25" t="s">
        <v>3415</v>
      </c>
      <c r="H1498" s="25" t="s">
        <v>3416</v>
      </c>
      <c r="I1498" s="25" t="n">
        <f aca="false">IFERROR(IF(INDEX(Documents!$C$5:$C$657,MATCH(H1498,Documents!$A$5:$A$657,0))="","",INDEX(Documents!$C$5:$C$657,MATCH(H1498,Documents!$A$5:$A$657,0))),"")</f>
        <v>2012</v>
      </c>
      <c r="J1498" s="25" t="str">
        <f aca="false">IFERROR(IF(INDEX(Documents!$D$5:$D$657,MATCH(H1498,Documents!$A$5:$A$657,0))="","",INDEX(Documents!$D$5:$D$657,MATCH(H1498,Documents!$A$5:$A$657,0))),"")</f>
        <v>J Med Chem</v>
      </c>
      <c r="K1498" s="25" t="str">
        <f aca="false">IFERROR(IF(INDEX(Documents!$G$5:$G$657,MATCH(H1498,Documents!$A$5:$A$657,0))="","",INDEX(Documents!$G$5:$G$657,MATCH(H1498,Documents!$A$5:$A$657,0))),"")</f>
        <v>10.1021/jm3008568</v>
      </c>
      <c r="L1498" s="25" t="s">
        <v>3417</v>
      </c>
    </row>
    <row r="1499" customFormat="false" ht="15" hidden="false" customHeight="false" outlineLevel="0" collapsed="false">
      <c r="A1499" s="25" t="n">
        <v>12619630</v>
      </c>
      <c r="B1499" s="25" t="s">
        <v>3420</v>
      </c>
      <c r="C1499" s="25" t="s">
        <v>3421</v>
      </c>
      <c r="D1499" s="26" t="n">
        <v>212</v>
      </c>
      <c r="E1499" s="27" t="n">
        <v>6.67366413907125</v>
      </c>
      <c r="F1499" s="27" t="n">
        <v>6.67366413907125</v>
      </c>
      <c r="G1499" s="25" t="s">
        <v>2805</v>
      </c>
      <c r="H1499" s="25" t="s">
        <v>2806</v>
      </c>
      <c r="I1499" s="25" t="n">
        <f aca="false">IFERROR(IF(INDEX(Documents!$C$5:$C$657,MATCH(H1499,Documents!$A$5:$A$657,0))="","",INDEX(Documents!$C$5:$C$657,MATCH(H1499,Documents!$A$5:$A$657,0))),"")</f>
        <v>2013</v>
      </c>
      <c r="J1499" s="25" t="str">
        <f aca="false">IFERROR(IF(INDEX(Documents!$D$5:$D$657,MATCH(H1499,Documents!$A$5:$A$657,0))="","",INDEX(Documents!$D$5:$D$657,MATCH(H1499,Documents!$A$5:$A$657,0))),"")</f>
        <v>J Med Chem</v>
      </c>
      <c r="K1499" s="25" t="str">
        <f aca="false">IFERROR(IF(INDEX(Documents!$G$5:$G$657,MATCH(H1499,Documents!$A$5:$A$657,0))="","",INDEX(Documents!$G$5:$G$657,MATCH(H1499,Documents!$A$5:$A$657,0))),"")</f>
        <v>10.1021/jm301527r</v>
      </c>
      <c r="L1499" s="25" t="s">
        <v>2807</v>
      </c>
    </row>
    <row r="1500" customFormat="false" ht="15" hidden="false" customHeight="false" outlineLevel="0" collapsed="false">
      <c r="A1500" s="25" t="n">
        <v>1667521</v>
      </c>
      <c r="B1500" s="25" t="s">
        <v>3422</v>
      </c>
      <c r="C1500" s="25" t="s">
        <v>3423</v>
      </c>
      <c r="D1500" s="26" t="n">
        <v>174</v>
      </c>
      <c r="E1500" s="27" t="n">
        <v>6.7594507517174</v>
      </c>
      <c r="F1500" s="27" t="n">
        <v>6.7594507517174</v>
      </c>
      <c r="G1500" s="25" t="s">
        <v>1538</v>
      </c>
      <c r="H1500" s="25" t="s">
        <v>1539</v>
      </c>
      <c r="I1500" s="25" t="n">
        <f aca="false">IFERROR(IF(INDEX(Documents!$C$5:$C$657,MATCH(H1500,Documents!$A$5:$A$657,0))="","",INDEX(Documents!$C$5:$C$657,MATCH(H1500,Documents!$A$5:$A$657,0))),"")</f>
        <v>2006</v>
      </c>
      <c r="J1500" s="25" t="str">
        <f aca="false">IFERROR(IF(INDEX(Documents!$D$5:$D$657,MATCH(H1500,Documents!$A$5:$A$657,0))="","",INDEX(Documents!$D$5:$D$657,MATCH(H1500,Documents!$A$5:$A$657,0))),"")</f>
        <v>J Med Chem</v>
      </c>
      <c r="K1500" s="25" t="str">
        <f aca="false">IFERROR(IF(INDEX(Documents!$G$5:$G$657,MATCH(H1500,Documents!$A$5:$A$657,0))="","",INDEX(Documents!$G$5:$G$657,MATCH(H1500,Documents!$A$5:$A$657,0))),"")</f>
        <v>10.1021/jm050467q</v>
      </c>
      <c r="L1500" s="25" t="s">
        <v>775</v>
      </c>
    </row>
    <row r="1501" customFormat="false" ht="15" hidden="false" customHeight="false" outlineLevel="0" collapsed="false">
      <c r="A1501" s="25" t="n">
        <v>1667527</v>
      </c>
      <c r="B1501" s="25" t="s">
        <v>3424</v>
      </c>
      <c r="C1501" s="25" t="s">
        <v>3425</v>
      </c>
      <c r="D1501" s="26" t="n">
        <v>70.8</v>
      </c>
      <c r="E1501" s="27" t="n">
        <v>7.14996674231023</v>
      </c>
      <c r="F1501" s="27" t="n">
        <v>7.14996674231023</v>
      </c>
      <c r="G1501" s="25" t="s">
        <v>1538</v>
      </c>
      <c r="H1501" s="25" t="s">
        <v>1539</v>
      </c>
      <c r="I1501" s="25" t="n">
        <f aca="false">IFERROR(IF(INDEX(Documents!$C$5:$C$657,MATCH(H1501,Documents!$A$5:$A$657,0))="","",INDEX(Documents!$C$5:$C$657,MATCH(H1501,Documents!$A$5:$A$657,0))),"")</f>
        <v>2006</v>
      </c>
      <c r="J1501" s="25" t="str">
        <f aca="false">IFERROR(IF(INDEX(Documents!$D$5:$D$657,MATCH(H1501,Documents!$A$5:$A$657,0))="","",INDEX(Documents!$D$5:$D$657,MATCH(H1501,Documents!$A$5:$A$657,0))),"")</f>
        <v>J Med Chem</v>
      </c>
      <c r="K1501" s="25" t="str">
        <f aca="false">IFERROR(IF(INDEX(Documents!$G$5:$G$657,MATCH(H1501,Documents!$A$5:$A$657,0))="","",INDEX(Documents!$G$5:$G$657,MATCH(H1501,Documents!$A$5:$A$657,0))),"")</f>
        <v>10.1021/jm050467q</v>
      </c>
      <c r="L1501" s="25" t="s">
        <v>775</v>
      </c>
    </row>
    <row r="1502" customFormat="false" ht="15" hidden="false" customHeight="false" outlineLevel="0" collapsed="false">
      <c r="A1502" s="25" t="n">
        <v>12052766</v>
      </c>
      <c r="B1502" s="25" t="s">
        <v>3426</v>
      </c>
      <c r="C1502" s="25" t="s">
        <v>3427</v>
      </c>
      <c r="D1502" s="26" t="n">
        <v>19.9</v>
      </c>
      <c r="E1502" s="27" t="n">
        <v>7.70114692359029</v>
      </c>
      <c r="F1502" s="27" t="n">
        <v>7.70114692359029</v>
      </c>
      <c r="G1502" s="25" t="s">
        <v>587</v>
      </c>
      <c r="H1502" s="25" t="s">
        <v>588</v>
      </c>
      <c r="I1502" s="25" t="n">
        <f aca="false">IFERROR(IF(INDEX(Documents!$C$5:$C$657,MATCH(H1502,Documents!$A$5:$A$657,0))="","",INDEX(Documents!$C$5:$C$657,MATCH(H1502,Documents!$A$5:$A$657,0))),"")</f>
        <v>2012</v>
      </c>
      <c r="J1502" s="25" t="str">
        <f aca="false">IFERROR(IF(INDEX(Documents!$D$5:$D$657,MATCH(H1502,Documents!$A$5:$A$657,0))="","",INDEX(Documents!$D$5:$D$657,MATCH(H1502,Documents!$A$5:$A$657,0))),"")</f>
        <v>Eur J Med Chem</v>
      </c>
      <c r="K1502" s="25" t="str">
        <f aca="false">IFERROR(IF(INDEX(Documents!$G$5:$G$657,MATCH(H1502,Documents!$A$5:$A$657,0))="","",INDEX(Documents!$G$5:$G$657,MATCH(H1502,Documents!$A$5:$A$657,0))),"")</f>
        <v>10.1016/j.ejmech.2012.09.035</v>
      </c>
      <c r="L1502" s="25" t="s">
        <v>589</v>
      </c>
    </row>
    <row r="1503" customFormat="false" ht="15" hidden="false" customHeight="false" outlineLevel="0" collapsed="false">
      <c r="A1503" s="25" t="n">
        <v>12619631</v>
      </c>
      <c r="B1503" s="25" t="s">
        <v>3428</v>
      </c>
      <c r="C1503" s="25" t="s">
        <v>3429</v>
      </c>
      <c r="D1503" s="26" t="n">
        <v>9.83</v>
      </c>
      <c r="E1503" s="27" t="n">
        <v>8.00744648216787</v>
      </c>
      <c r="F1503" s="27" t="n">
        <v>8.00744648216787</v>
      </c>
      <c r="G1503" s="25" t="s">
        <v>2805</v>
      </c>
      <c r="H1503" s="25" t="s">
        <v>2806</v>
      </c>
      <c r="I1503" s="25" t="n">
        <f aca="false">IFERROR(IF(INDEX(Documents!$C$5:$C$657,MATCH(H1503,Documents!$A$5:$A$657,0))="","",INDEX(Documents!$C$5:$C$657,MATCH(H1503,Documents!$A$5:$A$657,0))),"")</f>
        <v>2013</v>
      </c>
      <c r="J1503" s="25" t="str">
        <f aca="false">IFERROR(IF(INDEX(Documents!$D$5:$D$657,MATCH(H1503,Documents!$A$5:$A$657,0))="","",INDEX(Documents!$D$5:$D$657,MATCH(H1503,Documents!$A$5:$A$657,0))),"")</f>
        <v>J Med Chem</v>
      </c>
      <c r="K1503" s="25" t="str">
        <f aca="false">IFERROR(IF(INDEX(Documents!$G$5:$G$657,MATCH(H1503,Documents!$A$5:$A$657,0))="","",INDEX(Documents!$G$5:$G$657,MATCH(H1503,Documents!$A$5:$A$657,0))),"")</f>
        <v>10.1021/jm301527r</v>
      </c>
      <c r="L1503" s="25" t="s">
        <v>2807</v>
      </c>
    </row>
    <row r="1504" customFormat="false" ht="15" hidden="false" customHeight="false" outlineLevel="0" collapsed="false">
      <c r="A1504" s="25" t="n">
        <v>1993847</v>
      </c>
      <c r="B1504" s="25" t="s">
        <v>3430</v>
      </c>
      <c r="C1504" s="25" t="s">
        <v>3431</v>
      </c>
      <c r="D1504" s="26" t="n">
        <v>54.6</v>
      </c>
      <c r="E1504" s="27" t="n">
        <v>7.26280735729526</v>
      </c>
      <c r="F1504" s="27" t="n">
        <v>7.26280735729526</v>
      </c>
      <c r="G1504" s="25" t="s">
        <v>1527</v>
      </c>
      <c r="H1504" s="25" t="s">
        <v>1528</v>
      </c>
      <c r="I1504" s="25" t="n">
        <f aca="false">IFERROR(IF(INDEX(Documents!$C$5:$C$657,MATCH(H1504,Documents!$A$5:$A$657,0))="","",INDEX(Documents!$C$5:$C$657,MATCH(H1504,Documents!$A$5:$A$657,0))),"")</f>
        <v>2007</v>
      </c>
      <c r="J1504" s="25" t="str">
        <f aca="false">IFERROR(IF(INDEX(Documents!$D$5:$D$657,MATCH(H1504,Documents!$A$5:$A$657,0))="","",INDEX(Documents!$D$5:$D$657,MATCH(H1504,Documents!$A$5:$A$657,0))),"")</f>
        <v>J Med Chem</v>
      </c>
      <c r="K1504" s="25" t="str">
        <f aca="false">IFERROR(IF(INDEX(Documents!$G$5:$G$657,MATCH(H1504,Documents!$A$5:$A$657,0))="","",INDEX(Documents!$G$5:$G$657,MATCH(H1504,Documents!$A$5:$A$657,0))),"")</f>
        <v>10.1021/jm070387h</v>
      </c>
      <c r="L1504" s="25" t="s">
        <v>1529</v>
      </c>
    </row>
    <row r="1505" customFormat="false" ht="15" hidden="false" customHeight="false" outlineLevel="0" collapsed="false">
      <c r="A1505" s="25" t="n">
        <v>1993846</v>
      </c>
      <c r="B1505" s="25" t="s">
        <v>3432</v>
      </c>
      <c r="C1505" s="25" t="s">
        <v>3433</v>
      </c>
      <c r="D1505" s="26" t="n">
        <v>5.3</v>
      </c>
      <c r="E1505" s="27" t="n">
        <v>8.27572413039921</v>
      </c>
      <c r="F1505" s="27" t="n">
        <v>8.27572413039921</v>
      </c>
      <c r="G1505" s="25" t="s">
        <v>1527</v>
      </c>
      <c r="H1505" s="25" t="s">
        <v>1528</v>
      </c>
      <c r="I1505" s="25" t="n">
        <f aca="false">IFERROR(IF(INDEX(Documents!$C$5:$C$657,MATCH(H1505,Documents!$A$5:$A$657,0))="","",INDEX(Documents!$C$5:$C$657,MATCH(H1505,Documents!$A$5:$A$657,0))),"")</f>
        <v>2007</v>
      </c>
      <c r="J1505" s="25" t="str">
        <f aca="false">IFERROR(IF(INDEX(Documents!$D$5:$D$657,MATCH(H1505,Documents!$A$5:$A$657,0))="","",INDEX(Documents!$D$5:$D$657,MATCH(H1505,Documents!$A$5:$A$657,0))),"")</f>
        <v>J Med Chem</v>
      </c>
      <c r="K1505" s="25" t="str">
        <f aca="false">IFERROR(IF(INDEX(Documents!$G$5:$G$657,MATCH(H1505,Documents!$A$5:$A$657,0))="","",INDEX(Documents!$G$5:$G$657,MATCH(H1505,Documents!$A$5:$A$657,0))),"")</f>
        <v>10.1021/jm070387h</v>
      </c>
      <c r="L1505" s="25" t="s">
        <v>1529</v>
      </c>
    </row>
    <row r="1506" customFormat="false" ht="15" hidden="false" customHeight="false" outlineLevel="0" collapsed="false">
      <c r="A1506" s="25" t="n">
        <v>1993845</v>
      </c>
      <c r="B1506" s="25" t="s">
        <v>3434</v>
      </c>
      <c r="C1506" s="25" t="s">
        <v>3435</v>
      </c>
      <c r="D1506" s="26" t="n">
        <v>27.4</v>
      </c>
      <c r="E1506" s="27" t="n">
        <v>7.56224943717961</v>
      </c>
      <c r="F1506" s="27" t="n">
        <v>7.56224943717961</v>
      </c>
      <c r="G1506" s="25" t="s">
        <v>1527</v>
      </c>
      <c r="H1506" s="25" t="s">
        <v>1528</v>
      </c>
      <c r="I1506" s="25" t="n">
        <f aca="false">IFERROR(IF(INDEX(Documents!$C$5:$C$657,MATCH(H1506,Documents!$A$5:$A$657,0))="","",INDEX(Documents!$C$5:$C$657,MATCH(H1506,Documents!$A$5:$A$657,0))),"")</f>
        <v>2007</v>
      </c>
      <c r="J1506" s="25" t="str">
        <f aca="false">IFERROR(IF(INDEX(Documents!$D$5:$D$657,MATCH(H1506,Documents!$A$5:$A$657,0))="","",INDEX(Documents!$D$5:$D$657,MATCH(H1506,Documents!$A$5:$A$657,0))),"")</f>
        <v>J Med Chem</v>
      </c>
      <c r="K1506" s="25" t="str">
        <f aca="false">IFERROR(IF(INDEX(Documents!$G$5:$G$657,MATCH(H1506,Documents!$A$5:$A$657,0))="","",INDEX(Documents!$G$5:$G$657,MATCH(H1506,Documents!$A$5:$A$657,0))),"")</f>
        <v>10.1021/jm070387h</v>
      </c>
      <c r="L1506" s="25" t="s">
        <v>1529</v>
      </c>
    </row>
    <row r="1507" customFormat="false" ht="15" hidden="false" customHeight="false" outlineLevel="0" collapsed="false">
      <c r="A1507" s="25" t="n">
        <v>1667529</v>
      </c>
      <c r="B1507" s="25" t="s">
        <v>3436</v>
      </c>
      <c r="C1507" s="25" t="s">
        <v>3437</v>
      </c>
      <c r="D1507" s="26" t="n">
        <v>15.8</v>
      </c>
      <c r="E1507" s="27" t="n">
        <v>7.80134291304558</v>
      </c>
      <c r="F1507" s="27" t="n">
        <v>7.80134291304558</v>
      </c>
      <c r="G1507" s="25" t="s">
        <v>1538</v>
      </c>
      <c r="H1507" s="25" t="s">
        <v>1539</v>
      </c>
      <c r="I1507" s="25" t="n">
        <f aca="false">IFERROR(IF(INDEX(Documents!$C$5:$C$657,MATCH(H1507,Documents!$A$5:$A$657,0))="","",INDEX(Documents!$C$5:$C$657,MATCH(H1507,Documents!$A$5:$A$657,0))),"")</f>
        <v>2006</v>
      </c>
      <c r="J1507" s="25" t="str">
        <f aca="false">IFERROR(IF(INDEX(Documents!$D$5:$D$657,MATCH(H1507,Documents!$A$5:$A$657,0))="","",INDEX(Documents!$D$5:$D$657,MATCH(H1507,Documents!$A$5:$A$657,0))),"")</f>
        <v>J Med Chem</v>
      </c>
      <c r="K1507" s="25" t="str">
        <f aca="false">IFERROR(IF(INDEX(Documents!$G$5:$G$657,MATCH(H1507,Documents!$A$5:$A$657,0))="","",INDEX(Documents!$G$5:$G$657,MATCH(H1507,Documents!$A$5:$A$657,0))),"")</f>
        <v>10.1021/jm050467q</v>
      </c>
      <c r="L1507" s="25" t="s">
        <v>775</v>
      </c>
    </row>
    <row r="1508" customFormat="false" ht="15" hidden="false" customHeight="false" outlineLevel="0" collapsed="false">
      <c r="A1508" s="25" t="n">
        <v>1993834</v>
      </c>
      <c r="B1508" s="25" t="s">
        <v>3438</v>
      </c>
      <c r="C1508" s="25" t="s">
        <v>3439</v>
      </c>
      <c r="D1508" s="26" t="n">
        <v>23.5</v>
      </c>
      <c r="E1508" s="27" t="n">
        <v>7.62893213772826</v>
      </c>
      <c r="F1508" s="27" t="n">
        <v>7.62893213772826</v>
      </c>
      <c r="G1508" s="25" t="s">
        <v>1527</v>
      </c>
      <c r="H1508" s="25" t="s">
        <v>1528</v>
      </c>
      <c r="I1508" s="25" t="n">
        <f aca="false">IFERROR(IF(INDEX(Documents!$C$5:$C$657,MATCH(H1508,Documents!$A$5:$A$657,0))="","",INDEX(Documents!$C$5:$C$657,MATCH(H1508,Documents!$A$5:$A$657,0))),"")</f>
        <v>2007</v>
      </c>
      <c r="J1508" s="25" t="str">
        <f aca="false">IFERROR(IF(INDEX(Documents!$D$5:$D$657,MATCH(H1508,Documents!$A$5:$A$657,0))="","",INDEX(Documents!$D$5:$D$657,MATCH(H1508,Documents!$A$5:$A$657,0))),"")</f>
        <v>J Med Chem</v>
      </c>
      <c r="K1508" s="25" t="str">
        <f aca="false">IFERROR(IF(INDEX(Documents!$G$5:$G$657,MATCH(H1508,Documents!$A$5:$A$657,0))="","",INDEX(Documents!$G$5:$G$657,MATCH(H1508,Documents!$A$5:$A$657,0))),"")</f>
        <v>10.1021/jm070387h</v>
      </c>
      <c r="L1508" s="25" t="s">
        <v>1529</v>
      </c>
    </row>
    <row r="1509" customFormat="false" ht="15" hidden="false" customHeight="false" outlineLevel="0" collapsed="false">
      <c r="A1509" s="25" t="n">
        <v>1993835</v>
      </c>
      <c r="B1509" s="25" t="s">
        <v>3440</v>
      </c>
      <c r="C1509" s="25" t="s">
        <v>3441</v>
      </c>
      <c r="D1509" s="26" t="n">
        <v>30.9</v>
      </c>
      <c r="E1509" s="27" t="n">
        <v>7.51004152057517</v>
      </c>
      <c r="F1509" s="27" t="n">
        <v>7.51004152057517</v>
      </c>
      <c r="G1509" s="25" t="s">
        <v>1527</v>
      </c>
      <c r="H1509" s="25" t="s">
        <v>1528</v>
      </c>
      <c r="I1509" s="25" t="n">
        <f aca="false">IFERROR(IF(INDEX(Documents!$C$5:$C$657,MATCH(H1509,Documents!$A$5:$A$657,0))="","",INDEX(Documents!$C$5:$C$657,MATCH(H1509,Documents!$A$5:$A$657,0))),"")</f>
        <v>2007</v>
      </c>
      <c r="J1509" s="25" t="str">
        <f aca="false">IFERROR(IF(INDEX(Documents!$D$5:$D$657,MATCH(H1509,Documents!$A$5:$A$657,0))="","",INDEX(Documents!$D$5:$D$657,MATCH(H1509,Documents!$A$5:$A$657,0))),"")</f>
        <v>J Med Chem</v>
      </c>
      <c r="K1509" s="25" t="str">
        <f aca="false">IFERROR(IF(INDEX(Documents!$G$5:$G$657,MATCH(H1509,Documents!$A$5:$A$657,0))="","",INDEX(Documents!$G$5:$G$657,MATCH(H1509,Documents!$A$5:$A$657,0))),"")</f>
        <v>10.1021/jm070387h</v>
      </c>
      <c r="L1509" s="25" t="s">
        <v>1529</v>
      </c>
    </row>
    <row r="1510" customFormat="false" ht="15" hidden="false" customHeight="false" outlineLevel="0" collapsed="false">
      <c r="A1510" s="25" t="n">
        <v>1993836</v>
      </c>
      <c r="B1510" s="25" t="s">
        <v>3442</v>
      </c>
      <c r="C1510" s="25" t="s">
        <v>3443</v>
      </c>
      <c r="D1510" s="26" t="n">
        <v>259</v>
      </c>
      <c r="E1510" s="27" t="n">
        <v>6.58670023591875</v>
      </c>
      <c r="F1510" s="27" t="n">
        <v>6.58670023591875</v>
      </c>
      <c r="G1510" s="25" t="s">
        <v>1527</v>
      </c>
      <c r="H1510" s="25" t="s">
        <v>1528</v>
      </c>
      <c r="I1510" s="25" t="n">
        <f aca="false">IFERROR(IF(INDEX(Documents!$C$5:$C$657,MATCH(H1510,Documents!$A$5:$A$657,0))="","",INDEX(Documents!$C$5:$C$657,MATCH(H1510,Documents!$A$5:$A$657,0))),"")</f>
        <v>2007</v>
      </c>
      <c r="J1510" s="25" t="str">
        <f aca="false">IFERROR(IF(INDEX(Documents!$D$5:$D$657,MATCH(H1510,Documents!$A$5:$A$657,0))="","",INDEX(Documents!$D$5:$D$657,MATCH(H1510,Documents!$A$5:$A$657,0))),"")</f>
        <v>J Med Chem</v>
      </c>
      <c r="K1510" s="25" t="str">
        <f aca="false">IFERROR(IF(INDEX(Documents!$G$5:$G$657,MATCH(H1510,Documents!$A$5:$A$657,0))="","",INDEX(Documents!$G$5:$G$657,MATCH(H1510,Documents!$A$5:$A$657,0))),"")</f>
        <v>10.1021/jm070387h</v>
      </c>
      <c r="L1510" s="25" t="s">
        <v>1529</v>
      </c>
    </row>
    <row r="1511" customFormat="false" ht="15" hidden="false" customHeight="false" outlineLevel="0" collapsed="false">
      <c r="A1511" s="25" t="n">
        <v>16495483</v>
      </c>
      <c r="B1511" s="25" t="s">
        <v>3444</v>
      </c>
      <c r="C1511" s="25" t="s">
        <v>3445</v>
      </c>
      <c r="D1511" s="26" t="n">
        <v>8.4</v>
      </c>
      <c r="E1511" s="27" t="n">
        <v>8.07572071393812</v>
      </c>
      <c r="F1511" s="27" t="n">
        <v>8.07572071393812</v>
      </c>
      <c r="G1511" s="25" t="s">
        <v>501</v>
      </c>
      <c r="H1511" s="25" t="s">
        <v>502</v>
      </c>
      <c r="I1511" s="25" t="n">
        <f aca="false">IFERROR(IF(INDEX(Documents!$C$5:$C$657,MATCH(H1511,Documents!$A$5:$A$657,0))="","",INDEX(Documents!$C$5:$C$657,MATCH(H1511,Documents!$A$5:$A$657,0))),"")</f>
        <v>2016</v>
      </c>
      <c r="J1511" s="25" t="str">
        <f aca="false">IFERROR(IF(INDEX(Documents!$D$5:$D$657,MATCH(H1511,Documents!$A$5:$A$657,0))="","",INDEX(Documents!$D$5:$D$657,MATCH(H1511,Documents!$A$5:$A$657,0))),"")</f>
        <v>Eur J Med Chem</v>
      </c>
      <c r="K1511" s="25" t="str">
        <f aca="false">IFERROR(IF(INDEX(Documents!$G$5:$G$657,MATCH(H1511,Documents!$A$5:$A$657,0))="","",INDEX(Documents!$G$5:$G$657,MATCH(H1511,Documents!$A$5:$A$657,0))),"")</f>
        <v>10.1016/j.ejmech.2016.02.032</v>
      </c>
      <c r="L1511" s="25" t="s">
        <v>503</v>
      </c>
    </row>
    <row r="1512" customFormat="false" ht="15" hidden="false" customHeight="false" outlineLevel="0" collapsed="false">
      <c r="A1512" s="25" t="n">
        <v>16495488</v>
      </c>
      <c r="B1512" s="25" t="s">
        <v>3446</v>
      </c>
      <c r="C1512" s="25" t="s">
        <v>3447</v>
      </c>
      <c r="D1512" s="26" t="n">
        <v>25</v>
      </c>
      <c r="E1512" s="27" t="n">
        <v>7.60205999132796</v>
      </c>
      <c r="F1512" s="27" t="n">
        <v>7.60205999132796</v>
      </c>
      <c r="G1512" s="25" t="s">
        <v>501</v>
      </c>
      <c r="H1512" s="25" t="s">
        <v>502</v>
      </c>
      <c r="I1512" s="25" t="n">
        <f aca="false">IFERROR(IF(INDEX(Documents!$C$5:$C$657,MATCH(H1512,Documents!$A$5:$A$657,0))="","",INDEX(Documents!$C$5:$C$657,MATCH(H1512,Documents!$A$5:$A$657,0))),"")</f>
        <v>2016</v>
      </c>
      <c r="J1512" s="25" t="str">
        <f aca="false">IFERROR(IF(INDEX(Documents!$D$5:$D$657,MATCH(H1512,Documents!$A$5:$A$657,0))="","",INDEX(Documents!$D$5:$D$657,MATCH(H1512,Documents!$A$5:$A$657,0))),"")</f>
        <v>Eur J Med Chem</v>
      </c>
      <c r="K1512" s="25" t="str">
        <f aca="false">IFERROR(IF(INDEX(Documents!$G$5:$G$657,MATCH(H1512,Documents!$A$5:$A$657,0))="","",INDEX(Documents!$G$5:$G$657,MATCH(H1512,Documents!$A$5:$A$657,0))),"")</f>
        <v>10.1016/j.ejmech.2016.02.032</v>
      </c>
      <c r="L1512" s="25" t="s">
        <v>503</v>
      </c>
    </row>
    <row r="1513" customFormat="false" ht="15" hidden="false" customHeight="false" outlineLevel="0" collapsed="false">
      <c r="A1513" s="25" t="n">
        <v>1993848</v>
      </c>
      <c r="B1513" s="25" t="s">
        <v>3448</v>
      </c>
      <c r="C1513" s="25" t="s">
        <v>3449</v>
      </c>
      <c r="D1513" s="26" t="n">
        <v>18.2</v>
      </c>
      <c r="E1513" s="27" t="n">
        <v>7.73992861201493</v>
      </c>
      <c r="F1513" s="27" t="n">
        <v>7.73992861201493</v>
      </c>
      <c r="G1513" s="25" t="s">
        <v>1527</v>
      </c>
      <c r="H1513" s="25" t="s">
        <v>1528</v>
      </c>
      <c r="I1513" s="25" t="n">
        <f aca="false">IFERROR(IF(INDEX(Documents!$C$5:$C$657,MATCH(H1513,Documents!$A$5:$A$657,0))="","",INDEX(Documents!$C$5:$C$657,MATCH(H1513,Documents!$A$5:$A$657,0))),"")</f>
        <v>2007</v>
      </c>
      <c r="J1513" s="25" t="str">
        <f aca="false">IFERROR(IF(INDEX(Documents!$D$5:$D$657,MATCH(H1513,Documents!$A$5:$A$657,0))="","",INDEX(Documents!$D$5:$D$657,MATCH(H1513,Documents!$A$5:$A$657,0))),"")</f>
        <v>J Med Chem</v>
      </c>
      <c r="K1513" s="25" t="str">
        <f aca="false">IFERROR(IF(INDEX(Documents!$G$5:$G$657,MATCH(H1513,Documents!$A$5:$A$657,0))="","",INDEX(Documents!$G$5:$G$657,MATCH(H1513,Documents!$A$5:$A$657,0))),"")</f>
        <v>10.1021/jm070387h</v>
      </c>
      <c r="L1513" s="25" t="s">
        <v>1529</v>
      </c>
    </row>
    <row r="1514" customFormat="false" ht="15" hidden="false" customHeight="false" outlineLevel="0" collapsed="false">
      <c r="A1514" s="25" t="n">
        <v>12116555</v>
      </c>
      <c r="B1514" s="25" t="s">
        <v>3450</v>
      </c>
      <c r="C1514" s="25" t="s">
        <v>3451</v>
      </c>
      <c r="D1514" s="26" t="n">
        <v>54.3</v>
      </c>
      <c r="E1514" s="27" t="n">
        <v>7.26520017041115</v>
      </c>
      <c r="F1514" s="27" t="n">
        <v>7.26520017041115</v>
      </c>
      <c r="G1514" s="25" t="s">
        <v>3415</v>
      </c>
      <c r="H1514" s="25" t="s">
        <v>3416</v>
      </c>
      <c r="I1514" s="25" t="n">
        <f aca="false">IFERROR(IF(INDEX(Documents!$C$5:$C$657,MATCH(H1514,Documents!$A$5:$A$657,0))="","",INDEX(Documents!$C$5:$C$657,MATCH(H1514,Documents!$A$5:$A$657,0))),"")</f>
        <v>2012</v>
      </c>
      <c r="J1514" s="25" t="str">
        <f aca="false">IFERROR(IF(INDEX(Documents!$D$5:$D$657,MATCH(H1514,Documents!$A$5:$A$657,0))="","",INDEX(Documents!$D$5:$D$657,MATCH(H1514,Documents!$A$5:$A$657,0))),"")</f>
        <v>J Med Chem</v>
      </c>
      <c r="K1514" s="25" t="str">
        <f aca="false">IFERROR(IF(INDEX(Documents!$G$5:$G$657,MATCH(H1514,Documents!$A$5:$A$657,0))="","",INDEX(Documents!$G$5:$G$657,MATCH(H1514,Documents!$A$5:$A$657,0))),"")</f>
        <v>10.1021/jm3008568</v>
      </c>
      <c r="L1514" s="25" t="s">
        <v>3417</v>
      </c>
    </row>
    <row r="1515" customFormat="false" ht="15" hidden="false" customHeight="false" outlineLevel="0" collapsed="false">
      <c r="A1515" s="25" t="n">
        <v>12115688</v>
      </c>
      <c r="B1515" s="25" t="s">
        <v>3452</v>
      </c>
      <c r="C1515" s="25" t="s">
        <v>3453</v>
      </c>
      <c r="D1515" s="26" t="n">
        <v>189.4</v>
      </c>
      <c r="E1515" s="27" t="n">
        <v>6.72262002533275</v>
      </c>
      <c r="F1515" s="27" t="n">
        <v>6.72262002533275</v>
      </c>
      <c r="G1515" s="25" t="s">
        <v>3415</v>
      </c>
      <c r="H1515" s="25" t="s">
        <v>3416</v>
      </c>
      <c r="I1515" s="25" t="n">
        <f aca="false">IFERROR(IF(INDEX(Documents!$C$5:$C$657,MATCH(H1515,Documents!$A$5:$A$657,0))="","",INDEX(Documents!$C$5:$C$657,MATCH(H1515,Documents!$A$5:$A$657,0))),"")</f>
        <v>2012</v>
      </c>
      <c r="J1515" s="25" t="str">
        <f aca="false">IFERROR(IF(INDEX(Documents!$D$5:$D$657,MATCH(H1515,Documents!$A$5:$A$657,0))="","",INDEX(Documents!$D$5:$D$657,MATCH(H1515,Documents!$A$5:$A$657,0))),"")</f>
        <v>J Med Chem</v>
      </c>
      <c r="K1515" s="25" t="str">
        <f aca="false">IFERROR(IF(INDEX(Documents!$G$5:$G$657,MATCH(H1515,Documents!$A$5:$A$657,0))="","",INDEX(Documents!$G$5:$G$657,MATCH(H1515,Documents!$A$5:$A$657,0))),"")</f>
        <v>10.1021/jm3008568</v>
      </c>
      <c r="L1515" s="25" t="s">
        <v>3417</v>
      </c>
    </row>
    <row r="1516" customFormat="false" ht="15" hidden="false" customHeight="false" outlineLevel="0" collapsed="false">
      <c r="A1516" s="25" t="n">
        <v>12116556</v>
      </c>
      <c r="B1516" s="25" t="s">
        <v>3454</v>
      </c>
      <c r="C1516" s="25" t="s">
        <v>3455</v>
      </c>
      <c r="D1516" s="26" t="n">
        <v>36.5</v>
      </c>
      <c r="E1516" s="27" t="n">
        <v>7.43770713554353</v>
      </c>
      <c r="F1516" s="27" t="n">
        <v>7.43770713554353</v>
      </c>
      <c r="G1516" s="25" t="s">
        <v>3415</v>
      </c>
      <c r="H1516" s="25" t="s">
        <v>3416</v>
      </c>
      <c r="I1516" s="25" t="n">
        <f aca="false">IFERROR(IF(INDEX(Documents!$C$5:$C$657,MATCH(H1516,Documents!$A$5:$A$657,0))="","",INDEX(Documents!$C$5:$C$657,MATCH(H1516,Documents!$A$5:$A$657,0))),"")</f>
        <v>2012</v>
      </c>
      <c r="J1516" s="25" t="str">
        <f aca="false">IFERROR(IF(INDEX(Documents!$D$5:$D$657,MATCH(H1516,Documents!$A$5:$A$657,0))="","",INDEX(Documents!$D$5:$D$657,MATCH(H1516,Documents!$A$5:$A$657,0))),"")</f>
        <v>J Med Chem</v>
      </c>
      <c r="K1516" s="25" t="str">
        <f aca="false">IFERROR(IF(INDEX(Documents!$G$5:$G$657,MATCH(H1516,Documents!$A$5:$A$657,0))="","",INDEX(Documents!$G$5:$G$657,MATCH(H1516,Documents!$A$5:$A$657,0))),"")</f>
        <v>10.1021/jm3008568</v>
      </c>
      <c r="L1516" s="25" t="s">
        <v>3417</v>
      </c>
    </row>
    <row r="1517" customFormat="false" ht="15" hidden="false" customHeight="false" outlineLevel="0" collapsed="false">
      <c r="A1517" s="25" t="n">
        <v>12115689</v>
      </c>
      <c r="B1517" s="25" t="s">
        <v>3456</v>
      </c>
      <c r="C1517" s="25" t="s">
        <v>3457</v>
      </c>
      <c r="D1517" s="26" t="n">
        <v>13.4</v>
      </c>
      <c r="E1517" s="27" t="n">
        <v>7.87289520163519</v>
      </c>
      <c r="F1517" s="27" t="n">
        <v>7.87289520163519</v>
      </c>
      <c r="G1517" s="25" t="s">
        <v>3415</v>
      </c>
      <c r="H1517" s="25" t="s">
        <v>3416</v>
      </c>
      <c r="I1517" s="25" t="n">
        <f aca="false">IFERROR(IF(INDEX(Documents!$C$5:$C$657,MATCH(H1517,Documents!$A$5:$A$657,0))="","",INDEX(Documents!$C$5:$C$657,MATCH(H1517,Documents!$A$5:$A$657,0))),"")</f>
        <v>2012</v>
      </c>
      <c r="J1517" s="25" t="str">
        <f aca="false">IFERROR(IF(INDEX(Documents!$D$5:$D$657,MATCH(H1517,Documents!$A$5:$A$657,0))="","",INDEX(Documents!$D$5:$D$657,MATCH(H1517,Documents!$A$5:$A$657,0))),"")</f>
        <v>J Med Chem</v>
      </c>
      <c r="K1517" s="25" t="str">
        <f aca="false">IFERROR(IF(INDEX(Documents!$G$5:$G$657,MATCH(H1517,Documents!$A$5:$A$657,0))="","",INDEX(Documents!$G$5:$G$657,MATCH(H1517,Documents!$A$5:$A$657,0))),"")</f>
        <v>10.1021/jm3008568</v>
      </c>
      <c r="L1517" s="25" t="s">
        <v>3417</v>
      </c>
    </row>
    <row r="1518" customFormat="false" ht="15" hidden="false" customHeight="false" outlineLevel="0" collapsed="false">
      <c r="A1518" s="25" t="n">
        <v>12116557</v>
      </c>
      <c r="B1518" s="25" t="s">
        <v>3458</v>
      </c>
      <c r="C1518" s="25" t="s">
        <v>3459</v>
      </c>
      <c r="D1518" s="26" t="n">
        <v>20.8</v>
      </c>
      <c r="E1518" s="27" t="n">
        <v>7.68193666503724</v>
      </c>
      <c r="F1518" s="27" t="n">
        <v>7.68193666503724</v>
      </c>
      <c r="G1518" s="25" t="s">
        <v>3415</v>
      </c>
      <c r="H1518" s="25" t="s">
        <v>3416</v>
      </c>
      <c r="I1518" s="25" t="n">
        <f aca="false">IFERROR(IF(INDEX(Documents!$C$5:$C$657,MATCH(H1518,Documents!$A$5:$A$657,0))="","",INDEX(Documents!$C$5:$C$657,MATCH(H1518,Documents!$A$5:$A$657,0))),"")</f>
        <v>2012</v>
      </c>
      <c r="J1518" s="25" t="str">
        <f aca="false">IFERROR(IF(INDEX(Documents!$D$5:$D$657,MATCH(H1518,Documents!$A$5:$A$657,0))="","",INDEX(Documents!$D$5:$D$657,MATCH(H1518,Documents!$A$5:$A$657,0))),"")</f>
        <v>J Med Chem</v>
      </c>
      <c r="K1518" s="25" t="str">
        <f aca="false">IFERROR(IF(INDEX(Documents!$G$5:$G$657,MATCH(H1518,Documents!$A$5:$A$657,0))="","",INDEX(Documents!$G$5:$G$657,MATCH(H1518,Documents!$A$5:$A$657,0))),"")</f>
        <v>10.1021/jm3008568</v>
      </c>
      <c r="L1518" s="25" t="s">
        <v>3417</v>
      </c>
    </row>
    <row r="1519" customFormat="false" ht="15" hidden="false" customHeight="false" outlineLevel="0" collapsed="false">
      <c r="A1519" s="25" t="n">
        <v>12619622</v>
      </c>
      <c r="B1519" s="25" t="s">
        <v>3460</v>
      </c>
      <c r="C1519" s="25" t="s">
        <v>3461</v>
      </c>
      <c r="D1519" s="26" t="n">
        <v>363</v>
      </c>
      <c r="E1519" s="27" t="n">
        <v>6.44009337496389</v>
      </c>
      <c r="F1519" s="27" t="n">
        <v>6.44009337496389</v>
      </c>
      <c r="G1519" s="25" t="s">
        <v>2805</v>
      </c>
      <c r="H1519" s="25" t="s">
        <v>2806</v>
      </c>
      <c r="I1519" s="25" t="n">
        <f aca="false">IFERROR(IF(INDEX(Documents!$C$5:$C$657,MATCH(H1519,Documents!$A$5:$A$657,0))="","",INDEX(Documents!$C$5:$C$657,MATCH(H1519,Documents!$A$5:$A$657,0))),"")</f>
        <v>2013</v>
      </c>
      <c r="J1519" s="25" t="str">
        <f aca="false">IFERROR(IF(INDEX(Documents!$D$5:$D$657,MATCH(H1519,Documents!$A$5:$A$657,0))="","",INDEX(Documents!$D$5:$D$657,MATCH(H1519,Documents!$A$5:$A$657,0))),"")</f>
        <v>J Med Chem</v>
      </c>
      <c r="K1519" s="25" t="str">
        <f aca="false">IFERROR(IF(INDEX(Documents!$G$5:$G$657,MATCH(H1519,Documents!$A$5:$A$657,0))="","",INDEX(Documents!$G$5:$G$657,MATCH(H1519,Documents!$A$5:$A$657,0))),"")</f>
        <v>10.1021/jm301527r</v>
      </c>
      <c r="L1519" s="25" t="s">
        <v>2807</v>
      </c>
    </row>
    <row r="1520" customFormat="false" ht="15" hidden="false" customHeight="false" outlineLevel="0" collapsed="false">
      <c r="A1520" s="25" t="n">
        <v>12619608</v>
      </c>
      <c r="B1520" s="25" t="s">
        <v>3462</v>
      </c>
      <c r="C1520" s="25" t="s">
        <v>3463</v>
      </c>
      <c r="D1520" s="26" t="n">
        <v>3.27</v>
      </c>
      <c r="E1520" s="27" t="n">
        <v>8.48545224733971</v>
      </c>
      <c r="F1520" s="27" t="n">
        <v>8.48545224733971</v>
      </c>
      <c r="G1520" s="25" t="s">
        <v>2805</v>
      </c>
      <c r="H1520" s="25" t="s">
        <v>2806</v>
      </c>
      <c r="I1520" s="25" t="n">
        <f aca="false">IFERROR(IF(INDEX(Documents!$C$5:$C$657,MATCH(H1520,Documents!$A$5:$A$657,0))="","",INDEX(Documents!$C$5:$C$657,MATCH(H1520,Documents!$A$5:$A$657,0))),"")</f>
        <v>2013</v>
      </c>
      <c r="J1520" s="25" t="str">
        <f aca="false">IFERROR(IF(INDEX(Documents!$D$5:$D$657,MATCH(H1520,Documents!$A$5:$A$657,0))="","",INDEX(Documents!$D$5:$D$657,MATCH(H1520,Documents!$A$5:$A$657,0))),"")</f>
        <v>J Med Chem</v>
      </c>
      <c r="K1520" s="25" t="str">
        <f aca="false">IFERROR(IF(INDEX(Documents!$G$5:$G$657,MATCH(H1520,Documents!$A$5:$A$657,0))="","",INDEX(Documents!$G$5:$G$657,MATCH(H1520,Documents!$A$5:$A$657,0))),"")</f>
        <v>10.1021/jm301527r</v>
      </c>
      <c r="L1520" s="25" t="s">
        <v>2807</v>
      </c>
    </row>
    <row r="1521" customFormat="false" ht="15" hidden="false" customHeight="false" outlineLevel="0" collapsed="false">
      <c r="A1521" s="25" t="n">
        <v>12619609</v>
      </c>
      <c r="B1521" s="25" t="s">
        <v>3464</v>
      </c>
      <c r="C1521" s="25" t="s">
        <v>3465</v>
      </c>
      <c r="D1521" s="26" t="n">
        <v>1.12</v>
      </c>
      <c r="E1521" s="27" t="n">
        <v>8.95078197732982</v>
      </c>
      <c r="F1521" s="27" t="n">
        <v>8.95078197732982</v>
      </c>
      <c r="G1521" s="25" t="s">
        <v>2805</v>
      </c>
      <c r="H1521" s="25" t="s">
        <v>2806</v>
      </c>
      <c r="I1521" s="25" t="n">
        <f aca="false">IFERROR(IF(INDEX(Documents!$C$5:$C$657,MATCH(H1521,Documents!$A$5:$A$657,0))="","",INDEX(Documents!$C$5:$C$657,MATCH(H1521,Documents!$A$5:$A$657,0))),"")</f>
        <v>2013</v>
      </c>
      <c r="J1521" s="25" t="str">
        <f aca="false">IFERROR(IF(INDEX(Documents!$D$5:$D$657,MATCH(H1521,Documents!$A$5:$A$657,0))="","",INDEX(Documents!$D$5:$D$657,MATCH(H1521,Documents!$A$5:$A$657,0))),"")</f>
        <v>J Med Chem</v>
      </c>
      <c r="K1521" s="25" t="str">
        <f aca="false">IFERROR(IF(INDEX(Documents!$G$5:$G$657,MATCH(H1521,Documents!$A$5:$A$657,0))="","",INDEX(Documents!$G$5:$G$657,MATCH(H1521,Documents!$A$5:$A$657,0))),"")</f>
        <v>10.1021/jm301527r</v>
      </c>
      <c r="L1521" s="25" t="s">
        <v>2807</v>
      </c>
    </row>
    <row r="1522" customFormat="false" ht="15" hidden="false" customHeight="false" outlineLevel="0" collapsed="false">
      <c r="A1522" s="25" t="n">
        <v>12619632</v>
      </c>
      <c r="B1522" s="25" t="s">
        <v>3466</v>
      </c>
      <c r="C1522" s="25" t="s">
        <v>3467</v>
      </c>
      <c r="D1522" s="26" t="n">
        <v>9.51</v>
      </c>
      <c r="E1522" s="27" t="n">
        <v>8.02181948306259</v>
      </c>
      <c r="F1522" s="27" t="n">
        <v>8.02181948306259</v>
      </c>
      <c r="G1522" s="25" t="s">
        <v>2805</v>
      </c>
      <c r="H1522" s="25" t="s">
        <v>2806</v>
      </c>
      <c r="I1522" s="25" t="n">
        <f aca="false">IFERROR(IF(INDEX(Documents!$C$5:$C$657,MATCH(H1522,Documents!$A$5:$A$657,0))="","",INDEX(Documents!$C$5:$C$657,MATCH(H1522,Documents!$A$5:$A$657,0))),"")</f>
        <v>2013</v>
      </c>
      <c r="J1522" s="25" t="str">
        <f aca="false">IFERROR(IF(INDEX(Documents!$D$5:$D$657,MATCH(H1522,Documents!$A$5:$A$657,0))="","",INDEX(Documents!$D$5:$D$657,MATCH(H1522,Documents!$A$5:$A$657,0))),"")</f>
        <v>J Med Chem</v>
      </c>
      <c r="K1522" s="25" t="str">
        <f aca="false">IFERROR(IF(INDEX(Documents!$G$5:$G$657,MATCH(H1522,Documents!$A$5:$A$657,0))="","",INDEX(Documents!$G$5:$G$657,MATCH(H1522,Documents!$A$5:$A$657,0))),"")</f>
        <v>10.1021/jm301527r</v>
      </c>
      <c r="L1522" s="25" t="s">
        <v>2807</v>
      </c>
    </row>
    <row r="1523" customFormat="false" ht="15" hidden="false" customHeight="false" outlineLevel="0" collapsed="false">
      <c r="A1523" s="25" t="n">
        <v>12619612</v>
      </c>
      <c r="B1523" s="25" t="s">
        <v>3468</v>
      </c>
      <c r="C1523" s="25" t="s">
        <v>3469</v>
      </c>
      <c r="D1523" s="26" t="n">
        <v>21</v>
      </c>
      <c r="E1523" s="27" t="n">
        <v>7.67778070526608</v>
      </c>
      <c r="F1523" s="27" t="n">
        <v>7.67778070526608</v>
      </c>
      <c r="G1523" s="25" t="s">
        <v>2805</v>
      </c>
      <c r="H1523" s="25" t="s">
        <v>2806</v>
      </c>
      <c r="I1523" s="25" t="n">
        <f aca="false">IFERROR(IF(INDEX(Documents!$C$5:$C$657,MATCH(H1523,Documents!$A$5:$A$657,0))="","",INDEX(Documents!$C$5:$C$657,MATCH(H1523,Documents!$A$5:$A$657,0))),"")</f>
        <v>2013</v>
      </c>
      <c r="J1523" s="25" t="str">
        <f aca="false">IFERROR(IF(INDEX(Documents!$D$5:$D$657,MATCH(H1523,Documents!$A$5:$A$657,0))="","",INDEX(Documents!$D$5:$D$657,MATCH(H1523,Documents!$A$5:$A$657,0))),"")</f>
        <v>J Med Chem</v>
      </c>
      <c r="K1523" s="25" t="str">
        <f aca="false">IFERROR(IF(INDEX(Documents!$G$5:$G$657,MATCH(H1523,Documents!$A$5:$A$657,0))="","",INDEX(Documents!$G$5:$G$657,MATCH(H1523,Documents!$A$5:$A$657,0))),"")</f>
        <v>10.1021/jm301527r</v>
      </c>
      <c r="L1523" s="25" t="s">
        <v>2807</v>
      </c>
    </row>
    <row r="1524" customFormat="false" ht="15" hidden="false" customHeight="false" outlineLevel="0" collapsed="false">
      <c r="A1524" s="25" t="n">
        <v>12619624</v>
      </c>
      <c r="B1524" s="25" t="s">
        <v>3470</v>
      </c>
      <c r="C1524" s="25" t="s">
        <v>3471</v>
      </c>
      <c r="D1524" s="26" t="n">
        <v>37</v>
      </c>
      <c r="E1524" s="27" t="n">
        <v>7.43179827593301</v>
      </c>
      <c r="F1524" s="27" t="n">
        <v>7.43179827593301</v>
      </c>
      <c r="G1524" s="25" t="s">
        <v>2805</v>
      </c>
      <c r="H1524" s="25" t="s">
        <v>2806</v>
      </c>
      <c r="I1524" s="25" t="n">
        <f aca="false">IFERROR(IF(INDEX(Documents!$C$5:$C$657,MATCH(H1524,Documents!$A$5:$A$657,0))="","",INDEX(Documents!$C$5:$C$657,MATCH(H1524,Documents!$A$5:$A$657,0))),"")</f>
        <v>2013</v>
      </c>
      <c r="J1524" s="25" t="str">
        <f aca="false">IFERROR(IF(INDEX(Documents!$D$5:$D$657,MATCH(H1524,Documents!$A$5:$A$657,0))="","",INDEX(Documents!$D$5:$D$657,MATCH(H1524,Documents!$A$5:$A$657,0))),"")</f>
        <v>J Med Chem</v>
      </c>
      <c r="K1524" s="25" t="str">
        <f aca="false">IFERROR(IF(INDEX(Documents!$G$5:$G$657,MATCH(H1524,Documents!$A$5:$A$657,0))="","",INDEX(Documents!$G$5:$G$657,MATCH(H1524,Documents!$A$5:$A$657,0))),"")</f>
        <v>10.1021/jm301527r</v>
      </c>
      <c r="L1524" s="25" t="s">
        <v>2807</v>
      </c>
    </row>
    <row r="1525" customFormat="false" ht="15" hidden="false" customHeight="false" outlineLevel="0" collapsed="false">
      <c r="A1525" s="25" t="n">
        <v>2228954</v>
      </c>
      <c r="B1525" s="25" t="s">
        <v>3472</v>
      </c>
      <c r="C1525" s="25" t="s">
        <v>3473</v>
      </c>
      <c r="D1525" s="26" t="n">
        <v>52.6</v>
      </c>
      <c r="E1525" s="27" t="n">
        <v>7.27901425584626</v>
      </c>
      <c r="F1525" s="27" t="n">
        <v>7.27901425584626</v>
      </c>
      <c r="G1525" s="25" t="s">
        <v>485</v>
      </c>
      <c r="H1525" s="25" t="s">
        <v>486</v>
      </c>
      <c r="I1525" s="25" t="n">
        <f aca="false">IFERROR(IF(INDEX(Documents!$C$5:$C$657,MATCH(H1525,Documents!$A$5:$A$657,0))="","",INDEX(Documents!$C$5:$C$657,MATCH(H1525,Documents!$A$5:$A$657,0))),"")</f>
        <v>2008</v>
      </c>
      <c r="J1525" s="25" t="str">
        <f aca="false">IFERROR(IF(INDEX(Documents!$D$5:$D$657,MATCH(H1525,Documents!$A$5:$A$657,0))="","",INDEX(Documents!$D$5:$D$657,MATCH(H1525,Documents!$A$5:$A$657,0))),"")</f>
        <v>J Med Chem</v>
      </c>
      <c r="K1525" s="25" t="str">
        <f aca="false">IFERROR(IF(INDEX(Documents!$G$5:$G$657,MATCH(H1525,Documents!$A$5:$A$657,0))="","",INDEX(Documents!$G$5:$G$657,MATCH(H1525,Documents!$A$5:$A$657,0))),"")</f>
        <v>10.1021/jm800552f</v>
      </c>
      <c r="L1525" s="25" t="s">
        <v>487</v>
      </c>
    </row>
    <row r="1526" customFormat="false" ht="15" hidden="false" customHeight="false" outlineLevel="0" collapsed="false">
      <c r="A1526" s="25" t="n">
        <v>3398967</v>
      </c>
      <c r="B1526" s="25" t="s">
        <v>3474</v>
      </c>
      <c r="C1526" s="25" t="s">
        <v>3475</v>
      </c>
      <c r="D1526" s="26" t="n">
        <v>125.7</v>
      </c>
      <c r="E1526" s="27" t="n">
        <v>6.90066472231404</v>
      </c>
      <c r="F1526" s="27" t="n">
        <v>6.94533087409349</v>
      </c>
      <c r="G1526" s="25" t="s">
        <v>283</v>
      </c>
      <c r="H1526" s="25" t="s">
        <v>284</v>
      </c>
      <c r="I1526" s="25" t="n">
        <f aca="false">IFERROR(IF(INDEX(Documents!$C$5:$C$657,MATCH(H1526,Documents!$A$5:$A$657,0))="","",INDEX(Documents!$C$5:$C$657,MATCH(H1526,Documents!$A$5:$A$657,0))),"")</f>
        <v>2010</v>
      </c>
      <c r="J1526" s="25" t="str">
        <f aca="false">IFERROR(IF(INDEX(Documents!$D$5:$D$657,MATCH(H1526,Documents!$A$5:$A$657,0))="","",INDEX(Documents!$D$5:$D$657,MATCH(H1526,Documents!$A$5:$A$657,0))),"")</f>
        <v>J Med Chem</v>
      </c>
      <c r="K1526" s="25" t="str">
        <f aca="false">IFERROR(IF(INDEX(Documents!$G$5:$G$657,MATCH(H1526,Documents!$A$5:$A$657,0))="","",INDEX(Documents!$G$5:$G$657,MATCH(H1526,Documents!$A$5:$A$657,0))),"")</f>
        <v>10.1021/jm100123x</v>
      </c>
      <c r="L1526" s="25" t="s">
        <v>285</v>
      </c>
    </row>
    <row r="1527" customFormat="false" ht="15" hidden="false" customHeight="false" outlineLevel="0" collapsed="false">
      <c r="A1527" s="25" t="n">
        <v>5205795</v>
      </c>
      <c r="B1527" s="25" t="s">
        <v>3474</v>
      </c>
      <c r="C1527" s="25" t="s">
        <v>3475</v>
      </c>
      <c r="D1527" s="26" t="n">
        <v>102.33</v>
      </c>
      <c r="E1527" s="27" t="n">
        <v>6.98999702587294</v>
      </c>
      <c r="F1527" s="27" t="n">
        <v>6.94533087409349</v>
      </c>
      <c r="G1527" s="25" t="s">
        <v>461</v>
      </c>
      <c r="H1527" s="25" t="s">
        <v>462</v>
      </c>
      <c r="I1527" s="25" t="n">
        <f aca="false">IFERROR(IF(INDEX(Documents!$C$5:$C$657,MATCH(H1527,Documents!$A$5:$A$657,0))="","",INDEX(Documents!$C$5:$C$657,MATCH(H1527,Documents!$A$5:$A$657,0))),"")</f>
        <v>2011</v>
      </c>
      <c r="J1527" s="25" t="str">
        <f aca="false">IFERROR(IF(INDEX(Documents!$D$5:$D$657,MATCH(H1527,Documents!$A$5:$A$657,0))="","",INDEX(Documents!$D$5:$D$657,MATCH(H1527,Documents!$A$5:$A$657,0))),"")</f>
        <v>Eur J Med Chem</v>
      </c>
      <c r="K1527" s="25" t="str">
        <f aca="false">IFERROR(IF(INDEX(Documents!$G$5:$G$657,MATCH(H1527,Documents!$A$5:$A$657,0))="","",INDEX(Documents!$G$5:$G$657,MATCH(H1527,Documents!$A$5:$A$657,0))),"")</f>
        <v>10.1016/j.ejmech.2010.11.034</v>
      </c>
      <c r="L1527" s="25" t="s">
        <v>463</v>
      </c>
    </row>
    <row r="1528" customFormat="false" ht="15" hidden="false" customHeight="false" outlineLevel="0" collapsed="false">
      <c r="A1528" s="25" t="n">
        <v>3398969</v>
      </c>
      <c r="B1528" s="25" t="s">
        <v>3476</v>
      </c>
      <c r="C1528" s="25" t="s">
        <v>3477</v>
      </c>
      <c r="D1528" s="26" t="n">
        <v>21.5</v>
      </c>
      <c r="E1528" s="27" t="n">
        <v>7.66756154008439</v>
      </c>
      <c r="F1528" s="27" t="n">
        <v>7.66756154008439</v>
      </c>
      <c r="G1528" s="25" t="s">
        <v>283</v>
      </c>
      <c r="H1528" s="25" t="s">
        <v>284</v>
      </c>
      <c r="I1528" s="25" t="n">
        <f aca="false">IFERROR(IF(INDEX(Documents!$C$5:$C$657,MATCH(H1528,Documents!$A$5:$A$657,0))="","",INDEX(Documents!$C$5:$C$657,MATCH(H1528,Documents!$A$5:$A$657,0))),"")</f>
        <v>2010</v>
      </c>
      <c r="J1528" s="25" t="str">
        <f aca="false">IFERROR(IF(INDEX(Documents!$D$5:$D$657,MATCH(H1528,Documents!$A$5:$A$657,0))="","",INDEX(Documents!$D$5:$D$657,MATCH(H1528,Documents!$A$5:$A$657,0))),"")</f>
        <v>J Med Chem</v>
      </c>
      <c r="K1528" s="25" t="str">
        <f aca="false">IFERROR(IF(INDEX(Documents!$G$5:$G$657,MATCH(H1528,Documents!$A$5:$A$657,0))="","",INDEX(Documents!$G$5:$G$657,MATCH(H1528,Documents!$A$5:$A$657,0))),"")</f>
        <v>10.1021/jm100123x</v>
      </c>
      <c r="L1528" s="25" t="s">
        <v>285</v>
      </c>
    </row>
    <row r="1529" customFormat="false" ht="15" hidden="false" customHeight="false" outlineLevel="0" collapsed="false">
      <c r="A1529" s="25" t="n">
        <v>3398973</v>
      </c>
      <c r="B1529" s="25" t="s">
        <v>3478</v>
      </c>
      <c r="C1529" s="25" t="s">
        <v>3479</v>
      </c>
      <c r="D1529" s="26" t="n">
        <v>181</v>
      </c>
      <c r="E1529" s="27" t="n">
        <v>6.74232142513082</v>
      </c>
      <c r="F1529" s="27" t="n">
        <v>6.74232142513082</v>
      </c>
      <c r="G1529" s="25" t="s">
        <v>283</v>
      </c>
      <c r="H1529" s="25" t="s">
        <v>284</v>
      </c>
      <c r="I1529" s="25" t="n">
        <f aca="false">IFERROR(IF(INDEX(Documents!$C$5:$C$657,MATCH(H1529,Documents!$A$5:$A$657,0))="","",INDEX(Documents!$C$5:$C$657,MATCH(H1529,Documents!$A$5:$A$657,0))),"")</f>
        <v>2010</v>
      </c>
      <c r="J1529" s="25" t="str">
        <f aca="false">IFERROR(IF(INDEX(Documents!$D$5:$D$657,MATCH(H1529,Documents!$A$5:$A$657,0))="","",INDEX(Documents!$D$5:$D$657,MATCH(H1529,Documents!$A$5:$A$657,0))),"")</f>
        <v>J Med Chem</v>
      </c>
      <c r="K1529" s="25" t="str">
        <f aca="false">IFERROR(IF(INDEX(Documents!$G$5:$G$657,MATCH(H1529,Documents!$A$5:$A$657,0))="","",INDEX(Documents!$G$5:$G$657,MATCH(H1529,Documents!$A$5:$A$657,0))),"")</f>
        <v>10.1021/jm100123x</v>
      </c>
      <c r="L1529" s="25" t="s">
        <v>285</v>
      </c>
    </row>
    <row r="1530" customFormat="false" ht="15" hidden="false" customHeight="false" outlineLevel="0" collapsed="false">
      <c r="A1530" s="25" t="n">
        <v>3398968</v>
      </c>
      <c r="B1530" s="25" t="s">
        <v>3480</v>
      </c>
      <c r="C1530" s="25" t="s">
        <v>3481</v>
      </c>
      <c r="D1530" s="26" t="n">
        <v>41.9</v>
      </c>
      <c r="E1530" s="27" t="n">
        <v>7.37778597703371</v>
      </c>
      <c r="F1530" s="27" t="n">
        <v>7.37778597703371</v>
      </c>
      <c r="G1530" s="25" t="s">
        <v>283</v>
      </c>
      <c r="H1530" s="25" t="s">
        <v>284</v>
      </c>
      <c r="I1530" s="25" t="n">
        <f aca="false">IFERROR(IF(INDEX(Documents!$C$5:$C$657,MATCH(H1530,Documents!$A$5:$A$657,0))="","",INDEX(Documents!$C$5:$C$657,MATCH(H1530,Documents!$A$5:$A$657,0))),"")</f>
        <v>2010</v>
      </c>
      <c r="J1530" s="25" t="str">
        <f aca="false">IFERROR(IF(INDEX(Documents!$D$5:$D$657,MATCH(H1530,Documents!$A$5:$A$657,0))="","",INDEX(Documents!$D$5:$D$657,MATCH(H1530,Documents!$A$5:$A$657,0))),"")</f>
        <v>J Med Chem</v>
      </c>
      <c r="K1530" s="25" t="str">
        <f aca="false">IFERROR(IF(INDEX(Documents!$G$5:$G$657,MATCH(H1530,Documents!$A$5:$A$657,0))="","",INDEX(Documents!$G$5:$G$657,MATCH(H1530,Documents!$A$5:$A$657,0))),"")</f>
        <v>10.1021/jm100123x</v>
      </c>
      <c r="L1530" s="25" t="s">
        <v>285</v>
      </c>
    </row>
    <row r="1531" customFormat="false" ht="15" hidden="false" customHeight="false" outlineLevel="0" collapsed="false">
      <c r="A1531" s="25" t="n">
        <v>3398961</v>
      </c>
      <c r="B1531" s="25" t="s">
        <v>3482</v>
      </c>
      <c r="C1531" s="25" t="s">
        <v>3483</v>
      </c>
      <c r="D1531" s="26" t="n">
        <v>11</v>
      </c>
      <c r="E1531" s="27" t="n">
        <v>7.95860731484178</v>
      </c>
      <c r="F1531" s="27" t="n">
        <v>7.95860731484178</v>
      </c>
      <c r="G1531" s="25" t="s">
        <v>283</v>
      </c>
      <c r="H1531" s="25" t="s">
        <v>284</v>
      </c>
      <c r="I1531" s="25" t="n">
        <f aca="false">IFERROR(IF(INDEX(Documents!$C$5:$C$657,MATCH(H1531,Documents!$A$5:$A$657,0))="","",INDEX(Documents!$C$5:$C$657,MATCH(H1531,Documents!$A$5:$A$657,0))),"")</f>
        <v>2010</v>
      </c>
      <c r="J1531" s="25" t="str">
        <f aca="false">IFERROR(IF(INDEX(Documents!$D$5:$D$657,MATCH(H1531,Documents!$A$5:$A$657,0))="","",INDEX(Documents!$D$5:$D$657,MATCH(H1531,Documents!$A$5:$A$657,0))),"")</f>
        <v>J Med Chem</v>
      </c>
      <c r="K1531" s="25" t="str">
        <f aca="false">IFERROR(IF(INDEX(Documents!$G$5:$G$657,MATCH(H1531,Documents!$A$5:$A$657,0))="","",INDEX(Documents!$G$5:$G$657,MATCH(H1531,Documents!$A$5:$A$657,0))),"")</f>
        <v>10.1021/jm100123x</v>
      </c>
      <c r="L1531" s="25" t="s">
        <v>285</v>
      </c>
    </row>
    <row r="1532" customFormat="false" ht="15" hidden="false" customHeight="false" outlineLevel="0" collapsed="false">
      <c r="A1532" s="25" t="n">
        <v>3398964</v>
      </c>
      <c r="B1532" s="25" t="s">
        <v>3484</v>
      </c>
      <c r="C1532" s="25" t="s">
        <v>3485</v>
      </c>
      <c r="D1532" s="26" t="n">
        <v>44.8</v>
      </c>
      <c r="E1532" s="27" t="n">
        <v>7.34872198600186</v>
      </c>
      <c r="F1532" s="27" t="n">
        <v>7.34872198600186</v>
      </c>
      <c r="G1532" s="25" t="s">
        <v>283</v>
      </c>
      <c r="H1532" s="25" t="s">
        <v>284</v>
      </c>
      <c r="I1532" s="25" t="n">
        <f aca="false">IFERROR(IF(INDEX(Documents!$C$5:$C$657,MATCH(H1532,Documents!$A$5:$A$657,0))="","",INDEX(Documents!$C$5:$C$657,MATCH(H1532,Documents!$A$5:$A$657,0))),"")</f>
        <v>2010</v>
      </c>
      <c r="J1532" s="25" t="str">
        <f aca="false">IFERROR(IF(INDEX(Documents!$D$5:$D$657,MATCH(H1532,Documents!$A$5:$A$657,0))="","",INDEX(Documents!$D$5:$D$657,MATCH(H1532,Documents!$A$5:$A$657,0))),"")</f>
        <v>J Med Chem</v>
      </c>
      <c r="K1532" s="25" t="str">
        <f aca="false">IFERROR(IF(INDEX(Documents!$G$5:$G$657,MATCH(H1532,Documents!$A$5:$A$657,0))="","",INDEX(Documents!$G$5:$G$657,MATCH(H1532,Documents!$A$5:$A$657,0))),"")</f>
        <v>10.1021/jm100123x</v>
      </c>
      <c r="L1532" s="25" t="s">
        <v>285</v>
      </c>
    </row>
    <row r="1533" customFormat="false" ht="15" hidden="false" customHeight="false" outlineLevel="0" collapsed="false">
      <c r="A1533" s="25" t="n">
        <v>3398962</v>
      </c>
      <c r="B1533" s="25" t="s">
        <v>3486</v>
      </c>
      <c r="C1533" s="25" t="s">
        <v>3487</v>
      </c>
      <c r="D1533" s="26" t="n">
        <v>16</v>
      </c>
      <c r="E1533" s="27" t="n">
        <v>7.79588001734408</v>
      </c>
      <c r="F1533" s="27" t="n">
        <v>7.79588001734408</v>
      </c>
      <c r="G1533" s="25" t="s">
        <v>283</v>
      </c>
      <c r="H1533" s="25" t="s">
        <v>284</v>
      </c>
      <c r="I1533" s="25" t="n">
        <f aca="false">IFERROR(IF(INDEX(Documents!$C$5:$C$657,MATCH(H1533,Documents!$A$5:$A$657,0))="","",INDEX(Documents!$C$5:$C$657,MATCH(H1533,Documents!$A$5:$A$657,0))),"")</f>
        <v>2010</v>
      </c>
      <c r="J1533" s="25" t="str">
        <f aca="false">IFERROR(IF(INDEX(Documents!$D$5:$D$657,MATCH(H1533,Documents!$A$5:$A$657,0))="","",INDEX(Documents!$D$5:$D$657,MATCH(H1533,Documents!$A$5:$A$657,0))),"")</f>
        <v>J Med Chem</v>
      </c>
      <c r="K1533" s="25" t="str">
        <f aca="false">IFERROR(IF(INDEX(Documents!$G$5:$G$657,MATCH(H1533,Documents!$A$5:$A$657,0))="","",INDEX(Documents!$G$5:$G$657,MATCH(H1533,Documents!$A$5:$A$657,0))),"")</f>
        <v>10.1021/jm100123x</v>
      </c>
      <c r="L1533" s="25" t="s">
        <v>285</v>
      </c>
    </row>
    <row r="1534" customFormat="false" ht="15" hidden="false" customHeight="false" outlineLevel="0" collapsed="false">
      <c r="A1534" s="25" t="n">
        <v>3398959</v>
      </c>
      <c r="B1534" s="25" t="s">
        <v>3488</v>
      </c>
      <c r="C1534" s="25" t="s">
        <v>3489</v>
      </c>
      <c r="D1534" s="26" t="n">
        <v>4.2</v>
      </c>
      <c r="E1534" s="27" t="n">
        <v>8.3767507096021</v>
      </c>
      <c r="F1534" s="27" t="n">
        <v>8.3767507096021</v>
      </c>
      <c r="G1534" s="25" t="s">
        <v>283</v>
      </c>
      <c r="H1534" s="25" t="s">
        <v>284</v>
      </c>
      <c r="I1534" s="25" t="n">
        <f aca="false">IFERROR(IF(INDEX(Documents!$C$5:$C$657,MATCH(H1534,Documents!$A$5:$A$657,0))="","",INDEX(Documents!$C$5:$C$657,MATCH(H1534,Documents!$A$5:$A$657,0))),"")</f>
        <v>2010</v>
      </c>
      <c r="J1534" s="25" t="str">
        <f aca="false">IFERROR(IF(INDEX(Documents!$D$5:$D$657,MATCH(H1534,Documents!$A$5:$A$657,0))="","",INDEX(Documents!$D$5:$D$657,MATCH(H1534,Documents!$A$5:$A$657,0))),"")</f>
        <v>J Med Chem</v>
      </c>
      <c r="K1534" s="25" t="str">
        <f aca="false">IFERROR(IF(INDEX(Documents!$G$5:$G$657,MATCH(H1534,Documents!$A$5:$A$657,0))="","",INDEX(Documents!$G$5:$G$657,MATCH(H1534,Documents!$A$5:$A$657,0))),"")</f>
        <v>10.1021/jm100123x</v>
      </c>
      <c r="L1534" s="25" t="s">
        <v>285</v>
      </c>
    </row>
    <row r="1535" customFormat="false" ht="15" hidden="false" customHeight="false" outlineLevel="0" collapsed="false">
      <c r="A1535" s="25" t="n">
        <v>3398965</v>
      </c>
      <c r="B1535" s="25" t="s">
        <v>3490</v>
      </c>
      <c r="C1535" s="25" t="s">
        <v>3491</v>
      </c>
      <c r="D1535" s="26" t="n">
        <v>59.3</v>
      </c>
      <c r="E1535" s="27" t="n">
        <v>7.22694530663574</v>
      </c>
      <c r="F1535" s="27" t="n">
        <v>7.22694530663574</v>
      </c>
      <c r="G1535" s="25" t="s">
        <v>283</v>
      </c>
      <c r="H1535" s="25" t="s">
        <v>284</v>
      </c>
      <c r="I1535" s="25" t="n">
        <f aca="false">IFERROR(IF(INDEX(Documents!$C$5:$C$657,MATCH(H1535,Documents!$A$5:$A$657,0))="","",INDEX(Documents!$C$5:$C$657,MATCH(H1535,Documents!$A$5:$A$657,0))),"")</f>
        <v>2010</v>
      </c>
      <c r="J1535" s="25" t="str">
        <f aca="false">IFERROR(IF(INDEX(Documents!$D$5:$D$657,MATCH(H1535,Documents!$A$5:$A$657,0))="","",INDEX(Documents!$D$5:$D$657,MATCH(H1535,Documents!$A$5:$A$657,0))),"")</f>
        <v>J Med Chem</v>
      </c>
      <c r="K1535" s="25" t="str">
        <f aca="false">IFERROR(IF(INDEX(Documents!$G$5:$G$657,MATCH(H1535,Documents!$A$5:$A$657,0))="","",INDEX(Documents!$G$5:$G$657,MATCH(H1535,Documents!$A$5:$A$657,0))),"")</f>
        <v>10.1021/jm100123x</v>
      </c>
      <c r="L1535" s="25" t="s">
        <v>285</v>
      </c>
    </row>
    <row r="1536" customFormat="false" ht="15" hidden="false" customHeight="false" outlineLevel="0" collapsed="false">
      <c r="A1536" s="25" t="n">
        <v>3398970</v>
      </c>
      <c r="B1536" s="25" t="s">
        <v>3492</v>
      </c>
      <c r="C1536" s="25" t="s">
        <v>3493</v>
      </c>
      <c r="D1536" s="26" t="n">
        <v>52.6</v>
      </c>
      <c r="E1536" s="27" t="n">
        <v>7.27901425584626</v>
      </c>
      <c r="F1536" s="27" t="n">
        <v>7.27901425584626</v>
      </c>
      <c r="G1536" s="25" t="s">
        <v>283</v>
      </c>
      <c r="H1536" s="25" t="s">
        <v>284</v>
      </c>
      <c r="I1536" s="25" t="n">
        <f aca="false">IFERROR(IF(INDEX(Documents!$C$5:$C$657,MATCH(H1536,Documents!$A$5:$A$657,0))="","",INDEX(Documents!$C$5:$C$657,MATCH(H1536,Documents!$A$5:$A$657,0))),"")</f>
        <v>2010</v>
      </c>
      <c r="J1536" s="25" t="str">
        <f aca="false">IFERROR(IF(INDEX(Documents!$D$5:$D$657,MATCH(H1536,Documents!$A$5:$A$657,0))="","",INDEX(Documents!$D$5:$D$657,MATCH(H1536,Documents!$A$5:$A$657,0))),"")</f>
        <v>J Med Chem</v>
      </c>
      <c r="K1536" s="25" t="str">
        <f aca="false">IFERROR(IF(INDEX(Documents!$G$5:$G$657,MATCH(H1536,Documents!$A$5:$A$657,0))="","",INDEX(Documents!$G$5:$G$657,MATCH(H1536,Documents!$A$5:$A$657,0))),"")</f>
        <v>10.1021/jm100123x</v>
      </c>
      <c r="L1536" s="25" t="s">
        <v>285</v>
      </c>
    </row>
    <row r="1537" customFormat="false" ht="15" hidden="false" customHeight="false" outlineLevel="0" collapsed="false">
      <c r="A1537" s="25" t="n">
        <v>6309526</v>
      </c>
      <c r="B1537" s="25" t="s">
        <v>3494</v>
      </c>
      <c r="C1537" s="25" t="s">
        <v>3495</v>
      </c>
      <c r="D1537" s="26" t="n">
        <v>430</v>
      </c>
      <c r="E1537" s="27" t="n">
        <v>6.36653154442041</v>
      </c>
      <c r="F1537" s="27" t="n">
        <v>6.36653154442041</v>
      </c>
      <c r="G1537" s="25" t="s">
        <v>1917</v>
      </c>
      <c r="H1537" s="25" t="s">
        <v>1918</v>
      </c>
      <c r="I1537" s="25" t="n">
        <f aca="false">IFERROR(IF(INDEX(Documents!$C$5:$C$657,MATCH(H1537,Documents!$A$5:$A$657,0))="","",INDEX(Documents!$C$5:$C$657,MATCH(H1537,Documents!$A$5:$A$657,0))),"")</f>
        <v>2011</v>
      </c>
      <c r="J1537" s="25" t="str">
        <f aca="false">IFERROR(IF(INDEX(Documents!$D$5:$D$657,MATCH(H1537,Documents!$A$5:$A$657,0))="","",INDEX(Documents!$D$5:$D$657,MATCH(H1537,Documents!$A$5:$A$657,0))),"")</f>
        <v>J Med Chem</v>
      </c>
      <c r="K1537" s="25" t="str">
        <f aca="false">IFERROR(IF(INDEX(Documents!$G$5:$G$657,MATCH(H1537,Documents!$A$5:$A$657,0))="","",INDEX(Documents!$G$5:$G$657,MATCH(H1537,Documents!$A$5:$A$657,0))),"")</f>
        <v>10.1021/jm200476p</v>
      </c>
      <c r="L1537" s="25" t="s">
        <v>676</v>
      </c>
    </row>
    <row r="1538" customFormat="false" ht="15" hidden="false" customHeight="false" outlineLevel="0" collapsed="false">
      <c r="A1538" s="25" t="n">
        <v>2228992</v>
      </c>
      <c r="B1538" s="25" t="s">
        <v>3496</v>
      </c>
      <c r="C1538" s="25" t="s">
        <v>3497</v>
      </c>
      <c r="D1538" s="26" t="n">
        <v>3.8</v>
      </c>
      <c r="E1538" s="27" t="n">
        <v>8.42021640338319</v>
      </c>
      <c r="F1538" s="27" t="n">
        <v>8.42021640338319</v>
      </c>
      <c r="G1538" s="25" t="s">
        <v>485</v>
      </c>
      <c r="H1538" s="25" t="s">
        <v>486</v>
      </c>
      <c r="I1538" s="25" t="n">
        <f aca="false">IFERROR(IF(INDEX(Documents!$C$5:$C$657,MATCH(H1538,Documents!$A$5:$A$657,0))="","",INDEX(Documents!$C$5:$C$657,MATCH(H1538,Documents!$A$5:$A$657,0))),"")</f>
        <v>2008</v>
      </c>
      <c r="J1538" s="25" t="str">
        <f aca="false">IFERROR(IF(INDEX(Documents!$D$5:$D$657,MATCH(H1538,Documents!$A$5:$A$657,0))="","",INDEX(Documents!$D$5:$D$657,MATCH(H1538,Documents!$A$5:$A$657,0))),"")</f>
        <v>J Med Chem</v>
      </c>
      <c r="K1538" s="25" t="str">
        <f aca="false">IFERROR(IF(INDEX(Documents!$G$5:$G$657,MATCH(H1538,Documents!$A$5:$A$657,0))="","",INDEX(Documents!$G$5:$G$657,MATCH(H1538,Documents!$A$5:$A$657,0))),"")</f>
        <v>10.1021/jm800552f</v>
      </c>
      <c r="L1538" s="25" t="s">
        <v>487</v>
      </c>
    </row>
    <row r="1539" customFormat="false" ht="15" hidden="false" customHeight="false" outlineLevel="0" collapsed="false">
      <c r="A1539" s="25" t="n">
        <v>6309527</v>
      </c>
      <c r="B1539" s="25" t="s">
        <v>3498</v>
      </c>
      <c r="C1539" s="25" t="s">
        <v>3499</v>
      </c>
      <c r="D1539" s="26" t="n">
        <v>8.5</v>
      </c>
      <c r="E1539" s="27" t="n">
        <v>8.07058107428571</v>
      </c>
      <c r="F1539" s="27" t="n">
        <v>8.07058107428571</v>
      </c>
      <c r="G1539" s="25" t="s">
        <v>1917</v>
      </c>
      <c r="H1539" s="25" t="s">
        <v>1918</v>
      </c>
      <c r="I1539" s="25" t="n">
        <f aca="false">IFERROR(IF(INDEX(Documents!$C$5:$C$657,MATCH(H1539,Documents!$A$5:$A$657,0))="","",INDEX(Documents!$C$5:$C$657,MATCH(H1539,Documents!$A$5:$A$657,0))),"")</f>
        <v>2011</v>
      </c>
      <c r="J1539" s="25" t="str">
        <f aca="false">IFERROR(IF(INDEX(Documents!$D$5:$D$657,MATCH(H1539,Documents!$A$5:$A$657,0))="","",INDEX(Documents!$D$5:$D$657,MATCH(H1539,Documents!$A$5:$A$657,0))),"")</f>
        <v>J Med Chem</v>
      </c>
      <c r="K1539" s="25" t="str">
        <f aca="false">IFERROR(IF(INDEX(Documents!$G$5:$G$657,MATCH(H1539,Documents!$A$5:$A$657,0))="","",INDEX(Documents!$G$5:$G$657,MATCH(H1539,Documents!$A$5:$A$657,0))),"")</f>
        <v>10.1021/jm200476p</v>
      </c>
      <c r="L1539" s="25" t="s">
        <v>676</v>
      </c>
    </row>
    <row r="1540" customFormat="false" ht="15" hidden="false" customHeight="false" outlineLevel="0" collapsed="false">
      <c r="A1540" s="25" t="n">
        <v>3398957</v>
      </c>
      <c r="B1540" s="25" t="s">
        <v>3500</v>
      </c>
      <c r="C1540" s="25" t="s">
        <v>3501</v>
      </c>
      <c r="D1540" s="26" t="n">
        <v>0.7</v>
      </c>
      <c r="E1540" s="27" t="n">
        <v>9.15490195998575</v>
      </c>
      <c r="F1540" s="27" t="n">
        <v>9.15490195998575</v>
      </c>
      <c r="G1540" s="25" t="s">
        <v>283</v>
      </c>
      <c r="H1540" s="25" t="s">
        <v>284</v>
      </c>
      <c r="I1540" s="25" t="n">
        <f aca="false">IFERROR(IF(INDEX(Documents!$C$5:$C$657,MATCH(H1540,Documents!$A$5:$A$657,0))="","",INDEX(Documents!$C$5:$C$657,MATCH(H1540,Documents!$A$5:$A$657,0))),"")</f>
        <v>2010</v>
      </c>
      <c r="J1540" s="25" t="str">
        <f aca="false">IFERROR(IF(INDEX(Documents!$D$5:$D$657,MATCH(H1540,Documents!$A$5:$A$657,0))="","",INDEX(Documents!$D$5:$D$657,MATCH(H1540,Documents!$A$5:$A$657,0))),"")</f>
        <v>J Med Chem</v>
      </c>
      <c r="K1540" s="25" t="str">
        <f aca="false">IFERROR(IF(INDEX(Documents!$G$5:$G$657,MATCH(H1540,Documents!$A$5:$A$657,0))="","",INDEX(Documents!$G$5:$G$657,MATCH(H1540,Documents!$A$5:$A$657,0))),"")</f>
        <v>10.1021/jm100123x</v>
      </c>
      <c r="L1540" s="25" t="s">
        <v>285</v>
      </c>
    </row>
    <row r="1541" customFormat="false" ht="15" hidden="false" customHeight="false" outlineLevel="0" collapsed="false">
      <c r="A1541" s="25" t="n">
        <v>3398958</v>
      </c>
      <c r="B1541" s="25" t="s">
        <v>3502</v>
      </c>
      <c r="C1541" s="25" t="s">
        <v>3503</v>
      </c>
      <c r="D1541" s="26" t="n">
        <v>2.3</v>
      </c>
      <c r="E1541" s="27" t="n">
        <v>8.63827216398241</v>
      </c>
      <c r="F1541" s="27" t="n">
        <v>8.63827216398241</v>
      </c>
      <c r="G1541" s="25" t="s">
        <v>283</v>
      </c>
      <c r="H1541" s="25" t="s">
        <v>284</v>
      </c>
      <c r="I1541" s="25" t="n">
        <f aca="false">IFERROR(IF(INDEX(Documents!$C$5:$C$657,MATCH(H1541,Documents!$A$5:$A$657,0))="","",INDEX(Documents!$C$5:$C$657,MATCH(H1541,Documents!$A$5:$A$657,0))),"")</f>
        <v>2010</v>
      </c>
      <c r="J1541" s="25" t="str">
        <f aca="false">IFERROR(IF(INDEX(Documents!$D$5:$D$657,MATCH(H1541,Documents!$A$5:$A$657,0))="","",INDEX(Documents!$D$5:$D$657,MATCH(H1541,Documents!$A$5:$A$657,0))),"")</f>
        <v>J Med Chem</v>
      </c>
      <c r="K1541" s="25" t="str">
        <f aca="false">IFERROR(IF(INDEX(Documents!$G$5:$G$657,MATCH(H1541,Documents!$A$5:$A$657,0))="","",INDEX(Documents!$G$5:$G$657,MATCH(H1541,Documents!$A$5:$A$657,0))),"")</f>
        <v>10.1021/jm100123x</v>
      </c>
      <c r="L1541" s="25" t="s">
        <v>285</v>
      </c>
    </row>
    <row r="1542" customFormat="false" ht="15" hidden="false" customHeight="false" outlineLevel="0" collapsed="false">
      <c r="A1542" s="25" t="n">
        <v>3398971</v>
      </c>
      <c r="B1542" s="25" t="s">
        <v>3504</v>
      </c>
      <c r="C1542" s="25" t="s">
        <v>3505</v>
      </c>
      <c r="D1542" s="26" t="n">
        <v>51</v>
      </c>
      <c r="E1542" s="27" t="n">
        <v>7.29242982390206</v>
      </c>
      <c r="F1542" s="27" t="n">
        <v>7.29242982390206</v>
      </c>
      <c r="G1542" s="25" t="s">
        <v>283</v>
      </c>
      <c r="H1542" s="25" t="s">
        <v>284</v>
      </c>
      <c r="I1542" s="25" t="n">
        <f aca="false">IFERROR(IF(INDEX(Documents!$C$5:$C$657,MATCH(H1542,Documents!$A$5:$A$657,0))="","",INDEX(Documents!$C$5:$C$657,MATCH(H1542,Documents!$A$5:$A$657,0))),"")</f>
        <v>2010</v>
      </c>
      <c r="J1542" s="25" t="str">
        <f aca="false">IFERROR(IF(INDEX(Documents!$D$5:$D$657,MATCH(H1542,Documents!$A$5:$A$657,0))="","",INDEX(Documents!$D$5:$D$657,MATCH(H1542,Documents!$A$5:$A$657,0))),"")</f>
        <v>J Med Chem</v>
      </c>
      <c r="K1542" s="25" t="str">
        <f aca="false">IFERROR(IF(INDEX(Documents!$G$5:$G$657,MATCH(H1542,Documents!$A$5:$A$657,0))="","",INDEX(Documents!$G$5:$G$657,MATCH(H1542,Documents!$A$5:$A$657,0))),"")</f>
        <v>10.1021/jm100123x</v>
      </c>
      <c r="L1542" s="25" t="s">
        <v>285</v>
      </c>
    </row>
    <row r="1543" customFormat="false" ht="15" hidden="false" customHeight="false" outlineLevel="0" collapsed="false">
      <c r="A1543" s="25" t="n">
        <v>3398977</v>
      </c>
      <c r="B1543" s="25" t="s">
        <v>3506</v>
      </c>
      <c r="C1543" s="25" t="s">
        <v>3507</v>
      </c>
      <c r="D1543" s="26" t="n">
        <v>0.7</v>
      </c>
      <c r="E1543" s="27" t="n">
        <v>9.15490195998575</v>
      </c>
      <c r="F1543" s="27" t="n">
        <v>9.15490195998575</v>
      </c>
      <c r="G1543" s="25" t="s">
        <v>283</v>
      </c>
      <c r="H1543" s="25" t="s">
        <v>284</v>
      </c>
      <c r="I1543" s="25" t="n">
        <f aca="false">IFERROR(IF(INDEX(Documents!$C$5:$C$657,MATCH(H1543,Documents!$A$5:$A$657,0))="","",INDEX(Documents!$C$5:$C$657,MATCH(H1543,Documents!$A$5:$A$657,0))),"")</f>
        <v>2010</v>
      </c>
      <c r="J1543" s="25" t="str">
        <f aca="false">IFERROR(IF(INDEX(Documents!$D$5:$D$657,MATCH(H1543,Documents!$A$5:$A$657,0))="","",INDEX(Documents!$D$5:$D$657,MATCH(H1543,Documents!$A$5:$A$657,0))),"")</f>
        <v>J Med Chem</v>
      </c>
      <c r="K1543" s="25" t="str">
        <f aca="false">IFERROR(IF(INDEX(Documents!$G$5:$G$657,MATCH(H1543,Documents!$A$5:$A$657,0))="","",INDEX(Documents!$G$5:$G$657,MATCH(H1543,Documents!$A$5:$A$657,0))),"")</f>
        <v>10.1021/jm100123x</v>
      </c>
      <c r="L1543" s="25" t="s">
        <v>285</v>
      </c>
    </row>
    <row r="1544" customFormat="false" ht="15" hidden="false" customHeight="false" outlineLevel="0" collapsed="false">
      <c r="A1544" s="25" t="n">
        <v>3398978</v>
      </c>
      <c r="B1544" s="25" t="s">
        <v>3508</v>
      </c>
      <c r="C1544" s="25" t="s">
        <v>3509</v>
      </c>
      <c r="D1544" s="26" t="n">
        <v>8</v>
      </c>
      <c r="E1544" s="27" t="n">
        <v>8.09691001300806</v>
      </c>
      <c r="F1544" s="27" t="n">
        <v>8.09691001300806</v>
      </c>
      <c r="G1544" s="25" t="s">
        <v>283</v>
      </c>
      <c r="H1544" s="25" t="s">
        <v>284</v>
      </c>
      <c r="I1544" s="25" t="n">
        <f aca="false">IFERROR(IF(INDEX(Documents!$C$5:$C$657,MATCH(H1544,Documents!$A$5:$A$657,0))="","",INDEX(Documents!$C$5:$C$657,MATCH(H1544,Documents!$A$5:$A$657,0))),"")</f>
        <v>2010</v>
      </c>
      <c r="J1544" s="25" t="str">
        <f aca="false">IFERROR(IF(INDEX(Documents!$D$5:$D$657,MATCH(H1544,Documents!$A$5:$A$657,0))="","",INDEX(Documents!$D$5:$D$657,MATCH(H1544,Documents!$A$5:$A$657,0))),"")</f>
        <v>J Med Chem</v>
      </c>
      <c r="K1544" s="25" t="str">
        <f aca="false">IFERROR(IF(INDEX(Documents!$G$5:$G$657,MATCH(H1544,Documents!$A$5:$A$657,0))="","",INDEX(Documents!$G$5:$G$657,MATCH(H1544,Documents!$A$5:$A$657,0))),"")</f>
        <v>10.1021/jm100123x</v>
      </c>
      <c r="L1544" s="25" t="s">
        <v>285</v>
      </c>
    </row>
    <row r="1545" customFormat="false" ht="15" hidden="false" customHeight="false" outlineLevel="0" collapsed="false">
      <c r="A1545" s="25" t="n">
        <v>3398972</v>
      </c>
      <c r="B1545" s="25" t="s">
        <v>3510</v>
      </c>
      <c r="C1545" s="25" t="s">
        <v>3511</v>
      </c>
      <c r="D1545" s="26" t="n">
        <v>71.6</v>
      </c>
      <c r="E1545" s="27" t="n">
        <v>7.14508697769214</v>
      </c>
      <c r="F1545" s="27" t="n">
        <v>7.14508697769214</v>
      </c>
      <c r="G1545" s="25" t="s">
        <v>283</v>
      </c>
      <c r="H1545" s="25" t="s">
        <v>284</v>
      </c>
      <c r="I1545" s="25" t="n">
        <f aca="false">IFERROR(IF(INDEX(Documents!$C$5:$C$657,MATCH(H1545,Documents!$A$5:$A$657,0))="","",INDEX(Documents!$C$5:$C$657,MATCH(H1545,Documents!$A$5:$A$657,0))),"")</f>
        <v>2010</v>
      </c>
      <c r="J1545" s="25" t="str">
        <f aca="false">IFERROR(IF(INDEX(Documents!$D$5:$D$657,MATCH(H1545,Documents!$A$5:$A$657,0))="","",INDEX(Documents!$D$5:$D$657,MATCH(H1545,Documents!$A$5:$A$657,0))),"")</f>
        <v>J Med Chem</v>
      </c>
      <c r="K1545" s="25" t="str">
        <f aca="false">IFERROR(IF(INDEX(Documents!$G$5:$G$657,MATCH(H1545,Documents!$A$5:$A$657,0))="","",INDEX(Documents!$G$5:$G$657,MATCH(H1545,Documents!$A$5:$A$657,0))),"")</f>
        <v>10.1021/jm100123x</v>
      </c>
      <c r="L1545" s="25" t="s">
        <v>285</v>
      </c>
    </row>
    <row r="1546" customFormat="false" ht="15" hidden="false" customHeight="false" outlineLevel="0" collapsed="false">
      <c r="A1546" s="25" t="n">
        <v>2228991</v>
      </c>
      <c r="B1546" s="25" t="s">
        <v>3512</v>
      </c>
      <c r="C1546" s="25" t="s">
        <v>3513</v>
      </c>
      <c r="D1546" s="26" t="n">
        <v>55.9</v>
      </c>
      <c r="E1546" s="27" t="n">
        <v>7.25258819211358</v>
      </c>
      <c r="F1546" s="27" t="n">
        <v>7.25258819211358</v>
      </c>
      <c r="G1546" s="25" t="s">
        <v>485</v>
      </c>
      <c r="H1546" s="25" t="s">
        <v>486</v>
      </c>
      <c r="I1546" s="25" t="n">
        <f aca="false">IFERROR(IF(INDEX(Documents!$C$5:$C$657,MATCH(H1546,Documents!$A$5:$A$657,0))="","",INDEX(Documents!$C$5:$C$657,MATCH(H1546,Documents!$A$5:$A$657,0))),"")</f>
        <v>2008</v>
      </c>
      <c r="J1546" s="25" t="str">
        <f aca="false">IFERROR(IF(INDEX(Documents!$D$5:$D$657,MATCH(H1546,Documents!$A$5:$A$657,0))="","",INDEX(Documents!$D$5:$D$657,MATCH(H1546,Documents!$A$5:$A$657,0))),"")</f>
        <v>J Med Chem</v>
      </c>
      <c r="K1546" s="25" t="str">
        <f aca="false">IFERROR(IF(INDEX(Documents!$G$5:$G$657,MATCH(H1546,Documents!$A$5:$A$657,0))="","",INDEX(Documents!$G$5:$G$657,MATCH(H1546,Documents!$A$5:$A$657,0))),"")</f>
        <v>10.1021/jm800552f</v>
      </c>
      <c r="L1546" s="25" t="s">
        <v>487</v>
      </c>
    </row>
    <row r="1547" customFormat="false" ht="15" hidden="false" customHeight="false" outlineLevel="0" collapsed="false">
      <c r="A1547" s="25" t="n">
        <v>3398976</v>
      </c>
      <c r="B1547" s="25" t="s">
        <v>3514</v>
      </c>
      <c r="C1547" s="25" t="s">
        <v>3515</v>
      </c>
      <c r="D1547" s="26" t="n">
        <v>65.4</v>
      </c>
      <c r="E1547" s="27" t="n">
        <v>7.18442225167573</v>
      </c>
      <c r="F1547" s="27" t="n">
        <v>7.18442225167573</v>
      </c>
      <c r="G1547" s="25" t="s">
        <v>283</v>
      </c>
      <c r="H1547" s="25" t="s">
        <v>284</v>
      </c>
      <c r="I1547" s="25" t="n">
        <f aca="false">IFERROR(IF(INDEX(Documents!$C$5:$C$657,MATCH(H1547,Documents!$A$5:$A$657,0))="","",INDEX(Documents!$C$5:$C$657,MATCH(H1547,Documents!$A$5:$A$657,0))),"")</f>
        <v>2010</v>
      </c>
      <c r="J1547" s="25" t="str">
        <f aca="false">IFERROR(IF(INDEX(Documents!$D$5:$D$657,MATCH(H1547,Documents!$A$5:$A$657,0))="","",INDEX(Documents!$D$5:$D$657,MATCH(H1547,Documents!$A$5:$A$657,0))),"")</f>
        <v>J Med Chem</v>
      </c>
      <c r="K1547" s="25" t="str">
        <f aca="false">IFERROR(IF(INDEX(Documents!$G$5:$G$657,MATCH(H1547,Documents!$A$5:$A$657,0))="","",INDEX(Documents!$G$5:$G$657,MATCH(H1547,Documents!$A$5:$A$657,0))),"")</f>
        <v>10.1021/jm100123x</v>
      </c>
      <c r="L1547" s="25" t="s">
        <v>285</v>
      </c>
    </row>
    <row r="1548" customFormat="false" ht="15" hidden="false" customHeight="false" outlineLevel="0" collapsed="false">
      <c r="A1548" s="25" t="n">
        <v>6309525</v>
      </c>
      <c r="B1548" s="25" t="s">
        <v>3516</v>
      </c>
      <c r="C1548" s="25" t="s">
        <v>3517</v>
      </c>
      <c r="D1548" s="26" t="n">
        <v>22.9</v>
      </c>
      <c r="E1548" s="27" t="n">
        <v>7.64016451766011</v>
      </c>
      <c r="F1548" s="27" t="n">
        <v>7.64016451766011</v>
      </c>
      <c r="G1548" s="25" t="s">
        <v>1917</v>
      </c>
      <c r="H1548" s="25" t="s">
        <v>1918</v>
      </c>
      <c r="I1548" s="25" t="n">
        <f aca="false">IFERROR(IF(INDEX(Documents!$C$5:$C$657,MATCH(H1548,Documents!$A$5:$A$657,0))="","",INDEX(Documents!$C$5:$C$657,MATCH(H1548,Documents!$A$5:$A$657,0))),"")</f>
        <v>2011</v>
      </c>
      <c r="J1548" s="25" t="str">
        <f aca="false">IFERROR(IF(INDEX(Documents!$D$5:$D$657,MATCH(H1548,Documents!$A$5:$A$657,0))="","",INDEX(Documents!$D$5:$D$657,MATCH(H1548,Documents!$A$5:$A$657,0))),"")</f>
        <v>J Med Chem</v>
      </c>
      <c r="K1548" s="25" t="str">
        <f aca="false">IFERROR(IF(INDEX(Documents!$G$5:$G$657,MATCH(H1548,Documents!$A$5:$A$657,0))="","",INDEX(Documents!$G$5:$G$657,MATCH(H1548,Documents!$A$5:$A$657,0))),"")</f>
        <v>10.1021/jm200476p</v>
      </c>
      <c r="L1548" s="25" t="s">
        <v>676</v>
      </c>
    </row>
    <row r="1549" customFormat="false" ht="15" hidden="false" customHeight="false" outlineLevel="0" collapsed="false">
      <c r="A1549" s="25" t="n">
        <v>2228956</v>
      </c>
      <c r="B1549" s="25" t="s">
        <v>3518</v>
      </c>
      <c r="C1549" s="25" t="s">
        <v>3519</v>
      </c>
      <c r="D1549" s="26" t="n">
        <v>14.3</v>
      </c>
      <c r="E1549" s="27" t="n">
        <v>7.84466396253494</v>
      </c>
      <c r="F1549" s="27" t="n">
        <v>7.84466396253494</v>
      </c>
      <c r="G1549" s="25" t="s">
        <v>485</v>
      </c>
      <c r="H1549" s="25" t="s">
        <v>486</v>
      </c>
      <c r="I1549" s="25" t="n">
        <f aca="false">IFERROR(IF(INDEX(Documents!$C$5:$C$657,MATCH(H1549,Documents!$A$5:$A$657,0))="","",INDEX(Documents!$C$5:$C$657,MATCH(H1549,Documents!$A$5:$A$657,0))),"")</f>
        <v>2008</v>
      </c>
      <c r="J1549" s="25" t="str">
        <f aca="false">IFERROR(IF(INDEX(Documents!$D$5:$D$657,MATCH(H1549,Documents!$A$5:$A$657,0))="","",INDEX(Documents!$D$5:$D$657,MATCH(H1549,Documents!$A$5:$A$657,0))),"")</f>
        <v>J Med Chem</v>
      </c>
      <c r="K1549" s="25" t="str">
        <f aca="false">IFERROR(IF(INDEX(Documents!$G$5:$G$657,MATCH(H1549,Documents!$A$5:$A$657,0))="","",INDEX(Documents!$G$5:$G$657,MATCH(H1549,Documents!$A$5:$A$657,0))),"")</f>
        <v>10.1021/jm800552f</v>
      </c>
      <c r="L1549" s="25" t="s">
        <v>487</v>
      </c>
    </row>
    <row r="1550" customFormat="false" ht="15" hidden="false" customHeight="false" outlineLevel="0" collapsed="false">
      <c r="A1550" s="25" t="n">
        <v>3398974</v>
      </c>
      <c r="B1550" s="25" t="s">
        <v>3520</v>
      </c>
      <c r="C1550" s="25" t="s">
        <v>3521</v>
      </c>
      <c r="D1550" s="26" t="n">
        <v>343</v>
      </c>
      <c r="E1550" s="27" t="n">
        <v>6.46470587995723</v>
      </c>
      <c r="F1550" s="27" t="n">
        <v>6.46470587995723</v>
      </c>
      <c r="G1550" s="25" t="s">
        <v>283</v>
      </c>
      <c r="H1550" s="25" t="s">
        <v>284</v>
      </c>
      <c r="I1550" s="25" t="n">
        <f aca="false">IFERROR(IF(INDEX(Documents!$C$5:$C$657,MATCH(H1550,Documents!$A$5:$A$657,0))="","",INDEX(Documents!$C$5:$C$657,MATCH(H1550,Documents!$A$5:$A$657,0))),"")</f>
        <v>2010</v>
      </c>
      <c r="J1550" s="25" t="str">
        <f aca="false">IFERROR(IF(INDEX(Documents!$D$5:$D$657,MATCH(H1550,Documents!$A$5:$A$657,0))="","",INDEX(Documents!$D$5:$D$657,MATCH(H1550,Documents!$A$5:$A$657,0))),"")</f>
        <v>J Med Chem</v>
      </c>
      <c r="K1550" s="25" t="str">
        <f aca="false">IFERROR(IF(INDEX(Documents!$G$5:$G$657,MATCH(H1550,Documents!$A$5:$A$657,0))="","",INDEX(Documents!$G$5:$G$657,MATCH(H1550,Documents!$A$5:$A$657,0))),"")</f>
        <v>10.1021/jm100123x</v>
      </c>
      <c r="L1550" s="25" t="s">
        <v>285</v>
      </c>
    </row>
    <row r="1551" customFormat="false" ht="15" hidden="false" customHeight="false" outlineLevel="0" collapsed="false">
      <c r="A1551" s="25" t="n">
        <v>2228960</v>
      </c>
      <c r="B1551" s="25" t="s">
        <v>3522</v>
      </c>
      <c r="C1551" s="25" t="s">
        <v>3523</v>
      </c>
      <c r="D1551" s="26" t="n">
        <v>6.3</v>
      </c>
      <c r="E1551" s="27" t="n">
        <v>8.20065945054642</v>
      </c>
      <c r="F1551" s="27" t="n">
        <v>8.20065945054642</v>
      </c>
      <c r="G1551" s="25" t="s">
        <v>485</v>
      </c>
      <c r="H1551" s="25" t="s">
        <v>486</v>
      </c>
      <c r="I1551" s="25" t="n">
        <f aca="false">IFERROR(IF(INDEX(Documents!$C$5:$C$657,MATCH(H1551,Documents!$A$5:$A$657,0))="","",INDEX(Documents!$C$5:$C$657,MATCH(H1551,Documents!$A$5:$A$657,0))),"")</f>
        <v>2008</v>
      </c>
      <c r="J1551" s="25" t="str">
        <f aca="false">IFERROR(IF(INDEX(Documents!$D$5:$D$657,MATCH(H1551,Documents!$A$5:$A$657,0))="","",INDEX(Documents!$D$5:$D$657,MATCH(H1551,Documents!$A$5:$A$657,0))),"")</f>
        <v>J Med Chem</v>
      </c>
      <c r="K1551" s="25" t="str">
        <f aca="false">IFERROR(IF(INDEX(Documents!$G$5:$G$657,MATCH(H1551,Documents!$A$5:$A$657,0))="","",INDEX(Documents!$G$5:$G$657,MATCH(H1551,Documents!$A$5:$A$657,0))),"")</f>
        <v>10.1021/jm800552f</v>
      </c>
      <c r="L1551" s="25" t="s">
        <v>487</v>
      </c>
    </row>
    <row r="1552" customFormat="false" ht="15" hidden="false" customHeight="false" outlineLevel="0" collapsed="false">
      <c r="A1552" s="25" t="n">
        <v>2228961</v>
      </c>
      <c r="B1552" s="25" t="s">
        <v>3524</v>
      </c>
      <c r="C1552" s="25" t="s">
        <v>3525</v>
      </c>
      <c r="D1552" s="26" t="n">
        <v>11.6</v>
      </c>
      <c r="E1552" s="27" t="n">
        <v>7.93554201077308</v>
      </c>
      <c r="F1552" s="27" t="n">
        <v>7.93554201077308</v>
      </c>
      <c r="G1552" s="25" t="s">
        <v>485</v>
      </c>
      <c r="H1552" s="25" t="s">
        <v>486</v>
      </c>
      <c r="I1552" s="25" t="n">
        <f aca="false">IFERROR(IF(INDEX(Documents!$C$5:$C$657,MATCH(H1552,Documents!$A$5:$A$657,0))="","",INDEX(Documents!$C$5:$C$657,MATCH(H1552,Documents!$A$5:$A$657,0))),"")</f>
        <v>2008</v>
      </c>
      <c r="J1552" s="25" t="str">
        <f aca="false">IFERROR(IF(INDEX(Documents!$D$5:$D$657,MATCH(H1552,Documents!$A$5:$A$657,0))="","",INDEX(Documents!$D$5:$D$657,MATCH(H1552,Documents!$A$5:$A$657,0))),"")</f>
        <v>J Med Chem</v>
      </c>
      <c r="K1552" s="25" t="str">
        <f aca="false">IFERROR(IF(INDEX(Documents!$G$5:$G$657,MATCH(H1552,Documents!$A$5:$A$657,0))="","",INDEX(Documents!$G$5:$G$657,MATCH(H1552,Documents!$A$5:$A$657,0))),"")</f>
        <v>10.1021/jm800552f</v>
      </c>
      <c r="L1552" s="25" t="s">
        <v>487</v>
      </c>
    </row>
    <row r="1553" customFormat="false" ht="15" hidden="false" customHeight="false" outlineLevel="0" collapsed="false">
      <c r="A1553" s="25" t="n">
        <v>3398960</v>
      </c>
      <c r="B1553" s="25" t="s">
        <v>3526</v>
      </c>
      <c r="C1553" s="25" t="s">
        <v>3527</v>
      </c>
      <c r="D1553" s="26" t="n">
        <v>8.3</v>
      </c>
      <c r="E1553" s="27" t="n">
        <v>8.08092190762393</v>
      </c>
      <c r="F1553" s="27" t="n">
        <v>8.08092190762393</v>
      </c>
      <c r="G1553" s="25" t="s">
        <v>283</v>
      </c>
      <c r="H1553" s="25" t="s">
        <v>284</v>
      </c>
      <c r="I1553" s="25" t="n">
        <f aca="false">IFERROR(IF(INDEX(Documents!$C$5:$C$657,MATCH(H1553,Documents!$A$5:$A$657,0))="","",INDEX(Documents!$C$5:$C$657,MATCH(H1553,Documents!$A$5:$A$657,0))),"")</f>
        <v>2010</v>
      </c>
      <c r="J1553" s="25" t="str">
        <f aca="false">IFERROR(IF(INDEX(Documents!$D$5:$D$657,MATCH(H1553,Documents!$A$5:$A$657,0))="","",INDEX(Documents!$D$5:$D$657,MATCH(H1553,Documents!$A$5:$A$657,0))),"")</f>
        <v>J Med Chem</v>
      </c>
      <c r="K1553" s="25" t="str">
        <f aca="false">IFERROR(IF(INDEX(Documents!$G$5:$G$657,MATCH(H1553,Documents!$A$5:$A$657,0))="","",INDEX(Documents!$G$5:$G$657,MATCH(H1553,Documents!$A$5:$A$657,0))),"")</f>
        <v>10.1021/jm100123x</v>
      </c>
      <c r="L1553" s="25" t="s">
        <v>285</v>
      </c>
    </row>
    <row r="1554" customFormat="false" ht="15" hidden="false" customHeight="false" outlineLevel="0" collapsed="false">
      <c r="A1554" s="25" t="n">
        <v>3398979</v>
      </c>
      <c r="B1554" s="25" t="s">
        <v>3528</v>
      </c>
      <c r="C1554" s="25" t="s">
        <v>3529</v>
      </c>
      <c r="D1554" s="26" t="n">
        <v>7.3</v>
      </c>
      <c r="E1554" s="27" t="n">
        <v>8.13667713987955</v>
      </c>
      <c r="F1554" s="27" t="n">
        <v>8.13667713987955</v>
      </c>
      <c r="G1554" s="25" t="s">
        <v>283</v>
      </c>
      <c r="H1554" s="25" t="s">
        <v>284</v>
      </c>
      <c r="I1554" s="25" t="n">
        <f aca="false">IFERROR(IF(INDEX(Documents!$C$5:$C$657,MATCH(H1554,Documents!$A$5:$A$657,0))="","",INDEX(Documents!$C$5:$C$657,MATCH(H1554,Documents!$A$5:$A$657,0))),"")</f>
        <v>2010</v>
      </c>
      <c r="J1554" s="25" t="str">
        <f aca="false">IFERROR(IF(INDEX(Documents!$D$5:$D$657,MATCH(H1554,Documents!$A$5:$A$657,0))="","",INDEX(Documents!$D$5:$D$657,MATCH(H1554,Documents!$A$5:$A$657,0))),"")</f>
        <v>J Med Chem</v>
      </c>
      <c r="K1554" s="25" t="str">
        <f aca="false">IFERROR(IF(INDEX(Documents!$G$5:$G$657,MATCH(H1554,Documents!$A$5:$A$657,0))="","",INDEX(Documents!$G$5:$G$657,MATCH(H1554,Documents!$A$5:$A$657,0))),"")</f>
        <v>10.1021/jm100123x</v>
      </c>
      <c r="L1554" s="25" t="s">
        <v>285</v>
      </c>
    </row>
    <row r="1555" customFormat="false" ht="15" hidden="false" customHeight="false" outlineLevel="0" collapsed="false">
      <c r="A1555" s="25" t="n">
        <v>3398982</v>
      </c>
      <c r="B1555" s="25" t="s">
        <v>3530</v>
      </c>
      <c r="C1555" s="25" t="s">
        <v>3531</v>
      </c>
      <c r="D1555" s="26" t="n">
        <v>16.9</v>
      </c>
      <c r="E1555" s="27" t="n">
        <v>7.77211329538633</v>
      </c>
      <c r="F1555" s="27" t="n">
        <v>7.77211329538633</v>
      </c>
      <c r="G1555" s="25" t="s">
        <v>283</v>
      </c>
      <c r="H1555" s="25" t="s">
        <v>284</v>
      </c>
      <c r="I1555" s="25" t="n">
        <f aca="false">IFERROR(IF(INDEX(Documents!$C$5:$C$657,MATCH(H1555,Documents!$A$5:$A$657,0))="","",INDEX(Documents!$C$5:$C$657,MATCH(H1555,Documents!$A$5:$A$657,0))),"")</f>
        <v>2010</v>
      </c>
      <c r="J1555" s="25" t="str">
        <f aca="false">IFERROR(IF(INDEX(Documents!$D$5:$D$657,MATCH(H1555,Documents!$A$5:$A$657,0))="","",INDEX(Documents!$D$5:$D$657,MATCH(H1555,Documents!$A$5:$A$657,0))),"")</f>
        <v>J Med Chem</v>
      </c>
      <c r="K1555" s="25" t="str">
        <f aca="false">IFERROR(IF(INDEX(Documents!$G$5:$G$657,MATCH(H1555,Documents!$A$5:$A$657,0))="","",INDEX(Documents!$G$5:$G$657,MATCH(H1555,Documents!$A$5:$A$657,0))),"")</f>
        <v>10.1021/jm100123x</v>
      </c>
      <c r="L1555" s="25" t="s">
        <v>285</v>
      </c>
    </row>
    <row r="1556" customFormat="false" ht="15" hidden="false" customHeight="false" outlineLevel="0" collapsed="false">
      <c r="A1556" s="25" t="n">
        <v>3398983</v>
      </c>
      <c r="B1556" s="25" t="s">
        <v>3532</v>
      </c>
      <c r="C1556" s="25" t="s">
        <v>3533</v>
      </c>
      <c r="D1556" s="26" t="n">
        <v>56.6</v>
      </c>
      <c r="E1556" s="27" t="n">
        <v>7.24718356881173</v>
      </c>
      <c r="F1556" s="27" t="n">
        <v>7.24718356881173</v>
      </c>
      <c r="G1556" s="25" t="s">
        <v>283</v>
      </c>
      <c r="H1556" s="25" t="s">
        <v>284</v>
      </c>
      <c r="I1556" s="25" t="n">
        <f aca="false">IFERROR(IF(INDEX(Documents!$C$5:$C$657,MATCH(H1556,Documents!$A$5:$A$657,0))="","",INDEX(Documents!$C$5:$C$657,MATCH(H1556,Documents!$A$5:$A$657,0))),"")</f>
        <v>2010</v>
      </c>
      <c r="J1556" s="25" t="str">
        <f aca="false">IFERROR(IF(INDEX(Documents!$D$5:$D$657,MATCH(H1556,Documents!$A$5:$A$657,0))="","",INDEX(Documents!$D$5:$D$657,MATCH(H1556,Documents!$A$5:$A$657,0))),"")</f>
        <v>J Med Chem</v>
      </c>
      <c r="K1556" s="25" t="str">
        <f aca="false">IFERROR(IF(INDEX(Documents!$G$5:$G$657,MATCH(H1556,Documents!$A$5:$A$657,0))="","",INDEX(Documents!$G$5:$G$657,MATCH(H1556,Documents!$A$5:$A$657,0))),"")</f>
        <v>10.1021/jm100123x</v>
      </c>
      <c r="L1556" s="25" t="s">
        <v>285</v>
      </c>
    </row>
    <row r="1557" customFormat="false" ht="15" hidden="false" customHeight="false" outlineLevel="0" collapsed="false">
      <c r="A1557" s="25" t="n">
        <v>3398954</v>
      </c>
      <c r="B1557" s="25" t="s">
        <v>3534</v>
      </c>
      <c r="C1557" s="25" t="s">
        <v>3535</v>
      </c>
      <c r="D1557" s="26" t="n">
        <v>3881</v>
      </c>
      <c r="E1557" s="27" t="n">
        <v>5.41105635725999</v>
      </c>
      <c r="F1557" s="27" t="n">
        <v>5.41105635725999</v>
      </c>
      <c r="G1557" s="25" t="s">
        <v>283</v>
      </c>
      <c r="H1557" s="25" t="s">
        <v>284</v>
      </c>
      <c r="I1557" s="25" t="n">
        <f aca="false">IFERROR(IF(INDEX(Documents!$C$5:$C$657,MATCH(H1557,Documents!$A$5:$A$657,0))="","",INDEX(Documents!$C$5:$C$657,MATCH(H1557,Documents!$A$5:$A$657,0))),"")</f>
        <v>2010</v>
      </c>
      <c r="J1557" s="25" t="str">
        <f aca="false">IFERROR(IF(INDEX(Documents!$D$5:$D$657,MATCH(H1557,Documents!$A$5:$A$657,0))="","",INDEX(Documents!$D$5:$D$657,MATCH(H1557,Documents!$A$5:$A$657,0))),"")</f>
        <v>J Med Chem</v>
      </c>
      <c r="K1557" s="25" t="str">
        <f aca="false">IFERROR(IF(INDEX(Documents!$G$5:$G$657,MATCH(H1557,Documents!$A$5:$A$657,0))="","",INDEX(Documents!$G$5:$G$657,MATCH(H1557,Documents!$A$5:$A$657,0))),"")</f>
        <v>10.1021/jm100123x</v>
      </c>
      <c r="L1557" s="25" t="s">
        <v>285</v>
      </c>
    </row>
    <row r="1558" customFormat="false" ht="15" hidden="false" customHeight="false" outlineLevel="0" collapsed="false">
      <c r="A1558" s="25" t="n">
        <v>2228952</v>
      </c>
      <c r="B1558" s="25" t="s">
        <v>3536</v>
      </c>
      <c r="C1558" s="25" t="s">
        <v>3537</v>
      </c>
      <c r="D1558" s="26" t="n">
        <v>3.6</v>
      </c>
      <c r="E1558" s="27" t="n">
        <v>8.44369749923271</v>
      </c>
      <c r="F1558" s="27" t="n">
        <v>8.44369749923271</v>
      </c>
      <c r="G1558" s="25" t="s">
        <v>485</v>
      </c>
      <c r="H1558" s="25" t="s">
        <v>486</v>
      </c>
      <c r="I1558" s="25" t="n">
        <f aca="false">IFERROR(IF(INDEX(Documents!$C$5:$C$657,MATCH(H1558,Documents!$A$5:$A$657,0))="","",INDEX(Documents!$C$5:$C$657,MATCH(H1558,Documents!$A$5:$A$657,0))),"")</f>
        <v>2008</v>
      </c>
      <c r="J1558" s="25" t="str">
        <f aca="false">IFERROR(IF(INDEX(Documents!$D$5:$D$657,MATCH(H1558,Documents!$A$5:$A$657,0))="","",INDEX(Documents!$D$5:$D$657,MATCH(H1558,Documents!$A$5:$A$657,0))),"")</f>
        <v>J Med Chem</v>
      </c>
      <c r="K1558" s="25" t="str">
        <f aca="false">IFERROR(IF(INDEX(Documents!$G$5:$G$657,MATCH(H1558,Documents!$A$5:$A$657,0))="","",INDEX(Documents!$G$5:$G$657,MATCH(H1558,Documents!$A$5:$A$657,0))),"")</f>
        <v>10.1021/jm800552f</v>
      </c>
      <c r="L1558" s="25" t="s">
        <v>487</v>
      </c>
    </row>
    <row r="1559" customFormat="false" ht="15" hidden="false" customHeight="false" outlineLevel="0" collapsed="false">
      <c r="A1559" s="25" t="n">
        <v>3398953</v>
      </c>
      <c r="B1559" s="25" t="s">
        <v>3538</v>
      </c>
      <c r="C1559" s="25" t="s">
        <v>3539</v>
      </c>
      <c r="D1559" s="26" t="n">
        <v>20.6</v>
      </c>
      <c r="E1559" s="27" t="n">
        <v>7.68613277963085</v>
      </c>
      <c r="F1559" s="27" t="n">
        <v>7.68613277963085</v>
      </c>
      <c r="G1559" s="25" t="s">
        <v>283</v>
      </c>
      <c r="H1559" s="25" t="s">
        <v>284</v>
      </c>
      <c r="I1559" s="25" t="n">
        <f aca="false">IFERROR(IF(INDEX(Documents!$C$5:$C$657,MATCH(H1559,Documents!$A$5:$A$657,0))="","",INDEX(Documents!$C$5:$C$657,MATCH(H1559,Documents!$A$5:$A$657,0))),"")</f>
        <v>2010</v>
      </c>
      <c r="J1559" s="25" t="str">
        <f aca="false">IFERROR(IF(INDEX(Documents!$D$5:$D$657,MATCH(H1559,Documents!$A$5:$A$657,0))="","",INDEX(Documents!$D$5:$D$657,MATCH(H1559,Documents!$A$5:$A$657,0))),"")</f>
        <v>J Med Chem</v>
      </c>
      <c r="K1559" s="25" t="str">
        <f aca="false">IFERROR(IF(INDEX(Documents!$G$5:$G$657,MATCH(H1559,Documents!$A$5:$A$657,0))="","",INDEX(Documents!$G$5:$G$657,MATCH(H1559,Documents!$A$5:$A$657,0))),"")</f>
        <v>10.1021/jm100123x</v>
      </c>
      <c r="L1559" s="25" t="s">
        <v>285</v>
      </c>
    </row>
    <row r="1560" customFormat="false" ht="15" hidden="false" customHeight="false" outlineLevel="0" collapsed="false">
      <c r="A1560" s="25" t="n">
        <v>2228958</v>
      </c>
      <c r="B1560" s="25" t="s">
        <v>3540</v>
      </c>
      <c r="C1560" s="25" t="s">
        <v>3541</v>
      </c>
      <c r="D1560" s="26" t="n">
        <v>16.1</v>
      </c>
      <c r="E1560" s="27" t="n">
        <v>7.79317412396815</v>
      </c>
      <c r="F1560" s="27" t="n">
        <v>7.79317412396815</v>
      </c>
      <c r="G1560" s="25" t="s">
        <v>485</v>
      </c>
      <c r="H1560" s="25" t="s">
        <v>486</v>
      </c>
      <c r="I1560" s="25" t="n">
        <f aca="false">IFERROR(IF(INDEX(Documents!$C$5:$C$657,MATCH(H1560,Documents!$A$5:$A$657,0))="","",INDEX(Documents!$C$5:$C$657,MATCH(H1560,Documents!$A$5:$A$657,0))),"")</f>
        <v>2008</v>
      </c>
      <c r="J1560" s="25" t="str">
        <f aca="false">IFERROR(IF(INDEX(Documents!$D$5:$D$657,MATCH(H1560,Documents!$A$5:$A$657,0))="","",INDEX(Documents!$D$5:$D$657,MATCH(H1560,Documents!$A$5:$A$657,0))),"")</f>
        <v>J Med Chem</v>
      </c>
      <c r="K1560" s="25" t="str">
        <f aca="false">IFERROR(IF(INDEX(Documents!$G$5:$G$657,MATCH(H1560,Documents!$A$5:$A$657,0))="","",INDEX(Documents!$G$5:$G$657,MATCH(H1560,Documents!$A$5:$A$657,0))),"")</f>
        <v>10.1021/jm800552f</v>
      </c>
      <c r="L1560" s="25" t="s">
        <v>487</v>
      </c>
    </row>
    <row r="1561" customFormat="false" ht="15" hidden="false" customHeight="false" outlineLevel="0" collapsed="false">
      <c r="A1561" s="25" t="n">
        <v>3398956</v>
      </c>
      <c r="B1561" s="25" t="s">
        <v>3542</v>
      </c>
      <c r="C1561" s="25" t="s">
        <v>3543</v>
      </c>
      <c r="D1561" s="26" t="n">
        <v>65.9</v>
      </c>
      <c r="E1561" s="27" t="n">
        <v>7.18111458540599</v>
      </c>
      <c r="F1561" s="27" t="n">
        <v>7.18111458540599</v>
      </c>
      <c r="G1561" s="25" t="s">
        <v>283</v>
      </c>
      <c r="H1561" s="25" t="s">
        <v>284</v>
      </c>
      <c r="I1561" s="25" t="n">
        <f aca="false">IFERROR(IF(INDEX(Documents!$C$5:$C$657,MATCH(H1561,Documents!$A$5:$A$657,0))="","",INDEX(Documents!$C$5:$C$657,MATCH(H1561,Documents!$A$5:$A$657,0))),"")</f>
        <v>2010</v>
      </c>
      <c r="J1561" s="25" t="str">
        <f aca="false">IFERROR(IF(INDEX(Documents!$D$5:$D$657,MATCH(H1561,Documents!$A$5:$A$657,0))="","",INDEX(Documents!$D$5:$D$657,MATCH(H1561,Documents!$A$5:$A$657,0))),"")</f>
        <v>J Med Chem</v>
      </c>
      <c r="K1561" s="25" t="str">
        <f aca="false">IFERROR(IF(INDEX(Documents!$G$5:$G$657,MATCH(H1561,Documents!$A$5:$A$657,0))="","",INDEX(Documents!$G$5:$G$657,MATCH(H1561,Documents!$A$5:$A$657,0))),"")</f>
        <v>10.1021/jm100123x</v>
      </c>
      <c r="L1561" s="25" t="s">
        <v>285</v>
      </c>
    </row>
    <row r="1562" customFormat="false" ht="15" hidden="false" customHeight="false" outlineLevel="0" collapsed="false">
      <c r="A1562" s="25" t="n">
        <v>2228955</v>
      </c>
      <c r="B1562" s="25" t="s">
        <v>3544</v>
      </c>
      <c r="C1562" s="25" t="s">
        <v>3545</v>
      </c>
      <c r="D1562" s="26" t="n">
        <v>3.4</v>
      </c>
      <c r="E1562" s="27" t="n">
        <v>8.46852108295775</v>
      </c>
      <c r="F1562" s="27" t="n">
        <v>8.46852108295775</v>
      </c>
      <c r="G1562" s="25" t="s">
        <v>485</v>
      </c>
      <c r="H1562" s="25" t="s">
        <v>486</v>
      </c>
      <c r="I1562" s="25" t="n">
        <f aca="false">IFERROR(IF(INDEX(Documents!$C$5:$C$657,MATCH(H1562,Documents!$A$5:$A$657,0))="","",INDEX(Documents!$C$5:$C$657,MATCH(H1562,Documents!$A$5:$A$657,0))),"")</f>
        <v>2008</v>
      </c>
      <c r="J1562" s="25" t="str">
        <f aca="false">IFERROR(IF(INDEX(Documents!$D$5:$D$657,MATCH(H1562,Documents!$A$5:$A$657,0))="","",INDEX(Documents!$D$5:$D$657,MATCH(H1562,Documents!$A$5:$A$657,0))),"")</f>
        <v>J Med Chem</v>
      </c>
      <c r="K1562" s="25" t="str">
        <f aca="false">IFERROR(IF(INDEX(Documents!$G$5:$G$657,MATCH(H1562,Documents!$A$5:$A$657,0))="","",INDEX(Documents!$G$5:$G$657,MATCH(H1562,Documents!$A$5:$A$657,0))),"")</f>
        <v>10.1021/jm800552f</v>
      </c>
      <c r="L1562" s="25" t="s">
        <v>487</v>
      </c>
    </row>
    <row r="1563" customFormat="false" ht="15" hidden="false" customHeight="false" outlineLevel="0" collapsed="false">
      <c r="A1563" s="25" t="n">
        <v>3398955</v>
      </c>
      <c r="B1563" s="25" t="s">
        <v>3546</v>
      </c>
      <c r="C1563" s="25" t="s">
        <v>3547</v>
      </c>
      <c r="D1563" s="26" t="n">
        <v>73.2</v>
      </c>
      <c r="E1563" s="27" t="n">
        <v>7.13548891894161</v>
      </c>
      <c r="F1563" s="27" t="n">
        <v>7.13548891894161</v>
      </c>
      <c r="G1563" s="25" t="s">
        <v>283</v>
      </c>
      <c r="H1563" s="25" t="s">
        <v>284</v>
      </c>
      <c r="I1563" s="25" t="n">
        <f aca="false">IFERROR(IF(INDEX(Documents!$C$5:$C$657,MATCH(H1563,Documents!$A$5:$A$657,0))="","",INDEX(Documents!$C$5:$C$657,MATCH(H1563,Documents!$A$5:$A$657,0))),"")</f>
        <v>2010</v>
      </c>
      <c r="J1563" s="25" t="str">
        <f aca="false">IFERROR(IF(INDEX(Documents!$D$5:$D$657,MATCH(H1563,Documents!$A$5:$A$657,0))="","",INDEX(Documents!$D$5:$D$657,MATCH(H1563,Documents!$A$5:$A$657,0))),"")</f>
        <v>J Med Chem</v>
      </c>
      <c r="K1563" s="25" t="str">
        <f aca="false">IFERROR(IF(INDEX(Documents!$G$5:$G$657,MATCH(H1563,Documents!$A$5:$A$657,0))="","",INDEX(Documents!$G$5:$G$657,MATCH(H1563,Documents!$A$5:$A$657,0))),"")</f>
        <v>10.1021/jm100123x</v>
      </c>
      <c r="L1563" s="25" t="s">
        <v>285</v>
      </c>
    </row>
    <row r="1564" customFormat="false" ht="15" hidden="false" customHeight="false" outlineLevel="0" collapsed="false">
      <c r="A1564" s="25" t="n">
        <v>2228932</v>
      </c>
      <c r="B1564" s="25" t="s">
        <v>3548</v>
      </c>
      <c r="C1564" s="25" t="s">
        <v>3549</v>
      </c>
      <c r="D1564" s="26" t="n">
        <v>25.5</v>
      </c>
      <c r="E1564" s="27" t="n">
        <v>7.59345981956605</v>
      </c>
      <c r="F1564" s="27" t="n">
        <v>7.59345981956605</v>
      </c>
      <c r="G1564" s="25" t="s">
        <v>485</v>
      </c>
      <c r="H1564" s="25" t="s">
        <v>486</v>
      </c>
      <c r="I1564" s="25" t="n">
        <f aca="false">IFERROR(IF(INDEX(Documents!$C$5:$C$657,MATCH(H1564,Documents!$A$5:$A$657,0))="","",INDEX(Documents!$C$5:$C$657,MATCH(H1564,Documents!$A$5:$A$657,0))),"")</f>
        <v>2008</v>
      </c>
      <c r="J1564" s="25" t="str">
        <f aca="false">IFERROR(IF(INDEX(Documents!$D$5:$D$657,MATCH(H1564,Documents!$A$5:$A$657,0))="","",INDEX(Documents!$D$5:$D$657,MATCH(H1564,Documents!$A$5:$A$657,0))),"")</f>
        <v>J Med Chem</v>
      </c>
      <c r="K1564" s="25" t="str">
        <f aca="false">IFERROR(IF(INDEX(Documents!$G$5:$G$657,MATCH(H1564,Documents!$A$5:$A$657,0))="","",INDEX(Documents!$G$5:$G$657,MATCH(H1564,Documents!$A$5:$A$657,0))),"")</f>
        <v>10.1021/jm800552f</v>
      </c>
      <c r="L1564" s="25" t="s">
        <v>487</v>
      </c>
    </row>
    <row r="1565" customFormat="false" ht="15" hidden="false" customHeight="false" outlineLevel="0" collapsed="false">
      <c r="A1565" s="25" t="n">
        <v>2228951</v>
      </c>
      <c r="B1565" s="25" t="s">
        <v>3550</v>
      </c>
      <c r="C1565" s="25" t="s">
        <v>3551</v>
      </c>
      <c r="D1565" s="26" t="n">
        <v>0.8</v>
      </c>
      <c r="E1565" s="27" t="n">
        <v>9.09691001300806</v>
      </c>
      <c r="F1565" s="27" t="n">
        <v>9.09691001300806</v>
      </c>
      <c r="G1565" s="25" t="s">
        <v>485</v>
      </c>
      <c r="H1565" s="25" t="s">
        <v>486</v>
      </c>
      <c r="I1565" s="25" t="n">
        <f aca="false">IFERROR(IF(INDEX(Documents!$C$5:$C$657,MATCH(H1565,Documents!$A$5:$A$657,0))="","",INDEX(Documents!$C$5:$C$657,MATCH(H1565,Documents!$A$5:$A$657,0))),"")</f>
        <v>2008</v>
      </c>
      <c r="J1565" s="25" t="str">
        <f aca="false">IFERROR(IF(INDEX(Documents!$D$5:$D$657,MATCH(H1565,Documents!$A$5:$A$657,0))="","",INDEX(Documents!$D$5:$D$657,MATCH(H1565,Documents!$A$5:$A$657,0))),"")</f>
        <v>J Med Chem</v>
      </c>
      <c r="K1565" s="25" t="str">
        <f aca="false">IFERROR(IF(INDEX(Documents!$G$5:$G$657,MATCH(H1565,Documents!$A$5:$A$657,0))="","",INDEX(Documents!$G$5:$G$657,MATCH(H1565,Documents!$A$5:$A$657,0))),"")</f>
        <v>10.1021/jm800552f</v>
      </c>
      <c r="L1565" s="25" t="s">
        <v>487</v>
      </c>
    </row>
    <row r="1566" customFormat="false" ht="15" hidden="false" customHeight="false" outlineLevel="0" collapsed="false">
      <c r="A1566" s="25" t="n">
        <v>2228994</v>
      </c>
      <c r="B1566" s="25" t="s">
        <v>3552</v>
      </c>
      <c r="C1566" s="25" t="s">
        <v>3553</v>
      </c>
      <c r="D1566" s="26" t="n">
        <v>0.9</v>
      </c>
      <c r="E1566" s="27" t="n">
        <v>9.04575749056068</v>
      </c>
      <c r="F1566" s="27" t="n">
        <v>9.04575749056068</v>
      </c>
      <c r="G1566" s="25" t="s">
        <v>485</v>
      </c>
      <c r="H1566" s="25" t="s">
        <v>486</v>
      </c>
      <c r="I1566" s="25" t="n">
        <f aca="false">IFERROR(IF(INDEX(Documents!$C$5:$C$657,MATCH(H1566,Documents!$A$5:$A$657,0))="","",INDEX(Documents!$C$5:$C$657,MATCH(H1566,Documents!$A$5:$A$657,0))),"")</f>
        <v>2008</v>
      </c>
      <c r="J1566" s="25" t="str">
        <f aca="false">IFERROR(IF(INDEX(Documents!$D$5:$D$657,MATCH(H1566,Documents!$A$5:$A$657,0))="","",INDEX(Documents!$D$5:$D$657,MATCH(H1566,Documents!$A$5:$A$657,0))),"")</f>
        <v>J Med Chem</v>
      </c>
      <c r="K1566" s="25" t="str">
        <f aca="false">IFERROR(IF(INDEX(Documents!$G$5:$G$657,MATCH(H1566,Documents!$A$5:$A$657,0))="","",INDEX(Documents!$G$5:$G$657,MATCH(H1566,Documents!$A$5:$A$657,0))),"")</f>
        <v>10.1021/jm800552f</v>
      </c>
      <c r="L1566" s="25" t="s">
        <v>487</v>
      </c>
    </row>
    <row r="1567" customFormat="false" ht="15" hidden="false" customHeight="false" outlineLevel="0" collapsed="false">
      <c r="A1567" s="25" t="n">
        <v>2228995</v>
      </c>
      <c r="B1567" s="25" t="s">
        <v>3554</v>
      </c>
      <c r="C1567" s="25" t="s">
        <v>3555</v>
      </c>
      <c r="D1567" s="26" t="n">
        <v>1.6</v>
      </c>
      <c r="E1567" s="27" t="n">
        <v>8.79588001734408</v>
      </c>
      <c r="F1567" s="27" t="n">
        <v>8.79588001734408</v>
      </c>
      <c r="G1567" s="25" t="s">
        <v>485</v>
      </c>
      <c r="H1567" s="25" t="s">
        <v>486</v>
      </c>
      <c r="I1567" s="25" t="n">
        <f aca="false">IFERROR(IF(INDEX(Documents!$C$5:$C$657,MATCH(H1567,Documents!$A$5:$A$657,0))="","",INDEX(Documents!$C$5:$C$657,MATCH(H1567,Documents!$A$5:$A$657,0))),"")</f>
        <v>2008</v>
      </c>
      <c r="J1567" s="25" t="str">
        <f aca="false">IFERROR(IF(INDEX(Documents!$D$5:$D$657,MATCH(H1567,Documents!$A$5:$A$657,0))="","",INDEX(Documents!$D$5:$D$657,MATCH(H1567,Documents!$A$5:$A$657,0))),"")</f>
        <v>J Med Chem</v>
      </c>
      <c r="K1567" s="25" t="str">
        <f aca="false">IFERROR(IF(INDEX(Documents!$G$5:$G$657,MATCH(H1567,Documents!$A$5:$A$657,0))="","",INDEX(Documents!$G$5:$G$657,MATCH(H1567,Documents!$A$5:$A$657,0))),"")</f>
        <v>10.1021/jm800552f</v>
      </c>
      <c r="L1567" s="25" t="s">
        <v>487</v>
      </c>
    </row>
    <row r="1568" customFormat="false" ht="15" hidden="false" customHeight="false" outlineLevel="0" collapsed="false">
      <c r="A1568" s="25" t="n">
        <v>2228993</v>
      </c>
      <c r="B1568" s="25" t="s">
        <v>3556</v>
      </c>
      <c r="C1568" s="25" t="s">
        <v>3557</v>
      </c>
      <c r="D1568" s="26" t="n">
        <v>3.5</v>
      </c>
      <c r="E1568" s="27" t="n">
        <v>8.45593195564972</v>
      </c>
      <c r="F1568" s="27" t="n">
        <v>8.45593195564972</v>
      </c>
      <c r="G1568" s="25" t="s">
        <v>485</v>
      </c>
      <c r="H1568" s="25" t="s">
        <v>486</v>
      </c>
      <c r="I1568" s="25" t="n">
        <f aca="false">IFERROR(IF(INDEX(Documents!$C$5:$C$657,MATCH(H1568,Documents!$A$5:$A$657,0))="","",INDEX(Documents!$C$5:$C$657,MATCH(H1568,Documents!$A$5:$A$657,0))),"")</f>
        <v>2008</v>
      </c>
      <c r="J1568" s="25" t="str">
        <f aca="false">IFERROR(IF(INDEX(Documents!$D$5:$D$657,MATCH(H1568,Documents!$A$5:$A$657,0))="","",INDEX(Documents!$D$5:$D$657,MATCH(H1568,Documents!$A$5:$A$657,0))),"")</f>
        <v>J Med Chem</v>
      </c>
      <c r="K1568" s="25" t="str">
        <f aca="false">IFERROR(IF(INDEX(Documents!$G$5:$G$657,MATCH(H1568,Documents!$A$5:$A$657,0))="","",INDEX(Documents!$G$5:$G$657,MATCH(H1568,Documents!$A$5:$A$657,0))),"")</f>
        <v>10.1021/jm800552f</v>
      </c>
      <c r="L1568" s="25" t="s">
        <v>487</v>
      </c>
    </row>
    <row r="1569" customFormat="false" ht="15" hidden="false" customHeight="false" outlineLevel="0" collapsed="false">
      <c r="A1569" s="25" t="n">
        <v>5205749</v>
      </c>
      <c r="B1569" s="25" t="s">
        <v>3558</v>
      </c>
      <c r="C1569" s="25" t="s">
        <v>3559</v>
      </c>
      <c r="D1569" s="26" t="n">
        <v>4.9</v>
      </c>
      <c r="E1569" s="27" t="n">
        <v>8.30980391997149</v>
      </c>
      <c r="F1569" s="27" t="n">
        <v>8.73235293997862</v>
      </c>
      <c r="G1569" s="25" t="s">
        <v>461</v>
      </c>
      <c r="H1569" s="25" t="s">
        <v>462</v>
      </c>
      <c r="I1569" s="25" t="n">
        <f aca="false">IFERROR(IF(INDEX(Documents!$C$5:$C$657,MATCH(H1569,Documents!$A$5:$A$657,0))="","",INDEX(Documents!$C$5:$C$657,MATCH(H1569,Documents!$A$5:$A$657,0))),"")</f>
        <v>2011</v>
      </c>
      <c r="J1569" s="25" t="str">
        <f aca="false">IFERROR(IF(INDEX(Documents!$D$5:$D$657,MATCH(H1569,Documents!$A$5:$A$657,0))="","",INDEX(Documents!$D$5:$D$657,MATCH(H1569,Documents!$A$5:$A$657,0))),"")</f>
        <v>Eur J Med Chem</v>
      </c>
      <c r="K1569" s="25" t="str">
        <f aca="false">IFERROR(IF(INDEX(Documents!$G$5:$G$657,MATCH(H1569,Documents!$A$5:$A$657,0))="","",INDEX(Documents!$G$5:$G$657,MATCH(H1569,Documents!$A$5:$A$657,0))),"")</f>
        <v>10.1016/j.ejmech.2010.11.034</v>
      </c>
      <c r="L1569" s="25" t="s">
        <v>463</v>
      </c>
    </row>
    <row r="1570" customFormat="false" ht="15" hidden="false" customHeight="false" outlineLevel="0" collapsed="false">
      <c r="A1570" s="25" t="n">
        <v>6309537</v>
      </c>
      <c r="B1570" s="25" t="s">
        <v>3558</v>
      </c>
      <c r="C1570" s="25" t="s">
        <v>3559</v>
      </c>
      <c r="D1570" s="26" t="n">
        <v>0.7</v>
      </c>
      <c r="E1570" s="27" t="n">
        <v>9.15490195998575</v>
      </c>
      <c r="F1570" s="27" t="n">
        <v>8.73235293997862</v>
      </c>
      <c r="G1570" s="25" t="s">
        <v>1917</v>
      </c>
      <c r="H1570" s="25" t="s">
        <v>1918</v>
      </c>
      <c r="I1570" s="25" t="n">
        <f aca="false">IFERROR(IF(INDEX(Documents!$C$5:$C$657,MATCH(H1570,Documents!$A$5:$A$657,0))="","",INDEX(Documents!$C$5:$C$657,MATCH(H1570,Documents!$A$5:$A$657,0))),"")</f>
        <v>2011</v>
      </c>
      <c r="J1570" s="25" t="str">
        <f aca="false">IFERROR(IF(INDEX(Documents!$D$5:$D$657,MATCH(H1570,Documents!$A$5:$A$657,0))="","",INDEX(Documents!$D$5:$D$657,MATCH(H1570,Documents!$A$5:$A$657,0))),"")</f>
        <v>J Med Chem</v>
      </c>
      <c r="K1570" s="25" t="str">
        <f aca="false">IFERROR(IF(INDEX(Documents!$G$5:$G$657,MATCH(H1570,Documents!$A$5:$A$657,0))="","",INDEX(Documents!$G$5:$G$657,MATCH(H1570,Documents!$A$5:$A$657,0))),"")</f>
        <v>10.1021/jm200476p</v>
      </c>
      <c r="L1570" s="25" t="s">
        <v>676</v>
      </c>
    </row>
    <row r="1571" customFormat="false" ht="15" hidden="false" customHeight="false" outlineLevel="0" collapsed="false">
      <c r="A1571" s="25" t="n">
        <v>15199887</v>
      </c>
      <c r="B1571" s="25" t="s">
        <v>3560</v>
      </c>
      <c r="C1571" s="25" t="s">
        <v>3561</v>
      </c>
      <c r="D1571" s="26" t="n">
        <v>1.7</v>
      </c>
      <c r="E1571" s="27" t="n">
        <v>8.76955107862173</v>
      </c>
      <c r="F1571" s="27" t="n">
        <v>8.99569991411904</v>
      </c>
      <c r="G1571" s="25" t="s">
        <v>3562</v>
      </c>
      <c r="H1571" s="25" t="s">
        <v>3563</v>
      </c>
      <c r="I1571" s="25" t="n">
        <f aca="false">IFERROR(IF(INDEX(Documents!$C$5:$C$657,MATCH(H1571,Documents!$A$5:$A$657,0))="","",INDEX(Documents!$C$5:$C$657,MATCH(H1571,Documents!$A$5:$A$657,0))),"")</f>
        <v>2015</v>
      </c>
      <c r="J1571" s="25" t="str">
        <f aca="false">IFERROR(IF(INDEX(Documents!$D$5:$D$657,MATCH(H1571,Documents!$A$5:$A$657,0))="","",INDEX(Documents!$D$5:$D$657,MATCH(H1571,Documents!$A$5:$A$657,0))),"")</f>
        <v>Eur J Med Chem</v>
      </c>
      <c r="K1571" s="25" t="str">
        <f aca="false">IFERROR(IF(INDEX(Documents!$G$5:$G$657,MATCH(H1571,Documents!$A$5:$A$657,0))="","",INDEX(Documents!$G$5:$G$657,MATCH(H1571,Documents!$A$5:$A$657,0))),"")</f>
        <v>10.1016/j.ejmech.2015.01.028</v>
      </c>
      <c r="L1571" s="25" t="s">
        <v>3564</v>
      </c>
    </row>
    <row r="1572" customFormat="false" ht="15" hidden="false" customHeight="false" outlineLevel="0" collapsed="false">
      <c r="A1572" s="25" t="n">
        <v>6309523</v>
      </c>
      <c r="B1572" s="25" t="s">
        <v>3560</v>
      </c>
      <c r="C1572" s="25" t="s">
        <v>3561</v>
      </c>
      <c r="D1572" s="26" t="n">
        <v>0.6</v>
      </c>
      <c r="E1572" s="27" t="n">
        <v>9.22184874961636</v>
      </c>
      <c r="F1572" s="27" t="n">
        <v>8.99569991411904</v>
      </c>
      <c r="G1572" s="25" t="s">
        <v>1917</v>
      </c>
      <c r="H1572" s="25" t="s">
        <v>1918</v>
      </c>
      <c r="I1572" s="25" t="n">
        <f aca="false">IFERROR(IF(INDEX(Documents!$C$5:$C$657,MATCH(H1572,Documents!$A$5:$A$657,0))="","",INDEX(Documents!$C$5:$C$657,MATCH(H1572,Documents!$A$5:$A$657,0))),"")</f>
        <v>2011</v>
      </c>
      <c r="J1572" s="25" t="str">
        <f aca="false">IFERROR(IF(INDEX(Documents!$D$5:$D$657,MATCH(H1572,Documents!$A$5:$A$657,0))="","",INDEX(Documents!$D$5:$D$657,MATCH(H1572,Documents!$A$5:$A$657,0))),"")</f>
        <v>J Med Chem</v>
      </c>
      <c r="K1572" s="25" t="str">
        <f aca="false">IFERROR(IF(INDEX(Documents!$G$5:$G$657,MATCH(H1572,Documents!$A$5:$A$657,0))="","",INDEX(Documents!$G$5:$G$657,MATCH(H1572,Documents!$A$5:$A$657,0))),"")</f>
        <v>10.1021/jm200476p</v>
      </c>
      <c r="L1572" s="25" t="s">
        <v>676</v>
      </c>
    </row>
    <row r="1573" customFormat="false" ht="15" hidden="false" customHeight="false" outlineLevel="0" collapsed="false">
      <c r="A1573" s="25" t="n">
        <v>6309524</v>
      </c>
      <c r="B1573" s="25" t="s">
        <v>3565</v>
      </c>
      <c r="C1573" s="25" t="s">
        <v>3566</v>
      </c>
      <c r="D1573" s="26" t="n">
        <v>1</v>
      </c>
      <c r="E1573" s="27" t="n">
        <v>9</v>
      </c>
      <c r="F1573" s="27" t="n">
        <v>9</v>
      </c>
      <c r="G1573" s="25" t="s">
        <v>1917</v>
      </c>
      <c r="H1573" s="25" t="s">
        <v>1918</v>
      </c>
      <c r="I1573" s="25" t="n">
        <f aca="false">IFERROR(IF(INDEX(Documents!$C$5:$C$657,MATCH(H1573,Documents!$A$5:$A$657,0))="","",INDEX(Documents!$C$5:$C$657,MATCH(H1573,Documents!$A$5:$A$657,0))),"")</f>
        <v>2011</v>
      </c>
      <c r="J1573" s="25" t="str">
        <f aca="false">IFERROR(IF(INDEX(Documents!$D$5:$D$657,MATCH(H1573,Documents!$A$5:$A$657,0))="","",INDEX(Documents!$D$5:$D$657,MATCH(H1573,Documents!$A$5:$A$657,0))),"")</f>
        <v>J Med Chem</v>
      </c>
      <c r="K1573" s="25" t="str">
        <f aca="false">IFERROR(IF(INDEX(Documents!$G$5:$G$657,MATCH(H1573,Documents!$A$5:$A$657,0))="","",INDEX(Documents!$G$5:$G$657,MATCH(H1573,Documents!$A$5:$A$657,0))),"")</f>
        <v>10.1021/jm200476p</v>
      </c>
      <c r="L1573" s="25" t="s">
        <v>676</v>
      </c>
    </row>
    <row r="1574" customFormat="false" ht="15" hidden="false" customHeight="false" outlineLevel="0" collapsed="false">
      <c r="A1574" s="25" t="n">
        <v>1667531</v>
      </c>
      <c r="B1574" s="25" t="s">
        <v>3567</v>
      </c>
      <c r="C1574" s="25" t="s">
        <v>3568</v>
      </c>
      <c r="D1574" s="26" t="n">
        <v>16.4</v>
      </c>
      <c r="E1574" s="27" t="n">
        <v>7.7851561519523</v>
      </c>
      <c r="F1574" s="27" t="n">
        <v>8.05652914700829</v>
      </c>
      <c r="G1574" s="25" t="s">
        <v>1538</v>
      </c>
      <c r="H1574" s="25" t="s">
        <v>1539</v>
      </c>
      <c r="I1574" s="25" t="n">
        <f aca="false">IFERROR(IF(INDEX(Documents!$C$5:$C$657,MATCH(H1574,Documents!$A$5:$A$657,0))="","",INDEX(Documents!$C$5:$C$657,MATCH(H1574,Documents!$A$5:$A$657,0))),"")</f>
        <v>2006</v>
      </c>
      <c r="J1574" s="25" t="str">
        <f aca="false">IFERROR(IF(INDEX(Documents!$D$5:$D$657,MATCH(H1574,Documents!$A$5:$A$657,0))="","",INDEX(Documents!$D$5:$D$657,MATCH(H1574,Documents!$A$5:$A$657,0))),"")</f>
        <v>J Med Chem</v>
      </c>
      <c r="K1574" s="25" t="str">
        <f aca="false">IFERROR(IF(INDEX(Documents!$G$5:$G$657,MATCH(H1574,Documents!$A$5:$A$657,0))="","",INDEX(Documents!$G$5:$G$657,MATCH(H1574,Documents!$A$5:$A$657,0))),"")</f>
        <v>10.1021/jm050467q</v>
      </c>
      <c r="L1574" s="25" t="s">
        <v>775</v>
      </c>
    </row>
    <row r="1575" customFormat="false" ht="15" hidden="false" customHeight="false" outlineLevel="0" collapsed="false">
      <c r="A1575" s="25" t="n">
        <v>2228990</v>
      </c>
      <c r="B1575" s="25" t="s">
        <v>3567</v>
      </c>
      <c r="C1575" s="25" t="s">
        <v>3568</v>
      </c>
      <c r="D1575" s="26" t="n">
        <v>4.7</v>
      </c>
      <c r="E1575" s="27" t="n">
        <v>8.32790214206428</v>
      </c>
      <c r="F1575" s="27" t="n">
        <v>8.05652914700829</v>
      </c>
      <c r="G1575" s="25" t="s">
        <v>485</v>
      </c>
      <c r="H1575" s="25" t="s">
        <v>486</v>
      </c>
      <c r="I1575" s="25" t="n">
        <f aca="false">IFERROR(IF(INDEX(Documents!$C$5:$C$657,MATCH(H1575,Documents!$A$5:$A$657,0))="","",INDEX(Documents!$C$5:$C$657,MATCH(H1575,Documents!$A$5:$A$657,0))),"")</f>
        <v>2008</v>
      </c>
      <c r="J1575" s="25" t="str">
        <f aca="false">IFERROR(IF(INDEX(Documents!$D$5:$D$657,MATCH(H1575,Documents!$A$5:$A$657,0))="","",INDEX(Documents!$D$5:$D$657,MATCH(H1575,Documents!$A$5:$A$657,0))),"")</f>
        <v>J Med Chem</v>
      </c>
      <c r="K1575" s="25" t="str">
        <f aca="false">IFERROR(IF(INDEX(Documents!$G$5:$G$657,MATCH(H1575,Documents!$A$5:$A$657,0))="","",INDEX(Documents!$G$5:$G$657,MATCH(H1575,Documents!$A$5:$A$657,0))),"")</f>
        <v>10.1021/jm800552f</v>
      </c>
      <c r="L1575" s="25" t="s">
        <v>487</v>
      </c>
    </row>
    <row r="1576" customFormat="false" ht="15" hidden="false" customHeight="false" outlineLevel="0" collapsed="false">
      <c r="A1576" s="25" t="n">
        <v>12619619</v>
      </c>
      <c r="B1576" s="25" t="s">
        <v>3569</v>
      </c>
      <c r="C1576" s="25" t="s">
        <v>3570</v>
      </c>
      <c r="D1576" s="26" t="n">
        <v>11.6</v>
      </c>
      <c r="E1576" s="27" t="n">
        <v>7.93554201077308</v>
      </c>
      <c r="F1576" s="27" t="n">
        <v>7.93554201077308</v>
      </c>
      <c r="G1576" s="25" t="s">
        <v>2805</v>
      </c>
      <c r="H1576" s="25" t="s">
        <v>2806</v>
      </c>
      <c r="I1576" s="25" t="n">
        <f aca="false">IFERROR(IF(INDEX(Documents!$C$5:$C$657,MATCH(H1576,Documents!$A$5:$A$657,0))="","",INDEX(Documents!$C$5:$C$657,MATCH(H1576,Documents!$A$5:$A$657,0))),"")</f>
        <v>2013</v>
      </c>
      <c r="J1576" s="25" t="str">
        <f aca="false">IFERROR(IF(INDEX(Documents!$D$5:$D$657,MATCH(H1576,Documents!$A$5:$A$657,0))="","",INDEX(Documents!$D$5:$D$657,MATCH(H1576,Documents!$A$5:$A$657,0))),"")</f>
        <v>J Med Chem</v>
      </c>
      <c r="K1576" s="25" t="str">
        <f aca="false">IFERROR(IF(INDEX(Documents!$G$5:$G$657,MATCH(H1576,Documents!$A$5:$A$657,0))="","",INDEX(Documents!$G$5:$G$657,MATCH(H1576,Documents!$A$5:$A$657,0))),"")</f>
        <v>10.1021/jm301527r</v>
      </c>
      <c r="L1576" s="25" t="s">
        <v>2807</v>
      </c>
    </row>
    <row r="1577" customFormat="false" ht="15" hidden="false" customHeight="false" outlineLevel="0" collapsed="false">
      <c r="A1577" s="25" t="n">
        <v>5124693</v>
      </c>
      <c r="B1577" s="25" t="s">
        <v>3571</v>
      </c>
      <c r="C1577" s="25" t="s">
        <v>3572</v>
      </c>
      <c r="D1577" s="26" t="n">
        <v>13.2</v>
      </c>
      <c r="E1577" s="27" t="n">
        <v>7.87942606879415</v>
      </c>
      <c r="F1577" s="27" t="n">
        <v>7.87942606879415</v>
      </c>
      <c r="G1577" s="25" t="s">
        <v>1948</v>
      </c>
      <c r="H1577" s="25" t="s">
        <v>1949</v>
      </c>
      <c r="I1577" s="25" t="n">
        <f aca="false">IFERROR(IF(INDEX(Documents!$C$5:$C$657,MATCH(H1577,Documents!$A$5:$A$657,0))="","",INDEX(Documents!$C$5:$C$657,MATCH(H1577,Documents!$A$5:$A$657,0))),"")</f>
        <v>2010</v>
      </c>
      <c r="J1577" s="25" t="str">
        <f aca="false">IFERROR(IF(INDEX(Documents!$D$5:$D$657,MATCH(H1577,Documents!$A$5:$A$657,0))="","",INDEX(Documents!$D$5:$D$657,MATCH(H1577,Documents!$A$5:$A$657,0))),"")</f>
        <v>J Med Chem</v>
      </c>
      <c r="K1577" s="25" t="str">
        <f aca="false">IFERROR(IF(INDEX(Documents!$G$5:$G$657,MATCH(H1577,Documents!$A$5:$A$657,0))="","",INDEX(Documents!$G$5:$G$657,MATCH(H1577,Documents!$A$5:$A$657,0))),"")</f>
        <v>10.1021/jm100286k</v>
      </c>
      <c r="L1577" s="25" t="s">
        <v>1950</v>
      </c>
    </row>
    <row r="1578" customFormat="false" ht="15" hidden="false" customHeight="false" outlineLevel="0" collapsed="false">
      <c r="A1578" s="25" t="n">
        <v>5124688</v>
      </c>
      <c r="B1578" s="25" t="s">
        <v>3573</v>
      </c>
      <c r="C1578" s="25" t="s">
        <v>3574</v>
      </c>
      <c r="D1578" s="26" t="n">
        <v>79</v>
      </c>
      <c r="E1578" s="27" t="n">
        <v>7.10237290870956</v>
      </c>
      <c r="F1578" s="27" t="n">
        <v>7.10237290870956</v>
      </c>
      <c r="G1578" s="25" t="s">
        <v>1948</v>
      </c>
      <c r="H1578" s="25" t="s">
        <v>1949</v>
      </c>
      <c r="I1578" s="25" t="n">
        <f aca="false">IFERROR(IF(INDEX(Documents!$C$5:$C$657,MATCH(H1578,Documents!$A$5:$A$657,0))="","",INDEX(Documents!$C$5:$C$657,MATCH(H1578,Documents!$A$5:$A$657,0))),"")</f>
        <v>2010</v>
      </c>
      <c r="J1578" s="25" t="str">
        <f aca="false">IFERROR(IF(INDEX(Documents!$D$5:$D$657,MATCH(H1578,Documents!$A$5:$A$657,0))="","",INDEX(Documents!$D$5:$D$657,MATCH(H1578,Documents!$A$5:$A$657,0))),"")</f>
        <v>J Med Chem</v>
      </c>
      <c r="K1578" s="25" t="str">
        <f aca="false">IFERROR(IF(INDEX(Documents!$G$5:$G$657,MATCH(H1578,Documents!$A$5:$A$657,0))="","",INDEX(Documents!$G$5:$G$657,MATCH(H1578,Documents!$A$5:$A$657,0))),"")</f>
        <v>10.1021/jm100286k</v>
      </c>
      <c r="L1578" s="25" t="s">
        <v>1950</v>
      </c>
    </row>
    <row r="1579" customFormat="false" ht="15" hidden="false" customHeight="false" outlineLevel="0" collapsed="false">
      <c r="A1579" s="25" t="n">
        <v>5124694</v>
      </c>
      <c r="B1579" s="25" t="s">
        <v>3575</v>
      </c>
      <c r="C1579" s="25" t="s">
        <v>3576</v>
      </c>
      <c r="D1579" s="26" t="n">
        <v>91.1</v>
      </c>
      <c r="E1579" s="27" t="n">
        <v>7.040481623027</v>
      </c>
      <c r="F1579" s="27" t="n">
        <v>7.040481623027</v>
      </c>
      <c r="G1579" s="25" t="s">
        <v>1948</v>
      </c>
      <c r="H1579" s="25" t="s">
        <v>1949</v>
      </c>
      <c r="I1579" s="25" t="n">
        <f aca="false">IFERROR(IF(INDEX(Documents!$C$5:$C$657,MATCH(H1579,Documents!$A$5:$A$657,0))="","",INDEX(Documents!$C$5:$C$657,MATCH(H1579,Documents!$A$5:$A$657,0))),"")</f>
        <v>2010</v>
      </c>
      <c r="J1579" s="25" t="str">
        <f aca="false">IFERROR(IF(INDEX(Documents!$D$5:$D$657,MATCH(H1579,Documents!$A$5:$A$657,0))="","",INDEX(Documents!$D$5:$D$657,MATCH(H1579,Documents!$A$5:$A$657,0))),"")</f>
        <v>J Med Chem</v>
      </c>
      <c r="K1579" s="25" t="str">
        <f aca="false">IFERROR(IF(INDEX(Documents!$G$5:$G$657,MATCH(H1579,Documents!$A$5:$A$657,0))="","",INDEX(Documents!$G$5:$G$657,MATCH(H1579,Documents!$A$5:$A$657,0))),"")</f>
        <v>10.1021/jm100286k</v>
      </c>
      <c r="L1579" s="25" t="s">
        <v>1950</v>
      </c>
    </row>
    <row r="1580" customFormat="false" ht="15" hidden="false" customHeight="false" outlineLevel="0" collapsed="false">
      <c r="A1580" s="25" t="n">
        <v>5124691</v>
      </c>
      <c r="B1580" s="25" t="s">
        <v>3577</v>
      </c>
      <c r="C1580" s="25" t="s">
        <v>3578</v>
      </c>
      <c r="D1580" s="26" t="n">
        <v>1.8</v>
      </c>
      <c r="E1580" s="27" t="n">
        <v>8.74472749489669</v>
      </c>
      <c r="F1580" s="27" t="n">
        <v>8.74472749489669</v>
      </c>
      <c r="G1580" s="25" t="s">
        <v>1948</v>
      </c>
      <c r="H1580" s="25" t="s">
        <v>1949</v>
      </c>
      <c r="I1580" s="25" t="n">
        <f aca="false">IFERROR(IF(INDEX(Documents!$C$5:$C$657,MATCH(H1580,Documents!$A$5:$A$657,0))="","",INDEX(Documents!$C$5:$C$657,MATCH(H1580,Documents!$A$5:$A$657,0))),"")</f>
        <v>2010</v>
      </c>
      <c r="J1580" s="25" t="str">
        <f aca="false">IFERROR(IF(INDEX(Documents!$D$5:$D$657,MATCH(H1580,Documents!$A$5:$A$657,0))="","",INDEX(Documents!$D$5:$D$657,MATCH(H1580,Documents!$A$5:$A$657,0))),"")</f>
        <v>J Med Chem</v>
      </c>
      <c r="K1580" s="25" t="str">
        <f aca="false">IFERROR(IF(INDEX(Documents!$G$5:$G$657,MATCH(H1580,Documents!$A$5:$A$657,0))="","",INDEX(Documents!$G$5:$G$657,MATCH(H1580,Documents!$A$5:$A$657,0))),"")</f>
        <v>10.1021/jm100286k</v>
      </c>
      <c r="L1580" s="25" t="s">
        <v>1950</v>
      </c>
    </row>
    <row r="1581" customFormat="false" ht="15" hidden="false" customHeight="false" outlineLevel="0" collapsed="false">
      <c r="A1581" s="25" t="n">
        <v>5124681</v>
      </c>
      <c r="B1581" s="25" t="s">
        <v>3579</v>
      </c>
      <c r="C1581" s="25" t="s">
        <v>3580</v>
      </c>
      <c r="D1581" s="26" t="n">
        <v>4</v>
      </c>
      <c r="E1581" s="27" t="n">
        <v>8.39794000867204</v>
      </c>
      <c r="F1581" s="27" t="n">
        <v>8.39794000867204</v>
      </c>
      <c r="G1581" s="25" t="s">
        <v>1948</v>
      </c>
      <c r="H1581" s="25" t="s">
        <v>1949</v>
      </c>
      <c r="I1581" s="25" t="n">
        <f aca="false">IFERROR(IF(INDEX(Documents!$C$5:$C$657,MATCH(H1581,Documents!$A$5:$A$657,0))="","",INDEX(Documents!$C$5:$C$657,MATCH(H1581,Documents!$A$5:$A$657,0))),"")</f>
        <v>2010</v>
      </c>
      <c r="J1581" s="25" t="str">
        <f aca="false">IFERROR(IF(INDEX(Documents!$D$5:$D$657,MATCH(H1581,Documents!$A$5:$A$657,0))="","",INDEX(Documents!$D$5:$D$657,MATCH(H1581,Documents!$A$5:$A$657,0))),"")</f>
        <v>J Med Chem</v>
      </c>
      <c r="K1581" s="25" t="str">
        <f aca="false">IFERROR(IF(INDEX(Documents!$G$5:$G$657,MATCH(H1581,Documents!$A$5:$A$657,0))="","",INDEX(Documents!$G$5:$G$657,MATCH(H1581,Documents!$A$5:$A$657,0))),"")</f>
        <v>10.1021/jm100286k</v>
      </c>
      <c r="L1581" s="25" t="s">
        <v>1950</v>
      </c>
    </row>
    <row r="1582" customFormat="false" ht="15" hidden="false" customHeight="false" outlineLevel="0" collapsed="false">
      <c r="A1582" s="25" t="n">
        <v>5124692</v>
      </c>
      <c r="B1582" s="25" t="s">
        <v>3581</v>
      </c>
      <c r="C1582" s="25" t="s">
        <v>3582</v>
      </c>
      <c r="D1582" s="26" t="n">
        <v>0.7</v>
      </c>
      <c r="E1582" s="27" t="n">
        <v>9.15490195998575</v>
      </c>
      <c r="F1582" s="27" t="n">
        <v>9.15490195998575</v>
      </c>
      <c r="G1582" s="25" t="s">
        <v>1948</v>
      </c>
      <c r="H1582" s="25" t="s">
        <v>1949</v>
      </c>
      <c r="I1582" s="25" t="n">
        <f aca="false">IFERROR(IF(INDEX(Documents!$C$5:$C$657,MATCH(H1582,Documents!$A$5:$A$657,0))="","",INDEX(Documents!$C$5:$C$657,MATCH(H1582,Documents!$A$5:$A$657,0))),"")</f>
        <v>2010</v>
      </c>
      <c r="J1582" s="25" t="str">
        <f aca="false">IFERROR(IF(INDEX(Documents!$D$5:$D$657,MATCH(H1582,Documents!$A$5:$A$657,0))="","",INDEX(Documents!$D$5:$D$657,MATCH(H1582,Documents!$A$5:$A$657,0))),"")</f>
        <v>J Med Chem</v>
      </c>
      <c r="K1582" s="25" t="str">
        <f aca="false">IFERROR(IF(INDEX(Documents!$G$5:$G$657,MATCH(H1582,Documents!$A$5:$A$657,0))="","",INDEX(Documents!$G$5:$G$657,MATCH(H1582,Documents!$A$5:$A$657,0))),"")</f>
        <v>10.1021/jm100286k</v>
      </c>
      <c r="L1582" s="25" t="s">
        <v>1950</v>
      </c>
    </row>
    <row r="1583" customFormat="false" ht="15" hidden="false" customHeight="false" outlineLevel="0" collapsed="false">
      <c r="A1583" s="25" t="n">
        <v>5124672</v>
      </c>
      <c r="B1583" s="25" t="s">
        <v>3583</v>
      </c>
      <c r="C1583" s="25" t="s">
        <v>3584</v>
      </c>
      <c r="D1583" s="26" t="n">
        <v>20</v>
      </c>
      <c r="E1583" s="27" t="n">
        <v>7.69897000433602</v>
      </c>
      <c r="F1583" s="27" t="n">
        <v>7.69897000433602</v>
      </c>
      <c r="G1583" s="25" t="s">
        <v>1948</v>
      </c>
      <c r="H1583" s="25" t="s">
        <v>1949</v>
      </c>
      <c r="I1583" s="25" t="n">
        <f aca="false">IFERROR(IF(INDEX(Documents!$C$5:$C$657,MATCH(H1583,Documents!$A$5:$A$657,0))="","",INDEX(Documents!$C$5:$C$657,MATCH(H1583,Documents!$A$5:$A$657,0))),"")</f>
        <v>2010</v>
      </c>
      <c r="J1583" s="25" t="str">
        <f aca="false">IFERROR(IF(INDEX(Documents!$D$5:$D$657,MATCH(H1583,Documents!$A$5:$A$657,0))="","",INDEX(Documents!$D$5:$D$657,MATCH(H1583,Documents!$A$5:$A$657,0))),"")</f>
        <v>J Med Chem</v>
      </c>
      <c r="K1583" s="25" t="str">
        <f aca="false">IFERROR(IF(INDEX(Documents!$G$5:$G$657,MATCH(H1583,Documents!$A$5:$A$657,0))="","",INDEX(Documents!$G$5:$G$657,MATCH(H1583,Documents!$A$5:$A$657,0))),"")</f>
        <v>10.1021/jm100286k</v>
      </c>
      <c r="L1583" s="25" t="s">
        <v>1950</v>
      </c>
    </row>
    <row r="1584" customFormat="false" ht="15" hidden="false" customHeight="false" outlineLevel="0" collapsed="false">
      <c r="A1584" s="25" t="n">
        <v>5124673</v>
      </c>
      <c r="B1584" s="25" t="s">
        <v>3585</v>
      </c>
      <c r="C1584" s="25" t="s">
        <v>3586</v>
      </c>
      <c r="D1584" s="26" t="n">
        <v>29</v>
      </c>
      <c r="E1584" s="27" t="n">
        <v>7.53760200210104</v>
      </c>
      <c r="F1584" s="27" t="n">
        <v>7.53760200210104</v>
      </c>
      <c r="G1584" s="25" t="s">
        <v>1948</v>
      </c>
      <c r="H1584" s="25" t="s">
        <v>1949</v>
      </c>
      <c r="I1584" s="25" t="n">
        <f aca="false">IFERROR(IF(INDEX(Documents!$C$5:$C$657,MATCH(H1584,Documents!$A$5:$A$657,0))="","",INDEX(Documents!$C$5:$C$657,MATCH(H1584,Documents!$A$5:$A$657,0))),"")</f>
        <v>2010</v>
      </c>
      <c r="J1584" s="25" t="str">
        <f aca="false">IFERROR(IF(INDEX(Documents!$D$5:$D$657,MATCH(H1584,Documents!$A$5:$A$657,0))="","",INDEX(Documents!$D$5:$D$657,MATCH(H1584,Documents!$A$5:$A$657,0))),"")</f>
        <v>J Med Chem</v>
      </c>
      <c r="K1584" s="25" t="str">
        <f aca="false">IFERROR(IF(INDEX(Documents!$G$5:$G$657,MATCH(H1584,Documents!$A$5:$A$657,0))="","",INDEX(Documents!$G$5:$G$657,MATCH(H1584,Documents!$A$5:$A$657,0))),"")</f>
        <v>10.1021/jm100286k</v>
      </c>
      <c r="L1584" s="25" t="s">
        <v>1950</v>
      </c>
    </row>
    <row r="1585" customFormat="false" ht="15" hidden="false" customHeight="false" outlineLevel="0" collapsed="false">
      <c r="A1585" s="25" t="n">
        <v>13299819</v>
      </c>
      <c r="B1585" s="25" t="s">
        <v>3587</v>
      </c>
      <c r="C1585" s="25" t="s">
        <v>3588</v>
      </c>
      <c r="D1585" s="26" t="n">
        <v>98</v>
      </c>
      <c r="E1585" s="27" t="n">
        <v>7.00877392430751</v>
      </c>
      <c r="F1585" s="27" t="n">
        <v>7.00877392430751</v>
      </c>
      <c r="G1585" s="25" t="s">
        <v>3589</v>
      </c>
      <c r="H1585" s="25" t="s">
        <v>3590</v>
      </c>
      <c r="I1585" s="25" t="n">
        <f aca="false">IFERROR(IF(INDEX(Documents!$C$5:$C$657,MATCH(H1585,Documents!$A$5:$A$657,0))="","",INDEX(Documents!$C$5:$C$657,MATCH(H1585,Documents!$A$5:$A$657,0))),"")</f>
        <v>2013</v>
      </c>
      <c r="J1585" s="25" t="str">
        <f aca="false">IFERROR(IF(INDEX(Documents!$D$5:$D$657,MATCH(H1585,Documents!$A$5:$A$657,0))="","",INDEX(Documents!$D$5:$D$657,MATCH(H1585,Documents!$A$5:$A$657,0))),"")</f>
        <v>J Med Chem</v>
      </c>
      <c r="K1585" s="25" t="str">
        <f aca="false">IFERROR(IF(INDEX(Documents!$G$5:$G$657,MATCH(H1585,Documents!$A$5:$A$657,0))="","",INDEX(Documents!$G$5:$G$657,MATCH(H1585,Documents!$A$5:$A$657,0))),"")</f>
        <v>10.1021/jm400182t</v>
      </c>
      <c r="L1585" s="25" t="s">
        <v>3591</v>
      </c>
    </row>
    <row r="1586" customFormat="false" ht="15" hidden="false" customHeight="false" outlineLevel="0" collapsed="false">
      <c r="A1586" s="25" t="n">
        <v>13299813</v>
      </c>
      <c r="B1586" s="25" t="s">
        <v>3592</v>
      </c>
      <c r="C1586" s="25" t="s">
        <v>3593</v>
      </c>
      <c r="D1586" s="26" t="n">
        <v>15</v>
      </c>
      <c r="E1586" s="27" t="n">
        <v>7.82390874094432</v>
      </c>
      <c r="F1586" s="27" t="n">
        <v>7.82390874094432</v>
      </c>
      <c r="G1586" s="25" t="s">
        <v>3589</v>
      </c>
      <c r="H1586" s="25" t="s">
        <v>3590</v>
      </c>
      <c r="I1586" s="25" t="n">
        <f aca="false">IFERROR(IF(INDEX(Documents!$C$5:$C$657,MATCH(H1586,Documents!$A$5:$A$657,0))="","",INDEX(Documents!$C$5:$C$657,MATCH(H1586,Documents!$A$5:$A$657,0))),"")</f>
        <v>2013</v>
      </c>
      <c r="J1586" s="25" t="str">
        <f aca="false">IFERROR(IF(INDEX(Documents!$D$5:$D$657,MATCH(H1586,Documents!$A$5:$A$657,0))="","",INDEX(Documents!$D$5:$D$657,MATCH(H1586,Documents!$A$5:$A$657,0))),"")</f>
        <v>J Med Chem</v>
      </c>
      <c r="K1586" s="25" t="str">
        <f aca="false">IFERROR(IF(INDEX(Documents!$G$5:$G$657,MATCH(H1586,Documents!$A$5:$A$657,0))="","",INDEX(Documents!$G$5:$G$657,MATCH(H1586,Documents!$A$5:$A$657,0))),"")</f>
        <v>10.1021/jm400182t</v>
      </c>
      <c r="L1586" s="25" t="s">
        <v>3591</v>
      </c>
    </row>
    <row r="1587" customFormat="false" ht="15" hidden="false" customHeight="false" outlineLevel="0" collapsed="false">
      <c r="A1587" s="25" t="n">
        <v>13299829</v>
      </c>
      <c r="B1587" s="25" t="s">
        <v>3594</v>
      </c>
      <c r="C1587" s="25" t="s">
        <v>3595</v>
      </c>
      <c r="D1587" s="26" t="n">
        <v>3.41</v>
      </c>
      <c r="E1587" s="27" t="n">
        <v>8.4672456210075</v>
      </c>
      <c r="F1587" s="27" t="n">
        <v>8.4672456210075</v>
      </c>
      <c r="G1587" s="25" t="s">
        <v>3589</v>
      </c>
      <c r="H1587" s="25" t="s">
        <v>3590</v>
      </c>
      <c r="I1587" s="25" t="n">
        <f aca="false">IFERROR(IF(INDEX(Documents!$C$5:$C$657,MATCH(H1587,Documents!$A$5:$A$657,0))="","",INDEX(Documents!$C$5:$C$657,MATCH(H1587,Documents!$A$5:$A$657,0))),"")</f>
        <v>2013</v>
      </c>
      <c r="J1587" s="25" t="str">
        <f aca="false">IFERROR(IF(INDEX(Documents!$D$5:$D$657,MATCH(H1587,Documents!$A$5:$A$657,0))="","",INDEX(Documents!$D$5:$D$657,MATCH(H1587,Documents!$A$5:$A$657,0))),"")</f>
        <v>J Med Chem</v>
      </c>
      <c r="K1587" s="25" t="str">
        <f aca="false">IFERROR(IF(INDEX(Documents!$G$5:$G$657,MATCH(H1587,Documents!$A$5:$A$657,0))="","",INDEX(Documents!$G$5:$G$657,MATCH(H1587,Documents!$A$5:$A$657,0))),"")</f>
        <v>10.1021/jm400182t</v>
      </c>
      <c r="L1587" s="25" t="s">
        <v>3591</v>
      </c>
    </row>
    <row r="1588" customFormat="false" ht="15" hidden="false" customHeight="false" outlineLevel="0" collapsed="false">
      <c r="A1588" s="25" t="n">
        <v>16495476</v>
      </c>
      <c r="B1588" s="25" t="s">
        <v>3596</v>
      </c>
      <c r="C1588" s="25" t="s">
        <v>3597</v>
      </c>
      <c r="D1588" s="26" t="n">
        <v>6.8</v>
      </c>
      <c r="E1588" s="27" t="n">
        <v>8.16749108729376</v>
      </c>
      <c r="F1588" s="27" t="n">
        <v>8.16749108729376</v>
      </c>
      <c r="G1588" s="25" t="s">
        <v>501</v>
      </c>
      <c r="H1588" s="25" t="s">
        <v>502</v>
      </c>
      <c r="I1588" s="25" t="n">
        <f aca="false">IFERROR(IF(INDEX(Documents!$C$5:$C$657,MATCH(H1588,Documents!$A$5:$A$657,0))="","",INDEX(Documents!$C$5:$C$657,MATCH(H1588,Documents!$A$5:$A$657,0))),"")</f>
        <v>2016</v>
      </c>
      <c r="J1588" s="25" t="str">
        <f aca="false">IFERROR(IF(INDEX(Documents!$D$5:$D$657,MATCH(H1588,Documents!$A$5:$A$657,0))="","",INDEX(Documents!$D$5:$D$657,MATCH(H1588,Documents!$A$5:$A$657,0))),"")</f>
        <v>Eur J Med Chem</v>
      </c>
      <c r="K1588" s="25" t="str">
        <f aca="false">IFERROR(IF(INDEX(Documents!$G$5:$G$657,MATCH(H1588,Documents!$A$5:$A$657,0))="","",INDEX(Documents!$G$5:$G$657,MATCH(H1588,Documents!$A$5:$A$657,0))),"")</f>
        <v>10.1016/j.ejmech.2016.02.032</v>
      </c>
      <c r="L1588" s="25" t="s">
        <v>503</v>
      </c>
    </row>
    <row r="1589" customFormat="false" ht="15" hidden="false" customHeight="false" outlineLevel="0" collapsed="false">
      <c r="A1589" s="25" t="n">
        <v>13299812</v>
      </c>
      <c r="B1589" s="25" t="s">
        <v>3598</v>
      </c>
      <c r="C1589" s="25" t="s">
        <v>3599</v>
      </c>
      <c r="D1589" s="26" t="n">
        <v>11.6</v>
      </c>
      <c r="E1589" s="27" t="n">
        <v>7.93554201077308</v>
      </c>
      <c r="F1589" s="27" t="n">
        <v>7.93554201077308</v>
      </c>
      <c r="G1589" s="25" t="s">
        <v>3589</v>
      </c>
      <c r="H1589" s="25" t="s">
        <v>3590</v>
      </c>
      <c r="I1589" s="25" t="n">
        <f aca="false">IFERROR(IF(INDEX(Documents!$C$5:$C$657,MATCH(H1589,Documents!$A$5:$A$657,0))="","",INDEX(Documents!$C$5:$C$657,MATCH(H1589,Documents!$A$5:$A$657,0))),"")</f>
        <v>2013</v>
      </c>
      <c r="J1589" s="25" t="str">
        <f aca="false">IFERROR(IF(INDEX(Documents!$D$5:$D$657,MATCH(H1589,Documents!$A$5:$A$657,0))="","",INDEX(Documents!$D$5:$D$657,MATCH(H1589,Documents!$A$5:$A$657,0))),"")</f>
        <v>J Med Chem</v>
      </c>
      <c r="K1589" s="25" t="str">
        <f aca="false">IFERROR(IF(INDEX(Documents!$G$5:$G$657,MATCH(H1589,Documents!$A$5:$A$657,0))="","",INDEX(Documents!$G$5:$G$657,MATCH(H1589,Documents!$A$5:$A$657,0))),"")</f>
        <v>10.1021/jm400182t</v>
      </c>
      <c r="L1589" s="25" t="s">
        <v>3591</v>
      </c>
    </row>
    <row r="1590" customFormat="false" ht="15" hidden="false" customHeight="false" outlineLevel="0" collapsed="false">
      <c r="A1590" s="25" t="n">
        <v>13299823</v>
      </c>
      <c r="B1590" s="25" t="s">
        <v>3600</v>
      </c>
      <c r="C1590" s="25" t="s">
        <v>3601</v>
      </c>
      <c r="D1590" s="26" t="n">
        <v>3.88</v>
      </c>
      <c r="E1590" s="27" t="n">
        <v>8.41116827440579</v>
      </c>
      <c r="F1590" s="27" t="n">
        <v>8.41116827440579</v>
      </c>
      <c r="G1590" s="25" t="s">
        <v>3589</v>
      </c>
      <c r="H1590" s="25" t="s">
        <v>3590</v>
      </c>
      <c r="I1590" s="25" t="n">
        <f aca="false">IFERROR(IF(INDEX(Documents!$C$5:$C$657,MATCH(H1590,Documents!$A$5:$A$657,0))="","",INDEX(Documents!$C$5:$C$657,MATCH(H1590,Documents!$A$5:$A$657,0))),"")</f>
        <v>2013</v>
      </c>
      <c r="J1590" s="25" t="str">
        <f aca="false">IFERROR(IF(INDEX(Documents!$D$5:$D$657,MATCH(H1590,Documents!$A$5:$A$657,0))="","",INDEX(Documents!$D$5:$D$657,MATCH(H1590,Documents!$A$5:$A$657,0))),"")</f>
        <v>J Med Chem</v>
      </c>
      <c r="K1590" s="25" t="str">
        <f aca="false">IFERROR(IF(INDEX(Documents!$G$5:$G$657,MATCH(H1590,Documents!$A$5:$A$657,0))="","",INDEX(Documents!$G$5:$G$657,MATCH(H1590,Documents!$A$5:$A$657,0))),"")</f>
        <v>10.1021/jm400182t</v>
      </c>
      <c r="L1590" s="25" t="s">
        <v>3591</v>
      </c>
    </row>
    <row r="1591" customFormat="false" ht="15" hidden="false" customHeight="false" outlineLevel="0" collapsed="false">
      <c r="A1591" s="25" t="n">
        <v>16495481</v>
      </c>
      <c r="B1591" s="25" t="s">
        <v>3602</v>
      </c>
      <c r="C1591" s="25" t="s">
        <v>3603</v>
      </c>
      <c r="D1591" s="26" t="n">
        <v>11.3</v>
      </c>
      <c r="E1591" s="27" t="n">
        <v>7.94692155651658</v>
      </c>
      <c r="F1591" s="27" t="n">
        <v>7.94692155651658</v>
      </c>
      <c r="G1591" s="25" t="s">
        <v>501</v>
      </c>
      <c r="H1591" s="25" t="s">
        <v>502</v>
      </c>
      <c r="I1591" s="25" t="n">
        <f aca="false">IFERROR(IF(INDEX(Documents!$C$5:$C$657,MATCH(H1591,Documents!$A$5:$A$657,0))="","",INDEX(Documents!$C$5:$C$657,MATCH(H1591,Documents!$A$5:$A$657,0))),"")</f>
        <v>2016</v>
      </c>
      <c r="J1591" s="25" t="str">
        <f aca="false">IFERROR(IF(INDEX(Documents!$D$5:$D$657,MATCH(H1591,Documents!$A$5:$A$657,0))="","",INDEX(Documents!$D$5:$D$657,MATCH(H1591,Documents!$A$5:$A$657,0))),"")</f>
        <v>Eur J Med Chem</v>
      </c>
      <c r="K1591" s="25" t="str">
        <f aca="false">IFERROR(IF(INDEX(Documents!$G$5:$G$657,MATCH(H1591,Documents!$A$5:$A$657,0))="","",INDEX(Documents!$G$5:$G$657,MATCH(H1591,Documents!$A$5:$A$657,0))),"")</f>
        <v>10.1016/j.ejmech.2016.02.032</v>
      </c>
      <c r="L1591" s="25" t="s">
        <v>503</v>
      </c>
    </row>
    <row r="1592" customFormat="false" ht="15" hidden="false" customHeight="false" outlineLevel="0" collapsed="false">
      <c r="A1592" s="25" t="n">
        <v>13299820</v>
      </c>
      <c r="B1592" s="25" t="s">
        <v>3604</v>
      </c>
      <c r="C1592" s="25" t="s">
        <v>3605</v>
      </c>
      <c r="D1592" s="26" t="n">
        <v>30</v>
      </c>
      <c r="E1592" s="27" t="n">
        <v>7.52287874528034</v>
      </c>
      <c r="F1592" s="27" t="n">
        <v>7.52287874528034</v>
      </c>
      <c r="G1592" s="25" t="s">
        <v>3589</v>
      </c>
      <c r="H1592" s="25" t="s">
        <v>3590</v>
      </c>
      <c r="I1592" s="25" t="n">
        <f aca="false">IFERROR(IF(INDEX(Documents!$C$5:$C$657,MATCH(H1592,Documents!$A$5:$A$657,0))="","",INDEX(Documents!$C$5:$C$657,MATCH(H1592,Documents!$A$5:$A$657,0))),"")</f>
        <v>2013</v>
      </c>
      <c r="J1592" s="25" t="str">
        <f aca="false">IFERROR(IF(INDEX(Documents!$D$5:$D$657,MATCH(H1592,Documents!$A$5:$A$657,0))="","",INDEX(Documents!$D$5:$D$657,MATCH(H1592,Documents!$A$5:$A$657,0))),"")</f>
        <v>J Med Chem</v>
      </c>
      <c r="K1592" s="25" t="str">
        <f aca="false">IFERROR(IF(INDEX(Documents!$G$5:$G$657,MATCH(H1592,Documents!$A$5:$A$657,0))="","",INDEX(Documents!$G$5:$G$657,MATCH(H1592,Documents!$A$5:$A$657,0))),"")</f>
        <v>10.1021/jm400182t</v>
      </c>
      <c r="L1592" s="25" t="s">
        <v>3591</v>
      </c>
    </row>
    <row r="1593" customFormat="false" ht="15" hidden="false" customHeight="false" outlineLevel="0" collapsed="false">
      <c r="A1593" s="25" t="n">
        <v>16495479</v>
      </c>
      <c r="B1593" s="25" t="s">
        <v>3606</v>
      </c>
      <c r="C1593" s="25" t="s">
        <v>3607</v>
      </c>
      <c r="D1593" s="26" t="n">
        <v>47</v>
      </c>
      <c r="E1593" s="27" t="n">
        <v>7.32790214206428</v>
      </c>
      <c r="F1593" s="27" t="n">
        <v>7.32790214206428</v>
      </c>
      <c r="G1593" s="25" t="s">
        <v>501</v>
      </c>
      <c r="H1593" s="25" t="s">
        <v>502</v>
      </c>
      <c r="I1593" s="25" t="n">
        <f aca="false">IFERROR(IF(INDEX(Documents!$C$5:$C$657,MATCH(H1593,Documents!$A$5:$A$657,0))="","",INDEX(Documents!$C$5:$C$657,MATCH(H1593,Documents!$A$5:$A$657,0))),"")</f>
        <v>2016</v>
      </c>
      <c r="J1593" s="25" t="str">
        <f aca="false">IFERROR(IF(INDEX(Documents!$D$5:$D$657,MATCH(H1593,Documents!$A$5:$A$657,0))="","",INDEX(Documents!$D$5:$D$657,MATCH(H1593,Documents!$A$5:$A$657,0))),"")</f>
        <v>Eur J Med Chem</v>
      </c>
      <c r="K1593" s="25" t="str">
        <f aca="false">IFERROR(IF(INDEX(Documents!$G$5:$G$657,MATCH(H1593,Documents!$A$5:$A$657,0))="","",INDEX(Documents!$G$5:$G$657,MATCH(H1593,Documents!$A$5:$A$657,0))),"")</f>
        <v>10.1016/j.ejmech.2016.02.032</v>
      </c>
      <c r="L1593" s="25" t="s">
        <v>503</v>
      </c>
    </row>
    <row r="1594" customFormat="false" ht="15" hidden="false" customHeight="false" outlineLevel="0" collapsed="false">
      <c r="A1594" s="25" t="n">
        <v>13299835</v>
      </c>
      <c r="B1594" s="25" t="s">
        <v>3608</v>
      </c>
      <c r="C1594" s="25" t="s">
        <v>3609</v>
      </c>
      <c r="D1594" s="26" t="n">
        <v>2.56</v>
      </c>
      <c r="E1594" s="27" t="n">
        <v>8.59176003468815</v>
      </c>
      <c r="F1594" s="27" t="n">
        <v>8.59176003468815</v>
      </c>
      <c r="G1594" s="25" t="s">
        <v>3589</v>
      </c>
      <c r="H1594" s="25" t="s">
        <v>3590</v>
      </c>
      <c r="I1594" s="25" t="n">
        <f aca="false">IFERROR(IF(INDEX(Documents!$C$5:$C$657,MATCH(H1594,Documents!$A$5:$A$657,0))="","",INDEX(Documents!$C$5:$C$657,MATCH(H1594,Documents!$A$5:$A$657,0))),"")</f>
        <v>2013</v>
      </c>
      <c r="J1594" s="25" t="str">
        <f aca="false">IFERROR(IF(INDEX(Documents!$D$5:$D$657,MATCH(H1594,Documents!$A$5:$A$657,0))="","",INDEX(Documents!$D$5:$D$657,MATCH(H1594,Documents!$A$5:$A$657,0))),"")</f>
        <v>J Med Chem</v>
      </c>
      <c r="K1594" s="25" t="str">
        <f aca="false">IFERROR(IF(INDEX(Documents!$G$5:$G$657,MATCH(H1594,Documents!$A$5:$A$657,0))="","",INDEX(Documents!$G$5:$G$657,MATCH(H1594,Documents!$A$5:$A$657,0))),"")</f>
        <v>10.1021/jm400182t</v>
      </c>
      <c r="L1594" s="25" t="s">
        <v>3591</v>
      </c>
    </row>
    <row r="1595" customFormat="false" ht="15" hidden="false" customHeight="false" outlineLevel="0" collapsed="false">
      <c r="A1595" s="25" t="n">
        <v>12619605</v>
      </c>
      <c r="B1595" s="25" t="s">
        <v>3610</v>
      </c>
      <c r="C1595" s="25" t="s">
        <v>3611</v>
      </c>
      <c r="D1595" s="26" t="n">
        <v>3.58</v>
      </c>
      <c r="E1595" s="27" t="n">
        <v>8.44611697335613</v>
      </c>
      <c r="F1595" s="27" t="n">
        <v>8.44611697335613</v>
      </c>
      <c r="G1595" s="25" t="s">
        <v>2805</v>
      </c>
      <c r="H1595" s="25" t="s">
        <v>2806</v>
      </c>
      <c r="I1595" s="25" t="n">
        <f aca="false">IFERROR(IF(INDEX(Documents!$C$5:$C$657,MATCH(H1595,Documents!$A$5:$A$657,0))="","",INDEX(Documents!$C$5:$C$657,MATCH(H1595,Documents!$A$5:$A$657,0))),"")</f>
        <v>2013</v>
      </c>
      <c r="J1595" s="25" t="str">
        <f aca="false">IFERROR(IF(INDEX(Documents!$D$5:$D$657,MATCH(H1595,Documents!$A$5:$A$657,0))="","",INDEX(Documents!$D$5:$D$657,MATCH(H1595,Documents!$A$5:$A$657,0))),"")</f>
        <v>J Med Chem</v>
      </c>
      <c r="K1595" s="25" t="str">
        <f aca="false">IFERROR(IF(INDEX(Documents!$G$5:$G$657,MATCH(H1595,Documents!$A$5:$A$657,0))="","",INDEX(Documents!$G$5:$G$657,MATCH(H1595,Documents!$A$5:$A$657,0))),"")</f>
        <v>10.1021/jm301527r</v>
      </c>
      <c r="L1595" s="25" t="s">
        <v>2807</v>
      </c>
    </row>
    <row r="1596" customFormat="false" ht="15" hidden="false" customHeight="false" outlineLevel="0" collapsed="false">
      <c r="A1596" s="25" t="n">
        <v>13299832</v>
      </c>
      <c r="B1596" s="25" t="s">
        <v>3612</v>
      </c>
      <c r="C1596" s="25" t="s">
        <v>3613</v>
      </c>
      <c r="D1596" s="26" t="n">
        <v>2.86</v>
      </c>
      <c r="E1596" s="27" t="n">
        <v>8.54363396687096</v>
      </c>
      <c r="F1596" s="27" t="n">
        <v>8.54363396687096</v>
      </c>
      <c r="G1596" s="25" t="s">
        <v>3589</v>
      </c>
      <c r="H1596" s="25" t="s">
        <v>3590</v>
      </c>
      <c r="I1596" s="25" t="n">
        <f aca="false">IFERROR(IF(INDEX(Documents!$C$5:$C$657,MATCH(H1596,Documents!$A$5:$A$657,0))="","",INDEX(Documents!$C$5:$C$657,MATCH(H1596,Documents!$A$5:$A$657,0))),"")</f>
        <v>2013</v>
      </c>
      <c r="J1596" s="25" t="str">
        <f aca="false">IFERROR(IF(INDEX(Documents!$D$5:$D$657,MATCH(H1596,Documents!$A$5:$A$657,0))="","",INDEX(Documents!$D$5:$D$657,MATCH(H1596,Documents!$A$5:$A$657,0))),"")</f>
        <v>J Med Chem</v>
      </c>
      <c r="K1596" s="25" t="str">
        <f aca="false">IFERROR(IF(INDEX(Documents!$G$5:$G$657,MATCH(H1596,Documents!$A$5:$A$657,0))="","",INDEX(Documents!$G$5:$G$657,MATCH(H1596,Documents!$A$5:$A$657,0))),"")</f>
        <v>10.1021/jm400182t</v>
      </c>
      <c r="L1596" s="25" t="s">
        <v>3591</v>
      </c>
    </row>
    <row r="1597" customFormat="false" ht="15" hidden="false" customHeight="false" outlineLevel="0" collapsed="false">
      <c r="A1597" s="25" t="n">
        <v>13299826</v>
      </c>
      <c r="B1597" s="25" t="s">
        <v>3614</v>
      </c>
      <c r="C1597" s="25" t="s">
        <v>3615</v>
      </c>
      <c r="D1597" s="26" t="n">
        <v>6.21</v>
      </c>
      <c r="E1597" s="27" t="n">
        <v>8.20690839982342</v>
      </c>
      <c r="F1597" s="27" t="n">
        <v>8.20690839982342</v>
      </c>
      <c r="G1597" s="25" t="s">
        <v>3589</v>
      </c>
      <c r="H1597" s="25" t="s">
        <v>3590</v>
      </c>
      <c r="I1597" s="25" t="n">
        <f aca="false">IFERROR(IF(INDEX(Documents!$C$5:$C$657,MATCH(H1597,Documents!$A$5:$A$657,0))="","",INDEX(Documents!$C$5:$C$657,MATCH(H1597,Documents!$A$5:$A$657,0))),"")</f>
        <v>2013</v>
      </c>
      <c r="J1597" s="25" t="str">
        <f aca="false">IFERROR(IF(INDEX(Documents!$D$5:$D$657,MATCH(H1597,Documents!$A$5:$A$657,0))="","",INDEX(Documents!$D$5:$D$657,MATCH(H1597,Documents!$A$5:$A$657,0))),"")</f>
        <v>J Med Chem</v>
      </c>
      <c r="K1597" s="25" t="str">
        <f aca="false">IFERROR(IF(INDEX(Documents!$G$5:$G$657,MATCH(H1597,Documents!$A$5:$A$657,0))="","",INDEX(Documents!$G$5:$G$657,MATCH(H1597,Documents!$A$5:$A$657,0))),"")</f>
        <v>10.1021/jm400182t</v>
      </c>
      <c r="L1597" s="25" t="s">
        <v>3591</v>
      </c>
    </row>
    <row r="1598" customFormat="false" ht="15" hidden="false" customHeight="false" outlineLevel="0" collapsed="false">
      <c r="A1598" s="25" t="n">
        <v>16495474</v>
      </c>
      <c r="B1598" s="25" t="s">
        <v>3616</v>
      </c>
      <c r="C1598" s="25" t="s">
        <v>3617</v>
      </c>
      <c r="D1598" s="26" t="n">
        <v>228</v>
      </c>
      <c r="E1598" s="27" t="n">
        <v>6.64206515299955</v>
      </c>
      <c r="F1598" s="27" t="n">
        <v>6.64206515299955</v>
      </c>
      <c r="G1598" s="25" t="s">
        <v>501</v>
      </c>
      <c r="H1598" s="25" t="s">
        <v>502</v>
      </c>
      <c r="I1598" s="25" t="n">
        <f aca="false">IFERROR(IF(INDEX(Documents!$C$5:$C$657,MATCH(H1598,Documents!$A$5:$A$657,0))="","",INDEX(Documents!$C$5:$C$657,MATCH(H1598,Documents!$A$5:$A$657,0))),"")</f>
        <v>2016</v>
      </c>
      <c r="J1598" s="25" t="str">
        <f aca="false">IFERROR(IF(INDEX(Documents!$D$5:$D$657,MATCH(H1598,Documents!$A$5:$A$657,0))="","",INDEX(Documents!$D$5:$D$657,MATCH(H1598,Documents!$A$5:$A$657,0))),"")</f>
        <v>Eur J Med Chem</v>
      </c>
      <c r="K1598" s="25" t="str">
        <f aca="false">IFERROR(IF(INDEX(Documents!$G$5:$G$657,MATCH(H1598,Documents!$A$5:$A$657,0))="","",INDEX(Documents!$G$5:$G$657,MATCH(H1598,Documents!$A$5:$A$657,0))),"")</f>
        <v>10.1016/j.ejmech.2016.02.032</v>
      </c>
      <c r="L1598" s="25" t="s">
        <v>503</v>
      </c>
    </row>
    <row r="1599" customFormat="false" ht="15" hidden="false" customHeight="false" outlineLevel="0" collapsed="false">
      <c r="A1599" s="25" t="n">
        <v>13299816</v>
      </c>
      <c r="B1599" s="25" t="s">
        <v>3618</v>
      </c>
      <c r="C1599" s="25" t="s">
        <v>3619</v>
      </c>
      <c r="D1599" s="26" t="n">
        <v>4.92</v>
      </c>
      <c r="E1599" s="27" t="n">
        <v>8.30803489723264</v>
      </c>
      <c r="F1599" s="27" t="n">
        <v>8.30803489723264</v>
      </c>
      <c r="G1599" s="25" t="s">
        <v>3589</v>
      </c>
      <c r="H1599" s="25" t="s">
        <v>3590</v>
      </c>
      <c r="I1599" s="25" t="n">
        <f aca="false">IFERROR(IF(INDEX(Documents!$C$5:$C$657,MATCH(H1599,Documents!$A$5:$A$657,0))="","",INDEX(Documents!$C$5:$C$657,MATCH(H1599,Documents!$A$5:$A$657,0))),"")</f>
        <v>2013</v>
      </c>
      <c r="J1599" s="25" t="str">
        <f aca="false">IFERROR(IF(INDEX(Documents!$D$5:$D$657,MATCH(H1599,Documents!$A$5:$A$657,0))="","",INDEX(Documents!$D$5:$D$657,MATCH(H1599,Documents!$A$5:$A$657,0))),"")</f>
        <v>J Med Chem</v>
      </c>
      <c r="K1599" s="25" t="str">
        <f aca="false">IFERROR(IF(INDEX(Documents!$G$5:$G$657,MATCH(H1599,Documents!$A$5:$A$657,0))="","",INDEX(Documents!$G$5:$G$657,MATCH(H1599,Documents!$A$5:$A$657,0))),"")</f>
        <v>10.1021/jm400182t</v>
      </c>
      <c r="L1599" s="25" t="s">
        <v>3591</v>
      </c>
    </row>
    <row r="1600" customFormat="false" ht="15" hidden="false" customHeight="false" outlineLevel="0" collapsed="false">
      <c r="A1600" s="25" t="n">
        <v>16495475</v>
      </c>
      <c r="B1600" s="25" t="s">
        <v>3620</v>
      </c>
      <c r="C1600" s="25" t="s">
        <v>3621</v>
      </c>
      <c r="D1600" s="26" t="n">
        <v>45</v>
      </c>
      <c r="E1600" s="27" t="n">
        <v>7.34678748622466</v>
      </c>
      <c r="F1600" s="27" t="n">
        <v>7.34678748622466</v>
      </c>
      <c r="G1600" s="25" t="s">
        <v>501</v>
      </c>
      <c r="H1600" s="25" t="s">
        <v>502</v>
      </c>
      <c r="I1600" s="25" t="n">
        <f aca="false">IFERROR(IF(INDEX(Documents!$C$5:$C$657,MATCH(H1600,Documents!$A$5:$A$657,0))="","",INDEX(Documents!$C$5:$C$657,MATCH(H1600,Documents!$A$5:$A$657,0))),"")</f>
        <v>2016</v>
      </c>
      <c r="J1600" s="25" t="str">
        <f aca="false">IFERROR(IF(INDEX(Documents!$D$5:$D$657,MATCH(H1600,Documents!$A$5:$A$657,0))="","",INDEX(Documents!$D$5:$D$657,MATCH(H1600,Documents!$A$5:$A$657,0))),"")</f>
        <v>Eur J Med Chem</v>
      </c>
      <c r="K1600" s="25" t="str">
        <f aca="false">IFERROR(IF(INDEX(Documents!$G$5:$G$657,MATCH(H1600,Documents!$A$5:$A$657,0))="","",INDEX(Documents!$G$5:$G$657,MATCH(H1600,Documents!$A$5:$A$657,0))),"")</f>
        <v>10.1016/j.ejmech.2016.02.032</v>
      </c>
      <c r="L1600" s="25" t="s">
        <v>503</v>
      </c>
    </row>
    <row r="1601" customFormat="false" ht="15" hidden="false" customHeight="false" outlineLevel="0" collapsed="false">
      <c r="A1601" s="25" t="n">
        <v>13299814</v>
      </c>
      <c r="B1601" s="25" t="s">
        <v>3622</v>
      </c>
      <c r="C1601" s="25" t="s">
        <v>3623</v>
      </c>
      <c r="D1601" s="26" t="n">
        <v>6.24</v>
      </c>
      <c r="E1601" s="27" t="n">
        <v>8.20481541031758</v>
      </c>
      <c r="F1601" s="27" t="n">
        <v>8.20481541031758</v>
      </c>
      <c r="G1601" s="25" t="s">
        <v>3589</v>
      </c>
      <c r="H1601" s="25" t="s">
        <v>3590</v>
      </c>
      <c r="I1601" s="25" t="n">
        <f aca="false">IFERROR(IF(INDEX(Documents!$C$5:$C$657,MATCH(H1601,Documents!$A$5:$A$657,0))="","",INDEX(Documents!$C$5:$C$657,MATCH(H1601,Documents!$A$5:$A$657,0))),"")</f>
        <v>2013</v>
      </c>
      <c r="J1601" s="25" t="str">
        <f aca="false">IFERROR(IF(INDEX(Documents!$D$5:$D$657,MATCH(H1601,Documents!$A$5:$A$657,0))="","",INDEX(Documents!$D$5:$D$657,MATCH(H1601,Documents!$A$5:$A$657,0))),"")</f>
        <v>J Med Chem</v>
      </c>
      <c r="K1601" s="25" t="str">
        <f aca="false">IFERROR(IF(INDEX(Documents!$G$5:$G$657,MATCH(H1601,Documents!$A$5:$A$657,0))="","",INDEX(Documents!$G$5:$G$657,MATCH(H1601,Documents!$A$5:$A$657,0))),"")</f>
        <v>10.1021/jm400182t</v>
      </c>
      <c r="L1601" s="25" t="s">
        <v>3591</v>
      </c>
    </row>
    <row r="1602" customFormat="false" ht="15" hidden="false" customHeight="false" outlineLevel="0" collapsed="false">
      <c r="A1602" s="25" t="n">
        <v>13299815</v>
      </c>
      <c r="B1602" s="25" t="s">
        <v>3624</v>
      </c>
      <c r="C1602" s="25" t="s">
        <v>3625</v>
      </c>
      <c r="D1602" s="26" t="n">
        <v>10.1</v>
      </c>
      <c r="E1602" s="27" t="n">
        <v>7.99567862621736</v>
      </c>
      <c r="F1602" s="27" t="n">
        <v>7.99567862621736</v>
      </c>
      <c r="G1602" s="25" t="s">
        <v>3589</v>
      </c>
      <c r="H1602" s="25" t="s">
        <v>3590</v>
      </c>
      <c r="I1602" s="25" t="n">
        <f aca="false">IFERROR(IF(INDEX(Documents!$C$5:$C$657,MATCH(H1602,Documents!$A$5:$A$657,0))="","",INDEX(Documents!$C$5:$C$657,MATCH(H1602,Documents!$A$5:$A$657,0))),"")</f>
        <v>2013</v>
      </c>
      <c r="J1602" s="25" t="str">
        <f aca="false">IFERROR(IF(INDEX(Documents!$D$5:$D$657,MATCH(H1602,Documents!$A$5:$A$657,0))="","",INDEX(Documents!$D$5:$D$657,MATCH(H1602,Documents!$A$5:$A$657,0))),"")</f>
        <v>J Med Chem</v>
      </c>
      <c r="K1602" s="25" t="str">
        <f aca="false">IFERROR(IF(INDEX(Documents!$G$5:$G$657,MATCH(H1602,Documents!$A$5:$A$657,0))="","",INDEX(Documents!$G$5:$G$657,MATCH(H1602,Documents!$A$5:$A$657,0))),"")</f>
        <v>10.1021/jm400182t</v>
      </c>
      <c r="L1602" s="25" t="s">
        <v>3591</v>
      </c>
    </row>
    <row r="1603" customFormat="false" ht="15" hidden="false" customHeight="false" outlineLevel="0" collapsed="false">
      <c r="A1603" s="25" t="n">
        <v>13299838</v>
      </c>
      <c r="B1603" s="25" t="s">
        <v>3626</v>
      </c>
      <c r="C1603" s="25" t="s">
        <v>3627</v>
      </c>
      <c r="D1603" s="26" t="n">
        <v>4.95</v>
      </c>
      <c r="E1603" s="27" t="n">
        <v>8.30539480106643</v>
      </c>
      <c r="F1603" s="27" t="n">
        <v>8.30539480106643</v>
      </c>
      <c r="G1603" s="25" t="s">
        <v>3589</v>
      </c>
      <c r="H1603" s="25" t="s">
        <v>3590</v>
      </c>
      <c r="I1603" s="25" t="n">
        <f aca="false">IFERROR(IF(INDEX(Documents!$C$5:$C$657,MATCH(H1603,Documents!$A$5:$A$657,0))="","",INDEX(Documents!$C$5:$C$657,MATCH(H1603,Documents!$A$5:$A$657,0))),"")</f>
        <v>2013</v>
      </c>
      <c r="J1603" s="25" t="str">
        <f aca="false">IFERROR(IF(INDEX(Documents!$D$5:$D$657,MATCH(H1603,Documents!$A$5:$A$657,0))="","",INDEX(Documents!$D$5:$D$657,MATCH(H1603,Documents!$A$5:$A$657,0))),"")</f>
        <v>J Med Chem</v>
      </c>
      <c r="K1603" s="25" t="str">
        <f aca="false">IFERROR(IF(INDEX(Documents!$G$5:$G$657,MATCH(H1603,Documents!$A$5:$A$657,0))="","",INDEX(Documents!$G$5:$G$657,MATCH(H1603,Documents!$A$5:$A$657,0))),"")</f>
        <v>10.1021/jm400182t</v>
      </c>
      <c r="L1603" s="25" t="s">
        <v>3591</v>
      </c>
    </row>
    <row r="1604" customFormat="false" ht="15" hidden="false" customHeight="false" outlineLevel="0" collapsed="false">
      <c r="A1604" s="25" t="n">
        <v>13299809</v>
      </c>
      <c r="B1604" s="25" t="s">
        <v>3628</v>
      </c>
      <c r="C1604" s="25" t="s">
        <v>3629</v>
      </c>
      <c r="D1604" s="26" t="n">
        <v>350</v>
      </c>
      <c r="E1604" s="27" t="n">
        <v>6.45593195564972</v>
      </c>
      <c r="F1604" s="27" t="n">
        <v>6.45593195564972</v>
      </c>
      <c r="G1604" s="25" t="s">
        <v>3589</v>
      </c>
      <c r="H1604" s="25" t="s">
        <v>3590</v>
      </c>
      <c r="I1604" s="25" t="n">
        <f aca="false">IFERROR(IF(INDEX(Documents!$C$5:$C$657,MATCH(H1604,Documents!$A$5:$A$657,0))="","",INDEX(Documents!$C$5:$C$657,MATCH(H1604,Documents!$A$5:$A$657,0))),"")</f>
        <v>2013</v>
      </c>
      <c r="J1604" s="25" t="str">
        <f aca="false">IFERROR(IF(INDEX(Documents!$D$5:$D$657,MATCH(H1604,Documents!$A$5:$A$657,0))="","",INDEX(Documents!$D$5:$D$657,MATCH(H1604,Documents!$A$5:$A$657,0))),"")</f>
        <v>J Med Chem</v>
      </c>
      <c r="K1604" s="25" t="str">
        <f aca="false">IFERROR(IF(INDEX(Documents!$G$5:$G$657,MATCH(H1604,Documents!$A$5:$A$657,0))="","",INDEX(Documents!$G$5:$G$657,MATCH(H1604,Documents!$A$5:$A$657,0))),"")</f>
        <v>10.1021/jm400182t</v>
      </c>
      <c r="L1604" s="25" t="s">
        <v>3591</v>
      </c>
    </row>
    <row r="1605" customFormat="false" ht="15" hidden="false" customHeight="false" outlineLevel="0" collapsed="false">
      <c r="A1605" s="25" t="n">
        <v>13299810</v>
      </c>
      <c r="B1605" s="25" t="s">
        <v>3630</v>
      </c>
      <c r="C1605" s="25" t="s">
        <v>3631</v>
      </c>
      <c r="D1605" s="26" t="n">
        <v>181</v>
      </c>
      <c r="E1605" s="27" t="n">
        <v>6.74232142513082</v>
      </c>
      <c r="F1605" s="27" t="n">
        <v>6.74232142513082</v>
      </c>
      <c r="G1605" s="25" t="s">
        <v>3589</v>
      </c>
      <c r="H1605" s="25" t="s">
        <v>3590</v>
      </c>
      <c r="I1605" s="25" t="n">
        <f aca="false">IFERROR(IF(INDEX(Documents!$C$5:$C$657,MATCH(H1605,Documents!$A$5:$A$657,0))="","",INDEX(Documents!$C$5:$C$657,MATCH(H1605,Documents!$A$5:$A$657,0))),"")</f>
        <v>2013</v>
      </c>
      <c r="J1605" s="25" t="str">
        <f aca="false">IFERROR(IF(INDEX(Documents!$D$5:$D$657,MATCH(H1605,Documents!$A$5:$A$657,0))="","",INDEX(Documents!$D$5:$D$657,MATCH(H1605,Documents!$A$5:$A$657,0))),"")</f>
        <v>J Med Chem</v>
      </c>
      <c r="K1605" s="25" t="str">
        <f aca="false">IFERROR(IF(INDEX(Documents!$G$5:$G$657,MATCH(H1605,Documents!$A$5:$A$657,0))="","",INDEX(Documents!$G$5:$G$657,MATCH(H1605,Documents!$A$5:$A$657,0))),"")</f>
        <v>10.1021/jm400182t</v>
      </c>
      <c r="L1605" s="25" t="s">
        <v>3591</v>
      </c>
    </row>
    <row r="1606" customFormat="false" ht="15" hidden="false" customHeight="false" outlineLevel="0" collapsed="false">
      <c r="A1606" s="25" t="n">
        <v>13299811</v>
      </c>
      <c r="B1606" s="25" t="s">
        <v>3632</v>
      </c>
      <c r="C1606" s="25" t="s">
        <v>3633</v>
      </c>
      <c r="D1606" s="26" t="n">
        <v>220</v>
      </c>
      <c r="E1606" s="27" t="n">
        <v>6.65757731917779</v>
      </c>
      <c r="F1606" s="27" t="n">
        <v>6.65757731917779</v>
      </c>
      <c r="G1606" s="25" t="s">
        <v>3589</v>
      </c>
      <c r="H1606" s="25" t="s">
        <v>3590</v>
      </c>
      <c r="I1606" s="25" t="n">
        <f aca="false">IFERROR(IF(INDEX(Documents!$C$5:$C$657,MATCH(H1606,Documents!$A$5:$A$657,0))="","",INDEX(Documents!$C$5:$C$657,MATCH(H1606,Documents!$A$5:$A$657,0))),"")</f>
        <v>2013</v>
      </c>
      <c r="J1606" s="25" t="str">
        <f aca="false">IFERROR(IF(INDEX(Documents!$D$5:$D$657,MATCH(H1606,Documents!$A$5:$A$657,0))="","",INDEX(Documents!$D$5:$D$657,MATCH(H1606,Documents!$A$5:$A$657,0))),"")</f>
        <v>J Med Chem</v>
      </c>
      <c r="K1606" s="25" t="str">
        <f aca="false">IFERROR(IF(INDEX(Documents!$G$5:$G$657,MATCH(H1606,Documents!$A$5:$A$657,0))="","",INDEX(Documents!$G$5:$G$657,MATCH(H1606,Documents!$A$5:$A$657,0))),"")</f>
        <v>10.1021/jm400182t</v>
      </c>
      <c r="L1606" s="25" t="s">
        <v>3591</v>
      </c>
    </row>
    <row r="1607" customFormat="false" ht="15" hidden="false" customHeight="false" outlineLevel="0" collapsed="false">
      <c r="A1607" s="25" t="n">
        <v>13299846</v>
      </c>
      <c r="B1607" s="25" t="s">
        <v>3634</v>
      </c>
      <c r="C1607" s="25" t="s">
        <v>3635</v>
      </c>
      <c r="D1607" s="26" t="n">
        <v>12.7</v>
      </c>
      <c r="E1607" s="27" t="n">
        <v>7.89619627904404</v>
      </c>
      <c r="F1607" s="27" t="n">
        <v>7.89619627904404</v>
      </c>
      <c r="G1607" s="25" t="s">
        <v>3589</v>
      </c>
      <c r="H1607" s="25" t="s">
        <v>3590</v>
      </c>
      <c r="I1607" s="25" t="n">
        <f aca="false">IFERROR(IF(INDEX(Documents!$C$5:$C$657,MATCH(H1607,Documents!$A$5:$A$657,0))="","",INDEX(Documents!$C$5:$C$657,MATCH(H1607,Documents!$A$5:$A$657,0))),"")</f>
        <v>2013</v>
      </c>
      <c r="J1607" s="25" t="str">
        <f aca="false">IFERROR(IF(INDEX(Documents!$D$5:$D$657,MATCH(H1607,Documents!$A$5:$A$657,0))="","",INDEX(Documents!$D$5:$D$657,MATCH(H1607,Documents!$A$5:$A$657,0))),"")</f>
        <v>J Med Chem</v>
      </c>
      <c r="K1607" s="25" t="str">
        <f aca="false">IFERROR(IF(INDEX(Documents!$G$5:$G$657,MATCH(H1607,Documents!$A$5:$A$657,0))="","",INDEX(Documents!$G$5:$G$657,MATCH(H1607,Documents!$A$5:$A$657,0))),"")</f>
        <v>10.1021/jm400182t</v>
      </c>
      <c r="L1607" s="25" t="s">
        <v>3591</v>
      </c>
    </row>
    <row r="1608" customFormat="false" ht="15" hidden="false" customHeight="false" outlineLevel="0" collapsed="false">
      <c r="A1608" s="25" t="n">
        <v>16495486</v>
      </c>
      <c r="B1608" s="25" t="s">
        <v>3636</v>
      </c>
      <c r="C1608" s="25" t="s">
        <v>3637</v>
      </c>
      <c r="D1608" s="26" t="n">
        <v>383</v>
      </c>
      <c r="E1608" s="27" t="n">
        <v>6.41680122603138</v>
      </c>
      <c r="F1608" s="27" t="n">
        <v>6.41680122603138</v>
      </c>
      <c r="G1608" s="25" t="s">
        <v>501</v>
      </c>
      <c r="H1608" s="25" t="s">
        <v>502</v>
      </c>
      <c r="I1608" s="25" t="n">
        <f aca="false">IFERROR(IF(INDEX(Documents!$C$5:$C$657,MATCH(H1608,Documents!$A$5:$A$657,0))="","",INDEX(Documents!$C$5:$C$657,MATCH(H1608,Documents!$A$5:$A$657,0))),"")</f>
        <v>2016</v>
      </c>
      <c r="J1608" s="25" t="str">
        <f aca="false">IFERROR(IF(INDEX(Documents!$D$5:$D$657,MATCH(H1608,Documents!$A$5:$A$657,0))="","",INDEX(Documents!$D$5:$D$657,MATCH(H1608,Documents!$A$5:$A$657,0))),"")</f>
        <v>Eur J Med Chem</v>
      </c>
      <c r="K1608" s="25" t="str">
        <f aca="false">IFERROR(IF(INDEX(Documents!$G$5:$G$657,MATCH(H1608,Documents!$A$5:$A$657,0))="","",INDEX(Documents!$G$5:$G$657,MATCH(H1608,Documents!$A$5:$A$657,0))),"")</f>
        <v>10.1016/j.ejmech.2016.02.032</v>
      </c>
      <c r="L1608" s="25" t="s">
        <v>503</v>
      </c>
    </row>
    <row r="1609" customFormat="false" ht="15" hidden="false" customHeight="false" outlineLevel="0" collapsed="false">
      <c r="A1609" s="25" t="n">
        <v>13299841</v>
      </c>
      <c r="B1609" s="25" t="s">
        <v>3638</v>
      </c>
      <c r="C1609" s="25" t="s">
        <v>3639</v>
      </c>
      <c r="D1609" s="26" t="n">
        <v>0.84</v>
      </c>
      <c r="E1609" s="27" t="n">
        <v>9.07572071393812</v>
      </c>
      <c r="F1609" s="27" t="n">
        <v>9.07572071393812</v>
      </c>
      <c r="G1609" s="25" t="s">
        <v>3589</v>
      </c>
      <c r="H1609" s="25" t="s">
        <v>3590</v>
      </c>
      <c r="I1609" s="25" t="n">
        <f aca="false">IFERROR(IF(INDEX(Documents!$C$5:$C$657,MATCH(H1609,Documents!$A$5:$A$657,0))="","",INDEX(Documents!$C$5:$C$657,MATCH(H1609,Documents!$A$5:$A$657,0))),"")</f>
        <v>2013</v>
      </c>
      <c r="J1609" s="25" t="str">
        <f aca="false">IFERROR(IF(INDEX(Documents!$D$5:$D$657,MATCH(H1609,Documents!$A$5:$A$657,0))="","",INDEX(Documents!$D$5:$D$657,MATCH(H1609,Documents!$A$5:$A$657,0))),"")</f>
        <v>J Med Chem</v>
      </c>
      <c r="K1609" s="25" t="str">
        <f aca="false">IFERROR(IF(INDEX(Documents!$G$5:$G$657,MATCH(H1609,Documents!$A$5:$A$657,0))="","",INDEX(Documents!$G$5:$G$657,MATCH(H1609,Documents!$A$5:$A$657,0))),"")</f>
        <v>10.1021/jm400182t</v>
      </c>
      <c r="L1609" s="25" t="s">
        <v>3591</v>
      </c>
    </row>
    <row r="1610" customFormat="false" ht="15" hidden="false" customHeight="false" outlineLevel="0" collapsed="false">
      <c r="A1610" s="25" t="n">
        <v>16495465</v>
      </c>
      <c r="B1610" s="25" t="s">
        <v>3640</v>
      </c>
      <c r="C1610" s="25" t="s">
        <v>3641</v>
      </c>
      <c r="D1610" s="26" t="n">
        <v>21</v>
      </c>
      <c r="E1610" s="27" t="n">
        <v>7.67778070526608</v>
      </c>
      <c r="F1610" s="27" t="n">
        <v>7.67778070526608</v>
      </c>
      <c r="G1610" s="25" t="s">
        <v>501</v>
      </c>
      <c r="H1610" s="25" t="s">
        <v>502</v>
      </c>
      <c r="I1610" s="25" t="n">
        <f aca="false">IFERROR(IF(INDEX(Documents!$C$5:$C$657,MATCH(H1610,Documents!$A$5:$A$657,0))="","",INDEX(Documents!$C$5:$C$657,MATCH(H1610,Documents!$A$5:$A$657,0))),"")</f>
        <v>2016</v>
      </c>
      <c r="J1610" s="25" t="str">
        <f aca="false">IFERROR(IF(INDEX(Documents!$D$5:$D$657,MATCH(H1610,Documents!$A$5:$A$657,0))="","",INDEX(Documents!$D$5:$D$657,MATCH(H1610,Documents!$A$5:$A$657,0))),"")</f>
        <v>Eur J Med Chem</v>
      </c>
      <c r="K1610" s="25" t="str">
        <f aca="false">IFERROR(IF(INDEX(Documents!$G$5:$G$657,MATCH(H1610,Documents!$A$5:$A$657,0))="","",INDEX(Documents!$G$5:$G$657,MATCH(H1610,Documents!$A$5:$A$657,0))),"")</f>
        <v>10.1016/j.ejmech.2016.02.032</v>
      </c>
      <c r="L1610" s="25" t="s">
        <v>503</v>
      </c>
    </row>
    <row r="1611" customFormat="false" ht="15" hidden="false" customHeight="false" outlineLevel="0" collapsed="false">
      <c r="A1611" s="25" t="n">
        <v>16495469</v>
      </c>
      <c r="B1611" s="25" t="s">
        <v>3642</v>
      </c>
      <c r="C1611" s="25" t="s">
        <v>3643</v>
      </c>
      <c r="D1611" s="26" t="n">
        <v>53</v>
      </c>
      <c r="E1611" s="27" t="n">
        <v>7.27572413039921</v>
      </c>
      <c r="F1611" s="27" t="n">
        <v>7.27572413039921</v>
      </c>
      <c r="G1611" s="25" t="s">
        <v>501</v>
      </c>
      <c r="H1611" s="25" t="s">
        <v>502</v>
      </c>
      <c r="I1611" s="25" t="n">
        <f aca="false">IFERROR(IF(INDEX(Documents!$C$5:$C$657,MATCH(H1611,Documents!$A$5:$A$657,0))="","",INDEX(Documents!$C$5:$C$657,MATCH(H1611,Documents!$A$5:$A$657,0))),"")</f>
        <v>2016</v>
      </c>
      <c r="J1611" s="25" t="str">
        <f aca="false">IFERROR(IF(INDEX(Documents!$D$5:$D$657,MATCH(H1611,Documents!$A$5:$A$657,0))="","",INDEX(Documents!$D$5:$D$657,MATCH(H1611,Documents!$A$5:$A$657,0))),"")</f>
        <v>Eur J Med Chem</v>
      </c>
      <c r="K1611" s="25" t="str">
        <f aca="false">IFERROR(IF(INDEX(Documents!$G$5:$G$657,MATCH(H1611,Documents!$A$5:$A$657,0))="","",INDEX(Documents!$G$5:$G$657,MATCH(H1611,Documents!$A$5:$A$657,0))),"")</f>
        <v>10.1016/j.ejmech.2016.02.032</v>
      </c>
      <c r="L1611" s="25" t="s">
        <v>503</v>
      </c>
    </row>
    <row r="1612" customFormat="false" ht="15" hidden="false" customHeight="false" outlineLevel="0" collapsed="false">
      <c r="A1612" s="25" t="n">
        <v>16495472</v>
      </c>
      <c r="B1612" s="25" t="s">
        <v>3644</v>
      </c>
      <c r="C1612" s="25" t="s">
        <v>3645</v>
      </c>
      <c r="D1612" s="26" t="n">
        <v>47</v>
      </c>
      <c r="E1612" s="27" t="n">
        <v>7.32790214206428</v>
      </c>
      <c r="F1612" s="27" t="n">
        <v>7.32790214206428</v>
      </c>
      <c r="G1612" s="25" t="s">
        <v>501</v>
      </c>
      <c r="H1612" s="25" t="s">
        <v>502</v>
      </c>
      <c r="I1612" s="25" t="n">
        <f aca="false">IFERROR(IF(INDEX(Documents!$C$5:$C$657,MATCH(H1612,Documents!$A$5:$A$657,0))="","",INDEX(Documents!$C$5:$C$657,MATCH(H1612,Documents!$A$5:$A$657,0))),"")</f>
        <v>2016</v>
      </c>
      <c r="J1612" s="25" t="str">
        <f aca="false">IFERROR(IF(INDEX(Documents!$D$5:$D$657,MATCH(H1612,Documents!$A$5:$A$657,0))="","",INDEX(Documents!$D$5:$D$657,MATCH(H1612,Documents!$A$5:$A$657,0))),"")</f>
        <v>Eur J Med Chem</v>
      </c>
      <c r="K1612" s="25" t="str">
        <f aca="false">IFERROR(IF(INDEX(Documents!$G$5:$G$657,MATCH(H1612,Documents!$A$5:$A$657,0))="","",INDEX(Documents!$G$5:$G$657,MATCH(H1612,Documents!$A$5:$A$657,0))),"")</f>
        <v>10.1016/j.ejmech.2016.02.032</v>
      </c>
      <c r="L1612" s="25" t="s">
        <v>503</v>
      </c>
    </row>
    <row r="1613" customFormat="false" ht="15" hidden="false" customHeight="false" outlineLevel="0" collapsed="false">
      <c r="A1613" s="25" t="n">
        <v>12619606</v>
      </c>
      <c r="B1613" s="25" t="s">
        <v>3646</v>
      </c>
      <c r="C1613" s="25" t="s">
        <v>3647</v>
      </c>
      <c r="D1613" s="26" t="n">
        <v>20</v>
      </c>
      <c r="E1613" s="27" t="n">
        <v>7.69897000433602</v>
      </c>
      <c r="F1613" s="27" t="n">
        <v>7.69897000433602</v>
      </c>
      <c r="G1613" s="25" t="s">
        <v>2805</v>
      </c>
      <c r="H1613" s="25" t="s">
        <v>2806</v>
      </c>
      <c r="I1613" s="25" t="n">
        <f aca="false">IFERROR(IF(INDEX(Documents!$C$5:$C$657,MATCH(H1613,Documents!$A$5:$A$657,0))="","",INDEX(Documents!$C$5:$C$657,MATCH(H1613,Documents!$A$5:$A$657,0))),"")</f>
        <v>2013</v>
      </c>
      <c r="J1613" s="25" t="str">
        <f aca="false">IFERROR(IF(INDEX(Documents!$D$5:$D$657,MATCH(H1613,Documents!$A$5:$A$657,0))="","",INDEX(Documents!$D$5:$D$657,MATCH(H1613,Documents!$A$5:$A$657,0))),"")</f>
        <v>J Med Chem</v>
      </c>
      <c r="K1613" s="25" t="str">
        <f aca="false">IFERROR(IF(INDEX(Documents!$G$5:$G$657,MATCH(H1613,Documents!$A$5:$A$657,0))="","",INDEX(Documents!$G$5:$G$657,MATCH(H1613,Documents!$A$5:$A$657,0))),"")</f>
        <v>10.1021/jm301527r</v>
      </c>
      <c r="L1613" s="25" t="s">
        <v>2807</v>
      </c>
    </row>
    <row r="1614" customFormat="false" ht="15" hidden="false" customHeight="false" outlineLevel="0" collapsed="false">
      <c r="A1614" s="25" t="n">
        <v>5124695</v>
      </c>
      <c r="B1614" s="25" t="s">
        <v>3648</v>
      </c>
      <c r="C1614" s="25" t="s">
        <v>3649</v>
      </c>
      <c r="D1614" s="26" t="n">
        <v>18.8</v>
      </c>
      <c r="E1614" s="27" t="n">
        <v>7.72584215073632</v>
      </c>
      <c r="F1614" s="27" t="n">
        <v>7.72584215073632</v>
      </c>
      <c r="G1614" s="25" t="s">
        <v>1948</v>
      </c>
      <c r="H1614" s="25" t="s">
        <v>1949</v>
      </c>
      <c r="I1614" s="25" t="n">
        <f aca="false">IFERROR(IF(INDEX(Documents!$C$5:$C$657,MATCH(H1614,Documents!$A$5:$A$657,0))="","",INDEX(Documents!$C$5:$C$657,MATCH(H1614,Documents!$A$5:$A$657,0))),"")</f>
        <v>2010</v>
      </c>
      <c r="J1614" s="25" t="str">
        <f aca="false">IFERROR(IF(INDEX(Documents!$D$5:$D$657,MATCH(H1614,Documents!$A$5:$A$657,0))="","",INDEX(Documents!$D$5:$D$657,MATCH(H1614,Documents!$A$5:$A$657,0))),"")</f>
        <v>J Med Chem</v>
      </c>
      <c r="K1614" s="25" t="str">
        <f aca="false">IFERROR(IF(INDEX(Documents!$G$5:$G$657,MATCH(H1614,Documents!$A$5:$A$657,0))="","",INDEX(Documents!$G$5:$G$657,MATCH(H1614,Documents!$A$5:$A$657,0))),"")</f>
        <v>10.1021/jm100286k</v>
      </c>
      <c r="L1614" s="25" t="s">
        <v>1950</v>
      </c>
    </row>
    <row r="1615" customFormat="false" ht="15" hidden="false" customHeight="false" outlineLevel="0" collapsed="false">
      <c r="A1615" s="25" t="n">
        <v>11019984</v>
      </c>
      <c r="B1615" s="25" t="s">
        <v>3650</v>
      </c>
      <c r="C1615" s="25" t="s">
        <v>3651</v>
      </c>
      <c r="D1615" s="26" t="n">
        <v>11.6</v>
      </c>
      <c r="E1615" s="27" t="n">
        <v>7.93554201077308</v>
      </c>
      <c r="F1615" s="27" t="n">
        <v>7.93554201077308</v>
      </c>
      <c r="G1615" s="25" t="s">
        <v>496</v>
      </c>
      <c r="H1615" s="25" t="s">
        <v>497</v>
      </c>
      <c r="I1615" s="25" t="n">
        <f aca="false">IFERROR(IF(INDEX(Documents!$C$5:$C$657,MATCH(H1615,Documents!$A$5:$A$657,0))="","",INDEX(Documents!$C$5:$C$657,MATCH(H1615,Documents!$A$5:$A$657,0))),"")</f>
        <v>2012</v>
      </c>
      <c r="J1615" s="25" t="str">
        <f aca="false">IFERROR(IF(INDEX(Documents!$D$5:$D$657,MATCH(H1615,Documents!$A$5:$A$657,0))="","",INDEX(Documents!$D$5:$D$657,MATCH(H1615,Documents!$A$5:$A$657,0))),"")</f>
        <v>J Med Chem</v>
      </c>
      <c r="K1615" s="25" t="str">
        <f aca="false">IFERROR(IF(INDEX(Documents!$G$5:$G$657,MATCH(H1615,Documents!$A$5:$A$657,0))="","",INDEX(Documents!$G$5:$G$657,MATCH(H1615,Documents!$A$5:$A$657,0))),"")</f>
        <v>10.1021/jm3003334</v>
      </c>
      <c r="L1615" s="25" t="s">
        <v>498</v>
      </c>
    </row>
    <row r="1616" customFormat="false" ht="15" hidden="false" customHeight="false" outlineLevel="0" collapsed="false">
      <c r="A1616" s="25" t="n">
        <v>11019985</v>
      </c>
      <c r="B1616" s="25" t="s">
        <v>3652</v>
      </c>
      <c r="C1616" s="25" t="s">
        <v>3653</v>
      </c>
      <c r="D1616" s="26" t="n">
        <v>2.48</v>
      </c>
      <c r="E1616" s="27" t="n">
        <v>8.60554831917378</v>
      </c>
      <c r="F1616" s="27" t="n">
        <v>8.60554831917378</v>
      </c>
      <c r="G1616" s="25" t="s">
        <v>496</v>
      </c>
      <c r="H1616" s="25" t="s">
        <v>497</v>
      </c>
      <c r="I1616" s="25" t="n">
        <f aca="false">IFERROR(IF(INDEX(Documents!$C$5:$C$657,MATCH(H1616,Documents!$A$5:$A$657,0))="","",INDEX(Documents!$C$5:$C$657,MATCH(H1616,Documents!$A$5:$A$657,0))),"")</f>
        <v>2012</v>
      </c>
      <c r="J1616" s="25" t="str">
        <f aca="false">IFERROR(IF(INDEX(Documents!$D$5:$D$657,MATCH(H1616,Documents!$A$5:$A$657,0))="","",INDEX(Documents!$D$5:$D$657,MATCH(H1616,Documents!$A$5:$A$657,0))),"")</f>
        <v>J Med Chem</v>
      </c>
      <c r="K1616" s="25" t="str">
        <f aca="false">IFERROR(IF(INDEX(Documents!$G$5:$G$657,MATCH(H1616,Documents!$A$5:$A$657,0))="","",INDEX(Documents!$G$5:$G$657,MATCH(H1616,Documents!$A$5:$A$657,0))),"")</f>
        <v>10.1021/jm3003334</v>
      </c>
      <c r="L1616" s="25" t="s">
        <v>498</v>
      </c>
    </row>
    <row r="1617" customFormat="false" ht="15" hidden="false" customHeight="false" outlineLevel="0" collapsed="false">
      <c r="A1617" s="25" t="n">
        <v>11019986</v>
      </c>
      <c r="B1617" s="25" t="s">
        <v>3654</v>
      </c>
      <c r="C1617" s="25" t="s">
        <v>3655</v>
      </c>
      <c r="D1617" s="26" t="n">
        <v>6.37</v>
      </c>
      <c r="E1617" s="27" t="n">
        <v>8.19586056766465</v>
      </c>
      <c r="F1617" s="27" t="n">
        <v>8.19586056766465</v>
      </c>
      <c r="G1617" s="25" t="s">
        <v>496</v>
      </c>
      <c r="H1617" s="25" t="s">
        <v>497</v>
      </c>
      <c r="I1617" s="25" t="n">
        <f aca="false">IFERROR(IF(INDEX(Documents!$C$5:$C$657,MATCH(H1617,Documents!$A$5:$A$657,0))="","",INDEX(Documents!$C$5:$C$657,MATCH(H1617,Documents!$A$5:$A$657,0))),"")</f>
        <v>2012</v>
      </c>
      <c r="J1617" s="25" t="str">
        <f aca="false">IFERROR(IF(INDEX(Documents!$D$5:$D$657,MATCH(H1617,Documents!$A$5:$A$657,0))="","",INDEX(Documents!$D$5:$D$657,MATCH(H1617,Documents!$A$5:$A$657,0))),"")</f>
        <v>J Med Chem</v>
      </c>
      <c r="K1617" s="25" t="str">
        <f aca="false">IFERROR(IF(INDEX(Documents!$G$5:$G$657,MATCH(H1617,Documents!$A$5:$A$657,0))="","",INDEX(Documents!$G$5:$G$657,MATCH(H1617,Documents!$A$5:$A$657,0))),"")</f>
        <v>10.1021/jm3003334</v>
      </c>
      <c r="L1617" s="25" t="s">
        <v>498</v>
      </c>
    </row>
    <row r="1618" customFormat="false" ht="15" hidden="false" customHeight="false" outlineLevel="0" collapsed="false">
      <c r="A1618" s="25" t="n">
        <v>11019987</v>
      </c>
      <c r="B1618" s="25" t="s">
        <v>3656</v>
      </c>
      <c r="C1618" s="25" t="s">
        <v>3657</v>
      </c>
      <c r="D1618" s="26" t="n">
        <v>3.52</v>
      </c>
      <c r="E1618" s="27" t="n">
        <v>8.45345733652187</v>
      </c>
      <c r="F1618" s="27" t="n">
        <v>8.45345733652187</v>
      </c>
      <c r="G1618" s="25" t="s">
        <v>496</v>
      </c>
      <c r="H1618" s="25" t="s">
        <v>497</v>
      </c>
      <c r="I1618" s="25" t="n">
        <f aca="false">IFERROR(IF(INDEX(Documents!$C$5:$C$657,MATCH(H1618,Documents!$A$5:$A$657,0))="","",INDEX(Documents!$C$5:$C$657,MATCH(H1618,Documents!$A$5:$A$657,0))),"")</f>
        <v>2012</v>
      </c>
      <c r="J1618" s="25" t="str">
        <f aca="false">IFERROR(IF(INDEX(Documents!$D$5:$D$657,MATCH(H1618,Documents!$A$5:$A$657,0))="","",INDEX(Documents!$D$5:$D$657,MATCH(H1618,Documents!$A$5:$A$657,0))),"")</f>
        <v>J Med Chem</v>
      </c>
      <c r="K1618" s="25" t="str">
        <f aca="false">IFERROR(IF(INDEX(Documents!$G$5:$G$657,MATCH(H1618,Documents!$A$5:$A$657,0))="","",INDEX(Documents!$G$5:$G$657,MATCH(H1618,Documents!$A$5:$A$657,0))),"")</f>
        <v>10.1021/jm3003334</v>
      </c>
      <c r="L1618" s="25" t="s">
        <v>498</v>
      </c>
    </row>
    <row r="1619" customFormat="false" ht="15" hidden="false" customHeight="false" outlineLevel="0" collapsed="false">
      <c r="A1619" s="25" t="n">
        <v>5205748</v>
      </c>
      <c r="B1619" s="25" t="s">
        <v>3658</v>
      </c>
      <c r="C1619" s="25" t="s">
        <v>3659</v>
      </c>
      <c r="D1619" s="26" t="n">
        <v>2.4</v>
      </c>
      <c r="E1619" s="27" t="n">
        <v>8.61978875828839</v>
      </c>
      <c r="F1619" s="27" t="n">
        <v>8.61978875828839</v>
      </c>
      <c r="G1619" s="25" t="s">
        <v>461</v>
      </c>
      <c r="H1619" s="25" t="s">
        <v>462</v>
      </c>
      <c r="I1619" s="25" t="n">
        <f aca="false">IFERROR(IF(INDEX(Documents!$C$5:$C$657,MATCH(H1619,Documents!$A$5:$A$657,0))="","",INDEX(Documents!$C$5:$C$657,MATCH(H1619,Documents!$A$5:$A$657,0))),"")</f>
        <v>2011</v>
      </c>
      <c r="J1619" s="25" t="str">
        <f aca="false">IFERROR(IF(INDEX(Documents!$D$5:$D$657,MATCH(H1619,Documents!$A$5:$A$657,0))="","",INDEX(Documents!$D$5:$D$657,MATCH(H1619,Documents!$A$5:$A$657,0))),"")</f>
        <v>Eur J Med Chem</v>
      </c>
      <c r="K1619" s="25" t="str">
        <f aca="false">IFERROR(IF(INDEX(Documents!$G$5:$G$657,MATCH(H1619,Documents!$A$5:$A$657,0))="","",INDEX(Documents!$G$5:$G$657,MATCH(H1619,Documents!$A$5:$A$657,0))),"")</f>
        <v>10.1016/j.ejmech.2010.11.034</v>
      </c>
      <c r="L1619" s="25" t="s">
        <v>463</v>
      </c>
    </row>
    <row r="1620" customFormat="false" ht="15" hidden="false" customHeight="false" outlineLevel="0" collapsed="false">
      <c r="A1620" s="25" t="n">
        <v>1667530</v>
      </c>
      <c r="B1620" s="25" t="s">
        <v>3660</v>
      </c>
      <c r="C1620" s="25" t="s">
        <v>3661</v>
      </c>
      <c r="D1620" s="26" t="n">
        <v>13.4</v>
      </c>
      <c r="E1620" s="27" t="n">
        <v>7.87289520163519</v>
      </c>
      <c r="F1620" s="27" t="n">
        <v>7.87289520163519</v>
      </c>
      <c r="G1620" s="25" t="s">
        <v>1538</v>
      </c>
      <c r="H1620" s="25" t="s">
        <v>1539</v>
      </c>
      <c r="I1620" s="25" t="n">
        <f aca="false">IFERROR(IF(INDEX(Documents!$C$5:$C$657,MATCH(H1620,Documents!$A$5:$A$657,0))="","",INDEX(Documents!$C$5:$C$657,MATCH(H1620,Documents!$A$5:$A$657,0))),"")</f>
        <v>2006</v>
      </c>
      <c r="J1620" s="25" t="str">
        <f aca="false">IFERROR(IF(INDEX(Documents!$D$5:$D$657,MATCH(H1620,Documents!$A$5:$A$657,0))="","",INDEX(Documents!$D$5:$D$657,MATCH(H1620,Documents!$A$5:$A$657,0))),"")</f>
        <v>J Med Chem</v>
      </c>
      <c r="K1620" s="25" t="str">
        <f aca="false">IFERROR(IF(INDEX(Documents!$G$5:$G$657,MATCH(H1620,Documents!$A$5:$A$657,0))="","",INDEX(Documents!$G$5:$G$657,MATCH(H1620,Documents!$A$5:$A$657,0))),"")</f>
        <v>10.1021/jm050467q</v>
      </c>
      <c r="L1620" s="25" t="s">
        <v>775</v>
      </c>
    </row>
    <row r="1621" customFormat="false" ht="15" hidden="false" customHeight="false" outlineLevel="0" collapsed="false">
      <c r="A1621" s="25" t="n">
        <v>12116572</v>
      </c>
      <c r="B1621" s="25" t="s">
        <v>3662</v>
      </c>
      <c r="C1621" s="25" t="s">
        <v>3663</v>
      </c>
      <c r="D1621" s="26" t="n">
        <v>0.26</v>
      </c>
      <c r="E1621" s="27" t="n">
        <v>9.58502665202918</v>
      </c>
      <c r="F1621" s="27" t="n">
        <v>9.58502665202918</v>
      </c>
      <c r="G1621" s="25" t="s">
        <v>3415</v>
      </c>
      <c r="H1621" s="25" t="s">
        <v>3416</v>
      </c>
      <c r="I1621" s="25" t="n">
        <f aca="false">IFERROR(IF(INDEX(Documents!$C$5:$C$657,MATCH(H1621,Documents!$A$5:$A$657,0))="","",INDEX(Documents!$C$5:$C$657,MATCH(H1621,Documents!$A$5:$A$657,0))),"")</f>
        <v>2012</v>
      </c>
      <c r="J1621" s="25" t="str">
        <f aca="false">IFERROR(IF(INDEX(Documents!$D$5:$D$657,MATCH(H1621,Documents!$A$5:$A$657,0))="","",INDEX(Documents!$D$5:$D$657,MATCH(H1621,Documents!$A$5:$A$657,0))),"")</f>
        <v>J Med Chem</v>
      </c>
      <c r="K1621" s="25" t="str">
        <f aca="false">IFERROR(IF(INDEX(Documents!$G$5:$G$657,MATCH(H1621,Documents!$A$5:$A$657,0))="","",INDEX(Documents!$G$5:$G$657,MATCH(H1621,Documents!$A$5:$A$657,0))),"")</f>
        <v>10.1021/jm3008568</v>
      </c>
      <c r="L1621" s="25" t="s">
        <v>3417</v>
      </c>
    </row>
    <row r="1622" customFormat="false" ht="15" hidden="false" customHeight="false" outlineLevel="0" collapsed="false">
      <c r="A1622" s="25" t="n">
        <v>12116577</v>
      </c>
      <c r="B1622" s="25" t="s">
        <v>3664</v>
      </c>
      <c r="C1622" s="25" t="s">
        <v>3665</v>
      </c>
      <c r="D1622" s="26" t="n">
        <v>9.6</v>
      </c>
      <c r="E1622" s="27" t="n">
        <v>8.01772876696043</v>
      </c>
      <c r="F1622" s="27" t="n">
        <v>8.01772876696043</v>
      </c>
      <c r="G1622" s="25" t="s">
        <v>3415</v>
      </c>
      <c r="H1622" s="25" t="s">
        <v>3416</v>
      </c>
      <c r="I1622" s="25" t="n">
        <f aca="false">IFERROR(IF(INDEX(Documents!$C$5:$C$657,MATCH(H1622,Documents!$A$5:$A$657,0))="","",INDEX(Documents!$C$5:$C$657,MATCH(H1622,Documents!$A$5:$A$657,0))),"")</f>
        <v>2012</v>
      </c>
      <c r="J1622" s="25" t="str">
        <f aca="false">IFERROR(IF(INDEX(Documents!$D$5:$D$657,MATCH(H1622,Documents!$A$5:$A$657,0))="","",INDEX(Documents!$D$5:$D$657,MATCH(H1622,Documents!$A$5:$A$657,0))),"")</f>
        <v>J Med Chem</v>
      </c>
      <c r="K1622" s="25" t="str">
        <f aca="false">IFERROR(IF(INDEX(Documents!$G$5:$G$657,MATCH(H1622,Documents!$A$5:$A$657,0))="","",INDEX(Documents!$G$5:$G$657,MATCH(H1622,Documents!$A$5:$A$657,0))),"")</f>
        <v>10.1021/jm3008568</v>
      </c>
      <c r="L1622" s="25" t="s">
        <v>3417</v>
      </c>
    </row>
    <row r="1623" customFormat="false" ht="15" hidden="false" customHeight="false" outlineLevel="0" collapsed="false">
      <c r="A1623" s="25" t="n">
        <v>13299844</v>
      </c>
      <c r="B1623" s="25" t="s">
        <v>3666</v>
      </c>
      <c r="C1623" s="25" t="s">
        <v>3667</v>
      </c>
      <c r="D1623" s="26" t="n">
        <v>106</v>
      </c>
      <c r="E1623" s="27" t="n">
        <v>6.97469413473523</v>
      </c>
      <c r="F1623" s="27" t="n">
        <v>6.97469413473523</v>
      </c>
      <c r="G1623" s="25" t="s">
        <v>3589</v>
      </c>
      <c r="H1623" s="25" t="s">
        <v>3590</v>
      </c>
      <c r="I1623" s="25" t="n">
        <f aca="false">IFERROR(IF(INDEX(Documents!$C$5:$C$657,MATCH(H1623,Documents!$A$5:$A$657,0))="","",INDEX(Documents!$C$5:$C$657,MATCH(H1623,Documents!$A$5:$A$657,0))),"")</f>
        <v>2013</v>
      </c>
      <c r="J1623" s="25" t="str">
        <f aca="false">IFERROR(IF(INDEX(Documents!$D$5:$D$657,MATCH(H1623,Documents!$A$5:$A$657,0))="","",INDEX(Documents!$D$5:$D$657,MATCH(H1623,Documents!$A$5:$A$657,0))),"")</f>
        <v>J Med Chem</v>
      </c>
      <c r="K1623" s="25" t="str">
        <f aca="false">IFERROR(IF(INDEX(Documents!$G$5:$G$657,MATCH(H1623,Documents!$A$5:$A$657,0))="","",INDEX(Documents!$G$5:$G$657,MATCH(H1623,Documents!$A$5:$A$657,0))),"")</f>
        <v>10.1021/jm400182t</v>
      </c>
      <c r="L1623" s="25" t="s">
        <v>3591</v>
      </c>
    </row>
    <row r="1624" customFormat="false" ht="15" hidden="false" customHeight="false" outlineLevel="0" collapsed="false">
      <c r="A1624" s="25" t="n">
        <v>12619616</v>
      </c>
      <c r="B1624" s="25" t="s">
        <v>3668</v>
      </c>
      <c r="C1624" s="25" t="s">
        <v>3669</v>
      </c>
      <c r="D1624" s="26" t="n">
        <v>3620</v>
      </c>
      <c r="E1624" s="27" t="n">
        <v>5.44129142946683</v>
      </c>
      <c r="F1624" s="27" t="n">
        <v>5.44129142946683</v>
      </c>
      <c r="G1624" s="25" t="s">
        <v>2805</v>
      </c>
      <c r="H1624" s="25" t="s">
        <v>2806</v>
      </c>
      <c r="I1624" s="25" t="n">
        <f aca="false">IFERROR(IF(INDEX(Documents!$C$5:$C$657,MATCH(H1624,Documents!$A$5:$A$657,0))="","",INDEX(Documents!$C$5:$C$657,MATCH(H1624,Documents!$A$5:$A$657,0))),"")</f>
        <v>2013</v>
      </c>
      <c r="J1624" s="25" t="str">
        <f aca="false">IFERROR(IF(INDEX(Documents!$D$5:$D$657,MATCH(H1624,Documents!$A$5:$A$657,0))="","",INDEX(Documents!$D$5:$D$657,MATCH(H1624,Documents!$A$5:$A$657,0))),"")</f>
        <v>J Med Chem</v>
      </c>
      <c r="K1624" s="25" t="str">
        <f aca="false">IFERROR(IF(INDEX(Documents!$G$5:$G$657,MATCH(H1624,Documents!$A$5:$A$657,0))="","",INDEX(Documents!$G$5:$G$657,MATCH(H1624,Documents!$A$5:$A$657,0))),"")</f>
        <v>10.1021/jm301527r</v>
      </c>
      <c r="L1624" s="25" t="s">
        <v>2807</v>
      </c>
    </row>
    <row r="1625" customFormat="false" ht="15" hidden="false" customHeight="false" outlineLevel="0" collapsed="false">
      <c r="A1625" s="25" t="n">
        <v>12619623</v>
      </c>
      <c r="B1625" s="25" t="s">
        <v>3670</v>
      </c>
      <c r="C1625" s="25" t="s">
        <v>3671</v>
      </c>
      <c r="D1625" s="26" t="n">
        <v>3526</v>
      </c>
      <c r="E1625" s="27" t="n">
        <v>5.4527176920367</v>
      </c>
      <c r="F1625" s="27" t="n">
        <v>5.4527176920367</v>
      </c>
      <c r="G1625" s="25" t="s">
        <v>2805</v>
      </c>
      <c r="H1625" s="25" t="s">
        <v>2806</v>
      </c>
      <c r="I1625" s="25" t="n">
        <f aca="false">IFERROR(IF(INDEX(Documents!$C$5:$C$657,MATCH(H1625,Documents!$A$5:$A$657,0))="","",INDEX(Documents!$C$5:$C$657,MATCH(H1625,Documents!$A$5:$A$657,0))),"")</f>
        <v>2013</v>
      </c>
      <c r="J1625" s="25" t="str">
        <f aca="false">IFERROR(IF(INDEX(Documents!$D$5:$D$657,MATCH(H1625,Documents!$A$5:$A$657,0))="","",INDEX(Documents!$D$5:$D$657,MATCH(H1625,Documents!$A$5:$A$657,0))),"")</f>
        <v>J Med Chem</v>
      </c>
      <c r="K1625" s="25" t="str">
        <f aca="false">IFERROR(IF(INDEX(Documents!$G$5:$G$657,MATCH(H1625,Documents!$A$5:$A$657,0))="","",INDEX(Documents!$G$5:$G$657,MATCH(H1625,Documents!$A$5:$A$657,0))),"")</f>
        <v>10.1021/jm301527r</v>
      </c>
      <c r="L1625" s="25" t="s">
        <v>2807</v>
      </c>
    </row>
    <row r="1626" customFormat="false" ht="15" hidden="false" customHeight="false" outlineLevel="0" collapsed="false">
      <c r="A1626" s="25" t="n">
        <v>12619611</v>
      </c>
      <c r="B1626" s="25" t="s">
        <v>3672</v>
      </c>
      <c r="C1626" s="25" t="s">
        <v>3673</v>
      </c>
      <c r="D1626" s="26" t="n">
        <v>12.3</v>
      </c>
      <c r="E1626" s="27" t="n">
        <v>7.9100948885606</v>
      </c>
      <c r="F1626" s="27" t="n">
        <v>7.9100948885606</v>
      </c>
      <c r="G1626" s="25" t="s">
        <v>2805</v>
      </c>
      <c r="H1626" s="25" t="s">
        <v>2806</v>
      </c>
      <c r="I1626" s="25" t="n">
        <f aca="false">IFERROR(IF(INDEX(Documents!$C$5:$C$657,MATCH(H1626,Documents!$A$5:$A$657,0))="","",INDEX(Documents!$C$5:$C$657,MATCH(H1626,Documents!$A$5:$A$657,0))),"")</f>
        <v>2013</v>
      </c>
      <c r="J1626" s="25" t="str">
        <f aca="false">IFERROR(IF(INDEX(Documents!$D$5:$D$657,MATCH(H1626,Documents!$A$5:$A$657,0))="","",INDEX(Documents!$D$5:$D$657,MATCH(H1626,Documents!$A$5:$A$657,0))),"")</f>
        <v>J Med Chem</v>
      </c>
      <c r="K1626" s="25" t="str">
        <f aca="false">IFERROR(IF(INDEX(Documents!$G$5:$G$657,MATCH(H1626,Documents!$A$5:$A$657,0))="","",INDEX(Documents!$G$5:$G$657,MATCH(H1626,Documents!$A$5:$A$657,0))),"")</f>
        <v>10.1021/jm301527r</v>
      </c>
      <c r="L1626" s="25" t="s">
        <v>2807</v>
      </c>
    </row>
    <row r="1627" customFormat="false" ht="15" hidden="false" customHeight="false" outlineLevel="0" collapsed="false">
      <c r="A1627" s="25" t="n">
        <v>12619646</v>
      </c>
      <c r="B1627" s="25" t="s">
        <v>3674</v>
      </c>
      <c r="C1627" s="25" t="s">
        <v>3675</v>
      </c>
      <c r="D1627" s="26" t="n">
        <v>85</v>
      </c>
      <c r="E1627" s="27" t="n">
        <v>7.07058107428571</v>
      </c>
      <c r="F1627" s="27" t="n">
        <v>7.07058107428571</v>
      </c>
      <c r="G1627" s="25" t="s">
        <v>2805</v>
      </c>
      <c r="H1627" s="25" t="s">
        <v>2806</v>
      </c>
      <c r="I1627" s="25" t="n">
        <f aca="false">IFERROR(IF(INDEX(Documents!$C$5:$C$657,MATCH(H1627,Documents!$A$5:$A$657,0))="","",INDEX(Documents!$C$5:$C$657,MATCH(H1627,Documents!$A$5:$A$657,0))),"")</f>
        <v>2013</v>
      </c>
      <c r="J1627" s="25" t="str">
        <f aca="false">IFERROR(IF(INDEX(Documents!$D$5:$D$657,MATCH(H1627,Documents!$A$5:$A$657,0))="","",INDEX(Documents!$D$5:$D$657,MATCH(H1627,Documents!$A$5:$A$657,0))),"")</f>
        <v>J Med Chem</v>
      </c>
      <c r="K1627" s="25" t="str">
        <f aca="false">IFERROR(IF(INDEX(Documents!$G$5:$G$657,MATCH(H1627,Documents!$A$5:$A$657,0))="","",INDEX(Documents!$G$5:$G$657,MATCH(H1627,Documents!$A$5:$A$657,0))),"")</f>
        <v>10.1021/jm301527r</v>
      </c>
      <c r="L1627" s="25" t="s">
        <v>2807</v>
      </c>
    </row>
    <row r="1628" customFormat="false" ht="15" hidden="false" customHeight="false" outlineLevel="0" collapsed="false">
      <c r="A1628" s="25" t="n">
        <v>12619614</v>
      </c>
      <c r="B1628" s="25" t="s">
        <v>3676</v>
      </c>
      <c r="C1628" s="25" t="s">
        <v>3677</v>
      </c>
      <c r="D1628" s="26" t="n">
        <v>8.74</v>
      </c>
      <c r="E1628" s="27" t="n">
        <v>8.0584885673656</v>
      </c>
      <c r="F1628" s="27" t="n">
        <v>8.0584885673656</v>
      </c>
      <c r="G1628" s="25" t="s">
        <v>2805</v>
      </c>
      <c r="H1628" s="25" t="s">
        <v>2806</v>
      </c>
      <c r="I1628" s="25" t="n">
        <f aca="false">IFERROR(IF(INDEX(Documents!$C$5:$C$657,MATCH(H1628,Documents!$A$5:$A$657,0))="","",INDEX(Documents!$C$5:$C$657,MATCH(H1628,Documents!$A$5:$A$657,0))),"")</f>
        <v>2013</v>
      </c>
      <c r="J1628" s="25" t="str">
        <f aca="false">IFERROR(IF(INDEX(Documents!$D$5:$D$657,MATCH(H1628,Documents!$A$5:$A$657,0))="","",INDEX(Documents!$D$5:$D$657,MATCH(H1628,Documents!$A$5:$A$657,0))),"")</f>
        <v>J Med Chem</v>
      </c>
      <c r="K1628" s="25" t="str">
        <f aca="false">IFERROR(IF(INDEX(Documents!$G$5:$G$657,MATCH(H1628,Documents!$A$5:$A$657,0))="","",INDEX(Documents!$G$5:$G$657,MATCH(H1628,Documents!$A$5:$A$657,0))),"")</f>
        <v>10.1021/jm301527r</v>
      </c>
      <c r="L1628" s="25" t="s">
        <v>2807</v>
      </c>
    </row>
    <row r="1629" customFormat="false" ht="15" hidden="false" customHeight="false" outlineLevel="0" collapsed="false">
      <c r="A1629" s="25" t="n">
        <v>12619625</v>
      </c>
      <c r="B1629" s="25" t="s">
        <v>3678</v>
      </c>
      <c r="C1629" s="25" t="s">
        <v>3679</v>
      </c>
      <c r="D1629" s="26" t="n">
        <v>469</v>
      </c>
      <c r="E1629" s="27" t="n">
        <v>6.32882715728492</v>
      </c>
      <c r="F1629" s="27" t="n">
        <v>6.32882715728492</v>
      </c>
      <c r="G1629" s="25" t="s">
        <v>2805</v>
      </c>
      <c r="H1629" s="25" t="s">
        <v>2806</v>
      </c>
      <c r="I1629" s="25" t="n">
        <f aca="false">IFERROR(IF(INDEX(Documents!$C$5:$C$657,MATCH(H1629,Documents!$A$5:$A$657,0))="","",INDEX(Documents!$C$5:$C$657,MATCH(H1629,Documents!$A$5:$A$657,0))),"")</f>
        <v>2013</v>
      </c>
      <c r="J1629" s="25" t="str">
        <f aca="false">IFERROR(IF(INDEX(Documents!$D$5:$D$657,MATCH(H1629,Documents!$A$5:$A$657,0))="","",INDEX(Documents!$D$5:$D$657,MATCH(H1629,Documents!$A$5:$A$657,0))),"")</f>
        <v>J Med Chem</v>
      </c>
      <c r="K1629" s="25" t="str">
        <f aca="false">IFERROR(IF(INDEX(Documents!$G$5:$G$657,MATCH(H1629,Documents!$A$5:$A$657,0))="","",INDEX(Documents!$G$5:$G$657,MATCH(H1629,Documents!$A$5:$A$657,0))),"")</f>
        <v>10.1021/jm301527r</v>
      </c>
      <c r="L1629" s="25" t="s">
        <v>2807</v>
      </c>
    </row>
    <row r="1630" customFormat="false" ht="15" hidden="false" customHeight="false" outlineLevel="0" collapsed="false">
      <c r="A1630" s="25" t="n">
        <v>3398988</v>
      </c>
      <c r="B1630" s="25" t="s">
        <v>3680</v>
      </c>
      <c r="C1630" s="25" t="s">
        <v>3681</v>
      </c>
      <c r="D1630" s="26" t="n">
        <v>900</v>
      </c>
      <c r="E1630" s="27" t="n">
        <v>6.04575749056068</v>
      </c>
      <c r="F1630" s="27" t="n">
        <v>6.04575749056068</v>
      </c>
      <c r="G1630" s="25" t="s">
        <v>283</v>
      </c>
      <c r="H1630" s="25" t="s">
        <v>284</v>
      </c>
      <c r="I1630" s="25" t="n">
        <f aca="false">IFERROR(IF(INDEX(Documents!$C$5:$C$657,MATCH(H1630,Documents!$A$5:$A$657,0))="","",INDEX(Documents!$C$5:$C$657,MATCH(H1630,Documents!$A$5:$A$657,0))),"")</f>
        <v>2010</v>
      </c>
      <c r="J1630" s="25" t="str">
        <f aca="false">IFERROR(IF(INDEX(Documents!$D$5:$D$657,MATCH(H1630,Documents!$A$5:$A$657,0))="","",INDEX(Documents!$D$5:$D$657,MATCH(H1630,Documents!$A$5:$A$657,0))),"")</f>
        <v>J Med Chem</v>
      </c>
      <c r="K1630" s="25" t="str">
        <f aca="false">IFERROR(IF(INDEX(Documents!$G$5:$G$657,MATCH(H1630,Documents!$A$5:$A$657,0))="","",INDEX(Documents!$G$5:$G$657,MATCH(H1630,Documents!$A$5:$A$657,0))),"")</f>
        <v>10.1021/jm100123x</v>
      </c>
      <c r="L1630" s="25" t="s">
        <v>285</v>
      </c>
    </row>
    <row r="1631" customFormat="false" ht="15" hidden="false" customHeight="false" outlineLevel="0" collapsed="false">
      <c r="A1631" s="25" t="n">
        <v>12619621</v>
      </c>
      <c r="B1631" s="25" t="s">
        <v>3682</v>
      </c>
      <c r="C1631" s="25" t="s">
        <v>3683</v>
      </c>
      <c r="D1631" s="26" t="n">
        <v>237</v>
      </c>
      <c r="E1631" s="27" t="n">
        <v>6.6252516539899</v>
      </c>
      <c r="F1631" s="27" t="n">
        <v>6.6252516539899</v>
      </c>
      <c r="G1631" s="25" t="s">
        <v>2805</v>
      </c>
      <c r="H1631" s="25" t="s">
        <v>2806</v>
      </c>
      <c r="I1631" s="25" t="n">
        <f aca="false">IFERROR(IF(INDEX(Documents!$C$5:$C$657,MATCH(H1631,Documents!$A$5:$A$657,0))="","",INDEX(Documents!$C$5:$C$657,MATCH(H1631,Documents!$A$5:$A$657,0))),"")</f>
        <v>2013</v>
      </c>
      <c r="J1631" s="25" t="str">
        <f aca="false">IFERROR(IF(INDEX(Documents!$D$5:$D$657,MATCH(H1631,Documents!$A$5:$A$657,0))="","",INDEX(Documents!$D$5:$D$657,MATCH(H1631,Documents!$A$5:$A$657,0))),"")</f>
        <v>J Med Chem</v>
      </c>
      <c r="K1631" s="25" t="str">
        <f aca="false">IFERROR(IF(INDEX(Documents!$G$5:$G$657,MATCH(H1631,Documents!$A$5:$A$657,0))="","",INDEX(Documents!$G$5:$G$657,MATCH(H1631,Documents!$A$5:$A$657,0))),"")</f>
        <v>10.1021/jm301527r</v>
      </c>
      <c r="L1631" s="25" t="s">
        <v>2807</v>
      </c>
    </row>
    <row r="1632" customFormat="false" ht="15" hidden="false" customHeight="false" outlineLevel="0" collapsed="false">
      <c r="A1632" s="25" t="n">
        <v>5124689</v>
      </c>
      <c r="B1632" s="25" t="s">
        <v>3684</v>
      </c>
      <c r="C1632" s="25" t="s">
        <v>3685</v>
      </c>
      <c r="D1632" s="26" t="n">
        <v>78</v>
      </c>
      <c r="E1632" s="27" t="n">
        <v>7.10790539730952</v>
      </c>
      <c r="F1632" s="27" t="n">
        <v>7.10790539730952</v>
      </c>
      <c r="G1632" s="25" t="s">
        <v>1948</v>
      </c>
      <c r="H1632" s="25" t="s">
        <v>1949</v>
      </c>
      <c r="I1632" s="25" t="n">
        <f aca="false">IFERROR(IF(INDEX(Documents!$C$5:$C$657,MATCH(H1632,Documents!$A$5:$A$657,0))="","",INDEX(Documents!$C$5:$C$657,MATCH(H1632,Documents!$A$5:$A$657,0))),"")</f>
        <v>2010</v>
      </c>
      <c r="J1632" s="25" t="str">
        <f aca="false">IFERROR(IF(INDEX(Documents!$D$5:$D$657,MATCH(H1632,Documents!$A$5:$A$657,0))="","",INDEX(Documents!$D$5:$D$657,MATCH(H1632,Documents!$A$5:$A$657,0))),"")</f>
        <v>J Med Chem</v>
      </c>
      <c r="K1632" s="25" t="str">
        <f aca="false">IFERROR(IF(INDEX(Documents!$G$5:$G$657,MATCH(H1632,Documents!$A$5:$A$657,0))="","",INDEX(Documents!$G$5:$G$657,MATCH(H1632,Documents!$A$5:$A$657,0))),"")</f>
        <v>10.1021/jm100286k</v>
      </c>
      <c r="L1632" s="25" t="s">
        <v>1950</v>
      </c>
    </row>
    <row r="1633" customFormat="false" ht="15" hidden="false" customHeight="false" outlineLevel="0" collapsed="false">
      <c r="A1633" s="25" t="n">
        <v>5124683</v>
      </c>
      <c r="B1633" s="25" t="s">
        <v>3686</v>
      </c>
      <c r="C1633" s="25" t="s">
        <v>3687</v>
      </c>
      <c r="D1633" s="26" t="n">
        <v>10.6</v>
      </c>
      <c r="E1633" s="27" t="n">
        <v>7.97469413473523</v>
      </c>
      <c r="F1633" s="27" t="n">
        <v>7.97469413473523</v>
      </c>
      <c r="G1633" s="25" t="s">
        <v>1948</v>
      </c>
      <c r="H1633" s="25" t="s">
        <v>1949</v>
      </c>
      <c r="I1633" s="25" t="n">
        <f aca="false">IFERROR(IF(INDEX(Documents!$C$5:$C$657,MATCH(H1633,Documents!$A$5:$A$657,0))="","",INDEX(Documents!$C$5:$C$657,MATCH(H1633,Documents!$A$5:$A$657,0))),"")</f>
        <v>2010</v>
      </c>
      <c r="J1633" s="25" t="str">
        <f aca="false">IFERROR(IF(INDEX(Documents!$D$5:$D$657,MATCH(H1633,Documents!$A$5:$A$657,0))="","",INDEX(Documents!$D$5:$D$657,MATCH(H1633,Documents!$A$5:$A$657,0))),"")</f>
        <v>J Med Chem</v>
      </c>
      <c r="K1633" s="25" t="str">
        <f aca="false">IFERROR(IF(INDEX(Documents!$G$5:$G$657,MATCH(H1633,Documents!$A$5:$A$657,0))="","",INDEX(Documents!$G$5:$G$657,MATCH(H1633,Documents!$A$5:$A$657,0))),"")</f>
        <v>10.1021/jm100286k</v>
      </c>
      <c r="L1633" s="25" t="s">
        <v>1950</v>
      </c>
    </row>
    <row r="1634" customFormat="false" ht="15" hidden="false" customHeight="false" outlineLevel="0" collapsed="false">
      <c r="A1634" s="25" t="n">
        <v>12116571</v>
      </c>
      <c r="B1634" s="25" t="s">
        <v>3688</v>
      </c>
      <c r="C1634" s="25" t="s">
        <v>3689</v>
      </c>
      <c r="D1634" s="26" t="n">
        <v>24.4</v>
      </c>
      <c r="E1634" s="27" t="n">
        <v>7.61261017366127</v>
      </c>
      <c r="F1634" s="27" t="n">
        <v>7.61261017366127</v>
      </c>
      <c r="G1634" s="25" t="s">
        <v>3415</v>
      </c>
      <c r="H1634" s="25" t="s">
        <v>3416</v>
      </c>
      <c r="I1634" s="25" t="n">
        <f aca="false">IFERROR(IF(INDEX(Documents!$C$5:$C$657,MATCH(H1634,Documents!$A$5:$A$657,0))="","",INDEX(Documents!$C$5:$C$657,MATCH(H1634,Documents!$A$5:$A$657,0))),"")</f>
        <v>2012</v>
      </c>
      <c r="J1634" s="25" t="str">
        <f aca="false">IFERROR(IF(INDEX(Documents!$D$5:$D$657,MATCH(H1634,Documents!$A$5:$A$657,0))="","",INDEX(Documents!$D$5:$D$657,MATCH(H1634,Documents!$A$5:$A$657,0))),"")</f>
        <v>J Med Chem</v>
      </c>
      <c r="K1634" s="25" t="str">
        <f aca="false">IFERROR(IF(INDEX(Documents!$G$5:$G$657,MATCH(H1634,Documents!$A$5:$A$657,0))="","",INDEX(Documents!$G$5:$G$657,MATCH(H1634,Documents!$A$5:$A$657,0))),"")</f>
        <v>10.1021/jm3008568</v>
      </c>
      <c r="L1634" s="25" t="s">
        <v>3417</v>
      </c>
    </row>
    <row r="1635" customFormat="false" ht="15" hidden="false" customHeight="false" outlineLevel="0" collapsed="false">
      <c r="A1635" s="25" t="n">
        <v>5124674</v>
      </c>
      <c r="B1635" s="25" t="s">
        <v>3690</v>
      </c>
      <c r="C1635" s="25" t="s">
        <v>3691</v>
      </c>
      <c r="D1635" s="26" t="n">
        <v>29</v>
      </c>
      <c r="E1635" s="27" t="n">
        <v>7.53760200210104</v>
      </c>
      <c r="F1635" s="27" t="n">
        <v>7.53760200210104</v>
      </c>
      <c r="G1635" s="25" t="s">
        <v>1948</v>
      </c>
      <c r="H1635" s="25" t="s">
        <v>1949</v>
      </c>
      <c r="I1635" s="25" t="n">
        <f aca="false">IFERROR(IF(INDEX(Documents!$C$5:$C$657,MATCH(H1635,Documents!$A$5:$A$657,0))="","",INDEX(Documents!$C$5:$C$657,MATCH(H1635,Documents!$A$5:$A$657,0))),"")</f>
        <v>2010</v>
      </c>
      <c r="J1635" s="25" t="str">
        <f aca="false">IFERROR(IF(INDEX(Documents!$D$5:$D$657,MATCH(H1635,Documents!$A$5:$A$657,0))="","",INDEX(Documents!$D$5:$D$657,MATCH(H1635,Documents!$A$5:$A$657,0))),"")</f>
        <v>J Med Chem</v>
      </c>
      <c r="K1635" s="25" t="str">
        <f aca="false">IFERROR(IF(INDEX(Documents!$G$5:$G$657,MATCH(H1635,Documents!$A$5:$A$657,0))="","",INDEX(Documents!$G$5:$G$657,MATCH(H1635,Documents!$A$5:$A$657,0))),"")</f>
        <v>10.1021/jm100286k</v>
      </c>
      <c r="L1635" s="25" t="s">
        <v>1950</v>
      </c>
    </row>
    <row r="1636" customFormat="false" ht="15" hidden="false" customHeight="false" outlineLevel="0" collapsed="false">
      <c r="A1636" s="25" t="n">
        <v>13299831</v>
      </c>
      <c r="B1636" s="25" t="s">
        <v>3692</v>
      </c>
      <c r="C1636" s="25" t="s">
        <v>3693</v>
      </c>
      <c r="D1636" s="26" t="n">
        <v>57</v>
      </c>
      <c r="E1636" s="27" t="n">
        <v>7.24412514432751</v>
      </c>
      <c r="F1636" s="27" t="n">
        <v>7.24412514432751</v>
      </c>
      <c r="G1636" s="25" t="s">
        <v>3589</v>
      </c>
      <c r="H1636" s="25" t="s">
        <v>3590</v>
      </c>
      <c r="I1636" s="25" t="n">
        <f aca="false">IFERROR(IF(INDEX(Documents!$C$5:$C$657,MATCH(H1636,Documents!$A$5:$A$657,0))="","",INDEX(Documents!$C$5:$C$657,MATCH(H1636,Documents!$A$5:$A$657,0))),"")</f>
        <v>2013</v>
      </c>
      <c r="J1636" s="25" t="str">
        <f aca="false">IFERROR(IF(INDEX(Documents!$D$5:$D$657,MATCH(H1636,Documents!$A$5:$A$657,0))="","",INDEX(Documents!$D$5:$D$657,MATCH(H1636,Documents!$A$5:$A$657,0))),"")</f>
        <v>J Med Chem</v>
      </c>
      <c r="K1636" s="25" t="str">
        <f aca="false">IFERROR(IF(INDEX(Documents!$G$5:$G$657,MATCH(H1636,Documents!$A$5:$A$657,0))="","",INDEX(Documents!$G$5:$G$657,MATCH(H1636,Documents!$A$5:$A$657,0))),"")</f>
        <v>10.1021/jm400182t</v>
      </c>
      <c r="L1636" s="25" t="s">
        <v>3591</v>
      </c>
    </row>
    <row r="1637" customFormat="false" ht="15" hidden="false" customHeight="false" outlineLevel="0" collapsed="false">
      <c r="A1637" s="25" t="n">
        <v>16495478</v>
      </c>
      <c r="B1637" s="25" t="s">
        <v>3694</v>
      </c>
      <c r="C1637" s="25" t="s">
        <v>3695</v>
      </c>
      <c r="D1637" s="26" t="n">
        <v>31</v>
      </c>
      <c r="E1637" s="27" t="n">
        <v>7.50863830616573</v>
      </c>
      <c r="F1637" s="27" t="n">
        <v>7.50863830616573</v>
      </c>
      <c r="G1637" s="25" t="s">
        <v>501</v>
      </c>
      <c r="H1637" s="25" t="s">
        <v>502</v>
      </c>
      <c r="I1637" s="25" t="n">
        <f aca="false">IFERROR(IF(INDEX(Documents!$C$5:$C$657,MATCH(H1637,Documents!$A$5:$A$657,0))="","",INDEX(Documents!$C$5:$C$657,MATCH(H1637,Documents!$A$5:$A$657,0))),"")</f>
        <v>2016</v>
      </c>
      <c r="J1637" s="25" t="str">
        <f aca="false">IFERROR(IF(INDEX(Documents!$D$5:$D$657,MATCH(H1637,Documents!$A$5:$A$657,0))="","",INDEX(Documents!$D$5:$D$657,MATCH(H1637,Documents!$A$5:$A$657,0))),"")</f>
        <v>Eur J Med Chem</v>
      </c>
      <c r="K1637" s="25" t="str">
        <f aca="false">IFERROR(IF(INDEX(Documents!$G$5:$G$657,MATCH(H1637,Documents!$A$5:$A$657,0))="","",INDEX(Documents!$G$5:$G$657,MATCH(H1637,Documents!$A$5:$A$657,0))),"")</f>
        <v>10.1016/j.ejmech.2016.02.032</v>
      </c>
      <c r="L1637" s="25" t="s">
        <v>503</v>
      </c>
    </row>
    <row r="1638" customFormat="false" ht="15" hidden="false" customHeight="false" outlineLevel="0" collapsed="false">
      <c r="A1638" s="25" t="n">
        <v>13299825</v>
      </c>
      <c r="B1638" s="25" t="s">
        <v>3696</v>
      </c>
      <c r="C1638" s="25" t="s">
        <v>3697</v>
      </c>
      <c r="D1638" s="26" t="n">
        <v>55</v>
      </c>
      <c r="E1638" s="27" t="n">
        <v>7.25963731050576</v>
      </c>
      <c r="F1638" s="27" t="n">
        <v>7.25963731050576</v>
      </c>
      <c r="G1638" s="25" t="s">
        <v>3589</v>
      </c>
      <c r="H1638" s="25" t="s">
        <v>3590</v>
      </c>
      <c r="I1638" s="25" t="n">
        <f aca="false">IFERROR(IF(INDEX(Documents!$C$5:$C$657,MATCH(H1638,Documents!$A$5:$A$657,0))="","",INDEX(Documents!$C$5:$C$657,MATCH(H1638,Documents!$A$5:$A$657,0))),"")</f>
        <v>2013</v>
      </c>
      <c r="J1638" s="25" t="str">
        <f aca="false">IFERROR(IF(INDEX(Documents!$D$5:$D$657,MATCH(H1638,Documents!$A$5:$A$657,0))="","",INDEX(Documents!$D$5:$D$657,MATCH(H1638,Documents!$A$5:$A$657,0))),"")</f>
        <v>J Med Chem</v>
      </c>
      <c r="K1638" s="25" t="str">
        <f aca="false">IFERROR(IF(INDEX(Documents!$G$5:$G$657,MATCH(H1638,Documents!$A$5:$A$657,0))="","",INDEX(Documents!$G$5:$G$657,MATCH(H1638,Documents!$A$5:$A$657,0))),"")</f>
        <v>10.1021/jm400182t</v>
      </c>
      <c r="L1638" s="25" t="s">
        <v>3591</v>
      </c>
    </row>
    <row r="1639" customFormat="false" ht="15" hidden="false" customHeight="false" outlineLevel="0" collapsed="false">
      <c r="A1639" s="25" t="n">
        <v>16495482</v>
      </c>
      <c r="B1639" s="25" t="s">
        <v>3698</v>
      </c>
      <c r="C1639" s="25" t="s">
        <v>3699</v>
      </c>
      <c r="D1639" s="26" t="n">
        <v>117</v>
      </c>
      <c r="E1639" s="27" t="n">
        <v>6.93181413825384</v>
      </c>
      <c r="F1639" s="27" t="n">
        <v>6.93181413825384</v>
      </c>
      <c r="G1639" s="25" t="s">
        <v>501</v>
      </c>
      <c r="H1639" s="25" t="s">
        <v>502</v>
      </c>
      <c r="I1639" s="25" t="n">
        <f aca="false">IFERROR(IF(INDEX(Documents!$C$5:$C$657,MATCH(H1639,Documents!$A$5:$A$657,0))="","",INDEX(Documents!$C$5:$C$657,MATCH(H1639,Documents!$A$5:$A$657,0))),"")</f>
        <v>2016</v>
      </c>
      <c r="J1639" s="25" t="str">
        <f aca="false">IFERROR(IF(INDEX(Documents!$D$5:$D$657,MATCH(H1639,Documents!$A$5:$A$657,0))="","",INDEX(Documents!$D$5:$D$657,MATCH(H1639,Documents!$A$5:$A$657,0))),"")</f>
        <v>Eur J Med Chem</v>
      </c>
      <c r="K1639" s="25" t="str">
        <f aca="false">IFERROR(IF(INDEX(Documents!$G$5:$G$657,MATCH(H1639,Documents!$A$5:$A$657,0))="","",INDEX(Documents!$G$5:$G$657,MATCH(H1639,Documents!$A$5:$A$657,0))),"")</f>
        <v>10.1016/j.ejmech.2016.02.032</v>
      </c>
      <c r="L1639" s="25" t="s">
        <v>503</v>
      </c>
    </row>
    <row r="1640" customFormat="false" ht="15" hidden="false" customHeight="false" outlineLevel="0" collapsed="false">
      <c r="A1640" s="25" t="n">
        <v>13299822</v>
      </c>
      <c r="B1640" s="25" t="s">
        <v>3700</v>
      </c>
      <c r="C1640" s="25" t="s">
        <v>3701</v>
      </c>
      <c r="D1640" s="26" t="n">
        <v>52</v>
      </c>
      <c r="E1640" s="27" t="n">
        <v>7.2839966563652</v>
      </c>
      <c r="F1640" s="27" t="n">
        <v>7.2839966563652</v>
      </c>
      <c r="G1640" s="25" t="s">
        <v>3589</v>
      </c>
      <c r="H1640" s="25" t="s">
        <v>3590</v>
      </c>
      <c r="I1640" s="25" t="n">
        <f aca="false">IFERROR(IF(INDEX(Documents!$C$5:$C$657,MATCH(H1640,Documents!$A$5:$A$657,0))="","",INDEX(Documents!$C$5:$C$657,MATCH(H1640,Documents!$A$5:$A$657,0))),"")</f>
        <v>2013</v>
      </c>
      <c r="J1640" s="25" t="str">
        <f aca="false">IFERROR(IF(INDEX(Documents!$D$5:$D$657,MATCH(H1640,Documents!$A$5:$A$657,0))="","",INDEX(Documents!$D$5:$D$657,MATCH(H1640,Documents!$A$5:$A$657,0))),"")</f>
        <v>J Med Chem</v>
      </c>
      <c r="K1640" s="25" t="str">
        <f aca="false">IFERROR(IF(INDEX(Documents!$G$5:$G$657,MATCH(H1640,Documents!$A$5:$A$657,0))="","",INDEX(Documents!$G$5:$G$657,MATCH(H1640,Documents!$A$5:$A$657,0))),"")</f>
        <v>10.1021/jm400182t</v>
      </c>
      <c r="L1640" s="25" t="s">
        <v>3591</v>
      </c>
    </row>
    <row r="1641" customFormat="false" ht="15" hidden="false" customHeight="false" outlineLevel="0" collapsed="false">
      <c r="A1641" s="25" t="n">
        <v>16495480</v>
      </c>
      <c r="B1641" s="25" t="s">
        <v>3702</v>
      </c>
      <c r="C1641" s="25" t="s">
        <v>3703</v>
      </c>
      <c r="D1641" s="26" t="n">
        <v>96</v>
      </c>
      <c r="E1641" s="27" t="n">
        <v>7.01772876696043</v>
      </c>
      <c r="F1641" s="27" t="n">
        <v>7.01772876696043</v>
      </c>
      <c r="G1641" s="25" t="s">
        <v>501</v>
      </c>
      <c r="H1641" s="25" t="s">
        <v>502</v>
      </c>
      <c r="I1641" s="25" t="n">
        <f aca="false">IFERROR(IF(INDEX(Documents!$C$5:$C$657,MATCH(H1641,Documents!$A$5:$A$657,0))="","",INDEX(Documents!$C$5:$C$657,MATCH(H1641,Documents!$A$5:$A$657,0))),"")</f>
        <v>2016</v>
      </c>
      <c r="J1641" s="25" t="str">
        <f aca="false">IFERROR(IF(INDEX(Documents!$D$5:$D$657,MATCH(H1641,Documents!$A$5:$A$657,0))="","",INDEX(Documents!$D$5:$D$657,MATCH(H1641,Documents!$A$5:$A$657,0))),"")</f>
        <v>Eur J Med Chem</v>
      </c>
      <c r="K1641" s="25" t="str">
        <f aca="false">IFERROR(IF(INDEX(Documents!$G$5:$G$657,MATCH(H1641,Documents!$A$5:$A$657,0))="","",INDEX(Documents!$G$5:$G$657,MATCH(H1641,Documents!$A$5:$A$657,0))),"")</f>
        <v>10.1016/j.ejmech.2016.02.032</v>
      </c>
      <c r="L1641" s="25" t="s">
        <v>503</v>
      </c>
    </row>
    <row r="1642" customFormat="false" ht="15" hidden="false" customHeight="false" outlineLevel="0" collapsed="false">
      <c r="A1642" s="25" t="n">
        <v>13299837</v>
      </c>
      <c r="B1642" s="25" t="s">
        <v>3704</v>
      </c>
      <c r="C1642" s="25" t="s">
        <v>3705</v>
      </c>
      <c r="D1642" s="26" t="n">
        <v>42</v>
      </c>
      <c r="E1642" s="27" t="n">
        <v>7.3767507096021</v>
      </c>
      <c r="F1642" s="27" t="n">
        <v>7.3767507096021</v>
      </c>
      <c r="G1642" s="25" t="s">
        <v>3589</v>
      </c>
      <c r="H1642" s="25" t="s">
        <v>3590</v>
      </c>
      <c r="I1642" s="25" t="n">
        <f aca="false">IFERROR(IF(INDEX(Documents!$C$5:$C$657,MATCH(H1642,Documents!$A$5:$A$657,0))="","",INDEX(Documents!$C$5:$C$657,MATCH(H1642,Documents!$A$5:$A$657,0))),"")</f>
        <v>2013</v>
      </c>
      <c r="J1642" s="25" t="str">
        <f aca="false">IFERROR(IF(INDEX(Documents!$D$5:$D$657,MATCH(H1642,Documents!$A$5:$A$657,0))="","",INDEX(Documents!$D$5:$D$657,MATCH(H1642,Documents!$A$5:$A$657,0))),"")</f>
        <v>J Med Chem</v>
      </c>
      <c r="K1642" s="25" t="str">
        <f aca="false">IFERROR(IF(INDEX(Documents!$G$5:$G$657,MATCH(H1642,Documents!$A$5:$A$657,0))="","",INDEX(Documents!$G$5:$G$657,MATCH(H1642,Documents!$A$5:$A$657,0))),"")</f>
        <v>10.1021/jm400182t</v>
      </c>
      <c r="L1642" s="25" t="s">
        <v>3591</v>
      </c>
    </row>
    <row r="1643" customFormat="false" ht="15" hidden="false" customHeight="false" outlineLevel="0" collapsed="false">
      <c r="A1643" s="25" t="n">
        <v>16495485</v>
      </c>
      <c r="B1643" s="25" t="s">
        <v>3706</v>
      </c>
      <c r="C1643" s="25" t="s">
        <v>3707</v>
      </c>
      <c r="D1643" s="26" t="n">
        <v>43</v>
      </c>
      <c r="E1643" s="27" t="n">
        <v>7.36653154442041</v>
      </c>
      <c r="F1643" s="27" t="n">
        <v>7.36653154442041</v>
      </c>
      <c r="G1643" s="25" t="s">
        <v>501</v>
      </c>
      <c r="H1643" s="25" t="s">
        <v>502</v>
      </c>
      <c r="I1643" s="25" t="n">
        <f aca="false">IFERROR(IF(INDEX(Documents!$C$5:$C$657,MATCH(H1643,Documents!$A$5:$A$657,0))="","",INDEX(Documents!$C$5:$C$657,MATCH(H1643,Documents!$A$5:$A$657,0))),"")</f>
        <v>2016</v>
      </c>
      <c r="J1643" s="25" t="str">
        <f aca="false">IFERROR(IF(INDEX(Documents!$D$5:$D$657,MATCH(H1643,Documents!$A$5:$A$657,0))="","",INDEX(Documents!$D$5:$D$657,MATCH(H1643,Documents!$A$5:$A$657,0))),"")</f>
        <v>Eur J Med Chem</v>
      </c>
      <c r="K1643" s="25" t="str">
        <f aca="false">IFERROR(IF(INDEX(Documents!$G$5:$G$657,MATCH(H1643,Documents!$A$5:$A$657,0))="","",INDEX(Documents!$G$5:$G$657,MATCH(H1643,Documents!$A$5:$A$657,0))),"")</f>
        <v>10.1016/j.ejmech.2016.02.032</v>
      </c>
      <c r="L1643" s="25" t="s">
        <v>503</v>
      </c>
    </row>
    <row r="1644" customFormat="false" ht="15" hidden="false" customHeight="false" outlineLevel="0" collapsed="false">
      <c r="A1644" s="25" t="n">
        <v>13299834</v>
      </c>
      <c r="B1644" s="25" t="s">
        <v>3708</v>
      </c>
      <c r="C1644" s="25" t="s">
        <v>3709</v>
      </c>
      <c r="D1644" s="26" t="n">
        <v>40</v>
      </c>
      <c r="E1644" s="27" t="n">
        <v>7.39794000867204</v>
      </c>
      <c r="F1644" s="27" t="n">
        <v>7.39794000867204</v>
      </c>
      <c r="G1644" s="25" t="s">
        <v>3589</v>
      </c>
      <c r="H1644" s="25" t="s">
        <v>3590</v>
      </c>
      <c r="I1644" s="25" t="n">
        <f aca="false">IFERROR(IF(INDEX(Documents!$C$5:$C$657,MATCH(H1644,Documents!$A$5:$A$657,0))="","",INDEX(Documents!$C$5:$C$657,MATCH(H1644,Documents!$A$5:$A$657,0))),"")</f>
        <v>2013</v>
      </c>
      <c r="J1644" s="25" t="str">
        <f aca="false">IFERROR(IF(INDEX(Documents!$D$5:$D$657,MATCH(H1644,Documents!$A$5:$A$657,0))="","",INDEX(Documents!$D$5:$D$657,MATCH(H1644,Documents!$A$5:$A$657,0))),"")</f>
        <v>J Med Chem</v>
      </c>
      <c r="K1644" s="25" t="str">
        <f aca="false">IFERROR(IF(INDEX(Documents!$G$5:$G$657,MATCH(H1644,Documents!$A$5:$A$657,0))="","",INDEX(Documents!$G$5:$G$657,MATCH(H1644,Documents!$A$5:$A$657,0))),"")</f>
        <v>10.1021/jm400182t</v>
      </c>
      <c r="L1644" s="25" t="s">
        <v>3591</v>
      </c>
    </row>
    <row r="1645" customFormat="false" ht="15" hidden="false" customHeight="false" outlineLevel="0" collapsed="false">
      <c r="A1645" s="25" t="n">
        <v>13299828</v>
      </c>
      <c r="B1645" s="25" t="s">
        <v>3710</v>
      </c>
      <c r="C1645" s="25" t="s">
        <v>3711</v>
      </c>
      <c r="D1645" s="26" t="n">
        <v>47</v>
      </c>
      <c r="E1645" s="27" t="n">
        <v>7.32790214206428</v>
      </c>
      <c r="F1645" s="27" t="n">
        <v>7.32790214206428</v>
      </c>
      <c r="G1645" s="25" t="s">
        <v>3589</v>
      </c>
      <c r="H1645" s="25" t="s">
        <v>3590</v>
      </c>
      <c r="I1645" s="25" t="n">
        <f aca="false">IFERROR(IF(INDEX(Documents!$C$5:$C$657,MATCH(H1645,Documents!$A$5:$A$657,0))="","",INDEX(Documents!$C$5:$C$657,MATCH(H1645,Documents!$A$5:$A$657,0))),"")</f>
        <v>2013</v>
      </c>
      <c r="J1645" s="25" t="str">
        <f aca="false">IFERROR(IF(INDEX(Documents!$D$5:$D$657,MATCH(H1645,Documents!$A$5:$A$657,0))="","",INDEX(Documents!$D$5:$D$657,MATCH(H1645,Documents!$A$5:$A$657,0))),"")</f>
        <v>J Med Chem</v>
      </c>
      <c r="K1645" s="25" t="str">
        <f aca="false">IFERROR(IF(INDEX(Documents!$G$5:$G$657,MATCH(H1645,Documents!$A$5:$A$657,0))="","",INDEX(Documents!$G$5:$G$657,MATCH(H1645,Documents!$A$5:$A$657,0))),"")</f>
        <v>10.1021/jm400182t</v>
      </c>
      <c r="L1645" s="25" t="s">
        <v>3591</v>
      </c>
    </row>
    <row r="1646" customFormat="false" ht="15" hidden="false" customHeight="false" outlineLevel="0" collapsed="false">
      <c r="A1646" s="25" t="n">
        <v>13299818</v>
      </c>
      <c r="B1646" s="25" t="s">
        <v>3712</v>
      </c>
      <c r="C1646" s="25" t="s">
        <v>3713</v>
      </c>
      <c r="D1646" s="26" t="n">
        <v>9.52</v>
      </c>
      <c r="E1646" s="27" t="n">
        <v>8.02136305161553</v>
      </c>
      <c r="F1646" s="27" t="n">
        <v>8.02136305161553</v>
      </c>
      <c r="G1646" s="25" t="s">
        <v>3589</v>
      </c>
      <c r="H1646" s="25" t="s">
        <v>3590</v>
      </c>
      <c r="I1646" s="25" t="n">
        <f aca="false">IFERROR(IF(INDEX(Documents!$C$5:$C$657,MATCH(H1646,Documents!$A$5:$A$657,0))="","",INDEX(Documents!$C$5:$C$657,MATCH(H1646,Documents!$A$5:$A$657,0))),"")</f>
        <v>2013</v>
      </c>
      <c r="J1646" s="25" t="str">
        <f aca="false">IFERROR(IF(INDEX(Documents!$D$5:$D$657,MATCH(H1646,Documents!$A$5:$A$657,0))="","",INDEX(Documents!$D$5:$D$657,MATCH(H1646,Documents!$A$5:$A$657,0))),"")</f>
        <v>J Med Chem</v>
      </c>
      <c r="K1646" s="25" t="str">
        <f aca="false">IFERROR(IF(INDEX(Documents!$G$5:$G$657,MATCH(H1646,Documents!$A$5:$A$657,0))="","",INDEX(Documents!$G$5:$G$657,MATCH(H1646,Documents!$A$5:$A$657,0))),"")</f>
        <v>10.1021/jm400182t</v>
      </c>
      <c r="L1646" s="25" t="s">
        <v>3591</v>
      </c>
    </row>
    <row r="1647" customFormat="false" ht="15" hidden="false" customHeight="false" outlineLevel="0" collapsed="false">
      <c r="A1647" s="25" t="n">
        <v>13299840</v>
      </c>
      <c r="B1647" s="25" t="s">
        <v>3714</v>
      </c>
      <c r="C1647" s="25" t="s">
        <v>3715</v>
      </c>
      <c r="D1647" s="26" t="n">
        <v>12.3</v>
      </c>
      <c r="E1647" s="27" t="n">
        <v>7.9100948885606</v>
      </c>
      <c r="F1647" s="27" t="n">
        <v>7.9100948885606</v>
      </c>
      <c r="G1647" s="25" t="s">
        <v>3589</v>
      </c>
      <c r="H1647" s="25" t="s">
        <v>3590</v>
      </c>
      <c r="I1647" s="25" t="n">
        <f aca="false">IFERROR(IF(INDEX(Documents!$C$5:$C$657,MATCH(H1647,Documents!$A$5:$A$657,0))="","",INDEX(Documents!$C$5:$C$657,MATCH(H1647,Documents!$A$5:$A$657,0))),"")</f>
        <v>2013</v>
      </c>
      <c r="J1647" s="25" t="str">
        <f aca="false">IFERROR(IF(INDEX(Documents!$D$5:$D$657,MATCH(H1647,Documents!$A$5:$A$657,0))="","",INDEX(Documents!$D$5:$D$657,MATCH(H1647,Documents!$A$5:$A$657,0))),"")</f>
        <v>J Med Chem</v>
      </c>
      <c r="K1647" s="25" t="str">
        <f aca="false">IFERROR(IF(INDEX(Documents!$G$5:$G$657,MATCH(H1647,Documents!$A$5:$A$657,0))="","",INDEX(Documents!$G$5:$G$657,MATCH(H1647,Documents!$A$5:$A$657,0))),"")</f>
        <v>10.1021/jm400182t</v>
      </c>
      <c r="L1647" s="25" t="s">
        <v>3591</v>
      </c>
    </row>
    <row r="1648" customFormat="false" ht="15" hidden="false" customHeight="false" outlineLevel="0" collapsed="false">
      <c r="A1648" s="25" t="n">
        <v>13299848</v>
      </c>
      <c r="B1648" s="25" t="s">
        <v>3716</v>
      </c>
      <c r="C1648" s="25" t="s">
        <v>3717</v>
      </c>
      <c r="D1648" s="26" t="n">
        <v>22</v>
      </c>
      <c r="E1648" s="27" t="n">
        <v>7.65757731917779</v>
      </c>
      <c r="F1648" s="27" t="n">
        <v>7.65757731917779</v>
      </c>
      <c r="G1648" s="25" t="s">
        <v>3589</v>
      </c>
      <c r="H1648" s="25" t="s">
        <v>3590</v>
      </c>
      <c r="I1648" s="25" t="n">
        <f aca="false">IFERROR(IF(INDEX(Documents!$C$5:$C$657,MATCH(H1648,Documents!$A$5:$A$657,0))="","",INDEX(Documents!$C$5:$C$657,MATCH(H1648,Documents!$A$5:$A$657,0))),"")</f>
        <v>2013</v>
      </c>
      <c r="J1648" s="25" t="str">
        <f aca="false">IFERROR(IF(INDEX(Documents!$D$5:$D$657,MATCH(H1648,Documents!$A$5:$A$657,0))="","",INDEX(Documents!$D$5:$D$657,MATCH(H1648,Documents!$A$5:$A$657,0))),"")</f>
        <v>J Med Chem</v>
      </c>
      <c r="K1648" s="25" t="str">
        <f aca="false">IFERROR(IF(INDEX(Documents!$G$5:$G$657,MATCH(H1648,Documents!$A$5:$A$657,0))="","",INDEX(Documents!$G$5:$G$657,MATCH(H1648,Documents!$A$5:$A$657,0))),"")</f>
        <v>10.1021/jm400182t</v>
      </c>
      <c r="L1648" s="25" t="s">
        <v>3591</v>
      </c>
    </row>
    <row r="1649" customFormat="false" ht="15" hidden="false" customHeight="false" outlineLevel="0" collapsed="false">
      <c r="A1649" s="25" t="n">
        <v>16495487</v>
      </c>
      <c r="B1649" s="25" t="s">
        <v>3718</v>
      </c>
      <c r="C1649" s="25" t="s">
        <v>3719</v>
      </c>
      <c r="D1649" s="26" t="n">
        <v>674</v>
      </c>
      <c r="E1649" s="27" t="n">
        <v>6.17134010346468</v>
      </c>
      <c r="F1649" s="27" t="n">
        <v>6.17134010346468</v>
      </c>
      <c r="G1649" s="25" t="s">
        <v>501</v>
      </c>
      <c r="H1649" s="25" t="s">
        <v>502</v>
      </c>
      <c r="I1649" s="25" t="n">
        <f aca="false">IFERROR(IF(INDEX(Documents!$C$5:$C$657,MATCH(H1649,Documents!$A$5:$A$657,0))="","",INDEX(Documents!$C$5:$C$657,MATCH(H1649,Documents!$A$5:$A$657,0))),"")</f>
        <v>2016</v>
      </c>
      <c r="J1649" s="25" t="str">
        <f aca="false">IFERROR(IF(INDEX(Documents!$D$5:$D$657,MATCH(H1649,Documents!$A$5:$A$657,0))="","",INDEX(Documents!$D$5:$D$657,MATCH(H1649,Documents!$A$5:$A$657,0))),"")</f>
        <v>Eur J Med Chem</v>
      </c>
      <c r="K1649" s="25" t="str">
        <f aca="false">IFERROR(IF(INDEX(Documents!$G$5:$G$657,MATCH(H1649,Documents!$A$5:$A$657,0))="","",INDEX(Documents!$G$5:$G$657,MATCH(H1649,Documents!$A$5:$A$657,0))),"")</f>
        <v>10.1016/j.ejmech.2016.02.032</v>
      </c>
      <c r="L1649" s="25" t="s">
        <v>503</v>
      </c>
    </row>
    <row r="1650" customFormat="false" ht="15" hidden="false" customHeight="false" outlineLevel="0" collapsed="false">
      <c r="A1650" s="25" t="n">
        <v>13299843</v>
      </c>
      <c r="B1650" s="25" t="s">
        <v>3720</v>
      </c>
      <c r="C1650" s="25" t="s">
        <v>3721</v>
      </c>
      <c r="D1650" s="26" t="n">
        <v>10.4</v>
      </c>
      <c r="E1650" s="27" t="n">
        <v>7.98296666070122</v>
      </c>
      <c r="F1650" s="27" t="n">
        <v>7.98296666070122</v>
      </c>
      <c r="G1650" s="25" t="s">
        <v>3589</v>
      </c>
      <c r="H1650" s="25" t="s">
        <v>3590</v>
      </c>
      <c r="I1650" s="25" t="n">
        <f aca="false">IFERROR(IF(INDEX(Documents!$C$5:$C$657,MATCH(H1650,Documents!$A$5:$A$657,0))="","",INDEX(Documents!$C$5:$C$657,MATCH(H1650,Documents!$A$5:$A$657,0))),"")</f>
        <v>2013</v>
      </c>
      <c r="J1650" s="25" t="str">
        <f aca="false">IFERROR(IF(INDEX(Documents!$D$5:$D$657,MATCH(H1650,Documents!$A$5:$A$657,0))="","",INDEX(Documents!$D$5:$D$657,MATCH(H1650,Documents!$A$5:$A$657,0))),"")</f>
        <v>J Med Chem</v>
      </c>
      <c r="K1650" s="25" t="str">
        <f aca="false">IFERROR(IF(INDEX(Documents!$G$5:$G$657,MATCH(H1650,Documents!$A$5:$A$657,0))="","",INDEX(Documents!$G$5:$G$657,MATCH(H1650,Documents!$A$5:$A$657,0))),"")</f>
        <v>10.1021/jm400182t</v>
      </c>
      <c r="L1650" s="25" t="s">
        <v>3591</v>
      </c>
    </row>
    <row r="1651" customFormat="false" ht="15" hidden="false" customHeight="false" outlineLevel="0" collapsed="false">
      <c r="A1651" s="25" t="n">
        <v>16495466</v>
      </c>
      <c r="B1651" s="25" t="s">
        <v>3722</v>
      </c>
      <c r="C1651" s="25" t="s">
        <v>3723</v>
      </c>
      <c r="D1651" s="26" t="n">
        <v>1332</v>
      </c>
      <c r="E1651" s="27" t="n">
        <v>5.87549577516572</v>
      </c>
      <c r="F1651" s="27" t="n">
        <v>5.87549577516572</v>
      </c>
      <c r="G1651" s="25" t="s">
        <v>501</v>
      </c>
      <c r="H1651" s="25" t="s">
        <v>502</v>
      </c>
      <c r="I1651" s="25" t="n">
        <f aca="false">IFERROR(IF(INDEX(Documents!$C$5:$C$657,MATCH(H1651,Documents!$A$5:$A$657,0))="","",INDEX(Documents!$C$5:$C$657,MATCH(H1651,Documents!$A$5:$A$657,0))),"")</f>
        <v>2016</v>
      </c>
      <c r="J1651" s="25" t="str">
        <f aca="false">IFERROR(IF(INDEX(Documents!$D$5:$D$657,MATCH(H1651,Documents!$A$5:$A$657,0))="","",INDEX(Documents!$D$5:$D$657,MATCH(H1651,Documents!$A$5:$A$657,0))),"")</f>
        <v>Eur J Med Chem</v>
      </c>
      <c r="K1651" s="25" t="str">
        <f aca="false">IFERROR(IF(INDEX(Documents!$G$5:$G$657,MATCH(H1651,Documents!$A$5:$A$657,0))="","",INDEX(Documents!$G$5:$G$657,MATCH(H1651,Documents!$A$5:$A$657,0))),"")</f>
        <v>10.1016/j.ejmech.2016.02.032</v>
      </c>
      <c r="L1651" s="25" t="s">
        <v>503</v>
      </c>
    </row>
    <row r="1652" customFormat="false" ht="15" hidden="false" customHeight="false" outlineLevel="0" collapsed="false">
      <c r="A1652" s="25" t="n">
        <v>16495473</v>
      </c>
      <c r="B1652" s="25" t="s">
        <v>3724</v>
      </c>
      <c r="C1652" s="25" t="s">
        <v>3725</v>
      </c>
      <c r="D1652" s="26" t="n">
        <v>716</v>
      </c>
      <c r="E1652" s="27" t="n">
        <v>6.14508697769215</v>
      </c>
      <c r="F1652" s="27" t="n">
        <v>6.14508697769215</v>
      </c>
      <c r="G1652" s="25" t="s">
        <v>501</v>
      </c>
      <c r="H1652" s="25" t="s">
        <v>502</v>
      </c>
      <c r="I1652" s="25" t="n">
        <f aca="false">IFERROR(IF(INDEX(Documents!$C$5:$C$657,MATCH(H1652,Documents!$A$5:$A$657,0))="","",INDEX(Documents!$C$5:$C$657,MATCH(H1652,Documents!$A$5:$A$657,0))),"")</f>
        <v>2016</v>
      </c>
      <c r="J1652" s="25" t="str">
        <f aca="false">IFERROR(IF(INDEX(Documents!$D$5:$D$657,MATCH(H1652,Documents!$A$5:$A$657,0))="","",INDEX(Documents!$D$5:$D$657,MATCH(H1652,Documents!$A$5:$A$657,0))),"")</f>
        <v>Eur J Med Chem</v>
      </c>
      <c r="K1652" s="25" t="str">
        <f aca="false">IFERROR(IF(INDEX(Documents!$G$5:$G$657,MATCH(H1652,Documents!$A$5:$A$657,0))="","",INDEX(Documents!$G$5:$G$657,MATCH(H1652,Documents!$A$5:$A$657,0))),"")</f>
        <v>10.1016/j.ejmech.2016.02.032</v>
      </c>
      <c r="L1652" s="25" t="s">
        <v>503</v>
      </c>
    </row>
    <row r="1653" customFormat="false" ht="15" hidden="false" customHeight="false" outlineLevel="0" collapsed="false">
      <c r="A1653" s="25" t="n">
        <v>5124696</v>
      </c>
      <c r="B1653" s="25" t="s">
        <v>3726</v>
      </c>
      <c r="C1653" s="25" t="s">
        <v>3727</v>
      </c>
      <c r="D1653" s="26" t="n">
        <v>48</v>
      </c>
      <c r="E1653" s="27" t="n">
        <v>7.31875876262441</v>
      </c>
      <c r="F1653" s="27" t="n">
        <v>7.31875876262441</v>
      </c>
      <c r="G1653" s="25" t="s">
        <v>1948</v>
      </c>
      <c r="H1653" s="25" t="s">
        <v>1949</v>
      </c>
      <c r="I1653" s="25" t="n">
        <f aca="false">IFERROR(IF(INDEX(Documents!$C$5:$C$657,MATCH(H1653,Documents!$A$5:$A$657,0))="","",INDEX(Documents!$C$5:$C$657,MATCH(H1653,Documents!$A$5:$A$657,0))),"")</f>
        <v>2010</v>
      </c>
      <c r="J1653" s="25" t="str">
        <f aca="false">IFERROR(IF(INDEX(Documents!$D$5:$D$657,MATCH(H1653,Documents!$A$5:$A$657,0))="","",INDEX(Documents!$D$5:$D$657,MATCH(H1653,Documents!$A$5:$A$657,0))),"")</f>
        <v>J Med Chem</v>
      </c>
      <c r="K1653" s="25" t="str">
        <f aca="false">IFERROR(IF(INDEX(Documents!$G$5:$G$657,MATCH(H1653,Documents!$A$5:$A$657,0))="","",INDEX(Documents!$G$5:$G$657,MATCH(H1653,Documents!$A$5:$A$657,0))),"")</f>
        <v>10.1021/jm100286k</v>
      </c>
      <c r="L1653" s="25" t="s">
        <v>1950</v>
      </c>
    </row>
    <row r="1654" customFormat="false" ht="15" hidden="false" customHeight="false" outlineLevel="0" collapsed="false">
      <c r="A1654" s="25" t="n">
        <v>12619615</v>
      </c>
      <c r="B1654" s="25" t="s">
        <v>3728</v>
      </c>
      <c r="C1654" s="25" t="s">
        <v>3729</v>
      </c>
      <c r="D1654" s="26" t="n">
        <v>2830</v>
      </c>
      <c r="E1654" s="27" t="n">
        <v>5.54821356447571</v>
      </c>
      <c r="F1654" s="27" t="n">
        <v>5.54821356447571</v>
      </c>
      <c r="G1654" s="25" t="s">
        <v>2805</v>
      </c>
      <c r="H1654" s="25" t="s">
        <v>2806</v>
      </c>
      <c r="I1654" s="25" t="n">
        <f aca="false">IFERROR(IF(INDEX(Documents!$C$5:$C$657,MATCH(H1654,Documents!$A$5:$A$657,0))="","",INDEX(Documents!$C$5:$C$657,MATCH(H1654,Documents!$A$5:$A$657,0))),"")</f>
        <v>2013</v>
      </c>
      <c r="J1654" s="25" t="str">
        <f aca="false">IFERROR(IF(INDEX(Documents!$D$5:$D$657,MATCH(H1654,Documents!$A$5:$A$657,0))="","",INDEX(Documents!$D$5:$D$657,MATCH(H1654,Documents!$A$5:$A$657,0))),"")</f>
        <v>J Med Chem</v>
      </c>
      <c r="K1654" s="25" t="str">
        <f aca="false">IFERROR(IF(INDEX(Documents!$G$5:$G$657,MATCH(H1654,Documents!$A$5:$A$657,0))="","",INDEX(Documents!$G$5:$G$657,MATCH(H1654,Documents!$A$5:$A$657,0))),"")</f>
        <v>10.1021/jm301527r</v>
      </c>
      <c r="L1654" s="25" t="s">
        <v>2807</v>
      </c>
    </row>
    <row r="1655" customFormat="false" ht="15" hidden="false" customHeight="false" outlineLevel="0" collapsed="false">
      <c r="A1655" s="25" t="n">
        <v>12619610</v>
      </c>
      <c r="B1655" s="25" t="s">
        <v>3730</v>
      </c>
      <c r="C1655" s="25" t="s">
        <v>3731</v>
      </c>
      <c r="D1655" s="26" t="n">
        <v>6.95</v>
      </c>
      <c r="E1655" s="27" t="n">
        <v>8.15801519540989</v>
      </c>
      <c r="F1655" s="27" t="n">
        <v>8.15801519540989</v>
      </c>
      <c r="G1655" s="25" t="s">
        <v>2805</v>
      </c>
      <c r="H1655" s="25" t="s">
        <v>2806</v>
      </c>
      <c r="I1655" s="25" t="n">
        <f aca="false">IFERROR(IF(INDEX(Documents!$C$5:$C$657,MATCH(H1655,Documents!$A$5:$A$657,0))="","",INDEX(Documents!$C$5:$C$657,MATCH(H1655,Documents!$A$5:$A$657,0))),"")</f>
        <v>2013</v>
      </c>
      <c r="J1655" s="25" t="str">
        <f aca="false">IFERROR(IF(INDEX(Documents!$D$5:$D$657,MATCH(H1655,Documents!$A$5:$A$657,0))="","",INDEX(Documents!$D$5:$D$657,MATCH(H1655,Documents!$A$5:$A$657,0))),"")</f>
        <v>J Med Chem</v>
      </c>
      <c r="K1655" s="25" t="str">
        <f aca="false">IFERROR(IF(INDEX(Documents!$G$5:$G$657,MATCH(H1655,Documents!$A$5:$A$657,0))="","",INDEX(Documents!$G$5:$G$657,MATCH(H1655,Documents!$A$5:$A$657,0))),"")</f>
        <v>10.1021/jm301527r</v>
      </c>
      <c r="L1655" s="25" t="s">
        <v>2807</v>
      </c>
    </row>
    <row r="1656" customFormat="false" ht="15" hidden="false" customHeight="false" outlineLevel="0" collapsed="false">
      <c r="A1656" s="25" t="n">
        <v>12619633</v>
      </c>
      <c r="B1656" s="25" t="s">
        <v>3732</v>
      </c>
      <c r="C1656" s="25" t="s">
        <v>3733</v>
      </c>
      <c r="D1656" s="26" t="n">
        <v>11.2</v>
      </c>
      <c r="E1656" s="27" t="n">
        <v>7.95078197732982</v>
      </c>
      <c r="F1656" s="27" t="n">
        <v>7.95078197732982</v>
      </c>
      <c r="G1656" s="25" t="s">
        <v>2805</v>
      </c>
      <c r="H1656" s="25" t="s">
        <v>2806</v>
      </c>
      <c r="I1656" s="25" t="n">
        <f aca="false">IFERROR(IF(INDEX(Documents!$C$5:$C$657,MATCH(H1656,Documents!$A$5:$A$657,0))="","",INDEX(Documents!$C$5:$C$657,MATCH(H1656,Documents!$A$5:$A$657,0))),"")</f>
        <v>2013</v>
      </c>
      <c r="J1656" s="25" t="str">
        <f aca="false">IFERROR(IF(INDEX(Documents!$D$5:$D$657,MATCH(H1656,Documents!$A$5:$A$657,0))="","",INDEX(Documents!$D$5:$D$657,MATCH(H1656,Documents!$A$5:$A$657,0))),"")</f>
        <v>J Med Chem</v>
      </c>
      <c r="K1656" s="25" t="str">
        <f aca="false">IFERROR(IF(INDEX(Documents!$G$5:$G$657,MATCH(H1656,Documents!$A$5:$A$657,0))="","",INDEX(Documents!$G$5:$G$657,MATCH(H1656,Documents!$A$5:$A$657,0))),"")</f>
        <v>10.1021/jm301527r</v>
      </c>
      <c r="L1656" s="25" t="s">
        <v>2807</v>
      </c>
    </row>
    <row r="1657" customFormat="false" ht="15" hidden="false" customHeight="false" outlineLevel="0" collapsed="false">
      <c r="A1657" s="25" t="n">
        <v>12619613</v>
      </c>
      <c r="B1657" s="25" t="s">
        <v>3734</v>
      </c>
      <c r="C1657" s="25" t="s">
        <v>3735</v>
      </c>
      <c r="D1657" s="26" t="n">
        <v>18.5</v>
      </c>
      <c r="E1657" s="27" t="n">
        <v>7.73282827159699</v>
      </c>
      <c r="F1657" s="27" t="n">
        <v>7.73282827159699</v>
      </c>
      <c r="G1657" s="25" t="s">
        <v>2805</v>
      </c>
      <c r="H1657" s="25" t="s">
        <v>2806</v>
      </c>
      <c r="I1657" s="25" t="n">
        <f aca="false">IFERROR(IF(INDEX(Documents!$C$5:$C$657,MATCH(H1657,Documents!$A$5:$A$657,0))="","",INDEX(Documents!$C$5:$C$657,MATCH(H1657,Documents!$A$5:$A$657,0))),"")</f>
        <v>2013</v>
      </c>
      <c r="J1657" s="25" t="str">
        <f aca="false">IFERROR(IF(INDEX(Documents!$D$5:$D$657,MATCH(H1657,Documents!$A$5:$A$657,0))="","",INDEX(Documents!$D$5:$D$657,MATCH(H1657,Documents!$A$5:$A$657,0))),"")</f>
        <v>J Med Chem</v>
      </c>
      <c r="K1657" s="25" t="str">
        <f aca="false">IFERROR(IF(INDEX(Documents!$G$5:$G$657,MATCH(H1657,Documents!$A$5:$A$657,0))="","",INDEX(Documents!$G$5:$G$657,MATCH(H1657,Documents!$A$5:$A$657,0))),"")</f>
        <v>10.1021/jm301527r</v>
      </c>
      <c r="L1657" s="25" t="s">
        <v>2807</v>
      </c>
    </row>
    <row r="1658" customFormat="false" ht="15" hidden="false" customHeight="false" outlineLevel="0" collapsed="false">
      <c r="A1658" s="25" t="n">
        <v>12619620</v>
      </c>
      <c r="B1658" s="25" t="s">
        <v>3736</v>
      </c>
      <c r="C1658" s="25" t="s">
        <v>3737</v>
      </c>
      <c r="D1658" s="26" t="n">
        <v>103</v>
      </c>
      <c r="E1658" s="27" t="n">
        <v>6.98716277529483</v>
      </c>
      <c r="F1658" s="27" t="n">
        <v>6.98716277529483</v>
      </c>
      <c r="G1658" s="25" t="s">
        <v>2805</v>
      </c>
      <c r="H1658" s="25" t="s">
        <v>2806</v>
      </c>
      <c r="I1658" s="25" t="n">
        <f aca="false">IFERROR(IF(INDEX(Documents!$C$5:$C$657,MATCH(H1658,Documents!$A$5:$A$657,0))="","",INDEX(Documents!$C$5:$C$657,MATCH(H1658,Documents!$A$5:$A$657,0))),"")</f>
        <v>2013</v>
      </c>
      <c r="J1658" s="25" t="str">
        <f aca="false">IFERROR(IF(INDEX(Documents!$D$5:$D$657,MATCH(H1658,Documents!$A$5:$A$657,0))="","",INDEX(Documents!$D$5:$D$657,MATCH(H1658,Documents!$A$5:$A$657,0))),"")</f>
        <v>J Med Chem</v>
      </c>
      <c r="K1658" s="25" t="str">
        <f aca="false">IFERROR(IF(INDEX(Documents!$G$5:$G$657,MATCH(H1658,Documents!$A$5:$A$657,0))="","",INDEX(Documents!$G$5:$G$657,MATCH(H1658,Documents!$A$5:$A$657,0))),"")</f>
        <v>10.1021/jm301527r</v>
      </c>
      <c r="L1658" s="25" t="s">
        <v>2807</v>
      </c>
    </row>
    <row r="1659" customFormat="false" ht="15" hidden="false" customHeight="false" outlineLevel="0" collapsed="false">
      <c r="A1659" s="25" t="n">
        <v>13299830</v>
      </c>
      <c r="B1659" s="25" t="s">
        <v>3738</v>
      </c>
      <c r="C1659" s="25" t="s">
        <v>3739</v>
      </c>
      <c r="D1659" s="26" t="n">
        <v>10.3</v>
      </c>
      <c r="E1659" s="27" t="n">
        <v>7.98716277529483</v>
      </c>
      <c r="F1659" s="27" t="n">
        <v>7.98716277529483</v>
      </c>
      <c r="G1659" s="25" t="s">
        <v>3589</v>
      </c>
      <c r="H1659" s="25" t="s">
        <v>3590</v>
      </c>
      <c r="I1659" s="25" t="n">
        <f aca="false">IFERROR(IF(INDEX(Documents!$C$5:$C$657,MATCH(H1659,Documents!$A$5:$A$657,0))="","",INDEX(Documents!$C$5:$C$657,MATCH(H1659,Documents!$A$5:$A$657,0))),"")</f>
        <v>2013</v>
      </c>
      <c r="J1659" s="25" t="str">
        <f aca="false">IFERROR(IF(INDEX(Documents!$D$5:$D$657,MATCH(H1659,Documents!$A$5:$A$657,0))="","",INDEX(Documents!$D$5:$D$657,MATCH(H1659,Documents!$A$5:$A$657,0))),"")</f>
        <v>J Med Chem</v>
      </c>
      <c r="K1659" s="25" t="str">
        <f aca="false">IFERROR(IF(INDEX(Documents!$G$5:$G$657,MATCH(H1659,Documents!$A$5:$A$657,0))="","",INDEX(Documents!$G$5:$G$657,MATCH(H1659,Documents!$A$5:$A$657,0))),"")</f>
        <v>10.1021/jm400182t</v>
      </c>
      <c r="L1659" s="25" t="s">
        <v>3591</v>
      </c>
    </row>
    <row r="1660" customFormat="false" ht="15" hidden="false" customHeight="false" outlineLevel="0" collapsed="false">
      <c r="A1660" s="25" t="n">
        <v>16495477</v>
      </c>
      <c r="B1660" s="25" t="s">
        <v>3740</v>
      </c>
      <c r="C1660" s="25" t="s">
        <v>3741</v>
      </c>
      <c r="D1660" s="26" t="n">
        <v>22</v>
      </c>
      <c r="E1660" s="27" t="n">
        <v>7.65757731917779</v>
      </c>
      <c r="F1660" s="27" t="n">
        <v>7.65757731917779</v>
      </c>
      <c r="G1660" s="25" t="s">
        <v>501</v>
      </c>
      <c r="H1660" s="25" t="s">
        <v>502</v>
      </c>
      <c r="I1660" s="25" t="n">
        <f aca="false">IFERROR(IF(INDEX(Documents!$C$5:$C$657,MATCH(H1660,Documents!$A$5:$A$657,0))="","",INDEX(Documents!$C$5:$C$657,MATCH(H1660,Documents!$A$5:$A$657,0))),"")</f>
        <v>2016</v>
      </c>
      <c r="J1660" s="25" t="str">
        <f aca="false">IFERROR(IF(INDEX(Documents!$D$5:$D$657,MATCH(H1660,Documents!$A$5:$A$657,0))="","",INDEX(Documents!$D$5:$D$657,MATCH(H1660,Documents!$A$5:$A$657,0))),"")</f>
        <v>Eur J Med Chem</v>
      </c>
      <c r="K1660" s="25" t="str">
        <f aca="false">IFERROR(IF(INDEX(Documents!$G$5:$G$657,MATCH(H1660,Documents!$A$5:$A$657,0))="","",INDEX(Documents!$G$5:$G$657,MATCH(H1660,Documents!$A$5:$A$657,0))),"")</f>
        <v>10.1016/j.ejmech.2016.02.032</v>
      </c>
      <c r="L1660" s="25" t="s">
        <v>503</v>
      </c>
    </row>
    <row r="1661" customFormat="false" ht="15" hidden="false" customHeight="false" outlineLevel="0" collapsed="false">
      <c r="A1661" s="25" t="n">
        <v>13299824</v>
      </c>
      <c r="B1661" s="25" t="s">
        <v>3742</v>
      </c>
      <c r="C1661" s="25" t="s">
        <v>3743</v>
      </c>
      <c r="D1661" s="26" t="n">
        <v>6.31</v>
      </c>
      <c r="E1661" s="27" t="n">
        <v>8.19997064075587</v>
      </c>
      <c r="F1661" s="27" t="n">
        <v>8.19997064075587</v>
      </c>
      <c r="G1661" s="25" t="s">
        <v>3589</v>
      </c>
      <c r="H1661" s="25" t="s">
        <v>3590</v>
      </c>
      <c r="I1661" s="25" t="n">
        <f aca="false">IFERROR(IF(INDEX(Documents!$C$5:$C$657,MATCH(H1661,Documents!$A$5:$A$657,0))="","",INDEX(Documents!$C$5:$C$657,MATCH(H1661,Documents!$A$5:$A$657,0))),"")</f>
        <v>2013</v>
      </c>
      <c r="J1661" s="25" t="str">
        <f aca="false">IFERROR(IF(INDEX(Documents!$D$5:$D$657,MATCH(H1661,Documents!$A$5:$A$657,0))="","",INDEX(Documents!$D$5:$D$657,MATCH(H1661,Documents!$A$5:$A$657,0))),"")</f>
        <v>J Med Chem</v>
      </c>
      <c r="K1661" s="25" t="str">
        <f aca="false">IFERROR(IF(INDEX(Documents!$G$5:$G$657,MATCH(H1661,Documents!$A$5:$A$657,0))="","",INDEX(Documents!$G$5:$G$657,MATCH(H1661,Documents!$A$5:$A$657,0))),"")</f>
        <v>10.1021/jm400182t</v>
      </c>
      <c r="L1661" s="25" t="s">
        <v>3591</v>
      </c>
    </row>
    <row r="1662" customFormat="false" ht="15" hidden="false" customHeight="false" outlineLevel="0" collapsed="false">
      <c r="A1662" s="25" t="n">
        <v>13299821</v>
      </c>
      <c r="B1662" s="25" t="s">
        <v>3744</v>
      </c>
      <c r="C1662" s="25" t="s">
        <v>3745</v>
      </c>
      <c r="D1662" s="26" t="n">
        <v>37</v>
      </c>
      <c r="E1662" s="27" t="n">
        <v>7.43179827593301</v>
      </c>
      <c r="F1662" s="27" t="n">
        <v>7.43179827593301</v>
      </c>
      <c r="G1662" s="25" t="s">
        <v>3589</v>
      </c>
      <c r="H1662" s="25" t="s">
        <v>3590</v>
      </c>
      <c r="I1662" s="25" t="n">
        <f aca="false">IFERROR(IF(INDEX(Documents!$C$5:$C$657,MATCH(H1662,Documents!$A$5:$A$657,0))="","",INDEX(Documents!$C$5:$C$657,MATCH(H1662,Documents!$A$5:$A$657,0))),"")</f>
        <v>2013</v>
      </c>
      <c r="J1662" s="25" t="str">
        <f aca="false">IFERROR(IF(INDEX(Documents!$D$5:$D$657,MATCH(H1662,Documents!$A$5:$A$657,0))="","",INDEX(Documents!$D$5:$D$657,MATCH(H1662,Documents!$A$5:$A$657,0))),"")</f>
        <v>J Med Chem</v>
      </c>
      <c r="K1662" s="25" t="str">
        <f aca="false">IFERROR(IF(INDEX(Documents!$G$5:$G$657,MATCH(H1662,Documents!$A$5:$A$657,0))="","",INDEX(Documents!$G$5:$G$657,MATCH(H1662,Documents!$A$5:$A$657,0))),"")</f>
        <v>10.1021/jm400182t</v>
      </c>
      <c r="L1662" s="25" t="s">
        <v>3591</v>
      </c>
    </row>
    <row r="1663" customFormat="false" ht="15" hidden="false" customHeight="false" outlineLevel="0" collapsed="false">
      <c r="A1663" s="25" t="n">
        <v>13299836</v>
      </c>
      <c r="B1663" s="25" t="s">
        <v>3746</v>
      </c>
      <c r="C1663" s="25" t="s">
        <v>3747</v>
      </c>
      <c r="D1663" s="26" t="n">
        <v>31</v>
      </c>
      <c r="E1663" s="27" t="n">
        <v>7.50863830616573</v>
      </c>
      <c r="F1663" s="27" t="n">
        <v>7.50863830616573</v>
      </c>
      <c r="G1663" s="25" t="s">
        <v>3589</v>
      </c>
      <c r="H1663" s="25" t="s">
        <v>3590</v>
      </c>
      <c r="I1663" s="25" t="n">
        <f aca="false">IFERROR(IF(INDEX(Documents!$C$5:$C$657,MATCH(H1663,Documents!$A$5:$A$657,0))="","",INDEX(Documents!$C$5:$C$657,MATCH(H1663,Documents!$A$5:$A$657,0))),"")</f>
        <v>2013</v>
      </c>
      <c r="J1663" s="25" t="str">
        <f aca="false">IFERROR(IF(INDEX(Documents!$D$5:$D$657,MATCH(H1663,Documents!$A$5:$A$657,0))="","",INDEX(Documents!$D$5:$D$657,MATCH(H1663,Documents!$A$5:$A$657,0))),"")</f>
        <v>J Med Chem</v>
      </c>
      <c r="K1663" s="25" t="str">
        <f aca="false">IFERROR(IF(INDEX(Documents!$G$5:$G$657,MATCH(H1663,Documents!$A$5:$A$657,0))="","",INDEX(Documents!$G$5:$G$657,MATCH(H1663,Documents!$A$5:$A$657,0))),"")</f>
        <v>10.1021/jm400182t</v>
      </c>
      <c r="L1663" s="25" t="s">
        <v>3591</v>
      </c>
    </row>
    <row r="1664" customFormat="false" ht="15" hidden="false" customHeight="false" outlineLevel="0" collapsed="false">
      <c r="A1664" s="25" t="n">
        <v>16495484</v>
      </c>
      <c r="B1664" s="25" t="s">
        <v>3748</v>
      </c>
      <c r="C1664" s="25" t="s">
        <v>3749</v>
      </c>
      <c r="D1664" s="26" t="n">
        <v>48</v>
      </c>
      <c r="E1664" s="27" t="n">
        <v>7.31875876262441</v>
      </c>
      <c r="F1664" s="27" t="n">
        <v>7.31875876262441</v>
      </c>
      <c r="G1664" s="25" t="s">
        <v>501</v>
      </c>
      <c r="H1664" s="25" t="s">
        <v>502</v>
      </c>
      <c r="I1664" s="25" t="n">
        <f aca="false">IFERROR(IF(INDEX(Documents!$C$5:$C$657,MATCH(H1664,Documents!$A$5:$A$657,0))="","",INDEX(Documents!$C$5:$C$657,MATCH(H1664,Documents!$A$5:$A$657,0))),"")</f>
        <v>2016</v>
      </c>
      <c r="J1664" s="25" t="str">
        <f aca="false">IFERROR(IF(INDEX(Documents!$D$5:$D$657,MATCH(H1664,Documents!$A$5:$A$657,0))="","",INDEX(Documents!$D$5:$D$657,MATCH(H1664,Documents!$A$5:$A$657,0))),"")</f>
        <v>Eur J Med Chem</v>
      </c>
      <c r="K1664" s="25" t="str">
        <f aca="false">IFERROR(IF(INDEX(Documents!$G$5:$G$657,MATCH(H1664,Documents!$A$5:$A$657,0))="","",INDEX(Documents!$G$5:$G$657,MATCH(H1664,Documents!$A$5:$A$657,0))),"")</f>
        <v>10.1016/j.ejmech.2016.02.032</v>
      </c>
      <c r="L1664" s="25" t="s">
        <v>503</v>
      </c>
    </row>
    <row r="1665" customFormat="false" ht="15" hidden="false" customHeight="false" outlineLevel="0" collapsed="false">
      <c r="A1665" s="25" t="n">
        <v>13299833</v>
      </c>
      <c r="B1665" s="25" t="s">
        <v>3750</v>
      </c>
      <c r="C1665" s="25" t="s">
        <v>3751</v>
      </c>
      <c r="D1665" s="26" t="n">
        <v>8.93</v>
      </c>
      <c r="E1665" s="27" t="n">
        <v>8.04914854111145</v>
      </c>
      <c r="F1665" s="27" t="n">
        <v>8.04914854111145</v>
      </c>
      <c r="G1665" s="25" t="s">
        <v>3589</v>
      </c>
      <c r="H1665" s="25" t="s">
        <v>3590</v>
      </c>
      <c r="I1665" s="25" t="n">
        <f aca="false">IFERROR(IF(INDEX(Documents!$C$5:$C$657,MATCH(H1665,Documents!$A$5:$A$657,0))="","",INDEX(Documents!$C$5:$C$657,MATCH(H1665,Documents!$A$5:$A$657,0))),"")</f>
        <v>2013</v>
      </c>
      <c r="J1665" s="25" t="str">
        <f aca="false">IFERROR(IF(INDEX(Documents!$D$5:$D$657,MATCH(H1665,Documents!$A$5:$A$657,0))="","",INDEX(Documents!$D$5:$D$657,MATCH(H1665,Documents!$A$5:$A$657,0))),"")</f>
        <v>J Med Chem</v>
      </c>
      <c r="K1665" s="25" t="str">
        <f aca="false">IFERROR(IF(INDEX(Documents!$G$5:$G$657,MATCH(H1665,Documents!$A$5:$A$657,0))="","",INDEX(Documents!$G$5:$G$657,MATCH(H1665,Documents!$A$5:$A$657,0))),"")</f>
        <v>10.1021/jm400182t</v>
      </c>
      <c r="L1665" s="25" t="s">
        <v>3591</v>
      </c>
    </row>
    <row r="1666" customFormat="false" ht="15" hidden="false" customHeight="false" outlineLevel="0" collapsed="false">
      <c r="A1666" s="25" t="n">
        <v>13299827</v>
      </c>
      <c r="B1666" s="25" t="s">
        <v>3752</v>
      </c>
      <c r="C1666" s="25" t="s">
        <v>3753</v>
      </c>
      <c r="D1666" s="26" t="n">
        <v>10.3</v>
      </c>
      <c r="E1666" s="27" t="n">
        <v>7.98716277529483</v>
      </c>
      <c r="F1666" s="27" t="n">
        <v>7.98716277529483</v>
      </c>
      <c r="G1666" s="25" t="s">
        <v>3589</v>
      </c>
      <c r="H1666" s="25" t="s">
        <v>3590</v>
      </c>
      <c r="I1666" s="25" t="n">
        <f aca="false">IFERROR(IF(INDEX(Documents!$C$5:$C$657,MATCH(H1666,Documents!$A$5:$A$657,0))="","",INDEX(Documents!$C$5:$C$657,MATCH(H1666,Documents!$A$5:$A$657,0))),"")</f>
        <v>2013</v>
      </c>
      <c r="J1666" s="25" t="str">
        <f aca="false">IFERROR(IF(INDEX(Documents!$D$5:$D$657,MATCH(H1666,Documents!$A$5:$A$657,0))="","",INDEX(Documents!$D$5:$D$657,MATCH(H1666,Documents!$A$5:$A$657,0))),"")</f>
        <v>J Med Chem</v>
      </c>
      <c r="K1666" s="25" t="str">
        <f aca="false">IFERROR(IF(INDEX(Documents!$G$5:$G$657,MATCH(H1666,Documents!$A$5:$A$657,0))="","",INDEX(Documents!$G$5:$G$657,MATCH(H1666,Documents!$A$5:$A$657,0))),"")</f>
        <v>10.1021/jm400182t</v>
      </c>
      <c r="L1666" s="25" t="s">
        <v>3591</v>
      </c>
    </row>
    <row r="1667" customFormat="false" ht="15" hidden="false" customHeight="false" outlineLevel="0" collapsed="false">
      <c r="A1667" s="25" t="n">
        <v>13299817</v>
      </c>
      <c r="B1667" s="25" t="s">
        <v>3754</v>
      </c>
      <c r="C1667" s="25" t="s">
        <v>3755</v>
      </c>
      <c r="D1667" s="26" t="n">
        <v>6.57</v>
      </c>
      <c r="E1667" s="27" t="n">
        <v>8.18243463044022</v>
      </c>
      <c r="F1667" s="27" t="n">
        <v>8.18243463044022</v>
      </c>
      <c r="G1667" s="25" t="s">
        <v>3589</v>
      </c>
      <c r="H1667" s="25" t="s">
        <v>3590</v>
      </c>
      <c r="I1667" s="25" t="n">
        <f aca="false">IFERROR(IF(INDEX(Documents!$C$5:$C$657,MATCH(H1667,Documents!$A$5:$A$657,0))="","",INDEX(Documents!$C$5:$C$657,MATCH(H1667,Documents!$A$5:$A$657,0))),"")</f>
        <v>2013</v>
      </c>
      <c r="J1667" s="25" t="str">
        <f aca="false">IFERROR(IF(INDEX(Documents!$D$5:$D$657,MATCH(H1667,Documents!$A$5:$A$657,0))="","",INDEX(Documents!$D$5:$D$657,MATCH(H1667,Documents!$A$5:$A$657,0))),"")</f>
        <v>J Med Chem</v>
      </c>
      <c r="K1667" s="25" t="str">
        <f aca="false">IFERROR(IF(INDEX(Documents!$G$5:$G$657,MATCH(H1667,Documents!$A$5:$A$657,0))="","",INDEX(Documents!$G$5:$G$657,MATCH(H1667,Documents!$A$5:$A$657,0))),"")</f>
        <v>10.1021/jm400182t</v>
      </c>
      <c r="L1667" s="25" t="s">
        <v>3591</v>
      </c>
    </row>
    <row r="1668" customFormat="false" ht="15" hidden="false" customHeight="false" outlineLevel="0" collapsed="false">
      <c r="A1668" s="25" t="n">
        <v>13299839</v>
      </c>
      <c r="B1668" s="25" t="s">
        <v>3756</v>
      </c>
      <c r="C1668" s="25" t="s">
        <v>3757</v>
      </c>
      <c r="D1668" s="26" t="n">
        <v>7.22</v>
      </c>
      <c r="E1668" s="27" t="n">
        <v>8.14146280243036</v>
      </c>
      <c r="F1668" s="27" t="n">
        <v>8.14146280243036</v>
      </c>
      <c r="G1668" s="25" t="s">
        <v>3589</v>
      </c>
      <c r="H1668" s="25" t="s">
        <v>3590</v>
      </c>
      <c r="I1668" s="25" t="n">
        <f aca="false">IFERROR(IF(INDEX(Documents!$C$5:$C$657,MATCH(H1668,Documents!$A$5:$A$657,0))="","",INDEX(Documents!$C$5:$C$657,MATCH(H1668,Documents!$A$5:$A$657,0))),"")</f>
        <v>2013</v>
      </c>
      <c r="J1668" s="25" t="str">
        <f aca="false">IFERROR(IF(INDEX(Documents!$D$5:$D$657,MATCH(H1668,Documents!$A$5:$A$657,0))="","",INDEX(Documents!$D$5:$D$657,MATCH(H1668,Documents!$A$5:$A$657,0))),"")</f>
        <v>J Med Chem</v>
      </c>
      <c r="K1668" s="25" t="str">
        <f aca="false">IFERROR(IF(INDEX(Documents!$G$5:$G$657,MATCH(H1668,Documents!$A$5:$A$657,0))="","",INDEX(Documents!$G$5:$G$657,MATCH(H1668,Documents!$A$5:$A$657,0))),"")</f>
        <v>10.1021/jm400182t</v>
      </c>
      <c r="L1668" s="25" t="s">
        <v>3591</v>
      </c>
    </row>
    <row r="1669" customFormat="false" ht="15" hidden="false" customHeight="false" outlineLevel="0" collapsed="false">
      <c r="A1669" s="25" t="n">
        <v>13299847</v>
      </c>
      <c r="B1669" s="25" t="s">
        <v>3758</v>
      </c>
      <c r="C1669" s="25" t="s">
        <v>3759</v>
      </c>
      <c r="D1669" s="26" t="n">
        <v>10.3</v>
      </c>
      <c r="E1669" s="27" t="n">
        <v>7.98716277529483</v>
      </c>
      <c r="F1669" s="27" t="n">
        <v>7.98716277529483</v>
      </c>
      <c r="G1669" s="25" t="s">
        <v>3589</v>
      </c>
      <c r="H1669" s="25" t="s">
        <v>3590</v>
      </c>
      <c r="I1669" s="25" t="n">
        <f aca="false">IFERROR(IF(INDEX(Documents!$C$5:$C$657,MATCH(H1669,Documents!$A$5:$A$657,0))="","",INDEX(Documents!$C$5:$C$657,MATCH(H1669,Documents!$A$5:$A$657,0))),"")</f>
        <v>2013</v>
      </c>
      <c r="J1669" s="25" t="str">
        <f aca="false">IFERROR(IF(INDEX(Documents!$D$5:$D$657,MATCH(H1669,Documents!$A$5:$A$657,0))="","",INDEX(Documents!$D$5:$D$657,MATCH(H1669,Documents!$A$5:$A$657,0))),"")</f>
        <v>J Med Chem</v>
      </c>
      <c r="K1669" s="25" t="str">
        <f aca="false">IFERROR(IF(INDEX(Documents!$G$5:$G$657,MATCH(H1669,Documents!$A$5:$A$657,0))="","",INDEX(Documents!$G$5:$G$657,MATCH(H1669,Documents!$A$5:$A$657,0))),"")</f>
        <v>10.1021/jm400182t</v>
      </c>
      <c r="L1669" s="25" t="s">
        <v>3591</v>
      </c>
    </row>
    <row r="1670" customFormat="false" ht="15" hidden="false" customHeight="false" outlineLevel="0" collapsed="false">
      <c r="A1670" s="25" t="n">
        <v>13299842</v>
      </c>
      <c r="B1670" s="25" t="s">
        <v>3760</v>
      </c>
      <c r="C1670" s="25" t="s">
        <v>3761</v>
      </c>
      <c r="D1670" s="26" t="n">
        <v>5.22</v>
      </c>
      <c r="E1670" s="27" t="n">
        <v>8.28232949699774</v>
      </c>
      <c r="F1670" s="27" t="n">
        <v>8.28232949699774</v>
      </c>
      <c r="G1670" s="25" t="s">
        <v>3589</v>
      </c>
      <c r="H1670" s="25" t="s">
        <v>3590</v>
      </c>
      <c r="I1670" s="25" t="n">
        <f aca="false">IFERROR(IF(INDEX(Documents!$C$5:$C$657,MATCH(H1670,Documents!$A$5:$A$657,0))="","",INDEX(Documents!$C$5:$C$657,MATCH(H1670,Documents!$A$5:$A$657,0))),"")</f>
        <v>2013</v>
      </c>
      <c r="J1670" s="25" t="str">
        <f aca="false">IFERROR(IF(INDEX(Documents!$D$5:$D$657,MATCH(H1670,Documents!$A$5:$A$657,0))="","",INDEX(Documents!$D$5:$D$657,MATCH(H1670,Documents!$A$5:$A$657,0))),"")</f>
        <v>J Med Chem</v>
      </c>
      <c r="K1670" s="25" t="str">
        <f aca="false">IFERROR(IF(INDEX(Documents!$G$5:$G$657,MATCH(H1670,Documents!$A$5:$A$657,0))="","",INDEX(Documents!$G$5:$G$657,MATCH(H1670,Documents!$A$5:$A$657,0))),"")</f>
        <v>10.1021/jm400182t</v>
      </c>
      <c r="L1670" s="25" t="s">
        <v>3591</v>
      </c>
    </row>
    <row r="1671" customFormat="false" ht="15" hidden="false" customHeight="false" outlineLevel="0" collapsed="false">
      <c r="A1671" s="25" t="n">
        <v>16495467</v>
      </c>
      <c r="B1671" s="25" t="s">
        <v>3762</v>
      </c>
      <c r="C1671" s="25" t="s">
        <v>3763</v>
      </c>
      <c r="D1671" s="26" t="n">
        <v>982</v>
      </c>
      <c r="E1671" s="27" t="n">
        <v>6.00788851221305</v>
      </c>
      <c r="F1671" s="27" t="n">
        <v>6.00788851221305</v>
      </c>
      <c r="G1671" s="25" t="s">
        <v>501</v>
      </c>
      <c r="H1671" s="25" t="s">
        <v>502</v>
      </c>
      <c r="I1671" s="25" t="n">
        <f aca="false">IFERROR(IF(INDEX(Documents!$C$5:$C$657,MATCH(H1671,Documents!$A$5:$A$657,0))="","",INDEX(Documents!$C$5:$C$657,MATCH(H1671,Documents!$A$5:$A$657,0))),"")</f>
        <v>2016</v>
      </c>
      <c r="J1671" s="25" t="str">
        <f aca="false">IFERROR(IF(INDEX(Documents!$D$5:$D$657,MATCH(H1671,Documents!$A$5:$A$657,0))="","",INDEX(Documents!$D$5:$D$657,MATCH(H1671,Documents!$A$5:$A$657,0))),"")</f>
        <v>Eur J Med Chem</v>
      </c>
      <c r="K1671" s="25" t="str">
        <f aca="false">IFERROR(IF(INDEX(Documents!$G$5:$G$657,MATCH(H1671,Documents!$A$5:$A$657,0))="","",INDEX(Documents!$G$5:$G$657,MATCH(H1671,Documents!$A$5:$A$657,0))),"")</f>
        <v>10.1016/j.ejmech.2016.02.032</v>
      </c>
      <c r="L1671" s="25" t="s">
        <v>503</v>
      </c>
    </row>
    <row r="1672" customFormat="false" ht="15" hidden="false" customHeight="false" outlineLevel="0" collapsed="false">
      <c r="A1672" s="25" t="n">
        <v>16495470</v>
      </c>
      <c r="B1672" s="25" t="s">
        <v>3764</v>
      </c>
      <c r="C1672" s="25" t="s">
        <v>3765</v>
      </c>
      <c r="D1672" s="26" t="n">
        <v>566</v>
      </c>
      <c r="E1672" s="27" t="n">
        <v>6.24718356881173</v>
      </c>
      <c r="F1672" s="27" t="n">
        <v>6.24718356881173</v>
      </c>
      <c r="G1672" s="25" t="s">
        <v>501</v>
      </c>
      <c r="H1672" s="25" t="s">
        <v>502</v>
      </c>
      <c r="I1672" s="25" t="n">
        <f aca="false">IFERROR(IF(INDEX(Documents!$C$5:$C$657,MATCH(H1672,Documents!$A$5:$A$657,0))="","",INDEX(Documents!$C$5:$C$657,MATCH(H1672,Documents!$A$5:$A$657,0))),"")</f>
        <v>2016</v>
      </c>
      <c r="J1672" s="25" t="str">
        <f aca="false">IFERROR(IF(INDEX(Documents!$D$5:$D$657,MATCH(H1672,Documents!$A$5:$A$657,0))="","",INDEX(Documents!$D$5:$D$657,MATCH(H1672,Documents!$A$5:$A$657,0))),"")</f>
        <v>Eur J Med Chem</v>
      </c>
      <c r="K1672" s="25" t="str">
        <f aca="false">IFERROR(IF(INDEX(Documents!$G$5:$G$657,MATCH(H1672,Documents!$A$5:$A$657,0))="","",INDEX(Documents!$G$5:$G$657,MATCH(H1672,Documents!$A$5:$A$657,0))),"")</f>
        <v>10.1016/j.ejmech.2016.02.032</v>
      </c>
      <c r="L1672" s="25" t="s">
        <v>503</v>
      </c>
    </row>
    <row r="1673" customFormat="false" ht="15" hidden="false" customHeight="false" outlineLevel="0" collapsed="false">
      <c r="A1673" s="25" t="n">
        <v>16495489</v>
      </c>
      <c r="B1673" s="25" t="s">
        <v>3766</v>
      </c>
      <c r="C1673" s="25" t="s">
        <v>3767</v>
      </c>
      <c r="D1673" s="26" t="n">
        <v>514</v>
      </c>
      <c r="E1673" s="27" t="n">
        <v>6.28903688100473</v>
      </c>
      <c r="F1673" s="27" t="n">
        <v>6.28903688100473</v>
      </c>
      <c r="G1673" s="25" t="s">
        <v>501</v>
      </c>
      <c r="H1673" s="25" t="s">
        <v>502</v>
      </c>
      <c r="I1673" s="25" t="n">
        <f aca="false">IFERROR(IF(INDEX(Documents!$C$5:$C$657,MATCH(H1673,Documents!$A$5:$A$657,0))="","",INDEX(Documents!$C$5:$C$657,MATCH(H1673,Documents!$A$5:$A$657,0))),"")</f>
        <v>2016</v>
      </c>
      <c r="J1673" s="25" t="str">
        <f aca="false">IFERROR(IF(INDEX(Documents!$D$5:$D$657,MATCH(H1673,Documents!$A$5:$A$657,0))="","",INDEX(Documents!$D$5:$D$657,MATCH(H1673,Documents!$A$5:$A$657,0))),"")</f>
        <v>Eur J Med Chem</v>
      </c>
      <c r="K1673" s="25" t="str">
        <f aca="false">IFERROR(IF(INDEX(Documents!$G$5:$G$657,MATCH(H1673,Documents!$A$5:$A$657,0))="","",INDEX(Documents!$G$5:$G$657,MATCH(H1673,Documents!$A$5:$A$657,0))),"")</f>
        <v>10.1016/j.ejmech.2016.02.032</v>
      </c>
      <c r="L1673" s="25" t="s">
        <v>503</v>
      </c>
    </row>
    <row r="1674" customFormat="false" ht="15" hidden="false" customHeight="false" outlineLevel="0" collapsed="false">
      <c r="A1674" s="25" t="n">
        <v>1993838</v>
      </c>
      <c r="B1674" s="25" t="s">
        <v>3768</v>
      </c>
      <c r="C1674" s="25" t="s">
        <v>3769</v>
      </c>
      <c r="D1674" s="26" t="n">
        <v>506</v>
      </c>
      <c r="E1674" s="27" t="n">
        <v>6.2958494831602</v>
      </c>
      <c r="F1674" s="27" t="n">
        <v>6.60653205642188</v>
      </c>
      <c r="G1674" s="25" t="s">
        <v>1527</v>
      </c>
      <c r="H1674" s="25" t="s">
        <v>1528</v>
      </c>
      <c r="I1674" s="25" t="n">
        <f aca="false">IFERROR(IF(INDEX(Documents!$C$5:$C$657,MATCH(H1674,Documents!$A$5:$A$657,0))="","",INDEX(Documents!$C$5:$C$657,MATCH(H1674,Documents!$A$5:$A$657,0))),"")</f>
        <v>2007</v>
      </c>
      <c r="J1674" s="25" t="str">
        <f aca="false">IFERROR(IF(INDEX(Documents!$D$5:$D$657,MATCH(H1674,Documents!$A$5:$A$657,0))="","",INDEX(Documents!$D$5:$D$657,MATCH(H1674,Documents!$A$5:$A$657,0))),"")</f>
        <v>J Med Chem</v>
      </c>
      <c r="K1674" s="25" t="str">
        <f aca="false">IFERROR(IF(INDEX(Documents!$G$5:$G$657,MATCH(H1674,Documents!$A$5:$A$657,0))="","",INDEX(Documents!$G$5:$G$657,MATCH(H1674,Documents!$A$5:$A$657,0))),"")</f>
        <v>10.1021/jm070387h</v>
      </c>
      <c r="L1674" s="25" t="s">
        <v>1529</v>
      </c>
    </row>
    <row r="1675" customFormat="false" ht="15" hidden="false" customHeight="false" outlineLevel="0" collapsed="false">
      <c r="A1675" s="25" t="n">
        <v>1993837</v>
      </c>
      <c r="B1675" s="25" t="s">
        <v>3768</v>
      </c>
      <c r="C1675" s="25" t="s">
        <v>3769</v>
      </c>
      <c r="D1675" s="26" t="n">
        <v>121</v>
      </c>
      <c r="E1675" s="27" t="n">
        <v>6.91721462968355</v>
      </c>
      <c r="F1675" s="27" t="n">
        <v>6.60653205642188</v>
      </c>
      <c r="G1675" s="25" t="s">
        <v>1527</v>
      </c>
      <c r="H1675" s="25" t="s">
        <v>1528</v>
      </c>
      <c r="I1675" s="25" t="n">
        <f aca="false">IFERROR(IF(INDEX(Documents!$C$5:$C$657,MATCH(H1675,Documents!$A$5:$A$657,0))="","",INDEX(Documents!$C$5:$C$657,MATCH(H1675,Documents!$A$5:$A$657,0))),"")</f>
        <v>2007</v>
      </c>
      <c r="J1675" s="25" t="str">
        <f aca="false">IFERROR(IF(INDEX(Documents!$D$5:$D$657,MATCH(H1675,Documents!$A$5:$A$657,0))="","",INDEX(Documents!$D$5:$D$657,MATCH(H1675,Documents!$A$5:$A$657,0))),"")</f>
        <v>J Med Chem</v>
      </c>
      <c r="K1675" s="25" t="str">
        <f aca="false">IFERROR(IF(INDEX(Documents!$G$5:$G$657,MATCH(H1675,Documents!$A$5:$A$657,0))="","",INDEX(Documents!$G$5:$G$657,MATCH(H1675,Documents!$A$5:$A$657,0))),"")</f>
        <v>10.1021/jm070387h</v>
      </c>
      <c r="L1675" s="25" t="s">
        <v>1529</v>
      </c>
    </row>
    <row r="1676" customFormat="false" ht="15" hidden="false" customHeight="false" outlineLevel="0" collapsed="false">
      <c r="A1676" s="25" t="n">
        <v>12052768</v>
      </c>
      <c r="B1676" s="25" t="s">
        <v>3770</v>
      </c>
      <c r="C1676" s="25" t="s">
        <v>3771</v>
      </c>
      <c r="D1676" s="26" t="n">
        <v>89.1</v>
      </c>
      <c r="E1676" s="27" t="n">
        <v>7.05012229596313</v>
      </c>
      <c r="F1676" s="27" t="n">
        <v>7.05012229596313</v>
      </c>
      <c r="G1676" s="25" t="s">
        <v>587</v>
      </c>
      <c r="H1676" s="25" t="s">
        <v>588</v>
      </c>
      <c r="I1676" s="25" t="n">
        <f aca="false">IFERROR(IF(INDEX(Documents!$C$5:$C$657,MATCH(H1676,Documents!$A$5:$A$657,0))="","",INDEX(Documents!$C$5:$C$657,MATCH(H1676,Documents!$A$5:$A$657,0))),"")</f>
        <v>2012</v>
      </c>
      <c r="J1676" s="25" t="str">
        <f aca="false">IFERROR(IF(INDEX(Documents!$D$5:$D$657,MATCH(H1676,Documents!$A$5:$A$657,0))="","",INDEX(Documents!$D$5:$D$657,MATCH(H1676,Documents!$A$5:$A$657,0))),"")</f>
        <v>Eur J Med Chem</v>
      </c>
      <c r="K1676" s="25" t="str">
        <f aca="false">IFERROR(IF(INDEX(Documents!$G$5:$G$657,MATCH(H1676,Documents!$A$5:$A$657,0))="","",INDEX(Documents!$G$5:$G$657,MATCH(H1676,Documents!$A$5:$A$657,0))),"")</f>
        <v>10.1016/j.ejmech.2012.09.035</v>
      </c>
      <c r="L1676" s="25" t="s">
        <v>589</v>
      </c>
    </row>
    <row r="1677" customFormat="false" ht="15" hidden="false" customHeight="false" outlineLevel="0" collapsed="false">
      <c r="A1677" s="25" t="n">
        <v>5124679</v>
      </c>
      <c r="B1677" s="25" t="s">
        <v>3772</v>
      </c>
      <c r="C1677" s="25" t="s">
        <v>3773</v>
      </c>
      <c r="D1677" s="26" t="n">
        <v>6.6</v>
      </c>
      <c r="E1677" s="27" t="n">
        <v>8.18045606445813</v>
      </c>
      <c r="F1677" s="27" t="n">
        <v>8.18045606445813</v>
      </c>
      <c r="G1677" s="25" t="s">
        <v>1948</v>
      </c>
      <c r="H1677" s="25" t="s">
        <v>1949</v>
      </c>
      <c r="I1677" s="25" t="n">
        <f aca="false">IFERROR(IF(INDEX(Documents!$C$5:$C$657,MATCH(H1677,Documents!$A$5:$A$657,0))="","",INDEX(Documents!$C$5:$C$657,MATCH(H1677,Documents!$A$5:$A$657,0))),"")</f>
        <v>2010</v>
      </c>
      <c r="J1677" s="25" t="str">
        <f aca="false">IFERROR(IF(INDEX(Documents!$D$5:$D$657,MATCH(H1677,Documents!$A$5:$A$657,0))="","",INDEX(Documents!$D$5:$D$657,MATCH(H1677,Documents!$A$5:$A$657,0))),"")</f>
        <v>J Med Chem</v>
      </c>
      <c r="K1677" s="25" t="str">
        <f aca="false">IFERROR(IF(INDEX(Documents!$G$5:$G$657,MATCH(H1677,Documents!$A$5:$A$657,0))="","",INDEX(Documents!$G$5:$G$657,MATCH(H1677,Documents!$A$5:$A$657,0))),"")</f>
        <v>10.1021/jm100286k</v>
      </c>
      <c r="L1677" s="25" t="s">
        <v>1950</v>
      </c>
    </row>
    <row r="1678" customFormat="false" ht="15" hidden="false" customHeight="false" outlineLevel="0" collapsed="false">
      <c r="A1678" s="25" t="n">
        <v>1993865</v>
      </c>
      <c r="B1678" s="25" t="s">
        <v>3774</v>
      </c>
      <c r="C1678" s="25" t="s">
        <v>3775</v>
      </c>
      <c r="D1678" s="26" t="n">
        <v>50.6</v>
      </c>
      <c r="E1678" s="27" t="n">
        <v>7.2958494831602</v>
      </c>
      <c r="F1678" s="27" t="n">
        <v>7.48069786600463</v>
      </c>
      <c r="G1678" s="25" t="s">
        <v>1527</v>
      </c>
      <c r="H1678" s="25" t="s">
        <v>1528</v>
      </c>
      <c r="I1678" s="25" t="n">
        <f aca="false">IFERROR(IF(INDEX(Documents!$C$5:$C$657,MATCH(H1678,Documents!$A$5:$A$657,0))="","",INDEX(Documents!$C$5:$C$657,MATCH(H1678,Documents!$A$5:$A$657,0))),"")</f>
        <v>2007</v>
      </c>
      <c r="J1678" s="25" t="str">
        <f aca="false">IFERROR(IF(INDEX(Documents!$D$5:$D$657,MATCH(H1678,Documents!$A$5:$A$657,0))="","",INDEX(Documents!$D$5:$D$657,MATCH(H1678,Documents!$A$5:$A$657,0))),"")</f>
        <v>J Med Chem</v>
      </c>
      <c r="K1678" s="25" t="str">
        <f aca="false">IFERROR(IF(INDEX(Documents!$G$5:$G$657,MATCH(H1678,Documents!$A$5:$A$657,0))="","",INDEX(Documents!$G$5:$G$657,MATCH(H1678,Documents!$A$5:$A$657,0))),"")</f>
        <v>10.1021/jm070387h</v>
      </c>
      <c r="L1678" s="25" t="s">
        <v>1529</v>
      </c>
    </row>
    <row r="1679" customFormat="false" ht="15" hidden="false" customHeight="false" outlineLevel="0" collapsed="false">
      <c r="A1679" s="25" t="n">
        <v>15233384</v>
      </c>
      <c r="B1679" s="25" t="s">
        <v>3774</v>
      </c>
      <c r="C1679" s="25" t="s">
        <v>3775</v>
      </c>
      <c r="D1679" s="26" t="n">
        <v>21.6</v>
      </c>
      <c r="E1679" s="27" t="n">
        <v>7.66554624884907</v>
      </c>
      <c r="F1679" s="27" t="n">
        <v>7.48069786600463</v>
      </c>
      <c r="G1679" s="25" t="s">
        <v>2818</v>
      </c>
      <c r="H1679" s="25" t="s">
        <v>2819</v>
      </c>
      <c r="I1679" s="25" t="n">
        <f aca="false">IFERROR(IF(INDEX(Documents!$C$5:$C$657,MATCH(H1679,Documents!$A$5:$A$657,0))="","",INDEX(Documents!$C$5:$C$657,MATCH(H1679,Documents!$A$5:$A$657,0))),"")</f>
        <v>2015</v>
      </c>
      <c r="J1679" s="25" t="str">
        <f aca="false">IFERROR(IF(INDEX(Documents!$D$5:$D$657,MATCH(H1679,Documents!$A$5:$A$657,0))="","",INDEX(Documents!$D$5:$D$657,MATCH(H1679,Documents!$A$5:$A$657,0))),"")</f>
        <v>ACS Med Chem Lett</v>
      </c>
      <c r="K1679" s="25" t="str">
        <f aca="false">IFERROR(IF(INDEX(Documents!$G$5:$G$657,MATCH(H1679,Documents!$A$5:$A$657,0))="","",INDEX(Documents!$G$5:$G$657,MATCH(H1679,Documents!$A$5:$A$657,0))),"")</f>
        <v>10.1021/ml500439x</v>
      </c>
      <c r="L1679" s="25" t="s">
        <v>2820</v>
      </c>
    </row>
    <row r="1680" customFormat="false" ht="15" hidden="false" customHeight="false" outlineLevel="0" collapsed="false">
      <c r="A1680" s="25" t="n">
        <v>5124678</v>
      </c>
      <c r="B1680" s="25" t="s">
        <v>3776</v>
      </c>
      <c r="C1680" s="25" t="s">
        <v>3777</v>
      </c>
      <c r="D1680" s="26" t="n">
        <v>23.3</v>
      </c>
      <c r="E1680" s="27" t="n">
        <v>7.63264407897398</v>
      </c>
      <c r="F1680" s="27" t="n">
        <v>7.63264407897398</v>
      </c>
      <c r="G1680" s="25" t="s">
        <v>1948</v>
      </c>
      <c r="H1680" s="25" t="s">
        <v>1949</v>
      </c>
      <c r="I1680" s="25" t="n">
        <f aca="false">IFERROR(IF(INDEX(Documents!$C$5:$C$657,MATCH(H1680,Documents!$A$5:$A$657,0))="","",INDEX(Documents!$C$5:$C$657,MATCH(H1680,Documents!$A$5:$A$657,0))),"")</f>
        <v>2010</v>
      </c>
      <c r="J1680" s="25" t="str">
        <f aca="false">IFERROR(IF(INDEX(Documents!$D$5:$D$657,MATCH(H1680,Documents!$A$5:$A$657,0))="","",INDEX(Documents!$D$5:$D$657,MATCH(H1680,Documents!$A$5:$A$657,0))),"")</f>
        <v>J Med Chem</v>
      </c>
      <c r="K1680" s="25" t="str">
        <f aca="false">IFERROR(IF(INDEX(Documents!$G$5:$G$657,MATCH(H1680,Documents!$A$5:$A$657,0))="","",INDEX(Documents!$G$5:$G$657,MATCH(H1680,Documents!$A$5:$A$657,0))),"")</f>
        <v>10.1021/jm100286k</v>
      </c>
      <c r="L1680" s="25" t="s">
        <v>1950</v>
      </c>
    </row>
    <row r="1681" customFormat="false" ht="15" hidden="false" customHeight="false" outlineLevel="0" collapsed="false">
      <c r="A1681" s="25" t="n">
        <v>12116574</v>
      </c>
      <c r="B1681" s="25" t="s">
        <v>3778</v>
      </c>
      <c r="C1681" s="25" t="s">
        <v>3779</v>
      </c>
      <c r="D1681" s="26" t="n">
        <v>15.2</v>
      </c>
      <c r="E1681" s="27" t="n">
        <v>7.81815641205523</v>
      </c>
      <c r="F1681" s="27" t="n">
        <v>7.81815641205523</v>
      </c>
      <c r="G1681" s="25" t="s">
        <v>3415</v>
      </c>
      <c r="H1681" s="25" t="s">
        <v>3416</v>
      </c>
      <c r="I1681" s="25" t="n">
        <f aca="false">IFERROR(IF(INDEX(Documents!$C$5:$C$657,MATCH(H1681,Documents!$A$5:$A$657,0))="","",INDEX(Documents!$C$5:$C$657,MATCH(H1681,Documents!$A$5:$A$657,0))),"")</f>
        <v>2012</v>
      </c>
      <c r="J1681" s="25" t="str">
        <f aca="false">IFERROR(IF(INDEX(Documents!$D$5:$D$657,MATCH(H1681,Documents!$A$5:$A$657,0))="","",INDEX(Documents!$D$5:$D$657,MATCH(H1681,Documents!$A$5:$A$657,0))),"")</f>
        <v>J Med Chem</v>
      </c>
      <c r="K1681" s="25" t="str">
        <f aca="false">IFERROR(IF(INDEX(Documents!$G$5:$G$657,MATCH(H1681,Documents!$A$5:$A$657,0))="","",INDEX(Documents!$G$5:$G$657,MATCH(H1681,Documents!$A$5:$A$657,0))),"")</f>
        <v>10.1021/jm3008568</v>
      </c>
      <c r="L1681" s="25" t="s">
        <v>3417</v>
      </c>
    </row>
    <row r="1682" customFormat="false" ht="15" hidden="false" customHeight="false" outlineLevel="0" collapsed="false">
      <c r="A1682" s="25" t="n">
        <v>12116579</v>
      </c>
      <c r="B1682" s="25" t="s">
        <v>3780</v>
      </c>
      <c r="C1682" s="25" t="s">
        <v>3781</v>
      </c>
      <c r="D1682" s="26" t="n">
        <v>10.2</v>
      </c>
      <c r="E1682" s="27" t="n">
        <v>7.99139982823808</v>
      </c>
      <c r="F1682" s="27" t="n">
        <v>7.99139982823808</v>
      </c>
      <c r="G1682" s="25" t="s">
        <v>3415</v>
      </c>
      <c r="H1682" s="25" t="s">
        <v>3416</v>
      </c>
      <c r="I1682" s="25" t="n">
        <f aca="false">IFERROR(IF(INDEX(Documents!$C$5:$C$657,MATCH(H1682,Documents!$A$5:$A$657,0))="","",INDEX(Documents!$C$5:$C$657,MATCH(H1682,Documents!$A$5:$A$657,0))),"")</f>
        <v>2012</v>
      </c>
      <c r="J1682" s="25" t="str">
        <f aca="false">IFERROR(IF(INDEX(Documents!$D$5:$D$657,MATCH(H1682,Documents!$A$5:$A$657,0))="","",INDEX(Documents!$D$5:$D$657,MATCH(H1682,Documents!$A$5:$A$657,0))),"")</f>
        <v>J Med Chem</v>
      </c>
      <c r="K1682" s="25" t="str">
        <f aca="false">IFERROR(IF(INDEX(Documents!$G$5:$G$657,MATCH(H1682,Documents!$A$5:$A$657,0))="","",INDEX(Documents!$G$5:$G$657,MATCH(H1682,Documents!$A$5:$A$657,0))),"")</f>
        <v>10.1021/jm3008568</v>
      </c>
      <c r="L1682" s="25" t="s">
        <v>3417</v>
      </c>
    </row>
    <row r="1683" customFormat="false" ht="15" hidden="false" customHeight="false" outlineLevel="0" collapsed="false">
      <c r="A1683" s="25" t="n">
        <v>12116576</v>
      </c>
      <c r="B1683" s="25" t="s">
        <v>3782</v>
      </c>
      <c r="C1683" s="25" t="s">
        <v>3783</v>
      </c>
      <c r="D1683" s="26" t="n">
        <v>14.1</v>
      </c>
      <c r="E1683" s="27" t="n">
        <v>7.85078088734462</v>
      </c>
      <c r="F1683" s="27" t="n">
        <v>7.85078088734462</v>
      </c>
      <c r="G1683" s="25" t="s">
        <v>3415</v>
      </c>
      <c r="H1683" s="25" t="s">
        <v>3416</v>
      </c>
      <c r="I1683" s="25" t="n">
        <f aca="false">IFERROR(IF(INDEX(Documents!$C$5:$C$657,MATCH(H1683,Documents!$A$5:$A$657,0))="","",INDEX(Documents!$C$5:$C$657,MATCH(H1683,Documents!$A$5:$A$657,0))),"")</f>
        <v>2012</v>
      </c>
      <c r="J1683" s="25" t="str">
        <f aca="false">IFERROR(IF(INDEX(Documents!$D$5:$D$657,MATCH(H1683,Documents!$A$5:$A$657,0))="","",INDEX(Documents!$D$5:$D$657,MATCH(H1683,Documents!$A$5:$A$657,0))),"")</f>
        <v>J Med Chem</v>
      </c>
      <c r="K1683" s="25" t="str">
        <f aca="false">IFERROR(IF(INDEX(Documents!$G$5:$G$657,MATCH(H1683,Documents!$A$5:$A$657,0))="","",INDEX(Documents!$G$5:$G$657,MATCH(H1683,Documents!$A$5:$A$657,0))),"")</f>
        <v>10.1021/jm3008568</v>
      </c>
      <c r="L1683" s="25" t="s">
        <v>3417</v>
      </c>
    </row>
    <row r="1684" customFormat="false" ht="15" hidden="false" customHeight="false" outlineLevel="0" collapsed="false">
      <c r="A1684" s="25" t="n">
        <v>12619636</v>
      </c>
      <c r="B1684" s="25" t="s">
        <v>3784</v>
      </c>
      <c r="C1684" s="25" t="s">
        <v>3785</v>
      </c>
      <c r="D1684" s="26" t="n">
        <v>372</v>
      </c>
      <c r="E1684" s="27" t="n">
        <v>6.4294570601181</v>
      </c>
      <c r="F1684" s="27" t="n">
        <v>6.4294570601181</v>
      </c>
      <c r="G1684" s="25" t="s">
        <v>2805</v>
      </c>
      <c r="H1684" s="25" t="s">
        <v>2806</v>
      </c>
      <c r="I1684" s="25" t="n">
        <f aca="false">IFERROR(IF(INDEX(Documents!$C$5:$C$657,MATCH(H1684,Documents!$A$5:$A$657,0))="","",INDEX(Documents!$C$5:$C$657,MATCH(H1684,Documents!$A$5:$A$657,0))),"")</f>
        <v>2013</v>
      </c>
      <c r="J1684" s="25" t="str">
        <f aca="false">IFERROR(IF(INDEX(Documents!$D$5:$D$657,MATCH(H1684,Documents!$A$5:$A$657,0))="","",INDEX(Documents!$D$5:$D$657,MATCH(H1684,Documents!$A$5:$A$657,0))),"")</f>
        <v>J Med Chem</v>
      </c>
      <c r="K1684" s="25" t="str">
        <f aca="false">IFERROR(IF(INDEX(Documents!$G$5:$G$657,MATCH(H1684,Documents!$A$5:$A$657,0))="","",INDEX(Documents!$G$5:$G$657,MATCH(H1684,Documents!$A$5:$A$657,0))),"")</f>
        <v>10.1021/jm301527r</v>
      </c>
      <c r="L1684" s="25" t="s">
        <v>2807</v>
      </c>
    </row>
    <row r="1685" customFormat="false" ht="15" hidden="false" customHeight="false" outlineLevel="0" collapsed="false">
      <c r="A1685" s="25" t="n">
        <v>12052771</v>
      </c>
      <c r="B1685" s="25" t="s">
        <v>3786</v>
      </c>
      <c r="C1685" s="25" t="s">
        <v>3787</v>
      </c>
      <c r="D1685" s="26" t="n">
        <v>118.7</v>
      </c>
      <c r="E1685" s="27" t="n">
        <v>6.92554928104541</v>
      </c>
      <c r="F1685" s="27" t="n">
        <v>6.92554928104541</v>
      </c>
      <c r="G1685" s="25" t="s">
        <v>587</v>
      </c>
      <c r="H1685" s="25" t="s">
        <v>588</v>
      </c>
      <c r="I1685" s="25" t="n">
        <f aca="false">IFERROR(IF(INDEX(Documents!$C$5:$C$657,MATCH(H1685,Documents!$A$5:$A$657,0))="","",INDEX(Documents!$C$5:$C$657,MATCH(H1685,Documents!$A$5:$A$657,0))),"")</f>
        <v>2012</v>
      </c>
      <c r="J1685" s="25" t="str">
        <f aca="false">IFERROR(IF(INDEX(Documents!$D$5:$D$657,MATCH(H1685,Documents!$A$5:$A$657,0))="","",INDEX(Documents!$D$5:$D$657,MATCH(H1685,Documents!$A$5:$A$657,0))),"")</f>
        <v>Eur J Med Chem</v>
      </c>
      <c r="K1685" s="25" t="str">
        <f aca="false">IFERROR(IF(INDEX(Documents!$G$5:$G$657,MATCH(H1685,Documents!$A$5:$A$657,0))="","",INDEX(Documents!$G$5:$G$657,MATCH(H1685,Documents!$A$5:$A$657,0))),"")</f>
        <v>10.1016/j.ejmech.2012.09.035</v>
      </c>
      <c r="L1685" s="25" t="s">
        <v>589</v>
      </c>
    </row>
    <row r="1686" customFormat="false" ht="15" hidden="false" customHeight="false" outlineLevel="0" collapsed="false">
      <c r="A1686" s="25" t="n">
        <v>1667532</v>
      </c>
      <c r="B1686" s="25" t="s">
        <v>3788</v>
      </c>
      <c r="C1686" s="25" t="s">
        <v>3789</v>
      </c>
      <c r="D1686" s="26" t="n">
        <v>426</v>
      </c>
      <c r="E1686" s="27" t="n">
        <v>6.37059040089728</v>
      </c>
      <c r="F1686" s="27" t="n">
        <v>6.37059040089728</v>
      </c>
      <c r="G1686" s="25" t="s">
        <v>1538</v>
      </c>
      <c r="H1686" s="25" t="s">
        <v>1539</v>
      </c>
      <c r="I1686" s="25" t="n">
        <f aca="false">IFERROR(IF(INDEX(Documents!$C$5:$C$657,MATCH(H1686,Documents!$A$5:$A$657,0))="","",INDEX(Documents!$C$5:$C$657,MATCH(H1686,Documents!$A$5:$A$657,0))),"")</f>
        <v>2006</v>
      </c>
      <c r="J1686" s="25" t="str">
        <f aca="false">IFERROR(IF(INDEX(Documents!$D$5:$D$657,MATCH(H1686,Documents!$A$5:$A$657,0))="","",INDEX(Documents!$D$5:$D$657,MATCH(H1686,Documents!$A$5:$A$657,0))),"")</f>
        <v>J Med Chem</v>
      </c>
      <c r="K1686" s="25" t="str">
        <f aca="false">IFERROR(IF(INDEX(Documents!$G$5:$G$657,MATCH(H1686,Documents!$A$5:$A$657,0))="","",INDEX(Documents!$G$5:$G$657,MATCH(H1686,Documents!$A$5:$A$657,0))),"")</f>
        <v>10.1021/jm050467q</v>
      </c>
      <c r="L1686" s="25" t="s">
        <v>775</v>
      </c>
    </row>
    <row r="1687" customFormat="false" ht="15" hidden="false" customHeight="false" outlineLevel="0" collapsed="false">
      <c r="A1687" s="25" t="n">
        <v>1667536</v>
      </c>
      <c r="B1687" s="25" t="s">
        <v>3790</v>
      </c>
      <c r="C1687" s="25" t="s">
        <v>3791</v>
      </c>
      <c r="D1687" s="26" t="n">
        <v>201</v>
      </c>
      <c r="E1687" s="27" t="n">
        <v>6.69680394257951</v>
      </c>
      <c r="F1687" s="27" t="n">
        <v>6.69680394257951</v>
      </c>
      <c r="G1687" s="25" t="s">
        <v>1538</v>
      </c>
      <c r="H1687" s="25" t="s">
        <v>1539</v>
      </c>
      <c r="I1687" s="25" t="n">
        <f aca="false">IFERROR(IF(INDEX(Documents!$C$5:$C$657,MATCH(H1687,Documents!$A$5:$A$657,0))="","",INDEX(Documents!$C$5:$C$657,MATCH(H1687,Documents!$A$5:$A$657,0))),"")</f>
        <v>2006</v>
      </c>
      <c r="J1687" s="25" t="str">
        <f aca="false">IFERROR(IF(INDEX(Documents!$D$5:$D$657,MATCH(H1687,Documents!$A$5:$A$657,0))="","",INDEX(Documents!$D$5:$D$657,MATCH(H1687,Documents!$A$5:$A$657,0))),"")</f>
        <v>J Med Chem</v>
      </c>
      <c r="K1687" s="25" t="str">
        <f aca="false">IFERROR(IF(INDEX(Documents!$G$5:$G$657,MATCH(H1687,Documents!$A$5:$A$657,0))="","",INDEX(Documents!$G$5:$G$657,MATCH(H1687,Documents!$A$5:$A$657,0))),"")</f>
        <v>10.1021/jm050467q</v>
      </c>
      <c r="L1687" s="25" t="s">
        <v>775</v>
      </c>
    </row>
    <row r="1688" customFormat="false" ht="15" hidden="false" customHeight="false" outlineLevel="0" collapsed="false">
      <c r="A1688" s="25" t="n">
        <v>12052763</v>
      </c>
      <c r="B1688" s="25" t="s">
        <v>3792</v>
      </c>
      <c r="C1688" s="25" t="s">
        <v>3793</v>
      </c>
      <c r="D1688" s="26" t="n">
        <v>130</v>
      </c>
      <c r="E1688" s="27" t="n">
        <v>6.88605664769316</v>
      </c>
      <c r="F1688" s="27" t="n">
        <v>6.88605664769316</v>
      </c>
      <c r="G1688" s="25" t="s">
        <v>587</v>
      </c>
      <c r="H1688" s="25" t="s">
        <v>588</v>
      </c>
      <c r="I1688" s="25" t="n">
        <f aca="false">IFERROR(IF(INDEX(Documents!$C$5:$C$657,MATCH(H1688,Documents!$A$5:$A$657,0))="","",INDEX(Documents!$C$5:$C$657,MATCH(H1688,Documents!$A$5:$A$657,0))),"")</f>
        <v>2012</v>
      </c>
      <c r="J1688" s="25" t="str">
        <f aca="false">IFERROR(IF(INDEX(Documents!$D$5:$D$657,MATCH(H1688,Documents!$A$5:$A$657,0))="","",INDEX(Documents!$D$5:$D$657,MATCH(H1688,Documents!$A$5:$A$657,0))),"")</f>
        <v>Eur J Med Chem</v>
      </c>
      <c r="K1688" s="25" t="str">
        <f aca="false">IFERROR(IF(INDEX(Documents!$G$5:$G$657,MATCH(H1688,Documents!$A$5:$A$657,0))="","",INDEX(Documents!$G$5:$G$657,MATCH(H1688,Documents!$A$5:$A$657,0))),"")</f>
        <v>10.1016/j.ejmech.2012.09.035</v>
      </c>
      <c r="L1688" s="25" t="s">
        <v>589</v>
      </c>
    </row>
    <row r="1689" customFormat="false" ht="15" hidden="false" customHeight="false" outlineLevel="0" collapsed="false">
      <c r="A1689" s="25" t="n">
        <v>12619626</v>
      </c>
      <c r="B1689" s="25" t="s">
        <v>3794</v>
      </c>
      <c r="C1689" s="25" t="s">
        <v>3795</v>
      </c>
      <c r="D1689" s="26" t="n">
        <v>3652</v>
      </c>
      <c r="E1689" s="27" t="n">
        <v>5.43746923113774</v>
      </c>
      <c r="F1689" s="27" t="n">
        <v>5.43746923113774</v>
      </c>
      <c r="G1689" s="25" t="s">
        <v>2805</v>
      </c>
      <c r="H1689" s="25" t="s">
        <v>2806</v>
      </c>
      <c r="I1689" s="25" t="n">
        <f aca="false">IFERROR(IF(INDEX(Documents!$C$5:$C$657,MATCH(H1689,Documents!$A$5:$A$657,0))="","",INDEX(Documents!$C$5:$C$657,MATCH(H1689,Documents!$A$5:$A$657,0))),"")</f>
        <v>2013</v>
      </c>
      <c r="J1689" s="25" t="str">
        <f aca="false">IFERROR(IF(INDEX(Documents!$D$5:$D$657,MATCH(H1689,Documents!$A$5:$A$657,0))="","",INDEX(Documents!$D$5:$D$657,MATCH(H1689,Documents!$A$5:$A$657,0))),"")</f>
        <v>J Med Chem</v>
      </c>
      <c r="K1689" s="25" t="str">
        <f aca="false">IFERROR(IF(INDEX(Documents!$G$5:$G$657,MATCH(H1689,Documents!$A$5:$A$657,0))="","",INDEX(Documents!$G$5:$G$657,MATCH(H1689,Documents!$A$5:$A$657,0))),"")</f>
        <v>10.1021/jm301527r</v>
      </c>
      <c r="L1689" s="25" t="s">
        <v>2807</v>
      </c>
    </row>
    <row r="1690" customFormat="false" ht="15" hidden="false" customHeight="false" outlineLevel="0" collapsed="false">
      <c r="A1690" s="25" t="n">
        <v>13299845</v>
      </c>
      <c r="B1690" s="25" t="s">
        <v>3796</v>
      </c>
      <c r="C1690" s="25" t="s">
        <v>3797</v>
      </c>
      <c r="D1690" s="26" t="n">
        <v>358</v>
      </c>
      <c r="E1690" s="27" t="n">
        <v>6.44611697335613</v>
      </c>
      <c r="F1690" s="27" t="n">
        <v>6.44611697335613</v>
      </c>
      <c r="G1690" s="25" t="s">
        <v>3589</v>
      </c>
      <c r="H1690" s="25" t="s">
        <v>3590</v>
      </c>
      <c r="I1690" s="25" t="n">
        <f aca="false">IFERROR(IF(INDEX(Documents!$C$5:$C$657,MATCH(H1690,Documents!$A$5:$A$657,0))="","",INDEX(Documents!$C$5:$C$657,MATCH(H1690,Documents!$A$5:$A$657,0))),"")</f>
        <v>2013</v>
      </c>
      <c r="J1690" s="25" t="str">
        <f aca="false">IFERROR(IF(INDEX(Documents!$D$5:$D$657,MATCH(H1690,Documents!$A$5:$A$657,0))="","",INDEX(Documents!$D$5:$D$657,MATCH(H1690,Documents!$A$5:$A$657,0))),"")</f>
        <v>J Med Chem</v>
      </c>
      <c r="K1690" s="25" t="str">
        <f aca="false">IFERROR(IF(INDEX(Documents!$G$5:$G$657,MATCH(H1690,Documents!$A$5:$A$657,0))="","",INDEX(Documents!$G$5:$G$657,MATCH(H1690,Documents!$A$5:$A$657,0))),"")</f>
        <v>10.1021/jm400182t</v>
      </c>
      <c r="L1690" s="25" t="s">
        <v>3591</v>
      </c>
    </row>
    <row r="1691" customFormat="false" ht="15" hidden="false" customHeight="false" outlineLevel="0" collapsed="false">
      <c r="A1691" s="25" t="n">
        <v>12052765</v>
      </c>
      <c r="B1691" s="25" t="s">
        <v>3798</v>
      </c>
      <c r="C1691" s="25" t="s">
        <v>3799</v>
      </c>
      <c r="D1691" s="26" t="n">
        <v>77.5</v>
      </c>
      <c r="E1691" s="27" t="n">
        <v>7.11069829749369</v>
      </c>
      <c r="F1691" s="27" t="n">
        <v>7.11069829749369</v>
      </c>
      <c r="G1691" s="25" t="s">
        <v>587</v>
      </c>
      <c r="H1691" s="25" t="s">
        <v>588</v>
      </c>
      <c r="I1691" s="25" t="n">
        <f aca="false">IFERROR(IF(INDEX(Documents!$C$5:$C$657,MATCH(H1691,Documents!$A$5:$A$657,0))="","",INDEX(Documents!$C$5:$C$657,MATCH(H1691,Documents!$A$5:$A$657,0))),"")</f>
        <v>2012</v>
      </c>
      <c r="J1691" s="25" t="str">
        <f aca="false">IFERROR(IF(INDEX(Documents!$D$5:$D$657,MATCH(H1691,Documents!$A$5:$A$657,0))="","",INDEX(Documents!$D$5:$D$657,MATCH(H1691,Documents!$A$5:$A$657,0))),"")</f>
        <v>Eur J Med Chem</v>
      </c>
      <c r="K1691" s="25" t="str">
        <f aca="false">IFERROR(IF(INDEX(Documents!$G$5:$G$657,MATCH(H1691,Documents!$A$5:$A$657,0))="","",INDEX(Documents!$G$5:$G$657,MATCH(H1691,Documents!$A$5:$A$657,0))),"")</f>
        <v>10.1016/j.ejmech.2012.09.035</v>
      </c>
      <c r="L1691" s="25" t="s">
        <v>589</v>
      </c>
    </row>
    <row r="1692" customFormat="false" ht="15" hidden="false" customHeight="false" outlineLevel="0" collapsed="false">
      <c r="A1692" s="25" t="n">
        <v>3398987</v>
      </c>
      <c r="B1692" s="25" t="s">
        <v>3800</v>
      </c>
      <c r="C1692" s="25" t="s">
        <v>3801</v>
      </c>
      <c r="D1692" s="26" t="n">
        <v>400</v>
      </c>
      <c r="E1692" s="27" t="n">
        <v>6.39794000867204</v>
      </c>
      <c r="F1692" s="27" t="n">
        <v>6.39794000867204</v>
      </c>
      <c r="G1692" s="25" t="s">
        <v>283</v>
      </c>
      <c r="H1692" s="25" t="s">
        <v>284</v>
      </c>
      <c r="I1692" s="25" t="n">
        <f aca="false">IFERROR(IF(INDEX(Documents!$C$5:$C$657,MATCH(H1692,Documents!$A$5:$A$657,0))="","",INDEX(Documents!$C$5:$C$657,MATCH(H1692,Documents!$A$5:$A$657,0))),"")</f>
        <v>2010</v>
      </c>
      <c r="J1692" s="25" t="str">
        <f aca="false">IFERROR(IF(INDEX(Documents!$D$5:$D$657,MATCH(H1692,Documents!$A$5:$A$657,0))="","",INDEX(Documents!$D$5:$D$657,MATCH(H1692,Documents!$A$5:$A$657,0))),"")</f>
        <v>J Med Chem</v>
      </c>
      <c r="K1692" s="25" t="str">
        <f aca="false">IFERROR(IF(INDEX(Documents!$G$5:$G$657,MATCH(H1692,Documents!$A$5:$A$657,0))="","",INDEX(Documents!$G$5:$G$657,MATCH(H1692,Documents!$A$5:$A$657,0))),"")</f>
        <v>10.1021/jm100123x</v>
      </c>
      <c r="L1692" s="25" t="s">
        <v>285</v>
      </c>
    </row>
    <row r="1693" customFormat="false" ht="15" hidden="false" customHeight="false" outlineLevel="0" collapsed="false">
      <c r="A1693" s="25" t="n">
        <v>12052769</v>
      </c>
      <c r="B1693" s="25" t="s">
        <v>3802</v>
      </c>
      <c r="C1693" s="25" t="s">
        <v>3803</v>
      </c>
      <c r="D1693" s="26" t="n">
        <v>13.3</v>
      </c>
      <c r="E1693" s="27" t="n">
        <v>7.87614835903291</v>
      </c>
      <c r="F1693" s="27" t="n">
        <v>7.87614835903291</v>
      </c>
      <c r="G1693" s="25" t="s">
        <v>587</v>
      </c>
      <c r="H1693" s="25" t="s">
        <v>588</v>
      </c>
      <c r="I1693" s="25" t="n">
        <f aca="false">IFERROR(IF(INDEX(Documents!$C$5:$C$657,MATCH(H1693,Documents!$A$5:$A$657,0))="","",INDEX(Documents!$C$5:$C$657,MATCH(H1693,Documents!$A$5:$A$657,0))),"")</f>
        <v>2012</v>
      </c>
      <c r="J1693" s="25" t="str">
        <f aca="false">IFERROR(IF(INDEX(Documents!$D$5:$D$657,MATCH(H1693,Documents!$A$5:$A$657,0))="","",INDEX(Documents!$D$5:$D$657,MATCH(H1693,Documents!$A$5:$A$657,0))),"")</f>
        <v>Eur J Med Chem</v>
      </c>
      <c r="K1693" s="25" t="str">
        <f aca="false">IFERROR(IF(INDEX(Documents!$G$5:$G$657,MATCH(H1693,Documents!$A$5:$A$657,0))="","",INDEX(Documents!$G$5:$G$657,MATCH(H1693,Documents!$A$5:$A$657,0))),"")</f>
        <v>10.1016/j.ejmech.2012.09.035</v>
      </c>
      <c r="L1693" s="25" t="s">
        <v>589</v>
      </c>
    </row>
    <row r="1694" customFormat="false" ht="15" hidden="false" customHeight="false" outlineLevel="0" collapsed="false">
      <c r="A1694" s="25" t="n">
        <v>5124686</v>
      </c>
      <c r="B1694" s="25" t="s">
        <v>3804</v>
      </c>
      <c r="C1694" s="25" t="s">
        <v>3805</v>
      </c>
      <c r="D1694" s="26" t="n">
        <v>92</v>
      </c>
      <c r="E1694" s="27" t="n">
        <v>7.03621217265444</v>
      </c>
      <c r="F1694" s="27" t="n">
        <v>7.03621217265444</v>
      </c>
      <c r="G1694" s="25" t="s">
        <v>1948</v>
      </c>
      <c r="H1694" s="25" t="s">
        <v>1949</v>
      </c>
      <c r="I1694" s="25" t="n">
        <f aca="false">IFERROR(IF(INDEX(Documents!$C$5:$C$657,MATCH(H1694,Documents!$A$5:$A$657,0))="","",INDEX(Documents!$C$5:$C$657,MATCH(H1694,Documents!$A$5:$A$657,0))),"")</f>
        <v>2010</v>
      </c>
      <c r="J1694" s="25" t="str">
        <f aca="false">IFERROR(IF(INDEX(Documents!$D$5:$D$657,MATCH(H1694,Documents!$A$5:$A$657,0))="","",INDEX(Documents!$D$5:$D$657,MATCH(H1694,Documents!$A$5:$A$657,0))),"")</f>
        <v>J Med Chem</v>
      </c>
      <c r="K1694" s="25" t="str">
        <f aca="false">IFERROR(IF(INDEX(Documents!$G$5:$G$657,MATCH(H1694,Documents!$A$5:$A$657,0))="","",INDEX(Documents!$G$5:$G$657,MATCH(H1694,Documents!$A$5:$A$657,0))),"")</f>
        <v>10.1021/jm100286k</v>
      </c>
      <c r="L1694" s="25" t="s">
        <v>1950</v>
      </c>
    </row>
    <row r="1695" customFormat="false" ht="15" hidden="false" customHeight="false" outlineLevel="0" collapsed="false">
      <c r="A1695" s="25" t="n">
        <v>12052772</v>
      </c>
      <c r="B1695" s="25" t="s">
        <v>3806</v>
      </c>
      <c r="C1695" s="25" t="s">
        <v>3807</v>
      </c>
      <c r="D1695" s="26" t="n">
        <v>340</v>
      </c>
      <c r="E1695" s="27" t="n">
        <v>6.46852108295775</v>
      </c>
      <c r="F1695" s="27" t="n">
        <v>6.46852108295775</v>
      </c>
      <c r="G1695" s="25" t="s">
        <v>587</v>
      </c>
      <c r="H1695" s="25" t="s">
        <v>588</v>
      </c>
      <c r="I1695" s="25" t="n">
        <f aca="false">IFERROR(IF(INDEX(Documents!$C$5:$C$657,MATCH(H1695,Documents!$A$5:$A$657,0))="","",INDEX(Documents!$C$5:$C$657,MATCH(H1695,Documents!$A$5:$A$657,0))),"")</f>
        <v>2012</v>
      </c>
      <c r="J1695" s="25" t="str">
        <f aca="false">IFERROR(IF(INDEX(Documents!$D$5:$D$657,MATCH(H1695,Documents!$A$5:$A$657,0))="","",INDEX(Documents!$D$5:$D$657,MATCH(H1695,Documents!$A$5:$A$657,0))),"")</f>
        <v>Eur J Med Chem</v>
      </c>
      <c r="K1695" s="25" t="str">
        <f aca="false">IFERROR(IF(INDEX(Documents!$G$5:$G$657,MATCH(H1695,Documents!$A$5:$A$657,0))="","",INDEX(Documents!$G$5:$G$657,MATCH(H1695,Documents!$A$5:$A$657,0))),"")</f>
        <v>10.1016/j.ejmech.2012.09.035</v>
      </c>
      <c r="L1695" s="25" t="s">
        <v>589</v>
      </c>
    </row>
    <row r="1696" customFormat="false" ht="15" hidden="false" customHeight="false" outlineLevel="0" collapsed="false">
      <c r="A1696" s="25" t="n">
        <v>12052770</v>
      </c>
      <c r="B1696" s="25" t="s">
        <v>3808</v>
      </c>
      <c r="C1696" s="25" t="s">
        <v>3809</v>
      </c>
      <c r="D1696" s="26" t="n">
        <v>19.3</v>
      </c>
      <c r="E1696" s="27" t="n">
        <v>7.71444269099223</v>
      </c>
      <c r="F1696" s="27" t="n">
        <v>7.71444269099223</v>
      </c>
      <c r="G1696" s="25" t="s">
        <v>587</v>
      </c>
      <c r="H1696" s="25" t="s">
        <v>588</v>
      </c>
      <c r="I1696" s="25" t="n">
        <f aca="false">IFERROR(IF(INDEX(Documents!$C$5:$C$657,MATCH(H1696,Documents!$A$5:$A$657,0))="","",INDEX(Documents!$C$5:$C$657,MATCH(H1696,Documents!$A$5:$A$657,0))),"")</f>
        <v>2012</v>
      </c>
      <c r="J1696" s="25" t="str">
        <f aca="false">IFERROR(IF(INDEX(Documents!$D$5:$D$657,MATCH(H1696,Documents!$A$5:$A$657,0))="","",INDEX(Documents!$D$5:$D$657,MATCH(H1696,Documents!$A$5:$A$657,0))),"")</f>
        <v>Eur J Med Chem</v>
      </c>
      <c r="K1696" s="25" t="str">
        <f aca="false">IFERROR(IF(INDEX(Documents!$G$5:$G$657,MATCH(H1696,Documents!$A$5:$A$657,0))="","",INDEX(Documents!$G$5:$G$657,MATCH(H1696,Documents!$A$5:$A$657,0))),"")</f>
        <v>10.1016/j.ejmech.2012.09.035</v>
      </c>
      <c r="L1696" s="25" t="s">
        <v>589</v>
      </c>
    </row>
    <row r="1697" customFormat="false" ht="15" hidden="false" customHeight="false" outlineLevel="0" collapsed="false">
      <c r="A1697" s="25" t="n">
        <v>1667525</v>
      </c>
      <c r="B1697" s="25" t="s">
        <v>3810</v>
      </c>
      <c r="C1697" s="25" t="s">
        <v>3811</v>
      </c>
      <c r="D1697" s="26" t="n">
        <v>784</v>
      </c>
      <c r="E1697" s="27" t="n">
        <v>6.10568393731556</v>
      </c>
      <c r="F1697" s="27" t="n">
        <v>6.10568393731556</v>
      </c>
      <c r="G1697" s="25" t="s">
        <v>1538</v>
      </c>
      <c r="H1697" s="25" t="s">
        <v>1539</v>
      </c>
      <c r="I1697" s="25" t="n">
        <f aca="false">IFERROR(IF(INDEX(Documents!$C$5:$C$657,MATCH(H1697,Documents!$A$5:$A$657,0))="","",INDEX(Documents!$C$5:$C$657,MATCH(H1697,Documents!$A$5:$A$657,0))),"")</f>
        <v>2006</v>
      </c>
      <c r="J1697" s="25" t="str">
        <f aca="false">IFERROR(IF(INDEX(Documents!$D$5:$D$657,MATCH(H1697,Documents!$A$5:$A$657,0))="","",INDEX(Documents!$D$5:$D$657,MATCH(H1697,Documents!$A$5:$A$657,0))),"")</f>
        <v>J Med Chem</v>
      </c>
      <c r="K1697" s="25" t="str">
        <f aca="false">IFERROR(IF(INDEX(Documents!$G$5:$G$657,MATCH(H1697,Documents!$A$5:$A$657,0))="","",INDEX(Documents!$G$5:$G$657,MATCH(H1697,Documents!$A$5:$A$657,0))),"")</f>
        <v>10.1021/jm050467q</v>
      </c>
      <c r="L1697" s="25" t="s">
        <v>775</v>
      </c>
    </row>
    <row r="1698" customFormat="false" ht="15" hidden="false" customHeight="false" outlineLevel="0" collapsed="false">
      <c r="A1698" s="25" t="n">
        <v>24706556</v>
      </c>
      <c r="B1698" s="25" t="s">
        <v>3812</v>
      </c>
      <c r="C1698" s="25" t="s">
        <v>3813</v>
      </c>
      <c r="D1698" s="26" t="n">
        <v>794.33</v>
      </c>
      <c r="E1698" s="27" t="n">
        <v>6.09999903484653</v>
      </c>
      <c r="F1698" s="27" t="n">
        <v>6.10008926620972</v>
      </c>
      <c r="G1698" s="25" t="s">
        <v>3814</v>
      </c>
      <c r="H1698" s="25" t="s">
        <v>3815</v>
      </c>
      <c r="I1698" s="25" t="n">
        <f aca="false">IFERROR(IF(INDEX(Documents!$C$5:$C$657,MATCH(H1698,Documents!$A$5:$A$657,0))="","",INDEX(Documents!$C$5:$C$657,MATCH(H1698,Documents!$A$5:$A$657,0))),"")</f>
        <v>2022</v>
      </c>
      <c r="J1698" s="25" t="str">
        <f aca="false">IFERROR(IF(INDEX(Documents!$D$5:$D$657,MATCH(H1698,Documents!$A$5:$A$657,0))="","",INDEX(Documents!$D$5:$D$657,MATCH(H1698,Documents!$A$5:$A$657,0))),"")</f>
        <v>RSC Med Chem</v>
      </c>
      <c r="K1698" s="25" t="str">
        <f aca="false">IFERROR(IF(INDEX(Documents!$G$5:$G$657,MATCH(H1698,Documents!$A$5:$A$657,0))="","",INDEX(Documents!$G$5:$G$657,MATCH(H1698,Documents!$A$5:$A$657,0))),"")</f>
        <v>10.1039/d1md00242b</v>
      </c>
      <c r="L1698" s="25" t="s">
        <v>3816</v>
      </c>
    </row>
    <row r="1699" customFormat="false" ht="15" hidden="false" customHeight="false" outlineLevel="0" collapsed="false">
      <c r="A1699" s="25" t="n">
        <v>24706570</v>
      </c>
      <c r="B1699" s="25" t="s">
        <v>3812</v>
      </c>
      <c r="C1699" s="25" t="s">
        <v>3813</v>
      </c>
      <c r="D1699" s="26" t="n">
        <v>794</v>
      </c>
      <c r="E1699" s="27" t="n">
        <v>6.1001794975729</v>
      </c>
      <c r="F1699" s="27" t="n">
        <v>6.10008926620972</v>
      </c>
      <c r="G1699" s="25" t="s">
        <v>3814</v>
      </c>
      <c r="H1699" s="25" t="s">
        <v>3815</v>
      </c>
      <c r="I1699" s="25" t="n">
        <f aca="false">IFERROR(IF(INDEX(Documents!$C$5:$C$657,MATCH(H1699,Documents!$A$5:$A$657,0))="","",INDEX(Documents!$C$5:$C$657,MATCH(H1699,Documents!$A$5:$A$657,0))),"")</f>
        <v>2022</v>
      </c>
      <c r="J1699" s="25" t="str">
        <f aca="false">IFERROR(IF(INDEX(Documents!$D$5:$D$657,MATCH(H1699,Documents!$A$5:$A$657,0))="","",INDEX(Documents!$D$5:$D$657,MATCH(H1699,Documents!$A$5:$A$657,0))),"")</f>
        <v>RSC Med Chem</v>
      </c>
      <c r="K1699" s="25" t="str">
        <f aca="false">IFERROR(IF(INDEX(Documents!$G$5:$G$657,MATCH(H1699,Documents!$A$5:$A$657,0))="","",INDEX(Documents!$G$5:$G$657,MATCH(H1699,Documents!$A$5:$A$657,0))),"")</f>
        <v>10.1039/d1md00242b</v>
      </c>
      <c r="L1699" s="25" t="s">
        <v>3816</v>
      </c>
    </row>
    <row r="1700" customFormat="false" ht="15" hidden="false" customHeight="false" outlineLevel="0" collapsed="false">
      <c r="A1700" s="25" t="n">
        <v>12052742</v>
      </c>
      <c r="B1700" s="25" t="s">
        <v>3817</v>
      </c>
      <c r="C1700" s="25" t="s">
        <v>3818</v>
      </c>
      <c r="D1700" s="26" t="n">
        <v>0.3</v>
      </c>
      <c r="E1700" s="27" t="n">
        <v>9.52287874528034</v>
      </c>
      <c r="F1700" s="27" t="n">
        <v>9.52287874528034</v>
      </c>
      <c r="G1700" s="25" t="s">
        <v>587</v>
      </c>
      <c r="H1700" s="25" t="s">
        <v>588</v>
      </c>
      <c r="I1700" s="25" t="n">
        <f aca="false">IFERROR(IF(INDEX(Documents!$C$5:$C$657,MATCH(H1700,Documents!$A$5:$A$657,0))="","",INDEX(Documents!$C$5:$C$657,MATCH(H1700,Documents!$A$5:$A$657,0))),"")</f>
        <v>2012</v>
      </c>
      <c r="J1700" s="25" t="str">
        <f aca="false">IFERROR(IF(INDEX(Documents!$D$5:$D$657,MATCH(H1700,Documents!$A$5:$A$657,0))="","",INDEX(Documents!$D$5:$D$657,MATCH(H1700,Documents!$A$5:$A$657,0))),"")</f>
        <v>Eur J Med Chem</v>
      </c>
      <c r="K1700" s="25" t="str">
        <f aca="false">IFERROR(IF(INDEX(Documents!$G$5:$G$657,MATCH(H1700,Documents!$A$5:$A$657,0))="","",INDEX(Documents!$G$5:$G$657,MATCH(H1700,Documents!$A$5:$A$657,0))),"")</f>
        <v>10.1016/j.ejmech.2012.09.035</v>
      </c>
      <c r="L1700" s="25" t="s">
        <v>589</v>
      </c>
    </row>
    <row r="1701" customFormat="false" ht="15" hidden="false" customHeight="false" outlineLevel="0" collapsed="false">
      <c r="A1701" s="25" t="n">
        <v>12052752</v>
      </c>
      <c r="B1701" s="25" t="s">
        <v>3819</v>
      </c>
      <c r="C1701" s="25" t="s">
        <v>3820</v>
      </c>
      <c r="D1701" s="26" t="n">
        <v>0.09</v>
      </c>
      <c r="E1701" s="27" t="n">
        <v>10.0457574905607</v>
      </c>
      <c r="F1701" s="27" t="n">
        <v>10.0457574905607</v>
      </c>
      <c r="G1701" s="25" t="s">
        <v>587</v>
      </c>
      <c r="H1701" s="25" t="s">
        <v>588</v>
      </c>
      <c r="I1701" s="25" t="n">
        <f aca="false">IFERROR(IF(INDEX(Documents!$C$5:$C$657,MATCH(H1701,Documents!$A$5:$A$657,0))="","",INDEX(Documents!$C$5:$C$657,MATCH(H1701,Documents!$A$5:$A$657,0))),"")</f>
        <v>2012</v>
      </c>
      <c r="J1701" s="25" t="str">
        <f aca="false">IFERROR(IF(INDEX(Documents!$D$5:$D$657,MATCH(H1701,Documents!$A$5:$A$657,0))="","",INDEX(Documents!$D$5:$D$657,MATCH(H1701,Documents!$A$5:$A$657,0))),"")</f>
        <v>Eur J Med Chem</v>
      </c>
      <c r="K1701" s="25" t="str">
        <f aca="false">IFERROR(IF(INDEX(Documents!$G$5:$G$657,MATCH(H1701,Documents!$A$5:$A$657,0))="","",INDEX(Documents!$G$5:$G$657,MATCH(H1701,Documents!$A$5:$A$657,0))),"")</f>
        <v>10.1016/j.ejmech.2012.09.035</v>
      </c>
      <c r="L1701" s="25" t="s">
        <v>589</v>
      </c>
    </row>
    <row r="1702" customFormat="false" ht="15" hidden="false" customHeight="false" outlineLevel="0" collapsed="false">
      <c r="A1702" s="25" t="n">
        <v>5124684</v>
      </c>
      <c r="B1702" s="25" t="s">
        <v>3821</v>
      </c>
      <c r="C1702" s="25" t="s">
        <v>3822</v>
      </c>
      <c r="D1702" s="26" t="n">
        <v>10.1</v>
      </c>
      <c r="E1702" s="27" t="n">
        <v>7.99567862621736</v>
      </c>
      <c r="F1702" s="27" t="n">
        <v>7.99567862621736</v>
      </c>
      <c r="G1702" s="25" t="s">
        <v>1948</v>
      </c>
      <c r="H1702" s="25" t="s">
        <v>1949</v>
      </c>
      <c r="I1702" s="25" t="n">
        <f aca="false">IFERROR(IF(INDEX(Documents!$C$5:$C$657,MATCH(H1702,Documents!$A$5:$A$657,0))="","",INDEX(Documents!$C$5:$C$657,MATCH(H1702,Documents!$A$5:$A$657,0))),"")</f>
        <v>2010</v>
      </c>
      <c r="J1702" s="25" t="str">
        <f aca="false">IFERROR(IF(INDEX(Documents!$D$5:$D$657,MATCH(H1702,Documents!$A$5:$A$657,0))="","",INDEX(Documents!$D$5:$D$657,MATCH(H1702,Documents!$A$5:$A$657,0))),"")</f>
        <v>J Med Chem</v>
      </c>
      <c r="K1702" s="25" t="str">
        <f aca="false">IFERROR(IF(INDEX(Documents!$G$5:$G$657,MATCH(H1702,Documents!$A$5:$A$657,0))="","",INDEX(Documents!$G$5:$G$657,MATCH(H1702,Documents!$A$5:$A$657,0))),"")</f>
        <v>10.1021/jm100286k</v>
      </c>
      <c r="L1702" s="25" t="s">
        <v>1950</v>
      </c>
    </row>
    <row r="1703" customFormat="false" ht="15" hidden="false" customHeight="false" outlineLevel="0" collapsed="false">
      <c r="A1703" s="25" t="n">
        <v>24706555</v>
      </c>
      <c r="B1703" s="25" t="s">
        <v>3823</v>
      </c>
      <c r="C1703" s="25" t="s">
        <v>3824</v>
      </c>
      <c r="D1703" s="26" t="n">
        <v>20.42</v>
      </c>
      <c r="E1703" s="27" t="n">
        <v>7.68994426224911</v>
      </c>
      <c r="F1703" s="27" t="n">
        <v>7.6901570474116</v>
      </c>
      <c r="G1703" s="25" t="s">
        <v>3814</v>
      </c>
      <c r="H1703" s="25" t="s">
        <v>3815</v>
      </c>
      <c r="I1703" s="25" t="n">
        <f aca="false">IFERROR(IF(INDEX(Documents!$C$5:$C$657,MATCH(H1703,Documents!$A$5:$A$657,0))="","",INDEX(Documents!$C$5:$C$657,MATCH(H1703,Documents!$A$5:$A$657,0))),"")</f>
        <v>2022</v>
      </c>
      <c r="J1703" s="25" t="str">
        <f aca="false">IFERROR(IF(INDEX(Documents!$D$5:$D$657,MATCH(H1703,Documents!$A$5:$A$657,0))="","",INDEX(Documents!$D$5:$D$657,MATCH(H1703,Documents!$A$5:$A$657,0))),"")</f>
        <v>RSC Med Chem</v>
      </c>
      <c r="K1703" s="25" t="str">
        <f aca="false">IFERROR(IF(INDEX(Documents!$G$5:$G$657,MATCH(H1703,Documents!$A$5:$A$657,0))="","",INDEX(Documents!$G$5:$G$657,MATCH(H1703,Documents!$A$5:$A$657,0))),"")</f>
        <v>10.1039/d1md00242b</v>
      </c>
      <c r="L1703" s="25" t="s">
        <v>3816</v>
      </c>
    </row>
    <row r="1704" customFormat="false" ht="15" hidden="false" customHeight="false" outlineLevel="0" collapsed="false">
      <c r="A1704" s="25" t="n">
        <v>24706569</v>
      </c>
      <c r="B1704" s="25" t="s">
        <v>3823</v>
      </c>
      <c r="C1704" s="25" t="s">
        <v>3824</v>
      </c>
      <c r="D1704" s="26" t="n">
        <v>20.4</v>
      </c>
      <c r="E1704" s="27" t="n">
        <v>7.6903698325741</v>
      </c>
      <c r="F1704" s="27" t="n">
        <v>7.6901570474116</v>
      </c>
      <c r="G1704" s="25" t="s">
        <v>3814</v>
      </c>
      <c r="H1704" s="25" t="s">
        <v>3815</v>
      </c>
      <c r="I1704" s="25" t="n">
        <f aca="false">IFERROR(IF(INDEX(Documents!$C$5:$C$657,MATCH(H1704,Documents!$A$5:$A$657,0))="","",INDEX(Documents!$C$5:$C$657,MATCH(H1704,Documents!$A$5:$A$657,0))),"")</f>
        <v>2022</v>
      </c>
      <c r="J1704" s="25" t="str">
        <f aca="false">IFERROR(IF(INDEX(Documents!$D$5:$D$657,MATCH(H1704,Documents!$A$5:$A$657,0))="","",INDEX(Documents!$D$5:$D$657,MATCH(H1704,Documents!$A$5:$A$657,0))),"")</f>
        <v>RSC Med Chem</v>
      </c>
      <c r="K1704" s="25" t="str">
        <f aca="false">IFERROR(IF(INDEX(Documents!$G$5:$G$657,MATCH(H1704,Documents!$A$5:$A$657,0))="","",INDEX(Documents!$G$5:$G$657,MATCH(H1704,Documents!$A$5:$A$657,0))),"")</f>
        <v>10.1039/d1md00242b</v>
      </c>
      <c r="L1704" s="25" t="s">
        <v>3816</v>
      </c>
    </row>
    <row r="1705" customFormat="false" ht="15" hidden="false" customHeight="false" outlineLevel="0" collapsed="false">
      <c r="A1705" s="25" t="n">
        <v>24706554</v>
      </c>
      <c r="B1705" s="25" t="s">
        <v>3825</v>
      </c>
      <c r="C1705" s="25" t="s">
        <v>3826</v>
      </c>
      <c r="D1705" s="26" t="n">
        <v>251.19</v>
      </c>
      <c r="E1705" s="27" t="n">
        <v>6.59999765407205</v>
      </c>
      <c r="F1705" s="27" t="n">
        <v>6.6001619662955</v>
      </c>
      <c r="G1705" s="25" t="s">
        <v>3814</v>
      </c>
      <c r="H1705" s="25" t="s">
        <v>3815</v>
      </c>
      <c r="I1705" s="25" t="n">
        <f aca="false">IFERROR(IF(INDEX(Documents!$C$5:$C$657,MATCH(H1705,Documents!$A$5:$A$657,0))="","",INDEX(Documents!$C$5:$C$657,MATCH(H1705,Documents!$A$5:$A$657,0))),"")</f>
        <v>2022</v>
      </c>
      <c r="J1705" s="25" t="str">
        <f aca="false">IFERROR(IF(INDEX(Documents!$D$5:$D$657,MATCH(H1705,Documents!$A$5:$A$657,0))="","",INDEX(Documents!$D$5:$D$657,MATCH(H1705,Documents!$A$5:$A$657,0))),"")</f>
        <v>RSC Med Chem</v>
      </c>
      <c r="K1705" s="25" t="str">
        <f aca="false">IFERROR(IF(INDEX(Documents!$G$5:$G$657,MATCH(H1705,Documents!$A$5:$A$657,0))="","",INDEX(Documents!$G$5:$G$657,MATCH(H1705,Documents!$A$5:$A$657,0))),"")</f>
        <v>10.1039/d1md00242b</v>
      </c>
      <c r="L1705" s="25" t="s">
        <v>3816</v>
      </c>
    </row>
    <row r="1706" customFormat="false" ht="15" hidden="false" customHeight="false" outlineLevel="0" collapsed="false">
      <c r="A1706" s="25" t="n">
        <v>24706568</v>
      </c>
      <c r="B1706" s="25" t="s">
        <v>3825</v>
      </c>
      <c r="C1706" s="25" t="s">
        <v>3826</v>
      </c>
      <c r="D1706" s="26" t="n">
        <v>251</v>
      </c>
      <c r="E1706" s="27" t="n">
        <v>6.60032627851896</v>
      </c>
      <c r="F1706" s="27" t="n">
        <v>6.6001619662955</v>
      </c>
      <c r="G1706" s="25" t="s">
        <v>3814</v>
      </c>
      <c r="H1706" s="25" t="s">
        <v>3815</v>
      </c>
      <c r="I1706" s="25" t="n">
        <f aca="false">IFERROR(IF(INDEX(Documents!$C$5:$C$657,MATCH(H1706,Documents!$A$5:$A$657,0))="","",INDEX(Documents!$C$5:$C$657,MATCH(H1706,Documents!$A$5:$A$657,0))),"")</f>
        <v>2022</v>
      </c>
      <c r="J1706" s="25" t="str">
        <f aca="false">IFERROR(IF(INDEX(Documents!$D$5:$D$657,MATCH(H1706,Documents!$A$5:$A$657,0))="","",INDEX(Documents!$D$5:$D$657,MATCH(H1706,Documents!$A$5:$A$657,0))),"")</f>
        <v>RSC Med Chem</v>
      </c>
      <c r="K1706" s="25" t="str">
        <f aca="false">IFERROR(IF(INDEX(Documents!$G$5:$G$657,MATCH(H1706,Documents!$A$5:$A$657,0))="","",INDEX(Documents!$G$5:$G$657,MATCH(H1706,Documents!$A$5:$A$657,0))),"")</f>
        <v>10.1039/d1md00242b</v>
      </c>
      <c r="L1706" s="25" t="s">
        <v>3816</v>
      </c>
    </row>
    <row r="1707" customFormat="false" ht="15" hidden="false" customHeight="false" outlineLevel="0" collapsed="false">
      <c r="A1707" s="25" t="n">
        <v>1667523</v>
      </c>
      <c r="B1707" s="25" t="s">
        <v>3827</v>
      </c>
      <c r="C1707" s="25" t="s">
        <v>3828</v>
      </c>
      <c r="D1707" s="26" t="n">
        <v>584</v>
      </c>
      <c r="E1707" s="27" t="n">
        <v>6.2335871528876</v>
      </c>
      <c r="F1707" s="27" t="n">
        <v>6.2335871528876</v>
      </c>
      <c r="G1707" s="25" t="s">
        <v>1538</v>
      </c>
      <c r="H1707" s="25" t="s">
        <v>1539</v>
      </c>
      <c r="I1707" s="25" t="n">
        <f aca="false">IFERROR(IF(INDEX(Documents!$C$5:$C$657,MATCH(H1707,Documents!$A$5:$A$657,0))="","",INDEX(Documents!$C$5:$C$657,MATCH(H1707,Documents!$A$5:$A$657,0))),"")</f>
        <v>2006</v>
      </c>
      <c r="J1707" s="25" t="str">
        <f aca="false">IFERROR(IF(INDEX(Documents!$D$5:$D$657,MATCH(H1707,Documents!$A$5:$A$657,0))="","",INDEX(Documents!$D$5:$D$657,MATCH(H1707,Documents!$A$5:$A$657,0))),"")</f>
        <v>J Med Chem</v>
      </c>
      <c r="K1707" s="25" t="str">
        <f aca="false">IFERROR(IF(INDEX(Documents!$G$5:$G$657,MATCH(H1707,Documents!$A$5:$A$657,0))="","",INDEX(Documents!$G$5:$G$657,MATCH(H1707,Documents!$A$5:$A$657,0))),"")</f>
        <v>10.1021/jm050467q</v>
      </c>
      <c r="L1707" s="25" t="s">
        <v>775</v>
      </c>
    </row>
    <row r="1708" customFormat="false" ht="15" hidden="false" customHeight="false" outlineLevel="0" collapsed="false">
      <c r="A1708" s="25" t="n">
        <v>1667520</v>
      </c>
      <c r="B1708" s="25" t="s">
        <v>3829</v>
      </c>
      <c r="C1708" s="25" t="s">
        <v>3830</v>
      </c>
      <c r="D1708" s="26" t="n">
        <v>125</v>
      </c>
      <c r="E1708" s="27" t="n">
        <v>6.90308998699194</v>
      </c>
      <c r="F1708" s="27" t="n">
        <v>6.90308998699194</v>
      </c>
      <c r="G1708" s="25" t="s">
        <v>1538</v>
      </c>
      <c r="H1708" s="25" t="s">
        <v>1539</v>
      </c>
      <c r="I1708" s="25" t="n">
        <f aca="false">IFERROR(IF(INDEX(Documents!$C$5:$C$657,MATCH(H1708,Documents!$A$5:$A$657,0))="","",INDEX(Documents!$C$5:$C$657,MATCH(H1708,Documents!$A$5:$A$657,0))),"")</f>
        <v>2006</v>
      </c>
      <c r="J1708" s="25" t="str">
        <f aca="false">IFERROR(IF(INDEX(Documents!$D$5:$D$657,MATCH(H1708,Documents!$A$5:$A$657,0))="","",INDEX(Documents!$D$5:$D$657,MATCH(H1708,Documents!$A$5:$A$657,0))),"")</f>
        <v>J Med Chem</v>
      </c>
      <c r="K1708" s="25" t="str">
        <f aca="false">IFERROR(IF(INDEX(Documents!$G$5:$G$657,MATCH(H1708,Documents!$A$5:$A$657,0))="","",INDEX(Documents!$G$5:$G$657,MATCH(H1708,Documents!$A$5:$A$657,0))),"")</f>
        <v>10.1021/jm050467q</v>
      </c>
      <c r="L1708" s="25" t="s">
        <v>775</v>
      </c>
    </row>
    <row r="1709" customFormat="false" ht="15" hidden="false" customHeight="false" outlineLevel="0" collapsed="false">
      <c r="A1709" s="25" t="n">
        <v>2228950</v>
      </c>
      <c r="B1709" s="25" t="s">
        <v>3831</v>
      </c>
      <c r="C1709" s="25" t="s">
        <v>3832</v>
      </c>
      <c r="D1709" s="26" t="n">
        <v>10.7</v>
      </c>
      <c r="E1709" s="27" t="n">
        <v>7.97061622231479</v>
      </c>
      <c r="F1709" s="27" t="n">
        <v>7.97061622231479</v>
      </c>
      <c r="G1709" s="25" t="s">
        <v>485</v>
      </c>
      <c r="H1709" s="25" t="s">
        <v>486</v>
      </c>
      <c r="I1709" s="25" t="n">
        <f aca="false">IFERROR(IF(INDEX(Documents!$C$5:$C$657,MATCH(H1709,Documents!$A$5:$A$657,0))="","",INDEX(Documents!$C$5:$C$657,MATCH(H1709,Documents!$A$5:$A$657,0))),"")</f>
        <v>2008</v>
      </c>
      <c r="J1709" s="25" t="str">
        <f aca="false">IFERROR(IF(INDEX(Documents!$D$5:$D$657,MATCH(H1709,Documents!$A$5:$A$657,0))="","",INDEX(Documents!$D$5:$D$657,MATCH(H1709,Documents!$A$5:$A$657,0))),"")</f>
        <v>J Med Chem</v>
      </c>
      <c r="K1709" s="25" t="str">
        <f aca="false">IFERROR(IF(INDEX(Documents!$G$5:$G$657,MATCH(H1709,Documents!$A$5:$A$657,0))="","",INDEX(Documents!$G$5:$G$657,MATCH(H1709,Documents!$A$5:$A$657,0))),"")</f>
        <v>10.1021/jm800552f</v>
      </c>
      <c r="L1709" s="25" t="s">
        <v>487</v>
      </c>
    </row>
    <row r="1710" customFormat="false" ht="15" hidden="false" customHeight="false" outlineLevel="0" collapsed="false">
      <c r="A1710" s="25" t="n">
        <v>2228949</v>
      </c>
      <c r="B1710" s="25" t="s">
        <v>3833</v>
      </c>
      <c r="C1710" s="25" t="s">
        <v>3834</v>
      </c>
      <c r="D1710" s="26" t="n">
        <v>17.1</v>
      </c>
      <c r="E1710" s="27" t="n">
        <v>7.76700388960785</v>
      </c>
      <c r="F1710" s="27" t="n">
        <v>7.76700388960785</v>
      </c>
      <c r="G1710" s="25" t="s">
        <v>485</v>
      </c>
      <c r="H1710" s="25" t="s">
        <v>486</v>
      </c>
      <c r="I1710" s="25" t="n">
        <f aca="false">IFERROR(IF(INDEX(Documents!$C$5:$C$657,MATCH(H1710,Documents!$A$5:$A$657,0))="","",INDEX(Documents!$C$5:$C$657,MATCH(H1710,Documents!$A$5:$A$657,0))),"")</f>
        <v>2008</v>
      </c>
      <c r="J1710" s="25" t="str">
        <f aca="false">IFERROR(IF(INDEX(Documents!$D$5:$D$657,MATCH(H1710,Documents!$A$5:$A$657,0))="","",INDEX(Documents!$D$5:$D$657,MATCH(H1710,Documents!$A$5:$A$657,0))),"")</f>
        <v>J Med Chem</v>
      </c>
      <c r="K1710" s="25" t="str">
        <f aca="false">IFERROR(IF(INDEX(Documents!$G$5:$G$657,MATCH(H1710,Documents!$A$5:$A$657,0))="","",INDEX(Documents!$G$5:$G$657,MATCH(H1710,Documents!$A$5:$A$657,0))),"")</f>
        <v>10.1021/jm800552f</v>
      </c>
      <c r="L1710" s="25" t="s">
        <v>487</v>
      </c>
    </row>
    <row r="1711" customFormat="false" ht="15" hidden="false" customHeight="false" outlineLevel="0" collapsed="false">
      <c r="A1711" s="25" t="n">
        <v>2228948</v>
      </c>
      <c r="B1711" s="25" t="s">
        <v>3835</v>
      </c>
      <c r="C1711" s="25" t="s">
        <v>3836</v>
      </c>
      <c r="D1711" s="26" t="n">
        <v>24.2</v>
      </c>
      <c r="E1711" s="27" t="n">
        <v>7.61618463401957</v>
      </c>
      <c r="F1711" s="27" t="n">
        <v>7.61618463401957</v>
      </c>
      <c r="G1711" s="25" t="s">
        <v>485</v>
      </c>
      <c r="H1711" s="25" t="s">
        <v>486</v>
      </c>
      <c r="I1711" s="25" t="n">
        <f aca="false">IFERROR(IF(INDEX(Documents!$C$5:$C$657,MATCH(H1711,Documents!$A$5:$A$657,0))="","",INDEX(Documents!$C$5:$C$657,MATCH(H1711,Documents!$A$5:$A$657,0))),"")</f>
        <v>2008</v>
      </c>
      <c r="J1711" s="25" t="str">
        <f aca="false">IFERROR(IF(INDEX(Documents!$D$5:$D$657,MATCH(H1711,Documents!$A$5:$A$657,0))="","",INDEX(Documents!$D$5:$D$657,MATCH(H1711,Documents!$A$5:$A$657,0))),"")</f>
        <v>J Med Chem</v>
      </c>
      <c r="K1711" s="25" t="str">
        <f aca="false">IFERROR(IF(INDEX(Documents!$G$5:$G$657,MATCH(H1711,Documents!$A$5:$A$657,0))="","",INDEX(Documents!$G$5:$G$657,MATCH(H1711,Documents!$A$5:$A$657,0))),"")</f>
        <v>10.1021/jm800552f</v>
      </c>
      <c r="L1711" s="25" t="s">
        <v>487</v>
      </c>
    </row>
    <row r="1712" customFormat="false" ht="15" hidden="false" customHeight="false" outlineLevel="0" collapsed="false">
      <c r="A1712" s="25" t="n">
        <v>1667526</v>
      </c>
      <c r="B1712" s="25" t="s">
        <v>3837</v>
      </c>
      <c r="C1712" s="25" t="s">
        <v>3838</v>
      </c>
      <c r="D1712" s="26" t="n">
        <v>37.1</v>
      </c>
      <c r="E1712" s="27" t="n">
        <v>7.43062609038495</v>
      </c>
      <c r="F1712" s="27" t="n">
        <v>7.43062609038495</v>
      </c>
      <c r="G1712" s="25" t="s">
        <v>1538</v>
      </c>
      <c r="H1712" s="25" t="s">
        <v>1539</v>
      </c>
      <c r="I1712" s="25" t="n">
        <f aca="false">IFERROR(IF(INDEX(Documents!$C$5:$C$657,MATCH(H1712,Documents!$A$5:$A$657,0))="","",INDEX(Documents!$C$5:$C$657,MATCH(H1712,Documents!$A$5:$A$657,0))),"")</f>
        <v>2006</v>
      </c>
      <c r="J1712" s="25" t="str">
        <f aca="false">IFERROR(IF(INDEX(Documents!$D$5:$D$657,MATCH(H1712,Documents!$A$5:$A$657,0))="","",INDEX(Documents!$D$5:$D$657,MATCH(H1712,Documents!$A$5:$A$657,0))),"")</f>
        <v>J Med Chem</v>
      </c>
      <c r="K1712" s="25" t="str">
        <f aca="false">IFERROR(IF(INDEX(Documents!$G$5:$G$657,MATCH(H1712,Documents!$A$5:$A$657,0))="","",INDEX(Documents!$G$5:$G$657,MATCH(H1712,Documents!$A$5:$A$657,0))),"")</f>
        <v>10.1021/jm050467q</v>
      </c>
      <c r="L1712" s="25" t="s">
        <v>775</v>
      </c>
    </row>
    <row r="1713" customFormat="false" ht="15" hidden="false" customHeight="false" outlineLevel="0" collapsed="false">
      <c r="A1713" s="25" t="n">
        <v>3398991</v>
      </c>
      <c r="B1713" s="25" t="s">
        <v>3839</v>
      </c>
      <c r="C1713" s="25" t="s">
        <v>3840</v>
      </c>
      <c r="D1713" s="26" t="n">
        <v>2.4</v>
      </c>
      <c r="E1713" s="27" t="n">
        <v>8.61978875828839</v>
      </c>
      <c r="F1713" s="27" t="n">
        <v>8.61978875828839</v>
      </c>
      <c r="G1713" s="25" t="s">
        <v>283</v>
      </c>
      <c r="H1713" s="25" t="s">
        <v>284</v>
      </c>
      <c r="I1713" s="25" t="n">
        <f aca="false">IFERROR(IF(INDEX(Documents!$C$5:$C$657,MATCH(H1713,Documents!$A$5:$A$657,0))="","",INDEX(Documents!$C$5:$C$657,MATCH(H1713,Documents!$A$5:$A$657,0))),"")</f>
        <v>2010</v>
      </c>
      <c r="J1713" s="25" t="str">
        <f aca="false">IFERROR(IF(INDEX(Documents!$D$5:$D$657,MATCH(H1713,Documents!$A$5:$A$657,0))="","",INDEX(Documents!$D$5:$D$657,MATCH(H1713,Documents!$A$5:$A$657,0))),"")</f>
        <v>J Med Chem</v>
      </c>
      <c r="K1713" s="25" t="str">
        <f aca="false">IFERROR(IF(INDEX(Documents!$G$5:$G$657,MATCH(H1713,Documents!$A$5:$A$657,0))="","",INDEX(Documents!$G$5:$G$657,MATCH(H1713,Documents!$A$5:$A$657,0))),"")</f>
        <v>10.1021/jm100123x</v>
      </c>
      <c r="L1713" s="25" t="s">
        <v>285</v>
      </c>
    </row>
    <row r="1714" customFormat="false" ht="15" hidden="false" customHeight="false" outlineLevel="0" collapsed="false">
      <c r="A1714" s="25" t="n">
        <v>3398986</v>
      </c>
      <c r="B1714" s="25" t="s">
        <v>3841</v>
      </c>
      <c r="C1714" s="25" t="s">
        <v>3842</v>
      </c>
      <c r="D1714" s="26" t="n">
        <v>5</v>
      </c>
      <c r="E1714" s="27" t="n">
        <v>8.30102999566398</v>
      </c>
      <c r="F1714" s="27" t="n">
        <v>8.30102999566398</v>
      </c>
      <c r="G1714" s="25" t="s">
        <v>283</v>
      </c>
      <c r="H1714" s="25" t="s">
        <v>284</v>
      </c>
      <c r="I1714" s="25" t="n">
        <f aca="false">IFERROR(IF(INDEX(Documents!$C$5:$C$657,MATCH(H1714,Documents!$A$5:$A$657,0))="","",INDEX(Documents!$C$5:$C$657,MATCH(H1714,Documents!$A$5:$A$657,0))),"")</f>
        <v>2010</v>
      </c>
      <c r="J1714" s="25" t="str">
        <f aca="false">IFERROR(IF(INDEX(Documents!$D$5:$D$657,MATCH(H1714,Documents!$A$5:$A$657,0))="","",INDEX(Documents!$D$5:$D$657,MATCH(H1714,Documents!$A$5:$A$657,0))),"")</f>
        <v>J Med Chem</v>
      </c>
      <c r="K1714" s="25" t="str">
        <f aca="false">IFERROR(IF(INDEX(Documents!$G$5:$G$657,MATCH(H1714,Documents!$A$5:$A$657,0))="","",INDEX(Documents!$G$5:$G$657,MATCH(H1714,Documents!$A$5:$A$657,0))),"")</f>
        <v>10.1021/jm100123x</v>
      </c>
      <c r="L1714" s="25" t="s">
        <v>285</v>
      </c>
    </row>
    <row r="1715" customFormat="false" ht="15" hidden="false" customHeight="false" outlineLevel="0" collapsed="false">
      <c r="A1715" s="25" t="n">
        <v>5124685</v>
      </c>
      <c r="B1715" s="25" t="s">
        <v>3843</v>
      </c>
      <c r="C1715" s="25" t="s">
        <v>3844</v>
      </c>
      <c r="D1715" s="26" t="n">
        <v>369</v>
      </c>
      <c r="E1715" s="27" t="n">
        <v>6.43297363384094</v>
      </c>
      <c r="F1715" s="27" t="n">
        <v>6.43297363384094</v>
      </c>
      <c r="G1715" s="25" t="s">
        <v>1948</v>
      </c>
      <c r="H1715" s="25" t="s">
        <v>1949</v>
      </c>
      <c r="I1715" s="25" t="n">
        <f aca="false">IFERROR(IF(INDEX(Documents!$C$5:$C$657,MATCH(H1715,Documents!$A$5:$A$657,0))="","",INDEX(Documents!$C$5:$C$657,MATCH(H1715,Documents!$A$5:$A$657,0))),"")</f>
        <v>2010</v>
      </c>
      <c r="J1715" s="25" t="str">
        <f aca="false">IFERROR(IF(INDEX(Documents!$D$5:$D$657,MATCH(H1715,Documents!$A$5:$A$657,0))="","",INDEX(Documents!$D$5:$D$657,MATCH(H1715,Documents!$A$5:$A$657,0))),"")</f>
        <v>J Med Chem</v>
      </c>
      <c r="K1715" s="25" t="str">
        <f aca="false">IFERROR(IF(INDEX(Documents!$G$5:$G$657,MATCH(H1715,Documents!$A$5:$A$657,0))="","",INDEX(Documents!$G$5:$G$657,MATCH(H1715,Documents!$A$5:$A$657,0))),"")</f>
        <v>10.1021/jm100286k</v>
      </c>
      <c r="L1715" s="25" t="s">
        <v>1950</v>
      </c>
    </row>
    <row r="1716" customFormat="false" ht="15" hidden="false" customHeight="false" outlineLevel="0" collapsed="false">
      <c r="A1716" s="25" t="n">
        <v>12619634</v>
      </c>
      <c r="B1716" s="25" t="s">
        <v>3845</v>
      </c>
      <c r="C1716" s="25" t="s">
        <v>3846</v>
      </c>
      <c r="D1716" s="26" t="n">
        <v>10.6</v>
      </c>
      <c r="E1716" s="27" t="n">
        <v>7.97469413473523</v>
      </c>
      <c r="F1716" s="27" t="n">
        <v>7.97469413473523</v>
      </c>
      <c r="G1716" s="25" t="s">
        <v>2805</v>
      </c>
      <c r="H1716" s="25" t="s">
        <v>2806</v>
      </c>
      <c r="I1716" s="25" t="n">
        <f aca="false">IFERROR(IF(INDEX(Documents!$C$5:$C$657,MATCH(H1716,Documents!$A$5:$A$657,0))="","",INDEX(Documents!$C$5:$C$657,MATCH(H1716,Documents!$A$5:$A$657,0))),"")</f>
        <v>2013</v>
      </c>
      <c r="J1716" s="25" t="str">
        <f aca="false">IFERROR(IF(INDEX(Documents!$D$5:$D$657,MATCH(H1716,Documents!$A$5:$A$657,0))="","",INDEX(Documents!$D$5:$D$657,MATCH(H1716,Documents!$A$5:$A$657,0))),"")</f>
        <v>J Med Chem</v>
      </c>
      <c r="K1716" s="25" t="str">
        <f aca="false">IFERROR(IF(INDEX(Documents!$G$5:$G$657,MATCH(H1716,Documents!$A$5:$A$657,0))="","",INDEX(Documents!$G$5:$G$657,MATCH(H1716,Documents!$A$5:$A$657,0))),"")</f>
        <v>10.1021/jm301527r</v>
      </c>
      <c r="L1716" s="25" t="s">
        <v>2807</v>
      </c>
    </row>
    <row r="1717" customFormat="false" ht="15" hidden="false" customHeight="false" outlineLevel="0" collapsed="false">
      <c r="A1717" s="25" t="n">
        <v>12619635</v>
      </c>
      <c r="B1717" s="25" t="s">
        <v>3847</v>
      </c>
      <c r="C1717" s="25" t="s">
        <v>3848</v>
      </c>
      <c r="D1717" s="26" t="n">
        <v>11.4</v>
      </c>
      <c r="E1717" s="27" t="n">
        <v>7.94309514866353</v>
      </c>
      <c r="F1717" s="27" t="n">
        <v>7.94309514866353</v>
      </c>
      <c r="G1717" s="25" t="s">
        <v>2805</v>
      </c>
      <c r="H1717" s="25" t="s">
        <v>2806</v>
      </c>
      <c r="I1717" s="25" t="n">
        <f aca="false">IFERROR(IF(INDEX(Documents!$C$5:$C$657,MATCH(H1717,Documents!$A$5:$A$657,0))="","",INDEX(Documents!$C$5:$C$657,MATCH(H1717,Documents!$A$5:$A$657,0))),"")</f>
        <v>2013</v>
      </c>
      <c r="J1717" s="25" t="str">
        <f aca="false">IFERROR(IF(INDEX(Documents!$D$5:$D$657,MATCH(H1717,Documents!$A$5:$A$657,0))="","",INDEX(Documents!$D$5:$D$657,MATCH(H1717,Documents!$A$5:$A$657,0))),"")</f>
        <v>J Med Chem</v>
      </c>
      <c r="K1717" s="25" t="str">
        <f aca="false">IFERROR(IF(INDEX(Documents!$G$5:$G$657,MATCH(H1717,Documents!$A$5:$A$657,0))="","",INDEX(Documents!$G$5:$G$657,MATCH(H1717,Documents!$A$5:$A$657,0))),"")</f>
        <v>10.1021/jm301527r</v>
      </c>
      <c r="L1717" s="25" t="s">
        <v>2807</v>
      </c>
    </row>
    <row r="1718" customFormat="false" ht="15" hidden="false" customHeight="false" outlineLevel="0" collapsed="false">
      <c r="A1718" s="25" t="n">
        <v>1667533</v>
      </c>
      <c r="B1718" s="25" t="s">
        <v>3849</v>
      </c>
      <c r="C1718" s="25" t="s">
        <v>3850</v>
      </c>
      <c r="D1718" s="26" t="n">
        <v>772</v>
      </c>
      <c r="E1718" s="27" t="n">
        <v>6.11238269966427</v>
      </c>
      <c r="F1718" s="27" t="n">
        <v>6.11238269966427</v>
      </c>
      <c r="G1718" s="25" t="s">
        <v>1538</v>
      </c>
      <c r="H1718" s="25" t="s">
        <v>1539</v>
      </c>
      <c r="I1718" s="25" t="n">
        <f aca="false">IFERROR(IF(INDEX(Documents!$C$5:$C$657,MATCH(H1718,Documents!$A$5:$A$657,0))="","",INDEX(Documents!$C$5:$C$657,MATCH(H1718,Documents!$A$5:$A$657,0))),"")</f>
        <v>2006</v>
      </c>
      <c r="J1718" s="25" t="str">
        <f aca="false">IFERROR(IF(INDEX(Documents!$D$5:$D$657,MATCH(H1718,Documents!$A$5:$A$657,0))="","",INDEX(Documents!$D$5:$D$657,MATCH(H1718,Documents!$A$5:$A$657,0))),"")</f>
        <v>J Med Chem</v>
      </c>
      <c r="K1718" s="25" t="str">
        <f aca="false">IFERROR(IF(INDEX(Documents!$G$5:$G$657,MATCH(H1718,Documents!$A$5:$A$657,0))="","",INDEX(Documents!$G$5:$G$657,MATCH(H1718,Documents!$A$5:$A$657,0))),"")</f>
        <v>10.1021/jm050467q</v>
      </c>
      <c r="L1718" s="25" t="s">
        <v>775</v>
      </c>
    </row>
    <row r="1719" customFormat="false" ht="15" hidden="false" customHeight="false" outlineLevel="0" collapsed="false">
      <c r="A1719" s="25" t="n">
        <v>6366831</v>
      </c>
      <c r="B1719" s="25" t="s">
        <v>3851</v>
      </c>
      <c r="C1719" s="25" t="s">
        <v>3852</v>
      </c>
      <c r="D1719" s="26" t="n">
        <v>630.96</v>
      </c>
      <c r="E1719" s="27" t="n">
        <v>6.19999817218203</v>
      </c>
      <c r="F1719" s="27" t="n">
        <v>6.19999817218203</v>
      </c>
      <c r="G1719" s="25" t="s">
        <v>2229</v>
      </c>
      <c r="H1719" s="25" t="s">
        <v>2230</v>
      </c>
      <c r="I1719" s="25" t="n">
        <f aca="false">IFERROR(IF(INDEX(Documents!$C$5:$C$657,MATCH(H1719,Documents!$A$5:$A$657,0))="","",INDEX(Documents!$C$5:$C$657,MATCH(H1719,Documents!$A$5:$A$657,0))),"")</f>
        <v>2011</v>
      </c>
      <c r="J1719" s="25" t="str">
        <f aca="false">IFERROR(IF(INDEX(Documents!$D$5:$D$657,MATCH(H1719,Documents!$A$5:$A$657,0))="","",INDEX(Documents!$D$5:$D$657,MATCH(H1719,Documents!$A$5:$A$657,0))),"")</f>
        <v>Eur J Med Chem</v>
      </c>
      <c r="K1719" s="25" t="str">
        <f aca="false">IFERROR(IF(INDEX(Documents!$G$5:$G$657,MATCH(H1719,Documents!$A$5:$A$657,0))="","",INDEX(Documents!$G$5:$G$657,MATCH(H1719,Documents!$A$5:$A$657,0))),"")</f>
        <v>10.1016/j.ejmech.2011.08.021</v>
      </c>
      <c r="L1719" s="25" t="s">
        <v>2231</v>
      </c>
    </row>
    <row r="1720" customFormat="false" ht="15" hidden="false" customHeight="false" outlineLevel="0" collapsed="false">
      <c r="A1720" s="25" t="n">
        <v>5124687</v>
      </c>
      <c r="B1720" s="25" t="s">
        <v>3853</v>
      </c>
      <c r="C1720" s="25" t="s">
        <v>3854</v>
      </c>
      <c r="D1720" s="26" t="n">
        <v>25.8</v>
      </c>
      <c r="E1720" s="27" t="n">
        <v>7.58838029403677</v>
      </c>
      <c r="F1720" s="27" t="n">
        <v>7.58838029403677</v>
      </c>
      <c r="G1720" s="25" t="s">
        <v>1948</v>
      </c>
      <c r="H1720" s="25" t="s">
        <v>1949</v>
      </c>
      <c r="I1720" s="25" t="n">
        <f aca="false">IFERROR(IF(INDEX(Documents!$C$5:$C$657,MATCH(H1720,Documents!$A$5:$A$657,0))="","",INDEX(Documents!$C$5:$C$657,MATCH(H1720,Documents!$A$5:$A$657,0))),"")</f>
        <v>2010</v>
      </c>
      <c r="J1720" s="25" t="str">
        <f aca="false">IFERROR(IF(INDEX(Documents!$D$5:$D$657,MATCH(H1720,Documents!$A$5:$A$657,0))="","",INDEX(Documents!$D$5:$D$657,MATCH(H1720,Documents!$A$5:$A$657,0))),"")</f>
        <v>J Med Chem</v>
      </c>
      <c r="K1720" s="25" t="str">
        <f aca="false">IFERROR(IF(INDEX(Documents!$G$5:$G$657,MATCH(H1720,Documents!$A$5:$A$657,0))="","",INDEX(Documents!$G$5:$G$657,MATCH(H1720,Documents!$A$5:$A$657,0))),"")</f>
        <v>10.1021/jm100286k</v>
      </c>
      <c r="L1720" s="25" t="s">
        <v>1950</v>
      </c>
    </row>
    <row r="1721" customFormat="false" ht="15" hidden="false" customHeight="false" outlineLevel="0" collapsed="false">
      <c r="A1721" s="25" t="n">
        <v>1667539</v>
      </c>
      <c r="B1721" s="25" t="s">
        <v>3855</v>
      </c>
      <c r="C1721" s="25" t="s">
        <v>3856</v>
      </c>
      <c r="D1721" s="26" t="n">
        <v>371</v>
      </c>
      <c r="E1721" s="27" t="n">
        <v>6.43062609038495</v>
      </c>
      <c r="F1721" s="27" t="n">
        <v>6.43062609038495</v>
      </c>
      <c r="G1721" s="25" t="s">
        <v>1538</v>
      </c>
      <c r="H1721" s="25" t="s">
        <v>1539</v>
      </c>
      <c r="I1721" s="25" t="n">
        <f aca="false">IFERROR(IF(INDEX(Documents!$C$5:$C$657,MATCH(H1721,Documents!$A$5:$A$657,0))="","",INDEX(Documents!$C$5:$C$657,MATCH(H1721,Documents!$A$5:$A$657,0))),"")</f>
        <v>2006</v>
      </c>
      <c r="J1721" s="25" t="str">
        <f aca="false">IFERROR(IF(INDEX(Documents!$D$5:$D$657,MATCH(H1721,Documents!$A$5:$A$657,0))="","",INDEX(Documents!$D$5:$D$657,MATCH(H1721,Documents!$A$5:$A$657,0))),"")</f>
        <v>J Med Chem</v>
      </c>
      <c r="K1721" s="25" t="str">
        <f aca="false">IFERROR(IF(INDEX(Documents!$G$5:$G$657,MATCH(H1721,Documents!$A$5:$A$657,0))="","",INDEX(Documents!$G$5:$G$657,MATCH(H1721,Documents!$A$5:$A$657,0))),"")</f>
        <v>10.1021/jm050467q</v>
      </c>
      <c r="L1721" s="25" t="s">
        <v>775</v>
      </c>
    </row>
    <row r="1722" customFormat="false" ht="15" hidden="false" customHeight="false" outlineLevel="0" collapsed="false">
      <c r="A1722" s="25" t="n">
        <v>6366830</v>
      </c>
      <c r="B1722" s="25" t="s">
        <v>3857</v>
      </c>
      <c r="C1722" s="25" t="s">
        <v>3858</v>
      </c>
      <c r="D1722" s="26" t="n">
        <v>100</v>
      </c>
      <c r="E1722" s="27" t="n">
        <v>7</v>
      </c>
      <c r="F1722" s="27" t="n">
        <v>7</v>
      </c>
      <c r="G1722" s="25" t="s">
        <v>2229</v>
      </c>
      <c r="H1722" s="25" t="s">
        <v>2230</v>
      </c>
      <c r="I1722" s="25" t="n">
        <f aca="false">IFERROR(IF(INDEX(Documents!$C$5:$C$657,MATCH(H1722,Documents!$A$5:$A$657,0))="","",INDEX(Documents!$C$5:$C$657,MATCH(H1722,Documents!$A$5:$A$657,0))),"")</f>
        <v>2011</v>
      </c>
      <c r="J1722" s="25" t="str">
        <f aca="false">IFERROR(IF(INDEX(Documents!$D$5:$D$657,MATCH(H1722,Documents!$A$5:$A$657,0))="","",INDEX(Documents!$D$5:$D$657,MATCH(H1722,Documents!$A$5:$A$657,0))),"")</f>
        <v>Eur J Med Chem</v>
      </c>
      <c r="K1722" s="25" t="str">
        <f aca="false">IFERROR(IF(INDEX(Documents!$G$5:$G$657,MATCH(H1722,Documents!$A$5:$A$657,0))="","",INDEX(Documents!$G$5:$G$657,MATCH(H1722,Documents!$A$5:$A$657,0))),"")</f>
        <v>10.1016/j.ejmech.2011.08.021</v>
      </c>
      <c r="L1722" s="25" t="s">
        <v>2231</v>
      </c>
    </row>
    <row r="1723" customFormat="false" ht="15" hidden="false" customHeight="false" outlineLevel="0" collapsed="false">
      <c r="A1723" s="25" t="n">
        <v>12619629</v>
      </c>
      <c r="B1723" s="25" t="s">
        <v>3859</v>
      </c>
      <c r="C1723" s="25" t="s">
        <v>3860</v>
      </c>
      <c r="D1723" s="26" t="n">
        <v>524</v>
      </c>
      <c r="E1723" s="27" t="n">
        <v>6.28066871301627</v>
      </c>
      <c r="F1723" s="27" t="n">
        <v>6.28066871301627</v>
      </c>
      <c r="G1723" s="25" t="s">
        <v>2805</v>
      </c>
      <c r="H1723" s="25" t="s">
        <v>2806</v>
      </c>
      <c r="I1723" s="25" t="n">
        <f aca="false">IFERROR(IF(INDEX(Documents!$C$5:$C$657,MATCH(H1723,Documents!$A$5:$A$657,0))="","",INDEX(Documents!$C$5:$C$657,MATCH(H1723,Documents!$A$5:$A$657,0))),"")</f>
        <v>2013</v>
      </c>
      <c r="J1723" s="25" t="str">
        <f aca="false">IFERROR(IF(INDEX(Documents!$D$5:$D$657,MATCH(H1723,Documents!$A$5:$A$657,0))="","",INDEX(Documents!$D$5:$D$657,MATCH(H1723,Documents!$A$5:$A$657,0))),"")</f>
        <v>J Med Chem</v>
      </c>
      <c r="K1723" s="25" t="str">
        <f aca="false">IFERROR(IF(INDEX(Documents!$G$5:$G$657,MATCH(H1723,Documents!$A$5:$A$657,0))="","",INDEX(Documents!$G$5:$G$657,MATCH(H1723,Documents!$A$5:$A$657,0))),"")</f>
        <v>10.1021/jm301527r</v>
      </c>
      <c r="L1723" s="25" t="s">
        <v>2807</v>
      </c>
    </row>
    <row r="1724" customFormat="false" ht="15" hidden="false" customHeight="false" outlineLevel="0" collapsed="false">
      <c r="A1724" s="25" t="n">
        <v>12116575</v>
      </c>
      <c r="B1724" s="25" t="s">
        <v>3861</v>
      </c>
      <c r="C1724" s="25" t="s">
        <v>3862</v>
      </c>
      <c r="D1724" s="26" t="n">
        <v>9.2</v>
      </c>
      <c r="E1724" s="27" t="n">
        <v>8.03621217265444</v>
      </c>
      <c r="F1724" s="27" t="n">
        <v>8.03621217265444</v>
      </c>
      <c r="G1724" s="25" t="s">
        <v>3415</v>
      </c>
      <c r="H1724" s="25" t="s">
        <v>3416</v>
      </c>
      <c r="I1724" s="25" t="n">
        <f aca="false">IFERROR(IF(INDEX(Documents!$C$5:$C$657,MATCH(H1724,Documents!$A$5:$A$657,0))="","",INDEX(Documents!$C$5:$C$657,MATCH(H1724,Documents!$A$5:$A$657,0))),"")</f>
        <v>2012</v>
      </c>
      <c r="J1724" s="25" t="str">
        <f aca="false">IFERROR(IF(INDEX(Documents!$D$5:$D$657,MATCH(H1724,Documents!$A$5:$A$657,0))="","",INDEX(Documents!$D$5:$D$657,MATCH(H1724,Documents!$A$5:$A$657,0))),"")</f>
        <v>J Med Chem</v>
      </c>
      <c r="K1724" s="25" t="str">
        <f aca="false">IFERROR(IF(INDEX(Documents!$G$5:$G$657,MATCH(H1724,Documents!$A$5:$A$657,0))="","",INDEX(Documents!$G$5:$G$657,MATCH(H1724,Documents!$A$5:$A$657,0))),"")</f>
        <v>10.1021/jm3008568</v>
      </c>
      <c r="L1724" s="25" t="s">
        <v>3417</v>
      </c>
    </row>
    <row r="1725" customFormat="false" ht="15" hidden="false" customHeight="false" outlineLevel="0" collapsed="false">
      <c r="A1725" s="25" t="n">
        <v>2650387</v>
      </c>
      <c r="B1725" s="25" t="s">
        <v>3863</v>
      </c>
      <c r="C1725" s="25" t="s">
        <v>3864</v>
      </c>
      <c r="D1725" s="26" t="n">
        <v>7.194</v>
      </c>
      <c r="E1725" s="27" t="n">
        <v>8.14302956651751</v>
      </c>
      <c r="F1725" s="27" t="n">
        <v>8.14302956651751</v>
      </c>
      <c r="G1725" s="25" t="s">
        <v>3265</v>
      </c>
      <c r="H1725" s="25" t="s">
        <v>3266</v>
      </c>
      <c r="I1725" s="25" t="n">
        <f aca="false">IFERROR(IF(INDEX(Documents!$C$5:$C$657,MATCH(H1725,Documents!$A$5:$A$657,0))="","",INDEX(Documents!$C$5:$C$657,MATCH(H1725,Documents!$A$5:$A$657,0))),"")</f>
        <v>2009</v>
      </c>
      <c r="J1725" s="25" t="str">
        <f aca="false">IFERROR(IF(INDEX(Documents!$D$5:$D$657,MATCH(H1725,Documents!$A$5:$A$657,0))="","",INDEX(Documents!$D$5:$D$657,MATCH(H1725,Documents!$A$5:$A$657,0))),"")</f>
        <v>Eur J Med Chem</v>
      </c>
      <c r="K1725" s="25" t="str">
        <f aca="false">IFERROR(IF(INDEX(Documents!$G$5:$G$657,MATCH(H1725,Documents!$A$5:$A$657,0))="","",INDEX(Documents!$G$5:$G$657,MATCH(H1725,Documents!$A$5:$A$657,0))),"")</f>
        <v>10.1016/j.ejmech.2009.01.026</v>
      </c>
      <c r="L1725" s="25" t="s">
        <v>3267</v>
      </c>
    </row>
    <row r="1726" customFormat="false" ht="15" hidden="false" customHeight="false" outlineLevel="0" collapsed="false">
      <c r="A1726" s="25" t="n">
        <v>1993814</v>
      </c>
      <c r="B1726" s="25" t="s">
        <v>3865</v>
      </c>
      <c r="C1726" s="25" t="s">
        <v>3866</v>
      </c>
      <c r="D1726" s="26" t="n">
        <v>1500</v>
      </c>
      <c r="E1726" s="27" t="n">
        <v>5.82390874094432</v>
      </c>
      <c r="F1726" s="27" t="n">
        <v>5.82390874094432</v>
      </c>
      <c r="G1726" s="25" t="s">
        <v>1527</v>
      </c>
      <c r="H1726" s="25" t="s">
        <v>1528</v>
      </c>
      <c r="I1726" s="25" t="n">
        <f aca="false">IFERROR(IF(INDEX(Documents!$C$5:$C$657,MATCH(H1726,Documents!$A$5:$A$657,0))="","",INDEX(Documents!$C$5:$C$657,MATCH(H1726,Documents!$A$5:$A$657,0))),"")</f>
        <v>2007</v>
      </c>
      <c r="J1726" s="25" t="str">
        <f aca="false">IFERROR(IF(INDEX(Documents!$D$5:$D$657,MATCH(H1726,Documents!$A$5:$A$657,0))="","",INDEX(Documents!$D$5:$D$657,MATCH(H1726,Documents!$A$5:$A$657,0))),"")</f>
        <v>J Med Chem</v>
      </c>
      <c r="K1726" s="25" t="str">
        <f aca="false">IFERROR(IF(INDEX(Documents!$G$5:$G$657,MATCH(H1726,Documents!$A$5:$A$657,0))="","",INDEX(Documents!$G$5:$G$657,MATCH(H1726,Documents!$A$5:$A$657,0))),"")</f>
        <v>10.1021/jm070387h</v>
      </c>
      <c r="L1726" s="25" t="s">
        <v>1529</v>
      </c>
    </row>
    <row r="1727" customFormat="false" ht="15" hidden="false" customHeight="false" outlineLevel="0" collapsed="false">
      <c r="A1727" s="25" t="n">
        <v>6366803</v>
      </c>
      <c r="B1727" s="25" t="s">
        <v>3867</v>
      </c>
      <c r="C1727" s="25" t="s">
        <v>3868</v>
      </c>
      <c r="D1727" s="26" t="n">
        <v>39.81</v>
      </c>
      <c r="E1727" s="27" t="n">
        <v>7.4000078224159</v>
      </c>
      <c r="F1727" s="27" t="n">
        <v>7.4000078224159</v>
      </c>
      <c r="G1727" s="25" t="s">
        <v>2229</v>
      </c>
      <c r="H1727" s="25" t="s">
        <v>2230</v>
      </c>
      <c r="I1727" s="25" t="n">
        <f aca="false">IFERROR(IF(INDEX(Documents!$C$5:$C$657,MATCH(H1727,Documents!$A$5:$A$657,0))="","",INDEX(Documents!$C$5:$C$657,MATCH(H1727,Documents!$A$5:$A$657,0))),"")</f>
        <v>2011</v>
      </c>
      <c r="J1727" s="25" t="str">
        <f aca="false">IFERROR(IF(INDEX(Documents!$D$5:$D$657,MATCH(H1727,Documents!$A$5:$A$657,0))="","",INDEX(Documents!$D$5:$D$657,MATCH(H1727,Documents!$A$5:$A$657,0))),"")</f>
        <v>Eur J Med Chem</v>
      </c>
      <c r="K1727" s="25" t="str">
        <f aca="false">IFERROR(IF(INDEX(Documents!$G$5:$G$657,MATCH(H1727,Documents!$A$5:$A$657,0))="","",INDEX(Documents!$G$5:$G$657,MATCH(H1727,Documents!$A$5:$A$657,0))),"")</f>
        <v>10.1016/j.ejmech.2011.08.021</v>
      </c>
      <c r="L1727" s="25" t="s">
        <v>2231</v>
      </c>
    </row>
    <row r="1728" customFormat="false" ht="15" hidden="false" customHeight="false" outlineLevel="0" collapsed="false">
      <c r="A1728" s="25" t="n">
        <v>12181908</v>
      </c>
      <c r="B1728" s="25" t="s">
        <v>3869</v>
      </c>
      <c r="C1728" s="25" t="s">
        <v>3870</v>
      </c>
      <c r="D1728" s="26" t="n">
        <v>1.1</v>
      </c>
      <c r="E1728" s="27" t="n">
        <v>8.95860731484178</v>
      </c>
      <c r="F1728" s="27" t="n">
        <v>8.95860731484178</v>
      </c>
      <c r="G1728" s="25" t="s">
        <v>3260</v>
      </c>
      <c r="H1728" s="25" t="s">
        <v>3261</v>
      </c>
      <c r="I1728" s="25" t="n">
        <f aca="false">IFERROR(IF(INDEX(Documents!$C$5:$C$657,MATCH(H1728,Documents!$A$5:$A$657,0))="","",INDEX(Documents!$C$5:$C$657,MATCH(H1728,Documents!$A$5:$A$657,0))),"")</f>
        <v>2012</v>
      </c>
      <c r="J1728" s="25" t="str">
        <f aca="false">IFERROR(IF(INDEX(Documents!$D$5:$D$657,MATCH(H1728,Documents!$A$5:$A$657,0))="","",INDEX(Documents!$D$5:$D$657,MATCH(H1728,Documents!$A$5:$A$657,0))),"")</f>
        <v>Bioorg Med Chem</v>
      </c>
      <c r="K1728" s="25" t="str">
        <f aca="false">IFERROR(IF(INDEX(Documents!$G$5:$G$657,MATCH(H1728,Documents!$A$5:$A$657,0))="","",INDEX(Documents!$G$5:$G$657,MATCH(H1728,Documents!$A$5:$A$657,0))),"")</f>
        <v>10.1016/j.bmc.2012.01.038</v>
      </c>
      <c r="L1728" s="25" t="s">
        <v>3262</v>
      </c>
    </row>
    <row r="1729" customFormat="false" ht="15" hidden="false" customHeight="false" outlineLevel="0" collapsed="false">
      <c r="A1729" s="25" t="n">
        <v>2650294</v>
      </c>
      <c r="B1729" s="25" t="s">
        <v>3871</v>
      </c>
      <c r="C1729" s="25" t="s">
        <v>3872</v>
      </c>
      <c r="D1729" s="26" t="n">
        <v>1.199</v>
      </c>
      <c r="E1729" s="27" t="n">
        <v>8.92118081690115</v>
      </c>
      <c r="F1729" s="27" t="n">
        <v>8.92118081690115</v>
      </c>
      <c r="G1729" s="25" t="s">
        <v>3265</v>
      </c>
      <c r="H1729" s="25" t="s">
        <v>3266</v>
      </c>
      <c r="I1729" s="25" t="n">
        <f aca="false">IFERROR(IF(INDEX(Documents!$C$5:$C$657,MATCH(H1729,Documents!$A$5:$A$657,0))="","",INDEX(Documents!$C$5:$C$657,MATCH(H1729,Documents!$A$5:$A$657,0))),"")</f>
        <v>2009</v>
      </c>
      <c r="J1729" s="25" t="str">
        <f aca="false">IFERROR(IF(INDEX(Documents!$D$5:$D$657,MATCH(H1729,Documents!$A$5:$A$657,0))="","",INDEX(Documents!$D$5:$D$657,MATCH(H1729,Documents!$A$5:$A$657,0))),"")</f>
        <v>Eur J Med Chem</v>
      </c>
      <c r="K1729" s="25" t="str">
        <f aca="false">IFERROR(IF(INDEX(Documents!$G$5:$G$657,MATCH(H1729,Documents!$A$5:$A$657,0))="","",INDEX(Documents!$G$5:$G$657,MATCH(H1729,Documents!$A$5:$A$657,0))),"")</f>
        <v>10.1016/j.ejmech.2009.01.026</v>
      </c>
      <c r="L1729" s="25" t="s">
        <v>3267</v>
      </c>
    </row>
    <row r="1730" customFormat="false" ht="15" hidden="false" customHeight="false" outlineLevel="0" collapsed="false">
      <c r="A1730" s="25" t="n">
        <v>2650336</v>
      </c>
      <c r="B1730" s="25" t="s">
        <v>3873</v>
      </c>
      <c r="C1730" s="25" t="s">
        <v>3874</v>
      </c>
      <c r="D1730" s="26" t="n">
        <v>0.6902</v>
      </c>
      <c r="E1730" s="27" t="n">
        <v>9.16102504504453</v>
      </c>
      <c r="F1730" s="27" t="n">
        <v>9.16102504504453</v>
      </c>
      <c r="G1730" s="25" t="s">
        <v>3265</v>
      </c>
      <c r="H1730" s="25" t="s">
        <v>3266</v>
      </c>
      <c r="I1730" s="25" t="n">
        <f aca="false">IFERROR(IF(INDEX(Documents!$C$5:$C$657,MATCH(H1730,Documents!$A$5:$A$657,0))="","",INDEX(Documents!$C$5:$C$657,MATCH(H1730,Documents!$A$5:$A$657,0))),"")</f>
        <v>2009</v>
      </c>
      <c r="J1730" s="25" t="str">
        <f aca="false">IFERROR(IF(INDEX(Documents!$D$5:$D$657,MATCH(H1730,Documents!$A$5:$A$657,0))="","",INDEX(Documents!$D$5:$D$657,MATCH(H1730,Documents!$A$5:$A$657,0))),"")</f>
        <v>Eur J Med Chem</v>
      </c>
      <c r="K1730" s="25" t="str">
        <f aca="false">IFERROR(IF(INDEX(Documents!$G$5:$G$657,MATCH(H1730,Documents!$A$5:$A$657,0))="","",INDEX(Documents!$G$5:$G$657,MATCH(H1730,Documents!$A$5:$A$657,0))),"")</f>
        <v>10.1016/j.ejmech.2009.01.026</v>
      </c>
      <c r="L1730" s="25" t="s">
        <v>3267</v>
      </c>
    </row>
    <row r="1731" customFormat="false" ht="15" hidden="false" customHeight="false" outlineLevel="0" collapsed="false">
      <c r="A1731" s="25" t="n">
        <v>2650330</v>
      </c>
      <c r="B1731" s="25" t="s">
        <v>3875</v>
      </c>
      <c r="C1731" s="25" t="s">
        <v>3876</v>
      </c>
      <c r="D1731" s="26" t="n">
        <v>1.099</v>
      </c>
      <c r="E1731" s="27" t="n">
        <v>8.95900230757651</v>
      </c>
      <c r="F1731" s="27" t="n">
        <v>8.95900230757651</v>
      </c>
      <c r="G1731" s="25" t="s">
        <v>3265</v>
      </c>
      <c r="H1731" s="25" t="s">
        <v>3266</v>
      </c>
      <c r="I1731" s="25" t="n">
        <f aca="false">IFERROR(IF(INDEX(Documents!$C$5:$C$657,MATCH(H1731,Documents!$A$5:$A$657,0))="","",INDEX(Documents!$C$5:$C$657,MATCH(H1731,Documents!$A$5:$A$657,0))),"")</f>
        <v>2009</v>
      </c>
      <c r="J1731" s="25" t="str">
        <f aca="false">IFERROR(IF(INDEX(Documents!$D$5:$D$657,MATCH(H1731,Documents!$A$5:$A$657,0))="","",INDEX(Documents!$D$5:$D$657,MATCH(H1731,Documents!$A$5:$A$657,0))),"")</f>
        <v>Eur J Med Chem</v>
      </c>
      <c r="K1731" s="25" t="str">
        <f aca="false">IFERROR(IF(INDEX(Documents!$G$5:$G$657,MATCH(H1731,Documents!$A$5:$A$657,0))="","",INDEX(Documents!$G$5:$G$657,MATCH(H1731,Documents!$A$5:$A$657,0))),"")</f>
        <v>10.1016/j.ejmech.2009.01.026</v>
      </c>
      <c r="L1731" s="25" t="s">
        <v>3267</v>
      </c>
    </row>
    <row r="1732" customFormat="false" ht="15" hidden="false" customHeight="false" outlineLevel="0" collapsed="false">
      <c r="A1732" s="25" t="n">
        <v>2650360</v>
      </c>
      <c r="B1732" s="25" t="s">
        <v>3877</v>
      </c>
      <c r="C1732" s="25" t="s">
        <v>3878</v>
      </c>
      <c r="D1732" s="26" t="n">
        <v>7.194</v>
      </c>
      <c r="E1732" s="27" t="n">
        <v>8.14302956651751</v>
      </c>
      <c r="F1732" s="27" t="n">
        <v>8.14302956651751</v>
      </c>
      <c r="G1732" s="25" t="s">
        <v>3265</v>
      </c>
      <c r="H1732" s="25" t="s">
        <v>3266</v>
      </c>
      <c r="I1732" s="25" t="n">
        <f aca="false">IFERROR(IF(INDEX(Documents!$C$5:$C$657,MATCH(H1732,Documents!$A$5:$A$657,0))="","",INDEX(Documents!$C$5:$C$657,MATCH(H1732,Documents!$A$5:$A$657,0))),"")</f>
        <v>2009</v>
      </c>
      <c r="J1732" s="25" t="str">
        <f aca="false">IFERROR(IF(INDEX(Documents!$D$5:$D$657,MATCH(H1732,Documents!$A$5:$A$657,0))="","",INDEX(Documents!$D$5:$D$657,MATCH(H1732,Documents!$A$5:$A$657,0))),"")</f>
        <v>Eur J Med Chem</v>
      </c>
      <c r="K1732" s="25" t="str">
        <f aca="false">IFERROR(IF(INDEX(Documents!$G$5:$G$657,MATCH(H1732,Documents!$A$5:$A$657,0))="","",INDEX(Documents!$G$5:$G$657,MATCH(H1732,Documents!$A$5:$A$657,0))),"")</f>
        <v>10.1016/j.ejmech.2009.01.026</v>
      </c>
      <c r="L1732" s="25" t="s">
        <v>3267</v>
      </c>
    </row>
    <row r="1733" customFormat="false" ht="15" hidden="false" customHeight="false" outlineLevel="0" collapsed="false">
      <c r="A1733" s="25" t="n">
        <v>12181912</v>
      </c>
      <c r="B1733" s="25" t="s">
        <v>3879</v>
      </c>
      <c r="C1733" s="25" t="s">
        <v>3880</v>
      </c>
      <c r="D1733" s="26" t="n">
        <v>2.8</v>
      </c>
      <c r="E1733" s="27" t="n">
        <v>8.55284196865778</v>
      </c>
      <c r="F1733" s="27" t="n">
        <v>8.55284196865778</v>
      </c>
      <c r="G1733" s="25" t="s">
        <v>3260</v>
      </c>
      <c r="H1733" s="25" t="s">
        <v>3261</v>
      </c>
      <c r="I1733" s="25" t="n">
        <f aca="false">IFERROR(IF(INDEX(Documents!$C$5:$C$657,MATCH(H1733,Documents!$A$5:$A$657,0))="","",INDEX(Documents!$C$5:$C$657,MATCH(H1733,Documents!$A$5:$A$657,0))),"")</f>
        <v>2012</v>
      </c>
      <c r="J1733" s="25" t="str">
        <f aca="false">IFERROR(IF(INDEX(Documents!$D$5:$D$657,MATCH(H1733,Documents!$A$5:$A$657,0))="","",INDEX(Documents!$D$5:$D$657,MATCH(H1733,Documents!$A$5:$A$657,0))),"")</f>
        <v>Bioorg Med Chem</v>
      </c>
      <c r="K1733" s="25" t="str">
        <f aca="false">IFERROR(IF(INDEX(Documents!$G$5:$G$657,MATCH(H1733,Documents!$A$5:$A$657,0))="","",INDEX(Documents!$G$5:$G$657,MATCH(H1733,Documents!$A$5:$A$657,0))),"")</f>
        <v>10.1016/j.bmc.2012.01.038</v>
      </c>
      <c r="L1733" s="25" t="s">
        <v>3262</v>
      </c>
    </row>
    <row r="1734" customFormat="false" ht="15" hidden="false" customHeight="false" outlineLevel="0" collapsed="false">
      <c r="A1734" s="25" t="n">
        <v>12181916</v>
      </c>
      <c r="B1734" s="25" t="s">
        <v>3881</v>
      </c>
      <c r="C1734" s="25" t="s">
        <v>3882</v>
      </c>
      <c r="D1734" s="26" t="n">
        <v>3.2</v>
      </c>
      <c r="E1734" s="27" t="n">
        <v>8.49485002168009</v>
      </c>
      <c r="F1734" s="27" t="n">
        <v>8.49485002168009</v>
      </c>
      <c r="G1734" s="25" t="s">
        <v>3260</v>
      </c>
      <c r="H1734" s="25" t="s">
        <v>3261</v>
      </c>
      <c r="I1734" s="25" t="n">
        <f aca="false">IFERROR(IF(INDEX(Documents!$C$5:$C$657,MATCH(H1734,Documents!$A$5:$A$657,0))="","",INDEX(Documents!$C$5:$C$657,MATCH(H1734,Documents!$A$5:$A$657,0))),"")</f>
        <v>2012</v>
      </c>
      <c r="J1734" s="25" t="str">
        <f aca="false">IFERROR(IF(INDEX(Documents!$D$5:$D$657,MATCH(H1734,Documents!$A$5:$A$657,0))="","",INDEX(Documents!$D$5:$D$657,MATCH(H1734,Documents!$A$5:$A$657,0))),"")</f>
        <v>Bioorg Med Chem</v>
      </c>
      <c r="K1734" s="25" t="str">
        <f aca="false">IFERROR(IF(INDEX(Documents!$G$5:$G$657,MATCH(H1734,Documents!$A$5:$A$657,0))="","",INDEX(Documents!$G$5:$G$657,MATCH(H1734,Documents!$A$5:$A$657,0))),"")</f>
        <v>10.1016/j.bmc.2012.01.038</v>
      </c>
      <c r="L1734" s="25" t="s">
        <v>3262</v>
      </c>
    </row>
    <row r="1735" customFormat="false" ht="15" hidden="false" customHeight="false" outlineLevel="0" collapsed="false">
      <c r="A1735" s="25" t="n">
        <v>12181904</v>
      </c>
      <c r="B1735" s="25" t="s">
        <v>3883</v>
      </c>
      <c r="C1735" s="25" t="s">
        <v>3884</v>
      </c>
      <c r="D1735" s="26" t="n">
        <v>1.3</v>
      </c>
      <c r="E1735" s="27" t="n">
        <v>8.88605664769316</v>
      </c>
      <c r="F1735" s="27" t="n">
        <v>8.88605664769316</v>
      </c>
      <c r="G1735" s="25" t="s">
        <v>3260</v>
      </c>
      <c r="H1735" s="25" t="s">
        <v>3261</v>
      </c>
      <c r="I1735" s="25" t="n">
        <f aca="false">IFERROR(IF(INDEX(Documents!$C$5:$C$657,MATCH(H1735,Documents!$A$5:$A$657,0))="","",INDEX(Documents!$C$5:$C$657,MATCH(H1735,Documents!$A$5:$A$657,0))),"")</f>
        <v>2012</v>
      </c>
      <c r="J1735" s="25" t="str">
        <f aca="false">IFERROR(IF(INDEX(Documents!$D$5:$D$657,MATCH(H1735,Documents!$A$5:$A$657,0))="","",INDEX(Documents!$D$5:$D$657,MATCH(H1735,Documents!$A$5:$A$657,0))),"")</f>
        <v>Bioorg Med Chem</v>
      </c>
      <c r="K1735" s="25" t="str">
        <f aca="false">IFERROR(IF(INDEX(Documents!$G$5:$G$657,MATCH(H1735,Documents!$A$5:$A$657,0))="","",INDEX(Documents!$G$5:$G$657,MATCH(H1735,Documents!$A$5:$A$657,0))),"")</f>
        <v>10.1016/j.bmc.2012.01.038</v>
      </c>
      <c r="L1735" s="25" t="s">
        <v>3262</v>
      </c>
    </row>
    <row r="1736" customFormat="false" ht="15" hidden="false" customHeight="false" outlineLevel="0" collapsed="false">
      <c r="A1736" s="25" t="n">
        <v>2650282</v>
      </c>
      <c r="B1736" s="25" t="s">
        <v>3885</v>
      </c>
      <c r="C1736" s="25" t="s">
        <v>3886</v>
      </c>
      <c r="D1736" s="26" t="n">
        <v>12.39</v>
      </c>
      <c r="E1736" s="27" t="n">
        <v>7.90692869362394</v>
      </c>
      <c r="F1736" s="27" t="n">
        <v>7.90692869362394</v>
      </c>
      <c r="G1736" s="25" t="s">
        <v>3265</v>
      </c>
      <c r="H1736" s="25" t="s">
        <v>3266</v>
      </c>
      <c r="I1736" s="25" t="n">
        <f aca="false">IFERROR(IF(INDEX(Documents!$C$5:$C$657,MATCH(H1736,Documents!$A$5:$A$657,0))="","",INDEX(Documents!$C$5:$C$657,MATCH(H1736,Documents!$A$5:$A$657,0))),"")</f>
        <v>2009</v>
      </c>
      <c r="J1736" s="25" t="str">
        <f aca="false">IFERROR(IF(INDEX(Documents!$D$5:$D$657,MATCH(H1736,Documents!$A$5:$A$657,0))="","",INDEX(Documents!$D$5:$D$657,MATCH(H1736,Documents!$A$5:$A$657,0))),"")</f>
        <v>Eur J Med Chem</v>
      </c>
      <c r="K1736" s="25" t="str">
        <f aca="false">IFERROR(IF(INDEX(Documents!$G$5:$G$657,MATCH(H1736,Documents!$A$5:$A$657,0))="","",INDEX(Documents!$G$5:$G$657,MATCH(H1736,Documents!$A$5:$A$657,0))),"")</f>
        <v>10.1016/j.ejmech.2009.01.026</v>
      </c>
      <c r="L1736" s="25" t="s">
        <v>3267</v>
      </c>
    </row>
    <row r="1737" customFormat="false" ht="15" hidden="false" customHeight="false" outlineLevel="0" collapsed="false">
      <c r="A1737" s="25" t="n">
        <v>2650369</v>
      </c>
      <c r="B1737" s="25" t="s">
        <v>3887</v>
      </c>
      <c r="C1737" s="25" t="s">
        <v>3888</v>
      </c>
      <c r="D1737" s="26" t="n">
        <v>10.5</v>
      </c>
      <c r="E1737" s="27" t="n">
        <v>7.97881070093006</v>
      </c>
      <c r="F1737" s="27" t="n">
        <v>7.97881070093006</v>
      </c>
      <c r="G1737" s="25" t="s">
        <v>3265</v>
      </c>
      <c r="H1737" s="25" t="s">
        <v>3266</v>
      </c>
      <c r="I1737" s="25" t="n">
        <f aca="false">IFERROR(IF(INDEX(Documents!$C$5:$C$657,MATCH(H1737,Documents!$A$5:$A$657,0))="","",INDEX(Documents!$C$5:$C$657,MATCH(H1737,Documents!$A$5:$A$657,0))),"")</f>
        <v>2009</v>
      </c>
      <c r="J1737" s="25" t="str">
        <f aca="false">IFERROR(IF(INDEX(Documents!$D$5:$D$657,MATCH(H1737,Documents!$A$5:$A$657,0))="","",INDEX(Documents!$D$5:$D$657,MATCH(H1737,Documents!$A$5:$A$657,0))),"")</f>
        <v>Eur J Med Chem</v>
      </c>
      <c r="K1737" s="25" t="str">
        <f aca="false">IFERROR(IF(INDEX(Documents!$G$5:$G$657,MATCH(H1737,Documents!$A$5:$A$657,0))="","",INDEX(Documents!$G$5:$G$657,MATCH(H1737,Documents!$A$5:$A$657,0))),"")</f>
        <v>10.1016/j.ejmech.2009.01.026</v>
      </c>
      <c r="L1737" s="25" t="s">
        <v>3267</v>
      </c>
    </row>
    <row r="1738" customFormat="false" ht="15" hidden="false" customHeight="false" outlineLevel="0" collapsed="false">
      <c r="A1738" s="25" t="n">
        <v>23228650</v>
      </c>
      <c r="B1738" s="25" t="s">
        <v>3889</v>
      </c>
      <c r="C1738" s="25" t="s">
        <v>3890</v>
      </c>
      <c r="D1738" s="26" t="n">
        <v>4.9</v>
      </c>
      <c r="E1738" s="27" t="n">
        <v>8.30980391997149</v>
      </c>
      <c r="F1738" s="27" t="n">
        <v>8.30980391997149</v>
      </c>
      <c r="G1738" s="25" t="s">
        <v>266</v>
      </c>
      <c r="H1738" s="25" t="s">
        <v>267</v>
      </c>
      <c r="I1738" s="25" t="n">
        <f aca="false">IFERROR(IF(INDEX(Documents!$C$5:$C$657,MATCH(H1738,Documents!$A$5:$A$657,0))="","",INDEX(Documents!$C$5:$C$657,MATCH(H1738,Documents!$A$5:$A$657,0))),"")</f>
        <v>2021</v>
      </c>
      <c r="J1738" s="25" t="str">
        <f aca="false">IFERROR(IF(INDEX(Documents!$D$5:$D$657,MATCH(H1738,Documents!$A$5:$A$657,0))="","",INDEX(Documents!$D$5:$D$657,MATCH(H1738,Documents!$A$5:$A$657,0))),"")</f>
        <v>J Med Chem</v>
      </c>
      <c r="K1738" s="25" t="str">
        <f aca="false">IFERROR(IF(INDEX(Documents!$G$5:$G$657,MATCH(H1738,Documents!$A$5:$A$657,0))="","",INDEX(Documents!$G$5:$G$657,MATCH(H1738,Documents!$A$5:$A$657,0))),"")</f>
        <v>10.1021/acs.jmedchem.1c00442</v>
      </c>
      <c r="L1738" s="25" t="s">
        <v>268</v>
      </c>
    </row>
    <row r="1739" customFormat="false" ht="15" hidden="false" customHeight="false" outlineLevel="0" collapsed="false">
      <c r="A1739" s="25" t="n">
        <v>1993821</v>
      </c>
      <c r="B1739" s="25" t="s">
        <v>3891</v>
      </c>
      <c r="C1739" s="25" t="s">
        <v>3892</v>
      </c>
      <c r="D1739" s="26" t="n">
        <v>1288</v>
      </c>
      <c r="E1739" s="27" t="n">
        <v>5.89008413697621</v>
      </c>
      <c r="F1739" s="27" t="n">
        <v>5.89008413697621</v>
      </c>
      <c r="G1739" s="25" t="s">
        <v>1527</v>
      </c>
      <c r="H1739" s="25" t="s">
        <v>1528</v>
      </c>
      <c r="I1739" s="25" t="n">
        <f aca="false">IFERROR(IF(INDEX(Documents!$C$5:$C$657,MATCH(H1739,Documents!$A$5:$A$657,0))="","",INDEX(Documents!$C$5:$C$657,MATCH(H1739,Documents!$A$5:$A$657,0))),"")</f>
        <v>2007</v>
      </c>
      <c r="J1739" s="25" t="str">
        <f aca="false">IFERROR(IF(INDEX(Documents!$D$5:$D$657,MATCH(H1739,Documents!$A$5:$A$657,0))="","",INDEX(Documents!$D$5:$D$657,MATCH(H1739,Documents!$A$5:$A$657,0))),"")</f>
        <v>J Med Chem</v>
      </c>
      <c r="K1739" s="25" t="str">
        <f aca="false">IFERROR(IF(INDEX(Documents!$G$5:$G$657,MATCH(H1739,Documents!$A$5:$A$657,0))="","",INDEX(Documents!$G$5:$G$657,MATCH(H1739,Documents!$A$5:$A$657,0))),"")</f>
        <v>10.1021/jm070387h</v>
      </c>
      <c r="L1739" s="25" t="s">
        <v>1529</v>
      </c>
    </row>
    <row r="1740" customFormat="false" ht="15" hidden="false" customHeight="false" outlineLevel="0" collapsed="false">
      <c r="A1740" s="25" t="n">
        <v>6366804</v>
      </c>
      <c r="B1740" s="25" t="s">
        <v>3893</v>
      </c>
      <c r="C1740" s="25" t="s">
        <v>3894</v>
      </c>
      <c r="D1740" s="26" t="n">
        <v>63.1</v>
      </c>
      <c r="E1740" s="27" t="n">
        <v>7.19997064075587</v>
      </c>
      <c r="F1740" s="27" t="n">
        <v>7.19997064075587</v>
      </c>
      <c r="G1740" s="25" t="s">
        <v>2229</v>
      </c>
      <c r="H1740" s="25" t="s">
        <v>2230</v>
      </c>
      <c r="I1740" s="25" t="n">
        <f aca="false">IFERROR(IF(INDEX(Documents!$C$5:$C$657,MATCH(H1740,Documents!$A$5:$A$657,0))="","",INDEX(Documents!$C$5:$C$657,MATCH(H1740,Documents!$A$5:$A$657,0))),"")</f>
        <v>2011</v>
      </c>
      <c r="J1740" s="25" t="str">
        <f aca="false">IFERROR(IF(INDEX(Documents!$D$5:$D$657,MATCH(H1740,Documents!$A$5:$A$657,0))="","",INDEX(Documents!$D$5:$D$657,MATCH(H1740,Documents!$A$5:$A$657,0))),"")</f>
        <v>Eur J Med Chem</v>
      </c>
      <c r="K1740" s="25" t="str">
        <f aca="false">IFERROR(IF(INDEX(Documents!$G$5:$G$657,MATCH(H1740,Documents!$A$5:$A$657,0))="","",INDEX(Documents!$G$5:$G$657,MATCH(H1740,Documents!$A$5:$A$657,0))),"")</f>
        <v>10.1016/j.ejmech.2011.08.021</v>
      </c>
      <c r="L1740" s="25" t="s">
        <v>2231</v>
      </c>
    </row>
    <row r="1741" customFormat="false" ht="15" hidden="false" customHeight="false" outlineLevel="0" collapsed="false">
      <c r="A1741" s="25" t="n">
        <v>23228649</v>
      </c>
      <c r="B1741" s="25" t="s">
        <v>3895</v>
      </c>
      <c r="C1741" s="25" t="s">
        <v>3896</v>
      </c>
      <c r="D1741" s="26" t="n">
        <v>1.36</v>
      </c>
      <c r="E1741" s="27" t="n">
        <v>8.86646109162978</v>
      </c>
      <c r="F1741" s="27" t="n">
        <v>8.86646109162978</v>
      </c>
      <c r="G1741" s="25" t="s">
        <v>266</v>
      </c>
      <c r="H1741" s="25" t="s">
        <v>267</v>
      </c>
      <c r="I1741" s="25" t="n">
        <f aca="false">IFERROR(IF(INDEX(Documents!$C$5:$C$657,MATCH(H1741,Documents!$A$5:$A$657,0))="","",INDEX(Documents!$C$5:$C$657,MATCH(H1741,Documents!$A$5:$A$657,0))),"")</f>
        <v>2021</v>
      </c>
      <c r="J1741" s="25" t="str">
        <f aca="false">IFERROR(IF(INDEX(Documents!$D$5:$D$657,MATCH(H1741,Documents!$A$5:$A$657,0))="","",INDEX(Documents!$D$5:$D$657,MATCH(H1741,Documents!$A$5:$A$657,0))),"")</f>
        <v>J Med Chem</v>
      </c>
      <c r="K1741" s="25" t="str">
        <f aca="false">IFERROR(IF(INDEX(Documents!$G$5:$G$657,MATCH(H1741,Documents!$A$5:$A$657,0))="","",INDEX(Documents!$G$5:$G$657,MATCH(H1741,Documents!$A$5:$A$657,0))),"")</f>
        <v>10.1021/acs.jmedchem.1c00442</v>
      </c>
      <c r="L1741" s="25" t="s">
        <v>268</v>
      </c>
    </row>
    <row r="1742" customFormat="false" ht="15" hidden="false" customHeight="false" outlineLevel="0" collapsed="false">
      <c r="A1742" s="25" t="n">
        <v>2650321</v>
      </c>
      <c r="B1742" s="25" t="s">
        <v>3897</v>
      </c>
      <c r="C1742" s="25" t="s">
        <v>3898</v>
      </c>
      <c r="D1742" s="26" t="n">
        <v>1.901</v>
      </c>
      <c r="E1742" s="27" t="n">
        <v>8.72101788313456</v>
      </c>
      <c r="F1742" s="27" t="n">
        <v>8.72101788313456</v>
      </c>
      <c r="G1742" s="25" t="s">
        <v>3265</v>
      </c>
      <c r="H1742" s="25" t="s">
        <v>3266</v>
      </c>
      <c r="I1742" s="25" t="n">
        <f aca="false">IFERROR(IF(INDEX(Documents!$C$5:$C$657,MATCH(H1742,Documents!$A$5:$A$657,0))="","",INDEX(Documents!$C$5:$C$657,MATCH(H1742,Documents!$A$5:$A$657,0))),"")</f>
        <v>2009</v>
      </c>
      <c r="J1742" s="25" t="str">
        <f aca="false">IFERROR(IF(INDEX(Documents!$D$5:$D$657,MATCH(H1742,Documents!$A$5:$A$657,0))="","",INDEX(Documents!$D$5:$D$657,MATCH(H1742,Documents!$A$5:$A$657,0))),"")</f>
        <v>Eur J Med Chem</v>
      </c>
      <c r="K1742" s="25" t="str">
        <f aca="false">IFERROR(IF(INDEX(Documents!$G$5:$G$657,MATCH(H1742,Documents!$A$5:$A$657,0))="","",INDEX(Documents!$G$5:$G$657,MATCH(H1742,Documents!$A$5:$A$657,0))),"")</f>
        <v>10.1016/j.ejmech.2009.01.026</v>
      </c>
      <c r="L1742" s="25" t="s">
        <v>3267</v>
      </c>
    </row>
    <row r="1743" customFormat="false" ht="15" hidden="false" customHeight="false" outlineLevel="0" collapsed="false">
      <c r="A1743" s="25" t="n">
        <v>2650348</v>
      </c>
      <c r="B1743" s="25" t="s">
        <v>3899</v>
      </c>
      <c r="C1743" s="25" t="s">
        <v>3900</v>
      </c>
      <c r="D1743" s="26" t="n">
        <v>3.802</v>
      </c>
      <c r="E1743" s="27" t="n">
        <v>8.41998788747058</v>
      </c>
      <c r="F1743" s="27" t="n">
        <v>8.41998788747058</v>
      </c>
      <c r="G1743" s="25" t="s">
        <v>3265</v>
      </c>
      <c r="H1743" s="25" t="s">
        <v>3266</v>
      </c>
      <c r="I1743" s="25" t="n">
        <f aca="false">IFERROR(IF(INDEX(Documents!$C$5:$C$657,MATCH(H1743,Documents!$A$5:$A$657,0))="","",INDEX(Documents!$C$5:$C$657,MATCH(H1743,Documents!$A$5:$A$657,0))),"")</f>
        <v>2009</v>
      </c>
      <c r="J1743" s="25" t="str">
        <f aca="false">IFERROR(IF(INDEX(Documents!$D$5:$D$657,MATCH(H1743,Documents!$A$5:$A$657,0))="","",INDEX(Documents!$D$5:$D$657,MATCH(H1743,Documents!$A$5:$A$657,0))),"")</f>
        <v>Eur J Med Chem</v>
      </c>
      <c r="K1743" s="25" t="str">
        <f aca="false">IFERROR(IF(INDEX(Documents!$G$5:$G$657,MATCH(H1743,Documents!$A$5:$A$657,0))="","",INDEX(Documents!$G$5:$G$657,MATCH(H1743,Documents!$A$5:$A$657,0))),"")</f>
        <v>10.1016/j.ejmech.2009.01.026</v>
      </c>
      <c r="L1743" s="25" t="s">
        <v>3267</v>
      </c>
    </row>
    <row r="1744" customFormat="false" ht="15" hidden="false" customHeight="false" outlineLevel="0" collapsed="false">
      <c r="A1744" s="25" t="n">
        <v>2650315</v>
      </c>
      <c r="B1744" s="25" t="s">
        <v>3901</v>
      </c>
      <c r="C1744" s="25" t="s">
        <v>3902</v>
      </c>
      <c r="D1744" s="26" t="n">
        <v>6.902</v>
      </c>
      <c r="E1744" s="27" t="n">
        <v>8.16102504504453</v>
      </c>
      <c r="F1744" s="27" t="n">
        <v>8.16102504504453</v>
      </c>
      <c r="G1744" s="25" t="s">
        <v>3265</v>
      </c>
      <c r="H1744" s="25" t="s">
        <v>3266</v>
      </c>
      <c r="I1744" s="25" t="n">
        <f aca="false">IFERROR(IF(INDEX(Documents!$C$5:$C$657,MATCH(H1744,Documents!$A$5:$A$657,0))="","",INDEX(Documents!$C$5:$C$657,MATCH(H1744,Documents!$A$5:$A$657,0))),"")</f>
        <v>2009</v>
      </c>
      <c r="J1744" s="25" t="str">
        <f aca="false">IFERROR(IF(INDEX(Documents!$D$5:$D$657,MATCH(H1744,Documents!$A$5:$A$657,0))="","",INDEX(Documents!$D$5:$D$657,MATCH(H1744,Documents!$A$5:$A$657,0))),"")</f>
        <v>Eur J Med Chem</v>
      </c>
      <c r="K1744" s="25" t="str">
        <f aca="false">IFERROR(IF(INDEX(Documents!$G$5:$G$657,MATCH(H1744,Documents!$A$5:$A$657,0))="","",INDEX(Documents!$G$5:$G$657,MATCH(H1744,Documents!$A$5:$A$657,0))),"")</f>
        <v>10.1016/j.ejmech.2009.01.026</v>
      </c>
      <c r="L1744" s="25" t="s">
        <v>3267</v>
      </c>
    </row>
    <row r="1745" customFormat="false" ht="15" hidden="false" customHeight="false" outlineLevel="0" collapsed="false">
      <c r="A1745" s="25" t="n">
        <v>12181896</v>
      </c>
      <c r="B1745" s="25" t="s">
        <v>3903</v>
      </c>
      <c r="C1745" s="25" t="s">
        <v>3904</v>
      </c>
      <c r="D1745" s="26" t="n">
        <v>5.4</v>
      </c>
      <c r="E1745" s="27" t="n">
        <v>8.26760624017703</v>
      </c>
      <c r="F1745" s="27" t="n">
        <v>8.26760624017703</v>
      </c>
      <c r="G1745" s="25" t="s">
        <v>3260</v>
      </c>
      <c r="H1745" s="25" t="s">
        <v>3261</v>
      </c>
      <c r="I1745" s="25" t="n">
        <f aca="false">IFERROR(IF(INDEX(Documents!$C$5:$C$657,MATCH(H1745,Documents!$A$5:$A$657,0))="","",INDEX(Documents!$C$5:$C$657,MATCH(H1745,Documents!$A$5:$A$657,0))),"")</f>
        <v>2012</v>
      </c>
      <c r="J1745" s="25" t="str">
        <f aca="false">IFERROR(IF(INDEX(Documents!$D$5:$D$657,MATCH(H1745,Documents!$A$5:$A$657,0))="","",INDEX(Documents!$D$5:$D$657,MATCH(H1745,Documents!$A$5:$A$657,0))),"")</f>
        <v>Bioorg Med Chem</v>
      </c>
      <c r="K1745" s="25" t="str">
        <f aca="false">IFERROR(IF(INDEX(Documents!$G$5:$G$657,MATCH(H1745,Documents!$A$5:$A$657,0))="","",INDEX(Documents!$G$5:$G$657,MATCH(H1745,Documents!$A$5:$A$657,0))),"")</f>
        <v>10.1016/j.bmc.2012.01.038</v>
      </c>
      <c r="L1745" s="25" t="s">
        <v>3262</v>
      </c>
    </row>
    <row r="1746" customFormat="false" ht="15" hidden="false" customHeight="false" outlineLevel="0" collapsed="false">
      <c r="A1746" s="25" t="n">
        <v>12181900</v>
      </c>
      <c r="B1746" s="25" t="s">
        <v>3905</v>
      </c>
      <c r="C1746" s="25" t="s">
        <v>3906</v>
      </c>
      <c r="D1746" s="26" t="n">
        <v>10</v>
      </c>
      <c r="E1746" s="27" t="n">
        <v>8</v>
      </c>
      <c r="F1746" s="27" t="n">
        <v>8</v>
      </c>
      <c r="G1746" s="25" t="s">
        <v>3260</v>
      </c>
      <c r="H1746" s="25" t="s">
        <v>3261</v>
      </c>
      <c r="I1746" s="25" t="n">
        <f aca="false">IFERROR(IF(INDEX(Documents!$C$5:$C$657,MATCH(H1746,Documents!$A$5:$A$657,0))="","",INDEX(Documents!$C$5:$C$657,MATCH(H1746,Documents!$A$5:$A$657,0))),"")</f>
        <v>2012</v>
      </c>
      <c r="J1746" s="25" t="str">
        <f aca="false">IFERROR(IF(INDEX(Documents!$D$5:$D$657,MATCH(H1746,Documents!$A$5:$A$657,0))="","",INDEX(Documents!$D$5:$D$657,MATCH(H1746,Documents!$A$5:$A$657,0))),"")</f>
        <v>Bioorg Med Chem</v>
      </c>
      <c r="K1746" s="25" t="str">
        <f aca="false">IFERROR(IF(INDEX(Documents!$G$5:$G$657,MATCH(H1746,Documents!$A$5:$A$657,0))="","",INDEX(Documents!$G$5:$G$657,MATCH(H1746,Documents!$A$5:$A$657,0))),"")</f>
        <v>10.1016/j.bmc.2012.01.038</v>
      </c>
      <c r="L1746" s="25" t="s">
        <v>3262</v>
      </c>
    </row>
    <row r="1747" customFormat="false" ht="15" hidden="false" customHeight="false" outlineLevel="0" collapsed="false">
      <c r="A1747" s="25" t="n">
        <v>12181892</v>
      </c>
      <c r="B1747" s="25" t="s">
        <v>3907</v>
      </c>
      <c r="C1747" s="25" t="s">
        <v>3908</v>
      </c>
      <c r="D1747" s="26" t="n">
        <v>3.3</v>
      </c>
      <c r="E1747" s="27" t="n">
        <v>8.48148606012211</v>
      </c>
      <c r="F1747" s="27" t="n">
        <v>8.48148606012211</v>
      </c>
      <c r="G1747" s="25" t="s">
        <v>3260</v>
      </c>
      <c r="H1747" s="25" t="s">
        <v>3261</v>
      </c>
      <c r="I1747" s="25" t="n">
        <f aca="false">IFERROR(IF(INDEX(Documents!$C$5:$C$657,MATCH(H1747,Documents!$A$5:$A$657,0))="","",INDEX(Documents!$C$5:$C$657,MATCH(H1747,Documents!$A$5:$A$657,0))),"")</f>
        <v>2012</v>
      </c>
      <c r="J1747" s="25" t="str">
        <f aca="false">IFERROR(IF(INDEX(Documents!$D$5:$D$657,MATCH(H1747,Documents!$A$5:$A$657,0))="","",INDEX(Documents!$D$5:$D$657,MATCH(H1747,Documents!$A$5:$A$657,0))),"")</f>
        <v>Bioorg Med Chem</v>
      </c>
      <c r="K1747" s="25" t="str">
        <f aca="false">IFERROR(IF(INDEX(Documents!$G$5:$G$657,MATCH(H1747,Documents!$A$5:$A$657,0))="","",INDEX(Documents!$G$5:$G$657,MATCH(H1747,Documents!$A$5:$A$657,0))),"")</f>
        <v>10.1016/j.bmc.2012.01.038</v>
      </c>
      <c r="L1747" s="25" t="s">
        <v>3262</v>
      </c>
    </row>
    <row r="1748" customFormat="false" ht="15" hidden="false" customHeight="false" outlineLevel="0" collapsed="false">
      <c r="A1748" s="25" t="n">
        <v>1993830</v>
      </c>
      <c r="B1748" s="25" t="s">
        <v>3909</v>
      </c>
      <c r="C1748" s="25" t="s">
        <v>3910</v>
      </c>
      <c r="D1748" s="26" t="n">
        <v>154</v>
      </c>
      <c r="E1748" s="27" t="n">
        <v>6.81247927916354</v>
      </c>
      <c r="F1748" s="27" t="n">
        <v>6.81247927916354</v>
      </c>
      <c r="G1748" s="25" t="s">
        <v>1527</v>
      </c>
      <c r="H1748" s="25" t="s">
        <v>1528</v>
      </c>
      <c r="I1748" s="25" t="n">
        <f aca="false">IFERROR(IF(INDEX(Documents!$C$5:$C$657,MATCH(H1748,Documents!$A$5:$A$657,0))="","",INDEX(Documents!$C$5:$C$657,MATCH(H1748,Documents!$A$5:$A$657,0))),"")</f>
        <v>2007</v>
      </c>
      <c r="J1748" s="25" t="str">
        <f aca="false">IFERROR(IF(INDEX(Documents!$D$5:$D$657,MATCH(H1748,Documents!$A$5:$A$657,0))="","",INDEX(Documents!$D$5:$D$657,MATCH(H1748,Documents!$A$5:$A$657,0))),"")</f>
        <v>J Med Chem</v>
      </c>
      <c r="K1748" s="25" t="str">
        <f aca="false">IFERROR(IF(INDEX(Documents!$G$5:$G$657,MATCH(H1748,Documents!$A$5:$A$657,0))="","",INDEX(Documents!$G$5:$G$657,MATCH(H1748,Documents!$A$5:$A$657,0))),"")</f>
        <v>10.1021/jm070387h</v>
      </c>
      <c r="L1748" s="25" t="s">
        <v>1529</v>
      </c>
    </row>
    <row r="1749" customFormat="false" ht="15" hidden="false" customHeight="false" outlineLevel="0" collapsed="false">
      <c r="A1749" s="25" t="n">
        <v>19443441</v>
      </c>
      <c r="B1749" s="25" t="s">
        <v>3911</v>
      </c>
      <c r="C1749" s="25" t="s">
        <v>3912</v>
      </c>
      <c r="D1749" s="26" t="n">
        <v>35.6</v>
      </c>
      <c r="E1749" s="27" t="n">
        <v>7.44855000202713</v>
      </c>
      <c r="F1749" s="27" t="n">
        <v>7.44855000202713</v>
      </c>
      <c r="G1749" s="25" t="s">
        <v>373</v>
      </c>
      <c r="H1749" s="25" t="s">
        <v>374</v>
      </c>
      <c r="I1749" s="25" t="n">
        <f aca="false">IFERROR(IF(INDEX(Documents!$C$5:$C$657,MATCH(H1749,Documents!$A$5:$A$657,0))="","",INDEX(Documents!$C$5:$C$657,MATCH(H1749,Documents!$A$5:$A$657,0))),"")</f>
        <v>2016</v>
      </c>
      <c r="J1749" s="25" t="str">
        <f aca="false">IFERROR(IF(INDEX(Documents!$D$5:$D$657,MATCH(H1749,Documents!$A$5:$A$657,0))="","",INDEX(Documents!$D$5:$D$657,MATCH(H1749,Documents!$A$5:$A$657,0))),"")</f>
        <v>J Med Chem</v>
      </c>
      <c r="K1749" s="25" t="str">
        <f aca="false">IFERROR(IF(INDEX(Documents!$G$5:$G$657,MATCH(H1749,Documents!$A$5:$A$657,0))="","",INDEX(Documents!$G$5:$G$657,MATCH(H1749,Documents!$A$5:$A$657,0))),"")</f>
        <v>10.1021/acs.jmedchem.6b00516</v>
      </c>
      <c r="L1749" s="25" t="s">
        <v>375</v>
      </c>
    </row>
    <row r="1750" customFormat="false" ht="15" hidden="false" customHeight="false" outlineLevel="0" collapsed="false">
      <c r="A1750" s="25" t="n">
        <v>19443442</v>
      </c>
      <c r="B1750" s="25" t="s">
        <v>3913</v>
      </c>
      <c r="C1750" s="25" t="s">
        <v>3914</v>
      </c>
      <c r="D1750" s="26" t="n">
        <v>65</v>
      </c>
      <c r="E1750" s="27" t="n">
        <v>7.18708664335714</v>
      </c>
      <c r="F1750" s="27" t="n">
        <v>7.18708664335714</v>
      </c>
      <c r="G1750" s="25" t="s">
        <v>373</v>
      </c>
      <c r="H1750" s="25" t="s">
        <v>374</v>
      </c>
      <c r="I1750" s="25" t="n">
        <f aca="false">IFERROR(IF(INDEX(Documents!$C$5:$C$657,MATCH(H1750,Documents!$A$5:$A$657,0))="","",INDEX(Documents!$C$5:$C$657,MATCH(H1750,Documents!$A$5:$A$657,0))),"")</f>
        <v>2016</v>
      </c>
      <c r="J1750" s="25" t="str">
        <f aca="false">IFERROR(IF(INDEX(Documents!$D$5:$D$657,MATCH(H1750,Documents!$A$5:$A$657,0))="","",INDEX(Documents!$D$5:$D$657,MATCH(H1750,Documents!$A$5:$A$657,0))),"")</f>
        <v>J Med Chem</v>
      </c>
      <c r="K1750" s="25" t="str">
        <f aca="false">IFERROR(IF(INDEX(Documents!$G$5:$G$657,MATCH(H1750,Documents!$A$5:$A$657,0))="","",INDEX(Documents!$G$5:$G$657,MATCH(H1750,Documents!$A$5:$A$657,0))),"")</f>
        <v>10.1021/acs.jmedchem.6b00516</v>
      </c>
      <c r="L1750" s="25" t="s">
        <v>375</v>
      </c>
    </row>
    <row r="1751" customFormat="false" ht="15" hidden="false" customHeight="false" outlineLevel="0" collapsed="false">
      <c r="A1751" s="25" t="n">
        <v>19443443</v>
      </c>
      <c r="B1751" s="25" t="s">
        <v>3915</v>
      </c>
      <c r="C1751" s="25" t="s">
        <v>3916</v>
      </c>
      <c r="D1751" s="26" t="n">
        <v>16.4</v>
      </c>
      <c r="E1751" s="27" t="n">
        <v>7.7851561519523</v>
      </c>
      <c r="F1751" s="27" t="n">
        <v>7.7851561519523</v>
      </c>
      <c r="G1751" s="25" t="s">
        <v>373</v>
      </c>
      <c r="H1751" s="25" t="s">
        <v>374</v>
      </c>
      <c r="I1751" s="25" t="n">
        <f aca="false">IFERROR(IF(INDEX(Documents!$C$5:$C$657,MATCH(H1751,Documents!$A$5:$A$657,0))="","",INDEX(Documents!$C$5:$C$657,MATCH(H1751,Documents!$A$5:$A$657,0))),"")</f>
        <v>2016</v>
      </c>
      <c r="J1751" s="25" t="str">
        <f aca="false">IFERROR(IF(INDEX(Documents!$D$5:$D$657,MATCH(H1751,Documents!$A$5:$A$657,0))="","",INDEX(Documents!$D$5:$D$657,MATCH(H1751,Documents!$A$5:$A$657,0))),"")</f>
        <v>J Med Chem</v>
      </c>
      <c r="K1751" s="25" t="str">
        <f aca="false">IFERROR(IF(INDEX(Documents!$G$5:$G$657,MATCH(H1751,Documents!$A$5:$A$657,0))="","",INDEX(Documents!$G$5:$G$657,MATCH(H1751,Documents!$A$5:$A$657,0))),"")</f>
        <v>10.1021/acs.jmedchem.6b00516</v>
      </c>
      <c r="L1751" s="25" t="s">
        <v>375</v>
      </c>
    </row>
    <row r="1752" customFormat="false" ht="15" hidden="false" customHeight="false" outlineLevel="0" collapsed="false">
      <c r="A1752" s="25" t="n">
        <v>19443444</v>
      </c>
      <c r="B1752" s="25" t="s">
        <v>3917</v>
      </c>
      <c r="C1752" s="25" t="s">
        <v>3918</v>
      </c>
      <c r="D1752" s="26" t="n">
        <v>2.7</v>
      </c>
      <c r="E1752" s="27" t="n">
        <v>8.56863623584101</v>
      </c>
      <c r="F1752" s="27" t="n">
        <v>8.56863623584101</v>
      </c>
      <c r="G1752" s="25" t="s">
        <v>373</v>
      </c>
      <c r="H1752" s="25" t="s">
        <v>374</v>
      </c>
      <c r="I1752" s="25" t="n">
        <f aca="false">IFERROR(IF(INDEX(Documents!$C$5:$C$657,MATCH(H1752,Documents!$A$5:$A$657,0))="","",INDEX(Documents!$C$5:$C$657,MATCH(H1752,Documents!$A$5:$A$657,0))),"")</f>
        <v>2016</v>
      </c>
      <c r="J1752" s="25" t="str">
        <f aca="false">IFERROR(IF(INDEX(Documents!$D$5:$D$657,MATCH(H1752,Documents!$A$5:$A$657,0))="","",INDEX(Documents!$D$5:$D$657,MATCH(H1752,Documents!$A$5:$A$657,0))),"")</f>
        <v>J Med Chem</v>
      </c>
      <c r="K1752" s="25" t="str">
        <f aca="false">IFERROR(IF(INDEX(Documents!$G$5:$G$657,MATCH(H1752,Documents!$A$5:$A$657,0))="","",INDEX(Documents!$G$5:$G$657,MATCH(H1752,Documents!$A$5:$A$657,0))),"")</f>
        <v>10.1021/acs.jmedchem.6b00516</v>
      </c>
      <c r="L1752" s="25" t="s">
        <v>375</v>
      </c>
    </row>
    <row r="1753" customFormat="false" ht="15" hidden="false" customHeight="false" outlineLevel="0" collapsed="false">
      <c r="A1753" s="25" t="n">
        <v>24706544</v>
      </c>
      <c r="B1753" s="25" t="s">
        <v>3919</v>
      </c>
      <c r="C1753" s="25" t="s">
        <v>3920</v>
      </c>
      <c r="D1753" s="26" t="n">
        <v>9.55</v>
      </c>
      <c r="E1753" s="27" t="n">
        <v>8.01999662841625</v>
      </c>
      <c r="F1753" s="27" t="n">
        <v>8.19997064075587</v>
      </c>
      <c r="G1753" s="25" t="s">
        <v>3814</v>
      </c>
      <c r="H1753" s="25" t="s">
        <v>3815</v>
      </c>
      <c r="I1753" s="25" t="n">
        <f aca="false">IFERROR(IF(INDEX(Documents!$C$5:$C$657,MATCH(H1753,Documents!$A$5:$A$657,0))="","",INDEX(Documents!$C$5:$C$657,MATCH(H1753,Documents!$A$5:$A$657,0))),"")</f>
        <v>2022</v>
      </c>
      <c r="J1753" s="25" t="str">
        <f aca="false">IFERROR(IF(INDEX(Documents!$D$5:$D$657,MATCH(H1753,Documents!$A$5:$A$657,0))="","",INDEX(Documents!$D$5:$D$657,MATCH(H1753,Documents!$A$5:$A$657,0))),"")</f>
        <v>RSC Med Chem</v>
      </c>
      <c r="K1753" s="25" t="str">
        <f aca="false">IFERROR(IF(INDEX(Documents!$G$5:$G$657,MATCH(H1753,Documents!$A$5:$A$657,0))="","",INDEX(Documents!$G$5:$G$657,MATCH(H1753,Documents!$A$5:$A$657,0))),"")</f>
        <v>10.1039/d1md00242b</v>
      </c>
      <c r="L1753" s="25" t="s">
        <v>3816</v>
      </c>
    </row>
    <row r="1754" customFormat="false" ht="15" hidden="false" customHeight="false" outlineLevel="0" collapsed="false">
      <c r="A1754" s="25" t="n">
        <v>24706558</v>
      </c>
      <c r="B1754" s="25" t="s">
        <v>3919</v>
      </c>
      <c r="C1754" s="25" t="s">
        <v>3920</v>
      </c>
      <c r="D1754" s="26" t="n">
        <v>9.55</v>
      </c>
      <c r="E1754" s="27" t="n">
        <v>8.01999662841625</v>
      </c>
      <c r="F1754" s="27" t="n">
        <v>8.19997064075587</v>
      </c>
      <c r="G1754" s="25" t="s">
        <v>3814</v>
      </c>
      <c r="H1754" s="25" t="s">
        <v>3815</v>
      </c>
      <c r="I1754" s="25" t="n">
        <f aca="false">IFERROR(IF(INDEX(Documents!$C$5:$C$657,MATCH(H1754,Documents!$A$5:$A$657,0))="","",INDEX(Documents!$C$5:$C$657,MATCH(H1754,Documents!$A$5:$A$657,0))),"")</f>
        <v>2022</v>
      </c>
      <c r="J1754" s="25" t="str">
        <f aca="false">IFERROR(IF(INDEX(Documents!$D$5:$D$657,MATCH(H1754,Documents!$A$5:$A$657,0))="","",INDEX(Documents!$D$5:$D$657,MATCH(H1754,Documents!$A$5:$A$657,0))),"")</f>
        <v>RSC Med Chem</v>
      </c>
      <c r="K1754" s="25" t="str">
        <f aca="false">IFERROR(IF(INDEX(Documents!$G$5:$G$657,MATCH(H1754,Documents!$A$5:$A$657,0))="","",INDEX(Documents!$G$5:$G$657,MATCH(H1754,Documents!$A$5:$A$657,0))),"")</f>
        <v>10.1039/d1md00242b</v>
      </c>
      <c r="L1754" s="25" t="s">
        <v>3816</v>
      </c>
    </row>
    <row r="1755" customFormat="false" ht="15" hidden="false" customHeight="false" outlineLevel="0" collapsed="false">
      <c r="A1755" s="25" t="n">
        <v>6366802</v>
      </c>
      <c r="B1755" s="25" t="s">
        <v>3919</v>
      </c>
      <c r="C1755" s="25" t="s">
        <v>3920</v>
      </c>
      <c r="D1755" s="26" t="n">
        <v>6.31</v>
      </c>
      <c r="E1755" s="27" t="n">
        <v>8.19997064075587</v>
      </c>
      <c r="F1755" s="27" t="n">
        <v>8.19997064075587</v>
      </c>
      <c r="G1755" s="25" t="s">
        <v>2229</v>
      </c>
      <c r="H1755" s="25" t="s">
        <v>2230</v>
      </c>
      <c r="I1755" s="25" t="n">
        <f aca="false">IFERROR(IF(INDEX(Documents!$C$5:$C$657,MATCH(H1755,Documents!$A$5:$A$657,0))="","",INDEX(Documents!$C$5:$C$657,MATCH(H1755,Documents!$A$5:$A$657,0))),"")</f>
        <v>2011</v>
      </c>
      <c r="J1755" s="25" t="str">
        <f aca="false">IFERROR(IF(INDEX(Documents!$D$5:$D$657,MATCH(H1755,Documents!$A$5:$A$657,0))="","",INDEX(Documents!$D$5:$D$657,MATCH(H1755,Documents!$A$5:$A$657,0))),"")</f>
        <v>Eur J Med Chem</v>
      </c>
      <c r="K1755" s="25" t="str">
        <f aca="false">IFERROR(IF(INDEX(Documents!$G$5:$G$657,MATCH(H1755,Documents!$A$5:$A$657,0))="","",INDEX(Documents!$G$5:$G$657,MATCH(H1755,Documents!$A$5:$A$657,0))),"")</f>
        <v>10.1016/j.ejmech.2011.08.021</v>
      </c>
      <c r="L1755" s="25" t="s">
        <v>2231</v>
      </c>
    </row>
    <row r="1756" customFormat="false" ht="15" hidden="false" customHeight="false" outlineLevel="0" collapsed="false">
      <c r="A1756" s="25" t="n">
        <v>2650264</v>
      </c>
      <c r="B1756" s="25" t="s">
        <v>3919</v>
      </c>
      <c r="C1756" s="25" t="s">
        <v>3920</v>
      </c>
      <c r="D1756" s="26" t="n">
        <v>2.897</v>
      </c>
      <c r="E1756" s="27" t="n">
        <v>8.53805150479624</v>
      </c>
      <c r="F1756" s="27" t="n">
        <v>8.19997064075587</v>
      </c>
      <c r="G1756" s="25" t="s">
        <v>3265</v>
      </c>
      <c r="H1756" s="25" t="s">
        <v>3266</v>
      </c>
      <c r="I1756" s="25" t="n">
        <f aca="false">IFERROR(IF(INDEX(Documents!$C$5:$C$657,MATCH(H1756,Documents!$A$5:$A$657,0))="","",INDEX(Documents!$C$5:$C$657,MATCH(H1756,Documents!$A$5:$A$657,0))),"")</f>
        <v>2009</v>
      </c>
      <c r="J1756" s="25" t="str">
        <f aca="false">IFERROR(IF(INDEX(Documents!$D$5:$D$657,MATCH(H1756,Documents!$A$5:$A$657,0))="","",INDEX(Documents!$D$5:$D$657,MATCH(H1756,Documents!$A$5:$A$657,0))),"")</f>
        <v>Eur J Med Chem</v>
      </c>
      <c r="K1756" s="25" t="str">
        <f aca="false">IFERROR(IF(INDEX(Documents!$G$5:$G$657,MATCH(H1756,Documents!$A$5:$A$657,0))="","",INDEX(Documents!$G$5:$G$657,MATCH(H1756,Documents!$A$5:$A$657,0))),"")</f>
        <v>10.1016/j.ejmech.2009.01.026</v>
      </c>
      <c r="L1756" s="25" t="s">
        <v>3267</v>
      </c>
    </row>
    <row r="1757" customFormat="false" ht="15" hidden="false" customHeight="false" outlineLevel="0" collapsed="false">
      <c r="A1757" s="25" t="n">
        <v>6366834</v>
      </c>
      <c r="B1757" s="25" t="s">
        <v>3921</v>
      </c>
      <c r="C1757" s="25" t="s">
        <v>3922</v>
      </c>
      <c r="D1757" s="26" t="n">
        <v>50.12</v>
      </c>
      <c r="E1757" s="27" t="n">
        <v>7.29998893767789</v>
      </c>
      <c r="F1757" s="27" t="n">
        <v>7.29998893767789</v>
      </c>
      <c r="G1757" s="25" t="s">
        <v>2229</v>
      </c>
      <c r="H1757" s="25" t="s">
        <v>2230</v>
      </c>
      <c r="I1757" s="25" t="n">
        <f aca="false">IFERROR(IF(INDEX(Documents!$C$5:$C$657,MATCH(H1757,Documents!$A$5:$A$657,0))="","",INDEX(Documents!$C$5:$C$657,MATCH(H1757,Documents!$A$5:$A$657,0))),"")</f>
        <v>2011</v>
      </c>
      <c r="J1757" s="25" t="str">
        <f aca="false">IFERROR(IF(INDEX(Documents!$D$5:$D$657,MATCH(H1757,Documents!$A$5:$A$657,0))="","",INDEX(Documents!$D$5:$D$657,MATCH(H1757,Documents!$A$5:$A$657,0))),"")</f>
        <v>Eur J Med Chem</v>
      </c>
      <c r="K1757" s="25" t="str">
        <f aca="false">IFERROR(IF(INDEX(Documents!$G$5:$G$657,MATCH(H1757,Documents!$A$5:$A$657,0))="","",INDEX(Documents!$G$5:$G$657,MATCH(H1757,Documents!$A$5:$A$657,0))),"")</f>
        <v>10.1016/j.ejmech.2011.08.021</v>
      </c>
      <c r="L1757" s="25" t="s">
        <v>2231</v>
      </c>
    </row>
    <row r="1758" customFormat="false" ht="15" hidden="false" customHeight="false" outlineLevel="0" collapsed="false">
      <c r="A1758" s="25" t="n">
        <v>6366836</v>
      </c>
      <c r="B1758" s="25" t="s">
        <v>3923</v>
      </c>
      <c r="C1758" s="25" t="s">
        <v>3924</v>
      </c>
      <c r="D1758" s="26" t="n">
        <v>501.19</v>
      </c>
      <c r="E1758" s="27" t="n">
        <v>6.29999760285775</v>
      </c>
      <c r="F1758" s="27" t="n">
        <v>6.29999760285775</v>
      </c>
      <c r="G1758" s="25" t="s">
        <v>2229</v>
      </c>
      <c r="H1758" s="25" t="s">
        <v>2230</v>
      </c>
      <c r="I1758" s="25" t="n">
        <f aca="false">IFERROR(IF(INDEX(Documents!$C$5:$C$657,MATCH(H1758,Documents!$A$5:$A$657,0))="","",INDEX(Documents!$C$5:$C$657,MATCH(H1758,Documents!$A$5:$A$657,0))),"")</f>
        <v>2011</v>
      </c>
      <c r="J1758" s="25" t="str">
        <f aca="false">IFERROR(IF(INDEX(Documents!$D$5:$D$657,MATCH(H1758,Documents!$A$5:$A$657,0))="","",INDEX(Documents!$D$5:$D$657,MATCH(H1758,Documents!$A$5:$A$657,0))),"")</f>
        <v>Eur J Med Chem</v>
      </c>
      <c r="K1758" s="25" t="str">
        <f aca="false">IFERROR(IF(INDEX(Documents!$G$5:$G$657,MATCH(H1758,Documents!$A$5:$A$657,0))="","",INDEX(Documents!$G$5:$G$657,MATCH(H1758,Documents!$A$5:$A$657,0))),"")</f>
        <v>10.1016/j.ejmech.2011.08.021</v>
      </c>
      <c r="L1758" s="25" t="s">
        <v>2231</v>
      </c>
    </row>
    <row r="1759" customFormat="false" ht="15" hidden="false" customHeight="false" outlineLevel="0" collapsed="false">
      <c r="A1759" s="25" t="n">
        <v>6366838</v>
      </c>
      <c r="B1759" s="25" t="s">
        <v>3925</v>
      </c>
      <c r="C1759" s="25" t="s">
        <v>3926</v>
      </c>
      <c r="D1759" s="26" t="n">
        <v>50.12</v>
      </c>
      <c r="E1759" s="27" t="n">
        <v>7.29998893767789</v>
      </c>
      <c r="F1759" s="27" t="n">
        <v>7.29998893767789</v>
      </c>
      <c r="G1759" s="25" t="s">
        <v>2229</v>
      </c>
      <c r="H1759" s="25" t="s">
        <v>2230</v>
      </c>
      <c r="I1759" s="25" t="n">
        <f aca="false">IFERROR(IF(INDEX(Documents!$C$5:$C$657,MATCH(H1759,Documents!$A$5:$A$657,0))="","",INDEX(Documents!$C$5:$C$657,MATCH(H1759,Documents!$A$5:$A$657,0))),"")</f>
        <v>2011</v>
      </c>
      <c r="J1759" s="25" t="str">
        <f aca="false">IFERROR(IF(INDEX(Documents!$D$5:$D$657,MATCH(H1759,Documents!$A$5:$A$657,0))="","",INDEX(Documents!$D$5:$D$657,MATCH(H1759,Documents!$A$5:$A$657,0))),"")</f>
        <v>Eur J Med Chem</v>
      </c>
      <c r="K1759" s="25" t="str">
        <f aca="false">IFERROR(IF(INDEX(Documents!$G$5:$G$657,MATCH(H1759,Documents!$A$5:$A$657,0))="","",INDEX(Documents!$G$5:$G$657,MATCH(H1759,Documents!$A$5:$A$657,0))),"")</f>
        <v>10.1016/j.ejmech.2011.08.021</v>
      </c>
      <c r="L1759" s="25" t="s">
        <v>2231</v>
      </c>
    </row>
    <row r="1760" customFormat="false" ht="15" hidden="false" customHeight="false" outlineLevel="0" collapsed="false">
      <c r="A1760" s="25" t="n">
        <v>1793629</v>
      </c>
      <c r="B1760" s="25" t="s">
        <v>3927</v>
      </c>
      <c r="C1760" s="25" t="s">
        <v>3928</v>
      </c>
      <c r="D1760" s="26" t="n">
        <v>53</v>
      </c>
      <c r="E1760" s="27" t="n">
        <v>7.27572413039921</v>
      </c>
      <c r="F1760" s="27" t="n">
        <v>7.27572413039921</v>
      </c>
      <c r="G1760" s="25" t="s">
        <v>2653</v>
      </c>
      <c r="H1760" s="25" t="s">
        <v>2654</v>
      </c>
      <c r="I1760" s="25" t="n">
        <f aca="false">IFERROR(IF(INDEX(Documents!$C$5:$C$657,MATCH(H1760,Documents!$A$5:$A$657,0))="","",INDEX(Documents!$C$5:$C$657,MATCH(H1760,Documents!$A$5:$A$657,0))),"")</f>
        <v>2006</v>
      </c>
      <c r="J1760" s="25" t="str">
        <f aca="false">IFERROR(IF(INDEX(Documents!$D$5:$D$657,MATCH(H1760,Documents!$A$5:$A$657,0))="","",INDEX(Documents!$D$5:$D$657,MATCH(H1760,Documents!$A$5:$A$657,0))),"")</f>
        <v>Bioorg Med Chem Lett</v>
      </c>
      <c r="K1760" s="25" t="str">
        <f aca="false">IFERROR(IF(INDEX(Documents!$G$5:$G$657,MATCH(H1760,Documents!$A$5:$A$657,0))="","",INDEX(Documents!$G$5:$G$657,MATCH(H1760,Documents!$A$5:$A$657,0))),"")</f>
        <v>10.1016/j.bmcl.2006.07.051</v>
      </c>
      <c r="L1760" s="25" t="s">
        <v>709</v>
      </c>
    </row>
    <row r="1761" customFormat="false" ht="15" hidden="false" customHeight="false" outlineLevel="0" collapsed="false">
      <c r="A1761" s="25" t="n">
        <v>1793635</v>
      </c>
      <c r="B1761" s="25" t="s">
        <v>3929</v>
      </c>
      <c r="C1761" s="25" t="s">
        <v>3930</v>
      </c>
      <c r="D1761" s="26" t="n">
        <v>18</v>
      </c>
      <c r="E1761" s="27" t="n">
        <v>7.74472749489669</v>
      </c>
      <c r="F1761" s="27" t="n">
        <v>7.74472749489669</v>
      </c>
      <c r="G1761" s="25" t="s">
        <v>2653</v>
      </c>
      <c r="H1761" s="25" t="s">
        <v>2654</v>
      </c>
      <c r="I1761" s="25" t="n">
        <f aca="false">IFERROR(IF(INDEX(Documents!$C$5:$C$657,MATCH(H1761,Documents!$A$5:$A$657,0))="","",INDEX(Documents!$C$5:$C$657,MATCH(H1761,Documents!$A$5:$A$657,0))),"")</f>
        <v>2006</v>
      </c>
      <c r="J1761" s="25" t="str">
        <f aca="false">IFERROR(IF(INDEX(Documents!$D$5:$D$657,MATCH(H1761,Documents!$A$5:$A$657,0))="","",INDEX(Documents!$D$5:$D$657,MATCH(H1761,Documents!$A$5:$A$657,0))),"")</f>
        <v>Bioorg Med Chem Lett</v>
      </c>
      <c r="K1761" s="25" t="str">
        <f aca="false">IFERROR(IF(INDEX(Documents!$G$5:$G$657,MATCH(H1761,Documents!$A$5:$A$657,0))="","",INDEX(Documents!$G$5:$G$657,MATCH(H1761,Documents!$A$5:$A$657,0))),"")</f>
        <v>10.1016/j.bmcl.2006.07.051</v>
      </c>
      <c r="L1761" s="25" t="s">
        <v>709</v>
      </c>
    </row>
    <row r="1762" customFormat="false" ht="15" hidden="false" customHeight="false" outlineLevel="0" collapsed="false">
      <c r="A1762" s="25" t="n">
        <v>1793634</v>
      </c>
      <c r="B1762" s="25" t="s">
        <v>3931</v>
      </c>
      <c r="C1762" s="25" t="s">
        <v>3932</v>
      </c>
      <c r="D1762" s="26" t="n">
        <v>29</v>
      </c>
      <c r="E1762" s="27" t="n">
        <v>7.53760200210104</v>
      </c>
      <c r="F1762" s="27" t="n">
        <v>7.53760200210104</v>
      </c>
      <c r="G1762" s="25" t="s">
        <v>2653</v>
      </c>
      <c r="H1762" s="25" t="s">
        <v>2654</v>
      </c>
      <c r="I1762" s="25" t="n">
        <f aca="false">IFERROR(IF(INDEX(Documents!$C$5:$C$657,MATCH(H1762,Documents!$A$5:$A$657,0))="","",INDEX(Documents!$C$5:$C$657,MATCH(H1762,Documents!$A$5:$A$657,0))),"")</f>
        <v>2006</v>
      </c>
      <c r="J1762" s="25" t="str">
        <f aca="false">IFERROR(IF(INDEX(Documents!$D$5:$D$657,MATCH(H1762,Documents!$A$5:$A$657,0))="","",INDEX(Documents!$D$5:$D$657,MATCH(H1762,Documents!$A$5:$A$657,0))),"")</f>
        <v>Bioorg Med Chem Lett</v>
      </c>
      <c r="K1762" s="25" t="str">
        <f aca="false">IFERROR(IF(INDEX(Documents!$G$5:$G$657,MATCH(H1762,Documents!$A$5:$A$657,0))="","",INDEX(Documents!$G$5:$G$657,MATCH(H1762,Documents!$A$5:$A$657,0))),"")</f>
        <v>10.1016/j.bmcl.2006.07.051</v>
      </c>
      <c r="L1762" s="25" t="s">
        <v>709</v>
      </c>
    </row>
    <row r="1763" customFormat="false" ht="15" hidden="false" customHeight="false" outlineLevel="0" collapsed="false">
      <c r="A1763" s="25" t="n">
        <v>1793633</v>
      </c>
      <c r="B1763" s="25" t="s">
        <v>3933</v>
      </c>
      <c r="C1763" s="25" t="s">
        <v>3934</v>
      </c>
      <c r="D1763" s="26" t="n">
        <v>64</v>
      </c>
      <c r="E1763" s="27" t="n">
        <v>7.19382002601611</v>
      </c>
      <c r="F1763" s="27" t="n">
        <v>7.19382002601611</v>
      </c>
      <c r="G1763" s="25" t="s">
        <v>2653</v>
      </c>
      <c r="H1763" s="25" t="s">
        <v>2654</v>
      </c>
      <c r="I1763" s="25" t="n">
        <f aca="false">IFERROR(IF(INDEX(Documents!$C$5:$C$657,MATCH(H1763,Documents!$A$5:$A$657,0))="","",INDEX(Documents!$C$5:$C$657,MATCH(H1763,Documents!$A$5:$A$657,0))),"")</f>
        <v>2006</v>
      </c>
      <c r="J1763" s="25" t="str">
        <f aca="false">IFERROR(IF(INDEX(Documents!$D$5:$D$657,MATCH(H1763,Documents!$A$5:$A$657,0))="","",INDEX(Documents!$D$5:$D$657,MATCH(H1763,Documents!$A$5:$A$657,0))),"")</f>
        <v>Bioorg Med Chem Lett</v>
      </c>
      <c r="K1763" s="25" t="str">
        <f aca="false">IFERROR(IF(INDEX(Documents!$G$5:$G$657,MATCH(H1763,Documents!$A$5:$A$657,0))="","",INDEX(Documents!$G$5:$G$657,MATCH(H1763,Documents!$A$5:$A$657,0))),"")</f>
        <v>10.1016/j.bmcl.2006.07.051</v>
      </c>
      <c r="L1763" s="25" t="s">
        <v>709</v>
      </c>
    </row>
    <row r="1764" customFormat="false" ht="15" hidden="false" customHeight="false" outlineLevel="0" collapsed="false">
      <c r="A1764" s="25" t="n">
        <v>1793630</v>
      </c>
      <c r="B1764" s="25" t="s">
        <v>3935</v>
      </c>
      <c r="C1764" s="25" t="s">
        <v>3936</v>
      </c>
      <c r="D1764" s="26" t="n">
        <v>25</v>
      </c>
      <c r="E1764" s="27" t="n">
        <v>7.60205999132796</v>
      </c>
      <c r="F1764" s="27" t="n">
        <v>7.60205999132796</v>
      </c>
      <c r="G1764" s="25" t="s">
        <v>2653</v>
      </c>
      <c r="H1764" s="25" t="s">
        <v>2654</v>
      </c>
      <c r="I1764" s="25" t="n">
        <f aca="false">IFERROR(IF(INDEX(Documents!$C$5:$C$657,MATCH(H1764,Documents!$A$5:$A$657,0))="","",INDEX(Documents!$C$5:$C$657,MATCH(H1764,Documents!$A$5:$A$657,0))),"")</f>
        <v>2006</v>
      </c>
      <c r="J1764" s="25" t="str">
        <f aca="false">IFERROR(IF(INDEX(Documents!$D$5:$D$657,MATCH(H1764,Documents!$A$5:$A$657,0))="","",INDEX(Documents!$D$5:$D$657,MATCH(H1764,Documents!$A$5:$A$657,0))),"")</f>
        <v>Bioorg Med Chem Lett</v>
      </c>
      <c r="K1764" s="25" t="str">
        <f aca="false">IFERROR(IF(INDEX(Documents!$G$5:$G$657,MATCH(H1764,Documents!$A$5:$A$657,0))="","",INDEX(Documents!$G$5:$G$657,MATCH(H1764,Documents!$A$5:$A$657,0))),"")</f>
        <v>10.1016/j.bmcl.2006.07.051</v>
      </c>
      <c r="L1764" s="25" t="s">
        <v>709</v>
      </c>
    </row>
    <row r="1765" customFormat="false" ht="15" hidden="false" customHeight="false" outlineLevel="0" collapsed="false">
      <c r="A1765" s="25" t="n">
        <v>1793631</v>
      </c>
      <c r="B1765" s="25" t="s">
        <v>3937</v>
      </c>
      <c r="C1765" s="25" t="s">
        <v>3938</v>
      </c>
      <c r="D1765" s="26" t="n">
        <v>33</v>
      </c>
      <c r="E1765" s="27" t="n">
        <v>7.48148606012211</v>
      </c>
      <c r="F1765" s="27" t="n">
        <v>7.48148606012211</v>
      </c>
      <c r="G1765" s="25" t="s">
        <v>2653</v>
      </c>
      <c r="H1765" s="25" t="s">
        <v>2654</v>
      </c>
      <c r="I1765" s="25" t="n">
        <f aca="false">IFERROR(IF(INDEX(Documents!$C$5:$C$657,MATCH(H1765,Documents!$A$5:$A$657,0))="","",INDEX(Documents!$C$5:$C$657,MATCH(H1765,Documents!$A$5:$A$657,0))),"")</f>
        <v>2006</v>
      </c>
      <c r="J1765" s="25" t="str">
        <f aca="false">IFERROR(IF(INDEX(Documents!$D$5:$D$657,MATCH(H1765,Documents!$A$5:$A$657,0))="","",INDEX(Documents!$D$5:$D$657,MATCH(H1765,Documents!$A$5:$A$657,0))),"")</f>
        <v>Bioorg Med Chem Lett</v>
      </c>
      <c r="K1765" s="25" t="str">
        <f aca="false">IFERROR(IF(INDEX(Documents!$G$5:$G$657,MATCH(H1765,Documents!$A$5:$A$657,0))="","",INDEX(Documents!$G$5:$G$657,MATCH(H1765,Documents!$A$5:$A$657,0))),"")</f>
        <v>10.1016/j.bmcl.2006.07.051</v>
      </c>
      <c r="L1765" s="25" t="s">
        <v>709</v>
      </c>
    </row>
    <row r="1766" customFormat="false" ht="15" hidden="false" customHeight="false" outlineLevel="0" collapsed="false">
      <c r="A1766" s="25" t="n">
        <v>1793632</v>
      </c>
      <c r="B1766" s="25" t="s">
        <v>3939</v>
      </c>
      <c r="C1766" s="25" t="s">
        <v>3940</v>
      </c>
      <c r="D1766" s="26" t="n">
        <v>41</v>
      </c>
      <c r="E1766" s="27" t="n">
        <v>7.38721614328026</v>
      </c>
      <c r="F1766" s="27" t="n">
        <v>7.38721614328026</v>
      </c>
      <c r="G1766" s="25" t="s">
        <v>2653</v>
      </c>
      <c r="H1766" s="25" t="s">
        <v>2654</v>
      </c>
      <c r="I1766" s="25" t="n">
        <f aca="false">IFERROR(IF(INDEX(Documents!$C$5:$C$657,MATCH(H1766,Documents!$A$5:$A$657,0))="","",INDEX(Documents!$C$5:$C$657,MATCH(H1766,Documents!$A$5:$A$657,0))),"")</f>
        <v>2006</v>
      </c>
      <c r="J1766" s="25" t="str">
        <f aca="false">IFERROR(IF(INDEX(Documents!$D$5:$D$657,MATCH(H1766,Documents!$A$5:$A$657,0))="","",INDEX(Documents!$D$5:$D$657,MATCH(H1766,Documents!$A$5:$A$657,0))),"")</f>
        <v>Bioorg Med Chem Lett</v>
      </c>
      <c r="K1766" s="25" t="str">
        <f aca="false">IFERROR(IF(INDEX(Documents!$G$5:$G$657,MATCH(H1766,Documents!$A$5:$A$657,0))="","",INDEX(Documents!$G$5:$G$657,MATCH(H1766,Documents!$A$5:$A$657,0))),"")</f>
        <v>10.1016/j.bmcl.2006.07.051</v>
      </c>
      <c r="L1766" s="25" t="s">
        <v>709</v>
      </c>
    </row>
    <row r="1767" customFormat="false" ht="15" hidden="false" customHeight="false" outlineLevel="0" collapsed="false">
      <c r="A1767" s="25" t="n">
        <v>1793627</v>
      </c>
      <c r="B1767" s="25" t="s">
        <v>3941</v>
      </c>
      <c r="C1767" s="25" t="s">
        <v>3942</v>
      </c>
      <c r="D1767" s="26" t="n">
        <v>169</v>
      </c>
      <c r="E1767" s="27" t="n">
        <v>6.77211329538633</v>
      </c>
      <c r="F1767" s="27" t="n">
        <v>6.77211329538633</v>
      </c>
      <c r="G1767" s="25" t="s">
        <v>2653</v>
      </c>
      <c r="H1767" s="25" t="s">
        <v>2654</v>
      </c>
      <c r="I1767" s="25" t="n">
        <f aca="false">IFERROR(IF(INDEX(Documents!$C$5:$C$657,MATCH(H1767,Documents!$A$5:$A$657,0))="","",INDEX(Documents!$C$5:$C$657,MATCH(H1767,Documents!$A$5:$A$657,0))),"")</f>
        <v>2006</v>
      </c>
      <c r="J1767" s="25" t="str">
        <f aca="false">IFERROR(IF(INDEX(Documents!$D$5:$D$657,MATCH(H1767,Documents!$A$5:$A$657,0))="","",INDEX(Documents!$D$5:$D$657,MATCH(H1767,Documents!$A$5:$A$657,0))),"")</f>
        <v>Bioorg Med Chem Lett</v>
      </c>
      <c r="K1767" s="25" t="str">
        <f aca="false">IFERROR(IF(INDEX(Documents!$G$5:$G$657,MATCH(H1767,Documents!$A$5:$A$657,0))="","",INDEX(Documents!$G$5:$G$657,MATCH(H1767,Documents!$A$5:$A$657,0))),"")</f>
        <v>10.1016/j.bmcl.2006.07.051</v>
      </c>
      <c r="L1767" s="25" t="s">
        <v>709</v>
      </c>
    </row>
    <row r="1768" customFormat="false" ht="15" hidden="false" customHeight="false" outlineLevel="0" collapsed="false">
      <c r="A1768" s="25" t="n">
        <v>1793637</v>
      </c>
      <c r="B1768" s="25" t="s">
        <v>3943</v>
      </c>
      <c r="C1768" s="25" t="s">
        <v>3944</v>
      </c>
      <c r="D1768" s="26" t="n">
        <v>71</v>
      </c>
      <c r="E1768" s="27" t="n">
        <v>7.14874165128093</v>
      </c>
      <c r="F1768" s="27" t="n">
        <v>7.14874165128093</v>
      </c>
      <c r="G1768" s="25" t="s">
        <v>2653</v>
      </c>
      <c r="H1768" s="25" t="s">
        <v>2654</v>
      </c>
      <c r="I1768" s="25" t="n">
        <f aca="false">IFERROR(IF(INDEX(Documents!$C$5:$C$657,MATCH(H1768,Documents!$A$5:$A$657,0))="","",INDEX(Documents!$C$5:$C$657,MATCH(H1768,Documents!$A$5:$A$657,0))),"")</f>
        <v>2006</v>
      </c>
      <c r="J1768" s="25" t="str">
        <f aca="false">IFERROR(IF(INDEX(Documents!$D$5:$D$657,MATCH(H1768,Documents!$A$5:$A$657,0))="","",INDEX(Documents!$D$5:$D$657,MATCH(H1768,Documents!$A$5:$A$657,0))),"")</f>
        <v>Bioorg Med Chem Lett</v>
      </c>
      <c r="K1768" s="25" t="str">
        <f aca="false">IFERROR(IF(INDEX(Documents!$G$5:$G$657,MATCH(H1768,Documents!$A$5:$A$657,0))="","",INDEX(Documents!$G$5:$G$657,MATCH(H1768,Documents!$A$5:$A$657,0))),"")</f>
        <v>10.1016/j.bmcl.2006.07.051</v>
      </c>
      <c r="L1768" s="25" t="s">
        <v>709</v>
      </c>
    </row>
    <row r="1769" customFormat="false" ht="15" hidden="false" customHeight="false" outlineLevel="0" collapsed="false">
      <c r="A1769" s="25" t="n">
        <v>1793641</v>
      </c>
      <c r="B1769" s="25" t="s">
        <v>3945</v>
      </c>
      <c r="C1769" s="25" t="s">
        <v>3946</v>
      </c>
      <c r="D1769" s="26" t="n">
        <v>39</v>
      </c>
      <c r="E1769" s="27" t="n">
        <v>7.4089353929735</v>
      </c>
      <c r="F1769" s="27" t="n">
        <v>7.4089353929735</v>
      </c>
      <c r="G1769" s="25" t="s">
        <v>2653</v>
      </c>
      <c r="H1769" s="25" t="s">
        <v>2654</v>
      </c>
      <c r="I1769" s="25" t="n">
        <f aca="false">IFERROR(IF(INDEX(Documents!$C$5:$C$657,MATCH(H1769,Documents!$A$5:$A$657,0))="","",INDEX(Documents!$C$5:$C$657,MATCH(H1769,Documents!$A$5:$A$657,0))),"")</f>
        <v>2006</v>
      </c>
      <c r="J1769" s="25" t="str">
        <f aca="false">IFERROR(IF(INDEX(Documents!$D$5:$D$657,MATCH(H1769,Documents!$A$5:$A$657,0))="","",INDEX(Documents!$D$5:$D$657,MATCH(H1769,Documents!$A$5:$A$657,0))),"")</f>
        <v>Bioorg Med Chem Lett</v>
      </c>
      <c r="K1769" s="25" t="str">
        <f aca="false">IFERROR(IF(INDEX(Documents!$G$5:$G$657,MATCH(H1769,Documents!$A$5:$A$657,0))="","",INDEX(Documents!$G$5:$G$657,MATCH(H1769,Documents!$A$5:$A$657,0))),"")</f>
        <v>10.1016/j.bmcl.2006.07.051</v>
      </c>
      <c r="L1769" s="25" t="s">
        <v>709</v>
      </c>
    </row>
    <row r="1770" customFormat="false" ht="15" hidden="false" customHeight="false" outlineLevel="0" collapsed="false">
      <c r="A1770" s="25" t="n">
        <v>1793638</v>
      </c>
      <c r="B1770" s="25" t="s">
        <v>3947</v>
      </c>
      <c r="C1770" s="25" t="s">
        <v>3948</v>
      </c>
      <c r="D1770" s="26" t="n">
        <v>16</v>
      </c>
      <c r="E1770" s="27" t="n">
        <v>7.79588001734408</v>
      </c>
      <c r="F1770" s="27" t="n">
        <v>7.79588001734408</v>
      </c>
      <c r="G1770" s="25" t="s">
        <v>2653</v>
      </c>
      <c r="H1770" s="25" t="s">
        <v>2654</v>
      </c>
      <c r="I1770" s="25" t="n">
        <f aca="false">IFERROR(IF(INDEX(Documents!$C$5:$C$657,MATCH(H1770,Documents!$A$5:$A$657,0))="","",INDEX(Documents!$C$5:$C$657,MATCH(H1770,Documents!$A$5:$A$657,0))),"")</f>
        <v>2006</v>
      </c>
      <c r="J1770" s="25" t="str">
        <f aca="false">IFERROR(IF(INDEX(Documents!$D$5:$D$657,MATCH(H1770,Documents!$A$5:$A$657,0))="","",INDEX(Documents!$D$5:$D$657,MATCH(H1770,Documents!$A$5:$A$657,0))),"")</f>
        <v>Bioorg Med Chem Lett</v>
      </c>
      <c r="K1770" s="25" t="str">
        <f aca="false">IFERROR(IF(INDEX(Documents!$G$5:$G$657,MATCH(H1770,Documents!$A$5:$A$657,0))="","",INDEX(Documents!$G$5:$G$657,MATCH(H1770,Documents!$A$5:$A$657,0))),"")</f>
        <v>10.1016/j.bmcl.2006.07.051</v>
      </c>
      <c r="L1770" s="25" t="s">
        <v>709</v>
      </c>
    </row>
    <row r="1771" customFormat="false" ht="15" hidden="false" customHeight="false" outlineLevel="0" collapsed="false">
      <c r="A1771" s="25" t="n">
        <v>1793639</v>
      </c>
      <c r="B1771" s="25" t="s">
        <v>3949</v>
      </c>
      <c r="C1771" s="25" t="s">
        <v>3950</v>
      </c>
      <c r="D1771" s="26" t="n">
        <v>9.1</v>
      </c>
      <c r="E1771" s="27" t="n">
        <v>8.04095860767891</v>
      </c>
      <c r="F1771" s="27" t="n">
        <v>8.04095860767891</v>
      </c>
      <c r="G1771" s="25" t="s">
        <v>2653</v>
      </c>
      <c r="H1771" s="25" t="s">
        <v>2654</v>
      </c>
      <c r="I1771" s="25" t="n">
        <f aca="false">IFERROR(IF(INDEX(Documents!$C$5:$C$657,MATCH(H1771,Documents!$A$5:$A$657,0))="","",INDEX(Documents!$C$5:$C$657,MATCH(H1771,Documents!$A$5:$A$657,0))),"")</f>
        <v>2006</v>
      </c>
      <c r="J1771" s="25" t="str">
        <f aca="false">IFERROR(IF(INDEX(Documents!$D$5:$D$657,MATCH(H1771,Documents!$A$5:$A$657,0))="","",INDEX(Documents!$D$5:$D$657,MATCH(H1771,Documents!$A$5:$A$657,0))),"")</f>
        <v>Bioorg Med Chem Lett</v>
      </c>
      <c r="K1771" s="25" t="str">
        <f aca="false">IFERROR(IF(INDEX(Documents!$G$5:$G$657,MATCH(H1771,Documents!$A$5:$A$657,0))="","",INDEX(Documents!$G$5:$G$657,MATCH(H1771,Documents!$A$5:$A$657,0))),"")</f>
        <v>10.1016/j.bmcl.2006.07.051</v>
      </c>
      <c r="L1771" s="25" t="s">
        <v>709</v>
      </c>
    </row>
    <row r="1772" customFormat="false" ht="15" hidden="false" customHeight="false" outlineLevel="0" collapsed="false">
      <c r="A1772" s="25" t="n">
        <v>1793640</v>
      </c>
      <c r="B1772" s="25" t="s">
        <v>3951</v>
      </c>
      <c r="C1772" s="25" t="s">
        <v>3952</v>
      </c>
      <c r="D1772" s="26" t="n">
        <v>23</v>
      </c>
      <c r="E1772" s="27" t="n">
        <v>7.63827216398241</v>
      </c>
      <c r="F1772" s="27" t="n">
        <v>7.63827216398241</v>
      </c>
      <c r="G1772" s="25" t="s">
        <v>2653</v>
      </c>
      <c r="H1772" s="25" t="s">
        <v>2654</v>
      </c>
      <c r="I1772" s="25" t="n">
        <f aca="false">IFERROR(IF(INDEX(Documents!$C$5:$C$657,MATCH(H1772,Documents!$A$5:$A$657,0))="","",INDEX(Documents!$C$5:$C$657,MATCH(H1772,Documents!$A$5:$A$657,0))),"")</f>
        <v>2006</v>
      </c>
      <c r="J1772" s="25" t="str">
        <f aca="false">IFERROR(IF(INDEX(Documents!$D$5:$D$657,MATCH(H1772,Documents!$A$5:$A$657,0))="","",INDEX(Documents!$D$5:$D$657,MATCH(H1772,Documents!$A$5:$A$657,0))),"")</f>
        <v>Bioorg Med Chem Lett</v>
      </c>
      <c r="K1772" s="25" t="str">
        <f aca="false">IFERROR(IF(INDEX(Documents!$G$5:$G$657,MATCH(H1772,Documents!$A$5:$A$657,0))="","",INDEX(Documents!$G$5:$G$657,MATCH(H1772,Documents!$A$5:$A$657,0))),"")</f>
        <v>10.1016/j.bmcl.2006.07.051</v>
      </c>
      <c r="L1772" s="25" t="s">
        <v>709</v>
      </c>
    </row>
    <row r="1773" customFormat="false" ht="15" hidden="false" customHeight="false" outlineLevel="0" collapsed="false">
      <c r="A1773" s="25" t="n">
        <v>1793636</v>
      </c>
      <c r="B1773" s="25" t="s">
        <v>3953</v>
      </c>
      <c r="C1773" s="25" t="s">
        <v>3954</v>
      </c>
      <c r="D1773" s="26" t="n">
        <v>41</v>
      </c>
      <c r="E1773" s="27" t="n">
        <v>7.38721614328026</v>
      </c>
      <c r="F1773" s="27" t="n">
        <v>7.38721614328026</v>
      </c>
      <c r="G1773" s="25" t="s">
        <v>2653</v>
      </c>
      <c r="H1773" s="25" t="s">
        <v>2654</v>
      </c>
      <c r="I1773" s="25" t="n">
        <f aca="false">IFERROR(IF(INDEX(Documents!$C$5:$C$657,MATCH(H1773,Documents!$A$5:$A$657,0))="","",INDEX(Documents!$C$5:$C$657,MATCH(H1773,Documents!$A$5:$A$657,0))),"")</f>
        <v>2006</v>
      </c>
      <c r="J1773" s="25" t="str">
        <f aca="false">IFERROR(IF(INDEX(Documents!$D$5:$D$657,MATCH(H1773,Documents!$A$5:$A$657,0))="","",INDEX(Documents!$D$5:$D$657,MATCH(H1773,Documents!$A$5:$A$657,0))),"")</f>
        <v>Bioorg Med Chem Lett</v>
      </c>
      <c r="K1773" s="25" t="str">
        <f aca="false">IFERROR(IF(INDEX(Documents!$G$5:$G$657,MATCH(H1773,Documents!$A$5:$A$657,0))="","",INDEX(Documents!$G$5:$G$657,MATCH(H1773,Documents!$A$5:$A$657,0))),"")</f>
        <v>10.1016/j.bmcl.2006.07.051</v>
      </c>
      <c r="L1773" s="25" t="s">
        <v>709</v>
      </c>
    </row>
    <row r="1774" customFormat="false" ht="15" hidden="false" customHeight="false" outlineLevel="0" collapsed="false">
      <c r="A1774" s="25" t="n">
        <v>1793628</v>
      </c>
      <c r="B1774" s="25" t="s">
        <v>3955</v>
      </c>
      <c r="C1774" s="25" t="s">
        <v>3956</v>
      </c>
      <c r="D1774" s="26" t="n">
        <v>49</v>
      </c>
      <c r="E1774" s="27" t="n">
        <v>7.30980391997149</v>
      </c>
      <c r="F1774" s="27" t="n">
        <v>7.30980391997149</v>
      </c>
      <c r="G1774" s="25" t="s">
        <v>2653</v>
      </c>
      <c r="H1774" s="25" t="s">
        <v>2654</v>
      </c>
      <c r="I1774" s="25" t="n">
        <f aca="false">IFERROR(IF(INDEX(Documents!$C$5:$C$657,MATCH(H1774,Documents!$A$5:$A$657,0))="","",INDEX(Documents!$C$5:$C$657,MATCH(H1774,Documents!$A$5:$A$657,0))),"")</f>
        <v>2006</v>
      </c>
      <c r="J1774" s="25" t="str">
        <f aca="false">IFERROR(IF(INDEX(Documents!$D$5:$D$657,MATCH(H1774,Documents!$A$5:$A$657,0))="","",INDEX(Documents!$D$5:$D$657,MATCH(H1774,Documents!$A$5:$A$657,0))),"")</f>
        <v>Bioorg Med Chem Lett</v>
      </c>
      <c r="K1774" s="25" t="str">
        <f aca="false">IFERROR(IF(INDEX(Documents!$G$5:$G$657,MATCH(H1774,Documents!$A$5:$A$657,0))="","",INDEX(Documents!$G$5:$G$657,MATCH(H1774,Documents!$A$5:$A$657,0))),"")</f>
        <v>10.1016/j.bmcl.2006.07.051</v>
      </c>
      <c r="L1774" s="25" t="s">
        <v>709</v>
      </c>
    </row>
    <row r="1775" customFormat="false" ht="15" hidden="false" customHeight="false" outlineLevel="0" collapsed="false">
      <c r="A1775" s="25" t="n">
        <v>1793651</v>
      </c>
      <c r="B1775" s="25" t="s">
        <v>3957</v>
      </c>
      <c r="C1775" s="25" t="s">
        <v>3958</v>
      </c>
      <c r="D1775" s="26" t="n">
        <v>6.4</v>
      </c>
      <c r="E1775" s="27" t="n">
        <v>8.19382002601611</v>
      </c>
      <c r="F1775" s="27" t="n">
        <v>8.19382002601611</v>
      </c>
      <c r="G1775" s="25" t="s">
        <v>2653</v>
      </c>
      <c r="H1775" s="25" t="s">
        <v>2654</v>
      </c>
      <c r="I1775" s="25" t="n">
        <f aca="false">IFERROR(IF(INDEX(Documents!$C$5:$C$657,MATCH(H1775,Documents!$A$5:$A$657,0))="","",INDEX(Documents!$C$5:$C$657,MATCH(H1775,Documents!$A$5:$A$657,0))),"")</f>
        <v>2006</v>
      </c>
      <c r="J1775" s="25" t="str">
        <f aca="false">IFERROR(IF(INDEX(Documents!$D$5:$D$657,MATCH(H1775,Documents!$A$5:$A$657,0))="","",INDEX(Documents!$D$5:$D$657,MATCH(H1775,Documents!$A$5:$A$657,0))),"")</f>
        <v>Bioorg Med Chem Lett</v>
      </c>
      <c r="K1775" s="25" t="str">
        <f aca="false">IFERROR(IF(INDEX(Documents!$G$5:$G$657,MATCH(H1775,Documents!$A$5:$A$657,0))="","",INDEX(Documents!$G$5:$G$657,MATCH(H1775,Documents!$A$5:$A$657,0))),"")</f>
        <v>10.1016/j.bmcl.2006.07.051</v>
      </c>
      <c r="L1775" s="25" t="s">
        <v>709</v>
      </c>
    </row>
    <row r="1776" customFormat="false" ht="15" hidden="false" customHeight="false" outlineLevel="0" collapsed="false">
      <c r="A1776" s="25" t="n">
        <v>1793621</v>
      </c>
      <c r="B1776" s="25" t="s">
        <v>3959</v>
      </c>
      <c r="C1776" s="25" t="s">
        <v>3960</v>
      </c>
      <c r="D1776" s="26" t="n">
        <v>4</v>
      </c>
      <c r="E1776" s="27" t="n">
        <v>8.39794000867204</v>
      </c>
      <c r="F1776" s="27" t="n">
        <v>8.39794000867204</v>
      </c>
      <c r="G1776" s="25" t="s">
        <v>2653</v>
      </c>
      <c r="H1776" s="25" t="s">
        <v>2654</v>
      </c>
      <c r="I1776" s="25" t="n">
        <f aca="false">IFERROR(IF(INDEX(Documents!$C$5:$C$657,MATCH(H1776,Documents!$A$5:$A$657,0))="","",INDEX(Documents!$C$5:$C$657,MATCH(H1776,Documents!$A$5:$A$657,0))),"")</f>
        <v>2006</v>
      </c>
      <c r="J1776" s="25" t="str">
        <f aca="false">IFERROR(IF(INDEX(Documents!$D$5:$D$657,MATCH(H1776,Documents!$A$5:$A$657,0))="","",INDEX(Documents!$D$5:$D$657,MATCH(H1776,Documents!$A$5:$A$657,0))),"")</f>
        <v>Bioorg Med Chem Lett</v>
      </c>
      <c r="K1776" s="25" t="str">
        <f aca="false">IFERROR(IF(INDEX(Documents!$G$5:$G$657,MATCH(H1776,Documents!$A$5:$A$657,0))="","",INDEX(Documents!$G$5:$G$657,MATCH(H1776,Documents!$A$5:$A$657,0))),"")</f>
        <v>10.1016/j.bmcl.2006.07.051</v>
      </c>
      <c r="L1776" s="25" t="s">
        <v>709</v>
      </c>
    </row>
    <row r="1777" customFormat="false" ht="15" hidden="false" customHeight="false" outlineLevel="0" collapsed="false">
      <c r="A1777" s="25" t="n">
        <v>1793642</v>
      </c>
      <c r="B1777" s="25" t="s">
        <v>3961</v>
      </c>
      <c r="C1777" s="25" t="s">
        <v>3962</v>
      </c>
      <c r="D1777" s="26" t="n">
        <v>8.2</v>
      </c>
      <c r="E1777" s="27" t="n">
        <v>8.08618614761628</v>
      </c>
      <c r="F1777" s="27" t="n">
        <v>8.08618614761628</v>
      </c>
      <c r="G1777" s="25" t="s">
        <v>2653</v>
      </c>
      <c r="H1777" s="25" t="s">
        <v>2654</v>
      </c>
      <c r="I1777" s="25" t="n">
        <f aca="false">IFERROR(IF(INDEX(Documents!$C$5:$C$657,MATCH(H1777,Documents!$A$5:$A$657,0))="","",INDEX(Documents!$C$5:$C$657,MATCH(H1777,Documents!$A$5:$A$657,0))),"")</f>
        <v>2006</v>
      </c>
      <c r="J1777" s="25" t="str">
        <f aca="false">IFERROR(IF(INDEX(Documents!$D$5:$D$657,MATCH(H1777,Documents!$A$5:$A$657,0))="","",INDEX(Documents!$D$5:$D$657,MATCH(H1777,Documents!$A$5:$A$657,0))),"")</f>
        <v>Bioorg Med Chem Lett</v>
      </c>
      <c r="K1777" s="25" t="str">
        <f aca="false">IFERROR(IF(INDEX(Documents!$G$5:$G$657,MATCH(H1777,Documents!$A$5:$A$657,0))="","",INDEX(Documents!$G$5:$G$657,MATCH(H1777,Documents!$A$5:$A$657,0))),"")</f>
        <v>10.1016/j.bmcl.2006.07.051</v>
      </c>
      <c r="L1777" s="25" t="s">
        <v>709</v>
      </c>
    </row>
    <row r="1778" customFormat="false" ht="15" hidden="false" customHeight="false" outlineLevel="0" collapsed="false">
      <c r="A1778" s="25" t="n">
        <v>1793647</v>
      </c>
      <c r="B1778" s="25" t="s">
        <v>3963</v>
      </c>
      <c r="C1778" s="25" t="s">
        <v>3964</v>
      </c>
      <c r="D1778" s="26" t="n">
        <v>3.4</v>
      </c>
      <c r="E1778" s="27" t="n">
        <v>8.46852108295775</v>
      </c>
      <c r="F1778" s="27" t="n">
        <v>8.46852108295775</v>
      </c>
      <c r="G1778" s="25" t="s">
        <v>2653</v>
      </c>
      <c r="H1778" s="25" t="s">
        <v>2654</v>
      </c>
      <c r="I1778" s="25" t="n">
        <f aca="false">IFERROR(IF(INDEX(Documents!$C$5:$C$657,MATCH(H1778,Documents!$A$5:$A$657,0))="","",INDEX(Documents!$C$5:$C$657,MATCH(H1778,Documents!$A$5:$A$657,0))),"")</f>
        <v>2006</v>
      </c>
      <c r="J1778" s="25" t="str">
        <f aca="false">IFERROR(IF(INDEX(Documents!$D$5:$D$657,MATCH(H1778,Documents!$A$5:$A$657,0))="","",INDEX(Documents!$D$5:$D$657,MATCH(H1778,Documents!$A$5:$A$657,0))),"")</f>
        <v>Bioorg Med Chem Lett</v>
      </c>
      <c r="K1778" s="25" t="str">
        <f aca="false">IFERROR(IF(INDEX(Documents!$G$5:$G$657,MATCH(H1778,Documents!$A$5:$A$657,0))="","",INDEX(Documents!$G$5:$G$657,MATCH(H1778,Documents!$A$5:$A$657,0))),"")</f>
        <v>10.1016/j.bmcl.2006.07.051</v>
      </c>
      <c r="L1778" s="25" t="s">
        <v>709</v>
      </c>
    </row>
    <row r="1779" customFormat="false" ht="15" hidden="false" customHeight="false" outlineLevel="0" collapsed="false">
      <c r="A1779" s="25" t="n">
        <v>1793646</v>
      </c>
      <c r="B1779" s="25" t="s">
        <v>3965</v>
      </c>
      <c r="C1779" s="25" t="s">
        <v>3966</v>
      </c>
      <c r="D1779" s="26" t="n">
        <v>69</v>
      </c>
      <c r="E1779" s="27" t="n">
        <v>7.16115090926274</v>
      </c>
      <c r="F1779" s="27" t="n">
        <v>7.16115090926274</v>
      </c>
      <c r="G1779" s="25" t="s">
        <v>2653</v>
      </c>
      <c r="H1779" s="25" t="s">
        <v>2654</v>
      </c>
      <c r="I1779" s="25" t="n">
        <f aca="false">IFERROR(IF(INDEX(Documents!$C$5:$C$657,MATCH(H1779,Documents!$A$5:$A$657,0))="","",INDEX(Documents!$C$5:$C$657,MATCH(H1779,Documents!$A$5:$A$657,0))),"")</f>
        <v>2006</v>
      </c>
      <c r="J1779" s="25" t="str">
        <f aca="false">IFERROR(IF(INDEX(Documents!$D$5:$D$657,MATCH(H1779,Documents!$A$5:$A$657,0))="","",INDEX(Documents!$D$5:$D$657,MATCH(H1779,Documents!$A$5:$A$657,0))),"")</f>
        <v>Bioorg Med Chem Lett</v>
      </c>
      <c r="K1779" s="25" t="str">
        <f aca="false">IFERROR(IF(INDEX(Documents!$G$5:$G$657,MATCH(H1779,Documents!$A$5:$A$657,0))="","",INDEX(Documents!$G$5:$G$657,MATCH(H1779,Documents!$A$5:$A$657,0))),"")</f>
        <v>10.1016/j.bmcl.2006.07.051</v>
      </c>
      <c r="L1779" s="25" t="s">
        <v>709</v>
      </c>
    </row>
    <row r="1780" customFormat="false" ht="15" hidden="false" customHeight="false" outlineLevel="0" collapsed="false">
      <c r="A1780" s="25" t="n">
        <v>1793643</v>
      </c>
      <c r="B1780" s="25" t="s">
        <v>3967</v>
      </c>
      <c r="C1780" s="25" t="s">
        <v>3968</v>
      </c>
      <c r="D1780" s="26" t="n">
        <v>5.2</v>
      </c>
      <c r="E1780" s="27" t="n">
        <v>8.2839966563652</v>
      </c>
      <c r="F1780" s="27" t="n">
        <v>8.2839966563652</v>
      </c>
      <c r="G1780" s="25" t="s">
        <v>2653</v>
      </c>
      <c r="H1780" s="25" t="s">
        <v>2654</v>
      </c>
      <c r="I1780" s="25" t="n">
        <f aca="false">IFERROR(IF(INDEX(Documents!$C$5:$C$657,MATCH(H1780,Documents!$A$5:$A$657,0))="","",INDEX(Documents!$C$5:$C$657,MATCH(H1780,Documents!$A$5:$A$657,0))),"")</f>
        <v>2006</v>
      </c>
      <c r="J1780" s="25" t="str">
        <f aca="false">IFERROR(IF(INDEX(Documents!$D$5:$D$657,MATCH(H1780,Documents!$A$5:$A$657,0))="","",INDEX(Documents!$D$5:$D$657,MATCH(H1780,Documents!$A$5:$A$657,0))),"")</f>
        <v>Bioorg Med Chem Lett</v>
      </c>
      <c r="K1780" s="25" t="str">
        <f aca="false">IFERROR(IF(INDEX(Documents!$G$5:$G$657,MATCH(H1780,Documents!$A$5:$A$657,0))="","",INDEX(Documents!$G$5:$G$657,MATCH(H1780,Documents!$A$5:$A$657,0))),"")</f>
        <v>10.1016/j.bmcl.2006.07.051</v>
      </c>
      <c r="L1780" s="25" t="s">
        <v>709</v>
      </c>
    </row>
    <row r="1781" customFormat="false" ht="15" hidden="false" customHeight="false" outlineLevel="0" collapsed="false">
      <c r="A1781" s="25" t="n">
        <v>1793644</v>
      </c>
      <c r="B1781" s="25" t="s">
        <v>3969</v>
      </c>
      <c r="C1781" s="25" t="s">
        <v>3970</v>
      </c>
      <c r="D1781" s="26" t="n">
        <v>3.3</v>
      </c>
      <c r="E1781" s="27" t="n">
        <v>8.48148606012211</v>
      </c>
      <c r="F1781" s="27" t="n">
        <v>8.48148606012211</v>
      </c>
      <c r="G1781" s="25" t="s">
        <v>2653</v>
      </c>
      <c r="H1781" s="25" t="s">
        <v>2654</v>
      </c>
      <c r="I1781" s="25" t="n">
        <f aca="false">IFERROR(IF(INDEX(Documents!$C$5:$C$657,MATCH(H1781,Documents!$A$5:$A$657,0))="","",INDEX(Documents!$C$5:$C$657,MATCH(H1781,Documents!$A$5:$A$657,0))),"")</f>
        <v>2006</v>
      </c>
      <c r="J1781" s="25" t="str">
        <f aca="false">IFERROR(IF(INDEX(Documents!$D$5:$D$657,MATCH(H1781,Documents!$A$5:$A$657,0))="","",INDEX(Documents!$D$5:$D$657,MATCH(H1781,Documents!$A$5:$A$657,0))),"")</f>
        <v>Bioorg Med Chem Lett</v>
      </c>
      <c r="K1781" s="25" t="str">
        <f aca="false">IFERROR(IF(INDEX(Documents!$G$5:$G$657,MATCH(H1781,Documents!$A$5:$A$657,0))="","",INDEX(Documents!$G$5:$G$657,MATCH(H1781,Documents!$A$5:$A$657,0))),"")</f>
        <v>10.1016/j.bmcl.2006.07.051</v>
      </c>
      <c r="L1781" s="25" t="s">
        <v>709</v>
      </c>
    </row>
    <row r="1782" customFormat="false" ht="15" hidden="false" customHeight="false" outlineLevel="0" collapsed="false">
      <c r="A1782" s="25" t="n">
        <v>1793645</v>
      </c>
      <c r="B1782" s="25" t="s">
        <v>3971</v>
      </c>
      <c r="C1782" s="25" t="s">
        <v>3972</v>
      </c>
      <c r="D1782" s="26" t="n">
        <v>20</v>
      </c>
      <c r="E1782" s="27" t="n">
        <v>7.69897000433602</v>
      </c>
      <c r="F1782" s="27" t="n">
        <v>7.69897000433602</v>
      </c>
      <c r="G1782" s="25" t="s">
        <v>2653</v>
      </c>
      <c r="H1782" s="25" t="s">
        <v>2654</v>
      </c>
      <c r="I1782" s="25" t="n">
        <f aca="false">IFERROR(IF(INDEX(Documents!$C$5:$C$657,MATCH(H1782,Documents!$A$5:$A$657,0))="","",INDEX(Documents!$C$5:$C$657,MATCH(H1782,Documents!$A$5:$A$657,0))),"")</f>
        <v>2006</v>
      </c>
      <c r="J1782" s="25" t="str">
        <f aca="false">IFERROR(IF(INDEX(Documents!$D$5:$D$657,MATCH(H1782,Documents!$A$5:$A$657,0))="","",INDEX(Documents!$D$5:$D$657,MATCH(H1782,Documents!$A$5:$A$657,0))),"")</f>
        <v>Bioorg Med Chem Lett</v>
      </c>
      <c r="K1782" s="25" t="str">
        <f aca="false">IFERROR(IF(INDEX(Documents!$G$5:$G$657,MATCH(H1782,Documents!$A$5:$A$657,0))="","",INDEX(Documents!$G$5:$G$657,MATCH(H1782,Documents!$A$5:$A$657,0))),"")</f>
        <v>10.1016/j.bmcl.2006.07.051</v>
      </c>
      <c r="L1782" s="25" t="s">
        <v>709</v>
      </c>
    </row>
    <row r="1783" customFormat="false" ht="15" hidden="false" customHeight="false" outlineLevel="0" collapsed="false">
      <c r="A1783" s="25" t="n">
        <v>1793626</v>
      </c>
      <c r="B1783" s="25" t="s">
        <v>3973</v>
      </c>
      <c r="C1783" s="25" t="s">
        <v>3974</v>
      </c>
      <c r="D1783" s="26" t="n">
        <v>24</v>
      </c>
      <c r="E1783" s="27" t="n">
        <v>7.61978875828839</v>
      </c>
      <c r="F1783" s="27" t="n">
        <v>7.61978875828839</v>
      </c>
      <c r="G1783" s="25" t="s">
        <v>2653</v>
      </c>
      <c r="H1783" s="25" t="s">
        <v>2654</v>
      </c>
      <c r="I1783" s="25" t="n">
        <f aca="false">IFERROR(IF(INDEX(Documents!$C$5:$C$657,MATCH(H1783,Documents!$A$5:$A$657,0))="","",INDEX(Documents!$C$5:$C$657,MATCH(H1783,Documents!$A$5:$A$657,0))),"")</f>
        <v>2006</v>
      </c>
      <c r="J1783" s="25" t="str">
        <f aca="false">IFERROR(IF(INDEX(Documents!$D$5:$D$657,MATCH(H1783,Documents!$A$5:$A$657,0))="","",INDEX(Documents!$D$5:$D$657,MATCH(H1783,Documents!$A$5:$A$657,0))),"")</f>
        <v>Bioorg Med Chem Lett</v>
      </c>
      <c r="K1783" s="25" t="str">
        <f aca="false">IFERROR(IF(INDEX(Documents!$G$5:$G$657,MATCH(H1783,Documents!$A$5:$A$657,0))="","",INDEX(Documents!$G$5:$G$657,MATCH(H1783,Documents!$A$5:$A$657,0))),"")</f>
        <v>10.1016/j.bmcl.2006.07.051</v>
      </c>
      <c r="L1783" s="25" t="s">
        <v>709</v>
      </c>
    </row>
    <row r="1784" customFormat="false" ht="15" hidden="false" customHeight="false" outlineLevel="0" collapsed="false">
      <c r="A1784" s="25" t="n">
        <v>1993820</v>
      </c>
      <c r="B1784" s="25" t="s">
        <v>3975</v>
      </c>
      <c r="C1784" s="25" t="s">
        <v>3976</v>
      </c>
      <c r="D1784" s="26" t="n">
        <v>446</v>
      </c>
      <c r="E1784" s="27" t="n">
        <v>6.35066514128786</v>
      </c>
      <c r="F1784" s="27" t="n">
        <v>6.35066514128786</v>
      </c>
      <c r="G1784" s="25" t="s">
        <v>1527</v>
      </c>
      <c r="H1784" s="25" t="s">
        <v>1528</v>
      </c>
      <c r="I1784" s="25" t="n">
        <f aca="false">IFERROR(IF(INDEX(Documents!$C$5:$C$657,MATCH(H1784,Documents!$A$5:$A$657,0))="","",INDEX(Documents!$C$5:$C$657,MATCH(H1784,Documents!$A$5:$A$657,0))),"")</f>
        <v>2007</v>
      </c>
      <c r="J1784" s="25" t="str">
        <f aca="false">IFERROR(IF(INDEX(Documents!$D$5:$D$657,MATCH(H1784,Documents!$A$5:$A$657,0))="","",INDEX(Documents!$D$5:$D$657,MATCH(H1784,Documents!$A$5:$A$657,0))),"")</f>
        <v>J Med Chem</v>
      </c>
      <c r="K1784" s="25" t="str">
        <f aca="false">IFERROR(IF(INDEX(Documents!$G$5:$G$657,MATCH(H1784,Documents!$A$5:$A$657,0))="","",INDEX(Documents!$G$5:$G$657,MATCH(H1784,Documents!$A$5:$A$657,0))),"")</f>
        <v>10.1021/jm070387h</v>
      </c>
      <c r="L1784" s="25" t="s">
        <v>1529</v>
      </c>
    </row>
    <row r="1785" customFormat="false" ht="15" hidden="false" customHeight="false" outlineLevel="0" collapsed="false">
      <c r="A1785" s="25" t="n">
        <v>6366805</v>
      </c>
      <c r="B1785" s="25" t="s">
        <v>3977</v>
      </c>
      <c r="C1785" s="25" t="s">
        <v>3978</v>
      </c>
      <c r="D1785" s="26" t="n">
        <v>7.943</v>
      </c>
      <c r="E1785" s="27" t="n">
        <v>8.10001543745061</v>
      </c>
      <c r="F1785" s="27" t="n">
        <v>8.10001543745061</v>
      </c>
      <c r="G1785" s="25" t="s">
        <v>2229</v>
      </c>
      <c r="H1785" s="25" t="s">
        <v>2230</v>
      </c>
      <c r="I1785" s="25" t="n">
        <f aca="false">IFERROR(IF(INDEX(Documents!$C$5:$C$657,MATCH(H1785,Documents!$A$5:$A$657,0))="","",INDEX(Documents!$C$5:$C$657,MATCH(H1785,Documents!$A$5:$A$657,0))),"")</f>
        <v>2011</v>
      </c>
      <c r="J1785" s="25" t="str">
        <f aca="false">IFERROR(IF(INDEX(Documents!$D$5:$D$657,MATCH(H1785,Documents!$A$5:$A$657,0))="","",INDEX(Documents!$D$5:$D$657,MATCH(H1785,Documents!$A$5:$A$657,0))),"")</f>
        <v>Eur J Med Chem</v>
      </c>
      <c r="K1785" s="25" t="str">
        <f aca="false">IFERROR(IF(INDEX(Documents!$G$5:$G$657,MATCH(H1785,Documents!$A$5:$A$657,0))="","",INDEX(Documents!$G$5:$G$657,MATCH(H1785,Documents!$A$5:$A$657,0))),"")</f>
        <v>10.1016/j.ejmech.2011.08.021</v>
      </c>
      <c r="L1785" s="25" t="s">
        <v>2231</v>
      </c>
    </row>
    <row r="1786" customFormat="false" ht="15" hidden="false" customHeight="false" outlineLevel="0" collapsed="false">
      <c r="A1786" s="25" t="n">
        <v>11019974</v>
      </c>
      <c r="B1786" s="25" t="s">
        <v>3979</v>
      </c>
      <c r="C1786" s="25" t="s">
        <v>3980</v>
      </c>
      <c r="D1786" s="26" t="n">
        <v>70</v>
      </c>
      <c r="E1786" s="27" t="n">
        <v>7.15490195998574</v>
      </c>
      <c r="F1786" s="27" t="n">
        <v>7.15490195998574</v>
      </c>
      <c r="G1786" s="25" t="s">
        <v>496</v>
      </c>
      <c r="H1786" s="25" t="s">
        <v>497</v>
      </c>
      <c r="I1786" s="25" t="n">
        <f aca="false">IFERROR(IF(INDEX(Documents!$C$5:$C$657,MATCH(H1786,Documents!$A$5:$A$657,0))="","",INDEX(Documents!$C$5:$C$657,MATCH(H1786,Documents!$A$5:$A$657,0))),"")</f>
        <v>2012</v>
      </c>
      <c r="J1786" s="25" t="str">
        <f aca="false">IFERROR(IF(INDEX(Documents!$D$5:$D$657,MATCH(H1786,Documents!$A$5:$A$657,0))="","",INDEX(Documents!$D$5:$D$657,MATCH(H1786,Documents!$A$5:$A$657,0))),"")</f>
        <v>J Med Chem</v>
      </c>
      <c r="K1786" s="25" t="str">
        <f aca="false">IFERROR(IF(INDEX(Documents!$G$5:$G$657,MATCH(H1786,Documents!$A$5:$A$657,0))="","",INDEX(Documents!$G$5:$G$657,MATCH(H1786,Documents!$A$5:$A$657,0))),"")</f>
        <v>10.1021/jm3003334</v>
      </c>
      <c r="L1786" s="25" t="s">
        <v>498</v>
      </c>
    </row>
    <row r="1787" customFormat="false" ht="15" hidden="false" customHeight="false" outlineLevel="0" collapsed="false">
      <c r="A1787" s="25" t="n">
        <v>11019967</v>
      </c>
      <c r="B1787" s="25" t="s">
        <v>3981</v>
      </c>
      <c r="C1787" s="25" t="s">
        <v>3982</v>
      </c>
      <c r="D1787" s="26" t="n">
        <v>110</v>
      </c>
      <c r="E1787" s="27" t="n">
        <v>6.95860731484178</v>
      </c>
      <c r="F1787" s="27" t="n">
        <v>6.95860731484178</v>
      </c>
      <c r="G1787" s="25" t="s">
        <v>496</v>
      </c>
      <c r="H1787" s="25" t="s">
        <v>497</v>
      </c>
      <c r="I1787" s="25" t="n">
        <f aca="false">IFERROR(IF(INDEX(Documents!$C$5:$C$657,MATCH(H1787,Documents!$A$5:$A$657,0))="","",INDEX(Documents!$C$5:$C$657,MATCH(H1787,Documents!$A$5:$A$657,0))),"")</f>
        <v>2012</v>
      </c>
      <c r="J1787" s="25" t="str">
        <f aca="false">IFERROR(IF(INDEX(Documents!$D$5:$D$657,MATCH(H1787,Documents!$A$5:$A$657,0))="","",INDEX(Documents!$D$5:$D$657,MATCH(H1787,Documents!$A$5:$A$657,0))),"")</f>
        <v>J Med Chem</v>
      </c>
      <c r="K1787" s="25" t="str">
        <f aca="false">IFERROR(IF(INDEX(Documents!$G$5:$G$657,MATCH(H1787,Documents!$A$5:$A$657,0))="","",INDEX(Documents!$G$5:$G$657,MATCH(H1787,Documents!$A$5:$A$657,0))),"")</f>
        <v>10.1021/jm3003334</v>
      </c>
      <c r="L1787" s="25" t="s">
        <v>498</v>
      </c>
    </row>
    <row r="1788" customFormat="false" ht="15" hidden="false" customHeight="false" outlineLevel="0" collapsed="false">
      <c r="A1788" s="25" t="n">
        <v>11019989</v>
      </c>
      <c r="B1788" s="25" t="s">
        <v>3983</v>
      </c>
      <c r="C1788" s="25" t="s">
        <v>3984</v>
      </c>
      <c r="D1788" s="26" t="n">
        <v>170</v>
      </c>
      <c r="E1788" s="27" t="n">
        <v>6.76955107862173</v>
      </c>
      <c r="F1788" s="27" t="n">
        <v>6.76955107862173</v>
      </c>
      <c r="G1788" s="25" t="s">
        <v>496</v>
      </c>
      <c r="H1788" s="25" t="s">
        <v>497</v>
      </c>
      <c r="I1788" s="25" t="n">
        <f aca="false">IFERROR(IF(INDEX(Documents!$C$5:$C$657,MATCH(H1788,Documents!$A$5:$A$657,0))="","",INDEX(Documents!$C$5:$C$657,MATCH(H1788,Documents!$A$5:$A$657,0))),"")</f>
        <v>2012</v>
      </c>
      <c r="J1788" s="25" t="str">
        <f aca="false">IFERROR(IF(INDEX(Documents!$D$5:$D$657,MATCH(H1788,Documents!$A$5:$A$657,0))="","",INDEX(Documents!$D$5:$D$657,MATCH(H1788,Documents!$A$5:$A$657,0))),"")</f>
        <v>J Med Chem</v>
      </c>
      <c r="K1788" s="25" t="str">
        <f aca="false">IFERROR(IF(INDEX(Documents!$G$5:$G$657,MATCH(H1788,Documents!$A$5:$A$657,0))="","",INDEX(Documents!$G$5:$G$657,MATCH(H1788,Documents!$A$5:$A$657,0))),"")</f>
        <v>10.1021/jm3003334</v>
      </c>
      <c r="L1788" s="25" t="s">
        <v>498</v>
      </c>
    </row>
    <row r="1789" customFormat="false" ht="15" hidden="false" customHeight="false" outlineLevel="0" collapsed="false">
      <c r="A1789" s="25" t="n">
        <v>1993851</v>
      </c>
      <c r="B1789" s="25" t="s">
        <v>3985</v>
      </c>
      <c r="C1789" s="25" t="s">
        <v>3986</v>
      </c>
      <c r="D1789" s="26" t="n">
        <v>1670</v>
      </c>
      <c r="E1789" s="27" t="n">
        <v>5.77728352885242</v>
      </c>
      <c r="F1789" s="27" t="n">
        <v>5.77728352885242</v>
      </c>
      <c r="G1789" s="25" t="s">
        <v>1527</v>
      </c>
      <c r="H1789" s="25" t="s">
        <v>1528</v>
      </c>
      <c r="I1789" s="25" t="n">
        <f aca="false">IFERROR(IF(INDEX(Documents!$C$5:$C$657,MATCH(H1789,Documents!$A$5:$A$657,0))="","",INDEX(Documents!$C$5:$C$657,MATCH(H1789,Documents!$A$5:$A$657,0))),"")</f>
        <v>2007</v>
      </c>
      <c r="J1789" s="25" t="str">
        <f aca="false">IFERROR(IF(INDEX(Documents!$D$5:$D$657,MATCH(H1789,Documents!$A$5:$A$657,0))="","",INDEX(Documents!$D$5:$D$657,MATCH(H1789,Documents!$A$5:$A$657,0))),"")</f>
        <v>J Med Chem</v>
      </c>
      <c r="K1789" s="25" t="str">
        <f aca="false">IFERROR(IF(INDEX(Documents!$G$5:$G$657,MATCH(H1789,Documents!$A$5:$A$657,0))="","",INDEX(Documents!$G$5:$G$657,MATCH(H1789,Documents!$A$5:$A$657,0))),"")</f>
        <v>10.1021/jm070387h</v>
      </c>
      <c r="L1789" s="25" t="s">
        <v>1529</v>
      </c>
    </row>
    <row r="1790" customFormat="false" ht="15" hidden="false" customHeight="false" outlineLevel="0" collapsed="false">
      <c r="A1790" s="25" t="n">
        <v>1993854</v>
      </c>
      <c r="B1790" s="25" t="s">
        <v>3987</v>
      </c>
      <c r="C1790" s="25" t="s">
        <v>3988</v>
      </c>
      <c r="D1790" s="26" t="n">
        <v>25.5</v>
      </c>
      <c r="E1790" s="27" t="n">
        <v>7.59345981956605</v>
      </c>
      <c r="F1790" s="27" t="n">
        <v>7.59345981956605</v>
      </c>
      <c r="G1790" s="25" t="s">
        <v>1527</v>
      </c>
      <c r="H1790" s="25" t="s">
        <v>1528</v>
      </c>
      <c r="I1790" s="25" t="n">
        <f aca="false">IFERROR(IF(INDEX(Documents!$C$5:$C$657,MATCH(H1790,Documents!$A$5:$A$657,0))="","",INDEX(Documents!$C$5:$C$657,MATCH(H1790,Documents!$A$5:$A$657,0))),"")</f>
        <v>2007</v>
      </c>
      <c r="J1790" s="25" t="str">
        <f aca="false">IFERROR(IF(INDEX(Documents!$D$5:$D$657,MATCH(H1790,Documents!$A$5:$A$657,0))="","",INDEX(Documents!$D$5:$D$657,MATCH(H1790,Documents!$A$5:$A$657,0))),"")</f>
        <v>J Med Chem</v>
      </c>
      <c r="K1790" s="25" t="str">
        <f aca="false">IFERROR(IF(INDEX(Documents!$G$5:$G$657,MATCH(H1790,Documents!$A$5:$A$657,0))="","",INDEX(Documents!$G$5:$G$657,MATCH(H1790,Documents!$A$5:$A$657,0))),"")</f>
        <v>10.1021/jm070387h</v>
      </c>
      <c r="L1790" s="25" t="s">
        <v>1529</v>
      </c>
    </row>
    <row r="1791" customFormat="false" ht="15" hidden="false" customHeight="false" outlineLevel="0" collapsed="false">
      <c r="A1791" s="25" t="n">
        <v>5124698</v>
      </c>
      <c r="B1791" s="25" t="s">
        <v>3989</v>
      </c>
      <c r="C1791" s="25" t="s">
        <v>3990</v>
      </c>
      <c r="D1791" s="26" t="n">
        <v>51</v>
      </c>
      <c r="E1791" s="27" t="n">
        <v>7.29242982390206</v>
      </c>
      <c r="F1791" s="27" t="n">
        <v>7.29242982390206</v>
      </c>
      <c r="G1791" s="25" t="s">
        <v>1948</v>
      </c>
      <c r="H1791" s="25" t="s">
        <v>1949</v>
      </c>
      <c r="I1791" s="25" t="n">
        <f aca="false">IFERROR(IF(INDEX(Documents!$C$5:$C$657,MATCH(H1791,Documents!$A$5:$A$657,0))="","",INDEX(Documents!$C$5:$C$657,MATCH(H1791,Documents!$A$5:$A$657,0))),"")</f>
        <v>2010</v>
      </c>
      <c r="J1791" s="25" t="str">
        <f aca="false">IFERROR(IF(INDEX(Documents!$D$5:$D$657,MATCH(H1791,Documents!$A$5:$A$657,0))="","",INDEX(Documents!$D$5:$D$657,MATCH(H1791,Documents!$A$5:$A$657,0))),"")</f>
        <v>J Med Chem</v>
      </c>
      <c r="K1791" s="25" t="str">
        <f aca="false">IFERROR(IF(INDEX(Documents!$G$5:$G$657,MATCH(H1791,Documents!$A$5:$A$657,0))="","",INDEX(Documents!$G$5:$G$657,MATCH(H1791,Documents!$A$5:$A$657,0))),"")</f>
        <v>10.1021/jm100286k</v>
      </c>
      <c r="L1791" s="25" t="s">
        <v>1950</v>
      </c>
    </row>
    <row r="1792" customFormat="false" ht="15" hidden="false" customHeight="false" outlineLevel="0" collapsed="false">
      <c r="A1792" s="25" t="n">
        <v>1993853</v>
      </c>
      <c r="B1792" s="25" t="s">
        <v>3991</v>
      </c>
      <c r="C1792" s="25" t="s">
        <v>3992</v>
      </c>
      <c r="D1792" s="26" t="n">
        <v>1130</v>
      </c>
      <c r="E1792" s="27" t="n">
        <v>5.94692155651658</v>
      </c>
      <c r="F1792" s="27" t="n">
        <v>5.94692155651658</v>
      </c>
      <c r="G1792" s="25" t="s">
        <v>1527</v>
      </c>
      <c r="H1792" s="25" t="s">
        <v>1528</v>
      </c>
      <c r="I1792" s="25" t="n">
        <f aca="false">IFERROR(IF(INDEX(Documents!$C$5:$C$657,MATCH(H1792,Documents!$A$5:$A$657,0))="","",INDEX(Documents!$C$5:$C$657,MATCH(H1792,Documents!$A$5:$A$657,0))),"")</f>
        <v>2007</v>
      </c>
      <c r="J1792" s="25" t="str">
        <f aca="false">IFERROR(IF(INDEX(Documents!$D$5:$D$657,MATCH(H1792,Documents!$A$5:$A$657,0))="","",INDEX(Documents!$D$5:$D$657,MATCH(H1792,Documents!$A$5:$A$657,0))),"")</f>
        <v>J Med Chem</v>
      </c>
      <c r="K1792" s="25" t="str">
        <f aca="false">IFERROR(IF(INDEX(Documents!$G$5:$G$657,MATCH(H1792,Documents!$A$5:$A$657,0))="","",INDEX(Documents!$G$5:$G$657,MATCH(H1792,Documents!$A$5:$A$657,0))),"")</f>
        <v>10.1021/jm070387h</v>
      </c>
      <c r="L1792" s="25" t="s">
        <v>1529</v>
      </c>
    </row>
    <row r="1793" customFormat="false" ht="15" hidden="false" customHeight="false" outlineLevel="0" collapsed="false">
      <c r="A1793" s="25" t="n">
        <v>5124697</v>
      </c>
      <c r="B1793" s="25" t="s">
        <v>3993</v>
      </c>
      <c r="C1793" s="25" t="s">
        <v>3994</v>
      </c>
      <c r="D1793" s="26" t="n">
        <v>209</v>
      </c>
      <c r="E1793" s="27" t="n">
        <v>6.67985371388895</v>
      </c>
      <c r="F1793" s="27" t="n">
        <v>6.67985371388895</v>
      </c>
      <c r="G1793" s="25" t="s">
        <v>1948</v>
      </c>
      <c r="H1793" s="25" t="s">
        <v>1949</v>
      </c>
      <c r="I1793" s="25" t="n">
        <f aca="false">IFERROR(IF(INDEX(Documents!$C$5:$C$657,MATCH(H1793,Documents!$A$5:$A$657,0))="","",INDEX(Documents!$C$5:$C$657,MATCH(H1793,Documents!$A$5:$A$657,0))),"")</f>
        <v>2010</v>
      </c>
      <c r="J1793" s="25" t="str">
        <f aca="false">IFERROR(IF(INDEX(Documents!$D$5:$D$657,MATCH(H1793,Documents!$A$5:$A$657,0))="","",INDEX(Documents!$D$5:$D$657,MATCH(H1793,Documents!$A$5:$A$657,0))),"")</f>
        <v>J Med Chem</v>
      </c>
      <c r="K1793" s="25" t="str">
        <f aca="false">IFERROR(IF(INDEX(Documents!$G$5:$G$657,MATCH(H1793,Documents!$A$5:$A$657,0))="","",INDEX(Documents!$G$5:$G$657,MATCH(H1793,Documents!$A$5:$A$657,0))),"")</f>
        <v>10.1021/jm100286k</v>
      </c>
      <c r="L1793" s="25" t="s">
        <v>1950</v>
      </c>
    </row>
    <row r="1794" customFormat="false" ht="15" hidden="false" customHeight="false" outlineLevel="0" collapsed="false">
      <c r="A1794" s="25" t="n">
        <v>1993852</v>
      </c>
      <c r="B1794" s="25" t="s">
        <v>3995</v>
      </c>
      <c r="C1794" s="25" t="s">
        <v>3996</v>
      </c>
      <c r="D1794" s="26" t="n">
        <v>265</v>
      </c>
      <c r="E1794" s="27" t="n">
        <v>6.57675412606319</v>
      </c>
      <c r="F1794" s="27" t="n">
        <v>6.57675412606319</v>
      </c>
      <c r="G1794" s="25" t="s">
        <v>1527</v>
      </c>
      <c r="H1794" s="25" t="s">
        <v>1528</v>
      </c>
      <c r="I1794" s="25" t="n">
        <f aca="false">IFERROR(IF(INDEX(Documents!$C$5:$C$657,MATCH(H1794,Documents!$A$5:$A$657,0))="","",INDEX(Documents!$C$5:$C$657,MATCH(H1794,Documents!$A$5:$A$657,0))),"")</f>
        <v>2007</v>
      </c>
      <c r="J1794" s="25" t="str">
        <f aca="false">IFERROR(IF(INDEX(Documents!$D$5:$D$657,MATCH(H1794,Documents!$A$5:$A$657,0))="","",INDEX(Documents!$D$5:$D$657,MATCH(H1794,Documents!$A$5:$A$657,0))),"")</f>
        <v>J Med Chem</v>
      </c>
      <c r="K1794" s="25" t="str">
        <f aca="false">IFERROR(IF(INDEX(Documents!$G$5:$G$657,MATCH(H1794,Documents!$A$5:$A$657,0))="","",INDEX(Documents!$G$5:$G$657,MATCH(H1794,Documents!$A$5:$A$657,0))),"")</f>
        <v>10.1021/jm070387h</v>
      </c>
      <c r="L1794" s="25" t="s">
        <v>1529</v>
      </c>
    </row>
    <row r="1795" customFormat="false" ht="15" hidden="false" customHeight="false" outlineLevel="0" collapsed="false">
      <c r="A1795" s="25" t="n">
        <v>15233397</v>
      </c>
      <c r="B1795" s="25" t="s">
        <v>3997</v>
      </c>
      <c r="C1795" s="25" t="s">
        <v>3998</v>
      </c>
      <c r="D1795" s="26" t="n">
        <v>29.2</v>
      </c>
      <c r="E1795" s="27" t="n">
        <v>7.53461714855158</v>
      </c>
      <c r="F1795" s="27" t="n">
        <v>7.53461714855158</v>
      </c>
      <c r="G1795" s="25" t="s">
        <v>2818</v>
      </c>
      <c r="H1795" s="25" t="s">
        <v>2819</v>
      </c>
      <c r="I1795" s="25" t="n">
        <f aca="false">IFERROR(IF(INDEX(Documents!$C$5:$C$657,MATCH(H1795,Documents!$A$5:$A$657,0))="","",INDEX(Documents!$C$5:$C$657,MATCH(H1795,Documents!$A$5:$A$657,0))),"")</f>
        <v>2015</v>
      </c>
      <c r="J1795" s="25" t="str">
        <f aca="false">IFERROR(IF(INDEX(Documents!$D$5:$D$657,MATCH(H1795,Documents!$A$5:$A$657,0))="","",INDEX(Documents!$D$5:$D$657,MATCH(H1795,Documents!$A$5:$A$657,0))),"")</f>
        <v>ACS Med Chem Lett</v>
      </c>
      <c r="K1795" s="25" t="str">
        <f aca="false">IFERROR(IF(INDEX(Documents!$G$5:$G$657,MATCH(H1795,Documents!$A$5:$A$657,0))="","",INDEX(Documents!$G$5:$G$657,MATCH(H1795,Documents!$A$5:$A$657,0))),"")</f>
        <v>10.1021/ml500439x</v>
      </c>
      <c r="L1795" s="25" t="s">
        <v>2820</v>
      </c>
    </row>
    <row r="1796" customFormat="false" ht="15" hidden="false" customHeight="false" outlineLevel="0" collapsed="false">
      <c r="A1796" s="25" t="n">
        <v>15233399</v>
      </c>
      <c r="B1796" s="25" t="s">
        <v>3999</v>
      </c>
      <c r="C1796" s="25" t="s">
        <v>4000</v>
      </c>
      <c r="D1796" s="26" t="n">
        <v>1365</v>
      </c>
      <c r="E1796" s="27" t="n">
        <v>5.86486734862323</v>
      </c>
      <c r="F1796" s="27" t="n">
        <v>5.86486734862323</v>
      </c>
      <c r="G1796" s="25" t="s">
        <v>2818</v>
      </c>
      <c r="H1796" s="25" t="s">
        <v>2819</v>
      </c>
      <c r="I1796" s="25" t="n">
        <f aca="false">IFERROR(IF(INDEX(Documents!$C$5:$C$657,MATCH(H1796,Documents!$A$5:$A$657,0))="","",INDEX(Documents!$C$5:$C$657,MATCH(H1796,Documents!$A$5:$A$657,0))),"")</f>
        <v>2015</v>
      </c>
      <c r="J1796" s="25" t="str">
        <f aca="false">IFERROR(IF(INDEX(Documents!$D$5:$D$657,MATCH(H1796,Documents!$A$5:$A$657,0))="","",INDEX(Documents!$D$5:$D$657,MATCH(H1796,Documents!$A$5:$A$657,0))),"")</f>
        <v>ACS Med Chem Lett</v>
      </c>
      <c r="K1796" s="25" t="str">
        <f aca="false">IFERROR(IF(INDEX(Documents!$G$5:$G$657,MATCH(H1796,Documents!$A$5:$A$657,0))="","",INDEX(Documents!$G$5:$G$657,MATCH(H1796,Documents!$A$5:$A$657,0))),"")</f>
        <v>10.1021/ml500439x</v>
      </c>
      <c r="L1796" s="25" t="s">
        <v>2820</v>
      </c>
    </row>
    <row r="1797" customFormat="false" ht="15" hidden="false" customHeight="false" outlineLevel="0" collapsed="false">
      <c r="A1797" s="25" t="n">
        <v>15233396</v>
      </c>
      <c r="B1797" s="25" t="s">
        <v>4001</v>
      </c>
      <c r="C1797" s="25" t="s">
        <v>4002</v>
      </c>
      <c r="D1797" s="26" t="n">
        <v>18.8</v>
      </c>
      <c r="E1797" s="27" t="n">
        <v>7.72584215073632</v>
      </c>
      <c r="F1797" s="27" t="n">
        <v>7.72584215073632</v>
      </c>
      <c r="G1797" s="25" t="s">
        <v>2818</v>
      </c>
      <c r="H1797" s="25" t="s">
        <v>2819</v>
      </c>
      <c r="I1797" s="25" t="n">
        <f aca="false">IFERROR(IF(INDEX(Documents!$C$5:$C$657,MATCH(H1797,Documents!$A$5:$A$657,0))="","",INDEX(Documents!$C$5:$C$657,MATCH(H1797,Documents!$A$5:$A$657,0))),"")</f>
        <v>2015</v>
      </c>
      <c r="J1797" s="25" t="str">
        <f aca="false">IFERROR(IF(INDEX(Documents!$D$5:$D$657,MATCH(H1797,Documents!$A$5:$A$657,0))="","",INDEX(Documents!$D$5:$D$657,MATCH(H1797,Documents!$A$5:$A$657,0))),"")</f>
        <v>ACS Med Chem Lett</v>
      </c>
      <c r="K1797" s="25" t="str">
        <f aca="false">IFERROR(IF(INDEX(Documents!$G$5:$G$657,MATCH(H1797,Documents!$A$5:$A$657,0))="","",INDEX(Documents!$G$5:$G$657,MATCH(H1797,Documents!$A$5:$A$657,0))),"")</f>
        <v>10.1021/ml500439x</v>
      </c>
      <c r="L1797" s="25" t="s">
        <v>2820</v>
      </c>
    </row>
    <row r="1798" customFormat="false" ht="15" hidden="false" customHeight="false" outlineLevel="0" collapsed="false">
      <c r="A1798" s="25" t="n">
        <v>15233386</v>
      </c>
      <c r="B1798" s="25" t="s">
        <v>4003</v>
      </c>
      <c r="C1798" s="25" t="s">
        <v>4004</v>
      </c>
      <c r="D1798" s="26" t="n">
        <v>0.39</v>
      </c>
      <c r="E1798" s="27" t="n">
        <v>9.4089353929735</v>
      </c>
      <c r="F1798" s="27" t="n">
        <v>9.4089353929735</v>
      </c>
      <c r="G1798" s="25" t="s">
        <v>2818</v>
      </c>
      <c r="H1798" s="25" t="s">
        <v>2819</v>
      </c>
      <c r="I1798" s="25" t="n">
        <f aca="false">IFERROR(IF(INDEX(Documents!$C$5:$C$657,MATCH(H1798,Documents!$A$5:$A$657,0))="","",INDEX(Documents!$C$5:$C$657,MATCH(H1798,Documents!$A$5:$A$657,0))),"")</f>
        <v>2015</v>
      </c>
      <c r="J1798" s="25" t="str">
        <f aca="false">IFERROR(IF(INDEX(Documents!$D$5:$D$657,MATCH(H1798,Documents!$A$5:$A$657,0))="","",INDEX(Documents!$D$5:$D$657,MATCH(H1798,Documents!$A$5:$A$657,0))),"")</f>
        <v>ACS Med Chem Lett</v>
      </c>
      <c r="K1798" s="25" t="str">
        <f aca="false">IFERROR(IF(INDEX(Documents!$G$5:$G$657,MATCH(H1798,Documents!$A$5:$A$657,0))="","",INDEX(Documents!$G$5:$G$657,MATCH(H1798,Documents!$A$5:$A$657,0))),"")</f>
        <v>10.1021/ml500439x</v>
      </c>
      <c r="L1798" s="25" t="s">
        <v>2820</v>
      </c>
    </row>
    <row r="1799" customFormat="false" ht="15" hidden="false" customHeight="false" outlineLevel="0" collapsed="false">
      <c r="A1799" s="25" t="n">
        <v>15233389</v>
      </c>
      <c r="B1799" s="25" t="s">
        <v>4005</v>
      </c>
      <c r="C1799" s="25" t="s">
        <v>4006</v>
      </c>
      <c r="D1799" s="26" t="n">
        <v>10.4</v>
      </c>
      <c r="E1799" s="27" t="n">
        <v>7.98296666070122</v>
      </c>
      <c r="F1799" s="27" t="n">
        <v>7.98296666070122</v>
      </c>
      <c r="G1799" s="25" t="s">
        <v>2818</v>
      </c>
      <c r="H1799" s="25" t="s">
        <v>2819</v>
      </c>
      <c r="I1799" s="25" t="n">
        <f aca="false">IFERROR(IF(INDEX(Documents!$C$5:$C$657,MATCH(H1799,Documents!$A$5:$A$657,0))="","",INDEX(Documents!$C$5:$C$657,MATCH(H1799,Documents!$A$5:$A$657,0))),"")</f>
        <v>2015</v>
      </c>
      <c r="J1799" s="25" t="str">
        <f aca="false">IFERROR(IF(INDEX(Documents!$D$5:$D$657,MATCH(H1799,Documents!$A$5:$A$657,0))="","",INDEX(Documents!$D$5:$D$657,MATCH(H1799,Documents!$A$5:$A$657,0))),"")</f>
        <v>ACS Med Chem Lett</v>
      </c>
      <c r="K1799" s="25" t="str">
        <f aca="false">IFERROR(IF(INDEX(Documents!$G$5:$G$657,MATCH(H1799,Documents!$A$5:$A$657,0))="","",INDEX(Documents!$G$5:$G$657,MATCH(H1799,Documents!$A$5:$A$657,0))),"")</f>
        <v>10.1021/ml500439x</v>
      </c>
      <c r="L1799" s="25" t="s">
        <v>2820</v>
      </c>
    </row>
    <row r="1800" customFormat="false" ht="15" hidden="false" customHeight="false" outlineLevel="0" collapsed="false">
      <c r="A1800" s="25" t="n">
        <v>15233388</v>
      </c>
      <c r="B1800" s="25" t="s">
        <v>4007</v>
      </c>
      <c r="C1800" s="25" t="s">
        <v>4008</v>
      </c>
      <c r="D1800" s="26" t="n">
        <v>0.62</v>
      </c>
      <c r="E1800" s="27" t="n">
        <v>9.20760831050175</v>
      </c>
      <c r="F1800" s="27" t="n">
        <v>9.20760831050175</v>
      </c>
      <c r="G1800" s="25" t="s">
        <v>2818</v>
      </c>
      <c r="H1800" s="25" t="s">
        <v>2819</v>
      </c>
      <c r="I1800" s="25" t="n">
        <f aca="false">IFERROR(IF(INDEX(Documents!$C$5:$C$657,MATCH(H1800,Documents!$A$5:$A$657,0))="","",INDEX(Documents!$C$5:$C$657,MATCH(H1800,Documents!$A$5:$A$657,0))),"")</f>
        <v>2015</v>
      </c>
      <c r="J1800" s="25" t="str">
        <f aca="false">IFERROR(IF(INDEX(Documents!$D$5:$D$657,MATCH(H1800,Documents!$A$5:$A$657,0))="","",INDEX(Documents!$D$5:$D$657,MATCH(H1800,Documents!$A$5:$A$657,0))),"")</f>
        <v>ACS Med Chem Lett</v>
      </c>
      <c r="K1800" s="25" t="str">
        <f aca="false">IFERROR(IF(INDEX(Documents!$G$5:$G$657,MATCH(H1800,Documents!$A$5:$A$657,0))="","",INDEX(Documents!$G$5:$G$657,MATCH(H1800,Documents!$A$5:$A$657,0))),"")</f>
        <v>10.1021/ml500439x</v>
      </c>
      <c r="L1800" s="25" t="s">
        <v>2820</v>
      </c>
    </row>
    <row r="1801" customFormat="false" ht="15" hidden="false" customHeight="false" outlineLevel="0" collapsed="false">
      <c r="A1801" s="25" t="n">
        <v>15233385</v>
      </c>
      <c r="B1801" s="25" t="s">
        <v>4009</v>
      </c>
      <c r="C1801" s="25" t="s">
        <v>4010</v>
      </c>
      <c r="D1801" s="26" t="n">
        <v>26.1</v>
      </c>
      <c r="E1801" s="27" t="n">
        <v>7.58335949266172</v>
      </c>
      <c r="F1801" s="27" t="n">
        <v>7.58335949266172</v>
      </c>
      <c r="G1801" s="25" t="s">
        <v>2818</v>
      </c>
      <c r="H1801" s="25" t="s">
        <v>2819</v>
      </c>
      <c r="I1801" s="25" t="n">
        <f aca="false">IFERROR(IF(INDEX(Documents!$C$5:$C$657,MATCH(H1801,Documents!$A$5:$A$657,0))="","",INDEX(Documents!$C$5:$C$657,MATCH(H1801,Documents!$A$5:$A$657,0))),"")</f>
        <v>2015</v>
      </c>
      <c r="J1801" s="25" t="str">
        <f aca="false">IFERROR(IF(INDEX(Documents!$D$5:$D$657,MATCH(H1801,Documents!$A$5:$A$657,0))="","",INDEX(Documents!$D$5:$D$657,MATCH(H1801,Documents!$A$5:$A$657,0))),"")</f>
        <v>ACS Med Chem Lett</v>
      </c>
      <c r="K1801" s="25" t="str">
        <f aca="false">IFERROR(IF(INDEX(Documents!$G$5:$G$657,MATCH(H1801,Documents!$A$5:$A$657,0))="","",INDEX(Documents!$G$5:$G$657,MATCH(H1801,Documents!$A$5:$A$657,0))),"")</f>
        <v>10.1021/ml500439x</v>
      </c>
      <c r="L1801" s="25" t="s">
        <v>2820</v>
      </c>
    </row>
    <row r="1802" customFormat="false" ht="15" hidden="false" customHeight="false" outlineLevel="0" collapsed="false">
      <c r="A1802" s="25" t="n">
        <v>15233387</v>
      </c>
      <c r="B1802" s="25" t="s">
        <v>4011</v>
      </c>
      <c r="C1802" s="25" t="s">
        <v>4012</v>
      </c>
      <c r="D1802" s="26" t="n">
        <v>8</v>
      </c>
      <c r="E1802" s="27" t="n">
        <v>8.09691001300806</v>
      </c>
      <c r="F1802" s="27" t="n">
        <v>8.09691001300806</v>
      </c>
      <c r="G1802" s="25" t="s">
        <v>2818</v>
      </c>
      <c r="H1802" s="25" t="s">
        <v>2819</v>
      </c>
      <c r="I1802" s="25" t="n">
        <f aca="false">IFERROR(IF(INDEX(Documents!$C$5:$C$657,MATCH(H1802,Documents!$A$5:$A$657,0))="","",INDEX(Documents!$C$5:$C$657,MATCH(H1802,Documents!$A$5:$A$657,0))),"")</f>
        <v>2015</v>
      </c>
      <c r="J1802" s="25" t="str">
        <f aca="false">IFERROR(IF(INDEX(Documents!$D$5:$D$657,MATCH(H1802,Documents!$A$5:$A$657,0))="","",INDEX(Documents!$D$5:$D$657,MATCH(H1802,Documents!$A$5:$A$657,0))),"")</f>
        <v>ACS Med Chem Lett</v>
      </c>
      <c r="K1802" s="25" t="str">
        <f aca="false">IFERROR(IF(INDEX(Documents!$G$5:$G$657,MATCH(H1802,Documents!$A$5:$A$657,0))="","",INDEX(Documents!$G$5:$G$657,MATCH(H1802,Documents!$A$5:$A$657,0))),"")</f>
        <v>10.1021/ml500439x</v>
      </c>
      <c r="L1802" s="25" t="s">
        <v>2820</v>
      </c>
    </row>
    <row r="1803" customFormat="false" ht="15" hidden="false" customHeight="false" outlineLevel="0" collapsed="false">
      <c r="A1803" s="25" t="n">
        <v>1993833</v>
      </c>
      <c r="B1803" s="25" t="s">
        <v>4013</v>
      </c>
      <c r="C1803" s="25" t="s">
        <v>4014</v>
      </c>
      <c r="D1803" s="26" t="n">
        <v>93</v>
      </c>
      <c r="E1803" s="27" t="n">
        <v>7.03151705144607</v>
      </c>
      <c r="F1803" s="27" t="n">
        <v>7.03151705144607</v>
      </c>
      <c r="G1803" s="25" t="s">
        <v>1527</v>
      </c>
      <c r="H1803" s="25" t="s">
        <v>1528</v>
      </c>
      <c r="I1803" s="25" t="n">
        <f aca="false">IFERROR(IF(INDEX(Documents!$C$5:$C$657,MATCH(H1803,Documents!$A$5:$A$657,0))="","",INDEX(Documents!$C$5:$C$657,MATCH(H1803,Documents!$A$5:$A$657,0))),"")</f>
        <v>2007</v>
      </c>
      <c r="J1803" s="25" t="str">
        <f aca="false">IFERROR(IF(INDEX(Documents!$D$5:$D$657,MATCH(H1803,Documents!$A$5:$A$657,0))="","",INDEX(Documents!$D$5:$D$657,MATCH(H1803,Documents!$A$5:$A$657,0))),"")</f>
        <v>J Med Chem</v>
      </c>
      <c r="K1803" s="25" t="str">
        <f aca="false">IFERROR(IF(INDEX(Documents!$G$5:$G$657,MATCH(H1803,Documents!$A$5:$A$657,0))="","",INDEX(Documents!$G$5:$G$657,MATCH(H1803,Documents!$A$5:$A$657,0))),"")</f>
        <v>10.1021/jm070387h</v>
      </c>
      <c r="L1803" s="25" t="s">
        <v>1529</v>
      </c>
    </row>
    <row r="1804" customFormat="false" ht="15" hidden="false" customHeight="false" outlineLevel="0" collapsed="false">
      <c r="A1804" s="25" t="n">
        <v>24974996</v>
      </c>
      <c r="B1804" s="25" t="s">
        <v>4015</v>
      </c>
      <c r="C1804" s="25" t="s">
        <v>4016</v>
      </c>
      <c r="D1804" s="26" t="n">
        <v>0.63</v>
      </c>
      <c r="E1804" s="27" t="n">
        <v>9.20065945054642</v>
      </c>
      <c r="F1804" s="27" t="n">
        <v>9.20065945054642</v>
      </c>
      <c r="G1804" s="25" t="s">
        <v>4017</v>
      </c>
      <c r="H1804" s="25" t="s">
        <v>4018</v>
      </c>
      <c r="I1804" s="25" t="n">
        <f aca="false">IFERROR(IF(INDEX(Documents!$C$5:$C$657,MATCH(H1804,Documents!$A$5:$A$657,0))="","",INDEX(Documents!$C$5:$C$657,MATCH(H1804,Documents!$A$5:$A$657,0))),"")</f>
        <v>2022</v>
      </c>
      <c r="J1804" s="25" t="str">
        <f aca="false">IFERROR(IF(INDEX(Documents!$D$5:$D$657,MATCH(H1804,Documents!$A$5:$A$657,0))="","",INDEX(Documents!$D$5:$D$657,MATCH(H1804,Documents!$A$5:$A$657,0))),"")</f>
        <v>RSC Med Chem</v>
      </c>
      <c r="K1804" s="25" t="str">
        <f aca="false">IFERROR(IF(INDEX(Documents!$G$5:$G$657,MATCH(H1804,Documents!$A$5:$A$657,0))="","",INDEX(Documents!$G$5:$G$657,MATCH(H1804,Documents!$A$5:$A$657,0))),"")</f>
        <v>10.1039/d2md00006g</v>
      </c>
      <c r="L1804" s="25" t="s">
        <v>4019</v>
      </c>
    </row>
    <row r="1805" customFormat="false" ht="15" hidden="false" customHeight="false" outlineLevel="0" collapsed="false">
      <c r="A1805" s="25" t="n">
        <v>13922860</v>
      </c>
      <c r="B1805" s="25" t="s">
        <v>4020</v>
      </c>
      <c r="C1805" s="25" t="s">
        <v>4021</v>
      </c>
      <c r="D1805" s="26" t="n">
        <v>490</v>
      </c>
      <c r="E1805" s="27" t="n">
        <v>6.30980391997149</v>
      </c>
      <c r="F1805" s="27" t="n">
        <v>6.30980391997149</v>
      </c>
      <c r="G1805" s="25" t="s">
        <v>243</v>
      </c>
      <c r="H1805" s="25" t="s">
        <v>244</v>
      </c>
      <c r="I1805" s="25" t="n">
        <f aca="false">IFERROR(IF(INDEX(Documents!$C$5:$C$657,MATCH(H1805,Documents!$A$5:$A$657,0))="","",INDEX(Documents!$C$5:$C$657,MATCH(H1805,Documents!$A$5:$A$657,0))),"")</f>
        <v>2014</v>
      </c>
      <c r="J1805" s="25" t="str">
        <f aca="false">IFERROR(IF(INDEX(Documents!$D$5:$D$657,MATCH(H1805,Documents!$A$5:$A$657,0))="","",INDEX(Documents!$D$5:$D$657,MATCH(H1805,Documents!$A$5:$A$657,0))),"")</f>
        <v>Eur J Med Chem</v>
      </c>
      <c r="K1805" s="25" t="str">
        <f aca="false">IFERROR(IF(INDEX(Documents!$G$5:$G$657,MATCH(H1805,Documents!$A$5:$A$657,0))="","",INDEX(Documents!$G$5:$G$657,MATCH(H1805,Documents!$A$5:$A$657,0))),"")</f>
        <v>10.1016/j.ejmech.2013.11.026</v>
      </c>
      <c r="L1805" s="25" t="s">
        <v>245</v>
      </c>
    </row>
    <row r="1806" customFormat="false" ht="15" hidden="false" customHeight="false" outlineLevel="0" collapsed="false">
      <c r="A1806" s="25" t="n">
        <v>13922856</v>
      </c>
      <c r="B1806" s="25" t="s">
        <v>4022</v>
      </c>
      <c r="C1806" s="25" t="s">
        <v>4023</v>
      </c>
      <c r="D1806" s="26" t="n">
        <v>1370</v>
      </c>
      <c r="E1806" s="27" t="n">
        <v>5.86327943284359</v>
      </c>
      <c r="F1806" s="27" t="n">
        <v>5.86327943284359</v>
      </c>
      <c r="G1806" s="25" t="s">
        <v>243</v>
      </c>
      <c r="H1806" s="25" t="s">
        <v>244</v>
      </c>
      <c r="I1806" s="25" t="n">
        <f aca="false">IFERROR(IF(INDEX(Documents!$C$5:$C$657,MATCH(H1806,Documents!$A$5:$A$657,0))="","",INDEX(Documents!$C$5:$C$657,MATCH(H1806,Documents!$A$5:$A$657,0))),"")</f>
        <v>2014</v>
      </c>
      <c r="J1806" s="25" t="str">
        <f aca="false">IFERROR(IF(INDEX(Documents!$D$5:$D$657,MATCH(H1806,Documents!$A$5:$A$657,0))="","",INDEX(Documents!$D$5:$D$657,MATCH(H1806,Documents!$A$5:$A$657,0))),"")</f>
        <v>Eur J Med Chem</v>
      </c>
      <c r="K1806" s="25" t="str">
        <f aca="false">IFERROR(IF(INDEX(Documents!$G$5:$G$657,MATCH(H1806,Documents!$A$5:$A$657,0))="","",INDEX(Documents!$G$5:$G$657,MATCH(H1806,Documents!$A$5:$A$657,0))),"")</f>
        <v>10.1016/j.ejmech.2013.11.026</v>
      </c>
      <c r="L1806" s="25" t="s">
        <v>245</v>
      </c>
    </row>
    <row r="1807" customFormat="false" ht="15" hidden="false" customHeight="false" outlineLevel="0" collapsed="false">
      <c r="A1807" s="25" t="n">
        <v>15233391</v>
      </c>
      <c r="B1807" s="25" t="s">
        <v>4024</v>
      </c>
      <c r="C1807" s="25" t="s">
        <v>4025</v>
      </c>
      <c r="D1807" s="26" t="n">
        <v>4.3</v>
      </c>
      <c r="E1807" s="27" t="n">
        <v>8.36653154442041</v>
      </c>
      <c r="F1807" s="27" t="n">
        <v>8.36653154442041</v>
      </c>
      <c r="G1807" s="25" t="s">
        <v>2818</v>
      </c>
      <c r="H1807" s="25" t="s">
        <v>2819</v>
      </c>
      <c r="I1807" s="25" t="n">
        <f aca="false">IFERROR(IF(INDEX(Documents!$C$5:$C$657,MATCH(H1807,Documents!$A$5:$A$657,0))="","",INDEX(Documents!$C$5:$C$657,MATCH(H1807,Documents!$A$5:$A$657,0))),"")</f>
        <v>2015</v>
      </c>
      <c r="J1807" s="25" t="str">
        <f aca="false">IFERROR(IF(INDEX(Documents!$D$5:$D$657,MATCH(H1807,Documents!$A$5:$A$657,0))="","",INDEX(Documents!$D$5:$D$657,MATCH(H1807,Documents!$A$5:$A$657,0))),"")</f>
        <v>ACS Med Chem Lett</v>
      </c>
      <c r="K1807" s="25" t="str">
        <f aca="false">IFERROR(IF(INDEX(Documents!$G$5:$G$657,MATCH(H1807,Documents!$A$5:$A$657,0))="","",INDEX(Documents!$G$5:$G$657,MATCH(H1807,Documents!$A$5:$A$657,0))),"")</f>
        <v>10.1021/ml500439x</v>
      </c>
      <c r="L1807" s="25" t="s">
        <v>2820</v>
      </c>
    </row>
    <row r="1808" customFormat="false" ht="15" hidden="false" customHeight="false" outlineLevel="0" collapsed="false">
      <c r="A1808" s="25" t="n">
        <v>2048378</v>
      </c>
      <c r="B1808" s="25" t="s">
        <v>4026</v>
      </c>
      <c r="C1808" s="25" t="s">
        <v>4027</v>
      </c>
      <c r="D1808" s="26" t="n">
        <v>22.3</v>
      </c>
      <c r="E1808" s="27" t="n">
        <v>7.65169513695184</v>
      </c>
      <c r="F1808" s="27" t="n">
        <v>7.65169513695184</v>
      </c>
      <c r="G1808" s="25" t="s">
        <v>513</v>
      </c>
      <c r="H1808" s="25" t="s">
        <v>514</v>
      </c>
      <c r="I1808" s="25" t="n">
        <f aca="false">IFERROR(IF(INDEX(Documents!$C$5:$C$657,MATCH(H1808,Documents!$A$5:$A$657,0))="","",INDEX(Documents!$C$5:$C$657,MATCH(H1808,Documents!$A$5:$A$657,0))),"")</f>
        <v>2007</v>
      </c>
      <c r="J1808" s="25" t="str">
        <f aca="false">IFERROR(IF(INDEX(Documents!$D$5:$D$657,MATCH(H1808,Documents!$A$5:$A$657,0))="","",INDEX(Documents!$D$5:$D$657,MATCH(H1808,Documents!$A$5:$A$657,0))),"")</f>
        <v>Bioorg Med Chem Lett</v>
      </c>
      <c r="K1808" s="25" t="str">
        <f aca="false">IFERROR(IF(INDEX(Documents!$G$5:$G$657,MATCH(H1808,Documents!$A$5:$A$657,0))="","",INDEX(Documents!$G$5:$G$657,MATCH(H1808,Documents!$A$5:$A$657,0))),"")</f>
        <v>10.1016/j.bmcl.2007.09.019</v>
      </c>
      <c r="L1808" s="25" t="s">
        <v>515</v>
      </c>
    </row>
    <row r="1809" customFormat="false" ht="15" hidden="false" customHeight="false" outlineLevel="0" collapsed="false">
      <c r="A1809" s="25" t="n">
        <v>12146239</v>
      </c>
      <c r="B1809" s="25" t="s">
        <v>4028</v>
      </c>
      <c r="C1809" s="25" t="s">
        <v>4029</v>
      </c>
      <c r="D1809" s="26" t="n">
        <v>221</v>
      </c>
      <c r="E1809" s="27" t="n">
        <v>6.65560772631489</v>
      </c>
      <c r="F1809" s="27" t="n">
        <v>6.65560772631489</v>
      </c>
      <c r="G1809" s="25" t="s">
        <v>1126</v>
      </c>
      <c r="H1809" s="25" t="s">
        <v>1127</v>
      </c>
      <c r="I1809" s="25" t="n">
        <f aca="false">IFERROR(IF(INDEX(Documents!$C$5:$C$657,MATCH(H1809,Documents!$A$5:$A$657,0))="","",INDEX(Documents!$C$5:$C$657,MATCH(H1809,Documents!$A$5:$A$657,0))),"")</f>
        <v>2012</v>
      </c>
      <c r="J1809" s="25" t="str">
        <f aca="false">IFERROR(IF(INDEX(Documents!$D$5:$D$657,MATCH(H1809,Documents!$A$5:$A$657,0))="","",INDEX(Documents!$D$5:$D$657,MATCH(H1809,Documents!$A$5:$A$657,0))),"")</f>
        <v>J Med Chem</v>
      </c>
      <c r="K1809" s="25" t="str">
        <f aca="false">IFERROR(IF(INDEX(Documents!$G$5:$G$657,MATCH(H1809,Documents!$A$5:$A$657,0))="","",INDEX(Documents!$G$5:$G$657,MATCH(H1809,Documents!$A$5:$A$657,0))),"")</f>
        <v>10.1021/jm301212u</v>
      </c>
      <c r="L1809" s="25" t="s">
        <v>1128</v>
      </c>
    </row>
    <row r="1810" customFormat="false" ht="15" hidden="false" customHeight="false" outlineLevel="0" collapsed="false">
      <c r="A1810" s="25" t="n">
        <v>12146278</v>
      </c>
      <c r="B1810" s="25" t="s">
        <v>4028</v>
      </c>
      <c r="C1810" s="25" t="s">
        <v>4029</v>
      </c>
      <c r="D1810" s="26" t="n">
        <v>221</v>
      </c>
      <c r="E1810" s="27" t="n">
        <v>6.65560772631489</v>
      </c>
      <c r="F1810" s="27" t="n">
        <v>6.65560772631489</v>
      </c>
      <c r="G1810" s="25" t="s">
        <v>1126</v>
      </c>
      <c r="H1810" s="25" t="s">
        <v>1127</v>
      </c>
      <c r="I1810" s="25" t="n">
        <f aca="false">IFERROR(IF(INDEX(Documents!$C$5:$C$657,MATCH(H1810,Documents!$A$5:$A$657,0))="","",INDEX(Documents!$C$5:$C$657,MATCH(H1810,Documents!$A$5:$A$657,0))),"")</f>
        <v>2012</v>
      </c>
      <c r="J1810" s="25" t="str">
        <f aca="false">IFERROR(IF(INDEX(Documents!$D$5:$D$657,MATCH(H1810,Documents!$A$5:$A$657,0))="","",INDEX(Documents!$D$5:$D$657,MATCH(H1810,Documents!$A$5:$A$657,0))),"")</f>
        <v>J Med Chem</v>
      </c>
      <c r="K1810" s="25" t="str">
        <f aca="false">IFERROR(IF(INDEX(Documents!$G$5:$G$657,MATCH(H1810,Documents!$A$5:$A$657,0))="","",INDEX(Documents!$G$5:$G$657,MATCH(H1810,Documents!$A$5:$A$657,0))),"")</f>
        <v>10.1021/jm301212u</v>
      </c>
      <c r="L1810" s="25" t="s">
        <v>1128</v>
      </c>
    </row>
    <row r="1811" customFormat="false" ht="15" hidden="false" customHeight="false" outlineLevel="0" collapsed="false">
      <c r="A1811" s="25" t="n">
        <v>2224633</v>
      </c>
      <c r="B1811" s="25" t="s">
        <v>4030</v>
      </c>
      <c r="C1811" s="25" t="s">
        <v>4031</v>
      </c>
      <c r="D1811" s="26" t="n">
        <v>19.3</v>
      </c>
      <c r="E1811" s="27" t="n">
        <v>7.71444269099223</v>
      </c>
      <c r="F1811" s="27" t="n">
        <v>7.71444269099223</v>
      </c>
      <c r="G1811" s="25" t="s">
        <v>2657</v>
      </c>
      <c r="H1811" s="25" t="s">
        <v>2658</v>
      </c>
      <c r="I1811" s="25" t="n">
        <f aca="false">IFERROR(IF(INDEX(Documents!$C$5:$C$657,MATCH(H1811,Documents!$A$5:$A$657,0))="","",INDEX(Documents!$C$5:$C$657,MATCH(H1811,Documents!$A$5:$A$657,0))),"")</f>
        <v>2008</v>
      </c>
      <c r="J1811" s="25" t="str">
        <f aca="false">IFERROR(IF(INDEX(Documents!$D$5:$D$657,MATCH(H1811,Documents!$A$5:$A$657,0))="","",INDEX(Documents!$D$5:$D$657,MATCH(H1811,Documents!$A$5:$A$657,0))),"")</f>
        <v>J Med Chem</v>
      </c>
      <c r="K1811" s="25" t="str">
        <f aca="false">IFERROR(IF(INDEX(Documents!$G$5:$G$657,MATCH(H1811,Documents!$A$5:$A$657,0))="","",INDEX(Documents!$G$5:$G$657,MATCH(H1811,Documents!$A$5:$A$657,0))),"")</f>
        <v>10.1021/jm8002203</v>
      </c>
      <c r="L1811" s="25" t="s">
        <v>2659</v>
      </c>
    </row>
    <row r="1812" customFormat="false" ht="15" hidden="false" customHeight="false" outlineLevel="0" collapsed="false">
      <c r="A1812" s="25" t="n">
        <v>20662654</v>
      </c>
      <c r="B1812" s="25" t="s">
        <v>4032</v>
      </c>
      <c r="C1812" s="25" t="s">
        <v>4033</v>
      </c>
      <c r="D1812" s="26" t="n">
        <v>1.8</v>
      </c>
      <c r="E1812" s="27" t="n">
        <v>8.74472749489669</v>
      </c>
      <c r="F1812" s="27" t="n">
        <v>8.74472749489669</v>
      </c>
      <c r="G1812" s="25" t="s">
        <v>643</v>
      </c>
      <c r="H1812" s="25" t="s">
        <v>644</v>
      </c>
      <c r="I1812" s="25" t="n">
        <f aca="false">IFERROR(IF(INDEX(Documents!$C$5:$C$657,MATCH(H1812,Documents!$A$5:$A$657,0))="","",INDEX(Documents!$C$5:$C$657,MATCH(H1812,Documents!$A$5:$A$657,0))),"")</f>
        <v>2020</v>
      </c>
      <c r="J1812" s="25" t="str">
        <f aca="false">IFERROR(IF(INDEX(Documents!$D$5:$D$657,MATCH(H1812,Documents!$A$5:$A$657,0))="","",INDEX(Documents!$D$5:$D$657,MATCH(H1812,Documents!$A$5:$A$657,0))),"")</f>
        <v>J Med Chem</v>
      </c>
      <c r="K1812" s="25" t="str">
        <f aca="false">IFERROR(IF(INDEX(Documents!$G$5:$G$657,MATCH(H1812,Documents!$A$5:$A$657,0))="","",INDEX(Documents!$G$5:$G$657,MATCH(H1812,Documents!$A$5:$A$657,0))),"")</f>
        <v>10.1021/acs.jmedchem.0c00595</v>
      </c>
      <c r="L1812" s="25" t="s">
        <v>645</v>
      </c>
    </row>
    <row r="1813" customFormat="false" ht="15" hidden="false" customHeight="false" outlineLevel="0" collapsed="false">
      <c r="A1813" s="25" t="n">
        <v>20662655</v>
      </c>
      <c r="B1813" s="25" t="s">
        <v>4034</v>
      </c>
      <c r="C1813" s="25" t="s">
        <v>4035</v>
      </c>
      <c r="D1813" s="26" t="n">
        <v>19.3</v>
      </c>
      <c r="E1813" s="27" t="n">
        <v>7.71444269099223</v>
      </c>
      <c r="F1813" s="27" t="n">
        <v>7.71444269099223</v>
      </c>
      <c r="G1813" s="25" t="s">
        <v>643</v>
      </c>
      <c r="H1813" s="25" t="s">
        <v>644</v>
      </c>
      <c r="I1813" s="25" t="n">
        <f aca="false">IFERROR(IF(INDEX(Documents!$C$5:$C$657,MATCH(H1813,Documents!$A$5:$A$657,0))="","",INDEX(Documents!$C$5:$C$657,MATCH(H1813,Documents!$A$5:$A$657,0))),"")</f>
        <v>2020</v>
      </c>
      <c r="J1813" s="25" t="str">
        <f aca="false">IFERROR(IF(INDEX(Documents!$D$5:$D$657,MATCH(H1813,Documents!$A$5:$A$657,0))="","",INDEX(Documents!$D$5:$D$657,MATCH(H1813,Documents!$A$5:$A$657,0))),"")</f>
        <v>J Med Chem</v>
      </c>
      <c r="K1813" s="25" t="str">
        <f aca="false">IFERROR(IF(INDEX(Documents!$G$5:$G$657,MATCH(H1813,Documents!$A$5:$A$657,0))="","",INDEX(Documents!$G$5:$G$657,MATCH(H1813,Documents!$A$5:$A$657,0))),"")</f>
        <v>10.1021/acs.jmedchem.0c00595</v>
      </c>
      <c r="L1813" s="25" t="s">
        <v>645</v>
      </c>
    </row>
    <row r="1814" customFormat="false" ht="15" hidden="false" customHeight="false" outlineLevel="0" collapsed="false">
      <c r="A1814" s="25" t="n">
        <v>2048370</v>
      </c>
      <c r="B1814" s="25" t="s">
        <v>4036</v>
      </c>
      <c r="C1814" s="25" t="s">
        <v>4037</v>
      </c>
      <c r="D1814" s="26" t="n">
        <v>16.8</v>
      </c>
      <c r="E1814" s="27" t="n">
        <v>7.77469071827414</v>
      </c>
      <c r="F1814" s="27" t="n">
        <v>7.77469071827414</v>
      </c>
      <c r="G1814" s="25" t="s">
        <v>513</v>
      </c>
      <c r="H1814" s="25" t="s">
        <v>514</v>
      </c>
      <c r="I1814" s="25" t="n">
        <f aca="false">IFERROR(IF(INDEX(Documents!$C$5:$C$657,MATCH(H1814,Documents!$A$5:$A$657,0))="","",INDEX(Documents!$C$5:$C$657,MATCH(H1814,Documents!$A$5:$A$657,0))),"")</f>
        <v>2007</v>
      </c>
      <c r="J1814" s="25" t="str">
        <f aca="false">IFERROR(IF(INDEX(Documents!$D$5:$D$657,MATCH(H1814,Documents!$A$5:$A$657,0))="","",INDEX(Documents!$D$5:$D$657,MATCH(H1814,Documents!$A$5:$A$657,0))),"")</f>
        <v>Bioorg Med Chem Lett</v>
      </c>
      <c r="K1814" s="25" t="str">
        <f aca="false">IFERROR(IF(INDEX(Documents!$G$5:$G$657,MATCH(H1814,Documents!$A$5:$A$657,0))="","",INDEX(Documents!$G$5:$G$657,MATCH(H1814,Documents!$A$5:$A$657,0))),"")</f>
        <v>10.1016/j.bmcl.2007.09.019</v>
      </c>
      <c r="L1814" s="25" t="s">
        <v>515</v>
      </c>
    </row>
    <row r="1815" customFormat="false" ht="15" hidden="false" customHeight="false" outlineLevel="0" collapsed="false">
      <c r="A1815" s="25" t="n">
        <v>3198532</v>
      </c>
      <c r="B1815" s="25" t="s">
        <v>4038</v>
      </c>
      <c r="C1815" s="25" t="s">
        <v>4039</v>
      </c>
      <c r="D1815" s="26" t="n">
        <v>918</v>
      </c>
      <c r="E1815" s="27" t="n">
        <v>6.03715731879876</v>
      </c>
      <c r="F1815" s="27" t="n">
        <v>6.03715731879876</v>
      </c>
      <c r="G1815" s="25" t="s">
        <v>4040</v>
      </c>
      <c r="H1815" s="25" t="s">
        <v>4041</v>
      </c>
      <c r="I1815" s="25" t="n">
        <f aca="false">IFERROR(IF(INDEX(Documents!$C$5:$C$657,MATCH(H1815,Documents!$A$5:$A$657,0))="","",INDEX(Documents!$C$5:$C$657,MATCH(H1815,Documents!$A$5:$A$657,0))),"")</f>
        <v>2010</v>
      </c>
      <c r="J1815" s="25" t="str">
        <f aca="false">IFERROR(IF(INDEX(Documents!$D$5:$D$657,MATCH(H1815,Documents!$A$5:$A$657,0))="","",INDEX(Documents!$D$5:$D$657,MATCH(H1815,Documents!$A$5:$A$657,0))),"")</f>
        <v>Eur J Med Chem</v>
      </c>
      <c r="K1815" s="25" t="str">
        <f aca="false">IFERROR(IF(INDEX(Documents!$G$5:$G$657,MATCH(H1815,Documents!$A$5:$A$657,0))="","",INDEX(Documents!$G$5:$G$657,MATCH(H1815,Documents!$A$5:$A$657,0))),"")</f>
        <v>10.1016/j.ejmech.2009.12.018</v>
      </c>
      <c r="L1815" s="25" t="s">
        <v>4042</v>
      </c>
    </row>
    <row r="1816" customFormat="false" ht="15" hidden="false" customHeight="false" outlineLevel="0" collapsed="false">
      <c r="A1816" s="25" t="n">
        <v>3198517</v>
      </c>
      <c r="B1816" s="25" t="s">
        <v>4043</v>
      </c>
      <c r="C1816" s="25" t="s">
        <v>4044</v>
      </c>
      <c r="D1816" s="26" t="n">
        <v>2833</v>
      </c>
      <c r="E1816" s="27" t="n">
        <v>5.54775342547956</v>
      </c>
      <c r="F1816" s="27" t="n">
        <v>5.54775342547956</v>
      </c>
      <c r="G1816" s="25" t="s">
        <v>4040</v>
      </c>
      <c r="H1816" s="25" t="s">
        <v>4041</v>
      </c>
      <c r="I1816" s="25" t="n">
        <f aca="false">IFERROR(IF(INDEX(Documents!$C$5:$C$657,MATCH(H1816,Documents!$A$5:$A$657,0))="","",INDEX(Documents!$C$5:$C$657,MATCH(H1816,Documents!$A$5:$A$657,0))),"")</f>
        <v>2010</v>
      </c>
      <c r="J1816" s="25" t="str">
        <f aca="false">IFERROR(IF(INDEX(Documents!$D$5:$D$657,MATCH(H1816,Documents!$A$5:$A$657,0))="","",INDEX(Documents!$D$5:$D$657,MATCH(H1816,Documents!$A$5:$A$657,0))),"")</f>
        <v>Eur J Med Chem</v>
      </c>
      <c r="K1816" s="25" t="str">
        <f aca="false">IFERROR(IF(INDEX(Documents!$G$5:$G$657,MATCH(H1816,Documents!$A$5:$A$657,0))="","",INDEX(Documents!$G$5:$G$657,MATCH(H1816,Documents!$A$5:$A$657,0))),"")</f>
        <v>10.1016/j.ejmech.2009.12.018</v>
      </c>
      <c r="L1816" s="25" t="s">
        <v>4042</v>
      </c>
    </row>
    <row r="1817" customFormat="false" ht="15" hidden="false" customHeight="false" outlineLevel="0" collapsed="false">
      <c r="A1817" s="25" t="n">
        <v>12136184</v>
      </c>
      <c r="B1817" s="25" t="s">
        <v>4045</v>
      </c>
      <c r="C1817" s="25" t="s">
        <v>4046</v>
      </c>
      <c r="D1817" s="26" t="n">
        <v>1548</v>
      </c>
      <c r="E1817" s="27" t="n">
        <v>5.81022904365313</v>
      </c>
      <c r="F1817" s="27" t="n">
        <v>5.81022904365313</v>
      </c>
      <c r="G1817" s="25" t="s">
        <v>718</v>
      </c>
      <c r="H1817" s="25" t="s">
        <v>719</v>
      </c>
      <c r="I1817" s="25" t="n">
        <f aca="false">IFERROR(IF(INDEX(Documents!$C$5:$C$657,MATCH(H1817,Documents!$A$5:$A$657,0))="","",INDEX(Documents!$C$5:$C$657,MATCH(H1817,Documents!$A$5:$A$657,0))),"")</f>
        <v>2012</v>
      </c>
      <c r="J1817" s="25" t="str">
        <f aca="false">IFERROR(IF(INDEX(Documents!$D$5:$D$657,MATCH(H1817,Documents!$A$5:$A$657,0))="","",INDEX(Documents!$D$5:$D$657,MATCH(H1817,Documents!$A$5:$A$657,0))),"")</f>
        <v>J Med Chem</v>
      </c>
      <c r="K1817" s="25" t="str">
        <f aca="false">IFERROR(IF(INDEX(Documents!$G$5:$G$657,MATCH(H1817,Documents!$A$5:$A$657,0))="","",INDEX(Documents!$G$5:$G$657,MATCH(H1817,Documents!$A$5:$A$657,0))),"")</f>
        <v>10.1021/jm301181r</v>
      </c>
      <c r="L1817" s="25" t="s">
        <v>720</v>
      </c>
    </row>
    <row r="1818" customFormat="false" ht="15" hidden="false" customHeight="false" outlineLevel="0" collapsed="false">
      <c r="A1818" s="25" t="n">
        <v>2525273</v>
      </c>
      <c r="B1818" s="25" t="s">
        <v>4047</v>
      </c>
      <c r="C1818" s="25" t="s">
        <v>4048</v>
      </c>
      <c r="D1818" s="26" t="n">
        <v>1000</v>
      </c>
      <c r="E1818" s="27" t="n">
        <v>6</v>
      </c>
      <c r="F1818" s="27" t="n">
        <v>6</v>
      </c>
      <c r="G1818" s="25" t="s">
        <v>4049</v>
      </c>
      <c r="H1818" s="25" t="s">
        <v>4050</v>
      </c>
      <c r="I1818" s="25" t="n">
        <f aca="false">IFERROR(IF(INDEX(Documents!$C$5:$C$657,MATCH(H1818,Documents!$A$5:$A$657,0))="","",INDEX(Documents!$C$5:$C$657,MATCH(H1818,Documents!$A$5:$A$657,0))),"")</f>
        <v>2009</v>
      </c>
      <c r="J1818" s="25" t="str">
        <f aca="false">IFERROR(IF(INDEX(Documents!$D$5:$D$657,MATCH(H1818,Documents!$A$5:$A$657,0))="","",INDEX(Documents!$D$5:$D$657,MATCH(H1818,Documents!$A$5:$A$657,0))),"")</f>
        <v>J Med Chem</v>
      </c>
      <c r="K1818" s="25" t="str">
        <f aca="false">IFERROR(IF(INDEX(Documents!$G$5:$G$657,MATCH(H1818,Documents!$A$5:$A$657,0))="","",INDEX(Documents!$G$5:$G$657,MATCH(H1818,Documents!$A$5:$A$657,0))),"")</f>
        <v>10.1021/jm801534c</v>
      </c>
      <c r="L1818" s="25" t="s">
        <v>4051</v>
      </c>
    </row>
    <row r="1819" customFormat="false" ht="15" hidden="false" customHeight="false" outlineLevel="0" collapsed="false">
      <c r="A1819" s="25" t="n">
        <v>2525272</v>
      </c>
      <c r="B1819" s="25" t="s">
        <v>4052</v>
      </c>
      <c r="C1819" s="25" t="s">
        <v>4053</v>
      </c>
      <c r="D1819" s="26" t="n">
        <v>5011.87</v>
      </c>
      <c r="E1819" s="27" t="n">
        <v>5.30000020244542</v>
      </c>
      <c r="F1819" s="27" t="n">
        <v>5.30000020244542</v>
      </c>
      <c r="G1819" s="25" t="s">
        <v>4049</v>
      </c>
      <c r="H1819" s="25" t="s">
        <v>4050</v>
      </c>
      <c r="I1819" s="25" t="n">
        <f aca="false">IFERROR(IF(INDEX(Documents!$C$5:$C$657,MATCH(H1819,Documents!$A$5:$A$657,0))="","",INDEX(Documents!$C$5:$C$657,MATCH(H1819,Documents!$A$5:$A$657,0))),"")</f>
        <v>2009</v>
      </c>
      <c r="J1819" s="25" t="str">
        <f aca="false">IFERROR(IF(INDEX(Documents!$D$5:$D$657,MATCH(H1819,Documents!$A$5:$A$657,0))="","",INDEX(Documents!$D$5:$D$657,MATCH(H1819,Documents!$A$5:$A$657,0))),"")</f>
        <v>J Med Chem</v>
      </c>
      <c r="K1819" s="25" t="str">
        <f aca="false">IFERROR(IF(INDEX(Documents!$G$5:$G$657,MATCH(H1819,Documents!$A$5:$A$657,0))="","",INDEX(Documents!$G$5:$G$657,MATCH(H1819,Documents!$A$5:$A$657,0))),"")</f>
        <v>10.1021/jm801534c</v>
      </c>
      <c r="L1819" s="25" t="s">
        <v>4051</v>
      </c>
    </row>
    <row r="1820" customFormat="false" ht="15" hidden="false" customHeight="false" outlineLevel="0" collapsed="false">
      <c r="A1820" s="25" t="n">
        <v>5100332</v>
      </c>
      <c r="B1820" s="25" t="s">
        <v>4054</v>
      </c>
      <c r="C1820" s="25" t="s">
        <v>4055</v>
      </c>
      <c r="D1820" s="26" t="n">
        <v>459.8</v>
      </c>
      <c r="E1820" s="27" t="n">
        <v>6.33743103306674</v>
      </c>
      <c r="F1820" s="27" t="n">
        <v>6.33743103306674</v>
      </c>
      <c r="G1820" s="25" t="s">
        <v>1811</v>
      </c>
      <c r="H1820" s="25" t="s">
        <v>1812</v>
      </c>
      <c r="I1820" s="25" t="n">
        <f aca="false">IFERROR(IF(INDEX(Documents!$C$5:$C$657,MATCH(H1820,Documents!$A$5:$A$657,0))="","",INDEX(Documents!$C$5:$C$657,MATCH(H1820,Documents!$A$5:$A$657,0))),"")</f>
        <v>2010</v>
      </c>
      <c r="J1820" s="25" t="str">
        <f aca="false">IFERROR(IF(INDEX(Documents!$D$5:$D$657,MATCH(H1820,Documents!$A$5:$A$657,0))="","",INDEX(Documents!$D$5:$D$657,MATCH(H1820,Documents!$A$5:$A$657,0))),"")</f>
        <v>Eur J Med Chem</v>
      </c>
      <c r="K1820" s="25" t="str">
        <f aca="false">IFERROR(IF(INDEX(Documents!$G$5:$G$657,MATCH(H1820,Documents!$A$5:$A$657,0))="","",INDEX(Documents!$G$5:$G$657,MATCH(H1820,Documents!$A$5:$A$657,0))),"")</f>
        <v>10.1016/j.ejmech.2010.09.053</v>
      </c>
      <c r="L1820" s="25" t="s">
        <v>1813</v>
      </c>
    </row>
    <row r="1821" customFormat="false" ht="15" hidden="false" customHeight="false" outlineLevel="0" collapsed="false">
      <c r="A1821" s="25" t="n">
        <v>5100326</v>
      </c>
      <c r="B1821" s="25" t="s">
        <v>4056</v>
      </c>
      <c r="C1821" s="25" t="s">
        <v>4057</v>
      </c>
      <c r="D1821" s="26" t="n">
        <v>795.7</v>
      </c>
      <c r="E1821" s="27" t="n">
        <v>6.09925064193892</v>
      </c>
      <c r="F1821" s="27" t="n">
        <v>6.09925064193892</v>
      </c>
      <c r="G1821" s="25" t="s">
        <v>1811</v>
      </c>
      <c r="H1821" s="25" t="s">
        <v>1812</v>
      </c>
      <c r="I1821" s="25" t="n">
        <f aca="false">IFERROR(IF(INDEX(Documents!$C$5:$C$657,MATCH(H1821,Documents!$A$5:$A$657,0))="","",INDEX(Documents!$C$5:$C$657,MATCH(H1821,Documents!$A$5:$A$657,0))),"")</f>
        <v>2010</v>
      </c>
      <c r="J1821" s="25" t="str">
        <f aca="false">IFERROR(IF(INDEX(Documents!$D$5:$D$657,MATCH(H1821,Documents!$A$5:$A$657,0))="","",INDEX(Documents!$D$5:$D$657,MATCH(H1821,Documents!$A$5:$A$657,0))),"")</f>
        <v>Eur J Med Chem</v>
      </c>
      <c r="K1821" s="25" t="str">
        <f aca="false">IFERROR(IF(INDEX(Documents!$G$5:$G$657,MATCH(H1821,Documents!$A$5:$A$657,0))="","",INDEX(Documents!$G$5:$G$657,MATCH(H1821,Documents!$A$5:$A$657,0))),"")</f>
        <v>10.1016/j.ejmech.2010.09.053</v>
      </c>
      <c r="L1821" s="25" t="s">
        <v>1813</v>
      </c>
    </row>
    <row r="1822" customFormat="false" ht="15" hidden="false" customHeight="false" outlineLevel="0" collapsed="false">
      <c r="A1822" s="25" t="n">
        <v>2096595</v>
      </c>
      <c r="B1822" s="25" t="s">
        <v>4058</v>
      </c>
      <c r="C1822" s="25" t="s">
        <v>4059</v>
      </c>
      <c r="D1822" s="26" t="n">
        <v>9400</v>
      </c>
      <c r="E1822" s="27" t="n">
        <v>5.0268721464003</v>
      </c>
      <c r="F1822" s="27" t="n">
        <v>5.0268721464003</v>
      </c>
      <c r="G1822" s="25" t="s">
        <v>4060</v>
      </c>
      <c r="H1822" s="25" t="s">
        <v>4061</v>
      </c>
      <c r="I1822" s="25" t="n">
        <f aca="false">IFERROR(IF(INDEX(Documents!$C$5:$C$657,MATCH(H1822,Documents!$A$5:$A$657,0))="","",INDEX(Documents!$C$5:$C$657,MATCH(H1822,Documents!$A$5:$A$657,0))),"")</f>
        <v>2008</v>
      </c>
      <c r="J1822" s="25" t="str">
        <f aca="false">IFERROR(IF(INDEX(Documents!$D$5:$D$657,MATCH(H1822,Documents!$A$5:$A$657,0))="","",INDEX(Documents!$D$5:$D$657,MATCH(H1822,Documents!$A$5:$A$657,0))),"")</f>
        <v>Bioorg Med Chem Lett</v>
      </c>
      <c r="K1822" s="25" t="str">
        <f aca="false">IFERROR(IF(INDEX(Documents!$G$5:$G$657,MATCH(H1822,Documents!$A$5:$A$657,0))="","",INDEX(Documents!$G$5:$G$657,MATCH(H1822,Documents!$A$5:$A$657,0))),"")</f>
        <v>10.1016/j.bmcl.2007.11.133</v>
      </c>
      <c r="L1822" s="25" t="s">
        <v>4062</v>
      </c>
    </row>
    <row r="1823" customFormat="false" ht="15" hidden="false" customHeight="false" outlineLevel="0" collapsed="false">
      <c r="A1823" s="25" t="n">
        <v>18679763</v>
      </c>
      <c r="B1823" s="25" t="s">
        <v>4063</v>
      </c>
      <c r="C1823" s="25" t="s">
        <v>4064</v>
      </c>
      <c r="D1823" s="26" t="n">
        <v>16.9</v>
      </c>
      <c r="E1823" s="27" t="n">
        <v>7.77211329538633</v>
      </c>
      <c r="F1823" s="27" t="n">
        <v>7.77211329538633</v>
      </c>
      <c r="G1823" s="25" t="s">
        <v>1623</v>
      </c>
      <c r="H1823" s="25" t="s">
        <v>1624</v>
      </c>
      <c r="I1823" s="25" t="n">
        <f aca="false">IFERROR(IF(INDEX(Documents!$C$5:$C$657,MATCH(H1823,Documents!$A$5:$A$657,0))="","",INDEX(Documents!$C$5:$C$657,MATCH(H1823,Documents!$A$5:$A$657,0))),"")</f>
        <v>2018</v>
      </c>
      <c r="J1823" s="25" t="str">
        <f aca="false">IFERROR(IF(INDEX(Documents!$D$5:$D$657,MATCH(H1823,Documents!$A$5:$A$657,0))="","",INDEX(Documents!$D$5:$D$657,MATCH(H1823,Documents!$A$5:$A$657,0))),"")</f>
        <v>Bioorg Med Chem</v>
      </c>
      <c r="K1823" s="25" t="str">
        <f aca="false">IFERROR(IF(INDEX(Documents!$G$5:$G$657,MATCH(H1823,Documents!$A$5:$A$657,0))="","",INDEX(Documents!$G$5:$G$657,MATCH(H1823,Documents!$A$5:$A$657,0))),"")</f>
        <v>10.1016/j.bmc.2018.08.003</v>
      </c>
      <c r="L1823" s="25" t="s">
        <v>1625</v>
      </c>
    </row>
    <row r="1824" customFormat="false" ht="15" hidden="false" customHeight="false" outlineLevel="0" collapsed="false">
      <c r="A1824" s="25" t="n">
        <v>13887831</v>
      </c>
      <c r="B1824" s="25" t="s">
        <v>4065</v>
      </c>
      <c r="C1824" s="25" t="s">
        <v>4066</v>
      </c>
      <c r="D1824" s="26" t="n">
        <v>1.7</v>
      </c>
      <c r="E1824" s="27" t="n">
        <v>8.76955107862173</v>
      </c>
      <c r="F1824" s="27" t="n">
        <v>8.76955107862173</v>
      </c>
      <c r="G1824" s="25" t="s">
        <v>4067</v>
      </c>
      <c r="H1824" s="25" t="s">
        <v>4068</v>
      </c>
      <c r="I1824" s="25" t="n">
        <f aca="false">IFERROR(IF(INDEX(Documents!$C$5:$C$657,MATCH(H1824,Documents!$A$5:$A$657,0))="","",INDEX(Documents!$C$5:$C$657,MATCH(H1824,Documents!$A$5:$A$657,0))),"")</f>
        <v>2013</v>
      </c>
      <c r="J1824" s="25" t="str">
        <f aca="false">IFERROR(IF(INDEX(Documents!$D$5:$D$657,MATCH(H1824,Documents!$A$5:$A$657,0))="","",INDEX(Documents!$D$5:$D$657,MATCH(H1824,Documents!$A$5:$A$657,0))),"")</f>
        <v>J Med Chem</v>
      </c>
      <c r="K1824" s="25" t="str">
        <f aca="false">IFERROR(IF(INDEX(Documents!$G$5:$G$657,MATCH(H1824,Documents!$A$5:$A$657,0))="","",INDEX(Documents!$G$5:$G$657,MATCH(H1824,Documents!$A$5:$A$657,0))),"")</f>
        <v>10.1021/jm4016075</v>
      </c>
      <c r="L1824" s="25" t="s">
        <v>4069</v>
      </c>
    </row>
    <row r="1825" customFormat="false" ht="15" hidden="false" customHeight="false" outlineLevel="0" collapsed="false">
      <c r="A1825" s="25" t="n">
        <v>19407587</v>
      </c>
      <c r="B1825" s="25" t="s">
        <v>4070</v>
      </c>
      <c r="C1825" s="25" t="s">
        <v>4071</v>
      </c>
      <c r="D1825" s="26" t="n">
        <v>0.8</v>
      </c>
      <c r="E1825" s="27" t="n">
        <v>9.09691001300806</v>
      </c>
      <c r="F1825" s="27" t="n">
        <v>9.09691001300806</v>
      </c>
      <c r="G1825" s="25" t="s">
        <v>4072</v>
      </c>
      <c r="H1825" s="25" t="s">
        <v>4073</v>
      </c>
      <c r="I1825" s="25" t="n">
        <f aca="false">IFERROR(IF(INDEX(Documents!$C$5:$C$657,MATCH(H1825,Documents!$A$5:$A$657,0))="","",INDEX(Documents!$C$5:$C$657,MATCH(H1825,Documents!$A$5:$A$657,0))),"")</f>
        <v>2016</v>
      </c>
      <c r="J1825" s="25" t="str">
        <f aca="false">IFERROR(IF(INDEX(Documents!$D$5:$D$657,MATCH(H1825,Documents!$A$5:$A$657,0))="","",INDEX(Documents!$D$5:$D$657,MATCH(H1825,Documents!$A$5:$A$657,0))),"")</f>
        <v>J Med Chem</v>
      </c>
      <c r="K1825" s="25" t="str">
        <f aca="false">IFERROR(IF(INDEX(Documents!$G$5:$G$657,MATCH(H1825,Documents!$A$5:$A$657,0))="","",INDEX(Documents!$G$5:$G$657,MATCH(H1825,Documents!$A$5:$A$657,0))),"")</f>
        <v>10.1021/acs.jmedchem.6b00717</v>
      </c>
      <c r="L1825" s="25" t="s">
        <v>4074</v>
      </c>
    </row>
    <row r="1826" customFormat="false" ht="15" hidden="false" customHeight="false" outlineLevel="0" collapsed="false">
      <c r="A1826" s="25" t="n">
        <v>28220525</v>
      </c>
      <c r="B1826" s="25" t="s">
        <v>4075</v>
      </c>
      <c r="C1826" s="25" t="s">
        <v>4076</v>
      </c>
      <c r="D1826" s="26" t="n">
        <v>6.2</v>
      </c>
      <c r="E1826" s="27" t="n">
        <v>8.20760831050175</v>
      </c>
      <c r="F1826" s="27" t="n">
        <v>8.20760831050175</v>
      </c>
      <c r="G1826" s="25" t="s">
        <v>679</v>
      </c>
      <c r="H1826" s="25" t="s">
        <v>680</v>
      </c>
      <c r="I1826" s="25" t="n">
        <f aca="false">IFERROR(IF(INDEX(Documents!$C$5:$C$657,MATCH(H1826,Documents!$A$5:$A$657,0))="","",INDEX(Documents!$C$5:$C$657,MATCH(H1826,Documents!$A$5:$A$657,0))),"")</f>
        <v>2021</v>
      </c>
      <c r="J1826" s="25" t="str">
        <f aca="false">IFERROR(IF(INDEX(Documents!$D$5:$D$657,MATCH(H1826,Documents!$A$5:$A$657,0))="","",INDEX(Documents!$D$5:$D$657,MATCH(H1826,Documents!$A$5:$A$657,0))),"")</f>
        <v/>
      </c>
      <c r="K1826" s="25" t="str">
        <f aca="false">IFERROR(IF(INDEX(Documents!$G$5:$G$657,MATCH(H1826,Documents!$A$5:$A$657,0))="","",INDEX(Documents!$G$5:$G$657,MATCH(H1826,Documents!$A$5:$A$657,0))),"")</f>
        <v/>
      </c>
      <c r="L1826" s="25" t="s">
        <v>681</v>
      </c>
    </row>
    <row r="1827" customFormat="false" ht="15" hidden="false" customHeight="false" outlineLevel="0" collapsed="false">
      <c r="A1827" s="25" t="n">
        <v>19407589</v>
      </c>
      <c r="B1827" s="25" t="s">
        <v>4077</v>
      </c>
      <c r="C1827" s="25" t="s">
        <v>4078</v>
      </c>
      <c r="D1827" s="26" t="n">
        <v>3.1</v>
      </c>
      <c r="E1827" s="27" t="n">
        <v>8.50863830616573</v>
      </c>
      <c r="F1827" s="27" t="n">
        <v>8.50863830616573</v>
      </c>
      <c r="G1827" s="25" t="s">
        <v>4072</v>
      </c>
      <c r="H1827" s="25" t="s">
        <v>4073</v>
      </c>
      <c r="I1827" s="25" t="n">
        <f aca="false">IFERROR(IF(INDEX(Documents!$C$5:$C$657,MATCH(H1827,Documents!$A$5:$A$657,0))="","",INDEX(Documents!$C$5:$C$657,MATCH(H1827,Documents!$A$5:$A$657,0))),"")</f>
        <v>2016</v>
      </c>
      <c r="J1827" s="25" t="str">
        <f aca="false">IFERROR(IF(INDEX(Documents!$D$5:$D$657,MATCH(H1827,Documents!$A$5:$A$657,0))="","",INDEX(Documents!$D$5:$D$657,MATCH(H1827,Documents!$A$5:$A$657,0))),"")</f>
        <v>J Med Chem</v>
      </c>
      <c r="K1827" s="25" t="str">
        <f aca="false">IFERROR(IF(INDEX(Documents!$G$5:$G$657,MATCH(H1827,Documents!$A$5:$A$657,0))="","",INDEX(Documents!$G$5:$G$657,MATCH(H1827,Documents!$A$5:$A$657,0))),"")</f>
        <v>10.1021/acs.jmedchem.6b00717</v>
      </c>
      <c r="L1827" s="25" t="s">
        <v>4074</v>
      </c>
    </row>
    <row r="1828" customFormat="false" ht="15" hidden="false" customHeight="false" outlineLevel="0" collapsed="false">
      <c r="A1828" s="25" t="n">
        <v>28220570</v>
      </c>
      <c r="B1828" s="25" t="s">
        <v>4079</v>
      </c>
      <c r="C1828" s="25" t="s">
        <v>4080</v>
      </c>
      <c r="D1828" s="26" t="n">
        <v>6.5</v>
      </c>
      <c r="E1828" s="27" t="n">
        <v>8.18708664335714</v>
      </c>
      <c r="F1828" s="27" t="n">
        <v>8.18708664335714</v>
      </c>
      <c r="G1828" s="25" t="s">
        <v>679</v>
      </c>
      <c r="H1828" s="25" t="s">
        <v>680</v>
      </c>
      <c r="I1828" s="25" t="n">
        <f aca="false">IFERROR(IF(INDEX(Documents!$C$5:$C$657,MATCH(H1828,Documents!$A$5:$A$657,0))="","",INDEX(Documents!$C$5:$C$657,MATCH(H1828,Documents!$A$5:$A$657,0))),"")</f>
        <v>2021</v>
      </c>
      <c r="J1828" s="25" t="str">
        <f aca="false">IFERROR(IF(INDEX(Documents!$D$5:$D$657,MATCH(H1828,Documents!$A$5:$A$657,0))="","",INDEX(Documents!$D$5:$D$657,MATCH(H1828,Documents!$A$5:$A$657,0))),"")</f>
        <v/>
      </c>
      <c r="K1828" s="25" t="str">
        <f aca="false">IFERROR(IF(INDEX(Documents!$G$5:$G$657,MATCH(H1828,Documents!$A$5:$A$657,0))="","",INDEX(Documents!$G$5:$G$657,MATCH(H1828,Documents!$A$5:$A$657,0))),"")</f>
        <v/>
      </c>
      <c r="L1828" s="25" t="s">
        <v>681</v>
      </c>
    </row>
    <row r="1829" customFormat="false" ht="15" hidden="false" customHeight="false" outlineLevel="0" collapsed="false">
      <c r="A1829" s="25" t="n">
        <v>19407591</v>
      </c>
      <c r="B1829" s="25" t="s">
        <v>4081</v>
      </c>
      <c r="C1829" s="25" t="s">
        <v>4082</v>
      </c>
      <c r="D1829" s="26" t="n">
        <v>0.2</v>
      </c>
      <c r="E1829" s="27" t="n">
        <v>9.69897000433602</v>
      </c>
      <c r="F1829" s="27" t="n">
        <v>9.69897000433602</v>
      </c>
      <c r="G1829" s="25" t="s">
        <v>4072</v>
      </c>
      <c r="H1829" s="25" t="s">
        <v>4073</v>
      </c>
      <c r="I1829" s="25" t="n">
        <f aca="false">IFERROR(IF(INDEX(Documents!$C$5:$C$657,MATCH(H1829,Documents!$A$5:$A$657,0))="","",INDEX(Documents!$C$5:$C$657,MATCH(H1829,Documents!$A$5:$A$657,0))),"")</f>
        <v>2016</v>
      </c>
      <c r="J1829" s="25" t="str">
        <f aca="false">IFERROR(IF(INDEX(Documents!$D$5:$D$657,MATCH(H1829,Documents!$A$5:$A$657,0))="","",INDEX(Documents!$D$5:$D$657,MATCH(H1829,Documents!$A$5:$A$657,0))),"")</f>
        <v>J Med Chem</v>
      </c>
      <c r="K1829" s="25" t="str">
        <f aca="false">IFERROR(IF(INDEX(Documents!$G$5:$G$657,MATCH(H1829,Documents!$A$5:$A$657,0))="","",INDEX(Documents!$G$5:$G$657,MATCH(H1829,Documents!$A$5:$A$657,0))),"")</f>
        <v>10.1021/acs.jmedchem.6b00717</v>
      </c>
      <c r="L1829" s="25" t="s">
        <v>4074</v>
      </c>
    </row>
    <row r="1830" customFormat="false" ht="15" hidden="false" customHeight="false" outlineLevel="0" collapsed="false">
      <c r="A1830" s="25" t="n">
        <v>19407593</v>
      </c>
      <c r="B1830" s="25" t="s">
        <v>4083</v>
      </c>
      <c r="C1830" s="25" t="s">
        <v>4084</v>
      </c>
      <c r="D1830" s="26" t="n">
        <v>4.5</v>
      </c>
      <c r="E1830" s="27" t="n">
        <v>8.34678748622466</v>
      </c>
      <c r="F1830" s="27" t="n">
        <v>8.34678748622466</v>
      </c>
      <c r="G1830" s="25" t="s">
        <v>4072</v>
      </c>
      <c r="H1830" s="25" t="s">
        <v>4073</v>
      </c>
      <c r="I1830" s="25" t="n">
        <f aca="false">IFERROR(IF(INDEX(Documents!$C$5:$C$657,MATCH(H1830,Documents!$A$5:$A$657,0))="","",INDEX(Documents!$C$5:$C$657,MATCH(H1830,Documents!$A$5:$A$657,0))),"")</f>
        <v>2016</v>
      </c>
      <c r="J1830" s="25" t="str">
        <f aca="false">IFERROR(IF(INDEX(Documents!$D$5:$D$657,MATCH(H1830,Documents!$A$5:$A$657,0))="","",INDEX(Documents!$D$5:$D$657,MATCH(H1830,Documents!$A$5:$A$657,0))),"")</f>
        <v>J Med Chem</v>
      </c>
      <c r="K1830" s="25" t="str">
        <f aca="false">IFERROR(IF(INDEX(Documents!$G$5:$G$657,MATCH(H1830,Documents!$A$5:$A$657,0))="","",INDEX(Documents!$G$5:$G$657,MATCH(H1830,Documents!$A$5:$A$657,0))),"")</f>
        <v>10.1021/acs.jmedchem.6b00717</v>
      </c>
      <c r="L1830" s="25" t="s">
        <v>4074</v>
      </c>
    </row>
    <row r="1831" customFormat="false" ht="15" hidden="false" customHeight="false" outlineLevel="0" collapsed="false">
      <c r="A1831" s="25" t="n">
        <v>28220150</v>
      </c>
      <c r="B1831" s="25" t="s">
        <v>4085</v>
      </c>
      <c r="C1831" s="25" t="s">
        <v>4086</v>
      </c>
      <c r="D1831" s="26" t="n">
        <v>0.7</v>
      </c>
      <c r="E1831" s="27" t="n">
        <v>9.15490195998575</v>
      </c>
      <c r="F1831" s="27" t="n">
        <v>9.15490195998575</v>
      </c>
      <c r="G1831" s="25" t="s">
        <v>679</v>
      </c>
      <c r="H1831" s="25" t="s">
        <v>680</v>
      </c>
      <c r="I1831" s="25" t="n">
        <f aca="false">IFERROR(IF(INDEX(Documents!$C$5:$C$657,MATCH(H1831,Documents!$A$5:$A$657,0))="","",INDEX(Documents!$C$5:$C$657,MATCH(H1831,Documents!$A$5:$A$657,0))),"")</f>
        <v>2021</v>
      </c>
      <c r="J1831" s="25" t="str">
        <f aca="false">IFERROR(IF(INDEX(Documents!$D$5:$D$657,MATCH(H1831,Documents!$A$5:$A$657,0))="","",INDEX(Documents!$D$5:$D$657,MATCH(H1831,Documents!$A$5:$A$657,0))),"")</f>
        <v/>
      </c>
      <c r="K1831" s="25" t="str">
        <f aca="false">IFERROR(IF(INDEX(Documents!$G$5:$G$657,MATCH(H1831,Documents!$A$5:$A$657,0))="","",INDEX(Documents!$G$5:$G$657,MATCH(H1831,Documents!$A$5:$A$657,0))),"")</f>
        <v/>
      </c>
      <c r="L1831" s="25" t="s">
        <v>681</v>
      </c>
    </row>
    <row r="1832" customFormat="false" ht="15" hidden="false" customHeight="false" outlineLevel="0" collapsed="false">
      <c r="A1832" s="25" t="n">
        <v>28220222</v>
      </c>
      <c r="B1832" s="25" t="s">
        <v>4087</v>
      </c>
      <c r="C1832" s="25" t="s">
        <v>4088</v>
      </c>
      <c r="D1832" s="26" t="n">
        <v>1</v>
      </c>
      <c r="E1832" s="27" t="n">
        <v>9</v>
      </c>
      <c r="F1832" s="27" t="n">
        <v>9</v>
      </c>
      <c r="G1832" s="25" t="s">
        <v>679</v>
      </c>
      <c r="H1832" s="25" t="s">
        <v>680</v>
      </c>
      <c r="I1832" s="25" t="n">
        <f aca="false">IFERROR(IF(INDEX(Documents!$C$5:$C$657,MATCH(H1832,Documents!$A$5:$A$657,0))="","",INDEX(Documents!$C$5:$C$657,MATCH(H1832,Documents!$A$5:$A$657,0))),"")</f>
        <v>2021</v>
      </c>
      <c r="J1832" s="25" t="str">
        <f aca="false">IFERROR(IF(INDEX(Documents!$D$5:$D$657,MATCH(H1832,Documents!$A$5:$A$657,0))="","",INDEX(Documents!$D$5:$D$657,MATCH(H1832,Documents!$A$5:$A$657,0))),"")</f>
        <v/>
      </c>
      <c r="K1832" s="25" t="str">
        <f aca="false">IFERROR(IF(INDEX(Documents!$G$5:$G$657,MATCH(H1832,Documents!$A$5:$A$657,0))="","",INDEX(Documents!$G$5:$G$657,MATCH(H1832,Documents!$A$5:$A$657,0))),"")</f>
        <v/>
      </c>
      <c r="L1832" s="25" t="s">
        <v>681</v>
      </c>
    </row>
    <row r="1833" customFormat="false" ht="15" hidden="false" customHeight="false" outlineLevel="0" collapsed="false">
      <c r="A1833" s="25" t="n">
        <v>13887826</v>
      </c>
      <c r="B1833" s="25" t="s">
        <v>4089</v>
      </c>
      <c r="C1833" s="25" t="s">
        <v>4090</v>
      </c>
      <c r="D1833" s="26" t="n">
        <v>3</v>
      </c>
      <c r="E1833" s="27" t="n">
        <v>8.52287874528034</v>
      </c>
      <c r="F1833" s="27" t="n">
        <v>8.96040937697619</v>
      </c>
      <c r="G1833" s="25" t="s">
        <v>4067</v>
      </c>
      <c r="H1833" s="25" t="s">
        <v>4068</v>
      </c>
      <c r="I1833" s="25" t="n">
        <f aca="false">IFERROR(IF(INDEX(Documents!$C$5:$C$657,MATCH(H1833,Documents!$A$5:$A$657,0))="","",INDEX(Documents!$C$5:$C$657,MATCH(H1833,Documents!$A$5:$A$657,0))),"")</f>
        <v>2013</v>
      </c>
      <c r="J1833" s="25" t="str">
        <f aca="false">IFERROR(IF(INDEX(Documents!$D$5:$D$657,MATCH(H1833,Documents!$A$5:$A$657,0))="","",INDEX(Documents!$D$5:$D$657,MATCH(H1833,Documents!$A$5:$A$657,0))),"")</f>
        <v>J Med Chem</v>
      </c>
      <c r="K1833" s="25" t="str">
        <f aca="false">IFERROR(IF(INDEX(Documents!$G$5:$G$657,MATCH(H1833,Documents!$A$5:$A$657,0))="","",INDEX(Documents!$G$5:$G$657,MATCH(H1833,Documents!$A$5:$A$657,0))),"")</f>
        <v>10.1021/jm4016075</v>
      </c>
      <c r="L1833" s="25" t="s">
        <v>4069</v>
      </c>
    </row>
    <row r="1834" customFormat="false" ht="15" hidden="false" customHeight="false" outlineLevel="0" collapsed="false">
      <c r="A1834" s="25" t="n">
        <v>28220294</v>
      </c>
      <c r="B1834" s="25" t="s">
        <v>4089</v>
      </c>
      <c r="C1834" s="25" t="s">
        <v>4090</v>
      </c>
      <c r="D1834" s="26" t="n">
        <v>0.4</v>
      </c>
      <c r="E1834" s="27" t="n">
        <v>9.39794000867204</v>
      </c>
      <c r="F1834" s="27" t="n">
        <v>8.96040937697619</v>
      </c>
      <c r="G1834" s="25" t="s">
        <v>679</v>
      </c>
      <c r="H1834" s="25" t="s">
        <v>680</v>
      </c>
      <c r="I1834" s="25" t="n">
        <f aca="false">IFERROR(IF(INDEX(Documents!$C$5:$C$657,MATCH(H1834,Documents!$A$5:$A$657,0))="","",INDEX(Documents!$C$5:$C$657,MATCH(H1834,Documents!$A$5:$A$657,0))),"")</f>
        <v>2021</v>
      </c>
      <c r="J1834" s="25" t="str">
        <f aca="false">IFERROR(IF(INDEX(Documents!$D$5:$D$657,MATCH(H1834,Documents!$A$5:$A$657,0))="","",INDEX(Documents!$D$5:$D$657,MATCH(H1834,Documents!$A$5:$A$657,0))),"")</f>
        <v/>
      </c>
      <c r="K1834" s="25" t="str">
        <f aca="false">IFERROR(IF(INDEX(Documents!$G$5:$G$657,MATCH(H1834,Documents!$A$5:$A$657,0))="","",INDEX(Documents!$G$5:$G$657,MATCH(H1834,Documents!$A$5:$A$657,0))),"")</f>
        <v/>
      </c>
      <c r="L1834" s="25" t="s">
        <v>681</v>
      </c>
    </row>
    <row r="1835" customFormat="false" ht="15" hidden="false" customHeight="false" outlineLevel="0" collapsed="false">
      <c r="A1835" s="25" t="n">
        <v>13887812</v>
      </c>
      <c r="B1835" s="25" t="s">
        <v>4091</v>
      </c>
      <c r="C1835" s="25" t="s">
        <v>4092</v>
      </c>
      <c r="D1835" s="26" t="n">
        <v>51.5</v>
      </c>
      <c r="E1835" s="27" t="n">
        <v>7.28819277095881</v>
      </c>
      <c r="F1835" s="27" t="n">
        <v>7.68718945928755</v>
      </c>
      <c r="G1835" s="25" t="s">
        <v>4067</v>
      </c>
      <c r="H1835" s="25" t="s">
        <v>4068</v>
      </c>
      <c r="I1835" s="25" t="n">
        <f aca="false">IFERROR(IF(INDEX(Documents!$C$5:$C$657,MATCH(H1835,Documents!$A$5:$A$657,0))="","",INDEX(Documents!$C$5:$C$657,MATCH(H1835,Documents!$A$5:$A$657,0))),"")</f>
        <v>2013</v>
      </c>
      <c r="J1835" s="25" t="str">
        <f aca="false">IFERROR(IF(INDEX(Documents!$D$5:$D$657,MATCH(H1835,Documents!$A$5:$A$657,0))="","",INDEX(Documents!$D$5:$D$657,MATCH(H1835,Documents!$A$5:$A$657,0))),"")</f>
        <v>J Med Chem</v>
      </c>
      <c r="K1835" s="25" t="str">
        <f aca="false">IFERROR(IF(INDEX(Documents!$G$5:$G$657,MATCH(H1835,Documents!$A$5:$A$657,0))="","",INDEX(Documents!$G$5:$G$657,MATCH(H1835,Documents!$A$5:$A$657,0))),"")</f>
        <v>10.1021/jm4016075</v>
      </c>
      <c r="L1835" s="25" t="s">
        <v>4069</v>
      </c>
    </row>
    <row r="1836" customFormat="false" ht="15" hidden="false" customHeight="false" outlineLevel="0" collapsed="false">
      <c r="A1836" s="25" t="n">
        <v>28220375</v>
      </c>
      <c r="B1836" s="25" t="s">
        <v>4091</v>
      </c>
      <c r="C1836" s="25" t="s">
        <v>4092</v>
      </c>
      <c r="D1836" s="26" t="n">
        <v>8.2</v>
      </c>
      <c r="E1836" s="27" t="n">
        <v>8.08618614761628</v>
      </c>
      <c r="F1836" s="27" t="n">
        <v>7.68718945928755</v>
      </c>
      <c r="G1836" s="25" t="s">
        <v>679</v>
      </c>
      <c r="H1836" s="25" t="s">
        <v>680</v>
      </c>
      <c r="I1836" s="25" t="n">
        <f aca="false">IFERROR(IF(INDEX(Documents!$C$5:$C$657,MATCH(H1836,Documents!$A$5:$A$657,0))="","",INDEX(Documents!$C$5:$C$657,MATCH(H1836,Documents!$A$5:$A$657,0))),"")</f>
        <v>2021</v>
      </c>
      <c r="J1836" s="25" t="str">
        <f aca="false">IFERROR(IF(INDEX(Documents!$D$5:$D$657,MATCH(H1836,Documents!$A$5:$A$657,0))="","",INDEX(Documents!$D$5:$D$657,MATCH(H1836,Documents!$A$5:$A$657,0))),"")</f>
        <v/>
      </c>
      <c r="K1836" s="25" t="str">
        <f aca="false">IFERROR(IF(INDEX(Documents!$G$5:$G$657,MATCH(H1836,Documents!$A$5:$A$657,0))="","",INDEX(Documents!$G$5:$G$657,MATCH(H1836,Documents!$A$5:$A$657,0))),"")</f>
        <v/>
      </c>
      <c r="L1836" s="25" t="s">
        <v>681</v>
      </c>
    </row>
    <row r="1837" customFormat="false" ht="15" hidden="false" customHeight="false" outlineLevel="0" collapsed="false">
      <c r="A1837" s="25" t="n">
        <v>28220507</v>
      </c>
      <c r="B1837" s="25" t="s">
        <v>4093</v>
      </c>
      <c r="C1837" s="25" t="s">
        <v>4094</v>
      </c>
      <c r="D1837" s="26" t="n">
        <v>1000</v>
      </c>
      <c r="E1837" s="27" t="n">
        <v>6</v>
      </c>
      <c r="F1837" s="27" t="n">
        <v>6</v>
      </c>
      <c r="G1837" s="25" t="s">
        <v>679</v>
      </c>
      <c r="H1837" s="25" t="s">
        <v>680</v>
      </c>
      <c r="I1837" s="25" t="n">
        <f aca="false">IFERROR(IF(INDEX(Documents!$C$5:$C$657,MATCH(H1837,Documents!$A$5:$A$657,0))="","",INDEX(Documents!$C$5:$C$657,MATCH(H1837,Documents!$A$5:$A$657,0))),"")</f>
        <v>2021</v>
      </c>
      <c r="J1837" s="25" t="str">
        <f aca="false">IFERROR(IF(INDEX(Documents!$D$5:$D$657,MATCH(H1837,Documents!$A$5:$A$657,0))="","",INDEX(Documents!$D$5:$D$657,MATCH(H1837,Documents!$A$5:$A$657,0))),"")</f>
        <v/>
      </c>
      <c r="K1837" s="25" t="str">
        <f aca="false">IFERROR(IF(INDEX(Documents!$G$5:$G$657,MATCH(H1837,Documents!$A$5:$A$657,0))="","",INDEX(Documents!$G$5:$G$657,MATCH(H1837,Documents!$A$5:$A$657,0))),"")</f>
        <v/>
      </c>
      <c r="L1837" s="25" t="s">
        <v>681</v>
      </c>
    </row>
    <row r="1838" customFormat="false" ht="15" hidden="false" customHeight="false" outlineLevel="0" collapsed="false">
      <c r="A1838" s="25" t="n">
        <v>19407595</v>
      </c>
      <c r="B1838" s="25" t="s">
        <v>4095</v>
      </c>
      <c r="C1838" s="25" t="s">
        <v>4096</v>
      </c>
      <c r="D1838" s="26" t="n">
        <v>432</v>
      </c>
      <c r="E1838" s="27" t="n">
        <v>6.36451625318509</v>
      </c>
      <c r="F1838" s="27" t="n">
        <v>6.36451625318509</v>
      </c>
      <c r="G1838" s="25" t="s">
        <v>4072</v>
      </c>
      <c r="H1838" s="25" t="s">
        <v>4073</v>
      </c>
      <c r="I1838" s="25" t="n">
        <f aca="false">IFERROR(IF(INDEX(Documents!$C$5:$C$657,MATCH(H1838,Documents!$A$5:$A$657,0))="","",INDEX(Documents!$C$5:$C$657,MATCH(H1838,Documents!$A$5:$A$657,0))),"")</f>
        <v>2016</v>
      </c>
      <c r="J1838" s="25" t="str">
        <f aca="false">IFERROR(IF(INDEX(Documents!$D$5:$D$657,MATCH(H1838,Documents!$A$5:$A$657,0))="","",INDEX(Documents!$D$5:$D$657,MATCH(H1838,Documents!$A$5:$A$657,0))),"")</f>
        <v>J Med Chem</v>
      </c>
      <c r="K1838" s="25" t="str">
        <f aca="false">IFERROR(IF(INDEX(Documents!$G$5:$G$657,MATCH(H1838,Documents!$A$5:$A$657,0))="","",INDEX(Documents!$G$5:$G$657,MATCH(H1838,Documents!$A$5:$A$657,0))),"")</f>
        <v>10.1021/acs.jmedchem.6b00717</v>
      </c>
      <c r="L1838" s="25" t="s">
        <v>4074</v>
      </c>
    </row>
    <row r="1839" customFormat="false" ht="15" hidden="false" customHeight="false" outlineLevel="0" collapsed="false">
      <c r="A1839" s="25" t="n">
        <v>19407597</v>
      </c>
      <c r="B1839" s="25" t="s">
        <v>4097</v>
      </c>
      <c r="C1839" s="25" t="s">
        <v>4098</v>
      </c>
      <c r="D1839" s="26" t="n">
        <v>733</v>
      </c>
      <c r="E1839" s="27" t="n">
        <v>6.13489602535887</v>
      </c>
      <c r="F1839" s="27" t="n">
        <v>6.13489602535887</v>
      </c>
      <c r="G1839" s="25" t="s">
        <v>4072</v>
      </c>
      <c r="H1839" s="25" t="s">
        <v>4073</v>
      </c>
      <c r="I1839" s="25" t="n">
        <f aca="false">IFERROR(IF(INDEX(Documents!$C$5:$C$657,MATCH(H1839,Documents!$A$5:$A$657,0))="","",INDEX(Documents!$C$5:$C$657,MATCH(H1839,Documents!$A$5:$A$657,0))),"")</f>
        <v>2016</v>
      </c>
      <c r="J1839" s="25" t="str">
        <f aca="false">IFERROR(IF(INDEX(Documents!$D$5:$D$657,MATCH(H1839,Documents!$A$5:$A$657,0))="","",INDEX(Documents!$D$5:$D$657,MATCH(H1839,Documents!$A$5:$A$657,0))),"")</f>
        <v>J Med Chem</v>
      </c>
      <c r="K1839" s="25" t="str">
        <f aca="false">IFERROR(IF(INDEX(Documents!$G$5:$G$657,MATCH(H1839,Documents!$A$5:$A$657,0))="","",INDEX(Documents!$G$5:$G$657,MATCH(H1839,Documents!$A$5:$A$657,0))),"")</f>
        <v>10.1021/acs.jmedchem.6b00717</v>
      </c>
      <c r="L1839" s="25" t="s">
        <v>4074</v>
      </c>
    </row>
    <row r="1840" customFormat="false" ht="15" hidden="false" customHeight="false" outlineLevel="0" collapsed="false">
      <c r="A1840" s="25" t="n">
        <v>13887818</v>
      </c>
      <c r="B1840" s="25" t="s">
        <v>4099</v>
      </c>
      <c r="C1840" s="25" t="s">
        <v>4100</v>
      </c>
      <c r="D1840" s="26" t="n">
        <v>6.3</v>
      </c>
      <c r="E1840" s="27" t="n">
        <v>8.20065945054642</v>
      </c>
      <c r="F1840" s="27" t="n">
        <v>8.51228409574537</v>
      </c>
      <c r="G1840" s="25" t="s">
        <v>4067</v>
      </c>
      <c r="H1840" s="25" t="s">
        <v>4068</v>
      </c>
      <c r="I1840" s="25" t="n">
        <f aca="false">IFERROR(IF(INDEX(Documents!$C$5:$C$657,MATCH(H1840,Documents!$A$5:$A$657,0))="","",INDEX(Documents!$C$5:$C$657,MATCH(H1840,Documents!$A$5:$A$657,0))),"")</f>
        <v>2013</v>
      </c>
      <c r="J1840" s="25" t="str">
        <f aca="false">IFERROR(IF(INDEX(Documents!$D$5:$D$657,MATCH(H1840,Documents!$A$5:$A$657,0))="","",INDEX(Documents!$D$5:$D$657,MATCH(H1840,Documents!$A$5:$A$657,0))),"")</f>
        <v>J Med Chem</v>
      </c>
      <c r="K1840" s="25" t="str">
        <f aca="false">IFERROR(IF(INDEX(Documents!$G$5:$G$657,MATCH(H1840,Documents!$A$5:$A$657,0))="","",INDEX(Documents!$G$5:$G$657,MATCH(H1840,Documents!$A$5:$A$657,0))),"")</f>
        <v>10.1021/jm4016075</v>
      </c>
      <c r="L1840" s="25" t="s">
        <v>4069</v>
      </c>
    </row>
    <row r="1841" customFormat="false" ht="15" hidden="false" customHeight="false" outlineLevel="0" collapsed="false">
      <c r="A1841" s="25" t="n">
        <v>28220258</v>
      </c>
      <c r="B1841" s="25" t="s">
        <v>4099</v>
      </c>
      <c r="C1841" s="25" t="s">
        <v>4100</v>
      </c>
      <c r="D1841" s="26" t="n">
        <v>1.5</v>
      </c>
      <c r="E1841" s="27" t="n">
        <v>8.82390874094432</v>
      </c>
      <c r="F1841" s="27" t="n">
        <v>8.51228409574537</v>
      </c>
      <c r="G1841" s="25" t="s">
        <v>679</v>
      </c>
      <c r="H1841" s="25" t="s">
        <v>680</v>
      </c>
      <c r="I1841" s="25" t="n">
        <f aca="false">IFERROR(IF(INDEX(Documents!$C$5:$C$657,MATCH(H1841,Documents!$A$5:$A$657,0))="","",INDEX(Documents!$C$5:$C$657,MATCH(H1841,Documents!$A$5:$A$657,0))),"")</f>
        <v>2021</v>
      </c>
      <c r="J1841" s="25" t="str">
        <f aca="false">IFERROR(IF(INDEX(Documents!$D$5:$D$657,MATCH(H1841,Documents!$A$5:$A$657,0))="","",INDEX(Documents!$D$5:$D$657,MATCH(H1841,Documents!$A$5:$A$657,0))),"")</f>
        <v/>
      </c>
      <c r="K1841" s="25" t="str">
        <f aca="false">IFERROR(IF(INDEX(Documents!$G$5:$G$657,MATCH(H1841,Documents!$A$5:$A$657,0))="","",INDEX(Documents!$G$5:$G$657,MATCH(H1841,Documents!$A$5:$A$657,0))),"")</f>
        <v/>
      </c>
      <c r="L1841" s="25" t="s">
        <v>681</v>
      </c>
    </row>
    <row r="1842" customFormat="false" ht="15" hidden="false" customHeight="false" outlineLevel="0" collapsed="false">
      <c r="A1842" s="25" t="n">
        <v>13887825</v>
      </c>
      <c r="B1842" s="25" t="s">
        <v>4101</v>
      </c>
      <c r="C1842" s="25" t="s">
        <v>4102</v>
      </c>
      <c r="D1842" s="26" t="n">
        <v>3.7</v>
      </c>
      <c r="E1842" s="27" t="n">
        <v>8.43179827593301</v>
      </c>
      <c r="F1842" s="27" t="n">
        <v>8.64283512012738</v>
      </c>
      <c r="G1842" s="25" t="s">
        <v>4067</v>
      </c>
      <c r="H1842" s="25" t="s">
        <v>4068</v>
      </c>
      <c r="I1842" s="25" t="n">
        <f aca="false">IFERROR(IF(INDEX(Documents!$C$5:$C$657,MATCH(H1842,Documents!$A$5:$A$657,0))="","",INDEX(Documents!$C$5:$C$657,MATCH(H1842,Documents!$A$5:$A$657,0))),"")</f>
        <v>2013</v>
      </c>
      <c r="J1842" s="25" t="str">
        <f aca="false">IFERROR(IF(INDEX(Documents!$D$5:$D$657,MATCH(H1842,Documents!$A$5:$A$657,0))="","",INDEX(Documents!$D$5:$D$657,MATCH(H1842,Documents!$A$5:$A$657,0))),"")</f>
        <v>J Med Chem</v>
      </c>
      <c r="K1842" s="25" t="str">
        <f aca="false">IFERROR(IF(INDEX(Documents!$G$5:$G$657,MATCH(H1842,Documents!$A$5:$A$657,0))="","",INDEX(Documents!$G$5:$G$657,MATCH(H1842,Documents!$A$5:$A$657,0))),"")</f>
        <v>10.1021/jm4016075</v>
      </c>
      <c r="L1842" s="25" t="s">
        <v>4069</v>
      </c>
    </row>
    <row r="1843" customFormat="false" ht="15" hidden="false" customHeight="false" outlineLevel="0" collapsed="false">
      <c r="A1843" s="25" t="n">
        <v>28220240</v>
      </c>
      <c r="B1843" s="25" t="s">
        <v>4101</v>
      </c>
      <c r="C1843" s="25" t="s">
        <v>4102</v>
      </c>
      <c r="D1843" s="26" t="n">
        <v>1.4</v>
      </c>
      <c r="E1843" s="27" t="n">
        <v>8.85387196432176</v>
      </c>
      <c r="F1843" s="27" t="n">
        <v>8.64283512012738</v>
      </c>
      <c r="G1843" s="25" t="s">
        <v>679</v>
      </c>
      <c r="H1843" s="25" t="s">
        <v>680</v>
      </c>
      <c r="I1843" s="25" t="n">
        <f aca="false">IFERROR(IF(INDEX(Documents!$C$5:$C$657,MATCH(H1843,Documents!$A$5:$A$657,0))="","",INDEX(Documents!$C$5:$C$657,MATCH(H1843,Documents!$A$5:$A$657,0))),"")</f>
        <v>2021</v>
      </c>
      <c r="J1843" s="25" t="str">
        <f aca="false">IFERROR(IF(INDEX(Documents!$D$5:$D$657,MATCH(H1843,Documents!$A$5:$A$657,0))="","",INDEX(Documents!$D$5:$D$657,MATCH(H1843,Documents!$A$5:$A$657,0))),"")</f>
        <v/>
      </c>
      <c r="K1843" s="25" t="str">
        <f aca="false">IFERROR(IF(INDEX(Documents!$G$5:$G$657,MATCH(H1843,Documents!$A$5:$A$657,0))="","",INDEX(Documents!$G$5:$G$657,MATCH(H1843,Documents!$A$5:$A$657,0))),"")</f>
        <v/>
      </c>
      <c r="L1843" s="25" t="s">
        <v>681</v>
      </c>
    </row>
    <row r="1844" customFormat="false" ht="15" hidden="false" customHeight="false" outlineLevel="0" collapsed="false">
      <c r="A1844" s="25" t="n">
        <v>1911804</v>
      </c>
      <c r="B1844" s="25" t="s">
        <v>4103</v>
      </c>
      <c r="C1844" s="25" t="s">
        <v>4104</v>
      </c>
      <c r="D1844" s="26" t="n">
        <v>3200</v>
      </c>
      <c r="E1844" s="27" t="n">
        <v>5.49485002168009</v>
      </c>
      <c r="F1844" s="27" t="n">
        <v>5.49485002168009</v>
      </c>
      <c r="G1844" s="25" t="s">
        <v>2868</v>
      </c>
      <c r="H1844" s="25" t="s">
        <v>2869</v>
      </c>
      <c r="I1844" s="25" t="n">
        <f aca="false">IFERROR(IF(INDEX(Documents!$C$5:$C$657,MATCH(H1844,Documents!$A$5:$A$657,0))="","",INDEX(Documents!$C$5:$C$657,MATCH(H1844,Documents!$A$5:$A$657,0))),"")</f>
        <v>2007</v>
      </c>
      <c r="J1844" s="25" t="str">
        <f aca="false">IFERROR(IF(INDEX(Documents!$D$5:$D$657,MATCH(H1844,Documents!$A$5:$A$657,0))="","",INDEX(Documents!$D$5:$D$657,MATCH(H1844,Documents!$A$5:$A$657,0))),"")</f>
        <v>Bioorg Med Chem Lett</v>
      </c>
      <c r="K1844" s="25" t="str">
        <f aca="false">IFERROR(IF(INDEX(Documents!$G$5:$G$657,MATCH(H1844,Documents!$A$5:$A$657,0))="","",INDEX(Documents!$G$5:$G$657,MATCH(H1844,Documents!$A$5:$A$657,0))),"")</f>
        <v>10.1016/j.bmcl.2007.06.055</v>
      </c>
      <c r="L1844" s="25" t="s">
        <v>775</v>
      </c>
    </row>
    <row r="1845" customFormat="false" ht="15" hidden="false" customHeight="false" outlineLevel="0" collapsed="false">
      <c r="A1845" s="25" t="n">
        <v>6350670</v>
      </c>
      <c r="B1845" s="25" t="s">
        <v>4105</v>
      </c>
      <c r="C1845" s="25" t="s">
        <v>4106</v>
      </c>
      <c r="D1845" s="26" t="n">
        <v>1.4</v>
      </c>
      <c r="E1845" s="27" t="n">
        <v>8.85387196432176</v>
      </c>
      <c r="F1845" s="27" t="n">
        <v>8.85387196432176</v>
      </c>
      <c r="G1845" s="25" t="s">
        <v>4107</v>
      </c>
      <c r="H1845" s="25" t="s">
        <v>4108</v>
      </c>
      <c r="I1845" s="25" t="n">
        <f aca="false">IFERROR(IF(INDEX(Documents!$C$5:$C$657,MATCH(H1845,Documents!$A$5:$A$657,0))="","",INDEX(Documents!$C$5:$C$657,MATCH(H1845,Documents!$A$5:$A$657,0))),"")</f>
        <v>2011</v>
      </c>
      <c r="J1845" s="25" t="str">
        <f aca="false">IFERROR(IF(INDEX(Documents!$D$5:$D$657,MATCH(H1845,Documents!$A$5:$A$657,0))="","",INDEX(Documents!$D$5:$D$657,MATCH(H1845,Documents!$A$5:$A$657,0))),"")</f>
        <v>Bioorg Med Chem</v>
      </c>
      <c r="K1845" s="25" t="str">
        <f aca="false">IFERROR(IF(INDEX(Documents!$G$5:$G$657,MATCH(H1845,Documents!$A$5:$A$657,0))="","",INDEX(Documents!$G$5:$G$657,MATCH(H1845,Documents!$A$5:$A$657,0))),"")</f>
        <v>10.1016/j.bmc.2011.07.062</v>
      </c>
      <c r="L1845" s="25" t="s">
        <v>4109</v>
      </c>
    </row>
    <row r="1846" customFormat="false" ht="15" hidden="false" customHeight="false" outlineLevel="0" collapsed="false">
      <c r="A1846" s="25" t="n">
        <v>3194809</v>
      </c>
      <c r="B1846" s="25" t="s">
        <v>4110</v>
      </c>
      <c r="C1846" s="25" t="s">
        <v>4111</v>
      </c>
      <c r="D1846" s="26" t="n">
        <v>9.6</v>
      </c>
      <c r="E1846" s="27" t="n">
        <v>8.01772876696043</v>
      </c>
      <c r="F1846" s="27" t="n">
        <v>8.01772876696043</v>
      </c>
      <c r="G1846" s="25" t="s">
        <v>4112</v>
      </c>
      <c r="H1846" s="25" t="s">
        <v>4113</v>
      </c>
      <c r="I1846" s="25" t="n">
        <f aca="false">IFERROR(IF(INDEX(Documents!$C$5:$C$657,MATCH(H1846,Documents!$A$5:$A$657,0))="","",INDEX(Documents!$C$5:$C$657,MATCH(H1846,Documents!$A$5:$A$657,0))),"")</f>
        <v>2010</v>
      </c>
      <c r="J1846" s="25" t="str">
        <f aca="false">IFERROR(IF(INDEX(Documents!$D$5:$D$657,MATCH(H1846,Documents!$A$5:$A$657,0))="","",INDEX(Documents!$D$5:$D$657,MATCH(H1846,Documents!$A$5:$A$657,0))),"")</f>
        <v>Bioorg Med Chem Lett</v>
      </c>
      <c r="K1846" s="25" t="str">
        <f aca="false">IFERROR(IF(INDEX(Documents!$G$5:$G$657,MATCH(H1846,Documents!$A$5:$A$657,0))="","",INDEX(Documents!$G$5:$G$657,MATCH(H1846,Documents!$A$5:$A$657,0))),"")</f>
        <v>10.1016/j.bmcl.2010.01.074</v>
      </c>
      <c r="L1846" s="25" t="s">
        <v>515</v>
      </c>
    </row>
    <row r="1847" customFormat="false" ht="15" hidden="false" customHeight="false" outlineLevel="0" collapsed="false">
      <c r="A1847" s="25" t="n">
        <v>24868281</v>
      </c>
      <c r="B1847" s="25" t="s">
        <v>4114</v>
      </c>
      <c r="C1847" s="25" t="s">
        <v>4111</v>
      </c>
      <c r="D1847" s="26" t="n">
        <v>9.6</v>
      </c>
      <c r="E1847" s="27" t="n">
        <v>8.01772876696043</v>
      </c>
      <c r="F1847" s="27" t="n">
        <v>8.01772876696043</v>
      </c>
      <c r="G1847" s="25" t="s">
        <v>4115</v>
      </c>
      <c r="H1847" s="25" t="s">
        <v>4116</v>
      </c>
      <c r="I1847" s="25" t="n">
        <f aca="false">IFERROR(IF(INDEX(Documents!$C$5:$C$657,MATCH(H1847,Documents!$A$5:$A$657,0))="","",INDEX(Documents!$C$5:$C$657,MATCH(H1847,Documents!$A$5:$A$657,0))),"")</f>
        <v>2021</v>
      </c>
      <c r="J1847" s="25" t="str">
        <f aca="false">IFERROR(IF(INDEX(Documents!$D$5:$D$657,MATCH(H1847,Documents!$A$5:$A$657,0))="","",INDEX(Documents!$D$5:$D$657,MATCH(H1847,Documents!$A$5:$A$657,0))),"")</f>
        <v>J Med Chem</v>
      </c>
      <c r="K1847" s="25" t="str">
        <f aca="false">IFERROR(IF(INDEX(Documents!$G$5:$G$657,MATCH(H1847,Documents!$A$5:$A$657,0))="","",INDEX(Documents!$G$5:$G$657,MATCH(H1847,Documents!$A$5:$A$657,0))),"")</f>
        <v>10.1021/acs.jmedchem.1c01571</v>
      </c>
      <c r="L1847" s="25" t="s">
        <v>4117</v>
      </c>
    </row>
    <row r="1848" customFormat="false" ht="15" hidden="false" customHeight="false" outlineLevel="0" collapsed="false">
      <c r="A1848" s="25" t="n">
        <v>6350669</v>
      </c>
      <c r="B1848" s="25" t="s">
        <v>4118</v>
      </c>
      <c r="C1848" s="25" t="s">
        <v>4119</v>
      </c>
      <c r="D1848" s="26" t="n">
        <v>0.8</v>
      </c>
      <c r="E1848" s="27" t="n">
        <v>9.09691001300806</v>
      </c>
      <c r="F1848" s="27" t="n">
        <v>9.09691001300806</v>
      </c>
      <c r="G1848" s="25" t="s">
        <v>4107</v>
      </c>
      <c r="H1848" s="25" t="s">
        <v>4108</v>
      </c>
      <c r="I1848" s="25" t="n">
        <f aca="false">IFERROR(IF(INDEX(Documents!$C$5:$C$657,MATCH(H1848,Documents!$A$5:$A$657,0))="","",INDEX(Documents!$C$5:$C$657,MATCH(H1848,Documents!$A$5:$A$657,0))),"")</f>
        <v>2011</v>
      </c>
      <c r="J1848" s="25" t="str">
        <f aca="false">IFERROR(IF(INDEX(Documents!$D$5:$D$657,MATCH(H1848,Documents!$A$5:$A$657,0))="","",INDEX(Documents!$D$5:$D$657,MATCH(H1848,Documents!$A$5:$A$657,0))),"")</f>
        <v>Bioorg Med Chem</v>
      </c>
      <c r="K1848" s="25" t="str">
        <f aca="false">IFERROR(IF(INDEX(Documents!$G$5:$G$657,MATCH(H1848,Documents!$A$5:$A$657,0))="","",INDEX(Documents!$G$5:$G$657,MATCH(H1848,Documents!$A$5:$A$657,0))),"")</f>
        <v>10.1016/j.bmc.2011.07.062</v>
      </c>
      <c r="L1848" s="25" t="s">
        <v>4109</v>
      </c>
    </row>
    <row r="1849" customFormat="false" ht="15" hidden="false" customHeight="false" outlineLevel="0" collapsed="false">
      <c r="A1849" s="25" t="n">
        <v>6350673</v>
      </c>
      <c r="B1849" s="25" t="s">
        <v>4120</v>
      </c>
      <c r="C1849" s="25" t="s">
        <v>4121</v>
      </c>
      <c r="D1849" s="26" t="n">
        <v>58</v>
      </c>
      <c r="E1849" s="27" t="n">
        <v>7.23657200643706</v>
      </c>
      <c r="F1849" s="27" t="n">
        <v>7.23657200643706</v>
      </c>
      <c r="G1849" s="25" t="s">
        <v>4107</v>
      </c>
      <c r="H1849" s="25" t="s">
        <v>4108</v>
      </c>
      <c r="I1849" s="25" t="n">
        <f aca="false">IFERROR(IF(INDEX(Documents!$C$5:$C$657,MATCH(H1849,Documents!$A$5:$A$657,0))="","",INDEX(Documents!$C$5:$C$657,MATCH(H1849,Documents!$A$5:$A$657,0))),"")</f>
        <v>2011</v>
      </c>
      <c r="J1849" s="25" t="str">
        <f aca="false">IFERROR(IF(INDEX(Documents!$D$5:$D$657,MATCH(H1849,Documents!$A$5:$A$657,0))="","",INDEX(Documents!$D$5:$D$657,MATCH(H1849,Documents!$A$5:$A$657,0))),"")</f>
        <v>Bioorg Med Chem</v>
      </c>
      <c r="K1849" s="25" t="str">
        <f aca="false">IFERROR(IF(INDEX(Documents!$G$5:$G$657,MATCH(H1849,Documents!$A$5:$A$657,0))="","",INDEX(Documents!$G$5:$G$657,MATCH(H1849,Documents!$A$5:$A$657,0))),"")</f>
        <v>10.1016/j.bmc.2011.07.062</v>
      </c>
      <c r="L1849" s="25" t="s">
        <v>4109</v>
      </c>
    </row>
    <row r="1850" customFormat="false" ht="15" hidden="false" customHeight="false" outlineLevel="0" collapsed="false">
      <c r="A1850" s="25" t="n">
        <v>6350672</v>
      </c>
      <c r="B1850" s="25" t="s">
        <v>4122</v>
      </c>
      <c r="C1850" s="25" t="s">
        <v>4123</v>
      </c>
      <c r="D1850" s="26" t="n">
        <v>486</v>
      </c>
      <c r="E1850" s="27" t="n">
        <v>6.31336373073771</v>
      </c>
      <c r="F1850" s="27" t="n">
        <v>6.31336373073771</v>
      </c>
      <c r="G1850" s="25" t="s">
        <v>4107</v>
      </c>
      <c r="H1850" s="25" t="s">
        <v>4108</v>
      </c>
      <c r="I1850" s="25" t="n">
        <f aca="false">IFERROR(IF(INDEX(Documents!$C$5:$C$657,MATCH(H1850,Documents!$A$5:$A$657,0))="","",INDEX(Documents!$C$5:$C$657,MATCH(H1850,Documents!$A$5:$A$657,0))),"")</f>
        <v>2011</v>
      </c>
      <c r="J1850" s="25" t="str">
        <f aca="false">IFERROR(IF(INDEX(Documents!$D$5:$D$657,MATCH(H1850,Documents!$A$5:$A$657,0))="","",INDEX(Documents!$D$5:$D$657,MATCH(H1850,Documents!$A$5:$A$657,0))),"")</f>
        <v>Bioorg Med Chem</v>
      </c>
      <c r="K1850" s="25" t="str">
        <f aca="false">IFERROR(IF(INDEX(Documents!$G$5:$G$657,MATCH(H1850,Documents!$A$5:$A$657,0))="","",INDEX(Documents!$G$5:$G$657,MATCH(H1850,Documents!$A$5:$A$657,0))),"")</f>
        <v>10.1016/j.bmc.2011.07.062</v>
      </c>
      <c r="L1850" s="25" t="s">
        <v>4109</v>
      </c>
    </row>
    <row r="1851" customFormat="false" ht="15" hidden="false" customHeight="false" outlineLevel="0" collapsed="false">
      <c r="A1851" s="25" t="n">
        <v>6350667</v>
      </c>
      <c r="B1851" s="25" t="s">
        <v>4124</v>
      </c>
      <c r="C1851" s="25" t="s">
        <v>4125</v>
      </c>
      <c r="D1851" s="26" t="n">
        <v>2.4</v>
      </c>
      <c r="E1851" s="27" t="n">
        <v>8.61978875828839</v>
      </c>
      <c r="F1851" s="27" t="n">
        <v>8.61978875828839</v>
      </c>
      <c r="G1851" s="25" t="s">
        <v>4107</v>
      </c>
      <c r="H1851" s="25" t="s">
        <v>4108</v>
      </c>
      <c r="I1851" s="25" t="n">
        <f aca="false">IFERROR(IF(INDEX(Documents!$C$5:$C$657,MATCH(H1851,Documents!$A$5:$A$657,0))="","",INDEX(Documents!$C$5:$C$657,MATCH(H1851,Documents!$A$5:$A$657,0))),"")</f>
        <v>2011</v>
      </c>
      <c r="J1851" s="25" t="str">
        <f aca="false">IFERROR(IF(INDEX(Documents!$D$5:$D$657,MATCH(H1851,Documents!$A$5:$A$657,0))="","",INDEX(Documents!$D$5:$D$657,MATCH(H1851,Documents!$A$5:$A$657,0))),"")</f>
        <v>Bioorg Med Chem</v>
      </c>
      <c r="K1851" s="25" t="str">
        <f aca="false">IFERROR(IF(INDEX(Documents!$G$5:$G$657,MATCH(H1851,Documents!$A$5:$A$657,0))="","",INDEX(Documents!$G$5:$G$657,MATCH(H1851,Documents!$A$5:$A$657,0))),"")</f>
        <v>10.1016/j.bmc.2011.07.062</v>
      </c>
      <c r="L1851" s="25" t="s">
        <v>4109</v>
      </c>
    </row>
    <row r="1852" customFormat="false" ht="15" hidden="false" customHeight="false" outlineLevel="0" collapsed="false">
      <c r="A1852" s="25" t="n">
        <v>15197361</v>
      </c>
      <c r="B1852" s="25" t="s">
        <v>4126</v>
      </c>
      <c r="C1852" s="25" t="s">
        <v>4127</v>
      </c>
      <c r="D1852" s="26" t="n">
        <v>0.33</v>
      </c>
      <c r="E1852" s="27" t="n">
        <v>9.48148606012211</v>
      </c>
      <c r="F1852" s="27" t="n">
        <v>9.48174942854852</v>
      </c>
      <c r="G1852" s="25" t="s">
        <v>2844</v>
      </c>
      <c r="H1852" s="25" t="s">
        <v>2845</v>
      </c>
      <c r="I1852" s="25" t="n">
        <f aca="false">IFERROR(IF(INDEX(Documents!$C$5:$C$657,MATCH(H1852,Documents!$A$5:$A$657,0))="","",INDEX(Documents!$C$5:$C$657,MATCH(H1852,Documents!$A$5:$A$657,0))),"")</f>
        <v>2015</v>
      </c>
      <c r="J1852" s="25" t="str">
        <f aca="false">IFERROR(IF(INDEX(Documents!$D$5:$D$657,MATCH(H1852,Documents!$A$5:$A$657,0))="","",INDEX(Documents!$D$5:$D$657,MATCH(H1852,Documents!$A$5:$A$657,0))),"")</f>
        <v>Eur J Med Chem</v>
      </c>
      <c r="K1852" s="25" t="str">
        <f aca="false">IFERROR(IF(INDEX(Documents!$G$5:$G$657,MATCH(H1852,Documents!$A$5:$A$657,0))="","",INDEX(Documents!$G$5:$G$657,MATCH(H1852,Documents!$A$5:$A$657,0))),"")</f>
        <v>10.1016/j.ejmech.2015.01.054</v>
      </c>
      <c r="L1852" s="25" t="s">
        <v>1359</v>
      </c>
    </row>
    <row r="1853" customFormat="false" ht="15" hidden="false" customHeight="false" outlineLevel="0" collapsed="false">
      <c r="A1853" s="25" t="n">
        <v>15198635</v>
      </c>
      <c r="B1853" s="25" t="s">
        <v>4126</v>
      </c>
      <c r="C1853" s="25" t="s">
        <v>4127</v>
      </c>
      <c r="D1853" s="26" t="n">
        <v>0.3296</v>
      </c>
      <c r="E1853" s="27" t="n">
        <v>9.48201279697492</v>
      </c>
      <c r="F1853" s="27" t="n">
        <v>9.48174942854852</v>
      </c>
      <c r="G1853" s="25" t="s">
        <v>2844</v>
      </c>
      <c r="H1853" s="25" t="s">
        <v>2845</v>
      </c>
      <c r="I1853" s="25" t="n">
        <f aca="false">IFERROR(IF(INDEX(Documents!$C$5:$C$657,MATCH(H1853,Documents!$A$5:$A$657,0))="","",INDEX(Documents!$C$5:$C$657,MATCH(H1853,Documents!$A$5:$A$657,0))),"")</f>
        <v>2015</v>
      </c>
      <c r="J1853" s="25" t="str">
        <f aca="false">IFERROR(IF(INDEX(Documents!$D$5:$D$657,MATCH(H1853,Documents!$A$5:$A$657,0))="","",INDEX(Documents!$D$5:$D$657,MATCH(H1853,Documents!$A$5:$A$657,0))),"")</f>
        <v>Eur J Med Chem</v>
      </c>
      <c r="K1853" s="25" t="str">
        <f aca="false">IFERROR(IF(INDEX(Documents!$G$5:$G$657,MATCH(H1853,Documents!$A$5:$A$657,0))="","",INDEX(Documents!$G$5:$G$657,MATCH(H1853,Documents!$A$5:$A$657,0))),"")</f>
        <v>10.1016/j.ejmech.2015.01.054</v>
      </c>
      <c r="L1853" s="25" t="s">
        <v>1359</v>
      </c>
    </row>
    <row r="1854" customFormat="false" ht="15" hidden="false" customHeight="false" outlineLevel="0" collapsed="false">
      <c r="A1854" s="25" t="n">
        <v>6350675</v>
      </c>
      <c r="B1854" s="25" t="s">
        <v>4128</v>
      </c>
      <c r="C1854" s="25" t="s">
        <v>4129</v>
      </c>
      <c r="D1854" s="26" t="n">
        <v>2400</v>
      </c>
      <c r="E1854" s="27" t="n">
        <v>5.61978875828839</v>
      </c>
      <c r="F1854" s="27" t="n">
        <v>5.61978875828839</v>
      </c>
      <c r="G1854" s="25" t="s">
        <v>4107</v>
      </c>
      <c r="H1854" s="25" t="s">
        <v>4108</v>
      </c>
      <c r="I1854" s="25" t="n">
        <f aca="false">IFERROR(IF(INDEX(Documents!$C$5:$C$657,MATCH(H1854,Documents!$A$5:$A$657,0))="","",INDEX(Documents!$C$5:$C$657,MATCH(H1854,Documents!$A$5:$A$657,0))),"")</f>
        <v>2011</v>
      </c>
      <c r="J1854" s="25" t="str">
        <f aca="false">IFERROR(IF(INDEX(Documents!$D$5:$D$657,MATCH(H1854,Documents!$A$5:$A$657,0))="","",INDEX(Documents!$D$5:$D$657,MATCH(H1854,Documents!$A$5:$A$657,0))),"")</f>
        <v>Bioorg Med Chem</v>
      </c>
      <c r="K1854" s="25" t="str">
        <f aca="false">IFERROR(IF(INDEX(Documents!$G$5:$G$657,MATCH(H1854,Documents!$A$5:$A$657,0))="","",INDEX(Documents!$G$5:$G$657,MATCH(H1854,Documents!$A$5:$A$657,0))),"")</f>
        <v>10.1016/j.bmc.2011.07.062</v>
      </c>
      <c r="L1854" s="25" t="s">
        <v>4109</v>
      </c>
    </row>
    <row r="1855" customFormat="false" ht="15" hidden="false" customHeight="false" outlineLevel="0" collapsed="false">
      <c r="A1855" s="25" t="n">
        <v>6350665</v>
      </c>
      <c r="B1855" s="25" t="s">
        <v>4130</v>
      </c>
      <c r="C1855" s="25" t="s">
        <v>4131</v>
      </c>
      <c r="D1855" s="26" t="n">
        <v>2.8</v>
      </c>
      <c r="E1855" s="27" t="n">
        <v>8.55284196865778</v>
      </c>
      <c r="F1855" s="27" t="n">
        <v>8.55284196865778</v>
      </c>
      <c r="G1855" s="25" t="s">
        <v>4107</v>
      </c>
      <c r="H1855" s="25" t="s">
        <v>4108</v>
      </c>
      <c r="I1855" s="25" t="n">
        <f aca="false">IFERROR(IF(INDEX(Documents!$C$5:$C$657,MATCH(H1855,Documents!$A$5:$A$657,0))="","",INDEX(Documents!$C$5:$C$657,MATCH(H1855,Documents!$A$5:$A$657,0))),"")</f>
        <v>2011</v>
      </c>
      <c r="J1855" s="25" t="str">
        <f aca="false">IFERROR(IF(INDEX(Documents!$D$5:$D$657,MATCH(H1855,Documents!$A$5:$A$657,0))="","",INDEX(Documents!$D$5:$D$657,MATCH(H1855,Documents!$A$5:$A$657,0))),"")</f>
        <v>Bioorg Med Chem</v>
      </c>
      <c r="K1855" s="25" t="str">
        <f aca="false">IFERROR(IF(INDEX(Documents!$G$5:$G$657,MATCH(H1855,Documents!$A$5:$A$657,0))="","",INDEX(Documents!$G$5:$G$657,MATCH(H1855,Documents!$A$5:$A$657,0))),"")</f>
        <v>10.1016/j.bmc.2011.07.062</v>
      </c>
      <c r="L1855" s="25" t="s">
        <v>4109</v>
      </c>
    </row>
    <row r="1856" customFormat="false" ht="15" hidden="false" customHeight="false" outlineLevel="0" collapsed="false">
      <c r="A1856" s="25" t="n">
        <v>13850300</v>
      </c>
      <c r="B1856" s="25" t="s">
        <v>4132</v>
      </c>
      <c r="C1856" s="25" t="s">
        <v>4131</v>
      </c>
      <c r="D1856" s="26" t="n">
        <v>2.8</v>
      </c>
      <c r="E1856" s="27" t="n">
        <v>8.55284196865778</v>
      </c>
      <c r="F1856" s="27" t="n">
        <v>8.55284196865778</v>
      </c>
      <c r="G1856" s="25" t="s">
        <v>4133</v>
      </c>
      <c r="H1856" s="25" t="s">
        <v>4134</v>
      </c>
      <c r="I1856" s="25" t="n">
        <f aca="false">IFERROR(IF(INDEX(Documents!$C$5:$C$657,MATCH(H1856,Documents!$A$5:$A$657,0))="","",INDEX(Documents!$C$5:$C$657,MATCH(H1856,Documents!$A$5:$A$657,0))),"")</f>
        <v>2013</v>
      </c>
      <c r="J1856" s="25" t="str">
        <f aca="false">IFERROR(IF(INDEX(Documents!$D$5:$D$657,MATCH(H1856,Documents!$A$5:$A$657,0))="","",INDEX(Documents!$D$5:$D$657,MATCH(H1856,Documents!$A$5:$A$657,0))),"")</f>
        <v>Bioorg Med Chem</v>
      </c>
      <c r="K1856" s="25" t="str">
        <f aca="false">IFERROR(IF(INDEX(Documents!$G$5:$G$657,MATCH(H1856,Documents!$A$5:$A$657,0))="","",INDEX(Documents!$G$5:$G$657,MATCH(H1856,Documents!$A$5:$A$657,0))),"")</f>
        <v>10.1016/j.bmc.2013.09.040</v>
      </c>
      <c r="L1856" s="25" t="s">
        <v>4135</v>
      </c>
    </row>
    <row r="1857" customFormat="false" ht="15" hidden="false" customHeight="false" outlineLevel="0" collapsed="false">
      <c r="A1857" s="25" t="n">
        <v>6350674</v>
      </c>
      <c r="B1857" s="25" t="s">
        <v>4136</v>
      </c>
      <c r="C1857" s="25" t="s">
        <v>4137</v>
      </c>
      <c r="D1857" s="26" t="n">
        <v>620</v>
      </c>
      <c r="E1857" s="27" t="n">
        <v>6.20760831050175</v>
      </c>
      <c r="F1857" s="27" t="n">
        <v>6.20760831050175</v>
      </c>
      <c r="G1857" s="25" t="s">
        <v>4107</v>
      </c>
      <c r="H1857" s="25" t="s">
        <v>4108</v>
      </c>
      <c r="I1857" s="25" t="n">
        <f aca="false">IFERROR(IF(INDEX(Documents!$C$5:$C$657,MATCH(H1857,Documents!$A$5:$A$657,0))="","",INDEX(Documents!$C$5:$C$657,MATCH(H1857,Documents!$A$5:$A$657,0))),"")</f>
        <v>2011</v>
      </c>
      <c r="J1857" s="25" t="str">
        <f aca="false">IFERROR(IF(INDEX(Documents!$D$5:$D$657,MATCH(H1857,Documents!$A$5:$A$657,0))="","",INDEX(Documents!$D$5:$D$657,MATCH(H1857,Documents!$A$5:$A$657,0))),"")</f>
        <v>Bioorg Med Chem</v>
      </c>
      <c r="K1857" s="25" t="str">
        <f aca="false">IFERROR(IF(INDEX(Documents!$G$5:$G$657,MATCH(H1857,Documents!$A$5:$A$657,0))="","",INDEX(Documents!$G$5:$G$657,MATCH(H1857,Documents!$A$5:$A$657,0))),"")</f>
        <v>10.1016/j.bmc.2011.07.062</v>
      </c>
      <c r="L1857" s="25" t="s">
        <v>4109</v>
      </c>
    </row>
    <row r="1858" customFormat="false" ht="15" hidden="false" customHeight="false" outlineLevel="0" collapsed="false">
      <c r="A1858" s="25" t="n">
        <v>3194811</v>
      </c>
      <c r="B1858" s="25" t="s">
        <v>4138</v>
      </c>
      <c r="C1858" s="25" t="s">
        <v>4139</v>
      </c>
      <c r="D1858" s="26" t="n">
        <v>35.8</v>
      </c>
      <c r="E1858" s="27" t="n">
        <v>7.44611697335613</v>
      </c>
      <c r="F1858" s="27" t="n">
        <v>7.44611697335613</v>
      </c>
      <c r="G1858" s="25" t="s">
        <v>4112</v>
      </c>
      <c r="H1858" s="25" t="s">
        <v>4113</v>
      </c>
      <c r="I1858" s="25" t="n">
        <f aca="false">IFERROR(IF(INDEX(Documents!$C$5:$C$657,MATCH(H1858,Documents!$A$5:$A$657,0))="","",INDEX(Documents!$C$5:$C$657,MATCH(H1858,Documents!$A$5:$A$657,0))),"")</f>
        <v>2010</v>
      </c>
      <c r="J1858" s="25" t="str">
        <f aca="false">IFERROR(IF(INDEX(Documents!$D$5:$D$657,MATCH(H1858,Documents!$A$5:$A$657,0))="","",INDEX(Documents!$D$5:$D$657,MATCH(H1858,Documents!$A$5:$A$657,0))),"")</f>
        <v>Bioorg Med Chem Lett</v>
      </c>
      <c r="K1858" s="25" t="str">
        <f aca="false">IFERROR(IF(INDEX(Documents!$G$5:$G$657,MATCH(H1858,Documents!$A$5:$A$657,0))="","",INDEX(Documents!$G$5:$G$657,MATCH(H1858,Documents!$A$5:$A$657,0))),"")</f>
        <v>10.1016/j.bmcl.2010.01.074</v>
      </c>
      <c r="L1858" s="25" t="s">
        <v>515</v>
      </c>
    </row>
    <row r="1859" customFormat="false" ht="15" hidden="false" customHeight="false" outlineLevel="0" collapsed="false">
      <c r="A1859" s="25" t="n">
        <v>2422700</v>
      </c>
      <c r="B1859" s="25" t="s">
        <v>4140</v>
      </c>
      <c r="C1859" s="25" t="s">
        <v>4141</v>
      </c>
      <c r="D1859" s="26" t="n">
        <v>125.89</v>
      </c>
      <c r="E1859" s="27" t="n">
        <v>6.90000876645532</v>
      </c>
      <c r="F1859" s="27" t="n">
        <v>6.91041376020385</v>
      </c>
      <c r="G1859" s="25" t="s">
        <v>1044</v>
      </c>
      <c r="H1859" s="25" t="s">
        <v>1045</v>
      </c>
      <c r="I1859" s="25" t="n">
        <f aca="false">IFERROR(IF(INDEX(Documents!$C$5:$C$657,MATCH(H1859,Documents!$A$5:$A$657,0))="","",INDEX(Documents!$C$5:$C$657,MATCH(H1859,Documents!$A$5:$A$657,0))),"")</f>
        <v>2009</v>
      </c>
      <c r="J1859" s="25" t="str">
        <f aca="false">IFERROR(IF(INDEX(Documents!$D$5:$D$657,MATCH(H1859,Documents!$A$5:$A$657,0))="","",INDEX(Documents!$D$5:$D$657,MATCH(H1859,Documents!$A$5:$A$657,0))),"")</f>
        <v>J Med Chem</v>
      </c>
      <c r="K1859" s="25" t="str">
        <f aca="false">IFERROR(IF(INDEX(Documents!$G$5:$G$657,MATCH(H1859,Documents!$A$5:$A$657,0))="","",INDEX(Documents!$G$5:$G$657,MATCH(H1859,Documents!$A$5:$A$657,0))),"")</f>
        <v>10.1021/jm8016255</v>
      </c>
      <c r="L1859" s="25" t="s">
        <v>1046</v>
      </c>
    </row>
    <row r="1860" customFormat="false" ht="15" hidden="false" customHeight="false" outlineLevel="0" collapsed="false">
      <c r="A1860" s="25" t="n">
        <v>2422635</v>
      </c>
      <c r="B1860" s="25" t="s">
        <v>4140</v>
      </c>
      <c r="C1860" s="25" t="s">
        <v>4141</v>
      </c>
      <c r="D1860" s="26" t="n">
        <v>120</v>
      </c>
      <c r="E1860" s="27" t="n">
        <v>6.92081875395238</v>
      </c>
      <c r="F1860" s="27" t="n">
        <v>6.91041376020385</v>
      </c>
      <c r="G1860" s="25" t="s">
        <v>1044</v>
      </c>
      <c r="H1860" s="25" t="s">
        <v>1045</v>
      </c>
      <c r="I1860" s="25" t="n">
        <f aca="false">IFERROR(IF(INDEX(Documents!$C$5:$C$657,MATCH(H1860,Documents!$A$5:$A$657,0))="","",INDEX(Documents!$C$5:$C$657,MATCH(H1860,Documents!$A$5:$A$657,0))),"")</f>
        <v>2009</v>
      </c>
      <c r="J1860" s="25" t="str">
        <f aca="false">IFERROR(IF(INDEX(Documents!$D$5:$D$657,MATCH(H1860,Documents!$A$5:$A$657,0))="","",INDEX(Documents!$D$5:$D$657,MATCH(H1860,Documents!$A$5:$A$657,0))),"")</f>
        <v>J Med Chem</v>
      </c>
      <c r="K1860" s="25" t="str">
        <f aca="false">IFERROR(IF(INDEX(Documents!$G$5:$G$657,MATCH(H1860,Documents!$A$5:$A$657,0))="","",INDEX(Documents!$G$5:$G$657,MATCH(H1860,Documents!$A$5:$A$657,0))),"")</f>
        <v>10.1021/jm8016255</v>
      </c>
      <c r="L1860" s="25" t="s">
        <v>1046</v>
      </c>
    </row>
    <row r="1861" customFormat="false" ht="15" hidden="false" customHeight="false" outlineLevel="0" collapsed="false">
      <c r="A1861" s="25" t="n">
        <v>2422628</v>
      </c>
      <c r="B1861" s="25" t="s">
        <v>4142</v>
      </c>
      <c r="C1861" s="25" t="s">
        <v>4143</v>
      </c>
      <c r="D1861" s="26" t="n">
        <v>1620</v>
      </c>
      <c r="E1861" s="27" t="n">
        <v>5.79048498545737</v>
      </c>
      <c r="F1861" s="27" t="n">
        <v>5.79524293013029</v>
      </c>
      <c r="G1861" s="25" t="s">
        <v>1044</v>
      </c>
      <c r="H1861" s="25" t="s">
        <v>1045</v>
      </c>
      <c r="I1861" s="25" t="n">
        <f aca="false">IFERROR(IF(INDEX(Documents!$C$5:$C$657,MATCH(H1861,Documents!$A$5:$A$657,0))="","",INDEX(Documents!$C$5:$C$657,MATCH(H1861,Documents!$A$5:$A$657,0))),"")</f>
        <v>2009</v>
      </c>
      <c r="J1861" s="25" t="str">
        <f aca="false">IFERROR(IF(INDEX(Documents!$D$5:$D$657,MATCH(H1861,Documents!$A$5:$A$657,0))="","",INDEX(Documents!$D$5:$D$657,MATCH(H1861,Documents!$A$5:$A$657,0))),"")</f>
        <v>J Med Chem</v>
      </c>
      <c r="K1861" s="25" t="str">
        <f aca="false">IFERROR(IF(INDEX(Documents!$G$5:$G$657,MATCH(H1861,Documents!$A$5:$A$657,0))="","",INDEX(Documents!$G$5:$G$657,MATCH(H1861,Documents!$A$5:$A$657,0))),"")</f>
        <v>10.1021/jm8016255</v>
      </c>
      <c r="L1861" s="25" t="s">
        <v>1046</v>
      </c>
    </row>
    <row r="1862" customFormat="false" ht="15" hidden="false" customHeight="false" outlineLevel="0" collapsed="false">
      <c r="A1862" s="25" t="n">
        <v>2422686</v>
      </c>
      <c r="B1862" s="25" t="s">
        <v>4142</v>
      </c>
      <c r="C1862" s="25" t="s">
        <v>4143</v>
      </c>
      <c r="D1862" s="26" t="n">
        <v>1584.89</v>
      </c>
      <c r="E1862" s="27" t="n">
        <v>5.8000008748032</v>
      </c>
      <c r="F1862" s="27" t="n">
        <v>5.79524293013029</v>
      </c>
      <c r="G1862" s="25" t="s">
        <v>1044</v>
      </c>
      <c r="H1862" s="25" t="s">
        <v>1045</v>
      </c>
      <c r="I1862" s="25" t="n">
        <f aca="false">IFERROR(IF(INDEX(Documents!$C$5:$C$657,MATCH(H1862,Documents!$A$5:$A$657,0))="","",INDEX(Documents!$C$5:$C$657,MATCH(H1862,Documents!$A$5:$A$657,0))),"")</f>
        <v>2009</v>
      </c>
      <c r="J1862" s="25" t="str">
        <f aca="false">IFERROR(IF(INDEX(Documents!$D$5:$D$657,MATCH(H1862,Documents!$A$5:$A$657,0))="","",INDEX(Documents!$D$5:$D$657,MATCH(H1862,Documents!$A$5:$A$657,0))),"")</f>
        <v>J Med Chem</v>
      </c>
      <c r="K1862" s="25" t="str">
        <f aca="false">IFERROR(IF(INDEX(Documents!$G$5:$G$657,MATCH(H1862,Documents!$A$5:$A$657,0))="","",INDEX(Documents!$G$5:$G$657,MATCH(H1862,Documents!$A$5:$A$657,0))),"")</f>
        <v>10.1021/jm8016255</v>
      </c>
      <c r="L1862" s="25" t="s">
        <v>1046</v>
      </c>
    </row>
    <row r="1863" customFormat="false" ht="15" hidden="false" customHeight="false" outlineLevel="0" collapsed="false">
      <c r="A1863" s="25" t="n">
        <v>13405028</v>
      </c>
      <c r="B1863" s="25" t="s">
        <v>4144</v>
      </c>
      <c r="C1863" s="25" t="s">
        <v>4145</v>
      </c>
      <c r="D1863" s="26" t="n">
        <v>369</v>
      </c>
      <c r="E1863" s="27" t="n">
        <v>6.43297363384094</v>
      </c>
      <c r="F1863" s="27" t="n">
        <v>6.43297363384094</v>
      </c>
      <c r="G1863" s="25" t="s">
        <v>2692</v>
      </c>
      <c r="H1863" s="25" t="s">
        <v>2693</v>
      </c>
      <c r="I1863" s="25" t="n">
        <f aca="false">IFERROR(IF(INDEX(Documents!$C$5:$C$657,MATCH(H1863,Documents!$A$5:$A$657,0))="","",INDEX(Documents!$C$5:$C$657,MATCH(H1863,Documents!$A$5:$A$657,0))),"")</f>
        <v>2013</v>
      </c>
      <c r="J1863" s="25" t="str">
        <f aca="false">IFERROR(IF(INDEX(Documents!$D$5:$D$657,MATCH(H1863,Documents!$A$5:$A$657,0))="","",INDEX(Documents!$D$5:$D$657,MATCH(H1863,Documents!$A$5:$A$657,0))),"")</f>
        <v>Bioorg Med Chem</v>
      </c>
      <c r="K1863" s="25" t="str">
        <f aca="false">IFERROR(IF(INDEX(Documents!$G$5:$G$657,MATCH(H1863,Documents!$A$5:$A$657,0))="","",INDEX(Documents!$G$5:$G$657,MATCH(H1863,Documents!$A$5:$A$657,0))),"")</f>
        <v>10.1016/j.bmc.2013.06.010</v>
      </c>
      <c r="L1863" s="25" t="s">
        <v>2694</v>
      </c>
    </row>
    <row r="1864" customFormat="false" ht="15" hidden="false" customHeight="false" outlineLevel="0" collapsed="false">
      <c r="A1864" s="25" t="n">
        <v>13912569</v>
      </c>
      <c r="B1864" s="25" t="s">
        <v>4146</v>
      </c>
      <c r="C1864" s="25" t="s">
        <v>4147</v>
      </c>
      <c r="D1864" s="26" t="n">
        <v>396</v>
      </c>
      <c r="E1864" s="27" t="n">
        <v>6.40230481407449</v>
      </c>
      <c r="F1864" s="27" t="n">
        <v>6.40230481407449</v>
      </c>
      <c r="G1864" s="25" t="s">
        <v>1717</v>
      </c>
      <c r="H1864" s="25" t="s">
        <v>1718</v>
      </c>
      <c r="I1864" s="25" t="n">
        <f aca="false">IFERROR(IF(INDEX(Documents!$C$5:$C$657,MATCH(H1864,Documents!$A$5:$A$657,0))="","",INDEX(Documents!$C$5:$C$657,MATCH(H1864,Documents!$A$5:$A$657,0))),"")</f>
        <v>2014</v>
      </c>
      <c r="J1864" s="25" t="str">
        <f aca="false">IFERROR(IF(INDEX(Documents!$D$5:$D$657,MATCH(H1864,Documents!$A$5:$A$657,0))="","",INDEX(Documents!$D$5:$D$657,MATCH(H1864,Documents!$A$5:$A$657,0))),"")</f>
        <v>Eur J Med Chem</v>
      </c>
      <c r="K1864" s="25" t="str">
        <f aca="false">IFERROR(IF(INDEX(Documents!$G$5:$G$657,MATCH(H1864,Documents!$A$5:$A$657,0))="","",INDEX(Documents!$G$5:$G$657,MATCH(H1864,Documents!$A$5:$A$657,0))),"")</f>
        <v>10.1016/j.ejmech.2013.10.070</v>
      </c>
      <c r="L1864" s="25" t="s">
        <v>1719</v>
      </c>
    </row>
    <row r="1865" customFormat="false" ht="15" hidden="false" customHeight="false" outlineLevel="0" collapsed="false">
      <c r="A1865" s="25" t="n">
        <v>18673903</v>
      </c>
      <c r="B1865" s="25" t="s">
        <v>4148</v>
      </c>
      <c r="C1865" s="25" t="s">
        <v>4149</v>
      </c>
      <c r="D1865" s="26" t="n">
        <v>500</v>
      </c>
      <c r="E1865" s="27" t="n">
        <v>6.30102999566398</v>
      </c>
      <c r="F1865" s="27" t="n">
        <v>6.30102999566398</v>
      </c>
      <c r="G1865" s="25" t="s">
        <v>664</v>
      </c>
      <c r="H1865" s="25" t="s">
        <v>665</v>
      </c>
      <c r="I1865" s="25" t="n">
        <f aca="false">IFERROR(IF(INDEX(Documents!$C$5:$C$657,MATCH(H1865,Documents!$A$5:$A$657,0))="","",INDEX(Documents!$C$5:$C$657,MATCH(H1865,Documents!$A$5:$A$657,0))),"")</f>
        <v>2018</v>
      </c>
      <c r="J1865" s="25" t="str">
        <f aca="false">IFERROR(IF(INDEX(Documents!$D$5:$D$657,MATCH(H1865,Documents!$A$5:$A$657,0))="","",INDEX(Documents!$D$5:$D$657,MATCH(H1865,Documents!$A$5:$A$657,0))),"")</f>
        <v>Bioorg Med Chem</v>
      </c>
      <c r="K1865" s="25" t="str">
        <f aca="false">IFERROR(IF(INDEX(Documents!$G$5:$G$657,MATCH(H1865,Documents!$A$5:$A$657,0))="","",INDEX(Documents!$G$5:$G$657,MATCH(H1865,Documents!$A$5:$A$657,0))),"")</f>
        <v>10.1016/j.bmc.2018.07.043</v>
      </c>
      <c r="L1865" s="25" t="s">
        <v>666</v>
      </c>
    </row>
    <row r="1866" customFormat="false" ht="15" hidden="false" customHeight="false" outlineLevel="0" collapsed="false">
      <c r="A1866" s="25" t="n">
        <v>24666747</v>
      </c>
      <c r="B1866" s="25" t="s">
        <v>4150</v>
      </c>
      <c r="C1866" s="25" t="s">
        <v>4151</v>
      </c>
      <c r="D1866" s="26" t="n">
        <v>368.22</v>
      </c>
      <c r="E1866" s="27" t="n">
        <v>6.43389262633242</v>
      </c>
      <c r="F1866" s="27" t="n">
        <v>6.43389262633242</v>
      </c>
      <c r="G1866" s="25" t="s">
        <v>397</v>
      </c>
      <c r="H1866" s="25" t="s">
        <v>398</v>
      </c>
      <c r="I1866" s="25" t="n">
        <f aca="false">IFERROR(IF(INDEX(Documents!$C$5:$C$657,MATCH(H1866,Documents!$A$5:$A$657,0))="","",INDEX(Documents!$C$5:$C$657,MATCH(H1866,Documents!$A$5:$A$657,0))),"")</f>
        <v>2021</v>
      </c>
      <c r="J1866" s="25" t="str">
        <f aca="false">IFERROR(IF(INDEX(Documents!$D$5:$D$657,MATCH(H1866,Documents!$A$5:$A$657,0))="","",INDEX(Documents!$D$5:$D$657,MATCH(H1866,Documents!$A$5:$A$657,0))),"")</f>
        <v>Eur J Med Chem</v>
      </c>
      <c r="K1866" s="25" t="str">
        <f aca="false">IFERROR(IF(INDEX(Documents!$G$5:$G$657,MATCH(H1866,Documents!$A$5:$A$657,0))="","",INDEX(Documents!$G$5:$G$657,MATCH(H1866,Documents!$A$5:$A$657,0))),"")</f>
        <v>10.1016/j.ejmech.2021.113878</v>
      </c>
      <c r="L1866" s="25" t="s">
        <v>399</v>
      </c>
    </row>
    <row r="1867" customFormat="false" ht="15" hidden="false" customHeight="false" outlineLevel="0" collapsed="false">
      <c r="A1867" s="25" t="n">
        <v>24666753</v>
      </c>
      <c r="B1867" s="25" t="s">
        <v>4152</v>
      </c>
      <c r="C1867" s="25" t="s">
        <v>4153</v>
      </c>
      <c r="D1867" s="26" t="n">
        <v>903.14</v>
      </c>
      <c r="E1867" s="27" t="n">
        <v>6.04424492242771</v>
      </c>
      <c r="F1867" s="27" t="n">
        <v>6.04424492242771</v>
      </c>
      <c r="G1867" s="25" t="s">
        <v>397</v>
      </c>
      <c r="H1867" s="25" t="s">
        <v>398</v>
      </c>
      <c r="I1867" s="25" t="n">
        <f aca="false">IFERROR(IF(INDEX(Documents!$C$5:$C$657,MATCH(H1867,Documents!$A$5:$A$657,0))="","",INDEX(Documents!$C$5:$C$657,MATCH(H1867,Documents!$A$5:$A$657,0))),"")</f>
        <v>2021</v>
      </c>
      <c r="J1867" s="25" t="str">
        <f aca="false">IFERROR(IF(INDEX(Documents!$D$5:$D$657,MATCH(H1867,Documents!$A$5:$A$657,0))="","",INDEX(Documents!$D$5:$D$657,MATCH(H1867,Documents!$A$5:$A$657,0))),"")</f>
        <v>Eur J Med Chem</v>
      </c>
      <c r="K1867" s="25" t="str">
        <f aca="false">IFERROR(IF(INDEX(Documents!$G$5:$G$657,MATCH(H1867,Documents!$A$5:$A$657,0))="","",INDEX(Documents!$G$5:$G$657,MATCH(H1867,Documents!$A$5:$A$657,0))),"")</f>
        <v>10.1016/j.ejmech.2021.113878</v>
      </c>
      <c r="L1867" s="25" t="s">
        <v>399</v>
      </c>
    </row>
    <row r="1868" customFormat="false" ht="15" hidden="false" customHeight="false" outlineLevel="0" collapsed="false">
      <c r="A1868" s="25" t="n">
        <v>24666748</v>
      </c>
      <c r="B1868" s="25" t="s">
        <v>4154</v>
      </c>
      <c r="C1868" s="25" t="s">
        <v>4155</v>
      </c>
      <c r="D1868" s="26" t="n">
        <v>31.39</v>
      </c>
      <c r="E1868" s="27" t="n">
        <v>7.50320868429996</v>
      </c>
      <c r="F1868" s="27" t="n">
        <v>7.50320868429996</v>
      </c>
      <c r="G1868" s="25" t="s">
        <v>397</v>
      </c>
      <c r="H1868" s="25" t="s">
        <v>398</v>
      </c>
      <c r="I1868" s="25" t="n">
        <f aca="false">IFERROR(IF(INDEX(Documents!$C$5:$C$657,MATCH(H1868,Documents!$A$5:$A$657,0))="","",INDEX(Documents!$C$5:$C$657,MATCH(H1868,Documents!$A$5:$A$657,0))),"")</f>
        <v>2021</v>
      </c>
      <c r="J1868" s="25" t="str">
        <f aca="false">IFERROR(IF(INDEX(Documents!$D$5:$D$657,MATCH(H1868,Documents!$A$5:$A$657,0))="","",INDEX(Documents!$D$5:$D$657,MATCH(H1868,Documents!$A$5:$A$657,0))),"")</f>
        <v>Eur J Med Chem</v>
      </c>
      <c r="K1868" s="25" t="str">
        <f aca="false">IFERROR(IF(INDEX(Documents!$G$5:$G$657,MATCH(H1868,Documents!$A$5:$A$657,0))="","",INDEX(Documents!$G$5:$G$657,MATCH(H1868,Documents!$A$5:$A$657,0))),"")</f>
        <v>10.1016/j.ejmech.2021.113878</v>
      </c>
      <c r="L1868" s="25" t="s">
        <v>399</v>
      </c>
    </row>
    <row r="1869" customFormat="false" ht="15" hidden="false" customHeight="false" outlineLevel="0" collapsed="false">
      <c r="A1869" s="25" t="n">
        <v>24666754</v>
      </c>
      <c r="B1869" s="25" t="s">
        <v>4156</v>
      </c>
      <c r="C1869" s="25" t="s">
        <v>4157</v>
      </c>
      <c r="D1869" s="26" t="n">
        <v>396.21</v>
      </c>
      <c r="E1869" s="27" t="n">
        <v>6.40207456743954</v>
      </c>
      <c r="F1869" s="27" t="n">
        <v>6.40207456743954</v>
      </c>
      <c r="G1869" s="25" t="s">
        <v>397</v>
      </c>
      <c r="H1869" s="25" t="s">
        <v>398</v>
      </c>
      <c r="I1869" s="25" t="n">
        <f aca="false">IFERROR(IF(INDEX(Documents!$C$5:$C$657,MATCH(H1869,Documents!$A$5:$A$657,0))="","",INDEX(Documents!$C$5:$C$657,MATCH(H1869,Documents!$A$5:$A$657,0))),"")</f>
        <v>2021</v>
      </c>
      <c r="J1869" s="25" t="str">
        <f aca="false">IFERROR(IF(INDEX(Documents!$D$5:$D$657,MATCH(H1869,Documents!$A$5:$A$657,0))="","",INDEX(Documents!$D$5:$D$657,MATCH(H1869,Documents!$A$5:$A$657,0))),"")</f>
        <v>Eur J Med Chem</v>
      </c>
      <c r="K1869" s="25" t="str">
        <f aca="false">IFERROR(IF(INDEX(Documents!$G$5:$G$657,MATCH(H1869,Documents!$A$5:$A$657,0))="","",INDEX(Documents!$G$5:$G$657,MATCH(H1869,Documents!$A$5:$A$657,0))),"")</f>
        <v>10.1016/j.ejmech.2021.113878</v>
      </c>
      <c r="L1869" s="25" t="s">
        <v>399</v>
      </c>
    </row>
    <row r="1870" customFormat="false" ht="15" hidden="false" customHeight="false" outlineLevel="0" collapsed="false">
      <c r="A1870" s="25" t="n">
        <v>24666749</v>
      </c>
      <c r="B1870" s="25" t="s">
        <v>4158</v>
      </c>
      <c r="C1870" s="25" t="s">
        <v>4159</v>
      </c>
      <c r="D1870" s="26" t="n">
        <v>63.54</v>
      </c>
      <c r="E1870" s="27" t="n">
        <v>7.19695278950887</v>
      </c>
      <c r="F1870" s="27" t="n">
        <v>7.19695278950887</v>
      </c>
      <c r="G1870" s="25" t="s">
        <v>397</v>
      </c>
      <c r="H1870" s="25" t="s">
        <v>398</v>
      </c>
      <c r="I1870" s="25" t="n">
        <f aca="false">IFERROR(IF(INDEX(Documents!$C$5:$C$657,MATCH(H1870,Documents!$A$5:$A$657,0))="","",INDEX(Documents!$C$5:$C$657,MATCH(H1870,Documents!$A$5:$A$657,0))),"")</f>
        <v>2021</v>
      </c>
      <c r="J1870" s="25" t="str">
        <f aca="false">IFERROR(IF(INDEX(Documents!$D$5:$D$657,MATCH(H1870,Documents!$A$5:$A$657,0))="","",INDEX(Documents!$D$5:$D$657,MATCH(H1870,Documents!$A$5:$A$657,0))),"")</f>
        <v>Eur J Med Chem</v>
      </c>
      <c r="K1870" s="25" t="str">
        <f aca="false">IFERROR(IF(INDEX(Documents!$G$5:$G$657,MATCH(H1870,Documents!$A$5:$A$657,0))="","",INDEX(Documents!$G$5:$G$657,MATCH(H1870,Documents!$A$5:$A$657,0))),"")</f>
        <v>10.1016/j.ejmech.2021.113878</v>
      </c>
      <c r="L1870" s="25" t="s">
        <v>399</v>
      </c>
    </row>
    <row r="1871" customFormat="false" ht="15" hidden="false" customHeight="false" outlineLevel="0" collapsed="false">
      <c r="A1871" s="25" t="n">
        <v>24666755</v>
      </c>
      <c r="B1871" s="25" t="s">
        <v>4160</v>
      </c>
      <c r="C1871" s="25" t="s">
        <v>4161</v>
      </c>
      <c r="D1871" s="26" t="n">
        <v>615.61</v>
      </c>
      <c r="E1871" s="27" t="n">
        <v>6.21069433408171</v>
      </c>
      <c r="F1871" s="27" t="n">
        <v>6.21069433408171</v>
      </c>
      <c r="G1871" s="25" t="s">
        <v>397</v>
      </c>
      <c r="H1871" s="25" t="s">
        <v>398</v>
      </c>
      <c r="I1871" s="25" t="n">
        <f aca="false">IFERROR(IF(INDEX(Documents!$C$5:$C$657,MATCH(H1871,Documents!$A$5:$A$657,0))="","",INDEX(Documents!$C$5:$C$657,MATCH(H1871,Documents!$A$5:$A$657,0))),"")</f>
        <v>2021</v>
      </c>
      <c r="J1871" s="25" t="str">
        <f aca="false">IFERROR(IF(INDEX(Documents!$D$5:$D$657,MATCH(H1871,Documents!$A$5:$A$657,0))="","",INDEX(Documents!$D$5:$D$657,MATCH(H1871,Documents!$A$5:$A$657,0))),"")</f>
        <v>Eur J Med Chem</v>
      </c>
      <c r="K1871" s="25" t="str">
        <f aca="false">IFERROR(IF(INDEX(Documents!$G$5:$G$657,MATCH(H1871,Documents!$A$5:$A$657,0))="","",INDEX(Documents!$G$5:$G$657,MATCH(H1871,Documents!$A$5:$A$657,0))),"")</f>
        <v>10.1016/j.ejmech.2021.113878</v>
      </c>
      <c r="L1871" s="25" t="s">
        <v>399</v>
      </c>
    </row>
    <row r="1872" customFormat="false" ht="15" hidden="false" customHeight="false" outlineLevel="0" collapsed="false">
      <c r="A1872" s="25" t="n">
        <v>24666738</v>
      </c>
      <c r="B1872" s="25" t="s">
        <v>4162</v>
      </c>
      <c r="C1872" s="25" t="s">
        <v>4163</v>
      </c>
      <c r="D1872" s="26" t="n">
        <v>0.65</v>
      </c>
      <c r="E1872" s="27" t="n">
        <v>9.18708664335714</v>
      </c>
      <c r="F1872" s="27" t="n">
        <v>9.18708664335714</v>
      </c>
      <c r="G1872" s="25" t="s">
        <v>397</v>
      </c>
      <c r="H1872" s="25" t="s">
        <v>398</v>
      </c>
      <c r="I1872" s="25" t="n">
        <f aca="false">IFERROR(IF(INDEX(Documents!$C$5:$C$657,MATCH(H1872,Documents!$A$5:$A$657,0))="","",INDEX(Documents!$C$5:$C$657,MATCH(H1872,Documents!$A$5:$A$657,0))),"")</f>
        <v>2021</v>
      </c>
      <c r="J1872" s="25" t="str">
        <f aca="false">IFERROR(IF(INDEX(Documents!$D$5:$D$657,MATCH(H1872,Documents!$A$5:$A$657,0))="","",INDEX(Documents!$D$5:$D$657,MATCH(H1872,Documents!$A$5:$A$657,0))),"")</f>
        <v>Eur J Med Chem</v>
      </c>
      <c r="K1872" s="25" t="str">
        <f aca="false">IFERROR(IF(INDEX(Documents!$G$5:$G$657,MATCH(H1872,Documents!$A$5:$A$657,0))="","",INDEX(Documents!$G$5:$G$657,MATCH(H1872,Documents!$A$5:$A$657,0))),"")</f>
        <v>10.1016/j.ejmech.2021.113878</v>
      </c>
      <c r="L1872" s="25" t="s">
        <v>399</v>
      </c>
    </row>
    <row r="1873" customFormat="false" ht="15" hidden="false" customHeight="false" outlineLevel="0" collapsed="false">
      <c r="A1873" s="25" t="n">
        <v>24666734</v>
      </c>
      <c r="B1873" s="25" t="s">
        <v>4164</v>
      </c>
      <c r="C1873" s="25" t="s">
        <v>4165</v>
      </c>
      <c r="D1873" s="26" t="n">
        <v>1.48</v>
      </c>
      <c r="E1873" s="27" t="n">
        <v>8.82973828460504</v>
      </c>
      <c r="F1873" s="27" t="n">
        <v>8.82973828460504</v>
      </c>
      <c r="G1873" s="25" t="s">
        <v>397</v>
      </c>
      <c r="H1873" s="25" t="s">
        <v>398</v>
      </c>
      <c r="I1873" s="25" t="n">
        <f aca="false">IFERROR(IF(INDEX(Documents!$C$5:$C$657,MATCH(H1873,Documents!$A$5:$A$657,0))="","",INDEX(Documents!$C$5:$C$657,MATCH(H1873,Documents!$A$5:$A$657,0))),"")</f>
        <v>2021</v>
      </c>
      <c r="J1873" s="25" t="str">
        <f aca="false">IFERROR(IF(INDEX(Documents!$D$5:$D$657,MATCH(H1873,Documents!$A$5:$A$657,0))="","",INDEX(Documents!$D$5:$D$657,MATCH(H1873,Documents!$A$5:$A$657,0))),"")</f>
        <v>Eur J Med Chem</v>
      </c>
      <c r="K1873" s="25" t="str">
        <f aca="false">IFERROR(IF(INDEX(Documents!$G$5:$G$657,MATCH(H1873,Documents!$A$5:$A$657,0))="","",INDEX(Documents!$G$5:$G$657,MATCH(H1873,Documents!$A$5:$A$657,0))),"")</f>
        <v>10.1016/j.ejmech.2021.113878</v>
      </c>
      <c r="L1873" s="25" t="s">
        <v>399</v>
      </c>
    </row>
    <row r="1874" customFormat="false" ht="15" hidden="false" customHeight="false" outlineLevel="0" collapsed="false">
      <c r="A1874" s="25" t="n">
        <v>24666736</v>
      </c>
      <c r="B1874" s="25" t="s">
        <v>4166</v>
      </c>
      <c r="C1874" s="25" t="s">
        <v>4167</v>
      </c>
      <c r="D1874" s="26" t="n">
        <v>5.01</v>
      </c>
      <c r="E1874" s="27" t="n">
        <v>8.30016227413275</v>
      </c>
      <c r="F1874" s="27" t="n">
        <v>8.30016227413275</v>
      </c>
      <c r="G1874" s="25" t="s">
        <v>397</v>
      </c>
      <c r="H1874" s="25" t="s">
        <v>398</v>
      </c>
      <c r="I1874" s="25" t="n">
        <f aca="false">IFERROR(IF(INDEX(Documents!$C$5:$C$657,MATCH(H1874,Documents!$A$5:$A$657,0))="","",INDEX(Documents!$C$5:$C$657,MATCH(H1874,Documents!$A$5:$A$657,0))),"")</f>
        <v>2021</v>
      </c>
      <c r="J1874" s="25" t="str">
        <f aca="false">IFERROR(IF(INDEX(Documents!$D$5:$D$657,MATCH(H1874,Documents!$A$5:$A$657,0))="","",INDEX(Documents!$D$5:$D$657,MATCH(H1874,Documents!$A$5:$A$657,0))),"")</f>
        <v>Eur J Med Chem</v>
      </c>
      <c r="K1874" s="25" t="str">
        <f aca="false">IFERROR(IF(INDEX(Documents!$G$5:$G$657,MATCH(H1874,Documents!$A$5:$A$657,0))="","",INDEX(Documents!$G$5:$G$657,MATCH(H1874,Documents!$A$5:$A$657,0))),"")</f>
        <v>10.1016/j.ejmech.2021.113878</v>
      </c>
      <c r="L1874" s="25" t="s">
        <v>399</v>
      </c>
    </row>
    <row r="1875" customFormat="false" ht="15" hidden="false" customHeight="false" outlineLevel="0" collapsed="false">
      <c r="A1875" s="25" t="n">
        <v>24666740</v>
      </c>
      <c r="B1875" s="25" t="s">
        <v>4168</v>
      </c>
      <c r="C1875" s="25" t="s">
        <v>4169</v>
      </c>
      <c r="D1875" s="26" t="n">
        <v>3.49</v>
      </c>
      <c r="E1875" s="27" t="n">
        <v>8.45717457304082</v>
      </c>
      <c r="F1875" s="27" t="n">
        <v>8.45717457304082</v>
      </c>
      <c r="G1875" s="25" t="s">
        <v>397</v>
      </c>
      <c r="H1875" s="25" t="s">
        <v>398</v>
      </c>
      <c r="I1875" s="25" t="n">
        <f aca="false">IFERROR(IF(INDEX(Documents!$C$5:$C$657,MATCH(H1875,Documents!$A$5:$A$657,0))="","",INDEX(Documents!$C$5:$C$657,MATCH(H1875,Documents!$A$5:$A$657,0))),"")</f>
        <v>2021</v>
      </c>
      <c r="J1875" s="25" t="str">
        <f aca="false">IFERROR(IF(INDEX(Documents!$D$5:$D$657,MATCH(H1875,Documents!$A$5:$A$657,0))="","",INDEX(Documents!$D$5:$D$657,MATCH(H1875,Documents!$A$5:$A$657,0))),"")</f>
        <v>Eur J Med Chem</v>
      </c>
      <c r="K1875" s="25" t="str">
        <f aca="false">IFERROR(IF(INDEX(Documents!$G$5:$G$657,MATCH(H1875,Documents!$A$5:$A$657,0))="","",INDEX(Documents!$G$5:$G$657,MATCH(H1875,Documents!$A$5:$A$657,0))),"")</f>
        <v>10.1016/j.ejmech.2021.113878</v>
      </c>
      <c r="L1875" s="25" t="s">
        <v>399</v>
      </c>
    </row>
    <row r="1876" customFormat="false" ht="15" hidden="false" customHeight="false" outlineLevel="0" collapsed="false">
      <c r="A1876" s="25" t="n">
        <v>24666742</v>
      </c>
      <c r="B1876" s="25" t="s">
        <v>4170</v>
      </c>
      <c r="C1876" s="25" t="s">
        <v>4171</v>
      </c>
      <c r="D1876" s="26" t="n">
        <v>226.7</v>
      </c>
      <c r="E1876" s="27" t="n">
        <v>6.64454847987348</v>
      </c>
      <c r="F1876" s="27" t="n">
        <v>6.64454847987348</v>
      </c>
      <c r="G1876" s="25" t="s">
        <v>397</v>
      </c>
      <c r="H1876" s="25" t="s">
        <v>398</v>
      </c>
      <c r="I1876" s="25" t="n">
        <f aca="false">IFERROR(IF(INDEX(Documents!$C$5:$C$657,MATCH(H1876,Documents!$A$5:$A$657,0))="","",INDEX(Documents!$C$5:$C$657,MATCH(H1876,Documents!$A$5:$A$657,0))),"")</f>
        <v>2021</v>
      </c>
      <c r="J1876" s="25" t="str">
        <f aca="false">IFERROR(IF(INDEX(Documents!$D$5:$D$657,MATCH(H1876,Documents!$A$5:$A$657,0))="","",INDEX(Documents!$D$5:$D$657,MATCH(H1876,Documents!$A$5:$A$657,0))),"")</f>
        <v>Eur J Med Chem</v>
      </c>
      <c r="K1876" s="25" t="str">
        <f aca="false">IFERROR(IF(INDEX(Documents!$G$5:$G$657,MATCH(H1876,Documents!$A$5:$A$657,0))="","",INDEX(Documents!$G$5:$G$657,MATCH(H1876,Documents!$A$5:$A$657,0))),"")</f>
        <v>10.1016/j.ejmech.2021.113878</v>
      </c>
      <c r="L1876" s="25" t="s">
        <v>399</v>
      </c>
    </row>
    <row r="1877" customFormat="false" ht="15" hidden="false" customHeight="false" outlineLevel="0" collapsed="false">
      <c r="A1877" s="25" t="n">
        <v>6309530</v>
      </c>
      <c r="B1877" s="25" t="s">
        <v>4172</v>
      </c>
      <c r="C1877" s="25" t="s">
        <v>4173</v>
      </c>
      <c r="D1877" s="26" t="n">
        <v>133</v>
      </c>
      <c r="E1877" s="27" t="n">
        <v>6.87614835903291</v>
      </c>
      <c r="F1877" s="27" t="n">
        <v>6.87614835903291</v>
      </c>
      <c r="G1877" s="25" t="s">
        <v>1917</v>
      </c>
      <c r="H1877" s="25" t="s">
        <v>1918</v>
      </c>
      <c r="I1877" s="25" t="n">
        <f aca="false">IFERROR(IF(INDEX(Documents!$C$5:$C$657,MATCH(H1877,Documents!$A$5:$A$657,0))="","",INDEX(Documents!$C$5:$C$657,MATCH(H1877,Documents!$A$5:$A$657,0))),"")</f>
        <v>2011</v>
      </c>
      <c r="J1877" s="25" t="str">
        <f aca="false">IFERROR(IF(INDEX(Documents!$D$5:$D$657,MATCH(H1877,Documents!$A$5:$A$657,0))="","",INDEX(Documents!$D$5:$D$657,MATCH(H1877,Documents!$A$5:$A$657,0))),"")</f>
        <v>J Med Chem</v>
      </c>
      <c r="K1877" s="25" t="str">
        <f aca="false">IFERROR(IF(INDEX(Documents!$G$5:$G$657,MATCH(H1877,Documents!$A$5:$A$657,0))="","",INDEX(Documents!$G$5:$G$657,MATCH(H1877,Documents!$A$5:$A$657,0))),"")</f>
        <v>10.1021/jm200476p</v>
      </c>
      <c r="L1877" s="25" t="s">
        <v>676</v>
      </c>
    </row>
    <row r="1878" customFormat="false" ht="15" hidden="false" customHeight="false" outlineLevel="0" collapsed="false">
      <c r="A1878" s="25" t="n">
        <v>6309529</v>
      </c>
      <c r="B1878" s="25" t="s">
        <v>4174</v>
      </c>
      <c r="C1878" s="25" t="s">
        <v>4175</v>
      </c>
      <c r="D1878" s="26" t="n">
        <v>1180</v>
      </c>
      <c r="E1878" s="27" t="n">
        <v>5.92811799269387</v>
      </c>
      <c r="F1878" s="27" t="n">
        <v>5.92811799269387</v>
      </c>
      <c r="G1878" s="25" t="s">
        <v>1917</v>
      </c>
      <c r="H1878" s="25" t="s">
        <v>1918</v>
      </c>
      <c r="I1878" s="25" t="n">
        <f aca="false">IFERROR(IF(INDEX(Documents!$C$5:$C$657,MATCH(H1878,Documents!$A$5:$A$657,0))="","",INDEX(Documents!$C$5:$C$657,MATCH(H1878,Documents!$A$5:$A$657,0))),"")</f>
        <v>2011</v>
      </c>
      <c r="J1878" s="25" t="str">
        <f aca="false">IFERROR(IF(INDEX(Documents!$D$5:$D$657,MATCH(H1878,Documents!$A$5:$A$657,0))="","",INDEX(Documents!$D$5:$D$657,MATCH(H1878,Documents!$A$5:$A$657,0))),"")</f>
        <v>J Med Chem</v>
      </c>
      <c r="K1878" s="25" t="str">
        <f aca="false">IFERROR(IF(INDEX(Documents!$G$5:$G$657,MATCH(H1878,Documents!$A$5:$A$657,0))="","",INDEX(Documents!$G$5:$G$657,MATCH(H1878,Documents!$A$5:$A$657,0))),"")</f>
        <v>10.1021/jm200476p</v>
      </c>
      <c r="L1878" s="25" t="s">
        <v>676</v>
      </c>
    </row>
    <row r="1879" customFormat="false" ht="15" hidden="false" customHeight="false" outlineLevel="0" collapsed="false">
      <c r="A1879" s="25" t="n">
        <v>3102062</v>
      </c>
      <c r="B1879" s="25" t="s">
        <v>4176</v>
      </c>
      <c r="C1879" s="25" t="s">
        <v>4177</v>
      </c>
      <c r="D1879" s="26" t="n">
        <v>9.8</v>
      </c>
      <c r="E1879" s="27" t="n">
        <v>8.00877392430751</v>
      </c>
      <c r="F1879" s="27" t="n">
        <v>8.00877392430751</v>
      </c>
      <c r="G1879" s="25" t="s">
        <v>4178</v>
      </c>
      <c r="H1879" s="25" t="s">
        <v>4179</v>
      </c>
      <c r="I1879" s="25" t="n">
        <f aca="false">IFERROR(IF(INDEX(Documents!$C$5:$C$657,MATCH(H1879,Documents!$A$5:$A$657,0))="","",INDEX(Documents!$C$5:$C$657,MATCH(H1879,Documents!$A$5:$A$657,0))),"")</f>
        <v>2010</v>
      </c>
      <c r="J1879" s="25" t="str">
        <f aca="false">IFERROR(IF(INDEX(Documents!$D$5:$D$657,MATCH(H1879,Documents!$A$5:$A$657,0))="","",INDEX(Documents!$D$5:$D$657,MATCH(H1879,Documents!$A$5:$A$657,0))),"")</f>
        <v>Bioorg Med Chem Lett</v>
      </c>
      <c r="K1879" s="25" t="str">
        <f aca="false">IFERROR(IF(INDEX(Documents!$G$5:$G$657,MATCH(H1879,Documents!$A$5:$A$657,0))="","",INDEX(Documents!$G$5:$G$657,MATCH(H1879,Documents!$A$5:$A$657,0))),"")</f>
        <v>10.1016/j.bmcl.2009.12.032</v>
      </c>
      <c r="L1879" s="25" t="s">
        <v>659</v>
      </c>
    </row>
    <row r="1880" customFormat="false" ht="15" hidden="false" customHeight="false" outlineLevel="0" collapsed="false">
      <c r="A1880" s="25" t="n">
        <v>16576929</v>
      </c>
      <c r="B1880" s="25" t="s">
        <v>4180</v>
      </c>
      <c r="C1880" s="25" t="s">
        <v>4181</v>
      </c>
      <c r="D1880" s="26" t="n">
        <v>166</v>
      </c>
      <c r="E1880" s="27" t="n">
        <v>6.77989191195995</v>
      </c>
      <c r="F1880" s="27" t="n">
        <v>6.77989191195995</v>
      </c>
      <c r="G1880" s="25" t="s">
        <v>548</v>
      </c>
      <c r="H1880" s="25" t="s">
        <v>549</v>
      </c>
      <c r="I1880" s="25" t="n">
        <f aca="false">IFERROR(IF(INDEX(Documents!$C$5:$C$657,MATCH(H1880,Documents!$A$5:$A$657,0))="","",INDEX(Documents!$C$5:$C$657,MATCH(H1880,Documents!$A$5:$A$657,0))),"")</f>
        <v>2016</v>
      </c>
      <c r="J1880" s="25" t="str">
        <f aca="false">IFERROR(IF(INDEX(Documents!$D$5:$D$657,MATCH(H1880,Documents!$A$5:$A$657,0))="","",INDEX(Documents!$D$5:$D$657,MATCH(H1880,Documents!$A$5:$A$657,0))),"")</f>
        <v>Eur J Med Chem</v>
      </c>
      <c r="K1880" s="25" t="str">
        <f aca="false">IFERROR(IF(INDEX(Documents!$G$5:$G$657,MATCH(H1880,Documents!$A$5:$A$657,0))="","",INDEX(Documents!$G$5:$G$657,MATCH(H1880,Documents!$A$5:$A$657,0))),"")</f>
        <v>10.1016/j.ejmech.2016.03.072</v>
      </c>
      <c r="L1880" s="25" t="s">
        <v>550</v>
      </c>
    </row>
    <row r="1881" customFormat="false" ht="15" hidden="false" customHeight="false" outlineLevel="0" collapsed="false">
      <c r="A1881" s="25" t="n">
        <v>16576927</v>
      </c>
      <c r="B1881" s="25" t="s">
        <v>4182</v>
      </c>
      <c r="C1881" s="25" t="s">
        <v>4183</v>
      </c>
      <c r="D1881" s="26" t="n">
        <v>1413</v>
      </c>
      <c r="E1881" s="27" t="n">
        <v>5.84985783815144</v>
      </c>
      <c r="F1881" s="27" t="n">
        <v>5.84985783815144</v>
      </c>
      <c r="G1881" s="25" t="s">
        <v>548</v>
      </c>
      <c r="H1881" s="25" t="s">
        <v>549</v>
      </c>
      <c r="I1881" s="25" t="n">
        <f aca="false">IFERROR(IF(INDEX(Documents!$C$5:$C$657,MATCH(H1881,Documents!$A$5:$A$657,0))="","",INDEX(Documents!$C$5:$C$657,MATCH(H1881,Documents!$A$5:$A$657,0))),"")</f>
        <v>2016</v>
      </c>
      <c r="J1881" s="25" t="str">
        <f aca="false">IFERROR(IF(INDEX(Documents!$D$5:$D$657,MATCH(H1881,Documents!$A$5:$A$657,0))="","",INDEX(Documents!$D$5:$D$657,MATCH(H1881,Documents!$A$5:$A$657,0))),"")</f>
        <v>Eur J Med Chem</v>
      </c>
      <c r="K1881" s="25" t="str">
        <f aca="false">IFERROR(IF(INDEX(Documents!$G$5:$G$657,MATCH(H1881,Documents!$A$5:$A$657,0))="","",INDEX(Documents!$G$5:$G$657,MATCH(H1881,Documents!$A$5:$A$657,0))),"")</f>
        <v>10.1016/j.ejmech.2016.03.072</v>
      </c>
      <c r="L1881" s="25" t="s">
        <v>550</v>
      </c>
    </row>
    <row r="1882" customFormat="false" ht="15" hidden="false" customHeight="false" outlineLevel="0" collapsed="false">
      <c r="A1882" s="25" t="n">
        <v>16576928</v>
      </c>
      <c r="B1882" s="25" t="s">
        <v>4184</v>
      </c>
      <c r="C1882" s="25" t="s">
        <v>4185</v>
      </c>
      <c r="D1882" s="26" t="n">
        <v>1763</v>
      </c>
      <c r="E1882" s="27" t="n">
        <v>5.75374768770068</v>
      </c>
      <c r="F1882" s="27" t="n">
        <v>5.75374768770068</v>
      </c>
      <c r="G1882" s="25" t="s">
        <v>548</v>
      </c>
      <c r="H1882" s="25" t="s">
        <v>549</v>
      </c>
      <c r="I1882" s="25" t="n">
        <f aca="false">IFERROR(IF(INDEX(Documents!$C$5:$C$657,MATCH(H1882,Documents!$A$5:$A$657,0))="","",INDEX(Documents!$C$5:$C$657,MATCH(H1882,Documents!$A$5:$A$657,0))),"")</f>
        <v>2016</v>
      </c>
      <c r="J1882" s="25" t="str">
        <f aca="false">IFERROR(IF(INDEX(Documents!$D$5:$D$657,MATCH(H1882,Documents!$A$5:$A$657,0))="","",INDEX(Documents!$D$5:$D$657,MATCH(H1882,Documents!$A$5:$A$657,0))),"")</f>
        <v>Eur J Med Chem</v>
      </c>
      <c r="K1882" s="25" t="str">
        <f aca="false">IFERROR(IF(INDEX(Documents!$G$5:$G$657,MATCH(H1882,Documents!$A$5:$A$657,0))="","",INDEX(Documents!$G$5:$G$657,MATCH(H1882,Documents!$A$5:$A$657,0))),"")</f>
        <v>10.1016/j.ejmech.2016.03.072</v>
      </c>
      <c r="L1882" s="25" t="s">
        <v>550</v>
      </c>
    </row>
    <row r="1883" customFormat="false" ht="15" hidden="false" customHeight="false" outlineLevel="0" collapsed="false">
      <c r="A1883" s="25" t="n">
        <v>15156855</v>
      </c>
      <c r="B1883" s="25" t="s">
        <v>4186</v>
      </c>
      <c r="C1883" s="25" t="s">
        <v>4187</v>
      </c>
      <c r="D1883" s="26" t="n">
        <v>22</v>
      </c>
      <c r="E1883" s="27" t="n">
        <v>7.65757731917779</v>
      </c>
      <c r="F1883" s="27" t="n">
        <v>7.65757731917779</v>
      </c>
      <c r="G1883" s="25" t="s">
        <v>4188</v>
      </c>
      <c r="H1883" s="25" t="s">
        <v>4189</v>
      </c>
      <c r="I1883" s="25" t="n">
        <f aca="false">IFERROR(IF(INDEX(Documents!$C$5:$C$657,MATCH(H1883,Documents!$A$5:$A$657,0))="","",INDEX(Documents!$C$5:$C$657,MATCH(H1883,Documents!$A$5:$A$657,0))),"")</f>
        <v>2015</v>
      </c>
      <c r="J1883" s="25" t="str">
        <f aca="false">IFERROR(IF(INDEX(Documents!$D$5:$D$657,MATCH(H1883,Documents!$A$5:$A$657,0))="","",INDEX(Documents!$D$5:$D$657,MATCH(H1883,Documents!$A$5:$A$657,0))),"")</f>
        <v>Eur J Med Chem</v>
      </c>
      <c r="K1883" s="25" t="str">
        <f aca="false">IFERROR(IF(INDEX(Documents!$G$5:$G$657,MATCH(H1883,Documents!$A$5:$A$657,0))="","",INDEX(Documents!$G$5:$G$657,MATCH(H1883,Documents!$A$5:$A$657,0))),"")</f>
        <v>10.1016/j.ejmech.2014.11.066</v>
      </c>
      <c r="L1883" s="25" t="s">
        <v>1719</v>
      </c>
    </row>
    <row r="1884" customFormat="false" ht="15" hidden="false" customHeight="false" outlineLevel="0" collapsed="false">
      <c r="A1884" s="25" t="n">
        <v>15156854</v>
      </c>
      <c r="B1884" s="25" t="s">
        <v>4190</v>
      </c>
      <c r="C1884" s="25" t="s">
        <v>4191</v>
      </c>
      <c r="D1884" s="26" t="n">
        <v>143</v>
      </c>
      <c r="E1884" s="27" t="n">
        <v>6.84466396253494</v>
      </c>
      <c r="F1884" s="27" t="n">
        <v>6.84466396253494</v>
      </c>
      <c r="G1884" s="25" t="s">
        <v>4188</v>
      </c>
      <c r="H1884" s="25" t="s">
        <v>4189</v>
      </c>
      <c r="I1884" s="25" t="n">
        <f aca="false">IFERROR(IF(INDEX(Documents!$C$5:$C$657,MATCH(H1884,Documents!$A$5:$A$657,0))="","",INDEX(Documents!$C$5:$C$657,MATCH(H1884,Documents!$A$5:$A$657,0))),"")</f>
        <v>2015</v>
      </c>
      <c r="J1884" s="25" t="str">
        <f aca="false">IFERROR(IF(INDEX(Documents!$D$5:$D$657,MATCH(H1884,Documents!$A$5:$A$657,0))="","",INDEX(Documents!$D$5:$D$657,MATCH(H1884,Documents!$A$5:$A$657,0))),"")</f>
        <v>Eur J Med Chem</v>
      </c>
      <c r="K1884" s="25" t="str">
        <f aca="false">IFERROR(IF(INDEX(Documents!$G$5:$G$657,MATCH(H1884,Documents!$A$5:$A$657,0))="","",INDEX(Documents!$G$5:$G$657,MATCH(H1884,Documents!$A$5:$A$657,0))),"")</f>
        <v>10.1016/j.ejmech.2014.11.066</v>
      </c>
      <c r="L1884" s="25" t="s">
        <v>1719</v>
      </c>
    </row>
    <row r="1885" customFormat="false" ht="15" hidden="false" customHeight="false" outlineLevel="0" collapsed="false">
      <c r="A1885" s="25" t="n">
        <v>16576932</v>
      </c>
      <c r="B1885" s="25" t="s">
        <v>4192</v>
      </c>
      <c r="C1885" s="25" t="s">
        <v>4193</v>
      </c>
      <c r="D1885" s="26" t="n">
        <v>352</v>
      </c>
      <c r="E1885" s="27" t="n">
        <v>6.45345733652187</v>
      </c>
      <c r="F1885" s="27" t="n">
        <v>6.45345733652187</v>
      </c>
      <c r="G1885" s="25" t="s">
        <v>548</v>
      </c>
      <c r="H1885" s="25" t="s">
        <v>549</v>
      </c>
      <c r="I1885" s="25" t="n">
        <f aca="false">IFERROR(IF(INDEX(Documents!$C$5:$C$657,MATCH(H1885,Documents!$A$5:$A$657,0))="","",INDEX(Documents!$C$5:$C$657,MATCH(H1885,Documents!$A$5:$A$657,0))),"")</f>
        <v>2016</v>
      </c>
      <c r="J1885" s="25" t="str">
        <f aca="false">IFERROR(IF(INDEX(Documents!$D$5:$D$657,MATCH(H1885,Documents!$A$5:$A$657,0))="","",INDEX(Documents!$D$5:$D$657,MATCH(H1885,Documents!$A$5:$A$657,0))),"")</f>
        <v>Eur J Med Chem</v>
      </c>
      <c r="K1885" s="25" t="str">
        <f aca="false">IFERROR(IF(INDEX(Documents!$G$5:$G$657,MATCH(H1885,Documents!$A$5:$A$657,0))="","",INDEX(Documents!$G$5:$G$657,MATCH(H1885,Documents!$A$5:$A$657,0))),"")</f>
        <v>10.1016/j.ejmech.2016.03.072</v>
      </c>
      <c r="L1885" s="25" t="s">
        <v>550</v>
      </c>
    </row>
    <row r="1886" customFormat="false" ht="15" hidden="false" customHeight="false" outlineLevel="0" collapsed="false">
      <c r="A1886" s="25" t="n">
        <v>16576930</v>
      </c>
      <c r="B1886" s="25" t="s">
        <v>4194</v>
      </c>
      <c r="C1886" s="25" t="s">
        <v>4195</v>
      </c>
      <c r="D1886" s="26" t="n">
        <v>1262</v>
      </c>
      <c r="E1886" s="27" t="n">
        <v>5.89894064509188</v>
      </c>
      <c r="F1886" s="27" t="n">
        <v>5.89894064509188</v>
      </c>
      <c r="G1886" s="25" t="s">
        <v>548</v>
      </c>
      <c r="H1886" s="25" t="s">
        <v>549</v>
      </c>
      <c r="I1886" s="25" t="n">
        <f aca="false">IFERROR(IF(INDEX(Documents!$C$5:$C$657,MATCH(H1886,Documents!$A$5:$A$657,0))="","",INDEX(Documents!$C$5:$C$657,MATCH(H1886,Documents!$A$5:$A$657,0))),"")</f>
        <v>2016</v>
      </c>
      <c r="J1886" s="25" t="str">
        <f aca="false">IFERROR(IF(INDEX(Documents!$D$5:$D$657,MATCH(H1886,Documents!$A$5:$A$657,0))="","",INDEX(Documents!$D$5:$D$657,MATCH(H1886,Documents!$A$5:$A$657,0))),"")</f>
        <v>Eur J Med Chem</v>
      </c>
      <c r="K1886" s="25" t="str">
        <f aca="false">IFERROR(IF(INDEX(Documents!$G$5:$G$657,MATCH(H1886,Documents!$A$5:$A$657,0))="","",INDEX(Documents!$G$5:$G$657,MATCH(H1886,Documents!$A$5:$A$657,0))),"")</f>
        <v>10.1016/j.ejmech.2016.03.072</v>
      </c>
      <c r="L1886" s="25" t="s">
        <v>550</v>
      </c>
    </row>
    <row r="1887" customFormat="false" ht="15" hidden="false" customHeight="false" outlineLevel="0" collapsed="false">
      <c r="A1887" s="25" t="n">
        <v>16576931</v>
      </c>
      <c r="B1887" s="25" t="s">
        <v>4196</v>
      </c>
      <c r="C1887" s="25" t="s">
        <v>4197</v>
      </c>
      <c r="D1887" s="26" t="n">
        <v>2390</v>
      </c>
      <c r="E1887" s="27" t="n">
        <v>5.62160209905186</v>
      </c>
      <c r="F1887" s="27" t="n">
        <v>5.62160209905186</v>
      </c>
      <c r="G1887" s="25" t="s">
        <v>548</v>
      </c>
      <c r="H1887" s="25" t="s">
        <v>549</v>
      </c>
      <c r="I1887" s="25" t="n">
        <f aca="false">IFERROR(IF(INDEX(Documents!$C$5:$C$657,MATCH(H1887,Documents!$A$5:$A$657,0))="","",INDEX(Documents!$C$5:$C$657,MATCH(H1887,Documents!$A$5:$A$657,0))),"")</f>
        <v>2016</v>
      </c>
      <c r="J1887" s="25" t="str">
        <f aca="false">IFERROR(IF(INDEX(Documents!$D$5:$D$657,MATCH(H1887,Documents!$A$5:$A$657,0))="","",INDEX(Documents!$D$5:$D$657,MATCH(H1887,Documents!$A$5:$A$657,0))),"")</f>
        <v>Eur J Med Chem</v>
      </c>
      <c r="K1887" s="25" t="str">
        <f aca="false">IFERROR(IF(INDEX(Documents!$G$5:$G$657,MATCH(H1887,Documents!$A$5:$A$657,0))="","",INDEX(Documents!$G$5:$G$657,MATCH(H1887,Documents!$A$5:$A$657,0))),"")</f>
        <v>10.1016/j.ejmech.2016.03.072</v>
      </c>
      <c r="L1887" s="25" t="s">
        <v>550</v>
      </c>
    </row>
    <row r="1888" customFormat="false" ht="15" hidden="false" customHeight="false" outlineLevel="0" collapsed="false">
      <c r="A1888" s="25" t="n">
        <v>19004774</v>
      </c>
      <c r="B1888" s="25" t="s">
        <v>4198</v>
      </c>
      <c r="C1888" s="25" t="s">
        <v>4199</v>
      </c>
      <c r="D1888" s="26" t="n">
        <v>51</v>
      </c>
      <c r="E1888" s="27" t="n">
        <v>7.29242982390206</v>
      </c>
      <c r="F1888" s="27" t="n">
        <v>7.29242982390206</v>
      </c>
      <c r="G1888" s="25" t="s">
        <v>4200</v>
      </c>
      <c r="H1888" s="25" t="s">
        <v>4201</v>
      </c>
      <c r="I1888" s="25" t="n">
        <f aca="false">IFERROR(IF(INDEX(Documents!$C$5:$C$657,MATCH(H1888,Documents!$A$5:$A$657,0))="","",INDEX(Documents!$C$5:$C$657,MATCH(H1888,Documents!$A$5:$A$657,0))),"")</f>
        <v>2020</v>
      </c>
      <c r="J1888" s="25" t="str">
        <f aca="false">IFERROR(IF(INDEX(Documents!$D$5:$D$657,MATCH(H1888,Documents!$A$5:$A$657,0))="","",INDEX(Documents!$D$5:$D$657,MATCH(H1888,Documents!$A$5:$A$657,0))),"")</f>
        <v>J Nat Prod</v>
      </c>
      <c r="K1888" s="25" t="str">
        <f aca="false">IFERROR(IF(INDEX(Documents!$G$5:$G$657,MATCH(H1888,Documents!$A$5:$A$657,0))="","",INDEX(Documents!$G$5:$G$657,MATCH(H1888,Documents!$A$5:$A$657,0))),"")</f>
        <v>10.1021/acs.jnatprod.9b00876</v>
      </c>
      <c r="L1888" s="25" t="s">
        <v>4202</v>
      </c>
    </row>
    <row r="1889" customFormat="false" ht="15" hidden="false" customHeight="false" outlineLevel="0" collapsed="false">
      <c r="A1889" s="25" t="n">
        <v>23303545</v>
      </c>
      <c r="B1889" s="25" t="s">
        <v>4203</v>
      </c>
      <c r="C1889" s="25" t="s">
        <v>4204</v>
      </c>
      <c r="D1889" s="26" t="n">
        <v>13.8</v>
      </c>
      <c r="E1889" s="27" t="n">
        <v>7.86012091359876</v>
      </c>
      <c r="F1889" s="27" t="n">
        <v>7.86170017322118</v>
      </c>
      <c r="G1889" s="25" t="s">
        <v>1996</v>
      </c>
      <c r="H1889" s="25" t="s">
        <v>1997</v>
      </c>
      <c r="I1889" s="25" t="n">
        <f aca="false">IFERROR(IF(INDEX(Documents!$C$5:$C$657,MATCH(H1889,Documents!$A$5:$A$657,0))="","",INDEX(Documents!$C$5:$C$657,MATCH(H1889,Documents!$A$5:$A$657,0))),"")</f>
        <v>2021</v>
      </c>
      <c r="J1889" s="25" t="str">
        <f aca="false">IFERROR(IF(INDEX(Documents!$D$5:$D$657,MATCH(H1889,Documents!$A$5:$A$657,0))="","",INDEX(Documents!$D$5:$D$657,MATCH(H1889,Documents!$A$5:$A$657,0))),"")</f>
        <v>Eur J Med Chem</v>
      </c>
      <c r="K1889" s="25" t="str">
        <f aca="false">IFERROR(IF(INDEX(Documents!$G$5:$G$657,MATCH(H1889,Documents!$A$5:$A$657,0))="","",INDEX(Documents!$G$5:$G$657,MATCH(H1889,Documents!$A$5:$A$657,0))),"")</f>
        <v>10.1016/j.ejmech.2021.113354</v>
      </c>
      <c r="L1889" s="25" t="s">
        <v>1998</v>
      </c>
    </row>
    <row r="1890" customFormat="false" ht="15" hidden="false" customHeight="false" outlineLevel="0" collapsed="false">
      <c r="A1890" s="25" t="n">
        <v>23303568</v>
      </c>
      <c r="B1890" s="25" t="s">
        <v>4203</v>
      </c>
      <c r="C1890" s="25" t="s">
        <v>4204</v>
      </c>
      <c r="D1890" s="26" t="n">
        <v>13.7</v>
      </c>
      <c r="E1890" s="27" t="n">
        <v>7.86327943284359</v>
      </c>
      <c r="F1890" s="27" t="n">
        <v>7.86170017322118</v>
      </c>
      <c r="G1890" s="25" t="s">
        <v>1996</v>
      </c>
      <c r="H1890" s="25" t="s">
        <v>1997</v>
      </c>
      <c r="I1890" s="25" t="n">
        <f aca="false">IFERROR(IF(INDEX(Documents!$C$5:$C$657,MATCH(H1890,Documents!$A$5:$A$657,0))="","",INDEX(Documents!$C$5:$C$657,MATCH(H1890,Documents!$A$5:$A$657,0))),"")</f>
        <v>2021</v>
      </c>
      <c r="J1890" s="25" t="str">
        <f aca="false">IFERROR(IF(INDEX(Documents!$D$5:$D$657,MATCH(H1890,Documents!$A$5:$A$657,0))="","",INDEX(Documents!$D$5:$D$657,MATCH(H1890,Documents!$A$5:$A$657,0))),"")</f>
        <v>Eur J Med Chem</v>
      </c>
      <c r="K1890" s="25" t="str">
        <f aca="false">IFERROR(IF(INDEX(Documents!$G$5:$G$657,MATCH(H1890,Documents!$A$5:$A$657,0))="","",INDEX(Documents!$G$5:$G$657,MATCH(H1890,Documents!$A$5:$A$657,0))),"")</f>
        <v>10.1016/j.ejmech.2021.113354</v>
      </c>
      <c r="L1890" s="25" t="s">
        <v>1998</v>
      </c>
    </row>
    <row r="1891" customFormat="false" ht="15" hidden="false" customHeight="false" outlineLevel="0" collapsed="false">
      <c r="A1891" s="25" t="n">
        <v>23303553</v>
      </c>
      <c r="B1891" s="25" t="s">
        <v>4205</v>
      </c>
      <c r="C1891" s="25" t="s">
        <v>4206</v>
      </c>
      <c r="D1891" s="26" t="n">
        <v>12.59</v>
      </c>
      <c r="E1891" s="27" t="n">
        <v>7.89997426989214</v>
      </c>
      <c r="F1891" s="27" t="n">
        <v>7.90153212844204</v>
      </c>
      <c r="G1891" s="25" t="s">
        <v>1996</v>
      </c>
      <c r="H1891" s="25" t="s">
        <v>1997</v>
      </c>
      <c r="I1891" s="25" t="n">
        <f aca="false">IFERROR(IF(INDEX(Documents!$C$5:$C$657,MATCH(H1891,Documents!$A$5:$A$657,0))="","",INDEX(Documents!$C$5:$C$657,MATCH(H1891,Documents!$A$5:$A$657,0))),"")</f>
        <v>2021</v>
      </c>
      <c r="J1891" s="25" t="str">
        <f aca="false">IFERROR(IF(INDEX(Documents!$D$5:$D$657,MATCH(H1891,Documents!$A$5:$A$657,0))="","",INDEX(Documents!$D$5:$D$657,MATCH(H1891,Documents!$A$5:$A$657,0))),"")</f>
        <v>Eur J Med Chem</v>
      </c>
      <c r="K1891" s="25" t="str">
        <f aca="false">IFERROR(IF(INDEX(Documents!$G$5:$G$657,MATCH(H1891,Documents!$A$5:$A$657,0))="","",INDEX(Documents!$G$5:$G$657,MATCH(H1891,Documents!$A$5:$A$657,0))),"")</f>
        <v>10.1016/j.ejmech.2021.113354</v>
      </c>
      <c r="L1891" s="25" t="s">
        <v>1998</v>
      </c>
    </row>
    <row r="1892" customFormat="false" ht="15" hidden="false" customHeight="false" outlineLevel="0" collapsed="false">
      <c r="A1892" s="25" t="n">
        <v>23303571</v>
      </c>
      <c r="B1892" s="25" t="s">
        <v>4205</v>
      </c>
      <c r="C1892" s="25" t="s">
        <v>4206</v>
      </c>
      <c r="D1892" s="26" t="n">
        <v>12.5</v>
      </c>
      <c r="E1892" s="27" t="n">
        <v>7.90308998699194</v>
      </c>
      <c r="F1892" s="27" t="n">
        <v>7.90153212844204</v>
      </c>
      <c r="G1892" s="25" t="s">
        <v>1996</v>
      </c>
      <c r="H1892" s="25" t="s">
        <v>1997</v>
      </c>
      <c r="I1892" s="25" t="n">
        <f aca="false">IFERROR(IF(INDEX(Documents!$C$5:$C$657,MATCH(H1892,Documents!$A$5:$A$657,0))="","",INDEX(Documents!$C$5:$C$657,MATCH(H1892,Documents!$A$5:$A$657,0))),"")</f>
        <v>2021</v>
      </c>
      <c r="J1892" s="25" t="str">
        <f aca="false">IFERROR(IF(INDEX(Documents!$D$5:$D$657,MATCH(H1892,Documents!$A$5:$A$657,0))="","",INDEX(Documents!$D$5:$D$657,MATCH(H1892,Documents!$A$5:$A$657,0))),"")</f>
        <v>Eur J Med Chem</v>
      </c>
      <c r="K1892" s="25" t="str">
        <f aca="false">IFERROR(IF(INDEX(Documents!$G$5:$G$657,MATCH(H1892,Documents!$A$5:$A$657,0))="","",INDEX(Documents!$G$5:$G$657,MATCH(H1892,Documents!$A$5:$A$657,0))),"")</f>
        <v>10.1016/j.ejmech.2021.113354</v>
      </c>
      <c r="L1892" s="25" t="s">
        <v>1998</v>
      </c>
    </row>
    <row r="1893" customFormat="false" ht="15" hidden="false" customHeight="false" outlineLevel="0" collapsed="false">
      <c r="A1893" s="25" t="n">
        <v>2650363</v>
      </c>
      <c r="B1893" s="25" t="s">
        <v>4207</v>
      </c>
      <c r="C1893" s="25" t="s">
        <v>4208</v>
      </c>
      <c r="D1893" s="26" t="n">
        <v>48.98</v>
      </c>
      <c r="E1893" s="27" t="n">
        <v>7.30998121921131</v>
      </c>
      <c r="F1893" s="27" t="n">
        <v>7.30998121921131</v>
      </c>
      <c r="G1893" s="25" t="s">
        <v>3265</v>
      </c>
      <c r="H1893" s="25" t="s">
        <v>3266</v>
      </c>
      <c r="I1893" s="25" t="n">
        <f aca="false">IFERROR(IF(INDEX(Documents!$C$5:$C$657,MATCH(H1893,Documents!$A$5:$A$657,0))="","",INDEX(Documents!$C$5:$C$657,MATCH(H1893,Documents!$A$5:$A$657,0))),"")</f>
        <v>2009</v>
      </c>
      <c r="J1893" s="25" t="str">
        <f aca="false">IFERROR(IF(INDEX(Documents!$D$5:$D$657,MATCH(H1893,Documents!$A$5:$A$657,0))="","",INDEX(Documents!$D$5:$D$657,MATCH(H1893,Documents!$A$5:$A$657,0))),"")</f>
        <v>Eur J Med Chem</v>
      </c>
      <c r="K1893" s="25" t="str">
        <f aca="false">IFERROR(IF(INDEX(Documents!$G$5:$G$657,MATCH(H1893,Documents!$A$5:$A$657,0))="","",INDEX(Documents!$G$5:$G$657,MATCH(H1893,Documents!$A$5:$A$657,0))),"")</f>
        <v>10.1016/j.ejmech.2009.01.026</v>
      </c>
      <c r="L1893" s="25" t="s">
        <v>3267</v>
      </c>
    </row>
    <row r="1894" customFormat="false" ht="15" hidden="false" customHeight="false" outlineLevel="0" collapsed="false">
      <c r="A1894" s="25" t="n">
        <v>15686005</v>
      </c>
      <c r="B1894" s="25" t="s">
        <v>4209</v>
      </c>
      <c r="C1894" s="25" t="s">
        <v>4210</v>
      </c>
      <c r="D1894" s="26" t="n">
        <v>464.4</v>
      </c>
      <c r="E1894" s="27" t="n">
        <v>6.33310778893346</v>
      </c>
      <c r="F1894" s="27" t="n">
        <v>6.33310778893346</v>
      </c>
      <c r="G1894" s="25" t="s">
        <v>817</v>
      </c>
      <c r="H1894" s="25" t="s">
        <v>818</v>
      </c>
      <c r="I1894" s="25" t="n">
        <f aca="false">IFERROR(IF(INDEX(Documents!$C$5:$C$657,MATCH(H1894,Documents!$A$5:$A$657,0))="","",INDEX(Documents!$C$5:$C$657,MATCH(H1894,Documents!$A$5:$A$657,0))),"")</f>
        <v>2015</v>
      </c>
      <c r="J1894" s="25" t="str">
        <f aca="false">IFERROR(IF(INDEX(Documents!$D$5:$D$657,MATCH(H1894,Documents!$A$5:$A$657,0))="","",INDEX(Documents!$D$5:$D$657,MATCH(H1894,Documents!$A$5:$A$657,0))),"")</f>
        <v>Bioorg Med Chem</v>
      </c>
      <c r="K1894" s="25" t="str">
        <f aca="false">IFERROR(IF(INDEX(Documents!$G$5:$G$657,MATCH(H1894,Documents!$A$5:$A$657,0))="","",INDEX(Documents!$G$5:$G$657,MATCH(H1894,Documents!$A$5:$A$657,0))),"")</f>
        <v>10.1016/j.bmc.2015.07.057</v>
      </c>
      <c r="L1894" s="25" t="s">
        <v>819</v>
      </c>
    </row>
    <row r="1895" customFormat="false" ht="15" hidden="false" customHeight="false" outlineLevel="0" collapsed="false">
      <c r="A1895" s="25" t="n">
        <v>2650357</v>
      </c>
      <c r="B1895" s="25" t="s">
        <v>4211</v>
      </c>
      <c r="C1895" s="25" t="s">
        <v>4212</v>
      </c>
      <c r="D1895" s="26" t="n">
        <v>52</v>
      </c>
      <c r="E1895" s="27" t="n">
        <v>7.2839966563652</v>
      </c>
      <c r="F1895" s="27" t="n">
        <v>7.2839966563652</v>
      </c>
      <c r="G1895" s="25" t="s">
        <v>3265</v>
      </c>
      <c r="H1895" s="25" t="s">
        <v>3266</v>
      </c>
      <c r="I1895" s="25" t="n">
        <f aca="false">IFERROR(IF(INDEX(Documents!$C$5:$C$657,MATCH(H1895,Documents!$A$5:$A$657,0))="","",INDEX(Documents!$C$5:$C$657,MATCH(H1895,Documents!$A$5:$A$657,0))),"")</f>
        <v>2009</v>
      </c>
      <c r="J1895" s="25" t="str">
        <f aca="false">IFERROR(IF(INDEX(Documents!$D$5:$D$657,MATCH(H1895,Documents!$A$5:$A$657,0))="","",INDEX(Documents!$D$5:$D$657,MATCH(H1895,Documents!$A$5:$A$657,0))),"")</f>
        <v>Eur J Med Chem</v>
      </c>
      <c r="K1895" s="25" t="str">
        <f aca="false">IFERROR(IF(INDEX(Documents!$G$5:$G$657,MATCH(H1895,Documents!$A$5:$A$657,0))="","",INDEX(Documents!$G$5:$G$657,MATCH(H1895,Documents!$A$5:$A$657,0))),"")</f>
        <v>10.1016/j.ejmech.2009.01.026</v>
      </c>
      <c r="L1895" s="25" t="s">
        <v>3267</v>
      </c>
    </row>
    <row r="1896" customFormat="false" ht="15" hidden="false" customHeight="false" outlineLevel="0" collapsed="false">
      <c r="A1896" s="25" t="n">
        <v>12688490</v>
      </c>
      <c r="B1896" s="25" t="s">
        <v>4213</v>
      </c>
      <c r="C1896" s="25" t="s">
        <v>4214</v>
      </c>
      <c r="D1896" s="26" t="n">
        <v>280</v>
      </c>
      <c r="E1896" s="27" t="n">
        <v>6.55284196865778</v>
      </c>
      <c r="F1896" s="27" t="n">
        <v>6.55284196865778</v>
      </c>
      <c r="G1896" s="25" t="s">
        <v>508</v>
      </c>
      <c r="H1896" s="25" t="s">
        <v>509</v>
      </c>
      <c r="I1896" s="25" t="n">
        <f aca="false">IFERROR(IF(INDEX(Documents!$C$5:$C$657,MATCH(H1896,Documents!$A$5:$A$657,0))="","",INDEX(Documents!$C$5:$C$657,MATCH(H1896,Documents!$A$5:$A$657,0))),"")</f>
        <v>2013</v>
      </c>
      <c r="J1896" s="25" t="str">
        <f aca="false">IFERROR(IF(INDEX(Documents!$D$5:$D$657,MATCH(H1896,Documents!$A$5:$A$657,0))="","",INDEX(Documents!$D$5:$D$657,MATCH(H1896,Documents!$A$5:$A$657,0))),"")</f>
        <v>ACS Med Chem Lett</v>
      </c>
      <c r="K1896" s="25" t="str">
        <f aca="false">IFERROR(IF(INDEX(Documents!$G$5:$G$657,MATCH(H1896,Documents!$A$5:$A$657,0))="","",INDEX(Documents!$G$5:$G$657,MATCH(H1896,Documents!$A$5:$A$657,0))),"")</f>
        <v>10.1021/ml3004236</v>
      </c>
      <c r="L1896" s="25" t="s">
        <v>510</v>
      </c>
    </row>
    <row r="1897" customFormat="false" ht="15" hidden="false" customHeight="false" outlineLevel="0" collapsed="false">
      <c r="A1897" s="25" t="n">
        <v>16823039</v>
      </c>
      <c r="B1897" s="25" t="s">
        <v>4215</v>
      </c>
      <c r="C1897" s="25" t="s">
        <v>4216</v>
      </c>
      <c r="D1897" s="26" t="n">
        <v>1600</v>
      </c>
      <c r="E1897" s="27" t="n">
        <v>5.79588001734408</v>
      </c>
      <c r="F1897" s="27" t="n">
        <v>5.79588001734408</v>
      </c>
      <c r="G1897" s="25" t="s">
        <v>934</v>
      </c>
      <c r="H1897" s="25" t="s">
        <v>935</v>
      </c>
      <c r="I1897" s="25" t="n">
        <f aca="false">IFERROR(IF(INDEX(Documents!$C$5:$C$657,MATCH(H1897,Documents!$A$5:$A$657,0))="","",INDEX(Documents!$C$5:$C$657,MATCH(H1897,Documents!$A$5:$A$657,0))),"")</f>
        <v>2016</v>
      </c>
      <c r="J1897" s="25" t="str">
        <f aca="false">IFERROR(IF(INDEX(Documents!$D$5:$D$657,MATCH(H1897,Documents!$A$5:$A$657,0))="","",INDEX(Documents!$D$5:$D$657,MATCH(H1897,Documents!$A$5:$A$657,0))),"")</f>
        <v>Eur J Med Chem</v>
      </c>
      <c r="K1897" s="25" t="str">
        <f aca="false">IFERROR(IF(INDEX(Documents!$G$5:$G$657,MATCH(H1897,Documents!$A$5:$A$657,0))="","",INDEX(Documents!$G$5:$G$657,MATCH(H1897,Documents!$A$5:$A$657,0))),"")</f>
        <v>10.1016/j.ejmech.2016.08.005</v>
      </c>
      <c r="L1897" s="25" t="s">
        <v>936</v>
      </c>
    </row>
    <row r="1898" customFormat="false" ht="15" hidden="false" customHeight="false" outlineLevel="0" collapsed="false">
      <c r="A1898" s="25" t="n">
        <v>16823029</v>
      </c>
      <c r="B1898" s="25" t="s">
        <v>4217</v>
      </c>
      <c r="C1898" s="25" t="s">
        <v>4218</v>
      </c>
      <c r="D1898" s="26" t="n">
        <v>400</v>
      </c>
      <c r="E1898" s="27" t="n">
        <v>6.39794000867204</v>
      </c>
      <c r="F1898" s="27" t="n">
        <v>6.39794000867204</v>
      </c>
      <c r="G1898" s="25" t="s">
        <v>934</v>
      </c>
      <c r="H1898" s="25" t="s">
        <v>935</v>
      </c>
      <c r="I1898" s="25" t="n">
        <f aca="false">IFERROR(IF(INDEX(Documents!$C$5:$C$657,MATCH(H1898,Documents!$A$5:$A$657,0))="","",INDEX(Documents!$C$5:$C$657,MATCH(H1898,Documents!$A$5:$A$657,0))),"")</f>
        <v>2016</v>
      </c>
      <c r="J1898" s="25" t="str">
        <f aca="false">IFERROR(IF(INDEX(Documents!$D$5:$D$657,MATCH(H1898,Documents!$A$5:$A$657,0))="","",INDEX(Documents!$D$5:$D$657,MATCH(H1898,Documents!$A$5:$A$657,0))),"")</f>
        <v>Eur J Med Chem</v>
      </c>
      <c r="K1898" s="25" t="str">
        <f aca="false">IFERROR(IF(INDEX(Documents!$G$5:$G$657,MATCH(H1898,Documents!$A$5:$A$657,0))="","",INDEX(Documents!$G$5:$G$657,MATCH(H1898,Documents!$A$5:$A$657,0))),"")</f>
        <v>10.1016/j.ejmech.2016.08.005</v>
      </c>
      <c r="L1898" s="25" t="s">
        <v>936</v>
      </c>
    </row>
    <row r="1899" customFormat="false" ht="15" hidden="false" customHeight="false" outlineLevel="0" collapsed="false">
      <c r="A1899" s="25" t="n">
        <v>18936360</v>
      </c>
      <c r="B1899" s="25" t="s">
        <v>4219</v>
      </c>
      <c r="C1899" s="25" t="s">
        <v>4220</v>
      </c>
      <c r="D1899" s="26" t="n">
        <v>1.72</v>
      </c>
      <c r="E1899" s="27" t="n">
        <v>8.76447155309245</v>
      </c>
      <c r="F1899" s="27" t="n">
        <v>8.76447155309245</v>
      </c>
      <c r="G1899" s="25" t="s">
        <v>3162</v>
      </c>
      <c r="H1899" s="25" t="s">
        <v>3163</v>
      </c>
      <c r="I1899" s="25" t="n">
        <f aca="false">IFERROR(IF(INDEX(Documents!$C$5:$C$657,MATCH(H1899,Documents!$A$5:$A$657,0))="","",INDEX(Documents!$C$5:$C$657,MATCH(H1899,Documents!$A$5:$A$657,0))),"")</f>
        <v>2019</v>
      </c>
      <c r="J1899" s="25" t="str">
        <f aca="false">IFERROR(IF(INDEX(Documents!$D$5:$D$657,MATCH(H1899,Documents!$A$5:$A$657,0))="","",INDEX(Documents!$D$5:$D$657,MATCH(H1899,Documents!$A$5:$A$657,0))),"")</f>
        <v>Eur J Med Chem</v>
      </c>
      <c r="K1899" s="25" t="str">
        <f aca="false">IFERROR(IF(INDEX(Documents!$G$5:$G$657,MATCH(H1899,Documents!$A$5:$A$657,0))="","",INDEX(Documents!$G$5:$G$657,MATCH(H1899,Documents!$A$5:$A$657,0))),"")</f>
        <v>10.1016/j.ejmech.2018.09.070</v>
      </c>
      <c r="L1899" s="25" t="s">
        <v>3164</v>
      </c>
    </row>
    <row r="1900" customFormat="false" ht="15" hidden="false" customHeight="false" outlineLevel="0" collapsed="false">
      <c r="A1900" s="25" t="n">
        <v>17651742</v>
      </c>
      <c r="B1900" s="25" t="s">
        <v>4221</v>
      </c>
      <c r="C1900" s="25" t="s">
        <v>4222</v>
      </c>
      <c r="D1900" s="26" t="n">
        <v>0.4</v>
      </c>
      <c r="E1900" s="27" t="n">
        <v>9.39794000867204</v>
      </c>
      <c r="F1900" s="27" t="n">
        <v>9.39794000867204</v>
      </c>
      <c r="G1900" s="25" t="s">
        <v>730</v>
      </c>
      <c r="H1900" s="25" t="s">
        <v>731</v>
      </c>
      <c r="I1900" s="25" t="n">
        <f aca="false">IFERROR(IF(INDEX(Documents!$C$5:$C$657,MATCH(H1900,Documents!$A$5:$A$657,0))="","",INDEX(Documents!$C$5:$C$657,MATCH(H1900,Documents!$A$5:$A$657,0))),"")</f>
        <v>2014</v>
      </c>
      <c r="J1900" s="25" t="str">
        <f aca="false">IFERROR(IF(INDEX(Documents!$D$5:$D$657,MATCH(H1900,Documents!$A$5:$A$657,0))="","",INDEX(Documents!$D$5:$D$657,MATCH(H1900,Documents!$A$5:$A$657,0))),"")</f>
        <v/>
      </c>
      <c r="K1900" s="25" t="str">
        <f aca="false">IFERROR(IF(INDEX(Documents!$G$5:$G$657,MATCH(H1900,Documents!$A$5:$A$657,0))="","",INDEX(Documents!$G$5:$G$657,MATCH(H1900,Documents!$A$5:$A$657,0))),"")</f>
        <v/>
      </c>
      <c r="L1900" s="25" t="s">
        <v>732</v>
      </c>
    </row>
    <row r="1901" customFormat="false" ht="15" hidden="false" customHeight="false" outlineLevel="0" collapsed="false">
      <c r="A1901" s="25" t="n">
        <v>17651743</v>
      </c>
      <c r="B1901" s="25" t="s">
        <v>4223</v>
      </c>
      <c r="C1901" s="25" t="s">
        <v>4224</v>
      </c>
      <c r="D1901" s="26" t="n">
        <v>2.5</v>
      </c>
      <c r="E1901" s="27" t="n">
        <v>8.60205999132796</v>
      </c>
      <c r="F1901" s="27" t="n">
        <v>8.60205999132796</v>
      </c>
      <c r="G1901" s="25" t="s">
        <v>730</v>
      </c>
      <c r="H1901" s="25" t="s">
        <v>731</v>
      </c>
      <c r="I1901" s="25" t="n">
        <f aca="false">IFERROR(IF(INDEX(Documents!$C$5:$C$657,MATCH(H1901,Documents!$A$5:$A$657,0))="","",INDEX(Documents!$C$5:$C$657,MATCH(H1901,Documents!$A$5:$A$657,0))),"")</f>
        <v>2014</v>
      </c>
      <c r="J1901" s="25" t="str">
        <f aca="false">IFERROR(IF(INDEX(Documents!$D$5:$D$657,MATCH(H1901,Documents!$A$5:$A$657,0))="","",INDEX(Documents!$D$5:$D$657,MATCH(H1901,Documents!$A$5:$A$657,0))),"")</f>
        <v/>
      </c>
      <c r="K1901" s="25" t="str">
        <f aca="false">IFERROR(IF(INDEX(Documents!$G$5:$G$657,MATCH(H1901,Documents!$A$5:$A$657,0))="","",INDEX(Documents!$G$5:$G$657,MATCH(H1901,Documents!$A$5:$A$657,0))),"")</f>
        <v/>
      </c>
      <c r="L1901" s="25" t="s">
        <v>732</v>
      </c>
    </row>
    <row r="1902" customFormat="false" ht="15" hidden="false" customHeight="false" outlineLevel="0" collapsed="false">
      <c r="A1902" s="25" t="n">
        <v>17651744</v>
      </c>
      <c r="B1902" s="25" t="s">
        <v>4225</v>
      </c>
      <c r="C1902" s="25" t="s">
        <v>4226</v>
      </c>
      <c r="D1902" s="26" t="n">
        <v>0.7</v>
      </c>
      <c r="E1902" s="27" t="n">
        <v>9.15490195998575</v>
      </c>
      <c r="F1902" s="27" t="n">
        <v>9.15490195998575</v>
      </c>
      <c r="G1902" s="25" t="s">
        <v>730</v>
      </c>
      <c r="H1902" s="25" t="s">
        <v>731</v>
      </c>
      <c r="I1902" s="25" t="n">
        <f aca="false">IFERROR(IF(INDEX(Documents!$C$5:$C$657,MATCH(H1902,Documents!$A$5:$A$657,0))="","",INDEX(Documents!$C$5:$C$657,MATCH(H1902,Documents!$A$5:$A$657,0))),"")</f>
        <v>2014</v>
      </c>
      <c r="J1902" s="25" t="str">
        <f aca="false">IFERROR(IF(INDEX(Documents!$D$5:$D$657,MATCH(H1902,Documents!$A$5:$A$657,0))="","",INDEX(Documents!$D$5:$D$657,MATCH(H1902,Documents!$A$5:$A$657,0))),"")</f>
        <v/>
      </c>
      <c r="K1902" s="25" t="str">
        <f aca="false">IFERROR(IF(INDEX(Documents!$G$5:$G$657,MATCH(H1902,Documents!$A$5:$A$657,0))="","",INDEX(Documents!$G$5:$G$657,MATCH(H1902,Documents!$A$5:$A$657,0))),"")</f>
        <v/>
      </c>
      <c r="L1902" s="25" t="s">
        <v>732</v>
      </c>
    </row>
    <row r="1903" customFormat="false" ht="15" hidden="false" customHeight="false" outlineLevel="0" collapsed="false">
      <c r="A1903" s="25" t="n">
        <v>17651739</v>
      </c>
      <c r="B1903" s="25" t="s">
        <v>4227</v>
      </c>
      <c r="C1903" s="25" t="s">
        <v>4228</v>
      </c>
      <c r="D1903" s="26" t="n">
        <v>12</v>
      </c>
      <c r="E1903" s="27" t="n">
        <v>7.92081875395238</v>
      </c>
      <c r="F1903" s="27" t="n">
        <v>7.92081875395238</v>
      </c>
      <c r="G1903" s="25" t="s">
        <v>730</v>
      </c>
      <c r="H1903" s="25" t="s">
        <v>731</v>
      </c>
      <c r="I1903" s="25" t="n">
        <f aca="false">IFERROR(IF(INDEX(Documents!$C$5:$C$657,MATCH(H1903,Documents!$A$5:$A$657,0))="","",INDEX(Documents!$C$5:$C$657,MATCH(H1903,Documents!$A$5:$A$657,0))),"")</f>
        <v>2014</v>
      </c>
      <c r="J1903" s="25" t="str">
        <f aca="false">IFERROR(IF(INDEX(Documents!$D$5:$D$657,MATCH(H1903,Documents!$A$5:$A$657,0))="","",INDEX(Documents!$D$5:$D$657,MATCH(H1903,Documents!$A$5:$A$657,0))),"")</f>
        <v/>
      </c>
      <c r="K1903" s="25" t="str">
        <f aca="false">IFERROR(IF(INDEX(Documents!$G$5:$G$657,MATCH(H1903,Documents!$A$5:$A$657,0))="","",INDEX(Documents!$G$5:$G$657,MATCH(H1903,Documents!$A$5:$A$657,0))),"")</f>
        <v/>
      </c>
      <c r="L1903" s="25" t="s">
        <v>732</v>
      </c>
    </row>
    <row r="1904" customFormat="false" ht="15" hidden="false" customHeight="false" outlineLevel="0" collapsed="false">
      <c r="A1904" s="25" t="n">
        <v>16344872</v>
      </c>
      <c r="B1904" s="25" t="s">
        <v>4229</v>
      </c>
      <c r="C1904" s="25" t="s">
        <v>4230</v>
      </c>
      <c r="D1904" s="26" t="n">
        <v>5.4</v>
      </c>
      <c r="E1904" s="27" t="n">
        <v>8.26760624017703</v>
      </c>
      <c r="F1904" s="27" t="n">
        <v>8.26760624017703</v>
      </c>
      <c r="G1904" s="25" t="s">
        <v>273</v>
      </c>
      <c r="H1904" s="25" t="s">
        <v>274</v>
      </c>
      <c r="I1904" s="25" t="n">
        <f aca="false">IFERROR(IF(INDEX(Documents!$C$5:$C$657,MATCH(H1904,Documents!$A$5:$A$657,0))="","",INDEX(Documents!$C$5:$C$657,MATCH(H1904,Documents!$A$5:$A$657,0))),"")</f>
        <v>2014</v>
      </c>
      <c r="J1904" s="25" t="str">
        <f aca="false">IFERROR(IF(INDEX(Documents!$D$5:$D$657,MATCH(H1904,Documents!$A$5:$A$657,0))="","",INDEX(Documents!$D$5:$D$657,MATCH(H1904,Documents!$A$5:$A$657,0))),"")</f>
        <v/>
      </c>
      <c r="K1904" s="25" t="str">
        <f aca="false">IFERROR(IF(INDEX(Documents!$G$5:$G$657,MATCH(H1904,Documents!$A$5:$A$657,0))="","",INDEX(Documents!$G$5:$G$657,MATCH(H1904,Documents!$A$5:$A$657,0))),"")</f>
        <v/>
      </c>
      <c r="L1904" s="25" t="s">
        <v>275</v>
      </c>
    </row>
    <row r="1905" customFormat="false" ht="15" hidden="false" customHeight="false" outlineLevel="0" collapsed="false">
      <c r="A1905" s="25" t="n">
        <v>16351028</v>
      </c>
      <c r="B1905" s="25" t="s">
        <v>4231</v>
      </c>
      <c r="C1905" s="25" t="s">
        <v>4232</v>
      </c>
      <c r="D1905" s="26" t="n">
        <v>15</v>
      </c>
      <c r="E1905" s="27" t="n">
        <v>7.82390874094432</v>
      </c>
      <c r="F1905" s="27" t="n">
        <v>7.82390874094432</v>
      </c>
      <c r="G1905" s="25" t="s">
        <v>273</v>
      </c>
      <c r="H1905" s="25" t="s">
        <v>274</v>
      </c>
      <c r="I1905" s="25" t="n">
        <f aca="false">IFERROR(IF(INDEX(Documents!$C$5:$C$657,MATCH(H1905,Documents!$A$5:$A$657,0))="","",INDEX(Documents!$C$5:$C$657,MATCH(H1905,Documents!$A$5:$A$657,0))),"")</f>
        <v>2014</v>
      </c>
      <c r="J1905" s="25" t="str">
        <f aca="false">IFERROR(IF(INDEX(Documents!$D$5:$D$657,MATCH(H1905,Documents!$A$5:$A$657,0))="","",INDEX(Documents!$D$5:$D$657,MATCH(H1905,Documents!$A$5:$A$657,0))),"")</f>
        <v/>
      </c>
      <c r="K1905" s="25" t="str">
        <f aca="false">IFERROR(IF(INDEX(Documents!$G$5:$G$657,MATCH(H1905,Documents!$A$5:$A$657,0))="","",INDEX(Documents!$G$5:$G$657,MATCH(H1905,Documents!$A$5:$A$657,0))),"")</f>
        <v/>
      </c>
      <c r="L1905" s="25" t="s">
        <v>275</v>
      </c>
    </row>
    <row r="1906" customFormat="false" ht="15" hidden="false" customHeight="false" outlineLevel="0" collapsed="false">
      <c r="A1906" s="25" t="n">
        <v>16309066</v>
      </c>
      <c r="B1906" s="25" t="s">
        <v>4233</v>
      </c>
      <c r="C1906" s="25" t="s">
        <v>4234</v>
      </c>
      <c r="D1906" s="26" t="n">
        <v>35</v>
      </c>
      <c r="E1906" s="27" t="n">
        <v>7.45593195564972</v>
      </c>
      <c r="F1906" s="27" t="n">
        <v>7.45593195564972</v>
      </c>
      <c r="G1906" s="25" t="s">
        <v>273</v>
      </c>
      <c r="H1906" s="25" t="s">
        <v>274</v>
      </c>
      <c r="I1906" s="25" t="n">
        <f aca="false">IFERROR(IF(INDEX(Documents!$C$5:$C$657,MATCH(H1906,Documents!$A$5:$A$657,0))="","",INDEX(Documents!$C$5:$C$657,MATCH(H1906,Documents!$A$5:$A$657,0))),"")</f>
        <v>2014</v>
      </c>
      <c r="J1906" s="25" t="str">
        <f aca="false">IFERROR(IF(INDEX(Documents!$D$5:$D$657,MATCH(H1906,Documents!$A$5:$A$657,0))="","",INDEX(Documents!$D$5:$D$657,MATCH(H1906,Documents!$A$5:$A$657,0))),"")</f>
        <v/>
      </c>
      <c r="K1906" s="25" t="str">
        <f aca="false">IFERROR(IF(INDEX(Documents!$G$5:$G$657,MATCH(H1906,Documents!$A$5:$A$657,0))="","",INDEX(Documents!$G$5:$G$657,MATCH(H1906,Documents!$A$5:$A$657,0))),"")</f>
        <v/>
      </c>
      <c r="L1906" s="25" t="s">
        <v>275</v>
      </c>
    </row>
    <row r="1907" customFormat="false" ht="15" hidden="false" customHeight="false" outlineLevel="0" collapsed="false">
      <c r="A1907" s="25" t="n">
        <v>16303257</v>
      </c>
      <c r="B1907" s="25" t="s">
        <v>4235</v>
      </c>
      <c r="C1907" s="25" t="s">
        <v>4236</v>
      </c>
      <c r="D1907" s="26" t="n">
        <v>1.5</v>
      </c>
      <c r="E1907" s="27" t="n">
        <v>8.82390874094432</v>
      </c>
      <c r="F1907" s="27" t="n">
        <v>8.82390874094432</v>
      </c>
      <c r="G1907" s="25" t="s">
        <v>273</v>
      </c>
      <c r="H1907" s="25" t="s">
        <v>274</v>
      </c>
      <c r="I1907" s="25" t="n">
        <f aca="false">IFERROR(IF(INDEX(Documents!$C$5:$C$657,MATCH(H1907,Documents!$A$5:$A$657,0))="","",INDEX(Documents!$C$5:$C$657,MATCH(H1907,Documents!$A$5:$A$657,0))),"")</f>
        <v>2014</v>
      </c>
      <c r="J1907" s="25" t="str">
        <f aca="false">IFERROR(IF(INDEX(Documents!$D$5:$D$657,MATCH(H1907,Documents!$A$5:$A$657,0))="","",INDEX(Documents!$D$5:$D$657,MATCH(H1907,Documents!$A$5:$A$657,0))),"")</f>
        <v/>
      </c>
      <c r="K1907" s="25" t="str">
        <f aca="false">IFERROR(IF(INDEX(Documents!$G$5:$G$657,MATCH(H1907,Documents!$A$5:$A$657,0))="","",INDEX(Documents!$G$5:$G$657,MATCH(H1907,Documents!$A$5:$A$657,0))),"")</f>
        <v/>
      </c>
      <c r="L1907" s="25" t="s">
        <v>275</v>
      </c>
    </row>
    <row r="1908" customFormat="false" ht="15" hidden="false" customHeight="false" outlineLevel="0" collapsed="false">
      <c r="A1908" s="25" t="n">
        <v>16264504</v>
      </c>
      <c r="B1908" s="25" t="s">
        <v>4237</v>
      </c>
      <c r="C1908" s="25" t="s">
        <v>4238</v>
      </c>
      <c r="D1908" s="26" t="n">
        <v>75</v>
      </c>
      <c r="E1908" s="27" t="n">
        <v>7.1249387366083</v>
      </c>
      <c r="F1908" s="27" t="n">
        <v>7.1249387366083</v>
      </c>
      <c r="G1908" s="25" t="s">
        <v>273</v>
      </c>
      <c r="H1908" s="25" t="s">
        <v>274</v>
      </c>
      <c r="I1908" s="25" t="n">
        <f aca="false">IFERROR(IF(INDEX(Documents!$C$5:$C$657,MATCH(H1908,Documents!$A$5:$A$657,0))="","",INDEX(Documents!$C$5:$C$657,MATCH(H1908,Documents!$A$5:$A$657,0))),"")</f>
        <v>2014</v>
      </c>
      <c r="J1908" s="25" t="str">
        <f aca="false">IFERROR(IF(INDEX(Documents!$D$5:$D$657,MATCH(H1908,Documents!$A$5:$A$657,0))="","",INDEX(Documents!$D$5:$D$657,MATCH(H1908,Documents!$A$5:$A$657,0))),"")</f>
        <v/>
      </c>
      <c r="K1908" s="25" t="str">
        <f aca="false">IFERROR(IF(INDEX(Documents!$G$5:$G$657,MATCH(H1908,Documents!$A$5:$A$657,0))="","",INDEX(Documents!$G$5:$G$657,MATCH(H1908,Documents!$A$5:$A$657,0))),"")</f>
        <v/>
      </c>
      <c r="L1908" s="25" t="s">
        <v>275</v>
      </c>
    </row>
    <row r="1909" customFormat="false" ht="15" hidden="false" customHeight="false" outlineLevel="0" collapsed="false">
      <c r="A1909" s="25" t="n">
        <v>16339849</v>
      </c>
      <c r="B1909" s="25" t="s">
        <v>4239</v>
      </c>
      <c r="C1909" s="25" t="s">
        <v>4240</v>
      </c>
      <c r="D1909" s="26" t="n">
        <v>34</v>
      </c>
      <c r="E1909" s="27" t="n">
        <v>7.46852108295775</v>
      </c>
      <c r="F1909" s="27" t="n">
        <v>7.46852108295775</v>
      </c>
      <c r="G1909" s="25" t="s">
        <v>273</v>
      </c>
      <c r="H1909" s="25" t="s">
        <v>274</v>
      </c>
      <c r="I1909" s="25" t="n">
        <f aca="false">IFERROR(IF(INDEX(Documents!$C$5:$C$657,MATCH(H1909,Documents!$A$5:$A$657,0))="","",INDEX(Documents!$C$5:$C$657,MATCH(H1909,Documents!$A$5:$A$657,0))),"")</f>
        <v>2014</v>
      </c>
      <c r="J1909" s="25" t="str">
        <f aca="false">IFERROR(IF(INDEX(Documents!$D$5:$D$657,MATCH(H1909,Documents!$A$5:$A$657,0))="","",INDEX(Documents!$D$5:$D$657,MATCH(H1909,Documents!$A$5:$A$657,0))),"")</f>
        <v/>
      </c>
      <c r="K1909" s="25" t="str">
        <f aca="false">IFERROR(IF(INDEX(Documents!$G$5:$G$657,MATCH(H1909,Documents!$A$5:$A$657,0))="","",INDEX(Documents!$G$5:$G$657,MATCH(H1909,Documents!$A$5:$A$657,0))),"")</f>
        <v/>
      </c>
      <c r="L1909" s="25" t="s">
        <v>275</v>
      </c>
    </row>
    <row r="1910" customFormat="false" ht="15" hidden="false" customHeight="false" outlineLevel="0" collapsed="false">
      <c r="A1910" s="25" t="n">
        <v>16299879</v>
      </c>
      <c r="B1910" s="25" t="s">
        <v>4241</v>
      </c>
      <c r="C1910" s="25" t="s">
        <v>4242</v>
      </c>
      <c r="D1910" s="26" t="n">
        <v>2</v>
      </c>
      <c r="E1910" s="27" t="n">
        <v>8.69897000433602</v>
      </c>
      <c r="F1910" s="27" t="n">
        <v>8.69897000433602</v>
      </c>
      <c r="G1910" s="25" t="s">
        <v>273</v>
      </c>
      <c r="H1910" s="25" t="s">
        <v>274</v>
      </c>
      <c r="I1910" s="25" t="n">
        <f aca="false">IFERROR(IF(INDEX(Documents!$C$5:$C$657,MATCH(H1910,Documents!$A$5:$A$657,0))="","",INDEX(Documents!$C$5:$C$657,MATCH(H1910,Documents!$A$5:$A$657,0))),"")</f>
        <v>2014</v>
      </c>
      <c r="J1910" s="25" t="str">
        <f aca="false">IFERROR(IF(INDEX(Documents!$D$5:$D$657,MATCH(H1910,Documents!$A$5:$A$657,0))="","",INDEX(Documents!$D$5:$D$657,MATCH(H1910,Documents!$A$5:$A$657,0))),"")</f>
        <v/>
      </c>
      <c r="K1910" s="25" t="str">
        <f aca="false">IFERROR(IF(INDEX(Documents!$G$5:$G$657,MATCH(H1910,Documents!$A$5:$A$657,0))="","",INDEX(Documents!$G$5:$G$657,MATCH(H1910,Documents!$A$5:$A$657,0))),"")</f>
        <v/>
      </c>
      <c r="L1910" s="25" t="s">
        <v>275</v>
      </c>
    </row>
    <row r="1911" customFormat="false" ht="15" hidden="false" customHeight="false" outlineLevel="0" collapsed="false">
      <c r="A1911" s="25" t="n">
        <v>16299558</v>
      </c>
      <c r="B1911" s="25" t="s">
        <v>4243</v>
      </c>
      <c r="C1911" s="25" t="s">
        <v>4244</v>
      </c>
      <c r="D1911" s="26" t="n">
        <v>1.4</v>
      </c>
      <c r="E1911" s="27" t="n">
        <v>8.85387196432176</v>
      </c>
      <c r="F1911" s="27" t="n">
        <v>8.85387196432176</v>
      </c>
      <c r="G1911" s="25" t="s">
        <v>273</v>
      </c>
      <c r="H1911" s="25" t="s">
        <v>274</v>
      </c>
      <c r="I1911" s="25" t="n">
        <f aca="false">IFERROR(IF(INDEX(Documents!$C$5:$C$657,MATCH(H1911,Documents!$A$5:$A$657,0))="","",INDEX(Documents!$C$5:$C$657,MATCH(H1911,Documents!$A$5:$A$657,0))),"")</f>
        <v>2014</v>
      </c>
      <c r="J1911" s="25" t="str">
        <f aca="false">IFERROR(IF(INDEX(Documents!$D$5:$D$657,MATCH(H1911,Documents!$A$5:$A$657,0))="","",INDEX(Documents!$D$5:$D$657,MATCH(H1911,Documents!$A$5:$A$657,0))),"")</f>
        <v/>
      </c>
      <c r="K1911" s="25" t="str">
        <f aca="false">IFERROR(IF(INDEX(Documents!$G$5:$G$657,MATCH(H1911,Documents!$A$5:$A$657,0))="","",INDEX(Documents!$G$5:$G$657,MATCH(H1911,Documents!$A$5:$A$657,0))),"")</f>
        <v/>
      </c>
      <c r="L1911" s="25" t="s">
        <v>275</v>
      </c>
    </row>
    <row r="1912" customFormat="false" ht="15" hidden="false" customHeight="false" outlineLevel="0" collapsed="false">
      <c r="A1912" s="25" t="n">
        <v>16262530</v>
      </c>
      <c r="B1912" s="25" t="s">
        <v>4245</v>
      </c>
      <c r="C1912" s="25" t="s">
        <v>4246</v>
      </c>
      <c r="D1912" s="26" t="n">
        <v>62</v>
      </c>
      <c r="E1912" s="27" t="n">
        <v>7.20760831050175</v>
      </c>
      <c r="F1912" s="27" t="n">
        <v>7.20760831050175</v>
      </c>
      <c r="G1912" s="25" t="s">
        <v>273</v>
      </c>
      <c r="H1912" s="25" t="s">
        <v>274</v>
      </c>
      <c r="I1912" s="25" t="n">
        <f aca="false">IFERROR(IF(INDEX(Documents!$C$5:$C$657,MATCH(H1912,Documents!$A$5:$A$657,0))="","",INDEX(Documents!$C$5:$C$657,MATCH(H1912,Documents!$A$5:$A$657,0))),"")</f>
        <v>2014</v>
      </c>
      <c r="J1912" s="25" t="str">
        <f aca="false">IFERROR(IF(INDEX(Documents!$D$5:$D$657,MATCH(H1912,Documents!$A$5:$A$657,0))="","",INDEX(Documents!$D$5:$D$657,MATCH(H1912,Documents!$A$5:$A$657,0))),"")</f>
        <v/>
      </c>
      <c r="K1912" s="25" t="str">
        <f aca="false">IFERROR(IF(INDEX(Documents!$G$5:$G$657,MATCH(H1912,Documents!$A$5:$A$657,0))="","",INDEX(Documents!$G$5:$G$657,MATCH(H1912,Documents!$A$5:$A$657,0))),"")</f>
        <v/>
      </c>
      <c r="L1912" s="25" t="s">
        <v>275</v>
      </c>
    </row>
    <row r="1913" customFormat="false" ht="15" hidden="false" customHeight="false" outlineLevel="0" collapsed="false">
      <c r="A1913" s="25" t="n">
        <v>17651705</v>
      </c>
      <c r="B1913" s="25" t="s">
        <v>4247</v>
      </c>
      <c r="C1913" s="25" t="s">
        <v>4248</v>
      </c>
      <c r="D1913" s="26" t="n">
        <v>16</v>
      </c>
      <c r="E1913" s="27" t="n">
        <v>7.79588001734408</v>
      </c>
      <c r="F1913" s="27" t="n">
        <v>7.79588001734408</v>
      </c>
      <c r="G1913" s="25" t="s">
        <v>730</v>
      </c>
      <c r="H1913" s="25" t="s">
        <v>731</v>
      </c>
      <c r="I1913" s="25" t="n">
        <f aca="false">IFERROR(IF(INDEX(Documents!$C$5:$C$657,MATCH(H1913,Documents!$A$5:$A$657,0))="","",INDEX(Documents!$C$5:$C$657,MATCH(H1913,Documents!$A$5:$A$657,0))),"")</f>
        <v>2014</v>
      </c>
      <c r="J1913" s="25" t="str">
        <f aca="false">IFERROR(IF(INDEX(Documents!$D$5:$D$657,MATCH(H1913,Documents!$A$5:$A$657,0))="","",INDEX(Documents!$D$5:$D$657,MATCH(H1913,Documents!$A$5:$A$657,0))),"")</f>
        <v/>
      </c>
      <c r="K1913" s="25" t="str">
        <f aca="false">IFERROR(IF(INDEX(Documents!$G$5:$G$657,MATCH(H1913,Documents!$A$5:$A$657,0))="","",INDEX(Documents!$G$5:$G$657,MATCH(H1913,Documents!$A$5:$A$657,0))),"")</f>
        <v/>
      </c>
      <c r="L1913" s="25" t="s">
        <v>732</v>
      </c>
    </row>
    <row r="1914" customFormat="false" ht="15" hidden="false" customHeight="false" outlineLevel="0" collapsed="false">
      <c r="A1914" s="25" t="n">
        <v>17651695</v>
      </c>
      <c r="B1914" s="25" t="s">
        <v>4249</v>
      </c>
      <c r="C1914" s="25" t="s">
        <v>4250</v>
      </c>
      <c r="D1914" s="26" t="n">
        <v>77</v>
      </c>
      <c r="E1914" s="27" t="n">
        <v>7.11350927482752</v>
      </c>
      <c r="F1914" s="27" t="n">
        <v>7.11350927482752</v>
      </c>
      <c r="G1914" s="25" t="s">
        <v>730</v>
      </c>
      <c r="H1914" s="25" t="s">
        <v>731</v>
      </c>
      <c r="I1914" s="25" t="n">
        <f aca="false">IFERROR(IF(INDEX(Documents!$C$5:$C$657,MATCH(H1914,Documents!$A$5:$A$657,0))="","",INDEX(Documents!$C$5:$C$657,MATCH(H1914,Documents!$A$5:$A$657,0))),"")</f>
        <v>2014</v>
      </c>
      <c r="J1914" s="25" t="str">
        <f aca="false">IFERROR(IF(INDEX(Documents!$D$5:$D$657,MATCH(H1914,Documents!$A$5:$A$657,0))="","",INDEX(Documents!$D$5:$D$657,MATCH(H1914,Documents!$A$5:$A$657,0))),"")</f>
        <v/>
      </c>
      <c r="K1914" s="25" t="str">
        <f aca="false">IFERROR(IF(INDEX(Documents!$G$5:$G$657,MATCH(H1914,Documents!$A$5:$A$657,0))="","",INDEX(Documents!$G$5:$G$657,MATCH(H1914,Documents!$A$5:$A$657,0))),"")</f>
        <v/>
      </c>
      <c r="L1914" s="25" t="s">
        <v>732</v>
      </c>
    </row>
    <row r="1915" customFormat="false" ht="15" hidden="false" customHeight="false" outlineLevel="0" collapsed="false">
      <c r="A1915" s="25" t="n">
        <v>20662663</v>
      </c>
      <c r="B1915" s="25" t="s">
        <v>4251</v>
      </c>
      <c r="C1915" s="25" t="s">
        <v>4252</v>
      </c>
      <c r="D1915" s="26" t="n">
        <v>27.1</v>
      </c>
      <c r="E1915" s="27" t="n">
        <v>7.5670307091256</v>
      </c>
      <c r="F1915" s="27" t="n">
        <v>7.5670307091256</v>
      </c>
      <c r="G1915" s="25" t="s">
        <v>643</v>
      </c>
      <c r="H1915" s="25" t="s">
        <v>644</v>
      </c>
      <c r="I1915" s="25" t="n">
        <f aca="false">IFERROR(IF(INDEX(Documents!$C$5:$C$657,MATCH(H1915,Documents!$A$5:$A$657,0))="","",INDEX(Documents!$C$5:$C$657,MATCH(H1915,Documents!$A$5:$A$657,0))),"")</f>
        <v>2020</v>
      </c>
      <c r="J1915" s="25" t="str">
        <f aca="false">IFERROR(IF(INDEX(Documents!$D$5:$D$657,MATCH(H1915,Documents!$A$5:$A$657,0))="","",INDEX(Documents!$D$5:$D$657,MATCH(H1915,Documents!$A$5:$A$657,0))),"")</f>
        <v>J Med Chem</v>
      </c>
      <c r="K1915" s="25" t="str">
        <f aca="false">IFERROR(IF(INDEX(Documents!$G$5:$G$657,MATCH(H1915,Documents!$A$5:$A$657,0))="","",INDEX(Documents!$G$5:$G$657,MATCH(H1915,Documents!$A$5:$A$657,0))),"")</f>
        <v>10.1021/acs.jmedchem.0c00595</v>
      </c>
      <c r="L1915" s="25" t="s">
        <v>645</v>
      </c>
    </row>
    <row r="1916" customFormat="false" ht="15" hidden="false" customHeight="false" outlineLevel="0" collapsed="false">
      <c r="A1916" s="25" t="n">
        <v>20662648</v>
      </c>
      <c r="B1916" s="25" t="s">
        <v>4253</v>
      </c>
      <c r="C1916" s="25" t="s">
        <v>4254</v>
      </c>
      <c r="D1916" s="26" t="n">
        <v>2.5</v>
      </c>
      <c r="E1916" s="27" t="n">
        <v>8.60205999132796</v>
      </c>
      <c r="F1916" s="27" t="n">
        <v>8.60205999132796</v>
      </c>
      <c r="G1916" s="25" t="s">
        <v>643</v>
      </c>
      <c r="H1916" s="25" t="s">
        <v>644</v>
      </c>
      <c r="I1916" s="25" t="n">
        <f aca="false">IFERROR(IF(INDEX(Documents!$C$5:$C$657,MATCH(H1916,Documents!$A$5:$A$657,0))="","",INDEX(Documents!$C$5:$C$657,MATCH(H1916,Documents!$A$5:$A$657,0))),"")</f>
        <v>2020</v>
      </c>
      <c r="J1916" s="25" t="str">
        <f aca="false">IFERROR(IF(INDEX(Documents!$D$5:$D$657,MATCH(H1916,Documents!$A$5:$A$657,0))="","",INDEX(Documents!$D$5:$D$657,MATCH(H1916,Documents!$A$5:$A$657,0))),"")</f>
        <v>J Med Chem</v>
      </c>
      <c r="K1916" s="25" t="str">
        <f aca="false">IFERROR(IF(INDEX(Documents!$G$5:$G$657,MATCH(H1916,Documents!$A$5:$A$657,0))="","",INDEX(Documents!$G$5:$G$657,MATCH(H1916,Documents!$A$5:$A$657,0))),"")</f>
        <v>10.1021/acs.jmedchem.0c00595</v>
      </c>
      <c r="L1916" s="25" t="s">
        <v>645</v>
      </c>
    </row>
    <row r="1917" customFormat="false" ht="15" hidden="false" customHeight="false" outlineLevel="0" collapsed="false">
      <c r="A1917" s="25" t="n">
        <v>20662660</v>
      </c>
      <c r="B1917" s="25" t="s">
        <v>4255</v>
      </c>
      <c r="C1917" s="25" t="s">
        <v>4256</v>
      </c>
      <c r="D1917" s="26" t="n">
        <v>18.4</v>
      </c>
      <c r="E1917" s="27" t="n">
        <v>7.73518217699046</v>
      </c>
      <c r="F1917" s="27" t="n">
        <v>7.73518217699046</v>
      </c>
      <c r="G1917" s="25" t="s">
        <v>643</v>
      </c>
      <c r="H1917" s="25" t="s">
        <v>644</v>
      </c>
      <c r="I1917" s="25" t="n">
        <f aca="false">IFERROR(IF(INDEX(Documents!$C$5:$C$657,MATCH(H1917,Documents!$A$5:$A$657,0))="","",INDEX(Documents!$C$5:$C$657,MATCH(H1917,Documents!$A$5:$A$657,0))),"")</f>
        <v>2020</v>
      </c>
      <c r="J1917" s="25" t="str">
        <f aca="false">IFERROR(IF(INDEX(Documents!$D$5:$D$657,MATCH(H1917,Documents!$A$5:$A$657,0))="","",INDEX(Documents!$D$5:$D$657,MATCH(H1917,Documents!$A$5:$A$657,0))),"")</f>
        <v>J Med Chem</v>
      </c>
      <c r="K1917" s="25" t="str">
        <f aca="false">IFERROR(IF(INDEX(Documents!$G$5:$G$657,MATCH(H1917,Documents!$A$5:$A$657,0))="","",INDEX(Documents!$G$5:$G$657,MATCH(H1917,Documents!$A$5:$A$657,0))),"")</f>
        <v>10.1021/acs.jmedchem.0c00595</v>
      </c>
      <c r="L1917" s="25" t="s">
        <v>645</v>
      </c>
    </row>
    <row r="1918" customFormat="false" ht="15" hidden="false" customHeight="false" outlineLevel="0" collapsed="false">
      <c r="A1918" s="25" t="n">
        <v>20662649</v>
      </c>
      <c r="B1918" s="25" t="s">
        <v>4257</v>
      </c>
      <c r="C1918" s="25" t="s">
        <v>4258</v>
      </c>
      <c r="D1918" s="26" t="n">
        <v>10.6</v>
      </c>
      <c r="E1918" s="27" t="n">
        <v>7.97469413473523</v>
      </c>
      <c r="F1918" s="27" t="n">
        <v>7.97469413473523</v>
      </c>
      <c r="G1918" s="25" t="s">
        <v>643</v>
      </c>
      <c r="H1918" s="25" t="s">
        <v>644</v>
      </c>
      <c r="I1918" s="25" t="n">
        <f aca="false">IFERROR(IF(INDEX(Documents!$C$5:$C$657,MATCH(H1918,Documents!$A$5:$A$657,0))="","",INDEX(Documents!$C$5:$C$657,MATCH(H1918,Documents!$A$5:$A$657,0))),"")</f>
        <v>2020</v>
      </c>
      <c r="J1918" s="25" t="str">
        <f aca="false">IFERROR(IF(INDEX(Documents!$D$5:$D$657,MATCH(H1918,Documents!$A$5:$A$657,0))="","",INDEX(Documents!$D$5:$D$657,MATCH(H1918,Documents!$A$5:$A$657,0))),"")</f>
        <v>J Med Chem</v>
      </c>
      <c r="K1918" s="25" t="str">
        <f aca="false">IFERROR(IF(INDEX(Documents!$G$5:$G$657,MATCH(H1918,Documents!$A$5:$A$657,0))="","",INDEX(Documents!$G$5:$G$657,MATCH(H1918,Documents!$A$5:$A$657,0))),"")</f>
        <v>10.1021/acs.jmedchem.0c00595</v>
      </c>
      <c r="L1918" s="25" t="s">
        <v>645</v>
      </c>
    </row>
    <row r="1919" customFormat="false" ht="15" hidden="false" customHeight="false" outlineLevel="0" collapsed="false">
      <c r="A1919" s="25" t="n">
        <v>15239936</v>
      </c>
      <c r="B1919" s="25" t="s">
        <v>4259</v>
      </c>
      <c r="C1919" s="25" t="s">
        <v>4260</v>
      </c>
      <c r="D1919" s="26" t="n">
        <v>11.2</v>
      </c>
      <c r="E1919" s="27" t="n">
        <v>7.95078197732982</v>
      </c>
      <c r="F1919" s="27" t="n">
        <v>7.95078197732982</v>
      </c>
      <c r="G1919" s="25" t="s">
        <v>1653</v>
      </c>
      <c r="H1919" s="25" t="s">
        <v>1654</v>
      </c>
      <c r="I1919" s="25" t="n">
        <f aca="false">IFERROR(IF(INDEX(Documents!$C$5:$C$657,MATCH(H1919,Documents!$A$5:$A$657,0))="","",INDEX(Documents!$C$5:$C$657,MATCH(H1919,Documents!$A$5:$A$657,0))),"")</f>
        <v>2015</v>
      </c>
      <c r="J1919" s="25" t="str">
        <f aca="false">IFERROR(IF(INDEX(Documents!$D$5:$D$657,MATCH(H1919,Documents!$A$5:$A$657,0))="","",INDEX(Documents!$D$5:$D$657,MATCH(H1919,Documents!$A$5:$A$657,0))),"")</f>
        <v>Eur J Med Chem</v>
      </c>
      <c r="K1919" s="25" t="str">
        <f aca="false">IFERROR(IF(INDEX(Documents!$G$5:$G$657,MATCH(H1919,Documents!$A$5:$A$657,0))="","",INDEX(Documents!$G$5:$G$657,MATCH(H1919,Documents!$A$5:$A$657,0))),"")</f>
        <v>10.1016/j.ejmech.2015.04.034</v>
      </c>
      <c r="L1919" s="25" t="s">
        <v>1655</v>
      </c>
    </row>
    <row r="1920" customFormat="false" ht="15" hidden="false" customHeight="false" outlineLevel="0" collapsed="false">
      <c r="A1920" s="25" t="n">
        <v>15239941</v>
      </c>
      <c r="B1920" s="25" t="s">
        <v>4261</v>
      </c>
      <c r="C1920" s="25" t="s">
        <v>4262</v>
      </c>
      <c r="D1920" s="26" t="n">
        <v>19.8</v>
      </c>
      <c r="E1920" s="27" t="n">
        <v>7.70333480973847</v>
      </c>
      <c r="F1920" s="27" t="n">
        <v>7.70333480973847</v>
      </c>
      <c r="G1920" s="25" t="s">
        <v>1653</v>
      </c>
      <c r="H1920" s="25" t="s">
        <v>1654</v>
      </c>
      <c r="I1920" s="25" t="n">
        <f aca="false">IFERROR(IF(INDEX(Documents!$C$5:$C$657,MATCH(H1920,Documents!$A$5:$A$657,0))="","",INDEX(Documents!$C$5:$C$657,MATCH(H1920,Documents!$A$5:$A$657,0))),"")</f>
        <v>2015</v>
      </c>
      <c r="J1920" s="25" t="str">
        <f aca="false">IFERROR(IF(INDEX(Documents!$D$5:$D$657,MATCH(H1920,Documents!$A$5:$A$657,0))="","",INDEX(Documents!$D$5:$D$657,MATCH(H1920,Documents!$A$5:$A$657,0))),"")</f>
        <v>Eur J Med Chem</v>
      </c>
      <c r="K1920" s="25" t="str">
        <f aca="false">IFERROR(IF(INDEX(Documents!$G$5:$G$657,MATCH(H1920,Documents!$A$5:$A$657,0))="","",INDEX(Documents!$G$5:$G$657,MATCH(H1920,Documents!$A$5:$A$657,0))),"")</f>
        <v>10.1016/j.ejmech.2015.04.034</v>
      </c>
      <c r="L1920" s="25" t="s">
        <v>1655</v>
      </c>
    </row>
    <row r="1921" customFormat="false" ht="15" hidden="false" customHeight="false" outlineLevel="0" collapsed="false">
      <c r="A1921" s="25" t="n">
        <v>15077961</v>
      </c>
      <c r="B1921" s="25" t="s">
        <v>4263</v>
      </c>
      <c r="C1921" s="25" t="s">
        <v>4264</v>
      </c>
      <c r="D1921" s="26" t="n">
        <v>3.9</v>
      </c>
      <c r="E1921" s="27" t="n">
        <v>8.4089353929735</v>
      </c>
      <c r="F1921" s="27" t="n">
        <v>8.4089353929735</v>
      </c>
      <c r="G1921" s="25" t="s">
        <v>1662</v>
      </c>
      <c r="H1921" s="25" t="s">
        <v>1663</v>
      </c>
      <c r="I1921" s="25" t="n">
        <f aca="false">IFERROR(IF(INDEX(Documents!$C$5:$C$657,MATCH(H1921,Documents!$A$5:$A$657,0))="","",INDEX(Documents!$C$5:$C$657,MATCH(H1921,Documents!$A$5:$A$657,0))),"")</f>
        <v>2014</v>
      </c>
      <c r="J1921" s="25" t="str">
        <f aca="false">IFERROR(IF(INDEX(Documents!$D$5:$D$657,MATCH(H1921,Documents!$A$5:$A$657,0))="","",INDEX(Documents!$D$5:$D$657,MATCH(H1921,Documents!$A$5:$A$657,0))),"")</f>
        <v>J Med Chem</v>
      </c>
      <c r="K1921" s="25" t="str">
        <f aca="false">IFERROR(IF(INDEX(Documents!$G$5:$G$657,MATCH(H1921,Documents!$A$5:$A$657,0))="","",INDEX(Documents!$G$5:$G$657,MATCH(H1921,Documents!$A$5:$A$657,0))),"")</f>
        <v>10.1021/jm500807e</v>
      </c>
      <c r="L1921" s="25" t="s">
        <v>1664</v>
      </c>
    </row>
    <row r="1922" customFormat="false" ht="15" hidden="false" customHeight="false" outlineLevel="0" collapsed="false">
      <c r="A1922" s="25" t="n">
        <v>2622751</v>
      </c>
      <c r="B1922" s="25" t="s">
        <v>4265</v>
      </c>
      <c r="C1922" s="25" t="s">
        <v>4266</v>
      </c>
      <c r="D1922" s="26" t="n">
        <v>70</v>
      </c>
      <c r="E1922" s="27" t="n">
        <v>7.15490195998574</v>
      </c>
      <c r="F1922" s="27" t="n">
        <v>7.15490195998574</v>
      </c>
      <c r="G1922" s="25" t="s">
        <v>1707</v>
      </c>
      <c r="H1922" s="25" t="s">
        <v>1708</v>
      </c>
      <c r="I1922" s="25" t="n">
        <f aca="false">IFERROR(IF(INDEX(Documents!$C$5:$C$657,MATCH(H1922,Documents!$A$5:$A$657,0))="","",INDEX(Documents!$C$5:$C$657,MATCH(H1922,Documents!$A$5:$A$657,0))),"")</f>
        <v>2009</v>
      </c>
      <c r="J1922" s="25" t="str">
        <f aca="false">IFERROR(IF(INDEX(Documents!$D$5:$D$657,MATCH(H1922,Documents!$A$5:$A$657,0))="","",INDEX(Documents!$D$5:$D$657,MATCH(H1922,Documents!$A$5:$A$657,0))),"")</f>
        <v>J Med Chem</v>
      </c>
      <c r="K1922" s="25" t="str">
        <f aca="false">IFERROR(IF(INDEX(Documents!$G$5:$G$657,MATCH(H1922,Documents!$A$5:$A$657,0))="","",INDEX(Documents!$G$5:$G$657,MATCH(H1922,Documents!$A$5:$A$657,0))),"")</f>
        <v>10.1021/jm801563d</v>
      </c>
      <c r="L1922" s="25" t="s">
        <v>601</v>
      </c>
    </row>
    <row r="1923" customFormat="false" ht="15" hidden="false" customHeight="false" outlineLevel="0" collapsed="false">
      <c r="A1923" s="25" t="n">
        <v>19482349</v>
      </c>
      <c r="B1923" s="25" t="s">
        <v>4267</v>
      </c>
      <c r="C1923" s="25" t="s">
        <v>4268</v>
      </c>
      <c r="D1923" s="26" t="n">
        <v>26</v>
      </c>
      <c r="E1923" s="27" t="n">
        <v>7.58502665202918</v>
      </c>
      <c r="F1923" s="27" t="n">
        <v>7.58502665202918</v>
      </c>
      <c r="G1923" s="25" t="s">
        <v>1161</v>
      </c>
      <c r="H1923" s="25" t="s">
        <v>724</v>
      </c>
      <c r="I1923" s="25" t="n">
        <f aca="false">IFERROR(IF(INDEX(Documents!$C$5:$C$657,MATCH(H1923,Documents!$A$5:$A$657,0))="","",INDEX(Documents!$C$5:$C$657,MATCH(H1923,Documents!$A$5:$A$657,0))),"")</f>
        <v>2019</v>
      </c>
      <c r="J1923" s="25" t="str">
        <f aca="false">IFERROR(IF(INDEX(Documents!$D$5:$D$657,MATCH(H1923,Documents!$A$5:$A$657,0))="","",INDEX(Documents!$D$5:$D$657,MATCH(H1923,Documents!$A$5:$A$657,0))),"")</f>
        <v>Eur J Med Chem</v>
      </c>
      <c r="K1923" s="25" t="str">
        <f aca="false">IFERROR(IF(INDEX(Documents!$G$5:$G$657,MATCH(H1923,Documents!$A$5:$A$657,0))="","",INDEX(Documents!$G$5:$G$657,MATCH(H1923,Documents!$A$5:$A$657,0))),"")</f>
        <v>10.1016/j.ejmech.2018.12.008</v>
      </c>
      <c r="L1923" s="25" t="s">
        <v>1162</v>
      </c>
    </row>
    <row r="1924" customFormat="false" ht="15" hidden="false" customHeight="false" outlineLevel="0" collapsed="false">
      <c r="A1924" s="25" t="n">
        <v>16283974</v>
      </c>
      <c r="B1924" s="25" t="s">
        <v>4269</v>
      </c>
      <c r="C1924" s="25" t="s">
        <v>4270</v>
      </c>
      <c r="D1924" s="26" t="n">
        <v>129</v>
      </c>
      <c r="E1924" s="27" t="n">
        <v>6.88941028970075</v>
      </c>
      <c r="F1924" s="27" t="n">
        <v>6.88941028970075</v>
      </c>
      <c r="G1924" s="25" t="s">
        <v>273</v>
      </c>
      <c r="H1924" s="25" t="s">
        <v>274</v>
      </c>
      <c r="I1924" s="25" t="n">
        <f aca="false">IFERROR(IF(INDEX(Documents!$C$5:$C$657,MATCH(H1924,Documents!$A$5:$A$657,0))="","",INDEX(Documents!$C$5:$C$657,MATCH(H1924,Documents!$A$5:$A$657,0))),"")</f>
        <v>2014</v>
      </c>
      <c r="J1924" s="25" t="str">
        <f aca="false">IFERROR(IF(INDEX(Documents!$D$5:$D$657,MATCH(H1924,Documents!$A$5:$A$657,0))="","",INDEX(Documents!$D$5:$D$657,MATCH(H1924,Documents!$A$5:$A$657,0))),"")</f>
        <v/>
      </c>
      <c r="K1924" s="25" t="str">
        <f aca="false">IFERROR(IF(INDEX(Documents!$G$5:$G$657,MATCH(H1924,Documents!$A$5:$A$657,0))="","",INDEX(Documents!$G$5:$G$657,MATCH(H1924,Documents!$A$5:$A$657,0))),"")</f>
        <v/>
      </c>
      <c r="L1924" s="25" t="s">
        <v>275</v>
      </c>
    </row>
    <row r="1925" customFormat="false" ht="15" hidden="false" customHeight="false" outlineLevel="0" collapsed="false">
      <c r="A1925" s="25" t="n">
        <v>13330413</v>
      </c>
      <c r="B1925" s="25" t="s">
        <v>4271</v>
      </c>
      <c r="C1925" s="25" t="s">
        <v>4272</v>
      </c>
      <c r="D1925" s="26" t="n">
        <v>66</v>
      </c>
      <c r="E1925" s="27" t="n">
        <v>7.18045606445813</v>
      </c>
      <c r="F1925" s="27" t="n">
        <v>7.18045606445813</v>
      </c>
      <c r="G1925" s="25" t="s">
        <v>1055</v>
      </c>
      <c r="H1925" s="25" t="s">
        <v>1056</v>
      </c>
      <c r="I1925" s="25" t="n">
        <f aca="false">IFERROR(IF(INDEX(Documents!$C$5:$C$657,MATCH(H1925,Documents!$A$5:$A$657,0))="","",INDEX(Documents!$C$5:$C$657,MATCH(H1925,Documents!$A$5:$A$657,0))),"")</f>
        <v>2013</v>
      </c>
      <c r="J1925" s="25" t="str">
        <f aca="false">IFERROR(IF(INDEX(Documents!$D$5:$D$657,MATCH(H1925,Documents!$A$5:$A$657,0))="","",INDEX(Documents!$D$5:$D$657,MATCH(H1925,Documents!$A$5:$A$657,0))),"")</f>
        <v>Bioorg Med Chem</v>
      </c>
      <c r="K1925" s="25" t="str">
        <f aca="false">IFERROR(IF(INDEX(Documents!$G$5:$G$657,MATCH(H1925,Documents!$A$5:$A$657,0))="","",INDEX(Documents!$G$5:$G$657,MATCH(H1925,Documents!$A$5:$A$657,0))),"")</f>
        <v>10.1016/j.bmc.2013.03.030</v>
      </c>
      <c r="L1925" s="25" t="s">
        <v>1057</v>
      </c>
    </row>
    <row r="1926" customFormat="false" ht="15" hidden="false" customHeight="false" outlineLevel="0" collapsed="false">
      <c r="A1926" s="25" t="n">
        <v>12723313</v>
      </c>
      <c r="B1926" s="25" t="s">
        <v>4273</v>
      </c>
      <c r="C1926" s="25" t="s">
        <v>4274</v>
      </c>
      <c r="D1926" s="26" t="n">
        <v>1310</v>
      </c>
      <c r="E1926" s="27" t="n">
        <v>5.88272870434424</v>
      </c>
      <c r="F1926" s="27" t="n">
        <v>5.88272870434424</v>
      </c>
      <c r="G1926" s="25" t="s">
        <v>2796</v>
      </c>
      <c r="H1926" s="25" t="s">
        <v>2797</v>
      </c>
      <c r="I1926" s="25" t="n">
        <f aca="false">IFERROR(IF(INDEX(Documents!$C$5:$C$657,MATCH(H1926,Documents!$A$5:$A$657,0))="","",INDEX(Documents!$C$5:$C$657,MATCH(H1926,Documents!$A$5:$A$657,0))),"")</f>
        <v>2013</v>
      </c>
      <c r="J1926" s="25" t="str">
        <f aca="false">IFERROR(IF(INDEX(Documents!$D$5:$D$657,MATCH(H1926,Documents!$A$5:$A$657,0))="","",INDEX(Documents!$D$5:$D$657,MATCH(H1926,Documents!$A$5:$A$657,0))),"")</f>
        <v>Bioorg Med Chem</v>
      </c>
      <c r="K1926" s="25" t="str">
        <f aca="false">IFERROR(IF(INDEX(Documents!$G$5:$G$657,MATCH(H1926,Documents!$A$5:$A$657,0))="","",INDEX(Documents!$G$5:$G$657,MATCH(H1926,Documents!$A$5:$A$657,0))),"")</f>
        <v>10.1016/j.bmc.2013.01.006</v>
      </c>
      <c r="L1926" s="25" t="s">
        <v>2798</v>
      </c>
    </row>
    <row r="1927" customFormat="false" ht="15" hidden="false" customHeight="false" outlineLevel="0" collapsed="false">
      <c r="A1927" s="25" t="n">
        <v>12723305</v>
      </c>
      <c r="B1927" s="25" t="s">
        <v>4275</v>
      </c>
      <c r="C1927" s="25" t="s">
        <v>4276</v>
      </c>
      <c r="D1927" s="26" t="n">
        <v>768</v>
      </c>
      <c r="E1927" s="27" t="n">
        <v>6.11463877996849</v>
      </c>
      <c r="F1927" s="27" t="n">
        <v>6.11463877996849</v>
      </c>
      <c r="G1927" s="25" t="s">
        <v>2796</v>
      </c>
      <c r="H1927" s="25" t="s">
        <v>2797</v>
      </c>
      <c r="I1927" s="25" t="n">
        <f aca="false">IFERROR(IF(INDEX(Documents!$C$5:$C$657,MATCH(H1927,Documents!$A$5:$A$657,0))="","",INDEX(Documents!$C$5:$C$657,MATCH(H1927,Documents!$A$5:$A$657,0))),"")</f>
        <v>2013</v>
      </c>
      <c r="J1927" s="25" t="str">
        <f aca="false">IFERROR(IF(INDEX(Documents!$D$5:$D$657,MATCH(H1927,Documents!$A$5:$A$657,0))="","",INDEX(Documents!$D$5:$D$657,MATCH(H1927,Documents!$A$5:$A$657,0))),"")</f>
        <v>Bioorg Med Chem</v>
      </c>
      <c r="K1927" s="25" t="str">
        <f aca="false">IFERROR(IF(INDEX(Documents!$G$5:$G$657,MATCH(H1927,Documents!$A$5:$A$657,0))="","",INDEX(Documents!$G$5:$G$657,MATCH(H1927,Documents!$A$5:$A$657,0))),"")</f>
        <v>10.1016/j.bmc.2013.01.006</v>
      </c>
      <c r="L1927" s="25" t="s">
        <v>2798</v>
      </c>
    </row>
    <row r="1928" customFormat="false" ht="15" hidden="false" customHeight="false" outlineLevel="0" collapsed="false">
      <c r="A1928" s="25" t="n">
        <v>12723298</v>
      </c>
      <c r="B1928" s="25" t="s">
        <v>4277</v>
      </c>
      <c r="C1928" s="25" t="s">
        <v>4278</v>
      </c>
      <c r="D1928" s="26" t="n">
        <v>343</v>
      </c>
      <c r="E1928" s="27" t="n">
        <v>6.46470587995723</v>
      </c>
      <c r="F1928" s="27" t="n">
        <v>6.92072829477966</v>
      </c>
      <c r="G1928" s="25" t="s">
        <v>4279</v>
      </c>
      <c r="H1928" s="25" t="s">
        <v>2797</v>
      </c>
      <c r="I1928" s="25" t="n">
        <f aca="false">IFERROR(IF(INDEX(Documents!$C$5:$C$657,MATCH(H1928,Documents!$A$5:$A$657,0))="","",INDEX(Documents!$C$5:$C$657,MATCH(H1928,Documents!$A$5:$A$657,0))),"")</f>
        <v>2013</v>
      </c>
      <c r="J1928" s="25" t="str">
        <f aca="false">IFERROR(IF(INDEX(Documents!$D$5:$D$657,MATCH(H1928,Documents!$A$5:$A$657,0))="","",INDEX(Documents!$D$5:$D$657,MATCH(H1928,Documents!$A$5:$A$657,0))),"")</f>
        <v>Bioorg Med Chem</v>
      </c>
      <c r="K1928" s="25" t="str">
        <f aca="false">IFERROR(IF(INDEX(Documents!$G$5:$G$657,MATCH(H1928,Documents!$A$5:$A$657,0))="","",INDEX(Documents!$G$5:$G$657,MATCH(H1928,Documents!$A$5:$A$657,0))),"")</f>
        <v>10.1016/j.bmc.2013.01.006</v>
      </c>
      <c r="L1928" s="25" t="s">
        <v>4280</v>
      </c>
    </row>
    <row r="1929" customFormat="false" ht="15" hidden="false" customHeight="false" outlineLevel="0" collapsed="false">
      <c r="A1929" s="25" t="n">
        <v>12723308</v>
      </c>
      <c r="B1929" s="25" t="s">
        <v>4277</v>
      </c>
      <c r="C1929" s="25" t="s">
        <v>4278</v>
      </c>
      <c r="D1929" s="26" t="n">
        <v>42</v>
      </c>
      <c r="E1929" s="27" t="n">
        <v>7.3767507096021</v>
      </c>
      <c r="F1929" s="27" t="n">
        <v>6.92072829477966</v>
      </c>
      <c r="G1929" s="25" t="s">
        <v>2796</v>
      </c>
      <c r="H1929" s="25" t="s">
        <v>2797</v>
      </c>
      <c r="I1929" s="25" t="n">
        <f aca="false">IFERROR(IF(INDEX(Documents!$C$5:$C$657,MATCH(H1929,Documents!$A$5:$A$657,0))="","",INDEX(Documents!$C$5:$C$657,MATCH(H1929,Documents!$A$5:$A$657,0))),"")</f>
        <v>2013</v>
      </c>
      <c r="J1929" s="25" t="str">
        <f aca="false">IFERROR(IF(INDEX(Documents!$D$5:$D$657,MATCH(H1929,Documents!$A$5:$A$657,0))="","",INDEX(Documents!$D$5:$D$657,MATCH(H1929,Documents!$A$5:$A$657,0))),"")</f>
        <v>Bioorg Med Chem</v>
      </c>
      <c r="K1929" s="25" t="str">
        <f aca="false">IFERROR(IF(INDEX(Documents!$G$5:$G$657,MATCH(H1929,Documents!$A$5:$A$657,0))="","",INDEX(Documents!$G$5:$G$657,MATCH(H1929,Documents!$A$5:$A$657,0))),"")</f>
        <v>10.1016/j.bmc.2013.01.006</v>
      </c>
      <c r="L1929" s="25" t="s">
        <v>2798</v>
      </c>
    </row>
    <row r="1930" customFormat="false" ht="15" hidden="false" customHeight="false" outlineLevel="0" collapsed="false">
      <c r="A1930" s="25" t="n">
        <v>12723296</v>
      </c>
      <c r="B1930" s="25" t="s">
        <v>4281</v>
      </c>
      <c r="C1930" s="25" t="s">
        <v>4282</v>
      </c>
      <c r="D1930" s="26" t="n">
        <v>19</v>
      </c>
      <c r="E1930" s="27" t="n">
        <v>7.72124639904717</v>
      </c>
      <c r="F1930" s="27" t="n">
        <v>7.82103257649977</v>
      </c>
      <c r="G1930" s="25" t="s">
        <v>4279</v>
      </c>
      <c r="H1930" s="25" t="s">
        <v>2797</v>
      </c>
      <c r="I1930" s="25" t="n">
        <f aca="false">IFERROR(IF(INDEX(Documents!$C$5:$C$657,MATCH(H1930,Documents!$A$5:$A$657,0))="","",INDEX(Documents!$C$5:$C$657,MATCH(H1930,Documents!$A$5:$A$657,0))),"")</f>
        <v>2013</v>
      </c>
      <c r="J1930" s="25" t="str">
        <f aca="false">IFERROR(IF(INDEX(Documents!$D$5:$D$657,MATCH(H1930,Documents!$A$5:$A$657,0))="","",INDEX(Documents!$D$5:$D$657,MATCH(H1930,Documents!$A$5:$A$657,0))),"")</f>
        <v>Bioorg Med Chem</v>
      </c>
      <c r="K1930" s="25" t="str">
        <f aca="false">IFERROR(IF(INDEX(Documents!$G$5:$G$657,MATCH(H1930,Documents!$A$5:$A$657,0))="","",INDEX(Documents!$G$5:$G$657,MATCH(H1930,Documents!$A$5:$A$657,0))),"")</f>
        <v>10.1016/j.bmc.2013.01.006</v>
      </c>
      <c r="L1930" s="25" t="s">
        <v>4280</v>
      </c>
    </row>
    <row r="1931" customFormat="false" ht="15" hidden="false" customHeight="false" outlineLevel="0" collapsed="false">
      <c r="A1931" s="25" t="n">
        <v>12723306</v>
      </c>
      <c r="B1931" s="25" t="s">
        <v>4281</v>
      </c>
      <c r="C1931" s="25" t="s">
        <v>4282</v>
      </c>
      <c r="D1931" s="26" t="n">
        <v>12</v>
      </c>
      <c r="E1931" s="27" t="n">
        <v>7.92081875395238</v>
      </c>
      <c r="F1931" s="27" t="n">
        <v>7.82103257649977</v>
      </c>
      <c r="G1931" s="25" t="s">
        <v>2796</v>
      </c>
      <c r="H1931" s="25" t="s">
        <v>2797</v>
      </c>
      <c r="I1931" s="25" t="n">
        <f aca="false">IFERROR(IF(INDEX(Documents!$C$5:$C$657,MATCH(H1931,Documents!$A$5:$A$657,0))="","",INDEX(Documents!$C$5:$C$657,MATCH(H1931,Documents!$A$5:$A$657,0))),"")</f>
        <v>2013</v>
      </c>
      <c r="J1931" s="25" t="str">
        <f aca="false">IFERROR(IF(INDEX(Documents!$D$5:$D$657,MATCH(H1931,Documents!$A$5:$A$657,0))="","",INDEX(Documents!$D$5:$D$657,MATCH(H1931,Documents!$A$5:$A$657,0))),"")</f>
        <v>Bioorg Med Chem</v>
      </c>
      <c r="K1931" s="25" t="str">
        <f aca="false">IFERROR(IF(INDEX(Documents!$G$5:$G$657,MATCH(H1931,Documents!$A$5:$A$657,0))="","",INDEX(Documents!$G$5:$G$657,MATCH(H1931,Documents!$A$5:$A$657,0))),"")</f>
        <v>10.1016/j.bmc.2013.01.006</v>
      </c>
      <c r="L1931" s="25" t="s">
        <v>2798</v>
      </c>
    </row>
    <row r="1932" customFormat="false" ht="15" hidden="false" customHeight="false" outlineLevel="0" collapsed="false">
      <c r="A1932" s="25" t="n">
        <v>12723301</v>
      </c>
      <c r="B1932" s="25" t="s">
        <v>4283</v>
      </c>
      <c r="C1932" s="25" t="s">
        <v>4284</v>
      </c>
      <c r="D1932" s="26" t="n">
        <v>617</v>
      </c>
      <c r="E1932" s="27" t="n">
        <v>6.20971483596676</v>
      </c>
      <c r="F1932" s="27" t="n">
        <v>6.6326160819083</v>
      </c>
      <c r="G1932" s="25" t="s">
        <v>4279</v>
      </c>
      <c r="H1932" s="25" t="s">
        <v>2797</v>
      </c>
      <c r="I1932" s="25" t="n">
        <f aca="false">IFERROR(IF(INDEX(Documents!$C$5:$C$657,MATCH(H1932,Documents!$A$5:$A$657,0))="","",INDEX(Documents!$C$5:$C$657,MATCH(H1932,Documents!$A$5:$A$657,0))),"")</f>
        <v>2013</v>
      </c>
      <c r="J1932" s="25" t="str">
        <f aca="false">IFERROR(IF(INDEX(Documents!$D$5:$D$657,MATCH(H1932,Documents!$A$5:$A$657,0))="","",INDEX(Documents!$D$5:$D$657,MATCH(H1932,Documents!$A$5:$A$657,0))),"")</f>
        <v>Bioorg Med Chem</v>
      </c>
      <c r="K1932" s="25" t="str">
        <f aca="false">IFERROR(IF(INDEX(Documents!$G$5:$G$657,MATCH(H1932,Documents!$A$5:$A$657,0))="","",INDEX(Documents!$G$5:$G$657,MATCH(H1932,Documents!$A$5:$A$657,0))),"")</f>
        <v>10.1016/j.bmc.2013.01.006</v>
      </c>
      <c r="L1932" s="25" t="s">
        <v>4280</v>
      </c>
    </row>
    <row r="1933" customFormat="false" ht="15" hidden="false" customHeight="false" outlineLevel="0" collapsed="false">
      <c r="A1933" s="25" t="n">
        <v>12723311</v>
      </c>
      <c r="B1933" s="25" t="s">
        <v>4283</v>
      </c>
      <c r="C1933" s="25" t="s">
        <v>4284</v>
      </c>
      <c r="D1933" s="26" t="n">
        <v>88</v>
      </c>
      <c r="E1933" s="27" t="n">
        <v>7.05551732784983</v>
      </c>
      <c r="F1933" s="27" t="n">
        <v>6.6326160819083</v>
      </c>
      <c r="G1933" s="25" t="s">
        <v>2796</v>
      </c>
      <c r="H1933" s="25" t="s">
        <v>2797</v>
      </c>
      <c r="I1933" s="25" t="n">
        <f aca="false">IFERROR(IF(INDEX(Documents!$C$5:$C$657,MATCH(H1933,Documents!$A$5:$A$657,0))="","",INDEX(Documents!$C$5:$C$657,MATCH(H1933,Documents!$A$5:$A$657,0))),"")</f>
        <v>2013</v>
      </c>
      <c r="J1933" s="25" t="str">
        <f aca="false">IFERROR(IF(INDEX(Documents!$D$5:$D$657,MATCH(H1933,Documents!$A$5:$A$657,0))="","",INDEX(Documents!$D$5:$D$657,MATCH(H1933,Documents!$A$5:$A$657,0))),"")</f>
        <v>Bioorg Med Chem</v>
      </c>
      <c r="K1933" s="25" t="str">
        <f aca="false">IFERROR(IF(INDEX(Documents!$G$5:$G$657,MATCH(H1933,Documents!$A$5:$A$657,0))="","",INDEX(Documents!$G$5:$G$657,MATCH(H1933,Documents!$A$5:$A$657,0))),"")</f>
        <v>10.1016/j.bmc.2013.01.006</v>
      </c>
      <c r="L1933" s="25" t="s">
        <v>2798</v>
      </c>
    </row>
    <row r="1934" customFormat="false" ht="15" hidden="false" customHeight="false" outlineLevel="0" collapsed="false">
      <c r="A1934" s="25" t="n">
        <v>12723323</v>
      </c>
      <c r="B1934" s="25" t="s">
        <v>4285</v>
      </c>
      <c r="C1934" s="25" t="s">
        <v>4286</v>
      </c>
      <c r="D1934" s="26" t="n">
        <v>976</v>
      </c>
      <c r="E1934" s="27" t="n">
        <v>6.01055018233331</v>
      </c>
      <c r="F1934" s="27" t="n">
        <v>6.01055018233331</v>
      </c>
      <c r="G1934" s="25" t="s">
        <v>2796</v>
      </c>
      <c r="H1934" s="25" t="s">
        <v>2797</v>
      </c>
      <c r="I1934" s="25" t="n">
        <f aca="false">IFERROR(IF(INDEX(Documents!$C$5:$C$657,MATCH(H1934,Documents!$A$5:$A$657,0))="","",INDEX(Documents!$C$5:$C$657,MATCH(H1934,Documents!$A$5:$A$657,0))),"")</f>
        <v>2013</v>
      </c>
      <c r="J1934" s="25" t="str">
        <f aca="false">IFERROR(IF(INDEX(Documents!$D$5:$D$657,MATCH(H1934,Documents!$A$5:$A$657,0))="","",INDEX(Documents!$D$5:$D$657,MATCH(H1934,Documents!$A$5:$A$657,0))),"")</f>
        <v>Bioorg Med Chem</v>
      </c>
      <c r="K1934" s="25" t="str">
        <f aca="false">IFERROR(IF(INDEX(Documents!$G$5:$G$657,MATCH(H1934,Documents!$A$5:$A$657,0))="","",INDEX(Documents!$G$5:$G$657,MATCH(H1934,Documents!$A$5:$A$657,0))),"")</f>
        <v>10.1016/j.bmc.2013.01.006</v>
      </c>
      <c r="L1934" s="25" t="s">
        <v>2798</v>
      </c>
    </row>
    <row r="1935" customFormat="false" ht="15" hidden="false" customHeight="false" outlineLevel="0" collapsed="false">
      <c r="A1935" s="25" t="n">
        <v>12723322</v>
      </c>
      <c r="B1935" s="25" t="s">
        <v>4287</v>
      </c>
      <c r="C1935" s="25" t="s">
        <v>4288</v>
      </c>
      <c r="D1935" s="26" t="n">
        <v>101</v>
      </c>
      <c r="E1935" s="27" t="n">
        <v>6.99567862621736</v>
      </c>
      <c r="F1935" s="27" t="n">
        <v>6.99567862621736</v>
      </c>
      <c r="G1935" s="25" t="s">
        <v>2796</v>
      </c>
      <c r="H1935" s="25" t="s">
        <v>2797</v>
      </c>
      <c r="I1935" s="25" t="n">
        <f aca="false">IFERROR(IF(INDEX(Documents!$C$5:$C$657,MATCH(H1935,Documents!$A$5:$A$657,0))="","",INDEX(Documents!$C$5:$C$657,MATCH(H1935,Documents!$A$5:$A$657,0))),"")</f>
        <v>2013</v>
      </c>
      <c r="J1935" s="25" t="str">
        <f aca="false">IFERROR(IF(INDEX(Documents!$D$5:$D$657,MATCH(H1935,Documents!$A$5:$A$657,0))="","",INDEX(Documents!$D$5:$D$657,MATCH(H1935,Documents!$A$5:$A$657,0))),"")</f>
        <v>Bioorg Med Chem</v>
      </c>
      <c r="K1935" s="25" t="str">
        <f aca="false">IFERROR(IF(INDEX(Documents!$G$5:$G$657,MATCH(H1935,Documents!$A$5:$A$657,0))="","",INDEX(Documents!$G$5:$G$657,MATCH(H1935,Documents!$A$5:$A$657,0))),"")</f>
        <v>10.1016/j.bmc.2013.01.006</v>
      </c>
      <c r="L1935" s="25" t="s">
        <v>2798</v>
      </c>
    </row>
    <row r="1936" customFormat="false" ht="15" hidden="false" customHeight="false" outlineLevel="0" collapsed="false">
      <c r="A1936" s="25" t="n">
        <v>10857015</v>
      </c>
      <c r="B1936" s="25" t="s">
        <v>4289</v>
      </c>
      <c r="C1936" s="25" t="s">
        <v>4290</v>
      </c>
      <c r="D1936" s="26" t="n">
        <v>348</v>
      </c>
      <c r="E1936" s="27" t="n">
        <v>6.45842075605342</v>
      </c>
      <c r="F1936" s="27" t="n">
        <v>6.45842075605342</v>
      </c>
      <c r="G1936" s="25" t="s">
        <v>4291</v>
      </c>
      <c r="H1936" s="25" t="s">
        <v>4292</v>
      </c>
      <c r="I1936" s="25" t="n">
        <f aca="false">IFERROR(IF(INDEX(Documents!$C$5:$C$657,MATCH(H1936,Documents!$A$5:$A$657,0))="","",INDEX(Documents!$C$5:$C$657,MATCH(H1936,Documents!$A$5:$A$657,0))),"")</f>
        <v>2012</v>
      </c>
      <c r="J1936" s="25" t="str">
        <f aca="false">IFERROR(IF(INDEX(Documents!$D$5:$D$657,MATCH(H1936,Documents!$A$5:$A$657,0))="","",INDEX(Documents!$D$5:$D$657,MATCH(H1936,Documents!$A$5:$A$657,0))),"")</f>
        <v>Bioorg Med Chem Lett</v>
      </c>
      <c r="K1936" s="25" t="str">
        <f aca="false">IFERROR(IF(INDEX(Documents!$G$5:$G$657,MATCH(H1936,Documents!$A$5:$A$657,0))="","",INDEX(Documents!$G$5:$G$657,MATCH(H1936,Documents!$A$5:$A$657,0))),"")</f>
        <v>10.1016/j.bmcl.2012.02.072</v>
      </c>
      <c r="L1936" s="25" t="s">
        <v>4293</v>
      </c>
    </row>
    <row r="1937" customFormat="false" ht="15" hidden="false" customHeight="false" outlineLevel="0" collapsed="false">
      <c r="A1937" s="25" t="n">
        <v>13330412</v>
      </c>
      <c r="B1937" s="25" t="s">
        <v>4294</v>
      </c>
      <c r="C1937" s="25" t="s">
        <v>4295</v>
      </c>
      <c r="D1937" s="26" t="n">
        <v>20</v>
      </c>
      <c r="E1937" s="27" t="n">
        <v>7.69897000433602</v>
      </c>
      <c r="F1937" s="27" t="n">
        <v>7.69897000433602</v>
      </c>
      <c r="G1937" s="25" t="s">
        <v>1055</v>
      </c>
      <c r="H1937" s="25" t="s">
        <v>1056</v>
      </c>
      <c r="I1937" s="25" t="n">
        <f aca="false">IFERROR(IF(INDEX(Documents!$C$5:$C$657,MATCH(H1937,Documents!$A$5:$A$657,0))="","",INDEX(Documents!$C$5:$C$657,MATCH(H1937,Documents!$A$5:$A$657,0))),"")</f>
        <v>2013</v>
      </c>
      <c r="J1937" s="25" t="str">
        <f aca="false">IFERROR(IF(INDEX(Documents!$D$5:$D$657,MATCH(H1937,Documents!$A$5:$A$657,0))="","",INDEX(Documents!$D$5:$D$657,MATCH(H1937,Documents!$A$5:$A$657,0))),"")</f>
        <v>Bioorg Med Chem</v>
      </c>
      <c r="K1937" s="25" t="str">
        <f aca="false">IFERROR(IF(INDEX(Documents!$G$5:$G$657,MATCH(H1937,Documents!$A$5:$A$657,0))="","",INDEX(Documents!$G$5:$G$657,MATCH(H1937,Documents!$A$5:$A$657,0))),"")</f>
        <v>10.1016/j.bmc.2013.03.030</v>
      </c>
      <c r="L1937" s="25" t="s">
        <v>1057</v>
      </c>
    </row>
    <row r="1938" customFormat="false" ht="15" hidden="false" customHeight="false" outlineLevel="0" collapsed="false">
      <c r="A1938" s="25" t="n">
        <v>10857016</v>
      </c>
      <c r="B1938" s="25" t="s">
        <v>4296</v>
      </c>
      <c r="C1938" s="25" t="s">
        <v>4297</v>
      </c>
      <c r="D1938" s="26" t="n">
        <v>382</v>
      </c>
      <c r="E1938" s="27" t="n">
        <v>6.41793663708829</v>
      </c>
      <c r="F1938" s="27" t="n">
        <v>6.41793663708829</v>
      </c>
      <c r="G1938" s="25" t="s">
        <v>4291</v>
      </c>
      <c r="H1938" s="25" t="s">
        <v>4292</v>
      </c>
      <c r="I1938" s="25" t="n">
        <f aca="false">IFERROR(IF(INDEX(Documents!$C$5:$C$657,MATCH(H1938,Documents!$A$5:$A$657,0))="","",INDEX(Documents!$C$5:$C$657,MATCH(H1938,Documents!$A$5:$A$657,0))),"")</f>
        <v>2012</v>
      </c>
      <c r="J1938" s="25" t="str">
        <f aca="false">IFERROR(IF(INDEX(Documents!$D$5:$D$657,MATCH(H1938,Documents!$A$5:$A$657,0))="","",INDEX(Documents!$D$5:$D$657,MATCH(H1938,Documents!$A$5:$A$657,0))),"")</f>
        <v>Bioorg Med Chem Lett</v>
      </c>
      <c r="K1938" s="25" t="str">
        <f aca="false">IFERROR(IF(INDEX(Documents!$G$5:$G$657,MATCH(H1938,Documents!$A$5:$A$657,0))="","",INDEX(Documents!$G$5:$G$657,MATCH(H1938,Documents!$A$5:$A$657,0))),"")</f>
        <v>10.1016/j.bmcl.2012.02.072</v>
      </c>
      <c r="L1938" s="25" t="s">
        <v>4293</v>
      </c>
    </row>
    <row r="1939" customFormat="false" ht="15" hidden="false" customHeight="false" outlineLevel="0" collapsed="false">
      <c r="A1939" s="25" t="n">
        <v>19105747</v>
      </c>
      <c r="B1939" s="25" t="s">
        <v>4298</v>
      </c>
      <c r="C1939" s="25" t="s">
        <v>4299</v>
      </c>
      <c r="D1939" s="26" t="n">
        <v>370</v>
      </c>
      <c r="E1939" s="27" t="n">
        <v>6.43179827593301</v>
      </c>
      <c r="F1939" s="27" t="n">
        <v>6.43179827593301</v>
      </c>
      <c r="G1939" s="25" t="s">
        <v>4300</v>
      </c>
      <c r="H1939" s="25" t="s">
        <v>4301</v>
      </c>
      <c r="I1939" s="25" t="n">
        <f aca="false">IFERROR(IF(INDEX(Documents!$C$5:$C$657,MATCH(H1939,Documents!$A$5:$A$657,0))="","",INDEX(Documents!$C$5:$C$657,MATCH(H1939,Documents!$A$5:$A$657,0))),"")</f>
        <v>2018</v>
      </c>
      <c r="J1939" s="25" t="str">
        <f aca="false">IFERROR(IF(INDEX(Documents!$D$5:$D$657,MATCH(H1939,Documents!$A$5:$A$657,0))="","",INDEX(Documents!$D$5:$D$657,MATCH(H1939,Documents!$A$5:$A$657,0))),"")</f>
        <v>Medchemcomm</v>
      </c>
      <c r="K1939" s="25" t="str">
        <f aca="false">IFERROR(IF(INDEX(Documents!$G$5:$G$657,MATCH(H1939,Documents!$A$5:$A$657,0))="","",INDEX(Documents!$G$5:$G$657,MATCH(H1939,Documents!$A$5:$A$657,0))),"")</f>
        <v>10.1039/C8MD00461G</v>
      </c>
      <c r="L1939" s="25" t="s">
        <v>4302</v>
      </c>
    </row>
    <row r="1940" customFormat="false" ht="15" hidden="false" customHeight="false" outlineLevel="0" collapsed="false">
      <c r="A1940" s="25" t="n">
        <v>13330400</v>
      </c>
      <c r="B1940" s="25" t="s">
        <v>4303</v>
      </c>
      <c r="C1940" s="25" t="s">
        <v>4304</v>
      </c>
      <c r="D1940" s="26" t="n">
        <v>0.1</v>
      </c>
      <c r="E1940" s="27" t="n">
        <v>10</v>
      </c>
      <c r="F1940" s="27" t="n">
        <v>10</v>
      </c>
      <c r="G1940" s="25" t="s">
        <v>1055</v>
      </c>
      <c r="H1940" s="25" t="s">
        <v>1056</v>
      </c>
      <c r="I1940" s="25" t="n">
        <f aca="false">IFERROR(IF(INDEX(Documents!$C$5:$C$657,MATCH(H1940,Documents!$A$5:$A$657,0))="","",INDEX(Documents!$C$5:$C$657,MATCH(H1940,Documents!$A$5:$A$657,0))),"")</f>
        <v>2013</v>
      </c>
      <c r="J1940" s="25" t="str">
        <f aca="false">IFERROR(IF(INDEX(Documents!$D$5:$D$657,MATCH(H1940,Documents!$A$5:$A$657,0))="","",INDEX(Documents!$D$5:$D$657,MATCH(H1940,Documents!$A$5:$A$657,0))),"")</f>
        <v>Bioorg Med Chem</v>
      </c>
      <c r="K1940" s="25" t="str">
        <f aca="false">IFERROR(IF(INDEX(Documents!$G$5:$G$657,MATCH(H1940,Documents!$A$5:$A$657,0))="","",INDEX(Documents!$G$5:$G$657,MATCH(H1940,Documents!$A$5:$A$657,0))),"")</f>
        <v>10.1016/j.bmc.2013.03.030</v>
      </c>
      <c r="L1940" s="25" t="s">
        <v>1057</v>
      </c>
    </row>
    <row r="1941" customFormat="false" ht="15" hidden="false" customHeight="false" outlineLevel="0" collapsed="false">
      <c r="A1941" s="25" t="n">
        <v>13330403</v>
      </c>
      <c r="B1941" s="25" t="s">
        <v>4305</v>
      </c>
      <c r="C1941" s="25" t="s">
        <v>4306</v>
      </c>
      <c r="D1941" s="26" t="n">
        <v>4</v>
      </c>
      <c r="E1941" s="27" t="n">
        <v>8.39794000867204</v>
      </c>
      <c r="F1941" s="27" t="n">
        <v>8.39794000867204</v>
      </c>
      <c r="G1941" s="25" t="s">
        <v>1055</v>
      </c>
      <c r="H1941" s="25" t="s">
        <v>1056</v>
      </c>
      <c r="I1941" s="25" t="n">
        <f aca="false">IFERROR(IF(INDEX(Documents!$C$5:$C$657,MATCH(H1941,Documents!$A$5:$A$657,0))="","",INDEX(Documents!$C$5:$C$657,MATCH(H1941,Documents!$A$5:$A$657,0))),"")</f>
        <v>2013</v>
      </c>
      <c r="J1941" s="25" t="str">
        <f aca="false">IFERROR(IF(INDEX(Documents!$D$5:$D$657,MATCH(H1941,Documents!$A$5:$A$657,0))="","",INDEX(Documents!$D$5:$D$657,MATCH(H1941,Documents!$A$5:$A$657,0))),"")</f>
        <v>Bioorg Med Chem</v>
      </c>
      <c r="K1941" s="25" t="str">
        <f aca="false">IFERROR(IF(INDEX(Documents!$G$5:$G$657,MATCH(H1941,Documents!$A$5:$A$657,0))="","",INDEX(Documents!$G$5:$G$657,MATCH(H1941,Documents!$A$5:$A$657,0))),"")</f>
        <v>10.1016/j.bmc.2013.03.030</v>
      </c>
      <c r="L1941" s="25" t="s">
        <v>1057</v>
      </c>
    </row>
    <row r="1942" customFormat="false" ht="15" hidden="false" customHeight="false" outlineLevel="0" collapsed="false">
      <c r="A1942" s="25" t="n">
        <v>10857009</v>
      </c>
      <c r="B1942" s="25" t="s">
        <v>4307</v>
      </c>
      <c r="C1942" s="25" t="s">
        <v>4308</v>
      </c>
      <c r="D1942" s="26" t="n">
        <v>56</v>
      </c>
      <c r="E1942" s="27" t="n">
        <v>7.2518119729938</v>
      </c>
      <c r="F1942" s="27" t="n">
        <v>7.2518119729938</v>
      </c>
      <c r="G1942" s="25" t="s">
        <v>4291</v>
      </c>
      <c r="H1942" s="25" t="s">
        <v>4292</v>
      </c>
      <c r="I1942" s="25" t="n">
        <f aca="false">IFERROR(IF(INDEX(Documents!$C$5:$C$657,MATCH(H1942,Documents!$A$5:$A$657,0))="","",INDEX(Documents!$C$5:$C$657,MATCH(H1942,Documents!$A$5:$A$657,0))),"")</f>
        <v>2012</v>
      </c>
      <c r="J1942" s="25" t="str">
        <f aca="false">IFERROR(IF(INDEX(Documents!$D$5:$D$657,MATCH(H1942,Documents!$A$5:$A$657,0))="","",INDEX(Documents!$D$5:$D$657,MATCH(H1942,Documents!$A$5:$A$657,0))),"")</f>
        <v>Bioorg Med Chem Lett</v>
      </c>
      <c r="K1942" s="25" t="str">
        <f aca="false">IFERROR(IF(INDEX(Documents!$G$5:$G$657,MATCH(H1942,Documents!$A$5:$A$657,0))="","",INDEX(Documents!$G$5:$G$657,MATCH(H1942,Documents!$A$5:$A$657,0))),"")</f>
        <v>10.1016/j.bmcl.2012.02.072</v>
      </c>
      <c r="L1942" s="25" t="s">
        <v>4293</v>
      </c>
    </row>
    <row r="1943" customFormat="false" ht="15" hidden="false" customHeight="false" outlineLevel="0" collapsed="false">
      <c r="A1943" s="25" t="n">
        <v>13330402</v>
      </c>
      <c r="B1943" s="25" t="s">
        <v>4309</v>
      </c>
      <c r="C1943" s="25" t="s">
        <v>4310</v>
      </c>
      <c r="D1943" s="26" t="n">
        <v>0.2</v>
      </c>
      <c r="E1943" s="27" t="n">
        <v>9.69897000433602</v>
      </c>
      <c r="F1943" s="27" t="n">
        <v>9.69897000433602</v>
      </c>
      <c r="G1943" s="25" t="s">
        <v>1055</v>
      </c>
      <c r="H1943" s="25" t="s">
        <v>1056</v>
      </c>
      <c r="I1943" s="25" t="n">
        <f aca="false">IFERROR(IF(INDEX(Documents!$C$5:$C$657,MATCH(H1943,Documents!$A$5:$A$657,0))="","",INDEX(Documents!$C$5:$C$657,MATCH(H1943,Documents!$A$5:$A$657,0))),"")</f>
        <v>2013</v>
      </c>
      <c r="J1943" s="25" t="str">
        <f aca="false">IFERROR(IF(INDEX(Documents!$D$5:$D$657,MATCH(H1943,Documents!$A$5:$A$657,0))="","",INDEX(Documents!$D$5:$D$657,MATCH(H1943,Documents!$A$5:$A$657,0))),"")</f>
        <v>Bioorg Med Chem</v>
      </c>
      <c r="K1943" s="25" t="str">
        <f aca="false">IFERROR(IF(INDEX(Documents!$G$5:$G$657,MATCH(H1943,Documents!$A$5:$A$657,0))="","",INDEX(Documents!$G$5:$G$657,MATCH(H1943,Documents!$A$5:$A$657,0))),"")</f>
        <v>10.1016/j.bmc.2013.03.030</v>
      </c>
      <c r="L1943" s="25" t="s">
        <v>1057</v>
      </c>
    </row>
    <row r="1944" customFormat="false" ht="15" hidden="false" customHeight="false" outlineLevel="0" collapsed="false">
      <c r="A1944" s="25" t="n">
        <v>13330401</v>
      </c>
      <c r="B1944" s="25" t="s">
        <v>4311</v>
      </c>
      <c r="C1944" s="25" t="s">
        <v>4312</v>
      </c>
      <c r="D1944" s="26" t="n">
        <v>147</v>
      </c>
      <c r="E1944" s="27" t="n">
        <v>6.83268266525182</v>
      </c>
      <c r="F1944" s="27" t="n">
        <v>6.83268266525182</v>
      </c>
      <c r="G1944" s="25" t="s">
        <v>1055</v>
      </c>
      <c r="H1944" s="25" t="s">
        <v>1056</v>
      </c>
      <c r="I1944" s="25" t="n">
        <f aca="false">IFERROR(IF(INDEX(Documents!$C$5:$C$657,MATCH(H1944,Documents!$A$5:$A$657,0))="","",INDEX(Documents!$C$5:$C$657,MATCH(H1944,Documents!$A$5:$A$657,0))),"")</f>
        <v>2013</v>
      </c>
      <c r="J1944" s="25" t="str">
        <f aca="false">IFERROR(IF(INDEX(Documents!$D$5:$D$657,MATCH(H1944,Documents!$A$5:$A$657,0))="","",INDEX(Documents!$D$5:$D$657,MATCH(H1944,Documents!$A$5:$A$657,0))),"")</f>
        <v>Bioorg Med Chem</v>
      </c>
      <c r="K1944" s="25" t="str">
        <f aca="false">IFERROR(IF(INDEX(Documents!$G$5:$G$657,MATCH(H1944,Documents!$A$5:$A$657,0))="","",INDEX(Documents!$G$5:$G$657,MATCH(H1944,Documents!$A$5:$A$657,0))),"")</f>
        <v>10.1016/j.bmc.2013.03.030</v>
      </c>
      <c r="L1944" s="25" t="s">
        <v>1057</v>
      </c>
    </row>
    <row r="1945" customFormat="false" ht="15" hidden="false" customHeight="false" outlineLevel="0" collapsed="false">
      <c r="A1945" s="25" t="n">
        <v>13330399</v>
      </c>
      <c r="B1945" s="25" t="s">
        <v>4313</v>
      </c>
      <c r="C1945" s="25" t="s">
        <v>4314</v>
      </c>
      <c r="D1945" s="26" t="n">
        <v>1.6</v>
      </c>
      <c r="E1945" s="27" t="n">
        <v>8.79588001734408</v>
      </c>
      <c r="F1945" s="27" t="n">
        <v>8.79588001734408</v>
      </c>
      <c r="G1945" s="25" t="s">
        <v>1055</v>
      </c>
      <c r="H1945" s="25" t="s">
        <v>1056</v>
      </c>
      <c r="I1945" s="25" t="n">
        <f aca="false">IFERROR(IF(INDEX(Documents!$C$5:$C$657,MATCH(H1945,Documents!$A$5:$A$657,0))="","",INDEX(Documents!$C$5:$C$657,MATCH(H1945,Documents!$A$5:$A$657,0))),"")</f>
        <v>2013</v>
      </c>
      <c r="J1945" s="25" t="str">
        <f aca="false">IFERROR(IF(INDEX(Documents!$D$5:$D$657,MATCH(H1945,Documents!$A$5:$A$657,0))="","",INDEX(Documents!$D$5:$D$657,MATCH(H1945,Documents!$A$5:$A$657,0))),"")</f>
        <v>Bioorg Med Chem</v>
      </c>
      <c r="K1945" s="25" t="str">
        <f aca="false">IFERROR(IF(INDEX(Documents!$G$5:$G$657,MATCH(H1945,Documents!$A$5:$A$657,0))="","",INDEX(Documents!$G$5:$G$657,MATCH(H1945,Documents!$A$5:$A$657,0))),"")</f>
        <v>10.1016/j.bmc.2013.03.030</v>
      </c>
      <c r="L1945" s="25" t="s">
        <v>1057</v>
      </c>
    </row>
    <row r="1946" customFormat="false" ht="15" hidden="false" customHeight="false" outlineLevel="0" collapsed="false">
      <c r="A1946" s="25" t="n">
        <v>13330411</v>
      </c>
      <c r="B1946" s="25" t="s">
        <v>4315</v>
      </c>
      <c r="C1946" s="25" t="s">
        <v>4316</v>
      </c>
      <c r="D1946" s="26" t="n">
        <v>16</v>
      </c>
      <c r="E1946" s="27" t="n">
        <v>7.79588001734408</v>
      </c>
      <c r="F1946" s="27" t="n">
        <v>7.79588001734408</v>
      </c>
      <c r="G1946" s="25" t="s">
        <v>1055</v>
      </c>
      <c r="H1946" s="25" t="s">
        <v>1056</v>
      </c>
      <c r="I1946" s="25" t="n">
        <f aca="false">IFERROR(IF(INDEX(Documents!$C$5:$C$657,MATCH(H1946,Documents!$A$5:$A$657,0))="","",INDEX(Documents!$C$5:$C$657,MATCH(H1946,Documents!$A$5:$A$657,0))),"")</f>
        <v>2013</v>
      </c>
      <c r="J1946" s="25" t="str">
        <f aca="false">IFERROR(IF(INDEX(Documents!$D$5:$D$657,MATCH(H1946,Documents!$A$5:$A$657,0))="","",INDEX(Documents!$D$5:$D$657,MATCH(H1946,Documents!$A$5:$A$657,0))),"")</f>
        <v>Bioorg Med Chem</v>
      </c>
      <c r="K1946" s="25" t="str">
        <f aca="false">IFERROR(IF(INDEX(Documents!$G$5:$G$657,MATCH(H1946,Documents!$A$5:$A$657,0))="","",INDEX(Documents!$G$5:$G$657,MATCH(H1946,Documents!$A$5:$A$657,0))),"")</f>
        <v>10.1016/j.bmc.2013.03.030</v>
      </c>
      <c r="L1946" s="25" t="s">
        <v>1057</v>
      </c>
    </row>
    <row r="1947" customFormat="false" ht="15" hidden="false" customHeight="false" outlineLevel="0" collapsed="false">
      <c r="A1947" s="25" t="n">
        <v>13330410</v>
      </c>
      <c r="B1947" s="25" t="s">
        <v>4317</v>
      </c>
      <c r="C1947" s="25" t="s">
        <v>4318</v>
      </c>
      <c r="D1947" s="26" t="n">
        <v>17</v>
      </c>
      <c r="E1947" s="27" t="n">
        <v>7.76955107862173</v>
      </c>
      <c r="F1947" s="27" t="n">
        <v>7.76955107862173</v>
      </c>
      <c r="G1947" s="25" t="s">
        <v>1055</v>
      </c>
      <c r="H1947" s="25" t="s">
        <v>1056</v>
      </c>
      <c r="I1947" s="25" t="n">
        <f aca="false">IFERROR(IF(INDEX(Documents!$C$5:$C$657,MATCH(H1947,Documents!$A$5:$A$657,0))="","",INDEX(Documents!$C$5:$C$657,MATCH(H1947,Documents!$A$5:$A$657,0))),"")</f>
        <v>2013</v>
      </c>
      <c r="J1947" s="25" t="str">
        <f aca="false">IFERROR(IF(INDEX(Documents!$D$5:$D$657,MATCH(H1947,Documents!$A$5:$A$657,0))="","",INDEX(Documents!$D$5:$D$657,MATCH(H1947,Documents!$A$5:$A$657,0))),"")</f>
        <v>Bioorg Med Chem</v>
      </c>
      <c r="K1947" s="25" t="str">
        <f aca="false">IFERROR(IF(INDEX(Documents!$G$5:$G$657,MATCH(H1947,Documents!$A$5:$A$657,0))="","",INDEX(Documents!$G$5:$G$657,MATCH(H1947,Documents!$A$5:$A$657,0))),"")</f>
        <v>10.1016/j.bmc.2013.03.030</v>
      </c>
      <c r="L1947" s="25" t="s">
        <v>1057</v>
      </c>
    </row>
    <row r="1948" customFormat="false" ht="15" hidden="false" customHeight="false" outlineLevel="0" collapsed="false">
      <c r="A1948" s="25" t="n">
        <v>13330408</v>
      </c>
      <c r="B1948" s="25" t="s">
        <v>4319</v>
      </c>
      <c r="C1948" s="25" t="s">
        <v>4320</v>
      </c>
      <c r="D1948" s="26" t="n">
        <v>1.5</v>
      </c>
      <c r="E1948" s="27" t="n">
        <v>8.82390874094432</v>
      </c>
      <c r="F1948" s="27" t="n">
        <v>8.82390874094432</v>
      </c>
      <c r="G1948" s="25" t="s">
        <v>1055</v>
      </c>
      <c r="H1948" s="25" t="s">
        <v>1056</v>
      </c>
      <c r="I1948" s="25" t="n">
        <f aca="false">IFERROR(IF(INDEX(Documents!$C$5:$C$657,MATCH(H1948,Documents!$A$5:$A$657,0))="","",INDEX(Documents!$C$5:$C$657,MATCH(H1948,Documents!$A$5:$A$657,0))),"")</f>
        <v>2013</v>
      </c>
      <c r="J1948" s="25" t="str">
        <f aca="false">IFERROR(IF(INDEX(Documents!$D$5:$D$657,MATCH(H1948,Documents!$A$5:$A$657,0))="","",INDEX(Documents!$D$5:$D$657,MATCH(H1948,Documents!$A$5:$A$657,0))),"")</f>
        <v>Bioorg Med Chem</v>
      </c>
      <c r="K1948" s="25" t="str">
        <f aca="false">IFERROR(IF(INDEX(Documents!$G$5:$G$657,MATCH(H1948,Documents!$A$5:$A$657,0))="","",INDEX(Documents!$G$5:$G$657,MATCH(H1948,Documents!$A$5:$A$657,0))),"")</f>
        <v>10.1016/j.bmc.2013.03.030</v>
      </c>
      <c r="L1948" s="25" t="s">
        <v>1057</v>
      </c>
    </row>
    <row r="1949" customFormat="false" ht="15" hidden="false" customHeight="false" outlineLevel="0" collapsed="false">
      <c r="A1949" s="25" t="n">
        <v>13330409</v>
      </c>
      <c r="B1949" s="25" t="s">
        <v>4321</v>
      </c>
      <c r="C1949" s="25" t="s">
        <v>4322</v>
      </c>
      <c r="D1949" s="26" t="n">
        <v>204</v>
      </c>
      <c r="E1949" s="27" t="n">
        <v>6.6903698325741</v>
      </c>
      <c r="F1949" s="27" t="n">
        <v>6.6903698325741</v>
      </c>
      <c r="G1949" s="25" t="s">
        <v>1055</v>
      </c>
      <c r="H1949" s="25" t="s">
        <v>1056</v>
      </c>
      <c r="I1949" s="25" t="n">
        <f aca="false">IFERROR(IF(INDEX(Documents!$C$5:$C$657,MATCH(H1949,Documents!$A$5:$A$657,0))="","",INDEX(Documents!$C$5:$C$657,MATCH(H1949,Documents!$A$5:$A$657,0))),"")</f>
        <v>2013</v>
      </c>
      <c r="J1949" s="25" t="str">
        <f aca="false">IFERROR(IF(INDEX(Documents!$D$5:$D$657,MATCH(H1949,Documents!$A$5:$A$657,0))="","",INDEX(Documents!$D$5:$D$657,MATCH(H1949,Documents!$A$5:$A$657,0))),"")</f>
        <v>Bioorg Med Chem</v>
      </c>
      <c r="K1949" s="25" t="str">
        <f aca="false">IFERROR(IF(INDEX(Documents!$G$5:$G$657,MATCH(H1949,Documents!$A$5:$A$657,0))="","",INDEX(Documents!$G$5:$G$657,MATCH(H1949,Documents!$A$5:$A$657,0))),"")</f>
        <v>10.1016/j.bmc.2013.03.030</v>
      </c>
      <c r="L1949" s="25" t="s">
        <v>1057</v>
      </c>
    </row>
    <row r="1950" customFormat="false" ht="15" hidden="false" customHeight="false" outlineLevel="0" collapsed="false">
      <c r="A1950" s="25" t="n">
        <v>13330404</v>
      </c>
      <c r="B1950" s="25" t="s">
        <v>4323</v>
      </c>
      <c r="C1950" s="25" t="s">
        <v>4324</v>
      </c>
      <c r="D1950" s="26" t="n">
        <v>40</v>
      </c>
      <c r="E1950" s="27" t="n">
        <v>7.39794000867204</v>
      </c>
      <c r="F1950" s="27" t="n">
        <v>7.39794000867204</v>
      </c>
      <c r="G1950" s="25" t="s">
        <v>1055</v>
      </c>
      <c r="H1950" s="25" t="s">
        <v>1056</v>
      </c>
      <c r="I1950" s="25" t="n">
        <f aca="false">IFERROR(IF(INDEX(Documents!$C$5:$C$657,MATCH(H1950,Documents!$A$5:$A$657,0))="","",INDEX(Documents!$C$5:$C$657,MATCH(H1950,Documents!$A$5:$A$657,0))),"")</f>
        <v>2013</v>
      </c>
      <c r="J1950" s="25" t="str">
        <f aca="false">IFERROR(IF(INDEX(Documents!$D$5:$D$657,MATCH(H1950,Documents!$A$5:$A$657,0))="","",INDEX(Documents!$D$5:$D$657,MATCH(H1950,Documents!$A$5:$A$657,0))),"")</f>
        <v>Bioorg Med Chem</v>
      </c>
      <c r="K1950" s="25" t="str">
        <f aca="false">IFERROR(IF(INDEX(Documents!$G$5:$G$657,MATCH(H1950,Documents!$A$5:$A$657,0))="","",INDEX(Documents!$G$5:$G$657,MATCH(H1950,Documents!$A$5:$A$657,0))),"")</f>
        <v>10.1016/j.bmc.2013.03.030</v>
      </c>
      <c r="L1950" s="25" t="s">
        <v>1057</v>
      </c>
    </row>
    <row r="1951" customFormat="false" ht="15" hidden="false" customHeight="false" outlineLevel="0" collapsed="false">
      <c r="A1951" s="25" t="n">
        <v>13499117</v>
      </c>
      <c r="B1951" s="25" t="s">
        <v>4325</v>
      </c>
      <c r="C1951" s="25" t="s">
        <v>4326</v>
      </c>
      <c r="D1951" s="26" t="n">
        <v>264</v>
      </c>
      <c r="E1951" s="27" t="n">
        <v>6.57839607313017</v>
      </c>
      <c r="F1951" s="27" t="n">
        <v>6.57839607313017</v>
      </c>
      <c r="G1951" s="25" t="s">
        <v>757</v>
      </c>
      <c r="H1951" s="25" t="s">
        <v>758</v>
      </c>
      <c r="I1951" s="25" t="n">
        <f aca="false">IFERROR(IF(INDEX(Documents!$C$5:$C$657,MATCH(H1951,Documents!$A$5:$A$657,0))="","",INDEX(Documents!$C$5:$C$657,MATCH(H1951,Documents!$A$5:$A$657,0))),"")</f>
        <v>2013</v>
      </c>
      <c r="J1951" s="25" t="str">
        <f aca="false">IFERROR(IF(INDEX(Documents!$D$5:$D$657,MATCH(H1951,Documents!$A$5:$A$657,0))="","",INDEX(Documents!$D$5:$D$657,MATCH(H1951,Documents!$A$5:$A$657,0))),"")</f>
        <v>Eur J Med Chem</v>
      </c>
      <c r="K1951" s="25" t="str">
        <f aca="false">IFERROR(IF(INDEX(Documents!$G$5:$G$657,MATCH(H1951,Documents!$A$5:$A$657,0))="","",INDEX(Documents!$G$5:$G$657,MATCH(H1951,Documents!$A$5:$A$657,0))),"")</f>
        <v>10.1016/j.ejmech.2013.09.038</v>
      </c>
      <c r="L1951" s="25" t="s">
        <v>759</v>
      </c>
    </row>
    <row r="1952" customFormat="false" ht="15" hidden="false" customHeight="false" outlineLevel="0" collapsed="false">
      <c r="A1952" s="25" t="n">
        <v>13912579</v>
      </c>
      <c r="B1952" s="25" t="s">
        <v>4327</v>
      </c>
      <c r="C1952" s="25" t="s">
        <v>4328</v>
      </c>
      <c r="D1952" s="26" t="n">
        <v>5.1</v>
      </c>
      <c r="E1952" s="27" t="n">
        <v>8.29242982390206</v>
      </c>
      <c r="F1952" s="27" t="n">
        <v>8.29242982390206</v>
      </c>
      <c r="G1952" s="25" t="s">
        <v>1717</v>
      </c>
      <c r="H1952" s="25" t="s">
        <v>1718</v>
      </c>
      <c r="I1952" s="25" t="n">
        <f aca="false">IFERROR(IF(INDEX(Documents!$C$5:$C$657,MATCH(H1952,Documents!$A$5:$A$657,0))="","",INDEX(Documents!$C$5:$C$657,MATCH(H1952,Documents!$A$5:$A$657,0))),"")</f>
        <v>2014</v>
      </c>
      <c r="J1952" s="25" t="str">
        <f aca="false">IFERROR(IF(INDEX(Documents!$D$5:$D$657,MATCH(H1952,Documents!$A$5:$A$657,0))="","",INDEX(Documents!$D$5:$D$657,MATCH(H1952,Documents!$A$5:$A$657,0))),"")</f>
        <v>Eur J Med Chem</v>
      </c>
      <c r="K1952" s="25" t="str">
        <f aca="false">IFERROR(IF(INDEX(Documents!$G$5:$G$657,MATCH(H1952,Documents!$A$5:$A$657,0))="","",INDEX(Documents!$G$5:$G$657,MATCH(H1952,Documents!$A$5:$A$657,0))),"")</f>
        <v>10.1016/j.ejmech.2013.10.070</v>
      </c>
      <c r="L1952" s="25" t="s">
        <v>1719</v>
      </c>
    </row>
    <row r="1953" customFormat="false" ht="15" hidden="false" customHeight="false" outlineLevel="0" collapsed="false">
      <c r="A1953" s="25" t="n">
        <v>2980498</v>
      </c>
      <c r="B1953" s="25" t="s">
        <v>4329</v>
      </c>
      <c r="C1953" s="25" t="s">
        <v>4330</v>
      </c>
      <c r="D1953" s="26" t="n">
        <v>2</v>
      </c>
      <c r="E1953" s="27" t="n">
        <v>8.69897000433602</v>
      </c>
      <c r="F1953" s="27" t="n">
        <v>8.69951355215663</v>
      </c>
      <c r="G1953" s="25" t="s">
        <v>599</v>
      </c>
      <c r="H1953" s="25" t="s">
        <v>600</v>
      </c>
      <c r="I1953" s="25" t="n">
        <f aca="false">IFERROR(IF(INDEX(Documents!$C$5:$C$657,MATCH(H1953,Documents!$A$5:$A$657,0))="","",INDEX(Documents!$C$5:$C$657,MATCH(H1953,Documents!$A$5:$A$657,0))),"")</f>
        <v>2010</v>
      </c>
      <c r="J1953" s="25" t="str">
        <f aca="false">IFERROR(IF(INDEX(Documents!$D$5:$D$657,MATCH(H1953,Documents!$A$5:$A$657,0))="","",INDEX(Documents!$D$5:$D$657,MATCH(H1953,Documents!$A$5:$A$657,0))),"")</f>
        <v>J Med Chem</v>
      </c>
      <c r="K1953" s="25" t="str">
        <f aca="false">IFERROR(IF(INDEX(Documents!$G$5:$G$657,MATCH(H1953,Documents!$A$5:$A$657,0))="","",INDEX(Documents!$G$5:$G$657,MATCH(H1953,Documents!$A$5:$A$657,0))),"")</f>
        <v>10.1021/jm901214q</v>
      </c>
      <c r="L1953" s="25" t="s">
        <v>601</v>
      </c>
    </row>
    <row r="1954" customFormat="false" ht="15" hidden="false" customHeight="false" outlineLevel="0" collapsed="false">
      <c r="A1954" s="25" t="n">
        <v>2980579</v>
      </c>
      <c r="B1954" s="25" t="s">
        <v>4329</v>
      </c>
      <c r="C1954" s="25" t="s">
        <v>4330</v>
      </c>
      <c r="D1954" s="26" t="n">
        <v>1.995</v>
      </c>
      <c r="E1954" s="27" t="n">
        <v>8.70005709997723</v>
      </c>
      <c r="F1954" s="27" t="n">
        <v>8.69951355215663</v>
      </c>
      <c r="G1954" s="25" t="s">
        <v>599</v>
      </c>
      <c r="H1954" s="25" t="s">
        <v>600</v>
      </c>
      <c r="I1954" s="25" t="n">
        <f aca="false">IFERROR(IF(INDEX(Documents!$C$5:$C$657,MATCH(H1954,Documents!$A$5:$A$657,0))="","",INDEX(Documents!$C$5:$C$657,MATCH(H1954,Documents!$A$5:$A$657,0))),"")</f>
        <v>2010</v>
      </c>
      <c r="J1954" s="25" t="str">
        <f aca="false">IFERROR(IF(INDEX(Documents!$D$5:$D$657,MATCH(H1954,Documents!$A$5:$A$657,0))="","",INDEX(Documents!$D$5:$D$657,MATCH(H1954,Documents!$A$5:$A$657,0))),"")</f>
        <v>J Med Chem</v>
      </c>
      <c r="K1954" s="25" t="str">
        <f aca="false">IFERROR(IF(INDEX(Documents!$G$5:$G$657,MATCH(H1954,Documents!$A$5:$A$657,0))="","",INDEX(Documents!$G$5:$G$657,MATCH(H1954,Documents!$A$5:$A$657,0))),"")</f>
        <v>10.1021/jm901214q</v>
      </c>
      <c r="L1954" s="25" t="s">
        <v>601</v>
      </c>
    </row>
    <row r="1955" customFormat="false" ht="15" hidden="false" customHeight="false" outlineLevel="0" collapsed="false">
      <c r="A1955" s="25" t="n">
        <v>15199885</v>
      </c>
      <c r="B1955" s="25" t="s">
        <v>4331</v>
      </c>
      <c r="C1955" s="25" t="s">
        <v>4332</v>
      </c>
      <c r="D1955" s="26" t="n">
        <v>8.2</v>
      </c>
      <c r="E1955" s="27" t="n">
        <v>8.08618614761628</v>
      </c>
      <c r="F1955" s="27" t="n">
        <v>8.08618614761628</v>
      </c>
      <c r="G1955" s="25" t="s">
        <v>3562</v>
      </c>
      <c r="H1955" s="25" t="s">
        <v>3563</v>
      </c>
      <c r="I1955" s="25" t="n">
        <f aca="false">IFERROR(IF(INDEX(Documents!$C$5:$C$657,MATCH(H1955,Documents!$A$5:$A$657,0))="","",INDEX(Documents!$C$5:$C$657,MATCH(H1955,Documents!$A$5:$A$657,0))),"")</f>
        <v>2015</v>
      </c>
      <c r="J1955" s="25" t="str">
        <f aca="false">IFERROR(IF(INDEX(Documents!$D$5:$D$657,MATCH(H1955,Documents!$A$5:$A$657,0))="","",INDEX(Documents!$D$5:$D$657,MATCH(H1955,Documents!$A$5:$A$657,0))),"")</f>
        <v>Eur J Med Chem</v>
      </c>
      <c r="K1955" s="25" t="str">
        <f aca="false">IFERROR(IF(INDEX(Documents!$G$5:$G$657,MATCH(H1955,Documents!$A$5:$A$657,0))="","",INDEX(Documents!$G$5:$G$657,MATCH(H1955,Documents!$A$5:$A$657,0))),"")</f>
        <v>10.1016/j.ejmech.2015.01.028</v>
      </c>
      <c r="L1955" s="25" t="s">
        <v>3564</v>
      </c>
    </row>
    <row r="1956" customFormat="false" ht="15" hidden="false" customHeight="false" outlineLevel="0" collapsed="false">
      <c r="A1956" s="25" t="n">
        <v>15199886</v>
      </c>
      <c r="B1956" s="25" t="s">
        <v>4333</v>
      </c>
      <c r="C1956" s="25" t="s">
        <v>4334</v>
      </c>
      <c r="D1956" s="26" t="n">
        <v>3.3</v>
      </c>
      <c r="E1956" s="27" t="n">
        <v>8.48148606012211</v>
      </c>
      <c r="F1956" s="27" t="n">
        <v>8.48148606012211</v>
      </c>
      <c r="G1956" s="25" t="s">
        <v>3562</v>
      </c>
      <c r="H1956" s="25" t="s">
        <v>3563</v>
      </c>
      <c r="I1956" s="25" t="n">
        <f aca="false">IFERROR(IF(INDEX(Documents!$C$5:$C$657,MATCH(H1956,Documents!$A$5:$A$657,0))="","",INDEX(Documents!$C$5:$C$657,MATCH(H1956,Documents!$A$5:$A$657,0))),"")</f>
        <v>2015</v>
      </c>
      <c r="J1956" s="25" t="str">
        <f aca="false">IFERROR(IF(INDEX(Documents!$D$5:$D$657,MATCH(H1956,Documents!$A$5:$A$657,0))="","",INDEX(Documents!$D$5:$D$657,MATCH(H1956,Documents!$A$5:$A$657,0))),"")</f>
        <v>Eur J Med Chem</v>
      </c>
      <c r="K1956" s="25" t="str">
        <f aca="false">IFERROR(IF(INDEX(Documents!$G$5:$G$657,MATCH(H1956,Documents!$A$5:$A$657,0))="","",INDEX(Documents!$G$5:$G$657,MATCH(H1956,Documents!$A$5:$A$657,0))),"")</f>
        <v>10.1016/j.ejmech.2015.01.028</v>
      </c>
      <c r="L1956" s="25" t="s">
        <v>3564</v>
      </c>
    </row>
    <row r="1957" customFormat="false" ht="15" hidden="false" customHeight="false" outlineLevel="0" collapsed="false">
      <c r="A1957" s="25" t="n">
        <v>5124680</v>
      </c>
      <c r="B1957" s="25" t="s">
        <v>4335</v>
      </c>
      <c r="C1957" s="25" t="s">
        <v>4336</v>
      </c>
      <c r="D1957" s="26" t="n">
        <v>18.4</v>
      </c>
      <c r="E1957" s="27" t="n">
        <v>7.73518217699046</v>
      </c>
      <c r="F1957" s="27" t="n">
        <v>7.73518217699046</v>
      </c>
      <c r="G1957" s="25" t="s">
        <v>1948</v>
      </c>
      <c r="H1957" s="25" t="s">
        <v>1949</v>
      </c>
      <c r="I1957" s="25" t="n">
        <f aca="false">IFERROR(IF(INDEX(Documents!$C$5:$C$657,MATCH(H1957,Documents!$A$5:$A$657,0))="","",INDEX(Documents!$C$5:$C$657,MATCH(H1957,Documents!$A$5:$A$657,0))),"")</f>
        <v>2010</v>
      </c>
      <c r="J1957" s="25" t="str">
        <f aca="false">IFERROR(IF(INDEX(Documents!$D$5:$D$657,MATCH(H1957,Documents!$A$5:$A$657,0))="","",INDEX(Documents!$D$5:$D$657,MATCH(H1957,Documents!$A$5:$A$657,0))),"")</f>
        <v>J Med Chem</v>
      </c>
      <c r="K1957" s="25" t="str">
        <f aca="false">IFERROR(IF(INDEX(Documents!$G$5:$G$657,MATCH(H1957,Documents!$A$5:$A$657,0))="","",INDEX(Documents!$G$5:$G$657,MATCH(H1957,Documents!$A$5:$A$657,0))),"")</f>
        <v>10.1021/jm100286k</v>
      </c>
      <c r="L1957" s="25" t="s">
        <v>1950</v>
      </c>
    </row>
    <row r="1958" customFormat="false" ht="15" hidden="false" customHeight="false" outlineLevel="0" collapsed="false">
      <c r="A1958" s="25" t="n">
        <v>15199884</v>
      </c>
      <c r="B1958" s="25" t="s">
        <v>4337</v>
      </c>
      <c r="C1958" s="25" t="s">
        <v>4338</v>
      </c>
      <c r="D1958" s="26" t="n">
        <v>19.7</v>
      </c>
      <c r="E1958" s="27" t="n">
        <v>7.70553377383841</v>
      </c>
      <c r="F1958" s="27" t="n">
        <v>7.70553377383841</v>
      </c>
      <c r="G1958" s="25" t="s">
        <v>3562</v>
      </c>
      <c r="H1958" s="25" t="s">
        <v>3563</v>
      </c>
      <c r="I1958" s="25" t="n">
        <f aca="false">IFERROR(IF(INDEX(Documents!$C$5:$C$657,MATCH(H1958,Documents!$A$5:$A$657,0))="","",INDEX(Documents!$C$5:$C$657,MATCH(H1958,Documents!$A$5:$A$657,0))),"")</f>
        <v>2015</v>
      </c>
      <c r="J1958" s="25" t="str">
        <f aca="false">IFERROR(IF(INDEX(Documents!$D$5:$D$657,MATCH(H1958,Documents!$A$5:$A$657,0))="","",INDEX(Documents!$D$5:$D$657,MATCH(H1958,Documents!$A$5:$A$657,0))),"")</f>
        <v>Eur J Med Chem</v>
      </c>
      <c r="K1958" s="25" t="str">
        <f aca="false">IFERROR(IF(INDEX(Documents!$G$5:$G$657,MATCH(H1958,Documents!$A$5:$A$657,0))="","",INDEX(Documents!$G$5:$G$657,MATCH(H1958,Documents!$A$5:$A$657,0))),"")</f>
        <v>10.1016/j.ejmech.2015.01.028</v>
      </c>
      <c r="L1958" s="25" t="s">
        <v>3564</v>
      </c>
    </row>
    <row r="1959" customFormat="false" ht="15" hidden="false" customHeight="false" outlineLevel="0" collapsed="false">
      <c r="A1959" s="25" t="n">
        <v>12619645</v>
      </c>
      <c r="B1959" s="25" t="s">
        <v>4339</v>
      </c>
      <c r="C1959" s="25" t="s">
        <v>4340</v>
      </c>
      <c r="D1959" s="26" t="n">
        <v>138</v>
      </c>
      <c r="E1959" s="27" t="n">
        <v>6.86012091359876</v>
      </c>
      <c r="F1959" s="27" t="n">
        <v>6.86012091359876</v>
      </c>
      <c r="G1959" s="25" t="s">
        <v>2805</v>
      </c>
      <c r="H1959" s="25" t="s">
        <v>2806</v>
      </c>
      <c r="I1959" s="25" t="n">
        <f aca="false">IFERROR(IF(INDEX(Documents!$C$5:$C$657,MATCH(H1959,Documents!$A$5:$A$657,0))="","",INDEX(Documents!$C$5:$C$657,MATCH(H1959,Documents!$A$5:$A$657,0))),"")</f>
        <v>2013</v>
      </c>
      <c r="J1959" s="25" t="str">
        <f aca="false">IFERROR(IF(INDEX(Documents!$D$5:$D$657,MATCH(H1959,Documents!$A$5:$A$657,0))="","",INDEX(Documents!$D$5:$D$657,MATCH(H1959,Documents!$A$5:$A$657,0))),"")</f>
        <v>J Med Chem</v>
      </c>
      <c r="K1959" s="25" t="str">
        <f aca="false">IFERROR(IF(INDEX(Documents!$G$5:$G$657,MATCH(H1959,Documents!$A$5:$A$657,0))="","",INDEX(Documents!$G$5:$G$657,MATCH(H1959,Documents!$A$5:$A$657,0))),"")</f>
        <v>10.1021/jm301527r</v>
      </c>
      <c r="L1959" s="25" t="s">
        <v>2807</v>
      </c>
    </row>
    <row r="1960" customFormat="false" ht="15" hidden="false" customHeight="false" outlineLevel="0" collapsed="false">
      <c r="A1960" s="25" t="n">
        <v>15199883</v>
      </c>
      <c r="B1960" s="25" t="s">
        <v>4341</v>
      </c>
      <c r="C1960" s="25" t="s">
        <v>4342</v>
      </c>
      <c r="D1960" s="26" t="n">
        <v>78.8</v>
      </c>
      <c r="E1960" s="27" t="n">
        <v>7.10347378251045</v>
      </c>
      <c r="F1960" s="27" t="n">
        <v>7.10347378251045</v>
      </c>
      <c r="G1960" s="25" t="s">
        <v>3562</v>
      </c>
      <c r="H1960" s="25" t="s">
        <v>3563</v>
      </c>
      <c r="I1960" s="25" t="n">
        <f aca="false">IFERROR(IF(INDEX(Documents!$C$5:$C$657,MATCH(H1960,Documents!$A$5:$A$657,0))="","",INDEX(Documents!$C$5:$C$657,MATCH(H1960,Documents!$A$5:$A$657,0))),"")</f>
        <v>2015</v>
      </c>
      <c r="J1960" s="25" t="str">
        <f aca="false">IFERROR(IF(INDEX(Documents!$D$5:$D$657,MATCH(H1960,Documents!$A$5:$A$657,0))="","",INDEX(Documents!$D$5:$D$657,MATCH(H1960,Documents!$A$5:$A$657,0))),"")</f>
        <v>Eur J Med Chem</v>
      </c>
      <c r="K1960" s="25" t="str">
        <f aca="false">IFERROR(IF(INDEX(Documents!$G$5:$G$657,MATCH(H1960,Documents!$A$5:$A$657,0))="","",INDEX(Documents!$G$5:$G$657,MATCH(H1960,Documents!$A$5:$A$657,0))),"")</f>
        <v>10.1016/j.ejmech.2015.01.028</v>
      </c>
      <c r="L1960" s="25" t="s">
        <v>3564</v>
      </c>
    </row>
    <row r="1961" customFormat="false" ht="15" hidden="false" customHeight="false" outlineLevel="0" collapsed="false">
      <c r="A1961" s="25" t="n">
        <v>24706561</v>
      </c>
      <c r="B1961" s="25" t="s">
        <v>4343</v>
      </c>
      <c r="C1961" s="25" t="s">
        <v>4344</v>
      </c>
      <c r="D1961" s="26" t="n">
        <v>148</v>
      </c>
      <c r="E1961" s="27" t="n">
        <v>6.82973828460504</v>
      </c>
      <c r="F1961" s="27" t="n">
        <v>6.82987037376924</v>
      </c>
      <c r="G1961" s="25" t="s">
        <v>3814</v>
      </c>
      <c r="H1961" s="25" t="s">
        <v>3815</v>
      </c>
      <c r="I1961" s="25" t="n">
        <f aca="false">IFERROR(IF(INDEX(Documents!$C$5:$C$657,MATCH(H1961,Documents!$A$5:$A$657,0))="","",INDEX(Documents!$C$5:$C$657,MATCH(H1961,Documents!$A$5:$A$657,0))),"")</f>
        <v>2022</v>
      </c>
      <c r="J1961" s="25" t="str">
        <f aca="false">IFERROR(IF(INDEX(Documents!$D$5:$D$657,MATCH(H1961,Documents!$A$5:$A$657,0))="","",INDEX(Documents!$D$5:$D$657,MATCH(H1961,Documents!$A$5:$A$657,0))),"")</f>
        <v>RSC Med Chem</v>
      </c>
      <c r="K1961" s="25" t="str">
        <f aca="false">IFERROR(IF(INDEX(Documents!$G$5:$G$657,MATCH(H1961,Documents!$A$5:$A$657,0))="","",INDEX(Documents!$G$5:$G$657,MATCH(H1961,Documents!$A$5:$A$657,0))),"")</f>
        <v>10.1039/d1md00242b</v>
      </c>
      <c r="L1961" s="25" t="s">
        <v>3816</v>
      </c>
    </row>
    <row r="1962" customFormat="false" ht="15" hidden="false" customHeight="false" outlineLevel="0" collapsed="false">
      <c r="A1962" s="25" t="n">
        <v>24706547</v>
      </c>
      <c r="B1962" s="25" t="s">
        <v>4343</v>
      </c>
      <c r="C1962" s="25" t="s">
        <v>4344</v>
      </c>
      <c r="D1962" s="26" t="n">
        <v>147.91</v>
      </c>
      <c r="E1962" s="27" t="n">
        <v>6.83000246293343</v>
      </c>
      <c r="F1962" s="27" t="n">
        <v>6.82987037376924</v>
      </c>
      <c r="G1962" s="25" t="s">
        <v>3814</v>
      </c>
      <c r="H1962" s="25" t="s">
        <v>3815</v>
      </c>
      <c r="I1962" s="25" t="n">
        <f aca="false">IFERROR(IF(INDEX(Documents!$C$5:$C$657,MATCH(H1962,Documents!$A$5:$A$657,0))="","",INDEX(Documents!$C$5:$C$657,MATCH(H1962,Documents!$A$5:$A$657,0))),"")</f>
        <v>2022</v>
      </c>
      <c r="J1962" s="25" t="str">
        <f aca="false">IFERROR(IF(INDEX(Documents!$D$5:$D$657,MATCH(H1962,Documents!$A$5:$A$657,0))="","",INDEX(Documents!$D$5:$D$657,MATCH(H1962,Documents!$A$5:$A$657,0))),"")</f>
        <v>RSC Med Chem</v>
      </c>
      <c r="K1962" s="25" t="str">
        <f aca="false">IFERROR(IF(INDEX(Documents!$G$5:$G$657,MATCH(H1962,Documents!$A$5:$A$657,0))="","",INDEX(Documents!$G$5:$G$657,MATCH(H1962,Documents!$A$5:$A$657,0))),"")</f>
        <v>10.1039/d1md00242b</v>
      </c>
      <c r="L1962" s="25" t="s">
        <v>3816</v>
      </c>
    </row>
    <row r="1963" customFormat="false" ht="15" hidden="false" customHeight="false" outlineLevel="0" collapsed="false">
      <c r="A1963" s="25" t="n">
        <v>24706567</v>
      </c>
      <c r="B1963" s="25" t="s">
        <v>4345</v>
      </c>
      <c r="C1963" s="25" t="s">
        <v>4346</v>
      </c>
      <c r="D1963" s="26" t="n">
        <v>2190</v>
      </c>
      <c r="E1963" s="27" t="n">
        <v>5.65955588515988</v>
      </c>
      <c r="F1963" s="27" t="n">
        <v>5.65977810376583</v>
      </c>
      <c r="G1963" s="25" t="s">
        <v>3814</v>
      </c>
      <c r="H1963" s="25" t="s">
        <v>3815</v>
      </c>
      <c r="I1963" s="25" t="n">
        <f aca="false">IFERROR(IF(INDEX(Documents!$C$5:$C$657,MATCH(H1963,Documents!$A$5:$A$657,0))="","",INDEX(Documents!$C$5:$C$657,MATCH(H1963,Documents!$A$5:$A$657,0))),"")</f>
        <v>2022</v>
      </c>
      <c r="J1963" s="25" t="str">
        <f aca="false">IFERROR(IF(INDEX(Documents!$D$5:$D$657,MATCH(H1963,Documents!$A$5:$A$657,0))="","",INDEX(Documents!$D$5:$D$657,MATCH(H1963,Documents!$A$5:$A$657,0))),"")</f>
        <v>RSC Med Chem</v>
      </c>
      <c r="K1963" s="25" t="str">
        <f aca="false">IFERROR(IF(INDEX(Documents!$G$5:$G$657,MATCH(H1963,Documents!$A$5:$A$657,0))="","",INDEX(Documents!$G$5:$G$657,MATCH(H1963,Documents!$A$5:$A$657,0))),"")</f>
        <v>10.1039/d1md00242b</v>
      </c>
      <c r="L1963" s="25" t="s">
        <v>3816</v>
      </c>
    </row>
    <row r="1964" customFormat="false" ht="15" hidden="false" customHeight="false" outlineLevel="0" collapsed="false">
      <c r="A1964" s="25" t="n">
        <v>24706553</v>
      </c>
      <c r="B1964" s="25" t="s">
        <v>4345</v>
      </c>
      <c r="C1964" s="25" t="s">
        <v>4346</v>
      </c>
      <c r="D1964" s="26" t="n">
        <v>2187.76</v>
      </c>
      <c r="E1964" s="27" t="n">
        <v>5.66000032237177</v>
      </c>
      <c r="F1964" s="27" t="n">
        <v>5.65977810376583</v>
      </c>
      <c r="G1964" s="25" t="s">
        <v>3814</v>
      </c>
      <c r="H1964" s="25" t="s">
        <v>3815</v>
      </c>
      <c r="I1964" s="25" t="n">
        <f aca="false">IFERROR(IF(INDEX(Documents!$C$5:$C$657,MATCH(H1964,Documents!$A$5:$A$657,0))="","",INDEX(Documents!$C$5:$C$657,MATCH(H1964,Documents!$A$5:$A$657,0))),"")</f>
        <v>2022</v>
      </c>
      <c r="J1964" s="25" t="str">
        <f aca="false">IFERROR(IF(INDEX(Documents!$D$5:$D$657,MATCH(H1964,Documents!$A$5:$A$657,0))="","",INDEX(Documents!$D$5:$D$657,MATCH(H1964,Documents!$A$5:$A$657,0))),"")</f>
        <v>RSC Med Chem</v>
      </c>
      <c r="K1964" s="25" t="str">
        <f aca="false">IFERROR(IF(INDEX(Documents!$G$5:$G$657,MATCH(H1964,Documents!$A$5:$A$657,0))="","",INDEX(Documents!$G$5:$G$657,MATCH(H1964,Documents!$A$5:$A$657,0))),"")</f>
        <v>10.1039/d1md00242b</v>
      </c>
      <c r="L1964" s="25" t="s">
        <v>3816</v>
      </c>
    </row>
    <row r="1965" customFormat="false" ht="15" hidden="false" customHeight="false" outlineLevel="0" collapsed="false">
      <c r="A1965" s="25" t="n">
        <v>12052741</v>
      </c>
      <c r="B1965" s="25" t="s">
        <v>4347</v>
      </c>
      <c r="C1965" s="25" t="s">
        <v>4348</v>
      </c>
      <c r="D1965" s="26" t="n">
        <v>0.8</v>
      </c>
      <c r="E1965" s="27" t="n">
        <v>9.09691001300806</v>
      </c>
      <c r="F1965" s="27" t="n">
        <v>9.09691001300806</v>
      </c>
      <c r="G1965" s="25" t="s">
        <v>587</v>
      </c>
      <c r="H1965" s="25" t="s">
        <v>588</v>
      </c>
      <c r="I1965" s="25" t="n">
        <f aca="false">IFERROR(IF(INDEX(Documents!$C$5:$C$657,MATCH(H1965,Documents!$A$5:$A$657,0))="","",INDEX(Documents!$C$5:$C$657,MATCH(H1965,Documents!$A$5:$A$657,0))),"")</f>
        <v>2012</v>
      </c>
      <c r="J1965" s="25" t="str">
        <f aca="false">IFERROR(IF(INDEX(Documents!$D$5:$D$657,MATCH(H1965,Documents!$A$5:$A$657,0))="","",INDEX(Documents!$D$5:$D$657,MATCH(H1965,Documents!$A$5:$A$657,0))),"")</f>
        <v>Eur J Med Chem</v>
      </c>
      <c r="K1965" s="25" t="str">
        <f aca="false">IFERROR(IF(INDEX(Documents!$G$5:$G$657,MATCH(H1965,Documents!$A$5:$A$657,0))="","",INDEX(Documents!$G$5:$G$657,MATCH(H1965,Documents!$A$5:$A$657,0))),"")</f>
        <v>10.1016/j.ejmech.2012.09.035</v>
      </c>
      <c r="L1965" s="25" t="s">
        <v>589</v>
      </c>
    </row>
    <row r="1966" customFormat="false" ht="15" hidden="false" customHeight="false" outlineLevel="0" collapsed="false">
      <c r="A1966" s="25" t="n">
        <v>12052751</v>
      </c>
      <c r="B1966" s="25" t="s">
        <v>4349</v>
      </c>
      <c r="C1966" s="25" t="s">
        <v>4350</v>
      </c>
      <c r="D1966" s="26" t="n">
        <v>0.1</v>
      </c>
      <c r="E1966" s="27" t="n">
        <v>10</v>
      </c>
      <c r="F1966" s="27" t="n">
        <v>10</v>
      </c>
      <c r="G1966" s="25" t="s">
        <v>587</v>
      </c>
      <c r="H1966" s="25" t="s">
        <v>588</v>
      </c>
      <c r="I1966" s="25" t="n">
        <f aca="false">IFERROR(IF(INDEX(Documents!$C$5:$C$657,MATCH(H1966,Documents!$A$5:$A$657,0))="","",INDEX(Documents!$C$5:$C$657,MATCH(H1966,Documents!$A$5:$A$657,0))),"")</f>
        <v>2012</v>
      </c>
      <c r="J1966" s="25" t="str">
        <f aca="false">IFERROR(IF(INDEX(Documents!$D$5:$D$657,MATCH(H1966,Documents!$A$5:$A$657,0))="","",INDEX(Documents!$D$5:$D$657,MATCH(H1966,Documents!$A$5:$A$657,0))),"")</f>
        <v>Eur J Med Chem</v>
      </c>
      <c r="K1966" s="25" t="str">
        <f aca="false">IFERROR(IF(INDEX(Documents!$G$5:$G$657,MATCH(H1966,Documents!$A$5:$A$657,0))="","",INDEX(Documents!$G$5:$G$657,MATCH(H1966,Documents!$A$5:$A$657,0))),"")</f>
        <v>10.1016/j.ejmech.2012.09.035</v>
      </c>
      <c r="L1966" s="25" t="s">
        <v>589</v>
      </c>
    </row>
    <row r="1967" customFormat="false" ht="15" hidden="false" customHeight="false" outlineLevel="0" collapsed="false">
      <c r="A1967" s="25" t="n">
        <v>24706560</v>
      </c>
      <c r="B1967" s="25" t="s">
        <v>4351</v>
      </c>
      <c r="C1967" s="25" t="s">
        <v>4352</v>
      </c>
      <c r="D1967" s="26" t="n">
        <v>1.32</v>
      </c>
      <c r="E1967" s="27" t="n">
        <v>8.87942606879415</v>
      </c>
      <c r="F1967" s="27" t="n">
        <v>8.87975532926808</v>
      </c>
      <c r="G1967" s="25" t="s">
        <v>3814</v>
      </c>
      <c r="H1967" s="25" t="s">
        <v>3815</v>
      </c>
      <c r="I1967" s="25" t="n">
        <f aca="false">IFERROR(IF(INDEX(Documents!$C$5:$C$657,MATCH(H1967,Documents!$A$5:$A$657,0))="","",INDEX(Documents!$C$5:$C$657,MATCH(H1967,Documents!$A$5:$A$657,0))),"")</f>
        <v>2022</v>
      </c>
      <c r="J1967" s="25" t="str">
        <f aca="false">IFERROR(IF(INDEX(Documents!$D$5:$D$657,MATCH(H1967,Documents!$A$5:$A$657,0))="","",INDEX(Documents!$D$5:$D$657,MATCH(H1967,Documents!$A$5:$A$657,0))),"")</f>
        <v>RSC Med Chem</v>
      </c>
      <c r="K1967" s="25" t="str">
        <f aca="false">IFERROR(IF(INDEX(Documents!$G$5:$G$657,MATCH(H1967,Documents!$A$5:$A$657,0))="","",INDEX(Documents!$G$5:$G$657,MATCH(H1967,Documents!$A$5:$A$657,0))),"")</f>
        <v>10.1039/d1md00242b</v>
      </c>
      <c r="L1967" s="25" t="s">
        <v>3816</v>
      </c>
    </row>
    <row r="1968" customFormat="false" ht="15" hidden="false" customHeight="false" outlineLevel="0" collapsed="false">
      <c r="A1968" s="25" t="n">
        <v>24706546</v>
      </c>
      <c r="B1968" s="25" t="s">
        <v>4351</v>
      </c>
      <c r="C1968" s="25" t="s">
        <v>4352</v>
      </c>
      <c r="D1968" s="26" t="n">
        <v>1.318</v>
      </c>
      <c r="E1968" s="27" t="n">
        <v>8.88008458974201</v>
      </c>
      <c r="F1968" s="27" t="n">
        <v>8.87975532926808</v>
      </c>
      <c r="G1968" s="25" t="s">
        <v>3814</v>
      </c>
      <c r="H1968" s="25" t="s">
        <v>3815</v>
      </c>
      <c r="I1968" s="25" t="n">
        <f aca="false">IFERROR(IF(INDEX(Documents!$C$5:$C$657,MATCH(H1968,Documents!$A$5:$A$657,0))="","",INDEX(Documents!$C$5:$C$657,MATCH(H1968,Documents!$A$5:$A$657,0))),"")</f>
        <v>2022</v>
      </c>
      <c r="J1968" s="25" t="str">
        <f aca="false">IFERROR(IF(INDEX(Documents!$D$5:$D$657,MATCH(H1968,Documents!$A$5:$A$657,0))="","",INDEX(Documents!$D$5:$D$657,MATCH(H1968,Documents!$A$5:$A$657,0))),"")</f>
        <v>RSC Med Chem</v>
      </c>
      <c r="K1968" s="25" t="str">
        <f aca="false">IFERROR(IF(INDEX(Documents!$G$5:$G$657,MATCH(H1968,Documents!$A$5:$A$657,0))="","",INDEX(Documents!$G$5:$G$657,MATCH(H1968,Documents!$A$5:$A$657,0))),"")</f>
        <v>10.1039/d1md00242b</v>
      </c>
      <c r="L1968" s="25" t="s">
        <v>3816</v>
      </c>
    </row>
    <row r="1969" customFormat="false" ht="15" hidden="false" customHeight="false" outlineLevel="0" collapsed="false">
      <c r="A1969" s="25" t="n">
        <v>24706552</v>
      </c>
      <c r="B1969" s="25" t="s">
        <v>4353</v>
      </c>
      <c r="C1969" s="25" t="s">
        <v>4354</v>
      </c>
      <c r="D1969" s="26" t="n">
        <v>40.74</v>
      </c>
      <c r="E1969" s="27" t="n">
        <v>7.38997897533586</v>
      </c>
      <c r="F1969" s="27" t="n">
        <v>7.39019228305532</v>
      </c>
      <c r="G1969" s="25" t="s">
        <v>3814</v>
      </c>
      <c r="H1969" s="25" t="s">
        <v>3815</v>
      </c>
      <c r="I1969" s="25" t="n">
        <f aca="false">IFERROR(IF(INDEX(Documents!$C$5:$C$657,MATCH(H1969,Documents!$A$5:$A$657,0))="","",INDEX(Documents!$C$5:$C$657,MATCH(H1969,Documents!$A$5:$A$657,0))),"")</f>
        <v>2022</v>
      </c>
      <c r="J1969" s="25" t="str">
        <f aca="false">IFERROR(IF(INDEX(Documents!$D$5:$D$657,MATCH(H1969,Documents!$A$5:$A$657,0))="","",INDEX(Documents!$D$5:$D$657,MATCH(H1969,Documents!$A$5:$A$657,0))),"")</f>
        <v>RSC Med Chem</v>
      </c>
      <c r="K1969" s="25" t="str">
        <f aca="false">IFERROR(IF(INDEX(Documents!$G$5:$G$657,MATCH(H1969,Documents!$A$5:$A$657,0))="","",INDEX(Documents!$G$5:$G$657,MATCH(H1969,Documents!$A$5:$A$657,0))),"")</f>
        <v>10.1039/d1md00242b</v>
      </c>
      <c r="L1969" s="25" t="s">
        <v>3816</v>
      </c>
    </row>
    <row r="1970" customFormat="false" ht="15" hidden="false" customHeight="false" outlineLevel="0" collapsed="false">
      <c r="A1970" s="25" t="n">
        <v>24706566</v>
      </c>
      <c r="B1970" s="25" t="s">
        <v>4353</v>
      </c>
      <c r="C1970" s="25" t="s">
        <v>4354</v>
      </c>
      <c r="D1970" s="26" t="n">
        <v>40.7</v>
      </c>
      <c r="E1970" s="27" t="n">
        <v>7.39040559077478</v>
      </c>
      <c r="F1970" s="27" t="n">
        <v>7.39019228305532</v>
      </c>
      <c r="G1970" s="25" t="s">
        <v>3814</v>
      </c>
      <c r="H1970" s="25" t="s">
        <v>3815</v>
      </c>
      <c r="I1970" s="25" t="n">
        <f aca="false">IFERROR(IF(INDEX(Documents!$C$5:$C$657,MATCH(H1970,Documents!$A$5:$A$657,0))="","",INDEX(Documents!$C$5:$C$657,MATCH(H1970,Documents!$A$5:$A$657,0))),"")</f>
        <v>2022</v>
      </c>
      <c r="J1970" s="25" t="str">
        <f aca="false">IFERROR(IF(INDEX(Documents!$D$5:$D$657,MATCH(H1970,Documents!$A$5:$A$657,0))="","",INDEX(Documents!$D$5:$D$657,MATCH(H1970,Documents!$A$5:$A$657,0))),"")</f>
        <v>RSC Med Chem</v>
      </c>
      <c r="K1970" s="25" t="str">
        <f aca="false">IFERROR(IF(INDEX(Documents!$G$5:$G$657,MATCH(H1970,Documents!$A$5:$A$657,0))="","",INDEX(Documents!$G$5:$G$657,MATCH(H1970,Documents!$A$5:$A$657,0))),"")</f>
        <v>10.1039/d1md00242b</v>
      </c>
      <c r="L1970" s="25" t="s">
        <v>3816</v>
      </c>
    </row>
    <row r="1971" customFormat="false" ht="15" hidden="false" customHeight="false" outlineLevel="0" collapsed="false">
      <c r="A1971" s="25" t="n">
        <v>24706545</v>
      </c>
      <c r="B1971" s="25" t="s">
        <v>4355</v>
      </c>
      <c r="C1971" s="25" t="s">
        <v>4356</v>
      </c>
      <c r="D1971" s="26" t="n">
        <v>77.62</v>
      </c>
      <c r="E1971" s="27" t="n">
        <v>7.110026361596</v>
      </c>
      <c r="F1971" s="27" t="n">
        <v>7.11008232016891</v>
      </c>
      <c r="G1971" s="25" t="s">
        <v>3814</v>
      </c>
      <c r="H1971" s="25" t="s">
        <v>3815</v>
      </c>
      <c r="I1971" s="25" t="n">
        <f aca="false">IFERROR(IF(INDEX(Documents!$C$5:$C$657,MATCH(H1971,Documents!$A$5:$A$657,0))="","",INDEX(Documents!$C$5:$C$657,MATCH(H1971,Documents!$A$5:$A$657,0))),"")</f>
        <v>2022</v>
      </c>
      <c r="J1971" s="25" t="str">
        <f aca="false">IFERROR(IF(INDEX(Documents!$D$5:$D$657,MATCH(H1971,Documents!$A$5:$A$657,0))="","",INDEX(Documents!$D$5:$D$657,MATCH(H1971,Documents!$A$5:$A$657,0))),"")</f>
        <v>RSC Med Chem</v>
      </c>
      <c r="K1971" s="25" t="str">
        <f aca="false">IFERROR(IF(INDEX(Documents!$G$5:$G$657,MATCH(H1971,Documents!$A$5:$A$657,0))="","",INDEX(Documents!$G$5:$G$657,MATCH(H1971,Documents!$A$5:$A$657,0))),"")</f>
        <v>10.1039/d1md00242b</v>
      </c>
      <c r="L1971" s="25" t="s">
        <v>3816</v>
      </c>
    </row>
    <row r="1972" customFormat="false" ht="15" hidden="false" customHeight="false" outlineLevel="0" collapsed="false">
      <c r="A1972" s="25" t="n">
        <v>24706559</v>
      </c>
      <c r="B1972" s="25" t="s">
        <v>4355</v>
      </c>
      <c r="C1972" s="25" t="s">
        <v>4356</v>
      </c>
      <c r="D1972" s="26" t="n">
        <v>77.6</v>
      </c>
      <c r="E1972" s="27" t="n">
        <v>7.11013827874181</v>
      </c>
      <c r="F1972" s="27" t="n">
        <v>7.11008232016891</v>
      </c>
      <c r="G1972" s="25" t="s">
        <v>3814</v>
      </c>
      <c r="H1972" s="25" t="s">
        <v>3815</v>
      </c>
      <c r="I1972" s="25" t="n">
        <f aca="false">IFERROR(IF(INDEX(Documents!$C$5:$C$657,MATCH(H1972,Documents!$A$5:$A$657,0))="","",INDEX(Documents!$C$5:$C$657,MATCH(H1972,Documents!$A$5:$A$657,0))),"")</f>
        <v>2022</v>
      </c>
      <c r="J1972" s="25" t="str">
        <f aca="false">IFERROR(IF(INDEX(Documents!$D$5:$D$657,MATCH(H1972,Documents!$A$5:$A$657,0))="","",INDEX(Documents!$D$5:$D$657,MATCH(H1972,Documents!$A$5:$A$657,0))),"")</f>
        <v>RSC Med Chem</v>
      </c>
      <c r="K1972" s="25" t="str">
        <f aca="false">IFERROR(IF(INDEX(Documents!$G$5:$G$657,MATCH(H1972,Documents!$A$5:$A$657,0))="","",INDEX(Documents!$G$5:$G$657,MATCH(H1972,Documents!$A$5:$A$657,0))),"")</f>
        <v>10.1039/d1md00242b</v>
      </c>
      <c r="L1972" s="25" t="s">
        <v>3816</v>
      </c>
    </row>
    <row r="1973" customFormat="false" ht="15" hidden="false" customHeight="false" outlineLevel="0" collapsed="false">
      <c r="A1973" s="25" t="n">
        <v>24706551</v>
      </c>
      <c r="B1973" s="25" t="s">
        <v>4357</v>
      </c>
      <c r="C1973" s="25" t="s">
        <v>4358</v>
      </c>
      <c r="D1973" s="26" t="n">
        <v>891.25</v>
      </c>
      <c r="E1973" s="27" t="n">
        <v>6.05000045714008</v>
      </c>
      <c r="F1973" s="27" t="n">
        <v>6.0500613765516</v>
      </c>
      <c r="G1973" s="25" t="s">
        <v>3814</v>
      </c>
      <c r="H1973" s="25" t="s">
        <v>3815</v>
      </c>
      <c r="I1973" s="25" t="n">
        <f aca="false">IFERROR(IF(INDEX(Documents!$C$5:$C$657,MATCH(H1973,Documents!$A$5:$A$657,0))="","",INDEX(Documents!$C$5:$C$657,MATCH(H1973,Documents!$A$5:$A$657,0))),"")</f>
        <v>2022</v>
      </c>
      <c r="J1973" s="25" t="str">
        <f aca="false">IFERROR(IF(INDEX(Documents!$D$5:$D$657,MATCH(H1973,Documents!$A$5:$A$657,0))="","",INDEX(Documents!$D$5:$D$657,MATCH(H1973,Documents!$A$5:$A$657,0))),"")</f>
        <v>RSC Med Chem</v>
      </c>
      <c r="K1973" s="25" t="str">
        <f aca="false">IFERROR(IF(INDEX(Documents!$G$5:$G$657,MATCH(H1973,Documents!$A$5:$A$657,0))="","",INDEX(Documents!$G$5:$G$657,MATCH(H1973,Documents!$A$5:$A$657,0))),"")</f>
        <v>10.1039/d1md00242b</v>
      </c>
      <c r="L1973" s="25" t="s">
        <v>3816</v>
      </c>
    </row>
    <row r="1974" customFormat="false" ht="15" hidden="false" customHeight="false" outlineLevel="0" collapsed="false">
      <c r="A1974" s="25" t="n">
        <v>24706565</v>
      </c>
      <c r="B1974" s="25" t="s">
        <v>4357</v>
      </c>
      <c r="C1974" s="25" t="s">
        <v>4358</v>
      </c>
      <c r="D1974" s="26" t="n">
        <v>891</v>
      </c>
      <c r="E1974" s="27" t="n">
        <v>6.05012229596313</v>
      </c>
      <c r="F1974" s="27" t="n">
        <v>6.0500613765516</v>
      </c>
      <c r="G1974" s="25" t="s">
        <v>3814</v>
      </c>
      <c r="H1974" s="25" t="s">
        <v>3815</v>
      </c>
      <c r="I1974" s="25" t="n">
        <f aca="false">IFERROR(IF(INDEX(Documents!$C$5:$C$657,MATCH(H1974,Documents!$A$5:$A$657,0))="","",INDEX(Documents!$C$5:$C$657,MATCH(H1974,Documents!$A$5:$A$657,0))),"")</f>
        <v>2022</v>
      </c>
      <c r="J1974" s="25" t="str">
        <f aca="false">IFERROR(IF(INDEX(Documents!$D$5:$D$657,MATCH(H1974,Documents!$A$5:$A$657,0))="","",INDEX(Documents!$D$5:$D$657,MATCH(H1974,Documents!$A$5:$A$657,0))),"")</f>
        <v>RSC Med Chem</v>
      </c>
      <c r="K1974" s="25" t="str">
        <f aca="false">IFERROR(IF(INDEX(Documents!$G$5:$G$657,MATCH(H1974,Documents!$A$5:$A$657,0))="","",INDEX(Documents!$G$5:$G$657,MATCH(H1974,Documents!$A$5:$A$657,0))),"")</f>
        <v>10.1039/d1md00242b</v>
      </c>
      <c r="L1974" s="25" t="s">
        <v>3816</v>
      </c>
    </row>
    <row r="1975" customFormat="false" ht="15" hidden="false" customHeight="false" outlineLevel="0" collapsed="false">
      <c r="A1975" s="25" t="n">
        <v>1667512</v>
      </c>
      <c r="B1975" s="25" t="s">
        <v>4359</v>
      </c>
      <c r="C1975" s="25" t="s">
        <v>4360</v>
      </c>
      <c r="D1975" s="26" t="n">
        <v>455</v>
      </c>
      <c r="E1975" s="27" t="n">
        <v>6.34198860334289</v>
      </c>
      <c r="F1975" s="27" t="n">
        <v>6.34198860334289</v>
      </c>
      <c r="G1975" s="25" t="s">
        <v>1538</v>
      </c>
      <c r="H1975" s="25" t="s">
        <v>1539</v>
      </c>
      <c r="I1975" s="25" t="n">
        <f aca="false">IFERROR(IF(INDEX(Documents!$C$5:$C$657,MATCH(H1975,Documents!$A$5:$A$657,0))="","",INDEX(Documents!$C$5:$C$657,MATCH(H1975,Documents!$A$5:$A$657,0))),"")</f>
        <v>2006</v>
      </c>
      <c r="J1975" s="25" t="str">
        <f aca="false">IFERROR(IF(INDEX(Documents!$D$5:$D$657,MATCH(H1975,Documents!$A$5:$A$657,0))="","",INDEX(Documents!$D$5:$D$657,MATCH(H1975,Documents!$A$5:$A$657,0))),"")</f>
        <v>J Med Chem</v>
      </c>
      <c r="K1975" s="25" t="str">
        <f aca="false">IFERROR(IF(INDEX(Documents!$G$5:$G$657,MATCH(H1975,Documents!$A$5:$A$657,0))="","",INDEX(Documents!$G$5:$G$657,MATCH(H1975,Documents!$A$5:$A$657,0))),"")</f>
        <v>10.1021/jm050467q</v>
      </c>
      <c r="L1975" s="25" t="s">
        <v>775</v>
      </c>
    </row>
    <row r="1976" customFormat="false" ht="15" hidden="false" customHeight="false" outlineLevel="0" collapsed="false">
      <c r="A1976" s="25" t="n">
        <v>1993831</v>
      </c>
      <c r="B1976" s="25" t="s">
        <v>4361</v>
      </c>
      <c r="C1976" s="25" t="s">
        <v>4362</v>
      </c>
      <c r="D1976" s="26" t="n">
        <v>1550</v>
      </c>
      <c r="E1976" s="27" t="n">
        <v>5.80966830182971</v>
      </c>
      <c r="F1976" s="27" t="n">
        <v>5.80966830182971</v>
      </c>
      <c r="G1976" s="25" t="s">
        <v>1527</v>
      </c>
      <c r="H1976" s="25" t="s">
        <v>1528</v>
      </c>
      <c r="I1976" s="25" t="n">
        <f aca="false">IFERROR(IF(INDEX(Documents!$C$5:$C$657,MATCH(H1976,Documents!$A$5:$A$657,0))="","",INDEX(Documents!$C$5:$C$657,MATCH(H1976,Documents!$A$5:$A$657,0))),"")</f>
        <v>2007</v>
      </c>
      <c r="J1976" s="25" t="str">
        <f aca="false">IFERROR(IF(INDEX(Documents!$D$5:$D$657,MATCH(H1976,Documents!$A$5:$A$657,0))="","",INDEX(Documents!$D$5:$D$657,MATCH(H1976,Documents!$A$5:$A$657,0))),"")</f>
        <v>J Med Chem</v>
      </c>
      <c r="K1976" s="25" t="str">
        <f aca="false">IFERROR(IF(INDEX(Documents!$G$5:$G$657,MATCH(H1976,Documents!$A$5:$A$657,0))="","",INDEX(Documents!$G$5:$G$657,MATCH(H1976,Documents!$A$5:$A$657,0))),"")</f>
        <v>10.1021/jm070387h</v>
      </c>
      <c r="L1976" s="25" t="s">
        <v>1529</v>
      </c>
    </row>
    <row r="1977" customFormat="false" ht="15" hidden="false" customHeight="false" outlineLevel="0" collapsed="false">
      <c r="A1977" s="25" t="n">
        <v>1793652</v>
      </c>
      <c r="B1977" s="25" t="s">
        <v>4363</v>
      </c>
      <c r="C1977" s="25" t="s">
        <v>4364</v>
      </c>
      <c r="D1977" s="26" t="n">
        <v>15</v>
      </c>
      <c r="E1977" s="27" t="n">
        <v>7.82390874094432</v>
      </c>
      <c r="F1977" s="27" t="n">
        <v>7.82390874094432</v>
      </c>
      <c r="G1977" s="25" t="s">
        <v>2653</v>
      </c>
      <c r="H1977" s="25" t="s">
        <v>2654</v>
      </c>
      <c r="I1977" s="25" t="n">
        <f aca="false">IFERROR(IF(INDEX(Documents!$C$5:$C$657,MATCH(H1977,Documents!$A$5:$A$657,0))="","",INDEX(Documents!$C$5:$C$657,MATCH(H1977,Documents!$A$5:$A$657,0))),"")</f>
        <v>2006</v>
      </c>
      <c r="J1977" s="25" t="str">
        <f aca="false">IFERROR(IF(INDEX(Documents!$D$5:$D$657,MATCH(H1977,Documents!$A$5:$A$657,0))="","",INDEX(Documents!$D$5:$D$657,MATCH(H1977,Documents!$A$5:$A$657,0))),"")</f>
        <v>Bioorg Med Chem Lett</v>
      </c>
      <c r="K1977" s="25" t="str">
        <f aca="false">IFERROR(IF(INDEX(Documents!$G$5:$G$657,MATCH(H1977,Documents!$A$5:$A$657,0))="","",INDEX(Documents!$G$5:$G$657,MATCH(H1977,Documents!$A$5:$A$657,0))),"")</f>
        <v>10.1016/j.bmcl.2006.07.051</v>
      </c>
      <c r="L1977" s="25" t="s">
        <v>709</v>
      </c>
    </row>
    <row r="1978" customFormat="false" ht="15" hidden="false" customHeight="false" outlineLevel="0" collapsed="false">
      <c r="A1978" s="25" t="n">
        <v>17651706</v>
      </c>
      <c r="B1978" s="25" t="s">
        <v>4365</v>
      </c>
      <c r="C1978" s="25" t="s">
        <v>4366</v>
      </c>
      <c r="D1978" s="26" t="n">
        <v>88</v>
      </c>
      <c r="E1978" s="27" t="n">
        <v>7.05551732784983</v>
      </c>
      <c r="F1978" s="27" t="n">
        <v>7.05551732784983</v>
      </c>
      <c r="G1978" s="25" t="s">
        <v>730</v>
      </c>
      <c r="H1978" s="25" t="s">
        <v>731</v>
      </c>
      <c r="I1978" s="25" t="n">
        <f aca="false">IFERROR(IF(INDEX(Documents!$C$5:$C$657,MATCH(H1978,Documents!$A$5:$A$657,0))="","",INDEX(Documents!$C$5:$C$657,MATCH(H1978,Documents!$A$5:$A$657,0))),"")</f>
        <v>2014</v>
      </c>
      <c r="J1978" s="25" t="str">
        <f aca="false">IFERROR(IF(INDEX(Documents!$D$5:$D$657,MATCH(H1978,Documents!$A$5:$A$657,0))="","",INDEX(Documents!$D$5:$D$657,MATCH(H1978,Documents!$A$5:$A$657,0))),"")</f>
        <v/>
      </c>
      <c r="K1978" s="25" t="str">
        <f aca="false">IFERROR(IF(INDEX(Documents!$G$5:$G$657,MATCH(H1978,Documents!$A$5:$A$657,0))="","",INDEX(Documents!$G$5:$G$657,MATCH(H1978,Documents!$A$5:$A$657,0))),"")</f>
        <v/>
      </c>
      <c r="L1978" s="25" t="s">
        <v>732</v>
      </c>
    </row>
    <row r="1979" customFormat="false" ht="15" hidden="false" customHeight="false" outlineLevel="0" collapsed="false">
      <c r="A1979" s="25" t="n">
        <v>16259075</v>
      </c>
      <c r="B1979" s="25" t="s">
        <v>4367</v>
      </c>
      <c r="C1979" s="25" t="s">
        <v>4368</v>
      </c>
      <c r="D1979" s="26" t="n">
        <v>1.6</v>
      </c>
      <c r="E1979" s="27" t="n">
        <v>8.79588001734408</v>
      </c>
      <c r="F1979" s="27" t="n">
        <v>8.79588001734408</v>
      </c>
      <c r="G1979" s="25" t="s">
        <v>273</v>
      </c>
      <c r="H1979" s="25" t="s">
        <v>274</v>
      </c>
      <c r="I1979" s="25" t="n">
        <f aca="false">IFERROR(IF(INDEX(Documents!$C$5:$C$657,MATCH(H1979,Documents!$A$5:$A$657,0))="","",INDEX(Documents!$C$5:$C$657,MATCH(H1979,Documents!$A$5:$A$657,0))),"")</f>
        <v>2014</v>
      </c>
      <c r="J1979" s="25" t="str">
        <f aca="false">IFERROR(IF(INDEX(Documents!$D$5:$D$657,MATCH(H1979,Documents!$A$5:$A$657,0))="","",INDEX(Documents!$D$5:$D$657,MATCH(H1979,Documents!$A$5:$A$657,0))),"")</f>
        <v/>
      </c>
      <c r="K1979" s="25" t="str">
        <f aca="false">IFERROR(IF(INDEX(Documents!$G$5:$G$657,MATCH(H1979,Documents!$A$5:$A$657,0))="","",INDEX(Documents!$G$5:$G$657,MATCH(H1979,Documents!$A$5:$A$657,0))),"")</f>
        <v/>
      </c>
      <c r="L1979" s="25" t="s">
        <v>275</v>
      </c>
    </row>
    <row r="1980" customFormat="false" ht="15" hidden="false" customHeight="false" outlineLevel="0" collapsed="false">
      <c r="A1980" s="25" t="n">
        <v>16354046</v>
      </c>
      <c r="B1980" s="25" t="s">
        <v>4369</v>
      </c>
      <c r="C1980" s="25" t="s">
        <v>4370</v>
      </c>
      <c r="D1980" s="26" t="n">
        <v>1.1</v>
      </c>
      <c r="E1980" s="27" t="n">
        <v>8.95860731484178</v>
      </c>
      <c r="F1980" s="27" t="n">
        <v>8.95860731484178</v>
      </c>
      <c r="G1980" s="25" t="s">
        <v>273</v>
      </c>
      <c r="H1980" s="25" t="s">
        <v>274</v>
      </c>
      <c r="I1980" s="25" t="n">
        <f aca="false">IFERROR(IF(INDEX(Documents!$C$5:$C$657,MATCH(H1980,Documents!$A$5:$A$657,0))="","",INDEX(Documents!$C$5:$C$657,MATCH(H1980,Documents!$A$5:$A$657,0))),"")</f>
        <v>2014</v>
      </c>
      <c r="J1980" s="25" t="str">
        <f aca="false">IFERROR(IF(INDEX(Documents!$D$5:$D$657,MATCH(H1980,Documents!$A$5:$A$657,0))="","",INDEX(Documents!$D$5:$D$657,MATCH(H1980,Documents!$A$5:$A$657,0))),"")</f>
        <v/>
      </c>
      <c r="K1980" s="25" t="str">
        <f aca="false">IFERROR(IF(INDEX(Documents!$G$5:$G$657,MATCH(H1980,Documents!$A$5:$A$657,0))="","",INDEX(Documents!$G$5:$G$657,MATCH(H1980,Documents!$A$5:$A$657,0))),"")</f>
        <v/>
      </c>
      <c r="L1980" s="25" t="s">
        <v>275</v>
      </c>
    </row>
    <row r="1981" customFormat="false" ht="15" hidden="false" customHeight="false" outlineLevel="0" collapsed="false">
      <c r="A1981" s="25" t="n">
        <v>16300476</v>
      </c>
      <c r="B1981" s="25" t="s">
        <v>4371</v>
      </c>
      <c r="C1981" s="25" t="s">
        <v>4372</v>
      </c>
      <c r="D1981" s="26" t="n">
        <v>0.82</v>
      </c>
      <c r="E1981" s="27" t="n">
        <v>9.08618614761628</v>
      </c>
      <c r="F1981" s="27" t="n">
        <v>9.08618614761628</v>
      </c>
      <c r="G1981" s="25" t="s">
        <v>273</v>
      </c>
      <c r="H1981" s="25" t="s">
        <v>274</v>
      </c>
      <c r="I1981" s="25" t="n">
        <f aca="false">IFERROR(IF(INDEX(Documents!$C$5:$C$657,MATCH(H1981,Documents!$A$5:$A$657,0))="","",INDEX(Documents!$C$5:$C$657,MATCH(H1981,Documents!$A$5:$A$657,0))),"")</f>
        <v>2014</v>
      </c>
      <c r="J1981" s="25" t="str">
        <f aca="false">IFERROR(IF(INDEX(Documents!$D$5:$D$657,MATCH(H1981,Documents!$A$5:$A$657,0))="","",INDEX(Documents!$D$5:$D$657,MATCH(H1981,Documents!$A$5:$A$657,0))),"")</f>
        <v/>
      </c>
      <c r="K1981" s="25" t="str">
        <f aca="false">IFERROR(IF(INDEX(Documents!$G$5:$G$657,MATCH(H1981,Documents!$A$5:$A$657,0))="","",INDEX(Documents!$G$5:$G$657,MATCH(H1981,Documents!$A$5:$A$657,0))),"")</f>
        <v/>
      </c>
      <c r="L1981" s="25" t="s">
        <v>275</v>
      </c>
    </row>
    <row r="1982" customFormat="false" ht="15" hidden="false" customHeight="false" outlineLevel="0" collapsed="false">
      <c r="A1982" s="25" t="n">
        <v>16286794</v>
      </c>
      <c r="B1982" s="25" t="s">
        <v>4373</v>
      </c>
      <c r="C1982" s="25" t="s">
        <v>4374</v>
      </c>
      <c r="D1982" s="26" t="n">
        <v>9.2</v>
      </c>
      <c r="E1982" s="27" t="n">
        <v>8.03621217265444</v>
      </c>
      <c r="F1982" s="27" t="n">
        <v>8.03621217265444</v>
      </c>
      <c r="G1982" s="25" t="s">
        <v>273</v>
      </c>
      <c r="H1982" s="25" t="s">
        <v>274</v>
      </c>
      <c r="I1982" s="25" t="n">
        <f aca="false">IFERROR(IF(INDEX(Documents!$C$5:$C$657,MATCH(H1982,Documents!$A$5:$A$657,0))="","",INDEX(Documents!$C$5:$C$657,MATCH(H1982,Documents!$A$5:$A$657,0))),"")</f>
        <v>2014</v>
      </c>
      <c r="J1982" s="25" t="str">
        <f aca="false">IFERROR(IF(INDEX(Documents!$D$5:$D$657,MATCH(H1982,Documents!$A$5:$A$657,0))="","",INDEX(Documents!$D$5:$D$657,MATCH(H1982,Documents!$A$5:$A$657,0))),"")</f>
        <v/>
      </c>
      <c r="K1982" s="25" t="str">
        <f aca="false">IFERROR(IF(INDEX(Documents!$G$5:$G$657,MATCH(H1982,Documents!$A$5:$A$657,0))="","",INDEX(Documents!$G$5:$G$657,MATCH(H1982,Documents!$A$5:$A$657,0))),"")</f>
        <v/>
      </c>
      <c r="L1982" s="25" t="s">
        <v>275</v>
      </c>
    </row>
    <row r="1983" customFormat="false" ht="15" hidden="false" customHeight="false" outlineLevel="0" collapsed="false">
      <c r="A1983" s="25" t="n">
        <v>16284642</v>
      </c>
      <c r="B1983" s="25" t="s">
        <v>4375</v>
      </c>
      <c r="C1983" s="25" t="s">
        <v>4376</v>
      </c>
      <c r="D1983" s="26" t="n">
        <v>6.7</v>
      </c>
      <c r="E1983" s="27" t="n">
        <v>8.17392519729917</v>
      </c>
      <c r="F1983" s="27" t="n">
        <v>8.17392519729917</v>
      </c>
      <c r="G1983" s="25" t="s">
        <v>273</v>
      </c>
      <c r="H1983" s="25" t="s">
        <v>274</v>
      </c>
      <c r="I1983" s="25" t="n">
        <f aca="false">IFERROR(IF(INDEX(Documents!$C$5:$C$657,MATCH(H1983,Documents!$A$5:$A$657,0))="","",INDEX(Documents!$C$5:$C$657,MATCH(H1983,Documents!$A$5:$A$657,0))),"")</f>
        <v>2014</v>
      </c>
      <c r="J1983" s="25" t="str">
        <f aca="false">IFERROR(IF(INDEX(Documents!$D$5:$D$657,MATCH(H1983,Documents!$A$5:$A$657,0))="","",INDEX(Documents!$D$5:$D$657,MATCH(H1983,Documents!$A$5:$A$657,0))),"")</f>
        <v/>
      </c>
      <c r="K1983" s="25" t="str">
        <f aca="false">IFERROR(IF(INDEX(Documents!$G$5:$G$657,MATCH(H1983,Documents!$A$5:$A$657,0))="","",INDEX(Documents!$G$5:$G$657,MATCH(H1983,Documents!$A$5:$A$657,0))),"")</f>
        <v/>
      </c>
      <c r="L1983" s="25" t="s">
        <v>275</v>
      </c>
    </row>
    <row r="1984" customFormat="false" ht="15" hidden="false" customHeight="false" outlineLevel="0" collapsed="false">
      <c r="A1984" s="25" t="n">
        <v>16304651</v>
      </c>
      <c r="B1984" s="25" t="s">
        <v>4377</v>
      </c>
      <c r="C1984" s="25" t="s">
        <v>4378</v>
      </c>
      <c r="D1984" s="26" t="n">
        <v>3.1</v>
      </c>
      <c r="E1984" s="27" t="n">
        <v>8.50863830616573</v>
      </c>
      <c r="F1984" s="27" t="n">
        <v>8.50863830616573</v>
      </c>
      <c r="G1984" s="25" t="s">
        <v>273</v>
      </c>
      <c r="H1984" s="25" t="s">
        <v>274</v>
      </c>
      <c r="I1984" s="25" t="n">
        <f aca="false">IFERROR(IF(INDEX(Documents!$C$5:$C$657,MATCH(H1984,Documents!$A$5:$A$657,0))="","",INDEX(Documents!$C$5:$C$657,MATCH(H1984,Documents!$A$5:$A$657,0))),"")</f>
        <v>2014</v>
      </c>
      <c r="J1984" s="25" t="str">
        <f aca="false">IFERROR(IF(INDEX(Documents!$D$5:$D$657,MATCH(H1984,Documents!$A$5:$A$657,0))="","",INDEX(Documents!$D$5:$D$657,MATCH(H1984,Documents!$A$5:$A$657,0))),"")</f>
        <v/>
      </c>
      <c r="K1984" s="25" t="str">
        <f aca="false">IFERROR(IF(INDEX(Documents!$G$5:$G$657,MATCH(H1984,Documents!$A$5:$A$657,0))="","",INDEX(Documents!$G$5:$G$657,MATCH(H1984,Documents!$A$5:$A$657,0))),"")</f>
        <v/>
      </c>
      <c r="L1984" s="25" t="s">
        <v>275</v>
      </c>
    </row>
    <row r="1985" customFormat="false" ht="15" hidden="false" customHeight="false" outlineLevel="0" collapsed="false">
      <c r="A1985" s="25" t="n">
        <v>12723315</v>
      </c>
      <c r="B1985" s="25" t="s">
        <v>4379</v>
      </c>
      <c r="C1985" s="25" t="s">
        <v>4380</v>
      </c>
      <c r="D1985" s="26" t="n">
        <v>236</v>
      </c>
      <c r="E1985" s="27" t="n">
        <v>6.62708799702989</v>
      </c>
      <c r="F1985" s="27" t="n">
        <v>6.62708799702989</v>
      </c>
      <c r="G1985" s="25" t="s">
        <v>2796</v>
      </c>
      <c r="H1985" s="25" t="s">
        <v>2797</v>
      </c>
      <c r="I1985" s="25" t="n">
        <f aca="false">IFERROR(IF(INDEX(Documents!$C$5:$C$657,MATCH(H1985,Documents!$A$5:$A$657,0))="","",INDEX(Documents!$C$5:$C$657,MATCH(H1985,Documents!$A$5:$A$657,0))),"")</f>
        <v>2013</v>
      </c>
      <c r="J1985" s="25" t="str">
        <f aca="false">IFERROR(IF(INDEX(Documents!$D$5:$D$657,MATCH(H1985,Documents!$A$5:$A$657,0))="","",INDEX(Documents!$D$5:$D$657,MATCH(H1985,Documents!$A$5:$A$657,0))),"")</f>
        <v>Bioorg Med Chem</v>
      </c>
      <c r="K1985" s="25" t="str">
        <f aca="false">IFERROR(IF(INDEX(Documents!$G$5:$G$657,MATCH(H1985,Documents!$A$5:$A$657,0))="","",INDEX(Documents!$G$5:$G$657,MATCH(H1985,Documents!$A$5:$A$657,0))),"")</f>
        <v>10.1016/j.bmc.2013.01.006</v>
      </c>
      <c r="L1985" s="25" t="s">
        <v>2798</v>
      </c>
    </row>
    <row r="1986" customFormat="false" ht="15" hidden="false" customHeight="false" outlineLevel="0" collapsed="false">
      <c r="A1986" s="25" t="n">
        <v>11019972</v>
      </c>
      <c r="B1986" s="25" t="s">
        <v>4381</v>
      </c>
      <c r="C1986" s="25" t="s">
        <v>4382</v>
      </c>
      <c r="D1986" s="26" t="n">
        <v>20.5</v>
      </c>
      <c r="E1986" s="27" t="n">
        <v>7.68824613894425</v>
      </c>
      <c r="F1986" s="27" t="n">
        <v>7.68824613894425</v>
      </c>
      <c r="G1986" s="25" t="s">
        <v>496</v>
      </c>
      <c r="H1986" s="25" t="s">
        <v>497</v>
      </c>
      <c r="I1986" s="25" t="n">
        <f aca="false">IFERROR(IF(INDEX(Documents!$C$5:$C$657,MATCH(H1986,Documents!$A$5:$A$657,0))="","",INDEX(Documents!$C$5:$C$657,MATCH(H1986,Documents!$A$5:$A$657,0))),"")</f>
        <v>2012</v>
      </c>
      <c r="J1986" s="25" t="str">
        <f aca="false">IFERROR(IF(INDEX(Documents!$D$5:$D$657,MATCH(H1986,Documents!$A$5:$A$657,0))="","",INDEX(Documents!$D$5:$D$657,MATCH(H1986,Documents!$A$5:$A$657,0))),"")</f>
        <v>J Med Chem</v>
      </c>
      <c r="K1986" s="25" t="str">
        <f aca="false">IFERROR(IF(INDEX(Documents!$G$5:$G$657,MATCH(H1986,Documents!$A$5:$A$657,0))="","",INDEX(Documents!$G$5:$G$657,MATCH(H1986,Documents!$A$5:$A$657,0))),"")</f>
        <v>10.1021/jm3003334</v>
      </c>
      <c r="L1986" s="25" t="s">
        <v>498</v>
      </c>
    </row>
    <row r="1987" customFormat="false" ht="15" hidden="false" customHeight="false" outlineLevel="0" collapsed="false">
      <c r="A1987" s="25" t="n">
        <v>17651703</v>
      </c>
      <c r="B1987" s="25" t="s">
        <v>4383</v>
      </c>
      <c r="C1987" s="25" t="s">
        <v>4384</v>
      </c>
      <c r="D1987" s="26" t="n">
        <v>128</v>
      </c>
      <c r="E1987" s="27" t="n">
        <v>6.89279003035213</v>
      </c>
      <c r="F1987" s="27" t="n">
        <v>6.89279003035213</v>
      </c>
      <c r="G1987" s="25" t="s">
        <v>730</v>
      </c>
      <c r="H1987" s="25" t="s">
        <v>731</v>
      </c>
      <c r="I1987" s="25" t="n">
        <f aca="false">IFERROR(IF(INDEX(Documents!$C$5:$C$657,MATCH(H1987,Documents!$A$5:$A$657,0))="","",INDEX(Documents!$C$5:$C$657,MATCH(H1987,Documents!$A$5:$A$657,0))),"")</f>
        <v>2014</v>
      </c>
      <c r="J1987" s="25" t="str">
        <f aca="false">IFERROR(IF(INDEX(Documents!$D$5:$D$657,MATCH(H1987,Documents!$A$5:$A$657,0))="","",INDEX(Documents!$D$5:$D$657,MATCH(H1987,Documents!$A$5:$A$657,0))),"")</f>
        <v/>
      </c>
      <c r="K1987" s="25" t="str">
        <f aca="false">IFERROR(IF(INDEX(Documents!$G$5:$G$657,MATCH(H1987,Documents!$A$5:$A$657,0))="","",INDEX(Documents!$G$5:$G$657,MATCH(H1987,Documents!$A$5:$A$657,0))),"")</f>
        <v/>
      </c>
      <c r="L1987" s="25" t="s">
        <v>732</v>
      </c>
    </row>
    <row r="1988" customFormat="false" ht="15" hidden="false" customHeight="false" outlineLevel="0" collapsed="false">
      <c r="A1988" s="25" t="n">
        <v>12723316</v>
      </c>
      <c r="B1988" s="25" t="s">
        <v>4385</v>
      </c>
      <c r="C1988" s="25" t="s">
        <v>4386</v>
      </c>
      <c r="D1988" s="26" t="n">
        <v>235</v>
      </c>
      <c r="E1988" s="27" t="n">
        <v>6.62893213772826</v>
      </c>
      <c r="F1988" s="27" t="n">
        <v>6.62893213772826</v>
      </c>
      <c r="G1988" s="25" t="s">
        <v>2796</v>
      </c>
      <c r="H1988" s="25" t="s">
        <v>2797</v>
      </c>
      <c r="I1988" s="25" t="n">
        <f aca="false">IFERROR(IF(INDEX(Documents!$C$5:$C$657,MATCH(H1988,Documents!$A$5:$A$657,0))="","",INDEX(Documents!$C$5:$C$657,MATCH(H1988,Documents!$A$5:$A$657,0))),"")</f>
        <v>2013</v>
      </c>
      <c r="J1988" s="25" t="str">
        <f aca="false">IFERROR(IF(INDEX(Documents!$D$5:$D$657,MATCH(H1988,Documents!$A$5:$A$657,0))="","",INDEX(Documents!$D$5:$D$657,MATCH(H1988,Documents!$A$5:$A$657,0))),"")</f>
        <v>Bioorg Med Chem</v>
      </c>
      <c r="K1988" s="25" t="str">
        <f aca="false">IFERROR(IF(INDEX(Documents!$G$5:$G$657,MATCH(H1988,Documents!$A$5:$A$657,0))="","",INDEX(Documents!$G$5:$G$657,MATCH(H1988,Documents!$A$5:$A$657,0))),"")</f>
        <v>10.1016/j.bmc.2013.01.006</v>
      </c>
      <c r="L1988" s="25" t="s">
        <v>2798</v>
      </c>
    </row>
    <row r="1989" customFormat="false" ht="15" hidden="false" customHeight="false" outlineLevel="0" collapsed="false">
      <c r="A1989" s="25" t="n">
        <v>13912584</v>
      </c>
      <c r="B1989" s="25" t="s">
        <v>4387</v>
      </c>
      <c r="C1989" s="25" t="s">
        <v>4388</v>
      </c>
      <c r="D1989" s="26" t="n">
        <v>104</v>
      </c>
      <c r="E1989" s="27" t="n">
        <v>6.98296666070122</v>
      </c>
      <c r="F1989" s="27" t="n">
        <v>6.98296666070122</v>
      </c>
      <c r="G1989" s="25" t="s">
        <v>1717</v>
      </c>
      <c r="H1989" s="25" t="s">
        <v>1718</v>
      </c>
      <c r="I1989" s="25" t="n">
        <f aca="false">IFERROR(IF(INDEX(Documents!$C$5:$C$657,MATCH(H1989,Documents!$A$5:$A$657,0))="","",INDEX(Documents!$C$5:$C$657,MATCH(H1989,Documents!$A$5:$A$657,0))),"")</f>
        <v>2014</v>
      </c>
      <c r="J1989" s="25" t="str">
        <f aca="false">IFERROR(IF(INDEX(Documents!$D$5:$D$657,MATCH(H1989,Documents!$A$5:$A$657,0))="","",INDEX(Documents!$D$5:$D$657,MATCH(H1989,Documents!$A$5:$A$657,0))),"")</f>
        <v>Eur J Med Chem</v>
      </c>
      <c r="K1989" s="25" t="str">
        <f aca="false">IFERROR(IF(INDEX(Documents!$G$5:$G$657,MATCH(H1989,Documents!$A$5:$A$657,0))="","",INDEX(Documents!$G$5:$G$657,MATCH(H1989,Documents!$A$5:$A$657,0))),"")</f>
        <v>10.1016/j.ejmech.2013.10.070</v>
      </c>
      <c r="L1989" s="25" t="s">
        <v>1719</v>
      </c>
    </row>
    <row r="1990" customFormat="false" ht="15" hidden="false" customHeight="false" outlineLevel="0" collapsed="false">
      <c r="A1990" s="25" t="n">
        <v>12723317</v>
      </c>
      <c r="B1990" s="25" t="s">
        <v>4389</v>
      </c>
      <c r="C1990" s="25" t="s">
        <v>4390</v>
      </c>
      <c r="D1990" s="26" t="n">
        <v>490</v>
      </c>
      <c r="E1990" s="27" t="n">
        <v>6.30980391997149</v>
      </c>
      <c r="F1990" s="27" t="n">
        <v>6.30980391997149</v>
      </c>
      <c r="G1990" s="25" t="s">
        <v>2796</v>
      </c>
      <c r="H1990" s="25" t="s">
        <v>2797</v>
      </c>
      <c r="I1990" s="25" t="n">
        <f aca="false">IFERROR(IF(INDEX(Documents!$C$5:$C$657,MATCH(H1990,Documents!$A$5:$A$657,0))="","",INDEX(Documents!$C$5:$C$657,MATCH(H1990,Documents!$A$5:$A$657,0))),"")</f>
        <v>2013</v>
      </c>
      <c r="J1990" s="25" t="str">
        <f aca="false">IFERROR(IF(INDEX(Documents!$D$5:$D$657,MATCH(H1990,Documents!$A$5:$A$657,0))="","",INDEX(Documents!$D$5:$D$657,MATCH(H1990,Documents!$A$5:$A$657,0))),"")</f>
        <v>Bioorg Med Chem</v>
      </c>
      <c r="K1990" s="25" t="str">
        <f aca="false">IFERROR(IF(INDEX(Documents!$G$5:$G$657,MATCH(H1990,Documents!$A$5:$A$657,0))="","",INDEX(Documents!$G$5:$G$657,MATCH(H1990,Documents!$A$5:$A$657,0))),"")</f>
        <v>10.1016/j.bmc.2013.01.006</v>
      </c>
      <c r="L1990" s="25" t="s">
        <v>2798</v>
      </c>
    </row>
    <row r="1991" customFormat="false" ht="15" hidden="false" customHeight="false" outlineLevel="0" collapsed="false">
      <c r="A1991" s="25" t="n">
        <v>24706550</v>
      </c>
      <c r="B1991" s="25" t="s">
        <v>4391</v>
      </c>
      <c r="C1991" s="25" t="s">
        <v>4392</v>
      </c>
      <c r="D1991" s="26" t="n">
        <v>39.81</v>
      </c>
      <c r="E1991" s="27" t="n">
        <v>7.4000078224159</v>
      </c>
      <c r="F1991" s="27" t="n">
        <v>7.40006237517111</v>
      </c>
      <c r="G1991" s="25" t="s">
        <v>3814</v>
      </c>
      <c r="H1991" s="25" t="s">
        <v>3815</v>
      </c>
      <c r="I1991" s="25" t="n">
        <f aca="false">IFERROR(IF(INDEX(Documents!$C$5:$C$657,MATCH(H1991,Documents!$A$5:$A$657,0))="","",INDEX(Documents!$C$5:$C$657,MATCH(H1991,Documents!$A$5:$A$657,0))),"")</f>
        <v>2022</v>
      </c>
      <c r="J1991" s="25" t="str">
        <f aca="false">IFERROR(IF(INDEX(Documents!$D$5:$D$657,MATCH(H1991,Documents!$A$5:$A$657,0))="","",INDEX(Documents!$D$5:$D$657,MATCH(H1991,Documents!$A$5:$A$657,0))),"")</f>
        <v>RSC Med Chem</v>
      </c>
      <c r="K1991" s="25" t="str">
        <f aca="false">IFERROR(IF(INDEX(Documents!$G$5:$G$657,MATCH(H1991,Documents!$A$5:$A$657,0))="","",INDEX(Documents!$G$5:$G$657,MATCH(H1991,Documents!$A$5:$A$657,0))),"")</f>
        <v>10.1039/d1md00242b</v>
      </c>
      <c r="L1991" s="25" t="s">
        <v>3816</v>
      </c>
    </row>
    <row r="1992" customFormat="false" ht="15" hidden="false" customHeight="false" outlineLevel="0" collapsed="false">
      <c r="A1992" s="25" t="n">
        <v>24706564</v>
      </c>
      <c r="B1992" s="25" t="s">
        <v>4391</v>
      </c>
      <c r="C1992" s="25" t="s">
        <v>4392</v>
      </c>
      <c r="D1992" s="26" t="n">
        <v>39.8</v>
      </c>
      <c r="E1992" s="27" t="n">
        <v>7.40011692792631</v>
      </c>
      <c r="F1992" s="27" t="n">
        <v>7.40006237517111</v>
      </c>
      <c r="G1992" s="25" t="s">
        <v>3814</v>
      </c>
      <c r="H1992" s="25" t="s">
        <v>3815</v>
      </c>
      <c r="I1992" s="25" t="n">
        <f aca="false">IFERROR(IF(INDEX(Documents!$C$5:$C$657,MATCH(H1992,Documents!$A$5:$A$657,0))="","",INDEX(Documents!$C$5:$C$657,MATCH(H1992,Documents!$A$5:$A$657,0))),"")</f>
        <v>2022</v>
      </c>
      <c r="J1992" s="25" t="str">
        <f aca="false">IFERROR(IF(INDEX(Documents!$D$5:$D$657,MATCH(H1992,Documents!$A$5:$A$657,0))="","",INDEX(Documents!$D$5:$D$657,MATCH(H1992,Documents!$A$5:$A$657,0))),"")</f>
        <v>RSC Med Chem</v>
      </c>
      <c r="K1992" s="25" t="str">
        <f aca="false">IFERROR(IF(INDEX(Documents!$G$5:$G$657,MATCH(H1992,Documents!$A$5:$A$657,0))="","",INDEX(Documents!$G$5:$G$657,MATCH(H1992,Documents!$A$5:$A$657,0))),"")</f>
        <v>10.1039/d1md00242b</v>
      </c>
      <c r="L1992" s="25" t="s">
        <v>3816</v>
      </c>
    </row>
    <row r="1993" customFormat="false" ht="15" hidden="false" customHeight="false" outlineLevel="0" collapsed="false">
      <c r="A1993" s="25" t="n">
        <v>24706549</v>
      </c>
      <c r="B1993" s="25" t="s">
        <v>4393</v>
      </c>
      <c r="C1993" s="25" t="s">
        <v>4394</v>
      </c>
      <c r="D1993" s="26" t="n">
        <v>0.912</v>
      </c>
      <c r="E1993" s="27" t="n">
        <v>9.04000516167158</v>
      </c>
      <c r="F1993" s="27" t="n">
        <v>9.04000516167158</v>
      </c>
      <c r="G1993" s="25" t="s">
        <v>3814</v>
      </c>
      <c r="H1993" s="25" t="s">
        <v>3815</v>
      </c>
      <c r="I1993" s="25" t="n">
        <f aca="false">IFERROR(IF(INDEX(Documents!$C$5:$C$657,MATCH(H1993,Documents!$A$5:$A$657,0))="","",INDEX(Documents!$C$5:$C$657,MATCH(H1993,Documents!$A$5:$A$657,0))),"")</f>
        <v>2022</v>
      </c>
      <c r="J1993" s="25" t="str">
        <f aca="false">IFERROR(IF(INDEX(Documents!$D$5:$D$657,MATCH(H1993,Documents!$A$5:$A$657,0))="","",INDEX(Documents!$D$5:$D$657,MATCH(H1993,Documents!$A$5:$A$657,0))),"")</f>
        <v>RSC Med Chem</v>
      </c>
      <c r="K1993" s="25" t="str">
        <f aca="false">IFERROR(IF(INDEX(Documents!$G$5:$G$657,MATCH(H1993,Documents!$A$5:$A$657,0))="","",INDEX(Documents!$G$5:$G$657,MATCH(H1993,Documents!$A$5:$A$657,0))),"")</f>
        <v>10.1039/d1md00242b</v>
      </c>
      <c r="L1993" s="25" t="s">
        <v>3816</v>
      </c>
    </row>
    <row r="1994" customFormat="false" ht="15" hidden="false" customHeight="false" outlineLevel="0" collapsed="false">
      <c r="A1994" s="25" t="n">
        <v>24706563</v>
      </c>
      <c r="B1994" s="25" t="s">
        <v>4393</v>
      </c>
      <c r="C1994" s="25" t="s">
        <v>4394</v>
      </c>
      <c r="D1994" s="26" t="n">
        <v>0.912</v>
      </c>
      <c r="E1994" s="27" t="n">
        <v>9.04000516167158</v>
      </c>
      <c r="F1994" s="27" t="n">
        <v>9.04000516167158</v>
      </c>
      <c r="G1994" s="25" t="s">
        <v>3814</v>
      </c>
      <c r="H1994" s="25" t="s">
        <v>3815</v>
      </c>
      <c r="I1994" s="25" t="n">
        <f aca="false">IFERROR(IF(INDEX(Documents!$C$5:$C$657,MATCH(H1994,Documents!$A$5:$A$657,0))="","",INDEX(Documents!$C$5:$C$657,MATCH(H1994,Documents!$A$5:$A$657,0))),"")</f>
        <v>2022</v>
      </c>
      <c r="J1994" s="25" t="str">
        <f aca="false">IFERROR(IF(INDEX(Documents!$D$5:$D$657,MATCH(H1994,Documents!$A$5:$A$657,0))="","",INDEX(Documents!$D$5:$D$657,MATCH(H1994,Documents!$A$5:$A$657,0))),"")</f>
        <v>RSC Med Chem</v>
      </c>
      <c r="K1994" s="25" t="str">
        <f aca="false">IFERROR(IF(INDEX(Documents!$G$5:$G$657,MATCH(H1994,Documents!$A$5:$A$657,0))="","",INDEX(Documents!$G$5:$G$657,MATCH(H1994,Documents!$A$5:$A$657,0))),"")</f>
        <v>10.1039/d1md00242b</v>
      </c>
      <c r="L1994" s="25" t="s">
        <v>3816</v>
      </c>
    </row>
    <row r="1995" customFormat="false" ht="15" hidden="false" customHeight="false" outlineLevel="0" collapsed="false">
      <c r="A1995" s="25" t="n">
        <v>24706562</v>
      </c>
      <c r="B1995" s="25" t="s">
        <v>4395</v>
      </c>
      <c r="C1995" s="25" t="s">
        <v>4396</v>
      </c>
      <c r="D1995" s="26" t="n">
        <v>6.46</v>
      </c>
      <c r="E1995" s="27" t="n">
        <v>8.18976748200492</v>
      </c>
      <c r="F1995" s="27" t="n">
        <v>8.18986834779954</v>
      </c>
      <c r="G1995" s="25" t="s">
        <v>3814</v>
      </c>
      <c r="H1995" s="25" t="s">
        <v>3815</v>
      </c>
      <c r="I1995" s="25" t="n">
        <f aca="false">IFERROR(IF(INDEX(Documents!$C$5:$C$657,MATCH(H1995,Documents!$A$5:$A$657,0))="","",INDEX(Documents!$C$5:$C$657,MATCH(H1995,Documents!$A$5:$A$657,0))),"")</f>
        <v>2022</v>
      </c>
      <c r="J1995" s="25" t="str">
        <f aca="false">IFERROR(IF(INDEX(Documents!$D$5:$D$657,MATCH(H1995,Documents!$A$5:$A$657,0))="","",INDEX(Documents!$D$5:$D$657,MATCH(H1995,Documents!$A$5:$A$657,0))),"")</f>
        <v>RSC Med Chem</v>
      </c>
      <c r="K1995" s="25" t="str">
        <f aca="false">IFERROR(IF(INDEX(Documents!$G$5:$G$657,MATCH(H1995,Documents!$A$5:$A$657,0))="","",INDEX(Documents!$G$5:$G$657,MATCH(H1995,Documents!$A$5:$A$657,0))),"")</f>
        <v>10.1039/d1md00242b</v>
      </c>
      <c r="L1995" s="25" t="s">
        <v>3816</v>
      </c>
    </row>
    <row r="1996" customFormat="false" ht="15" hidden="false" customHeight="false" outlineLevel="0" collapsed="false">
      <c r="A1996" s="25" t="n">
        <v>24706548</v>
      </c>
      <c r="B1996" s="25" t="s">
        <v>4395</v>
      </c>
      <c r="C1996" s="25" t="s">
        <v>4396</v>
      </c>
      <c r="D1996" s="26" t="n">
        <v>6.457</v>
      </c>
      <c r="E1996" s="27" t="n">
        <v>8.18996921359416</v>
      </c>
      <c r="F1996" s="27" t="n">
        <v>8.18986834779954</v>
      </c>
      <c r="G1996" s="25" t="s">
        <v>3814</v>
      </c>
      <c r="H1996" s="25" t="s">
        <v>3815</v>
      </c>
      <c r="I1996" s="25" t="n">
        <f aca="false">IFERROR(IF(INDEX(Documents!$C$5:$C$657,MATCH(H1996,Documents!$A$5:$A$657,0))="","",INDEX(Documents!$C$5:$C$657,MATCH(H1996,Documents!$A$5:$A$657,0))),"")</f>
        <v>2022</v>
      </c>
      <c r="J1996" s="25" t="str">
        <f aca="false">IFERROR(IF(INDEX(Documents!$D$5:$D$657,MATCH(H1996,Documents!$A$5:$A$657,0))="","",INDEX(Documents!$D$5:$D$657,MATCH(H1996,Documents!$A$5:$A$657,0))),"")</f>
        <v>RSC Med Chem</v>
      </c>
      <c r="K1996" s="25" t="str">
        <f aca="false">IFERROR(IF(INDEX(Documents!$G$5:$G$657,MATCH(H1996,Documents!$A$5:$A$657,0))="","",INDEX(Documents!$G$5:$G$657,MATCH(H1996,Documents!$A$5:$A$657,0))),"")</f>
        <v>10.1039/d1md00242b</v>
      </c>
      <c r="L1996" s="25" t="s">
        <v>3816</v>
      </c>
    </row>
    <row r="1997" customFormat="false" ht="15" hidden="false" customHeight="false" outlineLevel="0" collapsed="false">
      <c r="A1997" s="25" t="n">
        <v>17651749</v>
      </c>
      <c r="B1997" s="25" t="s">
        <v>4397</v>
      </c>
      <c r="C1997" s="25" t="s">
        <v>4398</v>
      </c>
      <c r="D1997" s="26" t="n">
        <v>44</v>
      </c>
      <c r="E1997" s="27" t="n">
        <v>7.35654732351381</v>
      </c>
      <c r="F1997" s="27" t="n">
        <v>7.35654732351381</v>
      </c>
      <c r="G1997" s="25" t="s">
        <v>730</v>
      </c>
      <c r="H1997" s="25" t="s">
        <v>731</v>
      </c>
      <c r="I1997" s="25" t="n">
        <f aca="false">IFERROR(IF(INDEX(Documents!$C$5:$C$657,MATCH(H1997,Documents!$A$5:$A$657,0))="","",INDEX(Documents!$C$5:$C$657,MATCH(H1997,Documents!$A$5:$A$657,0))),"")</f>
        <v>2014</v>
      </c>
      <c r="J1997" s="25" t="str">
        <f aca="false">IFERROR(IF(INDEX(Documents!$D$5:$D$657,MATCH(H1997,Documents!$A$5:$A$657,0))="","",INDEX(Documents!$D$5:$D$657,MATCH(H1997,Documents!$A$5:$A$657,0))),"")</f>
        <v/>
      </c>
      <c r="K1997" s="25" t="str">
        <f aca="false">IFERROR(IF(INDEX(Documents!$G$5:$G$657,MATCH(H1997,Documents!$A$5:$A$657,0))="","",INDEX(Documents!$G$5:$G$657,MATCH(H1997,Documents!$A$5:$A$657,0))),"")</f>
        <v/>
      </c>
      <c r="L1997" s="25" t="s">
        <v>732</v>
      </c>
    </row>
    <row r="1998" customFormat="false" ht="15" hidden="false" customHeight="false" outlineLevel="0" collapsed="false">
      <c r="A1998" s="25" t="n">
        <v>17651729</v>
      </c>
      <c r="B1998" s="25" t="s">
        <v>4399</v>
      </c>
      <c r="C1998" s="25" t="s">
        <v>4400</v>
      </c>
      <c r="D1998" s="26" t="n">
        <v>279</v>
      </c>
      <c r="E1998" s="27" t="n">
        <v>6.5543957967264</v>
      </c>
      <c r="F1998" s="27" t="n">
        <v>6.5543957967264</v>
      </c>
      <c r="G1998" s="25" t="s">
        <v>730</v>
      </c>
      <c r="H1998" s="25" t="s">
        <v>731</v>
      </c>
      <c r="I1998" s="25" t="n">
        <f aca="false">IFERROR(IF(INDEX(Documents!$C$5:$C$657,MATCH(H1998,Documents!$A$5:$A$657,0))="","",INDEX(Documents!$C$5:$C$657,MATCH(H1998,Documents!$A$5:$A$657,0))),"")</f>
        <v>2014</v>
      </c>
      <c r="J1998" s="25" t="str">
        <f aca="false">IFERROR(IF(INDEX(Documents!$D$5:$D$657,MATCH(H1998,Documents!$A$5:$A$657,0))="","",INDEX(Documents!$D$5:$D$657,MATCH(H1998,Documents!$A$5:$A$657,0))),"")</f>
        <v/>
      </c>
      <c r="K1998" s="25" t="str">
        <f aca="false">IFERROR(IF(INDEX(Documents!$G$5:$G$657,MATCH(H1998,Documents!$A$5:$A$657,0))="","",INDEX(Documents!$G$5:$G$657,MATCH(H1998,Documents!$A$5:$A$657,0))),"")</f>
        <v/>
      </c>
      <c r="L1998" s="25" t="s">
        <v>732</v>
      </c>
    </row>
    <row r="1999" customFormat="false" ht="15" hidden="false" customHeight="false" outlineLevel="0" collapsed="false">
      <c r="A1999" s="25" t="n">
        <v>17651687</v>
      </c>
      <c r="B1999" s="25" t="s">
        <v>4401</v>
      </c>
      <c r="C1999" s="25" t="s">
        <v>4402</v>
      </c>
      <c r="D1999" s="26" t="n">
        <v>185</v>
      </c>
      <c r="E1999" s="27" t="n">
        <v>6.73282827159699</v>
      </c>
      <c r="F1999" s="27" t="n">
        <v>6.73282827159699</v>
      </c>
      <c r="G1999" s="25" t="s">
        <v>730</v>
      </c>
      <c r="H1999" s="25" t="s">
        <v>731</v>
      </c>
      <c r="I1999" s="25" t="n">
        <f aca="false">IFERROR(IF(INDEX(Documents!$C$5:$C$657,MATCH(H1999,Documents!$A$5:$A$657,0))="","",INDEX(Documents!$C$5:$C$657,MATCH(H1999,Documents!$A$5:$A$657,0))),"")</f>
        <v>2014</v>
      </c>
      <c r="J1999" s="25" t="str">
        <f aca="false">IFERROR(IF(INDEX(Documents!$D$5:$D$657,MATCH(H1999,Documents!$A$5:$A$657,0))="","",INDEX(Documents!$D$5:$D$657,MATCH(H1999,Documents!$A$5:$A$657,0))),"")</f>
        <v/>
      </c>
      <c r="K1999" s="25" t="str">
        <f aca="false">IFERROR(IF(INDEX(Documents!$G$5:$G$657,MATCH(H1999,Documents!$A$5:$A$657,0))="","",INDEX(Documents!$G$5:$G$657,MATCH(H1999,Documents!$A$5:$A$657,0))),"")</f>
        <v/>
      </c>
      <c r="L1999" s="25" t="s">
        <v>732</v>
      </c>
    </row>
    <row r="2000" customFormat="false" ht="15" hidden="false" customHeight="false" outlineLevel="0" collapsed="false">
      <c r="A2000" s="25" t="n">
        <v>17651737</v>
      </c>
      <c r="B2000" s="25" t="s">
        <v>4403</v>
      </c>
      <c r="C2000" s="25" t="s">
        <v>4404</v>
      </c>
      <c r="D2000" s="26" t="n">
        <v>0.7</v>
      </c>
      <c r="E2000" s="27" t="n">
        <v>9.15490195998575</v>
      </c>
      <c r="F2000" s="27" t="n">
        <v>9.15490195998575</v>
      </c>
      <c r="G2000" s="25" t="s">
        <v>730</v>
      </c>
      <c r="H2000" s="25" t="s">
        <v>731</v>
      </c>
      <c r="I2000" s="25" t="n">
        <f aca="false">IFERROR(IF(INDEX(Documents!$C$5:$C$657,MATCH(H2000,Documents!$A$5:$A$657,0))="","",INDEX(Documents!$C$5:$C$657,MATCH(H2000,Documents!$A$5:$A$657,0))),"")</f>
        <v>2014</v>
      </c>
      <c r="J2000" s="25" t="str">
        <f aca="false">IFERROR(IF(INDEX(Documents!$D$5:$D$657,MATCH(H2000,Documents!$A$5:$A$657,0))="","",INDEX(Documents!$D$5:$D$657,MATCH(H2000,Documents!$A$5:$A$657,0))),"")</f>
        <v/>
      </c>
      <c r="K2000" s="25" t="str">
        <f aca="false">IFERROR(IF(INDEX(Documents!$G$5:$G$657,MATCH(H2000,Documents!$A$5:$A$657,0))="","",INDEX(Documents!$G$5:$G$657,MATCH(H2000,Documents!$A$5:$A$657,0))),"")</f>
        <v/>
      </c>
      <c r="L2000" s="25" t="s">
        <v>732</v>
      </c>
    </row>
    <row r="2001" customFormat="false" ht="15" hidden="false" customHeight="false" outlineLevel="0" collapsed="false">
      <c r="A2001" s="25" t="n">
        <v>17651726</v>
      </c>
      <c r="B2001" s="25" t="s">
        <v>4405</v>
      </c>
      <c r="C2001" s="25" t="s">
        <v>4406</v>
      </c>
      <c r="D2001" s="26" t="n">
        <v>1</v>
      </c>
      <c r="E2001" s="27" t="n">
        <v>9</v>
      </c>
      <c r="F2001" s="27" t="n">
        <v>9</v>
      </c>
      <c r="G2001" s="25" t="s">
        <v>730</v>
      </c>
      <c r="H2001" s="25" t="s">
        <v>731</v>
      </c>
      <c r="I2001" s="25" t="n">
        <f aca="false">IFERROR(IF(INDEX(Documents!$C$5:$C$657,MATCH(H2001,Documents!$A$5:$A$657,0))="","",INDEX(Documents!$C$5:$C$657,MATCH(H2001,Documents!$A$5:$A$657,0))),"")</f>
        <v>2014</v>
      </c>
      <c r="J2001" s="25" t="str">
        <f aca="false">IFERROR(IF(INDEX(Documents!$D$5:$D$657,MATCH(H2001,Documents!$A$5:$A$657,0))="","",INDEX(Documents!$D$5:$D$657,MATCH(H2001,Documents!$A$5:$A$657,0))),"")</f>
        <v/>
      </c>
      <c r="K2001" s="25" t="str">
        <f aca="false">IFERROR(IF(INDEX(Documents!$G$5:$G$657,MATCH(H2001,Documents!$A$5:$A$657,0))="","",INDEX(Documents!$G$5:$G$657,MATCH(H2001,Documents!$A$5:$A$657,0))),"")</f>
        <v/>
      </c>
      <c r="L2001" s="25" t="s">
        <v>732</v>
      </c>
    </row>
    <row r="2002" customFormat="false" ht="15" hidden="false" customHeight="false" outlineLevel="0" collapsed="false">
      <c r="A2002" s="25" t="n">
        <v>17651721</v>
      </c>
      <c r="B2002" s="25" t="s">
        <v>4407</v>
      </c>
      <c r="C2002" s="25" t="s">
        <v>4408</v>
      </c>
      <c r="D2002" s="26" t="n">
        <v>6.1</v>
      </c>
      <c r="E2002" s="27" t="n">
        <v>8.21467016498923</v>
      </c>
      <c r="F2002" s="27" t="n">
        <v>8.21467016498923</v>
      </c>
      <c r="G2002" s="25" t="s">
        <v>730</v>
      </c>
      <c r="H2002" s="25" t="s">
        <v>731</v>
      </c>
      <c r="I2002" s="25" t="n">
        <f aca="false">IFERROR(IF(INDEX(Documents!$C$5:$C$657,MATCH(H2002,Documents!$A$5:$A$657,0))="","",INDEX(Documents!$C$5:$C$657,MATCH(H2002,Documents!$A$5:$A$657,0))),"")</f>
        <v>2014</v>
      </c>
      <c r="J2002" s="25" t="str">
        <f aca="false">IFERROR(IF(INDEX(Documents!$D$5:$D$657,MATCH(H2002,Documents!$A$5:$A$657,0))="","",INDEX(Documents!$D$5:$D$657,MATCH(H2002,Documents!$A$5:$A$657,0))),"")</f>
        <v/>
      </c>
      <c r="K2002" s="25" t="str">
        <f aca="false">IFERROR(IF(INDEX(Documents!$G$5:$G$657,MATCH(H2002,Documents!$A$5:$A$657,0))="","",INDEX(Documents!$G$5:$G$657,MATCH(H2002,Documents!$A$5:$A$657,0))),"")</f>
        <v/>
      </c>
      <c r="L2002" s="25" t="s">
        <v>732</v>
      </c>
    </row>
    <row r="2003" customFormat="false" ht="15" hidden="false" customHeight="false" outlineLevel="0" collapsed="false">
      <c r="A2003" s="25" t="n">
        <v>17651717</v>
      </c>
      <c r="B2003" s="25" t="s">
        <v>4409</v>
      </c>
      <c r="C2003" s="25" t="s">
        <v>4410</v>
      </c>
      <c r="D2003" s="26" t="n">
        <v>21</v>
      </c>
      <c r="E2003" s="27" t="n">
        <v>7.67778070526608</v>
      </c>
      <c r="F2003" s="27" t="n">
        <v>7.67778070526608</v>
      </c>
      <c r="G2003" s="25" t="s">
        <v>730</v>
      </c>
      <c r="H2003" s="25" t="s">
        <v>731</v>
      </c>
      <c r="I2003" s="25" t="n">
        <f aca="false">IFERROR(IF(INDEX(Documents!$C$5:$C$657,MATCH(H2003,Documents!$A$5:$A$657,0))="","",INDEX(Documents!$C$5:$C$657,MATCH(H2003,Documents!$A$5:$A$657,0))),"")</f>
        <v>2014</v>
      </c>
      <c r="J2003" s="25" t="str">
        <f aca="false">IFERROR(IF(INDEX(Documents!$D$5:$D$657,MATCH(H2003,Documents!$A$5:$A$657,0))="","",INDEX(Documents!$D$5:$D$657,MATCH(H2003,Documents!$A$5:$A$657,0))),"")</f>
        <v/>
      </c>
      <c r="K2003" s="25" t="str">
        <f aca="false">IFERROR(IF(INDEX(Documents!$G$5:$G$657,MATCH(H2003,Documents!$A$5:$A$657,0))="","",INDEX(Documents!$G$5:$G$657,MATCH(H2003,Documents!$A$5:$A$657,0))),"")</f>
        <v/>
      </c>
      <c r="L2003" s="25" t="s">
        <v>732</v>
      </c>
    </row>
    <row r="2004" customFormat="false" ht="15" hidden="false" customHeight="false" outlineLevel="0" collapsed="false">
      <c r="A2004" s="25" t="n">
        <v>17651688</v>
      </c>
      <c r="B2004" s="25" t="s">
        <v>4411</v>
      </c>
      <c r="C2004" s="25" t="s">
        <v>4412</v>
      </c>
      <c r="D2004" s="26" t="n">
        <v>0.32</v>
      </c>
      <c r="E2004" s="27" t="n">
        <v>9.49485002168009</v>
      </c>
      <c r="F2004" s="27" t="n">
        <v>9.49485002168009</v>
      </c>
      <c r="G2004" s="25" t="s">
        <v>730</v>
      </c>
      <c r="H2004" s="25" t="s">
        <v>731</v>
      </c>
      <c r="I2004" s="25" t="n">
        <f aca="false">IFERROR(IF(INDEX(Documents!$C$5:$C$657,MATCH(H2004,Documents!$A$5:$A$657,0))="","",INDEX(Documents!$C$5:$C$657,MATCH(H2004,Documents!$A$5:$A$657,0))),"")</f>
        <v>2014</v>
      </c>
      <c r="J2004" s="25" t="str">
        <f aca="false">IFERROR(IF(INDEX(Documents!$D$5:$D$657,MATCH(H2004,Documents!$A$5:$A$657,0))="","",INDEX(Documents!$D$5:$D$657,MATCH(H2004,Documents!$A$5:$A$657,0))),"")</f>
        <v/>
      </c>
      <c r="K2004" s="25" t="str">
        <f aca="false">IFERROR(IF(INDEX(Documents!$G$5:$G$657,MATCH(H2004,Documents!$A$5:$A$657,0))="","",INDEX(Documents!$G$5:$G$657,MATCH(H2004,Documents!$A$5:$A$657,0))),"")</f>
        <v/>
      </c>
      <c r="L2004" s="25" t="s">
        <v>732</v>
      </c>
    </row>
    <row r="2005" customFormat="false" ht="15" hidden="false" customHeight="false" outlineLevel="0" collapsed="false">
      <c r="A2005" s="25" t="n">
        <v>17651694</v>
      </c>
      <c r="B2005" s="25" t="s">
        <v>4413</v>
      </c>
      <c r="C2005" s="25" t="s">
        <v>4414</v>
      </c>
      <c r="D2005" s="26" t="n">
        <v>6.2</v>
      </c>
      <c r="E2005" s="27" t="n">
        <v>8.20760831050175</v>
      </c>
      <c r="F2005" s="27" t="n">
        <v>8.20760831050175</v>
      </c>
      <c r="G2005" s="25" t="s">
        <v>730</v>
      </c>
      <c r="H2005" s="25" t="s">
        <v>731</v>
      </c>
      <c r="I2005" s="25" t="n">
        <f aca="false">IFERROR(IF(INDEX(Documents!$C$5:$C$657,MATCH(H2005,Documents!$A$5:$A$657,0))="","",INDEX(Documents!$C$5:$C$657,MATCH(H2005,Documents!$A$5:$A$657,0))),"")</f>
        <v>2014</v>
      </c>
      <c r="J2005" s="25" t="str">
        <f aca="false">IFERROR(IF(INDEX(Documents!$D$5:$D$657,MATCH(H2005,Documents!$A$5:$A$657,0))="","",INDEX(Documents!$D$5:$D$657,MATCH(H2005,Documents!$A$5:$A$657,0))),"")</f>
        <v/>
      </c>
      <c r="K2005" s="25" t="str">
        <f aca="false">IFERROR(IF(INDEX(Documents!$G$5:$G$657,MATCH(H2005,Documents!$A$5:$A$657,0))="","",INDEX(Documents!$G$5:$G$657,MATCH(H2005,Documents!$A$5:$A$657,0))),"")</f>
        <v/>
      </c>
      <c r="L2005" s="25" t="s">
        <v>732</v>
      </c>
    </row>
    <row r="2006" customFormat="false" ht="15" hidden="false" customHeight="false" outlineLevel="0" collapsed="false">
      <c r="A2006" s="25" t="n">
        <v>14573957</v>
      </c>
      <c r="B2006" s="25" t="s">
        <v>4415</v>
      </c>
      <c r="C2006" s="25" t="s">
        <v>4416</v>
      </c>
      <c r="D2006" s="26" t="n">
        <v>1.63</v>
      </c>
      <c r="E2006" s="27" t="n">
        <v>8.78781239559604</v>
      </c>
      <c r="F2006" s="27" t="n">
        <v>8.78781239559604</v>
      </c>
      <c r="G2006" s="25" t="s">
        <v>4417</v>
      </c>
      <c r="H2006" s="25" t="s">
        <v>1358</v>
      </c>
      <c r="I2006" s="25" t="n">
        <f aca="false">IFERROR(IF(INDEX(Documents!$C$5:$C$657,MATCH(H2006,Documents!$A$5:$A$657,0))="","",INDEX(Documents!$C$5:$C$657,MATCH(H2006,Documents!$A$5:$A$657,0))),"")</f>
        <v>2013</v>
      </c>
      <c r="J2006" s="25" t="str">
        <f aca="false">IFERROR(IF(INDEX(Documents!$D$5:$D$657,MATCH(H2006,Documents!$A$5:$A$657,0))="","",INDEX(Documents!$D$5:$D$657,MATCH(H2006,Documents!$A$5:$A$657,0))),"")</f>
        <v>J Med Chem</v>
      </c>
      <c r="K2006" s="25" t="str">
        <f aca="false">IFERROR(IF(INDEX(Documents!$G$5:$G$657,MATCH(H2006,Documents!$A$5:$A$657,0))="","",INDEX(Documents!$G$5:$G$657,MATCH(H2006,Documents!$A$5:$A$657,0))),"")</f>
        <v>10.1021/jm4005626</v>
      </c>
      <c r="L2006" s="25" t="s">
        <v>4418</v>
      </c>
    </row>
    <row r="2007" customFormat="false" ht="15" hidden="false" customHeight="false" outlineLevel="0" collapsed="false">
      <c r="A2007" s="25" t="n">
        <v>17651732</v>
      </c>
      <c r="B2007" s="25" t="s">
        <v>4419</v>
      </c>
      <c r="C2007" s="25" t="s">
        <v>4420</v>
      </c>
      <c r="D2007" s="26" t="n">
        <v>247</v>
      </c>
      <c r="E2007" s="27" t="n">
        <v>6.60730304674033</v>
      </c>
      <c r="F2007" s="27" t="n">
        <v>6.60730304674033</v>
      </c>
      <c r="G2007" s="25" t="s">
        <v>730</v>
      </c>
      <c r="H2007" s="25" t="s">
        <v>731</v>
      </c>
      <c r="I2007" s="25" t="n">
        <f aca="false">IFERROR(IF(INDEX(Documents!$C$5:$C$657,MATCH(H2007,Documents!$A$5:$A$657,0))="","",INDEX(Documents!$C$5:$C$657,MATCH(H2007,Documents!$A$5:$A$657,0))),"")</f>
        <v>2014</v>
      </c>
      <c r="J2007" s="25" t="str">
        <f aca="false">IFERROR(IF(INDEX(Documents!$D$5:$D$657,MATCH(H2007,Documents!$A$5:$A$657,0))="","",INDEX(Documents!$D$5:$D$657,MATCH(H2007,Documents!$A$5:$A$657,0))),"")</f>
        <v/>
      </c>
      <c r="K2007" s="25" t="str">
        <f aca="false">IFERROR(IF(INDEX(Documents!$G$5:$G$657,MATCH(H2007,Documents!$A$5:$A$657,0))="","",INDEX(Documents!$G$5:$G$657,MATCH(H2007,Documents!$A$5:$A$657,0))),"")</f>
        <v/>
      </c>
      <c r="L2007" s="25" t="s">
        <v>732</v>
      </c>
    </row>
    <row r="2008" customFormat="false" ht="15" hidden="false" customHeight="false" outlineLevel="0" collapsed="false">
      <c r="A2008" s="25" t="n">
        <v>17651738</v>
      </c>
      <c r="B2008" s="25" t="s">
        <v>4421</v>
      </c>
      <c r="C2008" s="25" t="s">
        <v>4422</v>
      </c>
      <c r="D2008" s="26" t="n">
        <v>0.4</v>
      </c>
      <c r="E2008" s="27" t="n">
        <v>9.39794000867204</v>
      </c>
      <c r="F2008" s="27" t="n">
        <v>9.39794000867204</v>
      </c>
      <c r="G2008" s="25" t="s">
        <v>730</v>
      </c>
      <c r="H2008" s="25" t="s">
        <v>731</v>
      </c>
      <c r="I2008" s="25" t="n">
        <f aca="false">IFERROR(IF(INDEX(Documents!$C$5:$C$657,MATCH(H2008,Documents!$A$5:$A$657,0))="","",INDEX(Documents!$C$5:$C$657,MATCH(H2008,Documents!$A$5:$A$657,0))),"")</f>
        <v>2014</v>
      </c>
      <c r="J2008" s="25" t="str">
        <f aca="false">IFERROR(IF(INDEX(Documents!$D$5:$D$657,MATCH(H2008,Documents!$A$5:$A$657,0))="","",INDEX(Documents!$D$5:$D$657,MATCH(H2008,Documents!$A$5:$A$657,0))),"")</f>
        <v/>
      </c>
      <c r="K2008" s="25" t="str">
        <f aca="false">IFERROR(IF(INDEX(Documents!$G$5:$G$657,MATCH(H2008,Documents!$A$5:$A$657,0))="","",INDEX(Documents!$G$5:$G$657,MATCH(H2008,Documents!$A$5:$A$657,0))),"")</f>
        <v/>
      </c>
      <c r="L2008" s="25" t="s">
        <v>732</v>
      </c>
    </row>
    <row r="2009" customFormat="false" ht="15" hidden="false" customHeight="false" outlineLevel="0" collapsed="false">
      <c r="A2009" s="25" t="n">
        <v>17651741</v>
      </c>
      <c r="B2009" s="25" t="s">
        <v>4423</v>
      </c>
      <c r="C2009" s="25" t="s">
        <v>4424</v>
      </c>
      <c r="D2009" s="26" t="n">
        <v>1.1</v>
      </c>
      <c r="E2009" s="27" t="n">
        <v>8.95860731484178</v>
      </c>
      <c r="F2009" s="27" t="n">
        <v>8.95860731484178</v>
      </c>
      <c r="G2009" s="25" t="s">
        <v>730</v>
      </c>
      <c r="H2009" s="25" t="s">
        <v>731</v>
      </c>
      <c r="I2009" s="25" t="n">
        <f aca="false">IFERROR(IF(INDEX(Documents!$C$5:$C$657,MATCH(H2009,Documents!$A$5:$A$657,0))="","",INDEX(Documents!$C$5:$C$657,MATCH(H2009,Documents!$A$5:$A$657,0))),"")</f>
        <v>2014</v>
      </c>
      <c r="J2009" s="25" t="str">
        <f aca="false">IFERROR(IF(INDEX(Documents!$D$5:$D$657,MATCH(H2009,Documents!$A$5:$A$657,0))="","",INDEX(Documents!$D$5:$D$657,MATCH(H2009,Documents!$A$5:$A$657,0))),"")</f>
        <v/>
      </c>
      <c r="K2009" s="25" t="str">
        <f aca="false">IFERROR(IF(INDEX(Documents!$G$5:$G$657,MATCH(H2009,Documents!$A$5:$A$657,0))="","",INDEX(Documents!$G$5:$G$657,MATCH(H2009,Documents!$A$5:$A$657,0))),"")</f>
        <v/>
      </c>
      <c r="L2009" s="25" t="s">
        <v>732</v>
      </c>
    </row>
    <row r="2010" customFormat="false" ht="15" hidden="false" customHeight="false" outlineLevel="0" collapsed="false">
      <c r="A2010" s="25" t="n">
        <v>17651736</v>
      </c>
      <c r="B2010" s="25" t="s">
        <v>4425</v>
      </c>
      <c r="C2010" s="25" t="s">
        <v>4426</v>
      </c>
      <c r="D2010" s="26" t="n">
        <v>0.8</v>
      </c>
      <c r="E2010" s="27" t="n">
        <v>9.09691001300806</v>
      </c>
      <c r="F2010" s="27" t="n">
        <v>9.09691001300806</v>
      </c>
      <c r="G2010" s="25" t="s">
        <v>730</v>
      </c>
      <c r="H2010" s="25" t="s">
        <v>731</v>
      </c>
      <c r="I2010" s="25" t="n">
        <f aca="false">IFERROR(IF(INDEX(Documents!$C$5:$C$657,MATCH(H2010,Documents!$A$5:$A$657,0))="","",INDEX(Documents!$C$5:$C$657,MATCH(H2010,Documents!$A$5:$A$657,0))),"")</f>
        <v>2014</v>
      </c>
      <c r="J2010" s="25" t="str">
        <f aca="false">IFERROR(IF(INDEX(Documents!$D$5:$D$657,MATCH(H2010,Documents!$A$5:$A$657,0))="","",INDEX(Documents!$D$5:$D$657,MATCH(H2010,Documents!$A$5:$A$657,0))),"")</f>
        <v/>
      </c>
      <c r="K2010" s="25" t="str">
        <f aca="false">IFERROR(IF(INDEX(Documents!$G$5:$G$657,MATCH(H2010,Documents!$A$5:$A$657,0))="","",INDEX(Documents!$G$5:$G$657,MATCH(H2010,Documents!$A$5:$A$657,0))),"")</f>
        <v/>
      </c>
      <c r="L2010" s="25" t="s">
        <v>732</v>
      </c>
    </row>
    <row r="2011" customFormat="false" ht="15" hidden="false" customHeight="false" outlineLevel="0" collapsed="false">
      <c r="A2011" s="25" t="n">
        <v>17651745</v>
      </c>
      <c r="B2011" s="25" t="s">
        <v>4427</v>
      </c>
      <c r="C2011" s="25" t="s">
        <v>4428</v>
      </c>
      <c r="D2011" s="26" t="n">
        <v>47</v>
      </c>
      <c r="E2011" s="27" t="n">
        <v>7.32790214206428</v>
      </c>
      <c r="F2011" s="27" t="n">
        <v>7.32790214206428</v>
      </c>
      <c r="G2011" s="25" t="s">
        <v>730</v>
      </c>
      <c r="H2011" s="25" t="s">
        <v>731</v>
      </c>
      <c r="I2011" s="25" t="n">
        <f aca="false">IFERROR(IF(INDEX(Documents!$C$5:$C$657,MATCH(H2011,Documents!$A$5:$A$657,0))="","",INDEX(Documents!$C$5:$C$657,MATCH(H2011,Documents!$A$5:$A$657,0))),"")</f>
        <v>2014</v>
      </c>
      <c r="J2011" s="25" t="str">
        <f aca="false">IFERROR(IF(INDEX(Documents!$D$5:$D$657,MATCH(H2011,Documents!$A$5:$A$657,0))="","",INDEX(Documents!$D$5:$D$657,MATCH(H2011,Documents!$A$5:$A$657,0))),"")</f>
        <v/>
      </c>
      <c r="K2011" s="25" t="str">
        <f aca="false">IFERROR(IF(INDEX(Documents!$G$5:$G$657,MATCH(H2011,Documents!$A$5:$A$657,0))="","",INDEX(Documents!$G$5:$G$657,MATCH(H2011,Documents!$A$5:$A$657,0))),"")</f>
        <v/>
      </c>
      <c r="L2011" s="25" t="s">
        <v>732</v>
      </c>
    </row>
    <row r="2012" customFormat="false" ht="15" hidden="false" customHeight="false" outlineLevel="0" collapsed="false">
      <c r="A2012" s="25" t="n">
        <v>17651746</v>
      </c>
      <c r="B2012" s="25" t="s">
        <v>4429</v>
      </c>
      <c r="C2012" s="25" t="s">
        <v>4430</v>
      </c>
      <c r="D2012" s="26" t="n">
        <v>43</v>
      </c>
      <c r="E2012" s="27" t="n">
        <v>7.36653154442041</v>
      </c>
      <c r="F2012" s="27" t="n">
        <v>7.36653154442041</v>
      </c>
      <c r="G2012" s="25" t="s">
        <v>730</v>
      </c>
      <c r="H2012" s="25" t="s">
        <v>731</v>
      </c>
      <c r="I2012" s="25" t="n">
        <f aca="false">IFERROR(IF(INDEX(Documents!$C$5:$C$657,MATCH(H2012,Documents!$A$5:$A$657,0))="","",INDEX(Documents!$C$5:$C$657,MATCH(H2012,Documents!$A$5:$A$657,0))),"")</f>
        <v>2014</v>
      </c>
      <c r="J2012" s="25" t="str">
        <f aca="false">IFERROR(IF(INDEX(Documents!$D$5:$D$657,MATCH(H2012,Documents!$A$5:$A$657,0))="","",INDEX(Documents!$D$5:$D$657,MATCH(H2012,Documents!$A$5:$A$657,0))),"")</f>
        <v/>
      </c>
      <c r="K2012" s="25" t="str">
        <f aca="false">IFERROR(IF(INDEX(Documents!$G$5:$G$657,MATCH(H2012,Documents!$A$5:$A$657,0))="","",INDEX(Documents!$G$5:$G$657,MATCH(H2012,Documents!$A$5:$A$657,0))),"")</f>
        <v/>
      </c>
      <c r="L2012" s="25" t="s">
        <v>732</v>
      </c>
    </row>
    <row r="2013" customFormat="false" ht="15" hidden="false" customHeight="false" outlineLevel="0" collapsed="false">
      <c r="A2013" s="25" t="n">
        <v>17651728</v>
      </c>
      <c r="B2013" s="25" t="s">
        <v>4431</v>
      </c>
      <c r="C2013" s="25" t="s">
        <v>4432</v>
      </c>
      <c r="D2013" s="26" t="n">
        <v>32</v>
      </c>
      <c r="E2013" s="27" t="n">
        <v>7.49485002168009</v>
      </c>
      <c r="F2013" s="27" t="n">
        <v>7.49485002168009</v>
      </c>
      <c r="G2013" s="25" t="s">
        <v>730</v>
      </c>
      <c r="H2013" s="25" t="s">
        <v>731</v>
      </c>
      <c r="I2013" s="25" t="n">
        <f aca="false">IFERROR(IF(INDEX(Documents!$C$5:$C$657,MATCH(H2013,Documents!$A$5:$A$657,0))="","",INDEX(Documents!$C$5:$C$657,MATCH(H2013,Documents!$A$5:$A$657,0))),"")</f>
        <v>2014</v>
      </c>
      <c r="J2013" s="25" t="str">
        <f aca="false">IFERROR(IF(INDEX(Documents!$D$5:$D$657,MATCH(H2013,Documents!$A$5:$A$657,0))="","",INDEX(Documents!$D$5:$D$657,MATCH(H2013,Documents!$A$5:$A$657,0))),"")</f>
        <v/>
      </c>
      <c r="K2013" s="25" t="str">
        <f aca="false">IFERROR(IF(INDEX(Documents!$G$5:$G$657,MATCH(H2013,Documents!$A$5:$A$657,0))="","",INDEX(Documents!$G$5:$G$657,MATCH(H2013,Documents!$A$5:$A$657,0))),"")</f>
        <v/>
      </c>
      <c r="L2013" s="25" t="s">
        <v>732</v>
      </c>
    </row>
    <row r="2014" customFormat="false" ht="15" hidden="false" customHeight="false" outlineLevel="0" collapsed="false">
      <c r="A2014" s="25" t="n">
        <v>17651696</v>
      </c>
      <c r="B2014" s="25" t="s">
        <v>4433</v>
      </c>
      <c r="C2014" s="25" t="s">
        <v>4434</v>
      </c>
      <c r="D2014" s="26" t="n">
        <v>216</v>
      </c>
      <c r="E2014" s="27" t="n">
        <v>6.66554624884907</v>
      </c>
      <c r="F2014" s="27" t="n">
        <v>6.66554624884907</v>
      </c>
      <c r="G2014" s="25" t="s">
        <v>730</v>
      </c>
      <c r="H2014" s="25" t="s">
        <v>731</v>
      </c>
      <c r="I2014" s="25" t="n">
        <f aca="false">IFERROR(IF(INDEX(Documents!$C$5:$C$657,MATCH(H2014,Documents!$A$5:$A$657,0))="","",INDEX(Documents!$C$5:$C$657,MATCH(H2014,Documents!$A$5:$A$657,0))),"")</f>
        <v>2014</v>
      </c>
      <c r="J2014" s="25" t="str">
        <f aca="false">IFERROR(IF(INDEX(Documents!$D$5:$D$657,MATCH(H2014,Documents!$A$5:$A$657,0))="","",INDEX(Documents!$D$5:$D$657,MATCH(H2014,Documents!$A$5:$A$657,0))),"")</f>
        <v/>
      </c>
      <c r="K2014" s="25" t="str">
        <f aca="false">IFERROR(IF(INDEX(Documents!$G$5:$G$657,MATCH(H2014,Documents!$A$5:$A$657,0))="","",INDEX(Documents!$G$5:$G$657,MATCH(H2014,Documents!$A$5:$A$657,0))),"")</f>
        <v/>
      </c>
      <c r="L2014" s="25" t="s">
        <v>732</v>
      </c>
    </row>
    <row r="2015" customFormat="false" ht="15" hidden="false" customHeight="false" outlineLevel="0" collapsed="false">
      <c r="A2015" s="25" t="n">
        <v>17651725</v>
      </c>
      <c r="B2015" s="25" t="s">
        <v>4435</v>
      </c>
      <c r="C2015" s="25" t="s">
        <v>4436</v>
      </c>
      <c r="D2015" s="26" t="n">
        <v>18</v>
      </c>
      <c r="E2015" s="27" t="n">
        <v>7.74472749489669</v>
      </c>
      <c r="F2015" s="27" t="n">
        <v>7.74472749489669</v>
      </c>
      <c r="G2015" s="25" t="s">
        <v>730</v>
      </c>
      <c r="H2015" s="25" t="s">
        <v>731</v>
      </c>
      <c r="I2015" s="25" t="n">
        <f aca="false">IFERROR(IF(INDEX(Documents!$C$5:$C$657,MATCH(H2015,Documents!$A$5:$A$657,0))="","",INDEX(Documents!$C$5:$C$657,MATCH(H2015,Documents!$A$5:$A$657,0))),"")</f>
        <v>2014</v>
      </c>
      <c r="J2015" s="25" t="str">
        <f aca="false">IFERROR(IF(INDEX(Documents!$D$5:$D$657,MATCH(H2015,Documents!$A$5:$A$657,0))="","",INDEX(Documents!$D$5:$D$657,MATCH(H2015,Documents!$A$5:$A$657,0))),"")</f>
        <v/>
      </c>
      <c r="K2015" s="25" t="str">
        <f aca="false">IFERROR(IF(INDEX(Documents!$G$5:$G$657,MATCH(H2015,Documents!$A$5:$A$657,0))="","",INDEX(Documents!$G$5:$G$657,MATCH(H2015,Documents!$A$5:$A$657,0))),"")</f>
        <v/>
      </c>
      <c r="L2015" s="25" t="s">
        <v>732</v>
      </c>
    </row>
    <row r="2016" customFormat="false" ht="15" hidden="false" customHeight="false" outlineLevel="0" collapsed="false">
      <c r="A2016" s="25" t="n">
        <v>17651718</v>
      </c>
      <c r="B2016" s="25" t="s">
        <v>4437</v>
      </c>
      <c r="C2016" s="25" t="s">
        <v>4438</v>
      </c>
      <c r="D2016" s="26" t="n">
        <v>52</v>
      </c>
      <c r="E2016" s="27" t="n">
        <v>7.2839966563652</v>
      </c>
      <c r="F2016" s="27" t="n">
        <v>7.2839966563652</v>
      </c>
      <c r="G2016" s="25" t="s">
        <v>730</v>
      </c>
      <c r="H2016" s="25" t="s">
        <v>731</v>
      </c>
      <c r="I2016" s="25" t="n">
        <f aca="false">IFERROR(IF(INDEX(Documents!$C$5:$C$657,MATCH(H2016,Documents!$A$5:$A$657,0))="","",INDEX(Documents!$C$5:$C$657,MATCH(H2016,Documents!$A$5:$A$657,0))),"")</f>
        <v>2014</v>
      </c>
      <c r="J2016" s="25" t="str">
        <f aca="false">IFERROR(IF(INDEX(Documents!$D$5:$D$657,MATCH(H2016,Documents!$A$5:$A$657,0))="","",INDEX(Documents!$D$5:$D$657,MATCH(H2016,Documents!$A$5:$A$657,0))),"")</f>
        <v/>
      </c>
      <c r="K2016" s="25" t="str">
        <f aca="false">IFERROR(IF(INDEX(Documents!$G$5:$G$657,MATCH(H2016,Documents!$A$5:$A$657,0))="","",INDEX(Documents!$G$5:$G$657,MATCH(H2016,Documents!$A$5:$A$657,0))),"")</f>
        <v/>
      </c>
      <c r="L2016" s="25" t="s">
        <v>732</v>
      </c>
    </row>
    <row r="2017" customFormat="false" ht="15" hidden="false" customHeight="false" outlineLevel="0" collapsed="false">
      <c r="A2017" s="25" t="n">
        <v>17651730</v>
      </c>
      <c r="B2017" s="25" t="s">
        <v>4439</v>
      </c>
      <c r="C2017" s="25" t="s">
        <v>4440</v>
      </c>
      <c r="D2017" s="26" t="n">
        <v>16</v>
      </c>
      <c r="E2017" s="27" t="n">
        <v>7.79588001734408</v>
      </c>
      <c r="F2017" s="27" t="n">
        <v>7.79588001734408</v>
      </c>
      <c r="G2017" s="25" t="s">
        <v>730</v>
      </c>
      <c r="H2017" s="25" t="s">
        <v>731</v>
      </c>
      <c r="I2017" s="25" t="n">
        <f aca="false">IFERROR(IF(INDEX(Documents!$C$5:$C$657,MATCH(H2017,Documents!$A$5:$A$657,0))="","",INDEX(Documents!$C$5:$C$657,MATCH(H2017,Documents!$A$5:$A$657,0))),"")</f>
        <v>2014</v>
      </c>
      <c r="J2017" s="25" t="str">
        <f aca="false">IFERROR(IF(INDEX(Documents!$D$5:$D$657,MATCH(H2017,Documents!$A$5:$A$657,0))="","",INDEX(Documents!$D$5:$D$657,MATCH(H2017,Documents!$A$5:$A$657,0))),"")</f>
        <v/>
      </c>
      <c r="K2017" s="25" t="str">
        <f aca="false">IFERROR(IF(INDEX(Documents!$G$5:$G$657,MATCH(H2017,Documents!$A$5:$A$657,0))="","",INDEX(Documents!$G$5:$G$657,MATCH(H2017,Documents!$A$5:$A$657,0))),"")</f>
        <v/>
      </c>
      <c r="L2017" s="25" t="s">
        <v>732</v>
      </c>
    </row>
    <row r="2018" customFormat="false" ht="15" hidden="false" customHeight="false" outlineLevel="0" collapsed="false">
      <c r="A2018" s="25" t="n">
        <v>17651712</v>
      </c>
      <c r="B2018" s="25" t="s">
        <v>4441</v>
      </c>
      <c r="C2018" s="25" t="s">
        <v>4442</v>
      </c>
      <c r="D2018" s="26" t="n">
        <v>65</v>
      </c>
      <c r="E2018" s="27" t="n">
        <v>7.18708664335714</v>
      </c>
      <c r="F2018" s="27" t="n">
        <v>7.18708664335714</v>
      </c>
      <c r="G2018" s="25" t="s">
        <v>730</v>
      </c>
      <c r="H2018" s="25" t="s">
        <v>731</v>
      </c>
      <c r="I2018" s="25" t="n">
        <f aca="false">IFERROR(IF(INDEX(Documents!$C$5:$C$657,MATCH(H2018,Documents!$A$5:$A$657,0))="","",INDEX(Documents!$C$5:$C$657,MATCH(H2018,Documents!$A$5:$A$657,0))),"")</f>
        <v>2014</v>
      </c>
      <c r="J2018" s="25" t="str">
        <f aca="false">IFERROR(IF(INDEX(Documents!$D$5:$D$657,MATCH(H2018,Documents!$A$5:$A$657,0))="","",INDEX(Documents!$D$5:$D$657,MATCH(H2018,Documents!$A$5:$A$657,0))),"")</f>
        <v/>
      </c>
      <c r="K2018" s="25" t="str">
        <f aca="false">IFERROR(IF(INDEX(Documents!$G$5:$G$657,MATCH(H2018,Documents!$A$5:$A$657,0))="","",INDEX(Documents!$G$5:$G$657,MATCH(H2018,Documents!$A$5:$A$657,0))),"")</f>
        <v/>
      </c>
      <c r="L2018" s="25" t="s">
        <v>732</v>
      </c>
    </row>
    <row r="2019" customFormat="false" ht="15" hidden="false" customHeight="false" outlineLevel="0" collapsed="false">
      <c r="A2019" s="25" t="n">
        <v>17651720</v>
      </c>
      <c r="B2019" s="25" t="s">
        <v>4443</v>
      </c>
      <c r="C2019" s="25" t="s">
        <v>4444</v>
      </c>
      <c r="D2019" s="26" t="n">
        <v>5.3</v>
      </c>
      <c r="E2019" s="27" t="n">
        <v>8.27572413039921</v>
      </c>
      <c r="F2019" s="27" t="n">
        <v>8.27572413039921</v>
      </c>
      <c r="G2019" s="25" t="s">
        <v>730</v>
      </c>
      <c r="H2019" s="25" t="s">
        <v>731</v>
      </c>
      <c r="I2019" s="25" t="n">
        <f aca="false">IFERROR(IF(INDEX(Documents!$C$5:$C$657,MATCH(H2019,Documents!$A$5:$A$657,0))="","",INDEX(Documents!$C$5:$C$657,MATCH(H2019,Documents!$A$5:$A$657,0))),"")</f>
        <v>2014</v>
      </c>
      <c r="J2019" s="25" t="str">
        <f aca="false">IFERROR(IF(INDEX(Documents!$D$5:$D$657,MATCH(H2019,Documents!$A$5:$A$657,0))="","",INDEX(Documents!$D$5:$D$657,MATCH(H2019,Documents!$A$5:$A$657,0))),"")</f>
        <v/>
      </c>
      <c r="K2019" s="25" t="str">
        <f aca="false">IFERROR(IF(INDEX(Documents!$G$5:$G$657,MATCH(H2019,Documents!$A$5:$A$657,0))="","",INDEX(Documents!$G$5:$G$657,MATCH(H2019,Documents!$A$5:$A$657,0))),"")</f>
        <v/>
      </c>
      <c r="L2019" s="25" t="s">
        <v>732</v>
      </c>
    </row>
    <row r="2020" customFormat="false" ht="15" hidden="false" customHeight="false" outlineLevel="0" collapsed="false">
      <c r="A2020" s="25" t="n">
        <v>17651733</v>
      </c>
      <c r="B2020" s="25" t="s">
        <v>4445</v>
      </c>
      <c r="C2020" s="25" t="s">
        <v>4446</v>
      </c>
      <c r="D2020" s="26" t="n">
        <v>2.5</v>
      </c>
      <c r="E2020" s="27" t="n">
        <v>8.60205999132796</v>
      </c>
      <c r="F2020" s="27" t="n">
        <v>8.60205999132796</v>
      </c>
      <c r="G2020" s="25" t="s">
        <v>730</v>
      </c>
      <c r="H2020" s="25" t="s">
        <v>731</v>
      </c>
      <c r="I2020" s="25" t="n">
        <f aca="false">IFERROR(IF(INDEX(Documents!$C$5:$C$657,MATCH(H2020,Documents!$A$5:$A$657,0))="","",INDEX(Documents!$C$5:$C$657,MATCH(H2020,Documents!$A$5:$A$657,0))),"")</f>
        <v>2014</v>
      </c>
      <c r="J2020" s="25" t="str">
        <f aca="false">IFERROR(IF(INDEX(Documents!$D$5:$D$657,MATCH(H2020,Documents!$A$5:$A$657,0))="","",INDEX(Documents!$D$5:$D$657,MATCH(H2020,Documents!$A$5:$A$657,0))),"")</f>
        <v/>
      </c>
      <c r="K2020" s="25" t="str">
        <f aca="false">IFERROR(IF(INDEX(Documents!$G$5:$G$657,MATCH(H2020,Documents!$A$5:$A$657,0))="","",INDEX(Documents!$G$5:$G$657,MATCH(H2020,Documents!$A$5:$A$657,0))),"")</f>
        <v/>
      </c>
      <c r="L2020" s="25" t="s">
        <v>732</v>
      </c>
    </row>
    <row r="2021" customFormat="false" ht="15" hidden="false" customHeight="false" outlineLevel="0" collapsed="false">
      <c r="A2021" s="25" t="n">
        <v>17651731</v>
      </c>
      <c r="B2021" s="25" t="s">
        <v>4447</v>
      </c>
      <c r="C2021" s="25" t="s">
        <v>4448</v>
      </c>
      <c r="D2021" s="26" t="n">
        <v>5.1</v>
      </c>
      <c r="E2021" s="27" t="n">
        <v>8.29242982390206</v>
      </c>
      <c r="F2021" s="27" t="n">
        <v>8.29242982390206</v>
      </c>
      <c r="G2021" s="25" t="s">
        <v>730</v>
      </c>
      <c r="H2021" s="25" t="s">
        <v>731</v>
      </c>
      <c r="I2021" s="25" t="n">
        <f aca="false">IFERROR(IF(INDEX(Documents!$C$5:$C$657,MATCH(H2021,Documents!$A$5:$A$657,0))="","",INDEX(Documents!$C$5:$C$657,MATCH(H2021,Documents!$A$5:$A$657,0))),"")</f>
        <v>2014</v>
      </c>
      <c r="J2021" s="25" t="str">
        <f aca="false">IFERROR(IF(INDEX(Documents!$D$5:$D$657,MATCH(H2021,Documents!$A$5:$A$657,0))="","",INDEX(Documents!$D$5:$D$657,MATCH(H2021,Documents!$A$5:$A$657,0))),"")</f>
        <v/>
      </c>
      <c r="K2021" s="25" t="str">
        <f aca="false">IFERROR(IF(INDEX(Documents!$G$5:$G$657,MATCH(H2021,Documents!$A$5:$A$657,0))="","",INDEX(Documents!$G$5:$G$657,MATCH(H2021,Documents!$A$5:$A$657,0))),"")</f>
        <v/>
      </c>
      <c r="L2021" s="25" t="s">
        <v>732</v>
      </c>
    </row>
    <row r="2022" customFormat="false" ht="15" hidden="false" customHeight="false" outlineLevel="0" collapsed="false">
      <c r="A2022" s="25" t="n">
        <v>17651727</v>
      </c>
      <c r="B2022" s="25" t="s">
        <v>4449</v>
      </c>
      <c r="C2022" s="25" t="s">
        <v>4450</v>
      </c>
      <c r="D2022" s="26" t="n">
        <v>21</v>
      </c>
      <c r="E2022" s="27" t="n">
        <v>7.67778070526608</v>
      </c>
      <c r="F2022" s="27" t="n">
        <v>7.67778070526608</v>
      </c>
      <c r="G2022" s="25" t="s">
        <v>730</v>
      </c>
      <c r="H2022" s="25" t="s">
        <v>731</v>
      </c>
      <c r="I2022" s="25" t="n">
        <f aca="false">IFERROR(IF(INDEX(Documents!$C$5:$C$657,MATCH(H2022,Documents!$A$5:$A$657,0))="","",INDEX(Documents!$C$5:$C$657,MATCH(H2022,Documents!$A$5:$A$657,0))),"")</f>
        <v>2014</v>
      </c>
      <c r="J2022" s="25" t="str">
        <f aca="false">IFERROR(IF(INDEX(Documents!$D$5:$D$657,MATCH(H2022,Documents!$A$5:$A$657,0))="","",INDEX(Documents!$D$5:$D$657,MATCH(H2022,Documents!$A$5:$A$657,0))),"")</f>
        <v/>
      </c>
      <c r="K2022" s="25" t="str">
        <f aca="false">IFERROR(IF(INDEX(Documents!$G$5:$G$657,MATCH(H2022,Documents!$A$5:$A$657,0))="","",INDEX(Documents!$G$5:$G$657,MATCH(H2022,Documents!$A$5:$A$657,0))),"")</f>
        <v/>
      </c>
      <c r="L2022" s="25" t="s">
        <v>732</v>
      </c>
    </row>
    <row r="2023" customFormat="false" ht="15" hidden="false" customHeight="false" outlineLevel="0" collapsed="false">
      <c r="A2023" s="25" t="n">
        <v>17651740</v>
      </c>
      <c r="B2023" s="25" t="s">
        <v>4451</v>
      </c>
      <c r="C2023" s="25" t="s">
        <v>4452</v>
      </c>
      <c r="D2023" s="26" t="n">
        <v>18</v>
      </c>
      <c r="E2023" s="27" t="n">
        <v>7.74472749489669</v>
      </c>
      <c r="F2023" s="27" t="n">
        <v>7.74472749489669</v>
      </c>
      <c r="G2023" s="25" t="s">
        <v>730</v>
      </c>
      <c r="H2023" s="25" t="s">
        <v>731</v>
      </c>
      <c r="I2023" s="25" t="n">
        <f aca="false">IFERROR(IF(INDEX(Documents!$C$5:$C$657,MATCH(H2023,Documents!$A$5:$A$657,0))="","",INDEX(Documents!$C$5:$C$657,MATCH(H2023,Documents!$A$5:$A$657,0))),"")</f>
        <v>2014</v>
      </c>
      <c r="J2023" s="25" t="str">
        <f aca="false">IFERROR(IF(INDEX(Documents!$D$5:$D$657,MATCH(H2023,Documents!$A$5:$A$657,0))="","",INDEX(Documents!$D$5:$D$657,MATCH(H2023,Documents!$A$5:$A$657,0))),"")</f>
        <v/>
      </c>
      <c r="K2023" s="25" t="str">
        <f aca="false">IFERROR(IF(INDEX(Documents!$G$5:$G$657,MATCH(H2023,Documents!$A$5:$A$657,0))="","",INDEX(Documents!$G$5:$G$657,MATCH(H2023,Documents!$A$5:$A$657,0))),"")</f>
        <v/>
      </c>
      <c r="L2023" s="25" t="s">
        <v>732</v>
      </c>
    </row>
    <row r="2024" customFormat="false" ht="15" hidden="false" customHeight="false" outlineLevel="0" collapsed="false">
      <c r="A2024" s="25" t="n">
        <v>17651748</v>
      </c>
      <c r="B2024" s="25" t="s">
        <v>4453</v>
      </c>
      <c r="C2024" s="25" t="s">
        <v>4454</v>
      </c>
      <c r="D2024" s="26" t="n">
        <v>87</v>
      </c>
      <c r="E2024" s="27" t="n">
        <v>7.06048074738138</v>
      </c>
      <c r="F2024" s="27" t="n">
        <v>7.06048074738138</v>
      </c>
      <c r="G2024" s="25" t="s">
        <v>730</v>
      </c>
      <c r="H2024" s="25" t="s">
        <v>731</v>
      </c>
      <c r="I2024" s="25" t="n">
        <f aca="false">IFERROR(IF(INDEX(Documents!$C$5:$C$657,MATCH(H2024,Documents!$A$5:$A$657,0))="","",INDEX(Documents!$C$5:$C$657,MATCH(H2024,Documents!$A$5:$A$657,0))),"")</f>
        <v>2014</v>
      </c>
      <c r="J2024" s="25" t="str">
        <f aca="false">IFERROR(IF(INDEX(Documents!$D$5:$D$657,MATCH(H2024,Documents!$A$5:$A$657,0))="","",INDEX(Documents!$D$5:$D$657,MATCH(H2024,Documents!$A$5:$A$657,0))),"")</f>
        <v/>
      </c>
      <c r="K2024" s="25" t="str">
        <f aca="false">IFERROR(IF(INDEX(Documents!$G$5:$G$657,MATCH(H2024,Documents!$A$5:$A$657,0))="","",INDEX(Documents!$G$5:$G$657,MATCH(H2024,Documents!$A$5:$A$657,0))),"")</f>
        <v/>
      </c>
      <c r="L2024" s="25" t="s">
        <v>732</v>
      </c>
    </row>
    <row r="2025" customFormat="false" ht="15" hidden="false" customHeight="false" outlineLevel="0" collapsed="false">
      <c r="A2025" s="25" t="n">
        <v>17651747</v>
      </c>
      <c r="B2025" s="25" t="s">
        <v>4455</v>
      </c>
      <c r="C2025" s="25" t="s">
        <v>4456</v>
      </c>
      <c r="D2025" s="26" t="n">
        <v>68</v>
      </c>
      <c r="E2025" s="27" t="n">
        <v>7.16749108729376</v>
      </c>
      <c r="F2025" s="27" t="n">
        <v>7.16749108729376</v>
      </c>
      <c r="G2025" s="25" t="s">
        <v>730</v>
      </c>
      <c r="H2025" s="25" t="s">
        <v>731</v>
      </c>
      <c r="I2025" s="25" t="n">
        <f aca="false">IFERROR(IF(INDEX(Documents!$C$5:$C$657,MATCH(H2025,Documents!$A$5:$A$657,0))="","",INDEX(Documents!$C$5:$C$657,MATCH(H2025,Documents!$A$5:$A$657,0))),"")</f>
        <v>2014</v>
      </c>
      <c r="J2025" s="25" t="str">
        <f aca="false">IFERROR(IF(INDEX(Documents!$D$5:$D$657,MATCH(H2025,Documents!$A$5:$A$657,0))="","",INDEX(Documents!$D$5:$D$657,MATCH(H2025,Documents!$A$5:$A$657,0))),"")</f>
        <v/>
      </c>
      <c r="K2025" s="25" t="str">
        <f aca="false">IFERROR(IF(INDEX(Documents!$G$5:$G$657,MATCH(H2025,Documents!$A$5:$A$657,0))="","",INDEX(Documents!$G$5:$G$657,MATCH(H2025,Documents!$A$5:$A$657,0))),"")</f>
        <v/>
      </c>
      <c r="L2025" s="25" t="s">
        <v>732</v>
      </c>
    </row>
    <row r="2026" customFormat="false" ht="15" hidden="false" customHeight="false" outlineLevel="0" collapsed="false">
      <c r="A2026" s="25" t="n">
        <v>17651734</v>
      </c>
      <c r="B2026" s="25" t="s">
        <v>4457</v>
      </c>
      <c r="C2026" s="25" t="s">
        <v>4458</v>
      </c>
      <c r="D2026" s="26" t="n">
        <v>1.6</v>
      </c>
      <c r="E2026" s="27" t="n">
        <v>8.79588001734408</v>
      </c>
      <c r="F2026" s="27" t="n">
        <v>8.79588001734408</v>
      </c>
      <c r="G2026" s="25" t="s">
        <v>730</v>
      </c>
      <c r="H2026" s="25" t="s">
        <v>731</v>
      </c>
      <c r="I2026" s="25" t="n">
        <f aca="false">IFERROR(IF(INDEX(Documents!$C$5:$C$657,MATCH(H2026,Documents!$A$5:$A$657,0))="","",INDEX(Documents!$C$5:$C$657,MATCH(H2026,Documents!$A$5:$A$657,0))),"")</f>
        <v>2014</v>
      </c>
      <c r="J2026" s="25" t="str">
        <f aca="false">IFERROR(IF(INDEX(Documents!$D$5:$D$657,MATCH(H2026,Documents!$A$5:$A$657,0))="","",INDEX(Documents!$D$5:$D$657,MATCH(H2026,Documents!$A$5:$A$657,0))),"")</f>
        <v/>
      </c>
      <c r="K2026" s="25" t="str">
        <f aca="false">IFERROR(IF(INDEX(Documents!$G$5:$G$657,MATCH(H2026,Documents!$A$5:$A$657,0))="","",INDEX(Documents!$G$5:$G$657,MATCH(H2026,Documents!$A$5:$A$657,0))),"")</f>
        <v/>
      </c>
      <c r="L2026" s="25" t="s">
        <v>732</v>
      </c>
    </row>
    <row r="2027" customFormat="false" ht="15" hidden="false" customHeight="false" outlineLevel="0" collapsed="false">
      <c r="A2027" s="25" t="n">
        <v>17651713</v>
      </c>
      <c r="B2027" s="25" t="s">
        <v>4459</v>
      </c>
      <c r="C2027" s="25" t="s">
        <v>4460</v>
      </c>
      <c r="D2027" s="26" t="n">
        <v>12</v>
      </c>
      <c r="E2027" s="27" t="n">
        <v>7.92081875395238</v>
      </c>
      <c r="F2027" s="27" t="n">
        <v>7.92081875395238</v>
      </c>
      <c r="G2027" s="25" t="s">
        <v>730</v>
      </c>
      <c r="H2027" s="25" t="s">
        <v>731</v>
      </c>
      <c r="I2027" s="25" t="n">
        <f aca="false">IFERROR(IF(INDEX(Documents!$C$5:$C$657,MATCH(H2027,Documents!$A$5:$A$657,0))="","",INDEX(Documents!$C$5:$C$657,MATCH(H2027,Documents!$A$5:$A$657,0))),"")</f>
        <v>2014</v>
      </c>
      <c r="J2027" s="25" t="str">
        <f aca="false">IFERROR(IF(INDEX(Documents!$D$5:$D$657,MATCH(H2027,Documents!$A$5:$A$657,0))="","",INDEX(Documents!$D$5:$D$657,MATCH(H2027,Documents!$A$5:$A$657,0))),"")</f>
        <v/>
      </c>
      <c r="K2027" s="25" t="str">
        <f aca="false">IFERROR(IF(INDEX(Documents!$G$5:$G$657,MATCH(H2027,Documents!$A$5:$A$657,0))="","",INDEX(Documents!$G$5:$G$657,MATCH(H2027,Documents!$A$5:$A$657,0))),"")</f>
        <v/>
      </c>
      <c r="L2027" s="25" t="s">
        <v>732</v>
      </c>
    </row>
    <row r="2028" customFormat="false" ht="15" hidden="false" customHeight="false" outlineLevel="0" collapsed="false">
      <c r="A2028" s="25" t="n">
        <v>17651735</v>
      </c>
      <c r="B2028" s="25" t="s">
        <v>4461</v>
      </c>
      <c r="C2028" s="25" t="s">
        <v>4462</v>
      </c>
      <c r="D2028" s="26" t="n">
        <v>1.7</v>
      </c>
      <c r="E2028" s="27" t="n">
        <v>8.76955107862173</v>
      </c>
      <c r="F2028" s="27" t="n">
        <v>8.76955107862173</v>
      </c>
      <c r="G2028" s="25" t="s">
        <v>730</v>
      </c>
      <c r="H2028" s="25" t="s">
        <v>731</v>
      </c>
      <c r="I2028" s="25" t="n">
        <f aca="false">IFERROR(IF(INDEX(Documents!$C$5:$C$657,MATCH(H2028,Documents!$A$5:$A$657,0))="","",INDEX(Documents!$C$5:$C$657,MATCH(H2028,Documents!$A$5:$A$657,0))),"")</f>
        <v>2014</v>
      </c>
      <c r="J2028" s="25" t="str">
        <f aca="false">IFERROR(IF(INDEX(Documents!$D$5:$D$657,MATCH(H2028,Documents!$A$5:$A$657,0))="","",INDEX(Documents!$D$5:$D$657,MATCH(H2028,Documents!$A$5:$A$657,0))),"")</f>
        <v/>
      </c>
      <c r="K2028" s="25" t="str">
        <f aca="false">IFERROR(IF(INDEX(Documents!$G$5:$G$657,MATCH(H2028,Documents!$A$5:$A$657,0))="","",INDEX(Documents!$G$5:$G$657,MATCH(H2028,Documents!$A$5:$A$657,0))),"")</f>
        <v/>
      </c>
      <c r="L2028" s="25" t="s">
        <v>732</v>
      </c>
    </row>
    <row r="2029" customFormat="false" ht="15" hidden="false" customHeight="false" outlineLevel="0" collapsed="false">
      <c r="A2029" s="25" t="n">
        <v>17651715</v>
      </c>
      <c r="B2029" s="25" t="s">
        <v>4463</v>
      </c>
      <c r="C2029" s="25" t="s">
        <v>4464</v>
      </c>
      <c r="D2029" s="26" t="n">
        <v>0.6</v>
      </c>
      <c r="E2029" s="27" t="n">
        <v>9.22184874961636</v>
      </c>
      <c r="F2029" s="27" t="n">
        <v>9.22184874961636</v>
      </c>
      <c r="G2029" s="25" t="s">
        <v>730</v>
      </c>
      <c r="H2029" s="25" t="s">
        <v>731</v>
      </c>
      <c r="I2029" s="25" t="n">
        <f aca="false">IFERROR(IF(INDEX(Documents!$C$5:$C$657,MATCH(H2029,Documents!$A$5:$A$657,0))="","",INDEX(Documents!$C$5:$C$657,MATCH(H2029,Documents!$A$5:$A$657,0))),"")</f>
        <v>2014</v>
      </c>
      <c r="J2029" s="25" t="str">
        <f aca="false">IFERROR(IF(INDEX(Documents!$D$5:$D$657,MATCH(H2029,Documents!$A$5:$A$657,0))="","",INDEX(Documents!$D$5:$D$657,MATCH(H2029,Documents!$A$5:$A$657,0))),"")</f>
        <v/>
      </c>
      <c r="K2029" s="25" t="str">
        <f aca="false">IFERROR(IF(INDEX(Documents!$G$5:$G$657,MATCH(H2029,Documents!$A$5:$A$657,0))="","",INDEX(Documents!$G$5:$G$657,MATCH(H2029,Documents!$A$5:$A$657,0))),"")</f>
        <v/>
      </c>
      <c r="L2029" s="25" t="s">
        <v>732</v>
      </c>
    </row>
    <row r="2030" customFormat="false" ht="15" hidden="false" customHeight="false" outlineLevel="0" collapsed="false">
      <c r="A2030" s="25" t="n">
        <v>17651686</v>
      </c>
      <c r="B2030" s="25" t="s">
        <v>4465</v>
      </c>
      <c r="C2030" s="25" t="s">
        <v>4466</v>
      </c>
      <c r="D2030" s="26" t="n">
        <v>11</v>
      </c>
      <c r="E2030" s="27" t="n">
        <v>7.95860731484178</v>
      </c>
      <c r="F2030" s="27" t="n">
        <v>7.95860731484178</v>
      </c>
      <c r="G2030" s="25" t="s">
        <v>730</v>
      </c>
      <c r="H2030" s="25" t="s">
        <v>731</v>
      </c>
      <c r="I2030" s="25" t="n">
        <f aca="false">IFERROR(IF(INDEX(Documents!$C$5:$C$657,MATCH(H2030,Documents!$A$5:$A$657,0))="","",INDEX(Documents!$C$5:$C$657,MATCH(H2030,Documents!$A$5:$A$657,0))),"")</f>
        <v>2014</v>
      </c>
      <c r="J2030" s="25" t="str">
        <f aca="false">IFERROR(IF(INDEX(Documents!$D$5:$D$657,MATCH(H2030,Documents!$A$5:$A$657,0))="","",INDEX(Documents!$D$5:$D$657,MATCH(H2030,Documents!$A$5:$A$657,0))),"")</f>
        <v/>
      </c>
      <c r="K2030" s="25" t="str">
        <f aca="false">IFERROR(IF(INDEX(Documents!$G$5:$G$657,MATCH(H2030,Documents!$A$5:$A$657,0))="","",INDEX(Documents!$G$5:$G$657,MATCH(H2030,Documents!$A$5:$A$657,0))),"")</f>
        <v/>
      </c>
      <c r="L2030" s="25" t="s">
        <v>732</v>
      </c>
    </row>
    <row r="2031" customFormat="false" ht="15" hidden="false" customHeight="false" outlineLevel="0" collapsed="false">
      <c r="A2031" s="25" t="n">
        <v>17651700</v>
      </c>
      <c r="B2031" s="25" t="s">
        <v>4467</v>
      </c>
      <c r="C2031" s="25" t="s">
        <v>4468</v>
      </c>
      <c r="D2031" s="26" t="n">
        <v>1</v>
      </c>
      <c r="E2031" s="27" t="n">
        <v>9</v>
      </c>
      <c r="F2031" s="27" t="n">
        <v>9</v>
      </c>
      <c r="G2031" s="25" t="s">
        <v>730</v>
      </c>
      <c r="H2031" s="25" t="s">
        <v>731</v>
      </c>
      <c r="I2031" s="25" t="n">
        <f aca="false">IFERROR(IF(INDEX(Documents!$C$5:$C$657,MATCH(H2031,Documents!$A$5:$A$657,0))="","",INDEX(Documents!$C$5:$C$657,MATCH(H2031,Documents!$A$5:$A$657,0))),"")</f>
        <v>2014</v>
      </c>
      <c r="J2031" s="25" t="str">
        <f aca="false">IFERROR(IF(INDEX(Documents!$D$5:$D$657,MATCH(H2031,Documents!$A$5:$A$657,0))="","",INDEX(Documents!$D$5:$D$657,MATCH(H2031,Documents!$A$5:$A$657,0))),"")</f>
        <v/>
      </c>
      <c r="K2031" s="25" t="str">
        <f aca="false">IFERROR(IF(INDEX(Documents!$G$5:$G$657,MATCH(H2031,Documents!$A$5:$A$657,0))="","",INDEX(Documents!$G$5:$G$657,MATCH(H2031,Documents!$A$5:$A$657,0))),"")</f>
        <v/>
      </c>
      <c r="L2031" s="25" t="s">
        <v>732</v>
      </c>
    </row>
    <row r="2032" customFormat="false" ht="15" hidden="false" customHeight="false" outlineLevel="0" collapsed="false">
      <c r="A2032" s="25" t="n">
        <v>17651690</v>
      </c>
      <c r="B2032" s="25" t="s">
        <v>4469</v>
      </c>
      <c r="C2032" s="25" t="s">
        <v>4470</v>
      </c>
      <c r="D2032" s="26" t="n">
        <v>0.6</v>
      </c>
      <c r="E2032" s="27" t="n">
        <v>9.22184874961636</v>
      </c>
      <c r="F2032" s="27" t="n">
        <v>9.22184874961636</v>
      </c>
      <c r="G2032" s="25" t="s">
        <v>730</v>
      </c>
      <c r="H2032" s="25" t="s">
        <v>731</v>
      </c>
      <c r="I2032" s="25" t="n">
        <f aca="false">IFERROR(IF(INDEX(Documents!$C$5:$C$657,MATCH(H2032,Documents!$A$5:$A$657,0))="","",INDEX(Documents!$C$5:$C$657,MATCH(H2032,Documents!$A$5:$A$657,0))),"")</f>
        <v>2014</v>
      </c>
      <c r="J2032" s="25" t="str">
        <f aca="false">IFERROR(IF(INDEX(Documents!$D$5:$D$657,MATCH(H2032,Documents!$A$5:$A$657,0))="","",INDEX(Documents!$D$5:$D$657,MATCH(H2032,Documents!$A$5:$A$657,0))),"")</f>
        <v/>
      </c>
      <c r="K2032" s="25" t="str">
        <f aca="false">IFERROR(IF(INDEX(Documents!$G$5:$G$657,MATCH(H2032,Documents!$A$5:$A$657,0))="","",INDEX(Documents!$G$5:$G$657,MATCH(H2032,Documents!$A$5:$A$657,0))),"")</f>
        <v/>
      </c>
      <c r="L2032" s="25" t="s">
        <v>732</v>
      </c>
    </row>
    <row r="2033" customFormat="false" ht="15" hidden="false" customHeight="false" outlineLevel="0" collapsed="false">
      <c r="A2033" s="25" t="n">
        <v>17651708</v>
      </c>
      <c r="B2033" s="25" t="s">
        <v>4471</v>
      </c>
      <c r="C2033" s="25" t="s">
        <v>4472</v>
      </c>
      <c r="D2033" s="26" t="n">
        <v>8.5</v>
      </c>
      <c r="E2033" s="27" t="n">
        <v>8.07058107428571</v>
      </c>
      <c r="F2033" s="27" t="n">
        <v>8.07058107428571</v>
      </c>
      <c r="G2033" s="25" t="s">
        <v>730</v>
      </c>
      <c r="H2033" s="25" t="s">
        <v>731</v>
      </c>
      <c r="I2033" s="25" t="n">
        <f aca="false">IFERROR(IF(INDEX(Documents!$C$5:$C$657,MATCH(H2033,Documents!$A$5:$A$657,0))="","",INDEX(Documents!$C$5:$C$657,MATCH(H2033,Documents!$A$5:$A$657,0))),"")</f>
        <v>2014</v>
      </c>
      <c r="J2033" s="25" t="str">
        <f aca="false">IFERROR(IF(INDEX(Documents!$D$5:$D$657,MATCH(H2033,Documents!$A$5:$A$657,0))="","",INDEX(Documents!$D$5:$D$657,MATCH(H2033,Documents!$A$5:$A$657,0))),"")</f>
        <v/>
      </c>
      <c r="K2033" s="25" t="str">
        <f aca="false">IFERROR(IF(INDEX(Documents!$G$5:$G$657,MATCH(H2033,Documents!$A$5:$A$657,0))="","",INDEX(Documents!$G$5:$G$657,MATCH(H2033,Documents!$A$5:$A$657,0))),"")</f>
        <v/>
      </c>
      <c r="L2033" s="25" t="s">
        <v>732</v>
      </c>
    </row>
    <row r="2034" customFormat="false" ht="15" hidden="false" customHeight="false" outlineLevel="0" collapsed="false">
      <c r="A2034" s="25" t="n">
        <v>17651716</v>
      </c>
      <c r="B2034" s="25" t="s">
        <v>4473</v>
      </c>
      <c r="C2034" s="25" t="s">
        <v>4474</v>
      </c>
      <c r="D2034" s="26" t="n">
        <v>127</v>
      </c>
      <c r="E2034" s="27" t="n">
        <v>6.89619627904404</v>
      </c>
      <c r="F2034" s="27" t="n">
        <v>6.89619627904404</v>
      </c>
      <c r="G2034" s="25" t="s">
        <v>730</v>
      </c>
      <c r="H2034" s="25" t="s">
        <v>731</v>
      </c>
      <c r="I2034" s="25" t="n">
        <f aca="false">IFERROR(IF(INDEX(Documents!$C$5:$C$657,MATCH(H2034,Documents!$A$5:$A$657,0))="","",INDEX(Documents!$C$5:$C$657,MATCH(H2034,Documents!$A$5:$A$657,0))),"")</f>
        <v>2014</v>
      </c>
      <c r="J2034" s="25" t="str">
        <f aca="false">IFERROR(IF(INDEX(Documents!$D$5:$D$657,MATCH(H2034,Documents!$A$5:$A$657,0))="","",INDEX(Documents!$D$5:$D$657,MATCH(H2034,Documents!$A$5:$A$657,0))),"")</f>
        <v/>
      </c>
      <c r="K2034" s="25" t="str">
        <f aca="false">IFERROR(IF(INDEX(Documents!$G$5:$G$657,MATCH(H2034,Documents!$A$5:$A$657,0))="","",INDEX(Documents!$G$5:$G$657,MATCH(H2034,Documents!$A$5:$A$657,0))),"")</f>
        <v/>
      </c>
      <c r="L2034" s="25" t="s">
        <v>732</v>
      </c>
    </row>
    <row r="2035" customFormat="false" ht="15" hidden="false" customHeight="false" outlineLevel="0" collapsed="false">
      <c r="A2035" s="25" t="n">
        <v>17651691</v>
      </c>
      <c r="B2035" s="25" t="s">
        <v>4475</v>
      </c>
      <c r="C2035" s="25" t="s">
        <v>4476</v>
      </c>
      <c r="D2035" s="26" t="n">
        <v>16</v>
      </c>
      <c r="E2035" s="27" t="n">
        <v>7.79588001734408</v>
      </c>
      <c r="F2035" s="27" t="n">
        <v>7.79588001734408</v>
      </c>
      <c r="G2035" s="25" t="s">
        <v>730</v>
      </c>
      <c r="H2035" s="25" t="s">
        <v>731</v>
      </c>
      <c r="I2035" s="25" t="n">
        <f aca="false">IFERROR(IF(INDEX(Documents!$C$5:$C$657,MATCH(H2035,Documents!$A$5:$A$657,0))="","",INDEX(Documents!$C$5:$C$657,MATCH(H2035,Documents!$A$5:$A$657,0))),"")</f>
        <v>2014</v>
      </c>
      <c r="J2035" s="25" t="str">
        <f aca="false">IFERROR(IF(INDEX(Documents!$D$5:$D$657,MATCH(H2035,Documents!$A$5:$A$657,0))="","",INDEX(Documents!$D$5:$D$657,MATCH(H2035,Documents!$A$5:$A$657,0))),"")</f>
        <v/>
      </c>
      <c r="K2035" s="25" t="str">
        <f aca="false">IFERROR(IF(INDEX(Documents!$G$5:$G$657,MATCH(H2035,Documents!$A$5:$A$657,0))="","",INDEX(Documents!$G$5:$G$657,MATCH(H2035,Documents!$A$5:$A$657,0))),"")</f>
        <v/>
      </c>
      <c r="L2035" s="25" t="s">
        <v>732</v>
      </c>
    </row>
    <row r="2036" customFormat="false" ht="15" hidden="false" customHeight="false" outlineLevel="0" collapsed="false">
      <c r="A2036" s="25" t="n">
        <v>2460784</v>
      </c>
      <c r="B2036" s="25" t="s">
        <v>4477</v>
      </c>
      <c r="C2036" s="25" t="s">
        <v>4478</v>
      </c>
      <c r="D2036" s="26" t="n">
        <v>7.6</v>
      </c>
      <c r="E2036" s="27" t="n">
        <v>8.11918640771921</v>
      </c>
      <c r="F2036" s="27" t="n">
        <v>8.11918640771921</v>
      </c>
      <c r="G2036" s="25" t="s">
        <v>4479</v>
      </c>
      <c r="H2036" s="25" t="s">
        <v>4480</v>
      </c>
      <c r="I2036" s="25" t="n">
        <f aca="false">IFERROR(IF(INDEX(Documents!$C$5:$C$657,MATCH(H2036,Documents!$A$5:$A$657,0))="","",INDEX(Documents!$C$5:$C$657,MATCH(H2036,Documents!$A$5:$A$657,0))),"")</f>
        <v>2008</v>
      </c>
      <c r="J2036" s="25" t="str">
        <f aca="false">IFERROR(IF(INDEX(Documents!$D$5:$D$657,MATCH(H2036,Documents!$A$5:$A$657,0))="","",INDEX(Documents!$D$5:$D$657,MATCH(H2036,Documents!$A$5:$A$657,0))),"")</f>
        <v>Bioorg Med Chem Lett</v>
      </c>
      <c r="K2036" s="25" t="str">
        <f aca="false">IFERROR(IF(INDEX(Documents!$G$5:$G$657,MATCH(H2036,Documents!$A$5:$A$657,0))="","",INDEX(Documents!$G$5:$G$657,MATCH(H2036,Documents!$A$5:$A$657,0))),"")</f>
        <v>10.1016/j.bmcl.2008.05.073</v>
      </c>
      <c r="L2036" s="25" t="s">
        <v>775</v>
      </c>
    </row>
    <row r="2037" customFormat="false" ht="15" hidden="false" customHeight="false" outlineLevel="0" collapsed="false">
      <c r="A2037" s="25" t="n">
        <v>2460783</v>
      </c>
      <c r="B2037" s="25" t="s">
        <v>4481</v>
      </c>
      <c r="C2037" s="25" t="s">
        <v>4482</v>
      </c>
      <c r="D2037" s="26" t="n">
        <v>2.8</v>
      </c>
      <c r="E2037" s="27" t="n">
        <v>8.55284196865778</v>
      </c>
      <c r="F2037" s="27" t="n">
        <v>8.55284196865778</v>
      </c>
      <c r="G2037" s="25" t="s">
        <v>4479</v>
      </c>
      <c r="H2037" s="25" t="s">
        <v>4480</v>
      </c>
      <c r="I2037" s="25" t="n">
        <f aca="false">IFERROR(IF(INDEX(Documents!$C$5:$C$657,MATCH(H2037,Documents!$A$5:$A$657,0))="","",INDEX(Documents!$C$5:$C$657,MATCH(H2037,Documents!$A$5:$A$657,0))),"")</f>
        <v>2008</v>
      </c>
      <c r="J2037" s="25" t="str">
        <f aca="false">IFERROR(IF(INDEX(Documents!$D$5:$D$657,MATCH(H2037,Documents!$A$5:$A$657,0))="","",INDEX(Documents!$D$5:$D$657,MATCH(H2037,Documents!$A$5:$A$657,0))),"")</f>
        <v>Bioorg Med Chem Lett</v>
      </c>
      <c r="K2037" s="25" t="str">
        <f aca="false">IFERROR(IF(INDEX(Documents!$G$5:$G$657,MATCH(H2037,Documents!$A$5:$A$657,0))="","",INDEX(Documents!$G$5:$G$657,MATCH(H2037,Documents!$A$5:$A$657,0))),"")</f>
        <v>10.1016/j.bmcl.2008.05.073</v>
      </c>
      <c r="L2037" s="25" t="s">
        <v>775</v>
      </c>
    </row>
    <row r="2038" customFormat="false" ht="15" hidden="false" customHeight="false" outlineLevel="0" collapsed="false">
      <c r="A2038" s="25" t="n">
        <v>12146259</v>
      </c>
      <c r="B2038" s="25" t="s">
        <v>4483</v>
      </c>
      <c r="C2038" s="25" t="s">
        <v>4484</v>
      </c>
      <c r="D2038" s="26" t="n">
        <v>22</v>
      </c>
      <c r="E2038" s="27" t="n">
        <v>7.65757731917779</v>
      </c>
      <c r="F2038" s="27" t="n">
        <v>7.65757731917779</v>
      </c>
      <c r="G2038" s="25" t="s">
        <v>1126</v>
      </c>
      <c r="H2038" s="25" t="s">
        <v>1127</v>
      </c>
      <c r="I2038" s="25" t="n">
        <f aca="false">IFERROR(IF(INDEX(Documents!$C$5:$C$657,MATCH(H2038,Documents!$A$5:$A$657,0))="","",INDEX(Documents!$C$5:$C$657,MATCH(H2038,Documents!$A$5:$A$657,0))),"")</f>
        <v>2012</v>
      </c>
      <c r="J2038" s="25" t="str">
        <f aca="false">IFERROR(IF(INDEX(Documents!$D$5:$D$657,MATCH(H2038,Documents!$A$5:$A$657,0))="","",INDEX(Documents!$D$5:$D$657,MATCH(H2038,Documents!$A$5:$A$657,0))),"")</f>
        <v>J Med Chem</v>
      </c>
      <c r="K2038" s="25" t="str">
        <f aca="false">IFERROR(IF(INDEX(Documents!$G$5:$G$657,MATCH(H2038,Documents!$A$5:$A$657,0))="","",INDEX(Documents!$G$5:$G$657,MATCH(H2038,Documents!$A$5:$A$657,0))),"")</f>
        <v>10.1021/jm301212u</v>
      </c>
      <c r="L2038" s="25" t="s">
        <v>1128</v>
      </c>
    </row>
    <row r="2039" customFormat="false" ht="15" hidden="false" customHeight="false" outlineLevel="0" collapsed="false">
      <c r="A2039" s="25" t="n">
        <v>12146264</v>
      </c>
      <c r="B2039" s="25" t="s">
        <v>4483</v>
      </c>
      <c r="C2039" s="25" t="s">
        <v>4484</v>
      </c>
      <c r="D2039" s="26" t="n">
        <v>22</v>
      </c>
      <c r="E2039" s="27" t="n">
        <v>7.65757731917779</v>
      </c>
      <c r="F2039" s="27" t="n">
        <v>7.65757731917779</v>
      </c>
      <c r="G2039" s="25" t="s">
        <v>1126</v>
      </c>
      <c r="H2039" s="25" t="s">
        <v>1127</v>
      </c>
      <c r="I2039" s="25" t="n">
        <f aca="false">IFERROR(IF(INDEX(Documents!$C$5:$C$657,MATCH(H2039,Documents!$A$5:$A$657,0))="","",INDEX(Documents!$C$5:$C$657,MATCH(H2039,Documents!$A$5:$A$657,0))),"")</f>
        <v>2012</v>
      </c>
      <c r="J2039" s="25" t="str">
        <f aca="false">IFERROR(IF(INDEX(Documents!$D$5:$D$657,MATCH(H2039,Documents!$A$5:$A$657,0))="","",INDEX(Documents!$D$5:$D$657,MATCH(H2039,Documents!$A$5:$A$657,0))),"")</f>
        <v>J Med Chem</v>
      </c>
      <c r="K2039" s="25" t="str">
        <f aca="false">IFERROR(IF(INDEX(Documents!$G$5:$G$657,MATCH(H2039,Documents!$A$5:$A$657,0))="","",INDEX(Documents!$G$5:$G$657,MATCH(H2039,Documents!$A$5:$A$657,0))),"")</f>
        <v>10.1021/jm301212u</v>
      </c>
      <c r="L2039" s="25" t="s">
        <v>1128</v>
      </c>
    </row>
    <row r="2040" customFormat="false" ht="15" hidden="false" customHeight="false" outlineLevel="0" collapsed="false">
      <c r="A2040" s="25" t="n">
        <v>2033383</v>
      </c>
      <c r="B2040" s="25" t="s">
        <v>4485</v>
      </c>
      <c r="C2040" s="25" t="s">
        <v>4486</v>
      </c>
      <c r="D2040" s="26" t="n">
        <v>915</v>
      </c>
      <c r="E2040" s="27" t="n">
        <v>6.03857890593355</v>
      </c>
      <c r="F2040" s="27" t="n">
        <v>6.03857890593355</v>
      </c>
      <c r="G2040" s="25" t="s">
        <v>1133</v>
      </c>
      <c r="H2040" s="25" t="s">
        <v>1134</v>
      </c>
      <c r="I2040" s="25" t="n">
        <f aca="false">IFERROR(IF(INDEX(Documents!$C$5:$C$657,MATCH(H2040,Documents!$A$5:$A$657,0))="","",INDEX(Documents!$C$5:$C$657,MATCH(H2040,Documents!$A$5:$A$657,0))),"")</f>
        <v>2007</v>
      </c>
      <c r="J2040" s="25" t="str">
        <f aca="false">IFERROR(IF(INDEX(Documents!$D$5:$D$657,MATCH(H2040,Documents!$A$5:$A$657,0))="","",INDEX(Documents!$D$5:$D$657,MATCH(H2040,Documents!$A$5:$A$657,0))),"")</f>
        <v>Bioorg Med Chem Lett</v>
      </c>
      <c r="K2040" s="25" t="str">
        <f aca="false">IFERROR(IF(INDEX(Documents!$G$5:$G$657,MATCH(H2040,Documents!$A$5:$A$657,0))="","",INDEX(Documents!$G$5:$G$657,MATCH(H2040,Documents!$A$5:$A$657,0))),"")</f>
        <v>10.1016/j.bmcl.2007.04.093</v>
      </c>
      <c r="L2040" s="25" t="s">
        <v>775</v>
      </c>
    </row>
    <row r="2041" customFormat="false" ht="15" hidden="false" customHeight="false" outlineLevel="0" collapsed="false">
      <c r="A2041" s="25" t="n">
        <v>2048371</v>
      </c>
      <c r="B2041" s="25" t="s">
        <v>4487</v>
      </c>
      <c r="C2041" s="25" t="s">
        <v>4488</v>
      </c>
      <c r="D2041" s="26" t="n">
        <v>11.1</v>
      </c>
      <c r="E2041" s="27" t="n">
        <v>7.95467702121334</v>
      </c>
      <c r="F2041" s="27" t="n">
        <v>7.95467702121334</v>
      </c>
      <c r="G2041" s="25" t="s">
        <v>513</v>
      </c>
      <c r="H2041" s="25" t="s">
        <v>514</v>
      </c>
      <c r="I2041" s="25" t="n">
        <f aca="false">IFERROR(IF(INDEX(Documents!$C$5:$C$657,MATCH(H2041,Documents!$A$5:$A$657,0))="","",INDEX(Documents!$C$5:$C$657,MATCH(H2041,Documents!$A$5:$A$657,0))),"")</f>
        <v>2007</v>
      </c>
      <c r="J2041" s="25" t="str">
        <f aca="false">IFERROR(IF(INDEX(Documents!$D$5:$D$657,MATCH(H2041,Documents!$A$5:$A$657,0))="","",INDEX(Documents!$D$5:$D$657,MATCH(H2041,Documents!$A$5:$A$657,0))),"")</f>
        <v>Bioorg Med Chem Lett</v>
      </c>
      <c r="K2041" s="25" t="str">
        <f aca="false">IFERROR(IF(INDEX(Documents!$G$5:$G$657,MATCH(H2041,Documents!$A$5:$A$657,0))="","",INDEX(Documents!$G$5:$G$657,MATCH(H2041,Documents!$A$5:$A$657,0))),"")</f>
        <v>10.1016/j.bmcl.2007.09.019</v>
      </c>
      <c r="L2041" s="25" t="s">
        <v>515</v>
      </c>
    </row>
    <row r="2042" customFormat="false" ht="15" hidden="false" customHeight="false" outlineLevel="0" collapsed="false">
      <c r="A2042" s="25" t="n">
        <v>12136191</v>
      </c>
      <c r="B2042" s="25" t="s">
        <v>4489</v>
      </c>
      <c r="C2042" s="25" t="s">
        <v>4490</v>
      </c>
      <c r="D2042" s="26" t="n">
        <v>7779</v>
      </c>
      <c r="E2042" s="27" t="n">
        <v>5.10907622851099</v>
      </c>
      <c r="F2042" s="27" t="n">
        <v>5.10907622851099</v>
      </c>
      <c r="G2042" s="25" t="s">
        <v>718</v>
      </c>
      <c r="H2042" s="25" t="s">
        <v>719</v>
      </c>
      <c r="I2042" s="25" t="n">
        <f aca="false">IFERROR(IF(INDEX(Documents!$C$5:$C$657,MATCH(H2042,Documents!$A$5:$A$657,0))="","",INDEX(Documents!$C$5:$C$657,MATCH(H2042,Documents!$A$5:$A$657,0))),"")</f>
        <v>2012</v>
      </c>
      <c r="J2042" s="25" t="str">
        <f aca="false">IFERROR(IF(INDEX(Documents!$D$5:$D$657,MATCH(H2042,Documents!$A$5:$A$657,0))="","",INDEX(Documents!$D$5:$D$657,MATCH(H2042,Documents!$A$5:$A$657,0))),"")</f>
        <v>J Med Chem</v>
      </c>
      <c r="K2042" s="25" t="str">
        <f aca="false">IFERROR(IF(INDEX(Documents!$G$5:$G$657,MATCH(H2042,Documents!$A$5:$A$657,0))="","",INDEX(Documents!$G$5:$G$657,MATCH(H2042,Documents!$A$5:$A$657,0))),"")</f>
        <v>10.1021/jm301181r</v>
      </c>
      <c r="L2042" s="25" t="s">
        <v>720</v>
      </c>
    </row>
    <row r="2043" customFormat="false" ht="15" hidden="false" customHeight="false" outlineLevel="0" collapsed="false">
      <c r="A2043" s="25" t="n">
        <v>12136185</v>
      </c>
      <c r="B2043" s="25" t="s">
        <v>4491</v>
      </c>
      <c r="C2043" s="25" t="s">
        <v>4492</v>
      </c>
      <c r="D2043" s="26" t="n">
        <v>153</v>
      </c>
      <c r="E2043" s="27" t="n">
        <v>6.8153085691824</v>
      </c>
      <c r="F2043" s="27" t="n">
        <v>6.8153085691824</v>
      </c>
      <c r="G2043" s="25" t="s">
        <v>718</v>
      </c>
      <c r="H2043" s="25" t="s">
        <v>719</v>
      </c>
      <c r="I2043" s="25" t="n">
        <f aca="false">IFERROR(IF(INDEX(Documents!$C$5:$C$657,MATCH(H2043,Documents!$A$5:$A$657,0))="","",INDEX(Documents!$C$5:$C$657,MATCH(H2043,Documents!$A$5:$A$657,0))),"")</f>
        <v>2012</v>
      </c>
      <c r="J2043" s="25" t="str">
        <f aca="false">IFERROR(IF(INDEX(Documents!$D$5:$D$657,MATCH(H2043,Documents!$A$5:$A$657,0))="","",INDEX(Documents!$D$5:$D$657,MATCH(H2043,Documents!$A$5:$A$657,0))),"")</f>
        <v>J Med Chem</v>
      </c>
      <c r="K2043" s="25" t="str">
        <f aca="false">IFERROR(IF(INDEX(Documents!$G$5:$G$657,MATCH(H2043,Documents!$A$5:$A$657,0))="","",INDEX(Documents!$G$5:$G$657,MATCH(H2043,Documents!$A$5:$A$657,0))),"")</f>
        <v>10.1021/jm301181r</v>
      </c>
      <c r="L2043" s="25" t="s">
        <v>720</v>
      </c>
    </row>
    <row r="2044" customFormat="false" ht="15" hidden="false" customHeight="false" outlineLevel="0" collapsed="false">
      <c r="A2044" s="25" t="n">
        <v>10845109</v>
      </c>
      <c r="B2044" s="25" t="s">
        <v>4493</v>
      </c>
      <c r="C2044" s="25" t="s">
        <v>4494</v>
      </c>
      <c r="D2044" s="26" t="n">
        <v>33.88</v>
      </c>
      <c r="E2044" s="27" t="n">
        <v>7.47005659834133</v>
      </c>
      <c r="F2044" s="27" t="n">
        <v>7.47005659834133</v>
      </c>
      <c r="G2044" s="25" t="s">
        <v>4495</v>
      </c>
      <c r="H2044" s="25" t="s">
        <v>4496</v>
      </c>
      <c r="I2044" s="25" t="n">
        <f aca="false">IFERROR(IF(INDEX(Documents!$C$5:$C$657,MATCH(H2044,Documents!$A$5:$A$657,0))="","",INDEX(Documents!$C$5:$C$657,MATCH(H2044,Documents!$A$5:$A$657,0))),"")</f>
        <v>2012</v>
      </c>
      <c r="J2044" s="25" t="str">
        <f aca="false">IFERROR(IF(INDEX(Documents!$D$5:$D$657,MATCH(H2044,Documents!$A$5:$A$657,0))="","",INDEX(Documents!$D$5:$D$657,MATCH(H2044,Documents!$A$5:$A$657,0))),"")</f>
        <v>Bioorg Med Chem Lett</v>
      </c>
      <c r="K2044" s="25" t="str">
        <f aca="false">IFERROR(IF(INDEX(Documents!$G$5:$G$657,MATCH(H2044,Documents!$A$5:$A$657,0))="","",INDEX(Documents!$G$5:$G$657,MATCH(H2044,Documents!$A$5:$A$657,0))),"")</f>
        <v>10.1016/j.bmcl.2012.01.121</v>
      </c>
      <c r="L2044" s="25" t="s">
        <v>4497</v>
      </c>
    </row>
    <row r="2045" customFormat="false" ht="15" hidden="false" customHeight="false" outlineLevel="0" collapsed="false">
      <c r="A2045" s="25" t="n">
        <v>10845108</v>
      </c>
      <c r="B2045" s="25" t="s">
        <v>4498</v>
      </c>
      <c r="C2045" s="25" t="s">
        <v>4499</v>
      </c>
      <c r="D2045" s="26" t="n">
        <v>257.04</v>
      </c>
      <c r="E2045" s="27" t="n">
        <v>6.58999928745654</v>
      </c>
      <c r="F2045" s="27" t="n">
        <v>6.58999928745654</v>
      </c>
      <c r="G2045" s="25" t="s">
        <v>4495</v>
      </c>
      <c r="H2045" s="25" t="s">
        <v>4496</v>
      </c>
      <c r="I2045" s="25" t="n">
        <f aca="false">IFERROR(IF(INDEX(Documents!$C$5:$C$657,MATCH(H2045,Documents!$A$5:$A$657,0))="","",INDEX(Documents!$C$5:$C$657,MATCH(H2045,Documents!$A$5:$A$657,0))),"")</f>
        <v>2012</v>
      </c>
      <c r="J2045" s="25" t="str">
        <f aca="false">IFERROR(IF(INDEX(Documents!$D$5:$D$657,MATCH(H2045,Documents!$A$5:$A$657,0))="","",INDEX(Documents!$D$5:$D$657,MATCH(H2045,Documents!$A$5:$A$657,0))),"")</f>
        <v>Bioorg Med Chem Lett</v>
      </c>
      <c r="K2045" s="25" t="str">
        <f aca="false">IFERROR(IF(INDEX(Documents!$G$5:$G$657,MATCH(H2045,Documents!$A$5:$A$657,0))="","",INDEX(Documents!$G$5:$G$657,MATCH(H2045,Documents!$A$5:$A$657,0))),"")</f>
        <v>10.1016/j.bmcl.2012.01.121</v>
      </c>
      <c r="L2045" s="25" t="s">
        <v>4497</v>
      </c>
    </row>
    <row r="2046" customFormat="false" ht="15" hidden="false" customHeight="false" outlineLevel="0" collapsed="false">
      <c r="A2046" s="25" t="n">
        <v>10845114</v>
      </c>
      <c r="B2046" s="25" t="s">
        <v>4500</v>
      </c>
      <c r="C2046" s="25" t="s">
        <v>4501</v>
      </c>
      <c r="D2046" s="26" t="n">
        <v>1.95</v>
      </c>
      <c r="E2046" s="27" t="n">
        <v>8.70996538863748</v>
      </c>
      <c r="F2046" s="27" t="n">
        <v>8.70996538863748</v>
      </c>
      <c r="G2046" s="25" t="s">
        <v>4495</v>
      </c>
      <c r="H2046" s="25" t="s">
        <v>4496</v>
      </c>
      <c r="I2046" s="25" t="n">
        <f aca="false">IFERROR(IF(INDEX(Documents!$C$5:$C$657,MATCH(H2046,Documents!$A$5:$A$657,0))="","",INDEX(Documents!$C$5:$C$657,MATCH(H2046,Documents!$A$5:$A$657,0))),"")</f>
        <v>2012</v>
      </c>
      <c r="J2046" s="25" t="str">
        <f aca="false">IFERROR(IF(INDEX(Documents!$D$5:$D$657,MATCH(H2046,Documents!$A$5:$A$657,0))="","",INDEX(Documents!$D$5:$D$657,MATCH(H2046,Documents!$A$5:$A$657,0))),"")</f>
        <v>Bioorg Med Chem Lett</v>
      </c>
      <c r="K2046" s="25" t="str">
        <f aca="false">IFERROR(IF(INDEX(Documents!$G$5:$G$657,MATCH(H2046,Documents!$A$5:$A$657,0))="","",INDEX(Documents!$G$5:$G$657,MATCH(H2046,Documents!$A$5:$A$657,0))),"")</f>
        <v>10.1016/j.bmcl.2012.01.121</v>
      </c>
      <c r="L2046" s="25" t="s">
        <v>4497</v>
      </c>
    </row>
    <row r="2047" customFormat="false" ht="15" hidden="false" customHeight="false" outlineLevel="0" collapsed="false">
      <c r="A2047" s="25" t="n">
        <v>10845112</v>
      </c>
      <c r="B2047" s="25" t="s">
        <v>4502</v>
      </c>
      <c r="C2047" s="25" t="s">
        <v>4503</v>
      </c>
      <c r="D2047" s="26" t="n">
        <v>91.2</v>
      </c>
      <c r="E2047" s="27" t="n">
        <v>7.04000516167158</v>
      </c>
      <c r="F2047" s="27" t="n">
        <v>7.04000516167158</v>
      </c>
      <c r="G2047" s="25" t="s">
        <v>4495</v>
      </c>
      <c r="H2047" s="25" t="s">
        <v>4496</v>
      </c>
      <c r="I2047" s="25" t="n">
        <f aca="false">IFERROR(IF(INDEX(Documents!$C$5:$C$657,MATCH(H2047,Documents!$A$5:$A$657,0))="","",INDEX(Documents!$C$5:$C$657,MATCH(H2047,Documents!$A$5:$A$657,0))),"")</f>
        <v>2012</v>
      </c>
      <c r="J2047" s="25" t="str">
        <f aca="false">IFERROR(IF(INDEX(Documents!$D$5:$D$657,MATCH(H2047,Documents!$A$5:$A$657,0))="","",INDEX(Documents!$D$5:$D$657,MATCH(H2047,Documents!$A$5:$A$657,0))),"")</f>
        <v>Bioorg Med Chem Lett</v>
      </c>
      <c r="K2047" s="25" t="str">
        <f aca="false">IFERROR(IF(INDEX(Documents!$G$5:$G$657,MATCH(H2047,Documents!$A$5:$A$657,0))="","",INDEX(Documents!$G$5:$G$657,MATCH(H2047,Documents!$A$5:$A$657,0))),"")</f>
        <v>10.1016/j.bmcl.2012.01.121</v>
      </c>
      <c r="L2047" s="25" t="s">
        <v>4497</v>
      </c>
    </row>
    <row r="2048" customFormat="false" ht="15" hidden="false" customHeight="false" outlineLevel="0" collapsed="false">
      <c r="A2048" s="25" t="n">
        <v>10845118</v>
      </c>
      <c r="B2048" s="25" t="s">
        <v>4504</v>
      </c>
      <c r="C2048" s="25" t="s">
        <v>4505</v>
      </c>
      <c r="D2048" s="26" t="n">
        <v>20.89</v>
      </c>
      <c r="E2048" s="27" t="n">
        <v>7.68006156001969</v>
      </c>
      <c r="F2048" s="27" t="n">
        <v>7.68006156001969</v>
      </c>
      <c r="G2048" s="25" t="s">
        <v>4495</v>
      </c>
      <c r="H2048" s="25" t="s">
        <v>4496</v>
      </c>
      <c r="I2048" s="25" t="n">
        <f aca="false">IFERROR(IF(INDEX(Documents!$C$5:$C$657,MATCH(H2048,Documents!$A$5:$A$657,0))="","",INDEX(Documents!$C$5:$C$657,MATCH(H2048,Documents!$A$5:$A$657,0))),"")</f>
        <v>2012</v>
      </c>
      <c r="J2048" s="25" t="str">
        <f aca="false">IFERROR(IF(INDEX(Documents!$D$5:$D$657,MATCH(H2048,Documents!$A$5:$A$657,0))="","",INDEX(Documents!$D$5:$D$657,MATCH(H2048,Documents!$A$5:$A$657,0))),"")</f>
        <v>Bioorg Med Chem Lett</v>
      </c>
      <c r="K2048" s="25" t="str">
        <f aca="false">IFERROR(IF(INDEX(Documents!$G$5:$G$657,MATCH(H2048,Documents!$A$5:$A$657,0))="","",INDEX(Documents!$G$5:$G$657,MATCH(H2048,Documents!$A$5:$A$657,0))),"")</f>
        <v>10.1016/j.bmcl.2012.01.121</v>
      </c>
      <c r="L2048" s="25" t="s">
        <v>4497</v>
      </c>
    </row>
    <row r="2049" customFormat="false" ht="15" hidden="false" customHeight="false" outlineLevel="0" collapsed="false">
      <c r="A2049" s="25" t="n">
        <v>10845111</v>
      </c>
      <c r="B2049" s="25" t="s">
        <v>4506</v>
      </c>
      <c r="C2049" s="25" t="s">
        <v>4507</v>
      </c>
      <c r="D2049" s="26" t="n">
        <v>91.2</v>
      </c>
      <c r="E2049" s="27" t="n">
        <v>7.04000516167158</v>
      </c>
      <c r="F2049" s="27" t="n">
        <v>7.04000516167158</v>
      </c>
      <c r="G2049" s="25" t="s">
        <v>4495</v>
      </c>
      <c r="H2049" s="25" t="s">
        <v>4496</v>
      </c>
      <c r="I2049" s="25" t="n">
        <f aca="false">IFERROR(IF(INDEX(Documents!$C$5:$C$657,MATCH(H2049,Documents!$A$5:$A$657,0))="","",INDEX(Documents!$C$5:$C$657,MATCH(H2049,Documents!$A$5:$A$657,0))),"")</f>
        <v>2012</v>
      </c>
      <c r="J2049" s="25" t="str">
        <f aca="false">IFERROR(IF(INDEX(Documents!$D$5:$D$657,MATCH(H2049,Documents!$A$5:$A$657,0))="","",INDEX(Documents!$D$5:$D$657,MATCH(H2049,Documents!$A$5:$A$657,0))),"")</f>
        <v>Bioorg Med Chem Lett</v>
      </c>
      <c r="K2049" s="25" t="str">
        <f aca="false">IFERROR(IF(INDEX(Documents!$G$5:$G$657,MATCH(H2049,Documents!$A$5:$A$657,0))="","",INDEX(Documents!$G$5:$G$657,MATCH(H2049,Documents!$A$5:$A$657,0))),"")</f>
        <v>10.1016/j.bmcl.2012.01.121</v>
      </c>
      <c r="L2049" s="25" t="s">
        <v>4497</v>
      </c>
    </row>
    <row r="2050" customFormat="false" ht="15" hidden="false" customHeight="false" outlineLevel="0" collapsed="false">
      <c r="A2050" s="25" t="n">
        <v>10845110</v>
      </c>
      <c r="B2050" s="25" t="s">
        <v>4508</v>
      </c>
      <c r="C2050" s="25" t="s">
        <v>4509</v>
      </c>
      <c r="D2050" s="26" t="n">
        <v>104.71</v>
      </c>
      <c r="E2050" s="27" t="n">
        <v>6.98001184040871</v>
      </c>
      <c r="F2050" s="27" t="n">
        <v>6.98001184040871</v>
      </c>
      <c r="G2050" s="25" t="s">
        <v>4495</v>
      </c>
      <c r="H2050" s="25" t="s">
        <v>4496</v>
      </c>
      <c r="I2050" s="25" t="n">
        <f aca="false">IFERROR(IF(INDEX(Documents!$C$5:$C$657,MATCH(H2050,Documents!$A$5:$A$657,0))="","",INDEX(Documents!$C$5:$C$657,MATCH(H2050,Documents!$A$5:$A$657,0))),"")</f>
        <v>2012</v>
      </c>
      <c r="J2050" s="25" t="str">
        <f aca="false">IFERROR(IF(INDEX(Documents!$D$5:$D$657,MATCH(H2050,Documents!$A$5:$A$657,0))="","",INDEX(Documents!$D$5:$D$657,MATCH(H2050,Documents!$A$5:$A$657,0))),"")</f>
        <v>Bioorg Med Chem Lett</v>
      </c>
      <c r="K2050" s="25" t="str">
        <f aca="false">IFERROR(IF(INDEX(Documents!$G$5:$G$657,MATCH(H2050,Documents!$A$5:$A$657,0))="","",INDEX(Documents!$G$5:$G$657,MATCH(H2050,Documents!$A$5:$A$657,0))),"")</f>
        <v>10.1016/j.bmcl.2012.01.121</v>
      </c>
      <c r="L2050" s="25" t="s">
        <v>4497</v>
      </c>
    </row>
    <row r="2051" customFormat="false" ht="15" hidden="false" customHeight="false" outlineLevel="0" collapsed="false">
      <c r="A2051" s="25" t="n">
        <v>10845107</v>
      </c>
      <c r="B2051" s="25" t="s">
        <v>4510</v>
      </c>
      <c r="C2051" s="25" t="s">
        <v>4511</v>
      </c>
      <c r="D2051" s="26" t="n">
        <v>104.71</v>
      </c>
      <c r="E2051" s="27" t="n">
        <v>6.98001184040871</v>
      </c>
      <c r="F2051" s="27" t="n">
        <v>6.98001184040871</v>
      </c>
      <c r="G2051" s="25" t="s">
        <v>4495</v>
      </c>
      <c r="H2051" s="25" t="s">
        <v>4496</v>
      </c>
      <c r="I2051" s="25" t="n">
        <f aca="false">IFERROR(IF(INDEX(Documents!$C$5:$C$657,MATCH(H2051,Documents!$A$5:$A$657,0))="","",INDEX(Documents!$C$5:$C$657,MATCH(H2051,Documents!$A$5:$A$657,0))),"")</f>
        <v>2012</v>
      </c>
      <c r="J2051" s="25" t="str">
        <f aca="false">IFERROR(IF(INDEX(Documents!$D$5:$D$657,MATCH(H2051,Documents!$A$5:$A$657,0))="","",INDEX(Documents!$D$5:$D$657,MATCH(H2051,Documents!$A$5:$A$657,0))),"")</f>
        <v>Bioorg Med Chem Lett</v>
      </c>
      <c r="K2051" s="25" t="str">
        <f aca="false">IFERROR(IF(INDEX(Documents!$G$5:$G$657,MATCH(H2051,Documents!$A$5:$A$657,0))="","",INDEX(Documents!$G$5:$G$657,MATCH(H2051,Documents!$A$5:$A$657,0))),"")</f>
        <v>10.1016/j.bmcl.2012.01.121</v>
      </c>
      <c r="L2051" s="25" t="s">
        <v>4497</v>
      </c>
    </row>
    <row r="2052" customFormat="false" ht="15" hidden="false" customHeight="false" outlineLevel="0" collapsed="false">
      <c r="A2052" s="25" t="n">
        <v>5100331</v>
      </c>
      <c r="B2052" s="25" t="s">
        <v>4512</v>
      </c>
      <c r="C2052" s="25" t="s">
        <v>4513</v>
      </c>
      <c r="D2052" s="26" t="n">
        <v>1953.3</v>
      </c>
      <c r="E2052" s="27" t="n">
        <v>5.70923104993344</v>
      </c>
      <c r="F2052" s="27" t="n">
        <v>5.70923104993344</v>
      </c>
      <c r="G2052" s="25" t="s">
        <v>1811</v>
      </c>
      <c r="H2052" s="25" t="s">
        <v>1812</v>
      </c>
      <c r="I2052" s="25" t="n">
        <f aca="false">IFERROR(IF(INDEX(Documents!$C$5:$C$657,MATCH(H2052,Documents!$A$5:$A$657,0))="","",INDEX(Documents!$C$5:$C$657,MATCH(H2052,Documents!$A$5:$A$657,0))),"")</f>
        <v>2010</v>
      </c>
      <c r="J2052" s="25" t="str">
        <f aca="false">IFERROR(IF(INDEX(Documents!$D$5:$D$657,MATCH(H2052,Documents!$A$5:$A$657,0))="","",INDEX(Documents!$D$5:$D$657,MATCH(H2052,Documents!$A$5:$A$657,0))),"")</f>
        <v>Eur J Med Chem</v>
      </c>
      <c r="K2052" s="25" t="str">
        <f aca="false">IFERROR(IF(INDEX(Documents!$G$5:$G$657,MATCH(H2052,Documents!$A$5:$A$657,0))="","",INDEX(Documents!$G$5:$G$657,MATCH(H2052,Documents!$A$5:$A$657,0))),"")</f>
        <v>10.1016/j.ejmech.2010.09.053</v>
      </c>
      <c r="L2052" s="25" t="s">
        <v>1813</v>
      </c>
    </row>
    <row r="2053" customFormat="false" ht="15" hidden="false" customHeight="false" outlineLevel="0" collapsed="false">
      <c r="A2053" s="25" t="n">
        <v>5100325</v>
      </c>
      <c r="B2053" s="25" t="s">
        <v>4514</v>
      </c>
      <c r="C2053" s="25" t="s">
        <v>4515</v>
      </c>
      <c r="D2053" s="26" t="n">
        <v>1496.2</v>
      </c>
      <c r="E2053" s="27" t="n">
        <v>5.82501034959267</v>
      </c>
      <c r="F2053" s="27" t="n">
        <v>5.82501034959267</v>
      </c>
      <c r="G2053" s="25" t="s">
        <v>1811</v>
      </c>
      <c r="H2053" s="25" t="s">
        <v>1812</v>
      </c>
      <c r="I2053" s="25" t="n">
        <f aca="false">IFERROR(IF(INDEX(Documents!$C$5:$C$657,MATCH(H2053,Documents!$A$5:$A$657,0))="","",INDEX(Documents!$C$5:$C$657,MATCH(H2053,Documents!$A$5:$A$657,0))),"")</f>
        <v>2010</v>
      </c>
      <c r="J2053" s="25" t="str">
        <f aca="false">IFERROR(IF(INDEX(Documents!$D$5:$D$657,MATCH(H2053,Documents!$A$5:$A$657,0))="","",INDEX(Documents!$D$5:$D$657,MATCH(H2053,Documents!$A$5:$A$657,0))),"")</f>
        <v>Eur J Med Chem</v>
      </c>
      <c r="K2053" s="25" t="str">
        <f aca="false">IFERROR(IF(INDEX(Documents!$G$5:$G$657,MATCH(H2053,Documents!$A$5:$A$657,0))="","",INDEX(Documents!$G$5:$G$657,MATCH(H2053,Documents!$A$5:$A$657,0))),"")</f>
        <v>10.1016/j.ejmech.2010.09.053</v>
      </c>
      <c r="L2053" s="25" t="s">
        <v>1813</v>
      </c>
    </row>
    <row r="2054" customFormat="false" ht="15" hidden="false" customHeight="false" outlineLevel="0" collapsed="false">
      <c r="A2054" s="25" t="n">
        <v>16462609</v>
      </c>
      <c r="B2054" s="25" t="s">
        <v>4516</v>
      </c>
      <c r="C2054" s="25" t="s">
        <v>4517</v>
      </c>
      <c r="D2054" s="26" t="n">
        <v>1545</v>
      </c>
      <c r="E2054" s="27" t="n">
        <v>5.81107151623915</v>
      </c>
      <c r="F2054" s="27" t="n">
        <v>5.81107151623915</v>
      </c>
      <c r="G2054" s="25" t="s">
        <v>1973</v>
      </c>
      <c r="H2054" s="25" t="s">
        <v>1974</v>
      </c>
      <c r="I2054" s="25" t="n">
        <f aca="false">IFERROR(IF(INDEX(Documents!$C$5:$C$657,MATCH(H2054,Documents!$A$5:$A$657,0))="","",INDEX(Documents!$C$5:$C$657,MATCH(H2054,Documents!$A$5:$A$657,0))),"")</f>
        <v>2016</v>
      </c>
      <c r="J2054" s="25" t="str">
        <f aca="false">IFERROR(IF(INDEX(Documents!$D$5:$D$657,MATCH(H2054,Documents!$A$5:$A$657,0))="","",INDEX(Documents!$D$5:$D$657,MATCH(H2054,Documents!$A$5:$A$657,0))),"")</f>
        <v>Bioorg Med Chem</v>
      </c>
      <c r="K2054" s="25" t="str">
        <f aca="false">IFERROR(IF(INDEX(Documents!$G$5:$G$657,MATCH(H2054,Documents!$A$5:$A$657,0))="","",INDEX(Documents!$G$5:$G$657,MATCH(H2054,Documents!$A$5:$A$657,0))),"")</f>
        <v>10.1016/j.bmc.2016.01.033</v>
      </c>
      <c r="L2054" s="25" t="s">
        <v>1975</v>
      </c>
    </row>
    <row r="2055" customFormat="false" ht="15" hidden="false" customHeight="false" outlineLevel="0" collapsed="false">
      <c r="A2055" s="25" t="n">
        <v>15197363</v>
      </c>
      <c r="B2055" s="25" t="s">
        <v>4518</v>
      </c>
      <c r="C2055" s="25" t="s">
        <v>4519</v>
      </c>
      <c r="D2055" s="26" t="n">
        <v>0.09</v>
      </c>
      <c r="E2055" s="27" t="n">
        <v>10.0457574905607</v>
      </c>
      <c r="F2055" s="27" t="n">
        <v>10.0458781614396</v>
      </c>
      <c r="G2055" s="25" t="s">
        <v>2844</v>
      </c>
      <c r="H2055" s="25" t="s">
        <v>2845</v>
      </c>
      <c r="I2055" s="25" t="n">
        <f aca="false">IFERROR(IF(INDEX(Documents!$C$5:$C$657,MATCH(H2055,Documents!$A$5:$A$657,0))="","",INDEX(Documents!$C$5:$C$657,MATCH(H2055,Documents!$A$5:$A$657,0))),"")</f>
        <v>2015</v>
      </c>
      <c r="J2055" s="25" t="str">
        <f aca="false">IFERROR(IF(INDEX(Documents!$D$5:$D$657,MATCH(H2055,Documents!$A$5:$A$657,0))="","",INDEX(Documents!$D$5:$D$657,MATCH(H2055,Documents!$A$5:$A$657,0))),"")</f>
        <v>Eur J Med Chem</v>
      </c>
      <c r="K2055" s="25" t="str">
        <f aca="false">IFERROR(IF(INDEX(Documents!$G$5:$G$657,MATCH(H2055,Documents!$A$5:$A$657,0))="","",INDEX(Documents!$G$5:$G$657,MATCH(H2055,Documents!$A$5:$A$657,0))),"")</f>
        <v>10.1016/j.ejmech.2015.01.054</v>
      </c>
      <c r="L2055" s="25" t="s">
        <v>1359</v>
      </c>
    </row>
    <row r="2056" customFormat="false" ht="15" hidden="false" customHeight="false" outlineLevel="0" collapsed="false">
      <c r="A2056" s="25" t="n">
        <v>15198637</v>
      </c>
      <c r="B2056" s="25" t="s">
        <v>4518</v>
      </c>
      <c r="C2056" s="25" t="s">
        <v>4519</v>
      </c>
      <c r="D2056" s="26" t="n">
        <v>0.08995</v>
      </c>
      <c r="E2056" s="27" t="n">
        <v>10.0459988323184</v>
      </c>
      <c r="F2056" s="27" t="n">
        <v>10.0458781614396</v>
      </c>
      <c r="G2056" s="25" t="s">
        <v>2844</v>
      </c>
      <c r="H2056" s="25" t="s">
        <v>2845</v>
      </c>
      <c r="I2056" s="25" t="n">
        <f aca="false">IFERROR(IF(INDEX(Documents!$C$5:$C$657,MATCH(H2056,Documents!$A$5:$A$657,0))="","",INDEX(Documents!$C$5:$C$657,MATCH(H2056,Documents!$A$5:$A$657,0))),"")</f>
        <v>2015</v>
      </c>
      <c r="J2056" s="25" t="str">
        <f aca="false">IFERROR(IF(INDEX(Documents!$D$5:$D$657,MATCH(H2056,Documents!$A$5:$A$657,0))="","",INDEX(Documents!$D$5:$D$657,MATCH(H2056,Documents!$A$5:$A$657,0))),"")</f>
        <v>Eur J Med Chem</v>
      </c>
      <c r="K2056" s="25" t="str">
        <f aca="false">IFERROR(IF(INDEX(Documents!$G$5:$G$657,MATCH(H2056,Documents!$A$5:$A$657,0))="","",INDEX(Documents!$G$5:$G$657,MATCH(H2056,Documents!$A$5:$A$657,0))),"")</f>
        <v>10.1016/j.ejmech.2015.01.054</v>
      </c>
      <c r="L2056" s="25" t="s">
        <v>1359</v>
      </c>
    </row>
    <row r="2057" customFormat="false" ht="15" hidden="false" customHeight="false" outlineLevel="0" collapsed="false">
      <c r="A2057" s="25" t="n">
        <v>18703176</v>
      </c>
      <c r="B2057" s="25" t="s">
        <v>4520</v>
      </c>
      <c r="C2057" s="25" t="s">
        <v>4521</v>
      </c>
      <c r="D2057" s="26" t="n">
        <v>1350</v>
      </c>
      <c r="E2057" s="27" t="n">
        <v>5.86966623150499</v>
      </c>
      <c r="F2057" s="27" t="n">
        <v>5.86966623150499</v>
      </c>
      <c r="G2057" s="25" t="s">
        <v>4522</v>
      </c>
      <c r="H2057" s="25" t="s">
        <v>4523</v>
      </c>
      <c r="I2057" s="25" t="n">
        <f aca="false">IFERROR(IF(INDEX(Documents!$C$5:$C$657,MATCH(H2057,Documents!$A$5:$A$657,0))="","",INDEX(Documents!$C$5:$C$657,MATCH(H2057,Documents!$A$5:$A$657,0))),"")</f>
        <v>2018</v>
      </c>
      <c r="J2057" s="25" t="str">
        <f aca="false">IFERROR(IF(INDEX(Documents!$D$5:$D$657,MATCH(H2057,Documents!$A$5:$A$657,0))="","",INDEX(Documents!$D$5:$D$657,MATCH(H2057,Documents!$A$5:$A$657,0))),"")</f>
        <v>Eur J Med Chem</v>
      </c>
      <c r="K2057" s="25" t="str">
        <f aca="false">IFERROR(IF(INDEX(Documents!$G$5:$G$657,MATCH(H2057,Documents!$A$5:$A$657,0))="","",INDEX(Documents!$G$5:$G$657,MATCH(H2057,Documents!$A$5:$A$657,0))),"")</f>
        <v>10.1016/j.ejmech.2017.11.076</v>
      </c>
      <c r="L2057" s="25" t="s">
        <v>4524</v>
      </c>
    </row>
    <row r="2058" customFormat="false" ht="15" hidden="false" customHeight="false" outlineLevel="0" collapsed="false">
      <c r="A2058" s="25" t="n">
        <v>18703177</v>
      </c>
      <c r="B2058" s="25" t="s">
        <v>4525</v>
      </c>
      <c r="C2058" s="25" t="s">
        <v>4526</v>
      </c>
      <c r="D2058" s="26" t="n">
        <v>5.7</v>
      </c>
      <c r="E2058" s="27" t="n">
        <v>8.24412514432751</v>
      </c>
      <c r="F2058" s="27" t="n">
        <v>8.24412514432751</v>
      </c>
      <c r="G2058" s="25" t="s">
        <v>4522</v>
      </c>
      <c r="H2058" s="25" t="s">
        <v>4523</v>
      </c>
      <c r="I2058" s="25" t="n">
        <f aca="false">IFERROR(IF(INDEX(Documents!$C$5:$C$657,MATCH(H2058,Documents!$A$5:$A$657,0))="","",INDEX(Documents!$C$5:$C$657,MATCH(H2058,Documents!$A$5:$A$657,0))),"")</f>
        <v>2018</v>
      </c>
      <c r="J2058" s="25" t="str">
        <f aca="false">IFERROR(IF(INDEX(Documents!$D$5:$D$657,MATCH(H2058,Documents!$A$5:$A$657,0))="","",INDEX(Documents!$D$5:$D$657,MATCH(H2058,Documents!$A$5:$A$657,0))),"")</f>
        <v>Eur J Med Chem</v>
      </c>
      <c r="K2058" s="25" t="str">
        <f aca="false">IFERROR(IF(INDEX(Documents!$G$5:$G$657,MATCH(H2058,Documents!$A$5:$A$657,0))="","",INDEX(Documents!$G$5:$G$657,MATCH(H2058,Documents!$A$5:$A$657,0))),"")</f>
        <v>10.1016/j.ejmech.2017.11.076</v>
      </c>
      <c r="L2058" s="25" t="s">
        <v>4524</v>
      </c>
    </row>
    <row r="2059" customFormat="false" ht="15" hidden="false" customHeight="false" outlineLevel="0" collapsed="false">
      <c r="A2059" s="25" t="n">
        <v>13405029</v>
      </c>
      <c r="B2059" s="25" t="s">
        <v>4527</v>
      </c>
      <c r="C2059" s="25" t="s">
        <v>4528</v>
      </c>
      <c r="D2059" s="26" t="n">
        <v>79.6</v>
      </c>
      <c r="E2059" s="27" t="n">
        <v>7.09908693226233</v>
      </c>
      <c r="F2059" s="27" t="n">
        <v>7.09908693226233</v>
      </c>
      <c r="G2059" s="25" t="s">
        <v>2692</v>
      </c>
      <c r="H2059" s="25" t="s">
        <v>2693</v>
      </c>
      <c r="I2059" s="25" t="n">
        <f aca="false">IFERROR(IF(INDEX(Documents!$C$5:$C$657,MATCH(H2059,Documents!$A$5:$A$657,0))="","",INDEX(Documents!$C$5:$C$657,MATCH(H2059,Documents!$A$5:$A$657,0))),"")</f>
        <v>2013</v>
      </c>
      <c r="J2059" s="25" t="str">
        <f aca="false">IFERROR(IF(INDEX(Documents!$D$5:$D$657,MATCH(H2059,Documents!$A$5:$A$657,0))="","",INDEX(Documents!$D$5:$D$657,MATCH(H2059,Documents!$A$5:$A$657,0))),"")</f>
        <v>Bioorg Med Chem</v>
      </c>
      <c r="K2059" s="25" t="str">
        <f aca="false">IFERROR(IF(INDEX(Documents!$G$5:$G$657,MATCH(H2059,Documents!$A$5:$A$657,0))="","",INDEX(Documents!$G$5:$G$657,MATCH(H2059,Documents!$A$5:$A$657,0))),"")</f>
        <v>10.1016/j.bmc.2013.06.010</v>
      </c>
      <c r="L2059" s="25" t="s">
        <v>2694</v>
      </c>
    </row>
    <row r="2060" customFormat="false" ht="15" hidden="false" customHeight="false" outlineLevel="0" collapsed="false">
      <c r="A2060" s="25" t="n">
        <v>18673900</v>
      </c>
      <c r="B2060" s="25" t="s">
        <v>4529</v>
      </c>
      <c r="C2060" s="25" t="s">
        <v>4530</v>
      </c>
      <c r="D2060" s="26" t="n">
        <v>850</v>
      </c>
      <c r="E2060" s="27" t="n">
        <v>6.07058107428571</v>
      </c>
      <c r="F2060" s="27" t="n">
        <v>6.07058107428571</v>
      </c>
      <c r="G2060" s="25" t="s">
        <v>664</v>
      </c>
      <c r="H2060" s="25" t="s">
        <v>665</v>
      </c>
      <c r="I2060" s="25" t="n">
        <f aca="false">IFERROR(IF(INDEX(Documents!$C$5:$C$657,MATCH(H2060,Documents!$A$5:$A$657,0))="","",INDEX(Documents!$C$5:$C$657,MATCH(H2060,Documents!$A$5:$A$657,0))),"")</f>
        <v>2018</v>
      </c>
      <c r="J2060" s="25" t="str">
        <f aca="false">IFERROR(IF(INDEX(Documents!$D$5:$D$657,MATCH(H2060,Documents!$A$5:$A$657,0))="","",INDEX(Documents!$D$5:$D$657,MATCH(H2060,Documents!$A$5:$A$657,0))),"")</f>
        <v>Bioorg Med Chem</v>
      </c>
      <c r="K2060" s="25" t="str">
        <f aca="false">IFERROR(IF(INDEX(Documents!$G$5:$G$657,MATCH(H2060,Documents!$A$5:$A$657,0))="","",INDEX(Documents!$G$5:$G$657,MATCH(H2060,Documents!$A$5:$A$657,0))),"")</f>
        <v>10.1016/j.bmc.2018.07.043</v>
      </c>
      <c r="L2060" s="25" t="s">
        <v>666</v>
      </c>
    </row>
    <row r="2061" customFormat="false" ht="15" hidden="false" customHeight="false" outlineLevel="0" collapsed="false">
      <c r="A2061" s="25" t="n">
        <v>2048385</v>
      </c>
      <c r="B2061" s="25" t="s">
        <v>4531</v>
      </c>
      <c r="C2061" s="25" t="s">
        <v>4532</v>
      </c>
      <c r="D2061" s="26" t="n">
        <v>22.3</v>
      </c>
      <c r="E2061" s="27" t="n">
        <v>7.65169513695184</v>
      </c>
      <c r="F2061" s="27" t="n">
        <v>7.65169513695184</v>
      </c>
      <c r="G2061" s="25" t="s">
        <v>513</v>
      </c>
      <c r="H2061" s="25" t="s">
        <v>514</v>
      </c>
      <c r="I2061" s="25" t="n">
        <f aca="false">IFERROR(IF(INDEX(Documents!$C$5:$C$657,MATCH(H2061,Documents!$A$5:$A$657,0))="","",INDEX(Documents!$C$5:$C$657,MATCH(H2061,Documents!$A$5:$A$657,0))),"")</f>
        <v>2007</v>
      </c>
      <c r="J2061" s="25" t="str">
        <f aca="false">IFERROR(IF(INDEX(Documents!$D$5:$D$657,MATCH(H2061,Documents!$A$5:$A$657,0))="","",INDEX(Documents!$D$5:$D$657,MATCH(H2061,Documents!$A$5:$A$657,0))),"")</f>
        <v>Bioorg Med Chem Lett</v>
      </c>
      <c r="K2061" s="25" t="str">
        <f aca="false">IFERROR(IF(INDEX(Documents!$G$5:$G$657,MATCH(H2061,Documents!$A$5:$A$657,0))="","",INDEX(Documents!$G$5:$G$657,MATCH(H2061,Documents!$A$5:$A$657,0))),"")</f>
        <v>10.1016/j.bmcl.2007.09.019</v>
      </c>
      <c r="L2061" s="25" t="s">
        <v>515</v>
      </c>
    </row>
    <row r="2062" customFormat="false" ht="15" hidden="false" customHeight="false" outlineLevel="0" collapsed="false">
      <c r="A2062" s="25" t="n">
        <v>17991503</v>
      </c>
      <c r="B2062" s="25" t="s">
        <v>4533</v>
      </c>
      <c r="C2062" s="25" t="s">
        <v>4534</v>
      </c>
      <c r="D2062" s="26" t="n">
        <v>0.7</v>
      </c>
      <c r="E2062" s="27" t="n">
        <v>9.15490195998575</v>
      </c>
      <c r="F2062" s="27" t="n">
        <v>9.15490195998575</v>
      </c>
      <c r="G2062" s="25" t="s">
        <v>1548</v>
      </c>
      <c r="H2062" s="25" t="s">
        <v>1549</v>
      </c>
      <c r="I2062" s="25" t="n">
        <f aca="false">IFERROR(IF(INDEX(Documents!$C$5:$C$657,MATCH(H2062,Documents!$A$5:$A$657,0))="","",INDEX(Documents!$C$5:$C$657,MATCH(H2062,Documents!$A$5:$A$657,0))),"")</f>
        <v>2015</v>
      </c>
      <c r="J2062" s="25" t="str">
        <f aca="false">IFERROR(IF(INDEX(Documents!$D$5:$D$657,MATCH(H2062,Documents!$A$5:$A$657,0))="","",INDEX(Documents!$D$5:$D$657,MATCH(H2062,Documents!$A$5:$A$657,0))),"")</f>
        <v>J Med Chem</v>
      </c>
      <c r="K2062" s="25" t="str">
        <f aca="false">IFERROR(IF(INDEX(Documents!$G$5:$G$657,MATCH(H2062,Documents!$A$5:$A$657,0))="","",INDEX(Documents!$G$5:$G$657,MATCH(H2062,Documents!$A$5:$A$657,0))),"")</f>
        <v>10.1021/jm501165d</v>
      </c>
      <c r="L2062" s="25" t="s">
        <v>1550</v>
      </c>
    </row>
    <row r="2063" customFormat="false" ht="15" hidden="false" customHeight="false" outlineLevel="0" collapsed="false">
      <c r="A2063" s="25" t="n">
        <v>2033389</v>
      </c>
      <c r="B2063" s="25" t="s">
        <v>4535</v>
      </c>
      <c r="C2063" s="25" t="s">
        <v>4536</v>
      </c>
      <c r="D2063" s="26" t="n">
        <v>119</v>
      </c>
      <c r="E2063" s="27" t="n">
        <v>6.92445303860747</v>
      </c>
      <c r="F2063" s="27" t="n">
        <v>6.92445303860747</v>
      </c>
      <c r="G2063" s="25" t="s">
        <v>1133</v>
      </c>
      <c r="H2063" s="25" t="s">
        <v>1134</v>
      </c>
      <c r="I2063" s="25" t="n">
        <f aca="false">IFERROR(IF(INDEX(Documents!$C$5:$C$657,MATCH(H2063,Documents!$A$5:$A$657,0))="","",INDEX(Documents!$C$5:$C$657,MATCH(H2063,Documents!$A$5:$A$657,0))),"")</f>
        <v>2007</v>
      </c>
      <c r="J2063" s="25" t="str">
        <f aca="false">IFERROR(IF(INDEX(Documents!$D$5:$D$657,MATCH(H2063,Documents!$A$5:$A$657,0))="","",INDEX(Documents!$D$5:$D$657,MATCH(H2063,Documents!$A$5:$A$657,0))),"")</f>
        <v>Bioorg Med Chem Lett</v>
      </c>
      <c r="K2063" s="25" t="str">
        <f aca="false">IFERROR(IF(INDEX(Documents!$G$5:$G$657,MATCH(H2063,Documents!$A$5:$A$657,0))="","",INDEX(Documents!$G$5:$G$657,MATCH(H2063,Documents!$A$5:$A$657,0))),"")</f>
        <v>10.1016/j.bmcl.2007.04.093</v>
      </c>
      <c r="L2063" s="25" t="s">
        <v>775</v>
      </c>
    </row>
    <row r="2064" customFormat="false" ht="15" hidden="false" customHeight="false" outlineLevel="0" collapsed="false">
      <c r="A2064" s="25" t="n">
        <v>1898195</v>
      </c>
      <c r="B2064" s="25" t="s">
        <v>4537</v>
      </c>
      <c r="C2064" s="25" t="s">
        <v>4538</v>
      </c>
      <c r="D2064" s="26" t="n">
        <v>2700</v>
      </c>
      <c r="E2064" s="27" t="n">
        <v>5.56863623584101</v>
      </c>
      <c r="F2064" s="27" t="n">
        <v>5.56863623584101</v>
      </c>
      <c r="G2064" s="25" t="s">
        <v>4539</v>
      </c>
      <c r="H2064" s="25" t="s">
        <v>4540</v>
      </c>
      <c r="I2064" s="25" t="n">
        <f aca="false">IFERROR(IF(INDEX(Documents!$C$5:$C$657,MATCH(H2064,Documents!$A$5:$A$657,0))="","",INDEX(Documents!$C$5:$C$657,MATCH(H2064,Documents!$A$5:$A$657,0))),"")</f>
        <v>2007</v>
      </c>
      <c r="J2064" s="25" t="str">
        <f aca="false">IFERROR(IF(INDEX(Documents!$D$5:$D$657,MATCH(H2064,Documents!$A$5:$A$657,0))="","",INDEX(Documents!$D$5:$D$657,MATCH(H2064,Documents!$A$5:$A$657,0))),"")</f>
        <v>Bioorg Med Chem Lett</v>
      </c>
      <c r="K2064" s="25" t="str">
        <f aca="false">IFERROR(IF(INDEX(Documents!$G$5:$G$657,MATCH(H2064,Documents!$A$5:$A$657,0))="","",INDEX(Documents!$G$5:$G$657,MATCH(H2064,Documents!$A$5:$A$657,0))),"")</f>
        <v>10.1016/j.bmcl.2007.03.011</v>
      </c>
      <c r="L2064" s="25" t="s">
        <v>4541</v>
      </c>
    </row>
    <row r="2065" customFormat="false" ht="15" hidden="false" customHeight="false" outlineLevel="0" collapsed="false">
      <c r="A2065" s="25" t="n">
        <v>18936361</v>
      </c>
      <c r="B2065" s="25" t="s">
        <v>4542</v>
      </c>
      <c r="C2065" s="25" t="s">
        <v>4543</v>
      </c>
      <c r="D2065" s="26" t="n">
        <v>4.28</v>
      </c>
      <c r="E2065" s="27" t="n">
        <v>8.36855623098683</v>
      </c>
      <c r="F2065" s="27" t="n">
        <v>8.36855623098683</v>
      </c>
      <c r="G2065" s="25" t="s">
        <v>3162</v>
      </c>
      <c r="H2065" s="25" t="s">
        <v>3163</v>
      </c>
      <c r="I2065" s="25" t="n">
        <f aca="false">IFERROR(IF(INDEX(Documents!$C$5:$C$657,MATCH(H2065,Documents!$A$5:$A$657,0))="","",INDEX(Documents!$C$5:$C$657,MATCH(H2065,Documents!$A$5:$A$657,0))),"")</f>
        <v>2019</v>
      </c>
      <c r="J2065" s="25" t="str">
        <f aca="false">IFERROR(IF(INDEX(Documents!$D$5:$D$657,MATCH(H2065,Documents!$A$5:$A$657,0))="","",INDEX(Documents!$D$5:$D$657,MATCH(H2065,Documents!$A$5:$A$657,0))),"")</f>
        <v>Eur J Med Chem</v>
      </c>
      <c r="K2065" s="25" t="str">
        <f aca="false">IFERROR(IF(INDEX(Documents!$G$5:$G$657,MATCH(H2065,Documents!$A$5:$A$657,0))="","",INDEX(Documents!$G$5:$G$657,MATCH(H2065,Documents!$A$5:$A$657,0))),"")</f>
        <v>10.1016/j.ejmech.2018.09.070</v>
      </c>
      <c r="L2065" s="25" t="s">
        <v>3164</v>
      </c>
    </row>
    <row r="2066" customFormat="false" ht="15" hidden="false" customHeight="false" outlineLevel="0" collapsed="false">
      <c r="A2066" s="25" t="n">
        <v>10857018</v>
      </c>
      <c r="B2066" s="25" t="s">
        <v>4544</v>
      </c>
      <c r="C2066" s="25" t="s">
        <v>4545</v>
      </c>
      <c r="D2066" s="26" t="n">
        <v>263</v>
      </c>
      <c r="E2066" s="27" t="n">
        <v>6.58004425151024</v>
      </c>
      <c r="F2066" s="27" t="n">
        <v>6.58004425151024</v>
      </c>
      <c r="G2066" s="25" t="s">
        <v>4291</v>
      </c>
      <c r="H2066" s="25" t="s">
        <v>4292</v>
      </c>
      <c r="I2066" s="25" t="n">
        <f aca="false">IFERROR(IF(INDEX(Documents!$C$5:$C$657,MATCH(H2066,Documents!$A$5:$A$657,0))="","",INDEX(Documents!$C$5:$C$657,MATCH(H2066,Documents!$A$5:$A$657,0))),"")</f>
        <v>2012</v>
      </c>
      <c r="J2066" s="25" t="str">
        <f aca="false">IFERROR(IF(INDEX(Documents!$D$5:$D$657,MATCH(H2066,Documents!$A$5:$A$657,0))="","",INDEX(Documents!$D$5:$D$657,MATCH(H2066,Documents!$A$5:$A$657,0))),"")</f>
        <v>Bioorg Med Chem Lett</v>
      </c>
      <c r="K2066" s="25" t="str">
        <f aca="false">IFERROR(IF(INDEX(Documents!$G$5:$G$657,MATCH(H2066,Documents!$A$5:$A$657,0))="","",INDEX(Documents!$G$5:$G$657,MATCH(H2066,Documents!$A$5:$A$657,0))),"")</f>
        <v>10.1016/j.bmcl.2012.02.072</v>
      </c>
      <c r="L2066" s="25" t="s">
        <v>4293</v>
      </c>
    </row>
    <row r="2067" customFormat="false" ht="15" hidden="false" customHeight="false" outlineLevel="0" collapsed="false">
      <c r="A2067" s="25" t="n">
        <v>18936366</v>
      </c>
      <c r="B2067" s="25" t="s">
        <v>4546</v>
      </c>
      <c r="C2067" s="25" t="s">
        <v>4547</v>
      </c>
      <c r="D2067" s="26" t="n">
        <v>7.21</v>
      </c>
      <c r="E2067" s="27" t="n">
        <v>8.14206473528057</v>
      </c>
      <c r="F2067" s="27" t="n">
        <v>8.14206473528057</v>
      </c>
      <c r="G2067" s="25" t="s">
        <v>3162</v>
      </c>
      <c r="H2067" s="25" t="s">
        <v>3163</v>
      </c>
      <c r="I2067" s="25" t="n">
        <f aca="false">IFERROR(IF(INDEX(Documents!$C$5:$C$657,MATCH(H2067,Documents!$A$5:$A$657,0))="","",INDEX(Documents!$C$5:$C$657,MATCH(H2067,Documents!$A$5:$A$657,0))),"")</f>
        <v>2019</v>
      </c>
      <c r="J2067" s="25" t="str">
        <f aca="false">IFERROR(IF(INDEX(Documents!$D$5:$D$657,MATCH(H2067,Documents!$A$5:$A$657,0))="","",INDEX(Documents!$D$5:$D$657,MATCH(H2067,Documents!$A$5:$A$657,0))),"")</f>
        <v>Eur J Med Chem</v>
      </c>
      <c r="K2067" s="25" t="str">
        <f aca="false">IFERROR(IF(INDEX(Documents!$G$5:$G$657,MATCH(H2067,Documents!$A$5:$A$657,0))="","",INDEX(Documents!$G$5:$G$657,MATCH(H2067,Documents!$A$5:$A$657,0))),"")</f>
        <v>10.1016/j.ejmech.2018.09.070</v>
      </c>
      <c r="L2067" s="25" t="s">
        <v>3164</v>
      </c>
    </row>
    <row r="2068" customFormat="false" ht="15" hidden="false" customHeight="false" outlineLevel="0" collapsed="false">
      <c r="A2068" s="25" t="n">
        <v>22397346</v>
      </c>
      <c r="B2068" s="25" t="s">
        <v>4548</v>
      </c>
      <c r="C2068" s="25" t="s">
        <v>4549</v>
      </c>
      <c r="D2068" s="26" t="n">
        <v>589.7</v>
      </c>
      <c r="E2068" s="27" t="n">
        <v>6.22936887222219</v>
      </c>
      <c r="F2068" s="27" t="n">
        <v>6.22936887222219</v>
      </c>
      <c r="G2068" s="25" t="s">
        <v>4550</v>
      </c>
      <c r="H2068" s="25" t="s">
        <v>4551</v>
      </c>
      <c r="I2068" s="25" t="n">
        <f aca="false">IFERROR(IF(INDEX(Documents!$C$5:$C$657,MATCH(H2068,Documents!$A$5:$A$657,0))="","",INDEX(Documents!$C$5:$C$657,MATCH(H2068,Documents!$A$5:$A$657,0))),"")</f>
        <v>2020</v>
      </c>
      <c r="J2068" s="25" t="str">
        <f aca="false">IFERROR(IF(INDEX(Documents!$D$5:$D$657,MATCH(H2068,Documents!$A$5:$A$657,0))="","",INDEX(Documents!$D$5:$D$657,MATCH(H2068,Documents!$A$5:$A$657,0))),"")</f>
        <v>J Nat Prod</v>
      </c>
      <c r="K2068" s="25" t="str">
        <f aca="false">IFERROR(IF(INDEX(Documents!$G$5:$G$657,MATCH(H2068,Documents!$A$5:$A$657,0))="","",INDEX(Documents!$G$5:$G$657,MATCH(H2068,Documents!$A$5:$A$657,0))),"")</f>
        <v>10.1021/acs.jnatprod.9b00831</v>
      </c>
      <c r="L2068" s="25" t="s">
        <v>4552</v>
      </c>
    </row>
    <row r="2069" customFormat="false" ht="15" hidden="false" customHeight="false" outlineLevel="0" collapsed="false">
      <c r="A2069" s="25" t="n">
        <v>22397347</v>
      </c>
      <c r="B2069" s="25" t="s">
        <v>4553</v>
      </c>
      <c r="C2069" s="25" t="s">
        <v>4554</v>
      </c>
      <c r="D2069" s="26" t="n">
        <v>4.7</v>
      </c>
      <c r="E2069" s="27" t="n">
        <v>8.32790214206428</v>
      </c>
      <c r="F2069" s="27" t="n">
        <v>8.32790214206428</v>
      </c>
      <c r="G2069" s="25" t="s">
        <v>4550</v>
      </c>
      <c r="H2069" s="25" t="s">
        <v>4551</v>
      </c>
      <c r="I2069" s="25" t="n">
        <f aca="false">IFERROR(IF(INDEX(Documents!$C$5:$C$657,MATCH(H2069,Documents!$A$5:$A$657,0))="","",INDEX(Documents!$C$5:$C$657,MATCH(H2069,Documents!$A$5:$A$657,0))),"")</f>
        <v>2020</v>
      </c>
      <c r="J2069" s="25" t="str">
        <f aca="false">IFERROR(IF(INDEX(Documents!$D$5:$D$657,MATCH(H2069,Documents!$A$5:$A$657,0))="","",INDEX(Documents!$D$5:$D$657,MATCH(H2069,Documents!$A$5:$A$657,0))),"")</f>
        <v>J Nat Prod</v>
      </c>
      <c r="K2069" s="25" t="str">
        <f aca="false">IFERROR(IF(INDEX(Documents!$G$5:$G$657,MATCH(H2069,Documents!$A$5:$A$657,0))="","",INDEX(Documents!$G$5:$G$657,MATCH(H2069,Documents!$A$5:$A$657,0))),"")</f>
        <v>10.1021/acs.jnatprod.9b00831</v>
      </c>
      <c r="L2069" s="25" t="s">
        <v>4552</v>
      </c>
    </row>
    <row r="2070" customFormat="false" ht="15" hidden="false" customHeight="false" outlineLevel="0" collapsed="false">
      <c r="A2070" s="25" t="n">
        <v>22397348</v>
      </c>
      <c r="B2070" s="25" t="s">
        <v>4555</v>
      </c>
      <c r="C2070" s="25" t="s">
        <v>4556</v>
      </c>
      <c r="D2070" s="26" t="n">
        <v>128.2</v>
      </c>
      <c r="E2070" s="27" t="n">
        <v>6.8921119748172</v>
      </c>
      <c r="F2070" s="27" t="n">
        <v>6.8921119748172</v>
      </c>
      <c r="G2070" s="25" t="s">
        <v>4550</v>
      </c>
      <c r="H2070" s="25" t="s">
        <v>4551</v>
      </c>
      <c r="I2070" s="25" t="n">
        <f aca="false">IFERROR(IF(INDEX(Documents!$C$5:$C$657,MATCH(H2070,Documents!$A$5:$A$657,0))="","",INDEX(Documents!$C$5:$C$657,MATCH(H2070,Documents!$A$5:$A$657,0))),"")</f>
        <v>2020</v>
      </c>
      <c r="J2070" s="25" t="str">
        <f aca="false">IFERROR(IF(INDEX(Documents!$D$5:$D$657,MATCH(H2070,Documents!$A$5:$A$657,0))="","",INDEX(Documents!$D$5:$D$657,MATCH(H2070,Documents!$A$5:$A$657,0))),"")</f>
        <v>J Nat Prod</v>
      </c>
      <c r="K2070" s="25" t="str">
        <f aca="false">IFERROR(IF(INDEX(Documents!$G$5:$G$657,MATCH(H2070,Documents!$A$5:$A$657,0))="","",INDEX(Documents!$G$5:$G$657,MATCH(H2070,Documents!$A$5:$A$657,0))),"")</f>
        <v>10.1021/acs.jnatprod.9b00831</v>
      </c>
      <c r="L2070" s="25" t="s">
        <v>4552</v>
      </c>
    </row>
    <row r="2071" customFormat="false" ht="15" hidden="false" customHeight="false" outlineLevel="0" collapsed="false">
      <c r="A2071" s="25" t="n">
        <v>19443449</v>
      </c>
      <c r="B2071" s="25" t="s">
        <v>4557</v>
      </c>
      <c r="C2071" s="25" t="s">
        <v>4558</v>
      </c>
      <c r="D2071" s="26" t="n">
        <v>1</v>
      </c>
      <c r="E2071" s="27" t="n">
        <v>9</v>
      </c>
      <c r="F2071" s="27" t="n">
        <v>9</v>
      </c>
      <c r="G2071" s="25" t="s">
        <v>373</v>
      </c>
      <c r="H2071" s="25" t="s">
        <v>374</v>
      </c>
      <c r="I2071" s="25" t="n">
        <f aca="false">IFERROR(IF(INDEX(Documents!$C$5:$C$657,MATCH(H2071,Documents!$A$5:$A$657,0))="","",INDEX(Documents!$C$5:$C$657,MATCH(H2071,Documents!$A$5:$A$657,0))),"")</f>
        <v>2016</v>
      </c>
      <c r="J2071" s="25" t="str">
        <f aca="false">IFERROR(IF(INDEX(Documents!$D$5:$D$657,MATCH(H2071,Documents!$A$5:$A$657,0))="","",INDEX(Documents!$D$5:$D$657,MATCH(H2071,Documents!$A$5:$A$657,0))),"")</f>
        <v>J Med Chem</v>
      </c>
      <c r="K2071" s="25" t="str">
        <f aca="false">IFERROR(IF(INDEX(Documents!$G$5:$G$657,MATCH(H2071,Documents!$A$5:$A$657,0))="","",INDEX(Documents!$G$5:$G$657,MATCH(H2071,Documents!$A$5:$A$657,0))),"")</f>
        <v>10.1021/acs.jmedchem.6b00516</v>
      </c>
      <c r="L2071" s="25" t="s">
        <v>375</v>
      </c>
    </row>
    <row r="2072" customFormat="false" ht="15" hidden="false" customHeight="false" outlineLevel="0" collapsed="false">
      <c r="A2072" s="25" t="n">
        <v>1969356</v>
      </c>
      <c r="B2072" s="25" t="s">
        <v>4559</v>
      </c>
      <c r="C2072" s="25" t="s">
        <v>4560</v>
      </c>
      <c r="D2072" s="26" t="n">
        <v>7</v>
      </c>
      <c r="E2072" s="27" t="n">
        <v>8.15490195998574</v>
      </c>
      <c r="F2072" s="27" t="n">
        <v>8.15490195998574</v>
      </c>
      <c r="G2072" s="25" t="s">
        <v>1895</v>
      </c>
      <c r="H2072" s="25" t="s">
        <v>1896</v>
      </c>
      <c r="I2072" s="25" t="n">
        <f aca="false">IFERROR(IF(INDEX(Documents!$C$5:$C$657,MATCH(H2072,Documents!$A$5:$A$657,0))="","",INDEX(Documents!$C$5:$C$657,MATCH(H2072,Documents!$A$5:$A$657,0))),"")</f>
        <v>2007</v>
      </c>
      <c r="J2072" s="25" t="str">
        <f aca="false">IFERROR(IF(INDEX(Documents!$D$5:$D$657,MATCH(H2072,Documents!$A$5:$A$657,0))="","",INDEX(Documents!$D$5:$D$657,MATCH(H2072,Documents!$A$5:$A$657,0))),"")</f>
        <v>Bioorg Med Chem Lett</v>
      </c>
      <c r="K2072" s="25" t="str">
        <f aca="false">IFERROR(IF(INDEX(Documents!$G$5:$G$657,MATCH(H2072,Documents!$A$5:$A$657,0))="","",INDEX(Documents!$G$5:$G$657,MATCH(H2072,Documents!$A$5:$A$657,0))),"")</f>
        <v>10.1016/j.bmcl.2007.04.099</v>
      </c>
      <c r="L2072" s="25" t="s">
        <v>515</v>
      </c>
    </row>
    <row r="2073" customFormat="false" ht="15" hidden="false" customHeight="false" outlineLevel="0" collapsed="false">
      <c r="A2073" s="25" t="n">
        <v>2650333</v>
      </c>
      <c r="B2073" s="25" t="s">
        <v>4561</v>
      </c>
      <c r="C2073" s="25" t="s">
        <v>4562</v>
      </c>
      <c r="D2073" s="26" t="n">
        <v>11.99</v>
      </c>
      <c r="E2073" s="27" t="n">
        <v>7.92118081690115</v>
      </c>
      <c r="F2073" s="27" t="n">
        <v>7.92118081690115</v>
      </c>
      <c r="G2073" s="25" t="s">
        <v>3265</v>
      </c>
      <c r="H2073" s="25" t="s">
        <v>3266</v>
      </c>
      <c r="I2073" s="25" t="n">
        <f aca="false">IFERROR(IF(INDEX(Documents!$C$5:$C$657,MATCH(H2073,Documents!$A$5:$A$657,0))="","",INDEX(Documents!$C$5:$C$657,MATCH(H2073,Documents!$A$5:$A$657,0))),"")</f>
        <v>2009</v>
      </c>
      <c r="J2073" s="25" t="str">
        <f aca="false">IFERROR(IF(INDEX(Documents!$D$5:$D$657,MATCH(H2073,Documents!$A$5:$A$657,0))="","",INDEX(Documents!$D$5:$D$657,MATCH(H2073,Documents!$A$5:$A$657,0))),"")</f>
        <v>Eur J Med Chem</v>
      </c>
      <c r="K2073" s="25" t="str">
        <f aca="false">IFERROR(IF(INDEX(Documents!$G$5:$G$657,MATCH(H2073,Documents!$A$5:$A$657,0))="","",INDEX(Documents!$G$5:$G$657,MATCH(H2073,Documents!$A$5:$A$657,0))),"")</f>
        <v>10.1016/j.ejmech.2009.01.026</v>
      </c>
      <c r="L2073" s="25" t="s">
        <v>3267</v>
      </c>
    </row>
    <row r="2074" customFormat="false" ht="15" hidden="false" customHeight="false" outlineLevel="0" collapsed="false">
      <c r="A2074" s="25" t="n">
        <v>15686003</v>
      </c>
      <c r="B2074" s="25" t="s">
        <v>4563</v>
      </c>
      <c r="C2074" s="25" t="s">
        <v>4564</v>
      </c>
      <c r="D2074" s="26" t="n">
        <v>59.91</v>
      </c>
      <c r="E2074" s="27" t="n">
        <v>7.22250068040963</v>
      </c>
      <c r="F2074" s="27" t="n">
        <v>7.22250068040963</v>
      </c>
      <c r="G2074" s="25" t="s">
        <v>817</v>
      </c>
      <c r="H2074" s="25" t="s">
        <v>818</v>
      </c>
      <c r="I2074" s="25" t="n">
        <f aca="false">IFERROR(IF(INDEX(Documents!$C$5:$C$657,MATCH(H2074,Documents!$A$5:$A$657,0))="","",INDEX(Documents!$C$5:$C$657,MATCH(H2074,Documents!$A$5:$A$657,0))),"")</f>
        <v>2015</v>
      </c>
      <c r="J2074" s="25" t="str">
        <f aca="false">IFERROR(IF(INDEX(Documents!$D$5:$D$657,MATCH(H2074,Documents!$A$5:$A$657,0))="","",INDEX(Documents!$D$5:$D$657,MATCH(H2074,Documents!$A$5:$A$657,0))),"")</f>
        <v>Bioorg Med Chem</v>
      </c>
      <c r="K2074" s="25" t="str">
        <f aca="false">IFERROR(IF(INDEX(Documents!$G$5:$G$657,MATCH(H2074,Documents!$A$5:$A$657,0))="","",INDEX(Documents!$G$5:$G$657,MATCH(H2074,Documents!$A$5:$A$657,0))),"")</f>
        <v>10.1016/j.bmc.2015.07.057</v>
      </c>
      <c r="L2074" s="25" t="s">
        <v>819</v>
      </c>
    </row>
    <row r="2075" customFormat="false" ht="15" hidden="false" customHeight="false" outlineLevel="0" collapsed="false">
      <c r="A2075" s="25" t="n">
        <v>2650324</v>
      </c>
      <c r="B2075" s="25" t="s">
        <v>4565</v>
      </c>
      <c r="C2075" s="25" t="s">
        <v>4566</v>
      </c>
      <c r="D2075" s="26" t="n">
        <v>9.594</v>
      </c>
      <c r="E2075" s="27" t="n">
        <v>8.01800028587012</v>
      </c>
      <c r="F2075" s="27" t="n">
        <v>8.01800028587012</v>
      </c>
      <c r="G2075" s="25" t="s">
        <v>3265</v>
      </c>
      <c r="H2075" s="25" t="s">
        <v>3266</v>
      </c>
      <c r="I2075" s="25" t="n">
        <f aca="false">IFERROR(IF(INDEX(Documents!$C$5:$C$657,MATCH(H2075,Documents!$A$5:$A$657,0))="","",INDEX(Documents!$C$5:$C$657,MATCH(H2075,Documents!$A$5:$A$657,0))),"")</f>
        <v>2009</v>
      </c>
      <c r="J2075" s="25" t="str">
        <f aca="false">IFERROR(IF(INDEX(Documents!$D$5:$D$657,MATCH(H2075,Documents!$A$5:$A$657,0))="","",INDEX(Documents!$D$5:$D$657,MATCH(H2075,Documents!$A$5:$A$657,0))),"")</f>
        <v>Eur J Med Chem</v>
      </c>
      <c r="K2075" s="25" t="str">
        <f aca="false">IFERROR(IF(INDEX(Documents!$G$5:$G$657,MATCH(H2075,Documents!$A$5:$A$657,0))="","",INDEX(Documents!$G$5:$G$657,MATCH(H2075,Documents!$A$5:$A$657,0))),"")</f>
        <v>10.1016/j.ejmech.2009.01.026</v>
      </c>
      <c r="L2075" s="25" t="s">
        <v>3267</v>
      </c>
    </row>
    <row r="2076" customFormat="false" ht="15" hidden="false" customHeight="false" outlineLevel="0" collapsed="false">
      <c r="A2076" s="25" t="n">
        <v>2444719</v>
      </c>
      <c r="B2076" s="25" t="s">
        <v>4567</v>
      </c>
      <c r="C2076" s="25" t="s">
        <v>4568</v>
      </c>
      <c r="D2076" s="26" t="n">
        <v>7.83</v>
      </c>
      <c r="E2076" s="27" t="n">
        <v>8.10623823794206</v>
      </c>
      <c r="F2076" s="27" t="n">
        <v>8.10623823794206</v>
      </c>
      <c r="G2076" s="25" t="s">
        <v>1571</v>
      </c>
      <c r="H2076" s="25" t="s">
        <v>1572</v>
      </c>
      <c r="I2076" s="25" t="n">
        <f aca="false">IFERROR(IF(INDEX(Documents!$C$5:$C$657,MATCH(H2076,Documents!$A$5:$A$657,0))="","",INDEX(Documents!$C$5:$C$657,MATCH(H2076,Documents!$A$5:$A$657,0))),"")</f>
        <v>2008</v>
      </c>
      <c r="J2076" s="25" t="str">
        <f aca="false">IFERROR(IF(INDEX(Documents!$D$5:$D$657,MATCH(H2076,Documents!$A$5:$A$657,0))="","",INDEX(Documents!$D$5:$D$657,MATCH(H2076,Documents!$A$5:$A$657,0))),"")</f>
        <v>Bioorg Med Chem</v>
      </c>
      <c r="K2076" s="25" t="str">
        <f aca="false">IFERROR(IF(INDEX(Documents!$G$5:$G$657,MATCH(H2076,Documents!$A$5:$A$657,0))="","",INDEX(Documents!$G$5:$G$657,MATCH(H2076,Documents!$A$5:$A$657,0))),"")</f>
        <v>10.1016/j.bmc.2008.05.034</v>
      </c>
      <c r="L2076" s="25" t="s">
        <v>1573</v>
      </c>
    </row>
    <row r="2077" customFormat="false" ht="15" hidden="false" customHeight="false" outlineLevel="0" collapsed="false">
      <c r="A2077" s="25" t="n">
        <v>12688492</v>
      </c>
      <c r="B2077" s="25" t="s">
        <v>4569</v>
      </c>
      <c r="C2077" s="25" t="s">
        <v>4570</v>
      </c>
      <c r="D2077" s="26" t="n">
        <v>130</v>
      </c>
      <c r="E2077" s="27" t="n">
        <v>6.88605664769316</v>
      </c>
      <c r="F2077" s="27" t="n">
        <v>6.88605664769316</v>
      </c>
      <c r="G2077" s="25" t="s">
        <v>508</v>
      </c>
      <c r="H2077" s="25" t="s">
        <v>509</v>
      </c>
      <c r="I2077" s="25" t="n">
        <f aca="false">IFERROR(IF(INDEX(Documents!$C$5:$C$657,MATCH(H2077,Documents!$A$5:$A$657,0))="","",INDEX(Documents!$C$5:$C$657,MATCH(H2077,Documents!$A$5:$A$657,0))),"")</f>
        <v>2013</v>
      </c>
      <c r="J2077" s="25" t="str">
        <f aca="false">IFERROR(IF(INDEX(Documents!$D$5:$D$657,MATCH(H2077,Documents!$A$5:$A$657,0))="","",INDEX(Documents!$D$5:$D$657,MATCH(H2077,Documents!$A$5:$A$657,0))),"")</f>
        <v>ACS Med Chem Lett</v>
      </c>
      <c r="K2077" s="25" t="str">
        <f aca="false">IFERROR(IF(INDEX(Documents!$G$5:$G$657,MATCH(H2077,Documents!$A$5:$A$657,0))="","",INDEX(Documents!$G$5:$G$657,MATCH(H2077,Documents!$A$5:$A$657,0))),"")</f>
        <v>10.1021/ml3004236</v>
      </c>
      <c r="L2077" s="25" t="s">
        <v>510</v>
      </c>
    </row>
    <row r="2078" customFormat="false" ht="15" hidden="false" customHeight="false" outlineLevel="0" collapsed="false">
      <c r="A2078" s="25" t="n">
        <v>12679521</v>
      </c>
      <c r="B2078" s="25" t="s">
        <v>4571</v>
      </c>
      <c r="C2078" s="25" t="s">
        <v>4572</v>
      </c>
      <c r="D2078" s="26" t="n">
        <v>416</v>
      </c>
      <c r="E2078" s="27" t="n">
        <v>6.38090666937326</v>
      </c>
      <c r="F2078" s="27" t="n">
        <v>6.38090666937326</v>
      </c>
      <c r="G2078" s="25" t="s">
        <v>345</v>
      </c>
      <c r="H2078" s="25" t="s">
        <v>346</v>
      </c>
      <c r="I2078" s="25" t="n">
        <f aca="false">IFERROR(IF(INDEX(Documents!$C$5:$C$657,MATCH(H2078,Documents!$A$5:$A$657,0))="","",INDEX(Documents!$C$5:$C$657,MATCH(H2078,Documents!$A$5:$A$657,0))),"")</f>
        <v>2013</v>
      </c>
      <c r="J2078" s="25" t="str">
        <f aca="false">IFERROR(IF(INDEX(Documents!$D$5:$D$657,MATCH(H2078,Documents!$A$5:$A$657,0))="","",INDEX(Documents!$D$5:$D$657,MATCH(H2078,Documents!$A$5:$A$657,0))),"")</f>
        <v>ACS Med Chem Lett</v>
      </c>
      <c r="K2078" s="25" t="str">
        <f aca="false">IFERROR(IF(INDEX(Documents!$G$5:$G$657,MATCH(H2078,Documents!$A$5:$A$657,0))="","",INDEX(Documents!$G$5:$G$657,MATCH(H2078,Documents!$A$5:$A$657,0))),"")</f>
        <v>10.1021/ml300235q</v>
      </c>
      <c r="L2078" s="25" t="s">
        <v>347</v>
      </c>
    </row>
    <row r="2079" customFormat="false" ht="15" hidden="false" customHeight="false" outlineLevel="0" collapsed="false">
      <c r="A2079" s="25" t="n">
        <v>2033376</v>
      </c>
      <c r="B2079" s="25" t="s">
        <v>4573</v>
      </c>
      <c r="C2079" s="25" t="s">
        <v>4574</v>
      </c>
      <c r="D2079" s="26" t="n">
        <v>57</v>
      </c>
      <c r="E2079" s="27" t="n">
        <v>7.24412514432751</v>
      </c>
      <c r="F2079" s="27" t="n">
        <v>7.24412514432751</v>
      </c>
      <c r="G2079" s="25" t="s">
        <v>1133</v>
      </c>
      <c r="H2079" s="25" t="s">
        <v>1134</v>
      </c>
      <c r="I2079" s="25" t="n">
        <f aca="false">IFERROR(IF(INDEX(Documents!$C$5:$C$657,MATCH(H2079,Documents!$A$5:$A$657,0))="","",INDEX(Documents!$C$5:$C$657,MATCH(H2079,Documents!$A$5:$A$657,0))),"")</f>
        <v>2007</v>
      </c>
      <c r="J2079" s="25" t="str">
        <f aca="false">IFERROR(IF(INDEX(Documents!$D$5:$D$657,MATCH(H2079,Documents!$A$5:$A$657,0))="","",INDEX(Documents!$D$5:$D$657,MATCH(H2079,Documents!$A$5:$A$657,0))),"")</f>
        <v>Bioorg Med Chem Lett</v>
      </c>
      <c r="K2079" s="25" t="str">
        <f aca="false">IFERROR(IF(INDEX(Documents!$G$5:$G$657,MATCH(H2079,Documents!$A$5:$A$657,0))="","",INDEX(Documents!$G$5:$G$657,MATCH(H2079,Documents!$A$5:$A$657,0))),"")</f>
        <v>10.1016/j.bmcl.2007.04.093</v>
      </c>
      <c r="L2079" s="25" t="s">
        <v>775</v>
      </c>
    </row>
    <row r="2080" customFormat="false" ht="15" hidden="false" customHeight="false" outlineLevel="0" collapsed="false">
      <c r="A2080" s="25" t="n">
        <v>16823038</v>
      </c>
      <c r="B2080" s="25" t="s">
        <v>4575</v>
      </c>
      <c r="C2080" s="25" t="s">
        <v>4576</v>
      </c>
      <c r="D2080" s="26" t="n">
        <v>1900</v>
      </c>
      <c r="E2080" s="27" t="n">
        <v>5.72124639904717</v>
      </c>
      <c r="F2080" s="27" t="n">
        <v>5.72124639904717</v>
      </c>
      <c r="G2080" s="25" t="s">
        <v>934</v>
      </c>
      <c r="H2080" s="25" t="s">
        <v>935</v>
      </c>
      <c r="I2080" s="25" t="n">
        <f aca="false">IFERROR(IF(INDEX(Documents!$C$5:$C$657,MATCH(H2080,Documents!$A$5:$A$657,0))="","",INDEX(Documents!$C$5:$C$657,MATCH(H2080,Documents!$A$5:$A$657,0))),"")</f>
        <v>2016</v>
      </c>
      <c r="J2080" s="25" t="str">
        <f aca="false">IFERROR(IF(INDEX(Documents!$D$5:$D$657,MATCH(H2080,Documents!$A$5:$A$657,0))="","",INDEX(Documents!$D$5:$D$657,MATCH(H2080,Documents!$A$5:$A$657,0))),"")</f>
        <v>Eur J Med Chem</v>
      </c>
      <c r="K2080" s="25" t="str">
        <f aca="false">IFERROR(IF(INDEX(Documents!$G$5:$G$657,MATCH(H2080,Documents!$A$5:$A$657,0))="","",INDEX(Documents!$G$5:$G$657,MATCH(H2080,Documents!$A$5:$A$657,0))),"")</f>
        <v>10.1016/j.ejmech.2016.08.005</v>
      </c>
      <c r="L2080" s="25" t="s">
        <v>936</v>
      </c>
    </row>
    <row r="2081" customFormat="false" ht="15" hidden="false" customHeight="false" outlineLevel="0" collapsed="false">
      <c r="A2081" s="25" t="n">
        <v>18138858</v>
      </c>
      <c r="B2081" s="25" t="s">
        <v>4577</v>
      </c>
      <c r="C2081" s="25" t="s">
        <v>4578</v>
      </c>
      <c r="D2081" s="26" t="n">
        <v>4.3</v>
      </c>
      <c r="E2081" s="27" t="n">
        <v>8.36653154442041</v>
      </c>
      <c r="F2081" s="27" t="n">
        <v>8.36653154442041</v>
      </c>
      <c r="G2081" s="25" t="s">
        <v>4579</v>
      </c>
      <c r="H2081" s="25" t="s">
        <v>3360</v>
      </c>
      <c r="I2081" s="25" t="n">
        <f aca="false">IFERROR(IF(INDEX(Documents!$C$5:$C$657,MATCH(H2081,Documents!$A$5:$A$657,0))="","",INDEX(Documents!$C$5:$C$657,MATCH(H2081,Documents!$A$5:$A$657,0))),"")</f>
        <v>2017</v>
      </c>
      <c r="J2081" s="25" t="str">
        <f aca="false">IFERROR(IF(INDEX(Documents!$D$5:$D$657,MATCH(H2081,Documents!$A$5:$A$657,0))="","",INDEX(Documents!$D$5:$D$657,MATCH(H2081,Documents!$A$5:$A$657,0))),"")</f>
        <v>J Med Chem</v>
      </c>
      <c r="K2081" s="25" t="str">
        <f aca="false">IFERROR(IF(INDEX(Documents!$G$5:$G$657,MATCH(H2081,Documents!$A$5:$A$657,0))="","",INDEX(Documents!$G$5:$G$657,MATCH(H2081,Documents!$A$5:$A$657,0))),"")</f>
        <v>10.1021/acs.jmedchem.7b00155</v>
      </c>
      <c r="L2081" s="25" t="s">
        <v>1359</v>
      </c>
    </row>
    <row r="2082" customFormat="false" ht="15" hidden="false" customHeight="false" outlineLevel="0" collapsed="false">
      <c r="A2082" s="25" t="n">
        <v>16823052</v>
      </c>
      <c r="B2082" s="25" t="s">
        <v>4580</v>
      </c>
      <c r="C2082" s="25" t="s">
        <v>4581</v>
      </c>
      <c r="D2082" s="26" t="n">
        <v>300</v>
      </c>
      <c r="E2082" s="27" t="n">
        <v>6.52287874528034</v>
      </c>
      <c r="F2082" s="27" t="n">
        <v>6.52287874528034</v>
      </c>
      <c r="G2082" s="25" t="s">
        <v>934</v>
      </c>
      <c r="H2082" s="25" t="s">
        <v>935</v>
      </c>
      <c r="I2082" s="25" t="n">
        <f aca="false">IFERROR(IF(INDEX(Documents!$C$5:$C$657,MATCH(H2082,Documents!$A$5:$A$657,0))="","",INDEX(Documents!$C$5:$C$657,MATCH(H2082,Documents!$A$5:$A$657,0))),"")</f>
        <v>2016</v>
      </c>
      <c r="J2082" s="25" t="str">
        <f aca="false">IFERROR(IF(INDEX(Documents!$D$5:$D$657,MATCH(H2082,Documents!$A$5:$A$657,0))="","",INDEX(Documents!$D$5:$D$657,MATCH(H2082,Documents!$A$5:$A$657,0))),"")</f>
        <v>Eur J Med Chem</v>
      </c>
      <c r="K2082" s="25" t="str">
        <f aca="false">IFERROR(IF(INDEX(Documents!$G$5:$G$657,MATCH(H2082,Documents!$A$5:$A$657,0))="","",INDEX(Documents!$G$5:$G$657,MATCH(H2082,Documents!$A$5:$A$657,0))),"")</f>
        <v>10.1016/j.ejmech.2016.08.005</v>
      </c>
      <c r="L2082" s="25" t="s">
        <v>936</v>
      </c>
    </row>
    <row r="2083" customFormat="false" ht="15" hidden="false" customHeight="false" outlineLevel="0" collapsed="false">
      <c r="A2083" s="25" t="n">
        <v>16823048</v>
      </c>
      <c r="B2083" s="25" t="s">
        <v>4582</v>
      </c>
      <c r="C2083" s="25" t="s">
        <v>4583</v>
      </c>
      <c r="D2083" s="26" t="n">
        <v>1000</v>
      </c>
      <c r="E2083" s="27" t="n">
        <v>6</v>
      </c>
      <c r="F2083" s="27" t="n">
        <v>6</v>
      </c>
      <c r="G2083" s="25" t="s">
        <v>934</v>
      </c>
      <c r="H2083" s="25" t="s">
        <v>935</v>
      </c>
      <c r="I2083" s="25" t="n">
        <f aca="false">IFERROR(IF(INDEX(Documents!$C$5:$C$657,MATCH(H2083,Documents!$A$5:$A$657,0))="","",INDEX(Documents!$C$5:$C$657,MATCH(H2083,Documents!$A$5:$A$657,0))),"")</f>
        <v>2016</v>
      </c>
      <c r="J2083" s="25" t="str">
        <f aca="false">IFERROR(IF(INDEX(Documents!$D$5:$D$657,MATCH(H2083,Documents!$A$5:$A$657,0))="","",INDEX(Documents!$D$5:$D$657,MATCH(H2083,Documents!$A$5:$A$657,0))),"")</f>
        <v>Eur J Med Chem</v>
      </c>
      <c r="K2083" s="25" t="str">
        <f aca="false">IFERROR(IF(INDEX(Documents!$G$5:$G$657,MATCH(H2083,Documents!$A$5:$A$657,0))="","",INDEX(Documents!$G$5:$G$657,MATCH(H2083,Documents!$A$5:$A$657,0))),"")</f>
        <v>10.1016/j.ejmech.2016.08.005</v>
      </c>
      <c r="L2083" s="25" t="s">
        <v>936</v>
      </c>
    </row>
    <row r="2084" customFormat="false" ht="15" hidden="false" customHeight="false" outlineLevel="0" collapsed="false">
      <c r="A2084" s="25" t="n">
        <v>20662659</v>
      </c>
      <c r="B2084" s="25" t="s">
        <v>4584</v>
      </c>
      <c r="C2084" s="25" t="s">
        <v>4585</v>
      </c>
      <c r="D2084" s="26" t="n">
        <v>159</v>
      </c>
      <c r="E2084" s="27" t="n">
        <v>6.79860287567955</v>
      </c>
      <c r="F2084" s="27" t="n">
        <v>6.79860287567955</v>
      </c>
      <c r="G2084" s="25" t="s">
        <v>643</v>
      </c>
      <c r="H2084" s="25" t="s">
        <v>644</v>
      </c>
      <c r="I2084" s="25" t="n">
        <f aca="false">IFERROR(IF(INDEX(Documents!$C$5:$C$657,MATCH(H2084,Documents!$A$5:$A$657,0))="","",INDEX(Documents!$C$5:$C$657,MATCH(H2084,Documents!$A$5:$A$657,0))),"")</f>
        <v>2020</v>
      </c>
      <c r="J2084" s="25" t="str">
        <f aca="false">IFERROR(IF(INDEX(Documents!$D$5:$D$657,MATCH(H2084,Documents!$A$5:$A$657,0))="","",INDEX(Documents!$D$5:$D$657,MATCH(H2084,Documents!$A$5:$A$657,0))),"")</f>
        <v>J Med Chem</v>
      </c>
      <c r="K2084" s="25" t="str">
        <f aca="false">IFERROR(IF(INDEX(Documents!$G$5:$G$657,MATCH(H2084,Documents!$A$5:$A$657,0))="","",INDEX(Documents!$G$5:$G$657,MATCH(H2084,Documents!$A$5:$A$657,0))),"")</f>
        <v>10.1021/acs.jmedchem.0c00595</v>
      </c>
      <c r="L2084" s="25" t="s">
        <v>645</v>
      </c>
    </row>
    <row r="2085" customFormat="false" ht="15" hidden="false" customHeight="false" outlineLevel="0" collapsed="false">
      <c r="A2085" s="25" t="n">
        <v>20662665</v>
      </c>
      <c r="B2085" s="25" t="s">
        <v>4586</v>
      </c>
      <c r="C2085" s="25" t="s">
        <v>4587</v>
      </c>
      <c r="D2085" s="26" t="n">
        <v>186</v>
      </c>
      <c r="E2085" s="27" t="n">
        <v>6.73048705578208</v>
      </c>
      <c r="F2085" s="27" t="n">
        <v>6.73048705578208</v>
      </c>
      <c r="G2085" s="25" t="s">
        <v>643</v>
      </c>
      <c r="H2085" s="25" t="s">
        <v>644</v>
      </c>
      <c r="I2085" s="25" t="n">
        <f aca="false">IFERROR(IF(INDEX(Documents!$C$5:$C$657,MATCH(H2085,Documents!$A$5:$A$657,0))="","",INDEX(Documents!$C$5:$C$657,MATCH(H2085,Documents!$A$5:$A$657,0))),"")</f>
        <v>2020</v>
      </c>
      <c r="J2085" s="25" t="str">
        <f aca="false">IFERROR(IF(INDEX(Documents!$D$5:$D$657,MATCH(H2085,Documents!$A$5:$A$657,0))="","",INDEX(Documents!$D$5:$D$657,MATCH(H2085,Documents!$A$5:$A$657,0))),"")</f>
        <v>J Med Chem</v>
      </c>
      <c r="K2085" s="25" t="str">
        <f aca="false">IFERROR(IF(INDEX(Documents!$G$5:$G$657,MATCH(H2085,Documents!$A$5:$A$657,0))="","",INDEX(Documents!$G$5:$G$657,MATCH(H2085,Documents!$A$5:$A$657,0))),"")</f>
        <v>10.1021/acs.jmedchem.0c00595</v>
      </c>
      <c r="L2085" s="25" t="s">
        <v>645</v>
      </c>
    </row>
    <row r="2086" customFormat="false" ht="15" hidden="false" customHeight="false" outlineLevel="0" collapsed="false">
      <c r="A2086" s="25" t="n">
        <v>15239942</v>
      </c>
      <c r="B2086" s="25" t="s">
        <v>4588</v>
      </c>
      <c r="C2086" s="25" t="s">
        <v>4589</v>
      </c>
      <c r="D2086" s="26" t="n">
        <v>25.4</v>
      </c>
      <c r="E2086" s="27" t="n">
        <v>7.59516628338006</v>
      </c>
      <c r="F2086" s="27" t="n">
        <v>7.59516628338006</v>
      </c>
      <c r="G2086" s="25" t="s">
        <v>1653</v>
      </c>
      <c r="H2086" s="25" t="s">
        <v>1654</v>
      </c>
      <c r="I2086" s="25" t="n">
        <f aca="false">IFERROR(IF(INDEX(Documents!$C$5:$C$657,MATCH(H2086,Documents!$A$5:$A$657,0))="","",INDEX(Documents!$C$5:$C$657,MATCH(H2086,Documents!$A$5:$A$657,0))),"")</f>
        <v>2015</v>
      </c>
      <c r="J2086" s="25" t="str">
        <f aca="false">IFERROR(IF(INDEX(Documents!$D$5:$D$657,MATCH(H2086,Documents!$A$5:$A$657,0))="","",INDEX(Documents!$D$5:$D$657,MATCH(H2086,Documents!$A$5:$A$657,0))),"")</f>
        <v>Eur J Med Chem</v>
      </c>
      <c r="K2086" s="25" t="str">
        <f aca="false">IFERROR(IF(INDEX(Documents!$G$5:$G$657,MATCH(H2086,Documents!$A$5:$A$657,0))="","",INDEX(Documents!$G$5:$G$657,MATCH(H2086,Documents!$A$5:$A$657,0))),"")</f>
        <v>10.1016/j.ejmech.2015.04.034</v>
      </c>
      <c r="L2086" s="25" t="s">
        <v>1655</v>
      </c>
    </row>
    <row r="2087" customFormat="false" ht="15" hidden="false" customHeight="false" outlineLevel="0" collapsed="false">
      <c r="A2087" s="25" t="n">
        <v>1419098</v>
      </c>
      <c r="B2087" s="25" t="s">
        <v>4590</v>
      </c>
      <c r="C2087" s="25" t="s">
        <v>4591</v>
      </c>
      <c r="D2087" s="26" t="n">
        <v>191</v>
      </c>
      <c r="E2087" s="27" t="n">
        <v>6.71896663275227</v>
      </c>
      <c r="F2087" s="27" t="n">
        <v>6.71896663275227</v>
      </c>
      <c r="G2087" s="25" t="s">
        <v>4592</v>
      </c>
      <c r="H2087" s="25" t="s">
        <v>4593</v>
      </c>
      <c r="I2087" s="25" t="n">
        <f aca="false">IFERROR(IF(INDEX(Documents!$C$5:$C$657,MATCH(H2087,Documents!$A$5:$A$657,0))="","",INDEX(Documents!$C$5:$C$657,MATCH(H2087,Documents!$A$5:$A$657,0))),"")</f>
        <v>2005</v>
      </c>
      <c r="J2087" s="25" t="str">
        <f aca="false">IFERROR(IF(INDEX(Documents!$D$5:$D$657,MATCH(H2087,Documents!$A$5:$A$657,0))="","",INDEX(Documents!$D$5:$D$657,MATCH(H2087,Documents!$A$5:$A$657,0))),"")</f>
        <v>Bioorg Med Chem Lett</v>
      </c>
      <c r="K2087" s="25" t="str">
        <f aca="false">IFERROR(IF(INDEX(Documents!$G$5:$G$657,MATCH(H2087,Documents!$A$5:$A$657,0))="","",INDEX(Documents!$G$5:$G$657,MATCH(H2087,Documents!$A$5:$A$657,0))),"")</f>
        <v>10.1016/j.bmcl.2005.05.049</v>
      </c>
      <c r="L2087" s="25" t="s">
        <v>4594</v>
      </c>
    </row>
    <row r="2088" customFormat="false" ht="15" hidden="false" customHeight="false" outlineLevel="0" collapsed="false">
      <c r="A2088" s="25" t="n">
        <v>1419109</v>
      </c>
      <c r="B2088" s="25" t="s">
        <v>4595</v>
      </c>
      <c r="C2088" s="25" t="s">
        <v>4596</v>
      </c>
      <c r="D2088" s="26" t="n">
        <v>420</v>
      </c>
      <c r="E2088" s="27" t="n">
        <v>6.3767507096021</v>
      </c>
      <c r="F2088" s="27" t="n">
        <v>6.3767507096021</v>
      </c>
      <c r="G2088" s="25" t="s">
        <v>4592</v>
      </c>
      <c r="H2088" s="25" t="s">
        <v>4593</v>
      </c>
      <c r="I2088" s="25" t="n">
        <f aca="false">IFERROR(IF(INDEX(Documents!$C$5:$C$657,MATCH(H2088,Documents!$A$5:$A$657,0))="","",INDEX(Documents!$C$5:$C$657,MATCH(H2088,Documents!$A$5:$A$657,0))),"")</f>
        <v>2005</v>
      </c>
      <c r="J2088" s="25" t="str">
        <f aca="false">IFERROR(IF(INDEX(Documents!$D$5:$D$657,MATCH(H2088,Documents!$A$5:$A$657,0))="","",INDEX(Documents!$D$5:$D$657,MATCH(H2088,Documents!$A$5:$A$657,0))),"")</f>
        <v>Bioorg Med Chem Lett</v>
      </c>
      <c r="K2088" s="25" t="str">
        <f aca="false">IFERROR(IF(INDEX(Documents!$G$5:$G$657,MATCH(H2088,Documents!$A$5:$A$657,0))="","",INDEX(Documents!$G$5:$G$657,MATCH(H2088,Documents!$A$5:$A$657,0))),"")</f>
        <v>10.1016/j.bmcl.2005.05.049</v>
      </c>
      <c r="L2088" s="25" t="s">
        <v>4594</v>
      </c>
    </row>
    <row r="2089" customFormat="false" ht="15" hidden="false" customHeight="false" outlineLevel="0" collapsed="false">
      <c r="A2089" s="25" t="n">
        <v>1419009</v>
      </c>
      <c r="B2089" s="25" t="s">
        <v>4597</v>
      </c>
      <c r="C2089" s="25" t="s">
        <v>4598</v>
      </c>
      <c r="D2089" s="26" t="n">
        <v>143</v>
      </c>
      <c r="E2089" s="27" t="n">
        <v>6.84466396253494</v>
      </c>
      <c r="F2089" s="27" t="n">
        <v>6.84466396253494</v>
      </c>
      <c r="G2089" s="25" t="s">
        <v>4592</v>
      </c>
      <c r="H2089" s="25" t="s">
        <v>4593</v>
      </c>
      <c r="I2089" s="25" t="n">
        <f aca="false">IFERROR(IF(INDEX(Documents!$C$5:$C$657,MATCH(H2089,Documents!$A$5:$A$657,0))="","",INDEX(Documents!$C$5:$C$657,MATCH(H2089,Documents!$A$5:$A$657,0))),"")</f>
        <v>2005</v>
      </c>
      <c r="J2089" s="25" t="str">
        <f aca="false">IFERROR(IF(INDEX(Documents!$D$5:$D$657,MATCH(H2089,Documents!$A$5:$A$657,0))="","",INDEX(Documents!$D$5:$D$657,MATCH(H2089,Documents!$A$5:$A$657,0))),"")</f>
        <v>Bioorg Med Chem Lett</v>
      </c>
      <c r="K2089" s="25" t="str">
        <f aca="false">IFERROR(IF(INDEX(Documents!$G$5:$G$657,MATCH(H2089,Documents!$A$5:$A$657,0))="","",INDEX(Documents!$G$5:$G$657,MATCH(H2089,Documents!$A$5:$A$657,0))),"")</f>
        <v>10.1016/j.bmcl.2005.05.049</v>
      </c>
      <c r="L2089" s="25" t="s">
        <v>4594</v>
      </c>
    </row>
    <row r="2090" customFormat="false" ht="15" hidden="false" customHeight="false" outlineLevel="0" collapsed="false">
      <c r="A2090" s="25" t="n">
        <v>12181909</v>
      </c>
      <c r="B2090" s="25" t="s">
        <v>4599</v>
      </c>
      <c r="C2090" s="25" t="s">
        <v>4600</v>
      </c>
      <c r="D2090" s="26" t="n">
        <v>31</v>
      </c>
      <c r="E2090" s="27" t="n">
        <v>7.50863830616573</v>
      </c>
      <c r="F2090" s="27" t="n">
        <v>7.50863830616573</v>
      </c>
      <c r="G2090" s="25" t="s">
        <v>3260</v>
      </c>
      <c r="H2090" s="25" t="s">
        <v>3261</v>
      </c>
      <c r="I2090" s="25" t="n">
        <f aca="false">IFERROR(IF(INDEX(Documents!$C$5:$C$657,MATCH(H2090,Documents!$A$5:$A$657,0))="","",INDEX(Documents!$C$5:$C$657,MATCH(H2090,Documents!$A$5:$A$657,0))),"")</f>
        <v>2012</v>
      </c>
      <c r="J2090" s="25" t="str">
        <f aca="false">IFERROR(IF(INDEX(Documents!$D$5:$D$657,MATCH(H2090,Documents!$A$5:$A$657,0))="","",INDEX(Documents!$D$5:$D$657,MATCH(H2090,Documents!$A$5:$A$657,0))),"")</f>
        <v>Bioorg Med Chem</v>
      </c>
      <c r="K2090" s="25" t="str">
        <f aca="false">IFERROR(IF(INDEX(Documents!$G$5:$G$657,MATCH(H2090,Documents!$A$5:$A$657,0))="","",INDEX(Documents!$G$5:$G$657,MATCH(H2090,Documents!$A$5:$A$657,0))),"")</f>
        <v>10.1016/j.bmc.2012.01.038</v>
      </c>
      <c r="L2090" s="25" t="s">
        <v>3262</v>
      </c>
    </row>
    <row r="2091" customFormat="false" ht="15" hidden="false" customHeight="false" outlineLevel="0" collapsed="false">
      <c r="A2091" s="25" t="n">
        <v>2650297</v>
      </c>
      <c r="B2091" s="25" t="s">
        <v>4601</v>
      </c>
      <c r="C2091" s="25" t="s">
        <v>4602</v>
      </c>
      <c r="D2091" s="26" t="n">
        <v>14</v>
      </c>
      <c r="E2091" s="27" t="n">
        <v>7.85387196432176</v>
      </c>
      <c r="F2091" s="27" t="n">
        <v>7.85387196432176</v>
      </c>
      <c r="G2091" s="25" t="s">
        <v>3265</v>
      </c>
      <c r="H2091" s="25" t="s">
        <v>3266</v>
      </c>
      <c r="I2091" s="25" t="n">
        <f aca="false">IFERROR(IF(INDEX(Documents!$C$5:$C$657,MATCH(H2091,Documents!$A$5:$A$657,0))="","",INDEX(Documents!$C$5:$C$657,MATCH(H2091,Documents!$A$5:$A$657,0))),"")</f>
        <v>2009</v>
      </c>
      <c r="J2091" s="25" t="str">
        <f aca="false">IFERROR(IF(INDEX(Documents!$D$5:$D$657,MATCH(H2091,Documents!$A$5:$A$657,0))="","",INDEX(Documents!$D$5:$D$657,MATCH(H2091,Documents!$A$5:$A$657,0))),"")</f>
        <v>Eur J Med Chem</v>
      </c>
      <c r="K2091" s="25" t="str">
        <f aca="false">IFERROR(IF(INDEX(Documents!$G$5:$G$657,MATCH(H2091,Documents!$A$5:$A$657,0))="","",INDEX(Documents!$G$5:$G$657,MATCH(H2091,Documents!$A$5:$A$657,0))),"")</f>
        <v>10.1016/j.ejmech.2009.01.026</v>
      </c>
      <c r="L2091" s="25" t="s">
        <v>3267</v>
      </c>
    </row>
    <row r="2092" customFormat="false" ht="15" hidden="false" customHeight="false" outlineLevel="0" collapsed="false">
      <c r="A2092" s="25" t="n">
        <v>2650339</v>
      </c>
      <c r="B2092" s="25" t="s">
        <v>4603</v>
      </c>
      <c r="C2092" s="25" t="s">
        <v>4604</v>
      </c>
      <c r="D2092" s="26" t="n">
        <v>11.99</v>
      </c>
      <c r="E2092" s="27" t="n">
        <v>7.92118081690115</v>
      </c>
      <c r="F2092" s="27" t="n">
        <v>7.92118081690115</v>
      </c>
      <c r="G2092" s="25" t="s">
        <v>3265</v>
      </c>
      <c r="H2092" s="25" t="s">
        <v>3266</v>
      </c>
      <c r="I2092" s="25" t="n">
        <f aca="false">IFERROR(IF(INDEX(Documents!$C$5:$C$657,MATCH(H2092,Documents!$A$5:$A$657,0))="","",INDEX(Documents!$C$5:$C$657,MATCH(H2092,Documents!$A$5:$A$657,0))),"")</f>
        <v>2009</v>
      </c>
      <c r="J2092" s="25" t="str">
        <f aca="false">IFERROR(IF(INDEX(Documents!$D$5:$D$657,MATCH(H2092,Documents!$A$5:$A$657,0))="","",INDEX(Documents!$D$5:$D$657,MATCH(H2092,Documents!$A$5:$A$657,0))),"")</f>
        <v>Eur J Med Chem</v>
      </c>
      <c r="K2092" s="25" t="str">
        <f aca="false">IFERROR(IF(INDEX(Documents!$G$5:$G$657,MATCH(H2092,Documents!$A$5:$A$657,0))="","",INDEX(Documents!$G$5:$G$657,MATCH(H2092,Documents!$A$5:$A$657,0))),"")</f>
        <v>10.1016/j.ejmech.2009.01.026</v>
      </c>
      <c r="L2092" s="25" t="s">
        <v>3267</v>
      </c>
    </row>
    <row r="2093" customFormat="false" ht="15" hidden="false" customHeight="false" outlineLevel="0" collapsed="false">
      <c r="A2093" s="25" t="n">
        <v>12181913</v>
      </c>
      <c r="B2093" s="25" t="s">
        <v>4605</v>
      </c>
      <c r="C2093" s="25" t="s">
        <v>4606</v>
      </c>
      <c r="D2093" s="26" t="n">
        <v>22</v>
      </c>
      <c r="E2093" s="27" t="n">
        <v>7.65757731917779</v>
      </c>
      <c r="F2093" s="27" t="n">
        <v>7.65757731917779</v>
      </c>
      <c r="G2093" s="25" t="s">
        <v>3260</v>
      </c>
      <c r="H2093" s="25" t="s">
        <v>3261</v>
      </c>
      <c r="I2093" s="25" t="n">
        <f aca="false">IFERROR(IF(INDEX(Documents!$C$5:$C$657,MATCH(H2093,Documents!$A$5:$A$657,0))="","",INDEX(Documents!$C$5:$C$657,MATCH(H2093,Documents!$A$5:$A$657,0))),"")</f>
        <v>2012</v>
      </c>
      <c r="J2093" s="25" t="str">
        <f aca="false">IFERROR(IF(INDEX(Documents!$D$5:$D$657,MATCH(H2093,Documents!$A$5:$A$657,0))="","",INDEX(Documents!$D$5:$D$657,MATCH(H2093,Documents!$A$5:$A$657,0))),"")</f>
        <v>Bioorg Med Chem</v>
      </c>
      <c r="K2093" s="25" t="str">
        <f aca="false">IFERROR(IF(INDEX(Documents!$G$5:$G$657,MATCH(H2093,Documents!$A$5:$A$657,0))="","",INDEX(Documents!$G$5:$G$657,MATCH(H2093,Documents!$A$5:$A$657,0))),"")</f>
        <v>10.1016/j.bmc.2012.01.038</v>
      </c>
      <c r="L2093" s="25" t="s">
        <v>3262</v>
      </c>
    </row>
    <row r="2094" customFormat="false" ht="15" hidden="false" customHeight="false" outlineLevel="0" collapsed="false">
      <c r="A2094" s="25" t="n">
        <v>12181917</v>
      </c>
      <c r="B2094" s="25" t="s">
        <v>4607</v>
      </c>
      <c r="C2094" s="25" t="s">
        <v>4608</v>
      </c>
      <c r="D2094" s="26" t="n">
        <v>38</v>
      </c>
      <c r="E2094" s="27" t="n">
        <v>7.42021640338319</v>
      </c>
      <c r="F2094" s="27" t="n">
        <v>7.42021640338319</v>
      </c>
      <c r="G2094" s="25" t="s">
        <v>3260</v>
      </c>
      <c r="H2094" s="25" t="s">
        <v>3261</v>
      </c>
      <c r="I2094" s="25" t="n">
        <f aca="false">IFERROR(IF(INDEX(Documents!$C$5:$C$657,MATCH(H2094,Documents!$A$5:$A$657,0))="","",INDEX(Documents!$C$5:$C$657,MATCH(H2094,Documents!$A$5:$A$657,0))),"")</f>
        <v>2012</v>
      </c>
      <c r="J2094" s="25" t="str">
        <f aca="false">IFERROR(IF(INDEX(Documents!$D$5:$D$657,MATCH(H2094,Documents!$A$5:$A$657,0))="","",INDEX(Documents!$D$5:$D$657,MATCH(H2094,Documents!$A$5:$A$657,0))),"")</f>
        <v>Bioorg Med Chem</v>
      </c>
      <c r="K2094" s="25" t="str">
        <f aca="false">IFERROR(IF(INDEX(Documents!$G$5:$G$657,MATCH(H2094,Documents!$A$5:$A$657,0))="","",INDEX(Documents!$G$5:$G$657,MATCH(H2094,Documents!$A$5:$A$657,0))),"")</f>
        <v>10.1016/j.bmc.2012.01.038</v>
      </c>
      <c r="L2094" s="25" t="s">
        <v>3262</v>
      </c>
    </row>
    <row r="2095" customFormat="false" ht="15" hidden="false" customHeight="false" outlineLevel="0" collapsed="false">
      <c r="A2095" s="25" t="n">
        <v>12181905</v>
      </c>
      <c r="B2095" s="25" t="s">
        <v>4609</v>
      </c>
      <c r="C2095" s="25" t="s">
        <v>4610</v>
      </c>
      <c r="D2095" s="26" t="n">
        <v>20</v>
      </c>
      <c r="E2095" s="27" t="n">
        <v>7.69897000433602</v>
      </c>
      <c r="F2095" s="27" t="n">
        <v>7.69897000433602</v>
      </c>
      <c r="G2095" s="25" t="s">
        <v>3260</v>
      </c>
      <c r="H2095" s="25" t="s">
        <v>3261</v>
      </c>
      <c r="I2095" s="25" t="n">
        <f aca="false">IFERROR(IF(INDEX(Documents!$C$5:$C$657,MATCH(H2095,Documents!$A$5:$A$657,0))="","",INDEX(Documents!$C$5:$C$657,MATCH(H2095,Documents!$A$5:$A$657,0))),"")</f>
        <v>2012</v>
      </c>
      <c r="J2095" s="25" t="str">
        <f aca="false">IFERROR(IF(INDEX(Documents!$D$5:$D$657,MATCH(H2095,Documents!$A$5:$A$657,0))="","",INDEX(Documents!$D$5:$D$657,MATCH(H2095,Documents!$A$5:$A$657,0))),"")</f>
        <v>Bioorg Med Chem</v>
      </c>
      <c r="K2095" s="25" t="str">
        <f aca="false">IFERROR(IF(INDEX(Documents!$G$5:$G$657,MATCH(H2095,Documents!$A$5:$A$657,0))="","",INDEX(Documents!$G$5:$G$657,MATCH(H2095,Documents!$A$5:$A$657,0))),"")</f>
        <v>10.1016/j.bmc.2012.01.038</v>
      </c>
      <c r="L2095" s="25" t="s">
        <v>3262</v>
      </c>
    </row>
    <row r="2096" customFormat="false" ht="15" hidden="false" customHeight="false" outlineLevel="0" collapsed="false">
      <c r="A2096" s="25" t="n">
        <v>2650285</v>
      </c>
      <c r="B2096" s="25" t="s">
        <v>4611</v>
      </c>
      <c r="C2096" s="25" t="s">
        <v>4612</v>
      </c>
      <c r="D2096" s="26" t="n">
        <v>97.05</v>
      </c>
      <c r="E2096" s="27" t="n">
        <v>7.01300446027562</v>
      </c>
      <c r="F2096" s="27" t="n">
        <v>7.01300446027562</v>
      </c>
      <c r="G2096" s="25" t="s">
        <v>3265</v>
      </c>
      <c r="H2096" s="25" t="s">
        <v>3266</v>
      </c>
      <c r="I2096" s="25" t="n">
        <f aca="false">IFERROR(IF(INDEX(Documents!$C$5:$C$657,MATCH(H2096,Documents!$A$5:$A$657,0))="","",INDEX(Documents!$C$5:$C$657,MATCH(H2096,Documents!$A$5:$A$657,0))),"")</f>
        <v>2009</v>
      </c>
      <c r="J2096" s="25" t="str">
        <f aca="false">IFERROR(IF(INDEX(Documents!$D$5:$D$657,MATCH(H2096,Documents!$A$5:$A$657,0))="","",INDEX(Documents!$D$5:$D$657,MATCH(H2096,Documents!$A$5:$A$657,0))),"")</f>
        <v>Eur J Med Chem</v>
      </c>
      <c r="K2096" s="25" t="str">
        <f aca="false">IFERROR(IF(INDEX(Documents!$G$5:$G$657,MATCH(H2096,Documents!$A$5:$A$657,0))="","",INDEX(Documents!$G$5:$G$657,MATCH(H2096,Documents!$A$5:$A$657,0))),"")</f>
        <v>10.1016/j.ejmech.2009.01.026</v>
      </c>
      <c r="L2096" s="25" t="s">
        <v>3267</v>
      </c>
    </row>
    <row r="2097" customFormat="false" ht="15" hidden="false" customHeight="false" outlineLevel="0" collapsed="false">
      <c r="A2097" s="25" t="n">
        <v>2650378</v>
      </c>
      <c r="B2097" s="25" t="s">
        <v>4613</v>
      </c>
      <c r="C2097" s="25" t="s">
        <v>4614</v>
      </c>
      <c r="D2097" s="26" t="n">
        <v>220.8</v>
      </c>
      <c r="E2097" s="27" t="n">
        <v>6.65600093094284</v>
      </c>
      <c r="F2097" s="27" t="n">
        <v>6.65600093094284</v>
      </c>
      <c r="G2097" s="25" t="s">
        <v>3265</v>
      </c>
      <c r="H2097" s="25" t="s">
        <v>3266</v>
      </c>
      <c r="I2097" s="25" t="n">
        <f aca="false">IFERROR(IF(INDEX(Documents!$C$5:$C$657,MATCH(H2097,Documents!$A$5:$A$657,0))="","",INDEX(Documents!$C$5:$C$657,MATCH(H2097,Documents!$A$5:$A$657,0))),"")</f>
        <v>2009</v>
      </c>
      <c r="J2097" s="25" t="str">
        <f aca="false">IFERROR(IF(INDEX(Documents!$D$5:$D$657,MATCH(H2097,Documents!$A$5:$A$657,0))="","",INDEX(Documents!$D$5:$D$657,MATCH(H2097,Documents!$A$5:$A$657,0))),"")</f>
        <v>Eur J Med Chem</v>
      </c>
      <c r="K2097" s="25" t="str">
        <f aca="false">IFERROR(IF(INDEX(Documents!$G$5:$G$657,MATCH(H2097,Documents!$A$5:$A$657,0))="","",INDEX(Documents!$G$5:$G$657,MATCH(H2097,Documents!$A$5:$A$657,0))),"")</f>
        <v>10.1016/j.ejmech.2009.01.026</v>
      </c>
      <c r="L2097" s="25" t="s">
        <v>3267</v>
      </c>
    </row>
    <row r="2098" customFormat="false" ht="15" hidden="false" customHeight="false" outlineLevel="0" collapsed="false">
      <c r="A2098" s="25" t="n">
        <v>24996435</v>
      </c>
      <c r="B2098" s="25" t="s">
        <v>4615</v>
      </c>
      <c r="C2098" s="25" t="s">
        <v>4616</v>
      </c>
      <c r="D2098" s="26" t="n">
        <v>13.8</v>
      </c>
      <c r="E2098" s="27" t="n">
        <v>7.86012091359876</v>
      </c>
      <c r="F2098" s="27" t="n">
        <v>7.86012091359876</v>
      </c>
      <c r="G2098" s="25" t="s">
        <v>4617</v>
      </c>
      <c r="H2098" s="25" t="s">
        <v>1827</v>
      </c>
      <c r="I2098" s="25" t="n">
        <f aca="false">IFERROR(IF(INDEX(Documents!$C$5:$C$657,MATCH(H2098,Documents!$A$5:$A$657,0))="","",INDEX(Documents!$C$5:$C$657,MATCH(H2098,Documents!$A$5:$A$657,0))),"")</f>
        <v>2020</v>
      </c>
      <c r="J2098" s="25" t="str">
        <f aca="false">IFERROR(IF(INDEX(Documents!$D$5:$D$657,MATCH(H2098,Documents!$A$5:$A$657,0))="","",INDEX(Documents!$D$5:$D$657,MATCH(H2098,Documents!$A$5:$A$657,0))),"")</f>
        <v>J Med Chem</v>
      </c>
      <c r="K2098" s="25" t="str">
        <f aca="false">IFERROR(IF(INDEX(Documents!$G$5:$G$657,MATCH(H2098,Documents!$A$5:$A$657,0))="","",INDEX(Documents!$G$5:$G$657,MATCH(H2098,Documents!$A$5:$A$657,0))),"")</f>
        <v>10.1021/acs.jmedchem.0c01357</v>
      </c>
      <c r="L2098" s="25" t="s">
        <v>407</v>
      </c>
    </row>
    <row r="2099" customFormat="false" ht="15" hidden="false" customHeight="false" outlineLevel="0" collapsed="false">
      <c r="A2099" s="25" t="n">
        <v>2251151</v>
      </c>
      <c r="B2099" s="25" t="s">
        <v>4618</v>
      </c>
      <c r="C2099" s="25" t="s">
        <v>4619</v>
      </c>
      <c r="D2099" s="26" t="n">
        <v>30</v>
      </c>
      <c r="E2099" s="27" t="n">
        <v>7.52287874528034</v>
      </c>
      <c r="F2099" s="27" t="n">
        <v>7.52287874528034</v>
      </c>
      <c r="G2099" s="25" t="s">
        <v>2152</v>
      </c>
      <c r="H2099" s="25" t="s">
        <v>2153</v>
      </c>
      <c r="I2099" s="25" t="n">
        <f aca="false">IFERROR(IF(INDEX(Documents!$C$5:$C$657,MATCH(H2099,Documents!$A$5:$A$657,0))="","",INDEX(Documents!$C$5:$C$657,MATCH(H2099,Documents!$A$5:$A$657,0))),"")</f>
        <v>2009</v>
      </c>
      <c r="J2099" s="25" t="str">
        <f aca="false">IFERROR(IF(INDEX(Documents!$D$5:$D$657,MATCH(H2099,Documents!$A$5:$A$657,0))="","",INDEX(Documents!$D$5:$D$657,MATCH(H2099,Documents!$A$5:$A$657,0))),"")</f>
        <v>J Med Chem</v>
      </c>
      <c r="K2099" s="25" t="str">
        <f aca="false">IFERROR(IF(INDEX(Documents!$G$5:$G$657,MATCH(H2099,Documents!$A$5:$A$657,0))="","",INDEX(Documents!$G$5:$G$657,MATCH(H2099,Documents!$A$5:$A$657,0))),"")</f>
        <v>10.1021/jm801044g</v>
      </c>
      <c r="L2099" s="25" t="s">
        <v>2020</v>
      </c>
    </row>
    <row r="2100" customFormat="false" ht="15" hidden="false" customHeight="false" outlineLevel="0" collapsed="false">
      <c r="A2100" s="25" t="n">
        <v>2650267</v>
      </c>
      <c r="B2100" s="25" t="s">
        <v>4620</v>
      </c>
      <c r="C2100" s="25" t="s">
        <v>4621</v>
      </c>
      <c r="D2100" s="26" t="n">
        <v>16</v>
      </c>
      <c r="E2100" s="27" t="n">
        <v>7.79588001734408</v>
      </c>
      <c r="F2100" s="27" t="n">
        <v>7.79588001734408</v>
      </c>
      <c r="G2100" s="25" t="s">
        <v>3265</v>
      </c>
      <c r="H2100" s="25" t="s">
        <v>3266</v>
      </c>
      <c r="I2100" s="25" t="n">
        <f aca="false">IFERROR(IF(INDEX(Documents!$C$5:$C$657,MATCH(H2100,Documents!$A$5:$A$657,0))="","",INDEX(Documents!$C$5:$C$657,MATCH(H2100,Documents!$A$5:$A$657,0))),"")</f>
        <v>2009</v>
      </c>
      <c r="J2100" s="25" t="str">
        <f aca="false">IFERROR(IF(INDEX(Documents!$D$5:$D$657,MATCH(H2100,Documents!$A$5:$A$657,0))="","",INDEX(Documents!$D$5:$D$657,MATCH(H2100,Documents!$A$5:$A$657,0))),"")</f>
        <v>Eur J Med Chem</v>
      </c>
      <c r="K2100" s="25" t="str">
        <f aca="false">IFERROR(IF(INDEX(Documents!$G$5:$G$657,MATCH(H2100,Documents!$A$5:$A$657,0))="","",INDEX(Documents!$G$5:$G$657,MATCH(H2100,Documents!$A$5:$A$657,0))),"")</f>
        <v>10.1016/j.ejmech.2009.01.026</v>
      </c>
      <c r="L2100" s="25" t="s">
        <v>3267</v>
      </c>
    </row>
    <row r="2101" customFormat="false" ht="15" hidden="false" customHeight="false" outlineLevel="0" collapsed="false">
      <c r="A2101" s="25" t="n">
        <v>2650354</v>
      </c>
      <c r="B2101" s="25" t="s">
        <v>4622</v>
      </c>
      <c r="C2101" s="25" t="s">
        <v>4623</v>
      </c>
      <c r="D2101" s="26" t="n">
        <v>239.88</v>
      </c>
      <c r="E2101" s="27" t="n">
        <v>6.62000595983426</v>
      </c>
      <c r="F2101" s="27" t="n">
        <v>6.62000595983426</v>
      </c>
      <c r="G2101" s="25" t="s">
        <v>3265</v>
      </c>
      <c r="H2101" s="25" t="s">
        <v>3266</v>
      </c>
      <c r="I2101" s="25" t="n">
        <f aca="false">IFERROR(IF(INDEX(Documents!$C$5:$C$657,MATCH(H2101,Documents!$A$5:$A$657,0))="","",INDEX(Documents!$C$5:$C$657,MATCH(H2101,Documents!$A$5:$A$657,0))),"")</f>
        <v>2009</v>
      </c>
      <c r="J2101" s="25" t="str">
        <f aca="false">IFERROR(IF(INDEX(Documents!$D$5:$D$657,MATCH(H2101,Documents!$A$5:$A$657,0))="","",INDEX(Documents!$D$5:$D$657,MATCH(H2101,Documents!$A$5:$A$657,0))),"")</f>
        <v>Eur J Med Chem</v>
      </c>
      <c r="K2101" s="25" t="str">
        <f aca="false">IFERROR(IF(INDEX(Documents!$G$5:$G$657,MATCH(H2101,Documents!$A$5:$A$657,0))="","",INDEX(Documents!$G$5:$G$657,MATCH(H2101,Documents!$A$5:$A$657,0))),"")</f>
        <v>10.1016/j.ejmech.2009.01.026</v>
      </c>
      <c r="L2101" s="25" t="s">
        <v>3267</v>
      </c>
    </row>
    <row r="2102" customFormat="false" ht="15" hidden="false" customHeight="false" outlineLevel="0" collapsed="false">
      <c r="A2102" s="25" t="n">
        <v>2650309</v>
      </c>
      <c r="B2102" s="25" t="s">
        <v>4624</v>
      </c>
      <c r="C2102" s="25" t="s">
        <v>4625</v>
      </c>
      <c r="D2102" s="26" t="n">
        <v>440.55</v>
      </c>
      <c r="E2102" s="27" t="n">
        <v>6.35600479442152</v>
      </c>
      <c r="F2102" s="27" t="n">
        <v>6.35600479442152</v>
      </c>
      <c r="G2102" s="25" t="s">
        <v>3265</v>
      </c>
      <c r="H2102" s="25" t="s">
        <v>3266</v>
      </c>
      <c r="I2102" s="25" t="n">
        <f aca="false">IFERROR(IF(INDEX(Documents!$C$5:$C$657,MATCH(H2102,Documents!$A$5:$A$657,0))="","",INDEX(Documents!$C$5:$C$657,MATCH(H2102,Documents!$A$5:$A$657,0))),"")</f>
        <v>2009</v>
      </c>
      <c r="J2102" s="25" t="str">
        <f aca="false">IFERROR(IF(INDEX(Documents!$D$5:$D$657,MATCH(H2102,Documents!$A$5:$A$657,0))="","",INDEX(Documents!$D$5:$D$657,MATCH(H2102,Documents!$A$5:$A$657,0))),"")</f>
        <v>Eur J Med Chem</v>
      </c>
      <c r="K2102" s="25" t="str">
        <f aca="false">IFERROR(IF(INDEX(Documents!$G$5:$G$657,MATCH(H2102,Documents!$A$5:$A$657,0))="","",INDEX(Documents!$G$5:$G$657,MATCH(H2102,Documents!$A$5:$A$657,0))),"")</f>
        <v>10.1016/j.ejmech.2009.01.026</v>
      </c>
      <c r="L2102" s="25" t="s">
        <v>3267</v>
      </c>
    </row>
    <row r="2103" customFormat="false" ht="15" hidden="false" customHeight="false" outlineLevel="0" collapsed="false">
      <c r="A2103" s="25" t="n">
        <v>12181897</v>
      </c>
      <c r="B2103" s="25" t="s">
        <v>4626</v>
      </c>
      <c r="C2103" s="25" t="s">
        <v>4627</v>
      </c>
      <c r="D2103" s="26" t="n">
        <v>278</v>
      </c>
      <c r="E2103" s="27" t="n">
        <v>6.55595520408192</v>
      </c>
      <c r="F2103" s="27" t="n">
        <v>6.55595520408192</v>
      </c>
      <c r="G2103" s="25" t="s">
        <v>3260</v>
      </c>
      <c r="H2103" s="25" t="s">
        <v>3261</v>
      </c>
      <c r="I2103" s="25" t="n">
        <f aca="false">IFERROR(IF(INDEX(Documents!$C$5:$C$657,MATCH(H2103,Documents!$A$5:$A$657,0))="","",INDEX(Documents!$C$5:$C$657,MATCH(H2103,Documents!$A$5:$A$657,0))),"")</f>
        <v>2012</v>
      </c>
      <c r="J2103" s="25" t="str">
        <f aca="false">IFERROR(IF(INDEX(Documents!$D$5:$D$657,MATCH(H2103,Documents!$A$5:$A$657,0))="","",INDEX(Documents!$D$5:$D$657,MATCH(H2103,Documents!$A$5:$A$657,0))),"")</f>
        <v>Bioorg Med Chem</v>
      </c>
      <c r="K2103" s="25" t="str">
        <f aca="false">IFERROR(IF(INDEX(Documents!$G$5:$G$657,MATCH(H2103,Documents!$A$5:$A$657,0))="","",INDEX(Documents!$G$5:$G$657,MATCH(H2103,Documents!$A$5:$A$657,0))),"")</f>
        <v>10.1016/j.bmc.2012.01.038</v>
      </c>
      <c r="L2103" s="25" t="s">
        <v>3262</v>
      </c>
    </row>
    <row r="2104" customFormat="false" ht="15" hidden="false" customHeight="false" outlineLevel="0" collapsed="false">
      <c r="A2104" s="25" t="n">
        <v>12181901</v>
      </c>
      <c r="B2104" s="25" t="s">
        <v>4628</v>
      </c>
      <c r="C2104" s="25" t="s">
        <v>4629</v>
      </c>
      <c r="D2104" s="26" t="n">
        <v>174</v>
      </c>
      <c r="E2104" s="27" t="n">
        <v>6.7594507517174</v>
      </c>
      <c r="F2104" s="27" t="n">
        <v>6.7594507517174</v>
      </c>
      <c r="G2104" s="25" t="s">
        <v>3260</v>
      </c>
      <c r="H2104" s="25" t="s">
        <v>3261</v>
      </c>
      <c r="I2104" s="25" t="n">
        <f aca="false">IFERROR(IF(INDEX(Documents!$C$5:$C$657,MATCH(H2104,Documents!$A$5:$A$657,0))="","",INDEX(Documents!$C$5:$C$657,MATCH(H2104,Documents!$A$5:$A$657,0))),"")</f>
        <v>2012</v>
      </c>
      <c r="J2104" s="25" t="str">
        <f aca="false">IFERROR(IF(INDEX(Documents!$D$5:$D$657,MATCH(H2104,Documents!$A$5:$A$657,0))="","",INDEX(Documents!$D$5:$D$657,MATCH(H2104,Documents!$A$5:$A$657,0))),"")</f>
        <v>Bioorg Med Chem</v>
      </c>
      <c r="K2104" s="25" t="str">
        <f aca="false">IFERROR(IF(INDEX(Documents!$G$5:$G$657,MATCH(H2104,Documents!$A$5:$A$657,0))="","",INDEX(Documents!$G$5:$G$657,MATCH(H2104,Documents!$A$5:$A$657,0))),"")</f>
        <v>10.1016/j.bmc.2012.01.038</v>
      </c>
      <c r="L2104" s="25" t="s">
        <v>3262</v>
      </c>
    </row>
    <row r="2105" customFormat="false" ht="15" hidden="false" customHeight="false" outlineLevel="0" collapsed="false">
      <c r="A2105" s="25" t="n">
        <v>12181893</v>
      </c>
      <c r="B2105" s="25" t="s">
        <v>4630</v>
      </c>
      <c r="C2105" s="25" t="s">
        <v>4631</v>
      </c>
      <c r="D2105" s="26" t="n">
        <v>536</v>
      </c>
      <c r="E2105" s="27" t="n">
        <v>6.27083521030723</v>
      </c>
      <c r="F2105" s="27" t="n">
        <v>6.27083521030723</v>
      </c>
      <c r="G2105" s="25" t="s">
        <v>3260</v>
      </c>
      <c r="H2105" s="25" t="s">
        <v>3261</v>
      </c>
      <c r="I2105" s="25" t="n">
        <f aca="false">IFERROR(IF(INDEX(Documents!$C$5:$C$657,MATCH(H2105,Documents!$A$5:$A$657,0))="","",INDEX(Documents!$C$5:$C$657,MATCH(H2105,Documents!$A$5:$A$657,0))),"")</f>
        <v>2012</v>
      </c>
      <c r="J2105" s="25" t="str">
        <f aca="false">IFERROR(IF(INDEX(Documents!$D$5:$D$657,MATCH(H2105,Documents!$A$5:$A$657,0))="","",INDEX(Documents!$D$5:$D$657,MATCH(H2105,Documents!$A$5:$A$657,0))),"")</f>
        <v>Bioorg Med Chem</v>
      </c>
      <c r="K2105" s="25" t="str">
        <f aca="false">IFERROR(IF(INDEX(Documents!$G$5:$G$657,MATCH(H2105,Documents!$A$5:$A$657,0))="","",INDEX(Documents!$G$5:$G$657,MATCH(H2105,Documents!$A$5:$A$657,0))),"")</f>
        <v>10.1016/j.bmc.2012.01.038</v>
      </c>
      <c r="L2105" s="25" t="s">
        <v>3262</v>
      </c>
    </row>
    <row r="2106" customFormat="false" ht="15" hidden="false" customHeight="false" outlineLevel="0" collapsed="false">
      <c r="A2106" s="25" t="n">
        <v>1419002</v>
      </c>
      <c r="B2106" s="25" t="s">
        <v>4632</v>
      </c>
      <c r="C2106" s="25" t="s">
        <v>4633</v>
      </c>
      <c r="D2106" s="26" t="n">
        <v>36</v>
      </c>
      <c r="E2106" s="27" t="n">
        <v>7.44369749923271</v>
      </c>
      <c r="F2106" s="27" t="n">
        <v>7.65190920641574</v>
      </c>
      <c r="G2106" s="25" t="s">
        <v>4592</v>
      </c>
      <c r="H2106" s="25" t="s">
        <v>4593</v>
      </c>
      <c r="I2106" s="25" t="n">
        <f aca="false">IFERROR(IF(INDEX(Documents!$C$5:$C$657,MATCH(H2106,Documents!$A$5:$A$657,0))="","",INDEX(Documents!$C$5:$C$657,MATCH(H2106,Documents!$A$5:$A$657,0))),"")</f>
        <v>2005</v>
      </c>
      <c r="J2106" s="25" t="str">
        <f aca="false">IFERROR(IF(INDEX(Documents!$D$5:$D$657,MATCH(H2106,Documents!$A$5:$A$657,0))="","",INDEX(Documents!$D$5:$D$657,MATCH(H2106,Documents!$A$5:$A$657,0))),"")</f>
        <v>Bioorg Med Chem Lett</v>
      </c>
      <c r="K2106" s="25" t="str">
        <f aca="false">IFERROR(IF(INDEX(Documents!$G$5:$G$657,MATCH(H2106,Documents!$A$5:$A$657,0))="","",INDEX(Documents!$G$5:$G$657,MATCH(H2106,Documents!$A$5:$A$657,0))),"")</f>
        <v>10.1016/j.bmcl.2005.05.049</v>
      </c>
      <c r="L2106" s="25" t="s">
        <v>4594</v>
      </c>
    </row>
    <row r="2107" customFormat="false" ht="15" hidden="false" customHeight="false" outlineLevel="0" collapsed="false">
      <c r="A2107" s="25" t="n">
        <v>2650261</v>
      </c>
      <c r="B2107" s="25" t="s">
        <v>4632</v>
      </c>
      <c r="C2107" s="25" t="s">
        <v>4633</v>
      </c>
      <c r="D2107" s="26" t="n">
        <v>13.8</v>
      </c>
      <c r="E2107" s="27" t="n">
        <v>7.86012091359876</v>
      </c>
      <c r="F2107" s="27" t="n">
        <v>7.65190920641574</v>
      </c>
      <c r="G2107" s="25" t="s">
        <v>3265</v>
      </c>
      <c r="H2107" s="25" t="s">
        <v>3266</v>
      </c>
      <c r="I2107" s="25" t="n">
        <f aca="false">IFERROR(IF(INDEX(Documents!$C$5:$C$657,MATCH(H2107,Documents!$A$5:$A$657,0))="","",INDEX(Documents!$C$5:$C$657,MATCH(H2107,Documents!$A$5:$A$657,0))),"")</f>
        <v>2009</v>
      </c>
      <c r="J2107" s="25" t="str">
        <f aca="false">IFERROR(IF(INDEX(Documents!$D$5:$D$657,MATCH(H2107,Documents!$A$5:$A$657,0))="","",INDEX(Documents!$D$5:$D$657,MATCH(H2107,Documents!$A$5:$A$657,0))),"")</f>
        <v>Eur J Med Chem</v>
      </c>
      <c r="K2107" s="25" t="str">
        <f aca="false">IFERROR(IF(INDEX(Documents!$G$5:$G$657,MATCH(H2107,Documents!$A$5:$A$657,0))="","",INDEX(Documents!$G$5:$G$657,MATCH(H2107,Documents!$A$5:$A$657,0))),"")</f>
        <v>10.1016/j.ejmech.2009.01.026</v>
      </c>
      <c r="L2107" s="25" t="s">
        <v>3267</v>
      </c>
    </row>
    <row r="2108" customFormat="false" ht="15" hidden="false" customHeight="false" outlineLevel="0" collapsed="false">
      <c r="A2108" s="25" t="n">
        <v>12723320</v>
      </c>
      <c r="B2108" s="25" t="s">
        <v>4634</v>
      </c>
      <c r="C2108" s="25" t="s">
        <v>4635</v>
      </c>
      <c r="D2108" s="26" t="n">
        <v>276</v>
      </c>
      <c r="E2108" s="27" t="n">
        <v>6.55909091793478</v>
      </c>
      <c r="F2108" s="27" t="n">
        <v>6.55909091793478</v>
      </c>
      <c r="G2108" s="25" t="s">
        <v>2796</v>
      </c>
      <c r="H2108" s="25" t="s">
        <v>2797</v>
      </c>
      <c r="I2108" s="25" t="n">
        <f aca="false">IFERROR(IF(INDEX(Documents!$C$5:$C$657,MATCH(H2108,Documents!$A$5:$A$657,0))="","",INDEX(Documents!$C$5:$C$657,MATCH(H2108,Documents!$A$5:$A$657,0))),"")</f>
        <v>2013</v>
      </c>
      <c r="J2108" s="25" t="str">
        <f aca="false">IFERROR(IF(INDEX(Documents!$D$5:$D$657,MATCH(H2108,Documents!$A$5:$A$657,0))="","",INDEX(Documents!$D$5:$D$657,MATCH(H2108,Documents!$A$5:$A$657,0))),"")</f>
        <v>Bioorg Med Chem</v>
      </c>
      <c r="K2108" s="25" t="str">
        <f aca="false">IFERROR(IF(INDEX(Documents!$G$5:$G$657,MATCH(H2108,Documents!$A$5:$A$657,0))="","",INDEX(Documents!$G$5:$G$657,MATCH(H2108,Documents!$A$5:$A$657,0))),"")</f>
        <v>10.1016/j.bmc.2013.01.006</v>
      </c>
      <c r="L2108" s="25" t="s">
        <v>2798</v>
      </c>
    </row>
    <row r="2109" customFormat="false" ht="15" hidden="false" customHeight="false" outlineLevel="0" collapsed="false">
      <c r="A2109" s="25" t="n">
        <v>13499120</v>
      </c>
      <c r="B2109" s="25" t="s">
        <v>4636</v>
      </c>
      <c r="C2109" s="25" t="s">
        <v>4637</v>
      </c>
      <c r="D2109" s="26" t="n">
        <v>521</v>
      </c>
      <c r="E2109" s="27" t="n">
        <v>6.28316227670048</v>
      </c>
      <c r="F2109" s="27" t="n">
        <v>6.28316227670048</v>
      </c>
      <c r="G2109" s="25" t="s">
        <v>757</v>
      </c>
      <c r="H2109" s="25" t="s">
        <v>758</v>
      </c>
      <c r="I2109" s="25" t="n">
        <f aca="false">IFERROR(IF(INDEX(Documents!$C$5:$C$657,MATCH(H2109,Documents!$A$5:$A$657,0))="","",INDEX(Documents!$C$5:$C$657,MATCH(H2109,Documents!$A$5:$A$657,0))),"")</f>
        <v>2013</v>
      </c>
      <c r="J2109" s="25" t="str">
        <f aca="false">IFERROR(IF(INDEX(Documents!$D$5:$D$657,MATCH(H2109,Documents!$A$5:$A$657,0))="","",INDEX(Documents!$D$5:$D$657,MATCH(H2109,Documents!$A$5:$A$657,0))),"")</f>
        <v>Eur J Med Chem</v>
      </c>
      <c r="K2109" s="25" t="str">
        <f aca="false">IFERROR(IF(INDEX(Documents!$G$5:$G$657,MATCH(H2109,Documents!$A$5:$A$657,0))="","",INDEX(Documents!$G$5:$G$657,MATCH(H2109,Documents!$A$5:$A$657,0))),"")</f>
        <v>10.1016/j.ejmech.2013.09.038</v>
      </c>
      <c r="L2109" s="25" t="s">
        <v>759</v>
      </c>
    </row>
    <row r="2110" customFormat="false" ht="15" hidden="false" customHeight="false" outlineLevel="0" collapsed="false">
      <c r="A2110" s="25" t="n">
        <v>2980499</v>
      </c>
      <c r="B2110" s="25" t="s">
        <v>4638</v>
      </c>
      <c r="C2110" s="25" t="s">
        <v>4639</v>
      </c>
      <c r="D2110" s="26" t="n">
        <v>9.2</v>
      </c>
      <c r="E2110" s="27" t="n">
        <v>8.03621217265444</v>
      </c>
      <c r="F2110" s="27" t="n">
        <v>8.03810866716301</v>
      </c>
      <c r="G2110" s="25" t="s">
        <v>599</v>
      </c>
      <c r="H2110" s="25" t="s">
        <v>600</v>
      </c>
      <c r="I2110" s="25" t="n">
        <f aca="false">IFERROR(IF(INDEX(Documents!$C$5:$C$657,MATCH(H2110,Documents!$A$5:$A$657,0))="","",INDEX(Documents!$C$5:$C$657,MATCH(H2110,Documents!$A$5:$A$657,0))),"")</f>
        <v>2010</v>
      </c>
      <c r="J2110" s="25" t="str">
        <f aca="false">IFERROR(IF(INDEX(Documents!$D$5:$D$657,MATCH(H2110,Documents!$A$5:$A$657,0))="","",INDEX(Documents!$D$5:$D$657,MATCH(H2110,Documents!$A$5:$A$657,0))),"")</f>
        <v>J Med Chem</v>
      </c>
      <c r="K2110" s="25" t="str">
        <f aca="false">IFERROR(IF(INDEX(Documents!$G$5:$G$657,MATCH(H2110,Documents!$A$5:$A$657,0))="","",INDEX(Documents!$G$5:$G$657,MATCH(H2110,Documents!$A$5:$A$657,0))),"")</f>
        <v>10.1021/jm901214q</v>
      </c>
      <c r="L2110" s="25" t="s">
        <v>601</v>
      </c>
    </row>
    <row r="2111" customFormat="false" ht="15" hidden="false" customHeight="false" outlineLevel="0" collapsed="false">
      <c r="A2111" s="25" t="n">
        <v>2980578</v>
      </c>
      <c r="B2111" s="25" t="s">
        <v>4638</v>
      </c>
      <c r="C2111" s="25" t="s">
        <v>4639</v>
      </c>
      <c r="D2111" s="26" t="n">
        <v>9.12</v>
      </c>
      <c r="E2111" s="27" t="n">
        <v>8.04000516167158</v>
      </c>
      <c r="F2111" s="27" t="n">
        <v>8.03810866716301</v>
      </c>
      <c r="G2111" s="25" t="s">
        <v>599</v>
      </c>
      <c r="H2111" s="25" t="s">
        <v>600</v>
      </c>
      <c r="I2111" s="25" t="n">
        <f aca="false">IFERROR(IF(INDEX(Documents!$C$5:$C$657,MATCH(H2111,Documents!$A$5:$A$657,0))="","",INDEX(Documents!$C$5:$C$657,MATCH(H2111,Documents!$A$5:$A$657,0))),"")</f>
        <v>2010</v>
      </c>
      <c r="J2111" s="25" t="str">
        <f aca="false">IFERROR(IF(INDEX(Documents!$D$5:$D$657,MATCH(H2111,Documents!$A$5:$A$657,0))="","",INDEX(Documents!$D$5:$D$657,MATCH(H2111,Documents!$A$5:$A$657,0))),"")</f>
        <v>J Med Chem</v>
      </c>
      <c r="K2111" s="25" t="str">
        <f aca="false">IFERROR(IF(INDEX(Documents!$G$5:$G$657,MATCH(H2111,Documents!$A$5:$A$657,0))="","",INDEX(Documents!$G$5:$G$657,MATCH(H2111,Documents!$A$5:$A$657,0))),"")</f>
        <v>10.1021/jm901214q</v>
      </c>
      <c r="L2111" s="25" t="s">
        <v>601</v>
      </c>
    </row>
    <row r="2112" customFormat="false" ht="15" hidden="false" customHeight="false" outlineLevel="0" collapsed="false">
      <c r="A2112" s="25" t="n">
        <v>12619644</v>
      </c>
      <c r="B2112" s="25" t="s">
        <v>4640</v>
      </c>
      <c r="C2112" s="25" t="s">
        <v>4641</v>
      </c>
      <c r="D2112" s="26" t="n">
        <v>412</v>
      </c>
      <c r="E2112" s="27" t="n">
        <v>6.38510278396687</v>
      </c>
      <c r="F2112" s="27" t="n">
        <v>6.38510278396687</v>
      </c>
      <c r="G2112" s="25" t="s">
        <v>2805</v>
      </c>
      <c r="H2112" s="25" t="s">
        <v>2806</v>
      </c>
      <c r="I2112" s="25" t="n">
        <f aca="false">IFERROR(IF(INDEX(Documents!$C$5:$C$657,MATCH(H2112,Documents!$A$5:$A$657,0))="","",INDEX(Documents!$C$5:$C$657,MATCH(H2112,Documents!$A$5:$A$657,0))),"")</f>
        <v>2013</v>
      </c>
      <c r="J2112" s="25" t="str">
        <f aca="false">IFERROR(IF(INDEX(Documents!$D$5:$D$657,MATCH(H2112,Documents!$A$5:$A$657,0))="","",INDEX(Documents!$D$5:$D$657,MATCH(H2112,Documents!$A$5:$A$657,0))),"")</f>
        <v>J Med Chem</v>
      </c>
      <c r="K2112" s="25" t="str">
        <f aca="false">IFERROR(IF(INDEX(Documents!$G$5:$G$657,MATCH(H2112,Documents!$A$5:$A$657,0))="","",INDEX(Documents!$G$5:$G$657,MATCH(H2112,Documents!$A$5:$A$657,0))),"")</f>
        <v>10.1021/jm301527r</v>
      </c>
      <c r="L2112" s="25" t="s">
        <v>2807</v>
      </c>
    </row>
    <row r="2113" customFormat="false" ht="15" hidden="false" customHeight="false" outlineLevel="0" collapsed="false">
      <c r="A2113" s="25" t="n">
        <v>12052740</v>
      </c>
      <c r="B2113" s="25" t="s">
        <v>4642</v>
      </c>
      <c r="C2113" s="25" t="s">
        <v>4643</v>
      </c>
      <c r="D2113" s="26" t="n">
        <v>2.9</v>
      </c>
      <c r="E2113" s="27" t="n">
        <v>8.53760200210104</v>
      </c>
      <c r="F2113" s="27" t="n">
        <v>8.53760200210104</v>
      </c>
      <c r="G2113" s="25" t="s">
        <v>587</v>
      </c>
      <c r="H2113" s="25" t="s">
        <v>588</v>
      </c>
      <c r="I2113" s="25" t="n">
        <f aca="false">IFERROR(IF(INDEX(Documents!$C$5:$C$657,MATCH(H2113,Documents!$A$5:$A$657,0))="","",INDEX(Documents!$C$5:$C$657,MATCH(H2113,Documents!$A$5:$A$657,0))),"")</f>
        <v>2012</v>
      </c>
      <c r="J2113" s="25" t="str">
        <f aca="false">IFERROR(IF(INDEX(Documents!$D$5:$D$657,MATCH(H2113,Documents!$A$5:$A$657,0))="","",INDEX(Documents!$D$5:$D$657,MATCH(H2113,Documents!$A$5:$A$657,0))),"")</f>
        <v>Eur J Med Chem</v>
      </c>
      <c r="K2113" s="25" t="str">
        <f aca="false">IFERROR(IF(INDEX(Documents!$G$5:$G$657,MATCH(H2113,Documents!$A$5:$A$657,0))="","",INDEX(Documents!$G$5:$G$657,MATCH(H2113,Documents!$A$5:$A$657,0))),"")</f>
        <v>10.1016/j.ejmech.2012.09.035</v>
      </c>
      <c r="L2113" s="25" t="s">
        <v>589</v>
      </c>
    </row>
    <row r="2114" customFormat="false" ht="15" hidden="false" customHeight="false" outlineLevel="0" collapsed="false">
      <c r="A2114" s="25" t="n">
        <v>12052750</v>
      </c>
      <c r="B2114" s="25" t="s">
        <v>4644</v>
      </c>
      <c r="C2114" s="25" t="s">
        <v>4645</v>
      </c>
      <c r="D2114" s="26" t="n">
        <v>0.4</v>
      </c>
      <c r="E2114" s="27" t="n">
        <v>9.39794000867204</v>
      </c>
      <c r="F2114" s="27" t="n">
        <v>9.39794000867204</v>
      </c>
      <c r="G2114" s="25" t="s">
        <v>587</v>
      </c>
      <c r="H2114" s="25" t="s">
        <v>588</v>
      </c>
      <c r="I2114" s="25" t="n">
        <f aca="false">IFERROR(IF(INDEX(Documents!$C$5:$C$657,MATCH(H2114,Documents!$A$5:$A$657,0))="","",INDEX(Documents!$C$5:$C$657,MATCH(H2114,Documents!$A$5:$A$657,0))),"")</f>
        <v>2012</v>
      </c>
      <c r="J2114" s="25" t="str">
        <f aca="false">IFERROR(IF(INDEX(Documents!$D$5:$D$657,MATCH(H2114,Documents!$A$5:$A$657,0))="","",INDEX(Documents!$D$5:$D$657,MATCH(H2114,Documents!$A$5:$A$657,0))),"")</f>
        <v>Eur J Med Chem</v>
      </c>
      <c r="K2114" s="25" t="str">
        <f aca="false">IFERROR(IF(INDEX(Documents!$G$5:$G$657,MATCH(H2114,Documents!$A$5:$A$657,0))="","",INDEX(Documents!$G$5:$G$657,MATCH(H2114,Documents!$A$5:$A$657,0))),"")</f>
        <v>10.1016/j.ejmech.2012.09.035</v>
      </c>
      <c r="L2114" s="25" t="s">
        <v>589</v>
      </c>
    </row>
    <row r="2115" customFormat="false" ht="15" hidden="false" customHeight="false" outlineLevel="0" collapsed="false">
      <c r="A2115" s="25" t="n">
        <v>2650384</v>
      </c>
      <c r="B2115" s="25" t="s">
        <v>4646</v>
      </c>
      <c r="C2115" s="25" t="s">
        <v>4647</v>
      </c>
      <c r="D2115" s="26" t="n">
        <v>79.98</v>
      </c>
      <c r="E2115" s="27" t="n">
        <v>7.0970186002025</v>
      </c>
      <c r="F2115" s="27" t="n">
        <v>7.0970186002025</v>
      </c>
      <c r="G2115" s="25" t="s">
        <v>3265</v>
      </c>
      <c r="H2115" s="25" t="s">
        <v>3266</v>
      </c>
      <c r="I2115" s="25" t="n">
        <f aca="false">IFERROR(IF(INDEX(Documents!$C$5:$C$657,MATCH(H2115,Documents!$A$5:$A$657,0))="","",INDEX(Documents!$C$5:$C$657,MATCH(H2115,Documents!$A$5:$A$657,0))),"")</f>
        <v>2009</v>
      </c>
      <c r="J2115" s="25" t="str">
        <f aca="false">IFERROR(IF(INDEX(Documents!$D$5:$D$657,MATCH(H2115,Documents!$A$5:$A$657,0))="","",INDEX(Documents!$D$5:$D$657,MATCH(H2115,Documents!$A$5:$A$657,0))),"")</f>
        <v>Eur J Med Chem</v>
      </c>
      <c r="K2115" s="25" t="str">
        <f aca="false">IFERROR(IF(INDEX(Documents!$G$5:$G$657,MATCH(H2115,Documents!$A$5:$A$657,0))="","",INDEX(Documents!$G$5:$G$657,MATCH(H2115,Documents!$A$5:$A$657,0))),"")</f>
        <v>10.1016/j.ejmech.2009.01.026</v>
      </c>
      <c r="L2115" s="25" t="s">
        <v>3267</v>
      </c>
    </row>
    <row r="2116" customFormat="false" ht="15" hidden="false" customHeight="false" outlineLevel="0" collapsed="false">
      <c r="A2116" s="25" t="n">
        <v>12181910</v>
      </c>
      <c r="B2116" s="25" t="s">
        <v>4648</v>
      </c>
      <c r="C2116" s="25" t="s">
        <v>4649</v>
      </c>
      <c r="D2116" s="26" t="n">
        <v>27</v>
      </c>
      <c r="E2116" s="27" t="n">
        <v>7.56863623584101</v>
      </c>
      <c r="F2116" s="27" t="n">
        <v>7.56863623584101</v>
      </c>
      <c r="G2116" s="25" t="s">
        <v>3260</v>
      </c>
      <c r="H2116" s="25" t="s">
        <v>3261</v>
      </c>
      <c r="I2116" s="25" t="n">
        <f aca="false">IFERROR(IF(INDEX(Documents!$C$5:$C$657,MATCH(H2116,Documents!$A$5:$A$657,0))="","",INDEX(Documents!$C$5:$C$657,MATCH(H2116,Documents!$A$5:$A$657,0))),"")</f>
        <v>2012</v>
      </c>
      <c r="J2116" s="25" t="str">
        <f aca="false">IFERROR(IF(INDEX(Documents!$D$5:$D$657,MATCH(H2116,Documents!$A$5:$A$657,0))="","",INDEX(Documents!$D$5:$D$657,MATCH(H2116,Documents!$A$5:$A$657,0))),"")</f>
        <v>Bioorg Med Chem</v>
      </c>
      <c r="K2116" s="25" t="str">
        <f aca="false">IFERROR(IF(INDEX(Documents!$G$5:$G$657,MATCH(H2116,Documents!$A$5:$A$657,0))="","",INDEX(Documents!$G$5:$G$657,MATCH(H2116,Documents!$A$5:$A$657,0))),"")</f>
        <v>10.1016/j.bmc.2012.01.038</v>
      </c>
      <c r="L2116" s="25" t="s">
        <v>3262</v>
      </c>
    </row>
    <row r="2117" customFormat="false" ht="15" hidden="false" customHeight="false" outlineLevel="0" collapsed="false">
      <c r="A2117" s="25" t="n">
        <v>2251148</v>
      </c>
      <c r="B2117" s="25" t="s">
        <v>4650</v>
      </c>
      <c r="C2117" s="25" t="s">
        <v>4651</v>
      </c>
      <c r="D2117" s="26" t="n">
        <v>6.1</v>
      </c>
      <c r="E2117" s="27" t="n">
        <v>8.21467016498923</v>
      </c>
      <c r="F2117" s="27" t="n">
        <v>8.21467016498923</v>
      </c>
      <c r="G2117" s="25" t="s">
        <v>2152</v>
      </c>
      <c r="H2117" s="25" t="s">
        <v>2153</v>
      </c>
      <c r="I2117" s="25" t="n">
        <f aca="false">IFERROR(IF(INDEX(Documents!$C$5:$C$657,MATCH(H2117,Documents!$A$5:$A$657,0))="","",INDEX(Documents!$C$5:$C$657,MATCH(H2117,Documents!$A$5:$A$657,0))),"")</f>
        <v>2009</v>
      </c>
      <c r="J2117" s="25" t="str">
        <f aca="false">IFERROR(IF(INDEX(Documents!$D$5:$D$657,MATCH(H2117,Documents!$A$5:$A$657,0))="","",INDEX(Documents!$D$5:$D$657,MATCH(H2117,Documents!$A$5:$A$657,0))),"")</f>
        <v>J Med Chem</v>
      </c>
      <c r="K2117" s="25" t="str">
        <f aca="false">IFERROR(IF(INDEX(Documents!$G$5:$G$657,MATCH(H2117,Documents!$A$5:$A$657,0))="","",INDEX(Documents!$G$5:$G$657,MATCH(H2117,Documents!$A$5:$A$657,0))),"")</f>
        <v>10.1021/jm801044g</v>
      </c>
      <c r="L2117" s="25" t="s">
        <v>2020</v>
      </c>
    </row>
    <row r="2118" customFormat="false" ht="15" hidden="false" customHeight="false" outlineLevel="0" collapsed="false">
      <c r="A2118" s="25" t="n">
        <v>2650342</v>
      </c>
      <c r="B2118" s="25" t="s">
        <v>4652</v>
      </c>
      <c r="C2118" s="25" t="s">
        <v>4653</v>
      </c>
      <c r="D2118" s="26" t="n">
        <v>10</v>
      </c>
      <c r="E2118" s="27" t="n">
        <v>8</v>
      </c>
      <c r="F2118" s="27" t="n">
        <v>8</v>
      </c>
      <c r="G2118" s="25" t="s">
        <v>3265</v>
      </c>
      <c r="H2118" s="25" t="s">
        <v>3266</v>
      </c>
      <c r="I2118" s="25" t="n">
        <f aca="false">IFERROR(IF(INDEX(Documents!$C$5:$C$657,MATCH(H2118,Documents!$A$5:$A$657,0))="","",INDEX(Documents!$C$5:$C$657,MATCH(H2118,Documents!$A$5:$A$657,0))),"")</f>
        <v>2009</v>
      </c>
      <c r="J2118" s="25" t="str">
        <f aca="false">IFERROR(IF(INDEX(Documents!$D$5:$D$657,MATCH(H2118,Documents!$A$5:$A$657,0))="","",INDEX(Documents!$D$5:$D$657,MATCH(H2118,Documents!$A$5:$A$657,0))),"")</f>
        <v>Eur J Med Chem</v>
      </c>
      <c r="K2118" s="25" t="str">
        <f aca="false">IFERROR(IF(INDEX(Documents!$G$5:$G$657,MATCH(H2118,Documents!$A$5:$A$657,0))="","",INDEX(Documents!$G$5:$G$657,MATCH(H2118,Documents!$A$5:$A$657,0))),"")</f>
        <v>10.1016/j.ejmech.2009.01.026</v>
      </c>
      <c r="L2118" s="25" t="s">
        <v>3267</v>
      </c>
    </row>
    <row r="2119" customFormat="false" ht="15" hidden="false" customHeight="false" outlineLevel="0" collapsed="false">
      <c r="A2119" s="25" t="n">
        <v>12181914</v>
      </c>
      <c r="B2119" s="25" t="s">
        <v>4654</v>
      </c>
      <c r="C2119" s="25" t="s">
        <v>4655</v>
      </c>
      <c r="D2119" s="26" t="n">
        <v>44</v>
      </c>
      <c r="E2119" s="27" t="n">
        <v>7.35654732351381</v>
      </c>
      <c r="F2119" s="27" t="n">
        <v>7.35654732351381</v>
      </c>
      <c r="G2119" s="25" t="s">
        <v>3260</v>
      </c>
      <c r="H2119" s="25" t="s">
        <v>3261</v>
      </c>
      <c r="I2119" s="25" t="n">
        <f aca="false">IFERROR(IF(INDEX(Documents!$C$5:$C$657,MATCH(H2119,Documents!$A$5:$A$657,0))="","",INDEX(Documents!$C$5:$C$657,MATCH(H2119,Documents!$A$5:$A$657,0))),"")</f>
        <v>2012</v>
      </c>
      <c r="J2119" s="25" t="str">
        <f aca="false">IFERROR(IF(INDEX(Documents!$D$5:$D$657,MATCH(H2119,Documents!$A$5:$A$657,0))="","",INDEX(Documents!$D$5:$D$657,MATCH(H2119,Documents!$A$5:$A$657,0))),"")</f>
        <v>Bioorg Med Chem</v>
      </c>
      <c r="K2119" s="25" t="str">
        <f aca="false">IFERROR(IF(INDEX(Documents!$G$5:$G$657,MATCH(H2119,Documents!$A$5:$A$657,0))="","",INDEX(Documents!$G$5:$G$657,MATCH(H2119,Documents!$A$5:$A$657,0))),"")</f>
        <v>10.1016/j.bmc.2012.01.038</v>
      </c>
      <c r="L2119" s="25" t="s">
        <v>3262</v>
      </c>
    </row>
    <row r="2120" customFormat="false" ht="15" hidden="false" customHeight="false" outlineLevel="0" collapsed="false">
      <c r="A2120" s="25" t="n">
        <v>12181918</v>
      </c>
      <c r="B2120" s="25" t="s">
        <v>4656</v>
      </c>
      <c r="C2120" s="25" t="s">
        <v>4657</v>
      </c>
      <c r="D2120" s="26" t="n">
        <v>33</v>
      </c>
      <c r="E2120" s="27" t="n">
        <v>7.48148606012211</v>
      </c>
      <c r="F2120" s="27" t="n">
        <v>7.48148606012211</v>
      </c>
      <c r="G2120" s="25" t="s">
        <v>3260</v>
      </c>
      <c r="H2120" s="25" t="s">
        <v>3261</v>
      </c>
      <c r="I2120" s="25" t="n">
        <f aca="false">IFERROR(IF(INDEX(Documents!$C$5:$C$657,MATCH(H2120,Documents!$A$5:$A$657,0))="","",INDEX(Documents!$C$5:$C$657,MATCH(H2120,Documents!$A$5:$A$657,0))),"")</f>
        <v>2012</v>
      </c>
      <c r="J2120" s="25" t="str">
        <f aca="false">IFERROR(IF(INDEX(Documents!$D$5:$D$657,MATCH(H2120,Documents!$A$5:$A$657,0))="","",INDEX(Documents!$D$5:$D$657,MATCH(H2120,Documents!$A$5:$A$657,0))),"")</f>
        <v>Bioorg Med Chem</v>
      </c>
      <c r="K2120" s="25" t="str">
        <f aca="false">IFERROR(IF(INDEX(Documents!$G$5:$G$657,MATCH(H2120,Documents!$A$5:$A$657,0))="","",INDEX(Documents!$G$5:$G$657,MATCH(H2120,Documents!$A$5:$A$657,0))),"")</f>
        <v>10.1016/j.bmc.2012.01.038</v>
      </c>
      <c r="L2120" s="25" t="s">
        <v>3262</v>
      </c>
    </row>
    <row r="2121" customFormat="false" ht="15" hidden="false" customHeight="false" outlineLevel="0" collapsed="false">
      <c r="A2121" s="25" t="n">
        <v>12181906</v>
      </c>
      <c r="B2121" s="25" t="s">
        <v>4658</v>
      </c>
      <c r="C2121" s="25" t="s">
        <v>4659</v>
      </c>
      <c r="D2121" s="26" t="n">
        <v>6.6</v>
      </c>
      <c r="E2121" s="27" t="n">
        <v>8.18045606445813</v>
      </c>
      <c r="F2121" s="27" t="n">
        <v>8.18045606445813</v>
      </c>
      <c r="G2121" s="25" t="s">
        <v>3260</v>
      </c>
      <c r="H2121" s="25" t="s">
        <v>3261</v>
      </c>
      <c r="I2121" s="25" t="n">
        <f aca="false">IFERROR(IF(INDEX(Documents!$C$5:$C$657,MATCH(H2121,Documents!$A$5:$A$657,0))="","",INDEX(Documents!$C$5:$C$657,MATCH(H2121,Documents!$A$5:$A$657,0))),"")</f>
        <v>2012</v>
      </c>
      <c r="J2121" s="25" t="str">
        <f aca="false">IFERROR(IF(INDEX(Documents!$D$5:$D$657,MATCH(H2121,Documents!$A$5:$A$657,0))="","",INDEX(Documents!$D$5:$D$657,MATCH(H2121,Documents!$A$5:$A$657,0))),"")</f>
        <v>Bioorg Med Chem</v>
      </c>
      <c r="K2121" s="25" t="str">
        <f aca="false">IFERROR(IF(INDEX(Documents!$G$5:$G$657,MATCH(H2121,Documents!$A$5:$A$657,0))="","",INDEX(Documents!$G$5:$G$657,MATCH(H2121,Documents!$A$5:$A$657,0))),"")</f>
        <v>10.1016/j.bmc.2012.01.038</v>
      </c>
      <c r="L2121" s="25" t="s">
        <v>3262</v>
      </c>
    </row>
    <row r="2122" customFormat="false" ht="15" hidden="false" customHeight="false" outlineLevel="0" collapsed="false">
      <c r="A2122" s="25" t="n">
        <v>2650279</v>
      </c>
      <c r="B2122" s="25" t="s">
        <v>4660</v>
      </c>
      <c r="C2122" s="25" t="s">
        <v>4661</v>
      </c>
      <c r="D2122" s="26" t="n">
        <v>31.99</v>
      </c>
      <c r="E2122" s="27" t="n">
        <v>7.49498575991589</v>
      </c>
      <c r="F2122" s="27" t="n">
        <v>7.49498575991589</v>
      </c>
      <c r="G2122" s="25" t="s">
        <v>3265</v>
      </c>
      <c r="H2122" s="25" t="s">
        <v>3266</v>
      </c>
      <c r="I2122" s="25" t="n">
        <f aca="false">IFERROR(IF(INDEX(Documents!$C$5:$C$657,MATCH(H2122,Documents!$A$5:$A$657,0))="","",INDEX(Documents!$C$5:$C$657,MATCH(H2122,Documents!$A$5:$A$657,0))),"")</f>
        <v>2009</v>
      </c>
      <c r="J2122" s="25" t="str">
        <f aca="false">IFERROR(IF(INDEX(Documents!$D$5:$D$657,MATCH(H2122,Documents!$A$5:$A$657,0))="","",INDEX(Documents!$D$5:$D$657,MATCH(H2122,Documents!$A$5:$A$657,0))),"")</f>
        <v>Eur J Med Chem</v>
      </c>
      <c r="K2122" s="25" t="str">
        <f aca="false">IFERROR(IF(INDEX(Documents!$G$5:$G$657,MATCH(H2122,Documents!$A$5:$A$657,0))="","",INDEX(Documents!$G$5:$G$657,MATCH(H2122,Documents!$A$5:$A$657,0))),"")</f>
        <v>10.1016/j.ejmech.2009.01.026</v>
      </c>
      <c r="L2122" s="25" t="s">
        <v>3267</v>
      </c>
    </row>
    <row r="2123" customFormat="false" ht="15" hidden="false" customHeight="false" outlineLevel="0" collapsed="false">
      <c r="A2123" s="25" t="n">
        <v>2650372</v>
      </c>
      <c r="B2123" s="25" t="s">
        <v>4662</v>
      </c>
      <c r="C2123" s="25" t="s">
        <v>4663</v>
      </c>
      <c r="D2123" s="26" t="n">
        <v>73.96</v>
      </c>
      <c r="E2123" s="27" t="n">
        <v>7.13100309751287</v>
      </c>
      <c r="F2123" s="27" t="n">
        <v>7.13100309751287</v>
      </c>
      <c r="G2123" s="25" t="s">
        <v>3265</v>
      </c>
      <c r="H2123" s="25" t="s">
        <v>3266</v>
      </c>
      <c r="I2123" s="25" t="n">
        <f aca="false">IFERROR(IF(INDEX(Documents!$C$5:$C$657,MATCH(H2123,Documents!$A$5:$A$657,0))="","",INDEX(Documents!$C$5:$C$657,MATCH(H2123,Documents!$A$5:$A$657,0))),"")</f>
        <v>2009</v>
      </c>
      <c r="J2123" s="25" t="str">
        <f aca="false">IFERROR(IF(INDEX(Documents!$D$5:$D$657,MATCH(H2123,Documents!$A$5:$A$657,0))="","",INDEX(Documents!$D$5:$D$657,MATCH(H2123,Documents!$A$5:$A$657,0))),"")</f>
        <v>Eur J Med Chem</v>
      </c>
      <c r="K2123" s="25" t="str">
        <f aca="false">IFERROR(IF(INDEX(Documents!$G$5:$G$657,MATCH(H2123,Documents!$A$5:$A$657,0))="","",INDEX(Documents!$G$5:$G$657,MATCH(H2123,Documents!$A$5:$A$657,0))),"")</f>
        <v>10.1016/j.ejmech.2009.01.026</v>
      </c>
      <c r="L2123" s="25" t="s">
        <v>3267</v>
      </c>
    </row>
    <row r="2124" customFormat="false" ht="15" hidden="false" customHeight="false" outlineLevel="0" collapsed="false">
      <c r="A2124" s="25" t="n">
        <v>23228648</v>
      </c>
      <c r="B2124" s="25" t="s">
        <v>4664</v>
      </c>
      <c r="C2124" s="25" t="s">
        <v>4665</v>
      </c>
      <c r="D2124" s="26" t="n">
        <v>130</v>
      </c>
      <c r="E2124" s="27" t="n">
        <v>6.88605664769316</v>
      </c>
      <c r="F2124" s="27" t="n">
        <v>6.88605664769316</v>
      </c>
      <c r="G2124" s="25" t="s">
        <v>266</v>
      </c>
      <c r="H2124" s="25" t="s">
        <v>267</v>
      </c>
      <c r="I2124" s="25" t="n">
        <f aca="false">IFERROR(IF(INDEX(Documents!$C$5:$C$657,MATCH(H2124,Documents!$A$5:$A$657,0))="","",INDEX(Documents!$C$5:$C$657,MATCH(H2124,Documents!$A$5:$A$657,0))),"")</f>
        <v>2021</v>
      </c>
      <c r="J2124" s="25" t="str">
        <f aca="false">IFERROR(IF(INDEX(Documents!$D$5:$D$657,MATCH(H2124,Documents!$A$5:$A$657,0))="","",INDEX(Documents!$D$5:$D$657,MATCH(H2124,Documents!$A$5:$A$657,0))),"")</f>
        <v>J Med Chem</v>
      </c>
      <c r="K2124" s="25" t="str">
        <f aca="false">IFERROR(IF(INDEX(Documents!$G$5:$G$657,MATCH(H2124,Documents!$A$5:$A$657,0))="","",INDEX(Documents!$G$5:$G$657,MATCH(H2124,Documents!$A$5:$A$657,0))),"")</f>
        <v>10.1021/acs.jmedchem.1c00442</v>
      </c>
      <c r="L2124" s="25" t="s">
        <v>268</v>
      </c>
    </row>
    <row r="2125" customFormat="false" ht="15" hidden="false" customHeight="false" outlineLevel="0" collapsed="false">
      <c r="A2125" s="25" t="n">
        <v>2650312</v>
      </c>
      <c r="B2125" s="25" t="s">
        <v>4666</v>
      </c>
      <c r="C2125" s="25" t="s">
        <v>4667</v>
      </c>
      <c r="D2125" s="26" t="n">
        <v>138.04</v>
      </c>
      <c r="E2125" s="27" t="n">
        <v>6.85999504938055</v>
      </c>
      <c r="F2125" s="27" t="n">
        <v>6.85999504938055</v>
      </c>
      <c r="G2125" s="25" t="s">
        <v>3265</v>
      </c>
      <c r="H2125" s="25" t="s">
        <v>3266</v>
      </c>
      <c r="I2125" s="25" t="n">
        <f aca="false">IFERROR(IF(INDEX(Documents!$C$5:$C$657,MATCH(H2125,Documents!$A$5:$A$657,0))="","",INDEX(Documents!$C$5:$C$657,MATCH(H2125,Documents!$A$5:$A$657,0))),"")</f>
        <v>2009</v>
      </c>
      <c r="J2125" s="25" t="str">
        <f aca="false">IFERROR(IF(INDEX(Documents!$D$5:$D$657,MATCH(H2125,Documents!$A$5:$A$657,0))="","",INDEX(Documents!$D$5:$D$657,MATCH(H2125,Documents!$A$5:$A$657,0))),"")</f>
        <v>Eur J Med Chem</v>
      </c>
      <c r="K2125" s="25" t="str">
        <f aca="false">IFERROR(IF(INDEX(Documents!$G$5:$G$657,MATCH(H2125,Documents!$A$5:$A$657,0))="","",INDEX(Documents!$G$5:$G$657,MATCH(H2125,Documents!$A$5:$A$657,0))),"")</f>
        <v>10.1016/j.ejmech.2009.01.026</v>
      </c>
      <c r="L2125" s="25" t="s">
        <v>3267</v>
      </c>
    </row>
    <row r="2126" customFormat="false" ht="15" hidden="false" customHeight="false" outlineLevel="0" collapsed="false">
      <c r="A2126" s="25" t="n">
        <v>2650276</v>
      </c>
      <c r="B2126" s="25" t="s">
        <v>4668</v>
      </c>
      <c r="C2126" s="25" t="s">
        <v>4669</v>
      </c>
      <c r="D2126" s="26" t="n">
        <v>105.93</v>
      </c>
      <c r="E2126" s="27" t="n">
        <v>6.97498102771724</v>
      </c>
      <c r="F2126" s="27" t="n">
        <v>6.97498102771724</v>
      </c>
      <c r="G2126" s="25" t="s">
        <v>3265</v>
      </c>
      <c r="H2126" s="25" t="s">
        <v>3266</v>
      </c>
      <c r="I2126" s="25" t="n">
        <f aca="false">IFERROR(IF(INDEX(Documents!$C$5:$C$657,MATCH(H2126,Documents!$A$5:$A$657,0))="","",INDEX(Documents!$C$5:$C$657,MATCH(H2126,Documents!$A$5:$A$657,0))),"")</f>
        <v>2009</v>
      </c>
      <c r="J2126" s="25" t="str">
        <f aca="false">IFERROR(IF(INDEX(Documents!$D$5:$D$657,MATCH(H2126,Documents!$A$5:$A$657,0))="","",INDEX(Documents!$D$5:$D$657,MATCH(H2126,Documents!$A$5:$A$657,0))),"")</f>
        <v>Eur J Med Chem</v>
      </c>
      <c r="K2126" s="25" t="str">
        <f aca="false">IFERROR(IF(INDEX(Documents!$G$5:$G$657,MATCH(H2126,Documents!$A$5:$A$657,0))="","",INDEX(Documents!$G$5:$G$657,MATCH(H2126,Documents!$A$5:$A$657,0))),"")</f>
        <v>10.1016/j.ejmech.2009.01.026</v>
      </c>
      <c r="L2126" s="25" t="s">
        <v>3267</v>
      </c>
    </row>
    <row r="2127" customFormat="false" ht="15" hidden="false" customHeight="false" outlineLevel="0" collapsed="false">
      <c r="A2127" s="25" t="n">
        <v>2650351</v>
      </c>
      <c r="B2127" s="25" t="s">
        <v>4670</v>
      </c>
      <c r="C2127" s="25" t="s">
        <v>4671</v>
      </c>
      <c r="D2127" s="26" t="n">
        <v>123.03</v>
      </c>
      <c r="E2127" s="27" t="n">
        <v>6.90998897599285</v>
      </c>
      <c r="F2127" s="27" t="n">
        <v>6.90998897599285</v>
      </c>
      <c r="G2127" s="25" t="s">
        <v>3265</v>
      </c>
      <c r="H2127" s="25" t="s">
        <v>3266</v>
      </c>
      <c r="I2127" s="25" t="n">
        <f aca="false">IFERROR(IF(INDEX(Documents!$C$5:$C$657,MATCH(H2127,Documents!$A$5:$A$657,0))="","",INDEX(Documents!$C$5:$C$657,MATCH(H2127,Documents!$A$5:$A$657,0))),"")</f>
        <v>2009</v>
      </c>
      <c r="J2127" s="25" t="str">
        <f aca="false">IFERROR(IF(INDEX(Documents!$D$5:$D$657,MATCH(H2127,Documents!$A$5:$A$657,0))="","",INDEX(Documents!$D$5:$D$657,MATCH(H2127,Documents!$A$5:$A$657,0))),"")</f>
        <v>Eur J Med Chem</v>
      </c>
      <c r="K2127" s="25" t="str">
        <f aca="false">IFERROR(IF(INDEX(Documents!$G$5:$G$657,MATCH(H2127,Documents!$A$5:$A$657,0))="","",INDEX(Documents!$G$5:$G$657,MATCH(H2127,Documents!$A$5:$A$657,0))),"")</f>
        <v>10.1016/j.ejmech.2009.01.026</v>
      </c>
      <c r="L2127" s="25" t="s">
        <v>3267</v>
      </c>
    </row>
    <row r="2128" customFormat="false" ht="15" hidden="false" customHeight="false" outlineLevel="0" collapsed="false">
      <c r="A2128" s="25" t="n">
        <v>2650318</v>
      </c>
      <c r="B2128" s="25" t="s">
        <v>4672</v>
      </c>
      <c r="C2128" s="25" t="s">
        <v>4673</v>
      </c>
      <c r="D2128" s="26" t="n">
        <v>70.96</v>
      </c>
      <c r="E2128" s="27" t="n">
        <v>7.14898639317633</v>
      </c>
      <c r="F2128" s="27" t="n">
        <v>7.14898639317633</v>
      </c>
      <c r="G2128" s="25" t="s">
        <v>3265</v>
      </c>
      <c r="H2128" s="25" t="s">
        <v>3266</v>
      </c>
      <c r="I2128" s="25" t="n">
        <f aca="false">IFERROR(IF(INDEX(Documents!$C$5:$C$657,MATCH(H2128,Documents!$A$5:$A$657,0))="","",INDEX(Documents!$C$5:$C$657,MATCH(H2128,Documents!$A$5:$A$657,0))),"")</f>
        <v>2009</v>
      </c>
      <c r="J2128" s="25" t="str">
        <f aca="false">IFERROR(IF(INDEX(Documents!$D$5:$D$657,MATCH(H2128,Documents!$A$5:$A$657,0))="","",INDEX(Documents!$D$5:$D$657,MATCH(H2128,Documents!$A$5:$A$657,0))),"")</f>
        <v>Eur J Med Chem</v>
      </c>
      <c r="K2128" s="25" t="str">
        <f aca="false">IFERROR(IF(INDEX(Documents!$G$5:$G$657,MATCH(H2128,Documents!$A$5:$A$657,0))="","",INDEX(Documents!$G$5:$G$657,MATCH(H2128,Documents!$A$5:$A$657,0))),"")</f>
        <v>10.1016/j.ejmech.2009.01.026</v>
      </c>
      <c r="L2128" s="25" t="s">
        <v>3267</v>
      </c>
    </row>
    <row r="2129" customFormat="false" ht="15" hidden="false" customHeight="false" outlineLevel="0" collapsed="false">
      <c r="A2129" s="25" t="n">
        <v>12181898</v>
      </c>
      <c r="B2129" s="25" t="s">
        <v>4674</v>
      </c>
      <c r="C2129" s="25" t="s">
        <v>4675</v>
      </c>
      <c r="D2129" s="26" t="n">
        <v>192</v>
      </c>
      <c r="E2129" s="27" t="n">
        <v>6.71669877129645</v>
      </c>
      <c r="F2129" s="27" t="n">
        <v>6.71669877129645</v>
      </c>
      <c r="G2129" s="25" t="s">
        <v>3260</v>
      </c>
      <c r="H2129" s="25" t="s">
        <v>3261</v>
      </c>
      <c r="I2129" s="25" t="n">
        <f aca="false">IFERROR(IF(INDEX(Documents!$C$5:$C$657,MATCH(H2129,Documents!$A$5:$A$657,0))="","",INDEX(Documents!$C$5:$C$657,MATCH(H2129,Documents!$A$5:$A$657,0))),"")</f>
        <v>2012</v>
      </c>
      <c r="J2129" s="25" t="str">
        <f aca="false">IFERROR(IF(INDEX(Documents!$D$5:$D$657,MATCH(H2129,Documents!$A$5:$A$657,0))="","",INDEX(Documents!$D$5:$D$657,MATCH(H2129,Documents!$A$5:$A$657,0))),"")</f>
        <v>Bioorg Med Chem</v>
      </c>
      <c r="K2129" s="25" t="str">
        <f aca="false">IFERROR(IF(INDEX(Documents!$G$5:$G$657,MATCH(H2129,Documents!$A$5:$A$657,0))="","",INDEX(Documents!$G$5:$G$657,MATCH(H2129,Documents!$A$5:$A$657,0))),"")</f>
        <v>10.1016/j.bmc.2012.01.038</v>
      </c>
      <c r="L2129" s="25" t="s">
        <v>3262</v>
      </c>
    </row>
    <row r="2130" customFormat="false" ht="15" hidden="false" customHeight="false" outlineLevel="0" collapsed="false">
      <c r="A2130" s="25" t="n">
        <v>12181902</v>
      </c>
      <c r="B2130" s="25" t="s">
        <v>4676</v>
      </c>
      <c r="C2130" s="25" t="s">
        <v>4677</v>
      </c>
      <c r="D2130" s="26" t="n">
        <v>134</v>
      </c>
      <c r="E2130" s="27" t="n">
        <v>6.87289520163519</v>
      </c>
      <c r="F2130" s="27" t="n">
        <v>6.87289520163519</v>
      </c>
      <c r="G2130" s="25" t="s">
        <v>3260</v>
      </c>
      <c r="H2130" s="25" t="s">
        <v>3261</v>
      </c>
      <c r="I2130" s="25" t="n">
        <f aca="false">IFERROR(IF(INDEX(Documents!$C$5:$C$657,MATCH(H2130,Documents!$A$5:$A$657,0))="","",INDEX(Documents!$C$5:$C$657,MATCH(H2130,Documents!$A$5:$A$657,0))),"")</f>
        <v>2012</v>
      </c>
      <c r="J2130" s="25" t="str">
        <f aca="false">IFERROR(IF(INDEX(Documents!$D$5:$D$657,MATCH(H2130,Documents!$A$5:$A$657,0))="","",INDEX(Documents!$D$5:$D$657,MATCH(H2130,Documents!$A$5:$A$657,0))),"")</f>
        <v>Bioorg Med Chem</v>
      </c>
      <c r="K2130" s="25" t="str">
        <f aca="false">IFERROR(IF(INDEX(Documents!$G$5:$G$657,MATCH(H2130,Documents!$A$5:$A$657,0))="","",INDEX(Documents!$G$5:$G$657,MATCH(H2130,Documents!$A$5:$A$657,0))),"")</f>
        <v>10.1016/j.bmc.2012.01.038</v>
      </c>
      <c r="L2130" s="25" t="s">
        <v>3262</v>
      </c>
    </row>
    <row r="2131" customFormat="false" ht="15" hidden="false" customHeight="false" outlineLevel="0" collapsed="false">
      <c r="A2131" s="25" t="n">
        <v>12181894</v>
      </c>
      <c r="B2131" s="25" t="s">
        <v>4678</v>
      </c>
      <c r="C2131" s="25" t="s">
        <v>4679</v>
      </c>
      <c r="D2131" s="26" t="n">
        <v>152</v>
      </c>
      <c r="E2131" s="27" t="n">
        <v>6.81815641205523</v>
      </c>
      <c r="F2131" s="27" t="n">
        <v>6.81815641205523</v>
      </c>
      <c r="G2131" s="25" t="s">
        <v>3260</v>
      </c>
      <c r="H2131" s="25" t="s">
        <v>3261</v>
      </c>
      <c r="I2131" s="25" t="n">
        <f aca="false">IFERROR(IF(INDEX(Documents!$C$5:$C$657,MATCH(H2131,Documents!$A$5:$A$657,0))="","",INDEX(Documents!$C$5:$C$657,MATCH(H2131,Documents!$A$5:$A$657,0))),"")</f>
        <v>2012</v>
      </c>
      <c r="J2131" s="25" t="str">
        <f aca="false">IFERROR(IF(INDEX(Documents!$D$5:$D$657,MATCH(H2131,Documents!$A$5:$A$657,0))="","",INDEX(Documents!$D$5:$D$657,MATCH(H2131,Documents!$A$5:$A$657,0))),"")</f>
        <v>Bioorg Med Chem</v>
      </c>
      <c r="K2131" s="25" t="str">
        <f aca="false">IFERROR(IF(INDEX(Documents!$G$5:$G$657,MATCH(H2131,Documents!$A$5:$A$657,0))="","",INDEX(Documents!$G$5:$G$657,MATCH(H2131,Documents!$A$5:$A$657,0))),"")</f>
        <v>10.1016/j.bmc.2012.01.038</v>
      </c>
      <c r="L2131" s="25" t="s">
        <v>3262</v>
      </c>
    </row>
    <row r="2132" customFormat="false" ht="15" hidden="false" customHeight="false" outlineLevel="0" collapsed="false">
      <c r="A2132" s="25" t="n">
        <v>2650273</v>
      </c>
      <c r="B2132" s="25" t="s">
        <v>4680</v>
      </c>
      <c r="C2132" s="25" t="s">
        <v>4681</v>
      </c>
      <c r="D2132" s="26" t="n">
        <v>169.82</v>
      </c>
      <c r="E2132" s="27" t="n">
        <v>6.77001116345519</v>
      </c>
      <c r="F2132" s="27" t="n">
        <v>6.77001116345519</v>
      </c>
      <c r="G2132" s="25" t="s">
        <v>3265</v>
      </c>
      <c r="H2132" s="25" t="s">
        <v>3266</v>
      </c>
      <c r="I2132" s="25" t="n">
        <f aca="false">IFERROR(IF(INDEX(Documents!$C$5:$C$657,MATCH(H2132,Documents!$A$5:$A$657,0))="","",INDEX(Documents!$C$5:$C$657,MATCH(H2132,Documents!$A$5:$A$657,0))),"")</f>
        <v>2009</v>
      </c>
      <c r="J2132" s="25" t="str">
        <f aca="false">IFERROR(IF(INDEX(Documents!$D$5:$D$657,MATCH(H2132,Documents!$A$5:$A$657,0))="","",INDEX(Documents!$D$5:$D$657,MATCH(H2132,Documents!$A$5:$A$657,0))),"")</f>
        <v>Eur J Med Chem</v>
      </c>
      <c r="K2132" s="25" t="str">
        <f aca="false">IFERROR(IF(INDEX(Documents!$G$5:$G$657,MATCH(H2132,Documents!$A$5:$A$657,0))="","",INDEX(Documents!$G$5:$G$657,MATCH(H2132,Documents!$A$5:$A$657,0))),"")</f>
        <v>10.1016/j.ejmech.2009.01.026</v>
      </c>
      <c r="L2132" s="25" t="s">
        <v>3267</v>
      </c>
    </row>
    <row r="2133" customFormat="false" ht="15" hidden="false" customHeight="false" outlineLevel="0" collapsed="false">
      <c r="A2133" s="25" t="n">
        <v>1793653</v>
      </c>
      <c r="B2133" s="25" t="s">
        <v>4682</v>
      </c>
      <c r="C2133" s="25" t="s">
        <v>4683</v>
      </c>
      <c r="D2133" s="26" t="n">
        <v>104</v>
      </c>
      <c r="E2133" s="27" t="n">
        <v>6.98296666070122</v>
      </c>
      <c r="F2133" s="27" t="n">
        <v>6.98296666070122</v>
      </c>
      <c r="G2133" s="25" t="s">
        <v>2653</v>
      </c>
      <c r="H2133" s="25" t="s">
        <v>2654</v>
      </c>
      <c r="I2133" s="25" t="n">
        <f aca="false">IFERROR(IF(INDEX(Documents!$C$5:$C$657,MATCH(H2133,Documents!$A$5:$A$657,0))="","",INDEX(Documents!$C$5:$C$657,MATCH(H2133,Documents!$A$5:$A$657,0))),"")</f>
        <v>2006</v>
      </c>
      <c r="J2133" s="25" t="str">
        <f aca="false">IFERROR(IF(INDEX(Documents!$D$5:$D$657,MATCH(H2133,Documents!$A$5:$A$657,0))="","",INDEX(Documents!$D$5:$D$657,MATCH(H2133,Documents!$A$5:$A$657,0))),"")</f>
        <v>Bioorg Med Chem Lett</v>
      </c>
      <c r="K2133" s="25" t="str">
        <f aca="false">IFERROR(IF(INDEX(Documents!$G$5:$G$657,MATCH(H2133,Documents!$A$5:$A$657,0))="","",INDEX(Documents!$G$5:$G$657,MATCH(H2133,Documents!$A$5:$A$657,0))),"")</f>
        <v>10.1016/j.bmcl.2006.07.051</v>
      </c>
      <c r="L2133" s="25" t="s">
        <v>709</v>
      </c>
    </row>
    <row r="2134" customFormat="false" ht="15" hidden="false" customHeight="false" outlineLevel="0" collapsed="false">
      <c r="A2134" s="25" t="n">
        <v>11019970</v>
      </c>
      <c r="B2134" s="25" t="s">
        <v>4684</v>
      </c>
      <c r="C2134" s="25" t="s">
        <v>4685</v>
      </c>
      <c r="D2134" s="26" t="n">
        <v>11.8</v>
      </c>
      <c r="E2134" s="27" t="n">
        <v>7.92811799269387</v>
      </c>
      <c r="F2134" s="27" t="n">
        <v>7.92811799269387</v>
      </c>
      <c r="G2134" s="25" t="s">
        <v>496</v>
      </c>
      <c r="H2134" s="25" t="s">
        <v>497</v>
      </c>
      <c r="I2134" s="25" t="n">
        <f aca="false">IFERROR(IF(INDEX(Documents!$C$5:$C$657,MATCH(H2134,Documents!$A$5:$A$657,0))="","",INDEX(Documents!$C$5:$C$657,MATCH(H2134,Documents!$A$5:$A$657,0))),"")</f>
        <v>2012</v>
      </c>
      <c r="J2134" s="25" t="str">
        <f aca="false">IFERROR(IF(INDEX(Documents!$D$5:$D$657,MATCH(H2134,Documents!$A$5:$A$657,0))="","",INDEX(Documents!$D$5:$D$657,MATCH(H2134,Documents!$A$5:$A$657,0))),"")</f>
        <v>J Med Chem</v>
      </c>
      <c r="K2134" s="25" t="str">
        <f aca="false">IFERROR(IF(INDEX(Documents!$G$5:$G$657,MATCH(H2134,Documents!$A$5:$A$657,0))="","",INDEX(Documents!$G$5:$G$657,MATCH(H2134,Documents!$A$5:$A$657,0))),"")</f>
        <v>10.1021/jm3003334</v>
      </c>
      <c r="L2134" s="25" t="s">
        <v>498</v>
      </c>
    </row>
    <row r="2135" customFormat="false" ht="15" hidden="false" customHeight="false" outlineLevel="0" collapsed="false">
      <c r="A2135" s="25" t="n">
        <v>13912585</v>
      </c>
      <c r="B2135" s="25" t="s">
        <v>4686</v>
      </c>
      <c r="C2135" s="25" t="s">
        <v>4687</v>
      </c>
      <c r="D2135" s="26" t="n">
        <v>583</v>
      </c>
      <c r="E2135" s="27" t="n">
        <v>6.23433144524099</v>
      </c>
      <c r="F2135" s="27" t="n">
        <v>6.23433144524099</v>
      </c>
      <c r="G2135" s="25" t="s">
        <v>1717</v>
      </c>
      <c r="H2135" s="25" t="s">
        <v>1718</v>
      </c>
      <c r="I2135" s="25" t="n">
        <f aca="false">IFERROR(IF(INDEX(Documents!$C$5:$C$657,MATCH(H2135,Documents!$A$5:$A$657,0))="","",INDEX(Documents!$C$5:$C$657,MATCH(H2135,Documents!$A$5:$A$657,0))),"")</f>
        <v>2014</v>
      </c>
      <c r="J2135" s="25" t="str">
        <f aca="false">IFERROR(IF(INDEX(Documents!$D$5:$D$657,MATCH(H2135,Documents!$A$5:$A$657,0))="","",INDEX(Documents!$D$5:$D$657,MATCH(H2135,Documents!$A$5:$A$657,0))),"")</f>
        <v>Eur J Med Chem</v>
      </c>
      <c r="K2135" s="25" t="str">
        <f aca="false">IFERROR(IF(INDEX(Documents!$G$5:$G$657,MATCH(H2135,Documents!$A$5:$A$657,0))="","",INDEX(Documents!$G$5:$G$657,MATCH(H2135,Documents!$A$5:$A$657,0))),"")</f>
        <v>10.1016/j.ejmech.2013.10.070</v>
      </c>
      <c r="L2135" s="25" t="s">
        <v>1719</v>
      </c>
    </row>
    <row r="2136" customFormat="false" ht="15" hidden="false" customHeight="false" outlineLevel="0" collapsed="false">
      <c r="A2136" s="25" t="n">
        <v>22894763</v>
      </c>
      <c r="B2136" s="25" t="s">
        <v>4688</v>
      </c>
      <c r="C2136" s="25" t="s">
        <v>4689</v>
      </c>
      <c r="D2136" s="26" t="n">
        <v>2900</v>
      </c>
      <c r="E2136" s="27" t="n">
        <v>5.53760200210104</v>
      </c>
      <c r="F2136" s="27" t="n">
        <v>5.53760200210104</v>
      </c>
      <c r="G2136" s="25" t="s">
        <v>4690</v>
      </c>
      <c r="H2136" s="25" t="s">
        <v>4691</v>
      </c>
      <c r="I2136" s="25" t="n">
        <f aca="false">IFERROR(IF(INDEX(Documents!$C$5:$C$657,MATCH(H2136,Documents!$A$5:$A$657,0))="","",INDEX(Documents!$C$5:$C$657,MATCH(H2136,Documents!$A$5:$A$657,0))),"")</f>
        <v>2020</v>
      </c>
      <c r="J2136" s="25" t="str">
        <f aca="false">IFERROR(IF(INDEX(Documents!$D$5:$D$657,MATCH(H2136,Documents!$A$5:$A$657,0))="","",INDEX(Documents!$D$5:$D$657,MATCH(H2136,Documents!$A$5:$A$657,0))),"")</f>
        <v>Bioorg Med Chem</v>
      </c>
      <c r="K2136" s="25" t="str">
        <f aca="false">IFERROR(IF(INDEX(Documents!$G$5:$G$657,MATCH(H2136,Documents!$A$5:$A$657,0))="","",INDEX(Documents!$G$5:$G$657,MATCH(H2136,Documents!$A$5:$A$657,0))),"")</f>
        <v>10.1016/j.bmc.2020.115672</v>
      </c>
      <c r="L2136" s="25" t="s">
        <v>4692</v>
      </c>
    </row>
    <row r="2137" customFormat="false" ht="15" hidden="false" customHeight="false" outlineLevel="0" collapsed="false">
      <c r="A2137" s="25" t="n">
        <v>22894759</v>
      </c>
      <c r="B2137" s="25" t="s">
        <v>4693</v>
      </c>
      <c r="C2137" s="25" t="s">
        <v>4694</v>
      </c>
      <c r="D2137" s="26" t="n">
        <v>470</v>
      </c>
      <c r="E2137" s="27" t="n">
        <v>6.32790214206428</v>
      </c>
      <c r="F2137" s="27" t="n">
        <v>6.32790214206428</v>
      </c>
      <c r="G2137" s="25" t="s">
        <v>4690</v>
      </c>
      <c r="H2137" s="25" t="s">
        <v>4691</v>
      </c>
      <c r="I2137" s="25" t="n">
        <f aca="false">IFERROR(IF(INDEX(Documents!$C$5:$C$657,MATCH(H2137,Documents!$A$5:$A$657,0))="","",INDEX(Documents!$C$5:$C$657,MATCH(H2137,Documents!$A$5:$A$657,0))),"")</f>
        <v>2020</v>
      </c>
      <c r="J2137" s="25" t="str">
        <f aca="false">IFERROR(IF(INDEX(Documents!$D$5:$D$657,MATCH(H2137,Documents!$A$5:$A$657,0))="","",INDEX(Documents!$D$5:$D$657,MATCH(H2137,Documents!$A$5:$A$657,0))),"")</f>
        <v>Bioorg Med Chem</v>
      </c>
      <c r="K2137" s="25" t="str">
        <f aca="false">IFERROR(IF(INDEX(Documents!$G$5:$G$657,MATCH(H2137,Documents!$A$5:$A$657,0))="","",INDEX(Documents!$G$5:$G$657,MATCH(H2137,Documents!$A$5:$A$657,0))),"")</f>
        <v>10.1016/j.bmc.2020.115672</v>
      </c>
      <c r="L2137" s="25" t="s">
        <v>4692</v>
      </c>
    </row>
    <row r="2138" customFormat="false" ht="15" hidden="false" customHeight="false" outlineLevel="0" collapsed="false">
      <c r="A2138" s="25" t="n">
        <v>1601626</v>
      </c>
      <c r="B2138" s="25" t="s">
        <v>4695</v>
      </c>
      <c r="C2138" s="25" t="s">
        <v>4696</v>
      </c>
      <c r="D2138" s="26" t="n">
        <v>1871</v>
      </c>
      <c r="E2138" s="27" t="n">
        <v>5.72792621249999</v>
      </c>
      <c r="F2138" s="27" t="n">
        <v>5.72792621249999</v>
      </c>
      <c r="G2138" s="25" t="s">
        <v>356</v>
      </c>
      <c r="H2138" s="25" t="s">
        <v>357</v>
      </c>
      <c r="I2138" s="25" t="n">
        <f aca="false">IFERROR(IF(INDEX(Documents!$C$5:$C$657,MATCH(H2138,Documents!$A$5:$A$657,0))="","",INDEX(Documents!$C$5:$C$657,MATCH(H2138,Documents!$A$5:$A$657,0))),"")</f>
        <v>2005</v>
      </c>
      <c r="J2138" s="25" t="str">
        <f aca="false">IFERROR(IF(INDEX(Documents!$D$5:$D$657,MATCH(H2138,Documents!$A$5:$A$657,0))="","",INDEX(Documents!$D$5:$D$657,MATCH(H2138,Documents!$A$5:$A$657,0))),"")</f>
        <v>Bioorg Med Chem Lett</v>
      </c>
      <c r="K2138" s="25" t="str">
        <f aca="false">IFERROR(IF(INDEX(Documents!$G$5:$G$657,MATCH(H2138,Documents!$A$5:$A$657,0))="","",INDEX(Documents!$G$5:$G$657,MATCH(H2138,Documents!$A$5:$A$657,0))),"")</f>
        <v>10.1016/j.bmcl.2005.07.054</v>
      </c>
      <c r="L2138" s="25" t="s">
        <v>358</v>
      </c>
    </row>
    <row r="2139" customFormat="false" ht="15" hidden="false" customHeight="false" outlineLevel="0" collapsed="false">
      <c r="A2139" s="25" t="n">
        <v>2460796</v>
      </c>
      <c r="B2139" s="25" t="s">
        <v>4697</v>
      </c>
      <c r="C2139" s="25" t="s">
        <v>4698</v>
      </c>
      <c r="D2139" s="26" t="n">
        <v>799</v>
      </c>
      <c r="E2139" s="27" t="n">
        <v>6.09745322068601</v>
      </c>
      <c r="F2139" s="27" t="n">
        <v>6.09745322068601</v>
      </c>
      <c r="G2139" s="25" t="s">
        <v>4479</v>
      </c>
      <c r="H2139" s="25" t="s">
        <v>4480</v>
      </c>
      <c r="I2139" s="25" t="n">
        <f aca="false">IFERROR(IF(INDEX(Documents!$C$5:$C$657,MATCH(H2139,Documents!$A$5:$A$657,0))="","",INDEX(Documents!$C$5:$C$657,MATCH(H2139,Documents!$A$5:$A$657,0))),"")</f>
        <v>2008</v>
      </c>
      <c r="J2139" s="25" t="str">
        <f aca="false">IFERROR(IF(INDEX(Documents!$D$5:$D$657,MATCH(H2139,Documents!$A$5:$A$657,0))="","",INDEX(Documents!$D$5:$D$657,MATCH(H2139,Documents!$A$5:$A$657,0))),"")</f>
        <v>Bioorg Med Chem Lett</v>
      </c>
      <c r="K2139" s="25" t="str">
        <f aca="false">IFERROR(IF(INDEX(Documents!$G$5:$G$657,MATCH(H2139,Documents!$A$5:$A$657,0))="","",INDEX(Documents!$G$5:$G$657,MATCH(H2139,Documents!$A$5:$A$657,0))),"")</f>
        <v>10.1016/j.bmcl.2008.05.073</v>
      </c>
      <c r="L2139" s="25" t="s">
        <v>775</v>
      </c>
    </row>
    <row r="2140" customFormat="false" ht="15" hidden="false" customHeight="false" outlineLevel="0" collapsed="false">
      <c r="A2140" s="25" t="n">
        <v>2460794</v>
      </c>
      <c r="B2140" s="25" t="s">
        <v>4699</v>
      </c>
      <c r="C2140" s="25" t="s">
        <v>4700</v>
      </c>
      <c r="D2140" s="26" t="n">
        <v>4.5</v>
      </c>
      <c r="E2140" s="27" t="n">
        <v>8.34678748622466</v>
      </c>
      <c r="F2140" s="27" t="n">
        <v>8.34678748622466</v>
      </c>
      <c r="G2140" s="25" t="s">
        <v>4479</v>
      </c>
      <c r="H2140" s="25" t="s">
        <v>4480</v>
      </c>
      <c r="I2140" s="25" t="n">
        <f aca="false">IFERROR(IF(INDEX(Documents!$C$5:$C$657,MATCH(H2140,Documents!$A$5:$A$657,0))="","",INDEX(Documents!$C$5:$C$657,MATCH(H2140,Documents!$A$5:$A$657,0))),"")</f>
        <v>2008</v>
      </c>
      <c r="J2140" s="25" t="str">
        <f aca="false">IFERROR(IF(INDEX(Documents!$D$5:$D$657,MATCH(H2140,Documents!$A$5:$A$657,0))="","",INDEX(Documents!$D$5:$D$657,MATCH(H2140,Documents!$A$5:$A$657,0))),"")</f>
        <v>Bioorg Med Chem Lett</v>
      </c>
      <c r="K2140" s="25" t="str">
        <f aca="false">IFERROR(IF(INDEX(Documents!$G$5:$G$657,MATCH(H2140,Documents!$A$5:$A$657,0))="","",INDEX(Documents!$G$5:$G$657,MATCH(H2140,Documents!$A$5:$A$657,0))),"")</f>
        <v>10.1016/j.bmcl.2008.05.073</v>
      </c>
      <c r="L2140" s="25" t="s">
        <v>775</v>
      </c>
    </row>
    <row r="2141" customFormat="false" ht="15" hidden="false" customHeight="false" outlineLevel="0" collapsed="false">
      <c r="A2141" s="25" t="n">
        <v>2460790</v>
      </c>
      <c r="B2141" s="25" t="s">
        <v>4701</v>
      </c>
      <c r="C2141" s="25" t="s">
        <v>4702</v>
      </c>
      <c r="D2141" s="26" t="n">
        <v>25</v>
      </c>
      <c r="E2141" s="27" t="n">
        <v>7.60205999132796</v>
      </c>
      <c r="F2141" s="27" t="n">
        <v>7.60205999132796</v>
      </c>
      <c r="G2141" s="25" t="s">
        <v>4479</v>
      </c>
      <c r="H2141" s="25" t="s">
        <v>4480</v>
      </c>
      <c r="I2141" s="25" t="n">
        <f aca="false">IFERROR(IF(INDEX(Documents!$C$5:$C$657,MATCH(H2141,Documents!$A$5:$A$657,0))="","",INDEX(Documents!$C$5:$C$657,MATCH(H2141,Documents!$A$5:$A$657,0))),"")</f>
        <v>2008</v>
      </c>
      <c r="J2141" s="25" t="str">
        <f aca="false">IFERROR(IF(INDEX(Documents!$D$5:$D$657,MATCH(H2141,Documents!$A$5:$A$657,0))="","",INDEX(Documents!$D$5:$D$657,MATCH(H2141,Documents!$A$5:$A$657,0))),"")</f>
        <v>Bioorg Med Chem Lett</v>
      </c>
      <c r="K2141" s="25" t="str">
        <f aca="false">IFERROR(IF(INDEX(Documents!$G$5:$G$657,MATCH(H2141,Documents!$A$5:$A$657,0))="","",INDEX(Documents!$G$5:$G$657,MATCH(H2141,Documents!$A$5:$A$657,0))),"")</f>
        <v>10.1016/j.bmcl.2008.05.073</v>
      </c>
      <c r="L2141" s="25" t="s">
        <v>775</v>
      </c>
    </row>
    <row r="2142" customFormat="false" ht="15" hidden="false" customHeight="false" outlineLevel="0" collapsed="false">
      <c r="A2142" s="25" t="n">
        <v>2460795</v>
      </c>
      <c r="B2142" s="25" t="s">
        <v>4703</v>
      </c>
      <c r="C2142" s="25" t="s">
        <v>4704</v>
      </c>
      <c r="D2142" s="26" t="n">
        <v>17</v>
      </c>
      <c r="E2142" s="27" t="n">
        <v>7.76955107862173</v>
      </c>
      <c r="F2142" s="27" t="n">
        <v>7.76955107862173</v>
      </c>
      <c r="G2142" s="25" t="s">
        <v>4479</v>
      </c>
      <c r="H2142" s="25" t="s">
        <v>4480</v>
      </c>
      <c r="I2142" s="25" t="n">
        <f aca="false">IFERROR(IF(INDEX(Documents!$C$5:$C$657,MATCH(H2142,Documents!$A$5:$A$657,0))="","",INDEX(Documents!$C$5:$C$657,MATCH(H2142,Documents!$A$5:$A$657,0))),"")</f>
        <v>2008</v>
      </c>
      <c r="J2142" s="25" t="str">
        <f aca="false">IFERROR(IF(INDEX(Documents!$D$5:$D$657,MATCH(H2142,Documents!$A$5:$A$657,0))="","",INDEX(Documents!$D$5:$D$657,MATCH(H2142,Documents!$A$5:$A$657,0))),"")</f>
        <v>Bioorg Med Chem Lett</v>
      </c>
      <c r="K2142" s="25" t="str">
        <f aca="false">IFERROR(IF(INDEX(Documents!$G$5:$G$657,MATCH(H2142,Documents!$A$5:$A$657,0))="","",INDEX(Documents!$G$5:$G$657,MATCH(H2142,Documents!$A$5:$A$657,0))),"")</f>
        <v>10.1016/j.bmcl.2008.05.073</v>
      </c>
      <c r="L2142" s="25" t="s">
        <v>775</v>
      </c>
    </row>
    <row r="2143" customFormat="false" ht="15" hidden="false" customHeight="false" outlineLevel="0" collapsed="false">
      <c r="A2143" s="25" t="n">
        <v>2460793</v>
      </c>
      <c r="B2143" s="25" t="s">
        <v>4705</v>
      </c>
      <c r="C2143" s="25" t="s">
        <v>4706</v>
      </c>
      <c r="D2143" s="26" t="n">
        <v>44</v>
      </c>
      <c r="E2143" s="27" t="n">
        <v>7.35654732351381</v>
      </c>
      <c r="F2143" s="27" t="n">
        <v>7.35654732351381</v>
      </c>
      <c r="G2143" s="25" t="s">
        <v>4479</v>
      </c>
      <c r="H2143" s="25" t="s">
        <v>4480</v>
      </c>
      <c r="I2143" s="25" t="n">
        <f aca="false">IFERROR(IF(INDEX(Documents!$C$5:$C$657,MATCH(H2143,Documents!$A$5:$A$657,0))="","",INDEX(Documents!$C$5:$C$657,MATCH(H2143,Documents!$A$5:$A$657,0))),"")</f>
        <v>2008</v>
      </c>
      <c r="J2143" s="25" t="str">
        <f aca="false">IFERROR(IF(INDEX(Documents!$D$5:$D$657,MATCH(H2143,Documents!$A$5:$A$657,0))="","",INDEX(Documents!$D$5:$D$657,MATCH(H2143,Documents!$A$5:$A$657,0))),"")</f>
        <v>Bioorg Med Chem Lett</v>
      </c>
      <c r="K2143" s="25" t="str">
        <f aca="false">IFERROR(IF(INDEX(Documents!$G$5:$G$657,MATCH(H2143,Documents!$A$5:$A$657,0))="","",INDEX(Documents!$G$5:$G$657,MATCH(H2143,Documents!$A$5:$A$657,0))),"")</f>
        <v>10.1016/j.bmcl.2008.05.073</v>
      </c>
      <c r="L2143" s="25" t="s">
        <v>775</v>
      </c>
    </row>
    <row r="2144" customFormat="false" ht="15" hidden="false" customHeight="false" outlineLevel="0" collapsed="false">
      <c r="A2144" s="25" t="n">
        <v>2460792</v>
      </c>
      <c r="B2144" s="25" t="s">
        <v>4707</v>
      </c>
      <c r="C2144" s="25" t="s">
        <v>4708</v>
      </c>
      <c r="D2144" s="26" t="n">
        <v>43</v>
      </c>
      <c r="E2144" s="27" t="n">
        <v>7.36653154442041</v>
      </c>
      <c r="F2144" s="27" t="n">
        <v>7.36653154442041</v>
      </c>
      <c r="G2144" s="25" t="s">
        <v>4479</v>
      </c>
      <c r="H2144" s="25" t="s">
        <v>4480</v>
      </c>
      <c r="I2144" s="25" t="n">
        <f aca="false">IFERROR(IF(INDEX(Documents!$C$5:$C$657,MATCH(H2144,Documents!$A$5:$A$657,0))="","",INDEX(Documents!$C$5:$C$657,MATCH(H2144,Documents!$A$5:$A$657,0))),"")</f>
        <v>2008</v>
      </c>
      <c r="J2144" s="25" t="str">
        <f aca="false">IFERROR(IF(INDEX(Documents!$D$5:$D$657,MATCH(H2144,Documents!$A$5:$A$657,0))="","",INDEX(Documents!$D$5:$D$657,MATCH(H2144,Documents!$A$5:$A$657,0))),"")</f>
        <v>Bioorg Med Chem Lett</v>
      </c>
      <c r="K2144" s="25" t="str">
        <f aca="false">IFERROR(IF(INDEX(Documents!$G$5:$G$657,MATCH(H2144,Documents!$A$5:$A$657,0))="","",INDEX(Documents!$G$5:$G$657,MATCH(H2144,Documents!$A$5:$A$657,0))),"")</f>
        <v>10.1016/j.bmcl.2008.05.073</v>
      </c>
      <c r="L2144" s="25" t="s">
        <v>775</v>
      </c>
    </row>
    <row r="2145" customFormat="false" ht="15" hidden="false" customHeight="false" outlineLevel="0" collapsed="false">
      <c r="A2145" s="25" t="n">
        <v>2461930</v>
      </c>
      <c r="B2145" s="25" t="s">
        <v>4709</v>
      </c>
      <c r="C2145" s="25" t="s">
        <v>4710</v>
      </c>
      <c r="D2145" s="26" t="n">
        <v>526</v>
      </c>
      <c r="E2145" s="27" t="n">
        <v>6.27901425584626</v>
      </c>
      <c r="F2145" s="27" t="n">
        <v>6.27901425584626</v>
      </c>
      <c r="G2145" s="25" t="s">
        <v>4479</v>
      </c>
      <c r="H2145" s="25" t="s">
        <v>4480</v>
      </c>
      <c r="I2145" s="25" t="n">
        <f aca="false">IFERROR(IF(INDEX(Documents!$C$5:$C$657,MATCH(H2145,Documents!$A$5:$A$657,0))="","",INDEX(Documents!$C$5:$C$657,MATCH(H2145,Documents!$A$5:$A$657,0))),"")</f>
        <v>2008</v>
      </c>
      <c r="J2145" s="25" t="str">
        <f aca="false">IFERROR(IF(INDEX(Documents!$D$5:$D$657,MATCH(H2145,Documents!$A$5:$A$657,0))="","",INDEX(Documents!$D$5:$D$657,MATCH(H2145,Documents!$A$5:$A$657,0))),"")</f>
        <v>Bioorg Med Chem Lett</v>
      </c>
      <c r="K2145" s="25" t="str">
        <f aca="false">IFERROR(IF(INDEX(Documents!$G$5:$G$657,MATCH(H2145,Documents!$A$5:$A$657,0))="","",INDEX(Documents!$G$5:$G$657,MATCH(H2145,Documents!$A$5:$A$657,0))),"")</f>
        <v>10.1016/j.bmcl.2008.05.073</v>
      </c>
      <c r="L2145" s="25" t="s">
        <v>775</v>
      </c>
    </row>
    <row r="2146" customFormat="false" ht="15" hidden="false" customHeight="false" outlineLevel="0" collapsed="false">
      <c r="A2146" s="25" t="n">
        <v>2460789</v>
      </c>
      <c r="B2146" s="25" t="s">
        <v>4711</v>
      </c>
      <c r="C2146" s="25" t="s">
        <v>4712</v>
      </c>
      <c r="D2146" s="26" t="n">
        <v>57</v>
      </c>
      <c r="E2146" s="27" t="n">
        <v>7.24412514432751</v>
      </c>
      <c r="F2146" s="27" t="n">
        <v>7.24412514432751</v>
      </c>
      <c r="G2146" s="25" t="s">
        <v>4479</v>
      </c>
      <c r="H2146" s="25" t="s">
        <v>4480</v>
      </c>
      <c r="I2146" s="25" t="n">
        <f aca="false">IFERROR(IF(INDEX(Documents!$C$5:$C$657,MATCH(H2146,Documents!$A$5:$A$657,0))="","",INDEX(Documents!$C$5:$C$657,MATCH(H2146,Documents!$A$5:$A$657,0))),"")</f>
        <v>2008</v>
      </c>
      <c r="J2146" s="25" t="str">
        <f aca="false">IFERROR(IF(INDEX(Documents!$D$5:$D$657,MATCH(H2146,Documents!$A$5:$A$657,0))="","",INDEX(Documents!$D$5:$D$657,MATCH(H2146,Documents!$A$5:$A$657,0))),"")</f>
        <v>Bioorg Med Chem Lett</v>
      </c>
      <c r="K2146" s="25" t="str">
        <f aca="false">IFERROR(IF(INDEX(Documents!$G$5:$G$657,MATCH(H2146,Documents!$A$5:$A$657,0))="","",INDEX(Documents!$G$5:$G$657,MATCH(H2146,Documents!$A$5:$A$657,0))),"")</f>
        <v>10.1016/j.bmcl.2008.05.073</v>
      </c>
      <c r="L2146" s="25" t="s">
        <v>775</v>
      </c>
    </row>
    <row r="2147" customFormat="false" ht="15" hidden="false" customHeight="false" outlineLevel="0" collapsed="false">
      <c r="A2147" s="25" t="n">
        <v>2460788</v>
      </c>
      <c r="B2147" s="25" t="s">
        <v>4713</v>
      </c>
      <c r="C2147" s="25" t="s">
        <v>4714</v>
      </c>
      <c r="D2147" s="26" t="n">
        <v>53</v>
      </c>
      <c r="E2147" s="27" t="n">
        <v>7.27572413039921</v>
      </c>
      <c r="F2147" s="27" t="n">
        <v>7.27572413039921</v>
      </c>
      <c r="G2147" s="25" t="s">
        <v>4479</v>
      </c>
      <c r="H2147" s="25" t="s">
        <v>4480</v>
      </c>
      <c r="I2147" s="25" t="n">
        <f aca="false">IFERROR(IF(INDEX(Documents!$C$5:$C$657,MATCH(H2147,Documents!$A$5:$A$657,0))="","",INDEX(Documents!$C$5:$C$657,MATCH(H2147,Documents!$A$5:$A$657,0))),"")</f>
        <v>2008</v>
      </c>
      <c r="J2147" s="25" t="str">
        <f aca="false">IFERROR(IF(INDEX(Documents!$D$5:$D$657,MATCH(H2147,Documents!$A$5:$A$657,0))="","",INDEX(Documents!$D$5:$D$657,MATCH(H2147,Documents!$A$5:$A$657,0))),"")</f>
        <v>Bioorg Med Chem Lett</v>
      </c>
      <c r="K2147" s="25" t="str">
        <f aca="false">IFERROR(IF(INDEX(Documents!$G$5:$G$657,MATCH(H2147,Documents!$A$5:$A$657,0))="","",INDEX(Documents!$G$5:$G$657,MATCH(H2147,Documents!$A$5:$A$657,0))),"")</f>
        <v>10.1016/j.bmcl.2008.05.073</v>
      </c>
      <c r="L2147" s="25" t="s">
        <v>775</v>
      </c>
    </row>
    <row r="2148" customFormat="false" ht="15" hidden="false" customHeight="false" outlineLevel="0" collapsed="false">
      <c r="A2148" s="25" t="n">
        <v>2460787</v>
      </c>
      <c r="B2148" s="25" t="s">
        <v>4715</v>
      </c>
      <c r="C2148" s="25" t="s">
        <v>4716</v>
      </c>
      <c r="D2148" s="26" t="n">
        <v>4.9</v>
      </c>
      <c r="E2148" s="27" t="n">
        <v>8.30980391997149</v>
      </c>
      <c r="F2148" s="27" t="n">
        <v>8.30980391997149</v>
      </c>
      <c r="G2148" s="25" t="s">
        <v>4479</v>
      </c>
      <c r="H2148" s="25" t="s">
        <v>4480</v>
      </c>
      <c r="I2148" s="25" t="n">
        <f aca="false">IFERROR(IF(INDEX(Documents!$C$5:$C$657,MATCH(H2148,Documents!$A$5:$A$657,0))="","",INDEX(Documents!$C$5:$C$657,MATCH(H2148,Documents!$A$5:$A$657,0))),"")</f>
        <v>2008</v>
      </c>
      <c r="J2148" s="25" t="str">
        <f aca="false">IFERROR(IF(INDEX(Documents!$D$5:$D$657,MATCH(H2148,Documents!$A$5:$A$657,0))="","",INDEX(Documents!$D$5:$D$657,MATCH(H2148,Documents!$A$5:$A$657,0))),"")</f>
        <v>Bioorg Med Chem Lett</v>
      </c>
      <c r="K2148" s="25" t="str">
        <f aca="false">IFERROR(IF(INDEX(Documents!$G$5:$G$657,MATCH(H2148,Documents!$A$5:$A$657,0))="","",INDEX(Documents!$G$5:$G$657,MATCH(H2148,Documents!$A$5:$A$657,0))),"")</f>
        <v>10.1016/j.bmcl.2008.05.073</v>
      </c>
      <c r="L2148" s="25" t="s">
        <v>775</v>
      </c>
    </row>
    <row r="2149" customFormat="false" ht="15" hidden="false" customHeight="false" outlineLevel="0" collapsed="false">
      <c r="A2149" s="25" t="n">
        <v>18108690</v>
      </c>
      <c r="B2149" s="25" t="s">
        <v>4717</v>
      </c>
      <c r="C2149" s="25" t="s">
        <v>4718</v>
      </c>
      <c r="D2149" s="26" t="n">
        <v>426</v>
      </c>
      <c r="E2149" s="27" t="n">
        <v>6.37059040089728</v>
      </c>
      <c r="F2149" s="27" t="n">
        <v>6.37059040089728</v>
      </c>
      <c r="G2149" s="25" t="s">
        <v>2673</v>
      </c>
      <c r="H2149" s="25" t="s">
        <v>2674</v>
      </c>
      <c r="I2149" s="25" t="n">
        <f aca="false">IFERROR(IF(INDEX(Documents!$C$5:$C$657,MATCH(H2149,Documents!$A$5:$A$657,0))="","",INDEX(Documents!$C$5:$C$657,MATCH(H2149,Documents!$A$5:$A$657,0))),"")</f>
        <v>2018</v>
      </c>
      <c r="J2149" s="25" t="str">
        <f aca="false">IFERROR(IF(INDEX(Documents!$D$5:$D$657,MATCH(H2149,Documents!$A$5:$A$657,0))="","",INDEX(Documents!$D$5:$D$657,MATCH(H2149,Documents!$A$5:$A$657,0))),"")</f>
        <v>J Med Chem</v>
      </c>
      <c r="K2149" s="25" t="str">
        <f aca="false">IFERROR(IF(INDEX(Documents!$G$5:$G$657,MATCH(H2149,Documents!$A$5:$A$657,0))="","",INDEX(Documents!$G$5:$G$657,MATCH(H2149,Documents!$A$5:$A$657,0))),"")</f>
        <v>10.1021/acs.jmedchem.7b01760</v>
      </c>
      <c r="L2149" s="25" t="s">
        <v>2675</v>
      </c>
    </row>
    <row r="2150" customFormat="false" ht="15" hidden="false" customHeight="false" outlineLevel="0" collapsed="false">
      <c r="A2150" s="25" t="n">
        <v>18108701</v>
      </c>
      <c r="B2150" s="25" t="s">
        <v>4719</v>
      </c>
      <c r="C2150" s="25" t="s">
        <v>4720</v>
      </c>
      <c r="D2150" s="26" t="n">
        <v>8900</v>
      </c>
      <c r="E2150" s="27" t="n">
        <v>5.05060999335509</v>
      </c>
      <c r="F2150" s="27" t="n">
        <v>5.05060999335509</v>
      </c>
      <c r="G2150" s="25" t="s">
        <v>2673</v>
      </c>
      <c r="H2150" s="25" t="s">
        <v>2674</v>
      </c>
      <c r="I2150" s="25" t="n">
        <f aca="false">IFERROR(IF(INDEX(Documents!$C$5:$C$657,MATCH(H2150,Documents!$A$5:$A$657,0))="","",INDEX(Documents!$C$5:$C$657,MATCH(H2150,Documents!$A$5:$A$657,0))),"")</f>
        <v>2018</v>
      </c>
      <c r="J2150" s="25" t="str">
        <f aca="false">IFERROR(IF(INDEX(Documents!$D$5:$D$657,MATCH(H2150,Documents!$A$5:$A$657,0))="","",INDEX(Documents!$D$5:$D$657,MATCH(H2150,Documents!$A$5:$A$657,0))),"")</f>
        <v>J Med Chem</v>
      </c>
      <c r="K2150" s="25" t="str">
        <f aca="false">IFERROR(IF(INDEX(Documents!$G$5:$G$657,MATCH(H2150,Documents!$A$5:$A$657,0))="","",INDEX(Documents!$G$5:$G$657,MATCH(H2150,Documents!$A$5:$A$657,0))),"")</f>
        <v>10.1021/acs.jmedchem.7b01760</v>
      </c>
      <c r="L2150" s="25" t="s">
        <v>2675</v>
      </c>
    </row>
    <row r="2151" customFormat="false" ht="15" hidden="false" customHeight="false" outlineLevel="0" collapsed="false">
      <c r="A2151" s="25" t="n">
        <v>1400512</v>
      </c>
      <c r="B2151" s="25" t="s">
        <v>4721</v>
      </c>
      <c r="C2151" s="25" t="s">
        <v>4722</v>
      </c>
      <c r="D2151" s="26" t="n">
        <v>2520</v>
      </c>
      <c r="E2151" s="27" t="n">
        <v>5.59859945921846</v>
      </c>
      <c r="F2151" s="27" t="n">
        <v>5.59859945921846</v>
      </c>
      <c r="G2151" s="25" t="s">
        <v>4723</v>
      </c>
      <c r="H2151" s="25" t="s">
        <v>4724</v>
      </c>
      <c r="I2151" s="25" t="n">
        <f aca="false">IFERROR(IF(INDEX(Documents!$C$5:$C$657,MATCH(H2151,Documents!$A$5:$A$657,0))="","",INDEX(Documents!$C$5:$C$657,MATCH(H2151,Documents!$A$5:$A$657,0))),"")</f>
        <v>2005</v>
      </c>
      <c r="J2151" s="25" t="str">
        <f aca="false">IFERROR(IF(INDEX(Documents!$D$5:$D$657,MATCH(H2151,Documents!$A$5:$A$657,0))="","",INDEX(Documents!$D$5:$D$657,MATCH(H2151,Documents!$A$5:$A$657,0))),"")</f>
        <v>J Med Chem</v>
      </c>
      <c r="K2151" s="25" t="str">
        <f aca="false">IFERROR(IF(INDEX(Documents!$G$5:$G$657,MATCH(H2151,Documents!$A$5:$A$657,0))="","",INDEX(Documents!$G$5:$G$657,MATCH(H2151,Documents!$A$5:$A$657,0))),"")</f>
        <v>10.1021/jm040843r</v>
      </c>
      <c r="L2151" s="25" t="s">
        <v>4725</v>
      </c>
    </row>
    <row r="2152" customFormat="false" ht="15" hidden="false" customHeight="false" outlineLevel="0" collapsed="false">
      <c r="A2152" s="25" t="n">
        <v>15612659</v>
      </c>
      <c r="B2152" s="25" t="s">
        <v>4726</v>
      </c>
      <c r="C2152" s="25" t="s">
        <v>4727</v>
      </c>
      <c r="D2152" s="26" t="n">
        <v>77.4</v>
      </c>
      <c r="E2152" s="27" t="n">
        <v>7.11125903931711</v>
      </c>
      <c r="F2152" s="27" t="n">
        <v>7.11125903931711</v>
      </c>
      <c r="G2152" s="25" t="s">
        <v>804</v>
      </c>
      <c r="H2152" s="25" t="s">
        <v>805</v>
      </c>
      <c r="I2152" s="25" t="n">
        <f aca="false">IFERROR(IF(INDEX(Documents!$C$5:$C$657,MATCH(H2152,Documents!$A$5:$A$657,0))="","",INDEX(Documents!$C$5:$C$657,MATCH(H2152,Documents!$A$5:$A$657,0))),"")</f>
        <v>2014</v>
      </c>
      <c r="J2152" s="25" t="str">
        <f aca="false">IFERROR(IF(INDEX(Documents!$D$5:$D$657,MATCH(H2152,Documents!$A$5:$A$657,0))="","",INDEX(Documents!$D$5:$D$657,MATCH(H2152,Documents!$A$5:$A$657,0))),"")</f>
        <v>Bioorg Med Chem Lett</v>
      </c>
      <c r="K2152" s="25" t="str">
        <f aca="false">IFERROR(IF(INDEX(Documents!$G$5:$G$657,MATCH(H2152,Documents!$A$5:$A$657,0))="","",INDEX(Documents!$G$5:$G$657,MATCH(H2152,Documents!$A$5:$A$657,0))),"")</f>
        <v>10.1016/j.bmcl.2014.11.003</v>
      </c>
      <c r="L2152" s="25" t="s">
        <v>806</v>
      </c>
    </row>
    <row r="2153" customFormat="false" ht="15" hidden="false" customHeight="false" outlineLevel="0" collapsed="false">
      <c r="A2153" s="25" t="n">
        <v>12076243</v>
      </c>
      <c r="B2153" s="25" t="s">
        <v>4728</v>
      </c>
      <c r="C2153" s="25" t="s">
        <v>4729</v>
      </c>
      <c r="D2153" s="26" t="n">
        <v>1180</v>
      </c>
      <c r="E2153" s="27" t="n">
        <v>5.92811799269387</v>
      </c>
      <c r="F2153" s="27" t="n">
        <v>5.92811799269387</v>
      </c>
      <c r="G2153" s="25" t="s">
        <v>4730</v>
      </c>
      <c r="H2153" s="25" t="s">
        <v>4731</v>
      </c>
      <c r="I2153" s="25" t="n">
        <f aca="false">IFERROR(IF(INDEX(Documents!$C$5:$C$657,MATCH(H2153,Documents!$A$5:$A$657,0))="","",INDEX(Documents!$C$5:$C$657,MATCH(H2153,Documents!$A$5:$A$657,0))),"")</f>
        <v>2012</v>
      </c>
      <c r="J2153" s="25" t="str">
        <f aca="false">IFERROR(IF(INDEX(Documents!$D$5:$D$657,MATCH(H2153,Documents!$A$5:$A$657,0))="","",INDEX(Documents!$D$5:$D$657,MATCH(H2153,Documents!$A$5:$A$657,0))),"")</f>
        <v>Eur J Med Chem</v>
      </c>
      <c r="K2153" s="25" t="str">
        <f aca="false">IFERROR(IF(INDEX(Documents!$G$5:$G$657,MATCH(H2153,Documents!$A$5:$A$657,0))="","",INDEX(Documents!$G$5:$G$657,MATCH(H2153,Documents!$A$5:$A$657,0))),"")</f>
        <v>10.1016/j.ejmech.2012.10.045</v>
      </c>
      <c r="L2153" s="25" t="s">
        <v>4497</v>
      </c>
    </row>
    <row r="2154" customFormat="false" ht="15" hidden="false" customHeight="false" outlineLevel="0" collapsed="false">
      <c r="A2154" s="25" t="n">
        <v>12076240</v>
      </c>
      <c r="B2154" s="25" t="s">
        <v>4732</v>
      </c>
      <c r="C2154" s="25" t="s">
        <v>4733</v>
      </c>
      <c r="D2154" s="26" t="n">
        <v>690</v>
      </c>
      <c r="E2154" s="27" t="n">
        <v>6.16115090926274</v>
      </c>
      <c r="F2154" s="27" t="n">
        <v>6.16115090926274</v>
      </c>
      <c r="G2154" s="25" t="s">
        <v>4730</v>
      </c>
      <c r="H2154" s="25" t="s">
        <v>4731</v>
      </c>
      <c r="I2154" s="25" t="n">
        <f aca="false">IFERROR(IF(INDEX(Documents!$C$5:$C$657,MATCH(H2154,Documents!$A$5:$A$657,0))="","",INDEX(Documents!$C$5:$C$657,MATCH(H2154,Documents!$A$5:$A$657,0))),"")</f>
        <v>2012</v>
      </c>
      <c r="J2154" s="25" t="str">
        <f aca="false">IFERROR(IF(INDEX(Documents!$D$5:$D$657,MATCH(H2154,Documents!$A$5:$A$657,0))="","",INDEX(Documents!$D$5:$D$657,MATCH(H2154,Documents!$A$5:$A$657,0))),"")</f>
        <v>Eur J Med Chem</v>
      </c>
      <c r="K2154" s="25" t="str">
        <f aca="false">IFERROR(IF(INDEX(Documents!$G$5:$G$657,MATCH(H2154,Documents!$A$5:$A$657,0))="","",INDEX(Documents!$G$5:$G$657,MATCH(H2154,Documents!$A$5:$A$657,0))),"")</f>
        <v>10.1016/j.ejmech.2012.10.045</v>
      </c>
      <c r="L2154" s="25" t="s">
        <v>4497</v>
      </c>
    </row>
    <row r="2155" customFormat="false" ht="15" hidden="false" customHeight="false" outlineLevel="0" collapsed="false">
      <c r="A2155" s="25" t="n">
        <v>19105757</v>
      </c>
      <c r="B2155" s="25" t="s">
        <v>4734</v>
      </c>
      <c r="C2155" s="25" t="s">
        <v>4735</v>
      </c>
      <c r="D2155" s="26" t="n">
        <v>2070</v>
      </c>
      <c r="E2155" s="27" t="n">
        <v>5.68402965454308</v>
      </c>
      <c r="F2155" s="27" t="n">
        <v>5.68402965454308</v>
      </c>
      <c r="G2155" s="25" t="s">
        <v>4300</v>
      </c>
      <c r="H2155" s="25" t="s">
        <v>4301</v>
      </c>
      <c r="I2155" s="25" t="n">
        <f aca="false">IFERROR(IF(INDEX(Documents!$C$5:$C$657,MATCH(H2155,Documents!$A$5:$A$657,0))="","",INDEX(Documents!$C$5:$C$657,MATCH(H2155,Documents!$A$5:$A$657,0))),"")</f>
        <v>2018</v>
      </c>
      <c r="J2155" s="25" t="str">
        <f aca="false">IFERROR(IF(INDEX(Documents!$D$5:$D$657,MATCH(H2155,Documents!$A$5:$A$657,0))="","",INDEX(Documents!$D$5:$D$657,MATCH(H2155,Documents!$A$5:$A$657,0))),"")</f>
        <v>Medchemcomm</v>
      </c>
      <c r="K2155" s="25" t="str">
        <f aca="false">IFERROR(IF(INDEX(Documents!$G$5:$G$657,MATCH(H2155,Documents!$A$5:$A$657,0))="","",INDEX(Documents!$G$5:$G$657,MATCH(H2155,Documents!$A$5:$A$657,0))),"")</f>
        <v>10.1039/C8MD00461G</v>
      </c>
      <c r="L2155" s="25" t="s">
        <v>4302</v>
      </c>
    </row>
    <row r="2156" customFormat="false" ht="15" hidden="false" customHeight="false" outlineLevel="0" collapsed="false">
      <c r="A2156" s="25" t="n">
        <v>19105756</v>
      </c>
      <c r="B2156" s="25" t="s">
        <v>4736</v>
      </c>
      <c r="C2156" s="25" t="s">
        <v>4737</v>
      </c>
      <c r="D2156" s="26" t="n">
        <v>1580</v>
      </c>
      <c r="E2156" s="27" t="n">
        <v>5.80134291304558</v>
      </c>
      <c r="F2156" s="27" t="n">
        <v>5.80134291304558</v>
      </c>
      <c r="G2156" s="25" t="s">
        <v>4300</v>
      </c>
      <c r="H2156" s="25" t="s">
        <v>4301</v>
      </c>
      <c r="I2156" s="25" t="n">
        <f aca="false">IFERROR(IF(INDEX(Documents!$C$5:$C$657,MATCH(H2156,Documents!$A$5:$A$657,0))="","",INDEX(Documents!$C$5:$C$657,MATCH(H2156,Documents!$A$5:$A$657,0))),"")</f>
        <v>2018</v>
      </c>
      <c r="J2156" s="25" t="str">
        <f aca="false">IFERROR(IF(INDEX(Documents!$D$5:$D$657,MATCH(H2156,Documents!$A$5:$A$657,0))="","",INDEX(Documents!$D$5:$D$657,MATCH(H2156,Documents!$A$5:$A$657,0))),"")</f>
        <v>Medchemcomm</v>
      </c>
      <c r="K2156" s="25" t="str">
        <f aca="false">IFERROR(IF(INDEX(Documents!$G$5:$G$657,MATCH(H2156,Documents!$A$5:$A$657,0))="","",INDEX(Documents!$G$5:$G$657,MATCH(H2156,Documents!$A$5:$A$657,0))),"")</f>
        <v>10.1039/C8MD00461G</v>
      </c>
      <c r="L2156" s="25" t="s">
        <v>4302</v>
      </c>
    </row>
    <row r="2157" customFormat="false" ht="15" hidden="false" customHeight="false" outlineLevel="0" collapsed="false">
      <c r="A2157" s="25" t="n">
        <v>12076242</v>
      </c>
      <c r="B2157" s="25" t="s">
        <v>4738</v>
      </c>
      <c r="C2157" s="25" t="s">
        <v>4739</v>
      </c>
      <c r="D2157" s="26" t="n">
        <v>1120</v>
      </c>
      <c r="E2157" s="27" t="n">
        <v>5.95078197732982</v>
      </c>
      <c r="F2157" s="27" t="n">
        <v>5.95078197732982</v>
      </c>
      <c r="G2157" s="25" t="s">
        <v>4730</v>
      </c>
      <c r="H2157" s="25" t="s">
        <v>4731</v>
      </c>
      <c r="I2157" s="25" t="n">
        <f aca="false">IFERROR(IF(INDEX(Documents!$C$5:$C$657,MATCH(H2157,Documents!$A$5:$A$657,0))="","",INDEX(Documents!$C$5:$C$657,MATCH(H2157,Documents!$A$5:$A$657,0))),"")</f>
        <v>2012</v>
      </c>
      <c r="J2157" s="25" t="str">
        <f aca="false">IFERROR(IF(INDEX(Documents!$D$5:$D$657,MATCH(H2157,Documents!$A$5:$A$657,0))="","",INDEX(Documents!$D$5:$D$657,MATCH(H2157,Documents!$A$5:$A$657,0))),"")</f>
        <v>Eur J Med Chem</v>
      </c>
      <c r="K2157" s="25" t="str">
        <f aca="false">IFERROR(IF(INDEX(Documents!$G$5:$G$657,MATCH(H2157,Documents!$A$5:$A$657,0))="","",INDEX(Documents!$G$5:$G$657,MATCH(H2157,Documents!$A$5:$A$657,0))),"")</f>
        <v>10.1016/j.ejmech.2012.10.045</v>
      </c>
      <c r="L2157" s="25" t="s">
        <v>4497</v>
      </c>
    </row>
    <row r="2158" customFormat="false" ht="15" hidden="false" customHeight="false" outlineLevel="0" collapsed="false">
      <c r="A2158" s="25" t="n">
        <v>16261346</v>
      </c>
      <c r="B2158" s="25" t="s">
        <v>4740</v>
      </c>
      <c r="C2158" s="25" t="s">
        <v>4741</v>
      </c>
      <c r="D2158" s="26" t="n">
        <v>22</v>
      </c>
      <c r="E2158" s="27" t="n">
        <v>7.65757731917779</v>
      </c>
      <c r="F2158" s="27" t="n">
        <v>7.65757731917779</v>
      </c>
      <c r="G2158" s="25" t="s">
        <v>326</v>
      </c>
      <c r="H2158" s="25" t="s">
        <v>327</v>
      </c>
      <c r="I2158" s="25" t="n">
        <f aca="false">IFERROR(IF(INDEX(Documents!$C$5:$C$657,MATCH(H2158,Documents!$A$5:$A$657,0))="","",INDEX(Documents!$C$5:$C$657,MATCH(H2158,Documents!$A$5:$A$657,0))),"")</f>
        <v>2014</v>
      </c>
      <c r="J2158" s="25" t="str">
        <f aca="false">IFERROR(IF(INDEX(Documents!$D$5:$D$657,MATCH(H2158,Documents!$A$5:$A$657,0))="","",INDEX(Documents!$D$5:$D$657,MATCH(H2158,Documents!$A$5:$A$657,0))),"")</f>
        <v/>
      </c>
      <c r="K2158" s="25" t="str">
        <f aca="false">IFERROR(IF(INDEX(Documents!$G$5:$G$657,MATCH(H2158,Documents!$A$5:$A$657,0))="","",INDEX(Documents!$G$5:$G$657,MATCH(H2158,Documents!$A$5:$A$657,0))),"")</f>
        <v/>
      </c>
      <c r="L2158" s="25" t="s">
        <v>328</v>
      </c>
    </row>
    <row r="2159" customFormat="false" ht="15" hidden="false" customHeight="false" outlineLevel="0" collapsed="false">
      <c r="A2159" s="25" t="n">
        <v>24419803</v>
      </c>
      <c r="B2159" s="25" t="s">
        <v>4742</v>
      </c>
      <c r="C2159" s="25" t="s">
        <v>4743</v>
      </c>
      <c r="D2159" s="26" t="n">
        <v>66</v>
      </c>
      <c r="E2159" s="27" t="n">
        <v>7.18045606445813</v>
      </c>
      <c r="F2159" s="27" t="n">
        <v>7.18045606445813</v>
      </c>
      <c r="G2159" s="25" t="s">
        <v>335</v>
      </c>
      <c r="H2159" s="25" t="s">
        <v>336</v>
      </c>
      <c r="I2159" s="25" t="n">
        <f aca="false">IFERROR(IF(INDEX(Documents!$C$5:$C$657,MATCH(H2159,Documents!$A$5:$A$657,0))="","",INDEX(Documents!$C$5:$C$657,MATCH(H2159,Documents!$A$5:$A$657,0))),"")</f>
        <v>2022</v>
      </c>
      <c r="J2159" s="25" t="str">
        <f aca="false">IFERROR(IF(INDEX(Documents!$D$5:$D$657,MATCH(H2159,Documents!$A$5:$A$657,0))="","",INDEX(Documents!$D$5:$D$657,MATCH(H2159,Documents!$A$5:$A$657,0))),"")</f>
        <v>J Med Chem</v>
      </c>
      <c r="K2159" s="25" t="str">
        <f aca="false">IFERROR(IF(INDEX(Documents!$G$5:$G$657,MATCH(H2159,Documents!$A$5:$A$657,0))="","",INDEX(Documents!$G$5:$G$657,MATCH(H2159,Documents!$A$5:$A$657,0))),"")</f>
        <v>10.1021/acs.jmedchem.1c01836</v>
      </c>
      <c r="L2159" s="25" t="s">
        <v>337</v>
      </c>
    </row>
    <row r="2160" customFormat="false" ht="15" hidden="false" customHeight="false" outlineLevel="0" collapsed="false">
      <c r="A2160" s="25" t="n">
        <v>24419795</v>
      </c>
      <c r="B2160" s="25" t="s">
        <v>4744</v>
      </c>
      <c r="C2160" s="25" t="s">
        <v>4745</v>
      </c>
      <c r="D2160" s="26" t="n">
        <v>70</v>
      </c>
      <c r="E2160" s="27" t="n">
        <v>7.15490195998574</v>
      </c>
      <c r="F2160" s="27" t="n">
        <v>7.15490195998574</v>
      </c>
      <c r="G2160" s="25" t="s">
        <v>335</v>
      </c>
      <c r="H2160" s="25" t="s">
        <v>336</v>
      </c>
      <c r="I2160" s="25" t="n">
        <f aca="false">IFERROR(IF(INDEX(Documents!$C$5:$C$657,MATCH(H2160,Documents!$A$5:$A$657,0))="","",INDEX(Documents!$C$5:$C$657,MATCH(H2160,Documents!$A$5:$A$657,0))),"")</f>
        <v>2022</v>
      </c>
      <c r="J2160" s="25" t="str">
        <f aca="false">IFERROR(IF(INDEX(Documents!$D$5:$D$657,MATCH(H2160,Documents!$A$5:$A$657,0))="","",INDEX(Documents!$D$5:$D$657,MATCH(H2160,Documents!$A$5:$A$657,0))),"")</f>
        <v>J Med Chem</v>
      </c>
      <c r="K2160" s="25" t="str">
        <f aca="false">IFERROR(IF(INDEX(Documents!$G$5:$G$657,MATCH(H2160,Documents!$A$5:$A$657,0))="","",INDEX(Documents!$G$5:$G$657,MATCH(H2160,Documents!$A$5:$A$657,0))),"")</f>
        <v>10.1021/acs.jmedchem.1c01836</v>
      </c>
      <c r="L2160" s="25" t="s">
        <v>337</v>
      </c>
    </row>
    <row r="2161" customFormat="false" ht="15" hidden="false" customHeight="false" outlineLevel="0" collapsed="false">
      <c r="A2161" s="25" t="n">
        <v>24419798</v>
      </c>
      <c r="B2161" s="25" t="s">
        <v>4746</v>
      </c>
      <c r="C2161" s="25" t="s">
        <v>4747</v>
      </c>
      <c r="D2161" s="26" t="n">
        <v>70</v>
      </c>
      <c r="E2161" s="27" t="n">
        <v>7.15490195998574</v>
      </c>
      <c r="F2161" s="27" t="n">
        <v>7.15490195998574</v>
      </c>
      <c r="G2161" s="25" t="s">
        <v>335</v>
      </c>
      <c r="H2161" s="25" t="s">
        <v>336</v>
      </c>
      <c r="I2161" s="25" t="n">
        <f aca="false">IFERROR(IF(INDEX(Documents!$C$5:$C$657,MATCH(H2161,Documents!$A$5:$A$657,0))="","",INDEX(Documents!$C$5:$C$657,MATCH(H2161,Documents!$A$5:$A$657,0))),"")</f>
        <v>2022</v>
      </c>
      <c r="J2161" s="25" t="str">
        <f aca="false">IFERROR(IF(INDEX(Documents!$D$5:$D$657,MATCH(H2161,Documents!$A$5:$A$657,0))="","",INDEX(Documents!$D$5:$D$657,MATCH(H2161,Documents!$A$5:$A$657,0))),"")</f>
        <v>J Med Chem</v>
      </c>
      <c r="K2161" s="25" t="str">
        <f aca="false">IFERROR(IF(INDEX(Documents!$G$5:$G$657,MATCH(H2161,Documents!$A$5:$A$657,0))="","",INDEX(Documents!$G$5:$G$657,MATCH(H2161,Documents!$A$5:$A$657,0))),"")</f>
        <v>10.1021/acs.jmedchem.1c01836</v>
      </c>
      <c r="L2161" s="25" t="s">
        <v>337</v>
      </c>
    </row>
    <row r="2162" customFormat="false" ht="15" hidden="false" customHeight="false" outlineLevel="0" collapsed="false">
      <c r="A2162" s="25" t="n">
        <v>1601654</v>
      </c>
      <c r="B2162" s="25" t="s">
        <v>4748</v>
      </c>
      <c r="C2162" s="25" t="s">
        <v>4749</v>
      </c>
      <c r="D2162" s="26" t="n">
        <v>2755</v>
      </c>
      <c r="E2162" s="27" t="n">
        <v>5.5598783968122</v>
      </c>
      <c r="F2162" s="27" t="n">
        <v>5.5598783968122</v>
      </c>
      <c r="G2162" s="25" t="s">
        <v>356</v>
      </c>
      <c r="H2162" s="25" t="s">
        <v>357</v>
      </c>
      <c r="I2162" s="25" t="n">
        <f aca="false">IFERROR(IF(INDEX(Documents!$C$5:$C$657,MATCH(H2162,Documents!$A$5:$A$657,0))="","",INDEX(Documents!$C$5:$C$657,MATCH(H2162,Documents!$A$5:$A$657,0))),"")</f>
        <v>2005</v>
      </c>
      <c r="J2162" s="25" t="str">
        <f aca="false">IFERROR(IF(INDEX(Documents!$D$5:$D$657,MATCH(H2162,Documents!$A$5:$A$657,0))="","",INDEX(Documents!$D$5:$D$657,MATCH(H2162,Documents!$A$5:$A$657,0))),"")</f>
        <v>Bioorg Med Chem Lett</v>
      </c>
      <c r="K2162" s="25" t="str">
        <f aca="false">IFERROR(IF(INDEX(Documents!$G$5:$G$657,MATCH(H2162,Documents!$A$5:$A$657,0))="","",INDEX(Documents!$G$5:$G$657,MATCH(H2162,Documents!$A$5:$A$657,0))),"")</f>
        <v>10.1016/j.bmcl.2005.07.054</v>
      </c>
      <c r="L2162" s="25" t="s">
        <v>358</v>
      </c>
    </row>
    <row r="2163" customFormat="false" ht="15" hidden="false" customHeight="false" outlineLevel="0" collapsed="false">
      <c r="A2163" s="25" t="n">
        <v>1601616</v>
      </c>
      <c r="B2163" s="25" t="s">
        <v>4750</v>
      </c>
      <c r="C2163" s="25" t="s">
        <v>4751</v>
      </c>
      <c r="D2163" s="26" t="n">
        <v>3270</v>
      </c>
      <c r="E2163" s="27" t="n">
        <v>5.48545224733971</v>
      </c>
      <c r="F2163" s="27" t="n">
        <v>5.48545224733971</v>
      </c>
      <c r="G2163" s="25" t="s">
        <v>356</v>
      </c>
      <c r="H2163" s="25" t="s">
        <v>357</v>
      </c>
      <c r="I2163" s="25" t="n">
        <f aca="false">IFERROR(IF(INDEX(Documents!$C$5:$C$657,MATCH(H2163,Documents!$A$5:$A$657,0))="","",INDEX(Documents!$C$5:$C$657,MATCH(H2163,Documents!$A$5:$A$657,0))),"")</f>
        <v>2005</v>
      </c>
      <c r="J2163" s="25" t="str">
        <f aca="false">IFERROR(IF(INDEX(Documents!$D$5:$D$657,MATCH(H2163,Documents!$A$5:$A$657,0))="","",INDEX(Documents!$D$5:$D$657,MATCH(H2163,Documents!$A$5:$A$657,0))),"")</f>
        <v>Bioorg Med Chem Lett</v>
      </c>
      <c r="K2163" s="25" t="str">
        <f aca="false">IFERROR(IF(INDEX(Documents!$G$5:$G$657,MATCH(H2163,Documents!$A$5:$A$657,0))="","",INDEX(Documents!$G$5:$G$657,MATCH(H2163,Documents!$A$5:$A$657,0))),"")</f>
        <v>10.1016/j.bmcl.2005.07.054</v>
      </c>
      <c r="L2163" s="25" t="s">
        <v>358</v>
      </c>
    </row>
    <row r="2164" customFormat="false" ht="15" hidden="false" customHeight="false" outlineLevel="0" collapsed="false">
      <c r="A2164" s="25" t="n">
        <v>1601648</v>
      </c>
      <c r="B2164" s="25" t="s">
        <v>4752</v>
      </c>
      <c r="C2164" s="25" t="s">
        <v>4753</v>
      </c>
      <c r="D2164" s="26" t="n">
        <v>9077</v>
      </c>
      <c r="E2164" s="27" t="n">
        <v>5.0420576645546</v>
      </c>
      <c r="F2164" s="27" t="n">
        <v>5.0420576645546</v>
      </c>
      <c r="G2164" s="25" t="s">
        <v>356</v>
      </c>
      <c r="H2164" s="25" t="s">
        <v>357</v>
      </c>
      <c r="I2164" s="25" t="n">
        <f aca="false">IFERROR(IF(INDEX(Documents!$C$5:$C$657,MATCH(H2164,Documents!$A$5:$A$657,0))="","",INDEX(Documents!$C$5:$C$657,MATCH(H2164,Documents!$A$5:$A$657,0))),"")</f>
        <v>2005</v>
      </c>
      <c r="J2164" s="25" t="str">
        <f aca="false">IFERROR(IF(INDEX(Documents!$D$5:$D$657,MATCH(H2164,Documents!$A$5:$A$657,0))="","",INDEX(Documents!$D$5:$D$657,MATCH(H2164,Documents!$A$5:$A$657,0))),"")</f>
        <v>Bioorg Med Chem Lett</v>
      </c>
      <c r="K2164" s="25" t="str">
        <f aca="false">IFERROR(IF(INDEX(Documents!$G$5:$G$657,MATCH(H2164,Documents!$A$5:$A$657,0))="","",INDEX(Documents!$G$5:$G$657,MATCH(H2164,Documents!$A$5:$A$657,0))),"")</f>
        <v>10.1016/j.bmcl.2005.07.054</v>
      </c>
      <c r="L2164" s="25" t="s">
        <v>358</v>
      </c>
    </row>
    <row r="2165" customFormat="false" ht="15" hidden="false" customHeight="false" outlineLevel="0" collapsed="false">
      <c r="A2165" s="25" t="n">
        <v>12146243</v>
      </c>
      <c r="B2165" s="25" t="s">
        <v>4754</v>
      </c>
      <c r="C2165" s="25" t="s">
        <v>4755</v>
      </c>
      <c r="D2165" s="26" t="n">
        <v>167</v>
      </c>
      <c r="E2165" s="27" t="n">
        <v>6.77728352885242</v>
      </c>
      <c r="F2165" s="27" t="n">
        <v>6.77728352885242</v>
      </c>
      <c r="G2165" s="25" t="s">
        <v>1126</v>
      </c>
      <c r="H2165" s="25" t="s">
        <v>1127</v>
      </c>
      <c r="I2165" s="25" t="n">
        <f aca="false">IFERROR(IF(INDEX(Documents!$C$5:$C$657,MATCH(H2165,Documents!$A$5:$A$657,0))="","",INDEX(Documents!$C$5:$C$657,MATCH(H2165,Documents!$A$5:$A$657,0))),"")</f>
        <v>2012</v>
      </c>
      <c r="J2165" s="25" t="str">
        <f aca="false">IFERROR(IF(INDEX(Documents!$D$5:$D$657,MATCH(H2165,Documents!$A$5:$A$657,0))="","",INDEX(Documents!$D$5:$D$657,MATCH(H2165,Documents!$A$5:$A$657,0))),"")</f>
        <v>J Med Chem</v>
      </c>
      <c r="K2165" s="25" t="str">
        <f aca="false">IFERROR(IF(INDEX(Documents!$G$5:$G$657,MATCH(H2165,Documents!$A$5:$A$657,0))="","",INDEX(Documents!$G$5:$G$657,MATCH(H2165,Documents!$A$5:$A$657,0))),"")</f>
        <v>10.1021/jm301212u</v>
      </c>
      <c r="L2165" s="25" t="s">
        <v>1128</v>
      </c>
    </row>
    <row r="2166" customFormat="false" ht="15" hidden="false" customHeight="false" outlineLevel="0" collapsed="false">
      <c r="A2166" s="25" t="n">
        <v>12146274</v>
      </c>
      <c r="B2166" s="25" t="s">
        <v>4754</v>
      </c>
      <c r="C2166" s="25" t="s">
        <v>4755</v>
      </c>
      <c r="D2166" s="26" t="n">
        <v>167</v>
      </c>
      <c r="E2166" s="27" t="n">
        <v>6.77728352885242</v>
      </c>
      <c r="F2166" s="27" t="n">
        <v>6.77728352885242</v>
      </c>
      <c r="G2166" s="25" t="s">
        <v>1126</v>
      </c>
      <c r="H2166" s="25" t="s">
        <v>1127</v>
      </c>
      <c r="I2166" s="25" t="n">
        <f aca="false">IFERROR(IF(INDEX(Documents!$C$5:$C$657,MATCH(H2166,Documents!$A$5:$A$657,0))="","",INDEX(Documents!$C$5:$C$657,MATCH(H2166,Documents!$A$5:$A$657,0))),"")</f>
        <v>2012</v>
      </c>
      <c r="J2166" s="25" t="str">
        <f aca="false">IFERROR(IF(INDEX(Documents!$D$5:$D$657,MATCH(H2166,Documents!$A$5:$A$657,0))="","",INDEX(Documents!$D$5:$D$657,MATCH(H2166,Documents!$A$5:$A$657,0))),"")</f>
        <v>J Med Chem</v>
      </c>
      <c r="K2166" s="25" t="str">
        <f aca="false">IFERROR(IF(INDEX(Documents!$G$5:$G$657,MATCH(H2166,Documents!$A$5:$A$657,0))="","",INDEX(Documents!$G$5:$G$657,MATCH(H2166,Documents!$A$5:$A$657,0))),"")</f>
        <v>10.1021/jm301212u</v>
      </c>
      <c r="L2166" s="25" t="s">
        <v>1128</v>
      </c>
    </row>
    <row r="2167" customFormat="false" ht="15" hidden="false" customHeight="false" outlineLevel="0" collapsed="false">
      <c r="A2167" s="25" t="n">
        <v>12146225</v>
      </c>
      <c r="B2167" s="25" t="s">
        <v>4756</v>
      </c>
      <c r="C2167" s="25" t="s">
        <v>4757</v>
      </c>
      <c r="D2167" s="26" t="n">
        <v>3553</v>
      </c>
      <c r="E2167" s="27" t="n">
        <v>5.44940479251067</v>
      </c>
      <c r="F2167" s="27" t="n">
        <v>5.44940479251067</v>
      </c>
      <c r="G2167" s="25" t="s">
        <v>1126</v>
      </c>
      <c r="H2167" s="25" t="s">
        <v>1127</v>
      </c>
      <c r="I2167" s="25" t="n">
        <f aca="false">IFERROR(IF(INDEX(Documents!$C$5:$C$657,MATCH(H2167,Documents!$A$5:$A$657,0))="","",INDEX(Documents!$C$5:$C$657,MATCH(H2167,Documents!$A$5:$A$657,0))),"")</f>
        <v>2012</v>
      </c>
      <c r="J2167" s="25" t="str">
        <f aca="false">IFERROR(IF(INDEX(Documents!$D$5:$D$657,MATCH(H2167,Documents!$A$5:$A$657,0))="","",INDEX(Documents!$D$5:$D$657,MATCH(H2167,Documents!$A$5:$A$657,0))),"")</f>
        <v>J Med Chem</v>
      </c>
      <c r="K2167" s="25" t="str">
        <f aca="false">IFERROR(IF(INDEX(Documents!$G$5:$G$657,MATCH(H2167,Documents!$A$5:$A$657,0))="","",INDEX(Documents!$G$5:$G$657,MATCH(H2167,Documents!$A$5:$A$657,0))),"")</f>
        <v>10.1021/jm301212u</v>
      </c>
      <c r="L2167" s="25" t="s">
        <v>1128</v>
      </c>
    </row>
    <row r="2168" customFormat="false" ht="15" hidden="false" customHeight="false" outlineLevel="0" collapsed="false">
      <c r="A2168" s="25" t="n">
        <v>12146293</v>
      </c>
      <c r="B2168" s="25" t="s">
        <v>4756</v>
      </c>
      <c r="C2168" s="25" t="s">
        <v>4757</v>
      </c>
      <c r="D2168" s="26" t="n">
        <v>3553</v>
      </c>
      <c r="E2168" s="27" t="n">
        <v>5.44940479251067</v>
      </c>
      <c r="F2168" s="27" t="n">
        <v>5.44940479251067</v>
      </c>
      <c r="G2168" s="25" t="s">
        <v>1126</v>
      </c>
      <c r="H2168" s="25" t="s">
        <v>1127</v>
      </c>
      <c r="I2168" s="25" t="n">
        <f aca="false">IFERROR(IF(INDEX(Documents!$C$5:$C$657,MATCH(H2168,Documents!$A$5:$A$657,0))="","",INDEX(Documents!$C$5:$C$657,MATCH(H2168,Documents!$A$5:$A$657,0))),"")</f>
        <v>2012</v>
      </c>
      <c r="J2168" s="25" t="str">
        <f aca="false">IFERROR(IF(INDEX(Documents!$D$5:$D$657,MATCH(H2168,Documents!$A$5:$A$657,0))="","",INDEX(Documents!$D$5:$D$657,MATCH(H2168,Documents!$A$5:$A$657,0))),"")</f>
        <v>J Med Chem</v>
      </c>
      <c r="K2168" s="25" t="str">
        <f aca="false">IFERROR(IF(INDEX(Documents!$G$5:$G$657,MATCH(H2168,Documents!$A$5:$A$657,0))="","",INDEX(Documents!$G$5:$G$657,MATCH(H2168,Documents!$A$5:$A$657,0))),"")</f>
        <v>10.1021/jm301212u</v>
      </c>
      <c r="L2168" s="25" t="s">
        <v>1128</v>
      </c>
    </row>
    <row r="2169" customFormat="false" ht="15" hidden="false" customHeight="false" outlineLevel="0" collapsed="false">
      <c r="A2169" s="25" t="n">
        <v>12146227</v>
      </c>
      <c r="B2169" s="25" t="s">
        <v>4758</v>
      </c>
      <c r="C2169" s="25" t="s">
        <v>4759</v>
      </c>
      <c r="D2169" s="26" t="n">
        <v>2636</v>
      </c>
      <c r="E2169" s="27" t="n">
        <v>5.57905459407803</v>
      </c>
      <c r="F2169" s="27" t="n">
        <v>5.57905459407803</v>
      </c>
      <c r="G2169" s="25" t="s">
        <v>1126</v>
      </c>
      <c r="H2169" s="25" t="s">
        <v>1127</v>
      </c>
      <c r="I2169" s="25" t="n">
        <f aca="false">IFERROR(IF(INDEX(Documents!$C$5:$C$657,MATCH(H2169,Documents!$A$5:$A$657,0))="","",INDEX(Documents!$C$5:$C$657,MATCH(H2169,Documents!$A$5:$A$657,0))),"")</f>
        <v>2012</v>
      </c>
      <c r="J2169" s="25" t="str">
        <f aca="false">IFERROR(IF(INDEX(Documents!$D$5:$D$657,MATCH(H2169,Documents!$A$5:$A$657,0))="","",INDEX(Documents!$D$5:$D$657,MATCH(H2169,Documents!$A$5:$A$657,0))),"")</f>
        <v>J Med Chem</v>
      </c>
      <c r="K2169" s="25" t="str">
        <f aca="false">IFERROR(IF(INDEX(Documents!$G$5:$G$657,MATCH(H2169,Documents!$A$5:$A$657,0))="","",INDEX(Documents!$G$5:$G$657,MATCH(H2169,Documents!$A$5:$A$657,0))),"")</f>
        <v>10.1021/jm301212u</v>
      </c>
      <c r="L2169" s="25" t="s">
        <v>1128</v>
      </c>
    </row>
    <row r="2170" customFormat="false" ht="15" hidden="false" customHeight="false" outlineLevel="0" collapsed="false">
      <c r="A2170" s="25" t="n">
        <v>12146291</v>
      </c>
      <c r="B2170" s="25" t="s">
        <v>4758</v>
      </c>
      <c r="C2170" s="25" t="s">
        <v>4759</v>
      </c>
      <c r="D2170" s="26" t="n">
        <v>2636</v>
      </c>
      <c r="E2170" s="27" t="n">
        <v>5.57905459407803</v>
      </c>
      <c r="F2170" s="27" t="n">
        <v>5.57905459407803</v>
      </c>
      <c r="G2170" s="25" t="s">
        <v>1126</v>
      </c>
      <c r="H2170" s="25" t="s">
        <v>1127</v>
      </c>
      <c r="I2170" s="25" t="n">
        <f aca="false">IFERROR(IF(INDEX(Documents!$C$5:$C$657,MATCH(H2170,Documents!$A$5:$A$657,0))="","",INDEX(Documents!$C$5:$C$657,MATCH(H2170,Documents!$A$5:$A$657,0))),"")</f>
        <v>2012</v>
      </c>
      <c r="J2170" s="25" t="str">
        <f aca="false">IFERROR(IF(INDEX(Documents!$D$5:$D$657,MATCH(H2170,Documents!$A$5:$A$657,0))="","",INDEX(Documents!$D$5:$D$657,MATCH(H2170,Documents!$A$5:$A$657,0))),"")</f>
        <v>J Med Chem</v>
      </c>
      <c r="K2170" s="25" t="str">
        <f aca="false">IFERROR(IF(INDEX(Documents!$G$5:$G$657,MATCH(H2170,Documents!$A$5:$A$657,0))="","",INDEX(Documents!$G$5:$G$657,MATCH(H2170,Documents!$A$5:$A$657,0))),"")</f>
        <v>10.1021/jm301212u</v>
      </c>
      <c r="L2170" s="25" t="s">
        <v>1128</v>
      </c>
    </row>
    <row r="2171" customFormat="false" ht="15" hidden="false" customHeight="false" outlineLevel="0" collapsed="false">
      <c r="A2171" s="25" t="n">
        <v>12146240</v>
      </c>
      <c r="B2171" s="25" t="s">
        <v>4760</v>
      </c>
      <c r="C2171" s="25" t="s">
        <v>4761</v>
      </c>
      <c r="D2171" s="26" t="n">
        <v>213</v>
      </c>
      <c r="E2171" s="27" t="n">
        <v>6.67162039656126</v>
      </c>
      <c r="F2171" s="27" t="n">
        <v>6.67162039656126</v>
      </c>
      <c r="G2171" s="25" t="s">
        <v>1126</v>
      </c>
      <c r="H2171" s="25" t="s">
        <v>1127</v>
      </c>
      <c r="I2171" s="25" t="n">
        <f aca="false">IFERROR(IF(INDEX(Documents!$C$5:$C$657,MATCH(H2171,Documents!$A$5:$A$657,0))="","",INDEX(Documents!$C$5:$C$657,MATCH(H2171,Documents!$A$5:$A$657,0))),"")</f>
        <v>2012</v>
      </c>
      <c r="J2171" s="25" t="str">
        <f aca="false">IFERROR(IF(INDEX(Documents!$D$5:$D$657,MATCH(H2171,Documents!$A$5:$A$657,0))="","",INDEX(Documents!$D$5:$D$657,MATCH(H2171,Documents!$A$5:$A$657,0))),"")</f>
        <v>J Med Chem</v>
      </c>
      <c r="K2171" s="25" t="str">
        <f aca="false">IFERROR(IF(INDEX(Documents!$G$5:$G$657,MATCH(H2171,Documents!$A$5:$A$657,0))="","",INDEX(Documents!$G$5:$G$657,MATCH(H2171,Documents!$A$5:$A$657,0))),"")</f>
        <v>10.1021/jm301212u</v>
      </c>
      <c r="L2171" s="25" t="s">
        <v>1128</v>
      </c>
    </row>
    <row r="2172" customFormat="false" ht="15" hidden="false" customHeight="false" outlineLevel="0" collapsed="false">
      <c r="A2172" s="25" t="n">
        <v>12146277</v>
      </c>
      <c r="B2172" s="25" t="s">
        <v>4760</v>
      </c>
      <c r="C2172" s="25" t="s">
        <v>4761</v>
      </c>
      <c r="D2172" s="26" t="n">
        <v>213</v>
      </c>
      <c r="E2172" s="27" t="n">
        <v>6.67162039656126</v>
      </c>
      <c r="F2172" s="27" t="n">
        <v>6.67162039656126</v>
      </c>
      <c r="G2172" s="25" t="s">
        <v>1126</v>
      </c>
      <c r="H2172" s="25" t="s">
        <v>1127</v>
      </c>
      <c r="I2172" s="25" t="n">
        <f aca="false">IFERROR(IF(INDEX(Documents!$C$5:$C$657,MATCH(H2172,Documents!$A$5:$A$657,0))="","",INDEX(Documents!$C$5:$C$657,MATCH(H2172,Documents!$A$5:$A$657,0))),"")</f>
        <v>2012</v>
      </c>
      <c r="J2172" s="25" t="str">
        <f aca="false">IFERROR(IF(INDEX(Documents!$D$5:$D$657,MATCH(H2172,Documents!$A$5:$A$657,0))="","",INDEX(Documents!$D$5:$D$657,MATCH(H2172,Documents!$A$5:$A$657,0))),"")</f>
        <v>J Med Chem</v>
      </c>
      <c r="K2172" s="25" t="str">
        <f aca="false">IFERROR(IF(INDEX(Documents!$G$5:$G$657,MATCH(H2172,Documents!$A$5:$A$657,0))="","",INDEX(Documents!$G$5:$G$657,MATCH(H2172,Documents!$A$5:$A$657,0))),"")</f>
        <v>10.1021/jm301212u</v>
      </c>
      <c r="L2172" s="25" t="s">
        <v>1128</v>
      </c>
    </row>
    <row r="2173" customFormat="false" ht="15" hidden="false" customHeight="false" outlineLevel="0" collapsed="false">
      <c r="A2173" s="25" t="n">
        <v>12146256</v>
      </c>
      <c r="B2173" s="25" t="s">
        <v>4762</v>
      </c>
      <c r="C2173" s="25" t="s">
        <v>4763</v>
      </c>
      <c r="D2173" s="26" t="n">
        <v>64</v>
      </c>
      <c r="E2173" s="27" t="n">
        <v>7.19382002601611</v>
      </c>
      <c r="F2173" s="27" t="n">
        <v>7.19382002601611</v>
      </c>
      <c r="G2173" s="25" t="s">
        <v>1126</v>
      </c>
      <c r="H2173" s="25" t="s">
        <v>1127</v>
      </c>
      <c r="I2173" s="25" t="n">
        <f aca="false">IFERROR(IF(INDEX(Documents!$C$5:$C$657,MATCH(H2173,Documents!$A$5:$A$657,0))="","",INDEX(Documents!$C$5:$C$657,MATCH(H2173,Documents!$A$5:$A$657,0))),"")</f>
        <v>2012</v>
      </c>
      <c r="J2173" s="25" t="str">
        <f aca="false">IFERROR(IF(INDEX(Documents!$D$5:$D$657,MATCH(H2173,Documents!$A$5:$A$657,0))="","",INDEX(Documents!$D$5:$D$657,MATCH(H2173,Documents!$A$5:$A$657,0))),"")</f>
        <v>J Med Chem</v>
      </c>
      <c r="K2173" s="25" t="str">
        <f aca="false">IFERROR(IF(INDEX(Documents!$G$5:$G$657,MATCH(H2173,Documents!$A$5:$A$657,0))="","",INDEX(Documents!$G$5:$G$657,MATCH(H2173,Documents!$A$5:$A$657,0))),"")</f>
        <v>10.1021/jm301212u</v>
      </c>
      <c r="L2173" s="25" t="s">
        <v>1128</v>
      </c>
    </row>
    <row r="2174" customFormat="false" ht="15" hidden="false" customHeight="false" outlineLevel="0" collapsed="false">
      <c r="A2174" s="25" t="n">
        <v>12146266</v>
      </c>
      <c r="B2174" s="25" t="s">
        <v>4762</v>
      </c>
      <c r="C2174" s="25" t="s">
        <v>4763</v>
      </c>
      <c r="D2174" s="26" t="n">
        <v>64</v>
      </c>
      <c r="E2174" s="27" t="n">
        <v>7.19382002601611</v>
      </c>
      <c r="F2174" s="27" t="n">
        <v>7.19382002601611</v>
      </c>
      <c r="G2174" s="25" t="s">
        <v>1126</v>
      </c>
      <c r="H2174" s="25" t="s">
        <v>1127</v>
      </c>
      <c r="I2174" s="25" t="n">
        <f aca="false">IFERROR(IF(INDEX(Documents!$C$5:$C$657,MATCH(H2174,Documents!$A$5:$A$657,0))="","",INDEX(Documents!$C$5:$C$657,MATCH(H2174,Documents!$A$5:$A$657,0))),"")</f>
        <v>2012</v>
      </c>
      <c r="J2174" s="25" t="str">
        <f aca="false">IFERROR(IF(INDEX(Documents!$D$5:$D$657,MATCH(H2174,Documents!$A$5:$A$657,0))="","",INDEX(Documents!$D$5:$D$657,MATCH(H2174,Documents!$A$5:$A$657,0))),"")</f>
        <v>J Med Chem</v>
      </c>
      <c r="K2174" s="25" t="str">
        <f aca="false">IFERROR(IF(INDEX(Documents!$G$5:$G$657,MATCH(H2174,Documents!$A$5:$A$657,0))="","",INDEX(Documents!$G$5:$G$657,MATCH(H2174,Documents!$A$5:$A$657,0))),"")</f>
        <v>10.1021/jm301212u</v>
      </c>
      <c r="L2174" s="25" t="s">
        <v>1128</v>
      </c>
    </row>
    <row r="2175" customFormat="false" ht="15" hidden="false" customHeight="false" outlineLevel="0" collapsed="false">
      <c r="A2175" s="25" t="n">
        <v>12146232</v>
      </c>
      <c r="B2175" s="25" t="s">
        <v>4764</v>
      </c>
      <c r="C2175" s="25" t="s">
        <v>4765</v>
      </c>
      <c r="D2175" s="26" t="n">
        <v>688</v>
      </c>
      <c r="E2175" s="27" t="n">
        <v>6.16241156176449</v>
      </c>
      <c r="F2175" s="27" t="n">
        <v>6.16241156176449</v>
      </c>
      <c r="G2175" s="25" t="s">
        <v>1126</v>
      </c>
      <c r="H2175" s="25" t="s">
        <v>1127</v>
      </c>
      <c r="I2175" s="25" t="n">
        <f aca="false">IFERROR(IF(INDEX(Documents!$C$5:$C$657,MATCH(H2175,Documents!$A$5:$A$657,0))="","",INDEX(Documents!$C$5:$C$657,MATCH(H2175,Documents!$A$5:$A$657,0))),"")</f>
        <v>2012</v>
      </c>
      <c r="J2175" s="25" t="str">
        <f aca="false">IFERROR(IF(INDEX(Documents!$D$5:$D$657,MATCH(H2175,Documents!$A$5:$A$657,0))="","",INDEX(Documents!$D$5:$D$657,MATCH(H2175,Documents!$A$5:$A$657,0))),"")</f>
        <v>J Med Chem</v>
      </c>
      <c r="K2175" s="25" t="str">
        <f aca="false">IFERROR(IF(INDEX(Documents!$G$5:$G$657,MATCH(H2175,Documents!$A$5:$A$657,0))="","",INDEX(Documents!$G$5:$G$657,MATCH(H2175,Documents!$A$5:$A$657,0))),"")</f>
        <v>10.1021/jm301212u</v>
      </c>
      <c r="L2175" s="25" t="s">
        <v>1128</v>
      </c>
    </row>
    <row r="2176" customFormat="false" ht="15" hidden="false" customHeight="false" outlineLevel="0" collapsed="false">
      <c r="A2176" s="25" t="n">
        <v>12146285</v>
      </c>
      <c r="B2176" s="25" t="s">
        <v>4764</v>
      </c>
      <c r="C2176" s="25" t="s">
        <v>4765</v>
      </c>
      <c r="D2176" s="26" t="n">
        <v>688</v>
      </c>
      <c r="E2176" s="27" t="n">
        <v>6.16241156176449</v>
      </c>
      <c r="F2176" s="27" t="n">
        <v>6.16241156176449</v>
      </c>
      <c r="G2176" s="25" t="s">
        <v>1126</v>
      </c>
      <c r="H2176" s="25" t="s">
        <v>1127</v>
      </c>
      <c r="I2176" s="25" t="n">
        <f aca="false">IFERROR(IF(INDEX(Documents!$C$5:$C$657,MATCH(H2176,Documents!$A$5:$A$657,0))="","",INDEX(Documents!$C$5:$C$657,MATCH(H2176,Documents!$A$5:$A$657,0))),"")</f>
        <v>2012</v>
      </c>
      <c r="J2176" s="25" t="str">
        <f aca="false">IFERROR(IF(INDEX(Documents!$D$5:$D$657,MATCH(H2176,Documents!$A$5:$A$657,0))="","",INDEX(Documents!$D$5:$D$657,MATCH(H2176,Documents!$A$5:$A$657,0))),"")</f>
        <v>J Med Chem</v>
      </c>
      <c r="K2176" s="25" t="str">
        <f aca="false">IFERROR(IF(INDEX(Documents!$G$5:$G$657,MATCH(H2176,Documents!$A$5:$A$657,0))="","",INDEX(Documents!$G$5:$G$657,MATCH(H2176,Documents!$A$5:$A$657,0))),"")</f>
        <v>10.1021/jm301212u</v>
      </c>
      <c r="L2176" s="25" t="s">
        <v>1128</v>
      </c>
    </row>
    <row r="2177" customFormat="false" ht="15" hidden="false" customHeight="false" outlineLevel="0" collapsed="false">
      <c r="A2177" s="25" t="n">
        <v>12664977</v>
      </c>
      <c r="B2177" s="25" t="s">
        <v>4766</v>
      </c>
      <c r="C2177" s="25" t="s">
        <v>4767</v>
      </c>
      <c r="D2177" s="26" t="n">
        <v>35</v>
      </c>
      <c r="E2177" s="27" t="n">
        <v>7.45593195564972</v>
      </c>
      <c r="F2177" s="27" t="n">
        <v>7.45599400658341</v>
      </c>
      <c r="G2177" s="25" t="s">
        <v>2531</v>
      </c>
      <c r="H2177" s="25" t="s">
        <v>2532</v>
      </c>
      <c r="I2177" s="25" t="n">
        <f aca="false">IFERROR(IF(INDEX(Documents!$C$5:$C$657,MATCH(H2177,Documents!$A$5:$A$657,0))="","",INDEX(Documents!$C$5:$C$657,MATCH(H2177,Documents!$A$5:$A$657,0))),"")</f>
        <v>2013</v>
      </c>
      <c r="J2177" s="25" t="str">
        <f aca="false">IFERROR(IF(INDEX(Documents!$D$5:$D$657,MATCH(H2177,Documents!$A$5:$A$657,0))="","",INDEX(Documents!$D$5:$D$657,MATCH(H2177,Documents!$A$5:$A$657,0))),"")</f>
        <v>J Med Chem</v>
      </c>
      <c r="K2177" s="25" t="str">
        <f aca="false">IFERROR(IF(INDEX(Documents!$G$5:$G$657,MATCH(H2177,Documents!$A$5:$A$657,0))="","",INDEX(Documents!$G$5:$G$657,MATCH(H2177,Documents!$A$5:$A$657,0))),"")</f>
        <v>10.1021/jm3017464</v>
      </c>
      <c r="L2177" s="25" t="s">
        <v>2533</v>
      </c>
    </row>
    <row r="2178" customFormat="false" ht="15" hidden="false" customHeight="false" outlineLevel="0" collapsed="false">
      <c r="A2178" s="25" t="n">
        <v>12663674</v>
      </c>
      <c r="B2178" s="25" t="s">
        <v>4766</v>
      </c>
      <c r="C2178" s="25" t="s">
        <v>4767</v>
      </c>
      <c r="D2178" s="26" t="n">
        <v>34.99</v>
      </c>
      <c r="E2178" s="27" t="n">
        <v>7.45605605751709</v>
      </c>
      <c r="F2178" s="27" t="n">
        <v>7.45599400658341</v>
      </c>
      <c r="G2178" s="25" t="s">
        <v>2531</v>
      </c>
      <c r="H2178" s="25" t="s">
        <v>2532</v>
      </c>
      <c r="I2178" s="25" t="n">
        <f aca="false">IFERROR(IF(INDEX(Documents!$C$5:$C$657,MATCH(H2178,Documents!$A$5:$A$657,0))="","",INDEX(Documents!$C$5:$C$657,MATCH(H2178,Documents!$A$5:$A$657,0))),"")</f>
        <v>2013</v>
      </c>
      <c r="J2178" s="25" t="str">
        <f aca="false">IFERROR(IF(INDEX(Documents!$D$5:$D$657,MATCH(H2178,Documents!$A$5:$A$657,0))="","",INDEX(Documents!$D$5:$D$657,MATCH(H2178,Documents!$A$5:$A$657,0))),"")</f>
        <v>J Med Chem</v>
      </c>
      <c r="K2178" s="25" t="str">
        <f aca="false">IFERROR(IF(INDEX(Documents!$G$5:$G$657,MATCH(H2178,Documents!$A$5:$A$657,0))="","",INDEX(Documents!$G$5:$G$657,MATCH(H2178,Documents!$A$5:$A$657,0))),"")</f>
        <v>10.1021/jm3017464</v>
      </c>
      <c r="L2178" s="25" t="s">
        <v>2533</v>
      </c>
    </row>
    <row r="2179" customFormat="false" ht="15" hidden="false" customHeight="false" outlineLevel="0" collapsed="false">
      <c r="A2179" s="25" t="n">
        <v>12664940</v>
      </c>
      <c r="B2179" s="25" t="s">
        <v>4768</v>
      </c>
      <c r="C2179" s="25" t="s">
        <v>4769</v>
      </c>
      <c r="D2179" s="26" t="n">
        <v>222</v>
      </c>
      <c r="E2179" s="27" t="n">
        <v>6.65364702554936</v>
      </c>
      <c r="F2179" s="27" t="n">
        <v>6.65382316229631</v>
      </c>
      <c r="G2179" s="25" t="s">
        <v>2531</v>
      </c>
      <c r="H2179" s="25" t="s">
        <v>2532</v>
      </c>
      <c r="I2179" s="25" t="n">
        <f aca="false">IFERROR(IF(INDEX(Documents!$C$5:$C$657,MATCH(H2179,Documents!$A$5:$A$657,0))="","",INDEX(Documents!$C$5:$C$657,MATCH(H2179,Documents!$A$5:$A$657,0))),"")</f>
        <v>2013</v>
      </c>
      <c r="J2179" s="25" t="str">
        <f aca="false">IFERROR(IF(INDEX(Documents!$D$5:$D$657,MATCH(H2179,Documents!$A$5:$A$657,0))="","",INDEX(Documents!$D$5:$D$657,MATCH(H2179,Documents!$A$5:$A$657,0))),"")</f>
        <v>J Med Chem</v>
      </c>
      <c r="K2179" s="25" t="str">
        <f aca="false">IFERROR(IF(INDEX(Documents!$G$5:$G$657,MATCH(H2179,Documents!$A$5:$A$657,0))="","",INDEX(Documents!$G$5:$G$657,MATCH(H2179,Documents!$A$5:$A$657,0))),"")</f>
        <v>10.1021/jm3017464</v>
      </c>
      <c r="L2179" s="25" t="s">
        <v>2533</v>
      </c>
    </row>
    <row r="2180" customFormat="false" ht="15" hidden="false" customHeight="false" outlineLevel="0" collapsed="false">
      <c r="A2180" s="25" t="n">
        <v>12663639</v>
      </c>
      <c r="B2180" s="25" t="s">
        <v>4768</v>
      </c>
      <c r="C2180" s="25" t="s">
        <v>4769</v>
      </c>
      <c r="D2180" s="26" t="n">
        <v>221.82</v>
      </c>
      <c r="E2180" s="27" t="n">
        <v>6.65399929904325</v>
      </c>
      <c r="F2180" s="27" t="n">
        <v>6.65382316229631</v>
      </c>
      <c r="G2180" s="25" t="s">
        <v>2531</v>
      </c>
      <c r="H2180" s="25" t="s">
        <v>2532</v>
      </c>
      <c r="I2180" s="25" t="n">
        <f aca="false">IFERROR(IF(INDEX(Documents!$C$5:$C$657,MATCH(H2180,Documents!$A$5:$A$657,0))="","",INDEX(Documents!$C$5:$C$657,MATCH(H2180,Documents!$A$5:$A$657,0))),"")</f>
        <v>2013</v>
      </c>
      <c r="J2180" s="25" t="str">
        <f aca="false">IFERROR(IF(INDEX(Documents!$D$5:$D$657,MATCH(H2180,Documents!$A$5:$A$657,0))="","",INDEX(Documents!$D$5:$D$657,MATCH(H2180,Documents!$A$5:$A$657,0))),"")</f>
        <v>J Med Chem</v>
      </c>
      <c r="K2180" s="25" t="str">
        <f aca="false">IFERROR(IF(INDEX(Documents!$G$5:$G$657,MATCH(H2180,Documents!$A$5:$A$657,0))="","",INDEX(Documents!$G$5:$G$657,MATCH(H2180,Documents!$A$5:$A$657,0))),"")</f>
        <v>10.1021/jm3017464</v>
      </c>
      <c r="L2180" s="25" t="s">
        <v>2533</v>
      </c>
    </row>
    <row r="2181" customFormat="false" ht="15" hidden="false" customHeight="false" outlineLevel="0" collapsed="false">
      <c r="A2181" s="25" t="n">
        <v>12663649</v>
      </c>
      <c r="B2181" s="25" t="s">
        <v>4770</v>
      </c>
      <c r="C2181" s="25" t="s">
        <v>4771</v>
      </c>
      <c r="D2181" s="26" t="n">
        <v>164.06</v>
      </c>
      <c r="E2181" s="27" t="n">
        <v>6.78499729278505</v>
      </c>
      <c r="F2181" s="27" t="n">
        <v>6.78507672236868</v>
      </c>
      <c r="G2181" s="25" t="s">
        <v>2531</v>
      </c>
      <c r="H2181" s="25" t="s">
        <v>2532</v>
      </c>
      <c r="I2181" s="25" t="n">
        <f aca="false">IFERROR(IF(INDEX(Documents!$C$5:$C$657,MATCH(H2181,Documents!$A$5:$A$657,0))="","",INDEX(Documents!$C$5:$C$657,MATCH(H2181,Documents!$A$5:$A$657,0))),"")</f>
        <v>2013</v>
      </c>
      <c r="J2181" s="25" t="str">
        <f aca="false">IFERROR(IF(INDEX(Documents!$D$5:$D$657,MATCH(H2181,Documents!$A$5:$A$657,0))="","",INDEX(Documents!$D$5:$D$657,MATCH(H2181,Documents!$A$5:$A$657,0))),"")</f>
        <v>J Med Chem</v>
      </c>
      <c r="K2181" s="25" t="str">
        <f aca="false">IFERROR(IF(INDEX(Documents!$G$5:$G$657,MATCH(H2181,Documents!$A$5:$A$657,0))="","",INDEX(Documents!$G$5:$G$657,MATCH(H2181,Documents!$A$5:$A$657,0))),"")</f>
        <v>10.1021/jm3017464</v>
      </c>
      <c r="L2181" s="25" t="s">
        <v>2533</v>
      </c>
    </row>
    <row r="2182" customFormat="false" ht="15" hidden="false" customHeight="false" outlineLevel="0" collapsed="false">
      <c r="A2182" s="25" t="n">
        <v>12664950</v>
      </c>
      <c r="B2182" s="25" t="s">
        <v>4770</v>
      </c>
      <c r="C2182" s="25" t="s">
        <v>4771</v>
      </c>
      <c r="D2182" s="26" t="n">
        <v>164</v>
      </c>
      <c r="E2182" s="27" t="n">
        <v>6.7851561519523</v>
      </c>
      <c r="F2182" s="27" t="n">
        <v>6.78507672236868</v>
      </c>
      <c r="G2182" s="25" t="s">
        <v>2531</v>
      </c>
      <c r="H2182" s="25" t="s">
        <v>2532</v>
      </c>
      <c r="I2182" s="25" t="n">
        <f aca="false">IFERROR(IF(INDEX(Documents!$C$5:$C$657,MATCH(H2182,Documents!$A$5:$A$657,0))="","",INDEX(Documents!$C$5:$C$657,MATCH(H2182,Documents!$A$5:$A$657,0))),"")</f>
        <v>2013</v>
      </c>
      <c r="J2182" s="25" t="str">
        <f aca="false">IFERROR(IF(INDEX(Documents!$D$5:$D$657,MATCH(H2182,Documents!$A$5:$A$657,0))="","",INDEX(Documents!$D$5:$D$657,MATCH(H2182,Documents!$A$5:$A$657,0))),"")</f>
        <v>J Med Chem</v>
      </c>
      <c r="K2182" s="25" t="str">
        <f aca="false">IFERROR(IF(INDEX(Documents!$G$5:$G$657,MATCH(H2182,Documents!$A$5:$A$657,0))="","",INDEX(Documents!$G$5:$G$657,MATCH(H2182,Documents!$A$5:$A$657,0))),"")</f>
        <v>10.1021/jm3017464</v>
      </c>
      <c r="L2182" s="25" t="s">
        <v>2533</v>
      </c>
    </row>
    <row r="2183" customFormat="false" ht="15" hidden="false" customHeight="false" outlineLevel="0" collapsed="false">
      <c r="A2183" s="25" t="n">
        <v>12663672</v>
      </c>
      <c r="B2183" s="25" t="s">
        <v>4772</v>
      </c>
      <c r="C2183" s="25" t="s">
        <v>4773</v>
      </c>
      <c r="D2183" s="26" t="n">
        <v>38.02</v>
      </c>
      <c r="E2183" s="27" t="n">
        <v>7.41998788747058</v>
      </c>
      <c r="F2183" s="27" t="n">
        <v>7.42010214542688</v>
      </c>
      <c r="G2183" s="25" t="s">
        <v>2531</v>
      </c>
      <c r="H2183" s="25" t="s">
        <v>2532</v>
      </c>
      <c r="I2183" s="25" t="n">
        <f aca="false">IFERROR(IF(INDEX(Documents!$C$5:$C$657,MATCH(H2183,Documents!$A$5:$A$657,0))="","",INDEX(Documents!$C$5:$C$657,MATCH(H2183,Documents!$A$5:$A$657,0))),"")</f>
        <v>2013</v>
      </c>
      <c r="J2183" s="25" t="str">
        <f aca="false">IFERROR(IF(INDEX(Documents!$D$5:$D$657,MATCH(H2183,Documents!$A$5:$A$657,0))="","",INDEX(Documents!$D$5:$D$657,MATCH(H2183,Documents!$A$5:$A$657,0))),"")</f>
        <v>J Med Chem</v>
      </c>
      <c r="K2183" s="25" t="str">
        <f aca="false">IFERROR(IF(INDEX(Documents!$G$5:$G$657,MATCH(H2183,Documents!$A$5:$A$657,0))="","",INDEX(Documents!$G$5:$G$657,MATCH(H2183,Documents!$A$5:$A$657,0))),"")</f>
        <v>10.1021/jm3017464</v>
      </c>
      <c r="L2183" s="25" t="s">
        <v>2533</v>
      </c>
    </row>
    <row r="2184" customFormat="false" ht="15" hidden="false" customHeight="false" outlineLevel="0" collapsed="false">
      <c r="A2184" s="25" t="n">
        <v>12664975</v>
      </c>
      <c r="B2184" s="25" t="s">
        <v>4772</v>
      </c>
      <c r="C2184" s="25" t="s">
        <v>4773</v>
      </c>
      <c r="D2184" s="26" t="n">
        <v>38</v>
      </c>
      <c r="E2184" s="27" t="n">
        <v>7.42021640338319</v>
      </c>
      <c r="F2184" s="27" t="n">
        <v>7.42010214542688</v>
      </c>
      <c r="G2184" s="25" t="s">
        <v>2531</v>
      </c>
      <c r="H2184" s="25" t="s">
        <v>2532</v>
      </c>
      <c r="I2184" s="25" t="n">
        <f aca="false">IFERROR(IF(INDEX(Documents!$C$5:$C$657,MATCH(H2184,Documents!$A$5:$A$657,0))="","",INDEX(Documents!$C$5:$C$657,MATCH(H2184,Documents!$A$5:$A$657,0))),"")</f>
        <v>2013</v>
      </c>
      <c r="J2184" s="25" t="str">
        <f aca="false">IFERROR(IF(INDEX(Documents!$D$5:$D$657,MATCH(H2184,Documents!$A$5:$A$657,0))="","",INDEX(Documents!$D$5:$D$657,MATCH(H2184,Documents!$A$5:$A$657,0))),"")</f>
        <v>J Med Chem</v>
      </c>
      <c r="K2184" s="25" t="str">
        <f aca="false">IFERROR(IF(INDEX(Documents!$G$5:$G$657,MATCH(H2184,Documents!$A$5:$A$657,0))="","",INDEX(Documents!$G$5:$G$657,MATCH(H2184,Documents!$A$5:$A$657,0))),"")</f>
        <v>10.1021/jm3017464</v>
      </c>
      <c r="L2184" s="25" t="s">
        <v>2533</v>
      </c>
    </row>
    <row r="2185" customFormat="false" ht="15" hidden="false" customHeight="false" outlineLevel="0" collapsed="false">
      <c r="A2185" s="25" t="n">
        <v>12664941</v>
      </c>
      <c r="B2185" s="25" t="s">
        <v>4774</v>
      </c>
      <c r="C2185" s="25" t="s">
        <v>4775</v>
      </c>
      <c r="D2185" s="26" t="n">
        <v>107</v>
      </c>
      <c r="E2185" s="27" t="n">
        <v>6.97061622231479</v>
      </c>
      <c r="F2185" s="27" t="n">
        <v>6.97079894638415</v>
      </c>
      <c r="G2185" s="25" t="s">
        <v>2531</v>
      </c>
      <c r="H2185" s="25" t="s">
        <v>2532</v>
      </c>
      <c r="I2185" s="25" t="n">
        <f aca="false">IFERROR(IF(INDEX(Documents!$C$5:$C$657,MATCH(H2185,Documents!$A$5:$A$657,0))="","",INDEX(Documents!$C$5:$C$657,MATCH(H2185,Documents!$A$5:$A$657,0))),"")</f>
        <v>2013</v>
      </c>
      <c r="J2185" s="25" t="str">
        <f aca="false">IFERROR(IF(INDEX(Documents!$D$5:$D$657,MATCH(H2185,Documents!$A$5:$A$657,0))="","",INDEX(Documents!$D$5:$D$657,MATCH(H2185,Documents!$A$5:$A$657,0))),"")</f>
        <v>J Med Chem</v>
      </c>
      <c r="K2185" s="25" t="str">
        <f aca="false">IFERROR(IF(INDEX(Documents!$G$5:$G$657,MATCH(H2185,Documents!$A$5:$A$657,0))="","",INDEX(Documents!$G$5:$G$657,MATCH(H2185,Documents!$A$5:$A$657,0))),"")</f>
        <v>10.1021/jm3017464</v>
      </c>
      <c r="L2185" s="25" t="s">
        <v>2533</v>
      </c>
    </row>
    <row r="2186" customFormat="false" ht="15" hidden="false" customHeight="false" outlineLevel="0" collapsed="false">
      <c r="A2186" s="25" t="n">
        <v>12663640</v>
      </c>
      <c r="B2186" s="25" t="s">
        <v>4774</v>
      </c>
      <c r="C2186" s="25" t="s">
        <v>4775</v>
      </c>
      <c r="D2186" s="26" t="n">
        <v>106.91</v>
      </c>
      <c r="E2186" s="27" t="n">
        <v>6.97098167045352</v>
      </c>
      <c r="F2186" s="27" t="n">
        <v>6.97079894638415</v>
      </c>
      <c r="G2186" s="25" t="s">
        <v>2531</v>
      </c>
      <c r="H2186" s="25" t="s">
        <v>2532</v>
      </c>
      <c r="I2186" s="25" t="n">
        <f aca="false">IFERROR(IF(INDEX(Documents!$C$5:$C$657,MATCH(H2186,Documents!$A$5:$A$657,0))="","",INDEX(Documents!$C$5:$C$657,MATCH(H2186,Documents!$A$5:$A$657,0))),"")</f>
        <v>2013</v>
      </c>
      <c r="J2186" s="25" t="str">
        <f aca="false">IFERROR(IF(INDEX(Documents!$D$5:$D$657,MATCH(H2186,Documents!$A$5:$A$657,0))="","",INDEX(Documents!$D$5:$D$657,MATCH(H2186,Documents!$A$5:$A$657,0))),"")</f>
        <v>J Med Chem</v>
      </c>
      <c r="K2186" s="25" t="str">
        <f aca="false">IFERROR(IF(INDEX(Documents!$G$5:$G$657,MATCH(H2186,Documents!$A$5:$A$657,0))="","",INDEX(Documents!$G$5:$G$657,MATCH(H2186,Documents!$A$5:$A$657,0))),"")</f>
        <v>10.1021/jm3017464</v>
      </c>
      <c r="L2186" s="25" t="s">
        <v>2533</v>
      </c>
    </row>
    <row r="2187" customFormat="false" ht="15" hidden="false" customHeight="false" outlineLevel="0" collapsed="false">
      <c r="A2187" s="25" t="n">
        <v>12663650</v>
      </c>
      <c r="B2187" s="25" t="s">
        <v>4776</v>
      </c>
      <c r="C2187" s="25" t="s">
        <v>4777</v>
      </c>
      <c r="D2187" s="26" t="n">
        <v>136.14</v>
      </c>
      <c r="E2187" s="27" t="n">
        <v>6.86601425373142</v>
      </c>
      <c r="F2187" s="27" t="n">
        <v>6.8662376726806</v>
      </c>
      <c r="G2187" s="25" t="s">
        <v>2531</v>
      </c>
      <c r="H2187" s="25" t="s">
        <v>2532</v>
      </c>
      <c r="I2187" s="25" t="n">
        <f aca="false">IFERROR(IF(INDEX(Documents!$C$5:$C$657,MATCH(H2187,Documents!$A$5:$A$657,0))="","",INDEX(Documents!$C$5:$C$657,MATCH(H2187,Documents!$A$5:$A$657,0))),"")</f>
        <v>2013</v>
      </c>
      <c r="J2187" s="25" t="str">
        <f aca="false">IFERROR(IF(INDEX(Documents!$D$5:$D$657,MATCH(H2187,Documents!$A$5:$A$657,0))="","",INDEX(Documents!$D$5:$D$657,MATCH(H2187,Documents!$A$5:$A$657,0))),"")</f>
        <v>J Med Chem</v>
      </c>
      <c r="K2187" s="25" t="str">
        <f aca="false">IFERROR(IF(INDEX(Documents!$G$5:$G$657,MATCH(H2187,Documents!$A$5:$A$657,0))="","",INDEX(Documents!$G$5:$G$657,MATCH(H2187,Documents!$A$5:$A$657,0))),"")</f>
        <v>10.1021/jm3017464</v>
      </c>
      <c r="L2187" s="25" t="s">
        <v>2533</v>
      </c>
    </row>
    <row r="2188" customFormat="false" ht="15" hidden="false" customHeight="false" outlineLevel="0" collapsed="false">
      <c r="A2188" s="25" t="n">
        <v>12664951</v>
      </c>
      <c r="B2188" s="25" t="s">
        <v>4776</v>
      </c>
      <c r="C2188" s="25" t="s">
        <v>4777</v>
      </c>
      <c r="D2188" s="26" t="n">
        <v>136</v>
      </c>
      <c r="E2188" s="27" t="n">
        <v>6.86646109162978</v>
      </c>
      <c r="F2188" s="27" t="n">
        <v>6.8662376726806</v>
      </c>
      <c r="G2188" s="25" t="s">
        <v>2531</v>
      </c>
      <c r="H2188" s="25" t="s">
        <v>2532</v>
      </c>
      <c r="I2188" s="25" t="n">
        <f aca="false">IFERROR(IF(INDEX(Documents!$C$5:$C$657,MATCH(H2188,Documents!$A$5:$A$657,0))="","",INDEX(Documents!$C$5:$C$657,MATCH(H2188,Documents!$A$5:$A$657,0))),"")</f>
        <v>2013</v>
      </c>
      <c r="J2188" s="25" t="str">
        <f aca="false">IFERROR(IF(INDEX(Documents!$D$5:$D$657,MATCH(H2188,Documents!$A$5:$A$657,0))="","",INDEX(Documents!$D$5:$D$657,MATCH(H2188,Documents!$A$5:$A$657,0))),"")</f>
        <v>J Med Chem</v>
      </c>
      <c r="K2188" s="25" t="str">
        <f aca="false">IFERROR(IF(INDEX(Documents!$G$5:$G$657,MATCH(H2188,Documents!$A$5:$A$657,0))="","",INDEX(Documents!$G$5:$G$657,MATCH(H2188,Documents!$A$5:$A$657,0))),"")</f>
        <v>10.1021/jm3017464</v>
      </c>
      <c r="L2188" s="25" t="s">
        <v>2533</v>
      </c>
    </row>
    <row r="2189" customFormat="false" ht="15" hidden="false" customHeight="false" outlineLevel="0" collapsed="false">
      <c r="A2189" s="25" t="n">
        <v>12664974</v>
      </c>
      <c r="B2189" s="25" t="s">
        <v>4778</v>
      </c>
      <c r="C2189" s="25" t="s">
        <v>4779</v>
      </c>
      <c r="D2189" s="26" t="n">
        <v>60</v>
      </c>
      <c r="E2189" s="27" t="n">
        <v>7.22184874961636</v>
      </c>
      <c r="F2189" s="27" t="n">
        <v>7.22192114409642</v>
      </c>
      <c r="G2189" s="25" t="s">
        <v>2531</v>
      </c>
      <c r="H2189" s="25" t="s">
        <v>2532</v>
      </c>
      <c r="I2189" s="25" t="n">
        <f aca="false">IFERROR(IF(INDEX(Documents!$C$5:$C$657,MATCH(H2189,Documents!$A$5:$A$657,0))="","",INDEX(Documents!$C$5:$C$657,MATCH(H2189,Documents!$A$5:$A$657,0))),"")</f>
        <v>2013</v>
      </c>
      <c r="J2189" s="25" t="str">
        <f aca="false">IFERROR(IF(INDEX(Documents!$D$5:$D$657,MATCH(H2189,Documents!$A$5:$A$657,0))="","",INDEX(Documents!$D$5:$D$657,MATCH(H2189,Documents!$A$5:$A$657,0))),"")</f>
        <v>J Med Chem</v>
      </c>
      <c r="K2189" s="25" t="str">
        <f aca="false">IFERROR(IF(INDEX(Documents!$G$5:$G$657,MATCH(H2189,Documents!$A$5:$A$657,0))="","",INDEX(Documents!$G$5:$G$657,MATCH(H2189,Documents!$A$5:$A$657,0))),"")</f>
        <v>10.1021/jm3017464</v>
      </c>
      <c r="L2189" s="25" t="s">
        <v>2533</v>
      </c>
    </row>
    <row r="2190" customFormat="false" ht="15" hidden="false" customHeight="false" outlineLevel="0" collapsed="false">
      <c r="A2190" s="25" t="n">
        <v>12663671</v>
      </c>
      <c r="B2190" s="25" t="s">
        <v>4778</v>
      </c>
      <c r="C2190" s="25" t="s">
        <v>4779</v>
      </c>
      <c r="D2190" s="26" t="n">
        <v>59.98</v>
      </c>
      <c r="E2190" s="27" t="n">
        <v>7.22199353857649</v>
      </c>
      <c r="F2190" s="27" t="n">
        <v>7.22192114409642</v>
      </c>
      <c r="G2190" s="25" t="s">
        <v>2531</v>
      </c>
      <c r="H2190" s="25" t="s">
        <v>2532</v>
      </c>
      <c r="I2190" s="25" t="n">
        <f aca="false">IFERROR(IF(INDEX(Documents!$C$5:$C$657,MATCH(H2190,Documents!$A$5:$A$657,0))="","",INDEX(Documents!$C$5:$C$657,MATCH(H2190,Documents!$A$5:$A$657,0))),"")</f>
        <v>2013</v>
      </c>
      <c r="J2190" s="25" t="str">
        <f aca="false">IFERROR(IF(INDEX(Documents!$D$5:$D$657,MATCH(H2190,Documents!$A$5:$A$657,0))="","",INDEX(Documents!$D$5:$D$657,MATCH(H2190,Documents!$A$5:$A$657,0))),"")</f>
        <v>J Med Chem</v>
      </c>
      <c r="K2190" s="25" t="str">
        <f aca="false">IFERROR(IF(INDEX(Documents!$G$5:$G$657,MATCH(H2190,Documents!$A$5:$A$657,0))="","",INDEX(Documents!$G$5:$G$657,MATCH(H2190,Documents!$A$5:$A$657,0))),"")</f>
        <v>10.1021/jm3017464</v>
      </c>
      <c r="L2190" s="25" t="s">
        <v>2533</v>
      </c>
    </row>
    <row r="2191" customFormat="false" ht="15" hidden="false" customHeight="false" outlineLevel="0" collapsed="false">
      <c r="A2191" s="25" t="n">
        <v>12664942</v>
      </c>
      <c r="B2191" s="25" t="s">
        <v>4780</v>
      </c>
      <c r="C2191" s="25" t="s">
        <v>4781</v>
      </c>
      <c r="D2191" s="26" t="n">
        <v>72</v>
      </c>
      <c r="E2191" s="27" t="n">
        <v>7.14266750356873</v>
      </c>
      <c r="F2191" s="27" t="n">
        <v>7.14284853504312</v>
      </c>
      <c r="G2191" s="25" t="s">
        <v>2531</v>
      </c>
      <c r="H2191" s="25" t="s">
        <v>2532</v>
      </c>
      <c r="I2191" s="25" t="n">
        <f aca="false">IFERROR(IF(INDEX(Documents!$C$5:$C$657,MATCH(H2191,Documents!$A$5:$A$657,0))="","",INDEX(Documents!$C$5:$C$657,MATCH(H2191,Documents!$A$5:$A$657,0))),"")</f>
        <v>2013</v>
      </c>
      <c r="J2191" s="25" t="str">
        <f aca="false">IFERROR(IF(INDEX(Documents!$D$5:$D$657,MATCH(H2191,Documents!$A$5:$A$657,0))="","",INDEX(Documents!$D$5:$D$657,MATCH(H2191,Documents!$A$5:$A$657,0))),"")</f>
        <v>J Med Chem</v>
      </c>
      <c r="K2191" s="25" t="str">
        <f aca="false">IFERROR(IF(INDEX(Documents!$G$5:$G$657,MATCH(H2191,Documents!$A$5:$A$657,0))="","",INDEX(Documents!$G$5:$G$657,MATCH(H2191,Documents!$A$5:$A$657,0))),"")</f>
        <v>10.1021/jm3017464</v>
      </c>
      <c r="L2191" s="25" t="s">
        <v>2533</v>
      </c>
    </row>
    <row r="2192" customFormat="false" ht="15" hidden="false" customHeight="false" outlineLevel="0" collapsed="false">
      <c r="A2192" s="25" t="n">
        <v>12663641</v>
      </c>
      <c r="B2192" s="25" t="s">
        <v>4780</v>
      </c>
      <c r="C2192" s="25" t="s">
        <v>4781</v>
      </c>
      <c r="D2192" s="26" t="n">
        <v>71.94</v>
      </c>
      <c r="E2192" s="27" t="n">
        <v>7.14302956651751</v>
      </c>
      <c r="F2192" s="27" t="n">
        <v>7.14284853504312</v>
      </c>
      <c r="G2192" s="25" t="s">
        <v>2531</v>
      </c>
      <c r="H2192" s="25" t="s">
        <v>2532</v>
      </c>
      <c r="I2192" s="25" t="n">
        <f aca="false">IFERROR(IF(INDEX(Documents!$C$5:$C$657,MATCH(H2192,Documents!$A$5:$A$657,0))="","",INDEX(Documents!$C$5:$C$657,MATCH(H2192,Documents!$A$5:$A$657,0))),"")</f>
        <v>2013</v>
      </c>
      <c r="J2192" s="25" t="str">
        <f aca="false">IFERROR(IF(INDEX(Documents!$D$5:$D$657,MATCH(H2192,Documents!$A$5:$A$657,0))="","",INDEX(Documents!$D$5:$D$657,MATCH(H2192,Documents!$A$5:$A$657,0))),"")</f>
        <v>J Med Chem</v>
      </c>
      <c r="K2192" s="25" t="str">
        <f aca="false">IFERROR(IF(INDEX(Documents!$G$5:$G$657,MATCH(H2192,Documents!$A$5:$A$657,0))="","",INDEX(Documents!$G$5:$G$657,MATCH(H2192,Documents!$A$5:$A$657,0))),"")</f>
        <v>10.1021/jm3017464</v>
      </c>
      <c r="L2192" s="25" t="s">
        <v>2533</v>
      </c>
    </row>
    <row r="2193" customFormat="false" ht="15" hidden="false" customHeight="false" outlineLevel="0" collapsed="false">
      <c r="A2193" s="25" t="n">
        <v>12688464</v>
      </c>
      <c r="B2193" s="25" t="s">
        <v>4782</v>
      </c>
      <c r="C2193" s="25" t="s">
        <v>4783</v>
      </c>
      <c r="D2193" s="26" t="n">
        <v>36</v>
      </c>
      <c r="E2193" s="27" t="n">
        <v>7.44369749923271</v>
      </c>
      <c r="F2193" s="27" t="n">
        <v>7.44369749923271</v>
      </c>
      <c r="G2193" s="25" t="s">
        <v>508</v>
      </c>
      <c r="H2193" s="25" t="s">
        <v>509</v>
      </c>
      <c r="I2193" s="25" t="n">
        <f aca="false">IFERROR(IF(INDEX(Documents!$C$5:$C$657,MATCH(H2193,Documents!$A$5:$A$657,0))="","",INDEX(Documents!$C$5:$C$657,MATCH(H2193,Documents!$A$5:$A$657,0))),"")</f>
        <v>2013</v>
      </c>
      <c r="J2193" s="25" t="str">
        <f aca="false">IFERROR(IF(INDEX(Documents!$D$5:$D$657,MATCH(H2193,Documents!$A$5:$A$657,0))="","",INDEX(Documents!$D$5:$D$657,MATCH(H2193,Documents!$A$5:$A$657,0))),"")</f>
        <v>ACS Med Chem Lett</v>
      </c>
      <c r="K2193" s="25" t="str">
        <f aca="false">IFERROR(IF(INDEX(Documents!$G$5:$G$657,MATCH(H2193,Documents!$A$5:$A$657,0))="","",INDEX(Documents!$G$5:$G$657,MATCH(H2193,Documents!$A$5:$A$657,0))),"")</f>
        <v>10.1021/ml3004236</v>
      </c>
      <c r="L2193" s="25" t="s">
        <v>510</v>
      </c>
    </row>
    <row r="2194" customFormat="false" ht="15" hidden="false" customHeight="false" outlineLevel="0" collapsed="false">
      <c r="A2194" s="25" t="n">
        <v>12688457</v>
      </c>
      <c r="B2194" s="25" t="s">
        <v>4784</v>
      </c>
      <c r="C2194" s="25" t="s">
        <v>4785</v>
      </c>
      <c r="D2194" s="26" t="n">
        <v>55</v>
      </c>
      <c r="E2194" s="27" t="n">
        <v>7.25963731050576</v>
      </c>
      <c r="F2194" s="27" t="n">
        <v>7.25963731050576</v>
      </c>
      <c r="G2194" s="25" t="s">
        <v>508</v>
      </c>
      <c r="H2194" s="25" t="s">
        <v>509</v>
      </c>
      <c r="I2194" s="25" t="n">
        <f aca="false">IFERROR(IF(INDEX(Documents!$C$5:$C$657,MATCH(H2194,Documents!$A$5:$A$657,0))="","",INDEX(Documents!$C$5:$C$657,MATCH(H2194,Documents!$A$5:$A$657,0))),"")</f>
        <v>2013</v>
      </c>
      <c r="J2194" s="25" t="str">
        <f aca="false">IFERROR(IF(INDEX(Documents!$D$5:$D$657,MATCH(H2194,Documents!$A$5:$A$657,0))="","",INDEX(Documents!$D$5:$D$657,MATCH(H2194,Documents!$A$5:$A$657,0))),"")</f>
        <v>ACS Med Chem Lett</v>
      </c>
      <c r="K2194" s="25" t="str">
        <f aca="false">IFERROR(IF(INDEX(Documents!$G$5:$G$657,MATCH(H2194,Documents!$A$5:$A$657,0))="","",INDEX(Documents!$G$5:$G$657,MATCH(H2194,Documents!$A$5:$A$657,0))),"")</f>
        <v>10.1021/ml3004236</v>
      </c>
      <c r="L2194" s="25" t="s">
        <v>510</v>
      </c>
    </row>
    <row r="2195" customFormat="false" ht="15" hidden="false" customHeight="false" outlineLevel="0" collapsed="false">
      <c r="A2195" s="25" t="n">
        <v>12688466</v>
      </c>
      <c r="B2195" s="25" t="s">
        <v>4786</v>
      </c>
      <c r="C2195" s="25" t="s">
        <v>4787</v>
      </c>
      <c r="D2195" s="26" t="n">
        <v>18</v>
      </c>
      <c r="E2195" s="27" t="n">
        <v>7.74472749489669</v>
      </c>
      <c r="F2195" s="27" t="n">
        <v>7.74472749489669</v>
      </c>
      <c r="G2195" s="25" t="s">
        <v>508</v>
      </c>
      <c r="H2195" s="25" t="s">
        <v>509</v>
      </c>
      <c r="I2195" s="25" t="n">
        <f aca="false">IFERROR(IF(INDEX(Documents!$C$5:$C$657,MATCH(H2195,Documents!$A$5:$A$657,0))="","",INDEX(Documents!$C$5:$C$657,MATCH(H2195,Documents!$A$5:$A$657,0))),"")</f>
        <v>2013</v>
      </c>
      <c r="J2195" s="25" t="str">
        <f aca="false">IFERROR(IF(INDEX(Documents!$D$5:$D$657,MATCH(H2195,Documents!$A$5:$A$657,0))="","",INDEX(Documents!$D$5:$D$657,MATCH(H2195,Documents!$A$5:$A$657,0))),"")</f>
        <v>ACS Med Chem Lett</v>
      </c>
      <c r="K2195" s="25" t="str">
        <f aca="false">IFERROR(IF(INDEX(Documents!$G$5:$G$657,MATCH(H2195,Documents!$A$5:$A$657,0))="","",INDEX(Documents!$G$5:$G$657,MATCH(H2195,Documents!$A$5:$A$657,0))),"")</f>
        <v>10.1021/ml3004236</v>
      </c>
      <c r="L2195" s="25" t="s">
        <v>510</v>
      </c>
    </row>
    <row r="2196" customFormat="false" ht="15" hidden="false" customHeight="false" outlineLevel="0" collapsed="false">
      <c r="A2196" s="25" t="n">
        <v>12688458</v>
      </c>
      <c r="B2196" s="25" t="s">
        <v>4788</v>
      </c>
      <c r="C2196" s="25" t="s">
        <v>4789</v>
      </c>
      <c r="D2196" s="26" t="n">
        <v>75</v>
      </c>
      <c r="E2196" s="27" t="n">
        <v>7.1249387366083</v>
      </c>
      <c r="F2196" s="27" t="n">
        <v>7.1249387366083</v>
      </c>
      <c r="G2196" s="25" t="s">
        <v>508</v>
      </c>
      <c r="H2196" s="25" t="s">
        <v>509</v>
      </c>
      <c r="I2196" s="25" t="n">
        <f aca="false">IFERROR(IF(INDEX(Documents!$C$5:$C$657,MATCH(H2196,Documents!$A$5:$A$657,0))="","",INDEX(Documents!$C$5:$C$657,MATCH(H2196,Documents!$A$5:$A$657,0))),"")</f>
        <v>2013</v>
      </c>
      <c r="J2196" s="25" t="str">
        <f aca="false">IFERROR(IF(INDEX(Documents!$D$5:$D$657,MATCH(H2196,Documents!$A$5:$A$657,0))="","",INDEX(Documents!$D$5:$D$657,MATCH(H2196,Documents!$A$5:$A$657,0))),"")</f>
        <v>ACS Med Chem Lett</v>
      </c>
      <c r="K2196" s="25" t="str">
        <f aca="false">IFERROR(IF(INDEX(Documents!$G$5:$G$657,MATCH(H2196,Documents!$A$5:$A$657,0))="","",INDEX(Documents!$G$5:$G$657,MATCH(H2196,Documents!$A$5:$A$657,0))),"")</f>
        <v>10.1021/ml3004236</v>
      </c>
      <c r="L2196" s="25" t="s">
        <v>510</v>
      </c>
    </row>
    <row r="2197" customFormat="false" ht="15" hidden="false" customHeight="false" outlineLevel="0" collapsed="false">
      <c r="A2197" s="25" t="n">
        <v>12688470</v>
      </c>
      <c r="B2197" s="25" t="s">
        <v>4790</v>
      </c>
      <c r="C2197" s="25" t="s">
        <v>4791</v>
      </c>
      <c r="D2197" s="26" t="n">
        <v>34</v>
      </c>
      <c r="E2197" s="27" t="n">
        <v>7.46852108295775</v>
      </c>
      <c r="F2197" s="27" t="n">
        <v>7.46852108295775</v>
      </c>
      <c r="G2197" s="25" t="s">
        <v>508</v>
      </c>
      <c r="H2197" s="25" t="s">
        <v>509</v>
      </c>
      <c r="I2197" s="25" t="n">
        <f aca="false">IFERROR(IF(INDEX(Documents!$C$5:$C$657,MATCH(H2197,Documents!$A$5:$A$657,0))="","",INDEX(Documents!$C$5:$C$657,MATCH(H2197,Documents!$A$5:$A$657,0))),"")</f>
        <v>2013</v>
      </c>
      <c r="J2197" s="25" t="str">
        <f aca="false">IFERROR(IF(INDEX(Documents!$D$5:$D$657,MATCH(H2197,Documents!$A$5:$A$657,0))="","",INDEX(Documents!$D$5:$D$657,MATCH(H2197,Documents!$A$5:$A$657,0))),"")</f>
        <v>ACS Med Chem Lett</v>
      </c>
      <c r="K2197" s="25" t="str">
        <f aca="false">IFERROR(IF(INDEX(Documents!$G$5:$G$657,MATCH(H2197,Documents!$A$5:$A$657,0))="","",INDEX(Documents!$G$5:$G$657,MATCH(H2197,Documents!$A$5:$A$657,0))),"")</f>
        <v>10.1021/ml3004236</v>
      </c>
      <c r="L2197" s="25" t="s">
        <v>510</v>
      </c>
    </row>
    <row r="2198" customFormat="false" ht="15" hidden="false" customHeight="false" outlineLevel="0" collapsed="false">
      <c r="A2198" s="25" t="n">
        <v>12688475</v>
      </c>
      <c r="B2198" s="25" t="s">
        <v>4792</v>
      </c>
      <c r="C2198" s="25" t="s">
        <v>4793</v>
      </c>
      <c r="D2198" s="26" t="n">
        <v>120</v>
      </c>
      <c r="E2198" s="27" t="n">
        <v>6.92081875395238</v>
      </c>
      <c r="F2198" s="27" t="n">
        <v>6.92081875395238</v>
      </c>
      <c r="G2198" s="25" t="s">
        <v>508</v>
      </c>
      <c r="H2198" s="25" t="s">
        <v>509</v>
      </c>
      <c r="I2198" s="25" t="n">
        <f aca="false">IFERROR(IF(INDEX(Documents!$C$5:$C$657,MATCH(H2198,Documents!$A$5:$A$657,0))="","",INDEX(Documents!$C$5:$C$657,MATCH(H2198,Documents!$A$5:$A$657,0))),"")</f>
        <v>2013</v>
      </c>
      <c r="J2198" s="25" t="str">
        <f aca="false">IFERROR(IF(INDEX(Documents!$D$5:$D$657,MATCH(H2198,Documents!$A$5:$A$657,0))="","",INDEX(Documents!$D$5:$D$657,MATCH(H2198,Documents!$A$5:$A$657,0))),"")</f>
        <v>ACS Med Chem Lett</v>
      </c>
      <c r="K2198" s="25" t="str">
        <f aca="false">IFERROR(IF(INDEX(Documents!$G$5:$G$657,MATCH(H2198,Documents!$A$5:$A$657,0))="","",INDEX(Documents!$G$5:$G$657,MATCH(H2198,Documents!$A$5:$A$657,0))),"")</f>
        <v>10.1021/ml3004236</v>
      </c>
      <c r="L2198" s="25" t="s">
        <v>510</v>
      </c>
    </row>
    <row r="2199" customFormat="false" ht="15" hidden="false" customHeight="false" outlineLevel="0" collapsed="false">
      <c r="A2199" s="25" t="n">
        <v>12688472</v>
      </c>
      <c r="B2199" s="25" t="s">
        <v>4794</v>
      </c>
      <c r="C2199" s="25" t="s">
        <v>4795</v>
      </c>
      <c r="D2199" s="26" t="n">
        <v>390</v>
      </c>
      <c r="E2199" s="27" t="n">
        <v>6.4089353929735</v>
      </c>
      <c r="F2199" s="27" t="n">
        <v>6.4089353929735</v>
      </c>
      <c r="G2199" s="25" t="s">
        <v>508</v>
      </c>
      <c r="H2199" s="25" t="s">
        <v>509</v>
      </c>
      <c r="I2199" s="25" t="n">
        <f aca="false">IFERROR(IF(INDEX(Documents!$C$5:$C$657,MATCH(H2199,Documents!$A$5:$A$657,0))="","",INDEX(Documents!$C$5:$C$657,MATCH(H2199,Documents!$A$5:$A$657,0))),"")</f>
        <v>2013</v>
      </c>
      <c r="J2199" s="25" t="str">
        <f aca="false">IFERROR(IF(INDEX(Documents!$D$5:$D$657,MATCH(H2199,Documents!$A$5:$A$657,0))="","",INDEX(Documents!$D$5:$D$657,MATCH(H2199,Documents!$A$5:$A$657,0))),"")</f>
        <v>ACS Med Chem Lett</v>
      </c>
      <c r="K2199" s="25" t="str">
        <f aca="false">IFERROR(IF(INDEX(Documents!$G$5:$G$657,MATCH(H2199,Documents!$A$5:$A$657,0))="","",INDEX(Documents!$G$5:$G$657,MATCH(H2199,Documents!$A$5:$A$657,0))),"")</f>
        <v>10.1021/ml3004236</v>
      </c>
      <c r="L2199" s="25" t="s">
        <v>510</v>
      </c>
    </row>
    <row r="2200" customFormat="false" ht="15" hidden="false" customHeight="false" outlineLevel="0" collapsed="false">
      <c r="A2200" s="25" t="n">
        <v>12688473</v>
      </c>
      <c r="B2200" s="25" t="s">
        <v>4796</v>
      </c>
      <c r="C2200" s="25" t="s">
        <v>4797</v>
      </c>
      <c r="D2200" s="26" t="n">
        <v>210</v>
      </c>
      <c r="E2200" s="27" t="n">
        <v>6.67778070526608</v>
      </c>
      <c r="F2200" s="27" t="n">
        <v>6.67778070526608</v>
      </c>
      <c r="G2200" s="25" t="s">
        <v>508</v>
      </c>
      <c r="H2200" s="25" t="s">
        <v>509</v>
      </c>
      <c r="I2200" s="25" t="n">
        <f aca="false">IFERROR(IF(INDEX(Documents!$C$5:$C$657,MATCH(H2200,Documents!$A$5:$A$657,0))="","",INDEX(Documents!$C$5:$C$657,MATCH(H2200,Documents!$A$5:$A$657,0))),"")</f>
        <v>2013</v>
      </c>
      <c r="J2200" s="25" t="str">
        <f aca="false">IFERROR(IF(INDEX(Documents!$D$5:$D$657,MATCH(H2200,Documents!$A$5:$A$657,0))="","",INDEX(Documents!$D$5:$D$657,MATCH(H2200,Documents!$A$5:$A$657,0))),"")</f>
        <v>ACS Med Chem Lett</v>
      </c>
      <c r="K2200" s="25" t="str">
        <f aca="false">IFERROR(IF(INDEX(Documents!$G$5:$G$657,MATCH(H2200,Documents!$A$5:$A$657,0))="","",INDEX(Documents!$G$5:$G$657,MATCH(H2200,Documents!$A$5:$A$657,0))),"")</f>
        <v>10.1021/ml3004236</v>
      </c>
      <c r="L2200" s="25" t="s">
        <v>510</v>
      </c>
    </row>
    <row r="2201" customFormat="false" ht="15" hidden="false" customHeight="false" outlineLevel="0" collapsed="false">
      <c r="A2201" s="25" t="n">
        <v>12688471</v>
      </c>
      <c r="B2201" s="25" t="s">
        <v>4798</v>
      </c>
      <c r="C2201" s="25" t="s">
        <v>4799</v>
      </c>
      <c r="D2201" s="26" t="n">
        <v>120</v>
      </c>
      <c r="E2201" s="27" t="n">
        <v>6.92081875395238</v>
      </c>
      <c r="F2201" s="27" t="n">
        <v>6.92081875395238</v>
      </c>
      <c r="G2201" s="25" t="s">
        <v>508</v>
      </c>
      <c r="H2201" s="25" t="s">
        <v>509</v>
      </c>
      <c r="I2201" s="25" t="n">
        <f aca="false">IFERROR(IF(INDEX(Documents!$C$5:$C$657,MATCH(H2201,Documents!$A$5:$A$657,0))="","",INDEX(Documents!$C$5:$C$657,MATCH(H2201,Documents!$A$5:$A$657,0))),"")</f>
        <v>2013</v>
      </c>
      <c r="J2201" s="25" t="str">
        <f aca="false">IFERROR(IF(INDEX(Documents!$D$5:$D$657,MATCH(H2201,Documents!$A$5:$A$657,0))="","",INDEX(Documents!$D$5:$D$657,MATCH(H2201,Documents!$A$5:$A$657,0))),"")</f>
        <v>ACS Med Chem Lett</v>
      </c>
      <c r="K2201" s="25" t="str">
        <f aca="false">IFERROR(IF(INDEX(Documents!$G$5:$G$657,MATCH(H2201,Documents!$A$5:$A$657,0))="","",INDEX(Documents!$G$5:$G$657,MATCH(H2201,Documents!$A$5:$A$657,0))),"")</f>
        <v>10.1021/ml3004236</v>
      </c>
      <c r="L2201" s="25" t="s">
        <v>510</v>
      </c>
    </row>
    <row r="2202" customFormat="false" ht="15" hidden="false" customHeight="false" outlineLevel="0" collapsed="false">
      <c r="A2202" s="25" t="n">
        <v>12688474</v>
      </c>
      <c r="B2202" s="25" t="s">
        <v>4800</v>
      </c>
      <c r="C2202" s="25" t="s">
        <v>4801</v>
      </c>
      <c r="D2202" s="26" t="n">
        <v>540</v>
      </c>
      <c r="E2202" s="27" t="n">
        <v>6.26760624017703</v>
      </c>
      <c r="F2202" s="27" t="n">
        <v>6.26760624017703</v>
      </c>
      <c r="G2202" s="25" t="s">
        <v>508</v>
      </c>
      <c r="H2202" s="25" t="s">
        <v>509</v>
      </c>
      <c r="I2202" s="25" t="n">
        <f aca="false">IFERROR(IF(INDEX(Documents!$C$5:$C$657,MATCH(H2202,Documents!$A$5:$A$657,0))="","",INDEX(Documents!$C$5:$C$657,MATCH(H2202,Documents!$A$5:$A$657,0))),"")</f>
        <v>2013</v>
      </c>
      <c r="J2202" s="25" t="str">
        <f aca="false">IFERROR(IF(INDEX(Documents!$D$5:$D$657,MATCH(H2202,Documents!$A$5:$A$657,0))="","",INDEX(Documents!$D$5:$D$657,MATCH(H2202,Documents!$A$5:$A$657,0))),"")</f>
        <v>ACS Med Chem Lett</v>
      </c>
      <c r="K2202" s="25" t="str">
        <f aca="false">IFERROR(IF(INDEX(Documents!$G$5:$G$657,MATCH(H2202,Documents!$A$5:$A$657,0))="","",INDEX(Documents!$G$5:$G$657,MATCH(H2202,Documents!$A$5:$A$657,0))),"")</f>
        <v>10.1021/ml3004236</v>
      </c>
      <c r="L2202" s="25" t="s">
        <v>510</v>
      </c>
    </row>
    <row r="2203" customFormat="false" ht="15" hidden="false" customHeight="false" outlineLevel="0" collapsed="false">
      <c r="A2203" s="25" t="n">
        <v>12688488</v>
      </c>
      <c r="B2203" s="25" t="s">
        <v>4802</v>
      </c>
      <c r="C2203" s="25" t="s">
        <v>4803</v>
      </c>
      <c r="D2203" s="26" t="n">
        <v>150</v>
      </c>
      <c r="E2203" s="27" t="n">
        <v>6.82390874094432</v>
      </c>
      <c r="F2203" s="27" t="n">
        <v>6.82390874094432</v>
      </c>
      <c r="G2203" s="25" t="s">
        <v>508</v>
      </c>
      <c r="H2203" s="25" t="s">
        <v>509</v>
      </c>
      <c r="I2203" s="25" t="n">
        <f aca="false">IFERROR(IF(INDEX(Documents!$C$5:$C$657,MATCH(H2203,Documents!$A$5:$A$657,0))="","",INDEX(Documents!$C$5:$C$657,MATCH(H2203,Documents!$A$5:$A$657,0))),"")</f>
        <v>2013</v>
      </c>
      <c r="J2203" s="25" t="str">
        <f aca="false">IFERROR(IF(INDEX(Documents!$D$5:$D$657,MATCH(H2203,Documents!$A$5:$A$657,0))="","",INDEX(Documents!$D$5:$D$657,MATCH(H2203,Documents!$A$5:$A$657,0))),"")</f>
        <v>ACS Med Chem Lett</v>
      </c>
      <c r="K2203" s="25" t="str">
        <f aca="false">IFERROR(IF(INDEX(Documents!$G$5:$G$657,MATCH(H2203,Documents!$A$5:$A$657,0))="","",INDEX(Documents!$G$5:$G$657,MATCH(H2203,Documents!$A$5:$A$657,0))),"")</f>
        <v>10.1021/ml3004236</v>
      </c>
      <c r="L2203" s="25" t="s">
        <v>510</v>
      </c>
    </row>
    <row r="2204" customFormat="false" ht="15" hidden="false" customHeight="false" outlineLevel="0" collapsed="false">
      <c r="A2204" s="25" t="n">
        <v>12688487</v>
      </c>
      <c r="B2204" s="25" t="s">
        <v>4804</v>
      </c>
      <c r="C2204" s="25" t="s">
        <v>4805</v>
      </c>
      <c r="D2204" s="26" t="n">
        <v>262</v>
      </c>
      <c r="E2204" s="27" t="n">
        <v>6.58169870868026</v>
      </c>
      <c r="F2204" s="27" t="n">
        <v>6.58169870868026</v>
      </c>
      <c r="G2204" s="25" t="s">
        <v>508</v>
      </c>
      <c r="H2204" s="25" t="s">
        <v>509</v>
      </c>
      <c r="I2204" s="25" t="n">
        <f aca="false">IFERROR(IF(INDEX(Documents!$C$5:$C$657,MATCH(H2204,Documents!$A$5:$A$657,0))="","",INDEX(Documents!$C$5:$C$657,MATCH(H2204,Documents!$A$5:$A$657,0))),"")</f>
        <v>2013</v>
      </c>
      <c r="J2204" s="25" t="str">
        <f aca="false">IFERROR(IF(INDEX(Documents!$D$5:$D$657,MATCH(H2204,Documents!$A$5:$A$657,0))="","",INDEX(Documents!$D$5:$D$657,MATCH(H2204,Documents!$A$5:$A$657,0))),"")</f>
        <v>ACS Med Chem Lett</v>
      </c>
      <c r="K2204" s="25" t="str">
        <f aca="false">IFERROR(IF(INDEX(Documents!$G$5:$G$657,MATCH(H2204,Documents!$A$5:$A$657,0))="","",INDEX(Documents!$G$5:$G$657,MATCH(H2204,Documents!$A$5:$A$657,0))),"")</f>
        <v>10.1021/ml3004236</v>
      </c>
      <c r="L2204" s="25" t="s">
        <v>510</v>
      </c>
    </row>
    <row r="2205" customFormat="false" ht="15" hidden="false" customHeight="false" outlineLevel="0" collapsed="false">
      <c r="A2205" s="25" t="n">
        <v>12688477</v>
      </c>
      <c r="B2205" s="25" t="s">
        <v>4806</v>
      </c>
      <c r="C2205" s="25" t="s">
        <v>4807</v>
      </c>
      <c r="D2205" s="26" t="n">
        <v>166</v>
      </c>
      <c r="E2205" s="27" t="n">
        <v>6.77989191195995</v>
      </c>
      <c r="F2205" s="27" t="n">
        <v>6.77989191195995</v>
      </c>
      <c r="G2205" s="25" t="s">
        <v>508</v>
      </c>
      <c r="H2205" s="25" t="s">
        <v>509</v>
      </c>
      <c r="I2205" s="25" t="n">
        <f aca="false">IFERROR(IF(INDEX(Documents!$C$5:$C$657,MATCH(H2205,Documents!$A$5:$A$657,0))="","",INDEX(Documents!$C$5:$C$657,MATCH(H2205,Documents!$A$5:$A$657,0))),"")</f>
        <v>2013</v>
      </c>
      <c r="J2205" s="25" t="str">
        <f aca="false">IFERROR(IF(INDEX(Documents!$D$5:$D$657,MATCH(H2205,Documents!$A$5:$A$657,0))="","",INDEX(Documents!$D$5:$D$657,MATCH(H2205,Documents!$A$5:$A$657,0))),"")</f>
        <v>ACS Med Chem Lett</v>
      </c>
      <c r="K2205" s="25" t="str">
        <f aca="false">IFERROR(IF(INDEX(Documents!$G$5:$G$657,MATCH(H2205,Documents!$A$5:$A$657,0))="","",INDEX(Documents!$G$5:$G$657,MATCH(H2205,Documents!$A$5:$A$657,0))),"")</f>
        <v>10.1021/ml3004236</v>
      </c>
      <c r="L2205" s="25" t="s">
        <v>510</v>
      </c>
    </row>
    <row r="2206" customFormat="false" ht="15" hidden="false" customHeight="false" outlineLevel="0" collapsed="false">
      <c r="A2206" s="25" t="n">
        <v>12688482</v>
      </c>
      <c r="B2206" s="25" t="s">
        <v>4808</v>
      </c>
      <c r="C2206" s="25" t="s">
        <v>4809</v>
      </c>
      <c r="D2206" s="26" t="n">
        <v>71</v>
      </c>
      <c r="E2206" s="27" t="n">
        <v>7.14874165128093</v>
      </c>
      <c r="F2206" s="27" t="n">
        <v>7.14874165128093</v>
      </c>
      <c r="G2206" s="25" t="s">
        <v>508</v>
      </c>
      <c r="H2206" s="25" t="s">
        <v>509</v>
      </c>
      <c r="I2206" s="25" t="n">
        <f aca="false">IFERROR(IF(INDEX(Documents!$C$5:$C$657,MATCH(H2206,Documents!$A$5:$A$657,0))="","",INDEX(Documents!$C$5:$C$657,MATCH(H2206,Documents!$A$5:$A$657,0))),"")</f>
        <v>2013</v>
      </c>
      <c r="J2206" s="25" t="str">
        <f aca="false">IFERROR(IF(INDEX(Documents!$D$5:$D$657,MATCH(H2206,Documents!$A$5:$A$657,0))="","",INDEX(Documents!$D$5:$D$657,MATCH(H2206,Documents!$A$5:$A$657,0))),"")</f>
        <v>ACS Med Chem Lett</v>
      </c>
      <c r="K2206" s="25" t="str">
        <f aca="false">IFERROR(IF(INDEX(Documents!$G$5:$G$657,MATCH(H2206,Documents!$A$5:$A$657,0))="","",INDEX(Documents!$G$5:$G$657,MATCH(H2206,Documents!$A$5:$A$657,0))),"")</f>
        <v>10.1021/ml3004236</v>
      </c>
      <c r="L2206" s="25" t="s">
        <v>510</v>
      </c>
    </row>
    <row r="2207" customFormat="false" ht="15" hidden="false" customHeight="false" outlineLevel="0" collapsed="false">
      <c r="A2207" s="25" t="n">
        <v>12688498</v>
      </c>
      <c r="B2207" s="25" t="s">
        <v>4810</v>
      </c>
      <c r="C2207" s="25" t="s">
        <v>4811</v>
      </c>
      <c r="D2207" s="26" t="n">
        <v>53</v>
      </c>
      <c r="E2207" s="27" t="n">
        <v>7.27572413039921</v>
      </c>
      <c r="F2207" s="27" t="n">
        <v>7.27572413039921</v>
      </c>
      <c r="G2207" s="25" t="s">
        <v>508</v>
      </c>
      <c r="H2207" s="25" t="s">
        <v>509</v>
      </c>
      <c r="I2207" s="25" t="n">
        <f aca="false">IFERROR(IF(INDEX(Documents!$C$5:$C$657,MATCH(H2207,Documents!$A$5:$A$657,0))="","",INDEX(Documents!$C$5:$C$657,MATCH(H2207,Documents!$A$5:$A$657,0))),"")</f>
        <v>2013</v>
      </c>
      <c r="J2207" s="25" t="str">
        <f aca="false">IFERROR(IF(INDEX(Documents!$D$5:$D$657,MATCH(H2207,Documents!$A$5:$A$657,0))="","",INDEX(Documents!$D$5:$D$657,MATCH(H2207,Documents!$A$5:$A$657,0))),"")</f>
        <v>ACS Med Chem Lett</v>
      </c>
      <c r="K2207" s="25" t="str">
        <f aca="false">IFERROR(IF(INDEX(Documents!$G$5:$G$657,MATCH(H2207,Documents!$A$5:$A$657,0))="","",INDEX(Documents!$G$5:$G$657,MATCH(H2207,Documents!$A$5:$A$657,0))),"")</f>
        <v>10.1021/ml3004236</v>
      </c>
      <c r="L2207" s="25" t="s">
        <v>510</v>
      </c>
    </row>
    <row r="2208" customFormat="false" ht="15" hidden="false" customHeight="false" outlineLevel="0" collapsed="false">
      <c r="A2208" s="25" t="n">
        <v>12688486</v>
      </c>
      <c r="B2208" s="25" t="s">
        <v>4812</v>
      </c>
      <c r="C2208" s="25" t="s">
        <v>4813</v>
      </c>
      <c r="D2208" s="26" t="n">
        <v>73</v>
      </c>
      <c r="E2208" s="27" t="n">
        <v>7.13667713987954</v>
      </c>
      <c r="F2208" s="27" t="n">
        <v>7.13667713987954</v>
      </c>
      <c r="G2208" s="25" t="s">
        <v>508</v>
      </c>
      <c r="H2208" s="25" t="s">
        <v>509</v>
      </c>
      <c r="I2208" s="25" t="n">
        <f aca="false">IFERROR(IF(INDEX(Documents!$C$5:$C$657,MATCH(H2208,Documents!$A$5:$A$657,0))="","",INDEX(Documents!$C$5:$C$657,MATCH(H2208,Documents!$A$5:$A$657,0))),"")</f>
        <v>2013</v>
      </c>
      <c r="J2208" s="25" t="str">
        <f aca="false">IFERROR(IF(INDEX(Documents!$D$5:$D$657,MATCH(H2208,Documents!$A$5:$A$657,0))="","",INDEX(Documents!$D$5:$D$657,MATCH(H2208,Documents!$A$5:$A$657,0))),"")</f>
        <v>ACS Med Chem Lett</v>
      </c>
      <c r="K2208" s="25" t="str">
        <f aca="false">IFERROR(IF(INDEX(Documents!$G$5:$G$657,MATCH(H2208,Documents!$A$5:$A$657,0))="","",INDEX(Documents!$G$5:$G$657,MATCH(H2208,Documents!$A$5:$A$657,0))),"")</f>
        <v>10.1021/ml3004236</v>
      </c>
      <c r="L2208" s="25" t="s">
        <v>510</v>
      </c>
    </row>
    <row r="2209" customFormat="false" ht="15" hidden="false" customHeight="false" outlineLevel="0" collapsed="false">
      <c r="A2209" s="25" t="n">
        <v>12688485</v>
      </c>
      <c r="B2209" s="25" t="s">
        <v>4814</v>
      </c>
      <c r="C2209" s="25" t="s">
        <v>4815</v>
      </c>
      <c r="D2209" s="26" t="n">
        <v>102</v>
      </c>
      <c r="E2209" s="27" t="n">
        <v>6.99139982823808</v>
      </c>
      <c r="F2209" s="27" t="n">
        <v>6.99139982823808</v>
      </c>
      <c r="G2209" s="25" t="s">
        <v>508</v>
      </c>
      <c r="H2209" s="25" t="s">
        <v>509</v>
      </c>
      <c r="I2209" s="25" t="n">
        <f aca="false">IFERROR(IF(INDEX(Documents!$C$5:$C$657,MATCH(H2209,Documents!$A$5:$A$657,0))="","",INDEX(Documents!$C$5:$C$657,MATCH(H2209,Documents!$A$5:$A$657,0))),"")</f>
        <v>2013</v>
      </c>
      <c r="J2209" s="25" t="str">
        <f aca="false">IFERROR(IF(INDEX(Documents!$D$5:$D$657,MATCH(H2209,Documents!$A$5:$A$657,0))="","",INDEX(Documents!$D$5:$D$657,MATCH(H2209,Documents!$A$5:$A$657,0))),"")</f>
        <v>ACS Med Chem Lett</v>
      </c>
      <c r="K2209" s="25" t="str">
        <f aca="false">IFERROR(IF(INDEX(Documents!$G$5:$G$657,MATCH(H2209,Documents!$A$5:$A$657,0))="","",INDEX(Documents!$G$5:$G$657,MATCH(H2209,Documents!$A$5:$A$657,0))),"")</f>
        <v>10.1021/ml3004236</v>
      </c>
      <c r="L2209" s="25" t="s">
        <v>510</v>
      </c>
    </row>
    <row r="2210" customFormat="false" ht="15" hidden="false" customHeight="false" outlineLevel="0" collapsed="false">
      <c r="A2210" s="25" t="n">
        <v>12688483</v>
      </c>
      <c r="B2210" s="25" t="s">
        <v>4816</v>
      </c>
      <c r="C2210" s="25" t="s">
        <v>4817</v>
      </c>
      <c r="D2210" s="26" t="n">
        <v>470</v>
      </c>
      <c r="E2210" s="27" t="n">
        <v>6.32790214206428</v>
      </c>
      <c r="F2210" s="27" t="n">
        <v>6.32790214206428</v>
      </c>
      <c r="G2210" s="25" t="s">
        <v>508</v>
      </c>
      <c r="H2210" s="25" t="s">
        <v>509</v>
      </c>
      <c r="I2210" s="25" t="n">
        <f aca="false">IFERROR(IF(INDEX(Documents!$C$5:$C$657,MATCH(H2210,Documents!$A$5:$A$657,0))="","",INDEX(Documents!$C$5:$C$657,MATCH(H2210,Documents!$A$5:$A$657,0))),"")</f>
        <v>2013</v>
      </c>
      <c r="J2210" s="25" t="str">
        <f aca="false">IFERROR(IF(INDEX(Documents!$D$5:$D$657,MATCH(H2210,Documents!$A$5:$A$657,0))="","",INDEX(Documents!$D$5:$D$657,MATCH(H2210,Documents!$A$5:$A$657,0))),"")</f>
        <v>ACS Med Chem Lett</v>
      </c>
      <c r="K2210" s="25" t="str">
        <f aca="false">IFERROR(IF(INDEX(Documents!$G$5:$G$657,MATCH(H2210,Documents!$A$5:$A$657,0))="","",INDEX(Documents!$G$5:$G$657,MATCH(H2210,Documents!$A$5:$A$657,0))),"")</f>
        <v>10.1021/ml3004236</v>
      </c>
      <c r="L2210" s="25" t="s">
        <v>510</v>
      </c>
    </row>
    <row r="2211" customFormat="false" ht="15" hidden="false" customHeight="false" outlineLevel="0" collapsed="false">
      <c r="A2211" s="25" t="n">
        <v>12688480</v>
      </c>
      <c r="B2211" s="25" t="s">
        <v>4818</v>
      </c>
      <c r="C2211" s="25" t="s">
        <v>4819</v>
      </c>
      <c r="D2211" s="26" t="n">
        <v>94</v>
      </c>
      <c r="E2211" s="27" t="n">
        <v>7.0268721464003</v>
      </c>
      <c r="F2211" s="27" t="n">
        <v>7.0268721464003</v>
      </c>
      <c r="G2211" s="25" t="s">
        <v>508</v>
      </c>
      <c r="H2211" s="25" t="s">
        <v>509</v>
      </c>
      <c r="I2211" s="25" t="n">
        <f aca="false">IFERROR(IF(INDEX(Documents!$C$5:$C$657,MATCH(H2211,Documents!$A$5:$A$657,0))="","",INDEX(Documents!$C$5:$C$657,MATCH(H2211,Documents!$A$5:$A$657,0))),"")</f>
        <v>2013</v>
      </c>
      <c r="J2211" s="25" t="str">
        <f aca="false">IFERROR(IF(INDEX(Documents!$D$5:$D$657,MATCH(H2211,Documents!$A$5:$A$657,0))="","",INDEX(Documents!$D$5:$D$657,MATCH(H2211,Documents!$A$5:$A$657,0))),"")</f>
        <v>ACS Med Chem Lett</v>
      </c>
      <c r="K2211" s="25" t="str">
        <f aca="false">IFERROR(IF(INDEX(Documents!$G$5:$G$657,MATCH(H2211,Documents!$A$5:$A$657,0))="","",INDEX(Documents!$G$5:$G$657,MATCH(H2211,Documents!$A$5:$A$657,0))),"")</f>
        <v>10.1021/ml3004236</v>
      </c>
      <c r="L2211" s="25" t="s">
        <v>510</v>
      </c>
    </row>
    <row r="2212" customFormat="false" ht="15" hidden="false" customHeight="false" outlineLevel="0" collapsed="false">
      <c r="A2212" s="25" t="n">
        <v>12688479</v>
      </c>
      <c r="B2212" s="25" t="s">
        <v>4820</v>
      </c>
      <c r="C2212" s="25" t="s">
        <v>4821</v>
      </c>
      <c r="D2212" s="26" t="n">
        <v>577</v>
      </c>
      <c r="E2212" s="27" t="n">
        <v>6.23882418684427</v>
      </c>
      <c r="F2212" s="27" t="n">
        <v>6.23882418684427</v>
      </c>
      <c r="G2212" s="25" t="s">
        <v>508</v>
      </c>
      <c r="H2212" s="25" t="s">
        <v>509</v>
      </c>
      <c r="I2212" s="25" t="n">
        <f aca="false">IFERROR(IF(INDEX(Documents!$C$5:$C$657,MATCH(H2212,Documents!$A$5:$A$657,0))="","",INDEX(Documents!$C$5:$C$657,MATCH(H2212,Documents!$A$5:$A$657,0))),"")</f>
        <v>2013</v>
      </c>
      <c r="J2212" s="25" t="str">
        <f aca="false">IFERROR(IF(INDEX(Documents!$D$5:$D$657,MATCH(H2212,Documents!$A$5:$A$657,0))="","",INDEX(Documents!$D$5:$D$657,MATCH(H2212,Documents!$A$5:$A$657,0))),"")</f>
        <v>ACS Med Chem Lett</v>
      </c>
      <c r="K2212" s="25" t="str">
        <f aca="false">IFERROR(IF(INDEX(Documents!$G$5:$G$657,MATCH(H2212,Documents!$A$5:$A$657,0))="","",INDEX(Documents!$G$5:$G$657,MATCH(H2212,Documents!$A$5:$A$657,0))),"")</f>
        <v>10.1021/ml3004236</v>
      </c>
      <c r="L2212" s="25" t="s">
        <v>510</v>
      </c>
    </row>
    <row r="2213" customFormat="false" ht="15" hidden="false" customHeight="false" outlineLevel="0" collapsed="false">
      <c r="A2213" s="25" t="n">
        <v>12688481</v>
      </c>
      <c r="B2213" s="25" t="s">
        <v>4822</v>
      </c>
      <c r="C2213" s="25" t="s">
        <v>4823</v>
      </c>
      <c r="D2213" s="26" t="n">
        <v>46</v>
      </c>
      <c r="E2213" s="27" t="n">
        <v>7.33724216831843</v>
      </c>
      <c r="F2213" s="27" t="n">
        <v>7.33724216831843</v>
      </c>
      <c r="G2213" s="25" t="s">
        <v>508</v>
      </c>
      <c r="H2213" s="25" t="s">
        <v>509</v>
      </c>
      <c r="I2213" s="25" t="n">
        <f aca="false">IFERROR(IF(INDEX(Documents!$C$5:$C$657,MATCH(H2213,Documents!$A$5:$A$657,0))="","",INDEX(Documents!$C$5:$C$657,MATCH(H2213,Documents!$A$5:$A$657,0))),"")</f>
        <v>2013</v>
      </c>
      <c r="J2213" s="25" t="str">
        <f aca="false">IFERROR(IF(INDEX(Documents!$D$5:$D$657,MATCH(H2213,Documents!$A$5:$A$657,0))="","",INDEX(Documents!$D$5:$D$657,MATCH(H2213,Documents!$A$5:$A$657,0))),"")</f>
        <v>ACS Med Chem Lett</v>
      </c>
      <c r="K2213" s="25" t="str">
        <f aca="false">IFERROR(IF(INDEX(Documents!$G$5:$G$657,MATCH(H2213,Documents!$A$5:$A$657,0))="","",INDEX(Documents!$G$5:$G$657,MATCH(H2213,Documents!$A$5:$A$657,0))),"")</f>
        <v>10.1021/ml3004236</v>
      </c>
      <c r="L2213" s="25" t="s">
        <v>510</v>
      </c>
    </row>
    <row r="2214" customFormat="false" ht="15" hidden="false" customHeight="false" outlineLevel="0" collapsed="false">
      <c r="A2214" s="25" t="n">
        <v>12688478</v>
      </c>
      <c r="B2214" s="25" t="s">
        <v>4824</v>
      </c>
      <c r="C2214" s="25" t="s">
        <v>4825</v>
      </c>
      <c r="D2214" s="26" t="n">
        <v>190</v>
      </c>
      <c r="E2214" s="27" t="n">
        <v>6.72124639904717</v>
      </c>
      <c r="F2214" s="27" t="n">
        <v>6.72124639904717</v>
      </c>
      <c r="G2214" s="25" t="s">
        <v>508</v>
      </c>
      <c r="H2214" s="25" t="s">
        <v>509</v>
      </c>
      <c r="I2214" s="25" t="n">
        <f aca="false">IFERROR(IF(INDEX(Documents!$C$5:$C$657,MATCH(H2214,Documents!$A$5:$A$657,0))="","",INDEX(Documents!$C$5:$C$657,MATCH(H2214,Documents!$A$5:$A$657,0))),"")</f>
        <v>2013</v>
      </c>
      <c r="J2214" s="25" t="str">
        <f aca="false">IFERROR(IF(INDEX(Documents!$D$5:$D$657,MATCH(H2214,Documents!$A$5:$A$657,0))="","",INDEX(Documents!$D$5:$D$657,MATCH(H2214,Documents!$A$5:$A$657,0))),"")</f>
        <v>ACS Med Chem Lett</v>
      </c>
      <c r="K2214" s="25" t="str">
        <f aca="false">IFERROR(IF(INDEX(Documents!$G$5:$G$657,MATCH(H2214,Documents!$A$5:$A$657,0))="","",INDEX(Documents!$G$5:$G$657,MATCH(H2214,Documents!$A$5:$A$657,0))),"")</f>
        <v>10.1021/ml3004236</v>
      </c>
      <c r="L2214" s="25" t="s">
        <v>510</v>
      </c>
    </row>
    <row r="2215" customFormat="false" ht="15" hidden="false" customHeight="false" outlineLevel="0" collapsed="false">
      <c r="A2215" s="25" t="n">
        <v>12688484</v>
      </c>
      <c r="B2215" s="25" t="s">
        <v>4826</v>
      </c>
      <c r="C2215" s="25" t="s">
        <v>4827</v>
      </c>
      <c r="D2215" s="26" t="n">
        <v>170</v>
      </c>
      <c r="E2215" s="27" t="n">
        <v>6.76955107862173</v>
      </c>
      <c r="F2215" s="27" t="n">
        <v>6.76955107862173</v>
      </c>
      <c r="G2215" s="25" t="s">
        <v>508</v>
      </c>
      <c r="H2215" s="25" t="s">
        <v>509</v>
      </c>
      <c r="I2215" s="25" t="n">
        <f aca="false">IFERROR(IF(INDEX(Documents!$C$5:$C$657,MATCH(H2215,Documents!$A$5:$A$657,0))="","",INDEX(Documents!$C$5:$C$657,MATCH(H2215,Documents!$A$5:$A$657,0))),"")</f>
        <v>2013</v>
      </c>
      <c r="J2215" s="25" t="str">
        <f aca="false">IFERROR(IF(INDEX(Documents!$D$5:$D$657,MATCH(H2215,Documents!$A$5:$A$657,0))="","",INDEX(Documents!$D$5:$D$657,MATCH(H2215,Documents!$A$5:$A$657,0))),"")</f>
        <v>ACS Med Chem Lett</v>
      </c>
      <c r="K2215" s="25" t="str">
        <f aca="false">IFERROR(IF(INDEX(Documents!$G$5:$G$657,MATCH(H2215,Documents!$A$5:$A$657,0))="","",INDEX(Documents!$G$5:$G$657,MATCH(H2215,Documents!$A$5:$A$657,0))),"")</f>
        <v>10.1021/ml3004236</v>
      </c>
      <c r="L2215" s="25" t="s">
        <v>510</v>
      </c>
    </row>
    <row r="2216" customFormat="false" ht="15" hidden="false" customHeight="false" outlineLevel="0" collapsed="false">
      <c r="A2216" s="25" t="n">
        <v>12688459</v>
      </c>
      <c r="B2216" s="25" t="s">
        <v>4828</v>
      </c>
      <c r="C2216" s="25" t="s">
        <v>4829</v>
      </c>
      <c r="D2216" s="26" t="n">
        <v>31</v>
      </c>
      <c r="E2216" s="27" t="n">
        <v>7.50863830616573</v>
      </c>
      <c r="F2216" s="27" t="n">
        <v>7.50863830616573</v>
      </c>
      <c r="G2216" s="25" t="s">
        <v>508</v>
      </c>
      <c r="H2216" s="25" t="s">
        <v>509</v>
      </c>
      <c r="I2216" s="25" t="n">
        <f aca="false">IFERROR(IF(INDEX(Documents!$C$5:$C$657,MATCH(H2216,Documents!$A$5:$A$657,0))="","",INDEX(Documents!$C$5:$C$657,MATCH(H2216,Documents!$A$5:$A$657,0))),"")</f>
        <v>2013</v>
      </c>
      <c r="J2216" s="25" t="str">
        <f aca="false">IFERROR(IF(INDEX(Documents!$D$5:$D$657,MATCH(H2216,Documents!$A$5:$A$657,0))="","",INDEX(Documents!$D$5:$D$657,MATCH(H2216,Documents!$A$5:$A$657,0))),"")</f>
        <v>ACS Med Chem Lett</v>
      </c>
      <c r="K2216" s="25" t="str">
        <f aca="false">IFERROR(IF(INDEX(Documents!$G$5:$G$657,MATCH(H2216,Documents!$A$5:$A$657,0))="","",INDEX(Documents!$G$5:$G$657,MATCH(H2216,Documents!$A$5:$A$657,0))),"")</f>
        <v>10.1021/ml3004236</v>
      </c>
      <c r="L2216" s="25" t="s">
        <v>510</v>
      </c>
    </row>
    <row r="2217" customFormat="false" ht="15" hidden="false" customHeight="false" outlineLevel="0" collapsed="false">
      <c r="A2217" s="25" t="n">
        <v>12688469</v>
      </c>
      <c r="B2217" s="25" t="s">
        <v>4830</v>
      </c>
      <c r="C2217" s="25" t="s">
        <v>4831</v>
      </c>
      <c r="D2217" s="26" t="n">
        <v>9.5</v>
      </c>
      <c r="E2217" s="27" t="n">
        <v>8.02227639471115</v>
      </c>
      <c r="F2217" s="27" t="n">
        <v>8.02227639471115</v>
      </c>
      <c r="G2217" s="25" t="s">
        <v>508</v>
      </c>
      <c r="H2217" s="25" t="s">
        <v>509</v>
      </c>
      <c r="I2217" s="25" t="n">
        <f aca="false">IFERROR(IF(INDEX(Documents!$C$5:$C$657,MATCH(H2217,Documents!$A$5:$A$657,0))="","",INDEX(Documents!$C$5:$C$657,MATCH(H2217,Documents!$A$5:$A$657,0))),"")</f>
        <v>2013</v>
      </c>
      <c r="J2217" s="25" t="str">
        <f aca="false">IFERROR(IF(INDEX(Documents!$D$5:$D$657,MATCH(H2217,Documents!$A$5:$A$657,0))="","",INDEX(Documents!$D$5:$D$657,MATCH(H2217,Documents!$A$5:$A$657,0))),"")</f>
        <v>ACS Med Chem Lett</v>
      </c>
      <c r="K2217" s="25" t="str">
        <f aca="false">IFERROR(IF(INDEX(Documents!$G$5:$G$657,MATCH(H2217,Documents!$A$5:$A$657,0))="","",INDEX(Documents!$G$5:$G$657,MATCH(H2217,Documents!$A$5:$A$657,0))),"")</f>
        <v>10.1021/ml3004236</v>
      </c>
      <c r="L2217" s="25" t="s">
        <v>510</v>
      </c>
    </row>
    <row r="2218" customFormat="false" ht="15" hidden="false" customHeight="false" outlineLevel="0" collapsed="false">
      <c r="A2218" s="25" t="n">
        <v>12688460</v>
      </c>
      <c r="B2218" s="25" t="s">
        <v>4832</v>
      </c>
      <c r="C2218" s="25" t="s">
        <v>4833</v>
      </c>
      <c r="D2218" s="26" t="n">
        <v>20</v>
      </c>
      <c r="E2218" s="27" t="n">
        <v>7.69897000433602</v>
      </c>
      <c r="F2218" s="27" t="n">
        <v>7.69897000433602</v>
      </c>
      <c r="G2218" s="25" t="s">
        <v>508</v>
      </c>
      <c r="H2218" s="25" t="s">
        <v>509</v>
      </c>
      <c r="I2218" s="25" t="n">
        <f aca="false">IFERROR(IF(INDEX(Documents!$C$5:$C$657,MATCH(H2218,Documents!$A$5:$A$657,0))="","",INDEX(Documents!$C$5:$C$657,MATCH(H2218,Documents!$A$5:$A$657,0))),"")</f>
        <v>2013</v>
      </c>
      <c r="J2218" s="25" t="str">
        <f aca="false">IFERROR(IF(INDEX(Documents!$D$5:$D$657,MATCH(H2218,Documents!$A$5:$A$657,0))="","",INDEX(Documents!$D$5:$D$657,MATCH(H2218,Documents!$A$5:$A$657,0))),"")</f>
        <v>ACS Med Chem Lett</v>
      </c>
      <c r="K2218" s="25" t="str">
        <f aca="false">IFERROR(IF(INDEX(Documents!$G$5:$G$657,MATCH(H2218,Documents!$A$5:$A$657,0))="","",INDEX(Documents!$G$5:$G$657,MATCH(H2218,Documents!$A$5:$A$657,0))),"")</f>
        <v>10.1021/ml3004236</v>
      </c>
      <c r="L2218" s="25" t="s">
        <v>510</v>
      </c>
    </row>
    <row r="2219" customFormat="false" ht="15" hidden="false" customHeight="false" outlineLevel="0" collapsed="false">
      <c r="A2219" s="25" t="n">
        <v>12688468</v>
      </c>
      <c r="B2219" s="25" t="s">
        <v>4834</v>
      </c>
      <c r="C2219" s="25" t="s">
        <v>4835</v>
      </c>
      <c r="D2219" s="26" t="n">
        <v>14</v>
      </c>
      <c r="E2219" s="27" t="n">
        <v>7.85387196432176</v>
      </c>
      <c r="F2219" s="27" t="n">
        <v>7.85387196432176</v>
      </c>
      <c r="G2219" s="25" t="s">
        <v>508</v>
      </c>
      <c r="H2219" s="25" t="s">
        <v>509</v>
      </c>
      <c r="I2219" s="25" t="n">
        <f aca="false">IFERROR(IF(INDEX(Documents!$C$5:$C$657,MATCH(H2219,Documents!$A$5:$A$657,0))="","",INDEX(Documents!$C$5:$C$657,MATCH(H2219,Documents!$A$5:$A$657,0))),"")</f>
        <v>2013</v>
      </c>
      <c r="J2219" s="25" t="str">
        <f aca="false">IFERROR(IF(INDEX(Documents!$D$5:$D$657,MATCH(H2219,Documents!$A$5:$A$657,0))="","",INDEX(Documents!$D$5:$D$657,MATCH(H2219,Documents!$A$5:$A$657,0))),"")</f>
        <v>ACS Med Chem Lett</v>
      </c>
      <c r="K2219" s="25" t="str">
        <f aca="false">IFERROR(IF(INDEX(Documents!$G$5:$G$657,MATCH(H2219,Documents!$A$5:$A$657,0))="","",INDEX(Documents!$G$5:$G$657,MATCH(H2219,Documents!$A$5:$A$657,0))),"")</f>
        <v>10.1021/ml3004236</v>
      </c>
      <c r="L2219" s="25" t="s">
        <v>510</v>
      </c>
    </row>
    <row r="2220" customFormat="false" ht="15" hidden="false" customHeight="false" outlineLevel="0" collapsed="false">
      <c r="A2220" s="25" t="n">
        <v>12663675</v>
      </c>
      <c r="B2220" s="25" t="s">
        <v>4836</v>
      </c>
      <c r="C2220" s="25" t="s">
        <v>4837</v>
      </c>
      <c r="D2220" s="26" t="n">
        <v>457.09</v>
      </c>
      <c r="E2220" s="27" t="n">
        <v>6.33999827989712</v>
      </c>
      <c r="F2220" s="27" t="n">
        <v>6.34004103991363</v>
      </c>
      <c r="G2220" s="25" t="s">
        <v>2531</v>
      </c>
      <c r="H2220" s="25" t="s">
        <v>2532</v>
      </c>
      <c r="I2220" s="25" t="n">
        <f aca="false">IFERROR(IF(INDEX(Documents!$C$5:$C$657,MATCH(H2220,Documents!$A$5:$A$657,0))="","",INDEX(Documents!$C$5:$C$657,MATCH(H2220,Documents!$A$5:$A$657,0))),"")</f>
        <v>2013</v>
      </c>
      <c r="J2220" s="25" t="str">
        <f aca="false">IFERROR(IF(INDEX(Documents!$D$5:$D$657,MATCH(H2220,Documents!$A$5:$A$657,0))="","",INDEX(Documents!$D$5:$D$657,MATCH(H2220,Documents!$A$5:$A$657,0))),"")</f>
        <v>J Med Chem</v>
      </c>
      <c r="K2220" s="25" t="str">
        <f aca="false">IFERROR(IF(INDEX(Documents!$G$5:$G$657,MATCH(H2220,Documents!$A$5:$A$657,0))="","",INDEX(Documents!$G$5:$G$657,MATCH(H2220,Documents!$A$5:$A$657,0))),"")</f>
        <v>10.1021/jm3017464</v>
      </c>
      <c r="L2220" s="25" t="s">
        <v>2533</v>
      </c>
    </row>
    <row r="2221" customFormat="false" ht="15" hidden="false" customHeight="false" outlineLevel="0" collapsed="false">
      <c r="A2221" s="25" t="n">
        <v>12664978</v>
      </c>
      <c r="B2221" s="25" t="s">
        <v>4836</v>
      </c>
      <c r="C2221" s="25" t="s">
        <v>4837</v>
      </c>
      <c r="D2221" s="26" t="n">
        <v>457</v>
      </c>
      <c r="E2221" s="27" t="n">
        <v>6.34008379993015</v>
      </c>
      <c r="F2221" s="27" t="n">
        <v>6.34004103991363</v>
      </c>
      <c r="G2221" s="25" t="s">
        <v>2531</v>
      </c>
      <c r="H2221" s="25" t="s">
        <v>2532</v>
      </c>
      <c r="I2221" s="25" t="n">
        <f aca="false">IFERROR(IF(INDEX(Documents!$C$5:$C$657,MATCH(H2221,Documents!$A$5:$A$657,0))="","",INDEX(Documents!$C$5:$C$657,MATCH(H2221,Documents!$A$5:$A$657,0))),"")</f>
        <v>2013</v>
      </c>
      <c r="J2221" s="25" t="str">
        <f aca="false">IFERROR(IF(INDEX(Documents!$D$5:$D$657,MATCH(H2221,Documents!$A$5:$A$657,0))="","",INDEX(Documents!$D$5:$D$657,MATCH(H2221,Documents!$A$5:$A$657,0))),"")</f>
        <v>J Med Chem</v>
      </c>
      <c r="K2221" s="25" t="str">
        <f aca="false">IFERROR(IF(INDEX(Documents!$G$5:$G$657,MATCH(H2221,Documents!$A$5:$A$657,0))="","",INDEX(Documents!$G$5:$G$657,MATCH(H2221,Documents!$A$5:$A$657,0))),"")</f>
        <v>10.1021/jm3017464</v>
      </c>
      <c r="L2221" s="25" t="s">
        <v>2533</v>
      </c>
    </row>
    <row r="2222" customFormat="false" ht="15" hidden="false" customHeight="false" outlineLevel="0" collapsed="false">
      <c r="A2222" s="25" t="n">
        <v>12664980</v>
      </c>
      <c r="B2222" s="25" t="s">
        <v>4838</v>
      </c>
      <c r="C2222" s="25" t="s">
        <v>4839</v>
      </c>
      <c r="D2222" s="26" t="n">
        <v>47</v>
      </c>
      <c r="E2222" s="27" t="n">
        <v>7.32790214206428</v>
      </c>
      <c r="F2222" s="27" t="n">
        <v>7.32794834852067</v>
      </c>
      <c r="G2222" s="25" t="s">
        <v>2531</v>
      </c>
      <c r="H2222" s="25" t="s">
        <v>2532</v>
      </c>
      <c r="I2222" s="25" t="n">
        <f aca="false">IFERROR(IF(INDEX(Documents!$C$5:$C$657,MATCH(H2222,Documents!$A$5:$A$657,0))="","",INDEX(Documents!$C$5:$C$657,MATCH(H2222,Documents!$A$5:$A$657,0))),"")</f>
        <v>2013</v>
      </c>
      <c r="J2222" s="25" t="str">
        <f aca="false">IFERROR(IF(INDEX(Documents!$D$5:$D$657,MATCH(H2222,Documents!$A$5:$A$657,0))="","",INDEX(Documents!$D$5:$D$657,MATCH(H2222,Documents!$A$5:$A$657,0))),"")</f>
        <v>J Med Chem</v>
      </c>
      <c r="K2222" s="25" t="str">
        <f aca="false">IFERROR(IF(INDEX(Documents!$G$5:$G$657,MATCH(H2222,Documents!$A$5:$A$657,0))="","",INDEX(Documents!$G$5:$G$657,MATCH(H2222,Documents!$A$5:$A$657,0))),"")</f>
        <v>10.1021/jm3017464</v>
      </c>
      <c r="L2222" s="25" t="s">
        <v>2533</v>
      </c>
    </row>
    <row r="2223" customFormat="false" ht="15" hidden="false" customHeight="false" outlineLevel="0" collapsed="false">
      <c r="A2223" s="25" t="n">
        <v>12663677</v>
      </c>
      <c r="B2223" s="25" t="s">
        <v>4838</v>
      </c>
      <c r="C2223" s="25" t="s">
        <v>4839</v>
      </c>
      <c r="D2223" s="26" t="n">
        <v>46.99</v>
      </c>
      <c r="E2223" s="27" t="n">
        <v>7.32799455497705</v>
      </c>
      <c r="F2223" s="27" t="n">
        <v>7.32794834852067</v>
      </c>
      <c r="G2223" s="25" t="s">
        <v>2531</v>
      </c>
      <c r="H2223" s="25" t="s">
        <v>2532</v>
      </c>
      <c r="I2223" s="25" t="n">
        <f aca="false">IFERROR(IF(INDEX(Documents!$C$5:$C$657,MATCH(H2223,Documents!$A$5:$A$657,0))="","",INDEX(Documents!$C$5:$C$657,MATCH(H2223,Documents!$A$5:$A$657,0))),"")</f>
        <v>2013</v>
      </c>
      <c r="J2223" s="25" t="str">
        <f aca="false">IFERROR(IF(INDEX(Documents!$D$5:$D$657,MATCH(H2223,Documents!$A$5:$A$657,0))="","",INDEX(Documents!$D$5:$D$657,MATCH(H2223,Documents!$A$5:$A$657,0))),"")</f>
        <v>J Med Chem</v>
      </c>
      <c r="K2223" s="25" t="str">
        <f aca="false">IFERROR(IF(INDEX(Documents!$G$5:$G$657,MATCH(H2223,Documents!$A$5:$A$657,0))="","",INDEX(Documents!$G$5:$G$657,MATCH(H2223,Documents!$A$5:$A$657,0))),"")</f>
        <v>10.1021/jm3017464</v>
      </c>
      <c r="L2223" s="25" t="s">
        <v>2533</v>
      </c>
    </row>
    <row r="2224" customFormat="false" ht="15" hidden="false" customHeight="false" outlineLevel="0" collapsed="false">
      <c r="A2224" s="25" t="n">
        <v>12664985</v>
      </c>
      <c r="B2224" s="25" t="s">
        <v>4840</v>
      </c>
      <c r="C2224" s="25" t="s">
        <v>4841</v>
      </c>
      <c r="D2224" s="26" t="n">
        <v>173</v>
      </c>
      <c r="E2224" s="27" t="n">
        <v>6.76195389687121</v>
      </c>
      <c r="F2224" s="27" t="n">
        <v>6.76197900204968</v>
      </c>
      <c r="G2224" s="25" t="s">
        <v>2531</v>
      </c>
      <c r="H2224" s="25" t="s">
        <v>2532</v>
      </c>
      <c r="I2224" s="25" t="n">
        <f aca="false">IFERROR(IF(INDEX(Documents!$C$5:$C$657,MATCH(H2224,Documents!$A$5:$A$657,0))="","",INDEX(Documents!$C$5:$C$657,MATCH(H2224,Documents!$A$5:$A$657,0))),"")</f>
        <v>2013</v>
      </c>
      <c r="J2224" s="25" t="str">
        <f aca="false">IFERROR(IF(INDEX(Documents!$D$5:$D$657,MATCH(H2224,Documents!$A$5:$A$657,0))="","",INDEX(Documents!$D$5:$D$657,MATCH(H2224,Documents!$A$5:$A$657,0))),"")</f>
        <v>J Med Chem</v>
      </c>
      <c r="K2224" s="25" t="str">
        <f aca="false">IFERROR(IF(INDEX(Documents!$G$5:$G$657,MATCH(H2224,Documents!$A$5:$A$657,0))="","",INDEX(Documents!$G$5:$G$657,MATCH(H2224,Documents!$A$5:$A$657,0))),"")</f>
        <v>10.1021/jm3017464</v>
      </c>
      <c r="L2224" s="25" t="s">
        <v>2533</v>
      </c>
    </row>
    <row r="2225" customFormat="false" ht="15" hidden="false" customHeight="false" outlineLevel="0" collapsed="false">
      <c r="A2225" s="25" t="n">
        <v>12663679</v>
      </c>
      <c r="B2225" s="25" t="s">
        <v>4840</v>
      </c>
      <c r="C2225" s="25" t="s">
        <v>4841</v>
      </c>
      <c r="D2225" s="26" t="n">
        <v>172.98</v>
      </c>
      <c r="E2225" s="27" t="n">
        <v>6.76200410722815</v>
      </c>
      <c r="F2225" s="27" t="n">
        <v>6.76197900204968</v>
      </c>
      <c r="G2225" s="25" t="s">
        <v>2531</v>
      </c>
      <c r="H2225" s="25" t="s">
        <v>2532</v>
      </c>
      <c r="I2225" s="25" t="n">
        <f aca="false">IFERROR(IF(INDEX(Documents!$C$5:$C$657,MATCH(H2225,Documents!$A$5:$A$657,0))="","",INDEX(Documents!$C$5:$C$657,MATCH(H2225,Documents!$A$5:$A$657,0))),"")</f>
        <v>2013</v>
      </c>
      <c r="J2225" s="25" t="str">
        <f aca="false">IFERROR(IF(INDEX(Documents!$D$5:$D$657,MATCH(H2225,Documents!$A$5:$A$657,0))="","",INDEX(Documents!$D$5:$D$657,MATCH(H2225,Documents!$A$5:$A$657,0))),"")</f>
        <v>J Med Chem</v>
      </c>
      <c r="K2225" s="25" t="str">
        <f aca="false">IFERROR(IF(INDEX(Documents!$G$5:$G$657,MATCH(H2225,Documents!$A$5:$A$657,0))="","",INDEX(Documents!$G$5:$G$657,MATCH(H2225,Documents!$A$5:$A$657,0))),"")</f>
        <v>10.1021/jm3017464</v>
      </c>
      <c r="L2225" s="25" t="s">
        <v>2533</v>
      </c>
    </row>
    <row r="2226" customFormat="false" ht="15" hidden="false" customHeight="false" outlineLevel="0" collapsed="false">
      <c r="A2226" s="25" t="n">
        <v>12663680</v>
      </c>
      <c r="B2226" s="25" t="s">
        <v>4842</v>
      </c>
      <c r="C2226" s="25" t="s">
        <v>4843</v>
      </c>
      <c r="D2226" s="26" t="n">
        <v>25</v>
      </c>
      <c r="E2226" s="27" t="n">
        <v>7.60205999132796</v>
      </c>
      <c r="F2226" s="27" t="n">
        <v>7.60205999132796</v>
      </c>
      <c r="G2226" s="25" t="s">
        <v>2531</v>
      </c>
      <c r="H2226" s="25" t="s">
        <v>2532</v>
      </c>
      <c r="I2226" s="25" t="n">
        <f aca="false">IFERROR(IF(INDEX(Documents!$C$5:$C$657,MATCH(H2226,Documents!$A$5:$A$657,0))="","",INDEX(Documents!$C$5:$C$657,MATCH(H2226,Documents!$A$5:$A$657,0))),"")</f>
        <v>2013</v>
      </c>
      <c r="J2226" s="25" t="str">
        <f aca="false">IFERROR(IF(INDEX(Documents!$D$5:$D$657,MATCH(H2226,Documents!$A$5:$A$657,0))="","",INDEX(Documents!$D$5:$D$657,MATCH(H2226,Documents!$A$5:$A$657,0))),"")</f>
        <v>J Med Chem</v>
      </c>
      <c r="K2226" s="25" t="str">
        <f aca="false">IFERROR(IF(INDEX(Documents!$G$5:$G$657,MATCH(H2226,Documents!$A$5:$A$657,0))="","",INDEX(Documents!$G$5:$G$657,MATCH(H2226,Documents!$A$5:$A$657,0))),"")</f>
        <v>10.1021/jm3017464</v>
      </c>
      <c r="L2226" s="25" t="s">
        <v>2533</v>
      </c>
    </row>
    <row r="2227" customFormat="false" ht="15" hidden="false" customHeight="false" outlineLevel="0" collapsed="false">
      <c r="A2227" s="25" t="n">
        <v>12664986</v>
      </c>
      <c r="B2227" s="25" t="s">
        <v>4842</v>
      </c>
      <c r="C2227" s="25" t="s">
        <v>4843</v>
      </c>
      <c r="D2227" s="26" t="n">
        <v>25</v>
      </c>
      <c r="E2227" s="27" t="n">
        <v>7.60205999132796</v>
      </c>
      <c r="F2227" s="27" t="n">
        <v>7.60205999132796</v>
      </c>
      <c r="G2227" s="25" t="s">
        <v>2531</v>
      </c>
      <c r="H2227" s="25" t="s">
        <v>2532</v>
      </c>
      <c r="I2227" s="25" t="n">
        <f aca="false">IFERROR(IF(INDEX(Documents!$C$5:$C$657,MATCH(H2227,Documents!$A$5:$A$657,0))="","",INDEX(Documents!$C$5:$C$657,MATCH(H2227,Documents!$A$5:$A$657,0))),"")</f>
        <v>2013</v>
      </c>
      <c r="J2227" s="25" t="str">
        <f aca="false">IFERROR(IF(INDEX(Documents!$D$5:$D$657,MATCH(H2227,Documents!$A$5:$A$657,0))="","",INDEX(Documents!$D$5:$D$657,MATCH(H2227,Documents!$A$5:$A$657,0))),"")</f>
        <v>J Med Chem</v>
      </c>
      <c r="K2227" s="25" t="str">
        <f aca="false">IFERROR(IF(INDEX(Documents!$G$5:$G$657,MATCH(H2227,Documents!$A$5:$A$657,0))="","",INDEX(Documents!$G$5:$G$657,MATCH(H2227,Documents!$A$5:$A$657,0))),"")</f>
        <v>10.1021/jm3017464</v>
      </c>
      <c r="L2227" s="25" t="s">
        <v>2533</v>
      </c>
    </row>
    <row r="2228" customFormat="false" ht="15" hidden="false" customHeight="false" outlineLevel="0" collapsed="false">
      <c r="A2228" s="25" t="n">
        <v>12663678</v>
      </c>
      <c r="B2228" s="25" t="s">
        <v>4844</v>
      </c>
      <c r="C2228" s="25" t="s">
        <v>4845</v>
      </c>
      <c r="D2228" s="26" t="n">
        <v>137.09</v>
      </c>
      <c r="E2228" s="27" t="n">
        <v>6.8629942235709</v>
      </c>
      <c r="F2228" s="27" t="n">
        <v>6.86313682820725</v>
      </c>
      <c r="G2228" s="25" t="s">
        <v>2531</v>
      </c>
      <c r="H2228" s="25" t="s">
        <v>2532</v>
      </c>
      <c r="I2228" s="25" t="n">
        <f aca="false">IFERROR(IF(INDEX(Documents!$C$5:$C$657,MATCH(H2228,Documents!$A$5:$A$657,0))="","",INDEX(Documents!$C$5:$C$657,MATCH(H2228,Documents!$A$5:$A$657,0))),"")</f>
        <v>2013</v>
      </c>
      <c r="J2228" s="25" t="str">
        <f aca="false">IFERROR(IF(INDEX(Documents!$D$5:$D$657,MATCH(H2228,Documents!$A$5:$A$657,0))="","",INDEX(Documents!$D$5:$D$657,MATCH(H2228,Documents!$A$5:$A$657,0))),"")</f>
        <v>J Med Chem</v>
      </c>
      <c r="K2228" s="25" t="str">
        <f aca="false">IFERROR(IF(INDEX(Documents!$G$5:$G$657,MATCH(H2228,Documents!$A$5:$A$657,0))="","",INDEX(Documents!$G$5:$G$657,MATCH(H2228,Documents!$A$5:$A$657,0))),"")</f>
        <v>10.1021/jm3017464</v>
      </c>
      <c r="L2228" s="25" t="s">
        <v>2533</v>
      </c>
    </row>
    <row r="2229" customFormat="false" ht="15" hidden="false" customHeight="false" outlineLevel="0" collapsed="false">
      <c r="A2229" s="25" t="n">
        <v>12664982</v>
      </c>
      <c r="B2229" s="25" t="s">
        <v>4844</v>
      </c>
      <c r="C2229" s="25" t="s">
        <v>4845</v>
      </c>
      <c r="D2229" s="26" t="n">
        <v>137</v>
      </c>
      <c r="E2229" s="27" t="n">
        <v>6.86327943284359</v>
      </c>
      <c r="F2229" s="27" t="n">
        <v>6.86313682820725</v>
      </c>
      <c r="G2229" s="25" t="s">
        <v>2531</v>
      </c>
      <c r="H2229" s="25" t="s">
        <v>2532</v>
      </c>
      <c r="I2229" s="25" t="n">
        <f aca="false">IFERROR(IF(INDEX(Documents!$C$5:$C$657,MATCH(H2229,Documents!$A$5:$A$657,0))="","",INDEX(Documents!$C$5:$C$657,MATCH(H2229,Documents!$A$5:$A$657,0))),"")</f>
        <v>2013</v>
      </c>
      <c r="J2229" s="25" t="str">
        <f aca="false">IFERROR(IF(INDEX(Documents!$D$5:$D$657,MATCH(H2229,Documents!$A$5:$A$657,0))="","",INDEX(Documents!$D$5:$D$657,MATCH(H2229,Documents!$A$5:$A$657,0))),"")</f>
        <v>J Med Chem</v>
      </c>
      <c r="K2229" s="25" t="str">
        <f aca="false">IFERROR(IF(INDEX(Documents!$G$5:$G$657,MATCH(H2229,Documents!$A$5:$A$657,0))="","",INDEX(Documents!$G$5:$G$657,MATCH(H2229,Documents!$A$5:$A$657,0))),"")</f>
        <v>10.1021/jm3017464</v>
      </c>
      <c r="L2229" s="25" t="s">
        <v>2533</v>
      </c>
    </row>
    <row r="2230" customFormat="false" ht="15" hidden="false" customHeight="false" outlineLevel="0" collapsed="false">
      <c r="A2230" s="25" t="n">
        <v>12663676</v>
      </c>
      <c r="B2230" s="25" t="s">
        <v>4846</v>
      </c>
      <c r="C2230" s="25" t="s">
        <v>4847</v>
      </c>
      <c r="D2230" s="26" t="n">
        <v>19.01</v>
      </c>
      <c r="E2230" s="27" t="n">
        <v>7.72101788313456</v>
      </c>
      <c r="F2230" s="27" t="n">
        <v>7.72113214109086</v>
      </c>
      <c r="G2230" s="25" t="s">
        <v>2531</v>
      </c>
      <c r="H2230" s="25" t="s">
        <v>2532</v>
      </c>
      <c r="I2230" s="25" t="n">
        <f aca="false">IFERROR(IF(INDEX(Documents!$C$5:$C$657,MATCH(H2230,Documents!$A$5:$A$657,0))="","",INDEX(Documents!$C$5:$C$657,MATCH(H2230,Documents!$A$5:$A$657,0))),"")</f>
        <v>2013</v>
      </c>
      <c r="J2230" s="25" t="str">
        <f aca="false">IFERROR(IF(INDEX(Documents!$D$5:$D$657,MATCH(H2230,Documents!$A$5:$A$657,0))="","",INDEX(Documents!$D$5:$D$657,MATCH(H2230,Documents!$A$5:$A$657,0))),"")</f>
        <v>J Med Chem</v>
      </c>
      <c r="K2230" s="25" t="str">
        <f aca="false">IFERROR(IF(INDEX(Documents!$G$5:$G$657,MATCH(H2230,Documents!$A$5:$A$657,0))="","",INDEX(Documents!$G$5:$G$657,MATCH(H2230,Documents!$A$5:$A$657,0))),"")</f>
        <v>10.1021/jm3017464</v>
      </c>
      <c r="L2230" s="25" t="s">
        <v>2533</v>
      </c>
    </row>
    <row r="2231" customFormat="false" ht="15" hidden="false" customHeight="false" outlineLevel="0" collapsed="false">
      <c r="A2231" s="25" t="n">
        <v>12664979</v>
      </c>
      <c r="B2231" s="25" t="s">
        <v>4846</v>
      </c>
      <c r="C2231" s="25" t="s">
        <v>4847</v>
      </c>
      <c r="D2231" s="26" t="n">
        <v>19</v>
      </c>
      <c r="E2231" s="27" t="n">
        <v>7.72124639904717</v>
      </c>
      <c r="F2231" s="27" t="n">
        <v>7.72113214109086</v>
      </c>
      <c r="G2231" s="25" t="s">
        <v>2531</v>
      </c>
      <c r="H2231" s="25" t="s">
        <v>2532</v>
      </c>
      <c r="I2231" s="25" t="n">
        <f aca="false">IFERROR(IF(INDEX(Documents!$C$5:$C$657,MATCH(H2231,Documents!$A$5:$A$657,0))="","",INDEX(Documents!$C$5:$C$657,MATCH(H2231,Documents!$A$5:$A$657,0))),"")</f>
        <v>2013</v>
      </c>
      <c r="J2231" s="25" t="str">
        <f aca="false">IFERROR(IF(INDEX(Documents!$D$5:$D$657,MATCH(H2231,Documents!$A$5:$A$657,0))="","",INDEX(Documents!$D$5:$D$657,MATCH(H2231,Documents!$A$5:$A$657,0))),"")</f>
        <v>J Med Chem</v>
      </c>
      <c r="K2231" s="25" t="str">
        <f aca="false">IFERROR(IF(INDEX(Documents!$G$5:$G$657,MATCH(H2231,Documents!$A$5:$A$657,0))="","",INDEX(Documents!$G$5:$G$657,MATCH(H2231,Documents!$A$5:$A$657,0))),"")</f>
        <v>10.1021/jm3017464</v>
      </c>
      <c r="L2231" s="25" t="s">
        <v>2533</v>
      </c>
    </row>
    <row r="2232" customFormat="false" ht="15" hidden="false" customHeight="false" outlineLevel="0" collapsed="false">
      <c r="A2232" s="25" t="n">
        <v>12664981</v>
      </c>
      <c r="B2232" s="25" t="s">
        <v>4848</v>
      </c>
      <c r="C2232" s="25" t="s">
        <v>4849</v>
      </c>
      <c r="D2232" s="26" t="n">
        <v>84</v>
      </c>
      <c r="E2232" s="27" t="n">
        <v>7.07572071393812</v>
      </c>
      <c r="F2232" s="27" t="n">
        <v>7.07585000673203</v>
      </c>
      <c r="G2232" s="25" t="s">
        <v>2531</v>
      </c>
      <c r="H2232" s="25" t="s">
        <v>2532</v>
      </c>
      <c r="I2232" s="25" t="n">
        <f aca="false">IFERROR(IF(INDEX(Documents!$C$5:$C$657,MATCH(H2232,Documents!$A$5:$A$657,0))="","",INDEX(Documents!$C$5:$C$657,MATCH(H2232,Documents!$A$5:$A$657,0))),"")</f>
        <v>2013</v>
      </c>
      <c r="J2232" s="25" t="str">
        <f aca="false">IFERROR(IF(INDEX(Documents!$D$5:$D$657,MATCH(H2232,Documents!$A$5:$A$657,0))="","",INDEX(Documents!$D$5:$D$657,MATCH(H2232,Documents!$A$5:$A$657,0))),"")</f>
        <v>J Med Chem</v>
      </c>
      <c r="K2232" s="25" t="str">
        <f aca="false">IFERROR(IF(INDEX(Documents!$G$5:$G$657,MATCH(H2232,Documents!$A$5:$A$657,0))="","",INDEX(Documents!$G$5:$G$657,MATCH(H2232,Documents!$A$5:$A$657,0))),"")</f>
        <v>10.1021/jm3017464</v>
      </c>
      <c r="L2232" s="25" t="s">
        <v>2533</v>
      </c>
    </row>
    <row r="2233" customFormat="false" ht="15" hidden="false" customHeight="false" outlineLevel="0" collapsed="false">
      <c r="A2233" s="25" t="n">
        <v>12663681</v>
      </c>
      <c r="B2233" s="25" t="s">
        <v>4848</v>
      </c>
      <c r="C2233" s="25" t="s">
        <v>4849</v>
      </c>
      <c r="D2233" s="26" t="n">
        <v>83.95</v>
      </c>
      <c r="E2233" s="27" t="n">
        <v>7.07597929952593</v>
      </c>
      <c r="F2233" s="27" t="n">
        <v>7.07585000673203</v>
      </c>
      <c r="G2233" s="25" t="s">
        <v>2531</v>
      </c>
      <c r="H2233" s="25" t="s">
        <v>2532</v>
      </c>
      <c r="I2233" s="25" t="n">
        <f aca="false">IFERROR(IF(INDEX(Documents!$C$5:$C$657,MATCH(H2233,Documents!$A$5:$A$657,0))="","",INDEX(Documents!$C$5:$C$657,MATCH(H2233,Documents!$A$5:$A$657,0))),"")</f>
        <v>2013</v>
      </c>
      <c r="J2233" s="25" t="str">
        <f aca="false">IFERROR(IF(INDEX(Documents!$D$5:$D$657,MATCH(H2233,Documents!$A$5:$A$657,0))="","",INDEX(Documents!$D$5:$D$657,MATCH(H2233,Documents!$A$5:$A$657,0))),"")</f>
        <v>J Med Chem</v>
      </c>
      <c r="K2233" s="25" t="str">
        <f aca="false">IFERROR(IF(INDEX(Documents!$G$5:$G$657,MATCH(H2233,Documents!$A$5:$A$657,0))="","",INDEX(Documents!$G$5:$G$657,MATCH(H2233,Documents!$A$5:$A$657,0))),"")</f>
        <v>10.1021/jm3017464</v>
      </c>
      <c r="L2233" s="25" t="s">
        <v>2533</v>
      </c>
    </row>
    <row r="2234" customFormat="false" ht="15" hidden="false" customHeight="false" outlineLevel="0" collapsed="false">
      <c r="A2234" s="25" t="n">
        <v>12664943</v>
      </c>
      <c r="B2234" s="25" t="s">
        <v>4850</v>
      </c>
      <c r="C2234" s="25" t="s">
        <v>4851</v>
      </c>
      <c r="D2234" s="26" t="n">
        <v>4.3</v>
      </c>
      <c r="E2234" s="27" t="n">
        <v>8.36653154442041</v>
      </c>
      <c r="F2234" s="27" t="n">
        <v>8.36678418812658</v>
      </c>
      <c r="G2234" s="25" t="s">
        <v>2531</v>
      </c>
      <c r="H2234" s="25" t="s">
        <v>2532</v>
      </c>
      <c r="I2234" s="25" t="n">
        <f aca="false">IFERROR(IF(INDEX(Documents!$C$5:$C$657,MATCH(H2234,Documents!$A$5:$A$657,0))="","",INDEX(Documents!$C$5:$C$657,MATCH(H2234,Documents!$A$5:$A$657,0))),"")</f>
        <v>2013</v>
      </c>
      <c r="J2234" s="25" t="str">
        <f aca="false">IFERROR(IF(INDEX(Documents!$D$5:$D$657,MATCH(H2234,Documents!$A$5:$A$657,0))="","",INDEX(Documents!$D$5:$D$657,MATCH(H2234,Documents!$A$5:$A$657,0))),"")</f>
        <v>J Med Chem</v>
      </c>
      <c r="K2234" s="25" t="str">
        <f aca="false">IFERROR(IF(INDEX(Documents!$G$5:$G$657,MATCH(H2234,Documents!$A$5:$A$657,0))="","",INDEX(Documents!$G$5:$G$657,MATCH(H2234,Documents!$A$5:$A$657,0))),"")</f>
        <v>10.1021/jm3017464</v>
      </c>
      <c r="L2234" s="25" t="s">
        <v>2533</v>
      </c>
    </row>
    <row r="2235" customFormat="false" ht="15" hidden="false" customHeight="false" outlineLevel="0" collapsed="false">
      <c r="A2235" s="25" t="n">
        <v>12663642</v>
      </c>
      <c r="B2235" s="25" t="s">
        <v>4850</v>
      </c>
      <c r="C2235" s="25" t="s">
        <v>4851</v>
      </c>
      <c r="D2235" s="26" t="n">
        <v>4.295</v>
      </c>
      <c r="E2235" s="27" t="n">
        <v>8.36703683183274</v>
      </c>
      <c r="F2235" s="27" t="n">
        <v>8.36678418812658</v>
      </c>
      <c r="G2235" s="25" t="s">
        <v>2531</v>
      </c>
      <c r="H2235" s="25" t="s">
        <v>2532</v>
      </c>
      <c r="I2235" s="25" t="n">
        <f aca="false">IFERROR(IF(INDEX(Documents!$C$5:$C$657,MATCH(H2235,Documents!$A$5:$A$657,0))="","",INDEX(Documents!$C$5:$C$657,MATCH(H2235,Documents!$A$5:$A$657,0))),"")</f>
        <v>2013</v>
      </c>
      <c r="J2235" s="25" t="str">
        <f aca="false">IFERROR(IF(INDEX(Documents!$D$5:$D$657,MATCH(H2235,Documents!$A$5:$A$657,0))="","",INDEX(Documents!$D$5:$D$657,MATCH(H2235,Documents!$A$5:$A$657,0))),"")</f>
        <v>J Med Chem</v>
      </c>
      <c r="K2235" s="25" t="str">
        <f aca="false">IFERROR(IF(INDEX(Documents!$G$5:$G$657,MATCH(H2235,Documents!$A$5:$A$657,0))="","",INDEX(Documents!$G$5:$G$657,MATCH(H2235,Documents!$A$5:$A$657,0))),"")</f>
        <v>10.1021/jm3017464</v>
      </c>
      <c r="L2235" s="25" t="s">
        <v>2533</v>
      </c>
    </row>
    <row r="2236" customFormat="false" ht="15" hidden="false" customHeight="false" outlineLevel="0" collapsed="false">
      <c r="A2236" s="25" t="n">
        <v>12664945</v>
      </c>
      <c r="B2236" s="25" t="s">
        <v>4852</v>
      </c>
      <c r="C2236" s="25" t="s">
        <v>4853</v>
      </c>
      <c r="D2236" s="26" t="n">
        <v>5.4</v>
      </c>
      <c r="E2236" s="27" t="n">
        <v>8.26760624017703</v>
      </c>
      <c r="F2236" s="27" t="n">
        <v>8.26780739557905</v>
      </c>
      <c r="G2236" s="25" t="s">
        <v>2531</v>
      </c>
      <c r="H2236" s="25" t="s">
        <v>2532</v>
      </c>
      <c r="I2236" s="25" t="n">
        <f aca="false">IFERROR(IF(INDEX(Documents!$C$5:$C$657,MATCH(H2236,Documents!$A$5:$A$657,0))="","",INDEX(Documents!$C$5:$C$657,MATCH(H2236,Documents!$A$5:$A$657,0))),"")</f>
        <v>2013</v>
      </c>
      <c r="J2236" s="25" t="str">
        <f aca="false">IFERROR(IF(INDEX(Documents!$D$5:$D$657,MATCH(H2236,Documents!$A$5:$A$657,0))="","",INDEX(Documents!$D$5:$D$657,MATCH(H2236,Documents!$A$5:$A$657,0))),"")</f>
        <v>J Med Chem</v>
      </c>
      <c r="K2236" s="25" t="str">
        <f aca="false">IFERROR(IF(INDEX(Documents!$G$5:$G$657,MATCH(H2236,Documents!$A$5:$A$657,0))="","",INDEX(Documents!$G$5:$G$657,MATCH(H2236,Documents!$A$5:$A$657,0))),"")</f>
        <v>10.1021/jm3017464</v>
      </c>
      <c r="L2236" s="25" t="s">
        <v>2533</v>
      </c>
    </row>
    <row r="2237" customFormat="false" ht="15" hidden="false" customHeight="false" outlineLevel="0" collapsed="false">
      <c r="A2237" s="25" t="n">
        <v>12663644</v>
      </c>
      <c r="B2237" s="25" t="s">
        <v>4852</v>
      </c>
      <c r="C2237" s="25" t="s">
        <v>4853</v>
      </c>
      <c r="D2237" s="26" t="n">
        <v>5.395</v>
      </c>
      <c r="E2237" s="27" t="n">
        <v>8.26800855098107</v>
      </c>
      <c r="F2237" s="27" t="n">
        <v>8.26780739557905</v>
      </c>
      <c r="G2237" s="25" t="s">
        <v>2531</v>
      </c>
      <c r="H2237" s="25" t="s">
        <v>2532</v>
      </c>
      <c r="I2237" s="25" t="n">
        <f aca="false">IFERROR(IF(INDEX(Documents!$C$5:$C$657,MATCH(H2237,Documents!$A$5:$A$657,0))="","",INDEX(Documents!$C$5:$C$657,MATCH(H2237,Documents!$A$5:$A$657,0))),"")</f>
        <v>2013</v>
      </c>
      <c r="J2237" s="25" t="str">
        <f aca="false">IFERROR(IF(INDEX(Documents!$D$5:$D$657,MATCH(H2237,Documents!$A$5:$A$657,0))="","",INDEX(Documents!$D$5:$D$657,MATCH(H2237,Documents!$A$5:$A$657,0))),"")</f>
        <v>J Med Chem</v>
      </c>
      <c r="K2237" s="25" t="str">
        <f aca="false">IFERROR(IF(INDEX(Documents!$G$5:$G$657,MATCH(H2237,Documents!$A$5:$A$657,0))="","",INDEX(Documents!$G$5:$G$657,MATCH(H2237,Documents!$A$5:$A$657,0))),"")</f>
        <v>10.1021/jm3017464</v>
      </c>
      <c r="L2237" s="25" t="s">
        <v>2533</v>
      </c>
    </row>
    <row r="2238" customFormat="false" ht="15" hidden="false" customHeight="false" outlineLevel="0" collapsed="false">
      <c r="A2238" s="25" t="n">
        <v>12664947</v>
      </c>
      <c r="B2238" s="25" t="s">
        <v>4854</v>
      </c>
      <c r="C2238" s="25" t="s">
        <v>4855</v>
      </c>
      <c r="D2238" s="26" t="n">
        <v>3</v>
      </c>
      <c r="E2238" s="27" t="n">
        <v>8.52287874528034</v>
      </c>
      <c r="F2238" s="27" t="n">
        <v>8.52295113976041</v>
      </c>
      <c r="G2238" s="25" t="s">
        <v>2531</v>
      </c>
      <c r="H2238" s="25" t="s">
        <v>2532</v>
      </c>
      <c r="I2238" s="25" t="n">
        <f aca="false">IFERROR(IF(INDEX(Documents!$C$5:$C$657,MATCH(H2238,Documents!$A$5:$A$657,0))="","",INDEX(Documents!$C$5:$C$657,MATCH(H2238,Documents!$A$5:$A$657,0))),"")</f>
        <v>2013</v>
      </c>
      <c r="J2238" s="25" t="str">
        <f aca="false">IFERROR(IF(INDEX(Documents!$D$5:$D$657,MATCH(H2238,Documents!$A$5:$A$657,0))="","",INDEX(Documents!$D$5:$D$657,MATCH(H2238,Documents!$A$5:$A$657,0))),"")</f>
        <v>J Med Chem</v>
      </c>
      <c r="K2238" s="25" t="str">
        <f aca="false">IFERROR(IF(INDEX(Documents!$G$5:$G$657,MATCH(H2238,Documents!$A$5:$A$657,0))="","",INDEX(Documents!$G$5:$G$657,MATCH(H2238,Documents!$A$5:$A$657,0))),"")</f>
        <v>10.1021/jm3017464</v>
      </c>
      <c r="L2238" s="25" t="s">
        <v>2533</v>
      </c>
    </row>
    <row r="2239" customFormat="false" ht="15" hidden="false" customHeight="false" outlineLevel="0" collapsed="false">
      <c r="A2239" s="25" t="n">
        <v>12663646</v>
      </c>
      <c r="B2239" s="25" t="s">
        <v>4854</v>
      </c>
      <c r="C2239" s="25" t="s">
        <v>4855</v>
      </c>
      <c r="D2239" s="26" t="n">
        <v>2.999</v>
      </c>
      <c r="E2239" s="27" t="n">
        <v>8.52302353424047</v>
      </c>
      <c r="F2239" s="27" t="n">
        <v>8.52295113976041</v>
      </c>
      <c r="G2239" s="25" t="s">
        <v>2531</v>
      </c>
      <c r="H2239" s="25" t="s">
        <v>2532</v>
      </c>
      <c r="I2239" s="25" t="n">
        <f aca="false">IFERROR(IF(INDEX(Documents!$C$5:$C$657,MATCH(H2239,Documents!$A$5:$A$657,0))="","",INDEX(Documents!$C$5:$C$657,MATCH(H2239,Documents!$A$5:$A$657,0))),"")</f>
        <v>2013</v>
      </c>
      <c r="J2239" s="25" t="str">
        <f aca="false">IFERROR(IF(INDEX(Documents!$D$5:$D$657,MATCH(H2239,Documents!$A$5:$A$657,0))="","",INDEX(Documents!$D$5:$D$657,MATCH(H2239,Documents!$A$5:$A$657,0))),"")</f>
        <v>J Med Chem</v>
      </c>
      <c r="K2239" s="25" t="str">
        <f aca="false">IFERROR(IF(INDEX(Documents!$G$5:$G$657,MATCH(H2239,Documents!$A$5:$A$657,0))="","",INDEX(Documents!$G$5:$G$657,MATCH(H2239,Documents!$A$5:$A$657,0))),"")</f>
        <v>10.1021/jm3017464</v>
      </c>
      <c r="L2239" s="25" t="s">
        <v>2533</v>
      </c>
    </row>
    <row r="2240" customFormat="false" ht="15" hidden="false" customHeight="false" outlineLevel="0" collapsed="false">
      <c r="A2240" s="25" t="n">
        <v>12664948</v>
      </c>
      <c r="B2240" s="25" t="s">
        <v>4856</v>
      </c>
      <c r="C2240" s="25" t="s">
        <v>4857</v>
      </c>
      <c r="D2240" s="26" t="n">
        <v>5.6</v>
      </c>
      <c r="E2240" s="27" t="n">
        <v>8.2518119729938</v>
      </c>
      <c r="F2240" s="27" t="n">
        <v>8.25188953943183</v>
      </c>
      <c r="G2240" s="25" t="s">
        <v>2531</v>
      </c>
      <c r="H2240" s="25" t="s">
        <v>2532</v>
      </c>
      <c r="I2240" s="25" t="n">
        <f aca="false">IFERROR(IF(INDEX(Documents!$C$5:$C$657,MATCH(H2240,Documents!$A$5:$A$657,0))="","",INDEX(Documents!$C$5:$C$657,MATCH(H2240,Documents!$A$5:$A$657,0))),"")</f>
        <v>2013</v>
      </c>
      <c r="J2240" s="25" t="str">
        <f aca="false">IFERROR(IF(INDEX(Documents!$D$5:$D$657,MATCH(H2240,Documents!$A$5:$A$657,0))="","",INDEX(Documents!$D$5:$D$657,MATCH(H2240,Documents!$A$5:$A$657,0))),"")</f>
        <v>J Med Chem</v>
      </c>
      <c r="K2240" s="25" t="str">
        <f aca="false">IFERROR(IF(INDEX(Documents!$G$5:$G$657,MATCH(H2240,Documents!$A$5:$A$657,0))="","",INDEX(Documents!$G$5:$G$657,MATCH(H2240,Documents!$A$5:$A$657,0))),"")</f>
        <v>10.1021/jm3017464</v>
      </c>
      <c r="L2240" s="25" t="s">
        <v>2533</v>
      </c>
    </row>
    <row r="2241" customFormat="false" ht="15" hidden="false" customHeight="false" outlineLevel="0" collapsed="false">
      <c r="A2241" s="25" t="n">
        <v>12663647</v>
      </c>
      <c r="B2241" s="25" t="s">
        <v>4856</v>
      </c>
      <c r="C2241" s="25" t="s">
        <v>4857</v>
      </c>
      <c r="D2241" s="26" t="n">
        <v>5.598</v>
      </c>
      <c r="E2241" s="27" t="n">
        <v>8.25196710586986</v>
      </c>
      <c r="F2241" s="27" t="n">
        <v>8.25188953943183</v>
      </c>
      <c r="G2241" s="25" t="s">
        <v>2531</v>
      </c>
      <c r="H2241" s="25" t="s">
        <v>2532</v>
      </c>
      <c r="I2241" s="25" t="n">
        <f aca="false">IFERROR(IF(INDEX(Documents!$C$5:$C$657,MATCH(H2241,Documents!$A$5:$A$657,0))="","",INDEX(Documents!$C$5:$C$657,MATCH(H2241,Documents!$A$5:$A$657,0))),"")</f>
        <v>2013</v>
      </c>
      <c r="J2241" s="25" t="str">
        <f aca="false">IFERROR(IF(INDEX(Documents!$D$5:$D$657,MATCH(H2241,Documents!$A$5:$A$657,0))="","",INDEX(Documents!$D$5:$D$657,MATCH(H2241,Documents!$A$5:$A$657,0))),"")</f>
        <v>J Med Chem</v>
      </c>
      <c r="K2241" s="25" t="str">
        <f aca="false">IFERROR(IF(INDEX(Documents!$G$5:$G$657,MATCH(H2241,Documents!$A$5:$A$657,0))="","",INDEX(Documents!$G$5:$G$657,MATCH(H2241,Documents!$A$5:$A$657,0))),"")</f>
        <v>10.1021/jm3017464</v>
      </c>
      <c r="L2241" s="25" t="s">
        <v>2533</v>
      </c>
    </row>
    <row r="2242" customFormat="false" ht="15" hidden="false" customHeight="false" outlineLevel="0" collapsed="false">
      <c r="A2242" s="25" t="n">
        <v>12663645</v>
      </c>
      <c r="B2242" s="25" t="s">
        <v>4858</v>
      </c>
      <c r="C2242" s="25" t="s">
        <v>4859</v>
      </c>
      <c r="D2242" s="26" t="n">
        <v>0.5</v>
      </c>
      <c r="E2242" s="27" t="n">
        <v>9.30102999566398</v>
      </c>
      <c r="F2242" s="27" t="n">
        <v>9.30102999566398</v>
      </c>
      <c r="G2242" s="25" t="s">
        <v>2531</v>
      </c>
      <c r="H2242" s="25" t="s">
        <v>2532</v>
      </c>
      <c r="I2242" s="25" t="n">
        <f aca="false">IFERROR(IF(INDEX(Documents!$C$5:$C$657,MATCH(H2242,Documents!$A$5:$A$657,0))="","",INDEX(Documents!$C$5:$C$657,MATCH(H2242,Documents!$A$5:$A$657,0))),"")</f>
        <v>2013</v>
      </c>
      <c r="J2242" s="25" t="str">
        <f aca="false">IFERROR(IF(INDEX(Documents!$D$5:$D$657,MATCH(H2242,Documents!$A$5:$A$657,0))="","",INDEX(Documents!$D$5:$D$657,MATCH(H2242,Documents!$A$5:$A$657,0))),"")</f>
        <v>J Med Chem</v>
      </c>
      <c r="K2242" s="25" t="str">
        <f aca="false">IFERROR(IF(INDEX(Documents!$G$5:$G$657,MATCH(H2242,Documents!$A$5:$A$657,0))="","",INDEX(Documents!$G$5:$G$657,MATCH(H2242,Documents!$A$5:$A$657,0))),"")</f>
        <v>10.1021/jm3017464</v>
      </c>
      <c r="L2242" s="25" t="s">
        <v>2533</v>
      </c>
    </row>
    <row r="2243" customFormat="false" ht="15" hidden="false" customHeight="false" outlineLevel="0" collapsed="false">
      <c r="A2243" s="25" t="n">
        <v>12664946</v>
      </c>
      <c r="B2243" s="25" t="s">
        <v>4858</v>
      </c>
      <c r="C2243" s="25" t="s">
        <v>4859</v>
      </c>
      <c r="D2243" s="26" t="n">
        <v>0.5</v>
      </c>
      <c r="E2243" s="27" t="n">
        <v>9.30102999566398</v>
      </c>
      <c r="F2243" s="27" t="n">
        <v>9.30102999566398</v>
      </c>
      <c r="G2243" s="25" t="s">
        <v>2531</v>
      </c>
      <c r="H2243" s="25" t="s">
        <v>2532</v>
      </c>
      <c r="I2243" s="25" t="n">
        <f aca="false">IFERROR(IF(INDEX(Documents!$C$5:$C$657,MATCH(H2243,Documents!$A$5:$A$657,0))="","",INDEX(Documents!$C$5:$C$657,MATCH(H2243,Documents!$A$5:$A$657,0))),"")</f>
        <v>2013</v>
      </c>
      <c r="J2243" s="25" t="str">
        <f aca="false">IFERROR(IF(INDEX(Documents!$D$5:$D$657,MATCH(H2243,Documents!$A$5:$A$657,0))="","",INDEX(Documents!$D$5:$D$657,MATCH(H2243,Documents!$A$5:$A$657,0))),"")</f>
        <v>J Med Chem</v>
      </c>
      <c r="K2243" s="25" t="str">
        <f aca="false">IFERROR(IF(INDEX(Documents!$G$5:$G$657,MATCH(H2243,Documents!$A$5:$A$657,0))="","",INDEX(Documents!$G$5:$G$657,MATCH(H2243,Documents!$A$5:$A$657,0))),"")</f>
        <v>10.1021/jm3017464</v>
      </c>
      <c r="L2243" s="25" t="s">
        <v>2533</v>
      </c>
    </row>
    <row r="2244" customFormat="false" ht="15" hidden="false" customHeight="false" outlineLevel="0" collapsed="false">
      <c r="A2244" s="25" t="n">
        <v>12664944</v>
      </c>
      <c r="B2244" s="25" t="s">
        <v>4860</v>
      </c>
      <c r="C2244" s="25" t="s">
        <v>4861</v>
      </c>
      <c r="D2244" s="26" t="n">
        <v>5.8</v>
      </c>
      <c r="E2244" s="27" t="n">
        <v>8.23657200643706</v>
      </c>
      <c r="F2244" s="27" t="n">
        <v>8.23679675778466</v>
      </c>
      <c r="G2244" s="25" t="s">
        <v>2531</v>
      </c>
      <c r="H2244" s="25" t="s">
        <v>2532</v>
      </c>
      <c r="I2244" s="25" t="n">
        <f aca="false">IFERROR(IF(INDEX(Documents!$C$5:$C$657,MATCH(H2244,Documents!$A$5:$A$657,0))="","",INDEX(Documents!$C$5:$C$657,MATCH(H2244,Documents!$A$5:$A$657,0))),"")</f>
        <v>2013</v>
      </c>
      <c r="J2244" s="25" t="str">
        <f aca="false">IFERROR(IF(INDEX(Documents!$D$5:$D$657,MATCH(H2244,Documents!$A$5:$A$657,0))="","",INDEX(Documents!$D$5:$D$657,MATCH(H2244,Documents!$A$5:$A$657,0))),"")</f>
        <v>J Med Chem</v>
      </c>
      <c r="K2244" s="25" t="str">
        <f aca="false">IFERROR(IF(INDEX(Documents!$G$5:$G$657,MATCH(H2244,Documents!$A$5:$A$657,0))="","",INDEX(Documents!$G$5:$G$657,MATCH(H2244,Documents!$A$5:$A$657,0))),"")</f>
        <v>10.1021/jm3017464</v>
      </c>
      <c r="L2244" s="25" t="s">
        <v>2533</v>
      </c>
    </row>
    <row r="2245" customFormat="false" ht="15" hidden="false" customHeight="false" outlineLevel="0" collapsed="false">
      <c r="A2245" s="25" t="n">
        <v>12663643</v>
      </c>
      <c r="B2245" s="25" t="s">
        <v>4860</v>
      </c>
      <c r="C2245" s="25" t="s">
        <v>4861</v>
      </c>
      <c r="D2245" s="26" t="n">
        <v>5.794</v>
      </c>
      <c r="E2245" s="27" t="n">
        <v>8.23702150913226</v>
      </c>
      <c r="F2245" s="27" t="n">
        <v>8.23679675778466</v>
      </c>
      <c r="G2245" s="25" t="s">
        <v>2531</v>
      </c>
      <c r="H2245" s="25" t="s">
        <v>2532</v>
      </c>
      <c r="I2245" s="25" t="n">
        <f aca="false">IFERROR(IF(INDEX(Documents!$C$5:$C$657,MATCH(H2245,Documents!$A$5:$A$657,0))="","",INDEX(Documents!$C$5:$C$657,MATCH(H2245,Documents!$A$5:$A$657,0))),"")</f>
        <v>2013</v>
      </c>
      <c r="J2245" s="25" t="str">
        <f aca="false">IFERROR(IF(INDEX(Documents!$D$5:$D$657,MATCH(H2245,Documents!$A$5:$A$657,0))="","",INDEX(Documents!$D$5:$D$657,MATCH(H2245,Documents!$A$5:$A$657,0))),"")</f>
        <v>J Med Chem</v>
      </c>
      <c r="K2245" s="25" t="str">
        <f aca="false">IFERROR(IF(INDEX(Documents!$G$5:$G$657,MATCH(H2245,Documents!$A$5:$A$657,0))="","",INDEX(Documents!$G$5:$G$657,MATCH(H2245,Documents!$A$5:$A$657,0))),"")</f>
        <v>10.1021/jm3017464</v>
      </c>
      <c r="L2245" s="25" t="s">
        <v>2533</v>
      </c>
    </row>
    <row r="2246" customFormat="false" ht="15" hidden="false" customHeight="false" outlineLevel="0" collapsed="false">
      <c r="A2246" s="25" t="n">
        <v>12664949</v>
      </c>
      <c r="B2246" s="25" t="s">
        <v>4862</v>
      </c>
      <c r="C2246" s="25" t="s">
        <v>4863</v>
      </c>
      <c r="D2246" s="26" t="n">
        <v>3.4</v>
      </c>
      <c r="E2246" s="27" t="n">
        <v>8.46852108295775</v>
      </c>
      <c r="F2246" s="27" t="n">
        <v>8.46877670069291</v>
      </c>
      <c r="G2246" s="25" t="s">
        <v>2531</v>
      </c>
      <c r="H2246" s="25" t="s">
        <v>2532</v>
      </c>
      <c r="I2246" s="25" t="n">
        <f aca="false">IFERROR(IF(INDEX(Documents!$C$5:$C$657,MATCH(H2246,Documents!$A$5:$A$657,0))="","",INDEX(Documents!$C$5:$C$657,MATCH(H2246,Documents!$A$5:$A$657,0))),"")</f>
        <v>2013</v>
      </c>
      <c r="J2246" s="25" t="str">
        <f aca="false">IFERROR(IF(INDEX(Documents!$D$5:$D$657,MATCH(H2246,Documents!$A$5:$A$657,0))="","",INDEX(Documents!$D$5:$D$657,MATCH(H2246,Documents!$A$5:$A$657,0))),"")</f>
        <v>J Med Chem</v>
      </c>
      <c r="K2246" s="25" t="str">
        <f aca="false">IFERROR(IF(INDEX(Documents!$G$5:$G$657,MATCH(H2246,Documents!$A$5:$A$657,0))="","",INDEX(Documents!$G$5:$G$657,MATCH(H2246,Documents!$A$5:$A$657,0))),"")</f>
        <v>10.1021/jm3017464</v>
      </c>
      <c r="L2246" s="25" t="s">
        <v>2533</v>
      </c>
    </row>
    <row r="2247" customFormat="false" ht="15" hidden="false" customHeight="false" outlineLevel="0" collapsed="false">
      <c r="A2247" s="25" t="n">
        <v>12663648</v>
      </c>
      <c r="B2247" s="25" t="s">
        <v>4862</v>
      </c>
      <c r="C2247" s="25" t="s">
        <v>4863</v>
      </c>
      <c r="D2247" s="26" t="n">
        <v>3.396</v>
      </c>
      <c r="E2247" s="27" t="n">
        <v>8.46903231842808</v>
      </c>
      <c r="F2247" s="27" t="n">
        <v>8.46877670069291</v>
      </c>
      <c r="G2247" s="25" t="s">
        <v>2531</v>
      </c>
      <c r="H2247" s="25" t="s">
        <v>2532</v>
      </c>
      <c r="I2247" s="25" t="n">
        <f aca="false">IFERROR(IF(INDEX(Documents!$C$5:$C$657,MATCH(H2247,Documents!$A$5:$A$657,0))="","",INDEX(Documents!$C$5:$C$657,MATCH(H2247,Documents!$A$5:$A$657,0))),"")</f>
        <v>2013</v>
      </c>
      <c r="J2247" s="25" t="str">
        <f aca="false">IFERROR(IF(INDEX(Documents!$D$5:$D$657,MATCH(H2247,Documents!$A$5:$A$657,0))="","",INDEX(Documents!$D$5:$D$657,MATCH(H2247,Documents!$A$5:$A$657,0))),"")</f>
        <v>J Med Chem</v>
      </c>
      <c r="K2247" s="25" t="str">
        <f aca="false">IFERROR(IF(INDEX(Documents!$G$5:$G$657,MATCH(H2247,Documents!$A$5:$A$657,0))="","",INDEX(Documents!$G$5:$G$657,MATCH(H2247,Documents!$A$5:$A$657,0))),"")</f>
        <v>10.1021/jm3017464</v>
      </c>
      <c r="L2247" s="25" t="s">
        <v>2533</v>
      </c>
    </row>
    <row r="2248" customFormat="false" ht="15" hidden="false" customHeight="false" outlineLevel="0" collapsed="false">
      <c r="A2248" s="25" t="n">
        <v>12664952</v>
      </c>
      <c r="B2248" s="25" t="s">
        <v>4864</v>
      </c>
      <c r="C2248" s="25" t="s">
        <v>4865</v>
      </c>
      <c r="D2248" s="26" t="n">
        <v>222</v>
      </c>
      <c r="E2248" s="27" t="n">
        <v>6.65364702554936</v>
      </c>
      <c r="F2248" s="27" t="n">
        <v>6.65382316229631</v>
      </c>
      <c r="G2248" s="25" t="s">
        <v>2531</v>
      </c>
      <c r="H2248" s="25" t="s">
        <v>2532</v>
      </c>
      <c r="I2248" s="25" t="n">
        <f aca="false">IFERROR(IF(INDEX(Documents!$C$5:$C$657,MATCH(H2248,Documents!$A$5:$A$657,0))="","",INDEX(Documents!$C$5:$C$657,MATCH(H2248,Documents!$A$5:$A$657,0))),"")</f>
        <v>2013</v>
      </c>
      <c r="J2248" s="25" t="str">
        <f aca="false">IFERROR(IF(INDEX(Documents!$D$5:$D$657,MATCH(H2248,Documents!$A$5:$A$657,0))="","",INDEX(Documents!$D$5:$D$657,MATCH(H2248,Documents!$A$5:$A$657,0))),"")</f>
        <v>J Med Chem</v>
      </c>
      <c r="K2248" s="25" t="str">
        <f aca="false">IFERROR(IF(INDEX(Documents!$G$5:$G$657,MATCH(H2248,Documents!$A$5:$A$657,0))="","",INDEX(Documents!$G$5:$G$657,MATCH(H2248,Documents!$A$5:$A$657,0))),"")</f>
        <v>10.1021/jm3017464</v>
      </c>
      <c r="L2248" s="25" t="s">
        <v>2533</v>
      </c>
    </row>
    <row r="2249" customFormat="false" ht="15" hidden="false" customHeight="false" outlineLevel="0" collapsed="false">
      <c r="A2249" s="25" t="n">
        <v>12663651</v>
      </c>
      <c r="B2249" s="25" t="s">
        <v>4864</v>
      </c>
      <c r="C2249" s="25" t="s">
        <v>4865</v>
      </c>
      <c r="D2249" s="26" t="n">
        <v>221.82</v>
      </c>
      <c r="E2249" s="27" t="n">
        <v>6.65399929904325</v>
      </c>
      <c r="F2249" s="27" t="n">
        <v>6.65382316229631</v>
      </c>
      <c r="G2249" s="25" t="s">
        <v>2531</v>
      </c>
      <c r="H2249" s="25" t="s">
        <v>2532</v>
      </c>
      <c r="I2249" s="25" t="n">
        <f aca="false">IFERROR(IF(INDEX(Documents!$C$5:$C$657,MATCH(H2249,Documents!$A$5:$A$657,0))="","",INDEX(Documents!$C$5:$C$657,MATCH(H2249,Documents!$A$5:$A$657,0))),"")</f>
        <v>2013</v>
      </c>
      <c r="J2249" s="25" t="str">
        <f aca="false">IFERROR(IF(INDEX(Documents!$D$5:$D$657,MATCH(H2249,Documents!$A$5:$A$657,0))="","",INDEX(Documents!$D$5:$D$657,MATCH(H2249,Documents!$A$5:$A$657,0))),"")</f>
        <v>J Med Chem</v>
      </c>
      <c r="K2249" s="25" t="str">
        <f aca="false">IFERROR(IF(INDEX(Documents!$G$5:$G$657,MATCH(H2249,Documents!$A$5:$A$657,0))="","",INDEX(Documents!$G$5:$G$657,MATCH(H2249,Documents!$A$5:$A$657,0))),"")</f>
        <v>10.1021/jm3017464</v>
      </c>
      <c r="L2249" s="25" t="s">
        <v>2533</v>
      </c>
    </row>
    <row r="2250" customFormat="false" ht="15" hidden="false" customHeight="false" outlineLevel="0" collapsed="false">
      <c r="A2250" s="25" t="n">
        <v>12664954</v>
      </c>
      <c r="B2250" s="25" t="s">
        <v>4866</v>
      </c>
      <c r="C2250" s="25" t="s">
        <v>4867</v>
      </c>
      <c r="D2250" s="26" t="n">
        <v>37</v>
      </c>
      <c r="E2250" s="27" t="n">
        <v>7.43179827593301</v>
      </c>
      <c r="F2250" s="27" t="n">
        <v>7.43191568455493</v>
      </c>
      <c r="G2250" s="25" t="s">
        <v>2531</v>
      </c>
      <c r="H2250" s="25" t="s">
        <v>2532</v>
      </c>
      <c r="I2250" s="25" t="n">
        <f aca="false">IFERROR(IF(INDEX(Documents!$C$5:$C$657,MATCH(H2250,Documents!$A$5:$A$657,0))="","",INDEX(Documents!$C$5:$C$657,MATCH(H2250,Documents!$A$5:$A$657,0))),"")</f>
        <v>2013</v>
      </c>
      <c r="J2250" s="25" t="str">
        <f aca="false">IFERROR(IF(INDEX(Documents!$D$5:$D$657,MATCH(H2250,Documents!$A$5:$A$657,0))="","",INDEX(Documents!$D$5:$D$657,MATCH(H2250,Documents!$A$5:$A$657,0))),"")</f>
        <v>J Med Chem</v>
      </c>
      <c r="K2250" s="25" t="str">
        <f aca="false">IFERROR(IF(INDEX(Documents!$G$5:$G$657,MATCH(H2250,Documents!$A$5:$A$657,0))="","",INDEX(Documents!$G$5:$G$657,MATCH(H2250,Documents!$A$5:$A$657,0))),"")</f>
        <v>10.1021/jm3017464</v>
      </c>
      <c r="L2250" s="25" t="s">
        <v>2533</v>
      </c>
    </row>
    <row r="2251" customFormat="false" ht="15" hidden="false" customHeight="false" outlineLevel="0" collapsed="false">
      <c r="A2251" s="25" t="n">
        <v>12663653</v>
      </c>
      <c r="B2251" s="25" t="s">
        <v>4866</v>
      </c>
      <c r="C2251" s="25" t="s">
        <v>4867</v>
      </c>
      <c r="D2251" s="26" t="n">
        <v>36.98</v>
      </c>
      <c r="E2251" s="27" t="n">
        <v>7.43203309317685</v>
      </c>
      <c r="F2251" s="27" t="n">
        <v>7.43191568455493</v>
      </c>
      <c r="G2251" s="25" t="s">
        <v>2531</v>
      </c>
      <c r="H2251" s="25" t="s">
        <v>2532</v>
      </c>
      <c r="I2251" s="25" t="n">
        <f aca="false">IFERROR(IF(INDEX(Documents!$C$5:$C$657,MATCH(H2251,Documents!$A$5:$A$657,0))="","",INDEX(Documents!$C$5:$C$657,MATCH(H2251,Documents!$A$5:$A$657,0))),"")</f>
        <v>2013</v>
      </c>
      <c r="J2251" s="25" t="str">
        <f aca="false">IFERROR(IF(INDEX(Documents!$D$5:$D$657,MATCH(H2251,Documents!$A$5:$A$657,0))="","",INDEX(Documents!$D$5:$D$657,MATCH(H2251,Documents!$A$5:$A$657,0))),"")</f>
        <v>J Med Chem</v>
      </c>
      <c r="K2251" s="25" t="str">
        <f aca="false">IFERROR(IF(INDEX(Documents!$G$5:$G$657,MATCH(H2251,Documents!$A$5:$A$657,0))="","",INDEX(Documents!$G$5:$G$657,MATCH(H2251,Documents!$A$5:$A$657,0))),"")</f>
        <v>10.1021/jm3017464</v>
      </c>
      <c r="L2251" s="25" t="s">
        <v>2533</v>
      </c>
    </row>
    <row r="2252" customFormat="false" ht="15" hidden="false" customHeight="false" outlineLevel="0" collapsed="false">
      <c r="A2252" s="25" t="n">
        <v>12664956</v>
      </c>
      <c r="B2252" s="25" t="s">
        <v>4868</v>
      </c>
      <c r="C2252" s="25" t="s">
        <v>4869</v>
      </c>
      <c r="D2252" s="26" t="n">
        <v>36</v>
      </c>
      <c r="E2252" s="27" t="n">
        <v>7.44369749923271</v>
      </c>
      <c r="F2252" s="27" t="n">
        <v>7.4438785307071</v>
      </c>
      <c r="G2252" s="25" t="s">
        <v>2531</v>
      </c>
      <c r="H2252" s="25" t="s">
        <v>2532</v>
      </c>
      <c r="I2252" s="25" t="n">
        <f aca="false">IFERROR(IF(INDEX(Documents!$C$5:$C$657,MATCH(H2252,Documents!$A$5:$A$657,0))="","",INDEX(Documents!$C$5:$C$657,MATCH(H2252,Documents!$A$5:$A$657,0))),"")</f>
        <v>2013</v>
      </c>
      <c r="J2252" s="25" t="str">
        <f aca="false">IFERROR(IF(INDEX(Documents!$D$5:$D$657,MATCH(H2252,Documents!$A$5:$A$657,0))="","",INDEX(Documents!$D$5:$D$657,MATCH(H2252,Documents!$A$5:$A$657,0))),"")</f>
        <v>J Med Chem</v>
      </c>
      <c r="K2252" s="25" t="str">
        <f aca="false">IFERROR(IF(INDEX(Documents!$G$5:$G$657,MATCH(H2252,Documents!$A$5:$A$657,0))="","",INDEX(Documents!$G$5:$G$657,MATCH(H2252,Documents!$A$5:$A$657,0))),"")</f>
        <v>10.1021/jm3017464</v>
      </c>
      <c r="L2252" s="25" t="s">
        <v>2533</v>
      </c>
    </row>
    <row r="2253" customFormat="false" ht="15" hidden="false" customHeight="false" outlineLevel="0" collapsed="false">
      <c r="A2253" s="25" t="n">
        <v>12663655</v>
      </c>
      <c r="B2253" s="25" t="s">
        <v>4868</v>
      </c>
      <c r="C2253" s="25" t="s">
        <v>4869</v>
      </c>
      <c r="D2253" s="26" t="n">
        <v>35.97</v>
      </c>
      <c r="E2253" s="27" t="n">
        <v>7.44405956218149</v>
      </c>
      <c r="F2253" s="27" t="n">
        <v>7.4438785307071</v>
      </c>
      <c r="G2253" s="25" t="s">
        <v>2531</v>
      </c>
      <c r="H2253" s="25" t="s">
        <v>2532</v>
      </c>
      <c r="I2253" s="25" t="n">
        <f aca="false">IFERROR(IF(INDEX(Documents!$C$5:$C$657,MATCH(H2253,Documents!$A$5:$A$657,0))="","",INDEX(Documents!$C$5:$C$657,MATCH(H2253,Documents!$A$5:$A$657,0))),"")</f>
        <v>2013</v>
      </c>
      <c r="J2253" s="25" t="str">
        <f aca="false">IFERROR(IF(INDEX(Documents!$D$5:$D$657,MATCH(H2253,Documents!$A$5:$A$657,0))="","",INDEX(Documents!$D$5:$D$657,MATCH(H2253,Documents!$A$5:$A$657,0))),"")</f>
        <v>J Med Chem</v>
      </c>
      <c r="K2253" s="25" t="str">
        <f aca="false">IFERROR(IF(INDEX(Documents!$G$5:$G$657,MATCH(H2253,Documents!$A$5:$A$657,0))="","",INDEX(Documents!$G$5:$G$657,MATCH(H2253,Documents!$A$5:$A$657,0))),"")</f>
        <v>10.1021/jm3017464</v>
      </c>
      <c r="L2253" s="25" t="s">
        <v>2533</v>
      </c>
    </row>
    <row r="2254" customFormat="false" ht="15" hidden="false" customHeight="false" outlineLevel="0" collapsed="false">
      <c r="A2254" s="25" t="n">
        <v>12664957</v>
      </c>
      <c r="B2254" s="25" t="s">
        <v>4870</v>
      </c>
      <c r="C2254" s="25" t="s">
        <v>4871</v>
      </c>
      <c r="D2254" s="26" t="n">
        <v>73</v>
      </c>
      <c r="E2254" s="27" t="n">
        <v>7.13667713987954</v>
      </c>
      <c r="F2254" s="27" t="n">
        <v>7.13682592182504</v>
      </c>
      <c r="G2254" s="25" t="s">
        <v>2531</v>
      </c>
      <c r="H2254" s="25" t="s">
        <v>2532</v>
      </c>
      <c r="I2254" s="25" t="n">
        <f aca="false">IFERROR(IF(INDEX(Documents!$C$5:$C$657,MATCH(H2254,Documents!$A$5:$A$657,0))="","",INDEX(Documents!$C$5:$C$657,MATCH(H2254,Documents!$A$5:$A$657,0))),"")</f>
        <v>2013</v>
      </c>
      <c r="J2254" s="25" t="str">
        <f aca="false">IFERROR(IF(INDEX(Documents!$D$5:$D$657,MATCH(H2254,Documents!$A$5:$A$657,0))="","",INDEX(Documents!$D$5:$D$657,MATCH(H2254,Documents!$A$5:$A$657,0))),"")</f>
        <v>J Med Chem</v>
      </c>
      <c r="K2254" s="25" t="str">
        <f aca="false">IFERROR(IF(INDEX(Documents!$G$5:$G$657,MATCH(H2254,Documents!$A$5:$A$657,0))="","",INDEX(Documents!$G$5:$G$657,MATCH(H2254,Documents!$A$5:$A$657,0))),"")</f>
        <v>10.1021/jm3017464</v>
      </c>
      <c r="L2254" s="25" t="s">
        <v>2533</v>
      </c>
    </row>
    <row r="2255" customFormat="false" ht="15" hidden="false" customHeight="false" outlineLevel="0" collapsed="false">
      <c r="A2255" s="25" t="n">
        <v>12663656</v>
      </c>
      <c r="B2255" s="25" t="s">
        <v>4870</v>
      </c>
      <c r="C2255" s="25" t="s">
        <v>4871</v>
      </c>
      <c r="D2255" s="26" t="n">
        <v>72.95</v>
      </c>
      <c r="E2255" s="27" t="n">
        <v>7.13697470377053</v>
      </c>
      <c r="F2255" s="27" t="n">
        <v>7.13682592182504</v>
      </c>
      <c r="G2255" s="25" t="s">
        <v>2531</v>
      </c>
      <c r="H2255" s="25" t="s">
        <v>2532</v>
      </c>
      <c r="I2255" s="25" t="n">
        <f aca="false">IFERROR(IF(INDEX(Documents!$C$5:$C$657,MATCH(H2255,Documents!$A$5:$A$657,0))="","",INDEX(Documents!$C$5:$C$657,MATCH(H2255,Documents!$A$5:$A$657,0))),"")</f>
        <v>2013</v>
      </c>
      <c r="J2255" s="25" t="str">
        <f aca="false">IFERROR(IF(INDEX(Documents!$D$5:$D$657,MATCH(H2255,Documents!$A$5:$A$657,0))="","",INDEX(Documents!$D$5:$D$657,MATCH(H2255,Documents!$A$5:$A$657,0))),"")</f>
        <v>J Med Chem</v>
      </c>
      <c r="K2255" s="25" t="str">
        <f aca="false">IFERROR(IF(INDEX(Documents!$G$5:$G$657,MATCH(H2255,Documents!$A$5:$A$657,0))="","",INDEX(Documents!$G$5:$G$657,MATCH(H2255,Documents!$A$5:$A$657,0))),"")</f>
        <v>10.1021/jm3017464</v>
      </c>
      <c r="L2255" s="25" t="s">
        <v>2533</v>
      </c>
    </row>
    <row r="2256" customFormat="false" ht="15" hidden="false" customHeight="false" outlineLevel="0" collapsed="false">
      <c r="A2256" s="25" t="n">
        <v>12663654</v>
      </c>
      <c r="B2256" s="25" t="s">
        <v>4872</v>
      </c>
      <c r="C2256" s="25" t="s">
        <v>4873</v>
      </c>
      <c r="D2256" s="26" t="n">
        <v>14</v>
      </c>
      <c r="E2256" s="27" t="n">
        <v>7.85387196432176</v>
      </c>
      <c r="F2256" s="27" t="n">
        <v>7.85387196432176</v>
      </c>
      <c r="G2256" s="25" t="s">
        <v>2531</v>
      </c>
      <c r="H2256" s="25" t="s">
        <v>2532</v>
      </c>
      <c r="I2256" s="25" t="n">
        <f aca="false">IFERROR(IF(INDEX(Documents!$C$5:$C$657,MATCH(H2256,Documents!$A$5:$A$657,0))="","",INDEX(Documents!$C$5:$C$657,MATCH(H2256,Documents!$A$5:$A$657,0))),"")</f>
        <v>2013</v>
      </c>
      <c r="J2256" s="25" t="str">
        <f aca="false">IFERROR(IF(INDEX(Documents!$D$5:$D$657,MATCH(H2256,Documents!$A$5:$A$657,0))="","",INDEX(Documents!$D$5:$D$657,MATCH(H2256,Documents!$A$5:$A$657,0))),"")</f>
        <v>J Med Chem</v>
      </c>
      <c r="K2256" s="25" t="str">
        <f aca="false">IFERROR(IF(INDEX(Documents!$G$5:$G$657,MATCH(H2256,Documents!$A$5:$A$657,0))="","",INDEX(Documents!$G$5:$G$657,MATCH(H2256,Documents!$A$5:$A$657,0))),"")</f>
        <v>10.1021/jm3017464</v>
      </c>
      <c r="L2256" s="25" t="s">
        <v>2533</v>
      </c>
    </row>
    <row r="2257" customFormat="false" ht="15" hidden="false" customHeight="false" outlineLevel="0" collapsed="false">
      <c r="A2257" s="25" t="n">
        <v>12664955</v>
      </c>
      <c r="B2257" s="25" t="s">
        <v>4872</v>
      </c>
      <c r="C2257" s="25" t="s">
        <v>4873</v>
      </c>
      <c r="D2257" s="26" t="n">
        <v>14</v>
      </c>
      <c r="E2257" s="27" t="n">
        <v>7.85387196432176</v>
      </c>
      <c r="F2257" s="27" t="n">
        <v>7.85387196432176</v>
      </c>
      <c r="G2257" s="25" t="s">
        <v>2531</v>
      </c>
      <c r="H2257" s="25" t="s">
        <v>2532</v>
      </c>
      <c r="I2257" s="25" t="n">
        <f aca="false">IFERROR(IF(INDEX(Documents!$C$5:$C$657,MATCH(H2257,Documents!$A$5:$A$657,0))="","",INDEX(Documents!$C$5:$C$657,MATCH(H2257,Documents!$A$5:$A$657,0))),"")</f>
        <v>2013</v>
      </c>
      <c r="J2257" s="25" t="str">
        <f aca="false">IFERROR(IF(INDEX(Documents!$D$5:$D$657,MATCH(H2257,Documents!$A$5:$A$657,0))="","",INDEX(Documents!$D$5:$D$657,MATCH(H2257,Documents!$A$5:$A$657,0))),"")</f>
        <v>J Med Chem</v>
      </c>
      <c r="K2257" s="25" t="str">
        <f aca="false">IFERROR(IF(INDEX(Documents!$G$5:$G$657,MATCH(H2257,Documents!$A$5:$A$657,0))="","",INDEX(Documents!$G$5:$G$657,MATCH(H2257,Documents!$A$5:$A$657,0))),"")</f>
        <v>10.1021/jm3017464</v>
      </c>
      <c r="L2257" s="25" t="s">
        <v>2533</v>
      </c>
    </row>
    <row r="2258" customFormat="false" ht="15" hidden="false" customHeight="false" outlineLevel="0" collapsed="false">
      <c r="A2258" s="25" t="n">
        <v>12664953</v>
      </c>
      <c r="B2258" s="25" t="s">
        <v>4874</v>
      </c>
      <c r="C2258" s="25" t="s">
        <v>4875</v>
      </c>
      <c r="D2258" s="26" t="n">
        <v>2.8</v>
      </c>
      <c r="E2258" s="27" t="n">
        <v>8.55284196865778</v>
      </c>
      <c r="F2258" s="27" t="n">
        <v>8.55291953509581</v>
      </c>
      <c r="G2258" s="25" t="s">
        <v>2531</v>
      </c>
      <c r="H2258" s="25" t="s">
        <v>2532</v>
      </c>
      <c r="I2258" s="25" t="n">
        <f aca="false">IFERROR(IF(INDEX(Documents!$C$5:$C$657,MATCH(H2258,Documents!$A$5:$A$657,0))="","",INDEX(Documents!$C$5:$C$657,MATCH(H2258,Documents!$A$5:$A$657,0))),"")</f>
        <v>2013</v>
      </c>
      <c r="J2258" s="25" t="str">
        <f aca="false">IFERROR(IF(INDEX(Documents!$D$5:$D$657,MATCH(H2258,Documents!$A$5:$A$657,0))="","",INDEX(Documents!$D$5:$D$657,MATCH(H2258,Documents!$A$5:$A$657,0))),"")</f>
        <v>J Med Chem</v>
      </c>
      <c r="K2258" s="25" t="str">
        <f aca="false">IFERROR(IF(INDEX(Documents!$G$5:$G$657,MATCH(H2258,Documents!$A$5:$A$657,0))="","",INDEX(Documents!$G$5:$G$657,MATCH(H2258,Documents!$A$5:$A$657,0))),"")</f>
        <v>10.1021/jm3017464</v>
      </c>
      <c r="L2258" s="25" t="s">
        <v>2533</v>
      </c>
    </row>
    <row r="2259" customFormat="false" ht="15" hidden="false" customHeight="false" outlineLevel="0" collapsed="false">
      <c r="A2259" s="25" t="n">
        <v>12663652</v>
      </c>
      <c r="B2259" s="25" t="s">
        <v>4874</v>
      </c>
      <c r="C2259" s="25" t="s">
        <v>4875</v>
      </c>
      <c r="D2259" s="26" t="n">
        <v>2.799</v>
      </c>
      <c r="E2259" s="27" t="n">
        <v>8.55299710153384</v>
      </c>
      <c r="F2259" s="27" t="n">
        <v>8.55291953509581</v>
      </c>
      <c r="G2259" s="25" t="s">
        <v>2531</v>
      </c>
      <c r="H2259" s="25" t="s">
        <v>2532</v>
      </c>
      <c r="I2259" s="25" t="n">
        <f aca="false">IFERROR(IF(INDEX(Documents!$C$5:$C$657,MATCH(H2259,Documents!$A$5:$A$657,0))="","",INDEX(Documents!$C$5:$C$657,MATCH(H2259,Documents!$A$5:$A$657,0))),"")</f>
        <v>2013</v>
      </c>
      <c r="J2259" s="25" t="str">
        <f aca="false">IFERROR(IF(INDEX(Documents!$D$5:$D$657,MATCH(H2259,Documents!$A$5:$A$657,0))="","",INDEX(Documents!$D$5:$D$657,MATCH(H2259,Documents!$A$5:$A$657,0))),"")</f>
        <v>J Med Chem</v>
      </c>
      <c r="K2259" s="25" t="str">
        <f aca="false">IFERROR(IF(INDEX(Documents!$G$5:$G$657,MATCH(H2259,Documents!$A$5:$A$657,0))="","",INDEX(Documents!$G$5:$G$657,MATCH(H2259,Documents!$A$5:$A$657,0))),"")</f>
        <v>10.1021/jm3017464</v>
      </c>
      <c r="L2259" s="25" t="s">
        <v>2533</v>
      </c>
    </row>
    <row r="2260" customFormat="false" ht="15" hidden="false" customHeight="false" outlineLevel="0" collapsed="false">
      <c r="A2260" s="25" t="n">
        <v>12664958</v>
      </c>
      <c r="B2260" s="25" t="s">
        <v>4876</v>
      </c>
      <c r="C2260" s="25" t="s">
        <v>4877</v>
      </c>
      <c r="D2260" s="26" t="n">
        <v>20</v>
      </c>
      <c r="E2260" s="27" t="n">
        <v>7.69897000433602</v>
      </c>
      <c r="F2260" s="27" t="n">
        <v>7.79895532471395</v>
      </c>
      <c r="G2260" s="25" t="s">
        <v>2531</v>
      </c>
      <c r="H2260" s="25" t="s">
        <v>2532</v>
      </c>
      <c r="I2260" s="25" t="n">
        <f aca="false">IFERROR(IF(INDEX(Documents!$C$5:$C$657,MATCH(H2260,Documents!$A$5:$A$657,0))="","",INDEX(Documents!$C$5:$C$657,MATCH(H2260,Documents!$A$5:$A$657,0))),"")</f>
        <v>2013</v>
      </c>
      <c r="J2260" s="25" t="str">
        <f aca="false">IFERROR(IF(INDEX(Documents!$D$5:$D$657,MATCH(H2260,Documents!$A$5:$A$657,0))="","",INDEX(Documents!$D$5:$D$657,MATCH(H2260,Documents!$A$5:$A$657,0))),"")</f>
        <v>J Med Chem</v>
      </c>
      <c r="K2260" s="25" t="str">
        <f aca="false">IFERROR(IF(INDEX(Documents!$G$5:$G$657,MATCH(H2260,Documents!$A$5:$A$657,0))="","",INDEX(Documents!$G$5:$G$657,MATCH(H2260,Documents!$A$5:$A$657,0))),"")</f>
        <v>10.1021/jm3017464</v>
      </c>
      <c r="L2260" s="25" t="s">
        <v>2533</v>
      </c>
    </row>
    <row r="2261" customFormat="false" ht="15" hidden="false" customHeight="false" outlineLevel="0" collapsed="false">
      <c r="A2261" s="25" t="n">
        <v>12663657</v>
      </c>
      <c r="B2261" s="25" t="s">
        <v>4876</v>
      </c>
      <c r="C2261" s="25" t="s">
        <v>4877</v>
      </c>
      <c r="D2261" s="26" t="n">
        <v>12.62</v>
      </c>
      <c r="E2261" s="27" t="n">
        <v>7.89894064509188</v>
      </c>
      <c r="F2261" s="27" t="n">
        <v>7.79895532471395</v>
      </c>
      <c r="G2261" s="25" t="s">
        <v>2531</v>
      </c>
      <c r="H2261" s="25" t="s">
        <v>2532</v>
      </c>
      <c r="I2261" s="25" t="n">
        <f aca="false">IFERROR(IF(INDEX(Documents!$C$5:$C$657,MATCH(H2261,Documents!$A$5:$A$657,0))="","",INDEX(Documents!$C$5:$C$657,MATCH(H2261,Documents!$A$5:$A$657,0))),"")</f>
        <v>2013</v>
      </c>
      <c r="J2261" s="25" t="str">
        <f aca="false">IFERROR(IF(INDEX(Documents!$D$5:$D$657,MATCH(H2261,Documents!$A$5:$A$657,0))="","",INDEX(Documents!$D$5:$D$657,MATCH(H2261,Documents!$A$5:$A$657,0))),"")</f>
        <v>J Med Chem</v>
      </c>
      <c r="K2261" s="25" t="str">
        <f aca="false">IFERROR(IF(INDEX(Documents!$G$5:$G$657,MATCH(H2261,Documents!$A$5:$A$657,0))="","",INDEX(Documents!$G$5:$G$657,MATCH(H2261,Documents!$A$5:$A$657,0))),"")</f>
        <v>10.1021/jm3017464</v>
      </c>
      <c r="L2261" s="25" t="s">
        <v>2533</v>
      </c>
    </row>
    <row r="2262" customFormat="false" ht="15" hidden="false" customHeight="false" outlineLevel="0" collapsed="false">
      <c r="A2262" s="25" t="n">
        <v>12688461</v>
      </c>
      <c r="B2262" s="25" t="s">
        <v>4878</v>
      </c>
      <c r="C2262" s="25" t="s">
        <v>4879</v>
      </c>
      <c r="D2262" s="26" t="n">
        <v>30</v>
      </c>
      <c r="E2262" s="27" t="n">
        <v>7.52287874528034</v>
      </c>
      <c r="F2262" s="27" t="n">
        <v>7.52287874528034</v>
      </c>
      <c r="G2262" s="25" t="s">
        <v>508</v>
      </c>
      <c r="H2262" s="25" t="s">
        <v>509</v>
      </c>
      <c r="I2262" s="25" t="n">
        <f aca="false">IFERROR(IF(INDEX(Documents!$C$5:$C$657,MATCH(H2262,Documents!$A$5:$A$657,0))="","",INDEX(Documents!$C$5:$C$657,MATCH(H2262,Documents!$A$5:$A$657,0))),"")</f>
        <v>2013</v>
      </c>
      <c r="J2262" s="25" t="str">
        <f aca="false">IFERROR(IF(INDEX(Documents!$D$5:$D$657,MATCH(H2262,Documents!$A$5:$A$657,0))="","",INDEX(Documents!$D$5:$D$657,MATCH(H2262,Documents!$A$5:$A$657,0))),"")</f>
        <v>ACS Med Chem Lett</v>
      </c>
      <c r="K2262" s="25" t="str">
        <f aca="false">IFERROR(IF(INDEX(Documents!$G$5:$G$657,MATCH(H2262,Documents!$A$5:$A$657,0))="","",INDEX(Documents!$G$5:$G$657,MATCH(H2262,Documents!$A$5:$A$657,0))),"")</f>
        <v>10.1021/ml3004236</v>
      </c>
      <c r="L2262" s="25" t="s">
        <v>510</v>
      </c>
    </row>
    <row r="2263" customFormat="false" ht="15" hidden="false" customHeight="false" outlineLevel="0" collapsed="false">
      <c r="A2263" s="25" t="n">
        <v>12688467</v>
      </c>
      <c r="B2263" s="25" t="s">
        <v>4880</v>
      </c>
      <c r="C2263" s="25" t="s">
        <v>4881</v>
      </c>
      <c r="D2263" s="26" t="n">
        <v>5.5</v>
      </c>
      <c r="E2263" s="27" t="n">
        <v>8.25963731050576</v>
      </c>
      <c r="F2263" s="27" t="n">
        <v>8.25963731050576</v>
      </c>
      <c r="G2263" s="25" t="s">
        <v>508</v>
      </c>
      <c r="H2263" s="25" t="s">
        <v>509</v>
      </c>
      <c r="I2263" s="25" t="n">
        <f aca="false">IFERROR(IF(INDEX(Documents!$C$5:$C$657,MATCH(H2263,Documents!$A$5:$A$657,0))="","",INDEX(Documents!$C$5:$C$657,MATCH(H2263,Documents!$A$5:$A$657,0))),"")</f>
        <v>2013</v>
      </c>
      <c r="J2263" s="25" t="str">
        <f aca="false">IFERROR(IF(INDEX(Documents!$D$5:$D$657,MATCH(H2263,Documents!$A$5:$A$657,0))="","",INDEX(Documents!$D$5:$D$657,MATCH(H2263,Documents!$A$5:$A$657,0))),"")</f>
        <v>ACS Med Chem Lett</v>
      </c>
      <c r="K2263" s="25" t="str">
        <f aca="false">IFERROR(IF(INDEX(Documents!$G$5:$G$657,MATCH(H2263,Documents!$A$5:$A$657,0))="","",INDEX(Documents!$G$5:$G$657,MATCH(H2263,Documents!$A$5:$A$657,0))),"")</f>
        <v>10.1021/ml3004236</v>
      </c>
      <c r="L2263" s="25" t="s">
        <v>510</v>
      </c>
    </row>
    <row r="2264" customFormat="false" ht="15" hidden="false" customHeight="false" outlineLevel="0" collapsed="false">
      <c r="A2264" s="25" t="n">
        <v>12688462</v>
      </c>
      <c r="B2264" s="25" t="s">
        <v>4882</v>
      </c>
      <c r="C2264" s="25" t="s">
        <v>4883</v>
      </c>
      <c r="D2264" s="26" t="n">
        <v>5.4</v>
      </c>
      <c r="E2264" s="27" t="n">
        <v>8.26760624017703</v>
      </c>
      <c r="F2264" s="27" t="n">
        <v>8.26760624017703</v>
      </c>
      <c r="G2264" s="25" t="s">
        <v>508</v>
      </c>
      <c r="H2264" s="25" t="s">
        <v>509</v>
      </c>
      <c r="I2264" s="25" t="n">
        <f aca="false">IFERROR(IF(INDEX(Documents!$C$5:$C$657,MATCH(H2264,Documents!$A$5:$A$657,0))="","",INDEX(Documents!$C$5:$C$657,MATCH(H2264,Documents!$A$5:$A$657,0))),"")</f>
        <v>2013</v>
      </c>
      <c r="J2264" s="25" t="str">
        <f aca="false">IFERROR(IF(INDEX(Documents!$D$5:$D$657,MATCH(H2264,Documents!$A$5:$A$657,0))="","",INDEX(Documents!$D$5:$D$657,MATCH(H2264,Documents!$A$5:$A$657,0))),"")</f>
        <v>ACS Med Chem Lett</v>
      </c>
      <c r="K2264" s="25" t="str">
        <f aca="false">IFERROR(IF(INDEX(Documents!$G$5:$G$657,MATCH(H2264,Documents!$A$5:$A$657,0))="","",INDEX(Documents!$G$5:$G$657,MATCH(H2264,Documents!$A$5:$A$657,0))),"")</f>
        <v>10.1021/ml3004236</v>
      </c>
      <c r="L2264" s="25" t="s">
        <v>510</v>
      </c>
    </row>
    <row r="2265" customFormat="false" ht="15" hidden="false" customHeight="false" outlineLevel="0" collapsed="false">
      <c r="A2265" s="25" t="n">
        <v>12688465</v>
      </c>
      <c r="B2265" s="25" t="s">
        <v>4884</v>
      </c>
      <c r="C2265" s="25" t="s">
        <v>4885</v>
      </c>
      <c r="D2265" s="26" t="n">
        <v>14</v>
      </c>
      <c r="E2265" s="27" t="n">
        <v>7.85387196432176</v>
      </c>
      <c r="F2265" s="27" t="n">
        <v>7.85387196432176</v>
      </c>
      <c r="G2265" s="25" t="s">
        <v>508</v>
      </c>
      <c r="H2265" s="25" t="s">
        <v>509</v>
      </c>
      <c r="I2265" s="25" t="n">
        <f aca="false">IFERROR(IF(INDEX(Documents!$C$5:$C$657,MATCH(H2265,Documents!$A$5:$A$657,0))="","",INDEX(Documents!$C$5:$C$657,MATCH(H2265,Documents!$A$5:$A$657,0))),"")</f>
        <v>2013</v>
      </c>
      <c r="J2265" s="25" t="str">
        <f aca="false">IFERROR(IF(INDEX(Documents!$D$5:$D$657,MATCH(H2265,Documents!$A$5:$A$657,0))="","",INDEX(Documents!$D$5:$D$657,MATCH(H2265,Documents!$A$5:$A$657,0))),"")</f>
        <v>ACS Med Chem Lett</v>
      </c>
      <c r="K2265" s="25" t="str">
        <f aca="false">IFERROR(IF(INDEX(Documents!$G$5:$G$657,MATCH(H2265,Documents!$A$5:$A$657,0))="","",INDEX(Documents!$G$5:$G$657,MATCH(H2265,Documents!$A$5:$A$657,0))),"")</f>
        <v>10.1021/ml3004236</v>
      </c>
      <c r="L2265" s="25" t="s">
        <v>510</v>
      </c>
    </row>
    <row r="2266" customFormat="false" ht="15" hidden="false" customHeight="false" outlineLevel="0" collapsed="false">
      <c r="A2266" s="25" t="n">
        <v>12688456</v>
      </c>
      <c r="B2266" s="25" t="s">
        <v>4886</v>
      </c>
      <c r="C2266" s="25" t="s">
        <v>4887</v>
      </c>
      <c r="D2266" s="26" t="n">
        <v>4</v>
      </c>
      <c r="E2266" s="27" t="n">
        <v>8.39794000867204</v>
      </c>
      <c r="F2266" s="27" t="n">
        <v>8.39794000867204</v>
      </c>
      <c r="G2266" s="25" t="s">
        <v>508</v>
      </c>
      <c r="H2266" s="25" t="s">
        <v>509</v>
      </c>
      <c r="I2266" s="25" t="n">
        <f aca="false">IFERROR(IF(INDEX(Documents!$C$5:$C$657,MATCH(H2266,Documents!$A$5:$A$657,0))="","",INDEX(Documents!$C$5:$C$657,MATCH(H2266,Documents!$A$5:$A$657,0))),"")</f>
        <v>2013</v>
      </c>
      <c r="J2266" s="25" t="str">
        <f aca="false">IFERROR(IF(INDEX(Documents!$D$5:$D$657,MATCH(H2266,Documents!$A$5:$A$657,0))="","",INDEX(Documents!$D$5:$D$657,MATCH(H2266,Documents!$A$5:$A$657,0))),"")</f>
        <v>ACS Med Chem Lett</v>
      </c>
      <c r="K2266" s="25" t="str">
        <f aca="false">IFERROR(IF(INDEX(Documents!$G$5:$G$657,MATCH(H2266,Documents!$A$5:$A$657,0))="","",INDEX(Documents!$G$5:$G$657,MATCH(H2266,Documents!$A$5:$A$657,0))),"")</f>
        <v>10.1021/ml3004236</v>
      </c>
      <c r="L2266" s="25" t="s">
        <v>510</v>
      </c>
    </row>
    <row r="2267" customFormat="false" ht="15" hidden="false" customHeight="false" outlineLevel="0" collapsed="false">
      <c r="A2267" s="25" t="n">
        <v>12688476</v>
      </c>
      <c r="B2267" s="25" t="s">
        <v>4888</v>
      </c>
      <c r="C2267" s="25" t="s">
        <v>4889</v>
      </c>
      <c r="D2267" s="26" t="n">
        <v>3600</v>
      </c>
      <c r="E2267" s="27" t="n">
        <v>5.44369749923271</v>
      </c>
      <c r="F2267" s="27" t="n">
        <v>5.44369749923271</v>
      </c>
      <c r="G2267" s="25" t="s">
        <v>508</v>
      </c>
      <c r="H2267" s="25" t="s">
        <v>509</v>
      </c>
      <c r="I2267" s="25" t="n">
        <f aca="false">IFERROR(IF(INDEX(Documents!$C$5:$C$657,MATCH(H2267,Documents!$A$5:$A$657,0))="","",INDEX(Documents!$C$5:$C$657,MATCH(H2267,Documents!$A$5:$A$657,0))),"")</f>
        <v>2013</v>
      </c>
      <c r="J2267" s="25" t="str">
        <f aca="false">IFERROR(IF(INDEX(Documents!$D$5:$D$657,MATCH(H2267,Documents!$A$5:$A$657,0))="","",INDEX(Documents!$D$5:$D$657,MATCH(H2267,Documents!$A$5:$A$657,0))),"")</f>
        <v>ACS Med Chem Lett</v>
      </c>
      <c r="K2267" s="25" t="str">
        <f aca="false">IFERROR(IF(INDEX(Documents!$G$5:$G$657,MATCH(H2267,Documents!$A$5:$A$657,0))="","",INDEX(Documents!$G$5:$G$657,MATCH(H2267,Documents!$A$5:$A$657,0))),"")</f>
        <v>10.1021/ml3004236</v>
      </c>
      <c r="L2267" s="25" t="s">
        <v>510</v>
      </c>
    </row>
    <row r="2268" customFormat="false" ht="15" hidden="false" customHeight="false" outlineLevel="0" collapsed="false">
      <c r="A2268" s="25" t="n">
        <v>12663682</v>
      </c>
      <c r="B2268" s="25" t="s">
        <v>4890</v>
      </c>
      <c r="C2268" s="25" t="s">
        <v>4891</v>
      </c>
      <c r="D2268" s="26" t="n">
        <v>19952.62</v>
      </c>
      <c r="E2268" s="27" t="n">
        <v>4.70000006855703</v>
      </c>
      <c r="F2268" s="27" t="n">
        <v>4.70002858426713</v>
      </c>
      <c r="G2268" s="25" t="s">
        <v>2531</v>
      </c>
      <c r="H2268" s="25" t="s">
        <v>2532</v>
      </c>
      <c r="I2268" s="25" t="n">
        <f aca="false">IFERROR(IF(INDEX(Documents!$C$5:$C$657,MATCH(H2268,Documents!$A$5:$A$657,0))="","",INDEX(Documents!$C$5:$C$657,MATCH(H2268,Documents!$A$5:$A$657,0))),"")</f>
        <v>2013</v>
      </c>
      <c r="J2268" s="25" t="str">
        <f aca="false">IFERROR(IF(INDEX(Documents!$D$5:$D$657,MATCH(H2268,Documents!$A$5:$A$657,0))="","",INDEX(Documents!$D$5:$D$657,MATCH(H2268,Documents!$A$5:$A$657,0))),"")</f>
        <v>J Med Chem</v>
      </c>
      <c r="K2268" s="25" t="str">
        <f aca="false">IFERROR(IF(INDEX(Documents!$G$5:$G$657,MATCH(H2268,Documents!$A$5:$A$657,0))="","",INDEX(Documents!$G$5:$G$657,MATCH(H2268,Documents!$A$5:$A$657,0))),"")</f>
        <v>10.1021/jm3017464</v>
      </c>
      <c r="L2268" s="25" t="s">
        <v>2533</v>
      </c>
    </row>
    <row r="2269" customFormat="false" ht="15" hidden="false" customHeight="false" outlineLevel="0" collapsed="false">
      <c r="A2269" s="25" t="n">
        <v>12664984</v>
      </c>
      <c r="B2269" s="25" t="s">
        <v>4890</v>
      </c>
      <c r="C2269" s="25" t="s">
        <v>4891</v>
      </c>
      <c r="D2269" s="26" t="n">
        <v>19950</v>
      </c>
      <c r="E2269" s="27" t="n">
        <v>4.70005709997723</v>
      </c>
      <c r="F2269" s="27" t="n">
        <v>4.70002858426713</v>
      </c>
      <c r="G2269" s="25" t="s">
        <v>2531</v>
      </c>
      <c r="H2269" s="25" t="s">
        <v>2532</v>
      </c>
      <c r="I2269" s="25" t="n">
        <f aca="false">IFERROR(IF(INDEX(Documents!$C$5:$C$657,MATCH(H2269,Documents!$A$5:$A$657,0))="","",INDEX(Documents!$C$5:$C$657,MATCH(H2269,Documents!$A$5:$A$657,0))),"")</f>
        <v>2013</v>
      </c>
      <c r="J2269" s="25" t="str">
        <f aca="false">IFERROR(IF(INDEX(Documents!$D$5:$D$657,MATCH(H2269,Documents!$A$5:$A$657,0))="","",INDEX(Documents!$D$5:$D$657,MATCH(H2269,Documents!$A$5:$A$657,0))),"")</f>
        <v>J Med Chem</v>
      </c>
      <c r="K2269" s="25" t="str">
        <f aca="false">IFERROR(IF(INDEX(Documents!$G$5:$G$657,MATCH(H2269,Documents!$A$5:$A$657,0))="","",INDEX(Documents!$G$5:$G$657,MATCH(H2269,Documents!$A$5:$A$657,0))),"")</f>
        <v>10.1021/jm3017464</v>
      </c>
      <c r="L2269" s="25" t="s">
        <v>2533</v>
      </c>
    </row>
    <row r="2270" customFormat="false" ht="15" hidden="false" customHeight="false" outlineLevel="0" collapsed="false">
      <c r="A2270" s="25" t="n">
        <v>12663658</v>
      </c>
      <c r="B2270" s="25" t="s">
        <v>4892</v>
      </c>
      <c r="C2270" s="25" t="s">
        <v>4893</v>
      </c>
      <c r="D2270" s="26" t="n">
        <v>6745.28</v>
      </c>
      <c r="E2270" s="27" t="n">
        <v>5.17100001783329</v>
      </c>
      <c r="F2270" s="27" t="n">
        <v>5.17113784534725</v>
      </c>
      <c r="G2270" s="25" t="s">
        <v>2531</v>
      </c>
      <c r="H2270" s="25" t="s">
        <v>2532</v>
      </c>
      <c r="I2270" s="25" t="n">
        <f aca="false">IFERROR(IF(INDEX(Documents!$C$5:$C$657,MATCH(H2270,Documents!$A$5:$A$657,0))="","",INDEX(Documents!$C$5:$C$657,MATCH(H2270,Documents!$A$5:$A$657,0))),"")</f>
        <v>2013</v>
      </c>
      <c r="J2270" s="25" t="str">
        <f aca="false">IFERROR(IF(INDEX(Documents!$D$5:$D$657,MATCH(H2270,Documents!$A$5:$A$657,0))="","",INDEX(Documents!$D$5:$D$657,MATCH(H2270,Documents!$A$5:$A$657,0))),"")</f>
        <v>J Med Chem</v>
      </c>
      <c r="K2270" s="25" t="str">
        <f aca="false">IFERROR(IF(INDEX(Documents!$G$5:$G$657,MATCH(H2270,Documents!$A$5:$A$657,0))="","",INDEX(Documents!$G$5:$G$657,MATCH(H2270,Documents!$A$5:$A$657,0))),"")</f>
        <v>10.1021/jm3017464</v>
      </c>
      <c r="L2270" s="25" t="s">
        <v>2533</v>
      </c>
    </row>
    <row r="2271" customFormat="false" ht="15" hidden="false" customHeight="false" outlineLevel="0" collapsed="false">
      <c r="A2271" s="25" t="n">
        <v>12664959</v>
      </c>
      <c r="B2271" s="25" t="s">
        <v>4892</v>
      </c>
      <c r="C2271" s="25" t="s">
        <v>4893</v>
      </c>
      <c r="D2271" s="26" t="n">
        <v>6741</v>
      </c>
      <c r="E2271" s="27" t="n">
        <v>5.17127567286121</v>
      </c>
      <c r="F2271" s="27" t="n">
        <v>5.17113784534725</v>
      </c>
      <c r="G2271" s="25" t="s">
        <v>2531</v>
      </c>
      <c r="H2271" s="25" t="s">
        <v>2532</v>
      </c>
      <c r="I2271" s="25" t="n">
        <f aca="false">IFERROR(IF(INDEX(Documents!$C$5:$C$657,MATCH(H2271,Documents!$A$5:$A$657,0))="","",INDEX(Documents!$C$5:$C$657,MATCH(H2271,Documents!$A$5:$A$657,0))),"")</f>
        <v>2013</v>
      </c>
      <c r="J2271" s="25" t="str">
        <f aca="false">IFERROR(IF(INDEX(Documents!$D$5:$D$657,MATCH(H2271,Documents!$A$5:$A$657,0))="","",INDEX(Documents!$D$5:$D$657,MATCH(H2271,Documents!$A$5:$A$657,0))),"")</f>
        <v>J Med Chem</v>
      </c>
      <c r="K2271" s="25" t="str">
        <f aca="false">IFERROR(IF(INDEX(Documents!$G$5:$G$657,MATCH(H2271,Documents!$A$5:$A$657,0))="","",INDEX(Documents!$G$5:$G$657,MATCH(H2271,Documents!$A$5:$A$657,0))),"")</f>
        <v>10.1021/jm3017464</v>
      </c>
      <c r="L2271" s="25" t="s">
        <v>2533</v>
      </c>
    </row>
    <row r="2272" customFormat="false" ht="15" hidden="false" customHeight="false" outlineLevel="0" collapsed="false">
      <c r="A2272" s="25" t="n">
        <v>2096576</v>
      </c>
      <c r="B2272" s="25" t="s">
        <v>4894</v>
      </c>
      <c r="C2272" s="25" t="s">
        <v>4895</v>
      </c>
      <c r="D2272" s="26" t="n">
        <v>3100</v>
      </c>
      <c r="E2272" s="27" t="n">
        <v>5.50863830616573</v>
      </c>
      <c r="F2272" s="27" t="n">
        <v>5.50863830616573</v>
      </c>
      <c r="G2272" s="25" t="s">
        <v>4060</v>
      </c>
      <c r="H2272" s="25" t="s">
        <v>4061</v>
      </c>
      <c r="I2272" s="25" t="n">
        <f aca="false">IFERROR(IF(INDEX(Documents!$C$5:$C$657,MATCH(H2272,Documents!$A$5:$A$657,0))="","",INDEX(Documents!$C$5:$C$657,MATCH(H2272,Documents!$A$5:$A$657,0))),"")</f>
        <v>2008</v>
      </c>
      <c r="J2272" s="25" t="str">
        <f aca="false">IFERROR(IF(INDEX(Documents!$D$5:$D$657,MATCH(H2272,Documents!$A$5:$A$657,0))="","",INDEX(Documents!$D$5:$D$657,MATCH(H2272,Documents!$A$5:$A$657,0))),"")</f>
        <v>Bioorg Med Chem Lett</v>
      </c>
      <c r="K2272" s="25" t="str">
        <f aca="false">IFERROR(IF(INDEX(Documents!$G$5:$G$657,MATCH(H2272,Documents!$A$5:$A$657,0))="","",INDEX(Documents!$G$5:$G$657,MATCH(H2272,Documents!$A$5:$A$657,0))),"")</f>
        <v>10.1016/j.bmcl.2007.11.133</v>
      </c>
      <c r="L2272" s="25" t="s">
        <v>4062</v>
      </c>
    </row>
    <row r="2273" customFormat="false" ht="15" hidden="false" customHeight="false" outlineLevel="0" collapsed="false">
      <c r="A2273" s="25" t="n">
        <v>12723291</v>
      </c>
      <c r="B2273" s="25" t="s">
        <v>4896</v>
      </c>
      <c r="C2273" s="25" t="s">
        <v>4897</v>
      </c>
      <c r="D2273" s="26" t="n">
        <v>42</v>
      </c>
      <c r="E2273" s="27" t="n">
        <v>7.3767507096021</v>
      </c>
      <c r="F2273" s="27" t="n">
        <v>7.3767507096021</v>
      </c>
      <c r="G2273" s="25" t="s">
        <v>2796</v>
      </c>
      <c r="H2273" s="25" t="s">
        <v>2797</v>
      </c>
      <c r="I2273" s="25" t="n">
        <f aca="false">IFERROR(IF(INDEX(Documents!$C$5:$C$657,MATCH(H2273,Documents!$A$5:$A$657,0))="","",INDEX(Documents!$C$5:$C$657,MATCH(H2273,Documents!$A$5:$A$657,0))),"")</f>
        <v>2013</v>
      </c>
      <c r="J2273" s="25" t="str">
        <f aca="false">IFERROR(IF(INDEX(Documents!$D$5:$D$657,MATCH(H2273,Documents!$A$5:$A$657,0))="","",INDEX(Documents!$D$5:$D$657,MATCH(H2273,Documents!$A$5:$A$657,0))),"")</f>
        <v>Bioorg Med Chem</v>
      </c>
      <c r="K2273" s="25" t="str">
        <f aca="false">IFERROR(IF(INDEX(Documents!$G$5:$G$657,MATCH(H2273,Documents!$A$5:$A$657,0))="","",INDEX(Documents!$G$5:$G$657,MATCH(H2273,Documents!$A$5:$A$657,0))),"")</f>
        <v>10.1016/j.bmc.2013.01.006</v>
      </c>
      <c r="L2273" s="25" t="s">
        <v>2798</v>
      </c>
    </row>
    <row r="2274" customFormat="false" ht="15" hidden="false" customHeight="false" outlineLevel="0" collapsed="false">
      <c r="A2274" s="25" t="n">
        <v>2033384</v>
      </c>
      <c r="B2274" s="25" t="s">
        <v>4898</v>
      </c>
      <c r="C2274" s="25" t="s">
        <v>4899</v>
      </c>
      <c r="D2274" s="26" t="n">
        <v>4880</v>
      </c>
      <c r="E2274" s="27" t="n">
        <v>5.31158017799729</v>
      </c>
      <c r="F2274" s="27" t="n">
        <v>5.31158017799729</v>
      </c>
      <c r="G2274" s="25" t="s">
        <v>1133</v>
      </c>
      <c r="H2274" s="25" t="s">
        <v>1134</v>
      </c>
      <c r="I2274" s="25" t="n">
        <f aca="false">IFERROR(IF(INDEX(Documents!$C$5:$C$657,MATCH(H2274,Documents!$A$5:$A$657,0))="","",INDEX(Documents!$C$5:$C$657,MATCH(H2274,Documents!$A$5:$A$657,0))),"")</f>
        <v>2007</v>
      </c>
      <c r="J2274" s="25" t="str">
        <f aca="false">IFERROR(IF(INDEX(Documents!$D$5:$D$657,MATCH(H2274,Documents!$A$5:$A$657,0))="","",INDEX(Documents!$D$5:$D$657,MATCH(H2274,Documents!$A$5:$A$657,0))),"")</f>
        <v>Bioorg Med Chem Lett</v>
      </c>
      <c r="K2274" s="25" t="str">
        <f aca="false">IFERROR(IF(INDEX(Documents!$G$5:$G$657,MATCH(H2274,Documents!$A$5:$A$657,0))="","",INDEX(Documents!$G$5:$G$657,MATCH(H2274,Documents!$A$5:$A$657,0))),"")</f>
        <v>10.1016/j.bmcl.2007.04.093</v>
      </c>
      <c r="L2274" s="25" t="s">
        <v>775</v>
      </c>
    </row>
    <row r="2275" customFormat="false" ht="15" hidden="false" customHeight="false" outlineLevel="0" collapsed="false">
      <c r="A2275" s="25" t="n">
        <v>10857012</v>
      </c>
      <c r="B2275" s="25" t="s">
        <v>4900</v>
      </c>
      <c r="C2275" s="25" t="s">
        <v>4901</v>
      </c>
      <c r="D2275" s="26" t="n">
        <v>2114</v>
      </c>
      <c r="E2275" s="27" t="n">
        <v>5.67489501702859</v>
      </c>
      <c r="F2275" s="27" t="n">
        <v>5.67489501702859</v>
      </c>
      <c r="G2275" s="25" t="s">
        <v>4291</v>
      </c>
      <c r="H2275" s="25" t="s">
        <v>4292</v>
      </c>
      <c r="I2275" s="25" t="n">
        <f aca="false">IFERROR(IF(INDEX(Documents!$C$5:$C$657,MATCH(H2275,Documents!$A$5:$A$657,0))="","",INDEX(Documents!$C$5:$C$657,MATCH(H2275,Documents!$A$5:$A$657,0))),"")</f>
        <v>2012</v>
      </c>
      <c r="J2275" s="25" t="str">
        <f aca="false">IFERROR(IF(INDEX(Documents!$D$5:$D$657,MATCH(H2275,Documents!$A$5:$A$657,0))="","",INDEX(Documents!$D$5:$D$657,MATCH(H2275,Documents!$A$5:$A$657,0))),"")</f>
        <v>Bioorg Med Chem Lett</v>
      </c>
      <c r="K2275" s="25" t="str">
        <f aca="false">IFERROR(IF(INDEX(Documents!$G$5:$G$657,MATCH(H2275,Documents!$A$5:$A$657,0))="","",INDEX(Documents!$G$5:$G$657,MATCH(H2275,Documents!$A$5:$A$657,0))),"")</f>
        <v>10.1016/j.bmcl.2012.02.072</v>
      </c>
      <c r="L2275" s="25" t="s">
        <v>4293</v>
      </c>
    </row>
    <row r="2276" customFormat="false" ht="15" hidden="false" customHeight="false" outlineLevel="0" collapsed="false">
      <c r="A2276" s="25" t="n">
        <v>16333643</v>
      </c>
      <c r="B2276" s="25" t="s">
        <v>4902</v>
      </c>
      <c r="C2276" s="25" t="s">
        <v>4903</v>
      </c>
      <c r="D2276" s="26" t="n">
        <v>8.2</v>
      </c>
      <c r="E2276" s="27" t="n">
        <v>8.08618614761628</v>
      </c>
      <c r="F2276" s="27" t="n">
        <v>8.08618614761628</v>
      </c>
      <c r="G2276" s="25" t="s">
        <v>326</v>
      </c>
      <c r="H2276" s="25" t="s">
        <v>327</v>
      </c>
      <c r="I2276" s="25" t="n">
        <f aca="false">IFERROR(IF(INDEX(Documents!$C$5:$C$657,MATCH(H2276,Documents!$A$5:$A$657,0))="","",INDEX(Documents!$C$5:$C$657,MATCH(H2276,Documents!$A$5:$A$657,0))),"")</f>
        <v>2014</v>
      </c>
      <c r="J2276" s="25" t="str">
        <f aca="false">IFERROR(IF(INDEX(Documents!$D$5:$D$657,MATCH(H2276,Documents!$A$5:$A$657,0))="","",INDEX(Documents!$D$5:$D$657,MATCH(H2276,Documents!$A$5:$A$657,0))),"")</f>
        <v/>
      </c>
      <c r="K2276" s="25" t="str">
        <f aca="false">IFERROR(IF(INDEX(Documents!$G$5:$G$657,MATCH(H2276,Documents!$A$5:$A$657,0))="","",INDEX(Documents!$G$5:$G$657,MATCH(H2276,Documents!$A$5:$A$657,0))),"")</f>
        <v/>
      </c>
      <c r="L2276" s="25" t="s">
        <v>328</v>
      </c>
    </row>
    <row r="2277" customFormat="false" ht="15" hidden="false" customHeight="false" outlineLevel="0" collapsed="false">
      <c r="A2277" s="25" t="n">
        <v>3378221</v>
      </c>
      <c r="B2277" s="25" t="s">
        <v>4904</v>
      </c>
      <c r="C2277" s="25" t="s">
        <v>4905</v>
      </c>
      <c r="D2277" s="26" t="n">
        <v>3.981</v>
      </c>
      <c r="E2277" s="27" t="n">
        <v>8.4000078224159</v>
      </c>
      <c r="F2277" s="27" t="n">
        <v>8.4000078224159</v>
      </c>
      <c r="G2277" s="25" t="s">
        <v>4906</v>
      </c>
      <c r="H2277" s="25" t="s">
        <v>4907</v>
      </c>
      <c r="I2277" s="25" t="n">
        <f aca="false">IFERROR(IF(INDEX(Documents!$C$5:$C$657,MATCH(H2277,Documents!$A$5:$A$657,0))="","",INDEX(Documents!$C$5:$C$657,MATCH(H2277,Documents!$A$5:$A$657,0))),"")</f>
        <v>2010</v>
      </c>
      <c r="J2277" s="25" t="str">
        <f aca="false">IFERROR(IF(INDEX(Documents!$D$5:$D$657,MATCH(H2277,Documents!$A$5:$A$657,0))="","",INDEX(Documents!$D$5:$D$657,MATCH(H2277,Documents!$A$5:$A$657,0))),"")</f>
        <v>Bioorg Med Chem Lett</v>
      </c>
      <c r="K2277" s="25" t="str">
        <f aca="false">IFERROR(IF(INDEX(Documents!$G$5:$G$657,MATCH(H2277,Documents!$A$5:$A$657,0))="","",INDEX(Documents!$G$5:$G$657,MATCH(H2277,Documents!$A$5:$A$657,0))),"")</f>
        <v>10.1016/j.bmcl.2010.06.067</v>
      </c>
      <c r="L2277" s="25" t="s">
        <v>4908</v>
      </c>
    </row>
    <row r="2278" customFormat="false" ht="15" hidden="false" customHeight="false" outlineLevel="0" collapsed="false">
      <c r="A2278" s="25" t="n">
        <v>18388188</v>
      </c>
      <c r="B2278" s="25" t="s">
        <v>4909</v>
      </c>
      <c r="C2278" s="25" t="s">
        <v>4910</v>
      </c>
      <c r="D2278" s="26" t="n">
        <v>51</v>
      </c>
      <c r="E2278" s="27" t="n">
        <v>7.29242982390206</v>
      </c>
      <c r="F2278" s="27" t="n">
        <v>7.54688636847382</v>
      </c>
      <c r="G2278" s="25" t="s">
        <v>624</v>
      </c>
      <c r="H2278" s="25" t="s">
        <v>625</v>
      </c>
      <c r="I2278" s="25" t="n">
        <f aca="false">IFERROR(IF(INDEX(Documents!$C$5:$C$657,MATCH(H2278,Documents!$A$5:$A$657,0))="","",INDEX(Documents!$C$5:$C$657,MATCH(H2278,Documents!$A$5:$A$657,0))),"")</f>
        <v>2018</v>
      </c>
      <c r="J2278" s="25" t="str">
        <f aca="false">IFERROR(IF(INDEX(Documents!$D$5:$D$657,MATCH(H2278,Documents!$A$5:$A$657,0))="","",INDEX(Documents!$D$5:$D$657,MATCH(H2278,Documents!$A$5:$A$657,0))),"")</f>
        <v>Eur J Med Chem</v>
      </c>
      <c r="K2278" s="25" t="str">
        <f aca="false">IFERROR(IF(INDEX(Documents!$G$5:$G$657,MATCH(H2278,Documents!$A$5:$A$657,0))="","",INDEX(Documents!$G$5:$G$657,MATCH(H2278,Documents!$A$5:$A$657,0))),"")</f>
        <v>10.1016/j.ejmech.2018.01.034</v>
      </c>
      <c r="L2278" s="25" t="s">
        <v>626</v>
      </c>
    </row>
    <row r="2279" customFormat="false" ht="15" hidden="false" customHeight="false" outlineLevel="0" collapsed="false">
      <c r="A2279" s="25" t="n">
        <v>13858384</v>
      </c>
      <c r="B2279" s="25" t="s">
        <v>4911</v>
      </c>
      <c r="C2279" s="25" t="s">
        <v>4910</v>
      </c>
      <c r="D2279" s="26" t="n">
        <v>15.8</v>
      </c>
      <c r="E2279" s="27" t="n">
        <v>7.80134291304558</v>
      </c>
      <c r="F2279" s="27" t="n">
        <v>7.54688636847382</v>
      </c>
      <c r="G2279" s="25" t="s">
        <v>4912</v>
      </c>
      <c r="H2279" s="25" t="s">
        <v>4913</v>
      </c>
      <c r="I2279" s="25" t="n">
        <f aca="false">IFERROR(IF(INDEX(Documents!$C$5:$C$657,MATCH(H2279,Documents!$A$5:$A$657,0))="","",INDEX(Documents!$C$5:$C$657,MATCH(H2279,Documents!$A$5:$A$657,0))),"")</f>
        <v>2013</v>
      </c>
      <c r="J2279" s="25" t="str">
        <f aca="false">IFERROR(IF(INDEX(Documents!$D$5:$D$657,MATCH(H2279,Documents!$A$5:$A$657,0))="","",INDEX(Documents!$D$5:$D$657,MATCH(H2279,Documents!$A$5:$A$657,0))),"")</f>
        <v>J Med Chem</v>
      </c>
      <c r="K2279" s="25" t="str">
        <f aca="false">IFERROR(IF(INDEX(Documents!$G$5:$G$657,MATCH(H2279,Documents!$A$5:$A$657,0))="","",INDEX(Documents!$G$5:$G$657,MATCH(H2279,Documents!$A$5:$A$657,0))),"")</f>
        <v>10.1021/jm400305d</v>
      </c>
      <c r="L2279" s="25" t="s">
        <v>4914</v>
      </c>
    </row>
    <row r="2280" customFormat="false" ht="15" hidden="false" customHeight="false" outlineLevel="0" collapsed="false">
      <c r="A2280" s="25" t="n">
        <v>13858385</v>
      </c>
      <c r="B2280" s="25" t="s">
        <v>4915</v>
      </c>
      <c r="C2280" s="25" t="s">
        <v>4916</v>
      </c>
      <c r="D2280" s="26" t="n">
        <v>8.6</v>
      </c>
      <c r="E2280" s="27" t="n">
        <v>8.06550154875643</v>
      </c>
      <c r="F2280" s="27" t="n">
        <v>8.06550154875643</v>
      </c>
      <c r="G2280" s="25" t="s">
        <v>4912</v>
      </c>
      <c r="H2280" s="25" t="s">
        <v>4913</v>
      </c>
      <c r="I2280" s="25" t="n">
        <f aca="false">IFERROR(IF(INDEX(Documents!$C$5:$C$657,MATCH(H2280,Documents!$A$5:$A$657,0))="","",INDEX(Documents!$C$5:$C$657,MATCH(H2280,Documents!$A$5:$A$657,0))),"")</f>
        <v>2013</v>
      </c>
      <c r="J2280" s="25" t="str">
        <f aca="false">IFERROR(IF(INDEX(Documents!$D$5:$D$657,MATCH(H2280,Documents!$A$5:$A$657,0))="","",INDEX(Documents!$D$5:$D$657,MATCH(H2280,Documents!$A$5:$A$657,0))),"")</f>
        <v>J Med Chem</v>
      </c>
      <c r="K2280" s="25" t="str">
        <f aca="false">IFERROR(IF(INDEX(Documents!$G$5:$G$657,MATCH(H2280,Documents!$A$5:$A$657,0))="","",INDEX(Documents!$G$5:$G$657,MATCH(H2280,Documents!$A$5:$A$657,0))),"")</f>
        <v>10.1021/jm400305d</v>
      </c>
      <c r="L2280" s="25" t="s">
        <v>4914</v>
      </c>
    </row>
    <row r="2281" customFormat="false" ht="15" hidden="false" customHeight="false" outlineLevel="0" collapsed="false">
      <c r="A2281" s="25" t="n">
        <v>13858372</v>
      </c>
      <c r="B2281" s="25" t="s">
        <v>4917</v>
      </c>
      <c r="C2281" s="25" t="s">
        <v>4918</v>
      </c>
      <c r="D2281" s="26" t="n">
        <v>52.8</v>
      </c>
      <c r="E2281" s="27" t="n">
        <v>7.27736607746619</v>
      </c>
      <c r="F2281" s="27" t="n">
        <v>7.27736607746619</v>
      </c>
      <c r="G2281" s="25" t="s">
        <v>4912</v>
      </c>
      <c r="H2281" s="25" t="s">
        <v>4913</v>
      </c>
      <c r="I2281" s="25" t="n">
        <f aca="false">IFERROR(IF(INDEX(Documents!$C$5:$C$657,MATCH(H2281,Documents!$A$5:$A$657,0))="","",INDEX(Documents!$C$5:$C$657,MATCH(H2281,Documents!$A$5:$A$657,0))),"")</f>
        <v>2013</v>
      </c>
      <c r="J2281" s="25" t="str">
        <f aca="false">IFERROR(IF(INDEX(Documents!$D$5:$D$657,MATCH(H2281,Documents!$A$5:$A$657,0))="","",INDEX(Documents!$D$5:$D$657,MATCH(H2281,Documents!$A$5:$A$657,0))),"")</f>
        <v>J Med Chem</v>
      </c>
      <c r="K2281" s="25" t="str">
        <f aca="false">IFERROR(IF(INDEX(Documents!$G$5:$G$657,MATCH(H2281,Documents!$A$5:$A$657,0))="","",INDEX(Documents!$G$5:$G$657,MATCH(H2281,Documents!$A$5:$A$657,0))),"")</f>
        <v>10.1021/jm400305d</v>
      </c>
      <c r="L2281" s="25" t="s">
        <v>4914</v>
      </c>
    </row>
    <row r="2282" customFormat="false" ht="15" hidden="false" customHeight="false" outlineLevel="0" collapsed="false">
      <c r="A2282" s="25" t="n">
        <v>13858382</v>
      </c>
      <c r="B2282" s="25" t="s">
        <v>4919</v>
      </c>
      <c r="C2282" s="25" t="s">
        <v>4920</v>
      </c>
      <c r="D2282" s="26" t="n">
        <v>13</v>
      </c>
      <c r="E2282" s="27" t="n">
        <v>7.88605664769316</v>
      </c>
      <c r="F2282" s="27" t="n">
        <v>7.88605664769316</v>
      </c>
      <c r="G2282" s="25" t="s">
        <v>4912</v>
      </c>
      <c r="H2282" s="25" t="s">
        <v>4913</v>
      </c>
      <c r="I2282" s="25" t="n">
        <f aca="false">IFERROR(IF(INDEX(Documents!$C$5:$C$657,MATCH(H2282,Documents!$A$5:$A$657,0))="","",INDEX(Documents!$C$5:$C$657,MATCH(H2282,Documents!$A$5:$A$657,0))),"")</f>
        <v>2013</v>
      </c>
      <c r="J2282" s="25" t="str">
        <f aca="false">IFERROR(IF(INDEX(Documents!$D$5:$D$657,MATCH(H2282,Documents!$A$5:$A$657,0))="","",INDEX(Documents!$D$5:$D$657,MATCH(H2282,Documents!$A$5:$A$657,0))),"")</f>
        <v>J Med Chem</v>
      </c>
      <c r="K2282" s="25" t="str">
        <f aca="false">IFERROR(IF(INDEX(Documents!$G$5:$G$657,MATCH(H2282,Documents!$A$5:$A$657,0))="","",INDEX(Documents!$G$5:$G$657,MATCH(H2282,Documents!$A$5:$A$657,0))),"")</f>
        <v>10.1021/jm400305d</v>
      </c>
      <c r="L2282" s="25" t="s">
        <v>4914</v>
      </c>
    </row>
    <row r="2283" customFormat="false" ht="15" hidden="false" customHeight="false" outlineLevel="0" collapsed="false">
      <c r="A2283" s="25" t="n">
        <v>18388187</v>
      </c>
      <c r="B2283" s="25" t="s">
        <v>4921</v>
      </c>
      <c r="C2283" s="25" t="s">
        <v>4922</v>
      </c>
      <c r="D2283" s="26" t="n">
        <v>23</v>
      </c>
      <c r="E2283" s="27" t="n">
        <v>7.63827216398241</v>
      </c>
      <c r="F2283" s="27" t="n">
        <v>7.63827216398241</v>
      </c>
      <c r="G2283" s="25" t="s">
        <v>624</v>
      </c>
      <c r="H2283" s="25" t="s">
        <v>625</v>
      </c>
      <c r="I2283" s="25" t="n">
        <f aca="false">IFERROR(IF(INDEX(Documents!$C$5:$C$657,MATCH(H2283,Documents!$A$5:$A$657,0))="","",INDEX(Documents!$C$5:$C$657,MATCH(H2283,Documents!$A$5:$A$657,0))),"")</f>
        <v>2018</v>
      </c>
      <c r="J2283" s="25" t="str">
        <f aca="false">IFERROR(IF(INDEX(Documents!$D$5:$D$657,MATCH(H2283,Documents!$A$5:$A$657,0))="","",INDEX(Documents!$D$5:$D$657,MATCH(H2283,Documents!$A$5:$A$657,0))),"")</f>
        <v>Eur J Med Chem</v>
      </c>
      <c r="K2283" s="25" t="str">
        <f aca="false">IFERROR(IF(INDEX(Documents!$G$5:$G$657,MATCH(H2283,Documents!$A$5:$A$657,0))="","",INDEX(Documents!$G$5:$G$657,MATCH(H2283,Documents!$A$5:$A$657,0))),"")</f>
        <v>10.1016/j.ejmech.2018.01.034</v>
      </c>
      <c r="L2283" s="25" t="s">
        <v>626</v>
      </c>
    </row>
    <row r="2284" customFormat="false" ht="15" hidden="false" customHeight="false" outlineLevel="0" collapsed="false">
      <c r="A2284" s="25" t="n">
        <v>10952511</v>
      </c>
      <c r="B2284" s="25" t="s">
        <v>4923</v>
      </c>
      <c r="C2284" s="25" t="s">
        <v>4924</v>
      </c>
      <c r="D2284" s="26" t="n">
        <v>82</v>
      </c>
      <c r="E2284" s="27" t="n">
        <v>7.08618614761628</v>
      </c>
      <c r="F2284" s="27" t="n">
        <v>7.08618614761628</v>
      </c>
      <c r="G2284" s="25" t="s">
        <v>4925</v>
      </c>
      <c r="H2284" s="25" t="s">
        <v>4926</v>
      </c>
      <c r="I2284" s="25" t="n">
        <f aca="false">IFERROR(IF(INDEX(Documents!$C$5:$C$657,MATCH(H2284,Documents!$A$5:$A$657,0))="","",INDEX(Documents!$C$5:$C$657,MATCH(H2284,Documents!$A$5:$A$657,0))),"")</f>
        <v>2012</v>
      </c>
      <c r="J2284" s="25" t="str">
        <f aca="false">IFERROR(IF(INDEX(Documents!$D$5:$D$657,MATCH(H2284,Documents!$A$5:$A$657,0))="","",INDEX(Documents!$D$5:$D$657,MATCH(H2284,Documents!$A$5:$A$657,0))),"")</f>
        <v>Bioorg Med Chem Lett</v>
      </c>
      <c r="K2284" s="25" t="str">
        <f aca="false">IFERROR(IF(INDEX(Documents!$G$5:$G$657,MATCH(H2284,Documents!$A$5:$A$657,0))="","",INDEX(Documents!$G$5:$G$657,MATCH(H2284,Documents!$A$5:$A$657,0))),"")</f>
        <v>10.1016/j.bmcl.2012.06.035</v>
      </c>
      <c r="L2284" s="25" t="s">
        <v>4927</v>
      </c>
    </row>
    <row r="2285" customFormat="false" ht="15" hidden="false" customHeight="false" outlineLevel="0" collapsed="false">
      <c r="A2285" s="25" t="n">
        <v>18388179</v>
      </c>
      <c r="B2285" s="25" t="s">
        <v>4928</v>
      </c>
      <c r="C2285" s="25" t="s">
        <v>4929</v>
      </c>
      <c r="D2285" s="26" t="n">
        <v>95.5</v>
      </c>
      <c r="E2285" s="27" t="n">
        <v>7.01999662841625</v>
      </c>
      <c r="F2285" s="27" t="n">
        <v>7.01999662841625</v>
      </c>
      <c r="G2285" s="25" t="s">
        <v>624</v>
      </c>
      <c r="H2285" s="25" t="s">
        <v>625</v>
      </c>
      <c r="I2285" s="25" t="n">
        <f aca="false">IFERROR(IF(INDEX(Documents!$C$5:$C$657,MATCH(H2285,Documents!$A$5:$A$657,0))="","",INDEX(Documents!$C$5:$C$657,MATCH(H2285,Documents!$A$5:$A$657,0))),"")</f>
        <v>2018</v>
      </c>
      <c r="J2285" s="25" t="str">
        <f aca="false">IFERROR(IF(INDEX(Documents!$D$5:$D$657,MATCH(H2285,Documents!$A$5:$A$657,0))="","",INDEX(Documents!$D$5:$D$657,MATCH(H2285,Documents!$A$5:$A$657,0))),"")</f>
        <v>Eur J Med Chem</v>
      </c>
      <c r="K2285" s="25" t="str">
        <f aca="false">IFERROR(IF(INDEX(Documents!$G$5:$G$657,MATCH(H2285,Documents!$A$5:$A$657,0))="","",INDEX(Documents!$G$5:$G$657,MATCH(H2285,Documents!$A$5:$A$657,0))),"")</f>
        <v>10.1016/j.ejmech.2018.01.034</v>
      </c>
      <c r="L2285" s="25" t="s">
        <v>626</v>
      </c>
    </row>
    <row r="2286" customFormat="false" ht="15" hidden="false" customHeight="false" outlineLevel="0" collapsed="false">
      <c r="A2286" s="25" t="n">
        <v>18388183</v>
      </c>
      <c r="B2286" s="25" t="s">
        <v>4930</v>
      </c>
      <c r="C2286" s="25" t="s">
        <v>4931</v>
      </c>
      <c r="D2286" s="26" t="n">
        <v>329</v>
      </c>
      <c r="E2286" s="27" t="n">
        <v>6.48280410205003</v>
      </c>
      <c r="F2286" s="27" t="n">
        <v>6.48280410205003</v>
      </c>
      <c r="G2286" s="25" t="s">
        <v>624</v>
      </c>
      <c r="H2286" s="25" t="s">
        <v>625</v>
      </c>
      <c r="I2286" s="25" t="n">
        <f aca="false">IFERROR(IF(INDEX(Documents!$C$5:$C$657,MATCH(H2286,Documents!$A$5:$A$657,0))="","",INDEX(Documents!$C$5:$C$657,MATCH(H2286,Documents!$A$5:$A$657,0))),"")</f>
        <v>2018</v>
      </c>
      <c r="J2286" s="25" t="str">
        <f aca="false">IFERROR(IF(INDEX(Documents!$D$5:$D$657,MATCH(H2286,Documents!$A$5:$A$657,0))="","",INDEX(Documents!$D$5:$D$657,MATCH(H2286,Documents!$A$5:$A$657,0))),"")</f>
        <v>Eur J Med Chem</v>
      </c>
      <c r="K2286" s="25" t="str">
        <f aca="false">IFERROR(IF(INDEX(Documents!$G$5:$G$657,MATCH(H2286,Documents!$A$5:$A$657,0))="","",INDEX(Documents!$G$5:$G$657,MATCH(H2286,Documents!$A$5:$A$657,0))),"")</f>
        <v>10.1016/j.ejmech.2018.01.034</v>
      </c>
      <c r="L2286" s="25" t="s">
        <v>626</v>
      </c>
    </row>
    <row r="2287" customFormat="false" ht="15" hidden="false" customHeight="false" outlineLevel="0" collapsed="false">
      <c r="A2287" s="25" t="n">
        <v>12136193</v>
      </c>
      <c r="B2287" s="25" t="s">
        <v>4932</v>
      </c>
      <c r="C2287" s="25" t="s">
        <v>4933</v>
      </c>
      <c r="D2287" s="26" t="n">
        <v>4645</v>
      </c>
      <c r="E2287" s="27" t="n">
        <v>5.33301428167034</v>
      </c>
      <c r="F2287" s="27" t="n">
        <v>5.33301428167034</v>
      </c>
      <c r="G2287" s="25" t="s">
        <v>718</v>
      </c>
      <c r="H2287" s="25" t="s">
        <v>719</v>
      </c>
      <c r="I2287" s="25" t="n">
        <f aca="false">IFERROR(IF(INDEX(Documents!$C$5:$C$657,MATCH(H2287,Documents!$A$5:$A$657,0))="","",INDEX(Documents!$C$5:$C$657,MATCH(H2287,Documents!$A$5:$A$657,0))),"")</f>
        <v>2012</v>
      </c>
      <c r="J2287" s="25" t="str">
        <f aca="false">IFERROR(IF(INDEX(Documents!$D$5:$D$657,MATCH(H2287,Documents!$A$5:$A$657,0))="","",INDEX(Documents!$D$5:$D$657,MATCH(H2287,Documents!$A$5:$A$657,0))),"")</f>
        <v>J Med Chem</v>
      </c>
      <c r="K2287" s="25" t="str">
        <f aca="false">IFERROR(IF(INDEX(Documents!$G$5:$G$657,MATCH(H2287,Documents!$A$5:$A$657,0))="","",INDEX(Documents!$G$5:$G$657,MATCH(H2287,Documents!$A$5:$A$657,0))),"")</f>
        <v>10.1021/jm301181r</v>
      </c>
      <c r="L2287" s="25" t="s">
        <v>720</v>
      </c>
    </row>
    <row r="2288" customFormat="false" ht="15" hidden="false" customHeight="false" outlineLevel="0" collapsed="false">
      <c r="A2288" s="25" t="n">
        <v>10979883</v>
      </c>
      <c r="B2288" s="25" t="s">
        <v>4934</v>
      </c>
      <c r="C2288" s="25" t="s">
        <v>4935</v>
      </c>
      <c r="D2288" s="26" t="n">
        <v>14700</v>
      </c>
      <c r="E2288" s="27" t="n">
        <v>4.83268266525182</v>
      </c>
      <c r="F2288" s="27" t="n">
        <v>4.83268266525182</v>
      </c>
      <c r="G2288" s="25" t="s">
        <v>631</v>
      </c>
      <c r="H2288" s="25" t="s">
        <v>632</v>
      </c>
      <c r="I2288" s="25" t="n">
        <f aca="false">IFERROR(IF(INDEX(Documents!$C$5:$C$657,MATCH(H2288,Documents!$A$5:$A$657,0))="","",INDEX(Documents!$C$5:$C$657,MATCH(H2288,Documents!$A$5:$A$657,0))),"")</f>
        <v>2012</v>
      </c>
      <c r="J2288" s="25" t="str">
        <f aca="false">IFERROR(IF(INDEX(Documents!$D$5:$D$657,MATCH(H2288,Documents!$A$5:$A$657,0))="","",INDEX(Documents!$D$5:$D$657,MATCH(H2288,Documents!$A$5:$A$657,0))),"")</f>
        <v>ACS Med Chem Lett</v>
      </c>
      <c r="K2288" s="25" t="str">
        <f aca="false">IFERROR(IF(INDEX(Documents!$G$5:$G$657,MATCH(H2288,Documents!$A$5:$A$657,0))="","",INDEX(Documents!$G$5:$G$657,MATCH(H2288,Documents!$A$5:$A$657,0))),"")</f>
        <v>10.1021/ml3000325</v>
      </c>
      <c r="L2288" s="25" t="s">
        <v>633</v>
      </c>
    </row>
    <row r="2289" customFormat="false" ht="15" hidden="false" customHeight="false" outlineLevel="0" collapsed="false">
      <c r="A2289" s="25" t="n">
        <v>15654705</v>
      </c>
      <c r="B2289" s="25" t="s">
        <v>4936</v>
      </c>
      <c r="C2289" s="25" t="s">
        <v>4937</v>
      </c>
      <c r="D2289" s="26" t="n">
        <v>560</v>
      </c>
      <c r="E2289" s="27" t="n">
        <v>6.2518119729938</v>
      </c>
      <c r="F2289" s="27" t="n">
        <v>6.2518119729938</v>
      </c>
      <c r="G2289" s="25" t="s">
        <v>4938</v>
      </c>
      <c r="H2289" s="25" t="s">
        <v>4939</v>
      </c>
      <c r="I2289" s="25" t="n">
        <f aca="false">IFERROR(IF(INDEX(Documents!$C$5:$C$657,MATCH(H2289,Documents!$A$5:$A$657,0))="","",INDEX(Documents!$C$5:$C$657,MATCH(H2289,Documents!$A$5:$A$657,0))),"")</f>
        <v>2014</v>
      </c>
      <c r="J2289" s="25" t="str">
        <f aca="false">IFERROR(IF(INDEX(Documents!$D$5:$D$657,MATCH(H2289,Documents!$A$5:$A$657,0))="","",INDEX(Documents!$D$5:$D$657,MATCH(H2289,Documents!$A$5:$A$657,0))),"")</f>
        <v>Medchemcomm</v>
      </c>
      <c r="K2289" s="25" t="str">
        <f aca="false">IFERROR(IF(INDEX(Documents!$G$5:$G$657,MATCH(H2289,Documents!$A$5:$A$657,0))="","",INDEX(Documents!$G$5:$G$657,MATCH(H2289,Documents!$A$5:$A$657,0))),"")</f>
        <v>10.1039/C4MD00232F</v>
      </c>
      <c r="L2289" s="25" t="s">
        <v>4940</v>
      </c>
    </row>
    <row r="2290" customFormat="false" ht="15" hidden="false" customHeight="false" outlineLevel="0" collapsed="false">
      <c r="A2290" s="25" t="n">
        <v>10845119</v>
      </c>
      <c r="B2290" s="25" t="s">
        <v>4941</v>
      </c>
      <c r="C2290" s="25" t="s">
        <v>4942</v>
      </c>
      <c r="D2290" s="26" t="n">
        <v>213.8</v>
      </c>
      <c r="E2290" s="27" t="n">
        <v>6.66999229912724</v>
      </c>
      <c r="F2290" s="27" t="n">
        <v>6.66999229912724</v>
      </c>
      <c r="G2290" s="25" t="s">
        <v>4495</v>
      </c>
      <c r="H2290" s="25" t="s">
        <v>4496</v>
      </c>
      <c r="I2290" s="25" t="n">
        <f aca="false">IFERROR(IF(INDEX(Documents!$C$5:$C$657,MATCH(H2290,Documents!$A$5:$A$657,0))="","",INDEX(Documents!$C$5:$C$657,MATCH(H2290,Documents!$A$5:$A$657,0))),"")</f>
        <v>2012</v>
      </c>
      <c r="J2290" s="25" t="str">
        <f aca="false">IFERROR(IF(INDEX(Documents!$D$5:$D$657,MATCH(H2290,Documents!$A$5:$A$657,0))="","",INDEX(Documents!$D$5:$D$657,MATCH(H2290,Documents!$A$5:$A$657,0))),"")</f>
        <v>Bioorg Med Chem Lett</v>
      </c>
      <c r="K2290" s="25" t="str">
        <f aca="false">IFERROR(IF(INDEX(Documents!$G$5:$G$657,MATCH(H2290,Documents!$A$5:$A$657,0))="","",INDEX(Documents!$G$5:$G$657,MATCH(H2290,Documents!$A$5:$A$657,0))),"")</f>
        <v>10.1016/j.bmcl.2012.01.121</v>
      </c>
      <c r="L2290" s="25" t="s">
        <v>4497</v>
      </c>
    </row>
    <row r="2291" customFormat="false" ht="15" hidden="false" customHeight="false" outlineLevel="0" collapsed="false">
      <c r="A2291" s="25" t="n">
        <v>2460786</v>
      </c>
      <c r="B2291" s="25" t="s">
        <v>4943</v>
      </c>
      <c r="C2291" s="25" t="s">
        <v>4944</v>
      </c>
      <c r="D2291" s="26" t="n">
        <v>63</v>
      </c>
      <c r="E2291" s="27" t="n">
        <v>7.20065945054642</v>
      </c>
      <c r="F2291" s="27" t="n">
        <v>7.20065945054642</v>
      </c>
      <c r="G2291" s="25" t="s">
        <v>4479</v>
      </c>
      <c r="H2291" s="25" t="s">
        <v>4480</v>
      </c>
      <c r="I2291" s="25" t="n">
        <f aca="false">IFERROR(IF(INDEX(Documents!$C$5:$C$657,MATCH(H2291,Documents!$A$5:$A$657,0))="","",INDEX(Documents!$C$5:$C$657,MATCH(H2291,Documents!$A$5:$A$657,0))),"")</f>
        <v>2008</v>
      </c>
      <c r="J2291" s="25" t="str">
        <f aca="false">IFERROR(IF(INDEX(Documents!$D$5:$D$657,MATCH(H2291,Documents!$A$5:$A$657,0))="","",INDEX(Documents!$D$5:$D$657,MATCH(H2291,Documents!$A$5:$A$657,0))),"")</f>
        <v>Bioorg Med Chem Lett</v>
      </c>
      <c r="K2291" s="25" t="str">
        <f aca="false">IFERROR(IF(INDEX(Documents!$G$5:$G$657,MATCH(H2291,Documents!$A$5:$A$657,0))="","",INDEX(Documents!$G$5:$G$657,MATCH(H2291,Documents!$A$5:$A$657,0))),"")</f>
        <v>10.1016/j.bmcl.2008.05.073</v>
      </c>
      <c r="L2291" s="25" t="s">
        <v>775</v>
      </c>
    </row>
    <row r="2292" customFormat="false" ht="15" hidden="false" customHeight="false" outlineLevel="0" collapsed="false">
      <c r="A2292" s="25" t="n">
        <v>18588963</v>
      </c>
      <c r="B2292" s="25" t="s">
        <v>4945</v>
      </c>
      <c r="C2292" s="25" t="s">
        <v>4946</v>
      </c>
      <c r="D2292" s="26" t="n">
        <v>7700</v>
      </c>
      <c r="E2292" s="27" t="n">
        <v>5.11350927482752</v>
      </c>
      <c r="F2292" s="27" t="n">
        <v>5.11350927482752</v>
      </c>
      <c r="G2292" s="25" t="s">
        <v>1175</v>
      </c>
      <c r="H2292" s="25" t="s">
        <v>1176</v>
      </c>
      <c r="I2292" s="25" t="n">
        <f aca="false">IFERROR(IF(INDEX(Documents!$C$5:$C$657,MATCH(H2292,Documents!$A$5:$A$657,0))="","",INDEX(Documents!$C$5:$C$657,MATCH(H2292,Documents!$A$5:$A$657,0))),"")</f>
        <v>2018</v>
      </c>
      <c r="J2292" s="25" t="str">
        <f aca="false">IFERROR(IF(INDEX(Documents!$D$5:$D$657,MATCH(H2292,Documents!$A$5:$A$657,0))="","",INDEX(Documents!$D$5:$D$657,MATCH(H2292,Documents!$A$5:$A$657,0))),"")</f>
        <v>J Med Chem</v>
      </c>
      <c r="K2292" s="25" t="str">
        <f aca="false">IFERROR(IF(INDEX(Documents!$G$5:$G$657,MATCH(H2292,Documents!$A$5:$A$657,0))="","",INDEX(Documents!$G$5:$G$657,MATCH(H2292,Documents!$A$5:$A$657,0))),"")</f>
        <v>10.1021/acs.jmedchem.7b01820</v>
      </c>
      <c r="L2292" s="25" t="s">
        <v>1177</v>
      </c>
    </row>
    <row r="2293" customFormat="false" ht="15" hidden="false" customHeight="false" outlineLevel="0" collapsed="false">
      <c r="A2293" s="25" t="n">
        <v>6381679</v>
      </c>
      <c r="B2293" s="25" t="s">
        <v>4947</v>
      </c>
      <c r="C2293" s="25" t="s">
        <v>4948</v>
      </c>
      <c r="D2293" s="26" t="n">
        <v>1390</v>
      </c>
      <c r="E2293" s="27" t="n">
        <v>5.85698519974591</v>
      </c>
      <c r="F2293" s="27" t="n">
        <v>5.85849327073556</v>
      </c>
      <c r="G2293" s="25" t="s">
        <v>1192</v>
      </c>
      <c r="H2293" s="25" t="s">
        <v>1193</v>
      </c>
      <c r="I2293" s="25" t="n">
        <f aca="false">IFERROR(IF(INDEX(Documents!$C$5:$C$657,MATCH(H2293,Documents!$A$5:$A$657,0))="","",INDEX(Documents!$C$5:$C$657,MATCH(H2293,Documents!$A$5:$A$657,0))),"")</f>
        <v>2011</v>
      </c>
      <c r="J2293" s="25" t="str">
        <f aca="false">IFERROR(IF(INDEX(Documents!$D$5:$D$657,MATCH(H2293,Documents!$A$5:$A$657,0))="","",INDEX(Documents!$D$5:$D$657,MATCH(H2293,Documents!$A$5:$A$657,0))),"")</f>
        <v>Eur J Med Chem</v>
      </c>
      <c r="K2293" s="25" t="str">
        <f aca="false">IFERROR(IF(INDEX(Documents!$G$5:$G$657,MATCH(H2293,Documents!$A$5:$A$657,0))="","",INDEX(Documents!$G$5:$G$657,MATCH(H2293,Documents!$A$5:$A$657,0))),"")</f>
        <v>10.1016/j.ejmech.2011.07.023</v>
      </c>
      <c r="L2293" s="25" t="s">
        <v>1194</v>
      </c>
    </row>
    <row r="2294" customFormat="false" ht="15" hidden="false" customHeight="false" outlineLevel="0" collapsed="false">
      <c r="A2294" s="25" t="n">
        <v>6381683</v>
      </c>
      <c r="B2294" s="25" t="s">
        <v>4947</v>
      </c>
      <c r="C2294" s="25" t="s">
        <v>4948</v>
      </c>
      <c r="D2294" s="26" t="n">
        <v>1380.38</v>
      </c>
      <c r="E2294" s="27" t="n">
        <v>5.86000134172521</v>
      </c>
      <c r="F2294" s="27" t="n">
        <v>5.85849327073556</v>
      </c>
      <c r="G2294" s="25" t="s">
        <v>1192</v>
      </c>
      <c r="H2294" s="25" t="s">
        <v>1193</v>
      </c>
      <c r="I2294" s="25" t="n">
        <f aca="false">IFERROR(IF(INDEX(Documents!$C$5:$C$657,MATCH(H2294,Documents!$A$5:$A$657,0))="","",INDEX(Documents!$C$5:$C$657,MATCH(H2294,Documents!$A$5:$A$657,0))),"")</f>
        <v>2011</v>
      </c>
      <c r="J2294" s="25" t="str">
        <f aca="false">IFERROR(IF(INDEX(Documents!$D$5:$D$657,MATCH(H2294,Documents!$A$5:$A$657,0))="","",INDEX(Documents!$D$5:$D$657,MATCH(H2294,Documents!$A$5:$A$657,0))),"")</f>
        <v>Eur J Med Chem</v>
      </c>
      <c r="K2294" s="25" t="str">
        <f aca="false">IFERROR(IF(INDEX(Documents!$G$5:$G$657,MATCH(H2294,Documents!$A$5:$A$657,0))="","",INDEX(Documents!$G$5:$G$657,MATCH(H2294,Documents!$A$5:$A$657,0))),"")</f>
        <v>10.1016/j.ejmech.2011.07.023</v>
      </c>
      <c r="L2294" s="25" t="s">
        <v>1194</v>
      </c>
    </row>
    <row r="2295" customFormat="false" ht="15" hidden="false" customHeight="false" outlineLevel="0" collapsed="false">
      <c r="A2295" s="25" t="n">
        <v>6381685</v>
      </c>
      <c r="B2295" s="25" t="s">
        <v>4949</v>
      </c>
      <c r="C2295" s="25" t="s">
        <v>4950</v>
      </c>
      <c r="D2295" s="26" t="n">
        <v>1584.89</v>
      </c>
      <c r="E2295" s="27" t="n">
        <v>5.8000008748032</v>
      </c>
      <c r="F2295" s="27" t="n">
        <v>5.80067189392439</v>
      </c>
      <c r="G2295" s="25" t="s">
        <v>1192</v>
      </c>
      <c r="H2295" s="25" t="s">
        <v>1193</v>
      </c>
      <c r="I2295" s="25" t="n">
        <f aca="false">IFERROR(IF(INDEX(Documents!$C$5:$C$657,MATCH(H2295,Documents!$A$5:$A$657,0))="","",INDEX(Documents!$C$5:$C$657,MATCH(H2295,Documents!$A$5:$A$657,0))),"")</f>
        <v>2011</v>
      </c>
      <c r="J2295" s="25" t="str">
        <f aca="false">IFERROR(IF(INDEX(Documents!$D$5:$D$657,MATCH(H2295,Documents!$A$5:$A$657,0))="","",INDEX(Documents!$D$5:$D$657,MATCH(H2295,Documents!$A$5:$A$657,0))),"")</f>
        <v>Eur J Med Chem</v>
      </c>
      <c r="K2295" s="25" t="str">
        <f aca="false">IFERROR(IF(INDEX(Documents!$G$5:$G$657,MATCH(H2295,Documents!$A$5:$A$657,0))="","",INDEX(Documents!$G$5:$G$657,MATCH(H2295,Documents!$A$5:$A$657,0))),"")</f>
        <v>10.1016/j.ejmech.2011.07.023</v>
      </c>
      <c r="L2295" s="25" t="s">
        <v>1194</v>
      </c>
    </row>
    <row r="2296" customFormat="false" ht="15" hidden="false" customHeight="false" outlineLevel="0" collapsed="false">
      <c r="A2296" s="25" t="n">
        <v>6381681</v>
      </c>
      <c r="B2296" s="25" t="s">
        <v>4949</v>
      </c>
      <c r="C2296" s="25" t="s">
        <v>4950</v>
      </c>
      <c r="D2296" s="26" t="n">
        <v>1580</v>
      </c>
      <c r="E2296" s="27" t="n">
        <v>5.80134291304558</v>
      </c>
      <c r="F2296" s="27" t="n">
        <v>5.80067189392439</v>
      </c>
      <c r="G2296" s="25" t="s">
        <v>1192</v>
      </c>
      <c r="H2296" s="25" t="s">
        <v>1193</v>
      </c>
      <c r="I2296" s="25" t="n">
        <f aca="false">IFERROR(IF(INDEX(Documents!$C$5:$C$657,MATCH(H2296,Documents!$A$5:$A$657,0))="","",INDEX(Documents!$C$5:$C$657,MATCH(H2296,Documents!$A$5:$A$657,0))),"")</f>
        <v>2011</v>
      </c>
      <c r="J2296" s="25" t="str">
        <f aca="false">IFERROR(IF(INDEX(Documents!$D$5:$D$657,MATCH(H2296,Documents!$A$5:$A$657,0))="","",INDEX(Documents!$D$5:$D$657,MATCH(H2296,Documents!$A$5:$A$657,0))),"")</f>
        <v>Eur J Med Chem</v>
      </c>
      <c r="K2296" s="25" t="str">
        <f aca="false">IFERROR(IF(INDEX(Documents!$G$5:$G$657,MATCH(H2296,Documents!$A$5:$A$657,0))="","",INDEX(Documents!$G$5:$G$657,MATCH(H2296,Documents!$A$5:$A$657,0))),"")</f>
        <v>10.1016/j.ejmech.2011.07.023</v>
      </c>
      <c r="L2296" s="25" t="s">
        <v>1194</v>
      </c>
    </row>
    <row r="2297" customFormat="false" ht="15" hidden="false" customHeight="false" outlineLevel="0" collapsed="false">
      <c r="A2297" s="25" t="n">
        <v>13912573</v>
      </c>
      <c r="B2297" s="25" t="s">
        <v>4951</v>
      </c>
      <c r="C2297" s="25" t="s">
        <v>4952</v>
      </c>
      <c r="D2297" s="26" t="n">
        <v>13.7</v>
      </c>
      <c r="E2297" s="27" t="n">
        <v>7.86327943284359</v>
      </c>
      <c r="F2297" s="27" t="n">
        <v>7.86327943284359</v>
      </c>
      <c r="G2297" s="25" t="s">
        <v>1717</v>
      </c>
      <c r="H2297" s="25" t="s">
        <v>1718</v>
      </c>
      <c r="I2297" s="25" t="n">
        <f aca="false">IFERROR(IF(INDEX(Documents!$C$5:$C$657,MATCH(H2297,Documents!$A$5:$A$657,0))="","",INDEX(Documents!$C$5:$C$657,MATCH(H2297,Documents!$A$5:$A$657,0))),"")</f>
        <v>2014</v>
      </c>
      <c r="J2297" s="25" t="str">
        <f aca="false">IFERROR(IF(INDEX(Documents!$D$5:$D$657,MATCH(H2297,Documents!$A$5:$A$657,0))="","",INDEX(Documents!$D$5:$D$657,MATCH(H2297,Documents!$A$5:$A$657,0))),"")</f>
        <v>Eur J Med Chem</v>
      </c>
      <c r="K2297" s="25" t="str">
        <f aca="false">IFERROR(IF(INDEX(Documents!$G$5:$G$657,MATCH(H2297,Documents!$A$5:$A$657,0))="","",INDEX(Documents!$G$5:$G$657,MATCH(H2297,Documents!$A$5:$A$657,0))),"")</f>
        <v>10.1016/j.ejmech.2013.10.070</v>
      </c>
      <c r="L2297" s="25" t="s">
        <v>1719</v>
      </c>
    </row>
    <row r="2298" customFormat="false" ht="15" hidden="false" customHeight="false" outlineLevel="0" collapsed="false">
      <c r="A2298" s="25" t="n">
        <v>28220609</v>
      </c>
      <c r="B2298" s="25" t="s">
        <v>4953</v>
      </c>
      <c r="C2298" s="25" t="s">
        <v>4954</v>
      </c>
      <c r="D2298" s="26" t="n">
        <v>48.8</v>
      </c>
      <c r="E2298" s="27" t="n">
        <v>7.31158017799729</v>
      </c>
      <c r="F2298" s="27" t="n">
        <v>7.31158017799729</v>
      </c>
      <c r="G2298" s="25" t="s">
        <v>679</v>
      </c>
      <c r="H2298" s="25" t="s">
        <v>680</v>
      </c>
      <c r="I2298" s="25" t="n">
        <f aca="false">IFERROR(IF(INDEX(Documents!$C$5:$C$657,MATCH(H2298,Documents!$A$5:$A$657,0))="","",INDEX(Documents!$C$5:$C$657,MATCH(H2298,Documents!$A$5:$A$657,0))),"")</f>
        <v>2021</v>
      </c>
      <c r="J2298" s="25" t="str">
        <f aca="false">IFERROR(IF(INDEX(Documents!$D$5:$D$657,MATCH(H2298,Documents!$A$5:$A$657,0))="","",INDEX(Documents!$D$5:$D$657,MATCH(H2298,Documents!$A$5:$A$657,0))),"")</f>
        <v/>
      </c>
      <c r="K2298" s="25" t="str">
        <f aca="false">IFERROR(IF(INDEX(Documents!$G$5:$G$657,MATCH(H2298,Documents!$A$5:$A$657,0))="","",INDEX(Documents!$G$5:$G$657,MATCH(H2298,Documents!$A$5:$A$657,0))),"")</f>
        <v/>
      </c>
      <c r="L2298" s="25" t="s">
        <v>681</v>
      </c>
    </row>
    <row r="2299" customFormat="false" ht="15" hidden="false" customHeight="false" outlineLevel="0" collapsed="false">
      <c r="A2299" s="25" t="n">
        <v>28220618</v>
      </c>
      <c r="B2299" s="25" t="s">
        <v>4955</v>
      </c>
      <c r="C2299" s="25" t="s">
        <v>4956</v>
      </c>
      <c r="D2299" s="26" t="n">
        <v>375</v>
      </c>
      <c r="E2299" s="27" t="n">
        <v>6.42596873227228</v>
      </c>
      <c r="F2299" s="27" t="n">
        <v>6.42596873227228</v>
      </c>
      <c r="G2299" s="25" t="s">
        <v>679</v>
      </c>
      <c r="H2299" s="25" t="s">
        <v>680</v>
      </c>
      <c r="I2299" s="25" t="n">
        <f aca="false">IFERROR(IF(INDEX(Documents!$C$5:$C$657,MATCH(H2299,Documents!$A$5:$A$657,0))="","",INDEX(Documents!$C$5:$C$657,MATCH(H2299,Documents!$A$5:$A$657,0))),"")</f>
        <v>2021</v>
      </c>
      <c r="J2299" s="25" t="str">
        <f aca="false">IFERROR(IF(INDEX(Documents!$D$5:$D$657,MATCH(H2299,Documents!$A$5:$A$657,0))="","",INDEX(Documents!$D$5:$D$657,MATCH(H2299,Documents!$A$5:$A$657,0))),"")</f>
        <v/>
      </c>
      <c r="K2299" s="25" t="str">
        <f aca="false">IFERROR(IF(INDEX(Documents!$G$5:$G$657,MATCH(H2299,Documents!$A$5:$A$657,0))="","",INDEX(Documents!$G$5:$G$657,MATCH(H2299,Documents!$A$5:$A$657,0))),"")</f>
        <v/>
      </c>
      <c r="L2299" s="25" t="s">
        <v>681</v>
      </c>
    </row>
    <row r="2300" customFormat="false" ht="15" hidden="false" customHeight="false" outlineLevel="0" collapsed="false">
      <c r="A2300" s="25" t="n">
        <v>28220636</v>
      </c>
      <c r="B2300" s="25" t="s">
        <v>4957</v>
      </c>
      <c r="C2300" s="25" t="s">
        <v>4958</v>
      </c>
      <c r="D2300" s="26" t="n">
        <v>700</v>
      </c>
      <c r="E2300" s="27" t="n">
        <v>6.15490195998574</v>
      </c>
      <c r="F2300" s="27" t="n">
        <v>6.15490195998574</v>
      </c>
      <c r="G2300" s="25" t="s">
        <v>679</v>
      </c>
      <c r="H2300" s="25" t="s">
        <v>680</v>
      </c>
      <c r="I2300" s="25" t="n">
        <f aca="false">IFERROR(IF(INDEX(Documents!$C$5:$C$657,MATCH(H2300,Documents!$A$5:$A$657,0))="","",INDEX(Documents!$C$5:$C$657,MATCH(H2300,Documents!$A$5:$A$657,0))),"")</f>
        <v>2021</v>
      </c>
      <c r="J2300" s="25" t="str">
        <f aca="false">IFERROR(IF(INDEX(Documents!$D$5:$D$657,MATCH(H2300,Documents!$A$5:$A$657,0))="","",INDEX(Documents!$D$5:$D$657,MATCH(H2300,Documents!$A$5:$A$657,0))),"")</f>
        <v/>
      </c>
      <c r="K2300" s="25" t="str">
        <f aca="false">IFERROR(IF(INDEX(Documents!$G$5:$G$657,MATCH(H2300,Documents!$A$5:$A$657,0))="","",INDEX(Documents!$G$5:$G$657,MATCH(H2300,Documents!$A$5:$A$657,0))),"")</f>
        <v/>
      </c>
      <c r="L2300" s="25" t="s">
        <v>681</v>
      </c>
    </row>
    <row r="2301" customFormat="false" ht="15" hidden="false" customHeight="false" outlineLevel="0" collapsed="false">
      <c r="A2301" s="25" t="n">
        <v>28220645</v>
      </c>
      <c r="B2301" s="25" t="s">
        <v>4959</v>
      </c>
      <c r="C2301" s="25" t="s">
        <v>4960</v>
      </c>
      <c r="D2301" s="26" t="n">
        <v>20.9</v>
      </c>
      <c r="E2301" s="27" t="n">
        <v>7.67985371388895</v>
      </c>
      <c r="F2301" s="27" t="n">
        <v>7.67985371388895</v>
      </c>
      <c r="G2301" s="25" t="s">
        <v>679</v>
      </c>
      <c r="H2301" s="25" t="s">
        <v>680</v>
      </c>
      <c r="I2301" s="25" t="n">
        <f aca="false">IFERROR(IF(INDEX(Documents!$C$5:$C$657,MATCH(H2301,Documents!$A$5:$A$657,0))="","",INDEX(Documents!$C$5:$C$657,MATCH(H2301,Documents!$A$5:$A$657,0))),"")</f>
        <v>2021</v>
      </c>
      <c r="J2301" s="25" t="str">
        <f aca="false">IFERROR(IF(INDEX(Documents!$D$5:$D$657,MATCH(H2301,Documents!$A$5:$A$657,0))="","",INDEX(Documents!$D$5:$D$657,MATCH(H2301,Documents!$A$5:$A$657,0))),"")</f>
        <v/>
      </c>
      <c r="K2301" s="25" t="str">
        <f aca="false">IFERROR(IF(INDEX(Documents!$G$5:$G$657,MATCH(H2301,Documents!$A$5:$A$657,0))="","",INDEX(Documents!$G$5:$G$657,MATCH(H2301,Documents!$A$5:$A$657,0))),"")</f>
        <v/>
      </c>
      <c r="L2301" s="25" t="s">
        <v>681</v>
      </c>
    </row>
    <row r="2302" customFormat="false" ht="15" hidden="false" customHeight="false" outlineLevel="0" collapsed="false">
      <c r="A2302" s="25" t="n">
        <v>28220591</v>
      </c>
      <c r="B2302" s="25" t="s">
        <v>4961</v>
      </c>
      <c r="C2302" s="25" t="s">
        <v>4962</v>
      </c>
      <c r="D2302" s="26" t="n">
        <v>94.8</v>
      </c>
      <c r="E2302" s="27" t="n">
        <v>7.02319166266193</v>
      </c>
      <c r="F2302" s="27" t="n">
        <v>7.02319166266193</v>
      </c>
      <c r="G2302" s="25" t="s">
        <v>679</v>
      </c>
      <c r="H2302" s="25" t="s">
        <v>680</v>
      </c>
      <c r="I2302" s="25" t="n">
        <f aca="false">IFERROR(IF(INDEX(Documents!$C$5:$C$657,MATCH(H2302,Documents!$A$5:$A$657,0))="","",INDEX(Documents!$C$5:$C$657,MATCH(H2302,Documents!$A$5:$A$657,0))),"")</f>
        <v>2021</v>
      </c>
      <c r="J2302" s="25" t="str">
        <f aca="false">IFERROR(IF(INDEX(Documents!$D$5:$D$657,MATCH(H2302,Documents!$A$5:$A$657,0))="","",INDEX(Documents!$D$5:$D$657,MATCH(H2302,Documents!$A$5:$A$657,0))),"")</f>
        <v/>
      </c>
      <c r="K2302" s="25" t="str">
        <f aca="false">IFERROR(IF(INDEX(Documents!$G$5:$G$657,MATCH(H2302,Documents!$A$5:$A$657,0))="","",INDEX(Documents!$G$5:$G$657,MATCH(H2302,Documents!$A$5:$A$657,0))),"")</f>
        <v/>
      </c>
      <c r="L2302" s="25" t="s">
        <v>681</v>
      </c>
    </row>
    <row r="2303" customFormat="false" ht="15" hidden="false" customHeight="false" outlineLevel="0" collapsed="false">
      <c r="A2303" s="25" t="n">
        <v>17991516</v>
      </c>
      <c r="B2303" s="25" t="s">
        <v>4963</v>
      </c>
      <c r="C2303" s="25" t="s">
        <v>4964</v>
      </c>
      <c r="D2303" s="26" t="n">
        <v>1.5</v>
      </c>
      <c r="E2303" s="27" t="n">
        <v>8.82390874094432</v>
      </c>
      <c r="F2303" s="27" t="n">
        <v>8.82390874094432</v>
      </c>
      <c r="G2303" s="25" t="s">
        <v>1548</v>
      </c>
      <c r="H2303" s="25" t="s">
        <v>1549</v>
      </c>
      <c r="I2303" s="25" t="n">
        <f aca="false">IFERROR(IF(INDEX(Documents!$C$5:$C$657,MATCH(H2303,Documents!$A$5:$A$657,0))="","",INDEX(Documents!$C$5:$C$657,MATCH(H2303,Documents!$A$5:$A$657,0))),"")</f>
        <v>2015</v>
      </c>
      <c r="J2303" s="25" t="str">
        <f aca="false">IFERROR(IF(INDEX(Documents!$D$5:$D$657,MATCH(H2303,Documents!$A$5:$A$657,0))="","",INDEX(Documents!$D$5:$D$657,MATCH(H2303,Documents!$A$5:$A$657,0))),"")</f>
        <v>J Med Chem</v>
      </c>
      <c r="K2303" s="25" t="str">
        <f aca="false">IFERROR(IF(INDEX(Documents!$G$5:$G$657,MATCH(H2303,Documents!$A$5:$A$657,0))="","",INDEX(Documents!$G$5:$G$657,MATCH(H2303,Documents!$A$5:$A$657,0))),"")</f>
        <v>10.1021/jm501165d</v>
      </c>
      <c r="L2303" s="25" t="s">
        <v>1550</v>
      </c>
    </row>
    <row r="2304" customFormat="false" ht="15" hidden="false" customHeight="false" outlineLevel="0" collapsed="false">
      <c r="A2304" s="25" t="n">
        <v>28220600</v>
      </c>
      <c r="B2304" s="25" t="s">
        <v>4965</v>
      </c>
      <c r="C2304" s="25" t="s">
        <v>4966</v>
      </c>
      <c r="D2304" s="26" t="n">
        <v>1000</v>
      </c>
      <c r="E2304" s="27" t="n">
        <v>6</v>
      </c>
      <c r="F2304" s="27" t="n">
        <v>6</v>
      </c>
      <c r="G2304" s="25" t="s">
        <v>679</v>
      </c>
      <c r="H2304" s="25" t="s">
        <v>680</v>
      </c>
      <c r="I2304" s="25" t="n">
        <f aca="false">IFERROR(IF(INDEX(Documents!$C$5:$C$657,MATCH(H2304,Documents!$A$5:$A$657,0))="","",INDEX(Documents!$C$5:$C$657,MATCH(H2304,Documents!$A$5:$A$657,0))),"")</f>
        <v>2021</v>
      </c>
      <c r="J2304" s="25" t="str">
        <f aca="false">IFERROR(IF(INDEX(Documents!$D$5:$D$657,MATCH(H2304,Documents!$A$5:$A$657,0))="","",INDEX(Documents!$D$5:$D$657,MATCH(H2304,Documents!$A$5:$A$657,0))),"")</f>
        <v/>
      </c>
      <c r="K2304" s="25" t="str">
        <f aca="false">IFERROR(IF(INDEX(Documents!$G$5:$G$657,MATCH(H2304,Documents!$A$5:$A$657,0))="","",INDEX(Documents!$G$5:$G$657,MATCH(H2304,Documents!$A$5:$A$657,0))),"")</f>
        <v/>
      </c>
      <c r="L2304" s="25" t="s">
        <v>681</v>
      </c>
    </row>
    <row r="2305" customFormat="false" ht="15" hidden="false" customHeight="false" outlineLevel="0" collapsed="false">
      <c r="A2305" s="25" t="n">
        <v>28220627</v>
      </c>
      <c r="B2305" s="25" t="s">
        <v>4967</v>
      </c>
      <c r="C2305" s="25" t="s">
        <v>4968</v>
      </c>
      <c r="D2305" s="26" t="n">
        <v>1000</v>
      </c>
      <c r="E2305" s="27" t="n">
        <v>6</v>
      </c>
      <c r="F2305" s="27" t="n">
        <v>6</v>
      </c>
      <c r="G2305" s="25" t="s">
        <v>679</v>
      </c>
      <c r="H2305" s="25" t="s">
        <v>680</v>
      </c>
      <c r="I2305" s="25" t="n">
        <f aca="false">IFERROR(IF(INDEX(Documents!$C$5:$C$657,MATCH(H2305,Documents!$A$5:$A$657,0))="","",INDEX(Documents!$C$5:$C$657,MATCH(H2305,Documents!$A$5:$A$657,0))),"")</f>
        <v>2021</v>
      </c>
      <c r="J2305" s="25" t="str">
        <f aca="false">IFERROR(IF(INDEX(Documents!$D$5:$D$657,MATCH(H2305,Documents!$A$5:$A$657,0))="","",INDEX(Documents!$D$5:$D$657,MATCH(H2305,Documents!$A$5:$A$657,0))),"")</f>
        <v/>
      </c>
      <c r="K2305" s="25" t="str">
        <f aca="false">IFERROR(IF(INDEX(Documents!$G$5:$G$657,MATCH(H2305,Documents!$A$5:$A$657,0))="","",INDEX(Documents!$G$5:$G$657,MATCH(H2305,Documents!$A$5:$A$657,0))),"")</f>
        <v/>
      </c>
      <c r="L2305" s="25" t="s">
        <v>681</v>
      </c>
    </row>
    <row r="2306" customFormat="false" ht="15" hidden="false" customHeight="false" outlineLevel="0" collapsed="false">
      <c r="A2306" s="25" t="n">
        <v>29009888</v>
      </c>
      <c r="B2306" s="25" t="s">
        <v>4969</v>
      </c>
      <c r="C2306" s="25" t="s">
        <v>4970</v>
      </c>
      <c r="D2306" s="26" t="n">
        <v>2.5</v>
      </c>
      <c r="E2306" s="27" t="n">
        <v>8.60205999132796</v>
      </c>
      <c r="F2306" s="27" t="n">
        <v>8.60205999132796</v>
      </c>
      <c r="G2306" s="25" t="s">
        <v>480</v>
      </c>
      <c r="H2306" s="25" t="s">
        <v>481</v>
      </c>
      <c r="I2306" s="25" t="n">
        <f aca="false">IFERROR(IF(INDEX(Documents!$C$5:$C$657,MATCH(H2306,Documents!$A$5:$A$657,0))="","",INDEX(Documents!$C$5:$C$657,MATCH(H2306,Documents!$A$5:$A$657,0))),"")</f>
        <v>2023</v>
      </c>
      <c r="J2306" s="25" t="str">
        <f aca="false">IFERROR(IF(INDEX(Documents!$D$5:$D$657,MATCH(H2306,Documents!$A$5:$A$657,0))="","",INDEX(Documents!$D$5:$D$657,MATCH(H2306,Documents!$A$5:$A$657,0))),"")</f>
        <v/>
      </c>
      <c r="K2306" s="25" t="str">
        <f aca="false">IFERROR(IF(INDEX(Documents!$G$5:$G$657,MATCH(H2306,Documents!$A$5:$A$657,0))="","",INDEX(Documents!$G$5:$G$657,MATCH(H2306,Documents!$A$5:$A$657,0))),"")</f>
        <v/>
      </c>
      <c r="L2306" s="25" t="s">
        <v>482</v>
      </c>
    </row>
    <row r="2307" customFormat="false" ht="15" hidden="false" customHeight="false" outlineLevel="0" collapsed="false">
      <c r="A2307" s="25" t="n">
        <v>15610395</v>
      </c>
      <c r="B2307" s="25" t="s">
        <v>4971</v>
      </c>
      <c r="C2307" s="25" t="s">
        <v>4972</v>
      </c>
      <c r="D2307" s="26" t="n">
        <v>16.2</v>
      </c>
      <c r="E2307" s="27" t="n">
        <v>7.79048498545737</v>
      </c>
      <c r="F2307" s="27" t="n">
        <v>7.79048498545737</v>
      </c>
      <c r="G2307" s="25" t="s">
        <v>948</v>
      </c>
      <c r="H2307" s="25" t="s">
        <v>949</v>
      </c>
      <c r="I2307" s="25" t="n">
        <f aca="false">IFERROR(IF(INDEX(Documents!$C$5:$C$657,MATCH(H2307,Documents!$A$5:$A$657,0))="","",INDEX(Documents!$C$5:$C$657,MATCH(H2307,Documents!$A$5:$A$657,0))),"")</f>
        <v>2015</v>
      </c>
      <c r="J2307" s="25" t="str">
        <f aca="false">IFERROR(IF(INDEX(Documents!$D$5:$D$657,MATCH(H2307,Documents!$A$5:$A$657,0))="","",INDEX(Documents!$D$5:$D$657,MATCH(H2307,Documents!$A$5:$A$657,0))),"")</f>
        <v>J Med Chem</v>
      </c>
      <c r="K2307" s="25" t="str">
        <f aca="false">IFERROR(IF(INDEX(Documents!$G$5:$G$657,MATCH(H2307,Documents!$A$5:$A$657,0))="","",INDEX(Documents!$G$5:$G$657,MATCH(H2307,Documents!$A$5:$A$657,0))),"")</f>
        <v>10.1021/acs.jmedchem.5b00283</v>
      </c>
      <c r="L2307" s="25" t="s">
        <v>950</v>
      </c>
    </row>
    <row r="2308" customFormat="false" ht="15" hidden="false" customHeight="false" outlineLevel="0" collapsed="false">
      <c r="A2308" s="25" t="n">
        <v>29009891</v>
      </c>
      <c r="B2308" s="25" t="s">
        <v>4973</v>
      </c>
      <c r="C2308" s="25" t="s">
        <v>4974</v>
      </c>
      <c r="D2308" s="26" t="n">
        <v>143</v>
      </c>
      <c r="E2308" s="27" t="n">
        <v>6.84466396253494</v>
      </c>
      <c r="F2308" s="27" t="n">
        <v>6.84466396253494</v>
      </c>
      <c r="G2308" s="25" t="s">
        <v>480</v>
      </c>
      <c r="H2308" s="25" t="s">
        <v>481</v>
      </c>
      <c r="I2308" s="25" t="n">
        <f aca="false">IFERROR(IF(INDEX(Documents!$C$5:$C$657,MATCH(H2308,Documents!$A$5:$A$657,0))="","",INDEX(Documents!$C$5:$C$657,MATCH(H2308,Documents!$A$5:$A$657,0))),"")</f>
        <v>2023</v>
      </c>
      <c r="J2308" s="25" t="str">
        <f aca="false">IFERROR(IF(INDEX(Documents!$D$5:$D$657,MATCH(H2308,Documents!$A$5:$A$657,0))="","",INDEX(Documents!$D$5:$D$657,MATCH(H2308,Documents!$A$5:$A$657,0))),"")</f>
        <v/>
      </c>
      <c r="K2308" s="25" t="str">
        <f aca="false">IFERROR(IF(INDEX(Documents!$G$5:$G$657,MATCH(H2308,Documents!$A$5:$A$657,0))="","",INDEX(Documents!$G$5:$G$657,MATCH(H2308,Documents!$A$5:$A$657,0))),"")</f>
        <v/>
      </c>
      <c r="L2308" s="25" t="s">
        <v>482</v>
      </c>
    </row>
    <row r="2309" customFormat="false" ht="15" hidden="false" customHeight="false" outlineLevel="0" collapsed="false">
      <c r="A2309" s="25" t="n">
        <v>15610390</v>
      </c>
      <c r="B2309" s="25" t="s">
        <v>4975</v>
      </c>
      <c r="C2309" s="25" t="s">
        <v>4976</v>
      </c>
      <c r="D2309" s="26" t="n">
        <v>2.5</v>
      </c>
      <c r="E2309" s="27" t="n">
        <v>8.60205999132796</v>
      </c>
      <c r="F2309" s="27" t="n">
        <v>8.60205999132796</v>
      </c>
      <c r="G2309" s="25" t="s">
        <v>948</v>
      </c>
      <c r="H2309" s="25" t="s">
        <v>949</v>
      </c>
      <c r="I2309" s="25" t="n">
        <f aca="false">IFERROR(IF(INDEX(Documents!$C$5:$C$657,MATCH(H2309,Documents!$A$5:$A$657,0))="","",INDEX(Documents!$C$5:$C$657,MATCH(H2309,Documents!$A$5:$A$657,0))),"")</f>
        <v>2015</v>
      </c>
      <c r="J2309" s="25" t="str">
        <f aca="false">IFERROR(IF(INDEX(Documents!$D$5:$D$657,MATCH(H2309,Documents!$A$5:$A$657,0))="","",INDEX(Documents!$D$5:$D$657,MATCH(H2309,Documents!$A$5:$A$657,0))),"")</f>
        <v>J Med Chem</v>
      </c>
      <c r="K2309" s="25" t="str">
        <f aca="false">IFERROR(IF(INDEX(Documents!$G$5:$G$657,MATCH(H2309,Documents!$A$5:$A$657,0))="","",INDEX(Documents!$G$5:$G$657,MATCH(H2309,Documents!$A$5:$A$657,0))),"")</f>
        <v>10.1021/acs.jmedchem.5b00283</v>
      </c>
      <c r="L2309" s="25" t="s">
        <v>950</v>
      </c>
    </row>
    <row r="2310" customFormat="false" ht="15" hidden="false" customHeight="false" outlineLevel="0" collapsed="false">
      <c r="A2310" s="25" t="n">
        <v>15610411</v>
      </c>
      <c r="B2310" s="25" t="s">
        <v>4977</v>
      </c>
      <c r="C2310" s="25" t="s">
        <v>4976</v>
      </c>
      <c r="D2310" s="26" t="n">
        <v>2.5</v>
      </c>
      <c r="E2310" s="27" t="n">
        <v>8.60205999132796</v>
      </c>
      <c r="F2310" s="27" t="n">
        <v>8.60205999132796</v>
      </c>
      <c r="G2310" s="25" t="s">
        <v>948</v>
      </c>
      <c r="H2310" s="25" t="s">
        <v>949</v>
      </c>
      <c r="I2310" s="25" t="n">
        <f aca="false">IFERROR(IF(INDEX(Documents!$C$5:$C$657,MATCH(H2310,Documents!$A$5:$A$657,0))="","",INDEX(Documents!$C$5:$C$657,MATCH(H2310,Documents!$A$5:$A$657,0))),"")</f>
        <v>2015</v>
      </c>
      <c r="J2310" s="25" t="str">
        <f aca="false">IFERROR(IF(INDEX(Documents!$D$5:$D$657,MATCH(H2310,Documents!$A$5:$A$657,0))="","",INDEX(Documents!$D$5:$D$657,MATCH(H2310,Documents!$A$5:$A$657,0))),"")</f>
        <v>J Med Chem</v>
      </c>
      <c r="K2310" s="25" t="str">
        <f aca="false">IFERROR(IF(INDEX(Documents!$G$5:$G$657,MATCH(H2310,Documents!$A$5:$A$657,0))="","",INDEX(Documents!$G$5:$G$657,MATCH(H2310,Documents!$A$5:$A$657,0))),"")</f>
        <v>10.1021/acs.jmedchem.5b00283</v>
      </c>
      <c r="L2310" s="25" t="s">
        <v>950</v>
      </c>
    </row>
    <row r="2311" customFormat="false" ht="15" hidden="false" customHeight="false" outlineLevel="0" collapsed="false">
      <c r="A2311" s="25" t="n">
        <v>29009879</v>
      </c>
      <c r="B2311" s="25" t="s">
        <v>4978</v>
      </c>
      <c r="C2311" s="25" t="s">
        <v>4979</v>
      </c>
      <c r="D2311" s="26" t="n">
        <v>0.7</v>
      </c>
      <c r="E2311" s="27" t="n">
        <v>9.15490195998575</v>
      </c>
      <c r="F2311" s="27" t="n">
        <v>9.15490195998575</v>
      </c>
      <c r="G2311" s="25" t="s">
        <v>480</v>
      </c>
      <c r="H2311" s="25" t="s">
        <v>481</v>
      </c>
      <c r="I2311" s="25" t="n">
        <f aca="false">IFERROR(IF(INDEX(Documents!$C$5:$C$657,MATCH(H2311,Documents!$A$5:$A$657,0))="","",INDEX(Documents!$C$5:$C$657,MATCH(H2311,Documents!$A$5:$A$657,0))),"")</f>
        <v>2023</v>
      </c>
      <c r="J2311" s="25" t="str">
        <f aca="false">IFERROR(IF(INDEX(Documents!$D$5:$D$657,MATCH(H2311,Documents!$A$5:$A$657,0))="","",INDEX(Documents!$D$5:$D$657,MATCH(H2311,Documents!$A$5:$A$657,0))),"")</f>
        <v/>
      </c>
      <c r="K2311" s="25" t="str">
        <f aca="false">IFERROR(IF(INDEX(Documents!$G$5:$G$657,MATCH(H2311,Documents!$A$5:$A$657,0))="","",INDEX(Documents!$G$5:$G$657,MATCH(H2311,Documents!$A$5:$A$657,0))),"")</f>
        <v/>
      </c>
      <c r="L2311" s="25" t="s">
        <v>482</v>
      </c>
    </row>
    <row r="2312" customFormat="false" ht="15" hidden="false" customHeight="false" outlineLevel="0" collapsed="false">
      <c r="A2312" s="25" t="n">
        <v>29009885</v>
      </c>
      <c r="B2312" s="25" t="s">
        <v>4980</v>
      </c>
      <c r="C2312" s="25" t="s">
        <v>4981</v>
      </c>
      <c r="D2312" s="26" t="n">
        <v>13</v>
      </c>
      <c r="E2312" s="27" t="n">
        <v>7.88605664769316</v>
      </c>
      <c r="F2312" s="27" t="n">
        <v>7.88605664769316</v>
      </c>
      <c r="G2312" s="25" t="s">
        <v>480</v>
      </c>
      <c r="H2312" s="25" t="s">
        <v>481</v>
      </c>
      <c r="I2312" s="25" t="n">
        <f aca="false">IFERROR(IF(INDEX(Documents!$C$5:$C$657,MATCH(H2312,Documents!$A$5:$A$657,0))="","",INDEX(Documents!$C$5:$C$657,MATCH(H2312,Documents!$A$5:$A$657,0))),"")</f>
        <v>2023</v>
      </c>
      <c r="J2312" s="25" t="str">
        <f aca="false">IFERROR(IF(INDEX(Documents!$D$5:$D$657,MATCH(H2312,Documents!$A$5:$A$657,0))="","",INDEX(Documents!$D$5:$D$657,MATCH(H2312,Documents!$A$5:$A$657,0))),"")</f>
        <v/>
      </c>
      <c r="K2312" s="25" t="str">
        <f aca="false">IFERROR(IF(INDEX(Documents!$G$5:$G$657,MATCH(H2312,Documents!$A$5:$A$657,0))="","",INDEX(Documents!$G$5:$G$657,MATCH(H2312,Documents!$A$5:$A$657,0))),"")</f>
        <v/>
      </c>
      <c r="L2312" s="25" t="s">
        <v>482</v>
      </c>
    </row>
    <row r="2313" customFormat="false" ht="15" hidden="false" customHeight="false" outlineLevel="0" collapsed="false">
      <c r="A2313" s="25" t="n">
        <v>29009882</v>
      </c>
      <c r="B2313" s="25" t="s">
        <v>4982</v>
      </c>
      <c r="C2313" s="25" t="s">
        <v>4983</v>
      </c>
      <c r="D2313" s="26" t="n">
        <v>4.6</v>
      </c>
      <c r="E2313" s="27" t="n">
        <v>8.33724216831843</v>
      </c>
      <c r="F2313" s="27" t="n">
        <v>8.33724216831843</v>
      </c>
      <c r="G2313" s="25" t="s">
        <v>480</v>
      </c>
      <c r="H2313" s="25" t="s">
        <v>481</v>
      </c>
      <c r="I2313" s="25" t="n">
        <f aca="false">IFERROR(IF(INDEX(Documents!$C$5:$C$657,MATCH(H2313,Documents!$A$5:$A$657,0))="","",INDEX(Documents!$C$5:$C$657,MATCH(H2313,Documents!$A$5:$A$657,0))),"")</f>
        <v>2023</v>
      </c>
      <c r="J2313" s="25" t="str">
        <f aca="false">IFERROR(IF(INDEX(Documents!$D$5:$D$657,MATCH(H2313,Documents!$A$5:$A$657,0))="","",INDEX(Documents!$D$5:$D$657,MATCH(H2313,Documents!$A$5:$A$657,0))),"")</f>
        <v/>
      </c>
      <c r="K2313" s="25" t="str">
        <f aca="false">IFERROR(IF(INDEX(Documents!$G$5:$G$657,MATCH(H2313,Documents!$A$5:$A$657,0))="","",INDEX(Documents!$G$5:$G$657,MATCH(H2313,Documents!$A$5:$A$657,0))),"")</f>
        <v/>
      </c>
      <c r="L2313" s="25" t="s">
        <v>482</v>
      </c>
    </row>
    <row r="2314" customFormat="false" ht="15" hidden="false" customHeight="false" outlineLevel="0" collapsed="false">
      <c r="A2314" s="25" t="n">
        <v>29009897</v>
      </c>
      <c r="B2314" s="25" t="s">
        <v>4984</v>
      </c>
      <c r="C2314" s="25" t="s">
        <v>4985</v>
      </c>
      <c r="D2314" s="26" t="n">
        <v>8.2</v>
      </c>
      <c r="E2314" s="27" t="n">
        <v>8.08618614761628</v>
      </c>
      <c r="F2314" s="27" t="n">
        <v>8.08618614761628</v>
      </c>
      <c r="G2314" s="25" t="s">
        <v>480</v>
      </c>
      <c r="H2314" s="25" t="s">
        <v>481</v>
      </c>
      <c r="I2314" s="25" t="n">
        <f aca="false">IFERROR(IF(INDEX(Documents!$C$5:$C$657,MATCH(H2314,Documents!$A$5:$A$657,0))="","",INDEX(Documents!$C$5:$C$657,MATCH(H2314,Documents!$A$5:$A$657,0))),"")</f>
        <v>2023</v>
      </c>
      <c r="J2314" s="25" t="str">
        <f aca="false">IFERROR(IF(INDEX(Documents!$D$5:$D$657,MATCH(H2314,Documents!$A$5:$A$657,0))="","",INDEX(Documents!$D$5:$D$657,MATCH(H2314,Documents!$A$5:$A$657,0))),"")</f>
        <v/>
      </c>
      <c r="K2314" s="25" t="str">
        <f aca="false">IFERROR(IF(INDEX(Documents!$G$5:$G$657,MATCH(H2314,Documents!$A$5:$A$657,0))="","",INDEX(Documents!$G$5:$G$657,MATCH(H2314,Documents!$A$5:$A$657,0))),"")</f>
        <v/>
      </c>
      <c r="L2314" s="25" t="s">
        <v>482</v>
      </c>
    </row>
    <row r="2315" customFormat="false" ht="15" hidden="false" customHeight="false" outlineLevel="0" collapsed="false">
      <c r="A2315" s="25" t="n">
        <v>29009876</v>
      </c>
      <c r="B2315" s="25" t="s">
        <v>4986</v>
      </c>
      <c r="C2315" s="25" t="s">
        <v>4987</v>
      </c>
      <c r="D2315" s="26" t="n">
        <v>0.5</v>
      </c>
      <c r="E2315" s="27" t="n">
        <v>9.30102999566398</v>
      </c>
      <c r="F2315" s="27" t="n">
        <v>9.30102999566398</v>
      </c>
      <c r="G2315" s="25" t="s">
        <v>480</v>
      </c>
      <c r="H2315" s="25" t="s">
        <v>481</v>
      </c>
      <c r="I2315" s="25" t="n">
        <f aca="false">IFERROR(IF(INDEX(Documents!$C$5:$C$657,MATCH(H2315,Documents!$A$5:$A$657,0))="","",INDEX(Documents!$C$5:$C$657,MATCH(H2315,Documents!$A$5:$A$657,0))),"")</f>
        <v>2023</v>
      </c>
      <c r="J2315" s="25" t="str">
        <f aca="false">IFERROR(IF(INDEX(Documents!$D$5:$D$657,MATCH(H2315,Documents!$A$5:$A$657,0))="","",INDEX(Documents!$D$5:$D$657,MATCH(H2315,Documents!$A$5:$A$657,0))),"")</f>
        <v/>
      </c>
      <c r="K2315" s="25" t="str">
        <f aca="false">IFERROR(IF(INDEX(Documents!$G$5:$G$657,MATCH(H2315,Documents!$A$5:$A$657,0))="","",INDEX(Documents!$G$5:$G$657,MATCH(H2315,Documents!$A$5:$A$657,0))),"")</f>
        <v/>
      </c>
      <c r="L2315" s="25" t="s">
        <v>482</v>
      </c>
    </row>
    <row r="2316" customFormat="false" ht="15" hidden="false" customHeight="false" outlineLevel="0" collapsed="false">
      <c r="A2316" s="25" t="n">
        <v>29009873</v>
      </c>
      <c r="B2316" s="25" t="s">
        <v>4988</v>
      </c>
      <c r="C2316" s="25" t="s">
        <v>4989</v>
      </c>
      <c r="D2316" s="26" t="n">
        <v>3.7</v>
      </c>
      <c r="E2316" s="27" t="n">
        <v>8.43179827593301</v>
      </c>
      <c r="F2316" s="27" t="n">
        <v>8.43179827593301</v>
      </c>
      <c r="G2316" s="25" t="s">
        <v>480</v>
      </c>
      <c r="H2316" s="25" t="s">
        <v>481</v>
      </c>
      <c r="I2316" s="25" t="n">
        <f aca="false">IFERROR(IF(INDEX(Documents!$C$5:$C$657,MATCH(H2316,Documents!$A$5:$A$657,0))="","",INDEX(Documents!$C$5:$C$657,MATCH(H2316,Documents!$A$5:$A$657,0))),"")</f>
        <v>2023</v>
      </c>
      <c r="J2316" s="25" t="str">
        <f aca="false">IFERROR(IF(INDEX(Documents!$D$5:$D$657,MATCH(H2316,Documents!$A$5:$A$657,0))="","",INDEX(Documents!$D$5:$D$657,MATCH(H2316,Documents!$A$5:$A$657,0))),"")</f>
        <v/>
      </c>
      <c r="K2316" s="25" t="str">
        <f aca="false">IFERROR(IF(INDEX(Documents!$G$5:$G$657,MATCH(H2316,Documents!$A$5:$A$657,0))="","",INDEX(Documents!$G$5:$G$657,MATCH(H2316,Documents!$A$5:$A$657,0))),"")</f>
        <v/>
      </c>
      <c r="L2316" s="25" t="s">
        <v>482</v>
      </c>
    </row>
    <row r="2317" customFormat="false" ht="15" hidden="false" customHeight="false" outlineLevel="0" collapsed="false">
      <c r="A2317" s="25" t="n">
        <v>29009870</v>
      </c>
      <c r="B2317" s="25" t="s">
        <v>4990</v>
      </c>
      <c r="C2317" s="25" t="s">
        <v>4991</v>
      </c>
      <c r="D2317" s="26" t="n">
        <v>1.8</v>
      </c>
      <c r="E2317" s="27" t="n">
        <v>8.74472749489669</v>
      </c>
      <c r="F2317" s="27" t="n">
        <v>9.22184874961636</v>
      </c>
      <c r="G2317" s="25" t="s">
        <v>480</v>
      </c>
      <c r="H2317" s="25" t="s">
        <v>481</v>
      </c>
      <c r="I2317" s="25" t="n">
        <f aca="false">IFERROR(IF(INDEX(Documents!$C$5:$C$657,MATCH(H2317,Documents!$A$5:$A$657,0))="","",INDEX(Documents!$C$5:$C$657,MATCH(H2317,Documents!$A$5:$A$657,0))),"")</f>
        <v>2023</v>
      </c>
      <c r="J2317" s="25" t="str">
        <f aca="false">IFERROR(IF(INDEX(Documents!$D$5:$D$657,MATCH(H2317,Documents!$A$5:$A$657,0))="","",INDEX(Documents!$D$5:$D$657,MATCH(H2317,Documents!$A$5:$A$657,0))),"")</f>
        <v/>
      </c>
      <c r="K2317" s="25" t="str">
        <f aca="false">IFERROR(IF(INDEX(Documents!$G$5:$G$657,MATCH(H2317,Documents!$A$5:$A$657,0))="","",INDEX(Documents!$G$5:$G$657,MATCH(H2317,Documents!$A$5:$A$657,0))),"")</f>
        <v/>
      </c>
      <c r="L2317" s="25" t="s">
        <v>482</v>
      </c>
    </row>
    <row r="2318" customFormat="false" ht="15" hidden="false" customHeight="false" outlineLevel="0" collapsed="false">
      <c r="A2318" s="25" t="n">
        <v>29009894</v>
      </c>
      <c r="B2318" s="25" t="s">
        <v>4990</v>
      </c>
      <c r="C2318" s="25" t="s">
        <v>4991</v>
      </c>
      <c r="D2318" s="26" t="n">
        <v>0.2</v>
      </c>
      <c r="E2318" s="27" t="n">
        <v>9.69897000433602</v>
      </c>
      <c r="F2318" s="27" t="n">
        <v>9.22184874961636</v>
      </c>
      <c r="G2318" s="25" t="s">
        <v>480</v>
      </c>
      <c r="H2318" s="25" t="s">
        <v>481</v>
      </c>
      <c r="I2318" s="25" t="n">
        <f aca="false">IFERROR(IF(INDEX(Documents!$C$5:$C$657,MATCH(H2318,Documents!$A$5:$A$657,0))="","",INDEX(Documents!$C$5:$C$657,MATCH(H2318,Documents!$A$5:$A$657,0))),"")</f>
        <v>2023</v>
      </c>
      <c r="J2318" s="25" t="str">
        <f aca="false">IFERROR(IF(INDEX(Documents!$D$5:$D$657,MATCH(H2318,Documents!$A$5:$A$657,0))="","",INDEX(Documents!$D$5:$D$657,MATCH(H2318,Documents!$A$5:$A$657,0))),"")</f>
        <v/>
      </c>
      <c r="K2318" s="25" t="str">
        <f aca="false">IFERROR(IF(INDEX(Documents!$G$5:$G$657,MATCH(H2318,Documents!$A$5:$A$657,0))="","",INDEX(Documents!$G$5:$G$657,MATCH(H2318,Documents!$A$5:$A$657,0))),"")</f>
        <v/>
      </c>
      <c r="L2318" s="25" t="s">
        <v>482</v>
      </c>
    </row>
    <row r="2319" customFormat="false" ht="15" hidden="false" customHeight="false" outlineLevel="0" collapsed="false">
      <c r="A2319" s="25" t="n">
        <v>15077999</v>
      </c>
      <c r="B2319" s="25" t="s">
        <v>4992</v>
      </c>
      <c r="C2319" s="25" t="s">
        <v>4993</v>
      </c>
      <c r="D2319" s="26" t="n">
        <v>62.6</v>
      </c>
      <c r="E2319" s="27" t="n">
        <v>7.20342566678957</v>
      </c>
      <c r="F2319" s="27" t="n">
        <v>7.20342566678957</v>
      </c>
      <c r="G2319" s="25" t="s">
        <v>1662</v>
      </c>
      <c r="H2319" s="25" t="s">
        <v>1663</v>
      </c>
      <c r="I2319" s="25" t="n">
        <f aca="false">IFERROR(IF(INDEX(Documents!$C$5:$C$657,MATCH(H2319,Documents!$A$5:$A$657,0))="","",INDEX(Documents!$C$5:$C$657,MATCH(H2319,Documents!$A$5:$A$657,0))),"")</f>
        <v>2014</v>
      </c>
      <c r="J2319" s="25" t="str">
        <f aca="false">IFERROR(IF(INDEX(Documents!$D$5:$D$657,MATCH(H2319,Documents!$A$5:$A$657,0))="","",INDEX(Documents!$D$5:$D$657,MATCH(H2319,Documents!$A$5:$A$657,0))),"")</f>
        <v>J Med Chem</v>
      </c>
      <c r="K2319" s="25" t="str">
        <f aca="false">IFERROR(IF(INDEX(Documents!$G$5:$G$657,MATCH(H2319,Documents!$A$5:$A$657,0))="","",INDEX(Documents!$G$5:$G$657,MATCH(H2319,Documents!$A$5:$A$657,0))),"")</f>
        <v>10.1021/jm500807e</v>
      </c>
      <c r="L2319" s="25" t="s">
        <v>1664</v>
      </c>
    </row>
    <row r="2320" customFormat="false" ht="15" hidden="false" customHeight="false" outlineLevel="0" collapsed="false">
      <c r="A2320" s="25" t="n">
        <v>13912589</v>
      </c>
      <c r="B2320" s="25" t="s">
        <v>4994</v>
      </c>
      <c r="C2320" s="25" t="s">
        <v>4995</v>
      </c>
      <c r="D2320" s="26" t="n">
        <v>1832</v>
      </c>
      <c r="E2320" s="27" t="n">
        <v>5.73707453066817</v>
      </c>
      <c r="F2320" s="27" t="n">
        <v>5.73707453066817</v>
      </c>
      <c r="G2320" s="25" t="s">
        <v>1717</v>
      </c>
      <c r="H2320" s="25" t="s">
        <v>1718</v>
      </c>
      <c r="I2320" s="25" t="n">
        <f aca="false">IFERROR(IF(INDEX(Documents!$C$5:$C$657,MATCH(H2320,Documents!$A$5:$A$657,0))="","",INDEX(Documents!$C$5:$C$657,MATCH(H2320,Documents!$A$5:$A$657,0))),"")</f>
        <v>2014</v>
      </c>
      <c r="J2320" s="25" t="str">
        <f aca="false">IFERROR(IF(INDEX(Documents!$D$5:$D$657,MATCH(H2320,Documents!$A$5:$A$657,0))="","",INDEX(Documents!$D$5:$D$657,MATCH(H2320,Documents!$A$5:$A$657,0))),"")</f>
        <v>Eur J Med Chem</v>
      </c>
      <c r="K2320" s="25" t="str">
        <f aca="false">IFERROR(IF(INDEX(Documents!$G$5:$G$657,MATCH(H2320,Documents!$A$5:$A$657,0))="","",INDEX(Documents!$G$5:$G$657,MATCH(H2320,Documents!$A$5:$A$657,0))),"")</f>
        <v>10.1016/j.ejmech.2013.10.070</v>
      </c>
      <c r="L2320" s="25" t="s">
        <v>1719</v>
      </c>
    </row>
    <row r="2321" customFormat="false" ht="15" hidden="false" customHeight="false" outlineLevel="0" collapsed="false">
      <c r="A2321" s="25" t="n">
        <v>15077998</v>
      </c>
      <c r="B2321" s="25" t="s">
        <v>4996</v>
      </c>
      <c r="C2321" s="25" t="s">
        <v>4997</v>
      </c>
      <c r="D2321" s="26" t="n">
        <v>176</v>
      </c>
      <c r="E2321" s="27" t="n">
        <v>6.75448733218585</v>
      </c>
      <c r="F2321" s="27" t="n">
        <v>6.75448733218585</v>
      </c>
      <c r="G2321" s="25" t="s">
        <v>1662</v>
      </c>
      <c r="H2321" s="25" t="s">
        <v>1663</v>
      </c>
      <c r="I2321" s="25" t="n">
        <f aca="false">IFERROR(IF(INDEX(Documents!$C$5:$C$657,MATCH(H2321,Documents!$A$5:$A$657,0))="","",INDEX(Documents!$C$5:$C$657,MATCH(H2321,Documents!$A$5:$A$657,0))),"")</f>
        <v>2014</v>
      </c>
      <c r="J2321" s="25" t="str">
        <f aca="false">IFERROR(IF(INDEX(Documents!$D$5:$D$657,MATCH(H2321,Documents!$A$5:$A$657,0))="","",INDEX(Documents!$D$5:$D$657,MATCH(H2321,Documents!$A$5:$A$657,0))),"")</f>
        <v>J Med Chem</v>
      </c>
      <c r="K2321" s="25" t="str">
        <f aca="false">IFERROR(IF(INDEX(Documents!$G$5:$G$657,MATCH(H2321,Documents!$A$5:$A$657,0))="","",INDEX(Documents!$G$5:$G$657,MATCH(H2321,Documents!$A$5:$A$657,0))),"")</f>
        <v>10.1021/jm500807e</v>
      </c>
      <c r="L2321" s="25" t="s">
        <v>1664</v>
      </c>
    </row>
    <row r="2322" customFormat="false" ht="15" hidden="false" customHeight="false" outlineLevel="0" collapsed="false">
      <c r="A2322" s="25" t="n">
        <v>13499116</v>
      </c>
      <c r="B2322" s="25" t="s">
        <v>4998</v>
      </c>
      <c r="C2322" s="25" t="s">
        <v>4999</v>
      </c>
      <c r="D2322" s="26" t="n">
        <v>1313</v>
      </c>
      <c r="E2322" s="27" t="n">
        <v>5.88173527391052</v>
      </c>
      <c r="F2322" s="27" t="n">
        <v>5.88173527391052</v>
      </c>
      <c r="G2322" s="25" t="s">
        <v>757</v>
      </c>
      <c r="H2322" s="25" t="s">
        <v>758</v>
      </c>
      <c r="I2322" s="25" t="n">
        <f aca="false">IFERROR(IF(INDEX(Documents!$C$5:$C$657,MATCH(H2322,Documents!$A$5:$A$657,0))="","",INDEX(Documents!$C$5:$C$657,MATCH(H2322,Documents!$A$5:$A$657,0))),"")</f>
        <v>2013</v>
      </c>
      <c r="J2322" s="25" t="str">
        <f aca="false">IFERROR(IF(INDEX(Documents!$D$5:$D$657,MATCH(H2322,Documents!$A$5:$A$657,0))="","",INDEX(Documents!$D$5:$D$657,MATCH(H2322,Documents!$A$5:$A$657,0))),"")</f>
        <v>Eur J Med Chem</v>
      </c>
      <c r="K2322" s="25" t="str">
        <f aca="false">IFERROR(IF(INDEX(Documents!$G$5:$G$657,MATCH(H2322,Documents!$A$5:$A$657,0))="","",INDEX(Documents!$G$5:$G$657,MATCH(H2322,Documents!$A$5:$A$657,0))),"")</f>
        <v>10.1016/j.ejmech.2013.09.038</v>
      </c>
      <c r="L2322" s="25" t="s">
        <v>759</v>
      </c>
    </row>
    <row r="2323" customFormat="false" ht="15" hidden="false" customHeight="false" outlineLevel="0" collapsed="false">
      <c r="A2323" s="25" t="n">
        <v>13498200</v>
      </c>
      <c r="B2323" s="25" t="s">
        <v>5000</v>
      </c>
      <c r="C2323" s="25" t="s">
        <v>5001</v>
      </c>
      <c r="D2323" s="26" t="n">
        <v>3376</v>
      </c>
      <c r="E2323" s="27" t="n">
        <v>5.47159756204638</v>
      </c>
      <c r="F2323" s="27" t="n">
        <v>5.47159756204638</v>
      </c>
      <c r="G2323" s="25" t="s">
        <v>757</v>
      </c>
      <c r="H2323" s="25" t="s">
        <v>758</v>
      </c>
      <c r="I2323" s="25" t="n">
        <f aca="false">IFERROR(IF(INDEX(Documents!$C$5:$C$657,MATCH(H2323,Documents!$A$5:$A$657,0))="","",INDEX(Documents!$C$5:$C$657,MATCH(H2323,Documents!$A$5:$A$657,0))),"")</f>
        <v>2013</v>
      </c>
      <c r="J2323" s="25" t="str">
        <f aca="false">IFERROR(IF(INDEX(Documents!$D$5:$D$657,MATCH(H2323,Documents!$A$5:$A$657,0))="","",INDEX(Documents!$D$5:$D$657,MATCH(H2323,Documents!$A$5:$A$657,0))),"")</f>
        <v>Eur J Med Chem</v>
      </c>
      <c r="K2323" s="25" t="str">
        <f aca="false">IFERROR(IF(INDEX(Documents!$G$5:$G$657,MATCH(H2323,Documents!$A$5:$A$657,0))="","",INDEX(Documents!$G$5:$G$657,MATCH(H2323,Documents!$A$5:$A$657,0))),"")</f>
        <v>10.1016/j.ejmech.2013.09.038</v>
      </c>
      <c r="L2323" s="25" t="s">
        <v>759</v>
      </c>
    </row>
    <row r="2324" customFormat="false" ht="15" hidden="false" customHeight="false" outlineLevel="0" collapsed="false">
      <c r="A2324" s="25" t="n">
        <v>15654692</v>
      </c>
      <c r="B2324" s="25" t="s">
        <v>5002</v>
      </c>
      <c r="C2324" s="25" t="s">
        <v>5003</v>
      </c>
      <c r="D2324" s="26" t="n">
        <v>2560</v>
      </c>
      <c r="E2324" s="27" t="n">
        <v>5.59176003468815</v>
      </c>
      <c r="F2324" s="27" t="n">
        <v>5.59176003468815</v>
      </c>
      <c r="G2324" s="25" t="s">
        <v>4938</v>
      </c>
      <c r="H2324" s="25" t="s">
        <v>4939</v>
      </c>
      <c r="I2324" s="25" t="n">
        <f aca="false">IFERROR(IF(INDEX(Documents!$C$5:$C$657,MATCH(H2324,Documents!$A$5:$A$657,0))="","",INDEX(Documents!$C$5:$C$657,MATCH(H2324,Documents!$A$5:$A$657,0))),"")</f>
        <v>2014</v>
      </c>
      <c r="J2324" s="25" t="str">
        <f aca="false">IFERROR(IF(INDEX(Documents!$D$5:$D$657,MATCH(H2324,Documents!$A$5:$A$657,0))="","",INDEX(Documents!$D$5:$D$657,MATCH(H2324,Documents!$A$5:$A$657,0))),"")</f>
        <v>Medchemcomm</v>
      </c>
      <c r="K2324" s="25" t="str">
        <f aca="false">IFERROR(IF(INDEX(Documents!$G$5:$G$657,MATCH(H2324,Documents!$A$5:$A$657,0))="","",INDEX(Documents!$G$5:$G$657,MATCH(H2324,Documents!$A$5:$A$657,0))),"")</f>
        <v>10.1039/C4MD00232F</v>
      </c>
      <c r="L2324" s="25" t="s">
        <v>4940</v>
      </c>
    </row>
    <row r="2325" customFormat="false" ht="15" hidden="false" customHeight="false" outlineLevel="0" collapsed="false">
      <c r="A2325" s="25" t="n">
        <v>3604741</v>
      </c>
      <c r="B2325" s="25" t="s">
        <v>5004</v>
      </c>
      <c r="C2325" s="25" t="s">
        <v>5005</v>
      </c>
      <c r="D2325" s="26" t="n">
        <v>2500</v>
      </c>
      <c r="E2325" s="27" t="n">
        <v>5.60205999132796</v>
      </c>
      <c r="F2325" s="27" t="n">
        <v>5.60205999132796</v>
      </c>
      <c r="G2325" s="25" t="s">
        <v>5006</v>
      </c>
      <c r="H2325" s="25" t="s">
        <v>5007</v>
      </c>
      <c r="I2325" s="25" t="n">
        <f aca="false">IFERROR(IF(INDEX(Documents!$C$5:$C$657,MATCH(H2325,Documents!$A$5:$A$657,0))="","",INDEX(Documents!$C$5:$C$657,MATCH(H2325,Documents!$A$5:$A$657,0))),"")</f>
        <v>2010</v>
      </c>
      <c r="J2325" s="25" t="str">
        <f aca="false">IFERROR(IF(INDEX(Documents!$D$5:$D$657,MATCH(H2325,Documents!$A$5:$A$657,0))="","",INDEX(Documents!$D$5:$D$657,MATCH(H2325,Documents!$A$5:$A$657,0))),"")</f>
        <v>Bioorg Med Chem</v>
      </c>
      <c r="K2325" s="25" t="str">
        <f aca="false">IFERROR(IF(INDEX(Documents!$G$5:$G$657,MATCH(H2325,Documents!$A$5:$A$657,0))="","",INDEX(Documents!$G$5:$G$657,MATCH(H2325,Documents!$A$5:$A$657,0))),"")</f>
        <v>10.1016/j.bmc.2010.10.050</v>
      </c>
      <c r="L2325" s="25" t="s">
        <v>5008</v>
      </c>
    </row>
    <row r="2326" customFormat="false" ht="15" hidden="false" customHeight="false" outlineLevel="0" collapsed="false">
      <c r="A2326" s="25" t="n">
        <v>2033361</v>
      </c>
      <c r="B2326" s="25" t="s">
        <v>5009</v>
      </c>
      <c r="C2326" s="25" t="s">
        <v>5010</v>
      </c>
      <c r="D2326" s="26" t="n">
        <v>428</v>
      </c>
      <c r="E2326" s="27" t="n">
        <v>6.36855623098683</v>
      </c>
      <c r="F2326" s="27" t="n">
        <v>6.36855623098683</v>
      </c>
      <c r="G2326" s="25" t="s">
        <v>1133</v>
      </c>
      <c r="H2326" s="25" t="s">
        <v>1134</v>
      </c>
      <c r="I2326" s="25" t="n">
        <f aca="false">IFERROR(IF(INDEX(Documents!$C$5:$C$657,MATCH(H2326,Documents!$A$5:$A$657,0))="","",INDEX(Documents!$C$5:$C$657,MATCH(H2326,Documents!$A$5:$A$657,0))),"")</f>
        <v>2007</v>
      </c>
      <c r="J2326" s="25" t="str">
        <f aca="false">IFERROR(IF(INDEX(Documents!$D$5:$D$657,MATCH(H2326,Documents!$A$5:$A$657,0))="","",INDEX(Documents!$D$5:$D$657,MATCH(H2326,Documents!$A$5:$A$657,0))),"")</f>
        <v>Bioorg Med Chem Lett</v>
      </c>
      <c r="K2326" s="25" t="str">
        <f aca="false">IFERROR(IF(INDEX(Documents!$G$5:$G$657,MATCH(H2326,Documents!$A$5:$A$657,0))="","",INDEX(Documents!$G$5:$G$657,MATCH(H2326,Documents!$A$5:$A$657,0))),"")</f>
        <v>10.1016/j.bmcl.2007.04.093</v>
      </c>
      <c r="L2326" s="25" t="s">
        <v>775</v>
      </c>
    </row>
    <row r="2327" customFormat="false" ht="15" hidden="false" customHeight="false" outlineLevel="0" collapsed="false">
      <c r="A2327" s="25" t="n">
        <v>29298875</v>
      </c>
      <c r="B2327" s="25" t="s">
        <v>5011</v>
      </c>
      <c r="C2327" s="25" t="s">
        <v>5012</v>
      </c>
      <c r="D2327" s="26" t="n">
        <v>1531</v>
      </c>
      <c r="E2327" s="27" t="n">
        <v>5.81502480930174</v>
      </c>
      <c r="F2327" s="27" t="n">
        <v>5.81502480930174</v>
      </c>
      <c r="G2327" s="25" t="s">
        <v>5013</v>
      </c>
      <c r="H2327" s="25" t="s">
        <v>5014</v>
      </c>
      <c r="I2327" s="25" t="n">
        <f aca="false">IFERROR(IF(INDEX(Documents!$C$5:$C$657,MATCH(H2327,Documents!$A$5:$A$657,0))="","",INDEX(Documents!$C$5:$C$657,MATCH(H2327,Documents!$A$5:$A$657,0))),"")</f>
        <v>2025</v>
      </c>
      <c r="J2327" s="25" t="str">
        <f aca="false">IFERROR(IF(INDEX(Documents!$D$5:$D$657,MATCH(H2327,Documents!$A$5:$A$657,0))="","",INDEX(Documents!$D$5:$D$657,MATCH(H2327,Documents!$A$5:$A$657,0))),"")</f>
        <v>J Med Chem</v>
      </c>
      <c r="K2327" s="25" t="str">
        <f aca="false">IFERROR(IF(INDEX(Documents!$G$5:$G$657,MATCH(H2327,Documents!$A$5:$A$657,0))="","",INDEX(Documents!$G$5:$G$657,MATCH(H2327,Documents!$A$5:$A$657,0))),"")</f>
        <v>10.1021/acs.jmedchem.4c03132</v>
      </c>
      <c r="L2327" s="25" t="s">
        <v>5015</v>
      </c>
    </row>
    <row r="2328" customFormat="false" ht="15" hidden="false" customHeight="false" outlineLevel="0" collapsed="false">
      <c r="A2328" s="25" t="n">
        <v>2691009</v>
      </c>
      <c r="B2328" s="25" t="s">
        <v>5016</v>
      </c>
      <c r="C2328" s="25" t="s">
        <v>5017</v>
      </c>
      <c r="D2328" s="26" t="n">
        <v>1069</v>
      </c>
      <c r="E2328" s="27" t="n">
        <v>5.97102229479122</v>
      </c>
      <c r="F2328" s="27" t="n">
        <v>5.97102229479122</v>
      </c>
      <c r="G2328" s="25" t="s">
        <v>1648</v>
      </c>
      <c r="H2328" s="25" t="s">
        <v>1649</v>
      </c>
      <c r="I2328" s="25" t="n">
        <f aca="false">IFERROR(IF(INDEX(Documents!$C$5:$C$657,MATCH(H2328,Documents!$A$5:$A$657,0))="","",INDEX(Documents!$C$5:$C$657,MATCH(H2328,Documents!$A$5:$A$657,0))),"")</f>
        <v>2009</v>
      </c>
      <c r="J2328" s="25" t="str">
        <f aca="false">IFERROR(IF(INDEX(Documents!$D$5:$D$657,MATCH(H2328,Documents!$A$5:$A$657,0))="","",INDEX(Documents!$D$5:$D$657,MATCH(H2328,Documents!$A$5:$A$657,0))),"")</f>
        <v>Bioorg Med Chem Lett</v>
      </c>
      <c r="K2328" s="25" t="str">
        <f aca="false">IFERROR(IF(INDEX(Documents!$G$5:$G$657,MATCH(H2328,Documents!$A$5:$A$657,0))="","",INDEX(Documents!$G$5:$G$657,MATCH(H2328,Documents!$A$5:$A$657,0))),"")</f>
        <v>10.1016/j.bmcl.2009.05.114</v>
      </c>
      <c r="L2328" s="25" t="s">
        <v>1650</v>
      </c>
    </row>
    <row r="2329" customFormat="false" ht="15" hidden="false" customHeight="false" outlineLevel="0" collapsed="false">
      <c r="A2329" s="25" t="n">
        <v>13474020</v>
      </c>
      <c r="B2329" s="25" t="s">
        <v>5018</v>
      </c>
      <c r="C2329" s="25" t="s">
        <v>5019</v>
      </c>
      <c r="D2329" s="26" t="n">
        <v>426</v>
      </c>
      <c r="E2329" s="27" t="n">
        <v>6.37059040089728</v>
      </c>
      <c r="F2329" s="27" t="n">
        <v>6.37059040089728</v>
      </c>
      <c r="G2329" s="25" t="s">
        <v>1033</v>
      </c>
      <c r="H2329" s="25" t="s">
        <v>1034</v>
      </c>
      <c r="I2329" s="25" t="n">
        <f aca="false">IFERROR(IF(INDEX(Documents!$C$5:$C$657,MATCH(H2329,Documents!$A$5:$A$657,0))="","",INDEX(Documents!$C$5:$C$657,MATCH(H2329,Documents!$A$5:$A$657,0))),"")</f>
        <v>2013</v>
      </c>
      <c r="J2329" s="25" t="str">
        <f aca="false">IFERROR(IF(INDEX(Documents!$D$5:$D$657,MATCH(H2329,Documents!$A$5:$A$657,0))="","",INDEX(Documents!$D$5:$D$657,MATCH(H2329,Documents!$A$5:$A$657,0))),"")</f>
        <v>J Med Chem</v>
      </c>
      <c r="K2329" s="25" t="str">
        <f aca="false">IFERROR(IF(INDEX(Documents!$G$5:$G$657,MATCH(H2329,Documents!$A$5:$A$657,0))="","",INDEX(Documents!$G$5:$G$657,MATCH(H2329,Documents!$A$5:$A$657,0))),"")</f>
        <v>10.1021/jm401129n</v>
      </c>
      <c r="L2329" s="25" t="s">
        <v>1035</v>
      </c>
    </row>
    <row r="2330" customFormat="false" ht="15" hidden="false" customHeight="false" outlineLevel="0" collapsed="false">
      <c r="A2330" s="25" t="n">
        <v>16789999</v>
      </c>
      <c r="B2330" s="25" t="s">
        <v>5020</v>
      </c>
      <c r="C2330" s="25" t="s">
        <v>5021</v>
      </c>
      <c r="D2330" s="26" t="n">
        <v>2.15</v>
      </c>
      <c r="E2330" s="27" t="n">
        <v>8.66756154008439</v>
      </c>
      <c r="F2330" s="27" t="n">
        <v>8.66756154008439</v>
      </c>
      <c r="G2330" s="25" t="s">
        <v>5022</v>
      </c>
      <c r="H2330" s="25" t="s">
        <v>5023</v>
      </c>
      <c r="I2330" s="25" t="n">
        <f aca="false">IFERROR(IF(INDEX(Documents!$C$5:$C$657,MATCH(H2330,Documents!$A$5:$A$657,0))="","",INDEX(Documents!$C$5:$C$657,MATCH(H2330,Documents!$A$5:$A$657,0))),"")</f>
        <v>2016</v>
      </c>
      <c r="J2330" s="25" t="str">
        <f aca="false">IFERROR(IF(INDEX(Documents!$D$5:$D$657,MATCH(H2330,Documents!$A$5:$A$657,0))="","",INDEX(Documents!$D$5:$D$657,MATCH(H2330,Documents!$A$5:$A$657,0))),"")</f>
        <v>Eur J Med Chem</v>
      </c>
      <c r="K2330" s="25" t="str">
        <f aca="false">IFERROR(IF(INDEX(Documents!$G$5:$G$657,MATCH(H2330,Documents!$A$5:$A$657,0))="","",INDEX(Documents!$G$5:$G$657,MATCH(H2330,Documents!$A$5:$A$657,0))),"")</f>
        <v>10.1016/j.ejmech.2016.07.012</v>
      </c>
      <c r="L2330" s="25" t="s">
        <v>5024</v>
      </c>
    </row>
    <row r="2331" customFormat="false" ht="15" hidden="false" customHeight="false" outlineLevel="0" collapsed="false">
      <c r="A2331" s="25" t="n">
        <v>16790000</v>
      </c>
      <c r="B2331" s="25" t="s">
        <v>5025</v>
      </c>
      <c r="C2331" s="25" t="s">
        <v>5026</v>
      </c>
      <c r="D2331" s="26" t="n">
        <v>111.87</v>
      </c>
      <c r="E2331" s="27" t="n">
        <v>6.95128636191903</v>
      </c>
      <c r="F2331" s="27" t="n">
        <v>6.95128636191903</v>
      </c>
      <c r="G2331" s="25" t="s">
        <v>5022</v>
      </c>
      <c r="H2331" s="25" t="s">
        <v>5023</v>
      </c>
      <c r="I2331" s="25" t="n">
        <f aca="false">IFERROR(IF(INDEX(Documents!$C$5:$C$657,MATCH(H2331,Documents!$A$5:$A$657,0))="","",INDEX(Documents!$C$5:$C$657,MATCH(H2331,Documents!$A$5:$A$657,0))),"")</f>
        <v>2016</v>
      </c>
      <c r="J2331" s="25" t="str">
        <f aca="false">IFERROR(IF(INDEX(Documents!$D$5:$D$657,MATCH(H2331,Documents!$A$5:$A$657,0))="","",INDEX(Documents!$D$5:$D$657,MATCH(H2331,Documents!$A$5:$A$657,0))),"")</f>
        <v>Eur J Med Chem</v>
      </c>
      <c r="K2331" s="25" t="str">
        <f aca="false">IFERROR(IF(INDEX(Documents!$G$5:$G$657,MATCH(H2331,Documents!$A$5:$A$657,0))="","",INDEX(Documents!$G$5:$G$657,MATCH(H2331,Documents!$A$5:$A$657,0))),"")</f>
        <v>10.1016/j.ejmech.2016.07.012</v>
      </c>
      <c r="L2331" s="25" t="s">
        <v>5024</v>
      </c>
    </row>
    <row r="2332" customFormat="false" ht="15" hidden="false" customHeight="false" outlineLevel="0" collapsed="false">
      <c r="A2332" s="25" t="n">
        <v>16790001</v>
      </c>
      <c r="B2332" s="25" t="s">
        <v>5027</v>
      </c>
      <c r="C2332" s="25" t="s">
        <v>5028</v>
      </c>
      <c r="D2332" s="26" t="n">
        <v>1785.22</v>
      </c>
      <c r="E2332" s="27" t="n">
        <v>5.7483082563593</v>
      </c>
      <c r="F2332" s="27" t="n">
        <v>5.7483082563593</v>
      </c>
      <c r="G2332" s="25" t="s">
        <v>5022</v>
      </c>
      <c r="H2332" s="25" t="s">
        <v>5023</v>
      </c>
      <c r="I2332" s="25" t="n">
        <f aca="false">IFERROR(IF(INDEX(Documents!$C$5:$C$657,MATCH(H2332,Documents!$A$5:$A$657,0))="","",INDEX(Documents!$C$5:$C$657,MATCH(H2332,Documents!$A$5:$A$657,0))),"")</f>
        <v>2016</v>
      </c>
      <c r="J2332" s="25" t="str">
        <f aca="false">IFERROR(IF(INDEX(Documents!$D$5:$D$657,MATCH(H2332,Documents!$A$5:$A$657,0))="","",INDEX(Documents!$D$5:$D$657,MATCH(H2332,Documents!$A$5:$A$657,0))),"")</f>
        <v>Eur J Med Chem</v>
      </c>
      <c r="K2332" s="25" t="str">
        <f aca="false">IFERROR(IF(INDEX(Documents!$G$5:$G$657,MATCH(H2332,Documents!$A$5:$A$657,0))="","",INDEX(Documents!$G$5:$G$657,MATCH(H2332,Documents!$A$5:$A$657,0))),"")</f>
        <v>10.1016/j.ejmech.2016.07.012</v>
      </c>
      <c r="L2332" s="25" t="s">
        <v>5024</v>
      </c>
    </row>
    <row r="2333" customFormat="false" ht="15" hidden="false" customHeight="false" outlineLevel="0" collapsed="false">
      <c r="A2333" s="25" t="n">
        <v>16790003</v>
      </c>
      <c r="B2333" s="25" t="s">
        <v>5029</v>
      </c>
      <c r="C2333" s="25" t="s">
        <v>5030</v>
      </c>
      <c r="D2333" s="26" t="n">
        <v>16.8</v>
      </c>
      <c r="E2333" s="27" t="n">
        <v>7.77469071827414</v>
      </c>
      <c r="F2333" s="27" t="n">
        <v>7.77469071827414</v>
      </c>
      <c r="G2333" s="25" t="s">
        <v>5022</v>
      </c>
      <c r="H2333" s="25" t="s">
        <v>5023</v>
      </c>
      <c r="I2333" s="25" t="n">
        <f aca="false">IFERROR(IF(INDEX(Documents!$C$5:$C$657,MATCH(H2333,Documents!$A$5:$A$657,0))="","",INDEX(Documents!$C$5:$C$657,MATCH(H2333,Documents!$A$5:$A$657,0))),"")</f>
        <v>2016</v>
      </c>
      <c r="J2333" s="25" t="str">
        <f aca="false">IFERROR(IF(INDEX(Documents!$D$5:$D$657,MATCH(H2333,Documents!$A$5:$A$657,0))="","",INDEX(Documents!$D$5:$D$657,MATCH(H2333,Documents!$A$5:$A$657,0))),"")</f>
        <v>Eur J Med Chem</v>
      </c>
      <c r="K2333" s="25" t="str">
        <f aca="false">IFERROR(IF(INDEX(Documents!$G$5:$G$657,MATCH(H2333,Documents!$A$5:$A$657,0))="","",INDEX(Documents!$G$5:$G$657,MATCH(H2333,Documents!$A$5:$A$657,0))),"")</f>
        <v>10.1016/j.ejmech.2016.07.012</v>
      </c>
      <c r="L2333" s="25" t="s">
        <v>5024</v>
      </c>
    </row>
    <row r="2334" customFormat="false" ht="15" hidden="false" customHeight="false" outlineLevel="0" collapsed="false">
      <c r="A2334" s="25" t="n">
        <v>16790045</v>
      </c>
      <c r="B2334" s="25" t="s">
        <v>5031</v>
      </c>
      <c r="C2334" s="25" t="s">
        <v>5032</v>
      </c>
      <c r="D2334" s="26" t="n">
        <v>800</v>
      </c>
      <c r="E2334" s="27" t="n">
        <v>6.09691001300806</v>
      </c>
      <c r="F2334" s="27" t="n">
        <v>6.09691001300806</v>
      </c>
      <c r="G2334" s="25" t="s">
        <v>5022</v>
      </c>
      <c r="H2334" s="25" t="s">
        <v>5023</v>
      </c>
      <c r="I2334" s="25" t="n">
        <f aca="false">IFERROR(IF(INDEX(Documents!$C$5:$C$657,MATCH(H2334,Documents!$A$5:$A$657,0))="","",INDEX(Documents!$C$5:$C$657,MATCH(H2334,Documents!$A$5:$A$657,0))),"")</f>
        <v>2016</v>
      </c>
      <c r="J2334" s="25" t="str">
        <f aca="false">IFERROR(IF(INDEX(Documents!$D$5:$D$657,MATCH(H2334,Documents!$A$5:$A$657,0))="","",INDEX(Documents!$D$5:$D$657,MATCH(H2334,Documents!$A$5:$A$657,0))),"")</f>
        <v>Eur J Med Chem</v>
      </c>
      <c r="K2334" s="25" t="str">
        <f aca="false">IFERROR(IF(INDEX(Documents!$G$5:$G$657,MATCH(H2334,Documents!$A$5:$A$657,0))="","",INDEX(Documents!$G$5:$G$657,MATCH(H2334,Documents!$A$5:$A$657,0))),"")</f>
        <v>10.1016/j.ejmech.2016.07.012</v>
      </c>
      <c r="L2334" s="25" t="s">
        <v>5024</v>
      </c>
    </row>
    <row r="2335" customFormat="false" ht="15" hidden="false" customHeight="false" outlineLevel="0" collapsed="false">
      <c r="A2335" s="25" t="n">
        <v>16790041</v>
      </c>
      <c r="B2335" s="25" t="s">
        <v>5033</v>
      </c>
      <c r="C2335" s="25" t="s">
        <v>5034</v>
      </c>
      <c r="D2335" s="26" t="n">
        <v>1993.94</v>
      </c>
      <c r="E2335" s="27" t="n">
        <v>5.70028791425955</v>
      </c>
      <c r="F2335" s="27" t="n">
        <v>5.70028791425955</v>
      </c>
      <c r="G2335" s="25" t="s">
        <v>5022</v>
      </c>
      <c r="H2335" s="25" t="s">
        <v>5023</v>
      </c>
      <c r="I2335" s="25" t="n">
        <f aca="false">IFERROR(IF(INDEX(Documents!$C$5:$C$657,MATCH(H2335,Documents!$A$5:$A$657,0))="","",INDEX(Documents!$C$5:$C$657,MATCH(H2335,Documents!$A$5:$A$657,0))),"")</f>
        <v>2016</v>
      </c>
      <c r="J2335" s="25" t="str">
        <f aca="false">IFERROR(IF(INDEX(Documents!$D$5:$D$657,MATCH(H2335,Documents!$A$5:$A$657,0))="","",INDEX(Documents!$D$5:$D$657,MATCH(H2335,Documents!$A$5:$A$657,0))),"")</f>
        <v>Eur J Med Chem</v>
      </c>
      <c r="K2335" s="25" t="str">
        <f aca="false">IFERROR(IF(INDEX(Documents!$G$5:$G$657,MATCH(H2335,Documents!$A$5:$A$657,0))="","",INDEX(Documents!$G$5:$G$657,MATCH(H2335,Documents!$A$5:$A$657,0))),"")</f>
        <v>10.1016/j.ejmech.2016.07.012</v>
      </c>
      <c r="L2335" s="25" t="s">
        <v>5024</v>
      </c>
    </row>
    <row r="2336" customFormat="false" ht="15" hidden="false" customHeight="false" outlineLevel="0" collapsed="false">
      <c r="A2336" s="25" t="n">
        <v>16790004</v>
      </c>
      <c r="B2336" s="25" t="s">
        <v>5035</v>
      </c>
      <c r="C2336" s="25" t="s">
        <v>5036</v>
      </c>
      <c r="D2336" s="26" t="n">
        <v>59.81</v>
      </c>
      <c r="E2336" s="27" t="n">
        <v>7.22322619758789</v>
      </c>
      <c r="F2336" s="27" t="n">
        <v>7.22322619758789</v>
      </c>
      <c r="G2336" s="25" t="s">
        <v>5022</v>
      </c>
      <c r="H2336" s="25" t="s">
        <v>5023</v>
      </c>
      <c r="I2336" s="25" t="n">
        <f aca="false">IFERROR(IF(INDEX(Documents!$C$5:$C$657,MATCH(H2336,Documents!$A$5:$A$657,0))="","",INDEX(Documents!$C$5:$C$657,MATCH(H2336,Documents!$A$5:$A$657,0))),"")</f>
        <v>2016</v>
      </c>
      <c r="J2336" s="25" t="str">
        <f aca="false">IFERROR(IF(INDEX(Documents!$D$5:$D$657,MATCH(H2336,Documents!$A$5:$A$657,0))="","",INDEX(Documents!$D$5:$D$657,MATCH(H2336,Documents!$A$5:$A$657,0))),"")</f>
        <v>Eur J Med Chem</v>
      </c>
      <c r="K2336" s="25" t="str">
        <f aca="false">IFERROR(IF(INDEX(Documents!$G$5:$G$657,MATCH(H2336,Documents!$A$5:$A$657,0))="","",INDEX(Documents!$G$5:$G$657,MATCH(H2336,Documents!$A$5:$A$657,0))),"")</f>
        <v>10.1016/j.ejmech.2016.07.012</v>
      </c>
      <c r="L2336" s="25" t="s">
        <v>5024</v>
      </c>
    </row>
    <row r="2337" customFormat="false" ht="15" hidden="false" customHeight="false" outlineLevel="0" collapsed="false">
      <c r="A2337" s="25" t="n">
        <v>2033392</v>
      </c>
      <c r="B2337" s="25" t="s">
        <v>5037</v>
      </c>
      <c r="C2337" s="25" t="s">
        <v>5038</v>
      </c>
      <c r="D2337" s="26" t="n">
        <v>230</v>
      </c>
      <c r="E2337" s="27" t="n">
        <v>6.63827216398241</v>
      </c>
      <c r="F2337" s="27" t="n">
        <v>6.63827216398241</v>
      </c>
      <c r="G2337" s="25" t="s">
        <v>1133</v>
      </c>
      <c r="H2337" s="25" t="s">
        <v>1134</v>
      </c>
      <c r="I2337" s="25" t="n">
        <f aca="false">IFERROR(IF(INDEX(Documents!$C$5:$C$657,MATCH(H2337,Documents!$A$5:$A$657,0))="","",INDEX(Documents!$C$5:$C$657,MATCH(H2337,Documents!$A$5:$A$657,0))),"")</f>
        <v>2007</v>
      </c>
      <c r="J2337" s="25" t="str">
        <f aca="false">IFERROR(IF(INDEX(Documents!$D$5:$D$657,MATCH(H2337,Documents!$A$5:$A$657,0))="","",INDEX(Documents!$D$5:$D$657,MATCH(H2337,Documents!$A$5:$A$657,0))),"")</f>
        <v>Bioorg Med Chem Lett</v>
      </c>
      <c r="K2337" s="25" t="str">
        <f aca="false">IFERROR(IF(INDEX(Documents!$G$5:$G$657,MATCH(H2337,Documents!$A$5:$A$657,0))="","",INDEX(Documents!$G$5:$G$657,MATCH(H2337,Documents!$A$5:$A$657,0))),"")</f>
        <v>10.1016/j.bmcl.2007.04.093</v>
      </c>
      <c r="L2337" s="25" t="s">
        <v>775</v>
      </c>
    </row>
    <row r="2338" customFormat="false" ht="15" hidden="false" customHeight="false" outlineLevel="0" collapsed="false">
      <c r="A2338" s="25" t="n">
        <v>12666712</v>
      </c>
      <c r="B2338" s="25" t="s">
        <v>5039</v>
      </c>
      <c r="C2338" s="25" t="s">
        <v>5040</v>
      </c>
      <c r="D2338" s="26" t="n">
        <v>990</v>
      </c>
      <c r="E2338" s="27" t="n">
        <v>6.00436480540245</v>
      </c>
      <c r="F2338" s="27" t="n">
        <v>6.00436480540245</v>
      </c>
      <c r="G2338" s="25" t="s">
        <v>1351</v>
      </c>
      <c r="H2338" s="25" t="s">
        <v>1352</v>
      </c>
      <c r="I2338" s="25" t="n">
        <f aca="false">IFERROR(IF(INDEX(Documents!$C$5:$C$657,MATCH(H2338,Documents!$A$5:$A$657,0))="","",INDEX(Documents!$C$5:$C$657,MATCH(H2338,Documents!$A$5:$A$657,0))),"")</f>
        <v>2013</v>
      </c>
      <c r="J2338" s="25" t="str">
        <f aca="false">IFERROR(IF(INDEX(Documents!$D$5:$D$657,MATCH(H2338,Documents!$A$5:$A$657,0))="","",INDEX(Documents!$D$5:$D$657,MATCH(H2338,Documents!$A$5:$A$657,0))),"")</f>
        <v>Bioorg Med Chem Lett</v>
      </c>
      <c r="K2338" s="25" t="str">
        <f aca="false">IFERROR(IF(INDEX(Documents!$G$5:$G$657,MATCH(H2338,Documents!$A$5:$A$657,0))="","",INDEX(Documents!$G$5:$G$657,MATCH(H2338,Documents!$A$5:$A$657,0))),"")</f>
        <v>10.1016/j.bmcl.2013.01.044</v>
      </c>
      <c r="L2338" s="25" t="s">
        <v>515</v>
      </c>
    </row>
    <row r="2339" customFormat="false" ht="15" hidden="false" customHeight="false" outlineLevel="0" collapsed="false">
      <c r="A2339" s="25" t="n">
        <v>10979880</v>
      </c>
      <c r="B2339" s="25" t="s">
        <v>5041</v>
      </c>
      <c r="C2339" s="25" t="s">
        <v>5042</v>
      </c>
      <c r="D2339" s="26" t="n">
        <v>6540</v>
      </c>
      <c r="E2339" s="27" t="n">
        <v>5.18442225167573</v>
      </c>
      <c r="F2339" s="27" t="n">
        <v>5.18442225167573</v>
      </c>
      <c r="G2339" s="25" t="s">
        <v>631</v>
      </c>
      <c r="H2339" s="25" t="s">
        <v>632</v>
      </c>
      <c r="I2339" s="25" t="n">
        <f aca="false">IFERROR(IF(INDEX(Documents!$C$5:$C$657,MATCH(H2339,Documents!$A$5:$A$657,0))="","",INDEX(Documents!$C$5:$C$657,MATCH(H2339,Documents!$A$5:$A$657,0))),"")</f>
        <v>2012</v>
      </c>
      <c r="J2339" s="25" t="str">
        <f aca="false">IFERROR(IF(INDEX(Documents!$D$5:$D$657,MATCH(H2339,Documents!$A$5:$A$657,0))="","",INDEX(Documents!$D$5:$D$657,MATCH(H2339,Documents!$A$5:$A$657,0))),"")</f>
        <v>ACS Med Chem Lett</v>
      </c>
      <c r="K2339" s="25" t="str">
        <f aca="false">IFERROR(IF(INDEX(Documents!$G$5:$G$657,MATCH(H2339,Documents!$A$5:$A$657,0))="","",INDEX(Documents!$G$5:$G$657,MATCH(H2339,Documents!$A$5:$A$657,0))),"")</f>
        <v>10.1021/ml3000325</v>
      </c>
      <c r="L2339" s="25" t="s">
        <v>633</v>
      </c>
    </row>
    <row r="2340" customFormat="false" ht="15" hidden="false" customHeight="false" outlineLevel="0" collapsed="false">
      <c r="A2340" s="25" t="n">
        <v>15610392</v>
      </c>
      <c r="B2340" s="25" t="s">
        <v>5043</v>
      </c>
      <c r="C2340" s="25" t="s">
        <v>5044</v>
      </c>
      <c r="D2340" s="26" t="n">
        <v>263.9</v>
      </c>
      <c r="E2340" s="27" t="n">
        <v>6.57856060977995</v>
      </c>
      <c r="F2340" s="27" t="n">
        <v>6.57856060977995</v>
      </c>
      <c r="G2340" s="25" t="s">
        <v>948</v>
      </c>
      <c r="H2340" s="25" t="s">
        <v>949</v>
      </c>
      <c r="I2340" s="25" t="n">
        <f aca="false">IFERROR(IF(INDEX(Documents!$C$5:$C$657,MATCH(H2340,Documents!$A$5:$A$657,0))="","",INDEX(Documents!$C$5:$C$657,MATCH(H2340,Documents!$A$5:$A$657,0))),"")</f>
        <v>2015</v>
      </c>
      <c r="J2340" s="25" t="str">
        <f aca="false">IFERROR(IF(INDEX(Documents!$D$5:$D$657,MATCH(H2340,Documents!$A$5:$A$657,0))="","",INDEX(Documents!$D$5:$D$657,MATCH(H2340,Documents!$A$5:$A$657,0))),"")</f>
        <v>J Med Chem</v>
      </c>
      <c r="K2340" s="25" t="str">
        <f aca="false">IFERROR(IF(INDEX(Documents!$G$5:$G$657,MATCH(H2340,Documents!$A$5:$A$657,0))="","",INDEX(Documents!$G$5:$G$657,MATCH(H2340,Documents!$A$5:$A$657,0))),"")</f>
        <v>10.1021/acs.jmedchem.5b00283</v>
      </c>
      <c r="L2340" s="25" t="s">
        <v>950</v>
      </c>
    </row>
    <row r="2341" customFormat="false" ht="15" hidden="false" customHeight="false" outlineLevel="0" collapsed="false">
      <c r="A2341" s="25" t="n">
        <v>15199881</v>
      </c>
      <c r="B2341" s="25" t="s">
        <v>5045</v>
      </c>
      <c r="C2341" s="25" t="s">
        <v>5046</v>
      </c>
      <c r="D2341" s="26" t="n">
        <v>0.7</v>
      </c>
      <c r="E2341" s="27" t="n">
        <v>9.15490195998575</v>
      </c>
      <c r="F2341" s="27" t="n">
        <v>9.15490195998575</v>
      </c>
      <c r="G2341" s="25" t="s">
        <v>3562</v>
      </c>
      <c r="H2341" s="25" t="s">
        <v>3563</v>
      </c>
      <c r="I2341" s="25" t="n">
        <f aca="false">IFERROR(IF(INDEX(Documents!$C$5:$C$657,MATCH(H2341,Documents!$A$5:$A$657,0))="","",INDEX(Documents!$C$5:$C$657,MATCH(H2341,Documents!$A$5:$A$657,0))),"")</f>
        <v>2015</v>
      </c>
      <c r="J2341" s="25" t="str">
        <f aca="false">IFERROR(IF(INDEX(Documents!$D$5:$D$657,MATCH(H2341,Documents!$A$5:$A$657,0))="","",INDEX(Documents!$D$5:$D$657,MATCH(H2341,Documents!$A$5:$A$657,0))),"")</f>
        <v>Eur J Med Chem</v>
      </c>
      <c r="K2341" s="25" t="str">
        <f aca="false">IFERROR(IF(INDEX(Documents!$G$5:$G$657,MATCH(H2341,Documents!$A$5:$A$657,0))="","",INDEX(Documents!$G$5:$G$657,MATCH(H2341,Documents!$A$5:$A$657,0))),"")</f>
        <v>10.1016/j.ejmech.2015.01.028</v>
      </c>
      <c r="L2341" s="25" t="s">
        <v>3564</v>
      </c>
    </row>
    <row r="2342" customFormat="false" ht="15" hidden="false" customHeight="false" outlineLevel="0" collapsed="false">
      <c r="A2342" s="25" t="n">
        <v>18138855</v>
      </c>
      <c r="B2342" s="25" t="s">
        <v>5047</v>
      </c>
      <c r="C2342" s="25" t="s">
        <v>5046</v>
      </c>
      <c r="D2342" s="26" t="n">
        <v>0.7</v>
      </c>
      <c r="E2342" s="27" t="n">
        <v>9.15490195998575</v>
      </c>
      <c r="F2342" s="27" t="n">
        <v>9.15490195998575</v>
      </c>
      <c r="G2342" s="25" t="s">
        <v>4579</v>
      </c>
      <c r="H2342" s="25" t="s">
        <v>3360</v>
      </c>
      <c r="I2342" s="25" t="n">
        <f aca="false">IFERROR(IF(INDEX(Documents!$C$5:$C$657,MATCH(H2342,Documents!$A$5:$A$657,0))="","",INDEX(Documents!$C$5:$C$657,MATCH(H2342,Documents!$A$5:$A$657,0))),"")</f>
        <v>2017</v>
      </c>
      <c r="J2342" s="25" t="str">
        <f aca="false">IFERROR(IF(INDEX(Documents!$D$5:$D$657,MATCH(H2342,Documents!$A$5:$A$657,0))="","",INDEX(Documents!$D$5:$D$657,MATCH(H2342,Documents!$A$5:$A$657,0))),"")</f>
        <v>J Med Chem</v>
      </c>
      <c r="K2342" s="25" t="str">
        <f aca="false">IFERROR(IF(INDEX(Documents!$G$5:$G$657,MATCH(H2342,Documents!$A$5:$A$657,0))="","",INDEX(Documents!$G$5:$G$657,MATCH(H2342,Documents!$A$5:$A$657,0))),"")</f>
        <v>10.1021/acs.jmedchem.7b00155</v>
      </c>
      <c r="L2342" s="25" t="s">
        <v>1359</v>
      </c>
    </row>
    <row r="2343" customFormat="false" ht="15" hidden="false" customHeight="false" outlineLevel="0" collapsed="false">
      <c r="A2343" s="25" t="n">
        <v>15199879</v>
      </c>
      <c r="B2343" s="25" t="s">
        <v>5048</v>
      </c>
      <c r="C2343" s="25" t="s">
        <v>5049</v>
      </c>
      <c r="D2343" s="26" t="n">
        <v>0.8</v>
      </c>
      <c r="E2343" s="27" t="n">
        <v>9.09691001300806</v>
      </c>
      <c r="F2343" s="27" t="n">
        <v>9.09691001300806</v>
      </c>
      <c r="G2343" s="25" t="s">
        <v>3562</v>
      </c>
      <c r="H2343" s="25" t="s">
        <v>3563</v>
      </c>
      <c r="I2343" s="25" t="n">
        <f aca="false">IFERROR(IF(INDEX(Documents!$C$5:$C$657,MATCH(H2343,Documents!$A$5:$A$657,0))="","",INDEX(Documents!$C$5:$C$657,MATCH(H2343,Documents!$A$5:$A$657,0))),"")</f>
        <v>2015</v>
      </c>
      <c r="J2343" s="25" t="str">
        <f aca="false">IFERROR(IF(INDEX(Documents!$D$5:$D$657,MATCH(H2343,Documents!$A$5:$A$657,0))="","",INDEX(Documents!$D$5:$D$657,MATCH(H2343,Documents!$A$5:$A$657,0))),"")</f>
        <v>Eur J Med Chem</v>
      </c>
      <c r="K2343" s="25" t="str">
        <f aca="false">IFERROR(IF(INDEX(Documents!$G$5:$G$657,MATCH(H2343,Documents!$A$5:$A$657,0))="","",INDEX(Documents!$G$5:$G$657,MATCH(H2343,Documents!$A$5:$A$657,0))),"")</f>
        <v>10.1016/j.ejmech.2015.01.028</v>
      </c>
      <c r="L2343" s="25" t="s">
        <v>3564</v>
      </c>
    </row>
    <row r="2344" customFormat="false" ht="15" hidden="false" customHeight="false" outlineLevel="0" collapsed="false">
      <c r="A2344" s="25" t="n">
        <v>15199880</v>
      </c>
      <c r="B2344" s="25" t="s">
        <v>5050</v>
      </c>
      <c r="C2344" s="25" t="s">
        <v>5051</v>
      </c>
      <c r="D2344" s="26" t="n">
        <v>360</v>
      </c>
      <c r="E2344" s="27" t="n">
        <v>6.44369749923271</v>
      </c>
      <c r="F2344" s="27" t="n">
        <v>6.44369749923271</v>
      </c>
      <c r="G2344" s="25" t="s">
        <v>3562</v>
      </c>
      <c r="H2344" s="25" t="s">
        <v>3563</v>
      </c>
      <c r="I2344" s="25" t="n">
        <f aca="false">IFERROR(IF(INDEX(Documents!$C$5:$C$657,MATCH(H2344,Documents!$A$5:$A$657,0))="","",INDEX(Documents!$C$5:$C$657,MATCH(H2344,Documents!$A$5:$A$657,0))),"")</f>
        <v>2015</v>
      </c>
      <c r="J2344" s="25" t="str">
        <f aca="false">IFERROR(IF(INDEX(Documents!$D$5:$D$657,MATCH(H2344,Documents!$A$5:$A$657,0))="","",INDEX(Documents!$D$5:$D$657,MATCH(H2344,Documents!$A$5:$A$657,0))),"")</f>
        <v>Eur J Med Chem</v>
      </c>
      <c r="K2344" s="25" t="str">
        <f aca="false">IFERROR(IF(INDEX(Documents!$G$5:$G$657,MATCH(H2344,Documents!$A$5:$A$657,0))="","",INDEX(Documents!$G$5:$G$657,MATCH(H2344,Documents!$A$5:$A$657,0))),"")</f>
        <v>10.1016/j.ejmech.2015.01.028</v>
      </c>
      <c r="L2344" s="25" t="s">
        <v>3564</v>
      </c>
    </row>
    <row r="2345" customFormat="false" ht="15" hidden="false" customHeight="false" outlineLevel="0" collapsed="false">
      <c r="A2345" s="25" t="n">
        <v>15197364</v>
      </c>
      <c r="B2345" s="25" t="s">
        <v>5052</v>
      </c>
      <c r="C2345" s="25" t="s">
        <v>5053</v>
      </c>
      <c r="D2345" s="26" t="n">
        <v>0.053</v>
      </c>
      <c r="E2345" s="27" t="n">
        <v>10.2757241303992</v>
      </c>
      <c r="F2345" s="27" t="n">
        <v>10.2758470787318</v>
      </c>
      <c r="G2345" s="25" t="s">
        <v>2844</v>
      </c>
      <c r="H2345" s="25" t="s">
        <v>2845</v>
      </c>
      <c r="I2345" s="25" t="n">
        <f aca="false">IFERROR(IF(INDEX(Documents!$C$5:$C$657,MATCH(H2345,Documents!$A$5:$A$657,0))="","",INDEX(Documents!$C$5:$C$657,MATCH(H2345,Documents!$A$5:$A$657,0))),"")</f>
        <v>2015</v>
      </c>
      <c r="J2345" s="25" t="str">
        <f aca="false">IFERROR(IF(INDEX(Documents!$D$5:$D$657,MATCH(H2345,Documents!$A$5:$A$657,0))="","",INDEX(Documents!$D$5:$D$657,MATCH(H2345,Documents!$A$5:$A$657,0))),"")</f>
        <v>Eur J Med Chem</v>
      </c>
      <c r="K2345" s="25" t="str">
        <f aca="false">IFERROR(IF(INDEX(Documents!$G$5:$G$657,MATCH(H2345,Documents!$A$5:$A$657,0))="","",INDEX(Documents!$G$5:$G$657,MATCH(H2345,Documents!$A$5:$A$657,0))),"")</f>
        <v>10.1016/j.ejmech.2015.01.054</v>
      </c>
      <c r="L2345" s="25" t="s">
        <v>1359</v>
      </c>
    </row>
    <row r="2346" customFormat="false" ht="15" hidden="false" customHeight="false" outlineLevel="0" collapsed="false">
      <c r="A2346" s="25" t="n">
        <v>15198638</v>
      </c>
      <c r="B2346" s="25" t="s">
        <v>5052</v>
      </c>
      <c r="C2346" s="25" t="s">
        <v>5053</v>
      </c>
      <c r="D2346" s="26" t="n">
        <v>0.05297</v>
      </c>
      <c r="E2346" s="27" t="n">
        <v>10.2759700270644</v>
      </c>
      <c r="F2346" s="27" t="n">
        <v>10.2758470787318</v>
      </c>
      <c r="G2346" s="25" t="s">
        <v>2844</v>
      </c>
      <c r="H2346" s="25" t="s">
        <v>2845</v>
      </c>
      <c r="I2346" s="25" t="n">
        <f aca="false">IFERROR(IF(INDEX(Documents!$C$5:$C$657,MATCH(H2346,Documents!$A$5:$A$657,0))="","",INDEX(Documents!$C$5:$C$657,MATCH(H2346,Documents!$A$5:$A$657,0))),"")</f>
        <v>2015</v>
      </c>
      <c r="J2346" s="25" t="str">
        <f aca="false">IFERROR(IF(INDEX(Documents!$D$5:$D$657,MATCH(H2346,Documents!$A$5:$A$657,0))="","",INDEX(Documents!$D$5:$D$657,MATCH(H2346,Documents!$A$5:$A$657,0))),"")</f>
        <v>Eur J Med Chem</v>
      </c>
      <c r="K2346" s="25" t="str">
        <f aca="false">IFERROR(IF(INDEX(Documents!$G$5:$G$657,MATCH(H2346,Documents!$A$5:$A$657,0))="","",INDEX(Documents!$G$5:$G$657,MATCH(H2346,Documents!$A$5:$A$657,0))),"")</f>
        <v>10.1016/j.ejmech.2015.01.054</v>
      </c>
      <c r="L2346" s="25" t="s">
        <v>1359</v>
      </c>
    </row>
    <row r="2347" customFormat="false" ht="15" hidden="false" customHeight="false" outlineLevel="0" collapsed="false">
      <c r="A2347" s="25" t="n">
        <v>2460798</v>
      </c>
      <c r="B2347" s="25" t="s">
        <v>5054</v>
      </c>
      <c r="C2347" s="25" t="s">
        <v>5055</v>
      </c>
      <c r="D2347" s="26" t="n">
        <v>35</v>
      </c>
      <c r="E2347" s="27" t="n">
        <v>7.45593195564972</v>
      </c>
      <c r="F2347" s="27" t="n">
        <v>7.45593195564972</v>
      </c>
      <c r="G2347" s="25" t="s">
        <v>4479</v>
      </c>
      <c r="H2347" s="25" t="s">
        <v>4480</v>
      </c>
      <c r="I2347" s="25" t="n">
        <f aca="false">IFERROR(IF(INDEX(Documents!$C$5:$C$657,MATCH(H2347,Documents!$A$5:$A$657,0))="","",INDEX(Documents!$C$5:$C$657,MATCH(H2347,Documents!$A$5:$A$657,0))),"")</f>
        <v>2008</v>
      </c>
      <c r="J2347" s="25" t="str">
        <f aca="false">IFERROR(IF(INDEX(Documents!$D$5:$D$657,MATCH(H2347,Documents!$A$5:$A$657,0))="","",INDEX(Documents!$D$5:$D$657,MATCH(H2347,Documents!$A$5:$A$657,0))),"")</f>
        <v>Bioorg Med Chem Lett</v>
      </c>
      <c r="K2347" s="25" t="str">
        <f aca="false">IFERROR(IF(INDEX(Documents!$G$5:$G$657,MATCH(H2347,Documents!$A$5:$A$657,0))="","",INDEX(Documents!$G$5:$G$657,MATCH(H2347,Documents!$A$5:$A$657,0))),"")</f>
        <v>10.1016/j.bmcl.2008.05.073</v>
      </c>
      <c r="L2347" s="25" t="s">
        <v>775</v>
      </c>
    </row>
    <row r="2348" customFormat="false" ht="15" hidden="false" customHeight="false" outlineLevel="0" collapsed="false">
      <c r="A2348" s="25" t="n">
        <v>12146229</v>
      </c>
      <c r="B2348" s="25" t="s">
        <v>5056</v>
      </c>
      <c r="C2348" s="25" t="s">
        <v>5057</v>
      </c>
      <c r="D2348" s="26" t="n">
        <v>1500</v>
      </c>
      <c r="E2348" s="27" t="n">
        <v>5.82390874094432</v>
      </c>
      <c r="F2348" s="27" t="n">
        <v>5.82390874094432</v>
      </c>
      <c r="G2348" s="25" t="s">
        <v>1126</v>
      </c>
      <c r="H2348" s="25" t="s">
        <v>1127</v>
      </c>
      <c r="I2348" s="25" t="n">
        <f aca="false">IFERROR(IF(INDEX(Documents!$C$5:$C$657,MATCH(H2348,Documents!$A$5:$A$657,0))="","",INDEX(Documents!$C$5:$C$657,MATCH(H2348,Documents!$A$5:$A$657,0))),"")</f>
        <v>2012</v>
      </c>
      <c r="J2348" s="25" t="str">
        <f aca="false">IFERROR(IF(INDEX(Documents!$D$5:$D$657,MATCH(H2348,Documents!$A$5:$A$657,0))="","",INDEX(Documents!$D$5:$D$657,MATCH(H2348,Documents!$A$5:$A$657,0))),"")</f>
        <v>J Med Chem</v>
      </c>
      <c r="K2348" s="25" t="str">
        <f aca="false">IFERROR(IF(INDEX(Documents!$G$5:$G$657,MATCH(H2348,Documents!$A$5:$A$657,0))="","",INDEX(Documents!$G$5:$G$657,MATCH(H2348,Documents!$A$5:$A$657,0))),"")</f>
        <v>10.1021/jm301212u</v>
      </c>
      <c r="L2348" s="25" t="s">
        <v>1128</v>
      </c>
    </row>
    <row r="2349" customFormat="false" ht="15" hidden="false" customHeight="false" outlineLevel="0" collapsed="false">
      <c r="A2349" s="25" t="n">
        <v>12146288</v>
      </c>
      <c r="B2349" s="25" t="s">
        <v>5056</v>
      </c>
      <c r="C2349" s="25" t="s">
        <v>5057</v>
      </c>
      <c r="D2349" s="26" t="n">
        <v>1500</v>
      </c>
      <c r="E2349" s="27" t="n">
        <v>5.82390874094432</v>
      </c>
      <c r="F2349" s="27" t="n">
        <v>5.82390874094432</v>
      </c>
      <c r="G2349" s="25" t="s">
        <v>1126</v>
      </c>
      <c r="H2349" s="25" t="s">
        <v>1127</v>
      </c>
      <c r="I2349" s="25" t="n">
        <f aca="false">IFERROR(IF(INDEX(Documents!$C$5:$C$657,MATCH(H2349,Documents!$A$5:$A$657,0))="","",INDEX(Documents!$C$5:$C$657,MATCH(H2349,Documents!$A$5:$A$657,0))),"")</f>
        <v>2012</v>
      </c>
      <c r="J2349" s="25" t="str">
        <f aca="false">IFERROR(IF(INDEX(Documents!$D$5:$D$657,MATCH(H2349,Documents!$A$5:$A$657,0))="","",INDEX(Documents!$D$5:$D$657,MATCH(H2349,Documents!$A$5:$A$657,0))),"")</f>
        <v>J Med Chem</v>
      </c>
      <c r="K2349" s="25" t="str">
        <f aca="false">IFERROR(IF(INDEX(Documents!$G$5:$G$657,MATCH(H2349,Documents!$A$5:$A$657,0))="","",INDEX(Documents!$G$5:$G$657,MATCH(H2349,Documents!$A$5:$A$657,0))),"")</f>
        <v>10.1021/jm301212u</v>
      </c>
      <c r="L2349" s="25" t="s">
        <v>1128</v>
      </c>
    </row>
    <row r="2350" customFormat="false" ht="15" hidden="false" customHeight="false" outlineLevel="0" collapsed="false">
      <c r="A2350" s="25" t="n">
        <v>2460797</v>
      </c>
      <c r="B2350" s="25" t="s">
        <v>5058</v>
      </c>
      <c r="C2350" s="25" t="s">
        <v>5059</v>
      </c>
      <c r="D2350" s="26" t="n">
        <v>57</v>
      </c>
      <c r="E2350" s="27" t="n">
        <v>7.24412514432751</v>
      </c>
      <c r="F2350" s="27" t="n">
        <v>7.24412514432751</v>
      </c>
      <c r="G2350" s="25" t="s">
        <v>4479</v>
      </c>
      <c r="H2350" s="25" t="s">
        <v>4480</v>
      </c>
      <c r="I2350" s="25" t="n">
        <f aca="false">IFERROR(IF(INDEX(Documents!$C$5:$C$657,MATCH(H2350,Documents!$A$5:$A$657,0))="","",INDEX(Documents!$C$5:$C$657,MATCH(H2350,Documents!$A$5:$A$657,0))),"")</f>
        <v>2008</v>
      </c>
      <c r="J2350" s="25" t="str">
        <f aca="false">IFERROR(IF(INDEX(Documents!$D$5:$D$657,MATCH(H2350,Documents!$A$5:$A$657,0))="","",INDEX(Documents!$D$5:$D$657,MATCH(H2350,Documents!$A$5:$A$657,0))),"")</f>
        <v>Bioorg Med Chem Lett</v>
      </c>
      <c r="K2350" s="25" t="str">
        <f aca="false">IFERROR(IF(INDEX(Documents!$G$5:$G$657,MATCH(H2350,Documents!$A$5:$A$657,0))="","",INDEX(Documents!$G$5:$G$657,MATCH(H2350,Documents!$A$5:$A$657,0))),"")</f>
        <v>10.1016/j.bmcl.2008.05.073</v>
      </c>
      <c r="L2350" s="25" t="s">
        <v>775</v>
      </c>
    </row>
    <row r="2351" customFormat="false" ht="15" hidden="false" customHeight="false" outlineLevel="0" collapsed="false">
      <c r="A2351" s="25" t="n">
        <v>12688493</v>
      </c>
      <c r="B2351" s="25" t="s">
        <v>5060</v>
      </c>
      <c r="C2351" s="25" t="s">
        <v>5061</v>
      </c>
      <c r="D2351" s="26" t="n">
        <v>230</v>
      </c>
      <c r="E2351" s="27" t="n">
        <v>6.63827216398241</v>
      </c>
      <c r="F2351" s="27" t="n">
        <v>6.63827216398241</v>
      </c>
      <c r="G2351" s="25" t="s">
        <v>508</v>
      </c>
      <c r="H2351" s="25" t="s">
        <v>509</v>
      </c>
      <c r="I2351" s="25" t="n">
        <f aca="false">IFERROR(IF(INDEX(Documents!$C$5:$C$657,MATCH(H2351,Documents!$A$5:$A$657,0))="","",INDEX(Documents!$C$5:$C$657,MATCH(H2351,Documents!$A$5:$A$657,0))),"")</f>
        <v>2013</v>
      </c>
      <c r="J2351" s="25" t="str">
        <f aca="false">IFERROR(IF(INDEX(Documents!$D$5:$D$657,MATCH(H2351,Documents!$A$5:$A$657,0))="","",INDEX(Documents!$D$5:$D$657,MATCH(H2351,Documents!$A$5:$A$657,0))),"")</f>
        <v>ACS Med Chem Lett</v>
      </c>
      <c r="K2351" s="25" t="str">
        <f aca="false">IFERROR(IF(INDEX(Documents!$G$5:$G$657,MATCH(H2351,Documents!$A$5:$A$657,0))="","",INDEX(Documents!$G$5:$G$657,MATCH(H2351,Documents!$A$5:$A$657,0))),"")</f>
        <v>10.1021/ml3004236</v>
      </c>
      <c r="L2351" s="25" t="s">
        <v>510</v>
      </c>
    </row>
    <row r="2352" customFormat="false" ht="15" hidden="false" customHeight="false" outlineLevel="0" collapsed="false">
      <c r="A2352" s="25" t="n">
        <v>18108699</v>
      </c>
      <c r="B2352" s="25" t="s">
        <v>5062</v>
      </c>
      <c r="C2352" s="25" t="s">
        <v>5063</v>
      </c>
      <c r="D2352" s="26" t="n">
        <v>353.4</v>
      </c>
      <c r="E2352" s="27" t="n">
        <v>6.45173345482925</v>
      </c>
      <c r="F2352" s="27" t="n">
        <v>6.45173345482925</v>
      </c>
      <c r="G2352" s="25" t="s">
        <v>2673</v>
      </c>
      <c r="H2352" s="25" t="s">
        <v>2674</v>
      </c>
      <c r="I2352" s="25" t="n">
        <f aca="false">IFERROR(IF(INDEX(Documents!$C$5:$C$657,MATCH(H2352,Documents!$A$5:$A$657,0))="","",INDEX(Documents!$C$5:$C$657,MATCH(H2352,Documents!$A$5:$A$657,0))),"")</f>
        <v>2018</v>
      </c>
      <c r="J2352" s="25" t="str">
        <f aca="false">IFERROR(IF(INDEX(Documents!$D$5:$D$657,MATCH(H2352,Documents!$A$5:$A$657,0))="","",INDEX(Documents!$D$5:$D$657,MATCH(H2352,Documents!$A$5:$A$657,0))),"")</f>
        <v>J Med Chem</v>
      </c>
      <c r="K2352" s="25" t="str">
        <f aca="false">IFERROR(IF(INDEX(Documents!$G$5:$G$657,MATCH(H2352,Documents!$A$5:$A$657,0))="","",INDEX(Documents!$G$5:$G$657,MATCH(H2352,Documents!$A$5:$A$657,0))),"")</f>
        <v>10.1021/acs.jmedchem.7b01760</v>
      </c>
      <c r="L2352" s="25" t="s">
        <v>2675</v>
      </c>
    </row>
    <row r="2353" customFormat="false" ht="15" hidden="false" customHeight="false" outlineLevel="0" collapsed="false">
      <c r="A2353" s="25" t="n">
        <v>2460780</v>
      </c>
      <c r="B2353" s="25" t="s">
        <v>5064</v>
      </c>
      <c r="C2353" s="25" t="s">
        <v>5065</v>
      </c>
      <c r="D2353" s="26" t="n">
        <v>11</v>
      </c>
      <c r="E2353" s="27" t="n">
        <v>7.95860731484178</v>
      </c>
      <c r="F2353" s="27" t="n">
        <v>7.95860731484178</v>
      </c>
      <c r="G2353" s="25" t="s">
        <v>4479</v>
      </c>
      <c r="H2353" s="25" t="s">
        <v>4480</v>
      </c>
      <c r="I2353" s="25" t="n">
        <f aca="false">IFERROR(IF(INDEX(Documents!$C$5:$C$657,MATCH(H2353,Documents!$A$5:$A$657,0))="","",INDEX(Documents!$C$5:$C$657,MATCH(H2353,Documents!$A$5:$A$657,0))),"")</f>
        <v>2008</v>
      </c>
      <c r="J2353" s="25" t="str">
        <f aca="false">IFERROR(IF(INDEX(Documents!$D$5:$D$657,MATCH(H2353,Documents!$A$5:$A$657,0))="","",INDEX(Documents!$D$5:$D$657,MATCH(H2353,Documents!$A$5:$A$657,0))),"")</f>
        <v>Bioorg Med Chem Lett</v>
      </c>
      <c r="K2353" s="25" t="str">
        <f aca="false">IFERROR(IF(INDEX(Documents!$G$5:$G$657,MATCH(H2353,Documents!$A$5:$A$657,0))="","",INDEX(Documents!$G$5:$G$657,MATCH(H2353,Documents!$A$5:$A$657,0))),"")</f>
        <v>10.1016/j.bmcl.2008.05.073</v>
      </c>
      <c r="L2353" s="25" t="s">
        <v>775</v>
      </c>
    </row>
    <row r="2354" customFormat="false" ht="15" hidden="false" customHeight="false" outlineLevel="0" collapsed="false">
      <c r="A2354" s="25" t="n">
        <v>13942368</v>
      </c>
      <c r="B2354" s="25" t="s">
        <v>5066</v>
      </c>
      <c r="C2354" s="25" t="s">
        <v>5067</v>
      </c>
      <c r="D2354" s="26" t="n">
        <v>3.3</v>
      </c>
      <c r="E2354" s="27" t="n">
        <v>8.48148606012211</v>
      </c>
      <c r="F2354" s="27" t="n">
        <v>8.48148606012211</v>
      </c>
      <c r="G2354" s="25" t="s">
        <v>5068</v>
      </c>
      <c r="H2354" s="25" t="s">
        <v>5069</v>
      </c>
      <c r="I2354" s="25" t="n">
        <f aca="false">IFERROR(IF(INDEX(Documents!$C$5:$C$657,MATCH(H2354,Documents!$A$5:$A$657,0))="","",INDEX(Documents!$C$5:$C$657,MATCH(H2354,Documents!$A$5:$A$657,0))),"")</f>
        <v>2014</v>
      </c>
      <c r="J2354" s="25" t="str">
        <f aca="false">IFERROR(IF(INDEX(Documents!$D$5:$D$657,MATCH(H2354,Documents!$A$5:$A$657,0))="","",INDEX(Documents!$D$5:$D$657,MATCH(H2354,Documents!$A$5:$A$657,0))),"")</f>
        <v>Eur J Med Chem</v>
      </c>
      <c r="K2354" s="25" t="str">
        <f aca="false">IFERROR(IF(INDEX(Documents!$G$5:$G$657,MATCH(H2354,Documents!$A$5:$A$657,0))="","",INDEX(Documents!$G$5:$G$657,MATCH(H2354,Documents!$A$5:$A$657,0))),"")</f>
        <v>10.1016/j.ejmech.2014.01.030</v>
      </c>
      <c r="L2354" s="25" t="s">
        <v>725</v>
      </c>
    </row>
    <row r="2355" customFormat="false" ht="15" hidden="false" customHeight="false" outlineLevel="0" collapsed="false">
      <c r="A2355" s="25" t="n">
        <v>2460779</v>
      </c>
      <c r="B2355" s="25" t="s">
        <v>5070</v>
      </c>
      <c r="C2355" s="25" t="s">
        <v>5071</v>
      </c>
      <c r="D2355" s="26" t="n">
        <v>5.6</v>
      </c>
      <c r="E2355" s="27" t="n">
        <v>8.2518119729938</v>
      </c>
      <c r="F2355" s="27" t="n">
        <v>8.2518119729938</v>
      </c>
      <c r="G2355" s="25" t="s">
        <v>4479</v>
      </c>
      <c r="H2355" s="25" t="s">
        <v>4480</v>
      </c>
      <c r="I2355" s="25" t="n">
        <f aca="false">IFERROR(IF(INDEX(Documents!$C$5:$C$657,MATCH(H2355,Documents!$A$5:$A$657,0))="","",INDEX(Documents!$C$5:$C$657,MATCH(H2355,Documents!$A$5:$A$657,0))),"")</f>
        <v>2008</v>
      </c>
      <c r="J2355" s="25" t="str">
        <f aca="false">IFERROR(IF(INDEX(Documents!$D$5:$D$657,MATCH(H2355,Documents!$A$5:$A$657,0))="","",INDEX(Documents!$D$5:$D$657,MATCH(H2355,Documents!$A$5:$A$657,0))),"")</f>
        <v>Bioorg Med Chem Lett</v>
      </c>
      <c r="K2355" s="25" t="str">
        <f aca="false">IFERROR(IF(INDEX(Documents!$G$5:$G$657,MATCH(H2355,Documents!$A$5:$A$657,0))="","",INDEX(Documents!$G$5:$G$657,MATCH(H2355,Documents!$A$5:$A$657,0))),"")</f>
        <v>10.1016/j.bmcl.2008.05.073</v>
      </c>
      <c r="L2355" s="25" t="s">
        <v>775</v>
      </c>
    </row>
    <row r="2356" customFormat="false" ht="15" hidden="false" customHeight="false" outlineLevel="0" collapsed="false">
      <c r="A2356" s="25" t="n">
        <v>2460812</v>
      </c>
      <c r="B2356" s="25" t="s">
        <v>5072</v>
      </c>
      <c r="C2356" s="25" t="s">
        <v>5073</v>
      </c>
      <c r="D2356" s="26" t="n">
        <v>2.8</v>
      </c>
      <c r="E2356" s="27" t="n">
        <v>8.55284196865778</v>
      </c>
      <c r="F2356" s="27" t="n">
        <v>8.55284196865778</v>
      </c>
      <c r="G2356" s="25" t="s">
        <v>4479</v>
      </c>
      <c r="H2356" s="25" t="s">
        <v>4480</v>
      </c>
      <c r="I2356" s="25" t="n">
        <f aca="false">IFERROR(IF(INDEX(Documents!$C$5:$C$657,MATCH(H2356,Documents!$A$5:$A$657,0))="","",INDEX(Documents!$C$5:$C$657,MATCH(H2356,Documents!$A$5:$A$657,0))),"")</f>
        <v>2008</v>
      </c>
      <c r="J2356" s="25" t="str">
        <f aca="false">IFERROR(IF(INDEX(Documents!$D$5:$D$657,MATCH(H2356,Documents!$A$5:$A$657,0))="","",INDEX(Documents!$D$5:$D$657,MATCH(H2356,Documents!$A$5:$A$657,0))),"")</f>
        <v>Bioorg Med Chem Lett</v>
      </c>
      <c r="K2356" s="25" t="str">
        <f aca="false">IFERROR(IF(INDEX(Documents!$G$5:$G$657,MATCH(H2356,Documents!$A$5:$A$657,0))="","",INDEX(Documents!$G$5:$G$657,MATCH(H2356,Documents!$A$5:$A$657,0))),"")</f>
        <v>10.1016/j.bmcl.2008.05.073</v>
      </c>
      <c r="L2356" s="25" t="s">
        <v>775</v>
      </c>
    </row>
    <row r="2357" customFormat="false" ht="15" hidden="false" customHeight="false" outlineLevel="0" collapsed="false">
      <c r="A2357" s="25" t="n">
        <v>2460816</v>
      </c>
      <c r="B2357" s="25" t="s">
        <v>5074</v>
      </c>
      <c r="C2357" s="25" t="s">
        <v>5075</v>
      </c>
      <c r="D2357" s="26" t="n">
        <v>4.1</v>
      </c>
      <c r="E2357" s="27" t="n">
        <v>8.38721614328027</v>
      </c>
      <c r="F2357" s="27" t="n">
        <v>8.38721614328027</v>
      </c>
      <c r="G2357" s="25" t="s">
        <v>4479</v>
      </c>
      <c r="H2357" s="25" t="s">
        <v>4480</v>
      </c>
      <c r="I2357" s="25" t="n">
        <f aca="false">IFERROR(IF(INDEX(Documents!$C$5:$C$657,MATCH(H2357,Documents!$A$5:$A$657,0))="","",INDEX(Documents!$C$5:$C$657,MATCH(H2357,Documents!$A$5:$A$657,0))),"")</f>
        <v>2008</v>
      </c>
      <c r="J2357" s="25" t="str">
        <f aca="false">IFERROR(IF(INDEX(Documents!$D$5:$D$657,MATCH(H2357,Documents!$A$5:$A$657,0))="","",INDEX(Documents!$D$5:$D$657,MATCH(H2357,Documents!$A$5:$A$657,0))),"")</f>
        <v>Bioorg Med Chem Lett</v>
      </c>
      <c r="K2357" s="25" t="str">
        <f aca="false">IFERROR(IF(INDEX(Documents!$G$5:$G$657,MATCH(H2357,Documents!$A$5:$A$657,0))="","",INDEX(Documents!$G$5:$G$657,MATCH(H2357,Documents!$A$5:$A$657,0))),"")</f>
        <v>10.1016/j.bmcl.2008.05.073</v>
      </c>
      <c r="L2357" s="25" t="s">
        <v>775</v>
      </c>
    </row>
    <row r="2358" customFormat="false" ht="15" hidden="false" customHeight="false" outlineLevel="0" collapsed="false">
      <c r="A2358" s="25" t="n">
        <v>2460777</v>
      </c>
      <c r="B2358" s="25" t="s">
        <v>5076</v>
      </c>
      <c r="C2358" s="25" t="s">
        <v>5077</v>
      </c>
      <c r="D2358" s="26" t="n">
        <v>133</v>
      </c>
      <c r="E2358" s="27" t="n">
        <v>6.87614835903291</v>
      </c>
      <c r="F2358" s="27" t="n">
        <v>6.87614835903291</v>
      </c>
      <c r="G2358" s="25" t="s">
        <v>4479</v>
      </c>
      <c r="H2358" s="25" t="s">
        <v>4480</v>
      </c>
      <c r="I2358" s="25" t="n">
        <f aca="false">IFERROR(IF(INDEX(Documents!$C$5:$C$657,MATCH(H2358,Documents!$A$5:$A$657,0))="","",INDEX(Documents!$C$5:$C$657,MATCH(H2358,Documents!$A$5:$A$657,0))),"")</f>
        <v>2008</v>
      </c>
      <c r="J2358" s="25" t="str">
        <f aca="false">IFERROR(IF(INDEX(Documents!$D$5:$D$657,MATCH(H2358,Documents!$A$5:$A$657,0))="","",INDEX(Documents!$D$5:$D$657,MATCH(H2358,Documents!$A$5:$A$657,0))),"")</f>
        <v>Bioorg Med Chem Lett</v>
      </c>
      <c r="K2358" s="25" t="str">
        <f aca="false">IFERROR(IF(INDEX(Documents!$G$5:$G$657,MATCH(H2358,Documents!$A$5:$A$657,0))="","",INDEX(Documents!$G$5:$G$657,MATCH(H2358,Documents!$A$5:$A$657,0))),"")</f>
        <v>10.1016/j.bmcl.2008.05.073</v>
      </c>
      <c r="L2358" s="25" t="s">
        <v>775</v>
      </c>
    </row>
    <row r="2359" customFormat="false" ht="15" hidden="false" customHeight="false" outlineLevel="0" collapsed="false">
      <c r="A2359" s="25" t="n">
        <v>2460778</v>
      </c>
      <c r="B2359" s="25" t="s">
        <v>5078</v>
      </c>
      <c r="C2359" s="25" t="s">
        <v>5079</v>
      </c>
      <c r="D2359" s="26" t="n">
        <v>27</v>
      </c>
      <c r="E2359" s="27" t="n">
        <v>7.56863623584101</v>
      </c>
      <c r="F2359" s="27" t="n">
        <v>7.56863623584101</v>
      </c>
      <c r="G2359" s="25" t="s">
        <v>4479</v>
      </c>
      <c r="H2359" s="25" t="s">
        <v>4480</v>
      </c>
      <c r="I2359" s="25" t="n">
        <f aca="false">IFERROR(IF(INDEX(Documents!$C$5:$C$657,MATCH(H2359,Documents!$A$5:$A$657,0))="","",INDEX(Documents!$C$5:$C$657,MATCH(H2359,Documents!$A$5:$A$657,0))),"")</f>
        <v>2008</v>
      </c>
      <c r="J2359" s="25" t="str">
        <f aca="false">IFERROR(IF(INDEX(Documents!$D$5:$D$657,MATCH(H2359,Documents!$A$5:$A$657,0))="","",INDEX(Documents!$D$5:$D$657,MATCH(H2359,Documents!$A$5:$A$657,0))),"")</f>
        <v>Bioorg Med Chem Lett</v>
      </c>
      <c r="K2359" s="25" t="str">
        <f aca="false">IFERROR(IF(INDEX(Documents!$G$5:$G$657,MATCH(H2359,Documents!$A$5:$A$657,0))="","",INDEX(Documents!$G$5:$G$657,MATCH(H2359,Documents!$A$5:$A$657,0))),"")</f>
        <v>10.1016/j.bmcl.2008.05.073</v>
      </c>
      <c r="L2359" s="25" t="s">
        <v>775</v>
      </c>
    </row>
    <row r="2360" customFormat="false" ht="15" hidden="false" customHeight="false" outlineLevel="0" collapsed="false">
      <c r="A2360" s="25" t="n">
        <v>2460815</v>
      </c>
      <c r="B2360" s="25" t="s">
        <v>5080</v>
      </c>
      <c r="C2360" s="25" t="s">
        <v>5081</v>
      </c>
      <c r="D2360" s="26" t="n">
        <v>1.6</v>
      </c>
      <c r="E2360" s="27" t="n">
        <v>8.79588001734408</v>
      </c>
      <c r="F2360" s="27" t="n">
        <v>8.79588001734408</v>
      </c>
      <c r="G2360" s="25" t="s">
        <v>4479</v>
      </c>
      <c r="H2360" s="25" t="s">
        <v>4480</v>
      </c>
      <c r="I2360" s="25" t="n">
        <f aca="false">IFERROR(IF(INDEX(Documents!$C$5:$C$657,MATCH(H2360,Documents!$A$5:$A$657,0))="","",INDEX(Documents!$C$5:$C$657,MATCH(H2360,Documents!$A$5:$A$657,0))),"")</f>
        <v>2008</v>
      </c>
      <c r="J2360" s="25" t="str">
        <f aca="false">IFERROR(IF(INDEX(Documents!$D$5:$D$657,MATCH(H2360,Documents!$A$5:$A$657,0))="","",INDEX(Documents!$D$5:$D$657,MATCH(H2360,Documents!$A$5:$A$657,0))),"")</f>
        <v>Bioorg Med Chem Lett</v>
      </c>
      <c r="K2360" s="25" t="str">
        <f aca="false">IFERROR(IF(INDEX(Documents!$G$5:$G$657,MATCH(H2360,Documents!$A$5:$A$657,0))="","",INDEX(Documents!$G$5:$G$657,MATCH(H2360,Documents!$A$5:$A$657,0))),"")</f>
        <v>10.1016/j.bmcl.2008.05.073</v>
      </c>
      <c r="L2360" s="25" t="s">
        <v>775</v>
      </c>
    </row>
    <row r="2361" customFormat="false" ht="15" hidden="false" customHeight="false" outlineLevel="0" collapsed="false">
      <c r="A2361" s="25" t="n">
        <v>2460814</v>
      </c>
      <c r="B2361" s="25" t="s">
        <v>5082</v>
      </c>
      <c r="C2361" s="25" t="s">
        <v>5083</v>
      </c>
      <c r="D2361" s="26" t="n">
        <v>1</v>
      </c>
      <c r="E2361" s="27" t="n">
        <v>9</v>
      </c>
      <c r="F2361" s="27" t="n">
        <v>9</v>
      </c>
      <c r="G2361" s="25" t="s">
        <v>4479</v>
      </c>
      <c r="H2361" s="25" t="s">
        <v>4480</v>
      </c>
      <c r="I2361" s="25" t="n">
        <f aca="false">IFERROR(IF(INDEX(Documents!$C$5:$C$657,MATCH(H2361,Documents!$A$5:$A$657,0))="","",INDEX(Documents!$C$5:$C$657,MATCH(H2361,Documents!$A$5:$A$657,0))),"")</f>
        <v>2008</v>
      </c>
      <c r="J2361" s="25" t="str">
        <f aca="false">IFERROR(IF(INDEX(Documents!$D$5:$D$657,MATCH(H2361,Documents!$A$5:$A$657,0))="","",INDEX(Documents!$D$5:$D$657,MATCH(H2361,Documents!$A$5:$A$657,0))),"")</f>
        <v>Bioorg Med Chem Lett</v>
      </c>
      <c r="K2361" s="25" t="str">
        <f aca="false">IFERROR(IF(INDEX(Documents!$G$5:$G$657,MATCH(H2361,Documents!$A$5:$A$657,0))="","",INDEX(Documents!$G$5:$G$657,MATCH(H2361,Documents!$A$5:$A$657,0))),"")</f>
        <v>10.1016/j.bmcl.2008.05.073</v>
      </c>
      <c r="L2361" s="25" t="s">
        <v>775</v>
      </c>
    </row>
    <row r="2362" customFormat="false" ht="15" hidden="false" customHeight="false" outlineLevel="0" collapsed="false">
      <c r="A2362" s="25" t="n">
        <v>2460813</v>
      </c>
      <c r="B2362" s="25" t="s">
        <v>5084</v>
      </c>
      <c r="C2362" s="25" t="s">
        <v>5085</v>
      </c>
      <c r="D2362" s="26" t="n">
        <v>3.7</v>
      </c>
      <c r="E2362" s="27" t="n">
        <v>8.43179827593301</v>
      </c>
      <c r="F2362" s="27" t="n">
        <v>8.43179827593301</v>
      </c>
      <c r="G2362" s="25" t="s">
        <v>4479</v>
      </c>
      <c r="H2362" s="25" t="s">
        <v>4480</v>
      </c>
      <c r="I2362" s="25" t="n">
        <f aca="false">IFERROR(IF(INDEX(Documents!$C$5:$C$657,MATCH(H2362,Documents!$A$5:$A$657,0))="","",INDEX(Documents!$C$5:$C$657,MATCH(H2362,Documents!$A$5:$A$657,0))),"")</f>
        <v>2008</v>
      </c>
      <c r="J2362" s="25" t="str">
        <f aca="false">IFERROR(IF(INDEX(Documents!$D$5:$D$657,MATCH(H2362,Documents!$A$5:$A$657,0))="","",INDEX(Documents!$D$5:$D$657,MATCH(H2362,Documents!$A$5:$A$657,0))),"")</f>
        <v>Bioorg Med Chem Lett</v>
      </c>
      <c r="K2362" s="25" t="str">
        <f aca="false">IFERROR(IF(INDEX(Documents!$G$5:$G$657,MATCH(H2362,Documents!$A$5:$A$657,0))="","",INDEX(Documents!$G$5:$G$657,MATCH(H2362,Documents!$A$5:$A$657,0))),"")</f>
        <v>10.1016/j.bmcl.2008.05.073</v>
      </c>
      <c r="L2362" s="25" t="s">
        <v>775</v>
      </c>
    </row>
    <row r="2363" customFormat="false" ht="15" hidden="false" customHeight="false" outlineLevel="0" collapsed="false">
      <c r="A2363" s="25" t="n">
        <v>2460803</v>
      </c>
      <c r="B2363" s="25" t="s">
        <v>5086</v>
      </c>
      <c r="C2363" s="25" t="s">
        <v>5087</v>
      </c>
      <c r="D2363" s="26" t="n">
        <v>2920</v>
      </c>
      <c r="E2363" s="27" t="n">
        <v>5.53461714855158</v>
      </c>
      <c r="F2363" s="27" t="n">
        <v>5.53461714855158</v>
      </c>
      <c r="G2363" s="25" t="s">
        <v>4479</v>
      </c>
      <c r="H2363" s="25" t="s">
        <v>4480</v>
      </c>
      <c r="I2363" s="25" t="n">
        <f aca="false">IFERROR(IF(INDEX(Documents!$C$5:$C$657,MATCH(H2363,Documents!$A$5:$A$657,0))="","",INDEX(Documents!$C$5:$C$657,MATCH(H2363,Documents!$A$5:$A$657,0))),"")</f>
        <v>2008</v>
      </c>
      <c r="J2363" s="25" t="str">
        <f aca="false">IFERROR(IF(INDEX(Documents!$D$5:$D$657,MATCH(H2363,Documents!$A$5:$A$657,0))="","",INDEX(Documents!$D$5:$D$657,MATCH(H2363,Documents!$A$5:$A$657,0))),"")</f>
        <v>Bioorg Med Chem Lett</v>
      </c>
      <c r="K2363" s="25" t="str">
        <f aca="false">IFERROR(IF(INDEX(Documents!$G$5:$G$657,MATCH(H2363,Documents!$A$5:$A$657,0))="","",INDEX(Documents!$G$5:$G$657,MATCH(H2363,Documents!$A$5:$A$657,0))),"")</f>
        <v>10.1016/j.bmcl.2008.05.073</v>
      </c>
      <c r="L2363" s="25" t="s">
        <v>775</v>
      </c>
    </row>
    <row r="2364" customFormat="false" ht="15" hidden="false" customHeight="false" outlineLevel="0" collapsed="false">
      <c r="A2364" s="25" t="n">
        <v>2460806</v>
      </c>
      <c r="B2364" s="25" t="s">
        <v>5088</v>
      </c>
      <c r="C2364" s="25" t="s">
        <v>5089</v>
      </c>
      <c r="D2364" s="26" t="n">
        <v>3.9</v>
      </c>
      <c r="E2364" s="27" t="n">
        <v>8.4089353929735</v>
      </c>
      <c r="F2364" s="27" t="n">
        <v>8.4089353929735</v>
      </c>
      <c r="G2364" s="25" t="s">
        <v>4479</v>
      </c>
      <c r="H2364" s="25" t="s">
        <v>4480</v>
      </c>
      <c r="I2364" s="25" t="n">
        <f aca="false">IFERROR(IF(INDEX(Documents!$C$5:$C$657,MATCH(H2364,Documents!$A$5:$A$657,0))="","",INDEX(Documents!$C$5:$C$657,MATCH(H2364,Documents!$A$5:$A$657,0))),"")</f>
        <v>2008</v>
      </c>
      <c r="J2364" s="25" t="str">
        <f aca="false">IFERROR(IF(INDEX(Documents!$D$5:$D$657,MATCH(H2364,Documents!$A$5:$A$657,0))="","",INDEX(Documents!$D$5:$D$657,MATCH(H2364,Documents!$A$5:$A$657,0))),"")</f>
        <v>Bioorg Med Chem Lett</v>
      </c>
      <c r="K2364" s="25" t="str">
        <f aca="false">IFERROR(IF(INDEX(Documents!$G$5:$G$657,MATCH(H2364,Documents!$A$5:$A$657,0))="","",INDEX(Documents!$G$5:$G$657,MATCH(H2364,Documents!$A$5:$A$657,0))),"")</f>
        <v>10.1016/j.bmcl.2008.05.073</v>
      </c>
      <c r="L2364" s="25" t="s">
        <v>775</v>
      </c>
    </row>
    <row r="2365" customFormat="false" ht="15" hidden="false" customHeight="false" outlineLevel="0" collapsed="false">
      <c r="A2365" s="25" t="n">
        <v>18108688</v>
      </c>
      <c r="B2365" s="25" t="s">
        <v>5090</v>
      </c>
      <c r="C2365" s="25" t="s">
        <v>5091</v>
      </c>
      <c r="D2365" s="26" t="n">
        <v>36.7</v>
      </c>
      <c r="E2365" s="27" t="n">
        <v>7.43533393574791</v>
      </c>
      <c r="F2365" s="27" t="n">
        <v>7.89106071098628</v>
      </c>
      <c r="G2365" s="25" t="s">
        <v>2673</v>
      </c>
      <c r="H2365" s="25" t="s">
        <v>2674</v>
      </c>
      <c r="I2365" s="25" t="n">
        <f aca="false">IFERROR(IF(INDEX(Documents!$C$5:$C$657,MATCH(H2365,Documents!$A$5:$A$657,0))="","",INDEX(Documents!$C$5:$C$657,MATCH(H2365,Documents!$A$5:$A$657,0))),"")</f>
        <v>2018</v>
      </c>
      <c r="J2365" s="25" t="str">
        <f aca="false">IFERROR(IF(INDEX(Documents!$D$5:$D$657,MATCH(H2365,Documents!$A$5:$A$657,0))="","",INDEX(Documents!$D$5:$D$657,MATCH(H2365,Documents!$A$5:$A$657,0))),"")</f>
        <v>J Med Chem</v>
      </c>
      <c r="K2365" s="25" t="str">
        <f aca="false">IFERROR(IF(INDEX(Documents!$G$5:$G$657,MATCH(H2365,Documents!$A$5:$A$657,0))="","",INDEX(Documents!$G$5:$G$657,MATCH(H2365,Documents!$A$5:$A$657,0))),"")</f>
        <v>10.1021/acs.jmedchem.7b01760</v>
      </c>
      <c r="L2365" s="25" t="s">
        <v>2675</v>
      </c>
    </row>
    <row r="2366" customFormat="false" ht="15" hidden="false" customHeight="false" outlineLevel="0" collapsed="false">
      <c r="A2366" s="25" t="n">
        <v>2460766</v>
      </c>
      <c r="B2366" s="25" t="s">
        <v>5090</v>
      </c>
      <c r="C2366" s="25" t="s">
        <v>5091</v>
      </c>
      <c r="D2366" s="26" t="n">
        <v>4.5</v>
      </c>
      <c r="E2366" s="27" t="n">
        <v>8.34678748622466</v>
      </c>
      <c r="F2366" s="27" t="n">
        <v>7.89106071098628</v>
      </c>
      <c r="G2366" s="25" t="s">
        <v>4479</v>
      </c>
      <c r="H2366" s="25" t="s">
        <v>4480</v>
      </c>
      <c r="I2366" s="25" t="n">
        <f aca="false">IFERROR(IF(INDEX(Documents!$C$5:$C$657,MATCH(H2366,Documents!$A$5:$A$657,0))="","",INDEX(Documents!$C$5:$C$657,MATCH(H2366,Documents!$A$5:$A$657,0))),"")</f>
        <v>2008</v>
      </c>
      <c r="J2366" s="25" t="str">
        <f aca="false">IFERROR(IF(INDEX(Documents!$D$5:$D$657,MATCH(H2366,Documents!$A$5:$A$657,0))="","",INDEX(Documents!$D$5:$D$657,MATCH(H2366,Documents!$A$5:$A$657,0))),"")</f>
        <v>Bioorg Med Chem Lett</v>
      </c>
      <c r="K2366" s="25" t="str">
        <f aca="false">IFERROR(IF(INDEX(Documents!$G$5:$G$657,MATCH(H2366,Documents!$A$5:$A$657,0))="","",INDEX(Documents!$G$5:$G$657,MATCH(H2366,Documents!$A$5:$A$657,0))),"")</f>
        <v>10.1016/j.bmcl.2008.05.073</v>
      </c>
      <c r="L2366" s="25" t="s">
        <v>775</v>
      </c>
    </row>
    <row r="2367" customFormat="false" ht="15" hidden="false" customHeight="false" outlineLevel="0" collapsed="false">
      <c r="A2367" s="25" t="n">
        <v>18108698</v>
      </c>
      <c r="B2367" s="25" t="s">
        <v>5092</v>
      </c>
      <c r="C2367" s="25" t="s">
        <v>5093</v>
      </c>
      <c r="D2367" s="26" t="n">
        <v>1000</v>
      </c>
      <c r="E2367" s="27" t="n">
        <v>6</v>
      </c>
      <c r="F2367" s="27" t="n">
        <v>6</v>
      </c>
      <c r="G2367" s="25" t="s">
        <v>2673</v>
      </c>
      <c r="H2367" s="25" t="s">
        <v>2674</v>
      </c>
      <c r="I2367" s="25" t="n">
        <f aca="false">IFERROR(IF(INDEX(Documents!$C$5:$C$657,MATCH(H2367,Documents!$A$5:$A$657,0))="","",INDEX(Documents!$C$5:$C$657,MATCH(H2367,Documents!$A$5:$A$657,0))),"")</f>
        <v>2018</v>
      </c>
      <c r="J2367" s="25" t="str">
        <f aca="false">IFERROR(IF(INDEX(Documents!$D$5:$D$657,MATCH(H2367,Documents!$A$5:$A$657,0))="","",INDEX(Documents!$D$5:$D$657,MATCH(H2367,Documents!$A$5:$A$657,0))),"")</f>
        <v>J Med Chem</v>
      </c>
      <c r="K2367" s="25" t="str">
        <f aca="false">IFERROR(IF(INDEX(Documents!$G$5:$G$657,MATCH(H2367,Documents!$A$5:$A$657,0))="","",INDEX(Documents!$G$5:$G$657,MATCH(H2367,Documents!$A$5:$A$657,0))),"")</f>
        <v>10.1021/acs.jmedchem.7b01760</v>
      </c>
      <c r="L2367" s="25" t="s">
        <v>2675</v>
      </c>
    </row>
    <row r="2368" customFormat="false" ht="15" hidden="false" customHeight="false" outlineLevel="0" collapsed="false">
      <c r="A2368" s="25" t="n">
        <v>19054545</v>
      </c>
      <c r="B2368" s="25" t="s">
        <v>5094</v>
      </c>
      <c r="C2368" s="25" t="s">
        <v>5095</v>
      </c>
      <c r="D2368" s="26" t="n">
        <v>4300</v>
      </c>
      <c r="E2368" s="27" t="n">
        <v>5.36653154442041</v>
      </c>
      <c r="F2368" s="27" t="n">
        <v>5.36653154442041</v>
      </c>
      <c r="G2368" s="25" t="s">
        <v>5096</v>
      </c>
      <c r="H2368" s="25" t="s">
        <v>5097</v>
      </c>
      <c r="I2368" s="25" t="n">
        <f aca="false">IFERROR(IF(INDEX(Documents!$C$5:$C$657,MATCH(H2368,Documents!$A$5:$A$657,0))="","",INDEX(Documents!$C$5:$C$657,MATCH(H2368,Documents!$A$5:$A$657,0))),"")</f>
        <v>2019</v>
      </c>
      <c r="J2368" s="25" t="str">
        <f aca="false">IFERROR(IF(INDEX(Documents!$D$5:$D$657,MATCH(H2368,Documents!$A$5:$A$657,0))="","",INDEX(Documents!$D$5:$D$657,MATCH(H2368,Documents!$A$5:$A$657,0))),"")</f>
        <v>J Med Chem</v>
      </c>
      <c r="K2368" s="25" t="str">
        <f aca="false">IFERROR(IF(INDEX(Documents!$G$5:$G$657,MATCH(H2368,Documents!$A$5:$A$657,0))="","",INDEX(Documents!$G$5:$G$657,MATCH(H2368,Documents!$A$5:$A$657,0))),"")</f>
        <v>10.1021/acs.jmedchem.9b00623</v>
      </c>
      <c r="L2368" s="25" t="s">
        <v>5098</v>
      </c>
    </row>
    <row r="2369" customFormat="false" ht="15" hidden="false" customHeight="false" outlineLevel="0" collapsed="false">
      <c r="A2369" s="25" t="n">
        <v>19054544</v>
      </c>
      <c r="B2369" s="25" t="s">
        <v>5099</v>
      </c>
      <c r="C2369" s="25" t="s">
        <v>5100</v>
      </c>
      <c r="D2369" s="26" t="n">
        <v>7300</v>
      </c>
      <c r="E2369" s="27" t="n">
        <v>5.13667713987954</v>
      </c>
      <c r="F2369" s="27" t="n">
        <v>5.13667713987954</v>
      </c>
      <c r="G2369" s="25" t="s">
        <v>5096</v>
      </c>
      <c r="H2369" s="25" t="s">
        <v>5097</v>
      </c>
      <c r="I2369" s="25" t="n">
        <f aca="false">IFERROR(IF(INDEX(Documents!$C$5:$C$657,MATCH(H2369,Documents!$A$5:$A$657,0))="","",INDEX(Documents!$C$5:$C$657,MATCH(H2369,Documents!$A$5:$A$657,0))),"")</f>
        <v>2019</v>
      </c>
      <c r="J2369" s="25" t="str">
        <f aca="false">IFERROR(IF(INDEX(Documents!$D$5:$D$657,MATCH(H2369,Documents!$A$5:$A$657,0))="","",INDEX(Documents!$D$5:$D$657,MATCH(H2369,Documents!$A$5:$A$657,0))),"")</f>
        <v>J Med Chem</v>
      </c>
      <c r="K2369" s="25" t="str">
        <f aca="false">IFERROR(IF(INDEX(Documents!$G$5:$G$657,MATCH(H2369,Documents!$A$5:$A$657,0))="","",INDEX(Documents!$G$5:$G$657,MATCH(H2369,Documents!$A$5:$A$657,0))),"")</f>
        <v>10.1021/acs.jmedchem.9b00623</v>
      </c>
      <c r="L2369" s="25" t="s">
        <v>5098</v>
      </c>
    </row>
    <row r="2370" customFormat="false" ht="15" hidden="false" customHeight="false" outlineLevel="0" collapsed="false">
      <c r="A2370" s="25" t="n">
        <v>18108697</v>
      </c>
      <c r="B2370" s="25" t="s">
        <v>5101</v>
      </c>
      <c r="C2370" s="25" t="s">
        <v>5102</v>
      </c>
      <c r="D2370" s="26" t="n">
        <v>4800</v>
      </c>
      <c r="E2370" s="27" t="n">
        <v>5.31875876262441</v>
      </c>
      <c r="F2370" s="27" t="n">
        <v>5.31875876262441</v>
      </c>
      <c r="G2370" s="25" t="s">
        <v>2673</v>
      </c>
      <c r="H2370" s="25" t="s">
        <v>2674</v>
      </c>
      <c r="I2370" s="25" t="n">
        <f aca="false">IFERROR(IF(INDEX(Documents!$C$5:$C$657,MATCH(H2370,Documents!$A$5:$A$657,0))="","",INDEX(Documents!$C$5:$C$657,MATCH(H2370,Documents!$A$5:$A$657,0))),"")</f>
        <v>2018</v>
      </c>
      <c r="J2370" s="25" t="str">
        <f aca="false">IFERROR(IF(INDEX(Documents!$D$5:$D$657,MATCH(H2370,Documents!$A$5:$A$657,0))="","",INDEX(Documents!$D$5:$D$657,MATCH(H2370,Documents!$A$5:$A$657,0))),"")</f>
        <v>J Med Chem</v>
      </c>
      <c r="K2370" s="25" t="str">
        <f aca="false">IFERROR(IF(INDEX(Documents!$G$5:$G$657,MATCH(H2370,Documents!$A$5:$A$657,0))="","",INDEX(Documents!$G$5:$G$657,MATCH(H2370,Documents!$A$5:$A$657,0))),"")</f>
        <v>10.1021/acs.jmedchem.7b01760</v>
      </c>
      <c r="L2370" s="25" t="s">
        <v>2675</v>
      </c>
    </row>
    <row r="2371" customFormat="false" ht="15" hidden="false" customHeight="false" outlineLevel="0" collapsed="false">
      <c r="A2371" s="25" t="n">
        <v>19054543</v>
      </c>
      <c r="B2371" s="25" t="s">
        <v>5103</v>
      </c>
      <c r="C2371" s="25" t="s">
        <v>5104</v>
      </c>
      <c r="D2371" s="26" t="n">
        <v>26900</v>
      </c>
      <c r="E2371" s="27" t="n">
        <v>4.57024771999759</v>
      </c>
      <c r="F2371" s="27" t="n">
        <v>4.57024771999759</v>
      </c>
      <c r="G2371" s="25" t="s">
        <v>5096</v>
      </c>
      <c r="H2371" s="25" t="s">
        <v>5097</v>
      </c>
      <c r="I2371" s="25" t="n">
        <f aca="false">IFERROR(IF(INDEX(Documents!$C$5:$C$657,MATCH(H2371,Documents!$A$5:$A$657,0))="","",INDEX(Documents!$C$5:$C$657,MATCH(H2371,Documents!$A$5:$A$657,0))),"")</f>
        <v>2019</v>
      </c>
      <c r="J2371" s="25" t="str">
        <f aca="false">IFERROR(IF(INDEX(Documents!$D$5:$D$657,MATCH(H2371,Documents!$A$5:$A$657,0))="","",INDEX(Documents!$D$5:$D$657,MATCH(H2371,Documents!$A$5:$A$657,0))),"")</f>
        <v>J Med Chem</v>
      </c>
      <c r="K2371" s="25" t="str">
        <f aca="false">IFERROR(IF(INDEX(Documents!$G$5:$G$657,MATCH(H2371,Documents!$A$5:$A$657,0))="","",INDEX(Documents!$G$5:$G$657,MATCH(H2371,Documents!$A$5:$A$657,0))),"")</f>
        <v>10.1021/acs.jmedchem.9b00623</v>
      </c>
      <c r="L2371" s="25" t="s">
        <v>5098</v>
      </c>
    </row>
    <row r="2372" customFormat="false" ht="15" hidden="false" customHeight="false" outlineLevel="0" collapsed="false">
      <c r="A2372" s="25" t="n">
        <v>19054542</v>
      </c>
      <c r="B2372" s="25" t="s">
        <v>5105</v>
      </c>
      <c r="C2372" s="25" t="s">
        <v>5106</v>
      </c>
      <c r="D2372" s="26" t="n">
        <v>30700</v>
      </c>
      <c r="E2372" s="27" t="n">
        <v>4.51286162452281</v>
      </c>
      <c r="F2372" s="27" t="n">
        <v>4.51286162452281</v>
      </c>
      <c r="G2372" s="25" t="s">
        <v>5096</v>
      </c>
      <c r="H2372" s="25" t="s">
        <v>5097</v>
      </c>
      <c r="I2372" s="25" t="n">
        <f aca="false">IFERROR(IF(INDEX(Documents!$C$5:$C$657,MATCH(H2372,Documents!$A$5:$A$657,0))="","",INDEX(Documents!$C$5:$C$657,MATCH(H2372,Documents!$A$5:$A$657,0))),"")</f>
        <v>2019</v>
      </c>
      <c r="J2372" s="25" t="str">
        <f aca="false">IFERROR(IF(INDEX(Documents!$D$5:$D$657,MATCH(H2372,Documents!$A$5:$A$657,0))="","",INDEX(Documents!$D$5:$D$657,MATCH(H2372,Documents!$A$5:$A$657,0))),"")</f>
        <v>J Med Chem</v>
      </c>
      <c r="K2372" s="25" t="str">
        <f aca="false">IFERROR(IF(INDEX(Documents!$G$5:$G$657,MATCH(H2372,Documents!$A$5:$A$657,0))="","",INDEX(Documents!$G$5:$G$657,MATCH(H2372,Documents!$A$5:$A$657,0))),"")</f>
        <v>10.1021/acs.jmedchem.9b00623</v>
      </c>
      <c r="L2372" s="25" t="s">
        <v>5098</v>
      </c>
    </row>
    <row r="2373" customFormat="false" ht="15" hidden="false" customHeight="false" outlineLevel="0" collapsed="false">
      <c r="A2373" s="25" t="n">
        <v>14574048</v>
      </c>
      <c r="B2373" s="25" t="s">
        <v>5107</v>
      </c>
      <c r="C2373" s="25" t="s">
        <v>5108</v>
      </c>
      <c r="D2373" s="26" t="n">
        <v>38</v>
      </c>
      <c r="E2373" s="27" t="n">
        <v>7.42021640338319</v>
      </c>
      <c r="F2373" s="27" t="n">
        <v>7.43195695130795</v>
      </c>
      <c r="G2373" s="25" t="s">
        <v>1357</v>
      </c>
      <c r="H2373" s="25" t="s">
        <v>1358</v>
      </c>
      <c r="I2373" s="25" t="n">
        <f aca="false">IFERROR(IF(INDEX(Documents!$C$5:$C$657,MATCH(H2373,Documents!$A$5:$A$657,0))="","",INDEX(Documents!$C$5:$C$657,MATCH(H2373,Documents!$A$5:$A$657,0))),"")</f>
        <v>2013</v>
      </c>
      <c r="J2373" s="25" t="str">
        <f aca="false">IFERROR(IF(INDEX(Documents!$D$5:$D$657,MATCH(H2373,Documents!$A$5:$A$657,0))="","",INDEX(Documents!$D$5:$D$657,MATCH(H2373,Documents!$A$5:$A$657,0))),"")</f>
        <v>J Med Chem</v>
      </c>
      <c r="K2373" s="25" t="str">
        <f aca="false">IFERROR(IF(INDEX(Documents!$G$5:$G$657,MATCH(H2373,Documents!$A$5:$A$657,0))="","",INDEX(Documents!$G$5:$G$657,MATCH(H2373,Documents!$A$5:$A$657,0))),"")</f>
        <v>10.1021/jm4005626</v>
      </c>
      <c r="L2373" s="25" t="s">
        <v>1359</v>
      </c>
    </row>
    <row r="2374" customFormat="false" ht="15" hidden="false" customHeight="false" outlineLevel="0" collapsed="false">
      <c r="A2374" s="25" t="n">
        <v>2460767</v>
      </c>
      <c r="B2374" s="25" t="s">
        <v>5107</v>
      </c>
      <c r="C2374" s="25" t="s">
        <v>5108</v>
      </c>
      <c r="D2374" s="26" t="n">
        <v>36</v>
      </c>
      <c r="E2374" s="27" t="n">
        <v>7.44369749923271</v>
      </c>
      <c r="F2374" s="27" t="n">
        <v>7.43195695130795</v>
      </c>
      <c r="G2374" s="25" t="s">
        <v>4479</v>
      </c>
      <c r="H2374" s="25" t="s">
        <v>4480</v>
      </c>
      <c r="I2374" s="25" t="n">
        <f aca="false">IFERROR(IF(INDEX(Documents!$C$5:$C$657,MATCH(H2374,Documents!$A$5:$A$657,0))="","",INDEX(Documents!$C$5:$C$657,MATCH(H2374,Documents!$A$5:$A$657,0))),"")</f>
        <v>2008</v>
      </c>
      <c r="J2374" s="25" t="str">
        <f aca="false">IFERROR(IF(INDEX(Documents!$D$5:$D$657,MATCH(H2374,Documents!$A$5:$A$657,0))="","",INDEX(Documents!$D$5:$D$657,MATCH(H2374,Documents!$A$5:$A$657,0))),"")</f>
        <v>Bioorg Med Chem Lett</v>
      </c>
      <c r="K2374" s="25" t="str">
        <f aca="false">IFERROR(IF(INDEX(Documents!$G$5:$G$657,MATCH(H2374,Documents!$A$5:$A$657,0))="","",INDEX(Documents!$G$5:$G$657,MATCH(H2374,Documents!$A$5:$A$657,0))),"")</f>
        <v>10.1016/j.bmcl.2008.05.073</v>
      </c>
      <c r="L2374" s="25" t="s">
        <v>775</v>
      </c>
    </row>
    <row r="2375" customFormat="false" ht="15" hidden="false" customHeight="false" outlineLevel="0" collapsed="false">
      <c r="A2375" s="25" t="n">
        <v>18108691</v>
      </c>
      <c r="B2375" s="25" t="s">
        <v>5109</v>
      </c>
      <c r="C2375" s="25" t="s">
        <v>5110</v>
      </c>
      <c r="D2375" s="26" t="n">
        <v>188</v>
      </c>
      <c r="E2375" s="27" t="n">
        <v>6.72584215073632</v>
      </c>
      <c r="F2375" s="27" t="n">
        <v>6.72584215073632</v>
      </c>
      <c r="G2375" s="25" t="s">
        <v>2673</v>
      </c>
      <c r="H2375" s="25" t="s">
        <v>2674</v>
      </c>
      <c r="I2375" s="25" t="n">
        <f aca="false">IFERROR(IF(INDEX(Documents!$C$5:$C$657,MATCH(H2375,Documents!$A$5:$A$657,0))="","",INDEX(Documents!$C$5:$C$657,MATCH(H2375,Documents!$A$5:$A$657,0))),"")</f>
        <v>2018</v>
      </c>
      <c r="J2375" s="25" t="str">
        <f aca="false">IFERROR(IF(INDEX(Documents!$D$5:$D$657,MATCH(H2375,Documents!$A$5:$A$657,0))="","",INDEX(Documents!$D$5:$D$657,MATCH(H2375,Documents!$A$5:$A$657,0))),"")</f>
        <v>J Med Chem</v>
      </c>
      <c r="K2375" s="25" t="str">
        <f aca="false">IFERROR(IF(INDEX(Documents!$G$5:$G$657,MATCH(H2375,Documents!$A$5:$A$657,0))="","",INDEX(Documents!$G$5:$G$657,MATCH(H2375,Documents!$A$5:$A$657,0))),"")</f>
        <v>10.1021/acs.jmedchem.7b01760</v>
      </c>
      <c r="L2375" s="25" t="s">
        <v>2675</v>
      </c>
    </row>
    <row r="2376" customFormat="false" ht="15" hidden="false" customHeight="false" outlineLevel="0" collapsed="false">
      <c r="A2376" s="25" t="n">
        <v>19054541</v>
      </c>
      <c r="B2376" s="25" t="s">
        <v>5111</v>
      </c>
      <c r="C2376" s="25" t="s">
        <v>5112</v>
      </c>
      <c r="D2376" s="26" t="n">
        <v>38.5</v>
      </c>
      <c r="E2376" s="27" t="n">
        <v>7.4145392704915</v>
      </c>
      <c r="F2376" s="27" t="n">
        <v>7.4145392704915</v>
      </c>
      <c r="G2376" s="25" t="s">
        <v>5096</v>
      </c>
      <c r="H2376" s="25" t="s">
        <v>5097</v>
      </c>
      <c r="I2376" s="25" t="n">
        <f aca="false">IFERROR(IF(INDEX(Documents!$C$5:$C$657,MATCH(H2376,Documents!$A$5:$A$657,0))="","",INDEX(Documents!$C$5:$C$657,MATCH(H2376,Documents!$A$5:$A$657,0))),"")</f>
        <v>2019</v>
      </c>
      <c r="J2376" s="25" t="str">
        <f aca="false">IFERROR(IF(INDEX(Documents!$D$5:$D$657,MATCH(H2376,Documents!$A$5:$A$657,0))="","",INDEX(Documents!$D$5:$D$657,MATCH(H2376,Documents!$A$5:$A$657,0))),"")</f>
        <v>J Med Chem</v>
      </c>
      <c r="K2376" s="25" t="str">
        <f aca="false">IFERROR(IF(INDEX(Documents!$G$5:$G$657,MATCH(H2376,Documents!$A$5:$A$657,0))="","",INDEX(Documents!$G$5:$G$657,MATCH(H2376,Documents!$A$5:$A$657,0))),"")</f>
        <v>10.1021/acs.jmedchem.9b00623</v>
      </c>
      <c r="L2376" s="25" t="s">
        <v>5098</v>
      </c>
    </row>
    <row r="2377" customFormat="false" ht="15" hidden="false" customHeight="false" outlineLevel="0" collapsed="false">
      <c r="A2377" s="25" t="n">
        <v>19054552</v>
      </c>
      <c r="B2377" s="25" t="s">
        <v>5113</v>
      </c>
      <c r="C2377" s="25" t="s">
        <v>5114</v>
      </c>
      <c r="D2377" s="26" t="n">
        <v>28700</v>
      </c>
      <c r="E2377" s="27" t="n">
        <v>4.54211810326601</v>
      </c>
      <c r="F2377" s="27" t="n">
        <v>4.54211810326601</v>
      </c>
      <c r="G2377" s="25" t="s">
        <v>5096</v>
      </c>
      <c r="H2377" s="25" t="s">
        <v>5097</v>
      </c>
      <c r="I2377" s="25" t="n">
        <f aca="false">IFERROR(IF(INDEX(Documents!$C$5:$C$657,MATCH(H2377,Documents!$A$5:$A$657,0))="","",INDEX(Documents!$C$5:$C$657,MATCH(H2377,Documents!$A$5:$A$657,0))),"")</f>
        <v>2019</v>
      </c>
      <c r="J2377" s="25" t="str">
        <f aca="false">IFERROR(IF(INDEX(Documents!$D$5:$D$657,MATCH(H2377,Documents!$A$5:$A$657,0))="","",INDEX(Documents!$D$5:$D$657,MATCH(H2377,Documents!$A$5:$A$657,0))),"")</f>
        <v>J Med Chem</v>
      </c>
      <c r="K2377" s="25" t="str">
        <f aca="false">IFERROR(IF(INDEX(Documents!$G$5:$G$657,MATCH(H2377,Documents!$A$5:$A$657,0))="","",INDEX(Documents!$G$5:$G$657,MATCH(H2377,Documents!$A$5:$A$657,0))),"")</f>
        <v>10.1021/acs.jmedchem.9b00623</v>
      </c>
      <c r="L2377" s="25" t="s">
        <v>5098</v>
      </c>
    </row>
    <row r="2378" customFormat="false" ht="15" hidden="false" customHeight="false" outlineLevel="0" collapsed="false">
      <c r="A2378" s="25" t="n">
        <v>2460802</v>
      </c>
      <c r="B2378" s="25" t="s">
        <v>5115</v>
      </c>
      <c r="C2378" s="25" t="s">
        <v>5116</v>
      </c>
      <c r="D2378" s="26" t="n">
        <v>75</v>
      </c>
      <c r="E2378" s="27" t="n">
        <v>7.1249387366083</v>
      </c>
      <c r="F2378" s="27" t="n">
        <v>7.1249387366083</v>
      </c>
      <c r="G2378" s="25" t="s">
        <v>4479</v>
      </c>
      <c r="H2378" s="25" t="s">
        <v>4480</v>
      </c>
      <c r="I2378" s="25" t="n">
        <f aca="false">IFERROR(IF(INDEX(Documents!$C$5:$C$657,MATCH(H2378,Documents!$A$5:$A$657,0))="","",INDEX(Documents!$C$5:$C$657,MATCH(H2378,Documents!$A$5:$A$657,0))),"")</f>
        <v>2008</v>
      </c>
      <c r="J2378" s="25" t="str">
        <f aca="false">IFERROR(IF(INDEX(Documents!$D$5:$D$657,MATCH(H2378,Documents!$A$5:$A$657,0))="","",INDEX(Documents!$D$5:$D$657,MATCH(H2378,Documents!$A$5:$A$657,0))),"")</f>
        <v>Bioorg Med Chem Lett</v>
      </c>
      <c r="K2378" s="25" t="str">
        <f aca="false">IFERROR(IF(INDEX(Documents!$G$5:$G$657,MATCH(H2378,Documents!$A$5:$A$657,0))="","",INDEX(Documents!$G$5:$G$657,MATCH(H2378,Documents!$A$5:$A$657,0))),"")</f>
        <v>10.1016/j.bmcl.2008.05.073</v>
      </c>
      <c r="L2378" s="25" t="s">
        <v>775</v>
      </c>
    </row>
    <row r="2379" customFormat="false" ht="15" hidden="false" customHeight="false" outlineLevel="0" collapsed="false">
      <c r="A2379" s="25" t="n">
        <v>2460799</v>
      </c>
      <c r="B2379" s="25" t="s">
        <v>5117</v>
      </c>
      <c r="C2379" s="25" t="s">
        <v>5118</v>
      </c>
      <c r="D2379" s="26" t="n">
        <v>12</v>
      </c>
      <c r="E2379" s="27" t="n">
        <v>7.92081875395238</v>
      </c>
      <c r="F2379" s="27" t="n">
        <v>7.92081875395238</v>
      </c>
      <c r="G2379" s="25" t="s">
        <v>4479</v>
      </c>
      <c r="H2379" s="25" t="s">
        <v>4480</v>
      </c>
      <c r="I2379" s="25" t="n">
        <f aca="false">IFERROR(IF(INDEX(Documents!$C$5:$C$657,MATCH(H2379,Documents!$A$5:$A$657,0))="","",INDEX(Documents!$C$5:$C$657,MATCH(H2379,Documents!$A$5:$A$657,0))),"")</f>
        <v>2008</v>
      </c>
      <c r="J2379" s="25" t="str">
        <f aca="false">IFERROR(IF(INDEX(Documents!$D$5:$D$657,MATCH(H2379,Documents!$A$5:$A$657,0))="","",INDEX(Documents!$D$5:$D$657,MATCH(H2379,Documents!$A$5:$A$657,0))),"")</f>
        <v>Bioorg Med Chem Lett</v>
      </c>
      <c r="K2379" s="25" t="str">
        <f aca="false">IFERROR(IF(INDEX(Documents!$G$5:$G$657,MATCH(H2379,Documents!$A$5:$A$657,0))="","",INDEX(Documents!$G$5:$G$657,MATCH(H2379,Documents!$A$5:$A$657,0))),"")</f>
        <v>10.1016/j.bmcl.2008.05.073</v>
      </c>
      <c r="L2379" s="25" t="s">
        <v>775</v>
      </c>
    </row>
    <row r="2380" customFormat="false" ht="15" hidden="false" customHeight="false" outlineLevel="0" collapsed="false">
      <c r="A2380" s="25" t="n">
        <v>2460805</v>
      </c>
      <c r="B2380" s="25" t="s">
        <v>5119</v>
      </c>
      <c r="C2380" s="25" t="s">
        <v>5120</v>
      </c>
      <c r="D2380" s="26" t="n">
        <v>15</v>
      </c>
      <c r="E2380" s="27" t="n">
        <v>7.82390874094432</v>
      </c>
      <c r="F2380" s="27" t="n">
        <v>7.82390874094432</v>
      </c>
      <c r="G2380" s="25" t="s">
        <v>4479</v>
      </c>
      <c r="H2380" s="25" t="s">
        <v>4480</v>
      </c>
      <c r="I2380" s="25" t="n">
        <f aca="false">IFERROR(IF(INDEX(Documents!$C$5:$C$657,MATCH(H2380,Documents!$A$5:$A$657,0))="","",INDEX(Documents!$C$5:$C$657,MATCH(H2380,Documents!$A$5:$A$657,0))),"")</f>
        <v>2008</v>
      </c>
      <c r="J2380" s="25" t="str">
        <f aca="false">IFERROR(IF(INDEX(Documents!$D$5:$D$657,MATCH(H2380,Documents!$A$5:$A$657,0))="","",INDEX(Documents!$D$5:$D$657,MATCH(H2380,Documents!$A$5:$A$657,0))),"")</f>
        <v>Bioorg Med Chem Lett</v>
      </c>
      <c r="K2380" s="25" t="str">
        <f aca="false">IFERROR(IF(INDEX(Documents!$G$5:$G$657,MATCH(H2380,Documents!$A$5:$A$657,0))="","",INDEX(Documents!$G$5:$G$657,MATCH(H2380,Documents!$A$5:$A$657,0))),"")</f>
        <v>10.1016/j.bmcl.2008.05.073</v>
      </c>
      <c r="L2380" s="25" t="s">
        <v>775</v>
      </c>
    </row>
    <row r="2381" customFormat="false" ht="15" hidden="false" customHeight="false" outlineLevel="0" collapsed="false">
      <c r="A2381" s="25" t="n">
        <v>2460801</v>
      </c>
      <c r="B2381" s="25" t="s">
        <v>5121</v>
      </c>
      <c r="C2381" s="25" t="s">
        <v>5122</v>
      </c>
      <c r="D2381" s="26" t="n">
        <v>35</v>
      </c>
      <c r="E2381" s="27" t="n">
        <v>7.45593195564972</v>
      </c>
      <c r="F2381" s="27" t="n">
        <v>7.45593195564972</v>
      </c>
      <c r="G2381" s="25" t="s">
        <v>4479</v>
      </c>
      <c r="H2381" s="25" t="s">
        <v>4480</v>
      </c>
      <c r="I2381" s="25" t="n">
        <f aca="false">IFERROR(IF(INDEX(Documents!$C$5:$C$657,MATCH(H2381,Documents!$A$5:$A$657,0))="","",INDEX(Documents!$C$5:$C$657,MATCH(H2381,Documents!$A$5:$A$657,0))),"")</f>
        <v>2008</v>
      </c>
      <c r="J2381" s="25" t="str">
        <f aca="false">IFERROR(IF(INDEX(Documents!$D$5:$D$657,MATCH(H2381,Documents!$A$5:$A$657,0))="","",INDEX(Documents!$D$5:$D$657,MATCH(H2381,Documents!$A$5:$A$657,0))),"")</f>
        <v>Bioorg Med Chem Lett</v>
      </c>
      <c r="K2381" s="25" t="str">
        <f aca="false">IFERROR(IF(INDEX(Documents!$G$5:$G$657,MATCH(H2381,Documents!$A$5:$A$657,0))="","",INDEX(Documents!$G$5:$G$657,MATCH(H2381,Documents!$A$5:$A$657,0))),"")</f>
        <v>10.1016/j.bmcl.2008.05.073</v>
      </c>
      <c r="L2381" s="25" t="s">
        <v>775</v>
      </c>
    </row>
    <row r="2382" customFormat="false" ht="15" hidden="false" customHeight="false" outlineLevel="0" collapsed="false">
      <c r="A2382" s="25" t="n">
        <v>2460800</v>
      </c>
      <c r="B2382" s="25" t="s">
        <v>5123</v>
      </c>
      <c r="C2382" s="25" t="s">
        <v>5124</v>
      </c>
      <c r="D2382" s="26" t="n">
        <v>8.9</v>
      </c>
      <c r="E2382" s="27" t="n">
        <v>8.05060999335509</v>
      </c>
      <c r="F2382" s="27" t="n">
        <v>8.05060999335509</v>
      </c>
      <c r="G2382" s="25" t="s">
        <v>4479</v>
      </c>
      <c r="H2382" s="25" t="s">
        <v>4480</v>
      </c>
      <c r="I2382" s="25" t="n">
        <f aca="false">IFERROR(IF(INDEX(Documents!$C$5:$C$657,MATCH(H2382,Documents!$A$5:$A$657,0))="","",INDEX(Documents!$C$5:$C$657,MATCH(H2382,Documents!$A$5:$A$657,0))),"")</f>
        <v>2008</v>
      </c>
      <c r="J2382" s="25" t="str">
        <f aca="false">IFERROR(IF(INDEX(Documents!$D$5:$D$657,MATCH(H2382,Documents!$A$5:$A$657,0))="","",INDEX(Documents!$D$5:$D$657,MATCH(H2382,Documents!$A$5:$A$657,0))),"")</f>
        <v>Bioorg Med Chem Lett</v>
      </c>
      <c r="K2382" s="25" t="str">
        <f aca="false">IFERROR(IF(INDEX(Documents!$G$5:$G$657,MATCH(H2382,Documents!$A$5:$A$657,0))="","",INDEX(Documents!$G$5:$G$657,MATCH(H2382,Documents!$A$5:$A$657,0))),"")</f>
        <v>10.1016/j.bmcl.2008.05.073</v>
      </c>
      <c r="L2382" s="25" t="s">
        <v>775</v>
      </c>
    </row>
    <row r="2383" customFormat="false" ht="15" hidden="false" customHeight="false" outlineLevel="0" collapsed="false">
      <c r="A2383" s="25" t="n">
        <v>2460804</v>
      </c>
      <c r="B2383" s="25" t="s">
        <v>5125</v>
      </c>
      <c r="C2383" s="25" t="s">
        <v>5126</v>
      </c>
      <c r="D2383" s="26" t="n">
        <v>23</v>
      </c>
      <c r="E2383" s="27" t="n">
        <v>7.63827216398241</v>
      </c>
      <c r="F2383" s="27" t="n">
        <v>7.63827216398241</v>
      </c>
      <c r="G2383" s="25" t="s">
        <v>4479</v>
      </c>
      <c r="H2383" s="25" t="s">
        <v>4480</v>
      </c>
      <c r="I2383" s="25" t="n">
        <f aca="false">IFERROR(IF(INDEX(Documents!$C$5:$C$657,MATCH(H2383,Documents!$A$5:$A$657,0))="","",INDEX(Documents!$C$5:$C$657,MATCH(H2383,Documents!$A$5:$A$657,0))),"")</f>
        <v>2008</v>
      </c>
      <c r="J2383" s="25" t="str">
        <f aca="false">IFERROR(IF(INDEX(Documents!$D$5:$D$657,MATCH(H2383,Documents!$A$5:$A$657,0))="","",INDEX(Documents!$D$5:$D$657,MATCH(H2383,Documents!$A$5:$A$657,0))),"")</f>
        <v>Bioorg Med Chem Lett</v>
      </c>
      <c r="K2383" s="25" t="str">
        <f aca="false">IFERROR(IF(INDEX(Documents!$G$5:$G$657,MATCH(H2383,Documents!$A$5:$A$657,0))="","",INDEX(Documents!$G$5:$G$657,MATCH(H2383,Documents!$A$5:$A$657,0))),"")</f>
        <v>10.1016/j.bmcl.2008.05.073</v>
      </c>
      <c r="L2383" s="25" t="s">
        <v>775</v>
      </c>
    </row>
    <row r="2384" customFormat="false" ht="15" hidden="false" customHeight="false" outlineLevel="0" collapsed="false">
      <c r="A2384" s="25" t="n">
        <v>2460808</v>
      </c>
      <c r="B2384" s="25" t="s">
        <v>5127</v>
      </c>
      <c r="C2384" s="25" t="s">
        <v>5128</v>
      </c>
      <c r="D2384" s="26" t="n">
        <v>588</v>
      </c>
      <c r="E2384" s="27" t="n">
        <v>6.23062267392386</v>
      </c>
      <c r="F2384" s="27" t="n">
        <v>6.23062267392386</v>
      </c>
      <c r="G2384" s="25" t="s">
        <v>4479</v>
      </c>
      <c r="H2384" s="25" t="s">
        <v>4480</v>
      </c>
      <c r="I2384" s="25" t="n">
        <f aca="false">IFERROR(IF(INDEX(Documents!$C$5:$C$657,MATCH(H2384,Documents!$A$5:$A$657,0))="","",INDEX(Documents!$C$5:$C$657,MATCH(H2384,Documents!$A$5:$A$657,0))),"")</f>
        <v>2008</v>
      </c>
      <c r="J2384" s="25" t="str">
        <f aca="false">IFERROR(IF(INDEX(Documents!$D$5:$D$657,MATCH(H2384,Documents!$A$5:$A$657,0))="","",INDEX(Documents!$D$5:$D$657,MATCH(H2384,Documents!$A$5:$A$657,0))),"")</f>
        <v>Bioorg Med Chem Lett</v>
      </c>
      <c r="K2384" s="25" t="str">
        <f aca="false">IFERROR(IF(INDEX(Documents!$G$5:$G$657,MATCH(H2384,Documents!$A$5:$A$657,0))="","",INDEX(Documents!$G$5:$G$657,MATCH(H2384,Documents!$A$5:$A$657,0))),"")</f>
        <v>10.1016/j.bmcl.2008.05.073</v>
      </c>
      <c r="L2384" s="25" t="s">
        <v>775</v>
      </c>
    </row>
    <row r="2385" customFormat="false" ht="15" hidden="false" customHeight="false" outlineLevel="0" collapsed="false">
      <c r="A2385" s="25" t="n">
        <v>2460811</v>
      </c>
      <c r="B2385" s="25" t="s">
        <v>5129</v>
      </c>
      <c r="C2385" s="25" t="s">
        <v>5130</v>
      </c>
      <c r="D2385" s="26" t="n">
        <v>12</v>
      </c>
      <c r="E2385" s="27" t="n">
        <v>7.92081875395238</v>
      </c>
      <c r="F2385" s="27" t="n">
        <v>7.92081875395238</v>
      </c>
      <c r="G2385" s="25" t="s">
        <v>4479</v>
      </c>
      <c r="H2385" s="25" t="s">
        <v>4480</v>
      </c>
      <c r="I2385" s="25" t="n">
        <f aca="false">IFERROR(IF(INDEX(Documents!$C$5:$C$657,MATCH(H2385,Documents!$A$5:$A$657,0))="","",INDEX(Documents!$C$5:$C$657,MATCH(H2385,Documents!$A$5:$A$657,0))),"")</f>
        <v>2008</v>
      </c>
      <c r="J2385" s="25" t="str">
        <f aca="false">IFERROR(IF(INDEX(Documents!$D$5:$D$657,MATCH(H2385,Documents!$A$5:$A$657,0))="","",INDEX(Documents!$D$5:$D$657,MATCH(H2385,Documents!$A$5:$A$657,0))),"")</f>
        <v>Bioorg Med Chem Lett</v>
      </c>
      <c r="K2385" s="25" t="str">
        <f aca="false">IFERROR(IF(INDEX(Documents!$G$5:$G$657,MATCH(H2385,Documents!$A$5:$A$657,0))="","",INDEX(Documents!$G$5:$G$657,MATCH(H2385,Documents!$A$5:$A$657,0))),"")</f>
        <v>10.1016/j.bmcl.2008.05.073</v>
      </c>
      <c r="L2385" s="25" t="s">
        <v>775</v>
      </c>
    </row>
    <row r="2386" customFormat="false" ht="15" hidden="false" customHeight="false" outlineLevel="0" collapsed="false">
      <c r="A2386" s="25" t="n">
        <v>2460810</v>
      </c>
      <c r="B2386" s="25" t="s">
        <v>5131</v>
      </c>
      <c r="C2386" s="25" t="s">
        <v>5132</v>
      </c>
      <c r="D2386" s="26" t="n">
        <v>39</v>
      </c>
      <c r="E2386" s="27" t="n">
        <v>7.4089353929735</v>
      </c>
      <c r="F2386" s="27" t="n">
        <v>7.4089353929735</v>
      </c>
      <c r="G2386" s="25" t="s">
        <v>4479</v>
      </c>
      <c r="H2386" s="25" t="s">
        <v>4480</v>
      </c>
      <c r="I2386" s="25" t="n">
        <f aca="false">IFERROR(IF(INDEX(Documents!$C$5:$C$657,MATCH(H2386,Documents!$A$5:$A$657,0))="","",INDEX(Documents!$C$5:$C$657,MATCH(H2386,Documents!$A$5:$A$657,0))),"")</f>
        <v>2008</v>
      </c>
      <c r="J2386" s="25" t="str">
        <f aca="false">IFERROR(IF(INDEX(Documents!$D$5:$D$657,MATCH(H2386,Documents!$A$5:$A$657,0))="","",INDEX(Documents!$D$5:$D$657,MATCH(H2386,Documents!$A$5:$A$657,0))),"")</f>
        <v>Bioorg Med Chem Lett</v>
      </c>
      <c r="K2386" s="25" t="str">
        <f aca="false">IFERROR(IF(INDEX(Documents!$G$5:$G$657,MATCH(H2386,Documents!$A$5:$A$657,0))="","",INDEX(Documents!$G$5:$G$657,MATCH(H2386,Documents!$A$5:$A$657,0))),"")</f>
        <v>10.1016/j.bmcl.2008.05.073</v>
      </c>
      <c r="L2386" s="25" t="s">
        <v>775</v>
      </c>
    </row>
    <row r="2387" customFormat="false" ht="15" hidden="false" customHeight="false" outlineLevel="0" collapsed="false">
      <c r="A2387" s="25" t="n">
        <v>2460807</v>
      </c>
      <c r="B2387" s="25" t="s">
        <v>5133</v>
      </c>
      <c r="C2387" s="25" t="s">
        <v>5134</v>
      </c>
      <c r="D2387" s="26" t="n">
        <v>11</v>
      </c>
      <c r="E2387" s="27" t="n">
        <v>7.95860731484178</v>
      </c>
      <c r="F2387" s="27" t="n">
        <v>7.95860731484178</v>
      </c>
      <c r="G2387" s="25" t="s">
        <v>4479</v>
      </c>
      <c r="H2387" s="25" t="s">
        <v>4480</v>
      </c>
      <c r="I2387" s="25" t="n">
        <f aca="false">IFERROR(IF(INDEX(Documents!$C$5:$C$657,MATCH(H2387,Documents!$A$5:$A$657,0))="","",INDEX(Documents!$C$5:$C$657,MATCH(H2387,Documents!$A$5:$A$657,0))),"")</f>
        <v>2008</v>
      </c>
      <c r="J2387" s="25" t="str">
        <f aca="false">IFERROR(IF(INDEX(Documents!$D$5:$D$657,MATCH(H2387,Documents!$A$5:$A$657,0))="","",INDEX(Documents!$D$5:$D$657,MATCH(H2387,Documents!$A$5:$A$657,0))),"")</f>
        <v>Bioorg Med Chem Lett</v>
      </c>
      <c r="K2387" s="25" t="str">
        <f aca="false">IFERROR(IF(INDEX(Documents!$G$5:$G$657,MATCH(H2387,Documents!$A$5:$A$657,0))="","",INDEX(Documents!$G$5:$G$657,MATCH(H2387,Documents!$A$5:$A$657,0))),"")</f>
        <v>10.1016/j.bmcl.2008.05.073</v>
      </c>
      <c r="L2387" s="25" t="s">
        <v>775</v>
      </c>
    </row>
    <row r="2388" customFormat="false" ht="15" hidden="false" customHeight="false" outlineLevel="0" collapsed="false">
      <c r="A2388" s="25" t="n">
        <v>2460809</v>
      </c>
      <c r="B2388" s="25" t="s">
        <v>5135</v>
      </c>
      <c r="C2388" s="25" t="s">
        <v>5136</v>
      </c>
      <c r="D2388" s="26" t="n">
        <v>16</v>
      </c>
      <c r="E2388" s="27" t="n">
        <v>7.79588001734408</v>
      </c>
      <c r="F2388" s="27" t="n">
        <v>7.79588001734408</v>
      </c>
      <c r="G2388" s="25" t="s">
        <v>4479</v>
      </c>
      <c r="H2388" s="25" t="s">
        <v>4480</v>
      </c>
      <c r="I2388" s="25" t="n">
        <f aca="false">IFERROR(IF(INDEX(Documents!$C$5:$C$657,MATCH(H2388,Documents!$A$5:$A$657,0))="","",INDEX(Documents!$C$5:$C$657,MATCH(H2388,Documents!$A$5:$A$657,0))),"")</f>
        <v>2008</v>
      </c>
      <c r="J2388" s="25" t="str">
        <f aca="false">IFERROR(IF(INDEX(Documents!$D$5:$D$657,MATCH(H2388,Documents!$A$5:$A$657,0))="","",INDEX(Documents!$D$5:$D$657,MATCH(H2388,Documents!$A$5:$A$657,0))),"")</f>
        <v>Bioorg Med Chem Lett</v>
      </c>
      <c r="K2388" s="25" t="str">
        <f aca="false">IFERROR(IF(INDEX(Documents!$G$5:$G$657,MATCH(H2388,Documents!$A$5:$A$657,0))="","",INDEX(Documents!$G$5:$G$657,MATCH(H2388,Documents!$A$5:$A$657,0))),"")</f>
        <v>10.1016/j.bmcl.2008.05.073</v>
      </c>
      <c r="L2388" s="25" t="s">
        <v>775</v>
      </c>
    </row>
    <row r="2389" customFormat="false" ht="15" hidden="false" customHeight="false" outlineLevel="0" collapsed="false">
      <c r="A2389" s="25" t="n">
        <v>19054551</v>
      </c>
      <c r="B2389" s="25" t="s">
        <v>5137</v>
      </c>
      <c r="C2389" s="25" t="s">
        <v>5138</v>
      </c>
      <c r="D2389" s="26" t="n">
        <v>3000</v>
      </c>
      <c r="E2389" s="27" t="n">
        <v>5.52287874528034</v>
      </c>
      <c r="F2389" s="27" t="n">
        <v>5.52287874528034</v>
      </c>
      <c r="G2389" s="25" t="s">
        <v>5096</v>
      </c>
      <c r="H2389" s="25" t="s">
        <v>5097</v>
      </c>
      <c r="I2389" s="25" t="n">
        <f aca="false">IFERROR(IF(INDEX(Documents!$C$5:$C$657,MATCH(H2389,Documents!$A$5:$A$657,0))="","",INDEX(Documents!$C$5:$C$657,MATCH(H2389,Documents!$A$5:$A$657,0))),"")</f>
        <v>2019</v>
      </c>
      <c r="J2389" s="25" t="str">
        <f aca="false">IFERROR(IF(INDEX(Documents!$D$5:$D$657,MATCH(H2389,Documents!$A$5:$A$657,0))="","",INDEX(Documents!$D$5:$D$657,MATCH(H2389,Documents!$A$5:$A$657,0))),"")</f>
        <v>J Med Chem</v>
      </c>
      <c r="K2389" s="25" t="str">
        <f aca="false">IFERROR(IF(INDEX(Documents!$G$5:$G$657,MATCH(H2389,Documents!$A$5:$A$657,0))="","",INDEX(Documents!$G$5:$G$657,MATCH(H2389,Documents!$A$5:$A$657,0))),"")</f>
        <v>10.1021/acs.jmedchem.9b00623</v>
      </c>
      <c r="L2389" s="25" t="s">
        <v>5098</v>
      </c>
    </row>
    <row r="2390" customFormat="false" ht="15" hidden="false" customHeight="false" outlineLevel="0" collapsed="false">
      <c r="A2390" s="25" t="n">
        <v>2460782</v>
      </c>
      <c r="B2390" s="25" t="s">
        <v>5139</v>
      </c>
      <c r="C2390" s="25" t="s">
        <v>5140</v>
      </c>
      <c r="D2390" s="26" t="n">
        <v>14</v>
      </c>
      <c r="E2390" s="27" t="n">
        <v>7.85387196432176</v>
      </c>
      <c r="F2390" s="27" t="n">
        <v>7.85387196432176</v>
      </c>
      <c r="G2390" s="25" t="s">
        <v>4479</v>
      </c>
      <c r="H2390" s="25" t="s">
        <v>4480</v>
      </c>
      <c r="I2390" s="25" t="n">
        <f aca="false">IFERROR(IF(INDEX(Documents!$C$5:$C$657,MATCH(H2390,Documents!$A$5:$A$657,0))="","",INDEX(Documents!$C$5:$C$657,MATCH(H2390,Documents!$A$5:$A$657,0))),"")</f>
        <v>2008</v>
      </c>
      <c r="J2390" s="25" t="str">
        <f aca="false">IFERROR(IF(INDEX(Documents!$D$5:$D$657,MATCH(H2390,Documents!$A$5:$A$657,0))="","",INDEX(Documents!$D$5:$D$657,MATCH(H2390,Documents!$A$5:$A$657,0))),"")</f>
        <v>Bioorg Med Chem Lett</v>
      </c>
      <c r="K2390" s="25" t="str">
        <f aca="false">IFERROR(IF(INDEX(Documents!$G$5:$G$657,MATCH(H2390,Documents!$A$5:$A$657,0))="","",INDEX(Documents!$G$5:$G$657,MATCH(H2390,Documents!$A$5:$A$657,0))),"")</f>
        <v>10.1016/j.bmcl.2008.05.073</v>
      </c>
      <c r="L2390" s="25" t="s">
        <v>775</v>
      </c>
    </row>
    <row r="2391" customFormat="false" ht="15" hidden="false" customHeight="false" outlineLevel="0" collapsed="false">
      <c r="A2391" s="25" t="n">
        <v>2460781</v>
      </c>
      <c r="B2391" s="25" t="s">
        <v>5141</v>
      </c>
      <c r="C2391" s="25" t="s">
        <v>5142</v>
      </c>
      <c r="D2391" s="26" t="n">
        <v>6.9</v>
      </c>
      <c r="E2391" s="27" t="n">
        <v>8.16115090926274</v>
      </c>
      <c r="F2391" s="27" t="n">
        <v>8.16115090926274</v>
      </c>
      <c r="G2391" s="25" t="s">
        <v>4479</v>
      </c>
      <c r="H2391" s="25" t="s">
        <v>4480</v>
      </c>
      <c r="I2391" s="25" t="n">
        <f aca="false">IFERROR(IF(INDEX(Documents!$C$5:$C$657,MATCH(H2391,Documents!$A$5:$A$657,0))="","",INDEX(Documents!$C$5:$C$657,MATCH(H2391,Documents!$A$5:$A$657,0))),"")</f>
        <v>2008</v>
      </c>
      <c r="J2391" s="25" t="str">
        <f aca="false">IFERROR(IF(INDEX(Documents!$D$5:$D$657,MATCH(H2391,Documents!$A$5:$A$657,0))="","",INDEX(Documents!$D$5:$D$657,MATCH(H2391,Documents!$A$5:$A$657,0))),"")</f>
        <v>Bioorg Med Chem Lett</v>
      </c>
      <c r="K2391" s="25" t="str">
        <f aca="false">IFERROR(IF(INDEX(Documents!$G$5:$G$657,MATCH(H2391,Documents!$A$5:$A$657,0))="","",INDEX(Documents!$G$5:$G$657,MATCH(H2391,Documents!$A$5:$A$657,0))),"")</f>
        <v>10.1016/j.bmcl.2008.05.073</v>
      </c>
      <c r="L2391" s="25" t="s">
        <v>775</v>
      </c>
    </row>
    <row r="2392" customFormat="false" ht="15" hidden="false" customHeight="false" outlineLevel="0" collapsed="false">
      <c r="A2392" s="25" t="n">
        <v>18108695</v>
      </c>
      <c r="B2392" s="25" t="s">
        <v>5143</v>
      </c>
      <c r="C2392" s="25" t="s">
        <v>5144</v>
      </c>
      <c r="D2392" s="26" t="n">
        <v>384.5</v>
      </c>
      <c r="E2392" s="27" t="n">
        <v>6.41510365586255</v>
      </c>
      <c r="F2392" s="27" t="n">
        <v>6.41510365586255</v>
      </c>
      <c r="G2392" s="25" t="s">
        <v>2673</v>
      </c>
      <c r="H2392" s="25" t="s">
        <v>2674</v>
      </c>
      <c r="I2392" s="25" t="n">
        <f aca="false">IFERROR(IF(INDEX(Documents!$C$5:$C$657,MATCH(H2392,Documents!$A$5:$A$657,0))="","",INDEX(Documents!$C$5:$C$657,MATCH(H2392,Documents!$A$5:$A$657,0))),"")</f>
        <v>2018</v>
      </c>
      <c r="J2392" s="25" t="str">
        <f aca="false">IFERROR(IF(INDEX(Documents!$D$5:$D$657,MATCH(H2392,Documents!$A$5:$A$657,0))="","",INDEX(Documents!$D$5:$D$657,MATCH(H2392,Documents!$A$5:$A$657,0))),"")</f>
        <v>J Med Chem</v>
      </c>
      <c r="K2392" s="25" t="str">
        <f aca="false">IFERROR(IF(INDEX(Documents!$G$5:$G$657,MATCH(H2392,Documents!$A$5:$A$657,0))="","",INDEX(Documents!$G$5:$G$657,MATCH(H2392,Documents!$A$5:$A$657,0))),"")</f>
        <v>10.1021/acs.jmedchem.7b01760</v>
      </c>
      <c r="L2392" s="25" t="s">
        <v>2675</v>
      </c>
    </row>
    <row r="2393" customFormat="false" ht="15" hidden="false" customHeight="false" outlineLevel="0" collapsed="false">
      <c r="A2393" s="25" t="n">
        <v>18108696</v>
      </c>
      <c r="B2393" s="25" t="s">
        <v>5145</v>
      </c>
      <c r="C2393" s="25" t="s">
        <v>5146</v>
      </c>
      <c r="D2393" s="26" t="n">
        <v>4700</v>
      </c>
      <c r="E2393" s="27" t="n">
        <v>5.32790214206428</v>
      </c>
      <c r="F2393" s="27" t="n">
        <v>5.32790214206428</v>
      </c>
      <c r="G2393" s="25" t="s">
        <v>2673</v>
      </c>
      <c r="H2393" s="25" t="s">
        <v>2674</v>
      </c>
      <c r="I2393" s="25" t="n">
        <f aca="false">IFERROR(IF(INDEX(Documents!$C$5:$C$657,MATCH(H2393,Documents!$A$5:$A$657,0))="","",INDEX(Documents!$C$5:$C$657,MATCH(H2393,Documents!$A$5:$A$657,0))),"")</f>
        <v>2018</v>
      </c>
      <c r="J2393" s="25" t="str">
        <f aca="false">IFERROR(IF(INDEX(Documents!$D$5:$D$657,MATCH(H2393,Documents!$A$5:$A$657,0))="","",INDEX(Documents!$D$5:$D$657,MATCH(H2393,Documents!$A$5:$A$657,0))),"")</f>
        <v>J Med Chem</v>
      </c>
      <c r="K2393" s="25" t="str">
        <f aca="false">IFERROR(IF(INDEX(Documents!$G$5:$G$657,MATCH(H2393,Documents!$A$5:$A$657,0))="","",INDEX(Documents!$G$5:$G$657,MATCH(H2393,Documents!$A$5:$A$657,0))),"")</f>
        <v>10.1021/acs.jmedchem.7b01760</v>
      </c>
      <c r="L2393" s="25" t="s">
        <v>2675</v>
      </c>
    </row>
    <row r="2394" customFormat="false" ht="15" hidden="false" customHeight="false" outlineLevel="0" collapsed="false">
      <c r="A2394" s="25" t="n">
        <v>18108692</v>
      </c>
      <c r="B2394" s="25" t="s">
        <v>5147</v>
      </c>
      <c r="C2394" s="25" t="s">
        <v>5148</v>
      </c>
      <c r="D2394" s="26" t="n">
        <v>763.6</v>
      </c>
      <c r="E2394" s="27" t="n">
        <v>6.11713408027837</v>
      </c>
      <c r="F2394" s="27" t="n">
        <v>6.11713408027837</v>
      </c>
      <c r="G2394" s="25" t="s">
        <v>2673</v>
      </c>
      <c r="H2394" s="25" t="s">
        <v>2674</v>
      </c>
      <c r="I2394" s="25" t="n">
        <f aca="false">IFERROR(IF(INDEX(Documents!$C$5:$C$657,MATCH(H2394,Documents!$A$5:$A$657,0))="","",INDEX(Documents!$C$5:$C$657,MATCH(H2394,Documents!$A$5:$A$657,0))),"")</f>
        <v>2018</v>
      </c>
      <c r="J2394" s="25" t="str">
        <f aca="false">IFERROR(IF(INDEX(Documents!$D$5:$D$657,MATCH(H2394,Documents!$A$5:$A$657,0))="","",INDEX(Documents!$D$5:$D$657,MATCH(H2394,Documents!$A$5:$A$657,0))),"")</f>
        <v>J Med Chem</v>
      </c>
      <c r="K2394" s="25" t="str">
        <f aca="false">IFERROR(IF(INDEX(Documents!$G$5:$G$657,MATCH(H2394,Documents!$A$5:$A$657,0))="","",INDEX(Documents!$G$5:$G$657,MATCH(H2394,Documents!$A$5:$A$657,0))),"")</f>
        <v>10.1021/acs.jmedchem.7b01760</v>
      </c>
      <c r="L2394" s="25" t="s">
        <v>2675</v>
      </c>
    </row>
    <row r="2395" customFormat="false" ht="15" hidden="false" customHeight="false" outlineLevel="0" collapsed="false">
      <c r="A2395" s="25" t="n">
        <v>19054550</v>
      </c>
      <c r="B2395" s="25" t="s">
        <v>5149</v>
      </c>
      <c r="C2395" s="25" t="s">
        <v>5150</v>
      </c>
      <c r="D2395" s="26" t="n">
        <v>9600</v>
      </c>
      <c r="E2395" s="27" t="n">
        <v>5.01772876696043</v>
      </c>
      <c r="F2395" s="27" t="n">
        <v>5.01772876696043</v>
      </c>
      <c r="G2395" s="25" t="s">
        <v>5096</v>
      </c>
      <c r="H2395" s="25" t="s">
        <v>5097</v>
      </c>
      <c r="I2395" s="25" t="n">
        <f aca="false">IFERROR(IF(INDEX(Documents!$C$5:$C$657,MATCH(H2395,Documents!$A$5:$A$657,0))="","",INDEX(Documents!$C$5:$C$657,MATCH(H2395,Documents!$A$5:$A$657,0))),"")</f>
        <v>2019</v>
      </c>
      <c r="J2395" s="25" t="str">
        <f aca="false">IFERROR(IF(INDEX(Documents!$D$5:$D$657,MATCH(H2395,Documents!$A$5:$A$657,0))="","",INDEX(Documents!$D$5:$D$657,MATCH(H2395,Documents!$A$5:$A$657,0))),"")</f>
        <v>J Med Chem</v>
      </c>
      <c r="K2395" s="25" t="str">
        <f aca="false">IFERROR(IF(INDEX(Documents!$G$5:$G$657,MATCH(H2395,Documents!$A$5:$A$657,0))="","",INDEX(Documents!$G$5:$G$657,MATCH(H2395,Documents!$A$5:$A$657,0))),"")</f>
        <v>10.1021/acs.jmedchem.9b00623</v>
      </c>
      <c r="L2395" s="25" t="s">
        <v>5098</v>
      </c>
    </row>
    <row r="2396" customFormat="false" ht="15" hidden="false" customHeight="false" outlineLevel="0" collapsed="false">
      <c r="A2396" s="25" t="n">
        <v>19054549</v>
      </c>
      <c r="B2396" s="25" t="s">
        <v>5151</v>
      </c>
      <c r="C2396" s="25" t="s">
        <v>5152</v>
      </c>
      <c r="D2396" s="26" t="n">
        <v>4000</v>
      </c>
      <c r="E2396" s="27" t="n">
        <v>5.39794000867204</v>
      </c>
      <c r="F2396" s="27" t="n">
        <v>5.39794000867204</v>
      </c>
      <c r="G2396" s="25" t="s">
        <v>5096</v>
      </c>
      <c r="H2396" s="25" t="s">
        <v>5097</v>
      </c>
      <c r="I2396" s="25" t="n">
        <f aca="false">IFERROR(IF(INDEX(Documents!$C$5:$C$657,MATCH(H2396,Documents!$A$5:$A$657,0))="","",INDEX(Documents!$C$5:$C$657,MATCH(H2396,Documents!$A$5:$A$657,0))),"")</f>
        <v>2019</v>
      </c>
      <c r="J2396" s="25" t="str">
        <f aca="false">IFERROR(IF(INDEX(Documents!$D$5:$D$657,MATCH(H2396,Documents!$A$5:$A$657,0))="","",INDEX(Documents!$D$5:$D$657,MATCH(H2396,Documents!$A$5:$A$657,0))),"")</f>
        <v>J Med Chem</v>
      </c>
      <c r="K2396" s="25" t="str">
        <f aca="false">IFERROR(IF(INDEX(Documents!$G$5:$G$657,MATCH(H2396,Documents!$A$5:$A$657,0))="","",INDEX(Documents!$G$5:$G$657,MATCH(H2396,Documents!$A$5:$A$657,0))),"")</f>
        <v>10.1021/acs.jmedchem.9b00623</v>
      </c>
      <c r="L2396" s="25" t="s">
        <v>5098</v>
      </c>
    </row>
    <row r="2397" customFormat="false" ht="15" hidden="false" customHeight="false" outlineLevel="0" collapsed="false">
      <c r="A2397" s="25" t="n">
        <v>19054548</v>
      </c>
      <c r="B2397" s="25" t="s">
        <v>5153</v>
      </c>
      <c r="C2397" s="25" t="s">
        <v>5154</v>
      </c>
      <c r="D2397" s="26" t="n">
        <v>2400</v>
      </c>
      <c r="E2397" s="27" t="n">
        <v>5.61978875828839</v>
      </c>
      <c r="F2397" s="27" t="n">
        <v>5.61978875828839</v>
      </c>
      <c r="G2397" s="25" t="s">
        <v>5096</v>
      </c>
      <c r="H2397" s="25" t="s">
        <v>5097</v>
      </c>
      <c r="I2397" s="25" t="n">
        <f aca="false">IFERROR(IF(INDEX(Documents!$C$5:$C$657,MATCH(H2397,Documents!$A$5:$A$657,0))="","",INDEX(Documents!$C$5:$C$657,MATCH(H2397,Documents!$A$5:$A$657,0))),"")</f>
        <v>2019</v>
      </c>
      <c r="J2397" s="25" t="str">
        <f aca="false">IFERROR(IF(INDEX(Documents!$D$5:$D$657,MATCH(H2397,Documents!$A$5:$A$657,0))="","",INDEX(Documents!$D$5:$D$657,MATCH(H2397,Documents!$A$5:$A$657,0))),"")</f>
        <v>J Med Chem</v>
      </c>
      <c r="K2397" s="25" t="str">
        <f aca="false">IFERROR(IF(INDEX(Documents!$G$5:$G$657,MATCH(H2397,Documents!$A$5:$A$657,0))="","",INDEX(Documents!$G$5:$G$657,MATCH(H2397,Documents!$A$5:$A$657,0))),"")</f>
        <v>10.1021/acs.jmedchem.9b00623</v>
      </c>
      <c r="L2397" s="25" t="s">
        <v>5098</v>
      </c>
    </row>
    <row r="2398" customFormat="false" ht="15" hidden="false" customHeight="false" outlineLevel="0" collapsed="false">
      <c r="A2398" s="25" t="n">
        <v>19054547</v>
      </c>
      <c r="B2398" s="25" t="s">
        <v>5155</v>
      </c>
      <c r="C2398" s="25" t="s">
        <v>5156</v>
      </c>
      <c r="D2398" s="26" t="n">
        <v>5000</v>
      </c>
      <c r="E2398" s="27" t="n">
        <v>5.30102999566398</v>
      </c>
      <c r="F2398" s="27" t="n">
        <v>5.30102999566398</v>
      </c>
      <c r="G2398" s="25" t="s">
        <v>5096</v>
      </c>
      <c r="H2398" s="25" t="s">
        <v>5097</v>
      </c>
      <c r="I2398" s="25" t="n">
        <f aca="false">IFERROR(IF(INDEX(Documents!$C$5:$C$657,MATCH(H2398,Documents!$A$5:$A$657,0))="","",INDEX(Documents!$C$5:$C$657,MATCH(H2398,Documents!$A$5:$A$657,0))),"")</f>
        <v>2019</v>
      </c>
      <c r="J2398" s="25" t="str">
        <f aca="false">IFERROR(IF(INDEX(Documents!$D$5:$D$657,MATCH(H2398,Documents!$A$5:$A$657,0))="","",INDEX(Documents!$D$5:$D$657,MATCH(H2398,Documents!$A$5:$A$657,0))),"")</f>
        <v>J Med Chem</v>
      </c>
      <c r="K2398" s="25" t="str">
        <f aca="false">IFERROR(IF(INDEX(Documents!$G$5:$G$657,MATCH(H2398,Documents!$A$5:$A$657,0))="","",INDEX(Documents!$G$5:$G$657,MATCH(H2398,Documents!$A$5:$A$657,0))),"")</f>
        <v>10.1021/acs.jmedchem.9b00623</v>
      </c>
      <c r="L2398" s="25" t="s">
        <v>5098</v>
      </c>
    </row>
    <row r="2399" customFormat="false" ht="15" hidden="false" customHeight="false" outlineLevel="0" collapsed="false">
      <c r="A2399" s="25" t="n">
        <v>19054546</v>
      </c>
      <c r="B2399" s="25" t="s">
        <v>5157</v>
      </c>
      <c r="C2399" s="25" t="s">
        <v>5158</v>
      </c>
      <c r="D2399" s="26" t="n">
        <v>2500</v>
      </c>
      <c r="E2399" s="27" t="n">
        <v>5.60205999132796</v>
      </c>
      <c r="F2399" s="27" t="n">
        <v>5.60205999132796</v>
      </c>
      <c r="G2399" s="25" t="s">
        <v>5096</v>
      </c>
      <c r="H2399" s="25" t="s">
        <v>5097</v>
      </c>
      <c r="I2399" s="25" t="n">
        <f aca="false">IFERROR(IF(INDEX(Documents!$C$5:$C$657,MATCH(H2399,Documents!$A$5:$A$657,0))="","",INDEX(Documents!$C$5:$C$657,MATCH(H2399,Documents!$A$5:$A$657,0))),"")</f>
        <v>2019</v>
      </c>
      <c r="J2399" s="25" t="str">
        <f aca="false">IFERROR(IF(INDEX(Documents!$D$5:$D$657,MATCH(H2399,Documents!$A$5:$A$657,0))="","",INDEX(Documents!$D$5:$D$657,MATCH(H2399,Documents!$A$5:$A$657,0))),"")</f>
        <v>J Med Chem</v>
      </c>
      <c r="K2399" s="25" t="str">
        <f aca="false">IFERROR(IF(INDEX(Documents!$G$5:$G$657,MATCH(H2399,Documents!$A$5:$A$657,0))="","",INDEX(Documents!$G$5:$G$657,MATCH(H2399,Documents!$A$5:$A$657,0))),"")</f>
        <v>10.1021/acs.jmedchem.9b00623</v>
      </c>
      <c r="L2399" s="25" t="s">
        <v>5098</v>
      </c>
    </row>
    <row r="2400" customFormat="false" ht="15" hidden="false" customHeight="false" outlineLevel="0" collapsed="false">
      <c r="A2400" s="25" t="n">
        <v>19054553</v>
      </c>
      <c r="B2400" s="25" t="s">
        <v>5159</v>
      </c>
      <c r="C2400" s="25" t="s">
        <v>5160</v>
      </c>
      <c r="D2400" s="26" t="n">
        <v>17400</v>
      </c>
      <c r="E2400" s="27" t="n">
        <v>4.7594507517174</v>
      </c>
      <c r="F2400" s="27" t="n">
        <v>4.7594507517174</v>
      </c>
      <c r="G2400" s="25" t="s">
        <v>5096</v>
      </c>
      <c r="H2400" s="25" t="s">
        <v>5097</v>
      </c>
      <c r="I2400" s="25" t="n">
        <f aca="false">IFERROR(IF(INDEX(Documents!$C$5:$C$657,MATCH(H2400,Documents!$A$5:$A$657,0))="","",INDEX(Documents!$C$5:$C$657,MATCH(H2400,Documents!$A$5:$A$657,0))),"")</f>
        <v>2019</v>
      </c>
      <c r="J2400" s="25" t="str">
        <f aca="false">IFERROR(IF(INDEX(Documents!$D$5:$D$657,MATCH(H2400,Documents!$A$5:$A$657,0))="","",INDEX(Documents!$D$5:$D$657,MATCH(H2400,Documents!$A$5:$A$657,0))),"")</f>
        <v>J Med Chem</v>
      </c>
      <c r="K2400" s="25" t="str">
        <f aca="false">IFERROR(IF(INDEX(Documents!$G$5:$G$657,MATCH(H2400,Documents!$A$5:$A$657,0))="","",INDEX(Documents!$G$5:$G$657,MATCH(H2400,Documents!$A$5:$A$657,0))),"")</f>
        <v>10.1021/acs.jmedchem.9b00623</v>
      </c>
      <c r="L2400" s="25" t="s">
        <v>5098</v>
      </c>
    </row>
    <row r="2401" customFormat="false" ht="15" hidden="false" customHeight="false" outlineLevel="0" collapsed="false">
      <c r="A2401" s="25" t="n">
        <v>19054554</v>
      </c>
      <c r="B2401" s="25" t="s">
        <v>5161</v>
      </c>
      <c r="C2401" s="25" t="s">
        <v>5162</v>
      </c>
      <c r="D2401" s="26" t="n">
        <v>6800</v>
      </c>
      <c r="E2401" s="27" t="n">
        <v>5.16749108729376</v>
      </c>
      <c r="F2401" s="27" t="n">
        <v>5.16749108729376</v>
      </c>
      <c r="G2401" s="25" t="s">
        <v>5096</v>
      </c>
      <c r="H2401" s="25" t="s">
        <v>5097</v>
      </c>
      <c r="I2401" s="25" t="n">
        <f aca="false">IFERROR(IF(INDEX(Documents!$C$5:$C$657,MATCH(H2401,Documents!$A$5:$A$657,0))="","",INDEX(Documents!$C$5:$C$657,MATCH(H2401,Documents!$A$5:$A$657,0))),"")</f>
        <v>2019</v>
      </c>
      <c r="J2401" s="25" t="str">
        <f aca="false">IFERROR(IF(INDEX(Documents!$D$5:$D$657,MATCH(H2401,Documents!$A$5:$A$657,0))="","",INDEX(Documents!$D$5:$D$657,MATCH(H2401,Documents!$A$5:$A$657,0))),"")</f>
        <v>J Med Chem</v>
      </c>
      <c r="K2401" s="25" t="str">
        <f aca="false">IFERROR(IF(INDEX(Documents!$G$5:$G$657,MATCH(H2401,Documents!$A$5:$A$657,0))="","",INDEX(Documents!$G$5:$G$657,MATCH(H2401,Documents!$A$5:$A$657,0))),"")</f>
        <v>10.1021/acs.jmedchem.9b00623</v>
      </c>
      <c r="L2401" s="25" t="s">
        <v>5098</v>
      </c>
    </row>
    <row r="2402" customFormat="false" ht="15" hidden="false" customHeight="false" outlineLevel="0" collapsed="false">
      <c r="A2402" s="25" t="n">
        <v>18108693</v>
      </c>
      <c r="B2402" s="25" t="s">
        <v>5163</v>
      </c>
      <c r="C2402" s="25" t="s">
        <v>5164</v>
      </c>
      <c r="D2402" s="26" t="n">
        <v>14400</v>
      </c>
      <c r="E2402" s="27" t="n">
        <v>4.84163750790475</v>
      </c>
      <c r="F2402" s="27" t="n">
        <v>4.84163750790475</v>
      </c>
      <c r="G2402" s="25" t="s">
        <v>2673</v>
      </c>
      <c r="H2402" s="25" t="s">
        <v>2674</v>
      </c>
      <c r="I2402" s="25" t="n">
        <f aca="false">IFERROR(IF(INDEX(Documents!$C$5:$C$657,MATCH(H2402,Documents!$A$5:$A$657,0))="","",INDEX(Documents!$C$5:$C$657,MATCH(H2402,Documents!$A$5:$A$657,0))),"")</f>
        <v>2018</v>
      </c>
      <c r="J2402" s="25" t="str">
        <f aca="false">IFERROR(IF(INDEX(Documents!$D$5:$D$657,MATCH(H2402,Documents!$A$5:$A$657,0))="","",INDEX(Documents!$D$5:$D$657,MATCH(H2402,Documents!$A$5:$A$657,0))),"")</f>
        <v>J Med Chem</v>
      </c>
      <c r="K2402" s="25" t="str">
        <f aca="false">IFERROR(IF(INDEX(Documents!$G$5:$G$657,MATCH(H2402,Documents!$A$5:$A$657,0))="","",INDEX(Documents!$G$5:$G$657,MATCH(H2402,Documents!$A$5:$A$657,0))),"")</f>
        <v>10.1021/acs.jmedchem.7b01760</v>
      </c>
      <c r="L2402" s="25" t="s">
        <v>2675</v>
      </c>
    </row>
    <row r="2403" customFormat="false" ht="15" hidden="false" customHeight="false" outlineLevel="0" collapsed="false">
      <c r="A2403" s="25" t="n">
        <v>19105750</v>
      </c>
      <c r="B2403" s="25" t="s">
        <v>5165</v>
      </c>
      <c r="C2403" s="25" t="s">
        <v>5166</v>
      </c>
      <c r="D2403" s="26" t="n">
        <v>960</v>
      </c>
      <c r="E2403" s="27" t="n">
        <v>6.01772876696043</v>
      </c>
      <c r="F2403" s="27" t="n">
        <v>6.01772876696043</v>
      </c>
      <c r="G2403" s="25" t="s">
        <v>4300</v>
      </c>
      <c r="H2403" s="25" t="s">
        <v>4301</v>
      </c>
      <c r="I2403" s="25" t="n">
        <f aca="false">IFERROR(IF(INDEX(Documents!$C$5:$C$657,MATCH(H2403,Documents!$A$5:$A$657,0))="","",INDEX(Documents!$C$5:$C$657,MATCH(H2403,Documents!$A$5:$A$657,0))),"")</f>
        <v>2018</v>
      </c>
      <c r="J2403" s="25" t="str">
        <f aca="false">IFERROR(IF(INDEX(Documents!$D$5:$D$657,MATCH(H2403,Documents!$A$5:$A$657,0))="","",INDEX(Documents!$D$5:$D$657,MATCH(H2403,Documents!$A$5:$A$657,0))),"")</f>
        <v>Medchemcomm</v>
      </c>
      <c r="K2403" s="25" t="str">
        <f aca="false">IFERROR(IF(INDEX(Documents!$G$5:$G$657,MATCH(H2403,Documents!$A$5:$A$657,0))="","",INDEX(Documents!$G$5:$G$657,MATCH(H2403,Documents!$A$5:$A$657,0))),"")</f>
        <v>10.1039/C8MD00461G</v>
      </c>
      <c r="L2403" s="25" t="s">
        <v>4302</v>
      </c>
    </row>
    <row r="2404" customFormat="false" ht="15" hidden="false" customHeight="false" outlineLevel="0" collapsed="false">
      <c r="A2404" s="25" t="n">
        <v>19105755</v>
      </c>
      <c r="B2404" s="25" t="s">
        <v>5167</v>
      </c>
      <c r="C2404" s="25" t="s">
        <v>5168</v>
      </c>
      <c r="D2404" s="26" t="n">
        <v>420</v>
      </c>
      <c r="E2404" s="27" t="n">
        <v>6.3767507096021</v>
      </c>
      <c r="F2404" s="27" t="n">
        <v>6.3767507096021</v>
      </c>
      <c r="G2404" s="25" t="s">
        <v>4300</v>
      </c>
      <c r="H2404" s="25" t="s">
        <v>4301</v>
      </c>
      <c r="I2404" s="25" t="n">
        <f aca="false">IFERROR(IF(INDEX(Documents!$C$5:$C$657,MATCH(H2404,Documents!$A$5:$A$657,0))="","",INDEX(Documents!$C$5:$C$657,MATCH(H2404,Documents!$A$5:$A$657,0))),"")</f>
        <v>2018</v>
      </c>
      <c r="J2404" s="25" t="str">
        <f aca="false">IFERROR(IF(INDEX(Documents!$D$5:$D$657,MATCH(H2404,Documents!$A$5:$A$657,0))="","",INDEX(Documents!$D$5:$D$657,MATCH(H2404,Documents!$A$5:$A$657,0))),"")</f>
        <v>Medchemcomm</v>
      </c>
      <c r="K2404" s="25" t="str">
        <f aca="false">IFERROR(IF(INDEX(Documents!$G$5:$G$657,MATCH(H2404,Documents!$A$5:$A$657,0))="","",INDEX(Documents!$G$5:$G$657,MATCH(H2404,Documents!$A$5:$A$657,0))),"")</f>
        <v>10.1039/C8MD00461G</v>
      </c>
      <c r="L2404" s="25" t="s">
        <v>4302</v>
      </c>
    </row>
    <row r="2405" customFormat="false" ht="15" hidden="false" customHeight="false" outlineLevel="0" collapsed="false">
      <c r="A2405" s="25" t="n">
        <v>2460773</v>
      </c>
      <c r="B2405" s="25" t="s">
        <v>5169</v>
      </c>
      <c r="C2405" s="25" t="s">
        <v>5170</v>
      </c>
      <c r="D2405" s="26" t="n">
        <v>4</v>
      </c>
      <c r="E2405" s="27" t="n">
        <v>8.39794000867204</v>
      </c>
      <c r="F2405" s="27" t="n">
        <v>8.39794000867204</v>
      </c>
      <c r="G2405" s="25" t="s">
        <v>4479</v>
      </c>
      <c r="H2405" s="25" t="s">
        <v>4480</v>
      </c>
      <c r="I2405" s="25" t="n">
        <f aca="false">IFERROR(IF(INDEX(Documents!$C$5:$C$657,MATCH(H2405,Documents!$A$5:$A$657,0))="","",INDEX(Documents!$C$5:$C$657,MATCH(H2405,Documents!$A$5:$A$657,0))),"")</f>
        <v>2008</v>
      </c>
      <c r="J2405" s="25" t="str">
        <f aca="false">IFERROR(IF(INDEX(Documents!$D$5:$D$657,MATCH(H2405,Documents!$A$5:$A$657,0))="","",INDEX(Documents!$D$5:$D$657,MATCH(H2405,Documents!$A$5:$A$657,0))),"")</f>
        <v>Bioorg Med Chem Lett</v>
      </c>
      <c r="K2405" s="25" t="str">
        <f aca="false">IFERROR(IF(INDEX(Documents!$G$5:$G$657,MATCH(H2405,Documents!$A$5:$A$657,0))="","",INDEX(Documents!$G$5:$G$657,MATCH(H2405,Documents!$A$5:$A$657,0))),"")</f>
        <v>10.1016/j.bmcl.2008.05.073</v>
      </c>
      <c r="L2405" s="25" t="s">
        <v>775</v>
      </c>
    </row>
    <row r="2406" customFormat="false" ht="15" hidden="false" customHeight="false" outlineLevel="0" collapsed="false">
      <c r="A2406" s="25" t="n">
        <v>2460771</v>
      </c>
      <c r="B2406" s="25" t="s">
        <v>5171</v>
      </c>
      <c r="C2406" s="25" t="s">
        <v>5172</v>
      </c>
      <c r="D2406" s="26" t="n">
        <v>41</v>
      </c>
      <c r="E2406" s="27" t="n">
        <v>7.38721614328026</v>
      </c>
      <c r="F2406" s="27" t="n">
        <v>7.38721614328026</v>
      </c>
      <c r="G2406" s="25" t="s">
        <v>4479</v>
      </c>
      <c r="H2406" s="25" t="s">
        <v>4480</v>
      </c>
      <c r="I2406" s="25" t="n">
        <f aca="false">IFERROR(IF(INDEX(Documents!$C$5:$C$657,MATCH(H2406,Documents!$A$5:$A$657,0))="","",INDEX(Documents!$C$5:$C$657,MATCH(H2406,Documents!$A$5:$A$657,0))),"")</f>
        <v>2008</v>
      </c>
      <c r="J2406" s="25" t="str">
        <f aca="false">IFERROR(IF(INDEX(Documents!$D$5:$D$657,MATCH(H2406,Documents!$A$5:$A$657,0))="","",INDEX(Documents!$D$5:$D$657,MATCH(H2406,Documents!$A$5:$A$657,0))),"")</f>
        <v>Bioorg Med Chem Lett</v>
      </c>
      <c r="K2406" s="25" t="str">
        <f aca="false">IFERROR(IF(INDEX(Documents!$G$5:$G$657,MATCH(H2406,Documents!$A$5:$A$657,0))="","",INDEX(Documents!$G$5:$G$657,MATCH(H2406,Documents!$A$5:$A$657,0))),"")</f>
        <v>10.1016/j.bmcl.2008.05.073</v>
      </c>
      <c r="L2406" s="25" t="s">
        <v>775</v>
      </c>
    </row>
    <row r="2407" customFormat="false" ht="15" hidden="false" customHeight="false" outlineLevel="0" collapsed="false">
      <c r="A2407" s="25" t="n">
        <v>2460770</v>
      </c>
      <c r="B2407" s="25" t="s">
        <v>5173</v>
      </c>
      <c r="C2407" s="25" t="s">
        <v>5174</v>
      </c>
      <c r="D2407" s="26" t="n">
        <v>5.9</v>
      </c>
      <c r="E2407" s="27" t="n">
        <v>8.22914798835786</v>
      </c>
      <c r="F2407" s="27" t="n">
        <v>8.22914798835786</v>
      </c>
      <c r="G2407" s="25" t="s">
        <v>4479</v>
      </c>
      <c r="H2407" s="25" t="s">
        <v>4480</v>
      </c>
      <c r="I2407" s="25" t="n">
        <f aca="false">IFERROR(IF(INDEX(Documents!$C$5:$C$657,MATCH(H2407,Documents!$A$5:$A$657,0))="","",INDEX(Documents!$C$5:$C$657,MATCH(H2407,Documents!$A$5:$A$657,0))),"")</f>
        <v>2008</v>
      </c>
      <c r="J2407" s="25" t="str">
        <f aca="false">IFERROR(IF(INDEX(Documents!$D$5:$D$657,MATCH(H2407,Documents!$A$5:$A$657,0))="","",INDEX(Documents!$D$5:$D$657,MATCH(H2407,Documents!$A$5:$A$657,0))),"")</f>
        <v>Bioorg Med Chem Lett</v>
      </c>
      <c r="K2407" s="25" t="str">
        <f aca="false">IFERROR(IF(INDEX(Documents!$G$5:$G$657,MATCH(H2407,Documents!$A$5:$A$657,0))="","",INDEX(Documents!$G$5:$G$657,MATCH(H2407,Documents!$A$5:$A$657,0))),"")</f>
        <v>10.1016/j.bmcl.2008.05.073</v>
      </c>
      <c r="L2407" s="25" t="s">
        <v>775</v>
      </c>
    </row>
    <row r="2408" customFormat="false" ht="15" hidden="false" customHeight="false" outlineLevel="0" collapsed="false">
      <c r="A2408" s="25" t="n">
        <v>2460768</v>
      </c>
      <c r="B2408" s="25" t="s">
        <v>5175</v>
      </c>
      <c r="C2408" s="25" t="s">
        <v>5176</v>
      </c>
      <c r="D2408" s="26" t="n">
        <v>4</v>
      </c>
      <c r="E2408" s="27" t="n">
        <v>8.39794000867204</v>
      </c>
      <c r="F2408" s="27" t="n">
        <v>8.39794000867204</v>
      </c>
      <c r="G2408" s="25" t="s">
        <v>4479</v>
      </c>
      <c r="H2408" s="25" t="s">
        <v>4480</v>
      </c>
      <c r="I2408" s="25" t="n">
        <f aca="false">IFERROR(IF(INDEX(Documents!$C$5:$C$657,MATCH(H2408,Documents!$A$5:$A$657,0))="","",INDEX(Documents!$C$5:$C$657,MATCH(H2408,Documents!$A$5:$A$657,0))),"")</f>
        <v>2008</v>
      </c>
      <c r="J2408" s="25" t="str">
        <f aca="false">IFERROR(IF(INDEX(Documents!$D$5:$D$657,MATCH(H2408,Documents!$A$5:$A$657,0))="","",INDEX(Documents!$D$5:$D$657,MATCH(H2408,Documents!$A$5:$A$657,0))),"")</f>
        <v>Bioorg Med Chem Lett</v>
      </c>
      <c r="K2408" s="25" t="str">
        <f aca="false">IFERROR(IF(INDEX(Documents!$G$5:$G$657,MATCH(H2408,Documents!$A$5:$A$657,0))="","",INDEX(Documents!$G$5:$G$657,MATCH(H2408,Documents!$A$5:$A$657,0))),"")</f>
        <v>10.1016/j.bmcl.2008.05.073</v>
      </c>
      <c r="L2408" s="25" t="s">
        <v>775</v>
      </c>
    </row>
    <row r="2409" customFormat="false" ht="15" hidden="false" customHeight="false" outlineLevel="0" collapsed="false">
      <c r="A2409" s="25" t="n">
        <v>2460769</v>
      </c>
      <c r="B2409" s="25" t="s">
        <v>5177</v>
      </c>
      <c r="C2409" s="25" t="s">
        <v>5178</v>
      </c>
      <c r="D2409" s="26" t="n">
        <v>5.7</v>
      </c>
      <c r="E2409" s="27" t="n">
        <v>8.24412514432751</v>
      </c>
      <c r="F2409" s="27" t="n">
        <v>8.24412514432751</v>
      </c>
      <c r="G2409" s="25" t="s">
        <v>4479</v>
      </c>
      <c r="H2409" s="25" t="s">
        <v>4480</v>
      </c>
      <c r="I2409" s="25" t="n">
        <f aca="false">IFERROR(IF(INDEX(Documents!$C$5:$C$657,MATCH(H2409,Documents!$A$5:$A$657,0))="","",INDEX(Documents!$C$5:$C$657,MATCH(H2409,Documents!$A$5:$A$657,0))),"")</f>
        <v>2008</v>
      </c>
      <c r="J2409" s="25" t="str">
        <f aca="false">IFERROR(IF(INDEX(Documents!$D$5:$D$657,MATCH(H2409,Documents!$A$5:$A$657,0))="","",INDEX(Documents!$D$5:$D$657,MATCH(H2409,Documents!$A$5:$A$657,0))),"")</f>
        <v>Bioorg Med Chem Lett</v>
      </c>
      <c r="K2409" s="25" t="str">
        <f aca="false">IFERROR(IF(INDEX(Documents!$G$5:$G$657,MATCH(H2409,Documents!$A$5:$A$657,0))="","",INDEX(Documents!$G$5:$G$657,MATCH(H2409,Documents!$A$5:$A$657,0))),"")</f>
        <v>10.1016/j.bmcl.2008.05.073</v>
      </c>
      <c r="L2409" s="25" t="s">
        <v>775</v>
      </c>
    </row>
    <row r="2410" customFormat="false" ht="15" hidden="false" customHeight="false" outlineLevel="0" collapsed="false">
      <c r="A2410" s="25" t="n">
        <v>2460772</v>
      </c>
      <c r="B2410" s="25" t="s">
        <v>5179</v>
      </c>
      <c r="C2410" s="25" t="s">
        <v>5180</v>
      </c>
      <c r="D2410" s="26" t="n">
        <v>5</v>
      </c>
      <c r="E2410" s="27" t="n">
        <v>8.30102999566398</v>
      </c>
      <c r="F2410" s="27" t="n">
        <v>8.30102999566398</v>
      </c>
      <c r="G2410" s="25" t="s">
        <v>4479</v>
      </c>
      <c r="H2410" s="25" t="s">
        <v>4480</v>
      </c>
      <c r="I2410" s="25" t="n">
        <f aca="false">IFERROR(IF(INDEX(Documents!$C$5:$C$657,MATCH(H2410,Documents!$A$5:$A$657,0))="","",INDEX(Documents!$C$5:$C$657,MATCH(H2410,Documents!$A$5:$A$657,0))),"")</f>
        <v>2008</v>
      </c>
      <c r="J2410" s="25" t="str">
        <f aca="false">IFERROR(IF(INDEX(Documents!$D$5:$D$657,MATCH(H2410,Documents!$A$5:$A$657,0))="","",INDEX(Documents!$D$5:$D$657,MATCH(H2410,Documents!$A$5:$A$657,0))),"")</f>
        <v>Bioorg Med Chem Lett</v>
      </c>
      <c r="K2410" s="25" t="str">
        <f aca="false">IFERROR(IF(INDEX(Documents!$G$5:$G$657,MATCH(H2410,Documents!$A$5:$A$657,0))="","",INDEX(Documents!$G$5:$G$657,MATCH(H2410,Documents!$A$5:$A$657,0))),"")</f>
        <v>10.1016/j.bmcl.2008.05.073</v>
      </c>
      <c r="L2410" s="25" t="s">
        <v>775</v>
      </c>
    </row>
    <row r="2411" customFormat="false" ht="15" hidden="false" customHeight="false" outlineLevel="0" collapsed="false">
      <c r="A2411" s="25" t="n">
        <v>2460775</v>
      </c>
      <c r="B2411" s="25" t="s">
        <v>5181</v>
      </c>
      <c r="C2411" s="25" t="s">
        <v>5182</v>
      </c>
      <c r="D2411" s="26" t="n">
        <v>1349</v>
      </c>
      <c r="E2411" s="27" t="n">
        <v>5.8699880503281</v>
      </c>
      <c r="F2411" s="27" t="n">
        <v>5.8699880503281</v>
      </c>
      <c r="G2411" s="25" t="s">
        <v>4479</v>
      </c>
      <c r="H2411" s="25" t="s">
        <v>4480</v>
      </c>
      <c r="I2411" s="25" t="n">
        <f aca="false">IFERROR(IF(INDEX(Documents!$C$5:$C$657,MATCH(H2411,Documents!$A$5:$A$657,0))="","",INDEX(Documents!$C$5:$C$657,MATCH(H2411,Documents!$A$5:$A$657,0))),"")</f>
        <v>2008</v>
      </c>
      <c r="J2411" s="25" t="str">
        <f aca="false">IFERROR(IF(INDEX(Documents!$D$5:$D$657,MATCH(H2411,Documents!$A$5:$A$657,0))="","",INDEX(Documents!$D$5:$D$657,MATCH(H2411,Documents!$A$5:$A$657,0))),"")</f>
        <v>Bioorg Med Chem Lett</v>
      </c>
      <c r="K2411" s="25" t="str">
        <f aca="false">IFERROR(IF(INDEX(Documents!$G$5:$G$657,MATCH(H2411,Documents!$A$5:$A$657,0))="","",INDEX(Documents!$G$5:$G$657,MATCH(H2411,Documents!$A$5:$A$657,0))),"")</f>
        <v>10.1016/j.bmcl.2008.05.073</v>
      </c>
      <c r="L2411" s="25" t="s">
        <v>775</v>
      </c>
    </row>
    <row r="2412" customFormat="false" ht="15" hidden="false" customHeight="false" outlineLevel="0" collapsed="false">
      <c r="A2412" s="25" t="n">
        <v>8042781</v>
      </c>
      <c r="B2412" s="25" t="s">
        <v>5183</v>
      </c>
      <c r="C2412" s="25" t="s">
        <v>5184</v>
      </c>
      <c r="D2412" s="26" t="n">
        <v>0.56</v>
      </c>
      <c r="E2412" s="27" t="n">
        <v>9.2518119729938</v>
      </c>
      <c r="F2412" s="27" t="n">
        <v>9.2518119729938</v>
      </c>
      <c r="G2412" s="25" t="s">
        <v>559</v>
      </c>
      <c r="H2412" s="25" t="s">
        <v>560</v>
      </c>
      <c r="I2412" s="25" t="n">
        <f aca="false">IFERROR(IF(INDEX(Documents!$C$5:$C$657,MATCH(H2412,Documents!$A$5:$A$657,0))="","",INDEX(Documents!$C$5:$C$657,MATCH(H2412,Documents!$A$5:$A$657,0))),"")</f>
        <v>2012</v>
      </c>
      <c r="J2412" s="25" t="str">
        <f aca="false">IFERROR(IF(INDEX(Documents!$D$5:$D$657,MATCH(H2412,Documents!$A$5:$A$657,0))="","",INDEX(Documents!$D$5:$D$657,MATCH(H2412,Documents!$A$5:$A$657,0))),"")</f>
        <v>Bioorg Med Chem Lett</v>
      </c>
      <c r="K2412" s="25" t="str">
        <f aca="false">IFERROR(IF(INDEX(Documents!$G$5:$G$657,MATCH(H2412,Documents!$A$5:$A$657,0))="","",INDEX(Documents!$G$5:$G$657,MATCH(H2412,Documents!$A$5:$A$657,0))),"")</f>
        <v>10.1016/j.bmcl.2011.12.124</v>
      </c>
      <c r="L2412" s="25" t="s">
        <v>515</v>
      </c>
    </row>
    <row r="2413" customFormat="false" ht="15" hidden="false" customHeight="false" outlineLevel="0" collapsed="false">
      <c r="A2413" s="25" t="n">
        <v>18108703</v>
      </c>
      <c r="B2413" s="25" t="s">
        <v>5185</v>
      </c>
      <c r="C2413" s="25" t="s">
        <v>5186</v>
      </c>
      <c r="D2413" s="26" t="n">
        <v>21000</v>
      </c>
      <c r="E2413" s="27" t="n">
        <v>4.67778070526608</v>
      </c>
      <c r="F2413" s="27" t="n">
        <v>4.67778070526608</v>
      </c>
      <c r="G2413" s="25" t="s">
        <v>2673</v>
      </c>
      <c r="H2413" s="25" t="s">
        <v>2674</v>
      </c>
      <c r="I2413" s="25" t="n">
        <f aca="false">IFERROR(IF(INDEX(Documents!$C$5:$C$657,MATCH(H2413,Documents!$A$5:$A$657,0))="","",INDEX(Documents!$C$5:$C$657,MATCH(H2413,Documents!$A$5:$A$657,0))),"")</f>
        <v>2018</v>
      </c>
      <c r="J2413" s="25" t="str">
        <f aca="false">IFERROR(IF(INDEX(Documents!$D$5:$D$657,MATCH(H2413,Documents!$A$5:$A$657,0))="","",INDEX(Documents!$D$5:$D$657,MATCH(H2413,Documents!$A$5:$A$657,0))),"")</f>
        <v>J Med Chem</v>
      </c>
      <c r="K2413" s="25" t="str">
        <f aca="false">IFERROR(IF(INDEX(Documents!$G$5:$G$657,MATCH(H2413,Documents!$A$5:$A$657,0))="","",INDEX(Documents!$G$5:$G$657,MATCH(H2413,Documents!$A$5:$A$657,0))),"")</f>
        <v>10.1021/acs.jmedchem.7b01760</v>
      </c>
      <c r="L2413" s="25" t="s">
        <v>2675</v>
      </c>
    </row>
    <row r="2414" customFormat="false" ht="15" hidden="false" customHeight="false" outlineLevel="0" collapsed="false">
      <c r="A2414" s="25" t="n">
        <v>18108704</v>
      </c>
      <c r="B2414" s="25" t="s">
        <v>5187</v>
      </c>
      <c r="C2414" s="25" t="s">
        <v>5188</v>
      </c>
      <c r="D2414" s="26" t="n">
        <v>4300</v>
      </c>
      <c r="E2414" s="27" t="n">
        <v>5.36653154442041</v>
      </c>
      <c r="F2414" s="27" t="n">
        <v>5.36653154442041</v>
      </c>
      <c r="G2414" s="25" t="s">
        <v>2673</v>
      </c>
      <c r="H2414" s="25" t="s">
        <v>2674</v>
      </c>
      <c r="I2414" s="25" t="n">
        <f aca="false">IFERROR(IF(INDEX(Documents!$C$5:$C$657,MATCH(H2414,Documents!$A$5:$A$657,0))="","",INDEX(Documents!$C$5:$C$657,MATCH(H2414,Documents!$A$5:$A$657,0))),"")</f>
        <v>2018</v>
      </c>
      <c r="J2414" s="25" t="str">
        <f aca="false">IFERROR(IF(INDEX(Documents!$D$5:$D$657,MATCH(H2414,Documents!$A$5:$A$657,0))="","",INDEX(Documents!$D$5:$D$657,MATCH(H2414,Documents!$A$5:$A$657,0))),"")</f>
        <v>J Med Chem</v>
      </c>
      <c r="K2414" s="25" t="str">
        <f aca="false">IFERROR(IF(INDEX(Documents!$G$5:$G$657,MATCH(H2414,Documents!$A$5:$A$657,0))="","",INDEX(Documents!$G$5:$G$657,MATCH(H2414,Documents!$A$5:$A$657,0))),"")</f>
        <v>10.1021/acs.jmedchem.7b01760</v>
      </c>
      <c r="L2414" s="25" t="s">
        <v>2675</v>
      </c>
    </row>
    <row r="2415" customFormat="false" ht="15" hidden="false" customHeight="false" outlineLevel="0" collapsed="false">
      <c r="A2415" s="25" t="n">
        <v>2460774</v>
      </c>
      <c r="B2415" s="25" t="s">
        <v>5189</v>
      </c>
      <c r="C2415" s="25" t="s">
        <v>5190</v>
      </c>
      <c r="D2415" s="26" t="n">
        <v>4342</v>
      </c>
      <c r="E2415" s="27" t="n">
        <v>5.3623101808816</v>
      </c>
      <c r="F2415" s="27" t="n">
        <v>5.3623101808816</v>
      </c>
      <c r="G2415" s="25" t="s">
        <v>4479</v>
      </c>
      <c r="H2415" s="25" t="s">
        <v>4480</v>
      </c>
      <c r="I2415" s="25" t="n">
        <f aca="false">IFERROR(IF(INDEX(Documents!$C$5:$C$657,MATCH(H2415,Documents!$A$5:$A$657,0))="","",INDEX(Documents!$C$5:$C$657,MATCH(H2415,Documents!$A$5:$A$657,0))),"")</f>
        <v>2008</v>
      </c>
      <c r="J2415" s="25" t="str">
        <f aca="false">IFERROR(IF(INDEX(Documents!$D$5:$D$657,MATCH(H2415,Documents!$A$5:$A$657,0))="","",INDEX(Documents!$D$5:$D$657,MATCH(H2415,Documents!$A$5:$A$657,0))),"")</f>
        <v>Bioorg Med Chem Lett</v>
      </c>
      <c r="K2415" s="25" t="str">
        <f aca="false">IFERROR(IF(INDEX(Documents!$G$5:$G$657,MATCH(H2415,Documents!$A$5:$A$657,0))="","",INDEX(Documents!$G$5:$G$657,MATCH(H2415,Documents!$A$5:$A$657,0))),"")</f>
        <v>10.1016/j.bmcl.2008.05.073</v>
      </c>
      <c r="L2415" s="25" t="s">
        <v>775</v>
      </c>
    </row>
    <row r="2416" customFormat="false" ht="15" hidden="false" customHeight="false" outlineLevel="0" collapsed="false">
      <c r="A2416" s="25" t="n">
        <v>18108702</v>
      </c>
      <c r="B2416" s="25" t="s">
        <v>5191</v>
      </c>
      <c r="C2416" s="25" t="s">
        <v>5192</v>
      </c>
      <c r="D2416" s="26" t="n">
        <v>961.8</v>
      </c>
      <c r="E2416" s="27" t="n">
        <v>6.01691522726221</v>
      </c>
      <c r="F2416" s="27" t="n">
        <v>6.01691522726221</v>
      </c>
      <c r="G2416" s="25" t="s">
        <v>2673</v>
      </c>
      <c r="H2416" s="25" t="s">
        <v>2674</v>
      </c>
      <c r="I2416" s="25" t="n">
        <f aca="false">IFERROR(IF(INDEX(Documents!$C$5:$C$657,MATCH(H2416,Documents!$A$5:$A$657,0))="","",INDEX(Documents!$C$5:$C$657,MATCH(H2416,Documents!$A$5:$A$657,0))),"")</f>
        <v>2018</v>
      </c>
      <c r="J2416" s="25" t="str">
        <f aca="false">IFERROR(IF(INDEX(Documents!$D$5:$D$657,MATCH(H2416,Documents!$A$5:$A$657,0))="","",INDEX(Documents!$D$5:$D$657,MATCH(H2416,Documents!$A$5:$A$657,0))),"")</f>
        <v>J Med Chem</v>
      </c>
      <c r="K2416" s="25" t="str">
        <f aca="false">IFERROR(IF(INDEX(Documents!$G$5:$G$657,MATCH(H2416,Documents!$A$5:$A$657,0))="","",INDEX(Documents!$G$5:$G$657,MATCH(H2416,Documents!$A$5:$A$657,0))),"")</f>
        <v>10.1021/acs.jmedchem.7b01760</v>
      </c>
      <c r="L2416" s="25" t="s">
        <v>2675</v>
      </c>
    </row>
    <row r="2417" customFormat="false" ht="15" hidden="false" customHeight="false" outlineLevel="0" collapsed="false">
      <c r="A2417" s="25" t="n">
        <v>18108689</v>
      </c>
      <c r="B2417" s="25" t="s">
        <v>5193</v>
      </c>
      <c r="C2417" s="25" t="s">
        <v>5194</v>
      </c>
      <c r="D2417" s="26" t="n">
        <v>1900</v>
      </c>
      <c r="E2417" s="27" t="n">
        <v>5.72124639904717</v>
      </c>
      <c r="F2417" s="27" t="n">
        <v>5.72124639904717</v>
      </c>
      <c r="G2417" s="25" t="s">
        <v>2673</v>
      </c>
      <c r="H2417" s="25" t="s">
        <v>2674</v>
      </c>
      <c r="I2417" s="25" t="n">
        <f aca="false">IFERROR(IF(INDEX(Documents!$C$5:$C$657,MATCH(H2417,Documents!$A$5:$A$657,0))="","",INDEX(Documents!$C$5:$C$657,MATCH(H2417,Documents!$A$5:$A$657,0))),"")</f>
        <v>2018</v>
      </c>
      <c r="J2417" s="25" t="str">
        <f aca="false">IFERROR(IF(INDEX(Documents!$D$5:$D$657,MATCH(H2417,Documents!$A$5:$A$657,0))="","",INDEX(Documents!$D$5:$D$657,MATCH(H2417,Documents!$A$5:$A$657,0))),"")</f>
        <v>J Med Chem</v>
      </c>
      <c r="K2417" s="25" t="str">
        <f aca="false">IFERROR(IF(INDEX(Documents!$G$5:$G$657,MATCH(H2417,Documents!$A$5:$A$657,0))="","",INDEX(Documents!$G$5:$G$657,MATCH(H2417,Documents!$A$5:$A$657,0))),"")</f>
        <v>10.1021/acs.jmedchem.7b01760</v>
      </c>
      <c r="L2417" s="25" t="s">
        <v>2675</v>
      </c>
    </row>
    <row r="2418" customFormat="false" ht="15" hidden="false" customHeight="false" outlineLevel="0" collapsed="false">
      <c r="A2418" s="25" t="n">
        <v>18108700</v>
      </c>
      <c r="B2418" s="25" t="s">
        <v>5195</v>
      </c>
      <c r="C2418" s="25" t="s">
        <v>5196</v>
      </c>
      <c r="D2418" s="26" t="n">
        <v>10400</v>
      </c>
      <c r="E2418" s="27" t="n">
        <v>4.98296666070122</v>
      </c>
      <c r="F2418" s="27" t="n">
        <v>4.98296666070122</v>
      </c>
      <c r="G2418" s="25" t="s">
        <v>2673</v>
      </c>
      <c r="H2418" s="25" t="s">
        <v>2674</v>
      </c>
      <c r="I2418" s="25" t="n">
        <f aca="false">IFERROR(IF(INDEX(Documents!$C$5:$C$657,MATCH(H2418,Documents!$A$5:$A$657,0))="","",INDEX(Documents!$C$5:$C$657,MATCH(H2418,Documents!$A$5:$A$657,0))),"")</f>
        <v>2018</v>
      </c>
      <c r="J2418" s="25" t="str">
        <f aca="false">IFERROR(IF(INDEX(Documents!$D$5:$D$657,MATCH(H2418,Documents!$A$5:$A$657,0))="","",INDEX(Documents!$D$5:$D$657,MATCH(H2418,Documents!$A$5:$A$657,0))),"")</f>
        <v>J Med Chem</v>
      </c>
      <c r="K2418" s="25" t="str">
        <f aca="false">IFERROR(IF(INDEX(Documents!$G$5:$G$657,MATCH(H2418,Documents!$A$5:$A$657,0))="","",INDEX(Documents!$G$5:$G$657,MATCH(H2418,Documents!$A$5:$A$657,0))),"")</f>
        <v>10.1021/acs.jmedchem.7b01760</v>
      </c>
      <c r="L2418" s="25" t="s">
        <v>2675</v>
      </c>
    </row>
    <row r="2419" customFormat="false" ht="15" hidden="false" customHeight="false" outlineLevel="0" collapsed="false">
      <c r="A2419" s="25" t="n">
        <v>2033370</v>
      </c>
      <c r="B2419" s="25" t="s">
        <v>5197</v>
      </c>
      <c r="C2419" s="25" t="s">
        <v>5198</v>
      </c>
      <c r="D2419" s="26" t="n">
        <v>84</v>
      </c>
      <c r="E2419" s="27" t="n">
        <v>7.07572071393812</v>
      </c>
      <c r="F2419" s="27" t="n">
        <v>7.07572071393812</v>
      </c>
      <c r="G2419" s="25" t="s">
        <v>1133</v>
      </c>
      <c r="H2419" s="25" t="s">
        <v>1134</v>
      </c>
      <c r="I2419" s="25" t="n">
        <f aca="false">IFERROR(IF(INDEX(Documents!$C$5:$C$657,MATCH(H2419,Documents!$A$5:$A$657,0))="","",INDEX(Documents!$C$5:$C$657,MATCH(H2419,Documents!$A$5:$A$657,0))),"")</f>
        <v>2007</v>
      </c>
      <c r="J2419" s="25" t="str">
        <f aca="false">IFERROR(IF(INDEX(Documents!$D$5:$D$657,MATCH(H2419,Documents!$A$5:$A$657,0))="","",INDEX(Documents!$D$5:$D$657,MATCH(H2419,Documents!$A$5:$A$657,0))),"")</f>
        <v>Bioorg Med Chem Lett</v>
      </c>
      <c r="K2419" s="25" t="str">
        <f aca="false">IFERROR(IF(INDEX(Documents!$G$5:$G$657,MATCH(H2419,Documents!$A$5:$A$657,0))="","",INDEX(Documents!$G$5:$G$657,MATCH(H2419,Documents!$A$5:$A$657,0))),"")</f>
        <v>10.1016/j.bmcl.2007.04.093</v>
      </c>
      <c r="L2419" s="25" t="s">
        <v>775</v>
      </c>
    </row>
    <row r="2420" customFormat="false" ht="15" hidden="false" customHeight="false" outlineLevel="0" collapsed="false">
      <c r="A2420" s="25" t="n">
        <v>1969352</v>
      </c>
      <c r="B2420" s="25" t="s">
        <v>5199</v>
      </c>
      <c r="C2420" s="25" t="s">
        <v>5200</v>
      </c>
      <c r="D2420" s="26" t="n">
        <v>6.3</v>
      </c>
      <c r="E2420" s="27" t="n">
        <v>8.20065945054642</v>
      </c>
      <c r="F2420" s="27" t="n">
        <v>8.20065945054642</v>
      </c>
      <c r="G2420" s="25" t="s">
        <v>1895</v>
      </c>
      <c r="H2420" s="25" t="s">
        <v>1896</v>
      </c>
      <c r="I2420" s="25" t="n">
        <f aca="false">IFERROR(IF(INDEX(Documents!$C$5:$C$657,MATCH(H2420,Documents!$A$5:$A$657,0))="","",INDEX(Documents!$C$5:$C$657,MATCH(H2420,Documents!$A$5:$A$657,0))),"")</f>
        <v>2007</v>
      </c>
      <c r="J2420" s="25" t="str">
        <f aca="false">IFERROR(IF(INDEX(Documents!$D$5:$D$657,MATCH(H2420,Documents!$A$5:$A$657,0))="","",INDEX(Documents!$D$5:$D$657,MATCH(H2420,Documents!$A$5:$A$657,0))),"")</f>
        <v>Bioorg Med Chem Lett</v>
      </c>
      <c r="K2420" s="25" t="str">
        <f aca="false">IFERROR(IF(INDEX(Documents!$G$5:$G$657,MATCH(H2420,Documents!$A$5:$A$657,0))="","",INDEX(Documents!$G$5:$G$657,MATCH(H2420,Documents!$A$5:$A$657,0))),"")</f>
        <v>10.1016/j.bmcl.2007.04.099</v>
      </c>
      <c r="L2420" s="25" t="s">
        <v>515</v>
      </c>
    </row>
    <row r="2421" customFormat="false" ht="15" hidden="false" customHeight="false" outlineLevel="0" collapsed="false">
      <c r="A2421" s="25" t="n">
        <v>2096599</v>
      </c>
      <c r="B2421" s="25" t="s">
        <v>5201</v>
      </c>
      <c r="C2421" s="25" t="s">
        <v>5202</v>
      </c>
      <c r="D2421" s="26" t="n">
        <v>9900</v>
      </c>
      <c r="E2421" s="27" t="n">
        <v>5.00436480540245</v>
      </c>
      <c r="F2421" s="27" t="n">
        <v>5.00436480540245</v>
      </c>
      <c r="G2421" s="25" t="s">
        <v>4060</v>
      </c>
      <c r="H2421" s="25" t="s">
        <v>4061</v>
      </c>
      <c r="I2421" s="25" t="n">
        <f aca="false">IFERROR(IF(INDEX(Documents!$C$5:$C$657,MATCH(H2421,Documents!$A$5:$A$657,0))="","",INDEX(Documents!$C$5:$C$657,MATCH(H2421,Documents!$A$5:$A$657,0))),"")</f>
        <v>2008</v>
      </c>
      <c r="J2421" s="25" t="str">
        <f aca="false">IFERROR(IF(INDEX(Documents!$D$5:$D$657,MATCH(H2421,Documents!$A$5:$A$657,0))="","",INDEX(Documents!$D$5:$D$657,MATCH(H2421,Documents!$A$5:$A$657,0))),"")</f>
        <v>Bioorg Med Chem Lett</v>
      </c>
      <c r="K2421" s="25" t="str">
        <f aca="false">IFERROR(IF(INDEX(Documents!$G$5:$G$657,MATCH(H2421,Documents!$A$5:$A$657,0))="","",INDEX(Documents!$G$5:$G$657,MATCH(H2421,Documents!$A$5:$A$657,0))),"")</f>
        <v>10.1016/j.bmcl.2007.11.133</v>
      </c>
      <c r="L2421" s="25" t="s">
        <v>4062</v>
      </c>
    </row>
    <row r="2422" customFormat="false" ht="15" hidden="false" customHeight="false" outlineLevel="0" collapsed="false">
      <c r="A2422" s="25" t="n">
        <v>16462018</v>
      </c>
      <c r="B2422" s="25" t="s">
        <v>5203</v>
      </c>
      <c r="C2422" s="25" t="s">
        <v>5204</v>
      </c>
      <c r="D2422" s="26" t="n">
        <v>4407</v>
      </c>
      <c r="E2422" s="27" t="n">
        <v>5.35585694949008</v>
      </c>
      <c r="F2422" s="27" t="n">
        <v>5.35585694949008</v>
      </c>
      <c r="G2422" s="25" t="s">
        <v>1973</v>
      </c>
      <c r="H2422" s="25" t="s">
        <v>1974</v>
      </c>
      <c r="I2422" s="25" t="n">
        <f aca="false">IFERROR(IF(INDEX(Documents!$C$5:$C$657,MATCH(H2422,Documents!$A$5:$A$657,0))="","",INDEX(Documents!$C$5:$C$657,MATCH(H2422,Documents!$A$5:$A$657,0))),"")</f>
        <v>2016</v>
      </c>
      <c r="J2422" s="25" t="str">
        <f aca="false">IFERROR(IF(INDEX(Documents!$D$5:$D$657,MATCH(H2422,Documents!$A$5:$A$657,0))="","",INDEX(Documents!$D$5:$D$657,MATCH(H2422,Documents!$A$5:$A$657,0))),"")</f>
        <v>Bioorg Med Chem</v>
      </c>
      <c r="K2422" s="25" t="str">
        <f aca="false">IFERROR(IF(INDEX(Documents!$G$5:$G$657,MATCH(H2422,Documents!$A$5:$A$657,0))="","",INDEX(Documents!$G$5:$G$657,MATCH(H2422,Documents!$A$5:$A$657,0))),"")</f>
        <v>10.1016/j.bmc.2016.01.033</v>
      </c>
      <c r="L2422" s="25" t="s">
        <v>1975</v>
      </c>
    </row>
    <row r="2423" customFormat="false" ht="15" hidden="false" customHeight="false" outlineLevel="0" collapsed="false">
      <c r="A2423" s="25" t="n">
        <v>18673897</v>
      </c>
      <c r="B2423" s="25" t="s">
        <v>5205</v>
      </c>
      <c r="C2423" s="25" t="s">
        <v>5206</v>
      </c>
      <c r="D2423" s="26" t="n">
        <v>980</v>
      </c>
      <c r="E2423" s="27" t="n">
        <v>6.00877392430751</v>
      </c>
      <c r="F2423" s="27" t="n">
        <v>6.00877392430751</v>
      </c>
      <c r="G2423" s="25" t="s">
        <v>664</v>
      </c>
      <c r="H2423" s="25" t="s">
        <v>665</v>
      </c>
      <c r="I2423" s="25" t="n">
        <f aca="false">IFERROR(IF(INDEX(Documents!$C$5:$C$657,MATCH(H2423,Documents!$A$5:$A$657,0))="","",INDEX(Documents!$C$5:$C$657,MATCH(H2423,Documents!$A$5:$A$657,0))),"")</f>
        <v>2018</v>
      </c>
      <c r="J2423" s="25" t="str">
        <f aca="false">IFERROR(IF(INDEX(Documents!$D$5:$D$657,MATCH(H2423,Documents!$A$5:$A$657,0))="","",INDEX(Documents!$D$5:$D$657,MATCH(H2423,Documents!$A$5:$A$657,0))),"")</f>
        <v>Bioorg Med Chem</v>
      </c>
      <c r="K2423" s="25" t="str">
        <f aca="false">IFERROR(IF(INDEX(Documents!$G$5:$G$657,MATCH(H2423,Documents!$A$5:$A$657,0))="","",INDEX(Documents!$G$5:$G$657,MATCH(H2423,Documents!$A$5:$A$657,0))),"")</f>
        <v>10.1016/j.bmc.2018.07.043</v>
      </c>
      <c r="L2423" s="25" t="s">
        <v>666</v>
      </c>
    </row>
    <row r="2424" customFormat="false" ht="15" hidden="false" customHeight="false" outlineLevel="0" collapsed="false">
      <c r="A2424" s="25" t="n">
        <v>15654704</v>
      </c>
      <c r="B2424" s="25" t="s">
        <v>5207</v>
      </c>
      <c r="C2424" s="25" t="s">
        <v>5208</v>
      </c>
      <c r="D2424" s="26" t="n">
        <v>1320</v>
      </c>
      <c r="E2424" s="27" t="n">
        <v>5.87942606879415</v>
      </c>
      <c r="F2424" s="27" t="n">
        <v>5.87942606879415</v>
      </c>
      <c r="G2424" s="25" t="s">
        <v>4938</v>
      </c>
      <c r="H2424" s="25" t="s">
        <v>4939</v>
      </c>
      <c r="I2424" s="25" t="n">
        <f aca="false">IFERROR(IF(INDEX(Documents!$C$5:$C$657,MATCH(H2424,Documents!$A$5:$A$657,0))="","",INDEX(Documents!$C$5:$C$657,MATCH(H2424,Documents!$A$5:$A$657,0))),"")</f>
        <v>2014</v>
      </c>
      <c r="J2424" s="25" t="str">
        <f aca="false">IFERROR(IF(INDEX(Documents!$D$5:$D$657,MATCH(H2424,Documents!$A$5:$A$657,0))="","",INDEX(Documents!$D$5:$D$657,MATCH(H2424,Documents!$A$5:$A$657,0))),"")</f>
        <v>Medchemcomm</v>
      </c>
      <c r="K2424" s="25" t="str">
        <f aca="false">IFERROR(IF(INDEX(Documents!$G$5:$G$657,MATCH(H2424,Documents!$A$5:$A$657,0))="","",INDEX(Documents!$G$5:$G$657,MATCH(H2424,Documents!$A$5:$A$657,0))),"")</f>
        <v>10.1039/C4MD00232F</v>
      </c>
      <c r="L2424" s="25" t="s">
        <v>4940</v>
      </c>
    </row>
    <row r="2425" customFormat="false" ht="15" hidden="false" customHeight="false" outlineLevel="0" collapsed="false">
      <c r="A2425" s="25" t="n">
        <v>19482355</v>
      </c>
      <c r="B2425" s="25" t="s">
        <v>5209</v>
      </c>
      <c r="C2425" s="25" t="s">
        <v>5210</v>
      </c>
      <c r="D2425" s="26" t="n">
        <v>0.87</v>
      </c>
      <c r="E2425" s="27" t="n">
        <v>9.06048074738138</v>
      </c>
      <c r="F2425" s="27" t="n">
        <v>9.06048074738138</v>
      </c>
      <c r="G2425" s="25" t="s">
        <v>723</v>
      </c>
      <c r="H2425" s="25" t="s">
        <v>724</v>
      </c>
      <c r="I2425" s="25" t="n">
        <f aca="false">IFERROR(IF(INDEX(Documents!$C$5:$C$657,MATCH(H2425,Documents!$A$5:$A$657,0))="","",INDEX(Documents!$C$5:$C$657,MATCH(H2425,Documents!$A$5:$A$657,0))),"")</f>
        <v>2019</v>
      </c>
      <c r="J2425" s="25" t="str">
        <f aca="false">IFERROR(IF(INDEX(Documents!$D$5:$D$657,MATCH(H2425,Documents!$A$5:$A$657,0))="","",INDEX(Documents!$D$5:$D$657,MATCH(H2425,Documents!$A$5:$A$657,0))),"")</f>
        <v>Eur J Med Chem</v>
      </c>
      <c r="K2425" s="25" t="str">
        <f aca="false">IFERROR(IF(INDEX(Documents!$G$5:$G$657,MATCH(H2425,Documents!$A$5:$A$657,0))="","",INDEX(Documents!$G$5:$G$657,MATCH(H2425,Documents!$A$5:$A$657,0))),"")</f>
        <v>10.1016/j.ejmech.2018.12.008</v>
      </c>
      <c r="L2425" s="25" t="s">
        <v>725</v>
      </c>
    </row>
    <row r="2426" customFormat="false" ht="15" hidden="false" customHeight="false" outlineLevel="0" collapsed="false">
      <c r="A2426" s="25" t="n">
        <v>2048379</v>
      </c>
      <c r="B2426" s="25" t="s">
        <v>5211</v>
      </c>
      <c r="C2426" s="25" t="s">
        <v>5212</v>
      </c>
      <c r="D2426" s="26" t="n">
        <v>107</v>
      </c>
      <c r="E2426" s="27" t="n">
        <v>6.97061622231479</v>
      </c>
      <c r="F2426" s="27" t="n">
        <v>6.97061622231479</v>
      </c>
      <c r="G2426" s="25" t="s">
        <v>513</v>
      </c>
      <c r="H2426" s="25" t="s">
        <v>514</v>
      </c>
      <c r="I2426" s="25" t="n">
        <f aca="false">IFERROR(IF(INDEX(Documents!$C$5:$C$657,MATCH(H2426,Documents!$A$5:$A$657,0))="","",INDEX(Documents!$C$5:$C$657,MATCH(H2426,Documents!$A$5:$A$657,0))),"")</f>
        <v>2007</v>
      </c>
      <c r="J2426" s="25" t="str">
        <f aca="false">IFERROR(IF(INDEX(Documents!$D$5:$D$657,MATCH(H2426,Documents!$A$5:$A$657,0))="","",INDEX(Documents!$D$5:$D$657,MATCH(H2426,Documents!$A$5:$A$657,0))),"")</f>
        <v>Bioorg Med Chem Lett</v>
      </c>
      <c r="K2426" s="25" t="str">
        <f aca="false">IFERROR(IF(INDEX(Documents!$G$5:$G$657,MATCH(H2426,Documents!$A$5:$A$657,0))="","",INDEX(Documents!$G$5:$G$657,MATCH(H2426,Documents!$A$5:$A$657,0))),"")</f>
        <v>10.1016/j.bmcl.2007.09.019</v>
      </c>
      <c r="L2426" s="25" t="s">
        <v>515</v>
      </c>
    </row>
    <row r="2427" customFormat="false" ht="15" hidden="false" customHeight="false" outlineLevel="0" collapsed="false">
      <c r="A2427" s="25" t="n">
        <v>2048377</v>
      </c>
      <c r="B2427" s="25" t="s">
        <v>5213</v>
      </c>
      <c r="C2427" s="25" t="s">
        <v>5214</v>
      </c>
      <c r="D2427" s="26" t="n">
        <v>38.1</v>
      </c>
      <c r="E2427" s="27" t="n">
        <v>7.41907502432438</v>
      </c>
      <c r="F2427" s="27" t="n">
        <v>7.41907502432438</v>
      </c>
      <c r="G2427" s="25" t="s">
        <v>513</v>
      </c>
      <c r="H2427" s="25" t="s">
        <v>514</v>
      </c>
      <c r="I2427" s="25" t="n">
        <f aca="false">IFERROR(IF(INDEX(Documents!$C$5:$C$657,MATCH(H2427,Documents!$A$5:$A$657,0))="","",INDEX(Documents!$C$5:$C$657,MATCH(H2427,Documents!$A$5:$A$657,0))),"")</f>
        <v>2007</v>
      </c>
      <c r="J2427" s="25" t="str">
        <f aca="false">IFERROR(IF(INDEX(Documents!$D$5:$D$657,MATCH(H2427,Documents!$A$5:$A$657,0))="","",INDEX(Documents!$D$5:$D$657,MATCH(H2427,Documents!$A$5:$A$657,0))),"")</f>
        <v>Bioorg Med Chem Lett</v>
      </c>
      <c r="K2427" s="25" t="str">
        <f aca="false">IFERROR(IF(INDEX(Documents!$G$5:$G$657,MATCH(H2427,Documents!$A$5:$A$657,0))="","",INDEX(Documents!$G$5:$G$657,MATCH(H2427,Documents!$A$5:$A$657,0))),"")</f>
        <v>10.1016/j.bmcl.2007.09.019</v>
      </c>
      <c r="L2427" s="25" t="s">
        <v>515</v>
      </c>
    </row>
    <row r="2428" customFormat="false" ht="15" hidden="false" customHeight="false" outlineLevel="0" collapsed="false">
      <c r="A2428" s="25" t="n">
        <v>2048372</v>
      </c>
      <c r="B2428" s="25" t="s">
        <v>5215</v>
      </c>
      <c r="C2428" s="25" t="s">
        <v>5216</v>
      </c>
      <c r="D2428" s="26" t="n">
        <v>8.9</v>
      </c>
      <c r="E2428" s="27" t="n">
        <v>8.05060999335509</v>
      </c>
      <c r="F2428" s="27" t="n">
        <v>8.05060999335509</v>
      </c>
      <c r="G2428" s="25" t="s">
        <v>513</v>
      </c>
      <c r="H2428" s="25" t="s">
        <v>514</v>
      </c>
      <c r="I2428" s="25" t="n">
        <f aca="false">IFERROR(IF(INDEX(Documents!$C$5:$C$657,MATCH(H2428,Documents!$A$5:$A$657,0))="","",INDEX(Documents!$C$5:$C$657,MATCH(H2428,Documents!$A$5:$A$657,0))),"")</f>
        <v>2007</v>
      </c>
      <c r="J2428" s="25" t="str">
        <f aca="false">IFERROR(IF(INDEX(Documents!$D$5:$D$657,MATCH(H2428,Documents!$A$5:$A$657,0))="","",INDEX(Documents!$D$5:$D$657,MATCH(H2428,Documents!$A$5:$A$657,0))),"")</f>
        <v>Bioorg Med Chem Lett</v>
      </c>
      <c r="K2428" s="25" t="str">
        <f aca="false">IFERROR(IF(INDEX(Documents!$G$5:$G$657,MATCH(H2428,Documents!$A$5:$A$657,0))="","",INDEX(Documents!$G$5:$G$657,MATCH(H2428,Documents!$A$5:$A$657,0))),"")</f>
        <v>10.1016/j.bmcl.2007.09.019</v>
      </c>
      <c r="L2428" s="25" t="s">
        <v>515</v>
      </c>
    </row>
    <row r="2429" customFormat="false" ht="15" hidden="false" customHeight="false" outlineLevel="0" collapsed="false">
      <c r="A2429" s="25" t="n">
        <v>2048388</v>
      </c>
      <c r="B2429" s="25" t="s">
        <v>5217</v>
      </c>
      <c r="C2429" s="25" t="s">
        <v>5218</v>
      </c>
      <c r="D2429" s="26" t="n">
        <v>7</v>
      </c>
      <c r="E2429" s="27" t="n">
        <v>8.15490195998574</v>
      </c>
      <c r="F2429" s="27" t="n">
        <v>8.15490195998574</v>
      </c>
      <c r="G2429" s="25" t="s">
        <v>513</v>
      </c>
      <c r="H2429" s="25" t="s">
        <v>514</v>
      </c>
      <c r="I2429" s="25" t="n">
        <f aca="false">IFERROR(IF(INDEX(Documents!$C$5:$C$657,MATCH(H2429,Documents!$A$5:$A$657,0))="","",INDEX(Documents!$C$5:$C$657,MATCH(H2429,Documents!$A$5:$A$657,0))),"")</f>
        <v>2007</v>
      </c>
      <c r="J2429" s="25" t="str">
        <f aca="false">IFERROR(IF(INDEX(Documents!$D$5:$D$657,MATCH(H2429,Documents!$A$5:$A$657,0))="","",INDEX(Documents!$D$5:$D$657,MATCH(H2429,Documents!$A$5:$A$657,0))),"")</f>
        <v>Bioorg Med Chem Lett</v>
      </c>
      <c r="K2429" s="25" t="str">
        <f aca="false">IFERROR(IF(INDEX(Documents!$G$5:$G$657,MATCH(H2429,Documents!$A$5:$A$657,0))="","",INDEX(Documents!$G$5:$G$657,MATCH(H2429,Documents!$A$5:$A$657,0))),"")</f>
        <v>10.1016/j.bmcl.2007.09.019</v>
      </c>
      <c r="L2429" s="25" t="s">
        <v>515</v>
      </c>
    </row>
    <row r="2430" customFormat="false" ht="15" hidden="false" customHeight="false" outlineLevel="0" collapsed="false">
      <c r="A2430" s="25" t="n">
        <v>2048374</v>
      </c>
      <c r="B2430" s="25" t="s">
        <v>5219</v>
      </c>
      <c r="C2430" s="25" t="s">
        <v>5220</v>
      </c>
      <c r="D2430" s="26" t="n">
        <v>17.6</v>
      </c>
      <c r="E2430" s="27" t="n">
        <v>7.75448733218585</v>
      </c>
      <c r="F2430" s="27" t="n">
        <v>7.75448733218585</v>
      </c>
      <c r="G2430" s="25" t="s">
        <v>513</v>
      </c>
      <c r="H2430" s="25" t="s">
        <v>514</v>
      </c>
      <c r="I2430" s="25" t="n">
        <f aca="false">IFERROR(IF(INDEX(Documents!$C$5:$C$657,MATCH(H2430,Documents!$A$5:$A$657,0))="","",INDEX(Documents!$C$5:$C$657,MATCH(H2430,Documents!$A$5:$A$657,0))),"")</f>
        <v>2007</v>
      </c>
      <c r="J2430" s="25" t="str">
        <f aca="false">IFERROR(IF(INDEX(Documents!$D$5:$D$657,MATCH(H2430,Documents!$A$5:$A$657,0))="","",INDEX(Documents!$D$5:$D$657,MATCH(H2430,Documents!$A$5:$A$657,0))),"")</f>
        <v>Bioorg Med Chem Lett</v>
      </c>
      <c r="K2430" s="25" t="str">
        <f aca="false">IFERROR(IF(INDEX(Documents!$G$5:$G$657,MATCH(H2430,Documents!$A$5:$A$657,0))="","",INDEX(Documents!$G$5:$G$657,MATCH(H2430,Documents!$A$5:$A$657,0))),"")</f>
        <v>10.1016/j.bmcl.2007.09.019</v>
      </c>
      <c r="L2430" s="25" t="s">
        <v>515</v>
      </c>
    </row>
    <row r="2431" customFormat="false" ht="15" hidden="false" customHeight="false" outlineLevel="0" collapsed="false">
      <c r="A2431" s="25" t="n">
        <v>2048376</v>
      </c>
      <c r="B2431" s="25" t="s">
        <v>5221</v>
      </c>
      <c r="C2431" s="25" t="s">
        <v>5222</v>
      </c>
      <c r="D2431" s="26" t="n">
        <v>27.8</v>
      </c>
      <c r="E2431" s="27" t="n">
        <v>7.55595520408192</v>
      </c>
      <c r="F2431" s="27" t="n">
        <v>7.55595520408192</v>
      </c>
      <c r="G2431" s="25" t="s">
        <v>513</v>
      </c>
      <c r="H2431" s="25" t="s">
        <v>514</v>
      </c>
      <c r="I2431" s="25" t="n">
        <f aca="false">IFERROR(IF(INDEX(Documents!$C$5:$C$657,MATCH(H2431,Documents!$A$5:$A$657,0))="","",INDEX(Documents!$C$5:$C$657,MATCH(H2431,Documents!$A$5:$A$657,0))),"")</f>
        <v>2007</v>
      </c>
      <c r="J2431" s="25" t="str">
        <f aca="false">IFERROR(IF(INDEX(Documents!$D$5:$D$657,MATCH(H2431,Documents!$A$5:$A$657,0))="","",INDEX(Documents!$D$5:$D$657,MATCH(H2431,Documents!$A$5:$A$657,0))),"")</f>
        <v>Bioorg Med Chem Lett</v>
      </c>
      <c r="K2431" s="25" t="str">
        <f aca="false">IFERROR(IF(INDEX(Documents!$G$5:$G$657,MATCH(H2431,Documents!$A$5:$A$657,0))="","",INDEX(Documents!$G$5:$G$657,MATCH(H2431,Documents!$A$5:$A$657,0))),"")</f>
        <v>10.1016/j.bmcl.2007.09.019</v>
      </c>
      <c r="L2431" s="25" t="s">
        <v>515</v>
      </c>
    </row>
    <row r="2432" customFormat="false" ht="15" hidden="false" customHeight="false" outlineLevel="0" collapsed="false">
      <c r="A2432" s="25" t="n">
        <v>2048375</v>
      </c>
      <c r="B2432" s="25" t="s">
        <v>5223</v>
      </c>
      <c r="C2432" s="25" t="s">
        <v>5224</v>
      </c>
      <c r="D2432" s="26" t="n">
        <v>216</v>
      </c>
      <c r="E2432" s="27" t="n">
        <v>6.66554624884907</v>
      </c>
      <c r="F2432" s="27" t="n">
        <v>6.66554624884907</v>
      </c>
      <c r="G2432" s="25" t="s">
        <v>513</v>
      </c>
      <c r="H2432" s="25" t="s">
        <v>514</v>
      </c>
      <c r="I2432" s="25" t="n">
        <f aca="false">IFERROR(IF(INDEX(Documents!$C$5:$C$657,MATCH(H2432,Documents!$A$5:$A$657,0))="","",INDEX(Documents!$C$5:$C$657,MATCH(H2432,Documents!$A$5:$A$657,0))),"")</f>
        <v>2007</v>
      </c>
      <c r="J2432" s="25" t="str">
        <f aca="false">IFERROR(IF(INDEX(Documents!$D$5:$D$657,MATCH(H2432,Documents!$A$5:$A$657,0))="","",INDEX(Documents!$D$5:$D$657,MATCH(H2432,Documents!$A$5:$A$657,0))),"")</f>
        <v>Bioorg Med Chem Lett</v>
      </c>
      <c r="K2432" s="25" t="str">
        <f aca="false">IFERROR(IF(INDEX(Documents!$G$5:$G$657,MATCH(H2432,Documents!$A$5:$A$657,0))="","",INDEX(Documents!$G$5:$G$657,MATCH(H2432,Documents!$A$5:$A$657,0))),"")</f>
        <v>10.1016/j.bmcl.2007.09.019</v>
      </c>
      <c r="L2432" s="25" t="s">
        <v>515</v>
      </c>
    </row>
    <row r="2433" customFormat="false" ht="15" hidden="false" customHeight="false" outlineLevel="0" collapsed="false">
      <c r="A2433" s="25" t="n">
        <v>10890219</v>
      </c>
      <c r="B2433" s="25" t="s">
        <v>5225</v>
      </c>
      <c r="C2433" s="25" t="s">
        <v>5226</v>
      </c>
      <c r="D2433" s="26" t="n">
        <v>9</v>
      </c>
      <c r="E2433" s="27" t="n">
        <v>8.04575749056068</v>
      </c>
      <c r="F2433" s="27" t="n">
        <v>8.04575749056068</v>
      </c>
      <c r="G2433" s="25" t="s">
        <v>2924</v>
      </c>
      <c r="H2433" s="25" t="s">
        <v>2925</v>
      </c>
      <c r="I2433" s="25" t="n">
        <f aca="false">IFERROR(IF(INDEX(Documents!$C$5:$C$657,MATCH(H2433,Documents!$A$5:$A$657,0))="","",INDEX(Documents!$C$5:$C$657,MATCH(H2433,Documents!$A$5:$A$657,0))),"")</f>
        <v>2012</v>
      </c>
      <c r="J2433" s="25" t="str">
        <f aca="false">IFERROR(IF(INDEX(Documents!$D$5:$D$657,MATCH(H2433,Documents!$A$5:$A$657,0))="","",INDEX(Documents!$D$5:$D$657,MATCH(H2433,Documents!$A$5:$A$657,0))),"")</f>
        <v>Bioorg Med Chem Lett</v>
      </c>
      <c r="K2433" s="25" t="str">
        <f aca="false">IFERROR(IF(INDEX(Documents!$G$5:$G$657,MATCH(H2433,Documents!$A$5:$A$657,0))="","",INDEX(Documents!$G$5:$G$657,MATCH(H2433,Documents!$A$5:$A$657,0))),"")</f>
        <v>10.1016/j.bmcl.2012.04.128</v>
      </c>
      <c r="L2433" s="25" t="s">
        <v>515</v>
      </c>
    </row>
    <row r="2434" customFormat="false" ht="15" hidden="false" customHeight="false" outlineLevel="0" collapsed="false">
      <c r="A2434" s="25" t="n">
        <v>2048369</v>
      </c>
      <c r="B2434" s="25" t="s">
        <v>5227</v>
      </c>
      <c r="C2434" s="25" t="s">
        <v>5228</v>
      </c>
      <c r="D2434" s="26" t="n">
        <v>6.3</v>
      </c>
      <c r="E2434" s="27" t="n">
        <v>8.20065945054642</v>
      </c>
      <c r="F2434" s="27" t="n">
        <v>8.20065945054642</v>
      </c>
      <c r="G2434" s="25" t="s">
        <v>513</v>
      </c>
      <c r="H2434" s="25" t="s">
        <v>514</v>
      </c>
      <c r="I2434" s="25" t="n">
        <f aca="false">IFERROR(IF(INDEX(Documents!$C$5:$C$657,MATCH(H2434,Documents!$A$5:$A$657,0))="","",INDEX(Documents!$C$5:$C$657,MATCH(H2434,Documents!$A$5:$A$657,0))),"")</f>
        <v>2007</v>
      </c>
      <c r="J2434" s="25" t="str">
        <f aca="false">IFERROR(IF(INDEX(Documents!$D$5:$D$657,MATCH(H2434,Documents!$A$5:$A$657,0))="","",INDEX(Documents!$D$5:$D$657,MATCH(H2434,Documents!$A$5:$A$657,0))),"")</f>
        <v>Bioorg Med Chem Lett</v>
      </c>
      <c r="K2434" s="25" t="str">
        <f aca="false">IFERROR(IF(INDEX(Documents!$G$5:$G$657,MATCH(H2434,Documents!$A$5:$A$657,0))="","",INDEX(Documents!$G$5:$G$657,MATCH(H2434,Documents!$A$5:$A$657,0))),"")</f>
        <v>10.1016/j.bmcl.2007.09.019</v>
      </c>
      <c r="L2434" s="25" t="s">
        <v>515</v>
      </c>
    </row>
    <row r="2435" customFormat="false" ht="15" hidden="false" customHeight="false" outlineLevel="0" collapsed="false">
      <c r="A2435" s="25" t="n">
        <v>2048368</v>
      </c>
      <c r="B2435" s="25" t="s">
        <v>5229</v>
      </c>
      <c r="C2435" s="25" t="s">
        <v>5230</v>
      </c>
      <c r="D2435" s="26" t="n">
        <v>935</v>
      </c>
      <c r="E2435" s="27" t="n">
        <v>6.02918838912748</v>
      </c>
      <c r="F2435" s="27" t="n">
        <v>6.02918838912748</v>
      </c>
      <c r="G2435" s="25" t="s">
        <v>513</v>
      </c>
      <c r="H2435" s="25" t="s">
        <v>514</v>
      </c>
      <c r="I2435" s="25" t="n">
        <f aca="false">IFERROR(IF(INDEX(Documents!$C$5:$C$657,MATCH(H2435,Documents!$A$5:$A$657,0))="","",INDEX(Documents!$C$5:$C$657,MATCH(H2435,Documents!$A$5:$A$657,0))),"")</f>
        <v>2007</v>
      </c>
      <c r="J2435" s="25" t="str">
        <f aca="false">IFERROR(IF(INDEX(Documents!$D$5:$D$657,MATCH(H2435,Documents!$A$5:$A$657,0))="","",INDEX(Documents!$D$5:$D$657,MATCH(H2435,Documents!$A$5:$A$657,0))),"")</f>
        <v>Bioorg Med Chem Lett</v>
      </c>
      <c r="K2435" s="25" t="str">
        <f aca="false">IFERROR(IF(INDEX(Documents!$G$5:$G$657,MATCH(H2435,Documents!$A$5:$A$657,0))="","",INDEX(Documents!$G$5:$G$657,MATCH(H2435,Documents!$A$5:$A$657,0))),"")</f>
        <v>10.1016/j.bmcl.2007.09.019</v>
      </c>
      <c r="L2435" s="25" t="s">
        <v>515</v>
      </c>
    </row>
    <row r="2436" customFormat="false" ht="15" hidden="false" customHeight="false" outlineLevel="0" collapsed="false">
      <c r="A2436" s="25" t="n">
        <v>2048367</v>
      </c>
      <c r="B2436" s="25" t="s">
        <v>5231</v>
      </c>
      <c r="C2436" s="25" t="s">
        <v>5232</v>
      </c>
      <c r="D2436" s="26" t="n">
        <v>1982</v>
      </c>
      <c r="E2436" s="27" t="n">
        <v>5.70289634985074</v>
      </c>
      <c r="F2436" s="27" t="n">
        <v>5.70289634985074</v>
      </c>
      <c r="G2436" s="25" t="s">
        <v>513</v>
      </c>
      <c r="H2436" s="25" t="s">
        <v>514</v>
      </c>
      <c r="I2436" s="25" t="n">
        <f aca="false">IFERROR(IF(INDEX(Documents!$C$5:$C$657,MATCH(H2436,Documents!$A$5:$A$657,0))="","",INDEX(Documents!$C$5:$C$657,MATCH(H2436,Documents!$A$5:$A$657,0))),"")</f>
        <v>2007</v>
      </c>
      <c r="J2436" s="25" t="str">
        <f aca="false">IFERROR(IF(INDEX(Documents!$D$5:$D$657,MATCH(H2436,Documents!$A$5:$A$657,0))="","",INDEX(Documents!$D$5:$D$657,MATCH(H2436,Documents!$A$5:$A$657,0))),"")</f>
        <v>Bioorg Med Chem Lett</v>
      </c>
      <c r="K2436" s="25" t="str">
        <f aca="false">IFERROR(IF(INDEX(Documents!$G$5:$G$657,MATCH(H2436,Documents!$A$5:$A$657,0))="","",INDEX(Documents!$G$5:$G$657,MATCH(H2436,Documents!$A$5:$A$657,0))),"")</f>
        <v>10.1016/j.bmcl.2007.09.019</v>
      </c>
      <c r="L2436" s="25" t="s">
        <v>515</v>
      </c>
    </row>
    <row r="2437" customFormat="false" ht="15" hidden="false" customHeight="false" outlineLevel="0" collapsed="false">
      <c r="A2437" s="25" t="n">
        <v>2048366</v>
      </c>
      <c r="B2437" s="25" t="s">
        <v>5233</v>
      </c>
      <c r="C2437" s="25" t="s">
        <v>5234</v>
      </c>
      <c r="D2437" s="26" t="n">
        <v>37</v>
      </c>
      <c r="E2437" s="27" t="n">
        <v>7.43179827593301</v>
      </c>
      <c r="F2437" s="27" t="n">
        <v>7.43179827593301</v>
      </c>
      <c r="G2437" s="25" t="s">
        <v>513</v>
      </c>
      <c r="H2437" s="25" t="s">
        <v>514</v>
      </c>
      <c r="I2437" s="25" t="n">
        <f aca="false">IFERROR(IF(INDEX(Documents!$C$5:$C$657,MATCH(H2437,Documents!$A$5:$A$657,0))="","",INDEX(Documents!$C$5:$C$657,MATCH(H2437,Documents!$A$5:$A$657,0))),"")</f>
        <v>2007</v>
      </c>
      <c r="J2437" s="25" t="str">
        <f aca="false">IFERROR(IF(INDEX(Documents!$D$5:$D$657,MATCH(H2437,Documents!$A$5:$A$657,0))="","",INDEX(Documents!$D$5:$D$657,MATCH(H2437,Documents!$A$5:$A$657,0))),"")</f>
        <v>Bioorg Med Chem Lett</v>
      </c>
      <c r="K2437" s="25" t="str">
        <f aca="false">IFERROR(IF(INDEX(Documents!$G$5:$G$657,MATCH(H2437,Documents!$A$5:$A$657,0))="","",INDEX(Documents!$G$5:$G$657,MATCH(H2437,Documents!$A$5:$A$657,0))),"")</f>
        <v>10.1016/j.bmcl.2007.09.019</v>
      </c>
      <c r="L2437" s="25" t="s">
        <v>515</v>
      </c>
    </row>
    <row r="2438" customFormat="false" ht="15" hidden="false" customHeight="false" outlineLevel="0" collapsed="false">
      <c r="A2438" s="25" t="n">
        <v>2048382</v>
      </c>
      <c r="B2438" s="25" t="s">
        <v>5235</v>
      </c>
      <c r="C2438" s="25" t="s">
        <v>5236</v>
      </c>
      <c r="D2438" s="26" t="n">
        <v>44.2</v>
      </c>
      <c r="E2438" s="27" t="n">
        <v>7.35457773065091</v>
      </c>
      <c r="F2438" s="27" t="n">
        <v>7.35457773065091</v>
      </c>
      <c r="G2438" s="25" t="s">
        <v>513</v>
      </c>
      <c r="H2438" s="25" t="s">
        <v>514</v>
      </c>
      <c r="I2438" s="25" t="n">
        <f aca="false">IFERROR(IF(INDEX(Documents!$C$5:$C$657,MATCH(H2438,Documents!$A$5:$A$657,0))="","",INDEX(Documents!$C$5:$C$657,MATCH(H2438,Documents!$A$5:$A$657,0))),"")</f>
        <v>2007</v>
      </c>
      <c r="J2438" s="25" t="str">
        <f aca="false">IFERROR(IF(INDEX(Documents!$D$5:$D$657,MATCH(H2438,Documents!$A$5:$A$657,0))="","",INDEX(Documents!$D$5:$D$657,MATCH(H2438,Documents!$A$5:$A$657,0))),"")</f>
        <v>Bioorg Med Chem Lett</v>
      </c>
      <c r="K2438" s="25" t="str">
        <f aca="false">IFERROR(IF(INDEX(Documents!$G$5:$G$657,MATCH(H2438,Documents!$A$5:$A$657,0))="","",INDEX(Documents!$G$5:$G$657,MATCH(H2438,Documents!$A$5:$A$657,0))),"")</f>
        <v>10.1016/j.bmcl.2007.09.019</v>
      </c>
      <c r="L2438" s="25" t="s">
        <v>515</v>
      </c>
    </row>
    <row r="2439" customFormat="false" ht="15" hidden="false" customHeight="false" outlineLevel="0" collapsed="false">
      <c r="A2439" s="25" t="n">
        <v>2048380</v>
      </c>
      <c r="B2439" s="25" t="s">
        <v>5237</v>
      </c>
      <c r="C2439" s="25" t="s">
        <v>5238</v>
      </c>
      <c r="D2439" s="26" t="n">
        <v>27.6</v>
      </c>
      <c r="E2439" s="27" t="n">
        <v>7.55909091793478</v>
      </c>
      <c r="F2439" s="27" t="n">
        <v>7.55909091793478</v>
      </c>
      <c r="G2439" s="25" t="s">
        <v>513</v>
      </c>
      <c r="H2439" s="25" t="s">
        <v>514</v>
      </c>
      <c r="I2439" s="25" t="n">
        <f aca="false">IFERROR(IF(INDEX(Documents!$C$5:$C$657,MATCH(H2439,Documents!$A$5:$A$657,0))="","",INDEX(Documents!$C$5:$C$657,MATCH(H2439,Documents!$A$5:$A$657,0))),"")</f>
        <v>2007</v>
      </c>
      <c r="J2439" s="25" t="str">
        <f aca="false">IFERROR(IF(INDEX(Documents!$D$5:$D$657,MATCH(H2439,Documents!$A$5:$A$657,0))="","",INDEX(Documents!$D$5:$D$657,MATCH(H2439,Documents!$A$5:$A$657,0))),"")</f>
        <v>Bioorg Med Chem Lett</v>
      </c>
      <c r="K2439" s="25" t="str">
        <f aca="false">IFERROR(IF(INDEX(Documents!$G$5:$G$657,MATCH(H2439,Documents!$A$5:$A$657,0))="","",INDEX(Documents!$G$5:$G$657,MATCH(H2439,Documents!$A$5:$A$657,0))),"")</f>
        <v>10.1016/j.bmcl.2007.09.019</v>
      </c>
      <c r="L2439" s="25" t="s">
        <v>515</v>
      </c>
    </row>
    <row r="2440" customFormat="false" ht="15" hidden="false" customHeight="false" outlineLevel="0" collapsed="false">
      <c r="A2440" s="25" t="n">
        <v>2048383</v>
      </c>
      <c r="B2440" s="25" t="s">
        <v>5239</v>
      </c>
      <c r="C2440" s="25" t="s">
        <v>5240</v>
      </c>
      <c r="D2440" s="26" t="n">
        <v>17.5</v>
      </c>
      <c r="E2440" s="27" t="n">
        <v>7.75696195131371</v>
      </c>
      <c r="F2440" s="27" t="n">
        <v>7.75696195131371</v>
      </c>
      <c r="G2440" s="25" t="s">
        <v>513</v>
      </c>
      <c r="H2440" s="25" t="s">
        <v>514</v>
      </c>
      <c r="I2440" s="25" t="n">
        <f aca="false">IFERROR(IF(INDEX(Documents!$C$5:$C$657,MATCH(H2440,Documents!$A$5:$A$657,0))="","",INDEX(Documents!$C$5:$C$657,MATCH(H2440,Documents!$A$5:$A$657,0))),"")</f>
        <v>2007</v>
      </c>
      <c r="J2440" s="25" t="str">
        <f aca="false">IFERROR(IF(INDEX(Documents!$D$5:$D$657,MATCH(H2440,Documents!$A$5:$A$657,0))="","",INDEX(Documents!$D$5:$D$657,MATCH(H2440,Documents!$A$5:$A$657,0))),"")</f>
        <v>Bioorg Med Chem Lett</v>
      </c>
      <c r="K2440" s="25" t="str">
        <f aca="false">IFERROR(IF(INDEX(Documents!$G$5:$G$657,MATCH(H2440,Documents!$A$5:$A$657,0))="","",INDEX(Documents!$G$5:$G$657,MATCH(H2440,Documents!$A$5:$A$657,0))),"")</f>
        <v>10.1016/j.bmcl.2007.09.019</v>
      </c>
      <c r="L2440" s="25" t="s">
        <v>515</v>
      </c>
    </row>
    <row r="2441" customFormat="false" ht="15" hidden="false" customHeight="false" outlineLevel="0" collapsed="false">
      <c r="A2441" s="25" t="n">
        <v>2048381</v>
      </c>
      <c r="B2441" s="25" t="s">
        <v>5241</v>
      </c>
      <c r="C2441" s="25" t="s">
        <v>5242</v>
      </c>
      <c r="D2441" s="26" t="n">
        <v>308</v>
      </c>
      <c r="E2441" s="27" t="n">
        <v>6.51144928349956</v>
      </c>
      <c r="F2441" s="27" t="n">
        <v>6.51144928349956</v>
      </c>
      <c r="G2441" s="25" t="s">
        <v>513</v>
      </c>
      <c r="H2441" s="25" t="s">
        <v>514</v>
      </c>
      <c r="I2441" s="25" t="n">
        <f aca="false">IFERROR(IF(INDEX(Documents!$C$5:$C$657,MATCH(H2441,Documents!$A$5:$A$657,0))="","",INDEX(Documents!$C$5:$C$657,MATCH(H2441,Documents!$A$5:$A$657,0))),"")</f>
        <v>2007</v>
      </c>
      <c r="J2441" s="25" t="str">
        <f aca="false">IFERROR(IF(INDEX(Documents!$D$5:$D$657,MATCH(H2441,Documents!$A$5:$A$657,0))="","",INDEX(Documents!$D$5:$D$657,MATCH(H2441,Documents!$A$5:$A$657,0))),"")</f>
        <v>Bioorg Med Chem Lett</v>
      </c>
      <c r="K2441" s="25" t="str">
        <f aca="false">IFERROR(IF(INDEX(Documents!$G$5:$G$657,MATCH(H2441,Documents!$A$5:$A$657,0))="","",INDEX(Documents!$G$5:$G$657,MATCH(H2441,Documents!$A$5:$A$657,0))),"")</f>
        <v>10.1016/j.bmcl.2007.09.019</v>
      </c>
      <c r="L2441" s="25" t="s">
        <v>515</v>
      </c>
    </row>
    <row r="2442" customFormat="false" ht="15" hidden="false" customHeight="false" outlineLevel="0" collapsed="false">
      <c r="A2442" s="25" t="n">
        <v>2033393</v>
      </c>
      <c r="B2442" s="25" t="s">
        <v>5243</v>
      </c>
      <c r="C2442" s="25" t="s">
        <v>5244</v>
      </c>
      <c r="D2442" s="26" t="n">
        <v>48</v>
      </c>
      <c r="E2442" s="27" t="n">
        <v>7.31875876262441</v>
      </c>
      <c r="F2442" s="27" t="n">
        <v>7.31875876262441</v>
      </c>
      <c r="G2442" s="25" t="s">
        <v>1133</v>
      </c>
      <c r="H2442" s="25" t="s">
        <v>1134</v>
      </c>
      <c r="I2442" s="25" t="n">
        <f aca="false">IFERROR(IF(INDEX(Documents!$C$5:$C$657,MATCH(H2442,Documents!$A$5:$A$657,0))="","",INDEX(Documents!$C$5:$C$657,MATCH(H2442,Documents!$A$5:$A$657,0))),"")</f>
        <v>2007</v>
      </c>
      <c r="J2442" s="25" t="str">
        <f aca="false">IFERROR(IF(INDEX(Documents!$D$5:$D$657,MATCH(H2442,Documents!$A$5:$A$657,0))="","",INDEX(Documents!$D$5:$D$657,MATCH(H2442,Documents!$A$5:$A$657,0))),"")</f>
        <v>Bioorg Med Chem Lett</v>
      </c>
      <c r="K2442" s="25" t="str">
        <f aca="false">IFERROR(IF(INDEX(Documents!$G$5:$G$657,MATCH(H2442,Documents!$A$5:$A$657,0))="","",INDEX(Documents!$G$5:$G$657,MATCH(H2442,Documents!$A$5:$A$657,0))),"")</f>
        <v>10.1016/j.bmcl.2007.04.093</v>
      </c>
      <c r="L2442" s="25" t="s">
        <v>775</v>
      </c>
    </row>
    <row r="2443" customFormat="false" ht="15" hidden="false" customHeight="false" outlineLevel="0" collapsed="false">
      <c r="A2443" s="25" t="n">
        <v>2033391</v>
      </c>
      <c r="B2443" s="25" t="s">
        <v>5245</v>
      </c>
      <c r="C2443" s="25" t="s">
        <v>5246</v>
      </c>
      <c r="D2443" s="26" t="n">
        <v>35</v>
      </c>
      <c r="E2443" s="27" t="n">
        <v>7.45593195564972</v>
      </c>
      <c r="F2443" s="27" t="n">
        <v>7.45593195564972</v>
      </c>
      <c r="G2443" s="25" t="s">
        <v>1133</v>
      </c>
      <c r="H2443" s="25" t="s">
        <v>1134</v>
      </c>
      <c r="I2443" s="25" t="n">
        <f aca="false">IFERROR(IF(INDEX(Documents!$C$5:$C$657,MATCH(H2443,Documents!$A$5:$A$657,0))="","",INDEX(Documents!$C$5:$C$657,MATCH(H2443,Documents!$A$5:$A$657,0))),"")</f>
        <v>2007</v>
      </c>
      <c r="J2443" s="25" t="str">
        <f aca="false">IFERROR(IF(INDEX(Documents!$D$5:$D$657,MATCH(H2443,Documents!$A$5:$A$657,0))="","",INDEX(Documents!$D$5:$D$657,MATCH(H2443,Documents!$A$5:$A$657,0))),"")</f>
        <v>Bioorg Med Chem Lett</v>
      </c>
      <c r="K2443" s="25" t="str">
        <f aca="false">IFERROR(IF(INDEX(Documents!$G$5:$G$657,MATCH(H2443,Documents!$A$5:$A$657,0))="","",INDEX(Documents!$G$5:$G$657,MATCH(H2443,Documents!$A$5:$A$657,0))),"")</f>
        <v>10.1016/j.bmcl.2007.04.093</v>
      </c>
      <c r="L2443" s="25" t="s">
        <v>775</v>
      </c>
    </row>
    <row r="2444" customFormat="false" ht="15" hidden="false" customHeight="false" outlineLevel="0" collapsed="false">
      <c r="A2444" s="25" t="n">
        <v>12089853</v>
      </c>
      <c r="B2444" s="25" t="s">
        <v>5247</v>
      </c>
      <c r="C2444" s="25" t="s">
        <v>5248</v>
      </c>
      <c r="D2444" s="26" t="n">
        <v>4.93</v>
      </c>
      <c r="E2444" s="27" t="n">
        <v>8.30715308072277</v>
      </c>
      <c r="F2444" s="27" t="n">
        <v>8.30715308072277</v>
      </c>
      <c r="G2444" s="25" t="s">
        <v>1028</v>
      </c>
      <c r="H2444" s="25" t="s">
        <v>1029</v>
      </c>
      <c r="I2444" s="25" t="n">
        <f aca="false">IFERROR(IF(INDEX(Documents!$C$5:$C$657,MATCH(H2444,Documents!$A$5:$A$657,0))="","",INDEX(Documents!$C$5:$C$657,MATCH(H2444,Documents!$A$5:$A$657,0))),"")</f>
        <v>2012</v>
      </c>
      <c r="J2444" s="25" t="str">
        <f aca="false">IFERROR(IF(INDEX(Documents!$D$5:$D$657,MATCH(H2444,Documents!$A$5:$A$657,0))="","",INDEX(Documents!$D$5:$D$657,MATCH(H2444,Documents!$A$5:$A$657,0))),"")</f>
        <v>J Med Chem</v>
      </c>
      <c r="K2444" s="25" t="str">
        <f aca="false">IFERROR(IF(INDEX(Documents!$G$5:$G$657,MATCH(H2444,Documents!$A$5:$A$657,0))="","",INDEX(Documents!$G$5:$G$657,MATCH(H2444,Documents!$A$5:$A$657,0))),"")</f>
        <v>10.1021/jm300763w</v>
      </c>
      <c r="L2444" s="25" t="s">
        <v>1030</v>
      </c>
    </row>
    <row r="2445" customFormat="false" ht="15" hidden="false" customHeight="false" outlineLevel="0" collapsed="false">
      <c r="A2445" s="25" t="n">
        <v>12089855</v>
      </c>
      <c r="B2445" s="25" t="s">
        <v>5249</v>
      </c>
      <c r="C2445" s="25" t="s">
        <v>5250</v>
      </c>
      <c r="D2445" s="26" t="n">
        <v>4.12</v>
      </c>
      <c r="E2445" s="27" t="n">
        <v>8.38510278396687</v>
      </c>
      <c r="F2445" s="27" t="n">
        <v>8.38510278396687</v>
      </c>
      <c r="G2445" s="25" t="s">
        <v>1028</v>
      </c>
      <c r="H2445" s="25" t="s">
        <v>1029</v>
      </c>
      <c r="I2445" s="25" t="n">
        <f aca="false">IFERROR(IF(INDEX(Documents!$C$5:$C$657,MATCH(H2445,Documents!$A$5:$A$657,0))="","",INDEX(Documents!$C$5:$C$657,MATCH(H2445,Documents!$A$5:$A$657,0))),"")</f>
        <v>2012</v>
      </c>
      <c r="J2445" s="25" t="str">
        <f aca="false">IFERROR(IF(INDEX(Documents!$D$5:$D$657,MATCH(H2445,Documents!$A$5:$A$657,0))="","",INDEX(Documents!$D$5:$D$657,MATCH(H2445,Documents!$A$5:$A$657,0))),"")</f>
        <v>J Med Chem</v>
      </c>
      <c r="K2445" s="25" t="str">
        <f aca="false">IFERROR(IF(INDEX(Documents!$G$5:$G$657,MATCH(H2445,Documents!$A$5:$A$657,0))="","",INDEX(Documents!$G$5:$G$657,MATCH(H2445,Documents!$A$5:$A$657,0))),"")</f>
        <v>10.1021/jm300763w</v>
      </c>
      <c r="L2445" s="25" t="s">
        <v>1030</v>
      </c>
    </row>
    <row r="2446" customFormat="false" ht="15" hidden="false" customHeight="false" outlineLevel="0" collapsed="false">
      <c r="A2446" s="25" t="n">
        <v>2355487</v>
      </c>
      <c r="B2446" s="25" t="s">
        <v>5251</v>
      </c>
      <c r="C2446" s="25" t="s">
        <v>5252</v>
      </c>
      <c r="D2446" s="26" t="n">
        <v>67</v>
      </c>
      <c r="E2446" s="27" t="n">
        <v>7.17392519729917</v>
      </c>
      <c r="F2446" s="27" t="n">
        <v>7.17392519729917</v>
      </c>
      <c r="G2446" s="25" t="s">
        <v>773</v>
      </c>
      <c r="H2446" s="25" t="s">
        <v>774</v>
      </c>
      <c r="I2446" s="25" t="n">
        <f aca="false">IFERROR(IF(INDEX(Documents!$C$5:$C$657,MATCH(H2446,Documents!$A$5:$A$657,0))="","",INDEX(Documents!$C$5:$C$657,MATCH(H2446,Documents!$A$5:$A$657,0))),"")</f>
        <v>2008</v>
      </c>
      <c r="J2446" s="25" t="str">
        <f aca="false">IFERROR(IF(INDEX(Documents!$D$5:$D$657,MATCH(H2446,Documents!$A$5:$A$657,0))="","",INDEX(Documents!$D$5:$D$657,MATCH(H2446,Documents!$A$5:$A$657,0))),"")</f>
        <v>Bioorg Med Chem Lett</v>
      </c>
      <c r="K2446" s="25" t="str">
        <f aca="false">IFERROR(IF(INDEX(Documents!$G$5:$G$657,MATCH(H2446,Documents!$A$5:$A$657,0))="","",INDEX(Documents!$G$5:$G$657,MATCH(H2446,Documents!$A$5:$A$657,0))),"")</f>
        <v>10.1016/j.bmcl.2008.04.032</v>
      </c>
      <c r="L2446" s="25" t="s">
        <v>775</v>
      </c>
    </row>
    <row r="2447" customFormat="false" ht="15" hidden="false" customHeight="false" outlineLevel="0" collapsed="false">
      <c r="A2447" s="25" t="n">
        <v>2980534</v>
      </c>
      <c r="B2447" s="25" t="s">
        <v>5253</v>
      </c>
      <c r="C2447" s="25" t="s">
        <v>5254</v>
      </c>
      <c r="D2447" s="26" t="n">
        <v>16</v>
      </c>
      <c r="E2447" s="27" t="n">
        <v>7.79588001734408</v>
      </c>
      <c r="F2447" s="27" t="n">
        <v>7.79792537539515</v>
      </c>
      <c r="G2447" s="25" t="s">
        <v>599</v>
      </c>
      <c r="H2447" s="25" t="s">
        <v>600</v>
      </c>
      <c r="I2447" s="25" t="n">
        <f aca="false">IFERROR(IF(INDEX(Documents!$C$5:$C$657,MATCH(H2447,Documents!$A$5:$A$657,0))="","",INDEX(Documents!$C$5:$C$657,MATCH(H2447,Documents!$A$5:$A$657,0))),"")</f>
        <v>2010</v>
      </c>
      <c r="J2447" s="25" t="str">
        <f aca="false">IFERROR(IF(INDEX(Documents!$D$5:$D$657,MATCH(H2447,Documents!$A$5:$A$657,0))="","",INDEX(Documents!$D$5:$D$657,MATCH(H2447,Documents!$A$5:$A$657,0))),"")</f>
        <v>J Med Chem</v>
      </c>
      <c r="K2447" s="25" t="str">
        <f aca="false">IFERROR(IF(INDEX(Documents!$G$5:$G$657,MATCH(H2447,Documents!$A$5:$A$657,0))="","",INDEX(Documents!$G$5:$G$657,MATCH(H2447,Documents!$A$5:$A$657,0))),"")</f>
        <v>10.1021/jm901214q</v>
      </c>
      <c r="L2447" s="25" t="s">
        <v>601</v>
      </c>
    </row>
    <row r="2448" customFormat="false" ht="15" hidden="false" customHeight="false" outlineLevel="0" collapsed="false">
      <c r="A2448" s="25" t="n">
        <v>2980544</v>
      </c>
      <c r="B2448" s="25" t="s">
        <v>5253</v>
      </c>
      <c r="C2448" s="25" t="s">
        <v>5254</v>
      </c>
      <c r="D2448" s="26" t="n">
        <v>15.85</v>
      </c>
      <c r="E2448" s="27" t="n">
        <v>7.79997073344623</v>
      </c>
      <c r="F2448" s="27" t="n">
        <v>7.79792537539515</v>
      </c>
      <c r="G2448" s="25" t="s">
        <v>599</v>
      </c>
      <c r="H2448" s="25" t="s">
        <v>600</v>
      </c>
      <c r="I2448" s="25" t="n">
        <f aca="false">IFERROR(IF(INDEX(Documents!$C$5:$C$657,MATCH(H2448,Documents!$A$5:$A$657,0))="","",INDEX(Documents!$C$5:$C$657,MATCH(H2448,Documents!$A$5:$A$657,0))),"")</f>
        <v>2010</v>
      </c>
      <c r="J2448" s="25" t="str">
        <f aca="false">IFERROR(IF(INDEX(Documents!$D$5:$D$657,MATCH(H2448,Documents!$A$5:$A$657,0))="","",INDEX(Documents!$D$5:$D$657,MATCH(H2448,Documents!$A$5:$A$657,0))),"")</f>
        <v>J Med Chem</v>
      </c>
      <c r="K2448" s="25" t="str">
        <f aca="false">IFERROR(IF(INDEX(Documents!$G$5:$G$657,MATCH(H2448,Documents!$A$5:$A$657,0))="","",INDEX(Documents!$G$5:$G$657,MATCH(H2448,Documents!$A$5:$A$657,0))),"")</f>
        <v>10.1021/jm901214q</v>
      </c>
      <c r="L2448" s="25" t="s">
        <v>601</v>
      </c>
    </row>
    <row r="2449" customFormat="false" ht="15" hidden="false" customHeight="false" outlineLevel="0" collapsed="false">
      <c r="A2449" s="25" t="n">
        <v>12089852</v>
      </c>
      <c r="B2449" s="25" t="s">
        <v>5255</v>
      </c>
      <c r="C2449" s="25" t="s">
        <v>5256</v>
      </c>
      <c r="D2449" s="26" t="n">
        <v>88</v>
      </c>
      <c r="E2449" s="27" t="n">
        <v>7.05551732784983</v>
      </c>
      <c r="F2449" s="27" t="n">
        <v>7.05551732784983</v>
      </c>
      <c r="G2449" s="25" t="s">
        <v>1028</v>
      </c>
      <c r="H2449" s="25" t="s">
        <v>1029</v>
      </c>
      <c r="I2449" s="25" t="n">
        <f aca="false">IFERROR(IF(INDEX(Documents!$C$5:$C$657,MATCH(H2449,Documents!$A$5:$A$657,0))="","",INDEX(Documents!$C$5:$C$657,MATCH(H2449,Documents!$A$5:$A$657,0))),"")</f>
        <v>2012</v>
      </c>
      <c r="J2449" s="25" t="str">
        <f aca="false">IFERROR(IF(INDEX(Documents!$D$5:$D$657,MATCH(H2449,Documents!$A$5:$A$657,0))="","",INDEX(Documents!$D$5:$D$657,MATCH(H2449,Documents!$A$5:$A$657,0))),"")</f>
        <v>J Med Chem</v>
      </c>
      <c r="K2449" s="25" t="str">
        <f aca="false">IFERROR(IF(INDEX(Documents!$G$5:$G$657,MATCH(H2449,Documents!$A$5:$A$657,0))="","",INDEX(Documents!$G$5:$G$657,MATCH(H2449,Documents!$A$5:$A$657,0))),"")</f>
        <v>10.1021/jm300763w</v>
      </c>
      <c r="L2449" s="25" t="s">
        <v>1030</v>
      </c>
    </row>
    <row r="2450" customFormat="false" ht="15" hidden="false" customHeight="false" outlineLevel="0" collapsed="false">
      <c r="A2450" s="25" t="n">
        <v>12089854</v>
      </c>
      <c r="B2450" s="25" t="s">
        <v>5257</v>
      </c>
      <c r="C2450" s="25" t="s">
        <v>5258</v>
      </c>
      <c r="D2450" s="26" t="n">
        <v>187</v>
      </c>
      <c r="E2450" s="27" t="n">
        <v>6.7281583934635</v>
      </c>
      <c r="F2450" s="27" t="n">
        <v>6.7281583934635</v>
      </c>
      <c r="G2450" s="25" t="s">
        <v>1028</v>
      </c>
      <c r="H2450" s="25" t="s">
        <v>1029</v>
      </c>
      <c r="I2450" s="25" t="n">
        <f aca="false">IFERROR(IF(INDEX(Documents!$C$5:$C$657,MATCH(H2450,Documents!$A$5:$A$657,0))="","",INDEX(Documents!$C$5:$C$657,MATCH(H2450,Documents!$A$5:$A$657,0))),"")</f>
        <v>2012</v>
      </c>
      <c r="J2450" s="25" t="str">
        <f aca="false">IFERROR(IF(INDEX(Documents!$D$5:$D$657,MATCH(H2450,Documents!$A$5:$A$657,0))="","",INDEX(Documents!$D$5:$D$657,MATCH(H2450,Documents!$A$5:$A$657,0))),"")</f>
        <v>J Med Chem</v>
      </c>
      <c r="K2450" s="25" t="str">
        <f aca="false">IFERROR(IF(INDEX(Documents!$G$5:$G$657,MATCH(H2450,Documents!$A$5:$A$657,0))="","",INDEX(Documents!$G$5:$G$657,MATCH(H2450,Documents!$A$5:$A$657,0))),"")</f>
        <v>10.1021/jm300763w</v>
      </c>
      <c r="L2450" s="25" t="s">
        <v>1030</v>
      </c>
    </row>
    <row r="2451" customFormat="false" ht="15" hidden="false" customHeight="false" outlineLevel="0" collapsed="false">
      <c r="A2451" s="25" t="n">
        <v>24666733</v>
      </c>
      <c r="B2451" s="25" t="s">
        <v>5259</v>
      </c>
      <c r="C2451" s="25" t="s">
        <v>5260</v>
      </c>
      <c r="D2451" s="26" t="n">
        <v>1072</v>
      </c>
      <c r="E2451" s="27" t="n">
        <v>5.96980521464325</v>
      </c>
      <c r="F2451" s="27" t="n">
        <v>5.96980521464325</v>
      </c>
      <c r="G2451" s="25" t="s">
        <v>397</v>
      </c>
      <c r="H2451" s="25" t="s">
        <v>398</v>
      </c>
      <c r="I2451" s="25" t="n">
        <f aca="false">IFERROR(IF(INDEX(Documents!$C$5:$C$657,MATCH(H2451,Documents!$A$5:$A$657,0))="","",INDEX(Documents!$C$5:$C$657,MATCH(H2451,Documents!$A$5:$A$657,0))),"")</f>
        <v>2021</v>
      </c>
      <c r="J2451" s="25" t="str">
        <f aca="false">IFERROR(IF(INDEX(Documents!$D$5:$D$657,MATCH(H2451,Documents!$A$5:$A$657,0))="","",INDEX(Documents!$D$5:$D$657,MATCH(H2451,Documents!$A$5:$A$657,0))),"")</f>
        <v>Eur J Med Chem</v>
      </c>
      <c r="K2451" s="25" t="str">
        <f aca="false">IFERROR(IF(INDEX(Documents!$G$5:$G$657,MATCH(H2451,Documents!$A$5:$A$657,0))="","",INDEX(Documents!$G$5:$G$657,MATCH(H2451,Documents!$A$5:$A$657,0))),"")</f>
        <v>10.1016/j.ejmech.2021.113878</v>
      </c>
      <c r="L2451" s="25" t="s">
        <v>399</v>
      </c>
    </row>
    <row r="2452" customFormat="false" ht="15" hidden="false" customHeight="false" outlineLevel="0" collapsed="false">
      <c r="A2452" s="25" t="n">
        <v>16790059</v>
      </c>
      <c r="B2452" s="25" t="s">
        <v>5261</v>
      </c>
      <c r="C2452" s="25" t="s">
        <v>5262</v>
      </c>
      <c r="D2452" s="26" t="n">
        <v>540.1</v>
      </c>
      <c r="E2452" s="27" t="n">
        <v>6.26752582271881</v>
      </c>
      <c r="F2452" s="27" t="n">
        <v>6.26752582271881</v>
      </c>
      <c r="G2452" s="25" t="s">
        <v>5022</v>
      </c>
      <c r="H2452" s="25" t="s">
        <v>5023</v>
      </c>
      <c r="I2452" s="25" t="n">
        <f aca="false">IFERROR(IF(INDEX(Documents!$C$5:$C$657,MATCH(H2452,Documents!$A$5:$A$657,0))="","",INDEX(Documents!$C$5:$C$657,MATCH(H2452,Documents!$A$5:$A$657,0))),"")</f>
        <v>2016</v>
      </c>
      <c r="J2452" s="25" t="str">
        <f aca="false">IFERROR(IF(INDEX(Documents!$D$5:$D$657,MATCH(H2452,Documents!$A$5:$A$657,0))="","",INDEX(Documents!$D$5:$D$657,MATCH(H2452,Documents!$A$5:$A$657,0))),"")</f>
        <v>Eur J Med Chem</v>
      </c>
      <c r="K2452" s="25" t="str">
        <f aca="false">IFERROR(IF(INDEX(Documents!$G$5:$G$657,MATCH(H2452,Documents!$A$5:$A$657,0))="","",INDEX(Documents!$G$5:$G$657,MATCH(H2452,Documents!$A$5:$A$657,0))),"")</f>
        <v>10.1016/j.ejmech.2016.07.012</v>
      </c>
      <c r="L2452" s="25" t="s">
        <v>5024</v>
      </c>
    </row>
    <row r="2453" customFormat="false" ht="15" hidden="false" customHeight="false" outlineLevel="0" collapsed="false">
      <c r="A2453" s="25" t="n">
        <v>16790055</v>
      </c>
      <c r="B2453" s="25" t="s">
        <v>5263</v>
      </c>
      <c r="C2453" s="25" t="s">
        <v>5264</v>
      </c>
      <c r="D2453" s="26" t="n">
        <v>6.15</v>
      </c>
      <c r="E2453" s="27" t="n">
        <v>8.21112488422458</v>
      </c>
      <c r="F2453" s="27" t="n">
        <v>8.21112488422458</v>
      </c>
      <c r="G2453" s="25" t="s">
        <v>5022</v>
      </c>
      <c r="H2453" s="25" t="s">
        <v>5023</v>
      </c>
      <c r="I2453" s="25" t="n">
        <f aca="false">IFERROR(IF(INDEX(Documents!$C$5:$C$657,MATCH(H2453,Documents!$A$5:$A$657,0))="","",INDEX(Documents!$C$5:$C$657,MATCH(H2453,Documents!$A$5:$A$657,0))),"")</f>
        <v>2016</v>
      </c>
      <c r="J2453" s="25" t="str">
        <f aca="false">IFERROR(IF(INDEX(Documents!$D$5:$D$657,MATCH(H2453,Documents!$A$5:$A$657,0))="","",INDEX(Documents!$D$5:$D$657,MATCH(H2453,Documents!$A$5:$A$657,0))),"")</f>
        <v>Eur J Med Chem</v>
      </c>
      <c r="K2453" s="25" t="str">
        <f aca="false">IFERROR(IF(INDEX(Documents!$G$5:$G$657,MATCH(H2453,Documents!$A$5:$A$657,0))="","",INDEX(Documents!$G$5:$G$657,MATCH(H2453,Documents!$A$5:$A$657,0))),"")</f>
        <v>10.1016/j.ejmech.2016.07.012</v>
      </c>
      <c r="L2453" s="25" t="s">
        <v>5024</v>
      </c>
    </row>
    <row r="2454" customFormat="false" ht="15" hidden="false" customHeight="false" outlineLevel="0" collapsed="false">
      <c r="A2454" s="25" t="n">
        <v>3102061</v>
      </c>
      <c r="B2454" s="25" t="s">
        <v>5265</v>
      </c>
      <c r="C2454" s="25" t="s">
        <v>5266</v>
      </c>
      <c r="D2454" s="26" t="n">
        <v>1.03</v>
      </c>
      <c r="E2454" s="27" t="n">
        <v>8.98716277529483</v>
      </c>
      <c r="F2454" s="27" t="n">
        <v>8.98716277529483</v>
      </c>
      <c r="G2454" s="25" t="s">
        <v>4178</v>
      </c>
      <c r="H2454" s="25" t="s">
        <v>4179</v>
      </c>
      <c r="I2454" s="25" t="n">
        <f aca="false">IFERROR(IF(INDEX(Documents!$C$5:$C$657,MATCH(H2454,Documents!$A$5:$A$657,0))="","",INDEX(Documents!$C$5:$C$657,MATCH(H2454,Documents!$A$5:$A$657,0))),"")</f>
        <v>2010</v>
      </c>
      <c r="J2454" s="25" t="str">
        <f aca="false">IFERROR(IF(INDEX(Documents!$D$5:$D$657,MATCH(H2454,Documents!$A$5:$A$657,0))="","",INDEX(Documents!$D$5:$D$657,MATCH(H2454,Documents!$A$5:$A$657,0))),"")</f>
        <v>Bioorg Med Chem Lett</v>
      </c>
      <c r="K2454" s="25" t="str">
        <f aca="false">IFERROR(IF(INDEX(Documents!$G$5:$G$657,MATCH(H2454,Documents!$A$5:$A$657,0))="","",INDEX(Documents!$G$5:$G$657,MATCH(H2454,Documents!$A$5:$A$657,0))),"")</f>
        <v>10.1016/j.bmcl.2009.12.032</v>
      </c>
      <c r="L2454" s="25" t="s">
        <v>659</v>
      </c>
    </row>
    <row r="2455" customFormat="false" ht="15" hidden="false" customHeight="false" outlineLevel="0" collapsed="false">
      <c r="A2455" s="25" t="n">
        <v>378745</v>
      </c>
      <c r="B2455" s="25" t="s">
        <v>5267</v>
      </c>
      <c r="C2455" s="25" t="s">
        <v>5268</v>
      </c>
      <c r="D2455" s="26" t="n">
        <v>110</v>
      </c>
      <c r="E2455" s="27" t="n">
        <v>6.95860731484178</v>
      </c>
      <c r="F2455" s="27" t="n">
        <v>6.95860731484178</v>
      </c>
      <c r="G2455" s="25" t="s">
        <v>5269</v>
      </c>
      <c r="H2455" s="25" t="s">
        <v>5270</v>
      </c>
      <c r="I2455" s="25" t="n">
        <f aca="false">IFERROR(IF(INDEX(Documents!$C$5:$C$657,MATCH(H2455,Documents!$A$5:$A$657,0))="","",INDEX(Documents!$C$5:$C$657,MATCH(H2455,Documents!$A$5:$A$657,0))),"")</f>
        <v>2003</v>
      </c>
      <c r="J2455" s="25" t="str">
        <f aca="false">IFERROR(IF(INDEX(Documents!$D$5:$D$657,MATCH(H2455,Documents!$A$5:$A$657,0))="","",INDEX(Documents!$D$5:$D$657,MATCH(H2455,Documents!$A$5:$A$657,0))),"")</f>
        <v>J Med Chem</v>
      </c>
      <c r="K2455" s="25" t="str">
        <f aca="false">IFERROR(IF(INDEX(Documents!$G$5:$G$657,MATCH(H2455,Documents!$A$5:$A$657,0))="","",INDEX(Documents!$G$5:$G$657,MATCH(H2455,Documents!$A$5:$A$657,0))),"")</f>
        <v>10.1021/jm020329q</v>
      </c>
      <c r="L2455" s="25" t="s">
        <v>5271</v>
      </c>
    </row>
    <row r="2456" customFormat="false" ht="15" hidden="false" customHeight="false" outlineLevel="0" collapsed="false">
      <c r="A2456" s="25" t="n">
        <v>16790061</v>
      </c>
      <c r="B2456" s="25" t="s">
        <v>5272</v>
      </c>
      <c r="C2456" s="25" t="s">
        <v>5273</v>
      </c>
      <c r="D2456" s="26" t="n">
        <v>170.81</v>
      </c>
      <c r="E2456" s="27" t="n">
        <v>6.76748670731394</v>
      </c>
      <c r="F2456" s="27" t="n">
        <v>6.76748670731394</v>
      </c>
      <c r="G2456" s="25" t="s">
        <v>5022</v>
      </c>
      <c r="H2456" s="25" t="s">
        <v>5023</v>
      </c>
      <c r="I2456" s="25" t="n">
        <f aca="false">IFERROR(IF(INDEX(Documents!$C$5:$C$657,MATCH(H2456,Documents!$A$5:$A$657,0))="","",INDEX(Documents!$C$5:$C$657,MATCH(H2456,Documents!$A$5:$A$657,0))),"")</f>
        <v>2016</v>
      </c>
      <c r="J2456" s="25" t="str">
        <f aca="false">IFERROR(IF(INDEX(Documents!$D$5:$D$657,MATCH(H2456,Documents!$A$5:$A$657,0))="","",INDEX(Documents!$D$5:$D$657,MATCH(H2456,Documents!$A$5:$A$657,0))),"")</f>
        <v>Eur J Med Chem</v>
      </c>
      <c r="K2456" s="25" t="str">
        <f aca="false">IFERROR(IF(INDEX(Documents!$G$5:$G$657,MATCH(H2456,Documents!$A$5:$A$657,0))="","",INDEX(Documents!$G$5:$G$657,MATCH(H2456,Documents!$A$5:$A$657,0))),"")</f>
        <v>10.1016/j.ejmech.2016.07.012</v>
      </c>
      <c r="L2456" s="25" t="s">
        <v>5024</v>
      </c>
    </row>
    <row r="2457" customFormat="false" ht="15" hidden="false" customHeight="false" outlineLevel="0" collapsed="false">
      <c r="A2457" s="25" t="n">
        <v>7852144</v>
      </c>
      <c r="B2457" s="25" t="s">
        <v>5274</v>
      </c>
      <c r="C2457" s="25" t="s">
        <v>5275</v>
      </c>
      <c r="D2457" s="26" t="n">
        <v>1.7</v>
      </c>
      <c r="E2457" s="27" t="n">
        <v>8.76955107862173</v>
      </c>
      <c r="F2457" s="27" t="n">
        <v>8.76955107862173</v>
      </c>
      <c r="G2457" s="25" t="s">
        <v>5276</v>
      </c>
      <c r="H2457" s="25" t="s">
        <v>5277</v>
      </c>
      <c r="I2457" s="25" t="n">
        <f aca="false">IFERROR(IF(INDEX(Documents!$C$5:$C$657,MATCH(H2457,Documents!$A$5:$A$657,0))="","",INDEX(Documents!$C$5:$C$657,MATCH(H2457,Documents!$A$5:$A$657,0))),"")</f>
        <v>2011</v>
      </c>
      <c r="J2457" s="25" t="str">
        <f aca="false">IFERROR(IF(INDEX(Documents!$D$5:$D$657,MATCH(H2457,Documents!$A$5:$A$657,0))="","",INDEX(Documents!$D$5:$D$657,MATCH(H2457,Documents!$A$5:$A$657,0))),"")</f>
        <v>Eur J Med Chem</v>
      </c>
      <c r="K2457" s="25" t="str">
        <f aca="false">IFERROR(IF(INDEX(Documents!$G$5:$G$657,MATCH(H2457,Documents!$A$5:$A$657,0))="","",INDEX(Documents!$G$5:$G$657,MATCH(H2457,Documents!$A$5:$A$657,0))),"")</f>
        <v>10.1016/j.ejmech.2011.09.037</v>
      </c>
      <c r="L2457" s="25" t="s">
        <v>5278</v>
      </c>
    </row>
    <row r="2458" customFormat="false" ht="15" hidden="false" customHeight="false" outlineLevel="0" collapsed="false">
      <c r="A2458" s="25" t="n">
        <v>7852142</v>
      </c>
      <c r="B2458" s="25" t="s">
        <v>5279</v>
      </c>
      <c r="C2458" s="25" t="s">
        <v>5280</v>
      </c>
      <c r="D2458" s="26" t="n">
        <v>0.51</v>
      </c>
      <c r="E2458" s="27" t="n">
        <v>9.29242982390206</v>
      </c>
      <c r="F2458" s="27" t="n">
        <v>9.29242982390206</v>
      </c>
      <c r="G2458" s="25" t="s">
        <v>5276</v>
      </c>
      <c r="H2458" s="25" t="s">
        <v>5277</v>
      </c>
      <c r="I2458" s="25" t="n">
        <f aca="false">IFERROR(IF(INDEX(Documents!$C$5:$C$657,MATCH(H2458,Documents!$A$5:$A$657,0))="","",INDEX(Documents!$C$5:$C$657,MATCH(H2458,Documents!$A$5:$A$657,0))),"")</f>
        <v>2011</v>
      </c>
      <c r="J2458" s="25" t="str">
        <f aca="false">IFERROR(IF(INDEX(Documents!$D$5:$D$657,MATCH(H2458,Documents!$A$5:$A$657,0))="","",INDEX(Documents!$D$5:$D$657,MATCH(H2458,Documents!$A$5:$A$657,0))),"")</f>
        <v>Eur J Med Chem</v>
      </c>
      <c r="K2458" s="25" t="str">
        <f aca="false">IFERROR(IF(INDEX(Documents!$G$5:$G$657,MATCH(H2458,Documents!$A$5:$A$657,0))="","",INDEX(Documents!$G$5:$G$657,MATCH(H2458,Documents!$A$5:$A$657,0))),"")</f>
        <v>10.1016/j.ejmech.2011.09.037</v>
      </c>
      <c r="L2458" s="25" t="s">
        <v>5278</v>
      </c>
    </row>
    <row r="2459" customFormat="false" ht="15" hidden="false" customHeight="false" outlineLevel="0" collapsed="false">
      <c r="A2459" s="25" t="n">
        <v>7852134</v>
      </c>
      <c r="B2459" s="25" t="s">
        <v>5281</v>
      </c>
      <c r="C2459" s="25" t="s">
        <v>5282</v>
      </c>
      <c r="D2459" s="26" t="n">
        <v>753.8</v>
      </c>
      <c r="E2459" s="27" t="n">
        <v>6.12274386688641</v>
      </c>
      <c r="F2459" s="27" t="n">
        <v>6.12274386688641</v>
      </c>
      <c r="G2459" s="25" t="s">
        <v>5276</v>
      </c>
      <c r="H2459" s="25" t="s">
        <v>5277</v>
      </c>
      <c r="I2459" s="25" t="n">
        <f aca="false">IFERROR(IF(INDEX(Documents!$C$5:$C$657,MATCH(H2459,Documents!$A$5:$A$657,0))="","",INDEX(Documents!$C$5:$C$657,MATCH(H2459,Documents!$A$5:$A$657,0))),"")</f>
        <v>2011</v>
      </c>
      <c r="J2459" s="25" t="str">
        <f aca="false">IFERROR(IF(INDEX(Documents!$D$5:$D$657,MATCH(H2459,Documents!$A$5:$A$657,0))="","",INDEX(Documents!$D$5:$D$657,MATCH(H2459,Documents!$A$5:$A$657,0))),"")</f>
        <v>Eur J Med Chem</v>
      </c>
      <c r="K2459" s="25" t="str">
        <f aca="false">IFERROR(IF(INDEX(Documents!$G$5:$G$657,MATCH(H2459,Documents!$A$5:$A$657,0))="","",INDEX(Documents!$G$5:$G$657,MATCH(H2459,Documents!$A$5:$A$657,0))),"")</f>
        <v>10.1016/j.ejmech.2011.09.037</v>
      </c>
      <c r="L2459" s="25" t="s">
        <v>5278</v>
      </c>
    </row>
    <row r="2460" customFormat="false" ht="15" hidden="false" customHeight="false" outlineLevel="0" collapsed="false">
      <c r="A2460" s="25" t="n">
        <v>7852132</v>
      </c>
      <c r="B2460" s="25" t="s">
        <v>5283</v>
      </c>
      <c r="C2460" s="25" t="s">
        <v>5284</v>
      </c>
      <c r="D2460" s="26" t="n">
        <v>15.8</v>
      </c>
      <c r="E2460" s="27" t="n">
        <v>7.80134291304558</v>
      </c>
      <c r="F2460" s="27" t="n">
        <v>7.80134291304558</v>
      </c>
      <c r="G2460" s="25" t="s">
        <v>5276</v>
      </c>
      <c r="H2460" s="25" t="s">
        <v>5277</v>
      </c>
      <c r="I2460" s="25" t="n">
        <f aca="false">IFERROR(IF(INDEX(Documents!$C$5:$C$657,MATCH(H2460,Documents!$A$5:$A$657,0))="","",INDEX(Documents!$C$5:$C$657,MATCH(H2460,Documents!$A$5:$A$657,0))),"")</f>
        <v>2011</v>
      </c>
      <c r="J2460" s="25" t="str">
        <f aca="false">IFERROR(IF(INDEX(Documents!$D$5:$D$657,MATCH(H2460,Documents!$A$5:$A$657,0))="","",INDEX(Documents!$D$5:$D$657,MATCH(H2460,Documents!$A$5:$A$657,0))),"")</f>
        <v>Eur J Med Chem</v>
      </c>
      <c r="K2460" s="25" t="str">
        <f aca="false">IFERROR(IF(INDEX(Documents!$G$5:$G$657,MATCH(H2460,Documents!$A$5:$A$657,0))="","",INDEX(Documents!$G$5:$G$657,MATCH(H2460,Documents!$A$5:$A$657,0))),"")</f>
        <v>10.1016/j.ejmech.2011.09.037</v>
      </c>
      <c r="L2460" s="25" t="s">
        <v>5278</v>
      </c>
    </row>
    <row r="2461" customFormat="false" ht="15" hidden="false" customHeight="false" outlineLevel="0" collapsed="false">
      <c r="A2461" s="25" t="n">
        <v>16790057</v>
      </c>
      <c r="B2461" s="25" t="s">
        <v>5285</v>
      </c>
      <c r="C2461" s="25" t="s">
        <v>5286</v>
      </c>
      <c r="D2461" s="26" t="n">
        <v>718.2</v>
      </c>
      <c r="E2461" s="27" t="n">
        <v>6.14375459920995</v>
      </c>
      <c r="F2461" s="27" t="n">
        <v>6.14375459920995</v>
      </c>
      <c r="G2461" s="25" t="s">
        <v>5022</v>
      </c>
      <c r="H2461" s="25" t="s">
        <v>5023</v>
      </c>
      <c r="I2461" s="25" t="n">
        <f aca="false">IFERROR(IF(INDEX(Documents!$C$5:$C$657,MATCH(H2461,Documents!$A$5:$A$657,0))="","",INDEX(Documents!$C$5:$C$657,MATCH(H2461,Documents!$A$5:$A$657,0))),"")</f>
        <v>2016</v>
      </c>
      <c r="J2461" s="25" t="str">
        <f aca="false">IFERROR(IF(INDEX(Documents!$D$5:$D$657,MATCH(H2461,Documents!$A$5:$A$657,0))="","",INDEX(Documents!$D$5:$D$657,MATCH(H2461,Documents!$A$5:$A$657,0))),"")</f>
        <v>Eur J Med Chem</v>
      </c>
      <c r="K2461" s="25" t="str">
        <f aca="false">IFERROR(IF(INDEX(Documents!$G$5:$G$657,MATCH(H2461,Documents!$A$5:$A$657,0))="","",INDEX(Documents!$G$5:$G$657,MATCH(H2461,Documents!$A$5:$A$657,0))),"")</f>
        <v>10.1016/j.ejmech.2016.07.012</v>
      </c>
      <c r="L2461" s="25" t="s">
        <v>5024</v>
      </c>
    </row>
    <row r="2462" customFormat="false" ht="15" hidden="false" customHeight="false" outlineLevel="0" collapsed="false">
      <c r="A2462" s="25" t="n">
        <v>7852143</v>
      </c>
      <c r="B2462" s="25" t="s">
        <v>5287</v>
      </c>
      <c r="C2462" s="25" t="s">
        <v>5288</v>
      </c>
      <c r="D2462" s="26" t="n">
        <v>113.7</v>
      </c>
      <c r="E2462" s="27" t="n">
        <v>6.94423953531227</v>
      </c>
      <c r="F2462" s="27" t="n">
        <v>6.94423953531227</v>
      </c>
      <c r="G2462" s="25" t="s">
        <v>5276</v>
      </c>
      <c r="H2462" s="25" t="s">
        <v>5277</v>
      </c>
      <c r="I2462" s="25" t="n">
        <f aca="false">IFERROR(IF(INDEX(Documents!$C$5:$C$657,MATCH(H2462,Documents!$A$5:$A$657,0))="","",INDEX(Documents!$C$5:$C$657,MATCH(H2462,Documents!$A$5:$A$657,0))),"")</f>
        <v>2011</v>
      </c>
      <c r="J2462" s="25" t="str">
        <f aca="false">IFERROR(IF(INDEX(Documents!$D$5:$D$657,MATCH(H2462,Documents!$A$5:$A$657,0))="","",INDEX(Documents!$D$5:$D$657,MATCH(H2462,Documents!$A$5:$A$657,0))),"")</f>
        <v>Eur J Med Chem</v>
      </c>
      <c r="K2462" s="25" t="str">
        <f aca="false">IFERROR(IF(INDEX(Documents!$G$5:$G$657,MATCH(H2462,Documents!$A$5:$A$657,0))="","",INDEX(Documents!$G$5:$G$657,MATCH(H2462,Documents!$A$5:$A$657,0))),"")</f>
        <v>10.1016/j.ejmech.2011.09.037</v>
      </c>
      <c r="L2462" s="25" t="s">
        <v>5278</v>
      </c>
    </row>
    <row r="2463" customFormat="false" ht="15" hidden="false" customHeight="false" outlineLevel="0" collapsed="false">
      <c r="A2463" s="25" t="n">
        <v>7852141</v>
      </c>
      <c r="B2463" s="25" t="s">
        <v>5289</v>
      </c>
      <c r="C2463" s="25" t="s">
        <v>5290</v>
      </c>
      <c r="D2463" s="26" t="n">
        <v>29.6</v>
      </c>
      <c r="E2463" s="27" t="n">
        <v>7.52870828894106</v>
      </c>
      <c r="F2463" s="27" t="n">
        <v>7.52870828894106</v>
      </c>
      <c r="G2463" s="25" t="s">
        <v>5276</v>
      </c>
      <c r="H2463" s="25" t="s">
        <v>5277</v>
      </c>
      <c r="I2463" s="25" t="n">
        <f aca="false">IFERROR(IF(INDEX(Documents!$C$5:$C$657,MATCH(H2463,Documents!$A$5:$A$657,0))="","",INDEX(Documents!$C$5:$C$657,MATCH(H2463,Documents!$A$5:$A$657,0))),"")</f>
        <v>2011</v>
      </c>
      <c r="J2463" s="25" t="str">
        <f aca="false">IFERROR(IF(INDEX(Documents!$D$5:$D$657,MATCH(H2463,Documents!$A$5:$A$657,0))="","",INDEX(Documents!$D$5:$D$657,MATCH(H2463,Documents!$A$5:$A$657,0))),"")</f>
        <v>Eur J Med Chem</v>
      </c>
      <c r="K2463" s="25" t="str">
        <f aca="false">IFERROR(IF(INDEX(Documents!$G$5:$G$657,MATCH(H2463,Documents!$A$5:$A$657,0))="","",INDEX(Documents!$G$5:$G$657,MATCH(H2463,Documents!$A$5:$A$657,0))),"")</f>
        <v>10.1016/j.ejmech.2011.09.037</v>
      </c>
      <c r="L2463" s="25" t="s">
        <v>5278</v>
      </c>
    </row>
    <row r="2464" customFormat="false" ht="15" hidden="false" customHeight="false" outlineLevel="0" collapsed="false">
      <c r="A2464" s="25" t="n">
        <v>7852133</v>
      </c>
      <c r="B2464" s="25" t="s">
        <v>5291</v>
      </c>
      <c r="C2464" s="25" t="s">
        <v>5292</v>
      </c>
      <c r="D2464" s="26" t="n">
        <v>56.1</v>
      </c>
      <c r="E2464" s="27" t="n">
        <v>7.25103713874384</v>
      </c>
      <c r="F2464" s="27" t="n">
        <v>7.25103713874384</v>
      </c>
      <c r="G2464" s="25" t="s">
        <v>5276</v>
      </c>
      <c r="H2464" s="25" t="s">
        <v>5277</v>
      </c>
      <c r="I2464" s="25" t="n">
        <f aca="false">IFERROR(IF(INDEX(Documents!$C$5:$C$657,MATCH(H2464,Documents!$A$5:$A$657,0))="","",INDEX(Documents!$C$5:$C$657,MATCH(H2464,Documents!$A$5:$A$657,0))),"")</f>
        <v>2011</v>
      </c>
      <c r="J2464" s="25" t="str">
        <f aca="false">IFERROR(IF(INDEX(Documents!$D$5:$D$657,MATCH(H2464,Documents!$A$5:$A$657,0))="","",INDEX(Documents!$D$5:$D$657,MATCH(H2464,Documents!$A$5:$A$657,0))),"")</f>
        <v>Eur J Med Chem</v>
      </c>
      <c r="K2464" s="25" t="str">
        <f aca="false">IFERROR(IF(INDEX(Documents!$G$5:$G$657,MATCH(H2464,Documents!$A$5:$A$657,0))="","",INDEX(Documents!$G$5:$G$657,MATCH(H2464,Documents!$A$5:$A$657,0))),"")</f>
        <v>10.1016/j.ejmech.2011.09.037</v>
      </c>
      <c r="L2464" s="25" t="s">
        <v>5278</v>
      </c>
    </row>
    <row r="2465" customFormat="false" ht="15" hidden="false" customHeight="false" outlineLevel="0" collapsed="false">
      <c r="A2465" s="25" t="n">
        <v>7852131</v>
      </c>
      <c r="B2465" s="25" t="s">
        <v>5293</v>
      </c>
      <c r="C2465" s="25" t="s">
        <v>5294</v>
      </c>
      <c r="D2465" s="26" t="n">
        <v>454.6</v>
      </c>
      <c r="E2465" s="27" t="n">
        <v>6.34237056861105</v>
      </c>
      <c r="F2465" s="27" t="n">
        <v>6.34237056861105</v>
      </c>
      <c r="G2465" s="25" t="s">
        <v>5276</v>
      </c>
      <c r="H2465" s="25" t="s">
        <v>5277</v>
      </c>
      <c r="I2465" s="25" t="n">
        <f aca="false">IFERROR(IF(INDEX(Documents!$C$5:$C$657,MATCH(H2465,Documents!$A$5:$A$657,0))="","",INDEX(Documents!$C$5:$C$657,MATCH(H2465,Documents!$A$5:$A$657,0))),"")</f>
        <v>2011</v>
      </c>
      <c r="J2465" s="25" t="str">
        <f aca="false">IFERROR(IF(INDEX(Documents!$D$5:$D$657,MATCH(H2465,Documents!$A$5:$A$657,0))="","",INDEX(Documents!$D$5:$D$657,MATCH(H2465,Documents!$A$5:$A$657,0))),"")</f>
        <v>Eur J Med Chem</v>
      </c>
      <c r="K2465" s="25" t="str">
        <f aca="false">IFERROR(IF(INDEX(Documents!$G$5:$G$657,MATCH(H2465,Documents!$A$5:$A$657,0))="","",INDEX(Documents!$G$5:$G$657,MATCH(H2465,Documents!$A$5:$A$657,0))),"")</f>
        <v>10.1016/j.ejmech.2011.09.037</v>
      </c>
      <c r="L2465" s="25" t="s">
        <v>5278</v>
      </c>
    </row>
    <row r="2466" customFormat="false" ht="15" hidden="false" customHeight="false" outlineLevel="0" collapsed="false">
      <c r="A2466" s="25" t="n">
        <v>1400595</v>
      </c>
      <c r="B2466" s="25" t="s">
        <v>5295</v>
      </c>
      <c r="C2466" s="25" t="s">
        <v>5296</v>
      </c>
      <c r="D2466" s="26" t="n">
        <v>430</v>
      </c>
      <c r="E2466" s="27" t="n">
        <v>6.36653154442041</v>
      </c>
      <c r="F2466" s="27" t="n">
        <v>6.36653154442041</v>
      </c>
      <c r="G2466" s="25" t="s">
        <v>4723</v>
      </c>
      <c r="H2466" s="25" t="s">
        <v>4724</v>
      </c>
      <c r="I2466" s="25" t="n">
        <f aca="false">IFERROR(IF(INDEX(Documents!$C$5:$C$657,MATCH(H2466,Documents!$A$5:$A$657,0))="","",INDEX(Documents!$C$5:$C$657,MATCH(H2466,Documents!$A$5:$A$657,0))),"")</f>
        <v>2005</v>
      </c>
      <c r="J2466" s="25" t="str">
        <f aca="false">IFERROR(IF(INDEX(Documents!$D$5:$D$657,MATCH(H2466,Documents!$A$5:$A$657,0))="","",INDEX(Documents!$D$5:$D$657,MATCH(H2466,Documents!$A$5:$A$657,0))),"")</f>
        <v>J Med Chem</v>
      </c>
      <c r="K2466" s="25" t="str">
        <f aca="false">IFERROR(IF(INDEX(Documents!$G$5:$G$657,MATCH(H2466,Documents!$A$5:$A$657,0))="","",INDEX(Documents!$G$5:$G$657,MATCH(H2466,Documents!$A$5:$A$657,0))),"")</f>
        <v>10.1021/jm040843r</v>
      </c>
      <c r="L2466" s="25" t="s">
        <v>4725</v>
      </c>
    </row>
    <row r="2467" customFormat="false" ht="15" hidden="false" customHeight="false" outlineLevel="0" collapsed="false">
      <c r="A2467" s="25" t="n">
        <v>1493401</v>
      </c>
      <c r="B2467" s="25" t="s">
        <v>5297</v>
      </c>
      <c r="C2467" s="25" t="s">
        <v>5298</v>
      </c>
      <c r="D2467" s="26" t="n">
        <v>442</v>
      </c>
      <c r="E2467" s="27" t="n">
        <v>6.35457773065091</v>
      </c>
      <c r="F2467" s="27" t="n">
        <v>6.35457773065091</v>
      </c>
      <c r="G2467" s="25" t="s">
        <v>5299</v>
      </c>
      <c r="H2467" s="25" t="s">
        <v>5300</v>
      </c>
      <c r="I2467" s="25" t="n">
        <f aca="false">IFERROR(IF(INDEX(Documents!$C$5:$C$657,MATCH(H2467,Documents!$A$5:$A$657,0))="","",INDEX(Documents!$C$5:$C$657,MATCH(H2467,Documents!$A$5:$A$657,0))),"")</f>
        <v>2005</v>
      </c>
      <c r="J2467" s="25" t="str">
        <f aca="false">IFERROR(IF(INDEX(Documents!$D$5:$D$657,MATCH(H2467,Documents!$A$5:$A$657,0))="","",INDEX(Documents!$D$5:$D$657,MATCH(H2467,Documents!$A$5:$A$657,0))),"")</f>
        <v>J Med Chem</v>
      </c>
      <c r="K2467" s="25" t="str">
        <f aca="false">IFERROR(IF(INDEX(Documents!$G$5:$G$657,MATCH(H2467,Documents!$A$5:$A$657,0))="","",INDEX(Documents!$G$5:$G$657,MATCH(H2467,Documents!$A$5:$A$657,0))),"")</f>
        <v>10.1021/jm058183t</v>
      </c>
      <c r="L2467" s="25" t="s">
        <v>5301</v>
      </c>
    </row>
    <row r="2468" customFormat="false" ht="15" hidden="false" customHeight="false" outlineLevel="0" collapsed="false">
      <c r="A2468" s="25" t="n">
        <v>1898194</v>
      </c>
      <c r="B2468" s="25" t="s">
        <v>5302</v>
      </c>
      <c r="C2468" s="25" t="s">
        <v>5303</v>
      </c>
      <c r="D2468" s="26" t="n">
        <v>2700</v>
      </c>
      <c r="E2468" s="27" t="n">
        <v>5.56863623584101</v>
      </c>
      <c r="F2468" s="27" t="n">
        <v>5.56863623584101</v>
      </c>
      <c r="G2468" s="25" t="s">
        <v>4539</v>
      </c>
      <c r="H2468" s="25" t="s">
        <v>4540</v>
      </c>
      <c r="I2468" s="25" t="n">
        <f aca="false">IFERROR(IF(INDEX(Documents!$C$5:$C$657,MATCH(H2468,Documents!$A$5:$A$657,0))="","",INDEX(Documents!$C$5:$C$657,MATCH(H2468,Documents!$A$5:$A$657,0))),"")</f>
        <v>2007</v>
      </c>
      <c r="J2468" s="25" t="str">
        <f aca="false">IFERROR(IF(INDEX(Documents!$D$5:$D$657,MATCH(H2468,Documents!$A$5:$A$657,0))="","",INDEX(Documents!$D$5:$D$657,MATCH(H2468,Documents!$A$5:$A$657,0))),"")</f>
        <v>Bioorg Med Chem Lett</v>
      </c>
      <c r="K2468" s="25" t="str">
        <f aca="false">IFERROR(IF(INDEX(Documents!$G$5:$G$657,MATCH(H2468,Documents!$A$5:$A$657,0))="","",INDEX(Documents!$G$5:$G$657,MATCH(H2468,Documents!$A$5:$A$657,0))),"")</f>
        <v>10.1016/j.bmcl.2007.03.011</v>
      </c>
      <c r="L2468" s="25" t="s">
        <v>4541</v>
      </c>
    </row>
    <row r="2469" customFormat="false" ht="15" hidden="false" customHeight="false" outlineLevel="0" collapsed="false">
      <c r="A2469" s="25" t="n">
        <v>1898196</v>
      </c>
      <c r="B2469" s="25" t="s">
        <v>5304</v>
      </c>
      <c r="C2469" s="25" t="s">
        <v>5305</v>
      </c>
      <c r="D2469" s="26" t="n">
        <v>2300</v>
      </c>
      <c r="E2469" s="27" t="n">
        <v>5.63827216398241</v>
      </c>
      <c r="F2469" s="27" t="n">
        <v>5.63827216398241</v>
      </c>
      <c r="G2469" s="25" t="s">
        <v>4539</v>
      </c>
      <c r="H2469" s="25" t="s">
        <v>4540</v>
      </c>
      <c r="I2469" s="25" t="n">
        <f aca="false">IFERROR(IF(INDEX(Documents!$C$5:$C$657,MATCH(H2469,Documents!$A$5:$A$657,0))="","",INDEX(Documents!$C$5:$C$657,MATCH(H2469,Documents!$A$5:$A$657,0))),"")</f>
        <v>2007</v>
      </c>
      <c r="J2469" s="25" t="str">
        <f aca="false">IFERROR(IF(INDEX(Documents!$D$5:$D$657,MATCH(H2469,Documents!$A$5:$A$657,0))="","",INDEX(Documents!$D$5:$D$657,MATCH(H2469,Documents!$A$5:$A$657,0))),"")</f>
        <v>Bioorg Med Chem Lett</v>
      </c>
      <c r="K2469" s="25" t="str">
        <f aca="false">IFERROR(IF(INDEX(Documents!$G$5:$G$657,MATCH(H2469,Documents!$A$5:$A$657,0))="","",INDEX(Documents!$G$5:$G$657,MATCH(H2469,Documents!$A$5:$A$657,0))),"")</f>
        <v>10.1016/j.bmcl.2007.03.011</v>
      </c>
      <c r="L2469" s="25" t="s">
        <v>4541</v>
      </c>
    </row>
    <row r="2470" customFormat="false" ht="15" hidden="false" customHeight="false" outlineLevel="0" collapsed="false">
      <c r="A2470" s="25" t="n">
        <v>16790053</v>
      </c>
      <c r="B2470" s="25" t="s">
        <v>5306</v>
      </c>
      <c r="C2470" s="25" t="s">
        <v>5307</v>
      </c>
      <c r="D2470" s="26" t="n">
        <v>57</v>
      </c>
      <c r="E2470" s="27" t="n">
        <v>7.24412514432751</v>
      </c>
      <c r="F2470" s="27" t="n">
        <v>7.24412514432751</v>
      </c>
      <c r="G2470" s="25" t="s">
        <v>5022</v>
      </c>
      <c r="H2470" s="25" t="s">
        <v>5023</v>
      </c>
      <c r="I2470" s="25" t="n">
        <f aca="false">IFERROR(IF(INDEX(Documents!$C$5:$C$657,MATCH(H2470,Documents!$A$5:$A$657,0))="","",INDEX(Documents!$C$5:$C$657,MATCH(H2470,Documents!$A$5:$A$657,0))),"")</f>
        <v>2016</v>
      </c>
      <c r="J2470" s="25" t="str">
        <f aca="false">IFERROR(IF(INDEX(Documents!$D$5:$D$657,MATCH(H2470,Documents!$A$5:$A$657,0))="","",INDEX(Documents!$D$5:$D$657,MATCH(H2470,Documents!$A$5:$A$657,0))),"")</f>
        <v>Eur J Med Chem</v>
      </c>
      <c r="K2470" s="25" t="str">
        <f aca="false">IFERROR(IF(INDEX(Documents!$G$5:$G$657,MATCH(H2470,Documents!$A$5:$A$657,0))="","",INDEX(Documents!$G$5:$G$657,MATCH(H2470,Documents!$A$5:$A$657,0))),"")</f>
        <v>10.1016/j.ejmech.2016.07.012</v>
      </c>
      <c r="L2470" s="25" t="s">
        <v>5024</v>
      </c>
    </row>
    <row r="2471" customFormat="false" ht="15" hidden="false" customHeight="false" outlineLevel="0" collapsed="false">
      <c r="A2471" s="25" t="n">
        <v>16790051</v>
      </c>
      <c r="B2471" s="25" t="s">
        <v>5308</v>
      </c>
      <c r="C2471" s="25" t="s">
        <v>5309</v>
      </c>
      <c r="D2471" s="26" t="n">
        <v>20.02</v>
      </c>
      <c r="E2471" s="27" t="n">
        <v>7.6985359268567</v>
      </c>
      <c r="F2471" s="27" t="n">
        <v>7.6985359268567</v>
      </c>
      <c r="G2471" s="25" t="s">
        <v>5022</v>
      </c>
      <c r="H2471" s="25" t="s">
        <v>5023</v>
      </c>
      <c r="I2471" s="25" t="n">
        <f aca="false">IFERROR(IF(INDEX(Documents!$C$5:$C$657,MATCH(H2471,Documents!$A$5:$A$657,0))="","",INDEX(Documents!$C$5:$C$657,MATCH(H2471,Documents!$A$5:$A$657,0))),"")</f>
        <v>2016</v>
      </c>
      <c r="J2471" s="25" t="str">
        <f aca="false">IFERROR(IF(INDEX(Documents!$D$5:$D$657,MATCH(H2471,Documents!$A$5:$A$657,0))="","",INDEX(Documents!$D$5:$D$657,MATCH(H2471,Documents!$A$5:$A$657,0))),"")</f>
        <v>Eur J Med Chem</v>
      </c>
      <c r="K2471" s="25" t="str">
        <f aca="false">IFERROR(IF(INDEX(Documents!$G$5:$G$657,MATCH(H2471,Documents!$A$5:$A$657,0))="","",INDEX(Documents!$G$5:$G$657,MATCH(H2471,Documents!$A$5:$A$657,0))),"")</f>
        <v>10.1016/j.ejmech.2016.07.012</v>
      </c>
      <c r="L2471" s="25" t="s">
        <v>5024</v>
      </c>
    </row>
    <row r="2472" customFormat="false" ht="15" hidden="false" customHeight="false" outlineLevel="0" collapsed="false">
      <c r="A2472" s="25" t="n">
        <v>10857017</v>
      </c>
      <c r="B2472" s="25" t="s">
        <v>5310</v>
      </c>
      <c r="C2472" s="25" t="s">
        <v>5311</v>
      </c>
      <c r="D2472" s="26" t="n">
        <v>36</v>
      </c>
      <c r="E2472" s="27" t="n">
        <v>7.44369749923271</v>
      </c>
      <c r="F2472" s="27" t="n">
        <v>7.44369749923271</v>
      </c>
      <c r="G2472" s="25" t="s">
        <v>4291</v>
      </c>
      <c r="H2472" s="25" t="s">
        <v>4292</v>
      </c>
      <c r="I2472" s="25" t="n">
        <f aca="false">IFERROR(IF(INDEX(Documents!$C$5:$C$657,MATCH(H2472,Documents!$A$5:$A$657,0))="","",INDEX(Documents!$C$5:$C$657,MATCH(H2472,Documents!$A$5:$A$657,0))),"")</f>
        <v>2012</v>
      </c>
      <c r="J2472" s="25" t="str">
        <f aca="false">IFERROR(IF(INDEX(Documents!$D$5:$D$657,MATCH(H2472,Documents!$A$5:$A$657,0))="","",INDEX(Documents!$D$5:$D$657,MATCH(H2472,Documents!$A$5:$A$657,0))),"")</f>
        <v>Bioorg Med Chem Lett</v>
      </c>
      <c r="K2472" s="25" t="str">
        <f aca="false">IFERROR(IF(INDEX(Documents!$G$5:$G$657,MATCH(H2472,Documents!$A$5:$A$657,0))="","",INDEX(Documents!$G$5:$G$657,MATCH(H2472,Documents!$A$5:$A$657,0))),"")</f>
        <v>10.1016/j.bmcl.2012.02.072</v>
      </c>
      <c r="L2472" s="25" t="s">
        <v>4293</v>
      </c>
    </row>
    <row r="2473" customFormat="false" ht="15" hidden="false" customHeight="false" outlineLevel="0" collapsed="false">
      <c r="A2473" s="25" t="n">
        <v>18936362</v>
      </c>
      <c r="B2473" s="25" t="s">
        <v>5312</v>
      </c>
      <c r="C2473" s="25" t="s">
        <v>5313</v>
      </c>
      <c r="D2473" s="26" t="n">
        <v>2.46</v>
      </c>
      <c r="E2473" s="27" t="n">
        <v>8.60906489289662</v>
      </c>
      <c r="F2473" s="27" t="n">
        <v>8.60906489289662</v>
      </c>
      <c r="G2473" s="25" t="s">
        <v>3162</v>
      </c>
      <c r="H2473" s="25" t="s">
        <v>3163</v>
      </c>
      <c r="I2473" s="25" t="n">
        <f aca="false">IFERROR(IF(INDEX(Documents!$C$5:$C$657,MATCH(H2473,Documents!$A$5:$A$657,0))="","",INDEX(Documents!$C$5:$C$657,MATCH(H2473,Documents!$A$5:$A$657,0))),"")</f>
        <v>2019</v>
      </c>
      <c r="J2473" s="25" t="str">
        <f aca="false">IFERROR(IF(INDEX(Documents!$D$5:$D$657,MATCH(H2473,Documents!$A$5:$A$657,0))="","",INDEX(Documents!$D$5:$D$657,MATCH(H2473,Documents!$A$5:$A$657,0))),"")</f>
        <v>Eur J Med Chem</v>
      </c>
      <c r="K2473" s="25" t="str">
        <f aca="false">IFERROR(IF(INDEX(Documents!$G$5:$G$657,MATCH(H2473,Documents!$A$5:$A$657,0))="","",INDEX(Documents!$G$5:$G$657,MATCH(H2473,Documents!$A$5:$A$657,0))),"")</f>
        <v>10.1016/j.ejmech.2018.09.070</v>
      </c>
      <c r="L2473" s="25" t="s">
        <v>3164</v>
      </c>
    </row>
    <row r="2474" customFormat="false" ht="15" hidden="false" customHeight="false" outlineLevel="0" collapsed="false">
      <c r="A2474" s="25" t="n">
        <v>18936401</v>
      </c>
      <c r="B2474" s="25" t="s">
        <v>5314</v>
      </c>
      <c r="C2474" s="25" t="s">
        <v>5315</v>
      </c>
      <c r="D2474" s="26" t="n">
        <v>621</v>
      </c>
      <c r="E2474" s="27" t="n">
        <v>6.20690839982342</v>
      </c>
      <c r="F2474" s="27" t="n">
        <v>6.20690839982342</v>
      </c>
      <c r="G2474" s="25" t="s">
        <v>3162</v>
      </c>
      <c r="H2474" s="25" t="s">
        <v>3163</v>
      </c>
      <c r="I2474" s="25" t="n">
        <f aca="false">IFERROR(IF(INDEX(Documents!$C$5:$C$657,MATCH(H2474,Documents!$A$5:$A$657,0))="","",INDEX(Documents!$C$5:$C$657,MATCH(H2474,Documents!$A$5:$A$657,0))),"")</f>
        <v>2019</v>
      </c>
      <c r="J2474" s="25" t="str">
        <f aca="false">IFERROR(IF(INDEX(Documents!$D$5:$D$657,MATCH(H2474,Documents!$A$5:$A$657,0))="","",INDEX(Documents!$D$5:$D$657,MATCH(H2474,Documents!$A$5:$A$657,0))),"")</f>
        <v>Eur J Med Chem</v>
      </c>
      <c r="K2474" s="25" t="str">
        <f aca="false">IFERROR(IF(INDEX(Documents!$G$5:$G$657,MATCH(H2474,Documents!$A$5:$A$657,0))="","",INDEX(Documents!$G$5:$G$657,MATCH(H2474,Documents!$A$5:$A$657,0))),"")</f>
        <v>10.1016/j.ejmech.2018.09.070</v>
      </c>
      <c r="L2474" s="25" t="s">
        <v>3164</v>
      </c>
    </row>
    <row r="2475" customFormat="false" ht="15" hidden="false" customHeight="false" outlineLevel="0" collapsed="false">
      <c r="A2475" s="25" t="n">
        <v>18936402</v>
      </c>
      <c r="B2475" s="25" t="s">
        <v>5316</v>
      </c>
      <c r="C2475" s="25" t="s">
        <v>5317</v>
      </c>
      <c r="D2475" s="26" t="n">
        <v>495.77</v>
      </c>
      <c r="E2475" s="27" t="n">
        <v>6.3047197567708</v>
      </c>
      <c r="F2475" s="27" t="n">
        <v>6.3047197567708</v>
      </c>
      <c r="G2475" s="25" t="s">
        <v>3162</v>
      </c>
      <c r="H2475" s="25" t="s">
        <v>3163</v>
      </c>
      <c r="I2475" s="25" t="n">
        <f aca="false">IFERROR(IF(INDEX(Documents!$C$5:$C$657,MATCH(H2475,Documents!$A$5:$A$657,0))="","",INDEX(Documents!$C$5:$C$657,MATCH(H2475,Documents!$A$5:$A$657,0))),"")</f>
        <v>2019</v>
      </c>
      <c r="J2475" s="25" t="str">
        <f aca="false">IFERROR(IF(INDEX(Documents!$D$5:$D$657,MATCH(H2475,Documents!$A$5:$A$657,0))="","",INDEX(Documents!$D$5:$D$657,MATCH(H2475,Documents!$A$5:$A$657,0))),"")</f>
        <v>Eur J Med Chem</v>
      </c>
      <c r="K2475" s="25" t="str">
        <f aca="false">IFERROR(IF(INDEX(Documents!$G$5:$G$657,MATCH(H2475,Documents!$A$5:$A$657,0))="","",INDEX(Documents!$G$5:$G$657,MATCH(H2475,Documents!$A$5:$A$657,0))),"")</f>
        <v>10.1016/j.ejmech.2018.09.070</v>
      </c>
      <c r="L2475" s="25" t="s">
        <v>3164</v>
      </c>
    </row>
    <row r="2476" customFormat="false" ht="15" hidden="false" customHeight="false" outlineLevel="0" collapsed="false">
      <c r="A2476" s="25" t="n">
        <v>14999678</v>
      </c>
      <c r="B2476" s="25" t="s">
        <v>5318</v>
      </c>
      <c r="C2476" s="25" t="s">
        <v>5319</v>
      </c>
      <c r="D2476" s="26" t="n">
        <v>510</v>
      </c>
      <c r="E2476" s="27" t="n">
        <v>6.29242982390206</v>
      </c>
      <c r="F2476" s="27" t="n">
        <v>6.29242982390206</v>
      </c>
      <c r="G2476" s="25" t="s">
        <v>2988</v>
      </c>
      <c r="H2476" s="25" t="s">
        <v>2989</v>
      </c>
      <c r="I2476" s="25" t="n">
        <f aca="false">IFERROR(IF(INDEX(Documents!$C$5:$C$657,MATCH(H2476,Documents!$A$5:$A$657,0))="","",INDEX(Documents!$C$5:$C$657,MATCH(H2476,Documents!$A$5:$A$657,0))),"")</f>
        <v>2014</v>
      </c>
      <c r="J2476" s="25" t="str">
        <f aca="false">IFERROR(IF(INDEX(Documents!$D$5:$D$657,MATCH(H2476,Documents!$A$5:$A$657,0))="","",INDEX(Documents!$D$5:$D$657,MATCH(H2476,Documents!$A$5:$A$657,0))),"")</f>
        <v>Eur J Med Chem</v>
      </c>
      <c r="K2476" s="25" t="str">
        <f aca="false">IFERROR(IF(INDEX(Documents!$G$5:$G$657,MATCH(H2476,Documents!$A$5:$A$657,0))="","",INDEX(Documents!$G$5:$G$657,MATCH(H2476,Documents!$A$5:$A$657,0))),"")</f>
        <v>10.1016/j.ejmech.2014.07.062</v>
      </c>
      <c r="L2476" s="25" t="s">
        <v>2990</v>
      </c>
    </row>
    <row r="2477" customFormat="false" ht="15" hidden="false" customHeight="false" outlineLevel="0" collapsed="false">
      <c r="A2477" s="25" t="n">
        <v>19443448</v>
      </c>
      <c r="B2477" s="25" t="s">
        <v>5320</v>
      </c>
      <c r="C2477" s="25" t="s">
        <v>5321</v>
      </c>
      <c r="D2477" s="26" t="n">
        <v>0.79</v>
      </c>
      <c r="E2477" s="27" t="n">
        <v>9.10237290870956</v>
      </c>
      <c r="F2477" s="27" t="n">
        <v>9.10237290870956</v>
      </c>
      <c r="G2477" s="25" t="s">
        <v>373</v>
      </c>
      <c r="H2477" s="25" t="s">
        <v>374</v>
      </c>
      <c r="I2477" s="25" t="n">
        <f aca="false">IFERROR(IF(INDEX(Documents!$C$5:$C$657,MATCH(H2477,Documents!$A$5:$A$657,0))="","",INDEX(Documents!$C$5:$C$657,MATCH(H2477,Documents!$A$5:$A$657,0))),"")</f>
        <v>2016</v>
      </c>
      <c r="J2477" s="25" t="str">
        <f aca="false">IFERROR(IF(INDEX(Documents!$D$5:$D$657,MATCH(H2477,Documents!$A$5:$A$657,0))="","",INDEX(Documents!$D$5:$D$657,MATCH(H2477,Documents!$A$5:$A$657,0))),"")</f>
        <v>J Med Chem</v>
      </c>
      <c r="K2477" s="25" t="str">
        <f aca="false">IFERROR(IF(INDEX(Documents!$G$5:$G$657,MATCH(H2477,Documents!$A$5:$A$657,0))="","",INDEX(Documents!$G$5:$G$657,MATCH(H2477,Documents!$A$5:$A$657,0))),"")</f>
        <v>10.1021/acs.jmedchem.6b00516</v>
      </c>
      <c r="L2477" s="25" t="s">
        <v>375</v>
      </c>
    </row>
    <row r="2478" customFormat="false" ht="15" hidden="false" customHeight="false" outlineLevel="0" collapsed="false">
      <c r="A2478" s="25" t="n">
        <v>1969357</v>
      </c>
      <c r="B2478" s="25" t="s">
        <v>5322</v>
      </c>
      <c r="C2478" s="25" t="s">
        <v>5323</v>
      </c>
      <c r="D2478" s="26" t="n">
        <v>1.2</v>
      </c>
      <c r="E2478" s="27" t="n">
        <v>8.92081875395238</v>
      </c>
      <c r="F2478" s="27" t="n">
        <v>8.92081875395238</v>
      </c>
      <c r="G2478" s="25" t="s">
        <v>1895</v>
      </c>
      <c r="H2478" s="25" t="s">
        <v>1896</v>
      </c>
      <c r="I2478" s="25" t="n">
        <f aca="false">IFERROR(IF(INDEX(Documents!$C$5:$C$657,MATCH(H2478,Documents!$A$5:$A$657,0))="","",INDEX(Documents!$C$5:$C$657,MATCH(H2478,Documents!$A$5:$A$657,0))),"")</f>
        <v>2007</v>
      </c>
      <c r="J2478" s="25" t="str">
        <f aca="false">IFERROR(IF(INDEX(Documents!$D$5:$D$657,MATCH(H2478,Documents!$A$5:$A$657,0))="","",INDEX(Documents!$D$5:$D$657,MATCH(H2478,Documents!$A$5:$A$657,0))),"")</f>
        <v>Bioorg Med Chem Lett</v>
      </c>
      <c r="K2478" s="25" t="str">
        <f aca="false">IFERROR(IF(INDEX(Documents!$G$5:$G$657,MATCH(H2478,Documents!$A$5:$A$657,0))="","",INDEX(Documents!$G$5:$G$657,MATCH(H2478,Documents!$A$5:$A$657,0))),"")</f>
        <v>10.1016/j.bmcl.2007.04.099</v>
      </c>
      <c r="L2478" s="25" t="s">
        <v>515</v>
      </c>
    </row>
    <row r="2479" customFormat="false" ht="15" hidden="false" customHeight="false" outlineLevel="0" collapsed="false">
      <c r="A2479" s="25" t="n">
        <v>15686001</v>
      </c>
      <c r="B2479" s="25" t="s">
        <v>5324</v>
      </c>
      <c r="C2479" s="25" t="s">
        <v>5325</v>
      </c>
      <c r="D2479" s="26" t="n">
        <v>37.56</v>
      </c>
      <c r="E2479" s="27" t="n">
        <v>7.42527441640593</v>
      </c>
      <c r="F2479" s="27" t="n">
        <v>7.42527441640593</v>
      </c>
      <c r="G2479" s="25" t="s">
        <v>817</v>
      </c>
      <c r="H2479" s="25" t="s">
        <v>818</v>
      </c>
      <c r="I2479" s="25" t="n">
        <f aca="false">IFERROR(IF(INDEX(Documents!$C$5:$C$657,MATCH(H2479,Documents!$A$5:$A$657,0))="","",INDEX(Documents!$C$5:$C$657,MATCH(H2479,Documents!$A$5:$A$657,0))),"")</f>
        <v>2015</v>
      </c>
      <c r="J2479" s="25" t="str">
        <f aca="false">IFERROR(IF(INDEX(Documents!$D$5:$D$657,MATCH(H2479,Documents!$A$5:$A$657,0))="","",INDEX(Documents!$D$5:$D$657,MATCH(H2479,Documents!$A$5:$A$657,0))),"")</f>
        <v>Bioorg Med Chem</v>
      </c>
      <c r="K2479" s="25" t="str">
        <f aca="false">IFERROR(IF(INDEX(Documents!$G$5:$G$657,MATCH(H2479,Documents!$A$5:$A$657,0))="","",INDEX(Documents!$G$5:$G$657,MATCH(H2479,Documents!$A$5:$A$657,0))),"")</f>
        <v>10.1016/j.bmc.2015.07.057</v>
      </c>
      <c r="L2479" s="25" t="s">
        <v>819</v>
      </c>
    </row>
    <row r="2480" customFormat="false" ht="15" hidden="false" customHeight="false" outlineLevel="0" collapsed="false">
      <c r="A2480" s="25" t="n">
        <v>2444720</v>
      </c>
      <c r="B2480" s="25" t="s">
        <v>5326</v>
      </c>
      <c r="C2480" s="25" t="s">
        <v>5327</v>
      </c>
      <c r="D2480" s="26" t="n">
        <v>0.67</v>
      </c>
      <c r="E2480" s="27" t="n">
        <v>9.17392519729917</v>
      </c>
      <c r="F2480" s="27" t="n">
        <v>9.17392519729917</v>
      </c>
      <c r="G2480" s="25" t="s">
        <v>1571</v>
      </c>
      <c r="H2480" s="25" t="s">
        <v>1572</v>
      </c>
      <c r="I2480" s="25" t="n">
        <f aca="false">IFERROR(IF(INDEX(Documents!$C$5:$C$657,MATCH(H2480,Documents!$A$5:$A$657,0))="","",INDEX(Documents!$C$5:$C$657,MATCH(H2480,Documents!$A$5:$A$657,0))),"")</f>
        <v>2008</v>
      </c>
      <c r="J2480" s="25" t="str">
        <f aca="false">IFERROR(IF(INDEX(Documents!$D$5:$D$657,MATCH(H2480,Documents!$A$5:$A$657,0))="","",INDEX(Documents!$D$5:$D$657,MATCH(H2480,Documents!$A$5:$A$657,0))),"")</f>
        <v>Bioorg Med Chem</v>
      </c>
      <c r="K2480" s="25" t="str">
        <f aca="false">IFERROR(IF(INDEX(Documents!$G$5:$G$657,MATCH(H2480,Documents!$A$5:$A$657,0))="","",INDEX(Documents!$G$5:$G$657,MATCH(H2480,Documents!$A$5:$A$657,0))),"")</f>
        <v>10.1016/j.bmc.2008.05.034</v>
      </c>
      <c r="L2480" s="25" t="s">
        <v>1573</v>
      </c>
    </row>
    <row r="2481" customFormat="false" ht="15" hidden="false" customHeight="false" outlineLevel="0" collapsed="false">
      <c r="A2481" s="25" t="n">
        <v>7852136</v>
      </c>
      <c r="B2481" s="25" t="s">
        <v>5328</v>
      </c>
      <c r="C2481" s="25" t="s">
        <v>5329</v>
      </c>
      <c r="D2481" s="26" t="n">
        <v>409.6</v>
      </c>
      <c r="E2481" s="27" t="n">
        <v>6.38764005203223</v>
      </c>
      <c r="F2481" s="27" t="n">
        <v>6.38764005203223</v>
      </c>
      <c r="G2481" s="25" t="s">
        <v>5276</v>
      </c>
      <c r="H2481" s="25" t="s">
        <v>5277</v>
      </c>
      <c r="I2481" s="25" t="n">
        <f aca="false">IFERROR(IF(INDEX(Documents!$C$5:$C$657,MATCH(H2481,Documents!$A$5:$A$657,0))="","",INDEX(Documents!$C$5:$C$657,MATCH(H2481,Documents!$A$5:$A$657,0))),"")</f>
        <v>2011</v>
      </c>
      <c r="J2481" s="25" t="str">
        <f aca="false">IFERROR(IF(INDEX(Documents!$D$5:$D$657,MATCH(H2481,Documents!$A$5:$A$657,0))="","",INDEX(Documents!$D$5:$D$657,MATCH(H2481,Documents!$A$5:$A$657,0))),"")</f>
        <v>Eur J Med Chem</v>
      </c>
      <c r="K2481" s="25" t="str">
        <f aca="false">IFERROR(IF(INDEX(Documents!$G$5:$G$657,MATCH(H2481,Documents!$A$5:$A$657,0))="","",INDEX(Documents!$G$5:$G$657,MATCH(H2481,Documents!$A$5:$A$657,0))),"")</f>
        <v>10.1016/j.ejmech.2011.09.037</v>
      </c>
      <c r="L2481" s="25" t="s">
        <v>5278</v>
      </c>
    </row>
    <row r="2482" customFormat="false" ht="15" hidden="false" customHeight="false" outlineLevel="0" collapsed="false">
      <c r="A2482" s="25" t="n">
        <v>15686002</v>
      </c>
      <c r="B2482" s="25" t="s">
        <v>5330</v>
      </c>
      <c r="C2482" s="25" t="s">
        <v>5331</v>
      </c>
      <c r="D2482" s="26" t="n">
        <v>1717</v>
      </c>
      <c r="E2482" s="27" t="n">
        <v>5.76522970483908</v>
      </c>
      <c r="F2482" s="27" t="n">
        <v>5.76522970483908</v>
      </c>
      <c r="G2482" s="25" t="s">
        <v>817</v>
      </c>
      <c r="H2482" s="25" t="s">
        <v>818</v>
      </c>
      <c r="I2482" s="25" t="n">
        <f aca="false">IFERROR(IF(INDEX(Documents!$C$5:$C$657,MATCH(H2482,Documents!$A$5:$A$657,0))="","",INDEX(Documents!$C$5:$C$657,MATCH(H2482,Documents!$A$5:$A$657,0))),"")</f>
        <v>2015</v>
      </c>
      <c r="J2482" s="25" t="str">
        <f aca="false">IFERROR(IF(INDEX(Documents!$D$5:$D$657,MATCH(H2482,Documents!$A$5:$A$657,0))="","",INDEX(Documents!$D$5:$D$657,MATCH(H2482,Documents!$A$5:$A$657,0))),"")</f>
        <v>Bioorg Med Chem</v>
      </c>
      <c r="K2482" s="25" t="str">
        <f aca="false">IFERROR(IF(INDEX(Documents!$G$5:$G$657,MATCH(H2482,Documents!$A$5:$A$657,0))="","",INDEX(Documents!$G$5:$G$657,MATCH(H2482,Documents!$A$5:$A$657,0))),"")</f>
        <v>10.1016/j.bmc.2015.07.057</v>
      </c>
      <c r="L2482" s="25" t="s">
        <v>819</v>
      </c>
    </row>
    <row r="2483" customFormat="false" ht="15" hidden="false" customHeight="false" outlineLevel="0" collapsed="false">
      <c r="A2483" s="25" t="n">
        <v>13857343</v>
      </c>
      <c r="B2483" s="25" t="s">
        <v>5332</v>
      </c>
      <c r="C2483" s="25" t="s">
        <v>5333</v>
      </c>
      <c r="D2483" s="26" t="n">
        <v>31.8</v>
      </c>
      <c r="E2483" s="27" t="n">
        <v>7.49757288001557</v>
      </c>
      <c r="F2483" s="27" t="n">
        <v>7.49757288001557</v>
      </c>
      <c r="G2483" s="25" t="s">
        <v>4912</v>
      </c>
      <c r="H2483" s="25" t="s">
        <v>4913</v>
      </c>
      <c r="I2483" s="25" t="n">
        <f aca="false">IFERROR(IF(INDEX(Documents!$C$5:$C$657,MATCH(H2483,Documents!$A$5:$A$657,0))="","",INDEX(Documents!$C$5:$C$657,MATCH(H2483,Documents!$A$5:$A$657,0))),"")</f>
        <v>2013</v>
      </c>
      <c r="J2483" s="25" t="str">
        <f aca="false">IFERROR(IF(INDEX(Documents!$D$5:$D$657,MATCH(H2483,Documents!$A$5:$A$657,0))="","",INDEX(Documents!$D$5:$D$657,MATCH(H2483,Documents!$A$5:$A$657,0))),"")</f>
        <v>J Med Chem</v>
      </c>
      <c r="K2483" s="25" t="str">
        <f aca="false">IFERROR(IF(INDEX(Documents!$G$5:$G$657,MATCH(H2483,Documents!$A$5:$A$657,0))="","",INDEX(Documents!$G$5:$G$657,MATCH(H2483,Documents!$A$5:$A$657,0))),"")</f>
        <v>10.1021/jm400305d</v>
      </c>
      <c r="L2483" s="25" t="s">
        <v>4914</v>
      </c>
    </row>
    <row r="2484" customFormat="false" ht="15" hidden="false" customHeight="false" outlineLevel="0" collapsed="false">
      <c r="A2484" s="25" t="n">
        <v>2033377</v>
      </c>
      <c r="B2484" s="25" t="s">
        <v>5334</v>
      </c>
      <c r="C2484" s="25" t="s">
        <v>5335</v>
      </c>
      <c r="D2484" s="26" t="n">
        <v>54</v>
      </c>
      <c r="E2484" s="27" t="n">
        <v>7.26760624017703</v>
      </c>
      <c r="F2484" s="27" t="n">
        <v>7.26760624017703</v>
      </c>
      <c r="G2484" s="25" t="s">
        <v>1133</v>
      </c>
      <c r="H2484" s="25" t="s">
        <v>1134</v>
      </c>
      <c r="I2484" s="25" t="n">
        <f aca="false">IFERROR(IF(INDEX(Documents!$C$5:$C$657,MATCH(H2484,Documents!$A$5:$A$657,0))="","",INDEX(Documents!$C$5:$C$657,MATCH(H2484,Documents!$A$5:$A$657,0))),"")</f>
        <v>2007</v>
      </c>
      <c r="J2484" s="25" t="str">
        <f aca="false">IFERROR(IF(INDEX(Documents!$D$5:$D$657,MATCH(H2484,Documents!$A$5:$A$657,0))="","",INDEX(Documents!$D$5:$D$657,MATCH(H2484,Documents!$A$5:$A$657,0))),"")</f>
        <v>Bioorg Med Chem Lett</v>
      </c>
      <c r="K2484" s="25" t="str">
        <f aca="false">IFERROR(IF(INDEX(Documents!$G$5:$G$657,MATCH(H2484,Documents!$A$5:$A$657,0))="","",INDEX(Documents!$G$5:$G$657,MATCH(H2484,Documents!$A$5:$A$657,0))),"")</f>
        <v>10.1016/j.bmcl.2007.04.093</v>
      </c>
      <c r="L2484" s="25" t="s">
        <v>775</v>
      </c>
    </row>
    <row r="2485" customFormat="false" ht="15" hidden="false" customHeight="false" outlineLevel="0" collapsed="false">
      <c r="A2485" s="25" t="n">
        <v>2251118</v>
      </c>
      <c r="B2485" s="25" t="s">
        <v>5336</v>
      </c>
      <c r="C2485" s="25" t="s">
        <v>5337</v>
      </c>
      <c r="D2485" s="26" t="n">
        <v>2.1</v>
      </c>
      <c r="E2485" s="27" t="n">
        <v>8.67778070526608</v>
      </c>
      <c r="F2485" s="27" t="n">
        <v>8.67778070526608</v>
      </c>
      <c r="G2485" s="25" t="s">
        <v>2152</v>
      </c>
      <c r="H2485" s="25" t="s">
        <v>2153</v>
      </c>
      <c r="I2485" s="25" t="n">
        <f aca="false">IFERROR(IF(INDEX(Documents!$C$5:$C$657,MATCH(H2485,Documents!$A$5:$A$657,0))="","",INDEX(Documents!$C$5:$C$657,MATCH(H2485,Documents!$A$5:$A$657,0))),"")</f>
        <v>2009</v>
      </c>
      <c r="J2485" s="25" t="str">
        <f aca="false">IFERROR(IF(INDEX(Documents!$D$5:$D$657,MATCH(H2485,Documents!$A$5:$A$657,0))="","",INDEX(Documents!$D$5:$D$657,MATCH(H2485,Documents!$A$5:$A$657,0))),"")</f>
        <v>J Med Chem</v>
      </c>
      <c r="K2485" s="25" t="str">
        <f aca="false">IFERROR(IF(INDEX(Documents!$G$5:$G$657,MATCH(H2485,Documents!$A$5:$A$657,0))="","",INDEX(Documents!$G$5:$G$657,MATCH(H2485,Documents!$A$5:$A$657,0))),"")</f>
        <v>10.1021/jm801044g</v>
      </c>
      <c r="L2485" s="25" t="s">
        <v>2020</v>
      </c>
    </row>
    <row r="2486" customFormat="false" ht="15" hidden="false" customHeight="false" outlineLevel="0" collapsed="false">
      <c r="A2486" s="25" t="n">
        <v>3011901</v>
      </c>
      <c r="B2486" s="25" t="s">
        <v>5338</v>
      </c>
      <c r="C2486" s="25" t="s">
        <v>5339</v>
      </c>
      <c r="D2486" s="26" t="n">
        <v>7.9</v>
      </c>
      <c r="E2486" s="27" t="n">
        <v>8.10237290870956</v>
      </c>
      <c r="F2486" s="27" t="n">
        <v>8.10237290870956</v>
      </c>
      <c r="G2486" s="25" t="s">
        <v>1780</v>
      </c>
      <c r="H2486" s="25" t="s">
        <v>1781</v>
      </c>
      <c r="I2486" s="25" t="n">
        <f aca="false">IFERROR(IF(INDEX(Documents!$C$5:$C$657,MATCH(H2486,Documents!$A$5:$A$657,0))="","",INDEX(Documents!$C$5:$C$657,MATCH(H2486,Documents!$A$5:$A$657,0))),"")</f>
        <v>2009</v>
      </c>
      <c r="J2486" s="25" t="str">
        <f aca="false">IFERROR(IF(INDEX(Documents!$D$5:$D$657,MATCH(H2486,Documents!$A$5:$A$657,0))="","",INDEX(Documents!$D$5:$D$657,MATCH(H2486,Documents!$A$5:$A$657,0))),"")</f>
        <v>Bioorg Med Chem Lett</v>
      </c>
      <c r="K2486" s="25" t="str">
        <f aca="false">IFERROR(IF(INDEX(Documents!$G$5:$G$657,MATCH(H2486,Documents!$A$5:$A$657,0))="","",INDEX(Documents!$G$5:$G$657,MATCH(H2486,Documents!$A$5:$A$657,0))),"")</f>
        <v>10.1016/j.bmcl.2009.08.063</v>
      </c>
      <c r="L2486" s="25" t="s">
        <v>1782</v>
      </c>
    </row>
    <row r="2487" customFormat="false" ht="15" hidden="false" customHeight="false" outlineLevel="0" collapsed="false">
      <c r="A2487" s="25" t="n">
        <v>3102063</v>
      </c>
      <c r="B2487" s="25" t="s">
        <v>5340</v>
      </c>
      <c r="C2487" s="25" t="s">
        <v>5341</v>
      </c>
      <c r="D2487" s="26" t="n">
        <v>1.6</v>
      </c>
      <c r="E2487" s="27" t="n">
        <v>8.79588001734408</v>
      </c>
      <c r="F2487" s="27" t="n">
        <v>8.79588001734408</v>
      </c>
      <c r="G2487" s="25" t="s">
        <v>4178</v>
      </c>
      <c r="H2487" s="25" t="s">
        <v>4179</v>
      </c>
      <c r="I2487" s="25" t="n">
        <f aca="false">IFERROR(IF(INDEX(Documents!$C$5:$C$657,MATCH(H2487,Documents!$A$5:$A$657,0))="","",INDEX(Documents!$C$5:$C$657,MATCH(H2487,Documents!$A$5:$A$657,0))),"")</f>
        <v>2010</v>
      </c>
      <c r="J2487" s="25" t="str">
        <f aca="false">IFERROR(IF(INDEX(Documents!$D$5:$D$657,MATCH(H2487,Documents!$A$5:$A$657,0))="","",INDEX(Documents!$D$5:$D$657,MATCH(H2487,Documents!$A$5:$A$657,0))),"")</f>
        <v>Bioorg Med Chem Lett</v>
      </c>
      <c r="K2487" s="25" t="str">
        <f aca="false">IFERROR(IF(INDEX(Documents!$G$5:$G$657,MATCH(H2487,Documents!$A$5:$A$657,0))="","",INDEX(Documents!$G$5:$G$657,MATCH(H2487,Documents!$A$5:$A$657,0))),"")</f>
        <v>10.1016/j.bmcl.2009.12.032</v>
      </c>
      <c r="L2487" s="25" t="s">
        <v>659</v>
      </c>
    </row>
    <row r="2488" customFormat="false" ht="15" hidden="false" customHeight="false" outlineLevel="0" collapsed="false">
      <c r="A2488" s="25" t="n">
        <v>3102064</v>
      </c>
      <c r="B2488" s="25" t="s">
        <v>5342</v>
      </c>
      <c r="C2488" s="25" t="s">
        <v>5343</v>
      </c>
      <c r="D2488" s="26" t="n">
        <v>12.7</v>
      </c>
      <c r="E2488" s="27" t="n">
        <v>7.89619627904404</v>
      </c>
      <c r="F2488" s="27" t="n">
        <v>7.89619627904404</v>
      </c>
      <c r="G2488" s="25" t="s">
        <v>4178</v>
      </c>
      <c r="H2488" s="25" t="s">
        <v>4179</v>
      </c>
      <c r="I2488" s="25" t="n">
        <f aca="false">IFERROR(IF(INDEX(Documents!$C$5:$C$657,MATCH(H2488,Documents!$A$5:$A$657,0))="","",INDEX(Documents!$C$5:$C$657,MATCH(H2488,Documents!$A$5:$A$657,0))),"")</f>
        <v>2010</v>
      </c>
      <c r="J2488" s="25" t="str">
        <f aca="false">IFERROR(IF(INDEX(Documents!$D$5:$D$657,MATCH(H2488,Documents!$A$5:$A$657,0))="","",INDEX(Documents!$D$5:$D$657,MATCH(H2488,Documents!$A$5:$A$657,0))),"")</f>
        <v>Bioorg Med Chem Lett</v>
      </c>
      <c r="K2488" s="25" t="str">
        <f aca="false">IFERROR(IF(INDEX(Documents!$G$5:$G$657,MATCH(H2488,Documents!$A$5:$A$657,0))="","",INDEX(Documents!$G$5:$G$657,MATCH(H2488,Documents!$A$5:$A$657,0))),"")</f>
        <v>10.1016/j.bmcl.2009.12.032</v>
      </c>
      <c r="L2488" s="25" t="s">
        <v>659</v>
      </c>
    </row>
    <row r="2489" customFormat="false" ht="15" hidden="false" customHeight="false" outlineLevel="0" collapsed="false">
      <c r="A2489" s="25" t="n">
        <v>18936363</v>
      </c>
      <c r="B2489" s="25" t="s">
        <v>5344</v>
      </c>
      <c r="C2489" s="25" t="s">
        <v>5345</v>
      </c>
      <c r="D2489" s="26" t="n">
        <v>5.92</v>
      </c>
      <c r="E2489" s="27" t="n">
        <v>8.22767829327708</v>
      </c>
      <c r="F2489" s="27" t="n">
        <v>8.22767829327708</v>
      </c>
      <c r="G2489" s="25" t="s">
        <v>3162</v>
      </c>
      <c r="H2489" s="25" t="s">
        <v>3163</v>
      </c>
      <c r="I2489" s="25" t="n">
        <f aca="false">IFERROR(IF(INDEX(Documents!$C$5:$C$657,MATCH(H2489,Documents!$A$5:$A$657,0))="","",INDEX(Documents!$C$5:$C$657,MATCH(H2489,Documents!$A$5:$A$657,0))),"")</f>
        <v>2019</v>
      </c>
      <c r="J2489" s="25" t="str">
        <f aca="false">IFERROR(IF(INDEX(Documents!$D$5:$D$657,MATCH(H2489,Documents!$A$5:$A$657,0))="","",INDEX(Documents!$D$5:$D$657,MATCH(H2489,Documents!$A$5:$A$657,0))),"")</f>
        <v>Eur J Med Chem</v>
      </c>
      <c r="K2489" s="25" t="str">
        <f aca="false">IFERROR(IF(INDEX(Documents!$G$5:$G$657,MATCH(H2489,Documents!$A$5:$A$657,0))="","",INDEX(Documents!$G$5:$G$657,MATCH(H2489,Documents!$A$5:$A$657,0))),"")</f>
        <v>10.1016/j.ejmech.2018.09.070</v>
      </c>
      <c r="L2489" s="25" t="s">
        <v>3164</v>
      </c>
    </row>
    <row r="2490" customFormat="false" ht="15" hidden="false" customHeight="false" outlineLevel="0" collapsed="false">
      <c r="A2490" s="25" t="n">
        <v>16823051</v>
      </c>
      <c r="B2490" s="25" t="s">
        <v>5346</v>
      </c>
      <c r="C2490" s="25" t="s">
        <v>5347</v>
      </c>
      <c r="D2490" s="26" t="n">
        <v>1600</v>
      </c>
      <c r="E2490" s="27" t="n">
        <v>5.79588001734408</v>
      </c>
      <c r="F2490" s="27" t="n">
        <v>5.79588001734408</v>
      </c>
      <c r="G2490" s="25" t="s">
        <v>934</v>
      </c>
      <c r="H2490" s="25" t="s">
        <v>935</v>
      </c>
      <c r="I2490" s="25" t="n">
        <f aca="false">IFERROR(IF(INDEX(Documents!$C$5:$C$657,MATCH(H2490,Documents!$A$5:$A$657,0))="","",INDEX(Documents!$C$5:$C$657,MATCH(H2490,Documents!$A$5:$A$657,0))),"")</f>
        <v>2016</v>
      </c>
      <c r="J2490" s="25" t="str">
        <f aca="false">IFERROR(IF(INDEX(Documents!$D$5:$D$657,MATCH(H2490,Documents!$A$5:$A$657,0))="","",INDEX(Documents!$D$5:$D$657,MATCH(H2490,Documents!$A$5:$A$657,0))),"")</f>
        <v>Eur J Med Chem</v>
      </c>
      <c r="K2490" s="25" t="str">
        <f aca="false">IFERROR(IF(INDEX(Documents!$G$5:$G$657,MATCH(H2490,Documents!$A$5:$A$657,0))="","",INDEX(Documents!$G$5:$G$657,MATCH(H2490,Documents!$A$5:$A$657,0))),"")</f>
        <v>10.1016/j.ejmech.2016.08.005</v>
      </c>
      <c r="L2490" s="25" t="s">
        <v>936</v>
      </c>
    </row>
    <row r="2491" customFormat="false" ht="15" hidden="false" customHeight="false" outlineLevel="0" collapsed="false">
      <c r="A2491" s="25" t="n">
        <v>16823047</v>
      </c>
      <c r="B2491" s="25" t="s">
        <v>5348</v>
      </c>
      <c r="C2491" s="25" t="s">
        <v>5349</v>
      </c>
      <c r="D2491" s="26" t="n">
        <v>700</v>
      </c>
      <c r="E2491" s="27" t="n">
        <v>6.15490195998574</v>
      </c>
      <c r="F2491" s="27" t="n">
        <v>6.15490195998574</v>
      </c>
      <c r="G2491" s="25" t="s">
        <v>934</v>
      </c>
      <c r="H2491" s="25" t="s">
        <v>935</v>
      </c>
      <c r="I2491" s="25" t="n">
        <f aca="false">IFERROR(IF(INDEX(Documents!$C$5:$C$657,MATCH(H2491,Documents!$A$5:$A$657,0))="","",INDEX(Documents!$C$5:$C$657,MATCH(H2491,Documents!$A$5:$A$657,0))),"")</f>
        <v>2016</v>
      </c>
      <c r="J2491" s="25" t="str">
        <f aca="false">IFERROR(IF(INDEX(Documents!$D$5:$D$657,MATCH(H2491,Documents!$A$5:$A$657,0))="","",INDEX(Documents!$D$5:$D$657,MATCH(H2491,Documents!$A$5:$A$657,0))),"")</f>
        <v>Eur J Med Chem</v>
      </c>
      <c r="K2491" s="25" t="str">
        <f aca="false">IFERROR(IF(INDEX(Documents!$G$5:$G$657,MATCH(H2491,Documents!$A$5:$A$657,0))="","",INDEX(Documents!$G$5:$G$657,MATCH(H2491,Documents!$A$5:$A$657,0))),"")</f>
        <v>10.1016/j.ejmech.2016.08.005</v>
      </c>
      <c r="L2491" s="25" t="s">
        <v>936</v>
      </c>
    </row>
    <row r="2492" customFormat="false" ht="15" hidden="false" customHeight="false" outlineLevel="0" collapsed="false">
      <c r="A2492" s="25" t="n">
        <v>12723321</v>
      </c>
      <c r="B2492" s="25" t="s">
        <v>5350</v>
      </c>
      <c r="C2492" s="25" t="s">
        <v>5351</v>
      </c>
      <c r="D2492" s="26" t="n">
        <v>3855</v>
      </c>
      <c r="E2492" s="27" t="n">
        <v>5.41397561761302</v>
      </c>
      <c r="F2492" s="27" t="n">
        <v>5.41397561761302</v>
      </c>
      <c r="G2492" s="25" t="s">
        <v>2796</v>
      </c>
      <c r="H2492" s="25" t="s">
        <v>2797</v>
      </c>
      <c r="I2492" s="25" t="n">
        <f aca="false">IFERROR(IF(INDEX(Documents!$C$5:$C$657,MATCH(H2492,Documents!$A$5:$A$657,0))="","",INDEX(Documents!$C$5:$C$657,MATCH(H2492,Documents!$A$5:$A$657,0))),"")</f>
        <v>2013</v>
      </c>
      <c r="J2492" s="25" t="str">
        <f aca="false">IFERROR(IF(INDEX(Documents!$D$5:$D$657,MATCH(H2492,Documents!$A$5:$A$657,0))="","",INDEX(Documents!$D$5:$D$657,MATCH(H2492,Documents!$A$5:$A$657,0))),"")</f>
        <v>Bioorg Med Chem</v>
      </c>
      <c r="K2492" s="25" t="str">
        <f aca="false">IFERROR(IF(INDEX(Documents!$G$5:$G$657,MATCH(H2492,Documents!$A$5:$A$657,0))="","",INDEX(Documents!$G$5:$G$657,MATCH(H2492,Documents!$A$5:$A$657,0))),"")</f>
        <v>10.1016/j.bmc.2013.01.006</v>
      </c>
      <c r="L2492" s="25" t="s">
        <v>2798</v>
      </c>
    </row>
    <row r="2493" customFormat="false" ht="15" hidden="false" customHeight="false" outlineLevel="0" collapsed="false">
      <c r="A2493" s="25" t="n">
        <v>13850291</v>
      </c>
      <c r="B2493" s="25" t="s">
        <v>5352</v>
      </c>
      <c r="C2493" s="25" t="s">
        <v>5353</v>
      </c>
      <c r="D2493" s="26" t="n">
        <v>6.98</v>
      </c>
      <c r="E2493" s="27" t="n">
        <v>8.15614457737684</v>
      </c>
      <c r="F2493" s="27" t="n">
        <v>8.15614457737684</v>
      </c>
      <c r="G2493" s="25" t="s">
        <v>5354</v>
      </c>
      <c r="H2493" s="25" t="s">
        <v>4134</v>
      </c>
      <c r="I2493" s="25" t="n">
        <f aca="false">IFERROR(IF(INDEX(Documents!$C$5:$C$657,MATCH(H2493,Documents!$A$5:$A$657,0))="","",INDEX(Documents!$C$5:$C$657,MATCH(H2493,Documents!$A$5:$A$657,0))),"")</f>
        <v>2013</v>
      </c>
      <c r="J2493" s="25" t="str">
        <f aca="false">IFERROR(IF(INDEX(Documents!$D$5:$D$657,MATCH(H2493,Documents!$A$5:$A$657,0))="","",INDEX(Documents!$D$5:$D$657,MATCH(H2493,Documents!$A$5:$A$657,0))),"")</f>
        <v>Bioorg Med Chem</v>
      </c>
      <c r="K2493" s="25" t="str">
        <f aca="false">IFERROR(IF(INDEX(Documents!$G$5:$G$657,MATCH(H2493,Documents!$A$5:$A$657,0))="","",INDEX(Documents!$G$5:$G$657,MATCH(H2493,Documents!$A$5:$A$657,0))),"")</f>
        <v>10.1016/j.bmc.2013.09.040</v>
      </c>
      <c r="L2493" s="25" t="s">
        <v>5355</v>
      </c>
    </row>
    <row r="2494" customFormat="false" ht="15" hidden="false" customHeight="false" outlineLevel="0" collapsed="false">
      <c r="A2494" s="25" t="n">
        <v>5124675</v>
      </c>
      <c r="B2494" s="25" t="s">
        <v>5356</v>
      </c>
      <c r="C2494" s="25" t="s">
        <v>5357</v>
      </c>
      <c r="D2494" s="26" t="n">
        <v>414</v>
      </c>
      <c r="E2494" s="27" t="n">
        <v>6.3829996588791</v>
      </c>
      <c r="F2494" s="27" t="n">
        <v>6.3829996588791</v>
      </c>
      <c r="G2494" s="25" t="s">
        <v>1948</v>
      </c>
      <c r="H2494" s="25" t="s">
        <v>1949</v>
      </c>
      <c r="I2494" s="25" t="n">
        <f aca="false">IFERROR(IF(INDEX(Documents!$C$5:$C$657,MATCH(H2494,Documents!$A$5:$A$657,0))="","",INDEX(Documents!$C$5:$C$657,MATCH(H2494,Documents!$A$5:$A$657,0))),"")</f>
        <v>2010</v>
      </c>
      <c r="J2494" s="25" t="str">
        <f aca="false">IFERROR(IF(INDEX(Documents!$D$5:$D$657,MATCH(H2494,Documents!$A$5:$A$657,0))="","",INDEX(Documents!$D$5:$D$657,MATCH(H2494,Documents!$A$5:$A$657,0))),"")</f>
        <v>J Med Chem</v>
      </c>
      <c r="K2494" s="25" t="str">
        <f aca="false">IFERROR(IF(INDEX(Documents!$G$5:$G$657,MATCH(H2494,Documents!$A$5:$A$657,0))="","",INDEX(Documents!$G$5:$G$657,MATCH(H2494,Documents!$A$5:$A$657,0))),"")</f>
        <v>10.1021/jm100286k</v>
      </c>
      <c r="L2494" s="25" t="s">
        <v>1950</v>
      </c>
    </row>
    <row r="2495" customFormat="false" ht="15" hidden="false" customHeight="false" outlineLevel="0" collapsed="false">
      <c r="A2495" s="25" t="n">
        <v>12052739</v>
      </c>
      <c r="B2495" s="25" t="s">
        <v>5358</v>
      </c>
      <c r="C2495" s="25" t="s">
        <v>5359</v>
      </c>
      <c r="D2495" s="26" t="n">
        <v>7.3</v>
      </c>
      <c r="E2495" s="27" t="n">
        <v>8.13667713987955</v>
      </c>
      <c r="F2495" s="27" t="n">
        <v>8.13667713987955</v>
      </c>
      <c r="G2495" s="25" t="s">
        <v>587</v>
      </c>
      <c r="H2495" s="25" t="s">
        <v>588</v>
      </c>
      <c r="I2495" s="25" t="n">
        <f aca="false">IFERROR(IF(INDEX(Documents!$C$5:$C$657,MATCH(H2495,Documents!$A$5:$A$657,0))="","",INDEX(Documents!$C$5:$C$657,MATCH(H2495,Documents!$A$5:$A$657,0))),"")</f>
        <v>2012</v>
      </c>
      <c r="J2495" s="25" t="str">
        <f aca="false">IFERROR(IF(INDEX(Documents!$D$5:$D$657,MATCH(H2495,Documents!$A$5:$A$657,0))="","",INDEX(Documents!$D$5:$D$657,MATCH(H2495,Documents!$A$5:$A$657,0))),"")</f>
        <v>Eur J Med Chem</v>
      </c>
      <c r="K2495" s="25" t="str">
        <f aca="false">IFERROR(IF(INDEX(Documents!$G$5:$G$657,MATCH(H2495,Documents!$A$5:$A$657,0))="","",INDEX(Documents!$G$5:$G$657,MATCH(H2495,Documents!$A$5:$A$657,0))),"")</f>
        <v>10.1016/j.ejmech.2012.09.035</v>
      </c>
      <c r="L2495" s="25" t="s">
        <v>589</v>
      </c>
    </row>
    <row r="2496" customFormat="false" ht="15" hidden="false" customHeight="false" outlineLevel="0" collapsed="false">
      <c r="A2496" s="25" t="n">
        <v>12052749</v>
      </c>
      <c r="B2496" s="25" t="s">
        <v>5360</v>
      </c>
      <c r="C2496" s="25" t="s">
        <v>5361</v>
      </c>
      <c r="D2496" s="26" t="n">
        <v>4.4</v>
      </c>
      <c r="E2496" s="27" t="n">
        <v>8.35654732351381</v>
      </c>
      <c r="F2496" s="27" t="n">
        <v>8.35654732351381</v>
      </c>
      <c r="G2496" s="25" t="s">
        <v>587</v>
      </c>
      <c r="H2496" s="25" t="s">
        <v>588</v>
      </c>
      <c r="I2496" s="25" t="n">
        <f aca="false">IFERROR(IF(INDEX(Documents!$C$5:$C$657,MATCH(H2496,Documents!$A$5:$A$657,0))="","",INDEX(Documents!$C$5:$C$657,MATCH(H2496,Documents!$A$5:$A$657,0))),"")</f>
        <v>2012</v>
      </c>
      <c r="J2496" s="25" t="str">
        <f aca="false">IFERROR(IF(INDEX(Documents!$D$5:$D$657,MATCH(H2496,Documents!$A$5:$A$657,0))="","",INDEX(Documents!$D$5:$D$657,MATCH(H2496,Documents!$A$5:$A$657,0))),"")</f>
        <v>Eur J Med Chem</v>
      </c>
      <c r="K2496" s="25" t="str">
        <f aca="false">IFERROR(IF(INDEX(Documents!$G$5:$G$657,MATCH(H2496,Documents!$A$5:$A$657,0))="","",INDEX(Documents!$G$5:$G$657,MATCH(H2496,Documents!$A$5:$A$657,0))),"")</f>
        <v>10.1016/j.ejmech.2012.09.035</v>
      </c>
      <c r="L2496" s="25" t="s">
        <v>589</v>
      </c>
    </row>
    <row r="2497" customFormat="false" ht="15" hidden="false" customHeight="false" outlineLevel="0" collapsed="false">
      <c r="A2497" s="25" t="n">
        <v>11019969</v>
      </c>
      <c r="B2497" s="25" t="s">
        <v>5362</v>
      </c>
      <c r="C2497" s="25" t="s">
        <v>5363</v>
      </c>
      <c r="D2497" s="26" t="n">
        <v>67</v>
      </c>
      <c r="E2497" s="27" t="n">
        <v>7.17392519729917</v>
      </c>
      <c r="F2497" s="27" t="n">
        <v>7.17392519729917</v>
      </c>
      <c r="G2497" s="25" t="s">
        <v>496</v>
      </c>
      <c r="H2497" s="25" t="s">
        <v>497</v>
      </c>
      <c r="I2497" s="25" t="n">
        <f aca="false">IFERROR(IF(INDEX(Documents!$C$5:$C$657,MATCH(H2497,Documents!$A$5:$A$657,0))="","",INDEX(Documents!$C$5:$C$657,MATCH(H2497,Documents!$A$5:$A$657,0))),"")</f>
        <v>2012</v>
      </c>
      <c r="J2497" s="25" t="str">
        <f aca="false">IFERROR(IF(INDEX(Documents!$D$5:$D$657,MATCH(H2497,Documents!$A$5:$A$657,0))="","",INDEX(Documents!$D$5:$D$657,MATCH(H2497,Documents!$A$5:$A$657,0))),"")</f>
        <v>J Med Chem</v>
      </c>
      <c r="K2497" s="25" t="str">
        <f aca="false">IFERROR(IF(INDEX(Documents!$G$5:$G$657,MATCH(H2497,Documents!$A$5:$A$657,0))="","",INDEX(Documents!$G$5:$G$657,MATCH(H2497,Documents!$A$5:$A$657,0))),"")</f>
        <v>10.1021/jm3003334</v>
      </c>
      <c r="L2497" s="25" t="s">
        <v>498</v>
      </c>
    </row>
    <row r="2498" customFormat="false" ht="15" hidden="false" customHeight="false" outlineLevel="0" collapsed="false">
      <c r="A2498" s="25" t="n">
        <v>2355490</v>
      </c>
      <c r="B2498" s="25" t="s">
        <v>5364</v>
      </c>
      <c r="C2498" s="25" t="s">
        <v>5365</v>
      </c>
      <c r="D2498" s="26" t="n">
        <v>25</v>
      </c>
      <c r="E2498" s="27" t="n">
        <v>7.60205999132796</v>
      </c>
      <c r="F2498" s="27" t="n">
        <v>7.60205999132796</v>
      </c>
      <c r="G2498" s="25" t="s">
        <v>773</v>
      </c>
      <c r="H2498" s="25" t="s">
        <v>774</v>
      </c>
      <c r="I2498" s="25" t="n">
        <f aca="false">IFERROR(IF(INDEX(Documents!$C$5:$C$657,MATCH(H2498,Documents!$A$5:$A$657,0))="","",INDEX(Documents!$C$5:$C$657,MATCH(H2498,Documents!$A$5:$A$657,0))),"")</f>
        <v>2008</v>
      </c>
      <c r="J2498" s="25" t="str">
        <f aca="false">IFERROR(IF(INDEX(Documents!$D$5:$D$657,MATCH(H2498,Documents!$A$5:$A$657,0))="","",INDEX(Documents!$D$5:$D$657,MATCH(H2498,Documents!$A$5:$A$657,0))),"")</f>
        <v>Bioorg Med Chem Lett</v>
      </c>
      <c r="K2498" s="25" t="str">
        <f aca="false">IFERROR(IF(INDEX(Documents!$G$5:$G$657,MATCH(H2498,Documents!$A$5:$A$657,0))="","",INDEX(Documents!$G$5:$G$657,MATCH(H2498,Documents!$A$5:$A$657,0))),"")</f>
        <v>10.1016/j.bmcl.2008.04.032</v>
      </c>
      <c r="L2498" s="25" t="s">
        <v>775</v>
      </c>
    </row>
    <row r="2499" customFormat="false" ht="15" hidden="false" customHeight="false" outlineLevel="0" collapsed="false">
      <c r="A2499" s="25" t="n">
        <v>15612656</v>
      </c>
      <c r="B2499" s="25" t="s">
        <v>5366</v>
      </c>
      <c r="C2499" s="25" t="s">
        <v>5367</v>
      </c>
      <c r="D2499" s="26" t="n">
        <v>51.6</v>
      </c>
      <c r="E2499" s="27" t="n">
        <v>7.28735029837279</v>
      </c>
      <c r="F2499" s="27" t="n">
        <v>7.28735029837279</v>
      </c>
      <c r="G2499" s="25" t="s">
        <v>804</v>
      </c>
      <c r="H2499" s="25" t="s">
        <v>805</v>
      </c>
      <c r="I2499" s="25" t="n">
        <f aca="false">IFERROR(IF(INDEX(Documents!$C$5:$C$657,MATCH(H2499,Documents!$A$5:$A$657,0))="","",INDEX(Documents!$C$5:$C$657,MATCH(H2499,Documents!$A$5:$A$657,0))),"")</f>
        <v>2014</v>
      </c>
      <c r="J2499" s="25" t="str">
        <f aca="false">IFERROR(IF(INDEX(Documents!$D$5:$D$657,MATCH(H2499,Documents!$A$5:$A$657,0))="","",INDEX(Documents!$D$5:$D$657,MATCH(H2499,Documents!$A$5:$A$657,0))),"")</f>
        <v>Bioorg Med Chem Lett</v>
      </c>
      <c r="K2499" s="25" t="str">
        <f aca="false">IFERROR(IF(INDEX(Documents!$G$5:$G$657,MATCH(H2499,Documents!$A$5:$A$657,0))="","",INDEX(Documents!$G$5:$G$657,MATCH(H2499,Documents!$A$5:$A$657,0))),"")</f>
        <v>10.1016/j.bmcl.2014.11.003</v>
      </c>
      <c r="L2499" s="25" t="s">
        <v>806</v>
      </c>
    </row>
    <row r="2500" customFormat="false" ht="15" hidden="false" customHeight="false" outlineLevel="0" collapsed="false">
      <c r="A2500" s="25" t="n">
        <v>15612662</v>
      </c>
      <c r="B2500" s="25" t="s">
        <v>5368</v>
      </c>
      <c r="C2500" s="25" t="s">
        <v>5369</v>
      </c>
      <c r="D2500" s="26" t="n">
        <v>29.4</v>
      </c>
      <c r="E2500" s="27" t="n">
        <v>7.53165266958784</v>
      </c>
      <c r="F2500" s="27" t="n">
        <v>7.53165266958784</v>
      </c>
      <c r="G2500" s="25" t="s">
        <v>804</v>
      </c>
      <c r="H2500" s="25" t="s">
        <v>805</v>
      </c>
      <c r="I2500" s="25" t="n">
        <f aca="false">IFERROR(IF(INDEX(Documents!$C$5:$C$657,MATCH(H2500,Documents!$A$5:$A$657,0))="","",INDEX(Documents!$C$5:$C$657,MATCH(H2500,Documents!$A$5:$A$657,0))),"")</f>
        <v>2014</v>
      </c>
      <c r="J2500" s="25" t="str">
        <f aca="false">IFERROR(IF(INDEX(Documents!$D$5:$D$657,MATCH(H2500,Documents!$A$5:$A$657,0))="","",INDEX(Documents!$D$5:$D$657,MATCH(H2500,Documents!$A$5:$A$657,0))),"")</f>
        <v>Bioorg Med Chem Lett</v>
      </c>
      <c r="K2500" s="25" t="str">
        <f aca="false">IFERROR(IF(INDEX(Documents!$G$5:$G$657,MATCH(H2500,Documents!$A$5:$A$657,0))="","",INDEX(Documents!$G$5:$G$657,MATCH(H2500,Documents!$A$5:$A$657,0))),"")</f>
        <v>10.1016/j.bmcl.2014.11.003</v>
      </c>
      <c r="L2500" s="25" t="s">
        <v>806</v>
      </c>
    </row>
    <row r="2501" customFormat="false" ht="15" hidden="false" customHeight="false" outlineLevel="0" collapsed="false">
      <c r="A2501" s="25" t="n">
        <v>15612664</v>
      </c>
      <c r="B2501" s="25" t="s">
        <v>5370</v>
      </c>
      <c r="C2501" s="25" t="s">
        <v>5371</v>
      </c>
      <c r="D2501" s="26" t="n">
        <v>81.7</v>
      </c>
      <c r="E2501" s="27" t="n">
        <v>7.08777794346758</v>
      </c>
      <c r="F2501" s="27" t="n">
        <v>7.08777794346758</v>
      </c>
      <c r="G2501" s="25" t="s">
        <v>804</v>
      </c>
      <c r="H2501" s="25" t="s">
        <v>805</v>
      </c>
      <c r="I2501" s="25" t="n">
        <f aca="false">IFERROR(IF(INDEX(Documents!$C$5:$C$657,MATCH(H2501,Documents!$A$5:$A$657,0))="","",INDEX(Documents!$C$5:$C$657,MATCH(H2501,Documents!$A$5:$A$657,0))),"")</f>
        <v>2014</v>
      </c>
      <c r="J2501" s="25" t="str">
        <f aca="false">IFERROR(IF(INDEX(Documents!$D$5:$D$657,MATCH(H2501,Documents!$A$5:$A$657,0))="","",INDEX(Documents!$D$5:$D$657,MATCH(H2501,Documents!$A$5:$A$657,0))),"")</f>
        <v>Bioorg Med Chem Lett</v>
      </c>
      <c r="K2501" s="25" t="str">
        <f aca="false">IFERROR(IF(INDEX(Documents!$G$5:$G$657,MATCH(H2501,Documents!$A$5:$A$657,0))="","",INDEX(Documents!$G$5:$G$657,MATCH(H2501,Documents!$A$5:$A$657,0))),"")</f>
        <v>10.1016/j.bmcl.2014.11.003</v>
      </c>
      <c r="L2501" s="25" t="s">
        <v>806</v>
      </c>
    </row>
    <row r="2502" customFormat="false" ht="15" hidden="false" customHeight="false" outlineLevel="0" collapsed="false">
      <c r="A2502" s="25" t="n">
        <v>15612665</v>
      </c>
      <c r="B2502" s="25" t="s">
        <v>5372</v>
      </c>
      <c r="C2502" s="25" t="s">
        <v>5373</v>
      </c>
      <c r="D2502" s="26" t="n">
        <v>127</v>
      </c>
      <c r="E2502" s="27" t="n">
        <v>6.89619627904404</v>
      </c>
      <c r="F2502" s="27" t="n">
        <v>6.89619627904404</v>
      </c>
      <c r="G2502" s="25" t="s">
        <v>804</v>
      </c>
      <c r="H2502" s="25" t="s">
        <v>805</v>
      </c>
      <c r="I2502" s="25" t="n">
        <f aca="false">IFERROR(IF(INDEX(Documents!$C$5:$C$657,MATCH(H2502,Documents!$A$5:$A$657,0))="","",INDEX(Documents!$C$5:$C$657,MATCH(H2502,Documents!$A$5:$A$657,0))),"")</f>
        <v>2014</v>
      </c>
      <c r="J2502" s="25" t="str">
        <f aca="false">IFERROR(IF(INDEX(Documents!$D$5:$D$657,MATCH(H2502,Documents!$A$5:$A$657,0))="","",INDEX(Documents!$D$5:$D$657,MATCH(H2502,Documents!$A$5:$A$657,0))),"")</f>
        <v>Bioorg Med Chem Lett</v>
      </c>
      <c r="K2502" s="25" t="str">
        <f aca="false">IFERROR(IF(INDEX(Documents!$G$5:$G$657,MATCH(H2502,Documents!$A$5:$A$657,0))="","",INDEX(Documents!$G$5:$G$657,MATCH(H2502,Documents!$A$5:$A$657,0))),"")</f>
        <v>10.1016/j.bmcl.2014.11.003</v>
      </c>
      <c r="L2502" s="25" t="s">
        <v>806</v>
      </c>
    </row>
    <row r="2503" customFormat="false" ht="15" hidden="false" customHeight="false" outlineLevel="0" collapsed="false">
      <c r="A2503" s="25" t="n">
        <v>13498207</v>
      </c>
      <c r="B2503" s="25" t="s">
        <v>5374</v>
      </c>
      <c r="C2503" s="25" t="s">
        <v>5375</v>
      </c>
      <c r="D2503" s="26" t="n">
        <v>403</v>
      </c>
      <c r="E2503" s="27" t="n">
        <v>6.39469495385889</v>
      </c>
      <c r="F2503" s="27" t="n">
        <v>6.39469495385889</v>
      </c>
      <c r="G2503" s="25" t="s">
        <v>757</v>
      </c>
      <c r="H2503" s="25" t="s">
        <v>758</v>
      </c>
      <c r="I2503" s="25" t="n">
        <f aca="false">IFERROR(IF(INDEX(Documents!$C$5:$C$657,MATCH(H2503,Documents!$A$5:$A$657,0))="","",INDEX(Documents!$C$5:$C$657,MATCH(H2503,Documents!$A$5:$A$657,0))),"")</f>
        <v>2013</v>
      </c>
      <c r="J2503" s="25" t="str">
        <f aca="false">IFERROR(IF(INDEX(Documents!$D$5:$D$657,MATCH(H2503,Documents!$A$5:$A$657,0))="","",INDEX(Documents!$D$5:$D$657,MATCH(H2503,Documents!$A$5:$A$657,0))),"")</f>
        <v>Eur J Med Chem</v>
      </c>
      <c r="K2503" s="25" t="str">
        <f aca="false">IFERROR(IF(INDEX(Documents!$G$5:$G$657,MATCH(H2503,Documents!$A$5:$A$657,0))="","",INDEX(Documents!$G$5:$G$657,MATCH(H2503,Documents!$A$5:$A$657,0))),"")</f>
        <v>10.1016/j.ejmech.2013.09.038</v>
      </c>
      <c r="L2503" s="25" t="s">
        <v>759</v>
      </c>
    </row>
    <row r="2504" customFormat="false" ht="15" hidden="false" customHeight="false" outlineLevel="0" collapsed="false">
      <c r="A2504" s="25" t="n">
        <v>10852541</v>
      </c>
      <c r="B2504" s="25" t="s">
        <v>5376</v>
      </c>
      <c r="C2504" s="25" t="s">
        <v>5377</v>
      </c>
      <c r="D2504" s="26" t="n">
        <v>81</v>
      </c>
      <c r="E2504" s="27" t="n">
        <v>7.09151498112135</v>
      </c>
      <c r="F2504" s="27" t="n">
        <v>7.09151498112135</v>
      </c>
      <c r="G2504" s="25" t="s">
        <v>636</v>
      </c>
      <c r="H2504" s="25" t="s">
        <v>637</v>
      </c>
      <c r="I2504" s="25" t="n">
        <f aca="false">IFERROR(IF(INDEX(Documents!$C$5:$C$657,MATCH(H2504,Documents!$A$5:$A$657,0))="","",INDEX(Documents!$C$5:$C$657,MATCH(H2504,Documents!$A$5:$A$657,0))),"")</f>
        <v>2012</v>
      </c>
      <c r="J2504" s="25" t="str">
        <f aca="false">IFERROR(IF(INDEX(Documents!$D$5:$D$657,MATCH(H2504,Documents!$A$5:$A$657,0))="","",INDEX(Documents!$D$5:$D$657,MATCH(H2504,Documents!$A$5:$A$657,0))),"")</f>
        <v>Bioorg Med Chem Lett</v>
      </c>
      <c r="K2504" s="25" t="str">
        <f aca="false">IFERROR(IF(INDEX(Documents!$G$5:$G$657,MATCH(H2504,Documents!$A$5:$A$657,0))="","",INDEX(Documents!$G$5:$G$657,MATCH(H2504,Documents!$A$5:$A$657,0))),"")</f>
        <v>10.1016/j.bmcl.2012.02.054</v>
      </c>
      <c r="L2504" s="25" t="s">
        <v>638</v>
      </c>
    </row>
    <row r="2505" customFormat="false" ht="15" hidden="false" customHeight="false" outlineLevel="0" collapsed="false">
      <c r="A2505" s="25" t="n">
        <v>14574054</v>
      </c>
      <c r="B2505" s="25" t="s">
        <v>5378</v>
      </c>
      <c r="C2505" s="25" t="s">
        <v>5379</v>
      </c>
      <c r="D2505" s="26" t="n">
        <v>42</v>
      </c>
      <c r="E2505" s="27" t="n">
        <v>7.3767507096021</v>
      </c>
      <c r="F2505" s="27" t="n">
        <v>7.3767507096021</v>
      </c>
      <c r="G2505" s="25" t="s">
        <v>5380</v>
      </c>
      <c r="H2505" s="25" t="s">
        <v>1358</v>
      </c>
      <c r="I2505" s="25" t="n">
        <f aca="false">IFERROR(IF(INDEX(Documents!$C$5:$C$657,MATCH(H2505,Documents!$A$5:$A$657,0))="","",INDEX(Documents!$C$5:$C$657,MATCH(H2505,Documents!$A$5:$A$657,0))),"")</f>
        <v>2013</v>
      </c>
      <c r="J2505" s="25" t="str">
        <f aca="false">IFERROR(IF(INDEX(Documents!$D$5:$D$657,MATCH(H2505,Documents!$A$5:$A$657,0))="","",INDEX(Documents!$D$5:$D$657,MATCH(H2505,Documents!$A$5:$A$657,0))),"")</f>
        <v>J Med Chem</v>
      </c>
      <c r="K2505" s="25" t="str">
        <f aca="false">IFERROR(IF(INDEX(Documents!$G$5:$G$657,MATCH(H2505,Documents!$A$5:$A$657,0))="","",INDEX(Documents!$G$5:$G$657,MATCH(H2505,Documents!$A$5:$A$657,0))),"")</f>
        <v>10.1021/jm4005626</v>
      </c>
      <c r="L2505" s="25" t="s">
        <v>5381</v>
      </c>
    </row>
    <row r="2506" customFormat="false" ht="15" hidden="false" customHeight="false" outlineLevel="0" collapsed="false">
      <c r="A2506" s="25" t="n">
        <v>2355478</v>
      </c>
      <c r="B2506" s="25" t="s">
        <v>5382</v>
      </c>
      <c r="C2506" s="25" t="s">
        <v>5383</v>
      </c>
      <c r="D2506" s="26" t="n">
        <v>338</v>
      </c>
      <c r="E2506" s="27" t="n">
        <v>6.47108329972235</v>
      </c>
      <c r="F2506" s="27" t="n">
        <v>6.47108329972235</v>
      </c>
      <c r="G2506" s="25" t="s">
        <v>773</v>
      </c>
      <c r="H2506" s="25" t="s">
        <v>774</v>
      </c>
      <c r="I2506" s="25" t="n">
        <f aca="false">IFERROR(IF(INDEX(Documents!$C$5:$C$657,MATCH(H2506,Documents!$A$5:$A$657,0))="","",INDEX(Documents!$C$5:$C$657,MATCH(H2506,Documents!$A$5:$A$657,0))),"")</f>
        <v>2008</v>
      </c>
      <c r="J2506" s="25" t="str">
        <f aca="false">IFERROR(IF(INDEX(Documents!$D$5:$D$657,MATCH(H2506,Documents!$A$5:$A$657,0))="","",INDEX(Documents!$D$5:$D$657,MATCH(H2506,Documents!$A$5:$A$657,0))),"")</f>
        <v>Bioorg Med Chem Lett</v>
      </c>
      <c r="K2506" s="25" t="str">
        <f aca="false">IFERROR(IF(INDEX(Documents!$G$5:$G$657,MATCH(H2506,Documents!$A$5:$A$657,0))="","",INDEX(Documents!$G$5:$G$657,MATCH(H2506,Documents!$A$5:$A$657,0))),"")</f>
        <v>10.1016/j.bmcl.2008.04.032</v>
      </c>
      <c r="L2506" s="25" t="s">
        <v>775</v>
      </c>
    </row>
    <row r="2507" customFormat="false" ht="15" hidden="false" customHeight="false" outlineLevel="0" collapsed="false">
      <c r="A2507" s="25" t="n">
        <v>19105754</v>
      </c>
      <c r="B2507" s="25" t="s">
        <v>5384</v>
      </c>
      <c r="C2507" s="25" t="s">
        <v>5385</v>
      </c>
      <c r="D2507" s="26" t="n">
        <v>980</v>
      </c>
      <c r="E2507" s="27" t="n">
        <v>6.00877392430751</v>
      </c>
      <c r="F2507" s="27" t="n">
        <v>6.00877392430751</v>
      </c>
      <c r="G2507" s="25" t="s">
        <v>4300</v>
      </c>
      <c r="H2507" s="25" t="s">
        <v>4301</v>
      </c>
      <c r="I2507" s="25" t="n">
        <f aca="false">IFERROR(IF(INDEX(Documents!$C$5:$C$657,MATCH(H2507,Documents!$A$5:$A$657,0))="","",INDEX(Documents!$C$5:$C$657,MATCH(H2507,Documents!$A$5:$A$657,0))),"")</f>
        <v>2018</v>
      </c>
      <c r="J2507" s="25" t="str">
        <f aca="false">IFERROR(IF(INDEX(Documents!$D$5:$D$657,MATCH(H2507,Documents!$A$5:$A$657,0))="","",INDEX(Documents!$D$5:$D$657,MATCH(H2507,Documents!$A$5:$A$657,0))),"")</f>
        <v>Medchemcomm</v>
      </c>
      <c r="K2507" s="25" t="str">
        <f aca="false">IFERROR(IF(INDEX(Documents!$G$5:$G$657,MATCH(H2507,Documents!$A$5:$A$657,0))="","",INDEX(Documents!$G$5:$G$657,MATCH(H2507,Documents!$A$5:$A$657,0))),"")</f>
        <v>10.1039/C8MD00461G</v>
      </c>
      <c r="L2507" s="25" t="s">
        <v>4302</v>
      </c>
    </row>
    <row r="2508" customFormat="false" ht="15" hidden="false" customHeight="false" outlineLevel="0" collapsed="false">
      <c r="A2508" s="25" t="n">
        <v>2980558</v>
      </c>
      <c r="B2508" s="25" t="s">
        <v>5386</v>
      </c>
      <c r="C2508" s="25" t="s">
        <v>5387</v>
      </c>
      <c r="D2508" s="26" t="n">
        <v>1.905</v>
      </c>
      <c r="E2508" s="27" t="n">
        <v>8.72010501998836</v>
      </c>
      <c r="F2508" s="27" t="n">
        <v>8.72067570951777</v>
      </c>
      <c r="G2508" s="25" t="s">
        <v>599</v>
      </c>
      <c r="H2508" s="25" t="s">
        <v>600</v>
      </c>
      <c r="I2508" s="25" t="n">
        <f aca="false">IFERROR(IF(INDEX(Documents!$C$5:$C$657,MATCH(H2508,Documents!$A$5:$A$657,0))="","",INDEX(Documents!$C$5:$C$657,MATCH(H2508,Documents!$A$5:$A$657,0))),"")</f>
        <v>2010</v>
      </c>
      <c r="J2508" s="25" t="str">
        <f aca="false">IFERROR(IF(INDEX(Documents!$D$5:$D$657,MATCH(H2508,Documents!$A$5:$A$657,0))="","",INDEX(Documents!$D$5:$D$657,MATCH(H2508,Documents!$A$5:$A$657,0))),"")</f>
        <v>J Med Chem</v>
      </c>
      <c r="K2508" s="25" t="str">
        <f aca="false">IFERROR(IF(INDEX(Documents!$G$5:$G$657,MATCH(H2508,Documents!$A$5:$A$657,0))="","",INDEX(Documents!$G$5:$G$657,MATCH(H2508,Documents!$A$5:$A$657,0))),"")</f>
        <v>10.1021/jm901214q</v>
      </c>
      <c r="L2508" s="25" t="s">
        <v>601</v>
      </c>
    </row>
    <row r="2509" customFormat="false" ht="15" hidden="false" customHeight="false" outlineLevel="0" collapsed="false">
      <c r="A2509" s="25" t="n">
        <v>2980520</v>
      </c>
      <c r="B2509" s="25" t="s">
        <v>5386</v>
      </c>
      <c r="C2509" s="25" t="s">
        <v>5387</v>
      </c>
      <c r="D2509" s="26" t="n">
        <v>1.9</v>
      </c>
      <c r="E2509" s="27" t="n">
        <v>8.72124639904717</v>
      </c>
      <c r="F2509" s="27" t="n">
        <v>8.72067570951777</v>
      </c>
      <c r="G2509" s="25" t="s">
        <v>599</v>
      </c>
      <c r="H2509" s="25" t="s">
        <v>600</v>
      </c>
      <c r="I2509" s="25" t="n">
        <f aca="false">IFERROR(IF(INDEX(Documents!$C$5:$C$657,MATCH(H2509,Documents!$A$5:$A$657,0))="","",INDEX(Documents!$C$5:$C$657,MATCH(H2509,Documents!$A$5:$A$657,0))),"")</f>
        <v>2010</v>
      </c>
      <c r="J2509" s="25" t="str">
        <f aca="false">IFERROR(IF(INDEX(Documents!$D$5:$D$657,MATCH(H2509,Documents!$A$5:$A$657,0))="","",INDEX(Documents!$D$5:$D$657,MATCH(H2509,Documents!$A$5:$A$657,0))),"")</f>
        <v>J Med Chem</v>
      </c>
      <c r="K2509" s="25" t="str">
        <f aca="false">IFERROR(IF(INDEX(Documents!$G$5:$G$657,MATCH(H2509,Documents!$A$5:$A$657,0))="","",INDEX(Documents!$G$5:$G$657,MATCH(H2509,Documents!$A$5:$A$657,0))),"")</f>
        <v>10.1021/jm901214q</v>
      </c>
      <c r="L2509" s="25" t="s">
        <v>601</v>
      </c>
    </row>
    <row r="2510" customFormat="false" ht="15" hidden="false" customHeight="false" outlineLevel="0" collapsed="false">
      <c r="A2510" s="25" t="n">
        <v>24752345</v>
      </c>
      <c r="B2510" s="25" t="s">
        <v>5388</v>
      </c>
      <c r="C2510" s="25" t="s">
        <v>5389</v>
      </c>
      <c r="D2510" s="26" t="n">
        <v>60</v>
      </c>
      <c r="E2510" s="27" t="n">
        <v>7.22184874961636</v>
      </c>
      <c r="F2510" s="27" t="n">
        <v>7.22184874961636</v>
      </c>
      <c r="G2510" s="25" t="s">
        <v>3188</v>
      </c>
      <c r="H2510" s="25" t="s">
        <v>3189</v>
      </c>
      <c r="I2510" s="25" t="n">
        <f aca="false">IFERROR(IF(INDEX(Documents!$C$5:$C$657,MATCH(H2510,Documents!$A$5:$A$657,0))="","",INDEX(Documents!$C$5:$C$657,MATCH(H2510,Documents!$A$5:$A$657,0))),"")</f>
        <v>2022</v>
      </c>
      <c r="J2510" s="25" t="str">
        <f aca="false">IFERROR(IF(INDEX(Documents!$D$5:$D$657,MATCH(H2510,Documents!$A$5:$A$657,0))="","",INDEX(Documents!$D$5:$D$657,MATCH(H2510,Documents!$A$5:$A$657,0))),"")</f>
        <v>Bioorg Med Chem</v>
      </c>
      <c r="K2510" s="25" t="str">
        <f aca="false">IFERROR(IF(INDEX(Documents!$G$5:$G$657,MATCH(H2510,Documents!$A$5:$A$657,0))="","",INDEX(Documents!$G$5:$G$657,MATCH(H2510,Documents!$A$5:$A$657,0))),"")</f>
        <v>10.1016/j.bmc.2022.116614</v>
      </c>
      <c r="L2510" s="25" t="s">
        <v>3190</v>
      </c>
    </row>
    <row r="2511" customFormat="false" ht="15" hidden="false" customHeight="false" outlineLevel="0" collapsed="false">
      <c r="A2511" s="25" t="n">
        <v>12052744</v>
      </c>
      <c r="B2511" s="25" t="s">
        <v>5390</v>
      </c>
      <c r="C2511" s="25" t="s">
        <v>5391</v>
      </c>
      <c r="D2511" s="26" t="n">
        <v>7.9</v>
      </c>
      <c r="E2511" s="27" t="n">
        <v>8.10237290870956</v>
      </c>
      <c r="F2511" s="27" t="n">
        <v>8.10237290870956</v>
      </c>
      <c r="G2511" s="25" t="s">
        <v>587</v>
      </c>
      <c r="H2511" s="25" t="s">
        <v>588</v>
      </c>
      <c r="I2511" s="25" t="n">
        <f aca="false">IFERROR(IF(INDEX(Documents!$C$5:$C$657,MATCH(H2511,Documents!$A$5:$A$657,0))="","",INDEX(Documents!$C$5:$C$657,MATCH(H2511,Documents!$A$5:$A$657,0))),"")</f>
        <v>2012</v>
      </c>
      <c r="J2511" s="25" t="str">
        <f aca="false">IFERROR(IF(INDEX(Documents!$D$5:$D$657,MATCH(H2511,Documents!$A$5:$A$657,0))="","",INDEX(Documents!$D$5:$D$657,MATCH(H2511,Documents!$A$5:$A$657,0))),"")</f>
        <v>Eur J Med Chem</v>
      </c>
      <c r="K2511" s="25" t="str">
        <f aca="false">IFERROR(IF(INDEX(Documents!$G$5:$G$657,MATCH(H2511,Documents!$A$5:$A$657,0))="","",INDEX(Documents!$G$5:$G$657,MATCH(H2511,Documents!$A$5:$A$657,0))),"")</f>
        <v>10.1016/j.ejmech.2012.09.035</v>
      </c>
      <c r="L2511" s="25" t="s">
        <v>589</v>
      </c>
    </row>
    <row r="2512" customFormat="false" ht="15" hidden="false" customHeight="false" outlineLevel="0" collapsed="false">
      <c r="A2512" s="25" t="n">
        <v>12052754</v>
      </c>
      <c r="B2512" s="25" t="s">
        <v>5392</v>
      </c>
      <c r="C2512" s="25" t="s">
        <v>5393</v>
      </c>
      <c r="D2512" s="26" t="n">
        <v>1.3</v>
      </c>
      <c r="E2512" s="27" t="n">
        <v>8.88605664769316</v>
      </c>
      <c r="F2512" s="27" t="n">
        <v>8.88605664769316</v>
      </c>
      <c r="G2512" s="25" t="s">
        <v>587</v>
      </c>
      <c r="H2512" s="25" t="s">
        <v>588</v>
      </c>
      <c r="I2512" s="25" t="n">
        <f aca="false">IFERROR(IF(INDEX(Documents!$C$5:$C$657,MATCH(H2512,Documents!$A$5:$A$657,0))="","",INDEX(Documents!$C$5:$C$657,MATCH(H2512,Documents!$A$5:$A$657,0))),"")</f>
        <v>2012</v>
      </c>
      <c r="J2512" s="25" t="str">
        <f aca="false">IFERROR(IF(INDEX(Documents!$D$5:$D$657,MATCH(H2512,Documents!$A$5:$A$657,0))="","",INDEX(Documents!$D$5:$D$657,MATCH(H2512,Documents!$A$5:$A$657,0))),"")</f>
        <v>Eur J Med Chem</v>
      </c>
      <c r="K2512" s="25" t="str">
        <f aca="false">IFERROR(IF(INDEX(Documents!$G$5:$G$657,MATCH(H2512,Documents!$A$5:$A$657,0))="","",INDEX(Documents!$G$5:$G$657,MATCH(H2512,Documents!$A$5:$A$657,0))),"")</f>
        <v>10.1016/j.ejmech.2012.09.035</v>
      </c>
      <c r="L2512" s="25" t="s">
        <v>589</v>
      </c>
    </row>
    <row r="2513" customFormat="false" ht="15" hidden="false" customHeight="false" outlineLevel="0" collapsed="false">
      <c r="A2513" s="25" t="n">
        <v>15612663</v>
      </c>
      <c r="B2513" s="25" t="s">
        <v>5394</v>
      </c>
      <c r="C2513" s="25" t="s">
        <v>5395</v>
      </c>
      <c r="D2513" s="26" t="n">
        <v>6237</v>
      </c>
      <c r="E2513" s="27" t="n">
        <v>5.20502425594887</v>
      </c>
      <c r="F2513" s="27" t="n">
        <v>5.20502425594887</v>
      </c>
      <c r="G2513" s="25" t="s">
        <v>804</v>
      </c>
      <c r="H2513" s="25" t="s">
        <v>805</v>
      </c>
      <c r="I2513" s="25" t="n">
        <f aca="false">IFERROR(IF(INDEX(Documents!$C$5:$C$657,MATCH(H2513,Documents!$A$5:$A$657,0))="","",INDEX(Documents!$C$5:$C$657,MATCH(H2513,Documents!$A$5:$A$657,0))),"")</f>
        <v>2014</v>
      </c>
      <c r="J2513" s="25" t="str">
        <f aca="false">IFERROR(IF(INDEX(Documents!$D$5:$D$657,MATCH(H2513,Documents!$A$5:$A$657,0))="","",INDEX(Documents!$D$5:$D$657,MATCH(H2513,Documents!$A$5:$A$657,0))),"")</f>
        <v>Bioorg Med Chem Lett</v>
      </c>
      <c r="K2513" s="25" t="str">
        <f aca="false">IFERROR(IF(INDEX(Documents!$G$5:$G$657,MATCH(H2513,Documents!$A$5:$A$657,0))="","",INDEX(Documents!$G$5:$G$657,MATCH(H2513,Documents!$A$5:$A$657,0))),"")</f>
        <v>10.1016/j.bmcl.2014.11.003</v>
      </c>
      <c r="L2513" s="25" t="s">
        <v>806</v>
      </c>
    </row>
    <row r="2514" customFormat="false" ht="15" hidden="false" customHeight="false" outlineLevel="0" collapsed="false">
      <c r="A2514" s="25" t="n">
        <v>14534722</v>
      </c>
      <c r="B2514" s="25" t="s">
        <v>5396</v>
      </c>
      <c r="C2514" s="25" t="s">
        <v>5397</v>
      </c>
      <c r="D2514" s="26" t="n">
        <v>16600</v>
      </c>
      <c r="E2514" s="27" t="n">
        <v>4.77989191195995</v>
      </c>
      <c r="F2514" s="27" t="n">
        <v>4.77989191195995</v>
      </c>
      <c r="G2514" s="25" t="s">
        <v>5398</v>
      </c>
      <c r="H2514" s="25" t="s">
        <v>5399</v>
      </c>
      <c r="I2514" s="25" t="n">
        <f aca="false">IFERROR(IF(INDEX(Documents!$C$5:$C$657,MATCH(H2514,Documents!$A$5:$A$657,0))="","",INDEX(Documents!$C$5:$C$657,MATCH(H2514,Documents!$A$5:$A$657,0))),"")</f>
        <v>2014</v>
      </c>
      <c r="J2514" s="25" t="str">
        <f aca="false">IFERROR(IF(INDEX(Documents!$D$5:$D$657,MATCH(H2514,Documents!$A$5:$A$657,0))="","",INDEX(Documents!$D$5:$D$657,MATCH(H2514,Documents!$A$5:$A$657,0))),"")</f>
        <v>Medchemcomm</v>
      </c>
      <c r="K2514" s="25" t="str">
        <f aca="false">IFERROR(IF(INDEX(Documents!$G$5:$G$657,MATCH(H2514,Documents!$A$5:$A$657,0))="","",INDEX(Documents!$G$5:$G$657,MATCH(H2514,Documents!$A$5:$A$657,0))),"")</f>
        <v>10.1039/C3MD00394A</v>
      </c>
      <c r="L2514" s="25" t="s">
        <v>5400</v>
      </c>
    </row>
    <row r="2515" customFormat="false" ht="15" hidden="false" customHeight="false" outlineLevel="0" collapsed="false">
      <c r="A2515" s="25" t="n">
        <v>12146231</v>
      </c>
      <c r="B2515" s="25" t="s">
        <v>5401</v>
      </c>
      <c r="C2515" s="25" t="s">
        <v>5402</v>
      </c>
      <c r="D2515" s="26" t="n">
        <v>777</v>
      </c>
      <c r="E2515" s="27" t="n">
        <v>6.10957898119909</v>
      </c>
      <c r="F2515" s="27" t="n">
        <v>6.10957898119909</v>
      </c>
      <c r="G2515" s="25" t="s">
        <v>1126</v>
      </c>
      <c r="H2515" s="25" t="s">
        <v>1127</v>
      </c>
      <c r="I2515" s="25" t="n">
        <f aca="false">IFERROR(IF(INDEX(Documents!$C$5:$C$657,MATCH(H2515,Documents!$A$5:$A$657,0))="","",INDEX(Documents!$C$5:$C$657,MATCH(H2515,Documents!$A$5:$A$657,0))),"")</f>
        <v>2012</v>
      </c>
      <c r="J2515" s="25" t="str">
        <f aca="false">IFERROR(IF(INDEX(Documents!$D$5:$D$657,MATCH(H2515,Documents!$A$5:$A$657,0))="","",INDEX(Documents!$D$5:$D$657,MATCH(H2515,Documents!$A$5:$A$657,0))),"")</f>
        <v>J Med Chem</v>
      </c>
      <c r="K2515" s="25" t="str">
        <f aca="false">IFERROR(IF(INDEX(Documents!$G$5:$G$657,MATCH(H2515,Documents!$A$5:$A$657,0))="","",INDEX(Documents!$G$5:$G$657,MATCH(H2515,Documents!$A$5:$A$657,0))),"")</f>
        <v>10.1021/jm301212u</v>
      </c>
      <c r="L2515" s="25" t="s">
        <v>1128</v>
      </c>
    </row>
    <row r="2516" customFormat="false" ht="15" hidden="false" customHeight="false" outlineLevel="0" collapsed="false">
      <c r="A2516" s="25" t="n">
        <v>12146286</v>
      </c>
      <c r="B2516" s="25" t="s">
        <v>5401</v>
      </c>
      <c r="C2516" s="25" t="s">
        <v>5402</v>
      </c>
      <c r="D2516" s="26" t="n">
        <v>777</v>
      </c>
      <c r="E2516" s="27" t="n">
        <v>6.10957898119909</v>
      </c>
      <c r="F2516" s="27" t="n">
        <v>6.10957898119909</v>
      </c>
      <c r="G2516" s="25" t="s">
        <v>1126</v>
      </c>
      <c r="H2516" s="25" t="s">
        <v>1127</v>
      </c>
      <c r="I2516" s="25" t="n">
        <f aca="false">IFERROR(IF(INDEX(Documents!$C$5:$C$657,MATCH(H2516,Documents!$A$5:$A$657,0))="","",INDEX(Documents!$C$5:$C$657,MATCH(H2516,Documents!$A$5:$A$657,0))),"")</f>
        <v>2012</v>
      </c>
      <c r="J2516" s="25" t="str">
        <f aca="false">IFERROR(IF(INDEX(Documents!$D$5:$D$657,MATCH(H2516,Documents!$A$5:$A$657,0))="","",INDEX(Documents!$D$5:$D$657,MATCH(H2516,Documents!$A$5:$A$657,0))),"")</f>
        <v>J Med Chem</v>
      </c>
      <c r="K2516" s="25" t="str">
        <f aca="false">IFERROR(IF(INDEX(Documents!$G$5:$G$657,MATCH(H2516,Documents!$A$5:$A$657,0))="","",INDEX(Documents!$G$5:$G$657,MATCH(H2516,Documents!$A$5:$A$657,0))),"")</f>
        <v>10.1021/jm301212u</v>
      </c>
      <c r="L2516" s="25" t="s">
        <v>1128</v>
      </c>
    </row>
    <row r="2517" customFormat="false" ht="15" hidden="false" customHeight="false" outlineLevel="0" collapsed="false">
      <c r="A2517" s="25" t="n">
        <v>2052320</v>
      </c>
      <c r="B2517" s="25" t="s">
        <v>5403</v>
      </c>
      <c r="C2517" s="25" t="s">
        <v>5404</v>
      </c>
      <c r="D2517" s="26" t="n">
        <v>94</v>
      </c>
      <c r="E2517" s="27" t="n">
        <v>7.0268721464003</v>
      </c>
      <c r="F2517" s="27" t="n">
        <v>7.0268721464003</v>
      </c>
      <c r="G2517" s="25" t="s">
        <v>2025</v>
      </c>
      <c r="H2517" s="25" t="s">
        <v>2026</v>
      </c>
      <c r="I2517" s="25" t="n">
        <f aca="false">IFERROR(IF(INDEX(Documents!$C$5:$C$657,MATCH(H2517,Documents!$A$5:$A$657,0))="","",INDEX(Documents!$C$5:$C$657,MATCH(H2517,Documents!$A$5:$A$657,0))),"")</f>
        <v>2007</v>
      </c>
      <c r="J2517" s="25" t="str">
        <f aca="false">IFERROR(IF(INDEX(Documents!$D$5:$D$657,MATCH(H2517,Documents!$A$5:$A$657,0))="","",INDEX(Documents!$D$5:$D$657,MATCH(H2517,Documents!$A$5:$A$657,0))),"")</f>
        <v>Bioorg Med Chem Lett</v>
      </c>
      <c r="K2517" s="25" t="str">
        <f aca="false">IFERROR(IF(INDEX(Documents!$G$5:$G$657,MATCH(H2517,Documents!$A$5:$A$657,0))="","",INDEX(Documents!$G$5:$G$657,MATCH(H2517,Documents!$A$5:$A$657,0))),"")</f>
        <v>10.1016/j.bmcl.2007.09.089</v>
      </c>
      <c r="L2517" s="25" t="s">
        <v>601</v>
      </c>
    </row>
    <row r="2518" customFormat="false" ht="15" hidden="false" customHeight="false" outlineLevel="0" collapsed="false">
      <c r="A2518" s="25" t="n">
        <v>10890215</v>
      </c>
      <c r="B2518" s="25" t="s">
        <v>5405</v>
      </c>
      <c r="C2518" s="25" t="s">
        <v>5406</v>
      </c>
      <c r="D2518" s="26" t="n">
        <v>26.3</v>
      </c>
      <c r="E2518" s="27" t="n">
        <v>7.58004425151024</v>
      </c>
      <c r="F2518" s="27" t="n">
        <v>7.58004425151024</v>
      </c>
      <c r="G2518" s="25" t="s">
        <v>2924</v>
      </c>
      <c r="H2518" s="25" t="s">
        <v>2925</v>
      </c>
      <c r="I2518" s="25" t="n">
        <f aca="false">IFERROR(IF(INDEX(Documents!$C$5:$C$657,MATCH(H2518,Documents!$A$5:$A$657,0))="","",INDEX(Documents!$C$5:$C$657,MATCH(H2518,Documents!$A$5:$A$657,0))),"")</f>
        <v>2012</v>
      </c>
      <c r="J2518" s="25" t="str">
        <f aca="false">IFERROR(IF(INDEX(Documents!$D$5:$D$657,MATCH(H2518,Documents!$A$5:$A$657,0))="","",INDEX(Documents!$D$5:$D$657,MATCH(H2518,Documents!$A$5:$A$657,0))),"")</f>
        <v>Bioorg Med Chem Lett</v>
      </c>
      <c r="K2518" s="25" t="str">
        <f aca="false">IFERROR(IF(INDEX(Documents!$G$5:$G$657,MATCH(H2518,Documents!$A$5:$A$657,0))="","",INDEX(Documents!$G$5:$G$657,MATCH(H2518,Documents!$A$5:$A$657,0))),"")</f>
        <v>10.1016/j.bmcl.2012.04.128</v>
      </c>
      <c r="L2518" s="25" t="s">
        <v>515</v>
      </c>
    </row>
    <row r="2519" customFormat="false" ht="15" hidden="false" customHeight="false" outlineLevel="0" collapsed="false">
      <c r="A2519" s="25" t="n">
        <v>10890211</v>
      </c>
      <c r="B2519" s="25" t="s">
        <v>5407</v>
      </c>
      <c r="C2519" s="25" t="s">
        <v>5408</v>
      </c>
      <c r="D2519" s="26" t="n">
        <v>21.5</v>
      </c>
      <c r="E2519" s="27" t="n">
        <v>7.66756154008439</v>
      </c>
      <c r="F2519" s="27" t="n">
        <v>7.66756154008439</v>
      </c>
      <c r="G2519" s="25" t="s">
        <v>2924</v>
      </c>
      <c r="H2519" s="25" t="s">
        <v>2925</v>
      </c>
      <c r="I2519" s="25" t="n">
        <f aca="false">IFERROR(IF(INDEX(Documents!$C$5:$C$657,MATCH(H2519,Documents!$A$5:$A$657,0))="","",INDEX(Documents!$C$5:$C$657,MATCH(H2519,Documents!$A$5:$A$657,0))),"")</f>
        <v>2012</v>
      </c>
      <c r="J2519" s="25" t="str">
        <f aca="false">IFERROR(IF(INDEX(Documents!$D$5:$D$657,MATCH(H2519,Documents!$A$5:$A$657,0))="","",INDEX(Documents!$D$5:$D$657,MATCH(H2519,Documents!$A$5:$A$657,0))),"")</f>
        <v>Bioorg Med Chem Lett</v>
      </c>
      <c r="K2519" s="25" t="str">
        <f aca="false">IFERROR(IF(INDEX(Documents!$G$5:$G$657,MATCH(H2519,Documents!$A$5:$A$657,0))="","",INDEX(Documents!$G$5:$G$657,MATCH(H2519,Documents!$A$5:$A$657,0))),"")</f>
        <v>10.1016/j.bmcl.2012.04.128</v>
      </c>
      <c r="L2519" s="25" t="s">
        <v>515</v>
      </c>
    </row>
    <row r="2520" customFormat="false" ht="15" hidden="false" customHeight="false" outlineLevel="0" collapsed="false">
      <c r="A2520" s="25" t="n">
        <v>10890210</v>
      </c>
      <c r="B2520" s="25" t="s">
        <v>5409</v>
      </c>
      <c r="C2520" s="25" t="s">
        <v>5410</v>
      </c>
      <c r="D2520" s="26" t="n">
        <v>49.1</v>
      </c>
      <c r="E2520" s="27" t="n">
        <v>7.30891850787703</v>
      </c>
      <c r="F2520" s="27" t="n">
        <v>7.30891850787703</v>
      </c>
      <c r="G2520" s="25" t="s">
        <v>2924</v>
      </c>
      <c r="H2520" s="25" t="s">
        <v>2925</v>
      </c>
      <c r="I2520" s="25" t="n">
        <f aca="false">IFERROR(IF(INDEX(Documents!$C$5:$C$657,MATCH(H2520,Documents!$A$5:$A$657,0))="","",INDEX(Documents!$C$5:$C$657,MATCH(H2520,Documents!$A$5:$A$657,0))),"")</f>
        <v>2012</v>
      </c>
      <c r="J2520" s="25" t="str">
        <f aca="false">IFERROR(IF(INDEX(Documents!$D$5:$D$657,MATCH(H2520,Documents!$A$5:$A$657,0))="","",INDEX(Documents!$D$5:$D$657,MATCH(H2520,Documents!$A$5:$A$657,0))),"")</f>
        <v>Bioorg Med Chem Lett</v>
      </c>
      <c r="K2520" s="25" t="str">
        <f aca="false">IFERROR(IF(INDEX(Documents!$G$5:$G$657,MATCH(H2520,Documents!$A$5:$A$657,0))="","",INDEX(Documents!$G$5:$G$657,MATCH(H2520,Documents!$A$5:$A$657,0))),"")</f>
        <v>10.1016/j.bmcl.2012.04.128</v>
      </c>
      <c r="L2520" s="25" t="s">
        <v>515</v>
      </c>
    </row>
    <row r="2521" customFormat="false" ht="15" hidden="false" customHeight="false" outlineLevel="0" collapsed="false">
      <c r="A2521" s="25" t="n">
        <v>5250488</v>
      </c>
      <c r="B2521" s="25" t="s">
        <v>5411</v>
      </c>
      <c r="C2521" s="25" t="s">
        <v>5412</v>
      </c>
      <c r="D2521" s="26" t="n">
        <v>6.31</v>
      </c>
      <c r="E2521" s="27" t="n">
        <v>8.19997064075587</v>
      </c>
      <c r="F2521" s="27" t="n">
        <v>8.19997064075587</v>
      </c>
      <c r="G2521" s="25" t="s">
        <v>5413</v>
      </c>
      <c r="H2521" s="25" t="s">
        <v>5414</v>
      </c>
      <c r="I2521" s="25" t="n">
        <f aca="false">IFERROR(IF(INDEX(Documents!$C$5:$C$657,MATCH(H2521,Documents!$A$5:$A$657,0))="","",INDEX(Documents!$C$5:$C$657,MATCH(H2521,Documents!$A$5:$A$657,0))),"")</f>
        <v>2011</v>
      </c>
      <c r="J2521" s="25" t="str">
        <f aca="false">IFERROR(IF(INDEX(Documents!$D$5:$D$657,MATCH(H2521,Documents!$A$5:$A$657,0))="","",INDEX(Documents!$D$5:$D$657,MATCH(H2521,Documents!$A$5:$A$657,0))),"")</f>
        <v>Bioorg Med Chem Lett</v>
      </c>
      <c r="K2521" s="25" t="str">
        <f aca="false">IFERROR(IF(INDEX(Documents!$G$5:$G$657,MATCH(H2521,Documents!$A$5:$A$657,0))="","",INDEX(Documents!$G$5:$G$657,MATCH(H2521,Documents!$A$5:$A$657,0))),"")</f>
        <v>10.1016/j.bmcl.2011.01.082</v>
      </c>
      <c r="L2521" s="25" t="s">
        <v>5415</v>
      </c>
    </row>
    <row r="2522" customFormat="false" ht="15" hidden="false" customHeight="false" outlineLevel="0" collapsed="false">
      <c r="A2522" s="25" t="n">
        <v>12076246</v>
      </c>
      <c r="B2522" s="25" t="s">
        <v>5416</v>
      </c>
      <c r="C2522" s="25" t="s">
        <v>5417</v>
      </c>
      <c r="D2522" s="26" t="n">
        <v>1790</v>
      </c>
      <c r="E2522" s="27" t="n">
        <v>5.74714696902011</v>
      </c>
      <c r="F2522" s="27" t="n">
        <v>5.74714696902011</v>
      </c>
      <c r="G2522" s="25" t="s">
        <v>4730</v>
      </c>
      <c r="H2522" s="25" t="s">
        <v>4731</v>
      </c>
      <c r="I2522" s="25" t="n">
        <f aca="false">IFERROR(IF(INDEX(Documents!$C$5:$C$657,MATCH(H2522,Documents!$A$5:$A$657,0))="","",INDEX(Documents!$C$5:$C$657,MATCH(H2522,Documents!$A$5:$A$657,0))),"")</f>
        <v>2012</v>
      </c>
      <c r="J2522" s="25" t="str">
        <f aca="false">IFERROR(IF(INDEX(Documents!$D$5:$D$657,MATCH(H2522,Documents!$A$5:$A$657,0))="","",INDEX(Documents!$D$5:$D$657,MATCH(H2522,Documents!$A$5:$A$657,0))),"")</f>
        <v>Eur J Med Chem</v>
      </c>
      <c r="K2522" s="25" t="str">
        <f aca="false">IFERROR(IF(INDEX(Documents!$G$5:$G$657,MATCH(H2522,Documents!$A$5:$A$657,0))="","",INDEX(Documents!$G$5:$G$657,MATCH(H2522,Documents!$A$5:$A$657,0))),"")</f>
        <v>10.1016/j.ejmech.2012.10.045</v>
      </c>
      <c r="L2522" s="25" t="s">
        <v>4497</v>
      </c>
    </row>
    <row r="2523" customFormat="false" ht="15" hidden="false" customHeight="false" outlineLevel="0" collapsed="false">
      <c r="A2523" s="25" t="n">
        <v>12076239</v>
      </c>
      <c r="B2523" s="25" t="s">
        <v>5418</v>
      </c>
      <c r="C2523" s="25" t="s">
        <v>5419</v>
      </c>
      <c r="D2523" s="26" t="n">
        <v>580</v>
      </c>
      <c r="E2523" s="27" t="n">
        <v>6.23657200643706</v>
      </c>
      <c r="F2523" s="27" t="n">
        <v>6.23657200643706</v>
      </c>
      <c r="G2523" s="25" t="s">
        <v>4730</v>
      </c>
      <c r="H2523" s="25" t="s">
        <v>4731</v>
      </c>
      <c r="I2523" s="25" t="n">
        <f aca="false">IFERROR(IF(INDEX(Documents!$C$5:$C$657,MATCH(H2523,Documents!$A$5:$A$657,0))="","",INDEX(Documents!$C$5:$C$657,MATCH(H2523,Documents!$A$5:$A$657,0))),"")</f>
        <v>2012</v>
      </c>
      <c r="J2523" s="25" t="str">
        <f aca="false">IFERROR(IF(INDEX(Documents!$D$5:$D$657,MATCH(H2523,Documents!$A$5:$A$657,0))="","",INDEX(Documents!$D$5:$D$657,MATCH(H2523,Documents!$A$5:$A$657,0))),"")</f>
        <v>Eur J Med Chem</v>
      </c>
      <c r="K2523" s="25" t="str">
        <f aca="false">IFERROR(IF(INDEX(Documents!$G$5:$G$657,MATCH(H2523,Documents!$A$5:$A$657,0))="","",INDEX(Documents!$G$5:$G$657,MATCH(H2523,Documents!$A$5:$A$657,0))),"")</f>
        <v>10.1016/j.ejmech.2012.10.045</v>
      </c>
      <c r="L2523" s="25" t="s">
        <v>4497</v>
      </c>
    </row>
    <row r="2524" customFormat="false" ht="15" hidden="false" customHeight="false" outlineLevel="0" collapsed="false">
      <c r="A2524" s="25" t="n">
        <v>10852537</v>
      </c>
      <c r="B2524" s="25" t="s">
        <v>5420</v>
      </c>
      <c r="C2524" s="25" t="s">
        <v>5421</v>
      </c>
      <c r="D2524" s="26" t="n">
        <v>0.6</v>
      </c>
      <c r="E2524" s="27" t="n">
        <v>9.22184874961636</v>
      </c>
      <c r="F2524" s="27" t="n">
        <v>9.22184874961636</v>
      </c>
      <c r="G2524" s="25" t="s">
        <v>636</v>
      </c>
      <c r="H2524" s="25" t="s">
        <v>637</v>
      </c>
      <c r="I2524" s="25" t="n">
        <f aca="false">IFERROR(IF(INDEX(Documents!$C$5:$C$657,MATCH(H2524,Documents!$A$5:$A$657,0))="","",INDEX(Documents!$C$5:$C$657,MATCH(H2524,Documents!$A$5:$A$657,0))),"")</f>
        <v>2012</v>
      </c>
      <c r="J2524" s="25" t="str">
        <f aca="false">IFERROR(IF(INDEX(Documents!$D$5:$D$657,MATCH(H2524,Documents!$A$5:$A$657,0))="","",INDEX(Documents!$D$5:$D$657,MATCH(H2524,Documents!$A$5:$A$657,0))),"")</f>
        <v>Bioorg Med Chem Lett</v>
      </c>
      <c r="K2524" s="25" t="str">
        <f aca="false">IFERROR(IF(INDEX(Documents!$G$5:$G$657,MATCH(H2524,Documents!$A$5:$A$657,0))="","",INDEX(Documents!$G$5:$G$657,MATCH(H2524,Documents!$A$5:$A$657,0))),"")</f>
        <v>10.1016/j.bmcl.2012.02.054</v>
      </c>
      <c r="L2524" s="25" t="s">
        <v>638</v>
      </c>
    </row>
    <row r="2525" customFormat="false" ht="15" hidden="false" customHeight="false" outlineLevel="0" collapsed="false">
      <c r="A2525" s="25" t="n">
        <v>16269233</v>
      </c>
      <c r="B2525" s="25" t="s">
        <v>5422</v>
      </c>
      <c r="C2525" s="25" t="s">
        <v>5423</v>
      </c>
      <c r="D2525" s="26" t="n">
        <v>14</v>
      </c>
      <c r="E2525" s="27" t="n">
        <v>7.85387196432176</v>
      </c>
      <c r="F2525" s="27" t="n">
        <v>7.85387196432176</v>
      </c>
      <c r="G2525" s="25" t="s">
        <v>326</v>
      </c>
      <c r="H2525" s="25" t="s">
        <v>327</v>
      </c>
      <c r="I2525" s="25" t="n">
        <f aca="false">IFERROR(IF(INDEX(Documents!$C$5:$C$657,MATCH(H2525,Documents!$A$5:$A$657,0))="","",INDEX(Documents!$C$5:$C$657,MATCH(H2525,Documents!$A$5:$A$657,0))),"")</f>
        <v>2014</v>
      </c>
      <c r="J2525" s="25" t="str">
        <f aca="false">IFERROR(IF(INDEX(Documents!$D$5:$D$657,MATCH(H2525,Documents!$A$5:$A$657,0))="","",INDEX(Documents!$D$5:$D$657,MATCH(H2525,Documents!$A$5:$A$657,0))),"")</f>
        <v/>
      </c>
      <c r="K2525" s="25" t="str">
        <f aca="false">IFERROR(IF(INDEX(Documents!$G$5:$G$657,MATCH(H2525,Documents!$A$5:$A$657,0))="","",INDEX(Documents!$G$5:$G$657,MATCH(H2525,Documents!$A$5:$A$657,0))),"")</f>
        <v/>
      </c>
      <c r="L2525" s="25" t="s">
        <v>328</v>
      </c>
    </row>
    <row r="2526" customFormat="false" ht="15" hidden="false" customHeight="false" outlineLevel="0" collapsed="false">
      <c r="A2526" s="25" t="n">
        <v>8041345</v>
      </c>
      <c r="B2526" s="25" t="s">
        <v>5424</v>
      </c>
      <c r="C2526" s="25" t="s">
        <v>5425</v>
      </c>
      <c r="D2526" s="26" t="n">
        <v>4021</v>
      </c>
      <c r="E2526" s="27" t="n">
        <v>5.39566592689709</v>
      </c>
      <c r="F2526" s="27" t="n">
        <v>5.39566592689709</v>
      </c>
      <c r="G2526" s="25" t="s">
        <v>5426</v>
      </c>
      <c r="H2526" s="25" t="s">
        <v>5427</v>
      </c>
      <c r="I2526" s="25" t="n">
        <f aca="false">IFERROR(IF(INDEX(Documents!$C$5:$C$657,MATCH(H2526,Documents!$A$5:$A$657,0))="","",INDEX(Documents!$C$5:$C$657,MATCH(H2526,Documents!$A$5:$A$657,0))),"")</f>
        <v>2012</v>
      </c>
      <c r="J2526" s="25" t="str">
        <f aca="false">IFERROR(IF(INDEX(Documents!$D$5:$D$657,MATCH(H2526,Documents!$A$5:$A$657,0))="","",INDEX(Documents!$D$5:$D$657,MATCH(H2526,Documents!$A$5:$A$657,0))),"")</f>
        <v>Bioorg Med Chem Lett</v>
      </c>
      <c r="K2526" s="25" t="str">
        <f aca="false">IFERROR(IF(INDEX(Documents!$G$5:$G$657,MATCH(H2526,Documents!$A$5:$A$657,0))="","",INDEX(Documents!$G$5:$G$657,MATCH(H2526,Documents!$A$5:$A$657,0))),"")</f>
        <v>10.1016/j.bmcl.2011.12.032</v>
      </c>
      <c r="L2526" s="25" t="s">
        <v>5428</v>
      </c>
    </row>
    <row r="2527" customFormat="false" ht="15" hidden="false" customHeight="false" outlineLevel="0" collapsed="false">
      <c r="A2527" s="25" t="n">
        <v>8041344</v>
      </c>
      <c r="B2527" s="25" t="s">
        <v>5429</v>
      </c>
      <c r="C2527" s="25" t="s">
        <v>5430</v>
      </c>
      <c r="D2527" s="26" t="n">
        <v>490</v>
      </c>
      <c r="E2527" s="27" t="n">
        <v>6.30980391997149</v>
      </c>
      <c r="F2527" s="27" t="n">
        <v>6.30980391997149</v>
      </c>
      <c r="G2527" s="25" t="s">
        <v>5426</v>
      </c>
      <c r="H2527" s="25" t="s">
        <v>5427</v>
      </c>
      <c r="I2527" s="25" t="n">
        <f aca="false">IFERROR(IF(INDEX(Documents!$C$5:$C$657,MATCH(H2527,Documents!$A$5:$A$657,0))="","",INDEX(Documents!$C$5:$C$657,MATCH(H2527,Documents!$A$5:$A$657,0))),"")</f>
        <v>2012</v>
      </c>
      <c r="J2527" s="25" t="str">
        <f aca="false">IFERROR(IF(INDEX(Documents!$D$5:$D$657,MATCH(H2527,Documents!$A$5:$A$657,0))="","",INDEX(Documents!$D$5:$D$657,MATCH(H2527,Documents!$A$5:$A$657,0))),"")</f>
        <v>Bioorg Med Chem Lett</v>
      </c>
      <c r="K2527" s="25" t="str">
        <f aca="false">IFERROR(IF(INDEX(Documents!$G$5:$G$657,MATCH(H2527,Documents!$A$5:$A$657,0))="","",INDEX(Documents!$G$5:$G$657,MATCH(H2527,Documents!$A$5:$A$657,0))),"")</f>
        <v>10.1016/j.bmcl.2011.12.032</v>
      </c>
      <c r="L2527" s="25" t="s">
        <v>5428</v>
      </c>
    </row>
    <row r="2528" customFormat="false" ht="15" hidden="false" customHeight="false" outlineLevel="0" collapsed="false">
      <c r="A2528" s="25" t="n">
        <v>19180451</v>
      </c>
      <c r="B2528" s="25" t="s">
        <v>5431</v>
      </c>
      <c r="C2528" s="25" t="s">
        <v>5432</v>
      </c>
      <c r="D2528" s="26" t="n">
        <v>2700</v>
      </c>
      <c r="E2528" s="27" t="n">
        <v>5.56863623584101</v>
      </c>
      <c r="F2528" s="27" t="n">
        <v>5.56863623584101</v>
      </c>
      <c r="G2528" s="25" t="s">
        <v>669</v>
      </c>
      <c r="H2528" s="25" t="s">
        <v>670</v>
      </c>
      <c r="I2528" s="25" t="n">
        <f aca="false">IFERROR(IF(INDEX(Documents!$C$5:$C$657,MATCH(H2528,Documents!$A$5:$A$657,0))="","",INDEX(Documents!$C$5:$C$657,MATCH(H2528,Documents!$A$5:$A$657,0))),"")</f>
        <v>2019</v>
      </c>
      <c r="J2528" s="25" t="str">
        <f aca="false">IFERROR(IF(INDEX(Documents!$D$5:$D$657,MATCH(H2528,Documents!$A$5:$A$657,0))="","",INDEX(Documents!$D$5:$D$657,MATCH(H2528,Documents!$A$5:$A$657,0))),"")</f>
        <v>Bioorg Med Chem</v>
      </c>
      <c r="K2528" s="25" t="str">
        <f aca="false">IFERROR(IF(INDEX(Documents!$G$5:$G$657,MATCH(H2528,Documents!$A$5:$A$657,0))="","",INDEX(Documents!$G$5:$G$657,MATCH(H2528,Documents!$A$5:$A$657,0))),"")</f>
        <v>10.1016/j.bmc.2019.07.002</v>
      </c>
      <c r="L2528" s="25" t="s">
        <v>671</v>
      </c>
    </row>
    <row r="2529" customFormat="false" ht="15" hidden="false" customHeight="false" outlineLevel="0" collapsed="false">
      <c r="A2529" s="25" t="n">
        <v>2167475</v>
      </c>
      <c r="B2529" s="25" t="s">
        <v>5433</v>
      </c>
      <c r="C2529" s="25" t="s">
        <v>5434</v>
      </c>
      <c r="D2529" s="26" t="n">
        <v>430</v>
      </c>
      <c r="E2529" s="27" t="n">
        <v>6.36653154442041</v>
      </c>
      <c r="F2529" s="27" t="n">
        <v>6.36653154442041</v>
      </c>
      <c r="G2529" s="25" t="s">
        <v>707</v>
      </c>
      <c r="H2529" s="25" t="s">
        <v>708</v>
      </c>
      <c r="I2529" s="25" t="n">
        <f aca="false">IFERROR(IF(INDEX(Documents!$C$5:$C$657,MATCH(H2529,Documents!$A$5:$A$657,0))="","",INDEX(Documents!$C$5:$C$657,MATCH(H2529,Documents!$A$5:$A$657,0))),"")</f>
        <v>2008</v>
      </c>
      <c r="J2529" s="25" t="str">
        <f aca="false">IFERROR(IF(INDEX(Documents!$D$5:$D$657,MATCH(H2529,Documents!$A$5:$A$657,0))="","",INDEX(Documents!$D$5:$D$657,MATCH(H2529,Documents!$A$5:$A$657,0))),"")</f>
        <v>Bioorg Med Chem Lett</v>
      </c>
      <c r="K2529" s="25" t="str">
        <f aca="false">IFERROR(IF(INDEX(Documents!$G$5:$G$657,MATCH(H2529,Documents!$A$5:$A$657,0))="","",INDEX(Documents!$G$5:$G$657,MATCH(H2529,Documents!$A$5:$A$657,0))),"")</f>
        <v>10.1016/j.bmcl.2008.04.006</v>
      </c>
      <c r="L2529" s="25" t="s">
        <v>709</v>
      </c>
    </row>
    <row r="2530" customFormat="false" ht="15" hidden="false" customHeight="false" outlineLevel="0" collapsed="false">
      <c r="A2530" s="25" t="n">
        <v>2167517</v>
      </c>
      <c r="B2530" s="25" t="s">
        <v>5435</v>
      </c>
      <c r="C2530" s="25" t="s">
        <v>5436</v>
      </c>
      <c r="D2530" s="26" t="n">
        <v>11</v>
      </c>
      <c r="E2530" s="27" t="n">
        <v>7.95860731484178</v>
      </c>
      <c r="F2530" s="27" t="n">
        <v>7.95860731484178</v>
      </c>
      <c r="G2530" s="25" t="s">
        <v>707</v>
      </c>
      <c r="H2530" s="25" t="s">
        <v>708</v>
      </c>
      <c r="I2530" s="25" t="n">
        <f aca="false">IFERROR(IF(INDEX(Documents!$C$5:$C$657,MATCH(H2530,Documents!$A$5:$A$657,0))="","",INDEX(Documents!$C$5:$C$657,MATCH(H2530,Documents!$A$5:$A$657,0))),"")</f>
        <v>2008</v>
      </c>
      <c r="J2530" s="25" t="str">
        <f aca="false">IFERROR(IF(INDEX(Documents!$D$5:$D$657,MATCH(H2530,Documents!$A$5:$A$657,0))="","",INDEX(Documents!$D$5:$D$657,MATCH(H2530,Documents!$A$5:$A$657,0))),"")</f>
        <v>Bioorg Med Chem Lett</v>
      </c>
      <c r="K2530" s="25" t="str">
        <f aca="false">IFERROR(IF(INDEX(Documents!$G$5:$G$657,MATCH(H2530,Documents!$A$5:$A$657,0))="","",INDEX(Documents!$G$5:$G$657,MATCH(H2530,Documents!$A$5:$A$657,0))),"")</f>
        <v>10.1016/j.bmcl.2008.04.006</v>
      </c>
      <c r="L2530" s="25" t="s">
        <v>709</v>
      </c>
    </row>
    <row r="2531" customFormat="false" ht="15" hidden="false" customHeight="false" outlineLevel="0" collapsed="false">
      <c r="A2531" s="25" t="n">
        <v>3194708</v>
      </c>
      <c r="B2531" s="25" t="s">
        <v>5437</v>
      </c>
      <c r="C2531" s="25" t="s">
        <v>5438</v>
      </c>
      <c r="D2531" s="26" t="n">
        <v>606</v>
      </c>
      <c r="E2531" s="27" t="n">
        <v>6.21752737583371</v>
      </c>
      <c r="F2531" s="27" t="n">
        <v>6.21752737583371</v>
      </c>
      <c r="G2531" s="25" t="s">
        <v>5439</v>
      </c>
      <c r="H2531" s="25" t="s">
        <v>5440</v>
      </c>
      <c r="I2531" s="25" t="n">
        <f aca="false">IFERROR(IF(INDEX(Documents!$C$5:$C$657,MATCH(H2531,Documents!$A$5:$A$657,0))="","",INDEX(Documents!$C$5:$C$657,MATCH(H2531,Documents!$A$5:$A$657,0))),"")</f>
        <v>2010</v>
      </c>
      <c r="J2531" s="25" t="str">
        <f aca="false">IFERROR(IF(INDEX(Documents!$D$5:$D$657,MATCH(H2531,Documents!$A$5:$A$657,0))="","",INDEX(Documents!$D$5:$D$657,MATCH(H2531,Documents!$A$5:$A$657,0))),"")</f>
        <v>Bioorg Med Chem Lett</v>
      </c>
      <c r="K2531" s="25" t="str">
        <f aca="false">IFERROR(IF(INDEX(Documents!$G$5:$G$657,MATCH(H2531,Documents!$A$5:$A$657,0))="","",INDEX(Documents!$G$5:$G$657,MATCH(H2531,Documents!$A$5:$A$657,0))),"")</f>
        <v>10.1016/j.bmcl.2010.01.049</v>
      </c>
      <c r="L2531" s="25" t="s">
        <v>5441</v>
      </c>
    </row>
    <row r="2532" customFormat="false" ht="15" hidden="false" customHeight="false" outlineLevel="0" collapsed="false">
      <c r="A2532" s="25" t="n">
        <v>3194710</v>
      </c>
      <c r="B2532" s="25" t="s">
        <v>5442</v>
      </c>
      <c r="C2532" s="25" t="s">
        <v>5443</v>
      </c>
      <c r="D2532" s="26" t="n">
        <v>584</v>
      </c>
      <c r="E2532" s="27" t="n">
        <v>6.2335871528876</v>
      </c>
      <c r="F2532" s="27" t="n">
        <v>6.2335871528876</v>
      </c>
      <c r="G2532" s="25" t="s">
        <v>5439</v>
      </c>
      <c r="H2532" s="25" t="s">
        <v>5440</v>
      </c>
      <c r="I2532" s="25" t="n">
        <f aca="false">IFERROR(IF(INDEX(Documents!$C$5:$C$657,MATCH(H2532,Documents!$A$5:$A$657,0))="","",INDEX(Documents!$C$5:$C$657,MATCH(H2532,Documents!$A$5:$A$657,0))),"")</f>
        <v>2010</v>
      </c>
      <c r="J2532" s="25" t="str">
        <f aca="false">IFERROR(IF(INDEX(Documents!$D$5:$D$657,MATCH(H2532,Documents!$A$5:$A$657,0))="","",INDEX(Documents!$D$5:$D$657,MATCH(H2532,Documents!$A$5:$A$657,0))),"")</f>
        <v>Bioorg Med Chem Lett</v>
      </c>
      <c r="K2532" s="25" t="str">
        <f aca="false">IFERROR(IF(INDEX(Documents!$G$5:$G$657,MATCH(H2532,Documents!$A$5:$A$657,0))="","",INDEX(Documents!$G$5:$G$657,MATCH(H2532,Documents!$A$5:$A$657,0))),"")</f>
        <v>10.1016/j.bmcl.2010.01.049</v>
      </c>
      <c r="L2532" s="25" t="s">
        <v>5441</v>
      </c>
    </row>
    <row r="2533" customFormat="false" ht="15" hidden="false" customHeight="false" outlineLevel="0" collapsed="false">
      <c r="A2533" s="25" t="n">
        <v>3194717</v>
      </c>
      <c r="B2533" s="25" t="s">
        <v>5444</v>
      </c>
      <c r="C2533" s="25" t="s">
        <v>5445</v>
      </c>
      <c r="D2533" s="26" t="n">
        <v>305</v>
      </c>
      <c r="E2533" s="27" t="n">
        <v>6.51570016065321</v>
      </c>
      <c r="F2533" s="27" t="n">
        <v>6.51570016065321</v>
      </c>
      <c r="G2533" s="25" t="s">
        <v>5439</v>
      </c>
      <c r="H2533" s="25" t="s">
        <v>5440</v>
      </c>
      <c r="I2533" s="25" t="n">
        <f aca="false">IFERROR(IF(INDEX(Documents!$C$5:$C$657,MATCH(H2533,Documents!$A$5:$A$657,0))="","",INDEX(Documents!$C$5:$C$657,MATCH(H2533,Documents!$A$5:$A$657,0))),"")</f>
        <v>2010</v>
      </c>
      <c r="J2533" s="25" t="str">
        <f aca="false">IFERROR(IF(INDEX(Documents!$D$5:$D$657,MATCH(H2533,Documents!$A$5:$A$657,0))="","",INDEX(Documents!$D$5:$D$657,MATCH(H2533,Documents!$A$5:$A$657,0))),"")</f>
        <v>Bioorg Med Chem Lett</v>
      </c>
      <c r="K2533" s="25" t="str">
        <f aca="false">IFERROR(IF(INDEX(Documents!$G$5:$G$657,MATCH(H2533,Documents!$A$5:$A$657,0))="","",INDEX(Documents!$G$5:$G$657,MATCH(H2533,Documents!$A$5:$A$657,0))),"")</f>
        <v>10.1016/j.bmcl.2010.01.049</v>
      </c>
      <c r="L2533" s="25" t="s">
        <v>5441</v>
      </c>
    </row>
    <row r="2534" customFormat="false" ht="15" hidden="false" customHeight="false" outlineLevel="0" collapsed="false">
      <c r="A2534" s="25" t="n">
        <v>2922916</v>
      </c>
      <c r="B2534" s="25" t="s">
        <v>5446</v>
      </c>
      <c r="C2534" s="25" t="s">
        <v>5447</v>
      </c>
      <c r="D2534" s="26" t="n">
        <v>219</v>
      </c>
      <c r="E2534" s="27" t="n">
        <v>6.65955588515988</v>
      </c>
      <c r="F2534" s="27" t="n">
        <v>6.65955588515988</v>
      </c>
      <c r="G2534" s="25" t="s">
        <v>5448</v>
      </c>
      <c r="H2534" s="25" t="s">
        <v>5449</v>
      </c>
      <c r="I2534" s="25" t="n">
        <f aca="false">IFERROR(IF(INDEX(Documents!$C$5:$C$657,MATCH(H2534,Documents!$A$5:$A$657,0))="","",INDEX(Documents!$C$5:$C$657,MATCH(H2534,Documents!$A$5:$A$657,0))),"")</f>
        <v>2009</v>
      </c>
      <c r="J2534" s="25" t="str">
        <f aca="false">IFERROR(IF(INDEX(Documents!$D$5:$D$657,MATCH(H2534,Documents!$A$5:$A$657,0))="","",INDEX(Documents!$D$5:$D$657,MATCH(H2534,Documents!$A$5:$A$657,0))),"")</f>
        <v>Bioorg Med Chem Lett</v>
      </c>
      <c r="K2534" s="25" t="str">
        <f aca="false">IFERROR(IF(INDEX(Documents!$G$5:$G$657,MATCH(H2534,Documents!$A$5:$A$657,0))="","",INDEX(Documents!$G$5:$G$657,MATCH(H2534,Documents!$A$5:$A$657,0))),"")</f>
        <v>10.1016/j.bmcl.2009.08.007</v>
      </c>
      <c r="L2534" s="25" t="s">
        <v>659</v>
      </c>
    </row>
    <row r="2535" customFormat="false" ht="15" hidden="false" customHeight="false" outlineLevel="0" collapsed="false">
      <c r="A2535" s="25" t="n">
        <v>2922913</v>
      </c>
      <c r="B2535" s="25" t="s">
        <v>5450</v>
      </c>
      <c r="C2535" s="25" t="s">
        <v>5451</v>
      </c>
      <c r="D2535" s="26" t="n">
        <v>247</v>
      </c>
      <c r="E2535" s="27" t="n">
        <v>6.60730304674033</v>
      </c>
      <c r="F2535" s="27" t="n">
        <v>6.60730304674033</v>
      </c>
      <c r="G2535" s="25" t="s">
        <v>5448</v>
      </c>
      <c r="H2535" s="25" t="s">
        <v>5449</v>
      </c>
      <c r="I2535" s="25" t="n">
        <f aca="false">IFERROR(IF(INDEX(Documents!$C$5:$C$657,MATCH(H2535,Documents!$A$5:$A$657,0))="","",INDEX(Documents!$C$5:$C$657,MATCH(H2535,Documents!$A$5:$A$657,0))),"")</f>
        <v>2009</v>
      </c>
      <c r="J2535" s="25" t="str">
        <f aca="false">IFERROR(IF(INDEX(Documents!$D$5:$D$657,MATCH(H2535,Documents!$A$5:$A$657,0))="","",INDEX(Documents!$D$5:$D$657,MATCH(H2535,Documents!$A$5:$A$657,0))),"")</f>
        <v>Bioorg Med Chem Lett</v>
      </c>
      <c r="K2535" s="25" t="str">
        <f aca="false">IFERROR(IF(INDEX(Documents!$G$5:$G$657,MATCH(H2535,Documents!$A$5:$A$657,0))="","",INDEX(Documents!$G$5:$G$657,MATCH(H2535,Documents!$A$5:$A$657,0))),"")</f>
        <v>10.1016/j.bmcl.2009.08.007</v>
      </c>
      <c r="L2535" s="25" t="s">
        <v>659</v>
      </c>
    </row>
    <row r="2536" customFormat="false" ht="15" hidden="false" customHeight="false" outlineLevel="0" collapsed="false">
      <c r="A2536" s="25" t="n">
        <v>3194706</v>
      </c>
      <c r="B2536" s="25" t="s">
        <v>5452</v>
      </c>
      <c r="C2536" s="25" t="s">
        <v>5453</v>
      </c>
      <c r="D2536" s="26" t="n">
        <v>1086</v>
      </c>
      <c r="E2536" s="27" t="n">
        <v>5.96417017474717</v>
      </c>
      <c r="F2536" s="27" t="n">
        <v>5.96417017474717</v>
      </c>
      <c r="G2536" s="25" t="s">
        <v>5439</v>
      </c>
      <c r="H2536" s="25" t="s">
        <v>5440</v>
      </c>
      <c r="I2536" s="25" t="n">
        <f aca="false">IFERROR(IF(INDEX(Documents!$C$5:$C$657,MATCH(H2536,Documents!$A$5:$A$657,0))="","",INDEX(Documents!$C$5:$C$657,MATCH(H2536,Documents!$A$5:$A$657,0))),"")</f>
        <v>2010</v>
      </c>
      <c r="J2536" s="25" t="str">
        <f aca="false">IFERROR(IF(INDEX(Documents!$D$5:$D$657,MATCH(H2536,Documents!$A$5:$A$657,0))="","",INDEX(Documents!$D$5:$D$657,MATCH(H2536,Documents!$A$5:$A$657,0))),"")</f>
        <v>Bioorg Med Chem Lett</v>
      </c>
      <c r="K2536" s="25" t="str">
        <f aca="false">IFERROR(IF(INDEX(Documents!$G$5:$G$657,MATCH(H2536,Documents!$A$5:$A$657,0))="","",INDEX(Documents!$G$5:$G$657,MATCH(H2536,Documents!$A$5:$A$657,0))),"")</f>
        <v>10.1016/j.bmcl.2010.01.049</v>
      </c>
      <c r="L2536" s="25" t="s">
        <v>5441</v>
      </c>
    </row>
    <row r="2537" customFormat="false" ht="15" hidden="false" customHeight="false" outlineLevel="0" collapsed="false">
      <c r="A2537" s="25" t="n">
        <v>1601660</v>
      </c>
      <c r="B2537" s="25" t="s">
        <v>5454</v>
      </c>
      <c r="C2537" s="25" t="s">
        <v>5455</v>
      </c>
      <c r="D2537" s="26" t="n">
        <v>1321</v>
      </c>
      <c r="E2537" s="27" t="n">
        <v>5.87909718238547</v>
      </c>
      <c r="F2537" s="27" t="n">
        <v>5.87909718238547</v>
      </c>
      <c r="G2537" s="25" t="s">
        <v>356</v>
      </c>
      <c r="H2537" s="25" t="s">
        <v>357</v>
      </c>
      <c r="I2537" s="25" t="n">
        <f aca="false">IFERROR(IF(INDEX(Documents!$C$5:$C$657,MATCH(H2537,Documents!$A$5:$A$657,0))="","",INDEX(Documents!$C$5:$C$657,MATCH(H2537,Documents!$A$5:$A$657,0))),"")</f>
        <v>2005</v>
      </c>
      <c r="J2537" s="25" t="str">
        <f aca="false">IFERROR(IF(INDEX(Documents!$D$5:$D$657,MATCH(H2537,Documents!$A$5:$A$657,0))="","",INDEX(Documents!$D$5:$D$657,MATCH(H2537,Documents!$A$5:$A$657,0))),"")</f>
        <v>Bioorg Med Chem Lett</v>
      </c>
      <c r="K2537" s="25" t="str">
        <f aca="false">IFERROR(IF(INDEX(Documents!$G$5:$G$657,MATCH(H2537,Documents!$A$5:$A$657,0))="","",INDEX(Documents!$G$5:$G$657,MATCH(H2537,Documents!$A$5:$A$657,0))),"")</f>
        <v>10.1016/j.bmcl.2005.07.054</v>
      </c>
      <c r="L2537" s="25" t="s">
        <v>358</v>
      </c>
    </row>
    <row r="2538" customFormat="false" ht="15" hidden="false" customHeight="false" outlineLevel="0" collapsed="false">
      <c r="A2538" s="25" t="n">
        <v>2922912</v>
      </c>
      <c r="B2538" s="25" t="s">
        <v>5456</v>
      </c>
      <c r="C2538" s="25" t="s">
        <v>5457</v>
      </c>
      <c r="D2538" s="26" t="n">
        <v>571</v>
      </c>
      <c r="E2538" s="27" t="n">
        <v>6.24336389175415</v>
      </c>
      <c r="F2538" s="27" t="n">
        <v>6.24336389175415</v>
      </c>
      <c r="G2538" s="25" t="s">
        <v>5448</v>
      </c>
      <c r="H2538" s="25" t="s">
        <v>5449</v>
      </c>
      <c r="I2538" s="25" t="n">
        <f aca="false">IFERROR(IF(INDEX(Documents!$C$5:$C$657,MATCH(H2538,Documents!$A$5:$A$657,0))="","",INDEX(Documents!$C$5:$C$657,MATCH(H2538,Documents!$A$5:$A$657,0))),"")</f>
        <v>2009</v>
      </c>
      <c r="J2538" s="25" t="str">
        <f aca="false">IFERROR(IF(INDEX(Documents!$D$5:$D$657,MATCH(H2538,Documents!$A$5:$A$657,0))="","",INDEX(Documents!$D$5:$D$657,MATCH(H2538,Documents!$A$5:$A$657,0))),"")</f>
        <v>Bioorg Med Chem Lett</v>
      </c>
      <c r="K2538" s="25" t="str">
        <f aca="false">IFERROR(IF(INDEX(Documents!$G$5:$G$657,MATCH(H2538,Documents!$A$5:$A$657,0))="","",INDEX(Documents!$G$5:$G$657,MATCH(H2538,Documents!$A$5:$A$657,0))),"")</f>
        <v>10.1016/j.bmcl.2009.08.007</v>
      </c>
      <c r="L2538" s="25" t="s">
        <v>659</v>
      </c>
    </row>
    <row r="2539" customFormat="false" ht="15" hidden="false" customHeight="false" outlineLevel="0" collapsed="false">
      <c r="A2539" s="25" t="n">
        <v>1601679</v>
      </c>
      <c r="B2539" s="25" t="s">
        <v>5458</v>
      </c>
      <c r="C2539" s="25" t="s">
        <v>5459</v>
      </c>
      <c r="D2539" s="26" t="n">
        <v>3495</v>
      </c>
      <c r="E2539" s="27" t="n">
        <v>5.4565528199183</v>
      </c>
      <c r="F2539" s="27" t="n">
        <v>5.4565528199183</v>
      </c>
      <c r="G2539" s="25" t="s">
        <v>356</v>
      </c>
      <c r="H2539" s="25" t="s">
        <v>357</v>
      </c>
      <c r="I2539" s="25" t="n">
        <f aca="false">IFERROR(IF(INDEX(Documents!$C$5:$C$657,MATCH(H2539,Documents!$A$5:$A$657,0))="","",INDEX(Documents!$C$5:$C$657,MATCH(H2539,Documents!$A$5:$A$657,0))),"")</f>
        <v>2005</v>
      </c>
      <c r="J2539" s="25" t="str">
        <f aca="false">IFERROR(IF(INDEX(Documents!$D$5:$D$657,MATCH(H2539,Documents!$A$5:$A$657,0))="","",INDEX(Documents!$D$5:$D$657,MATCH(H2539,Documents!$A$5:$A$657,0))),"")</f>
        <v>Bioorg Med Chem Lett</v>
      </c>
      <c r="K2539" s="25" t="str">
        <f aca="false">IFERROR(IF(INDEX(Documents!$G$5:$G$657,MATCH(H2539,Documents!$A$5:$A$657,0))="","",INDEX(Documents!$G$5:$G$657,MATCH(H2539,Documents!$A$5:$A$657,0))),"")</f>
        <v>10.1016/j.bmcl.2005.07.054</v>
      </c>
      <c r="L2539" s="25" t="s">
        <v>358</v>
      </c>
    </row>
    <row r="2540" customFormat="false" ht="15" hidden="false" customHeight="false" outlineLevel="0" collapsed="false">
      <c r="A2540" s="25" t="n">
        <v>3194705</v>
      </c>
      <c r="B2540" s="25" t="s">
        <v>5460</v>
      </c>
      <c r="C2540" s="25" t="s">
        <v>5461</v>
      </c>
      <c r="D2540" s="26" t="n">
        <v>179</v>
      </c>
      <c r="E2540" s="27" t="n">
        <v>6.74714696902011</v>
      </c>
      <c r="F2540" s="27" t="n">
        <v>6.74714696902011</v>
      </c>
      <c r="G2540" s="25" t="s">
        <v>5439</v>
      </c>
      <c r="H2540" s="25" t="s">
        <v>5440</v>
      </c>
      <c r="I2540" s="25" t="n">
        <f aca="false">IFERROR(IF(INDEX(Documents!$C$5:$C$657,MATCH(H2540,Documents!$A$5:$A$657,0))="","",INDEX(Documents!$C$5:$C$657,MATCH(H2540,Documents!$A$5:$A$657,0))),"")</f>
        <v>2010</v>
      </c>
      <c r="J2540" s="25" t="str">
        <f aca="false">IFERROR(IF(INDEX(Documents!$D$5:$D$657,MATCH(H2540,Documents!$A$5:$A$657,0))="","",INDEX(Documents!$D$5:$D$657,MATCH(H2540,Documents!$A$5:$A$657,0))),"")</f>
        <v>Bioorg Med Chem Lett</v>
      </c>
      <c r="K2540" s="25" t="str">
        <f aca="false">IFERROR(IF(INDEX(Documents!$G$5:$G$657,MATCH(H2540,Documents!$A$5:$A$657,0))="","",INDEX(Documents!$G$5:$G$657,MATCH(H2540,Documents!$A$5:$A$657,0))),"")</f>
        <v>10.1016/j.bmcl.2010.01.049</v>
      </c>
      <c r="L2540" s="25" t="s">
        <v>5441</v>
      </c>
    </row>
    <row r="2541" customFormat="false" ht="15" hidden="false" customHeight="false" outlineLevel="0" collapsed="false">
      <c r="A2541" s="25" t="n">
        <v>3194704</v>
      </c>
      <c r="B2541" s="25" t="s">
        <v>5462</v>
      </c>
      <c r="C2541" s="25" t="s">
        <v>5463</v>
      </c>
      <c r="D2541" s="26" t="n">
        <v>248</v>
      </c>
      <c r="E2541" s="27" t="n">
        <v>6.60554831917378</v>
      </c>
      <c r="F2541" s="27" t="n">
        <v>6.60554831917378</v>
      </c>
      <c r="G2541" s="25" t="s">
        <v>5439</v>
      </c>
      <c r="H2541" s="25" t="s">
        <v>5440</v>
      </c>
      <c r="I2541" s="25" t="n">
        <f aca="false">IFERROR(IF(INDEX(Documents!$C$5:$C$657,MATCH(H2541,Documents!$A$5:$A$657,0))="","",INDEX(Documents!$C$5:$C$657,MATCH(H2541,Documents!$A$5:$A$657,0))),"")</f>
        <v>2010</v>
      </c>
      <c r="J2541" s="25" t="str">
        <f aca="false">IFERROR(IF(INDEX(Documents!$D$5:$D$657,MATCH(H2541,Documents!$A$5:$A$657,0))="","",INDEX(Documents!$D$5:$D$657,MATCH(H2541,Documents!$A$5:$A$657,0))),"")</f>
        <v>Bioorg Med Chem Lett</v>
      </c>
      <c r="K2541" s="25" t="str">
        <f aca="false">IFERROR(IF(INDEX(Documents!$G$5:$G$657,MATCH(H2541,Documents!$A$5:$A$657,0))="","",INDEX(Documents!$G$5:$G$657,MATCH(H2541,Documents!$A$5:$A$657,0))),"")</f>
        <v>10.1016/j.bmcl.2010.01.049</v>
      </c>
      <c r="L2541" s="25" t="s">
        <v>5441</v>
      </c>
    </row>
    <row r="2542" customFormat="false" ht="15" hidden="false" customHeight="false" outlineLevel="0" collapsed="false">
      <c r="A2542" s="25" t="n">
        <v>5205801</v>
      </c>
      <c r="B2542" s="25" t="s">
        <v>5464</v>
      </c>
      <c r="C2542" s="25" t="s">
        <v>5465</v>
      </c>
      <c r="D2542" s="26" t="n">
        <v>7943.28</v>
      </c>
      <c r="E2542" s="27" t="n">
        <v>5.1000001283342</v>
      </c>
      <c r="F2542" s="27" t="n">
        <v>5.1000001283342</v>
      </c>
      <c r="G2542" s="25" t="s">
        <v>461</v>
      </c>
      <c r="H2542" s="25" t="s">
        <v>462</v>
      </c>
      <c r="I2542" s="25" t="n">
        <f aca="false">IFERROR(IF(INDEX(Documents!$C$5:$C$657,MATCH(H2542,Documents!$A$5:$A$657,0))="","",INDEX(Documents!$C$5:$C$657,MATCH(H2542,Documents!$A$5:$A$657,0))),"")</f>
        <v>2011</v>
      </c>
      <c r="J2542" s="25" t="str">
        <f aca="false">IFERROR(IF(INDEX(Documents!$D$5:$D$657,MATCH(H2542,Documents!$A$5:$A$657,0))="","",INDEX(Documents!$D$5:$D$657,MATCH(H2542,Documents!$A$5:$A$657,0))),"")</f>
        <v>Eur J Med Chem</v>
      </c>
      <c r="K2542" s="25" t="str">
        <f aca="false">IFERROR(IF(INDEX(Documents!$G$5:$G$657,MATCH(H2542,Documents!$A$5:$A$657,0))="","",INDEX(Documents!$G$5:$G$657,MATCH(H2542,Documents!$A$5:$A$657,0))),"")</f>
        <v>10.1016/j.ejmech.2010.11.034</v>
      </c>
      <c r="L2542" s="25" t="s">
        <v>463</v>
      </c>
    </row>
    <row r="2543" customFormat="false" ht="15" hidden="false" customHeight="false" outlineLevel="0" collapsed="false">
      <c r="A2543" s="25" t="n">
        <v>2922911</v>
      </c>
      <c r="B2543" s="25" t="s">
        <v>5466</v>
      </c>
      <c r="C2543" s="25" t="s">
        <v>5467</v>
      </c>
      <c r="D2543" s="26" t="n">
        <v>318</v>
      </c>
      <c r="E2543" s="27" t="n">
        <v>6.49757288001557</v>
      </c>
      <c r="F2543" s="27" t="n">
        <v>6.49757288001557</v>
      </c>
      <c r="G2543" s="25" t="s">
        <v>5448</v>
      </c>
      <c r="H2543" s="25" t="s">
        <v>5449</v>
      </c>
      <c r="I2543" s="25" t="n">
        <f aca="false">IFERROR(IF(INDEX(Documents!$C$5:$C$657,MATCH(H2543,Documents!$A$5:$A$657,0))="","",INDEX(Documents!$C$5:$C$657,MATCH(H2543,Documents!$A$5:$A$657,0))),"")</f>
        <v>2009</v>
      </c>
      <c r="J2543" s="25" t="str">
        <f aca="false">IFERROR(IF(INDEX(Documents!$D$5:$D$657,MATCH(H2543,Documents!$A$5:$A$657,0))="","",INDEX(Documents!$D$5:$D$657,MATCH(H2543,Documents!$A$5:$A$657,0))),"")</f>
        <v>Bioorg Med Chem Lett</v>
      </c>
      <c r="K2543" s="25" t="str">
        <f aca="false">IFERROR(IF(INDEX(Documents!$G$5:$G$657,MATCH(H2543,Documents!$A$5:$A$657,0))="","",INDEX(Documents!$G$5:$G$657,MATCH(H2543,Documents!$A$5:$A$657,0))),"")</f>
        <v>10.1016/j.bmcl.2009.08.007</v>
      </c>
      <c r="L2543" s="25" t="s">
        <v>659</v>
      </c>
    </row>
    <row r="2544" customFormat="false" ht="15" hidden="false" customHeight="false" outlineLevel="0" collapsed="false">
      <c r="A2544" s="25" t="n">
        <v>1601606</v>
      </c>
      <c r="B2544" s="25" t="s">
        <v>5468</v>
      </c>
      <c r="C2544" s="25" t="s">
        <v>5469</v>
      </c>
      <c r="D2544" s="26" t="n">
        <v>7493</v>
      </c>
      <c r="E2544" s="27" t="n">
        <v>5.1253442674019</v>
      </c>
      <c r="F2544" s="27" t="n">
        <v>5.41267238564246</v>
      </c>
      <c r="G2544" s="25" t="s">
        <v>356</v>
      </c>
      <c r="H2544" s="25" t="s">
        <v>357</v>
      </c>
      <c r="I2544" s="25" t="n">
        <f aca="false">IFERROR(IF(INDEX(Documents!$C$5:$C$657,MATCH(H2544,Documents!$A$5:$A$657,0))="","",INDEX(Documents!$C$5:$C$657,MATCH(H2544,Documents!$A$5:$A$657,0))),"")</f>
        <v>2005</v>
      </c>
      <c r="J2544" s="25" t="str">
        <f aca="false">IFERROR(IF(INDEX(Documents!$D$5:$D$657,MATCH(H2544,Documents!$A$5:$A$657,0))="","",INDEX(Documents!$D$5:$D$657,MATCH(H2544,Documents!$A$5:$A$657,0))),"")</f>
        <v>Bioorg Med Chem Lett</v>
      </c>
      <c r="K2544" s="25" t="str">
        <f aca="false">IFERROR(IF(INDEX(Documents!$G$5:$G$657,MATCH(H2544,Documents!$A$5:$A$657,0))="","",INDEX(Documents!$G$5:$G$657,MATCH(H2544,Documents!$A$5:$A$657,0))),"")</f>
        <v>10.1016/j.bmcl.2005.07.054</v>
      </c>
      <c r="L2544" s="25" t="s">
        <v>358</v>
      </c>
    </row>
    <row r="2545" customFormat="false" ht="15" hidden="false" customHeight="false" outlineLevel="0" collapsed="false">
      <c r="A2545" s="25" t="n">
        <v>2525267</v>
      </c>
      <c r="B2545" s="25" t="s">
        <v>5468</v>
      </c>
      <c r="C2545" s="25" t="s">
        <v>5469</v>
      </c>
      <c r="D2545" s="26" t="n">
        <v>1995.26</v>
      </c>
      <c r="E2545" s="27" t="n">
        <v>5.70000050388302</v>
      </c>
      <c r="F2545" s="27" t="n">
        <v>5.41267238564246</v>
      </c>
      <c r="G2545" s="25" t="s">
        <v>4049</v>
      </c>
      <c r="H2545" s="25" t="s">
        <v>4050</v>
      </c>
      <c r="I2545" s="25" t="n">
        <f aca="false">IFERROR(IF(INDEX(Documents!$C$5:$C$657,MATCH(H2545,Documents!$A$5:$A$657,0))="","",INDEX(Documents!$C$5:$C$657,MATCH(H2545,Documents!$A$5:$A$657,0))),"")</f>
        <v>2009</v>
      </c>
      <c r="J2545" s="25" t="str">
        <f aca="false">IFERROR(IF(INDEX(Documents!$D$5:$D$657,MATCH(H2545,Documents!$A$5:$A$657,0))="","",INDEX(Documents!$D$5:$D$657,MATCH(H2545,Documents!$A$5:$A$657,0))),"")</f>
        <v>J Med Chem</v>
      </c>
      <c r="K2545" s="25" t="str">
        <f aca="false">IFERROR(IF(INDEX(Documents!$G$5:$G$657,MATCH(H2545,Documents!$A$5:$A$657,0))="","",INDEX(Documents!$G$5:$G$657,MATCH(H2545,Documents!$A$5:$A$657,0))),"")</f>
        <v>10.1021/jm801534c</v>
      </c>
      <c r="L2545" s="25" t="s">
        <v>4051</v>
      </c>
    </row>
    <row r="2546" customFormat="false" ht="15" hidden="false" customHeight="false" outlineLevel="0" collapsed="false">
      <c r="A2546" s="25" t="n">
        <v>3194703</v>
      </c>
      <c r="B2546" s="25" t="s">
        <v>5470</v>
      </c>
      <c r="C2546" s="25" t="s">
        <v>5471</v>
      </c>
      <c r="D2546" s="26" t="n">
        <v>330</v>
      </c>
      <c r="E2546" s="27" t="n">
        <v>6.48148606012211</v>
      </c>
      <c r="F2546" s="27" t="n">
        <v>6.48148606012211</v>
      </c>
      <c r="G2546" s="25" t="s">
        <v>5439</v>
      </c>
      <c r="H2546" s="25" t="s">
        <v>5440</v>
      </c>
      <c r="I2546" s="25" t="n">
        <f aca="false">IFERROR(IF(INDEX(Documents!$C$5:$C$657,MATCH(H2546,Documents!$A$5:$A$657,0))="","",INDEX(Documents!$C$5:$C$657,MATCH(H2546,Documents!$A$5:$A$657,0))),"")</f>
        <v>2010</v>
      </c>
      <c r="J2546" s="25" t="str">
        <f aca="false">IFERROR(IF(INDEX(Documents!$D$5:$D$657,MATCH(H2546,Documents!$A$5:$A$657,0))="","",INDEX(Documents!$D$5:$D$657,MATCH(H2546,Documents!$A$5:$A$657,0))),"")</f>
        <v>Bioorg Med Chem Lett</v>
      </c>
      <c r="K2546" s="25" t="str">
        <f aca="false">IFERROR(IF(INDEX(Documents!$G$5:$G$657,MATCH(H2546,Documents!$A$5:$A$657,0))="","",INDEX(Documents!$G$5:$G$657,MATCH(H2546,Documents!$A$5:$A$657,0))),"")</f>
        <v>10.1016/j.bmcl.2010.01.049</v>
      </c>
      <c r="L2546" s="25" t="s">
        <v>5441</v>
      </c>
    </row>
    <row r="2547" customFormat="false" ht="15" hidden="false" customHeight="false" outlineLevel="0" collapsed="false">
      <c r="A2547" s="25" t="n">
        <v>18432988</v>
      </c>
      <c r="B2547" s="25" t="s">
        <v>5472</v>
      </c>
      <c r="C2547" s="25" t="s">
        <v>5473</v>
      </c>
      <c r="D2547" s="26" t="n">
        <v>22800</v>
      </c>
      <c r="E2547" s="27" t="n">
        <v>4.64206515299955</v>
      </c>
      <c r="F2547" s="27" t="n">
        <v>4.64206515299955</v>
      </c>
      <c r="G2547" s="25" t="s">
        <v>5474</v>
      </c>
      <c r="H2547" s="25" t="s">
        <v>5475</v>
      </c>
      <c r="I2547" s="25" t="n">
        <f aca="false">IFERROR(IF(INDEX(Documents!$C$5:$C$657,MATCH(H2547,Documents!$A$5:$A$657,0))="","",INDEX(Documents!$C$5:$C$657,MATCH(H2547,Documents!$A$5:$A$657,0))),"")</f>
        <v>2018</v>
      </c>
      <c r="J2547" s="25" t="str">
        <f aca="false">IFERROR(IF(INDEX(Documents!$D$5:$D$657,MATCH(H2547,Documents!$A$5:$A$657,0))="","",INDEX(Documents!$D$5:$D$657,MATCH(H2547,Documents!$A$5:$A$657,0))),"")</f>
        <v>Eur J Med Chem</v>
      </c>
      <c r="K2547" s="25" t="str">
        <f aca="false">IFERROR(IF(INDEX(Documents!$G$5:$G$657,MATCH(H2547,Documents!$A$5:$A$657,0))="","",INDEX(Documents!$G$5:$G$657,MATCH(H2547,Documents!$A$5:$A$657,0))),"")</f>
        <v>10.1016/j.ejmech.2018.05.050</v>
      </c>
      <c r="L2547" s="25" t="s">
        <v>5476</v>
      </c>
    </row>
    <row r="2548" customFormat="false" ht="15" hidden="false" customHeight="false" outlineLevel="0" collapsed="false">
      <c r="A2548" s="25" t="n">
        <v>16264374</v>
      </c>
      <c r="B2548" s="25" t="s">
        <v>5477</v>
      </c>
      <c r="C2548" s="25" t="s">
        <v>5478</v>
      </c>
      <c r="D2548" s="26" t="n">
        <v>62</v>
      </c>
      <c r="E2548" s="27" t="n">
        <v>7.20760831050175</v>
      </c>
      <c r="F2548" s="27" t="n">
        <v>7.20760831050175</v>
      </c>
      <c r="G2548" s="25" t="s">
        <v>326</v>
      </c>
      <c r="H2548" s="25" t="s">
        <v>327</v>
      </c>
      <c r="I2548" s="25" t="n">
        <f aca="false">IFERROR(IF(INDEX(Documents!$C$5:$C$657,MATCH(H2548,Documents!$A$5:$A$657,0))="","",INDEX(Documents!$C$5:$C$657,MATCH(H2548,Documents!$A$5:$A$657,0))),"")</f>
        <v>2014</v>
      </c>
      <c r="J2548" s="25" t="str">
        <f aca="false">IFERROR(IF(INDEX(Documents!$D$5:$D$657,MATCH(H2548,Documents!$A$5:$A$657,0))="","",INDEX(Documents!$D$5:$D$657,MATCH(H2548,Documents!$A$5:$A$657,0))),"")</f>
        <v/>
      </c>
      <c r="K2548" s="25" t="str">
        <f aca="false">IFERROR(IF(INDEX(Documents!$G$5:$G$657,MATCH(H2548,Documents!$A$5:$A$657,0))="","",INDEX(Documents!$G$5:$G$657,MATCH(H2548,Documents!$A$5:$A$657,0))),"")</f>
        <v/>
      </c>
      <c r="L2548" s="25" t="s">
        <v>328</v>
      </c>
    </row>
    <row r="2549" customFormat="false" ht="15" hidden="false" customHeight="false" outlineLevel="0" collapsed="false">
      <c r="A2549" s="25" t="n">
        <v>16305950</v>
      </c>
      <c r="B2549" s="25" t="s">
        <v>5479</v>
      </c>
      <c r="C2549" s="25" t="s">
        <v>5480</v>
      </c>
      <c r="D2549" s="26" t="n">
        <v>208</v>
      </c>
      <c r="E2549" s="27" t="n">
        <v>6.68193666503724</v>
      </c>
      <c r="F2549" s="27" t="n">
        <v>6.68193666503724</v>
      </c>
      <c r="G2549" s="25" t="s">
        <v>326</v>
      </c>
      <c r="H2549" s="25" t="s">
        <v>327</v>
      </c>
      <c r="I2549" s="25" t="n">
        <f aca="false">IFERROR(IF(INDEX(Documents!$C$5:$C$657,MATCH(H2549,Documents!$A$5:$A$657,0))="","",INDEX(Documents!$C$5:$C$657,MATCH(H2549,Documents!$A$5:$A$657,0))),"")</f>
        <v>2014</v>
      </c>
      <c r="J2549" s="25" t="str">
        <f aca="false">IFERROR(IF(INDEX(Documents!$D$5:$D$657,MATCH(H2549,Documents!$A$5:$A$657,0))="","",INDEX(Documents!$D$5:$D$657,MATCH(H2549,Documents!$A$5:$A$657,0))),"")</f>
        <v/>
      </c>
      <c r="K2549" s="25" t="str">
        <f aca="false">IFERROR(IF(INDEX(Documents!$G$5:$G$657,MATCH(H2549,Documents!$A$5:$A$657,0))="","",INDEX(Documents!$G$5:$G$657,MATCH(H2549,Documents!$A$5:$A$657,0))),"")</f>
        <v/>
      </c>
      <c r="L2549" s="25" t="s">
        <v>328</v>
      </c>
    </row>
    <row r="2550" customFormat="false" ht="15" hidden="false" customHeight="false" outlineLevel="0" collapsed="false">
      <c r="A2550" s="25" t="n">
        <v>16334641</v>
      </c>
      <c r="B2550" s="25" t="s">
        <v>5481</v>
      </c>
      <c r="C2550" s="25" t="s">
        <v>5482</v>
      </c>
      <c r="D2550" s="26" t="n">
        <v>1000</v>
      </c>
      <c r="E2550" s="27" t="n">
        <v>6</v>
      </c>
      <c r="F2550" s="27" t="n">
        <v>6</v>
      </c>
      <c r="G2550" s="25" t="s">
        <v>326</v>
      </c>
      <c r="H2550" s="25" t="s">
        <v>327</v>
      </c>
      <c r="I2550" s="25" t="n">
        <f aca="false">IFERROR(IF(INDEX(Documents!$C$5:$C$657,MATCH(H2550,Documents!$A$5:$A$657,0))="","",INDEX(Documents!$C$5:$C$657,MATCH(H2550,Documents!$A$5:$A$657,0))),"")</f>
        <v>2014</v>
      </c>
      <c r="J2550" s="25" t="str">
        <f aca="false">IFERROR(IF(INDEX(Documents!$D$5:$D$657,MATCH(H2550,Documents!$A$5:$A$657,0))="","",INDEX(Documents!$D$5:$D$657,MATCH(H2550,Documents!$A$5:$A$657,0))),"")</f>
        <v/>
      </c>
      <c r="K2550" s="25" t="str">
        <f aca="false">IFERROR(IF(INDEX(Documents!$G$5:$G$657,MATCH(H2550,Documents!$A$5:$A$657,0))="","",INDEX(Documents!$G$5:$G$657,MATCH(H2550,Documents!$A$5:$A$657,0))),"")</f>
        <v/>
      </c>
      <c r="L2550" s="25" t="s">
        <v>328</v>
      </c>
    </row>
    <row r="2551" customFormat="false" ht="15" hidden="false" customHeight="false" outlineLevel="0" collapsed="false">
      <c r="A2551" s="25" t="n">
        <v>2980509</v>
      </c>
      <c r="B2551" s="25" t="s">
        <v>5483</v>
      </c>
      <c r="C2551" s="25" t="s">
        <v>5484</v>
      </c>
      <c r="D2551" s="26" t="n">
        <v>0.48</v>
      </c>
      <c r="E2551" s="27" t="n">
        <v>9.31875876262441</v>
      </c>
      <c r="F2551" s="27" t="n">
        <v>9.3193930341735</v>
      </c>
      <c r="G2551" s="25" t="s">
        <v>599</v>
      </c>
      <c r="H2551" s="25" t="s">
        <v>600</v>
      </c>
      <c r="I2551" s="25" t="n">
        <f aca="false">IFERROR(IF(INDEX(Documents!$C$5:$C$657,MATCH(H2551,Documents!$A$5:$A$657,0))="","",INDEX(Documents!$C$5:$C$657,MATCH(H2551,Documents!$A$5:$A$657,0))),"")</f>
        <v>2010</v>
      </c>
      <c r="J2551" s="25" t="str">
        <f aca="false">IFERROR(IF(INDEX(Documents!$D$5:$D$657,MATCH(H2551,Documents!$A$5:$A$657,0))="","",INDEX(Documents!$D$5:$D$657,MATCH(H2551,Documents!$A$5:$A$657,0))),"")</f>
        <v>J Med Chem</v>
      </c>
      <c r="K2551" s="25" t="str">
        <f aca="false">IFERROR(IF(INDEX(Documents!$G$5:$G$657,MATCH(H2551,Documents!$A$5:$A$657,0))="","",INDEX(Documents!$G$5:$G$657,MATCH(H2551,Documents!$A$5:$A$657,0))),"")</f>
        <v>10.1021/jm901214q</v>
      </c>
      <c r="L2551" s="25" t="s">
        <v>601</v>
      </c>
    </row>
    <row r="2552" customFormat="false" ht="15" hidden="false" customHeight="false" outlineLevel="0" collapsed="false">
      <c r="A2552" s="25" t="n">
        <v>2980568</v>
      </c>
      <c r="B2552" s="25" t="s">
        <v>5483</v>
      </c>
      <c r="C2552" s="25" t="s">
        <v>5484</v>
      </c>
      <c r="D2552" s="26" t="n">
        <v>0.4786</v>
      </c>
      <c r="E2552" s="27" t="n">
        <v>9.32002730572258</v>
      </c>
      <c r="F2552" s="27" t="n">
        <v>9.3193930341735</v>
      </c>
      <c r="G2552" s="25" t="s">
        <v>599</v>
      </c>
      <c r="H2552" s="25" t="s">
        <v>600</v>
      </c>
      <c r="I2552" s="25" t="n">
        <f aca="false">IFERROR(IF(INDEX(Documents!$C$5:$C$657,MATCH(H2552,Documents!$A$5:$A$657,0))="","",INDEX(Documents!$C$5:$C$657,MATCH(H2552,Documents!$A$5:$A$657,0))),"")</f>
        <v>2010</v>
      </c>
      <c r="J2552" s="25" t="str">
        <f aca="false">IFERROR(IF(INDEX(Documents!$D$5:$D$657,MATCH(H2552,Documents!$A$5:$A$657,0))="","",INDEX(Documents!$D$5:$D$657,MATCH(H2552,Documents!$A$5:$A$657,0))),"")</f>
        <v>J Med Chem</v>
      </c>
      <c r="K2552" s="25" t="str">
        <f aca="false">IFERROR(IF(INDEX(Documents!$G$5:$G$657,MATCH(H2552,Documents!$A$5:$A$657,0))="","",INDEX(Documents!$G$5:$G$657,MATCH(H2552,Documents!$A$5:$A$657,0))),"")</f>
        <v>10.1021/jm901214q</v>
      </c>
      <c r="L2552" s="25" t="s">
        <v>601</v>
      </c>
    </row>
    <row r="2553" customFormat="false" ht="15" hidden="false" customHeight="false" outlineLevel="0" collapsed="false">
      <c r="A2553" s="25" t="n">
        <v>15612666</v>
      </c>
      <c r="B2553" s="25" t="s">
        <v>5485</v>
      </c>
      <c r="C2553" s="25" t="s">
        <v>5486</v>
      </c>
      <c r="D2553" s="26" t="n">
        <v>21.8</v>
      </c>
      <c r="E2553" s="27" t="n">
        <v>7.6615435063954</v>
      </c>
      <c r="F2553" s="27" t="n">
        <v>8.04421089353657</v>
      </c>
      <c r="G2553" s="25" t="s">
        <v>804</v>
      </c>
      <c r="H2553" s="25" t="s">
        <v>805</v>
      </c>
      <c r="I2553" s="25" t="n">
        <f aca="false">IFERROR(IF(INDEX(Documents!$C$5:$C$657,MATCH(H2553,Documents!$A$5:$A$657,0))="","",INDEX(Documents!$C$5:$C$657,MATCH(H2553,Documents!$A$5:$A$657,0))),"")</f>
        <v>2014</v>
      </c>
      <c r="J2553" s="25" t="str">
        <f aca="false">IFERROR(IF(INDEX(Documents!$D$5:$D$657,MATCH(H2553,Documents!$A$5:$A$657,0))="","",INDEX(Documents!$D$5:$D$657,MATCH(H2553,Documents!$A$5:$A$657,0))),"")</f>
        <v>Bioorg Med Chem Lett</v>
      </c>
      <c r="K2553" s="25" t="str">
        <f aca="false">IFERROR(IF(INDEX(Documents!$G$5:$G$657,MATCH(H2553,Documents!$A$5:$A$657,0))="","",INDEX(Documents!$G$5:$G$657,MATCH(H2553,Documents!$A$5:$A$657,0))),"")</f>
        <v>10.1016/j.bmcl.2014.11.003</v>
      </c>
      <c r="L2553" s="25" t="s">
        <v>806</v>
      </c>
    </row>
    <row r="2554" customFormat="false" ht="15" hidden="false" customHeight="false" outlineLevel="0" collapsed="false">
      <c r="A2554" s="25" t="n">
        <v>2118305</v>
      </c>
      <c r="B2554" s="25" t="s">
        <v>5485</v>
      </c>
      <c r="C2554" s="25" t="s">
        <v>5486</v>
      </c>
      <c r="D2554" s="26" t="n">
        <v>11.5</v>
      </c>
      <c r="E2554" s="27" t="n">
        <v>7.93930215964639</v>
      </c>
      <c r="F2554" s="27" t="n">
        <v>8.04421089353657</v>
      </c>
      <c r="G2554" s="25" t="s">
        <v>1199</v>
      </c>
      <c r="H2554" s="25" t="s">
        <v>1200</v>
      </c>
      <c r="I2554" s="25" t="n">
        <f aca="false">IFERROR(IF(INDEX(Documents!$C$5:$C$657,MATCH(H2554,Documents!$A$5:$A$657,0))="","",INDEX(Documents!$C$5:$C$657,MATCH(H2554,Documents!$A$5:$A$657,0))),"")</f>
        <v>2008</v>
      </c>
      <c r="J2554" s="25" t="str">
        <f aca="false">IFERROR(IF(INDEX(Documents!$D$5:$D$657,MATCH(H2554,Documents!$A$5:$A$657,0))="","",INDEX(Documents!$D$5:$D$657,MATCH(H2554,Documents!$A$5:$A$657,0))),"")</f>
        <v>J Med Chem</v>
      </c>
      <c r="K2554" s="25" t="str">
        <f aca="false">IFERROR(IF(INDEX(Documents!$G$5:$G$657,MATCH(H2554,Documents!$A$5:$A$657,0))="","",INDEX(Documents!$G$5:$G$657,MATCH(H2554,Documents!$A$5:$A$657,0))),"")</f>
        <v>10.1021/jm7011613</v>
      </c>
      <c r="L2554" s="25" t="s">
        <v>676</v>
      </c>
    </row>
    <row r="2555" customFormat="false" ht="15" hidden="false" customHeight="false" outlineLevel="0" collapsed="false">
      <c r="A2555" s="25" t="n">
        <v>2118304</v>
      </c>
      <c r="B2555" s="25" t="s">
        <v>5485</v>
      </c>
      <c r="C2555" s="25" t="s">
        <v>5486</v>
      </c>
      <c r="D2555" s="26" t="n">
        <v>11.48</v>
      </c>
      <c r="E2555" s="27" t="n">
        <v>7.94005811193805</v>
      </c>
      <c r="F2555" s="27" t="n">
        <v>8.04421089353657</v>
      </c>
      <c r="G2555" s="25" t="s">
        <v>1199</v>
      </c>
      <c r="H2555" s="25" t="s">
        <v>1200</v>
      </c>
      <c r="I2555" s="25" t="n">
        <f aca="false">IFERROR(IF(INDEX(Documents!$C$5:$C$657,MATCH(H2555,Documents!$A$5:$A$657,0))="","",INDEX(Documents!$C$5:$C$657,MATCH(H2555,Documents!$A$5:$A$657,0))),"")</f>
        <v>2008</v>
      </c>
      <c r="J2555" s="25" t="str">
        <f aca="false">IFERROR(IF(INDEX(Documents!$D$5:$D$657,MATCH(H2555,Documents!$A$5:$A$657,0))="","",INDEX(Documents!$D$5:$D$657,MATCH(H2555,Documents!$A$5:$A$657,0))),"")</f>
        <v>J Med Chem</v>
      </c>
      <c r="K2555" s="25" t="str">
        <f aca="false">IFERROR(IF(INDEX(Documents!$G$5:$G$657,MATCH(H2555,Documents!$A$5:$A$657,0))="","",INDEX(Documents!$G$5:$G$657,MATCH(H2555,Documents!$A$5:$A$657,0))),"")</f>
        <v>10.1021/jm7011613</v>
      </c>
      <c r="L2555" s="25" t="s">
        <v>676</v>
      </c>
    </row>
    <row r="2556" customFormat="false" ht="15" hidden="false" customHeight="false" outlineLevel="0" collapsed="false">
      <c r="A2556" s="25" t="n">
        <v>14573994</v>
      </c>
      <c r="B2556" s="25" t="s">
        <v>5485</v>
      </c>
      <c r="C2556" s="25" t="s">
        <v>5486</v>
      </c>
      <c r="D2556" s="26" t="n">
        <v>7.1</v>
      </c>
      <c r="E2556" s="27" t="n">
        <v>8.14874165128093</v>
      </c>
      <c r="F2556" s="27" t="n">
        <v>8.04421089353657</v>
      </c>
      <c r="G2556" s="25" t="s">
        <v>5487</v>
      </c>
      <c r="H2556" s="25" t="s">
        <v>1358</v>
      </c>
      <c r="I2556" s="25" t="n">
        <f aca="false">IFERROR(IF(INDEX(Documents!$C$5:$C$657,MATCH(H2556,Documents!$A$5:$A$657,0))="","",INDEX(Documents!$C$5:$C$657,MATCH(H2556,Documents!$A$5:$A$657,0))),"")</f>
        <v>2013</v>
      </c>
      <c r="J2556" s="25" t="str">
        <f aca="false">IFERROR(IF(INDEX(Documents!$D$5:$D$657,MATCH(H2556,Documents!$A$5:$A$657,0))="","",INDEX(Documents!$D$5:$D$657,MATCH(H2556,Documents!$A$5:$A$657,0))),"")</f>
        <v>J Med Chem</v>
      </c>
      <c r="K2556" s="25" t="str">
        <f aca="false">IFERROR(IF(INDEX(Documents!$G$5:$G$657,MATCH(H2556,Documents!$A$5:$A$657,0))="","",INDEX(Documents!$G$5:$G$657,MATCH(H2556,Documents!$A$5:$A$657,0))),"")</f>
        <v>10.1021/jm4005626</v>
      </c>
      <c r="L2556" s="25" t="s">
        <v>5488</v>
      </c>
    </row>
    <row r="2557" customFormat="false" ht="15" hidden="false" customHeight="false" outlineLevel="0" collapsed="false">
      <c r="A2557" s="25" t="n">
        <v>13454754</v>
      </c>
      <c r="B2557" s="25" t="s">
        <v>5485</v>
      </c>
      <c r="C2557" s="25" t="s">
        <v>5486</v>
      </c>
      <c r="D2557" s="26" t="n">
        <v>3.4</v>
      </c>
      <c r="E2557" s="27" t="n">
        <v>8.46852108295775</v>
      </c>
      <c r="F2557" s="27" t="n">
        <v>8.04421089353657</v>
      </c>
      <c r="G2557" s="25" t="s">
        <v>5489</v>
      </c>
      <c r="H2557" s="25" t="s">
        <v>5490</v>
      </c>
      <c r="I2557" s="25" t="n">
        <f aca="false">IFERROR(IF(INDEX(Documents!$C$5:$C$657,MATCH(H2557,Documents!$A$5:$A$657,0))="","",INDEX(Documents!$C$5:$C$657,MATCH(H2557,Documents!$A$5:$A$657,0))),"")</f>
        <v>2013</v>
      </c>
      <c r="J2557" s="25" t="str">
        <f aca="false">IFERROR(IF(INDEX(Documents!$D$5:$D$657,MATCH(H2557,Documents!$A$5:$A$657,0))="","",INDEX(Documents!$D$5:$D$657,MATCH(H2557,Documents!$A$5:$A$657,0))),"")</f>
        <v>J Med Chem</v>
      </c>
      <c r="K2557" s="25" t="str">
        <f aca="false">IFERROR(IF(INDEX(Documents!$G$5:$G$657,MATCH(H2557,Documents!$A$5:$A$657,0))="","",INDEX(Documents!$G$5:$G$657,MATCH(H2557,Documents!$A$5:$A$657,0))),"")</f>
        <v>10.1021/jm400132d</v>
      </c>
      <c r="L2557" s="25" t="s">
        <v>1359</v>
      </c>
    </row>
    <row r="2558" customFormat="false" ht="15" hidden="false" customHeight="false" outlineLevel="0" collapsed="false">
      <c r="A2558" s="25" t="n">
        <v>16298070</v>
      </c>
      <c r="B2558" s="25" t="s">
        <v>5491</v>
      </c>
      <c r="C2558" s="25" t="s">
        <v>5492</v>
      </c>
      <c r="D2558" s="26" t="n">
        <v>33</v>
      </c>
      <c r="E2558" s="27" t="n">
        <v>7.48148606012211</v>
      </c>
      <c r="F2558" s="27" t="n">
        <v>7.48148606012211</v>
      </c>
      <c r="G2558" s="25" t="s">
        <v>326</v>
      </c>
      <c r="H2558" s="25" t="s">
        <v>327</v>
      </c>
      <c r="I2558" s="25" t="n">
        <f aca="false">IFERROR(IF(INDEX(Documents!$C$5:$C$657,MATCH(H2558,Documents!$A$5:$A$657,0))="","",INDEX(Documents!$C$5:$C$657,MATCH(H2558,Documents!$A$5:$A$657,0))),"")</f>
        <v>2014</v>
      </c>
      <c r="J2558" s="25" t="str">
        <f aca="false">IFERROR(IF(INDEX(Documents!$D$5:$D$657,MATCH(H2558,Documents!$A$5:$A$657,0))="","",INDEX(Documents!$D$5:$D$657,MATCH(H2558,Documents!$A$5:$A$657,0))),"")</f>
        <v/>
      </c>
      <c r="K2558" s="25" t="str">
        <f aca="false">IFERROR(IF(INDEX(Documents!$G$5:$G$657,MATCH(H2558,Documents!$A$5:$A$657,0))="","",INDEX(Documents!$G$5:$G$657,MATCH(H2558,Documents!$A$5:$A$657,0))),"")</f>
        <v/>
      </c>
      <c r="L2558" s="25" t="s">
        <v>328</v>
      </c>
    </row>
    <row r="2559" customFormat="false" ht="15" hidden="false" customHeight="false" outlineLevel="0" collapsed="false">
      <c r="A2559" s="25" t="n">
        <v>16319029</v>
      </c>
      <c r="B2559" s="25" t="s">
        <v>5493</v>
      </c>
      <c r="C2559" s="25" t="s">
        <v>5494</v>
      </c>
      <c r="D2559" s="26" t="n">
        <v>0.7</v>
      </c>
      <c r="E2559" s="27" t="n">
        <v>9.15490195998575</v>
      </c>
      <c r="F2559" s="27" t="n">
        <v>9.15490195998575</v>
      </c>
      <c r="G2559" s="25" t="s">
        <v>326</v>
      </c>
      <c r="H2559" s="25" t="s">
        <v>327</v>
      </c>
      <c r="I2559" s="25" t="n">
        <f aca="false">IFERROR(IF(INDEX(Documents!$C$5:$C$657,MATCH(H2559,Documents!$A$5:$A$657,0))="","",INDEX(Documents!$C$5:$C$657,MATCH(H2559,Documents!$A$5:$A$657,0))),"")</f>
        <v>2014</v>
      </c>
      <c r="J2559" s="25" t="str">
        <f aca="false">IFERROR(IF(INDEX(Documents!$D$5:$D$657,MATCH(H2559,Documents!$A$5:$A$657,0))="","",INDEX(Documents!$D$5:$D$657,MATCH(H2559,Documents!$A$5:$A$657,0))),"")</f>
        <v/>
      </c>
      <c r="K2559" s="25" t="str">
        <f aca="false">IFERROR(IF(INDEX(Documents!$G$5:$G$657,MATCH(H2559,Documents!$A$5:$A$657,0))="","",INDEX(Documents!$G$5:$G$657,MATCH(H2559,Documents!$A$5:$A$657,0))),"")</f>
        <v/>
      </c>
      <c r="L2559" s="25" t="s">
        <v>328</v>
      </c>
    </row>
    <row r="2560" customFormat="false" ht="15" hidden="false" customHeight="false" outlineLevel="0" collapsed="false">
      <c r="A2560" s="25" t="n">
        <v>16299518</v>
      </c>
      <c r="B2560" s="25" t="s">
        <v>5495</v>
      </c>
      <c r="C2560" s="25" t="s">
        <v>5496</v>
      </c>
      <c r="D2560" s="26" t="n">
        <v>206</v>
      </c>
      <c r="E2560" s="27" t="n">
        <v>6.68613277963085</v>
      </c>
      <c r="F2560" s="27" t="n">
        <v>6.68613277963085</v>
      </c>
      <c r="G2560" s="25" t="s">
        <v>326</v>
      </c>
      <c r="H2560" s="25" t="s">
        <v>327</v>
      </c>
      <c r="I2560" s="25" t="n">
        <f aca="false">IFERROR(IF(INDEX(Documents!$C$5:$C$657,MATCH(H2560,Documents!$A$5:$A$657,0))="","",INDEX(Documents!$C$5:$C$657,MATCH(H2560,Documents!$A$5:$A$657,0))),"")</f>
        <v>2014</v>
      </c>
      <c r="J2560" s="25" t="str">
        <f aca="false">IFERROR(IF(INDEX(Documents!$D$5:$D$657,MATCH(H2560,Documents!$A$5:$A$657,0))="","",INDEX(Documents!$D$5:$D$657,MATCH(H2560,Documents!$A$5:$A$657,0))),"")</f>
        <v/>
      </c>
      <c r="K2560" s="25" t="str">
        <f aca="false">IFERROR(IF(INDEX(Documents!$G$5:$G$657,MATCH(H2560,Documents!$A$5:$A$657,0))="","",INDEX(Documents!$G$5:$G$657,MATCH(H2560,Documents!$A$5:$A$657,0))),"")</f>
        <v/>
      </c>
      <c r="L2560" s="25" t="s">
        <v>328</v>
      </c>
    </row>
    <row r="2561" customFormat="false" ht="15" hidden="false" customHeight="false" outlineLevel="0" collapsed="false">
      <c r="A2561" s="25" t="n">
        <v>16277871</v>
      </c>
      <c r="B2561" s="25" t="s">
        <v>5497</v>
      </c>
      <c r="C2561" s="25" t="s">
        <v>5498</v>
      </c>
      <c r="D2561" s="26" t="n">
        <v>36</v>
      </c>
      <c r="E2561" s="27" t="n">
        <v>7.44369749923271</v>
      </c>
      <c r="F2561" s="27" t="n">
        <v>7.44369749923271</v>
      </c>
      <c r="G2561" s="25" t="s">
        <v>326</v>
      </c>
      <c r="H2561" s="25" t="s">
        <v>327</v>
      </c>
      <c r="I2561" s="25" t="n">
        <f aca="false">IFERROR(IF(INDEX(Documents!$C$5:$C$657,MATCH(H2561,Documents!$A$5:$A$657,0))="","",INDEX(Documents!$C$5:$C$657,MATCH(H2561,Documents!$A$5:$A$657,0))),"")</f>
        <v>2014</v>
      </c>
      <c r="J2561" s="25" t="str">
        <f aca="false">IFERROR(IF(INDEX(Documents!$D$5:$D$657,MATCH(H2561,Documents!$A$5:$A$657,0))="","",INDEX(Documents!$D$5:$D$657,MATCH(H2561,Documents!$A$5:$A$657,0))),"")</f>
        <v/>
      </c>
      <c r="K2561" s="25" t="str">
        <f aca="false">IFERROR(IF(INDEX(Documents!$G$5:$G$657,MATCH(H2561,Documents!$A$5:$A$657,0))="","",INDEX(Documents!$G$5:$G$657,MATCH(H2561,Documents!$A$5:$A$657,0))),"")</f>
        <v/>
      </c>
      <c r="L2561" s="25" t="s">
        <v>328</v>
      </c>
    </row>
    <row r="2562" customFormat="false" ht="15" hidden="false" customHeight="false" outlineLevel="0" collapsed="false">
      <c r="A2562" s="25" t="n">
        <v>16349303</v>
      </c>
      <c r="B2562" s="25" t="s">
        <v>5499</v>
      </c>
      <c r="C2562" s="25" t="s">
        <v>5500</v>
      </c>
      <c r="D2562" s="26" t="n">
        <v>43</v>
      </c>
      <c r="E2562" s="27" t="n">
        <v>7.36653154442041</v>
      </c>
      <c r="F2562" s="27" t="n">
        <v>7.36653154442041</v>
      </c>
      <c r="G2562" s="25" t="s">
        <v>326</v>
      </c>
      <c r="H2562" s="25" t="s">
        <v>327</v>
      </c>
      <c r="I2562" s="25" t="n">
        <f aca="false">IFERROR(IF(INDEX(Documents!$C$5:$C$657,MATCH(H2562,Documents!$A$5:$A$657,0))="","",INDEX(Documents!$C$5:$C$657,MATCH(H2562,Documents!$A$5:$A$657,0))),"")</f>
        <v>2014</v>
      </c>
      <c r="J2562" s="25" t="str">
        <f aca="false">IFERROR(IF(INDEX(Documents!$D$5:$D$657,MATCH(H2562,Documents!$A$5:$A$657,0))="","",INDEX(Documents!$D$5:$D$657,MATCH(H2562,Documents!$A$5:$A$657,0))),"")</f>
        <v/>
      </c>
      <c r="K2562" s="25" t="str">
        <f aca="false">IFERROR(IF(INDEX(Documents!$G$5:$G$657,MATCH(H2562,Documents!$A$5:$A$657,0))="","",INDEX(Documents!$G$5:$G$657,MATCH(H2562,Documents!$A$5:$A$657,0))),"")</f>
        <v/>
      </c>
      <c r="L2562" s="25" t="s">
        <v>328</v>
      </c>
    </row>
    <row r="2563" customFormat="false" ht="15" hidden="false" customHeight="false" outlineLevel="0" collapsed="false">
      <c r="A2563" s="25" t="n">
        <v>16271326</v>
      </c>
      <c r="B2563" s="25" t="s">
        <v>5501</v>
      </c>
      <c r="C2563" s="25" t="s">
        <v>5502</v>
      </c>
      <c r="D2563" s="26" t="n">
        <v>95</v>
      </c>
      <c r="E2563" s="27" t="n">
        <v>7.02227639471115</v>
      </c>
      <c r="F2563" s="27" t="n">
        <v>7.02227639471115</v>
      </c>
      <c r="G2563" s="25" t="s">
        <v>273</v>
      </c>
      <c r="H2563" s="25" t="s">
        <v>274</v>
      </c>
      <c r="I2563" s="25" t="n">
        <f aca="false">IFERROR(IF(INDEX(Documents!$C$5:$C$657,MATCH(H2563,Documents!$A$5:$A$657,0))="","",INDEX(Documents!$C$5:$C$657,MATCH(H2563,Documents!$A$5:$A$657,0))),"")</f>
        <v>2014</v>
      </c>
      <c r="J2563" s="25" t="str">
        <f aca="false">IFERROR(IF(INDEX(Documents!$D$5:$D$657,MATCH(H2563,Documents!$A$5:$A$657,0))="","",INDEX(Documents!$D$5:$D$657,MATCH(H2563,Documents!$A$5:$A$657,0))),"")</f>
        <v/>
      </c>
      <c r="K2563" s="25" t="str">
        <f aca="false">IFERROR(IF(INDEX(Documents!$G$5:$G$657,MATCH(H2563,Documents!$A$5:$A$657,0))="","",INDEX(Documents!$G$5:$G$657,MATCH(H2563,Documents!$A$5:$A$657,0))),"")</f>
        <v/>
      </c>
      <c r="L2563" s="25" t="s">
        <v>275</v>
      </c>
    </row>
    <row r="2564" customFormat="false" ht="15" hidden="false" customHeight="false" outlineLevel="0" collapsed="false">
      <c r="A2564" s="25" t="n">
        <v>16317886</v>
      </c>
      <c r="B2564" s="25" t="s">
        <v>5503</v>
      </c>
      <c r="C2564" s="25" t="s">
        <v>5504</v>
      </c>
      <c r="D2564" s="26" t="n">
        <v>4.6</v>
      </c>
      <c r="E2564" s="27" t="n">
        <v>8.33724216831843</v>
      </c>
      <c r="F2564" s="27" t="n">
        <v>8.33724216831843</v>
      </c>
      <c r="G2564" s="25" t="s">
        <v>326</v>
      </c>
      <c r="H2564" s="25" t="s">
        <v>327</v>
      </c>
      <c r="I2564" s="25" t="n">
        <f aca="false">IFERROR(IF(INDEX(Documents!$C$5:$C$657,MATCH(H2564,Documents!$A$5:$A$657,0))="","",INDEX(Documents!$C$5:$C$657,MATCH(H2564,Documents!$A$5:$A$657,0))),"")</f>
        <v>2014</v>
      </c>
      <c r="J2564" s="25" t="str">
        <f aca="false">IFERROR(IF(INDEX(Documents!$D$5:$D$657,MATCH(H2564,Documents!$A$5:$A$657,0))="","",INDEX(Documents!$D$5:$D$657,MATCH(H2564,Documents!$A$5:$A$657,0))),"")</f>
        <v/>
      </c>
      <c r="K2564" s="25" t="str">
        <f aca="false">IFERROR(IF(INDEX(Documents!$G$5:$G$657,MATCH(H2564,Documents!$A$5:$A$657,0))="","",INDEX(Documents!$G$5:$G$657,MATCH(H2564,Documents!$A$5:$A$657,0))),"")</f>
        <v/>
      </c>
      <c r="L2564" s="25" t="s">
        <v>328</v>
      </c>
    </row>
    <row r="2565" customFormat="false" ht="15" hidden="false" customHeight="false" outlineLevel="0" collapsed="false">
      <c r="A2565" s="25" t="n">
        <v>16335088</v>
      </c>
      <c r="B2565" s="25" t="s">
        <v>5505</v>
      </c>
      <c r="C2565" s="25" t="s">
        <v>5506</v>
      </c>
      <c r="D2565" s="26" t="n">
        <v>289</v>
      </c>
      <c r="E2565" s="27" t="n">
        <v>6.53910215724345</v>
      </c>
      <c r="F2565" s="27" t="n">
        <v>6.53910215724345</v>
      </c>
      <c r="G2565" s="25" t="s">
        <v>326</v>
      </c>
      <c r="H2565" s="25" t="s">
        <v>327</v>
      </c>
      <c r="I2565" s="25" t="n">
        <f aca="false">IFERROR(IF(INDEX(Documents!$C$5:$C$657,MATCH(H2565,Documents!$A$5:$A$657,0))="","",INDEX(Documents!$C$5:$C$657,MATCH(H2565,Documents!$A$5:$A$657,0))),"")</f>
        <v>2014</v>
      </c>
      <c r="J2565" s="25" t="str">
        <f aca="false">IFERROR(IF(INDEX(Documents!$D$5:$D$657,MATCH(H2565,Documents!$A$5:$A$657,0))="","",INDEX(Documents!$D$5:$D$657,MATCH(H2565,Documents!$A$5:$A$657,0))),"")</f>
        <v/>
      </c>
      <c r="K2565" s="25" t="str">
        <f aca="false">IFERROR(IF(INDEX(Documents!$G$5:$G$657,MATCH(H2565,Documents!$A$5:$A$657,0))="","",INDEX(Documents!$G$5:$G$657,MATCH(H2565,Documents!$A$5:$A$657,0))),"")</f>
        <v/>
      </c>
      <c r="L2565" s="25" t="s">
        <v>328</v>
      </c>
    </row>
    <row r="2566" customFormat="false" ht="15" hidden="false" customHeight="false" outlineLevel="0" collapsed="false">
      <c r="A2566" s="25" t="n">
        <v>16346625</v>
      </c>
      <c r="B2566" s="25" t="s">
        <v>5507</v>
      </c>
      <c r="C2566" s="25" t="s">
        <v>5508</v>
      </c>
      <c r="D2566" s="26" t="n">
        <v>1.3</v>
      </c>
      <c r="E2566" s="27" t="n">
        <v>8.88605664769316</v>
      </c>
      <c r="F2566" s="27" t="n">
        <v>8.88605664769316</v>
      </c>
      <c r="G2566" s="25" t="s">
        <v>326</v>
      </c>
      <c r="H2566" s="25" t="s">
        <v>327</v>
      </c>
      <c r="I2566" s="25" t="n">
        <f aca="false">IFERROR(IF(INDEX(Documents!$C$5:$C$657,MATCH(H2566,Documents!$A$5:$A$657,0))="","",INDEX(Documents!$C$5:$C$657,MATCH(H2566,Documents!$A$5:$A$657,0))),"")</f>
        <v>2014</v>
      </c>
      <c r="J2566" s="25" t="str">
        <f aca="false">IFERROR(IF(INDEX(Documents!$D$5:$D$657,MATCH(H2566,Documents!$A$5:$A$657,0))="","",INDEX(Documents!$D$5:$D$657,MATCH(H2566,Documents!$A$5:$A$657,0))),"")</f>
        <v/>
      </c>
      <c r="K2566" s="25" t="str">
        <f aca="false">IFERROR(IF(INDEX(Documents!$G$5:$G$657,MATCH(H2566,Documents!$A$5:$A$657,0))="","",INDEX(Documents!$G$5:$G$657,MATCH(H2566,Documents!$A$5:$A$657,0))),"")</f>
        <v/>
      </c>
      <c r="L2566" s="25" t="s">
        <v>328</v>
      </c>
    </row>
    <row r="2567" customFormat="false" ht="15" hidden="false" customHeight="false" outlineLevel="0" collapsed="false">
      <c r="A2567" s="25" t="n">
        <v>12666618</v>
      </c>
      <c r="B2567" s="25" t="s">
        <v>5509</v>
      </c>
      <c r="C2567" s="25" t="s">
        <v>5510</v>
      </c>
      <c r="D2567" s="26" t="n">
        <v>500</v>
      </c>
      <c r="E2567" s="27" t="n">
        <v>6.30102999566398</v>
      </c>
      <c r="F2567" s="27" t="n">
        <v>6.30102999566398</v>
      </c>
      <c r="G2567" s="25" t="s">
        <v>1351</v>
      </c>
      <c r="H2567" s="25" t="s">
        <v>1352</v>
      </c>
      <c r="I2567" s="25" t="n">
        <f aca="false">IFERROR(IF(INDEX(Documents!$C$5:$C$657,MATCH(H2567,Documents!$A$5:$A$657,0))="","",INDEX(Documents!$C$5:$C$657,MATCH(H2567,Documents!$A$5:$A$657,0))),"")</f>
        <v>2013</v>
      </c>
      <c r="J2567" s="25" t="str">
        <f aca="false">IFERROR(IF(INDEX(Documents!$D$5:$D$657,MATCH(H2567,Documents!$A$5:$A$657,0))="","",INDEX(Documents!$D$5:$D$657,MATCH(H2567,Documents!$A$5:$A$657,0))),"")</f>
        <v>Bioorg Med Chem Lett</v>
      </c>
      <c r="K2567" s="25" t="str">
        <f aca="false">IFERROR(IF(INDEX(Documents!$G$5:$G$657,MATCH(H2567,Documents!$A$5:$A$657,0))="","",INDEX(Documents!$G$5:$G$657,MATCH(H2567,Documents!$A$5:$A$657,0))),"")</f>
        <v>10.1016/j.bmcl.2013.01.044</v>
      </c>
      <c r="L2567" s="25" t="s">
        <v>515</v>
      </c>
    </row>
    <row r="2568" customFormat="false" ht="15" hidden="false" customHeight="false" outlineLevel="0" collapsed="false">
      <c r="A2568" s="25" t="n">
        <v>16326352</v>
      </c>
      <c r="B2568" s="25" t="s">
        <v>5511</v>
      </c>
      <c r="C2568" s="25" t="s">
        <v>5512</v>
      </c>
      <c r="D2568" s="26" t="n">
        <v>25</v>
      </c>
      <c r="E2568" s="27" t="n">
        <v>7.60205999132796</v>
      </c>
      <c r="F2568" s="27" t="n">
        <v>7.60205999132796</v>
      </c>
      <c r="G2568" s="25" t="s">
        <v>326</v>
      </c>
      <c r="H2568" s="25" t="s">
        <v>327</v>
      </c>
      <c r="I2568" s="25" t="n">
        <f aca="false">IFERROR(IF(INDEX(Documents!$C$5:$C$657,MATCH(H2568,Documents!$A$5:$A$657,0))="","",INDEX(Documents!$C$5:$C$657,MATCH(H2568,Documents!$A$5:$A$657,0))),"")</f>
        <v>2014</v>
      </c>
      <c r="J2568" s="25" t="str">
        <f aca="false">IFERROR(IF(INDEX(Documents!$D$5:$D$657,MATCH(H2568,Documents!$A$5:$A$657,0))="","",INDEX(Documents!$D$5:$D$657,MATCH(H2568,Documents!$A$5:$A$657,0))),"")</f>
        <v/>
      </c>
      <c r="K2568" s="25" t="str">
        <f aca="false">IFERROR(IF(INDEX(Documents!$G$5:$G$657,MATCH(H2568,Documents!$A$5:$A$657,0))="","",INDEX(Documents!$G$5:$G$657,MATCH(H2568,Documents!$A$5:$A$657,0))),"")</f>
        <v/>
      </c>
      <c r="L2568" s="25" t="s">
        <v>328</v>
      </c>
    </row>
    <row r="2569" customFormat="false" ht="15" hidden="false" customHeight="false" outlineLevel="0" collapsed="false">
      <c r="A2569" s="25" t="n">
        <v>2504959</v>
      </c>
      <c r="B2569" s="25" t="s">
        <v>5513</v>
      </c>
      <c r="C2569" s="25" t="s">
        <v>5514</v>
      </c>
      <c r="D2569" s="26" t="n">
        <v>30000</v>
      </c>
      <c r="E2569" s="27" t="n">
        <v>4.52287874528034</v>
      </c>
      <c r="F2569" s="27" t="n">
        <v>4.52287874528034</v>
      </c>
      <c r="G2569" s="25" t="s">
        <v>5515</v>
      </c>
      <c r="H2569" s="25" t="s">
        <v>5516</v>
      </c>
      <c r="I2569" s="25" t="n">
        <f aca="false">IFERROR(IF(INDEX(Documents!$C$5:$C$657,MATCH(H2569,Documents!$A$5:$A$657,0))="","",INDEX(Documents!$C$5:$C$657,MATCH(H2569,Documents!$A$5:$A$657,0))),"")</f>
        <v>2008</v>
      </c>
      <c r="J2569" s="25" t="str">
        <f aca="false">IFERROR(IF(INDEX(Documents!$D$5:$D$657,MATCH(H2569,Documents!$A$5:$A$657,0))="","",INDEX(Documents!$D$5:$D$657,MATCH(H2569,Documents!$A$5:$A$657,0))),"")</f>
        <v>Eur J Med Chem</v>
      </c>
      <c r="K2569" s="25" t="str">
        <f aca="false">IFERROR(IF(INDEX(Documents!$G$5:$G$657,MATCH(H2569,Documents!$A$5:$A$657,0))="","",INDEX(Documents!$G$5:$G$657,MATCH(H2569,Documents!$A$5:$A$657,0))),"")</f>
        <v>10.1016/j.ejmech.2008.01.043</v>
      </c>
      <c r="L2569" s="25" t="s">
        <v>5517</v>
      </c>
    </row>
    <row r="2570" customFormat="false" ht="15" hidden="false" customHeight="false" outlineLevel="0" collapsed="false">
      <c r="A2570" s="25" t="n">
        <v>18388178</v>
      </c>
      <c r="B2570" s="25" t="s">
        <v>5518</v>
      </c>
      <c r="C2570" s="25" t="s">
        <v>5519</v>
      </c>
      <c r="D2570" s="26" t="n">
        <v>155</v>
      </c>
      <c r="E2570" s="27" t="n">
        <v>6.80966830182971</v>
      </c>
      <c r="F2570" s="27" t="n">
        <v>6.80966830182971</v>
      </c>
      <c r="G2570" s="25" t="s">
        <v>624</v>
      </c>
      <c r="H2570" s="25" t="s">
        <v>625</v>
      </c>
      <c r="I2570" s="25" t="n">
        <f aca="false">IFERROR(IF(INDEX(Documents!$C$5:$C$657,MATCH(H2570,Documents!$A$5:$A$657,0))="","",INDEX(Documents!$C$5:$C$657,MATCH(H2570,Documents!$A$5:$A$657,0))),"")</f>
        <v>2018</v>
      </c>
      <c r="J2570" s="25" t="str">
        <f aca="false">IFERROR(IF(INDEX(Documents!$D$5:$D$657,MATCH(H2570,Documents!$A$5:$A$657,0))="","",INDEX(Documents!$D$5:$D$657,MATCH(H2570,Documents!$A$5:$A$657,0))),"")</f>
        <v>Eur J Med Chem</v>
      </c>
      <c r="K2570" s="25" t="str">
        <f aca="false">IFERROR(IF(INDEX(Documents!$G$5:$G$657,MATCH(H2570,Documents!$A$5:$A$657,0))="","",INDEX(Documents!$G$5:$G$657,MATCH(H2570,Documents!$A$5:$A$657,0))),"")</f>
        <v>10.1016/j.ejmech.2018.01.034</v>
      </c>
      <c r="L2570" s="25" t="s">
        <v>626</v>
      </c>
    </row>
    <row r="2571" customFormat="false" ht="15" hidden="false" customHeight="false" outlineLevel="0" collapsed="false">
      <c r="A2571" s="25" t="n">
        <v>18388182</v>
      </c>
      <c r="B2571" s="25" t="s">
        <v>5520</v>
      </c>
      <c r="C2571" s="25" t="s">
        <v>5521</v>
      </c>
      <c r="D2571" s="26" t="n">
        <v>350</v>
      </c>
      <c r="E2571" s="27" t="n">
        <v>6.45593195564972</v>
      </c>
      <c r="F2571" s="27" t="n">
        <v>6.45593195564972</v>
      </c>
      <c r="G2571" s="25" t="s">
        <v>624</v>
      </c>
      <c r="H2571" s="25" t="s">
        <v>625</v>
      </c>
      <c r="I2571" s="25" t="n">
        <f aca="false">IFERROR(IF(INDEX(Documents!$C$5:$C$657,MATCH(H2571,Documents!$A$5:$A$657,0))="","",INDEX(Documents!$C$5:$C$657,MATCH(H2571,Documents!$A$5:$A$657,0))),"")</f>
        <v>2018</v>
      </c>
      <c r="J2571" s="25" t="str">
        <f aca="false">IFERROR(IF(INDEX(Documents!$D$5:$D$657,MATCH(H2571,Documents!$A$5:$A$657,0))="","",INDEX(Documents!$D$5:$D$657,MATCH(H2571,Documents!$A$5:$A$657,0))),"")</f>
        <v>Eur J Med Chem</v>
      </c>
      <c r="K2571" s="25" t="str">
        <f aca="false">IFERROR(IF(INDEX(Documents!$G$5:$G$657,MATCH(H2571,Documents!$A$5:$A$657,0))="","",INDEX(Documents!$G$5:$G$657,MATCH(H2571,Documents!$A$5:$A$657,0))),"")</f>
        <v>10.1016/j.ejmech.2018.01.034</v>
      </c>
      <c r="L2571" s="25" t="s">
        <v>626</v>
      </c>
    </row>
    <row r="2572" customFormat="false" ht="15" hidden="false" customHeight="false" outlineLevel="0" collapsed="false">
      <c r="A2572" s="25" t="n">
        <v>16305648</v>
      </c>
      <c r="B2572" s="25" t="s">
        <v>5522</v>
      </c>
      <c r="C2572" s="25" t="s">
        <v>5523</v>
      </c>
      <c r="D2572" s="26" t="n">
        <v>141</v>
      </c>
      <c r="E2572" s="27" t="n">
        <v>6.85078088734462</v>
      </c>
      <c r="F2572" s="27" t="n">
        <v>6.85078088734462</v>
      </c>
      <c r="G2572" s="25" t="s">
        <v>326</v>
      </c>
      <c r="H2572" s="25" t="s">
        <v>327</v>
      </c>
      <c r="I2572" s="25" t="n">
        <f aca="false">IFERROR(IF(INDEX(Documents!$C$5:$C$657,MATCH(H2572,Documents!$A$5:$A$657,0))="","",INDEX(Documents!$C$5:$C$657,MATCH(H2572,Documents!$A$5:$A$657,0))),"")</f>
        <v>2014</v>
      </c>
      <c r="J2572" s="25" t="str">
        <f aca="false">IFERROR(IF(INDEX(Documents!$D$5:$D$657,MATCH(H2572,Documents!$A$5:$A$657,0))="","",INDEX(Documents!$D$5:$D$657,MATCH(H2572,Documents!$A$5:$A$657,0))),"")</f>
        <v/>
      </c>
      <c r="K2572" s="25" t="str">
        <f aca="false">IFERROR(IF(INDEX(Documents!$G$5:$G$657,MATCH(H2572,Documents!$A$5:$A$657,0))="","",INDEX(Documents!$G$5:$G$657,MATCH(H2572,Documents!$A$5:$A$657,0))),"")</f>
        <v/>
      </c>
      <c r="L2572" s="25" t="s">
        <v>328</v>
      </c>
    </row>
    <row r="2573" customFormat="false" ht="15" hidden="false" customHeight="false" outlineLevel="0" collapsed="false">
      <c r="A2573" s="25" t="n">
        <v>16309110</v>
      </c>
      <c r="B2573" s="25" t="s">
        <v>5524</v>
      </c>
      <c r="C2573" s="25" t="s">
        <v>5525</v>
      </c>
      <c r="D2573" s="26" t="n">
        <v>47</v>
      </c>
      <c r="E2573" s="27" t="n">
        <v>7.32790214206428</v>
      </c>
      <c r="F2573" s="27" t="n">
        <v>7.32790214206428</v>
      </c>
      <c r="G2573" s="25" t="s">
        <v>326</v>
      </c>
      <c r="H2573" s="25" t="s">
        <v>327</v>
      </c>
      <c r="I2573" s="25" t="n">
        <f aca="false">IFERROR(IF(INDEX(Documents!$C$5:$C$657,MATCH(H2573,Documents!$A$5:$A$657,0))="","",INDEX(Documents!$C$5:$C$657,MATCH(H2573,Documents!$A$5:$A$657,0))),"")</f>
        <v>2014</v>
      </c>
      <c r="J2573" s="25" t="str">
        <f aca="false">IFERROR(IF(INDEX(Documents!$D$5:$D$657,MATCH(H2573,Documents!$A$5:$A$657,0))="","",INDEX(Documents!$D$5:$D$657,MATCH(H2573,Documents!$A$5:$A$657,0))),"")</f>
        <v/>
      </c>
      <c r="K2573" s="25" t="str">
        <f aca="false">IFERROR(IF(INDEX(Documents!$G$5:$G$657,MATCH(H2573,Documents!$A$5:$A$657,0))="","",INDEX(Documents!$G$5:$G$657,MATCH(H2573,Documents!$A$5:$A$657,0))),"")</f>
        <v/>
      </c>
      <c r="L2573" s="25" t="s">
        <v>328</v>
      </c>
    </row>
    <row r="2574" customFormat="false" ht="15" hidden="false" customHeight="false" outlineLevel="0" collapsed="false">
      <c r="A2574" s="25" t="n">
        <v>16265556</v>
      </c>
      <c r="B2574" s="25" t="s">
        <v>5526</v>
      </c>
      <c r="C2574" s="25" t="s">
        <v>5527</v>
      </c>
      <c r="D2574" s="26" t="n">
        <v>92</v>
      </c>
      <c r="E2574" s="27" t="n">
        <v>7.03621217265444</v>
      </c>
      <c r="F2574" s="27" t="n">
        <v>7.03621217265444</v>
      </c>
      <c r="G2574" s="25" t="s">
        <v>326</v>
      </c>
      <c r="H2574" s="25" t="s">
        <v>327</v>
      </c>
      <c r="I2574" s="25" t="n">
        <f aca="false">IFERROR(IF(INDEX(Documents!$C$5:$C$657,MATCH(H2574,Documents!$A$5:$A$657,0))="","",INDEX(Documents!$C$5:$C$657,MATCH(H2574,Documents!$A$5:$A$657,0))),"")</f>
        <v>2014</v>
      </c>
      <c r="J2574" s="25" t="str">
        <f aca="false">IFERROR(IF(INDEX(Documents!$D$5:$D$657,MATCH(H2574,Documents!$A$5:$A$657,0))="","",INDEX(Documents!$D$5:$D$657,MATCH(H2574,Documents!$A$5:$A$657,0))),"")</f>
        <v/>
      </c>
      <c r="K2574" s="25" t="str">
        <f aca="false">IFERROR(IF(INDEX(Documents!$G$5:$G$657,MATCH(H2574,Documents!$A$5:$A$657,0))="","",INDEX(Documents!$G$5:$G$657,MATCH(H2574,Documents!$A$5:$A$657,0))),"")</f>
        <v/>
      </c>
      <c r="L2574" s="25" t="s">
        <v>328</v>
      </c>
    </row>
    <row r="2575" customFormat="false" ht="15" hidden="false" customHeight="false" outlineLevel="0" collapsed="false">
      <c r="A2575" s="25" t="n">
        <v>16335339</v>
      </c>
      <c r="B2575" s="25" t="s">
        <v>5528</v>
      </c>
      <c r="C2575" s="25" t="s">
        <v>5529</v>
      </c>
      <c r="D2575" s="26" t="n">
        <v>7.4</v>
      </c>
      <c r="E2575" s="27" t="n">
        <v>8.13076828026902</v>
      </c>
      <c r="F2575" s="27" t="n">
        <v>8.13076828026902</v>
      </c>
      <c r="G2575" s="25" t="s">
        <v>326</v>
      </c>
      <c r="H2575" s="25" t="s">
        <v>327</v>
      </c>
      <c r="I2575" s="25" t="n">
        <f aca="false">IFERROR(IF(INDEX(Documents!$C$5:$C$657,MATCH(H2575,Documents!$A$5:$A$657,0))="","",INDEX(Documents!$C$5:$C$657,MATCH(H2575,Documents!$A$5:$A$657,0))),"")</f>
        <v>2014</v>
      </c>
      <c r="J2575" s="25" t="str">
        <f aca="false">IFERROR(IF(INDEX(Documents!$D$5:$D$657,MATCH(H2575,Documents!$A$5:$A$657,0))="","",INDEX(Documents!$D$5:$D$657,MATCH(H2575,Documents!$A$5:$A$657,0))),"")</f>
        <v/>
      </c>
      <c r="K2575" s="25" t="str">
        <f aca="false">IFERROR(IF(INDEX(Documents!$G$5:$G$657,MATCH(H2575,Documents!$A$5:$A$657,0))="","",INDEX(Documents!$G$5:$G$657,MATCH(H2575,Documents!$A$5:$A$657,0))),"")</f>
        <v/>
      </c>
      <c r="L2575" s="25" t="s">
        <v>328</v>
      </c>
    </row>
    <row r="2576" customFormat="false" ht="15" hidden="false" customHeight="false" outlineLevel="0" collapsed="false">
      <c r="A2576" s="25" t="n">
        <v>16289658</v>
      </c>
      <c r="B2576" s="25" t="s">
        <v>5530</v>
      </c>
      <c r="C2576" s="25" t="s">
        <v>5531</v>
      </c>
      <c r="D2576" s="26" t="n">
        <v>3</v>
      </c>
      <c r="E2576" s="27" t="n">
        <v>8.52287874528034</v>
      </c>
      <c r="F2576" s="27" t="n">
        <v>8.52287874528034</v>
      </c>
      <c r="G2576" s="25" t="s">
        <v>326</v>
      </c>
      <c r="H2576" s="25" t="s">
        <v>327</v>
      </c>
      <c r="I2576" s="25" t="n">
        <f aca="false">IFERROR(IF(INDEX(Documents!$C$5:$C$657,MATCH(H2576,Documents!$A$5:$A$657,0))="","",INDEX(Documents!$C$5:$C$657,MATCH(H2576,Documents!$A$5:$A$657,0))),"")</f>
        <v>2014</v>
      </c>
      <c r="J2576" s="25" t="str">
        <f aca="false">IFERROR(IF(INDEX(Documents!$D$5:$D$657,MATCH(H2576,Documents!$A$5:$A$657,0))="","",INDEX(Documents!$D$5:$D$657,MATCH(H2576,Documents!$A$5:$A$657,0))),"")</f>
        <v/>
      </c>
      <c r="K2576" s="25" t="str">
        <f aca="false">IFERROR(IF(INDEX(Documents!$G$5:$G$657,MATCH(H2576,Documents!$A$5:$A$657,0))="","",INDEX(Documents!$G$5:$G$657,MATCH(H2576,Documents!$A$5:$A$657,0))),"")</f>
        <v/>
      </c>
      <c r="L2576" s="25" t="s">
        <v>328</v>
      </c>
    </row>
    <row r="2577" customFormat="false" ht="15" hidden="false" customHeight="false" outlineLevel="0" collapsed="false">
      <c r="A2577" s="25" t="n">
        <v>16290359</v>
      </c>
      <c r="B2577" s="25" t="s">
        <v>5532</v>
      </c>
      <c r="C2577" s="25" t="s">
        <v>5533</v>
      </c>
      <c r="D2577" s="26" t="n">
        <v>2</v>
      </c>
      <c r="E2577" s="27" t="n">
        <v>8.69897000433602</v>
      </c>
      <c r="F2577" s="27" t="n">
        <v>8.69897000433602</v>
      </c>
      <c r="G2577" s="25" t="s">
        <v>326</v>
      </c>
      <c r="H2577" s="25" t="s">
        <v>327</v>
      </c>
      <c r="I2577" s="25" t="n">
        <f aca="false">IFERROR(IF(INDEX(Documents!$C$5:$C$657,MATCH(H2577,Documents!$A$5:$A$657,0))="","",INDEX(Documents!$C$5:$C$657,MATCH(H2577,Documents!$A$5:$A$657,0))),"")</f>
        <v>2014</v>
      </c>
      <c r="J2577" s="25" t="str">
        <f aca="false">IFERROR(IF(INDEX(Documents!$D$5:$D$657,MATCH(H2577,Documents!$A$5:$A$657,0))="","",INDEX(Documents!$D$5:$D$657,MATCH(H2577,Documents!$A$5:$A$657,0))),"")</f>
        <v/>
      </c>
      <c r="K2577" s="25" t="str">
        <f aca="false">IFERROR(IF(INDEX(Documents!$G$5:$G$657,MATCH(H2577,Documents!$A$5:$A$657,0))="","",INDEX(Documents!$G$5:$G$657,MATCH(H2577,Documents!$A$5:$A$657,0))),"")</f>
        <v/>
      </c>
      <c r="L2577" s="25" t="s">
        <v>328</v>
      </c>
    </row>
    <row r="2578" customFormat="false" ht="15" hidden="false" customHeight="false" outlineLevel="0" collapsed="false">
      <c r="A2578" s="25" t="n">
        <v>20662656</v>
      </c>
      <c r="B2578" s="25" t="s">
        <v>5534</v>
      </c>
      <c r="C2578" s="25" t="s">
        <v>5535</v>
      </c>
      <c r="D2578" s="26" t="n">
        <v>1.4</v>
      </c>
      <c r="E2578" s="27" t="n">
        <v>8.85387196432176</v>
      </c>
      <c r="F2578" s="27" t="n">
        <v>8.85387196432176</v>
      </c>
      <c r="G2578" s="25" t="s">
        <v>643</v>
      </c>
      <c r="H2578" s="25" t="s">
        <v>644</v>
      </c>
      <c r="I2578" s="25" t="n">
        <f aca="false">IFERROR(IF(INDEX(Documents!$C$5:$C$657,MATCH(H2578,Documents!$A$5:$A$657,0))="","",INDEX(Documents!$C$5:$C$657,MATCH(H2578,Documents!$A$5:$A$657,0))),"")</f>
        <v>2020</v>
      </c>
      <c r="J2578" s="25" t="str">
        <f aca="false">IFERROR(IF(INDEX(Documents!$D$5:$D$657,MATCH(H2578,Documents!$A$5:$A$657,0))="","",INDEX(Documents!$D$5:$D$657,MATCH(H2578,Documents!$A$5:$A$657,0))),"")</f>
        <v>J Med Chem</v>
      </c>
      <c r="K2578" s="25" t="str">
        <f aca="false">IFERROR(IF(INDEX(Documents!$G$5:$G$657,MATCH(H2578,Documents!$A$5:$A$657,0))="","",INDEX(Documents!$G$5:$G$657,MATCH(H2578,Documents!$A$5:$A$657,0))),"")</f>
        <v>10.1021/acs.jmedchem.0c00595</v>
      </c>
      <c r="L2578" s="25" t="s">
        <v>645</v>
      </c>
    </row>
    <row r="2579" customFormat="false" ht="15" hidden="false" customHeight="false" outlineLevel="0" collapsed="false">
      <c r="A2579" s="25" t="n">
        <v>20662657</v>
      </c>
      <c r="B2579" s="25" t="s">
        <v>5536</v>
      </c>
      <c r="C2579" s="25" t="s">
        <v>5537</v>
      </c>
      <c r="D2579" s="26" t="n">
        <v>18.9</v>
      </c>
      <c r="E2579" s="27" t="n">
        <v>7.72353819582676</v>
      </c>
      <c r="F2579" s="27" t="n">
        <v>7.72353819582676</v>
      </c>
      <c r="G2579" s="25" t="s">
        <v>643</v>
      </c>
      <c r="H2579" s="25" t="s">
        <v>644</v>
      </c>
      <c r="I2579" s="25" t="n">
        <f aca="false">IFERROR(IF(INDEX(Documents!$C$5:$C$657,MATCH(H2579,Documents!$A$5:$A$657,0))="","",INDEX(Documents!$C$5:$C$657,MATCH(H2579,Documents!$A$5:$A$657,0))),"")</f>
        <v>2020</v>
      </c>
      <c r="J2579" s="25" t="str">
        <f aca="false">IFERROR(IF(INDEX(Documents!$D$5:$D$657,MATCH(H2579,Documents!$A$5:$A$657,0))="","",INDEX(Documents!$D$5:$D$657,MATCH(H2579,Documents!$A$5:$A$657,0))),"")</f>
        <v>J Med Chem</v>
      </c>
      <c r="K2579" s="25" t="str">
        <f aca="false">IFERROR(IF(INDEX(Documents!$G$5:$G$657,MATCH(H2579,Documents!$A$5:$A$657,0))="","",INDEX(Documents!$G$5:$G$657,MATCH(H2579,Documents!$A$5:$A$657,0))),"")</f>
        <v>10.1021/acs.jmedchem.0c00595</v>
      </c>
      <c r="L2579" s="25" t="s">
        <v>645</v>
      </c>
    </row>
    <row r="2580" customFormat="false" ht="15" hidden="false" customHeight="false" outlineLevel="0" collapsed="false">
      <c r="A2580" s="25" t="n">
        <v>1968473</v>
      </c>
      <c r="B2580" s="25" t="s">
        <v>5538</v>
      </c>
      <c r="C2580" s="25" t="s">
        <v>5539</v>
      </c>
      <c r="D2580" s="26" t="n">
        <v>140</v>
      </c>
      <c r="E2580" s="27" t="n">
        <v>6.85387196432176</v>
      </c>
      <c r="F2580" s="27" t="n">
        <v>6.85387196432176</v>
      </c>
      <c r="G2580" s="25" t="s">
        <v>2433</v>
      </c>
      <c r="H2580" s="25" t="s">
        <v>2434</v>
      </c>
      <c r="I2580" s="25" t="n">
        <f aca="false">IFERROR(IF(INDEX(Documents!$C$5:$C$657,MATCH(H2580,Documents!$A$5:$A$657,0))="","",INDEX(Documents!$C$5:$C$657,MATCH(H2580,Documents!$A$5:$A$657,0))),"")</f>
        <v>2007</v>
      </c>
      <c r="J2580" s="25" t="str">
        <f aca="false">IFERROR(IF(INDEX(Documents!$D$5:$D$657,MATCH(H2580,Documents!$A$5:$A$657,0))="","",INDEX(Documents!$D$5:$D$657,MATCH(H2580,Documents!$A$5:$A$657,0))),"")</f>
        <v>Bioorg Med Chem Lett</v>
      </c>
      <c r="K2580" s="25" t="str">
        <f aca="false">IFERROR(IF(INDEX(Documents!$G$5:$G$657,MATCH(H2580,Documents!$A$5:$A$657,0))="","",INDEX(Documents!$G$5:$G$657,MATCH(H2580,Documents!$A$5:$A$657,0))),"")</f>
        <v>10.1016/j.bmcl.2007.04.059</v>
      </c>
      <c r="L2580" s="25" t="s">
        <v>2435</v>
      </c>
    </row>
    <row r="2581" customFormat="false" ht="15" hidden="false" customHeight="false" outlineLevel="0" collapsed="false">
      <c r="A2581" s="25" t="n">
        <v>1968472</v>
      </c>
      <c r="B2581" s="25" t="s">
        <v>5540</v>
      </c>
      <c r="C2581" s="25" t="s">
        <v>5541</v>
      </c>
      <c r="D2581" s="26" t="n">
        <v>39</v>
      </c>
      <c r="E2581" s="27" t="n">
        <v>7.4089353929735</v>
      </c>
      <c r="F2581" s="27" t="n">
        <v>7.4089353929735</v>
      </c>
      <c r="G2581" s="25" t="s">
        <v>2433</v>
      </c>
      <c r="H2581" s="25" t="s">
        <v>2434</v>
      </c>
      <c r="I2581" s="25" t="n">
        <f aca="false">IFERROR(IF(INDEX(Documents!$C$5:$C$657,MATCH(H2581,Documents!$A$5:$A$657,0))="","",INDEX(Documents!$C$5:$C$657,MATCH(H2581,Documents!$A$5:$A$657,0))),"")</f>
        <v>2007</v>
      </c>
      <c r="J2581" s="25" t="str">
        <f aca="false">IFERROR(IF(INDEX(Documents!$D$5:$D$657,MATCH(H2581,Documents!$A$5:$A$657,0))="","",INDEX(Documents!$D$5:$D$657,MATCH(H2581,Documents!$A$5:$A$657,0))),"")</f>
        <v>Bioorg Med Chem Lett</v>
      </c>
      <c r="K2581" s="25" t="str">
        <f aca="false">IFERROR(IF(INDEX(Documents!$G$5:$G$657,MATCH(H2581,Documents!$A$5:$A$657,0))="","",INDEX(Documents!$G$5:$G$657,MATCH(H2581,Documents!$A$5:$A$657,0))),"")</f>
        <v>10.1016/j.bmcl.2007.04.059</v>
      </c>
      <c r="L2581" s="25" t="s">
        <v>2435</v>
      </c>
    </row>
    <row r="2582" customFormat="false" ht="15" hidden="false" customHeight="false" outlineLevel="0" collapsed="false">
      <c r="A2582" s="25" t="n">
        <v>10890207</v>
      </c>
      <c r="B2582" s="25" t="s">
        <v>5542</v>
      </c>
      <c r="C2582" s="25" t="s">
        <v>5543</v>
      </c>
      <c r="D2582" s="26" t="n">
        <v>15.5</v>
      </c>
      <c r="E2582" s="27" t="n">
        <v>7.80966830182971</v>
      </c>
      <c r="F2582" s="27" t="n">
        <v>7.80966830182971</v>
      </c>
      <c r="G2582" s="25" t="s">
        <v>2924</v>
      </c>
      <c r="H2582" s="25" t="s">
        <v>2925</v>
      </c>
      <c r="I2582" s="25" t="n">
        <f aca="false">IFERROR(IF(INDEX(Documents!$C$5:$C$657,MATCH(H2582,Documents!$A$5:$A$657,0))="","",INDEX(Documents!$C$5:$C$657,MATCH(H2582,Documents!$A$5:$A$657,0))),"")</f>
        <v>2012</v>
      </c>
      <c r="J2582" s="25" t="str">
        <f aca="false">IFERROR(IF(INDEX(Documents!$D$5:$D$657,MATCH(H2582,Documents!$A$5:$A$657,0))="","",INDEX(Documents!$D$5:$D$657,MATCH(H2582,Documents!$A$5:$A$657,0))),"")</f>
        <v>Bioorg Med Chem Lett</v>
      </c>
      <c r="K2582" s="25" t="str">
        <f aca="false">IFERROR(IF(INDEX(Documents!$G$5:$G$657,MATCH(H2582,Documents!$A$5:$A$657,0))="","",INDEX(Documents!$G$5:$G$657,MATCH(H2582,Documents!$A$5:$A$657,0))),"")</f>
        <v>10.1016/j.bmcl.2012.04.128</v>
      </c>
      <c r="L2582" s="25" t="s">
        <v>515</v>
      </c>
    </row>
    <row r="2583" customFormat="false" ht="15" hidden="false" customHeight="false" outlineLevel="0" collapsed="false">
      <c r="A2583" s="25" t="n">
        <v>27600485</v>
      </c>
      <c r="B2583" s="25" t="s">
        <v>5544</v>
      </c>
      <c r="C2583" s="25" t="s">
        <v>5545</v>
      </c>
      <c r="D2583" s="26" t="n">
        <v>1.45</v>
      </c>
      <c r="E2583" s="27" t="n">
        <v>8.83863199776503</v>
      </c>
      <c r="F2583" s="27" t="n">
        <v>8.83863199776503</v>
      </c>
      <c r="G2583" s="25" t="s">
        <v>778</v>
      </c>
      <c r="H2583" s="25" t="s">
        <v>779</v>
      </c>
      <c r="I2583" s="25" t="n">
        <f aca="false">IFERROR(IF(INDEX(Documents!$C$5:$C$657,MATCH(H2583,Documents!$A$5:$A$657,0))="","",INDEX(Documents!$C$5:$C$657,MATCH(H2583,Documents!$A$5:$A$657,0))),"")</f>
        <v>2018</v>
      </c>
      <c r="J2583" s="25" t="str">
        <f aca="false">IFERROR(IF(INDEX(Documents!$D$5:$D$657,MATCH(H2583,Documents!$A$5:$A$657,0))="","",INDEX(Documents!$D$5:$D$657,MATCH(H2583,Documents!$A$5:$A$657,0))),"")</f>
        <v/>
      </c>
      <c r="K2583" s="25" t="str">
        <f aca="false">IFERROR(IF(INDEX(Documents!$G$5:$G$657,MATCH(H2583,Documents!$A$5:$A$657,0))="","",INDEX(Documents!$G$5:$G$657,MATCH(H2583,Documents!$A$5:$A$657,0))),"")</f>
        <v/>
      </c>
      <c r="L2583" s="25" t="s">
        <v>780</v>
      </c>
    </row>
    <row r="2584" customFormat="false" ht="15" hidden="false" customHeight="false" outlineLevel="0" collapsed="false">
      <c r="A2584" s="25" t="n">
        <v>2355489</v>
      </c>
      <c r="B2584" s="25" t="s">
        <v>5546</v>
      </c>
      <c r="C2584" s="25" t="s">
        <v>5547</v>
      </c>
      <c r="D2584" s="26" t="n">
        <v>20</v>
      </c>
      <c r="E2584" s="27" t="n">
        <v>7.69897000433602</v>
      </c>
      <c r="F2584" s="27" t="n">
        <v>7.69897000433602</v>
      </c>
      <c r="G2584" s="25" t="s">
        <v>773</v>
      </c>
      <c r="H2584" s="25" t="s">
        <v>774</v>
      </c>
      <c r="I2584" s="25" t="n">
        <f aca="false">IFERROR(IF(INDEX(Documents!$C$5:$C$657,MATCH(H2584,Documents!$A$5:$A$657,0))="","",INDEX(Documents!$C$5:$C$657,MATCH(H2584,Documents!$A$5:$A$657,0))),"")</f>
        <v>2008</v>
      </c>
      <c r="J2584" s="25" t="str">
        <f aca="false">IFERROR(IF(INDEX(Documents!$D$5:$D$657,MATCH(H2584,Documents!$A$5:$A$657,0))="","",INDEX(Documents!$D$5:$D$657,MATCH(H2584,Documents!$A$5:$A$657,0))),"")</f>
        <v>Bioorg Med Chem Lett</v>
      </c>
      <c r="K2584" s="25" t="str">
        <f aca="false">IFERROR(IF(INDEX(Documents!$G$5:$G$657,MATCH(H2584,Documents!$A$5:$A$657,0))="","",INDEX(Documents!$G$5:$G$657,MATCH(H2584,Documents!$A$5:$A$657,0))),"")</f>
        <v>10.1016/j.bmcl.2008.04.032</v>
      </c>
      <c r="L2584" s="25" t="s">
        <v>775</v>
      </c>
    </row>
    <row r="2585" customFormat="false" ht="15" hidden="false" customHeight="false" outlineLevel="0" collapsed="false">
      <c r="A2585" s="25" t="n">
        <v>15612660</v>
      </c>
      <c r="B2585" s="25" t="s">
        <v>5548</v>
      </c>
      <c r="C2585" s="25" t="s">
        <v>5549</v>
      </c>
      <c r="D2585" s="26" t="n">
        <v>144</v>
      </c>
      <c r="E2585" s="27" t="n">
        <v>6.84163750790475</v>
      </c>
      <c r="F2585" s="27" t="n">
        <v>6.84163750790475</v>
      </c>
      <c r="G2585" s="25" t="s">
        <v>804</v>
      </c>
      <c r="H2585" s="25" t="s">
        <v>805</v>
      </c>
      <c r="I2585" s="25" t="n">
        <f aca="false">IFERROR(IF(INDEX(Documents!$C$5:$C$657,MATCH(H2585,Documents!$A$5:$A$657,0))="","",INDEX(Documents!$C$5:$C$657,MATCH(H2585,Documents!$A$5:$A$657,0))),"")</f>
        <v>2014</v>
      </c>
      <c r="J2585" s="25" t="str">
        <f aca="false">IFERROR(IF(INDEX(Documents!$D$5:$D$657,MATCH(H2585,Documents!$A$5:$A$657,0))="","",INDEX(Documents!$D$5:$D$657,MATCH(H2585,Documents!$A$5:$A$657,0))),"")</f>
        <v>Bioorg Med Chem Lett</v>
      </c>
      <c r="K2585" s="25" t="str">
        <f aca="false">IFERROR(IF(INDEX(Documents!$G$5:$G$657,MATCH(H2585,Documents!$A$5:$A$657,0))="","",INDEX(Documents!$G$5:$G$657,MATCH(H2585,Documents!$A$5:$A$657,0))),"")</f>
        <v>10.1016/j.bmcl.2014.11.003</v>
      </c>
      <c r="L2585" s="25" t="s">
        <v>806</v>
      </c>
    </row>
    <row r="2586" customFormat="false" ht="15" hidden="false" customHeight="false" outlineLevel="0" collapsed="false">
      <c r="A2586" s="25" t="n">
        <v>12725507</v>
      </c>
      <c r="B2586" s="25" t="s">
        <v>5550</v>
      </c>
      <c r="C2586" s="25" t="s">
        <v>5551</v>
      </c>
      <c r="D2586" s="26" t="n">
        <v>67.2</v>
      </c>
      <c r="E2586" s="27" t="n">
        <v>7.17263072694617</v>
      </c>
      <c r="F2586" s="27" t="n">
        <v>7.17263072694617</v>
      </c>
      <c r="G2586" s="25" t="s">
        <v>698</v>
      </c>
      <c r="H2586" s="25" t="s">
        <v>699</v>
      </c>
      <c r="I2586" s="25" t="n">
        <f aca="false">IFERROR(IF(INDEX(Documents!$C$5:$C$657,MATCH(H2586,Documents!$A$5:$A$657,0))="","",INDEX(Documents!$C$5:$C$657,MATCH(H2586,Documents!$A$5:$A$657,0))),"")</f>
        <v>2013</v>
      </c>
      <c r="J2586" s="25" t="str">
        <f aca="false">IFERROR(IF(INDEX(Documents!$D$5:$D$657,MATCH(H2586,Documents!$A$5:$A$657,0))="","",INDEX(Documents!$D$5:$D$657,MATCH(H2586,Documents!$A$5:$A$657,0))),"")</f>
        <v>J Med Chem</v>
      </c>
      <c r="K2586" s="25" t="str">
        <f aca="false">IFERROR(IF(INDEX(Documents!$G$5:$G$657,MATCH(H2586,Documents!$A$5:$A$657,0))="","",INDEX(Documents!$G$5:$G$657,MATCH(H2586,Documents!$A$5:$A$657,0))),"")</f>
        <v>10.1021/jm4000775</v>
      </c>
      <c r="L2586" s="25" t="s">
        <v>700</v>
      </c>
    </row>
    <row r="2587" customFormat="false" ht="15" hidden="false" customHeight="false" outlineLevel="0" collapsed="false">
      <c r="A2587" s="25" t="n">
        <v>1617786</v>
      </c>
      <c r="B2587" s="25" t="s">
        <v>5552</v>
      </c>
      <c r="C2587" s="25" t="s">
        <v>5553</v>
      </c>
      <c r="D2587" s="26" t="n">
        <v>406</v>
      </c>
      <c r="E2587" s="27" t="n">
        <v>6.39147396642281</v>
      </c>
      <c r="F2587" s="27" t="n">
        <v>6.39147396642281</v>
      </c>
      <c r="G2587" s="25" t="s">
        <v>444</v>
      </c>
      <c r="H2587" s="25" t="s">
        <v>445</v>
      </c>
      <c r="I2587" s="25" t="n">
        <f aca="false">IFERROR(IF(INDEX(Documents!$C$5:$C$657,MATCH(H2587,Documents!$A$5:$A$657,0))="","",INDEX(Documents!$C$5:$C$657,MATCH(H2587,Documents!$A$5:$A$657,0))),"")</f>
        <v>2005</v>
      </c>
      <c r="J2587" s="25" t="str">
        <f aca="false">IFERROR(IF(INDEX(Documents!$D$5:$D$657,MATCH(H2587,Documents!$A$5:$A$657,0))="","",INDEX(Documents!$D$5:$D$657,MATCH(H2587,Documents!$A$5:$A$657,0))),"")</f>
        <v>Bioorg Med Chem Lett</v>
      </c>
      <c r="K2587" s="25" t="str">
        <f aca="false">IFERROR(IF(INDEX(Documents!$G$5:$G$657,MATCH(H2587,Documents!$A$5:$A$657,0))="","",INDEX(Documents!$G$5:$G$657,MATCH(H2587,Documents!$A$5:$A$657,0))),"")</f>
        <v>10.1016/j.bmcl.2005.07.023</v>
      </c>
      <c r="L2587" s="25" t="s">
        <v>446</v>
      </c>
    </row>
    <row r="2588" customFormat="false" ht="15" hidden="false" customHeight="false" outlineLevel="0" collapsed="false">
      <c r="A2588" s="25" t="n">
        <v>10852535</v>
      </c>
      <c r="B2588" s="25" t="s">
        <v>5554</v>
      </c>
      <c r="C2588" s="25" t="s">
        <v>5555</v>
      </c>
      <c r="D2588" s="26" t="n">
        <v>0.3</v>
      </c>
      <c r="E2588" s="27" t="n">
        <v>9.52287874528034</v>
      </c>
      <c r="F2588" s="27" t="n">
        <v>9.52287874528034</v>
      </c>
      <c r="G2588" s="25" t="s">
        <v>636</v>
      </c>
      <c r="H2588" s="25" t="s">
        <v>637</v>
      </c>
      <c r="I2588" s="25" t="n">
        <f aca="false">IFERROR(IF(INDEX(Documents!$C$5:$C$657,MATCH(H2588,Documents!$A$5:$A$657,0))="","",INDEX(Documents!$C$5:$C$657,MATCH(H2588,Documents!$A$5:$A$657,0))),"")</f>
        <v>2012</v>
      </c>
      <c r="J2588" s="25" t="str">
        <f aca="false">IFERROR(IF(INDEX(Documents!$D$5:$D$657,MATCH(H2588,Documents!$A$5:$A$657,0))="","",INDEX(Documents!$D$5:$D$657,MATCH(H2588,Documents!$A$5:$A$657,0))),"")</f>
        <v>Bioorg Med Chem Lett</v>
      </c>
      <c r="K2588" s="25" t="str">
        <f aca="false">IFERROR(IF(INDEX(Documents!$G$5:$G$657,MATCH(H2588,Documents!$A$5:$A$657,0))="","",INDEX(Documents!$G$5:$G$657,MATCH(H2588,Documents!$A$5:$A$657,0))),"")</f>
        <v>10.1016/j.bmcl.2012.02.054</v>
      </c>
      <c r="L2588" s="25" t="s">
        <v>638</v>
      </c>
    </row>
    <row r="2589" customFormat="false" ht="15" hidden="false" customHeight="false" outlineLevel="0" collapsed="false">
      <c r="A2589" s="25" t="n">
        <v>28220408</v>
      </c>
      <c r="B2589" s="25" t="s">
        <v>5556</v>
      </c>
      <c r="C2589" s="25" t="s">
        <v>5557</v>
      </c>
      <c r="D2589" s="26" t="n">
        <v>36.8</v>
      </c>
      <c r="E2589" s="27" t="n">
        <v>7.43415218132648</v>
      </c>
      <c r="F2589" s="27" t="n">
        <v>7.4481665431266</v>
      </c>
      <c r="G2589" s="25" t="s">
        <v>679</v>
      </c>
      <c r="H2589" s="25" t="s">
        <v>680</v>
      </c>
      <c r="I2589" s="25" t="n">
        <f aca="false">IFERROR(IF(INDEX(Documents!$C$5:$C$657,MATCH(H2589,Documents!$A$5:$A$657,0))="","",INDEX(Documents!$C$5:$C$657,MATCH(H2589,Documents!$A$5:$A$657,0))),"")</f>
        <v>2021</v>
      </c>
      <c r="J2589" s="25" t="str">
        <f aca="false">IFERROR(IF(INDEX(Documents!$D$5:$D$657,MATCH(H2589,Documents!$A$5:$A$657,0))="","",INDEX(Documents!$D$5:$D$657,MATCH(H2589,Documents!$A$5:$A$657,0))),"")</f>
        <v/>
      </c>
      <c r="K2589" s="25" t="str">
        <f aca="false">IFERROR(IF(INDEX(Documents!$G$5:$G$657,MATCH(H2589,Documents!$A$5:$A$657,0))="","",INDEX(Documents!$G$5:$G$657,MATCH(H2589,Documents!$A$5:$A$657,0))),"")</f>
        <v/>
      </c>
      <c r="L2589" s="25" t="s">
        <v>681</v>
      </c>
    </row>
    <row r="2590" customFormat="false" ht="15" hidden="false" customHeight="false" outlineLevel="0" collapsed="false">
      <c r="A2590" s="25" t="n">
        <v>17991515</v>
      </c>
      <c r="B2590" s="25" t="s">
        <v>5556</v>
      </c>
      <c r="C2590" s="25" t="s">
        <v>5557</v>
      </c>
      <c r="D2590" s="26" t="n">
        <v>34.5</v>
      </c>
      <c r="E2590" s="27" t="n">
        <v>7.46218090492673</v>
      </c>
      <c r="F2590" s="27" t="n">
        <v>7.4481665431266</v>
      </c>
      <c r="G2590" s="25" t="s">
        <v>1548</v>
      </c>
      <c r="H2590" s="25" t="s">
        <v>1549</v>
      </c>
      <c r="I2590" s="25" t="n">
        <f aca="false">IFERROR(IF(INDEX(Documents!$C$5:$C$657,MATCH(H2590,Documents!$A$5:$A$657,0))="","",INDEX(Documents!$C$5:$C$657,MATCH(H2590,Documents!$A$5:$A$657,0))),"")</f>
        <v>2015</v>
      </c>
      <c r="J2590" s="25" t="str">
        <f aca="false">IFERROR(IF(INDEX(Documents!$D$5:$D$657,MATCH(H2590,Documents!$A$5:$A$657,0))="","",INDEX(Documents!$D$5:$D$657,MATCH(H2590,Documents!$A$5:$A$657,0))),"")</f>
        <v>J Med Chem</v>
      </c>
      <c r="K2590" s="25" t="str">
        <f aca="false">IFERROR(IF(INDEX(Documents!$G$5:$G$657,MATCH(H2590,Documents!$A$5:$A$657,0))="","",INDEX(Documents!$G$5:$G$657,MATCH(H2590,Documents!$A$5:$A$657,0))),"")</f>
        <v>10.1021/jm501165d</v>
      </c>
      <c r="L2590" s="25" t="s">
        <v>1550</v>
      </c>
    </row>
    <row r="2591" customFormat="false" ht="15" hidden="false" customHeight="false" outlineLevel="0" collapsed="false">
      <c r="A2591" s="25" t="n">
        <v>1968482</v>
      </c>
      <c r="B2591" s="25" t="s">
        <v>5558</v>
      </c>
      <c r="C2591" s="25" t="s">
        <v>5559</v>
      </c>
      <c r="D2591" s="26" t="n">
        <v>16</v>
      </c>
      <c r="E2591" s="27" t="n">
        <v>7.79588001734408</v>
      </c>
      <c r="F2591" s="27" t="n">
        <v>7.79588001734408</v>
      </c>
      <c r="G2591" s="25" t="s">
        <v>2433</v>
      </c>
      <c r="H2591" s="25" t="s">
        <v>2434</v>
      </c>
      <c r="I2591" s="25" t="n">
        <f aca="false">IFERROR(IF(INDEX(Documents!$C$5:$C$657,MATCH(H2591,Documents!$A$5:$A$657,0))="","",INDEX(Documents!$C$5:$C$657,MATCH(H2591,Documents!$A$5:$A$657,0))),"")</f>
        <v>2007</v>
      </c>
      <c r="J2591" s="25" t="str">
        <f aca="false">IFERROR(IF(INDEX(Documents!$D$5:$D$657,MATCH(H2591,Documents!$A$5:$A$657,0))="","",INDEX(Documents!$D$5:$D$657,MATCH(H2591,Documents!$A$5:$A$657,0))),"")</f>
        <v>Bioorg Med Chem Lett</v>
      </c>
      <c r="K2591" s="25" t="str">
        <f aca="false">IFERROR(IF(INDEX(Documents!$G$5:$G$657,MATCH(H2591,Documents!$A$5:$A$657,0))="","",INDEX(Documents!$G$5:$G$657,MATCH(H2591,Documents!$A$5:$A$657,0))),"")</f>
        <v>10.1016/j.bmcl.2007.04.059</v>
      </c>
      <c r="L2591" s="25" t="s">
        <v>2435</v>
      </c>
    </row>
    <row r="2592" customFormat="false" ht="15" hidden="false" customHeight="false" outlineLevel="0" collapsed="false">
      <c r="A2592" s="25" t="n">
        <v>14980498</v>
      </c>
      <c r="B2592" s="25" t="s">
        <v>5560</v>
      </c>
      <c r="C2592" s="25" t="s">
        <v>5561</v>
      </c>
      <c r="D2592" s="26" t="n">
        <v>360</v>
      </c>
      <c r="E2592" s="27" t="n">
        <v>6.44369749923271</v>
      </c>
      <c r="F2592" s="27" t="n">
        <v>6.44369749923271</v>
      </c>
      <c r="G2592" s="25" t="s">
        <v>5562</v>
      </c>
      <c r="H2592" s="25" t="s">
        <v>5563</v>
      </c>
      <c r="I2592" s="25" t="n">
        <f aca="false">IFERROR(IF(INDEX(Documents!$C$5:$C$657,MATCH(H2592,Documents!$A$5:$A$657,0))="","",INDEX(Documents!$C$5:$C$657,MATCH(H2592,Documents!$A$5:$A$657,0))),"")</f>
        <v>2015</v>
      </c>
      <c r="J2592" s="25" t="str">
        <f aca="false">IFERROR(IF(INDEX(Documents!$D$5:$D$657,MATCH(H2592,Documents!$A$5:$A$657,0))="","",INDEX(Documents!$D$5:$D$657,MATCH(H2592,Documents!$A$5:$A$657,0))),"")</f>
        <v>Bioorg Med Chem</v>
      </c>
      <c r="K2592" s="25" t="str">
        <f aca="false">IFERROR(IF(INDEX(Documents!$G$5:$G$657,MATCH(H2592,Documents!$A$5:$A$657,0))="","",INDEX(Documents!$G$5:$G$657,MATCH(H2592,Documents!$A$5:$A$657,0))),"")</f>
        <v>10.1016/j.bmc.2014.11.002</v>
      </c>
      <c r="L2592" s="25" t="s">
        <v>5564</v>
      </c>
    </row>
    <row r="2593" customFormat="false" ht="15" hidden="false" customHeight="false" outlineLevel="0" collapsed="false">
      <c r="A2593" s="25" t="n">
        <v>1968481</v>
      </c>
      <c r="B2593" s="25" t="s">
        <v>5565</v>
      </c>
      <c r="C2593" s="25" t="s">
        <v>5566</v>
      </c>
      <c r="D2593" s="26" t="n">
        <v>5.6</v>
      </c>
      <c r="E2593" s="27" t="n">
        <v>8.2518119729938</v>
      </c>
      <c r="F2593" s="27" t="n">
        <v>8.2518119729938</v>
      </c>
      <c r="G2593" s="25" t="s">
        <v>2433</v>
      </c>
      <c r="H2593" s="25" t="s">
        <v>2434</v>
      </c>
      <c r="I2593" s="25" t="n">
        <f aca="false">IFERROR(IF(INDEX(Documents!$C$5:$C$657,MATCH(H2593,Documents!$A$5:$A$657,0))="","",INDEX(Documents!$C$5:$C$657,MATCH(H2593,Documents!$A$5:$A$657,0))),"")</f>
        <v>2007</v>
      </c>
      <c r="J2593" s="25" t="str">
        <f aca="false">IFERROR(IF(INDEX(Documents!$D$5:$D$657,MATCH(H2593,Documents!$A$5:$A$657,0))="","",INDEX(Documents!$D$5:$D$657,MATCH(H2593,Documents!$A$5:$A$657,0))),"")</f>
        <v>Bioorg Med Chem Lett</v>
      </c>
      <c r="K2593" s="25" t="str">
        <f aca="false">IFERROR(IF(INDEX(Documents!$G$5:$G$657,MATCH(H2593,Documents!$A$5:$A$657,0))="","",INDEX(Documents!$G$5:$G$657,MATCH(H2593,Documents!$A$5:$A$657,0))),"")</f>
        <v>10.1016/j.bmcl.2007.04.059</v>
      </c>
      <c r="L2593" s="25" t="s">
        <v>2435</v>
      </c>
    </row>
    <row r="2594" customFormat="false" ht="15" hidden="false" customHeight="false" outlineLevel="0" collapsed="false">
      <c r="A2594" s="25" t="n">
        <v>1968480</v>
      </c>
      <c r="B2594" s="25" t="s">
        <v>5567</v>
      </c>
      <c r="C2594" s="25" t="s">
        <v>5568</v>
      </c>
      <c r="D2594" s="26" t="n">
        <v>14</v>
      </c>
      <c r="E2594" s="27" t="n">
        <v>7.85387196432176</v>
      </c>
      <c r="F2594" s="27" t="n">
        <v>7.85387196432176</v>
      </c>
      <c r="G2594" s="25" t="s">
        <v>2433</v>
      </c>
      <c r="H2594" s="25" t="s">
        <v>2434</v>
      </c>
      <c r="I2594" s="25" t="n">
        <f aca="false">IFERROR(IF(INDEX(Documents!$C$5:$C$657,MATCH(H2594,Documents!$A$5:$A$657,0))="","",INDEX(Documents!$C$5:$C$657,MATCH(H2594,Documents!$A$5:$A$657,0))),"")</f>
        <v>2007</v>
      </c>
      <c r="J2594" s="25" t="str">
        <f aca="false">IFERROR(IF(INDEX(Documents!$D$5:$D$657,MATCH(H2594,Documents!$A$5:$A$657,0))="","",INDEX(Documents!$D$5:$D$657,MATCH(H2594,Documents!$A$5:$A$657,0))),"")</f>
        <v>Bioorg Med Chem Lett</v>
      </c>
      <c r="K2594" s="25" t="str">
        <f aca="false">IFERROR(IF(INDEX(Documents!$G$5:$G$657,MATCH(H2594,Documents!$A$5:$A$657,0))="","",INDEX(Documents!$G$5:$G$657,MATCH(H2594,Documents!$A$5:$A$657,0))),"")</f>
        <v>10.1016/j.bmcl.2007.04.059</v>
      </c>
      <c r="L2594" s="25" t="s">
        <v>2435</v>
      </c>
    </row>
    <row r="2595" customFormat="false" ht="15" hidden="false" customHeight="false" outlineLevel="0" collapsed="false">
      <c r="A2595" s="25" t="n">
        <v>18703178</v>
      </c>
      <c r="B2595" s="25" t="s">
        <v>5569</v>
      </c>
      <c r="C2595" s="25" t="s">
        <v>5570</v>
      </c>
      <c r="D2595" s="26" t="n">
        <v>200.7</v>
      </c>
      <c r="E2595" s="27" t="n">
        <v>6.69745262751252</v>
      </c>
      <c r="F2595" s="27" t="n">
        <v>6.69745262751252</v>
      </c>
      <c r="G2595" s="25" t="s">
        <v>4522</v>
      </c>
      <c r="H2595" s="25" t="s">
        <v>4523</v>
      </c>
      <c r="I2595" s="25" t="n">
        <f aca="false">IFERROR(IF(INDEX(Documents!$C$5:$C$657,MATCH(H2595,Documents!$A$5:$A$657,0))="","",INDEX(Documents!$C$5:$C$657,MATCH(H2595,Documents!$A$5:$A$657,0))),"")</f>
        <v>2018</v>
      </c>
      <c r="J2595" s="25" t="str">
        <f aca="false">IFERROR(IF(INDEX(Documents!$D$5:$D$657,MATCH(H2595,Documents!$A$5:$A$657,0))="","",INDEX(Documents!$D$5:$D$657,MATCH(H2595,Documents!$A$5:$A$657,0))),"")</f>
        <v>Eur J Med Chem</v>
      </c>
      <c r="K2595" s="25" t="str">
        <f aca="false">IFERROR(IF(INDEX(Documents!$G$5:$G$657,MATCH(H2595,Documents!$A$5:$A$657,0))="","",INDEX(Documents!$G$5:$G$657,MATCH(H2595,Documents!$A$5:$A$657,0))),"")</f>
        <v>10.1016/j.ejmech.2017.11.076</v>
      </c>
      <c r="L2595" s="25" t="s">
        <v>4524</v>
      </c>
    </row>
    <row r="2596" customFormat="false" ht="15" hidden="false" customHeight="false" outlineLevel="0" collapsed="false">
      <c r="A2596" s="25" t="n">
        <v>15078000</v>
      </c>
      <c r="B2596" s="25" t="s">
        <v>5571</v>
      </c>
      <c r="C2596" s="25" t="s">
        <v>5572</v>
      </c>
      <c r="D2596" s="26" t="n">
        <v>27.1</v>
      </c>
      <c r="E2596" s="27" t="n">
        <v>7.5670307091256</v>
      </c>
      <c r="F2596" s="27" t="n">
        <v>7.5670307091256</v>
      </c>
      <c r="G2596" s="25" t="s">
        <v>1662</v>
      </c>
      <c r="H2596" s="25" t="s">
        <v>1663</v>
      </c>
      <c r="I2596" s="25" t="n">
        <f aca="false">IFERROR(IF(INDEX(Documents!$C$5:$C$657,MATCH(H2596,Documents!$A$5:$A$657,0))="","",INDEX(Documents!$C$5:$C$657,MATCH(H2596,Documents!$A$5:$A$657,0))),"")</f>
        <v>2014</v>
      </c>
      <c r="J2596" s="25" t="str">
        <f aca="false">IFERROR(IF(INDEX(Documents!$D$5:$D$657,MATCH(H2596,Documents!$A$5:$A$657,0))="","",INDEX(Documents!$D$5:$D$657,MATCH(H2596,Documents!$A$5:$A$657,0))),"")</f>
        <v>J Med Chem</v>
      </c>
      <c r="K2596" s="25" t="str">
        <f aca="false">IFERROR(IF(INDEX(Documents!$G$5:$G$657,MATCH(H2596,Documents!$A$5:$A$657,0))="","",INDEX(Documents!$G$5:$G$657,MATCH(H2596,Documents!$A$5:$A$657,0))),"")</f>
        <v>10.1021/jm500807e</v>
      </c>
      <c r="L2596" s="25" t="s">
        <v>1664</v>
      </c>
    </row>
    <row r="2597" customFormat="false" ht="15" hidden="false" customHeight="false" outlineLevel="0" collapsed="false">
      <c r="A2597" s="25" t="n">
        <v>13498208</v>
      </c>
      <c r="B2597" s="25" t="s">
        <v>5573</v>
      </c>
      <c r="C2597" s="25" t="s">
        <v>5574</v>
      </c>
      <c r="D2597" s="26" t="n">
        <v>208</v>
      </c>
      <c r="E2597" s="27" t="n">
        <v>6.68193666503724</v>
      </c>
      <c r="F2597" s="27" t="n">
        <v>6.68193666503724</v>
      </c>
      <c r="G2597" s="25" t="s">
        <v>757</v>
      </c>
      <c r="H2597" s="25" t="s">
        <v>758</v>
      </c>
      <c r="I2597" s="25" t="n">
        <f aca="false">IFERROR(IF(INDEX(Documents!$C$5:$C$657,MATCH(H2597,Documents!$A$5:$A$657,0))="","",INDEX(Documents!$C$5:$C$657,MATCH(H2597,Documents!$A$5:$A$657,0))),"")</f>
        <v>2013</v>
      </c>
      <c r="J2597" s="25" t="str">
        <f aca="false">IFERROR(IF(INDEX(Documents!$D$5:$D$657,MATCH(H2597,Documents!$A$5:$A$657,0))="","",INDEX(Documents!$D$5:$D$657,MATCH(H2597,Documents!$A$5:$A$657,0))),"")</f>
        <v>Eur J Med Chem</v>
      </c>
      <c r="K2597" s="25" t="str">
        <f aca="false">IFERROR(IF(INDEX(Documents!$G$5:$G$657,MATCH(H2597,Documents!$A$5:$A$657,0))="","",INDEX(Documents!$G$5:$G$657,MATCH(H2597,Documents!$A$5:$A$657,0))),"")</f>
        <v>10.1016/j.ejmech.2013.09.038</v>
      </c>
      <c r="L2597" s="25" t="s">
        <v>759</v>
      </c>
    </row>
    <row r="2598" customFormat="false" ht="15" hidden="false" customHeight="false" outlineLevel="0" collapsed="false">
      <c r="A2598" s="25" t="n">
        <v>2980591</v>
      </c>
      <c r="B2598" s="25" t="s">
        <v>5575</v>
      </c>
      <c r="C2598" s="25" t="s">
        <v>5576</v>
      </c>
      <c r="D2598" s="26" t="n">
        <v>2.951</v>
      </c>
      <c r="E2598" s="27" t="n">
        <v>8.53003079050004</v>
      </c>
      <c r="F2598" s="27" t="n">
        <v>8.53381639630054</v>
      </c>
      <c r="G2598" s="25" t="s">
        <v>599</v>
      </c>
      <c r="H2598" s="25" t="s">
        <v>600</v>
      </c>
      <c r="I2598" s="25" t="n">
        <f aca="false">IFERROR(IF(INDEX(Documents!$C$5:$C$657,MATCH(H2598,Documents!$A$5:$A$657,0))="","",INDEX(Documents!$C$5:$C$657,MATCH(H2598,Documents!$A$5:$A$657,0))),"")</f>
        <v>2010</v>
      </c>
      <c r="J2598" s="25" t="str">
        <f aca="false">IFERROR(IF(INDEX(Documents!$D$5:$D$657,MATCH(H2598,Documents!$A$5:$A$657,0))="","",INDEX(Documents!$D$5:$D$657,MATCH(H2598,Documents!$A$5:$A$657,0))),"")</f>
        <v>J Med Chem</v>
      </c>
      <c r="K2598" s="25" t="str">
        <f aca="false">IFERROR(IF(INDEX(Documents!$G$5:$G$657,MATCH(H2598,Documents!$A$5:$A$657,0))="","",INDEX(Documents!$G$5:$G$657,MATCH(H2598,Documents!$A$5:$A$657,0))),"")</f>
        <v>10.1021/jm901214q</v>
      </c>
      <c r="L2598" s="25" t="s">
        <v>601</v>
      </c>
    </row>
    <row r="2599" customFormat="false" ht="15" hidden="false" customHeight="false" outlineLevel="0" collapsed="false">
      <c r="A2599" s="25" t="n">
        <v>2980486</v>
      </c>
      <c r="B2599" s="25" t="s">
        <v>5575</v>
      </c>
      <c r="C2599" s="25" t="s">
        <v>5576</v>
      </c>
      <c r="D2599" s="26" t="n">
        <v>2.9</v>
      </c>
      <c r="E2599" s="27" t="n">
        <v>8.53760200210104</v>
      </c>
      <c r="F2599" s="27" t="n">
        <v>8.53381639630054</v>
      </c>
      <c r="G2599" s="25" t="s">
        <v>599</v>
      </c>
      <c r="H2599" s="25" t="s">
        <v>600</v>
      </c>
      <c r="I2599" s="25" t="n">
        <f aca="false">IFERROR(IF(INDEX(Documents!$C$5:$C$657,MATCH(H2599,Documents!$A$5:$A$657,0))="","",INDEX(Documents!$C$5:$C$657,MATCH(H2599,Documents!$A$5:$A$657,0))),"")</f>
        <v>2010</v>
      </c>
      <c r="J2599" s="25" t="str">
        <f aca="false">IFERROR(IF(INDEX(Documents!$D$5:$D$657,MATCH(H2599,Documents!$A$5:$A$657,0))="","",INDEX(Documents!$D$5:$D$657,MATCH(H2599,Documents!$A$5:$A$657,0))),"")</f>
        <v>J Med Chem</v>
      </c>
      <c r="K2599" s="25" t="str">
        <f aca="false">IFERROR(IF(INDEX(Documents!$G$5:$G$657,MATCH(H2599,Documents!$A$5:$A$657,0))="","",INDEX(Documents!$G$5:$G$657,MATCH(H2599,Documents!$A$5:$A$657,0))),"")</f>
        <v>10.1021/jm901214q</v>
      </c>
      <c r="L2599" s="25" t="s">
        <v>601</v>
      </c>
    </row>
    <row r="2600" customFormat="false" ht="15" hidden="false" customHeight="false" outlineLevel="0" collapsed="false">
      <c r="A2600" s="25" t="n">
        <v>2167082</v>
      </c>
      <c r="B2600" s="25" t="s">
        <v>5577</v>
      </c>
      <c r="C2600" s="25" t="s">
        <v>5578</v>
      </c>
      <c r="D2600" s="26" t="n">
        <v>8100</v>
      </c>
      <c r="E2600" s="27" t="n">
        <v>5.09151498112135</v>
      </c>
      <c r="F2600" s="27" t="n">
        <v>5.09151498112135</v>
      </c>
      <c r="G2600" s="25" t="s">
        <v>604</v>
      </c>
      <c r="H2600" s="25" t="s">
        <v>605</v>
      </c>
      <c r="I2600" s="25" t="n">
        <f aca="false">IFERROR(IF(INDEX(Documents!$C$5:$C$657,MATCH(H2600,Documents!$A$5:$A$657,0))="","",INDEX(Documents!$C$5:$C$657,MATCH(H2600,Documents!$A$5:$A$657,0))),"")</f>
        <v>2008</v>
      </c>
      <c r="J2600" s="25" t="str">
        <f aca="false">IFERROR(IF(INDEX(Documents!$D$5:$D$657,MATCH(H2600,Documents!$A$5:$A$657,0))="","",INDEX(Documents!$D$5:$D$657,MATCH(H2600,Documents!$A$5:$A$657,0))),"")</f>
        <v>Bioorg Med Chem Lett</v>
      </c>
      <c r="K2600" s="25" t="str">
        <f aca="false">IFERROR(IF(INDEX(Documents!$G$5:$G$657,MATCH(H2600,Documents!$A$5:$A$657,0))="","",INDEX(Documents!$G$5:$G$657,MATCH(H2600,Documents!$A$5:$A$657,0))),"")</f>
        <v>10.1016/j.bmcl.2008.04.003</v>
      </c>
      <c r="L2600" s="25" t="s">
        <v>606</v>
      </c>
    </row>
    <row r="2601" customFormat="false" ht="15" hidden="false" customHeight="false" outlineLevel="0" collapsed="false">
      <c r="A2601" s="25" t="n">
        <v>15224509</v>
      </c>
      <c r="B2601" s="25" t="s">
        <v>5579</v>
      </c>
      <c r="C2601" s="25" t="s">
        <v>5580</v>
      </c>
      <c r="D2601" s="26" t="n">
        <v>8.4</v>
      </c>
      <c r="E2601" s="27" t="n">
        <v>8.07572071393812</v>
      </c>
      <c r="F2601" s="27" t="n">
        <v>8.07572071393812</v>
      </c>
      <c r="G2601" s="25" t="s">
        <v>1498</v>
      </c>
      <c r="H2601" s="25" t="s">
        <v>1499</v>
      </c>
      <c r="I2601" s="25" t="n">
        <f aca="false">IFERROR(IF(INDEX(Documents!$C$5:$C$657,MATCH(H2601,Documents!$A$5:$A$657,0))="","",INDEX(Documents!$C$5:$C$657,MATCH(H2601,Documents!$A$5:$A$657,0))),"")</f>
        <v>2015</v>
      </c>
      <c r="J2601" s="25" t="str">
        <f aca="false">IFERROR(IF(INDEX(Documents!$D$5:$D$657,MATCH(H2601,Documents!$A$5:$A$657,0))="","",INDEX(Documents!$D$5:$D$657,MATCH(H2601,Documents!$A$5:$A$657,0))),"")</f>
        <v>J Med Chem</v>
      </c>
      <c r="K2601" s="25" t="str">
        <f aca="false">IFERROR(IF(INDEX(Documents!$G$5:$G$657,MATCH(H2601,Documents!$A$5:$A$657,0))="","",INDEX(Documents!$G$5:$G$657,MATCH(H2601,Documents!$A$5:$A$657,0))),"")</f>
        <v>10.1021/jm501960u</v>
      </c>
      <c r="L2601" s="25" t="s">
        <v>1500</v>
      </c>
    </row>
    <row r="2602" customFormat="false" ht="15" hidden="false" customHeight="false" outlineLevel="0" collapsed="false">
      <c r="A2602" s="25" t="n">
        <v>18936404</v>
      </c>
      <c r="B2602" s="25" t="s">
        <v>5581</v>
      </c>
      <c r="C2602" s="25" t="s">
        <v>5582</v>
      </c>
      <c r="D2602" s="26" t="n">
        <v>2141.79</v>
      </c>
      <c r="E2602" s="27" t="n">
        <v>5.66922311348183</v>
      </c>
      <c r="F2602" s="27" t="n">
        <v>5.66922311348183</v>
      </c>
      <c r="G2602" s="25" t="s">
        <v>3162</v>
      </c>
      <c r="H2602" s="25" t="s">
        <v>3163</v>
      </c>
      <c r="I2602" s="25" t="n">
        <f aca="false">IFERROR(IF(INDEX(Documents!$C$5:$C$657,MATCH(H2602,Documents!$A$5:$A$657,0))="","",INDEX(Documents!$C$5:$C$657,MATCH(H2602,Documents!$A$5:$A$657,0))),"")</f>
        <v>2019</v>
      </c>
      <c r="J2602" s="25" t="str">
        <f aca="false">IFERROR(IF(INDEX(Documents!$D$5:$D$657,MATCH(H2602,Documents!$A$5:$A$657,0))="","",INDEX(Documents!$D$5:$D$657,MATCH(H2602,Documents!$A$5:$A$657,0))),"")</f>
        <v>Eur J Med Chem</v>
      </c>
      <c r="K2602" s="25" t="str">
        <f aca="false">IFERROR(IF(INDEX(Documents!$G$5:$G$657,MATCH(H2602,Documents!$A$5:$A$657,0))="","",INDEX(Documents!$G$5:$G$657,MATCH(H2602,Documents!$A$5:$A$657,0))),"")</f>
        <v>10.1016/j.ejmech.2018.09.070</v>
      </c>
      <c r="L2602" s="25" t="s">
        <v>3164</v>
      </c>
    </row>
    <row r="2603" customFormat="false" ht="15" hidden="false" customHeight="false" outlineLevel="0" collapsed="false">
      <c r="A2603" s="25" t="n">
        <v>18936396</v>
      </c>
      <c r="B2603" s="25" t="s">
        <v>5583</v>
      </c>
      <c r="C2603" s="25" t="s">
        <v>5584</v>
      </c>
      <c r="D2603" s="26" t="n">
        <v>35</v>
      </c>
      <c r="E2603" s="27" t="n">
        <v>7.45593195564972</v>
      </c>
      <c r="F2603" s="27" t="n">
        <v>7.45593195564972</v>
      </c>
      <c r="G2603" s="25" t="s">
        <v>3162</v>
      </c>
      <c r="H2603" s="25" t="s">
        <v>3163</v>
      </c>
      <c r="I2603" s="25" t="n">
        <f aca="false">IFERROR(IF(INDEX(Documents!$C$5:$C$657,MATCH(H2603,Documents!$A$5:$A$657,0))="","",INDEX(Documents!$C$5:$C$657,MATCH(H2603,Documents!$A$5:$A$657,0))),"")</f>
        <v>2019</v>
      </c>
      <c r="J2603" s="25" t="str">
        <f aca="false">IFERROR(IF(INDEX(Documents!$D$5:$D$657,MATCH(H2603,Documents!$A$5:$A$657,0))="","",INDEX(Documents!$D$5:$D$657,MATCH(H2603,Documents!$A$5:$A$657,0))),"")</f>
        <v>Eur J Med Chem</v>
      </c>
      <c r="K2603" s="25" t="str">
        <f aca="false">IFERROR(IF(INDEX(Documents!$G$5:$G$657,MATCH(H2603,Documents!$A$5:$A$657,0))="","",INDEX(Documents!$G$5:$G$657,MATCH(H2603,Documents!$A$5:$A$657,0))),"")</f>
        <v>10.1016/j.ejmech.2018.09.070</v>
      </c>
      <c r="L2603" s="25" t="s">
        <v>3164</v>
      </c>
    </row>
    <row r="2604" customFormat="false" ht="15" hidden="false" customHeight="false" outlineLevel="0" collapsed="false">
      <c r="A2604" s="25" t="n">
        <v>18936407</v>
      </c>
      <c r="B2604" s="25" t="s">
        <v>5585</v>
      </c>
      <c r="C2604" s="25" t="s">
        <v>5586</v>
      </c>
      <c r="D2604" s="26" t="n">
        <v>64.72</v>
      </c>
      <c r="E2604" s="27" t="n">
        <v>7.18896149139578</v>
      </c>
      <c r="F2604" s="27" t="n">
        <v>7.18896149139578</v>
      </c>
      <c r="G2604" s="25" t="s">
        <v>3162</v>
      </c>
      <c r="H2604" s="25" t="s">
        <v>3163</v>
      </c>
      <c r="I2604" s="25" t="n">
        <f aca="false">IFERROR(IF(INDEX(Documents!$C$5:$C$657,MATCH(H2604,Documents!$A$5:$A$657,0))="","",INDEX(Documents!$C$5:$C$657,MATCH(H2604,Documents!$A$5:$A$657,0))),"")</f>
        <v>2019</v>
      </c>
      <c r="J2604" s="25" t="str">
        <f aca="false">IFERROR(IF(INDEX(Documents!$D$5:$D$657,MATCH(H2604,Documents!$A$5:$A$657,0))="","",INDEX(Documents!$D$5:$D$657,MATCH(H2604,Documents!$A$5:$A$657,0))),"")</f>
        <v>Eur J Med Chem</v>
      </c>
      <c r="K2604" s="25" t="str">
        <f aca="false">IFERROR(IF(INDEX(Documents!$G$5:$G$657,MATCH(H2604,Documents!$A$5:$A$657,0))="","",INDEX(Documents!$G$5:$G$657,MATCH(H2604,Documents!$A$5:$A$657,0))),"")</f>
        <v>10.1016/j.ejmech.2018.09.070</v>
      </c>
      <c r="L2604" s="25" t="s">
        <v>3164</v>
      </c>
    </row>
    <row r="2605" customFormat="false" ht="15" hidden="false" customHeight="false" outlineLevel="0" collapsed="false">
      <c r="A2605" s="25" t="n">
        <v>18936405</v>
      </c>
      <c r="B2605" s="25" t="s">
        <v>5587</v>
      </c>
      <c r="C2605" s="25" t="s">
        <v>5588</v>
      </c>
      <c r="D2605" s="26" t="n">
        <v>1081.88</v>
      </c>
      <c r="E2605" s="27" t="n">
        <v>5.96582090764718</v>
      </c>
      <c r="F2605" s="27" t="n">
        <v>5.96582090764718</v>
      </c>
      <c r="G2605" s="25" t="s">
        <v>3162</v>
      </c>
      <c r="H2605" s="25" t="s">
        <v>3163</v>
      </c>
      <c r="I2605" s="25" t="n">
        <f aca="false">IFERROR(IF(INDEX(Documents!$C$5:$C$657,MATCH(H2605,Documents!$A$5:$A$657,0))="","",INDEX(Documents!$C$5:$C$657,MATCH(H2605,Documents!$A$5:$A$657,0))),"")</f>
        <v>2019</v>
      </c>
      <c r="J2605" s="25" t="str">
        <f aca="false">IFERROR(IF(INDEX(Documents!$D$5:$D$657,MATCH(H2605,Documents!$A$5:$A$657,0))="","",INDEX(Documents!$D$5:$D$657,MATCH(H2605,Documents!$A$5:$A$657,0))),"")</f>
        <v>Eur J Med Chem</v>
      </c>
      <c r="K2605" s="25" t="str">
        <f aca="false">IFERROR(IF(INDEX(Documents!$G$5:$G$657,MATCH(H2605,Documents!$A$5:$A$657,0))="","",INDEX(Documents!$G$5:$G$657,MATCH(H2605,Documents!$A$5:$A$657,0))),"")</f>
        <v>10.1016/j.ejmech.2018.09.070</v>
      </c>
      <c r="L2605" s="25" t="s">
        <v>3164</v>
      </c>
    </row>
    <row r="2606" customFormat="false" ht="15" hidden="false" customHeight="false" outlineLevel="0" collapsed="false">
      <c r="A2606" s="25" t="n">
        <v>18936364</v>
      </c>
      <c r="B2606" s="25" t="s">
        <v>5589</v>
      </c>
      <c r="C2606" s="25" t="s">
        <v>5590</v>
      </c>
      <c r="D2606" s="26" t="n">
        <v>9.24</v>
      </c>
      <c r="E2606" s="27" t="n">
        <v>8.03432802877989</v>
      </c>
      <c r="F2606" s="27" t="n">
        <v>8.03432802877989</v>
      </c>
      <c r="G2606" s="25" t="s">
        <v>3162</v>
      </c>
      <c r="H2606" s="25" t="s">
        <v>3163</v>
      </c>
      <c r="I2606" s="25" t="n">
        <f aca="false">IFERROR(IF(INDEX(Documents!$C$5:$C$657,MATCH(H2606,Documents!$A$5:$A$657,0))="","",INDEX(Documents!$C$5:$C$657,MATCH(H2606,Documents!$A$5:$A$657,0))),"")</f>
        <v>2019</v>
      </c>
      <c r="J2606" s="25" t="str">
        <f aca="false">IFERROR(IF(INDEX(Documents!$D$5:$D$657,MATCH(H2606,Documents!$A$5:$A$657,0))="","",INDEX(Documents!$D$5:$D$657,MATCH(H2606,Documents!$A$5:$A$657,0))),"")</f>
        <v>Eur J Med Chem</v>
      </c>
      <c r="K2606" s="25" t="str">
        <f aca="false">IFERROR(IF(INDEX(Documents!$G$5:$G$657,MATCH(H2606,Documents!$A$5:$A$657,0))="","",INDEX(Documents!$G$5:$G$657,MATCH(H2606,Documents!$A$5:$A$657,0))),"")</f>
        <v>10.1016/j.ejmech.2018.09.070</v>
      </c>
      <c r="L2606" s="25" t="s">
        <v>3164</v>
      </c>
    </row>
    <row r="2607" customFormat="false" ht="15" hidden="false" customHeight="false" outlineLevel="0" collapsed="false">
      <c r="A2607" s="25" t="n">
        <v>18936398</v>
      </c>
      <c r="B2607" s="25" t="s">
        <v>5591</v>
      </c>
      <c r="C2607" s="25" t="s">
        <v>5592</v>
      </c>
      <c r="D2607" s="26" t="n">
        <v>5.08</v>
      </c>
      <c r="E2607" s="27" t="n">
        <v>8.29413628771608</v>
      </c>
      <c r="F2607" s="27" t="n">
        <v>8.29413628771608</v>
      </c>
      <c r="G2607" s="25" t="s">
        <v>3162</v>
      </c>
      <c r="H2607" s="25" t="s">
        <v>3163</v>
      </c>
      <c r="I2607" s="25" t="n">
        <f aca="false">IFERROR(IF(INDEX(Documents!$C$5:$C$657,MATCH(H2607,Documents!$A$5:$A$657,0))="","",INDEX(Documents!$C$5:$C$657,MATCH(H2607,Documents!$A$5:$A$657,0))),"")</f>
        <v>2019</v>
      </c>
      <c r="J2607" s="25" t="str">
        <f aca="false">IFERROR(IF(INDEX(Documents!$D$5:$D$657,MATCH(H2607,Documents!$A$5:$A$657,0))="","",INDEX(Documents!$D$5:$D$657,MATCH(H2607,Documents!$A$5:$A$657,0))),"")</f>
        <v>Eur J Med Chem</v>
      </c>
      <c r="K2607" s="25" t="str">
        <f aca="false">IFERROR(IF(INDEX(Documents!$G$5:$G$657,MATCH(H2607,Documents!$A$5:$A$657,0))="","",INDEX(Documents!$G$5:$G$657,MATCH(H2607,Documents!$A$5:$A$657,0))),"")</f>
        <v>10.1016/j.ejmech.2018.09.070</v>
      </c>
      <c r="L2607" s="25" t="s">
        <v>3164</v>
      </c>
    </row>
    <row r="2608" customFormat="false" ht="15" hidden="false" customHeight="false" outlineLevel="0" collapsed="false">
      <c r="A2608" s="25" t="n">
        <v>18936400</v>
      </c>
      <c r="B2608" s="25" t="s">
        <v>5593</v>
      </c>
      <c r="C2608" s="25" t="s">
        <v>5594</v>
      </c>
      <c r="D2608" s="26" t="n">
        <v>1673.74</v>
      </c>
      <c r="E2608" s="27" t="n">
        <v>5.77631200472694</v>
      </c>
      <c r="F2608" s="27" t="n">
        <v>5.77631200472694</v>
      </c>
      <c r="G2608" s="25" t="s">
        <v>3162</v>
      </c>
      <c r="H2608" s="25" t="s">
        <v>3163</v>
      </c>
      <c r="I2608" s="25" t="n">
        <f aca="false">IFERROR(IF(INDEX(Documents!$C$5:$C$657,MATCH(H2608,Documents!$A$5:$A$657,0))="","",INDEX(Documents!$C$5:$C$657,MATCH(H2608,Documents!$A$5:$A$657,0))),"")</f>
        <v>2019</v>
      </c>
      <c r="J2608" s="25" t="str">
        <f aca="false">IFERROR(IF(INDEX(Documents!$D$5:$D$657,MATCH(H2608,Documents!$A$5:$A$657,0))="","",INDEX(Documents!$D$5:$D$657,MATCH(H2608,Documents!$A$5:$A$657,0))),"")</f>
        <v>Eur J Med Chem</v>
      </c>
      <c r="K2608" s="25" t="str">
        <f aca="false">IFERROR(IF(INDEX(Documents!$G$5:$G$657,MATCH(H2608,Documents!$A$5:$A$657,0))="","",INDEX(Documents!$G$5:$G$657,MATCH(H2608,Documents!$A$5:$A$657,0))),"")</f>
        <v>10.1016/j.ejmech.2018.09.070</v>
      </c>
      <c r="L2608" s="25" t="s">
        <v>3164</v>
      </c>
    </row>
    <row r="2609" customFormat="false" ht="15" hidden="false" customHeight="false" outlineLevel="0" collapsed="false">
      <c r="A2609" s="25" t="n">
        <v>18936399</v>
      </c>
      <c r="B2609" s="25" t="s">
        <v>5595</v>
      </c>
      <c r="C2609" s="25" t="s">
        <v>5596</v>
      </c>
      <c r="D2609" s="26" t="n">
        <v>50.7</v>
      </c>
      <c r="E2609" s="27" t="n">
        <v>7.29499204066666</v>
      </c>
      <c r="F2609" s="27" t="n">
        <v>7.29499204066666</v>
      </c>
      <c r="G2609" s="25" t="s">
        <v>3162</v>
      </c>
      <c r="H2609" s="25" t="s">
        <v>3163</v>
      </c>
      <c r="I2609" s="25" t="n">
        <f aca="false">IFERROR(IF(INDEX(Documents!$C$5:$C$657,MATCH(H2609,Documents!$A$5:$A$657,0))="","",INDEX(Documents!$C$5:$C$657,MATCH(H2609,Documents!$A$5:$A$657,0))),"")</f>
        <v>2019</v>
      </c>
      <c r="J2609" s="25" t="str">
        <f aca="false">IFERROR(IF(INDEX(Documents!$D$5:$D$657,MATCH(H2609,Documents!$A$5:$A$657,0))="","",INDEX(Documents!$D$5:$D$657,MATCH(H2609,Documents!$A$5:$A$657,0))),"")</f>
        <v>Eur J Med Chem</v>
      </c>
      <c r="K2609" s="25" t="str">
        <f aca="false">IFERROR(IF(INDEX(Documents!$G$5:$G$657,MATCH(H2609,Documents!$A$5:$A$657,0))="","",INDEX(Documents!$G$5:$G$657,MATCH(H2609,Documents!$A$5:$A$657,0))),"")</f>
        <v>10.1016/j.ejmech.2018.09.070</v>
      </c>
      <c r="L2609" s="25" t="s">
        <v>3164</v>
      </c>
    </row>
    <row r="2610" customFormat="false" ht="15" hidden="false" customHeight="false" outlineLevel="0" collapsed="false">
      <c r="A2610" s="25" t="n">
        <v>18138857</v>
      </c>
      <c r="B2610" s="25" t="s">
        <v>5597</v>
      </c>
      <c r="C2610" s="25" t="s">
        <v>5598</v>
      </c>
      <c r="D2610" s="26" t="n">
        <v>3.3</v>
      </c>
      <c r="E2610" s="27" t="n">
        <v>8.48148606012211</v>
      </c>
      <c r="F2610" s="27" t="n">
        <v>8.48148606012211</v>
      </c>
      <c r="G2610" s="25" t="s">
        <v>4579</v>
      </c>
      <c r="H2610" s="25" t="s">
        <v>3360</v>
      </c>
      <c r="I2610" s="25" t="n">
        <f aca="false">IFERROR(IF(INDEX(Documents!$C$5:$C$657,MATCH(H2610,Documents!$A$5:$A$657,0))="","",INDEX(Documents!$C$5:$C$657,MATCH(H2610,Documents!$A$5:$A$657,0))),"")</f>
        <v>2017</v>
      </c>
      <c r="J2610" s="25" t="str">
        <f aca="false">IFERROR(IF(INDEX(Documents!$D$5:$D$657,MATCH(H2610,Documents!$A$5:$A$657,0))="","",INDEX(Documents!$D$5:$D$657,MATCH(H2610,Documents!$A$5:$A$657,0))),"")</f>
        <v>J Med Chem</v>
      </c>
      <c r="K2610" s="25" t="str">
        <f aca="false">IFERROR(IF(INDEX(Documents!$G$5:$G$657,MATCH(H2610,Documents!$A$5:$A$657,0))="","",INDEX(Documents!$G$5:$G$657,MATCH(H2610,Documents!$A$5:$A$657,0))),"")</f>
        <v>10.1021/acs.jmedchem.7b00155</v>
      </c>
      <c r="L2610" s="25" t="s">
        <v>1359</v>
      </c>
    </row>
    <row r="2611" customFormat="false" ht="15" hidden="false" customHeight="false" outlineLevel="0" collapsed="false">
      <c r="A2611" s="25" t="n">
        <v>24868287</v>
      </c>
      <c r="B2611" s="25" t="s">
        <v>5599</v>
      </c>
      <c r="C2611" s="25" t="s">
        <v>5598</v>
      </c>
      <c r="D2611" s="26" t="n">
        <v>3.3</v>
      </c>
      <c r="E2611" s="27" t="n">
        <v>8.48148606012211</v>
      </c>
      <c r="F2611" s="27" t="n">
        <v>8.48148606012211</v>
      </c>
      <c r="G2611" s="25" t="s">
        <v>5600</v>
      </c>
      <c r="H2611" s="25" t="s">
        <v>4116</v>
      </c>
      <c r="I2611" s="25" t="n">
        <f aca="false">IFERROR(IF(INDEX(Documents!$C$5:$C$657,MATCH(H2611,Documents!$A$5:$A$657,0))="","",INDEX(Documents!$C$5:$C$657,MATCH(H2611,Documents!$A$5:$A$657,0))),"")</f>
        <v>2021</v>
      </c>
      <c r="J2611" s="25" t="str">
        <f aca="false">IFERROR(IF(INDEX(Documents!$D$5:$D$657,MATCH(H2611,Documents!$A$5:$A$657,0))="","",INDEX(Documents!$D$5:$D$657,MATCH(H2611,Documents!$A$5:$A$657,0))),"")</f>
        <v>J Med Chem</v>
      </c>
      <c r="K2611" s="25" t="str">
        <f aca="false">IFERROR(IF(INDEX(Documents!$G$5:$G$657,MATCH(H2611,Documents!$A$5:$A$657,0))="","",INDEX(Documents!$G$5:$G$657,MATCH(H2611,Documents!$A$5:$A$657,0))),"")</f>
        <v>10.1021/acs.jmedchem.1c01571</v>
      </c>
      <c r="L2611" s="25" t="s">
        <v>5601</v>
      </c>
    </row>
    <row r="2612" customFormat="false" ht="15" hidden="false" customHeight="false" outlineLevel="0" collapsed="false">
      <c r="A2612" s="25" t="n">
        <v>18936410</v>
      </c>
      <c r="B2612" s="25" t="s">
        <v>5602</v>
      </c>
      <c r="C2612" s="25" t="s">
        <v>5603</v>
      </c>
      <c r="D2612" s="26" t="n">
        <v>195.7</v>
      </c>
      <c r="E2612" s="27" t="n">
        <v>6.708409174342</v>
      </c>
      <c r="F2612" s="27" t="n">
        <v>6.708409174342</v>
      </c>
      <c r="G2612" s="25" t="s">
        <v>3162</v>
      </c>
      <c r="H2612" s="25" t="s">
        <v>3163</v>
      </c>
      <c r="I2612" s="25" t="n">
        <f aca="false">IFERROR(IF(INDEX(Documents!$C$5:$C$657,MATCH(H2612,Documents!$A$5:$A$657,0))="","",INDEX(Documents!$C$5:$C$657,MATCH(H2612,Documents!$A$5:$A$657,0))),"")</f>
        <v>2019</v>
      </c>
      <c r="J2612" s="25" t="str">
        <f aca="false">IFERROR(IF(INDEX(Documents!$D$5:$D$657,MATCH(H2612,Documents!$A$5:$A$657,0))="","",INDEX(Documents!$D$5:$D$657,MATCH(H2612,Documents!$A$5:$A$657,0))),"")</f>
        <v>Eur J Med Chem</v>
      </c>
      <c r="K2612" s="25" t="str">
        <f aca="false">IFERROR(IF(INDEX(Documents!$G$5:$G$657,MATCH(H2612,Documents!$A$5:$A$657,0))="","",INDEX(Documents!$G$5:$G$657,MATCH(H2612,Documents!$A$5:$A$657,0))),"")</f>
        <v>10.1016/j.ejmech.2018.09.070</v>
      </c>
      <c r="L2612" s="25" t="s">
        <v>3164</v>
      </c>
    </row>
    <row r="2613" customFormat="false" ht="15" hidden="false" customHeight="false" outlineLevel="0" collapsed="false">
      <c r="A2613" s="25" t="n">
        <v>18936409</v>
      </c>
      <c r="B2613" s="25" t="s">
        <v>5604</v>
      </c>
      <c r="C2613" s="25" t="s">
        <v>5605</v>
      </c>
      <c r="D2613" s="26" t="n">
        <v>2494.08</v>
      </c>
      <c r="E2613" s="27" t="n">
        <v>5.60308962022342</v>
      </c>
      <c r="F2613" s="27" t="n">
        <v>5.60308962022342</v>
      </c>
      <c r="G2613" s="25" t="s">
        <v>3162</v>
      </c>
      <c r="H2613" s="25" t="s">
        <v>3163</v>
      </c>
      <c r="I2613" s="25" t="n">
        <f aca="false">IFERROR(IF(INDEX(Documents!$C$5:$C$657,MATCH(H2613,Documents!$A$5:$A$657,0))="","",INDEX(Documents!$C$5:$C$657,MATCH(H2613,Documents!$A$5:$A$657,0))),"")</f>
        <v>2019</v>
      </c>
      <c r="J2613" s="25" t="str">
        <f aca="false">IFERROR(IF(INDEX(Documents!$D$5:$D$657,MATCH(H2613,Documents!$A$5:$A$657,0))="","",INDEX(Documents!$D$5:$D$657,MATCH(H2613,Documents!$A$5:$A$657,0))),"")</f>
        <v>Eur J Med Chem</v>
      </c>
      <c r="K2613" s="25" t="str">
        <f aca="false">IFERROR(IF(INDEX(Documents!$G$5:$G$657,MATCH(H2613,Documents!$A$5:$A$657,0))="","",INDEX(Documents!$G$5:$G$657,MATCH(H2613,Documents!$A$5:$A$657,0))),"")</f>
        <v>10.1016/j.ejmech.2018.09.070</v>
      </c>
      <c r="L2613" s="25" t="s">
        <v>3164</v>
      </c>
    </row>
    <row r="2614" customFormat="false" ht="15" hidden="false" customHeight="false" outlineLevel="0" collapsed="false">
      <c r="A2614" s="25" t="n">
        <v>18936408</v>
      </c>
      <c r="B2614" s="25" t="s">
        <v>5606</v>
      </c>
      <c r="C2614" s="25" t="s">
        <v>5607</v>
      </c>
      <c r="D2614" s="26" t="n">
        <v>20.97</v>
      </c>
      <c r="E2614" s="27" t="n">
        <v>7.67840156953466</v>
      </c>
      <c r="F2614" s="27" t="n">
        <v>7.67840156953466</v>
      </c>
      <c r="G2614" s="25" t="s">
        <v>3162</v>
      </c>
      <c r="H2614" s="25" t="s">
        <v>3163</v>
      </c>
      <c r="I2614" s="25" t="n">
        <f aca="false">IFERROR(IF(INDEX(Documents!$C$5:$C$657,MATCH(H2614,Documents!$A$5:$A$657,0))="","",INDEX(Documents!$C$5:$C$657,MATCH(H2614,Documents!$A$5:$A$657,0))),"")</f>
        <v>2019</v>
      </c>
      <c r="J2614" s="25" t="str">
        <f aca="false">IFERROR(IF(INDEX(Documents!$D$5:$D$657,MATCH(H2614,Documents!$A$5:$A$657,0))="","",INDEX(Documents!$D$5:$D$657,MATCH(H2614,Documents!$A$5:$A$657,0))),"")</f>
        <v>Eur J Med Chem</v>
      </c>
      <c r="K2614" s="25" t="str">
        <f aca="false">IFERROR(IF(INDEX(Documents!$G$5:$G$657,MATCH(H2614,Documents!$A$5:$A$657,0))="","",INDEX(Documents!$G$5:$G$657,MATCH(H2614,Documents!$A$5:$A$657,0))),"")</f>
        <v>10.1016/j.ejmech.2018.09.070</v>
      </c>
      <c r="L2614" s="25" t="s">
        <v>3164</v>
      </c>
    </row>
    <row r="2615" customFormat="false" ht="15" hidden="false" customHeight="false" outlineLevel="0" collapsed="false">
      <c r="A2615" s="25" t="n">
        <v>18936411</v>
      </c>
      <c r="B2615" s="25" t="s">
        <v>5608</v>
      </c>
      <c r="C2615" s="25" t="s">
        <v>5609</v>
      </c>
      <c r="D2615" s="26" t="n">
        <v>244.06</v>
      </c>
      <c r="E2615" s="27" t="n">
        <v>6.61250339306444</v>
      </c>
      <c r="F2615" s="27" t="n">
        <v>6.61250339306444</v>
      </c>
      <c r="G2615" s="25" t="s">
        <v>3162</v>
      </c>
      <c r="H2615" s="25" t="s">
        <v>3163</v>
      </c>
      <c r="I2615" s="25" t="n">
        <f aca="false">IFERROR(IF(INDEX(Documents!$C$5:$C$657,MATCH(H2615,Documents!$A$5:$A$657,0))="","",INDEX(Documents!$C$5:$C$657,MATCH(H2615,Documents!$A$5:$A$657,0))),"")</f>
        <v>2019</v>
      </c>
      <c r="J2615" s="25" t="str">
        <f aca="false">IFERROR(IF(INDEX(Documents!$D$5:$D$657,MATCH(H2615,Documents!$A$5:$A$657,0))="","",INDEX(Documents!$D$5:$D$657,MATCH(H2615,Documents!$A$5:$A$657,0))),"")</f>
        <v>Eur J Med Chem</v>
      </c>
      <c r="K2615" s="25" t="str">
        <f aca="false">IFERROR(IF(INDEX(Documents!$G$5:$G$657,MATCH(H2615,Documents!$A$5:$A$657,0))="","",INDEX(Documents!$G$5:$G$657,MATCH(H2615,Documents!$A$5:$A$657,0))),"")</f>
        <v>10.1016/j.ejmech.2018.09.070</v>
      </c>
      <c r="L2615" s="25" t="s">
        <v>3164</v>
      </c>
    </row>
    <row r="2616" customFormat="false" ht="15" hidden="false" customHeight="false" outlineLevel="0" collapsed="false">
      <c r="A2616" s="25" t="n">
        <v>18936365</v>
      </c>
      <c r="B2616" s="25" t="s">
        <v>5610</v>
      </c>
      <c r="C2616" s="25" t="s">
        <v>5611</v>
      </c>
      <c r="D2616" s="26" t="n">
        <v>6.48</v>
      </c>
      <c r="E2616" s="27" t="n">
        <v>8.18842499412941</v>
      </c>
      <c r="F2616" s="27" t="n">
        <v>8.18842499412941</v>
      </c>
      <c r="G2616" s="25" t="s">
        <v>3162</v>
      </c>
      <c r="H2616" s="25" t="s">
        <v>3163</v>
      </c>
      <c r="I2616" s="25" t="n">
        <f aca="false">IFERROR(IF(INDEX(Documents!$C$5:$C$657,MATCH(H2616,Documents!$A$5:$A$657,0))="","",INDEX(Documents!$C$5:$C$657,MATCH(H2616,Documents!$A$5:$A$657,0))),"")</f>
        <v>2019</v>
      </c>
      <c r="J2616" s="25" t="str">
        <f aca="false">IFERROR(IF(INDEX(Documents!$D$5:$D$657,MATCH(H2616,Documents!$A$5:$A$657,0))="","",INDEX(Documents!$D$5:$D$657,MATCH(H2616,Documents!$A$5:$A$657,0))),"")</f>
        <v>Eur J Med Chem</v>
      </c>
      <c r="K2616" s="25" t="str">
        <f aca="false">IFERROR(IF(INDEX(Documents!$G$5:$G$657,MATCH(H2616,Documents!$A$5:$A$657,0))="","",INDEX(Documents!$G$5:$G$657,MATCH(H2616,Documents!$A$5:$A$657,0))),"")</f>
        <v>10.1016/j.ejmech.2018.09.070</v>
      </c>
      <c r="L2616" s="25" t="s">
        <v>3164</v>
      </c>
    </row>
    <row r="2617" customFormat="false" ht="15" hidden="false" customHeight="false" outlineLevel="0" collapsed="false">
      <c r="A2617" s="25" t="n">
        <v>18936367</v>
      </c>
      <c r="B2617" s="25" t="s">
        <v>5612</v>
      </c>
      <c r="C2617" s="25" t="s">
        <v>5613</v>
      </c>
      <c r="D2617" s="26" t="n">
        <v>23.09</v>
      </c>
      <c r="E2617" s="27" t="n">
        <v>7.63657606708282</v>
      </c>
      <c r="F2617" s="27" t="n">
        <v>7.63657606708282</v>
      </c>
      <c r="G2617" s="25" t="s">
        <v>3162</v>
      </c>
      <c r="H2617" s="25" t="s">
        <v>3163</v>
      </c>
      <c r="I2617" s="25" t="n">
        <f aca="false">IFERROR(IF(INDEX(Documents!$C$5:$C$657,MATCH(H2617,Documents!$A$5:$A$657,0))="","",INDEX(Documents!$C$5:$C$657,MATCH(H2617,Documents!$A$5:$A$657,0))),"")</f>
        <v>2019</v>
      </c>
      <c r="J2617" s="25" t="str">
        <f aca="false">IFERROR(IF(INDEX(Documents!$D$5:$D$657,MATCH(H2617,Documents!$A$5:$A$657,0))="","",INDEX(Documents!$D$5:$D$657,MATCH(H2617,Documents!$A$5:$A$657,0))),"")</f>
        <v>Eur J Med Chem</v>
      </c>
      <c r="K2617" s="25" t="str">
        <f aca="false">IFERROR(IF(INDEX(Documents!$G$5:$G$657,MATCH(H2617,Documents!$A$5:$A$657,0))="","",INDEX(Documents!$G$5:$G$657,MATCH(H2617,Documents!$A$5:$A$657,0))),"")</f>
        <v>10.1016/j.ejmech.2018.09.070</v>
      </c>
      <c r="L2617" s="25" t="s">
        <v>3164</v>
      </c>
    </row>
    <row r="2618" customFormat="false" ht="15" hidden="false" customHeight="false" outlineLevel="0" collapsed="false">
      <c r="A2618" s="25" t="n">
        <v>1911803</v>
      </c>
      <c r="B2618" s="25" t="s">
        <v>5614</v>
      </c>
      <c r="C2618" s="25" t="s">
        <v>5615</v>
      </c>
      <c r="D2618" s="26" t="n">
        <v>4500</v>
      </c>
      <c r="E2618" s="27" t="n">
        <v>5.34678748622466</v>
      </c>
      <c r="F2618" s="27" t="n">
        <v>5.34678748622466</v>
      </c>
      <c r="G2618" s="25" t="s">
        <v>2868</v>
      </c>
      <c r="H2618" s="25" t="s">
        <v>2869</v>
      </c>
      <c r="I2618" s="25" t="n">
        <f aca="false">IFERROR(IF(INDEX(Documents!$C$5:$C$657,MATCH(H2618,Documents!$A$5:$A$657,0))="","",INDEX(Documents!$C$5:$C$657,MATCH(H2618,Documents!$A$5:$A$657,0))),"")</f>
        <v>2007</v>
      </c>
      <c r="J2618" s="25" t="str">
        <f aca="false">IFERROR(IF(INDEX(Documents!$D$5:$D$657,MATCH(H2618,Documents!$A$5:$A$657,0))="","",INDEX(Documents!$D$5:$D$657,MATCH(H2618,Documents!$A$5:$A$657,0))),"")</f>
        <v>Bioorg Med Chem Lett</v>
      </c>
      <c r="K2618" s="25" t="str">
        <f aca="false">IFERROR(IF(INDEX(Documents!$G$5:$G$657,MATCH(H2618,Documents!$A$5:$A$657,0))="","",INDEX(Documents!$G$5:$G$657,MATCH(H2618,Documents!$A$5:$A$657,0))),"")</f>
        <v>10.1016/j.bmcl.2007.06.055</v>
      </c>
      <c r="L2618" s="25" t="s">
        <v>775</v>
      </c>
    </row>
    <row r="2619" customFormat="false" ht="15" hidden="false" customHeight="false" outlineLevel="0" collapsed="false">
      <c r="A2619" s="25" t="n">
        <v>1911795</v>
      </c>
      <c r="B2619" s="25" t="s">
        <v>5616</v>
      </c>
      <c r="C2619" s="25" t="s">
        <v>5617</v>
      </c>
      <c r="D2619" s="26" t="n">
        <v>6400</v>
      </c>
      <c r="E2619" s="27" t="n">
        <v>5.19382002601611</v>
      </c>
      <c r="F2619" s="27" t="n">
        <v>5.19382002601611</v>
      </c>
      <c r="G2619" s="25" t="s">
        <v>2868</v>
      </c>
      <c r="H2619" s="25" t="s">
        <v>2869</v>
      </c>
      <c r="I2619" s="25" t="n">
        <f aca="false">IFERROR(IF(INDEX(Documents!$C$5:$C$657,MATCH(H2619,Documents!$A$5:$A$657,0))="","",INDEX(Documents!$C$5:$C$657,MATCH(H2619,Documents!$A$5:$A$657,0))),"")</f>
        <v>2007</v>
      </c>
      <c r="J2619" s="25" t="str">
        <f aca="false">IFERROR(IF(INDEX(Documents!$D$5:$D$657,MATCH(H2619,Documents!$A$5:$A$657,0))="","",INDEX(Documents!$D$5:$D$657,MATCH(H2619,Documents!$A$5:$A$657,0))),"")</f>
        <v>Bioorg Med Chem Lett</v>
      </c>
      <c r="K2619" s="25" t="str">
        <f aca="false">IFERROR(IF(INDEX(Documents!$G$5:$G$657,MATCH(H2619,Documents!$A$5:$A$657,0))="","",INDEX(Documents!$G$5:$G$657,MATCH(H2619,Documents!$A$5:$A$657,0))),"")</f>
        <v>10.1016/j.bmcl.2007.06.055</v>
      </c>
      <c r="L2619" s="25" t="s">
        <v>775</v>
      </c>
    </row>
    <row r="2620" customFormat="false" ht="15" hidden="false" customHeight="false" outlineLevel="0" collapsed="false">
      <c r="A2620" s="25" t="n">
        <v>12720258</v>
      </c>
      <c r="B2620" s="25" t="s">
        <v>5618</v>
      </c>
      <c r="C2620" s="25" t="s">
        <v>5619</v>
      </c>
      <c r="D2620" s="26" t="n">
        <v>588</v>
      </c>
      <c r="E2620" s="27" t="n">
        <v>6.23062267392386</v>
      </c>
      <c r="F2620" s="27" t="n">
        <v>6.23062267392386</v>
      </c>
      <c r="G2620" s="25" t="s">
        <v>5620</v>
      </c>
      <c r="H2620" s="25" t="s">
        <v>5621</v>
      </c>
      <c r="I2620" s="25" t="n">
        <f aca="false">IFERROR(IF(INDEX(Documents!$C$5:$C$657,MATCH(H2620,Documents!$A$5:$A$657,0))="","",INDEX(Documents!$C$5:$C$657,MATCH(H2620,Documents!$A$5:$A$657,0))),"")</f>
        <v>2013</v>
      </c>
      <c r="J2620" s="25" t="str">
        <f aca="false">IFERROR(IF(INDEX(Documents!$D$5:$D$657,MATCH(H2620,Documents!$A$5:$A$657,0))="","",INDEX(Documents!$D$5:$D$657,MATCH(H2620,Documents!$A$5:$A$657,0))),"")</f>
        <v>Bioorg Med Chem Lett</v>
      </c>
      <c r="K2620" s="25" t="str">
        <f aca="false">IFERROR(IF(INDEX(Documents!$G$5:$G$657,MATCH(H2620,Documents!$A$5:$A$657,0))="","",INDEX(Documents!$G$5:$G$657,MATCH(H2620,Documents!$A$5:$A$657,0))),"")</f>
        <v>10.1016/j.bmcl.2013.02.025</v>
      </c>
      <c r="L2620" s="25" t="s">
        <v>5622</v>
      </c>
    </row>
    <row r="2621" customFormat="false" ht="15" hidden="false" customHeight="false" outlineLevel="0" collapsed="false">
      <c r="A2621" s="25" t="n">
        <v>12720257</v>
      </c>
      <c r="B2621" s="25" t="s">
        <v>5623</v>
      </c>
      <c r="C2621" s="25" t="s">
        <v>5624</v>
      </c>
      <c r="D2621" s="26" t="n">
        <v>2.5</v>
      </c>
      <c r="E2621" s="27" t="n">
        <v>8.60205999132796</v>
      </c>
      <c r="F2621" s="27" t="n">
        <v>8.60205999132796</v>
      </c>
      <c r="G2621" s="25" t="s">
        <v>5620</v>
      </c>
      <c r="H2621" s="25" t="s">
        <v>5621</v>
      </c>
      <c r="I2621" s="25" t="n">
        <f aca="false">IFERROR(IF(INDEX(Documents!$C$5:$C$657,MATCH(H2621,Documents!$A$5:$A$657,0))="","",INDEX(Documents!$C$5:$C$657,MATCH(H2621,Documents!$A$5:$A$657,0))),"")</f>
        <v>2013</v>
      </c>
      <c r="J2621" s="25" t="str">
        <f aca="false">IFERROR(IF(INDEX(Documents!$D$5:$D$657,MATCH(H2621,Documents!$A$5:$A$657,0))="","",INDEX(Documents!$D$5:$D$657,MATCH(H2621,Documents!$A$5:$A$657,0))),"")</f>
        <v>Bioorg Med Chem Lett</v>
      </c>
      <c r="K2621" s="25" t="str">
        <f aca="false">IFERROR(IF(INDEX(Documents!$G$5:$G$657,MATCH(H2621,Documents!$A$5:$A$657,0))="","",INDEX(Documents!$G$5:$G$657,MATCH(H2621,Documents!$A$5:$A$657,0))),"")</f>
        <v>10.1016/j.bmcl.2013.02.025</v>
      </c>
      <c r="L2621" s="25" t="s">
        <v>5622</v>
      </c>
    </row>
    <row r="2622" customFormat="false" ht="15" hidden="false" customHeight="false" outlineLevel="0" collapsed="false">
      <c r="A2622" s="25" t="n">
        <v>2118205</v>
      </c>
      <c r="B2622" s="25" t="s">
        <v>5625</v>
      </c>
      <c r="C2622" s="25" t="s">
        <v>5626</v>
      </c>
      <c r="D2622" s="26" t="n">
        <v>1.4</v>
      </c>
      <c r="E2622" s="27" t="n">
        <v>8.85387196432176</v>
      </c>
      <c r="F2622" s="27" t="n">
        <v>8.85699643896026</v>
      </c>
      <c r="G2622" s="25" t="s">
        <v>1199</v>
      </c>
      <c r="H2622" s="25" t="s">
        <v>1200</v>
      </c>
      <c r="I2622" s="25" t="n">
        <f aca="false">IFERROR(IF(INDEX(Documents!$C$5:$C$657,MATCH(H2622,Documents!$A$5:$A$657,0))="","",INDEX(Documents!$C$5:$C$657,MATCH(H2622,Documents!$A$5:$A$657,0))),"")</f>
        <v>2008</v>
      </c>
      <c r="J2622" s="25" t="str">
        <f aca="false">IFERROR(IF(INDEX(Documents!$D$5:$D$657,MATCH(H2622,Documents!$A$5:$A$657,0))="","",INDEX(Documents!$D$5:$D$657,MATCH(H2622,Documents!$A$5:$A$657,0))),"")</f>
        <v>J Med Chem</v>
      </c>
      <c r="K2622" s="25" t="str">
        <f aca="false">IFERROR(IF(INDEX(Documents!$G$5:$G$657,MATCH(H2622,Documents!$A$5:$A$657,0))="","",INDEX(Documents!$G$5:$G$657,MATCH(H2622,Documents!$A$5:$A$657,0))),"")</f>
        <v>10.1021/jm7011613</v>
      </c>
      <c r="L2622" s="25" t="s">
        <v>676</v>
      </c>
    </row>
    <row r="2623" customFormat="false" ht="15" hidden="false" customHeight="false" outlineLevel="0" collapsed="false">
      <c r="A2623" s="25" t="n">
        <v>2118515</v>
      </c>
      <c r="B2623" s="25" t="s">
        <v>5625</v>
      </c>
      <c r="C2623" s="25" t="s">
        <v>5626</v>
      </c>
      <c r="D2623" s="26" t="n">
        <v>1.38</v>
      </c>
      <c r="E2623" s="27" t="n">
        <v>8.86012091359876</v>
      </c>
      <c r="F2623" s="27" t="n">
        <v>8.85699643896026</v>
      </c>
      <c r="G2623" s="25" t="s">
        <v>1199</v>
      </c>
      <c r="H2623" s="25" t="s">
        <v>1200</v>
      </c>
      <c r="I2623" s="25" t="n">
        <f aca="false">IFERROR(IF(INDEX(Documents!$C$5:$C$657,MATCH(H2623,Documents!$A$5:$A$657,0))="","",INDEX(Documents!$C$5:$C$657,MATCH(H2623,Documents!$A$5:$A$657,0))),"")</f>
        <v>2008</v>
      </c>
      <c r="J2623" s="25" t="str">
        <f aca="false">IFERROR(IF(INDEX(Documents!$D$5:$D$657,MATCH(H2623,Documents!$A$5:$A$657,0))="","",INDEX(Documents!$D$5:$D$657,MATCH(H2623,Documents!$A$5:$A$657,0))),"")</f>
        <v>J Med Chem</v>
      </c>
      <c r="K2623" s="25" t="str">
        <f aca="false">IFERROR(IF(INDEX(Documents!$G$5:$G$657,MATCH(H2623,Documents!$A$5:$A$657,0))="","",INDEX(Documents!$G$5:$G$657,MATCH(H2623,Documents!$A$5:$A$657,0))),"")</f>
        <v>10.1021/jm7011613</v>
      </c>
      <c r="L2623" s="25" t="s">
        <v>676</v>
      </c>
    </row>
    <row r="2624" customFormat="false" ht="15" hidden="false" customHeight="false" outlineLevel="0" collapsed="false">
      <c r="A2624" s="25" t="n">
        <v>2118212</v>
      </c>
      <c r="B2624" s="25" t="s">
        <v>5627</v>
      </c>
      <c r="C2624" s="25" t="s">
        <v>5628</v>
      </c>
      <c r="D2624" s="26" t="n">
        <v>239.88</v>
      </c>
      <c r="E2624" s="27" t="n">
        <v>6.62000595983426</v>
      </c>
      <c r="F2624" s="27" t="n">
        <v>6.62171450138887</v>
      </c>
      <c r="G2624" s="25" t="s">
        <v>1199</v>
      </c>
      <c r="H2624" s="25" t="s">
        <v>1200</v>
      </c>
      <c r="I2624" s="25" t="n">
        <f aca="false">IFERROR(IF(INDEX(Documents!$C$5:$C$657,MATCH(H2624,Documents!$A$5:$A$657,0))="","",INDEX(Documents!$C$5:$C$657,MATCH(H2624,Documents!$A$5:$A$657,0))),"")</f>
        <v>2008</v>
      </c>
      <c r="J2624" s="25" t="str">
        <f aca="false">IFERROR(IF(INDEX(Documents!$D$5:$D$657,MATCH(H2624,Documents!$A$5:$A$657,0))="","",INDEX(Documents!$D$5:$D$657,MATCH(H2624,Documents!$A$5:$A$657,0))),"")</f>
        <v>J Med Chem</v>
      </c>
      <c r="K2624" s="25" t="str">
        <f aca="false">IFERROR(IF(INDEX(Documents!$G$5:$G$657,MATCH(H2624,Documents!$A$5:$A$657,0))="","",INDEX(Documents!$G$5:$G$657,MATCH(H2624,Documents!$A$5:$A$657,0))),"")</f>
        <v>10.1021/jm7011613</v>
      </c>
      <c r="L2624" s="25" t="s">
        <v>676</v>
      </c>
    </row>
    <row r="2625" customFormat="false" ht="15" hidden="false" customHeight="false" outlineLevel="0" collapsed="false">
      <c r="A2625" s="25" t="n">
        <v>2118213</v>
      </c>
      <c r="B2625" s="25" t="s">
        <v>5627</v>
      </c>
      <c r="C2625" s="25" t="s">
        <v>5628</v>
      </c>
      <c r="D2625" s="26" t="n">
        <v>238</v>
      </c>
      <c r="E2625" s="27" t="n">
        <v>6.62342304294349</v>
      </c>
      <c r="F2625" s="27" t="n">
        <v>6.62171450138887</v>
      </c>
      <c r="G2625" s="25" t="s">
        <v>1199</v>
      </c>
      <c r="H2625" s="25" t="s">
        <v>1200</v>
      </c>
      <c r="I2625" s="25" t="n">
        <f aca="false">IFERROR(IF(INDEX(Documents!$C$5:$C$657,MATCH(H2625,Documents!$A$5:$A$657,0))="","",INDEX(Documents!$C$5:$C$657,MATCH(H2625,Documents!$A$5:$A$657,0))),"")</f>
        <v>2008</v>
      </c>
      <c r="J2625" s="25" t="str">
        <f aca="false">IFERROR(IF(INDEX(Documents!$D$5:$D$657,MATCH(H2625,Documents!$A$5:$A$657,0))="","",INDEX(Documents!$D$5:$D$657,MATCH(H2625,Documents!$A$5:$A$657,0))),"")</f>
        <v>J Med Chem</v>
      </c>
      <c r="K2625" s="25" t="str">
        <f aca="false">IFERROR(IF(INDEX(Documents!$G$5:$G$657,MATCH(H2625,Documents!$A$5:$A$657,0))="","",INDEX(Documents!$G$5:$G$657,MATCH(H2625,Documents!$A$5:$A$657,0))),"")</f>
        <v>10.1021/jm7011613</v>
      </c>
      <c r="L2625" s="25" t="s">
        <v>676</v>
      </c>
    </row>
    <row r="2626" customFormat="false" ht="15" hidden="false" customHeight="false" outlineLevel="0" collapsed="false">
      <c r="A2626" s="25" t="n">
        <v>18936403</v>
      </c>
      <c r="B2626" s="25" t="s">
        <v>5629</v>
      </c>
      <c r="C2626" s="25" t="s">
        <v>5630</v>
      </c>
      <c r="D2626" s="26" t="n">
        <v>1220.19</v>
      </c>
      <c r="E2626" s="27" t="n">
        <v>5.91357253856558</v>
      </c>
      <c r="F2626" s="27" t="n">
        <v>5.91357253856558</v>
      </c>
      <c r="G2626" s="25" t="s">
        <v>3162</v>
      </c>
      <c r="H2626" s="25" t="s">
        <v>3163</v>
      </c>
      <c r="I2626" s="25" t="n">
        <f aca="false">IFERROR(IF(INDEX(Documents!$C$5:$C$657,MATCH(H2626,Documents!$A$5:$A$657,0))="","",INDEX(Documents!$C$5:$C$657,MATCH(H2626,Documents!$A$5:$A$657,0))),"")</f>
        <v>2019</v>
      </c>
      <c r="J2626" s="25" t="str">
        <f aca="false">IFERROR(IF(INDEX(Documents!$D$5:$D$657,MATCH(H2626,Documents!$A$5:$A$657,0))="","",INDEX(Documents!$D$5:$D$657,MATCH(H2626,Documents!$A$5:$A$657,0))),"")</f>
        <v>Eur J Med Chem</v>
      </c>
      <c r="K2626" s="25" t="str">
        <f aca="false">IFERROR(IF(INDEX(Documents!$G$5:$G$657,MATCH(H2626,Documents!$A$5:$A$657,0))="","",INDEX(Documents!$G$5:$G$657,MATCH(H2626,Documents!$A$5:$A$657,0))),"")</f>
        <v>10.1016/j.ejmech.2018.09.070</v>
      </c>
      <c r="L2626" s="25" t="s">
        <v>3164</v>
      </c>
    </row>
    <row r="2627" customFormat="false" ht="15" hidden="false" customHeight="false" outlineLevel="0" collapsed="false">
      <c r="A2627" s="25" t="n">
        <v>18936368</v>
      </c>
      <c r="B2627" s="25" t="s">
        <v>5631</v>
      </c>
      <c r="C2627" s="25" t="s">
        <v>5632</v>
      </c>
      <c r="D2627" s="26" t="n">
        <v>1324.12</v>
      </c>
      <c r="E2627" s="27" t="n">
        <v>5.87807265464235</v>
      </c>
      <c r="F2627" s="27" t="n">
        <v>5.87807265464235</v>
      </c>
      <c r="G2627" s="25" t="s">
        <v>3162</v>
      </c>
      <c r="H2627" s="25" t="s">
        <v>3163</v>
      </c>
      <c r="I2627" s="25" t="n">
        <f aca="false">IFERROR(IF(INDEX(Documents!$C$5:$C$657,MATCH(H2627,Documents!$A$5:$A$657,0))="","",INDEX(Documents!$C$5:$C$657,MATCH(H2627,Documents!$A$5:$A$657,0))),"")</f>
        <v>2019</v>
      </c>
      <c r="J2627" s="25" t="str">
        <f aca="false">IFERROR(IF(INDEX(Documents!$D$5:$D$657,MATCH(H2627,Documents!$A$5:$A$657,0))="","",INDEX(Documents!$D$5:$D$657,MATCH(H2627,Documents!$A$5:$A$657,0))),"")</f>
        <v>Eur J Med Chem</v>
      </c>
      <c r="K2627" s="25" t="str">
        <f aca="false">IFERROR(IF(INDEX(Documents!$G$5:$G$657,MATCH(H2627,Documents!$A$5:$A$657,0))="","",INDEX(Documents!$G$5:$G$657,MATCH(H2627,Documents!$A$5:$A$657,0))),"")</f>
        <v>10.1016/j.ejmech.2018.09.070</v>
      </c>
      <c r="L2627" s="25" t="s">
        <v>3164</v>
      </c>
    </row>
    <row r="2628" customFormat="false" ht="15" hidden="false" customHeight="false" outlineLevel="0" collapsed="false">
      <c r="A2628" s="25" t="n">
        <v>18936406</v>
      </c>
      <c r="B2628" s="25" t="s">
        <v>5633</v>
      </c>
      <c r="C2628" s="25" t="s">
        <v>5634</v>
      </c>
      <c r="D2628" s="26" t="n">
        <v>845.42</v>
      </c>
      <c r="E2628" s="27" t="n">
        <v>6.07292748233277</v>
      </c>
      <c r="F2628" s="27" t="n">
        <v>6.07292748233277</v>
      </c>
      <c r="G2628" s="25" t="s">
        <v>3162</v>
      </c>
      <c r="H2628" s="25" t="s">
        <v>3163</v>
      </c>
      <c r="I2628" s="25" t="n">
        <f aca="false">IFERROR(IF(INDEX(Documents!$C$5:$C$657,MATCH(H2628,Documents!$A$5:$A$657,0))="","",INDEX(Documents!$C$5:$C$657,MATCH(H2628,Documents!$A$5:$A$657,0))),"")</f>
        <v>2019</v>
      </c>
      <c r="J2628" s="25" t="str">
        <f aca="false">IFERROR(IF(INDEX(Documents!$D$5:$D$657,MATCH(H2628,Documents!$A$5:$A$657,0))="","",INDEX(Documents!$D$5:$D$657,MATCH(H2628,Documents!$A$5:$A$657,0))),"")</f>
        <v>Eur J Med Chem</v>
      </c>
      <c r="K2628" s="25" t="str">
        <f aca="false">IFERROR(IF(INDEX(Documents!$G$5:$G$657,MATCH(H2628,Documents!$A$5:$A$657,0))="","",INDEX(Documents!$G$5:$G$657,MATCH(H2628,Documents!$A$5:$A$657,0))),"")</f>
        <v>10.1016/j.ejmech.2018.09.070</v>
      </c>
      <c r="L2628" s="25" t="s">
        <v>3164</v>
      </c>
    </row>
    <row r="2629" customFormat="false" ht="15" hidden="false" customHeight="false" outlineLevel="0" collapsed="false">
      <c r="A2629" s="25" t="n">
        <v>12666620</v>
      </c>
      <c r="B2629" s="25" t="s">
        <v>5635</v>
      </c>
      <c r="C2629" s="25" t="s">
        <v>5636</v>
      </c>
      <c r="D2629" s="26" t="n">
        <v>770</v>
      </c>
      <c r="E2629" s="27" t="n">
        <v>6.11350927482752</v>
      </c>
      <c r="F2629" s="27" t="n">
        <v>6.11350927482752</v>
      </c>
      <c r="G2629" s="25" t="s">
        <v>1351</v>
      </c>
      <c r="H2629" s="25" t="s">
        <v>1352</v>
      </c>
      <c r="I2629" s="25" t="n">
        <f aca="false">IFERROR(IF(INDEX(Documents!$C$5:$C$657,MATCH(H2629,Documents!$A$5:$A$657,0))="","",INDEX(Documents!$C$5:$C$657,MATCH(H2629,Documents!$A$5:$A$657,0))),"")</f>
        <v>2013</v>
      </c>
      <c r="J2629" s="25" t="str">
        <f aca="false">IFERROR(IF(INDEX(Documents!$D$5:$D$657,MATCH(H2629,Documents!$A$5:$A$657,0))="","",INDEX(Documents!$D$5:$D$657,MATCH(H2629,Documents!$A$5:$A$657,0))),"")</f>
        <v>Bioorg Med Chem Lett</v>
      </c>
      <c r="K2629" s="25" t="str">
        <f aca="false">IFERROR(IF(INDEX(Documents!$G$5:$G$657,MATCH(H2629,Documents!$A$5:$A$657,0))="","",INDEX(Documents!$G$5:$G$657,MATCH(H2629,Documents!$A$5:$A$657,0))),"")</f>
        <v>10.1016/j.bmcl.2013.01.044</v>
      </c>
      <c r="L2629" s="25" t="s">
        <v>515</v>
      </c>
    </row>
    <row r="2630" customFormat="false" ht="15" hidden="false" customHeight="false" outlineLevel="0" collapsed="false">
      <c r="A2630" s="25" t="n">
        <v>12193214</v>
      </c>
      <c r="B2630" s="25" t="s">
        <v>5637</v>
      </c>
      <c r="C2630" s="25" t="s">
        <v>5638</v>
      </c>
      <c r="D2630" s="26" t="n">
        <v>899</v>
      </c>
      <c r="E2630" s="27" t="n">
        <v>6.04624030826677</v>
      </c>
      <c r="F2630" s="27" t="n">
        <v>6.04624030826677</v>
      </c>
      <c r="G2630" s="25" t="s">
        <v>5639</v>
      </c>
      <c r="H2630" s="25" t="s">
        <v>5640</v>
      </c>
      <c r="I2630" s="25" t="n">
        <f aca="false">IFERROR(IF(INDEX(Documents!$C$5:$C$657,MATCH(H2630,Documents!$A$5:$A$657,0))="","",INDEX(Documents!$C$5:$C$657,MATCH(H2630,Documents!$A$5:$A$657,0))),"")</f>
        <v>2012</v>
      </c>
      <c r="J2630" s="25" t="str">
        <f aca="false">IFERROR(IF(INDEX(Documents!$D$5:$D$657,MATCH(H2630,Documents!$A$5:$A$657,0))="","",INDEX(Documents!$D$5:$D$657,MATCH(H2630,Documents!$A$5:$A$657,0))),"")</f>
        <v>Bioorg Med Chem Lett</v>
      </c>
      <c r="K2630" s="25" t="str">
        <f aca="false">IFERROR(IF(INDEX(Documents!$G$5:$G$657,MATCH(H2630,Documents!$A$5:$A$657,0))="","",INDEX(Documents!$G$5:$G$657,MATCH(H2630,Documents!$A$5:$A$657,0))),"")</f>
        <v>10.1016/j.bmcl.2012.10.087</v>
      </c>
      <c r="L2630" s="25" t="s">
        <v>5641</v>
      </c>
    </row>
    <row r="2631" customFormat="false" ht="15" hidden="false" customHeight="false" outlineLevel="0" collapsed="false">
      <c r="A2631" s="25" t="n">
        <v>15610404</v>
      </c>
      <c r="B2631" s="25" t="s">
        <v>5642</v>
      </c>
      <c r="C2631" s="25" t="s">
        <v>5643</v>
      </c>
      <c r="D2631" s="26" t="n">
        <v>465.9</v>
      </c>
      <c r="E2631" s="27" t="n">
        <v>6.33170728955178</v>
      </c>
      <c r="F2631" s="27" t="n">
        <v>6.33170728955178</v>
      </c>
      <c r="G2631" s="25" t="s">
        <v>948</v>
      </c>
      <c r="H2631" s="25" t="s">
        <v>949</v>
      </c>
      <c r="I2631" s="25" t="n">
        <f aca="false">IFERROR(IF(INDEX(Documents!$C$5:$C$657,MATCH(H2631,Documents!$A$5:$A$657,0))="","",INDEX(Documents!$C$5:$C$657,MATCH(H2631,Documents!$A$5:$A$657,0))),"")</f>
        <v>2015</v>
      </c>
      <c r="J2631" s="25" t="str">
        <f aca="false">IFERROR(IF(INDEX(Documents!$D$5:$D$657,MATCH(H2631,Documents!$A$5:$A$657,0))="","",INDEX(Documents!$D$5:$D$657,MATCH(H2631,Documents!$A$5:$A$657,0))),"")</f>
        <v>J Med Chem</v>
      </c>
      <c r="K2631" s="25" t="str">
        <f aca="false">IFERROR(IF(INDEX(Documents!$G$5:$G$657,MATCH(H2631,Documents!$A$5:$A$657,0))="","",INDEX(Documents!$G$5:$G$657,MATCH(H2631,Documents!$A$5:$A$657,0))),"")</f>
        <v>10.1021/acs.jmedchem.5b00283</v>
      </c>
      <c r="L2631" s="25" t="s">
        <v>950</v>
      </c>
    </row>
    <row r="2632" customFormat="false" ht="15" hidden="false" customHeight="false" outlineLevel="0" collapsed="false">
      <c r="A2632" s="25" t="n">
        <v>15610407</v>
      </c>
      <c r="B2632" s="25" t="s">
        <v>5644</v>
      </c>
      <c r="C2632" s="25" t="s">
        <v>5645</v>
      </c>
      <c r="D2632" s="26" t="n">
        <v>1017.3</v>
      </c>
      <c r="E2632" s="27" t="n">
        <v>5.99255095550225</v>
      </c>
      <c r="F2632" s="27" t="n">
        <v>5.99255095550225</v>
      </c>
      <c r="G2632" s="25" t="s">
        <v>948</v>
      </c>
      <c r="H2632" s="25" t="s">
        <v>949</v>
      </c>
      <c r="I2632" s="25" t="n">
        <f aca="false">IFERROR(IF(INDEX(Documents!$C$5:$C$657,MATCH(H2632,Documents!$A$5:$A$657,0))="","",INDEX(Documents!$C$5:$C$657,MATCH(H2632,Documents!$A$5:$A$657,0))),"")</f>
        <v>2015</v>
      </c>
      <c r="J2632" s="25" t="str">
        <f aca="false">IFERROR(IF(INDEX(Documents!$D$5:$D$657,MATCH(H2632,Documents!$A$5:$A$657,0))="","",INDEX(Documents!$D$5:$D$657,MATCH(H2632,Documents!$A$5:$A$657,0))),"")</f>
        <v>J Med Chem</v>
      </c>
      <c r="K2632" s="25" t="str">
        <f aca="false">IFERROR(IF(INDEX(Documents!$G$5:$G$657,MATCH(H2632,Documents!$A$5:$A$657,0))="","",INDEX(Documents!$G$5:$G$657,MATCH(H2632,Documents!$A$5:$A$657,0))),"")</f>
        <v>10.1021/acs.jmedchem.5b00283</v>
      </c>
      <c r="L2632" s="25" t="s">
        <v>950</v>
      </c>
    </row>
    <row r="2633" customFormat="false" ht="15" hidden="false" customHeight="false" outlineLevel="0" collapsed="false">
      <c r="A2633" s="25" t="n">
        <v>15610403</v>
      </c>
      <c r="B2633" s="25" t="s">
        <v>5646</v>
      </c>
      <c r="C2633" s="25" t="s">
        <v>5647</v>
      </c>
      <c r="D2633" s="26" t="n">
        <v>2867.4</v>
      </c>
      <c r="E2633" s="27" t="n">
        <v>5.54251171909556</v>
      </c>
      <c r="F2633" s="27" t="n">
        <v>5.54251171909556</v>
      </c>
      <c r="G2633" s="25" t="s">
        <v>948</v>
      </c>
      <c r="H2633" s="25" t="s">
        <v>949</v>
      </c>
      <c r="I2633" s="25" t="n">
        <f aca="false">IFERROR(IF(INDEX(Documents!$C$5:$C$657,MATCH(H2633,Documents!$A$5:$A$657,0))="","",INDEX(Documents!$C$5:$C$657,MATCH(H2633,Documents!$A$5:$A$657,0))),"")</f>
        <v>2015</v>
      </c>
      <c r="J2633" s="25" t="str">
        <f aca="false">IFERROR(IF(INDEX(Documents!$D$5:$D$657,MATCH(H2633,Documents!$A$5:$A$657,0))="","",INDEX(Documents!$D$5:$D$657,MATCH(H2633,Documents!$A$5:$A$657,0))),"")</f>
        <v>J Med Chem</v>
      </c>
      <c r="K2633" s="25" t="str">
        <f aca="false">IFERROR(IF(INDEX(Documents!$G$5:$G$657,MATCH(H2633,Documents!$A$5:$A$657,0))="","",INDEX(Documents!$G$5:$G$657,MATCH(H2633,Documents!$A$5:$A$657,0))),"")</f>
        <v>10.1021/acs.jmedchem.5b00283</v>
      </c>
      <c r="L2633" s="25" t="s">
        <v>950</v>
      </c>
    </row>
    <row r="2634" customFormat="false" ht="15" hidden="false" customHeight="false" outlineLevel="0" collapsed="false">
      <c r="A2634" s="25" t="n">
        <v>29009918</v>
      </c>
      <c r="B2634" s="25" t="s">
        <v>5648</v>
      </c>
      <c r="C2634" s="25" t="s">
        <v>5649</v>
      </c>
      <c r="D2634" s="26" t="n">
        <v>331</v>
      </c>
      <c r="E2634" s="27" t="n">
        <v>6.48017200622428</v>
      </c>
      <c r="F2634" s="27" t="n">
        <v>6.48017200622428</v>
      </c>
      <c r="G2634" s="25" t="s">
        <v>480</v>
      </c>
      <c r="H2634" s="25" t="s">
        <v>481</v>
      </c>
      <c r="I2634" s="25" t="n">
        <f aca="false">IFERROR(IF(INDEX(Documents!$C$5:$C$657,MATCH(H2634,Documents!$A$5:$A$657,0))="","",INDEX(Documents!$C$5:$C$657,MATCH(H2634,Documents!$A$5:$A$657,0))),"")</f>
        <v>2023</v>
      </c>
      <c r="J2634" s="25" t="str">
        <f aca="false">IFERROR(IF(INDEX(Documents!$D$5:$D$657,MATCH(H2634,Documents!$A$5:$A$657,0))="","",INDEX(Documents!$D$5:$D$657,MATCH(H2634,Documents!$A$5:$A$657,0))),"")</f>
        <v/>
      </c>
      <c r="K2634" s="25" t="str">
        <f aca="false">IFERROR(IF(INDEX(Documents!$G$5:$G$657,MATCH(H2634,Documents!$A$5:$A$657,0))="","",INDEX(Documents!$G$5:$G$657,MATCH(H2634,Documents!$A$5:$A$657,0))),"")</f>
        <v/>
      </c>
      <c r="L2634" s="25" t="s">
        <v>482</v>
      </c>
    </row>
    <row r="2635" customFormat="false" ht="15" hidden="false" customHeight="false" outlineLevel="0" collapsed="false">
      <c r="A2635" s="25" t="n">
        <v>10979879</v>
      </c>
      <c r="B2635" s="25" t="s">
        <v>5650</v>
      </c>
      <c r="C2635" s="25" t="s">
        <v>5651</v>
      </c>
      <c r="D2635" s="26" t="n">
        <v>15400</v>
      </c>
      <c r="E2635" s="27" t="n">
        <v>4.81247927916354</v>
      </c>
      <c r="F2635" s="27" t="n">
        <v>4.81247927916354</v>
      </c>
      <c r="G2635" s="25" t="s">
        <v>631</v>
      </c>
      <c r="H2635" s="25" t="s">
        <v>632</v>
      </c>
      <c r="I2635" s="25" t="n">
        <f aca="false">IFERROR(IF(INDEX(Documents!$C$5:$C$657,MATCH(H2635,Documents!$A$5:$A$657,0))="","",INDEX(Documents!$C$5:$C$657,MATCH(H2635,Documents!$A$5:$A$657,0))),"")</f>
        <v>2012</v>
      </c>
      <c r="J2635" s="25" t="str">
        <f aca="false">IFERROR(IF(INDEX(Documents!$D$5:$D$657,MATCH(H2635,Documents!$A$5:$A$657,0))="","",INDEX(Documents!$D$5:$D$657,MATCH(H2635,Documents!$A$5:$A$657,0))),"")</f>
        <v>ACS Med Chem Lett</v>
      </c>
      <c r="K2635" s="25" t="str">
        <f aca="false">IFERROR(IF(INDEX(Documents!$G$5:$G$657,MATCH(H2635,Documents!$A$5:$A$657,0))="","",INDEX(Documents!$G$5:$G$657,MATCH(H2635,Documents!$A$5:$A$657,0))),"")</f>
        <v>10.1021/ml3000325</v>
      </c>
      <c r="L2635" s="25" t="s">
        <v>633</v>
      </c>
    </row>
    <row r="2636" customFormat="false" ht="15" hidden="false" customHeight="false" outlineLevel="0" collapsed="false">
      <c r="A2636" s="25" t="n">
        <v>29295042</v>
      </c>
      <c r="B2636" s="25" t="s">
        <v>5652</v>
      </c>
      <c r="C2636" s="25" t="s">
        <v>5653</v>
      </c>
      <c r="D2636" s="26" t="n">
        <v>0.9</v>
      </c>
      <c r="E2636" s="27" t="n">
        <v>9.04575749056068</v>
      </c>
      <c r="F2636" s="27" t="n">
        <v>9.04575749056068</v>
      </c>
      <c r="G2636" s="25" t="s">
        <v>5654</v>
      </c>
      <c r="H2636" s="25" t="s">
        <v>5655</v>
      </c>
      <c r="I2636" s="25" t="n">
        <f aca="false">IFERROR(IF(INDEX(Documents!$C$5:$C$657,MATCH(H2636,Documents!$A$5:$A$657,0))="","",INDEX(Documents!$C$5:$C$657,MATCH(H2636,Documents!$A$5:$A$657,0))),"")</f>
        <v>2024</v>
      </c>
      <c r="J2636" s="25" t="str">
        <f aca="false">IFERROR(IF(INDEX(Documents!$D$5:$D$657,MATCH(H2636,Documents!$A$5:$A$657,0))="","",INDEX(Documents!$D$5:$D$657,MATCH(H2636,Documents!$A$5:$A$657,0))),"")</f>
        <v>RSC Med Chem</v>
      </c>
      <c r="K2636" s="25" t="str">
        <f aca="false">IFERROR(IF(INDEX(Documents!$G$5:$G$657,MATCH(H2636,Documents!$A$5:$A$657,0))="","",INDEX(Documents!$G$5:$G$657,MATCH(H2636,Documents!$A$5:$A$657,0))),"")</f>
        <v>10.1039/d4md00522h</v>
      </c>
      <c r="L2636" s="25" t="s">
        <v>2648</v>
      </c>
    </row>
    <row r="2637" customFormat="false" ht="15" hidden="false" customHeight="false" outlineLevel="0" collapsed="false">
      <c r="A2637" s="25" t="n">
        <v>3082582</v>
      </c>
      <c r="B2637" s="25" t="s">
        <v>5656</v>
      </c>
      <c r="C2637" s="25" t="s">
        <v>5657</v>
      </c>
      <c r="D2637" s="26" t="n">
        <v>110</v>
      </c>
      <c r="E2637" s="27" t="n">
        <v>6.95860731484178</v>
      </c>
      <c r="F2637" s="27" t="n">
        <v>6.95860731484178</v>
      </c>
      <c r="G2637" s="25" t="s">
        <v>1760</v>
      </c>
      <c r="H2637" s="25" t="s">
        <v>1761</v>
      </c>
      <c r="I2637" s="25" t="n">
        <f aca="false">IFERROR(IF(INDEX(Documents!$C$5:$C$657,MATCH(H2637,Documents!$A$5:$A$657,0))="","",INDEX(Documents!$C$5:$C$657,MATCH(H2637,Documents!$A$5:$A$657,0))),"")</f>
        <v>2010</v>
      </c>
      <c r="J2637" s="25" t="str">
        <f aca="false">IFERROR(IF(INDEX(Documents!$D$5:$D$657,MATCH(H2637,Documents!$A$5:$A$657,0))="","",INDEX(Documents!$D$5:$D$657,MATCH(H2637,Documents!$A$5:$A$657,0))),"")</f>
        <v>Bioorg Med Chem Lett</v>
      </c>
      <c r="K2637" s="25" t="str">
        <f aca="false">IFERROR(IF(INDEX(Documents!$G$5:$G$657,MATCH(H2637,Documents!$A$5:$A$657,0))="","",INDEX(Documents!$G$5:$G$657,MATCH(H2637,Documents!$A$5:$A$657,0))),"")</f>
        <v>10.1016/j.bmcl.2009.10.062</v>
      </c>
      <c r="L2637" s="25" t="s">
        <v>775</v>
      </c>
    </row>
    <row r="2638" customFormat="false" ht="15" hidden="false" customHeight="false" outlineLevel="0" collapsed="false">
      <c r="A2638" s="25" t="n">
        <v>13499107</v>
      </c>
      <c r="B2638" s="25" t="s">
        <v>5658</v>
      </c>
      <c r="C2638" s="25" t="s">
        <v>5659</v>
      </c>
      <c r="D2638" s="26" t="n">
        <v>83</v>
      </c>
      <c r="E2638" s="27" t="n">
        <v>7.08092190762393</v>
      </c>
      <c r="F2638" s="27" t="n">
        <v>7.08092190762393</v>
      </c>
      <c r="G2638" s="25" t="s">
        <v>757</v>
      </c>
      <c r="H2638" s="25" t="s">
        <v>758</v>
      </c>
      <c r="I2638" s="25" t="n">
        <f aca="false">IFERROR(IF(INDEX(Documents!$C$5:$C$657,MATCH(H2638,Documents!$A$5:$A$657,0))="","",INDEX(Documents!$C$5:$C$657,MATCH(H2638,Documents!$A$5:$A$657,0))),"")</f>
        <v>2013</v>
      </c>
      <c r="J2638" s="25" t="str">
        <f aca="false">IFERROR(IF(INDEX(Documents!$D$5:$D$657,MATCH(H2638,Documents!$A$5:$A$657,0))="","",INDEX(Documents!$D$5:$D$657,MATCH(H2638,Documents!$A$5:$A$657,0))),"")</f>
        <v>Eur J Med Chem</v>
      </c>
      <c r="K2638" s="25" t="str">
        <f aca="false">IFERROR(IF(INDEX(Documents!$G$5:$G$657,MATCH(H2638,Documents!$A$5:$A$657,0))="","",INDEX(Documents!$G$5:$G$657,MATCH(H2638,Documents!$A$5:$A$657,0))),"")</f>
        <v>10.1016/j.ejmech.2013.09.038</v>
      </c>
      <c r="L2638" s="25" t="s">
        <v>759</v>
      </c>
    </row>
    <row r="2639" customFormat="false" ht="15" hidden="false" customHeight="false" outlineLevel="0" collapsed="false">
      <c r="A2639" s="25" t="n">
        <v>2980587</v>
      </c>
      <c r="B2639" s="25" t="s">
        <v>5660</v>
      </c>
      <c r="C2639" s="25" t="s">
        <v>5661</v>
      </c>
      <c r="D2639" s="26" t="n">
        <v>1.349</v>
      </c>
      <c r="E2639" s="27" t="n">
        <v>8.8699880503281</v>
      </c>
      <c r="F2639" s="27" t="n">
        <v>8.87802234901063</v>
      </c>
      <c r="G2639" s="25" t="s">
        <v>599</v>
      </c>
      <c r="H2639" s="25" t="s">
        <v>600</v>
      </c>
      <c r="I2639" s="25" t="n">
        <f aca="false">IFERROR(IF(INDEX(Documents!$C$5:$C$657,MATCH(H2639,Documents!$A$5:$A$657,0))="","",INDEX(Documents!$C$5:$C$657,MATCH(H2639,Documents!$A$5:$A$657,0))),"")</f>
        <v>2010</v>
      </c>
      <c r="J2639" s="25" t="str">
        <f aca="false">IFERROR(IF(INDEX(Documents!$D$5:$D$657,MATCH(H2639,Documents!$A$5:$A$657,0))="","",INDEX(Documents!$D$5:$D$657,MATCH(H2639,Documents!$A$5:$A$657,0))),"")</f>
        <v>J Med Chem</v>
      </c>
      <c r="K2639" s="25" t="str">
        <f aca="false">IFERROR(IF(INDEX(Documents!$G$5:$G$657,MATCH(H2639,Documents!$A$5:$A$657,0))="","",INDEX(Documents!$G$5:$G$657,MATCH(H2639,Documents!$A$5:$A$657,0))),"")</f>
        <v>10.1021/jm901214q</v>
      </c>
      <c r="L2639" s="25" t="s">
        <v>601</v>
      </c>
    </row>
    <row r="2640" customFormat="false" ht="15" hidden="false" customHeight="false" outlineLevel="0" collapsed="false">
      <c r="A2640" s="25" t="n">
        <v>2980490</v>
      </c>
      <c r="B2640" s="25" t="s">
        <v>5660</v>
      </c>
      <c r="C2640" s="25" t="s">
        <v>5661</v>
      </c>
      <c r="D2640" s="26" t="n">
        <v>1.3</v>
      </c>
      <c r="E2640" s="27" t="n">
        <v>8.88605664769316</v>
      </c>
      <c r="F2640" s="27" t="n">
        <v>8.87802234901063</v>
      </c>
      <c r="G2640" s="25" t="s">
        <v>599</v>
      </c>
      <c r="H2640" s="25" t="s">
        <v>600</v>
      </c>
      <c r="I2640" s="25" t="n">
        <f aca="false">IFERROR(IF(INDEX(Documents!$C$5:$C$657,MATCH(H2640,Documents!$A$5:$A$657,0))="","",INDEX(Documents!$C$5:$C$657,MATCH(H2640,Documents!$A$5:$A$657,0))),"")</f>
        <v>2010</v>
      </c>
      <c r="J2640" s="25" t="str">
        <f aca="false">IFERROR(IF(INDEX(Documents!$D$5:$D$657,MATCH(H2640,Documents!$A$5:$A$657,0))="","",INDEX(Documents!$D$5:$D$657,MATCH(H2640,Documents!$A$5:$A$657,0))),"")</f>
        <v>J Med Chem</v>
      </c>
      <c r="K2640" s="25" t="str">
        <f aca="false">IFERROR(IF(INDEX(Documents!$G$5:$G$657,MATCH(H2640,Documents!$A$5:$A$657,0))="","",INDEX(Documents!$G$5:$G$657,MATCH(H2640,Documents!$A$5:$A$657,0))),"")</f>
        <v>10.1021/jm901214q</v>
      </c>
      <c r="L2640" s="25" t="s">
        <v>601</v>
      </c>
    </row>
    <row r="2641" customFormat="false" ht="15" hidden="false" customHeight="false" outlineLevel="0" collapsed="false">
      <c r="A2641" s="25" t="n">
        <v>10845117</v>
      </c>
      <c r="B2641" s="25" t="s">
        <v>5662</v>
      </c>
      <c r="C2641" s="25" t="s">
        <v>5663</v>
      </c>
      <c r="D2641" s="26" t="n">
        <v>120.23</v>
      </c>
      <c r="E2641" s="27" t="n">
        <v>6.91998715289207</v>
      </c>
      <c r="F2641" s="27" t="n">
        <v>6.91998715289207</v>
      </c>
      <c r="G2641" s="25" t="s">
        <v>4495</v>
      </c>
      <c r="H2641" s="25" t="s">
        <v>4496</v>
      </c>
      <c r="I2641" s="25" t="n">
        <f aca="false">IFERROR(IF(INDEX(Documents!$C$5:$C$657,MATCH(H2641,Documents!$A$5:$A$657,0))="","",INDEX(Documents!$C$5:$C$657,MATCH(H2641,Documents!$A$5:$A$657,0))),"")</f>
        <v>2012</v>
      </c>
      <c r="J2641" s="25" t="str">
        <f aca="false">IFERROR(IF(INDEX(Documents!$D$5:$D$657,MATCH(H2641,Documents!$A$5:$A$657,0))="","",INDEX(Documents!$D$5:$D$657,MATCH(H2641,Documents!$A$5:$A$657,0))),"")</f>
        <v>Bioorg Med Chem Lett</v>
      </c>
      <c r="K2641" s="25" t="str">
        <f aca="false">IFERROR(IF(INDEX(Documents!$G$5:$G$657,MATCH(H2641,Documents!$A$5:$A$657,0))="","",INDEX(Documents!$G$5:$G$657,MATCH(H2641,Documents!$A$5:$A$657,0))),"")</f>
        <v>10.1016/j.bmcl.2012.01.121</v>
      </c>
      <c r="L2641" s="25" t="s">
        <v>4497</v>
      </c>
    </row>
    <row r="2642" customFormat="false" ht="15" hidden="false" customHeight="false" outlineLevel="0" collapsed="false">
      <c r="A2642" s="25" t="n">
        <v>12193215</v>
      </c>
      <c r="B2642" s="25" t="s">
        <v>5664</v>
      </c>
      <c r="C2642" s="25" t="s">
        <v>5665</v>
      </c>
      <c r="D2642" s="26" t="n">
        <v>904</v>
      </c>
      <c r="E2642" s="27" t="n">
        <v>6.04383156952464</v>
      </c>
      <c r="F2642" s="27" t="n">
        <v>6.04383156952464</v>
      </c>
      <c r="G2642" s="25" t="s">
        <v>5639</v>
      </c>
      <c r="H2642" s="25" t="s">
        <v>5640</v>
      </c>
      <c r="I2642" s="25" t="n">
        <f aca="false">IFERROR(IF(INDEX(Documents!$C$5:$C$657,MATCH(H2642,Documents!$A$5:$A$657,0))="","",INDEX(Documents!$C$5:$C$657,MATCH(H2642,Documents!$A$5:$A$657,0))),"")</f>
        <v>2012</v>
      </c>
      <c r="J2642" s="25" t="str">
        <f aca="false">IFERROR(IF(INDEX(Documents!$D$5:$D$657,MATCH(H2642,Documents!$A$5:$A$657,0))="","",INDEX(Documents!$D$5:$D$657,MATCH(H2642,Documents!$A$5:$A$657,0))),"")</f>
        <v>Bioorg Med Chem Lett</v>
      </c>
      <c r="K2642" s="25" t="str">
        <f aca="false">IFERROR(IF(INDEX(Documents!$G$5:$G$657,MATCH(H2642,Documents!$A$5:$A$657,0))="","",INDEX(Documents!$G$5:$G$657,MATCH(H2642,Documents!$A$5:$A$657,0))),"")</f>
        <v>10.1016/j.bmcl.2012.10.087</v>
      </c>
      <c r="L2642" s="25" t="s">
        <v>5641</v>
      </c>
    </row>
    <row r="2643" customFormat="false" ht="15" hidden="false" customHeight="false" outlineLevel="0" collapsed="false">
      <c r="A2643" s="25" t="n">
        <v>12193216</v>
      </c>
      <c r="B2643" s="25" t="s">
        <v>5666</v>
      </c>
      <c r="C2643" s="25" t="s">
        <v>5667</v>
      </c>
      <c r="D2643" s="26" t="n">
        <v>999</v>
      </c>
      <c r="E2643" s="27" t="n">
        <v>6.00043451177402</v>
      </c>
      <c r="F2643" s="27" t="n">
        <v>6.00043451177402</v>
      </c>
      <c r="G2643" s="25" t="s">
        <v>5639</v>
      </c>
      <c r="H2643" s="25" t="s">
        <v>5640</v>
      </c>
      <c r="I2643" s="25" t="n">
        <f aca="false">IFERROR(IF(INDEX(Documents!$C$5:$C$657,MATCH(H2643,Documents!$A$5:$A$657,0))="","",INDEX(Documents!$C$5:$C$657,MATCH(H2643,Documents!$A$5:$A$657,0))),"")</f>
        <v>2012</v>
      </c>
      <c r="J2643" s="25" t="str">
        <f aca="false">IFERROR(IF(INDEX(Documents!$D$5:$D$657,MATCH(H2643,Documents!$A$5:$A$657,0))="","",INDEX(Documents!$D$5:$D$657,MATCH(H2643,Documents!$A$5:$A$657,0))),"")</f>
        <v>Bioorg Med Chem Lett</v>
      </c>
      <c r="K2643" s="25" t="str">
        <f aca="false">IFERROR(IF(INDEX(Documents!$G$5:$G$657,MATCH(H2643,Documents!$A$5:$A$657,0))="","",INDEX(Documents!$G$5:$G$657,MATCH(H2643,Documents!$A$5:$A$657,0))),"")</f>
        <v>10.1016/j.bmcl.2012.10.087</v>
      </c>
      <c r="L2643" s="25" t="s">
        <v>5641</v>
      </c>
    </row>
    <row r="2644" customFormat="false" ht="15" hidden="false" customHeight="false" outlineLevel="0" collapsed="false">
      <c r="A2644" s="25" t="n">
        <v>12666619</v>
      </c>
      <c r="B2644" s="25" t="s">
        <v>5668</v>
      </c>
      <c r="C2644" s="25" t="s">
        <v>5669</v>
      </c>
      <c r="D2644" s="26" t="n">
        <v>350</v>
      </c>
      <c r="E2644" s="27" t="n">
        <v>6.45593195564972</v>
      </c>
      <c r="F2644" s="27" t="n">
        <v>6.45593195564972</v>
      </c>
      <c r="G2644" s="25" t="s">
        <v>1351</v>
      </c>
      <c r="H2644" s="25" t="s">
        <v>1352</v>
      </c>
      <c r="I2644" s="25" t="n">
        <f aca="false">IFERROR(IF(INDEX(Documents!$C$5:$C$657,MATCH(H2644,Documents!$A$5:$A$657,0))="","",INDEX(Documents!$C$5:$C$657,MATCH(H2644,Documents!$A$5:$A$657,0))),"")</f>
        <v>2013</v>
      </c>
      <c r="J2644" s="25" t="str">
        <f aca="false">IFERROR(IF(INDEX(Documents!$D$5:$D$657,MATCH(H2644,Documents!$A$5:$A$657,0))="","",INDEX(Documents!$D$5:$D$657,MATCH(H2644,Documents!$A$5:$A$657,0))),"")</f>
        <v>Bioorg Med Chem Lett</v>
      </c>
      <c r="K2644" s="25" t="str">
        <f aca="false">IFERROR(IF(INDEX(Documents!$G$5:$G$657,MATCH(H2644,Documents!$A$5:$A$657,0))="","",INDEX(Documents!$G$5:$G$657,MATCH(H2644,Documents!$A$5:$A$657,0))),"")</f>
        <v>10.1016/j.bmcl.2013.01.044</v>
      </c>
      <c r="L2644" s="25" t="s">
        <v>515</v>
      </c>
    </row>
    <row r="2645" customFormat="false" ht="15" hidden="false" customHeight="false" outlineLevel="0" collapsed="false">
      <c r="A2645" s="25" t="n">
        <v>15610393</v>
      </c>
      <c r="B2645" s="25" t="s">
        <v>5670</v>
      </c>
      <c r="C2645" s="25" t="s">
        <v>5671</v>
      </c>
      <c r="D2645" s="26" t="n">
        <v>293.6</v>
      </c>
      <c r="E2645" s="27" t="n">
        <v>6.53224394875597</v>
      </c>
      <c r="F2645" s="27" t="n">
        <v>6.53224394875597</v>
      </c>
      <c r="G2645" s="25" t="s">
        <v>948</v>
      </c>
      <c r="H2645" s="25" t="s">
        <v>949</v>
      </c>
      <c r="I2645" s="25" t="n">
        <f aca="false">IFERROR(IF(INDEX(Documents!$C$5:$C$657,MATCH(H2645,Documents!$A$5:$A$657,0))="","",INDEX(Documents!$C$5:$C$657,MATCH(H2645,Documents!$A$5:$A$657,0))),"")</f>
        <v>2015</v>
      </c>
      <c r="J2645" s="25" t="str">
        <f aca="false">IFERROR(IF(INDEX(Documents!$D$5:$D$657,MATCH(H2645,Documents!$A$5:$A$657,0))="","",INDEX(Documents!$D$5:$D$657,MATCH(H2645,Documents!$A$5:$A$657,0))),"")</f>
        <v>J Med Chem</v>
      </c>
      <c r="K2645" s="25" t="str">
        <f aca="false">IFERROR(IF(INDEX(Documents!$G$5:$G$657,MATCH(H2645,Documents!$A$5:$A$657,0))="","",INDEX(Documents!$G$5:$G$657,MATCH(H2645,Documents!$A$5:$A$657,0))),"")</f>
        <v>10.1021/acs.jmedchem.5b00283</v>
      </c>
      <c r="L2645" s="25" t="s">
        <v>950</v>
      </c>
    </row>
    <row r="2646" customFormat="false" ht="15" hidden="false" customHeight="false" outlineLevel="0" collapsed="false">
      <c r="A2646" s="25" t="n">
        <v>13858380</v>
      </c>
      <c r="B2646" s="25" t="s">
        <v>5672</v>
      </c>
      <c r="C2646" s="25" t="s">
        <v>5673</v>
      </c>
      <c r="D2646" s="26" t="n">
        <v>20.4</v>
      </c>
      <c r="E2646" s="27" t="n">
        <v>7.6903698325741</v>
      </c>
      <c r="F2646" s="27" t="n">
        <v>7.6903698325741</v>
      </c>
      <c r="G2646" s="25" t="s">
        <v>4912</v>
      </c>
      <c r="H2646" s="25" t="s">
        <v>4913</v>
      </c>
      <c r="I2646" s="25" t="n">
        <f aca="false">IFERROR(IF(INDEX(Documents!$C$5:$C$657,MATCH(H2646,Documents!$A$5:$A$657,0))="","",INDEX(Documents!$C$5:$C$657,MATCH(H2646,Documents!$A$5:$A$657,0))),"")</f>
        <v>2013</v>
      </c>
      <c r="J2646" s="25" t="str">
        <f aca="false">IFERROR(IF(INDEX(Documents!$D$5:$D$657,MATCH(H2646,Documents!$A$5:$A$657,0))="","",INDEX(Documents!$D$5:$D$657,MATCH(H2646,Documents!$A$5:$A$657,0))),"")</f>
        <v>J Med Chem</v>
      </c>
      <c r="K2646" s="25" t="str">
        <f aca="false">IFERROR(IF(INDEX(Documents!$G$5:$G$657,MATCH(H2646,Documents!$A$5:$A$657,0))="","",INDEX(Documents!$G$5:$G$657,MATCH(H2646,Documents!$A$5:$A$657,0))),"")</f>
        <v>10.1021/jm400305d</v>
      </c>
      <c r="L2646" s="25" t="s">
        <v>4914</v>
      </c>
    </row>
    <row r="2647" customFormat="false" ht="15" hidden="false" customHeight="false" outlineLevel="0" collapsed="false">
      <c r="A2647" s="25" t="n">
        <v>13858381</v>
      </c>
      <c r="B2647" s="25" t="s">
        <v>5674</v>
      </c>
      <c r="C2647" s="25" t="s">
        <v>5675</v>
      </c>
      <c r="D2647" s="26" t="n">
        <v>9.2</v>
      </c>
      <c r="E2647" s="27" t="n">
        <v>8.03621217265444</v>
      </c>
      <c r="F2647" s="27" t="n">
        <v>8.03621217265444</v>
      </c>
      <c r="G2647" s="25" t="s">
        <v>4912</v>
      </c>
      <c r="H2647" s="25" t="s">
        <v>4913</v>
      </c>
      <c r="I2647" s="25" t="n">
        <f aca="false">IFERROR(IF(INDEX(Documents!$C$5:$C$657,MATCH(H2647,Documents!$A$5:$A$657,0))="","",INDEX(Documents!$C$5:$C$657,MATCH(H2647,Documents!$A$5:$A$657,0))),"")</f>
        <v>2013</v>
      </c>
      <c r="J2647" s="25" t="str">
        <f aca="false">IFERROR(IF(INDEX(Documents!$D$5:$D$657,MATCH(H2647,Documents!$A$5:$A$657,0))="","",INDEX(Documents!$D$5:$D$657,MATCH(H2647,Documents!$A$5:$A$657,0))),"")</f>
        <v>J Med Chem</v>
      </c>
      <c r="K2647" s="25" t="str">
        <f aca="false">IFERROR(IF(INDEX(Documents!$G$5:$G$657,MATCH(H2647,Documents!$A$5:$A$657,0))="","",INDEX(Documents!$G$5:$G$657,MATCH(H2647,Documents!$A$5:$A$657,0))),"")</f>
        <v>10.1021/jm400305d</v>
      </c>
      <c r="L2647" s="25" t="s">
        <v>4914</v>
      </c>
    </row>
    <row r="2648" customFormat="false" ht="15" hidden="false" customHeight="false" outlineLevel="0" collapsed="false">
      <c r="A2648" s="25" t="n">
        <v>13858379</v>
      </c>
      <c r="B2648" s="25" t="s">
        <v>5676</v>
      </c>
      <c r="C2648" s="25" t="s">
        <v>5677</v>
      </c>
      <c r="D2648" s="26" t="n">
        <v>5.3</v>
      </c>
      <c r="E2648" s="27" t="n">
        <v>8.27572413039921</v>
      </c>
      <c r="F2648" s="27" t="n">
        <v>8.27572413039921</v>
      </c>
      <c r="G2648" s="25" t="s">
        <v>4912</v>
      </c>
      <c r="H2648" s="25" t="s">
        <v>4913</v>
      </c>
      <c r="I2648" s="25" t="n">
        <f aca="false">IFERROR(IF(INDEX(Documents!$C$5:$C$657,MATCH(H2648,Documents!$A$5:$A$657,0))="","",INDEX(Documents!$C$5:$C$657,MATCH(H2648,Documents!$A$5:$A$657,0))),"")</f>
        <v>2013</v>
      </c>
      <c r="J2648" s="25" t="str">
        <f aca="false">IFERROR(IF(INDEX(Documents!$D$5:$D$657,MATCH(H2648,Documents!$A$5:$A$657,0))="","",INDEX(Documents!$D$5:$D$657,MATCH(H2648,Documents!$A$5:$A$657,0))),"")</f>
        <v>J Med Chem</v>
      </c>
      <c r="K2648" s="25" t="str">
        <f aca="false">IFERROR(IF(INDEX(Documents!$G$5:$G$657,MATCH(H2648,Documents!$A$5:$A$657,0))="","",INDEX(Documents!$G$5:$G$657,MATCH(H2648,Documents!$A$5:$A$657,0))),"")</f>
        <v>10.1021/jm400305d</v>
      </c>
      <c r="L2648" s="25" t="s">
        <v>4914</v>
      </c>
    </row>
    <row r="2649" customFormat="false" ht="15" hidden="false" customHeight="false" outlineLevel="0" collapsed="false">
      <c r="A2649" s="25" t="n">
        <v>5205783</v>
      </c>
      <c r="B2649" s="25" t="s">
        <v>5678</v>
      </c>
      <c r="C2649" s="25" t="s">
        <v>5679</v>
      </c>
      <c r="D2649" s="26" t="n">
        <v>10</v>
      </c>
      <c r="E2649" s="27" t="n">
        <v>8</v>
      </c>
      <c r="F2649" s="27" t="n">
        <v>8</v>
      </c>
      <c r="G2649" s="25" t="s">
        <v>461</v>
      </c>
      <c r="H2649" s="25" t="s">
        <v>462</v>
      </c>
      <c r="I2649" s="25" t="n">
        <f aca="false">IFERROR(IF(INDEX(Documents!$C$5:$C$657,MATCH(H2649,Documents!$A$5:$A$657,0))="","",INDEX(Documents!$C$5:$C$657,MATCH(H2649,Documents!$A$5:$A$657,0))),"")</f>
        <v>2011</v>
      </c>
      <c r="J2649" s="25" t="str">
        <f aca="false">IFERROR(IF(INDEX(Documents!$D$5:$D$657,MATCH(H2649,Documents!$A$5:$A$657,0))="","",INDEX(Documents!$D$5:$D$657,MATCH(H2649,Documents!$A$5:$A$657,0))),"")</f>
        <v>Eur J Med Chem</v>
      </c>
      <c r="K2649" s="25" t="str">
        <f aca="false">IFERROR(IF(INDEX(Documents!$G$5:$G$657,MATCH(H2649,Documents!$A$5:$A$657,0))="","",INDEX(Documents!$G$5:$G$657,MATCH(H2649,Documents!$A$5:$A$657,0))),"")</f>
        <v>10.1016/j.ejmech.2010.11.034</v>
      </c>
      <c r="L2649" s="25" t="s">
        <v>463</v>
      </c>
    </row>
    <row r="2650" customFormat="false" ht="15" hidden="false" customHeight="false" outlineLevel="0" collapsed="false">
      <c r="A2650" s="25" t="n">
        <v>5205751</v>
      </c>
      <c r="B2650" s="25" t="s">
        <v>5680</v>
      </c>
      <c r="C2650" s="25" t="s">
        <v>5681</v>
      </c>
      <c r="D2650" s="26" t="n">
        <v>0.64</v>
      </c>
      <c r="E2650" s="27" t="n">
        <v>9.19382002601611</v>
      </c>
      <c r="F2650" s="27" t="n">
        <v>9.19382002601611</v>
      </c>
      <c r="G2650" s="25" t="s">
        <v>461</v>
      </c>
      <c r="H2650" s="25" t="s">
        <v>462</v>
      </c>
      <c r="I2650" s="25" t="n">
        <f aca="false">IFERROR(IF(INDEX(Documents!$C$5:$C$657,MATCH(H2650,Documents!$A$5:$A$657,0))="","",INDEX(Documents!$C$5:$C$657,MATCH(H2650,Documents!$A$5:$A$657,0))),"")</f>
        <v>2011</v>
      </c>
      <c r="J2650" s="25" t="str">
        <f aca="false">IFERROR(IF(INDEX(Documents!$D$5:$D$657,MATCH(H2650,Documents!$A$5:$A$657,0))="","",INDEX(Documents!$D$5:$D$657,MATCH(H2650,Documents!$A$5:$A$657,0))),"")</f>
        <v>Eur J Med Chem</v>
      </c>
      <c r="K2650" s="25" t="str">
        <f aca="false">IFERROR(IF(INDEX(Documents!$G$5:$G$657,MATCH(H2650,Documents!$A$5:$A$657,0))="","",INDEX(Documents!$G$5:$G$657,MATCH(H2650,Documents!$A$5:$A$657,0))),"")</f>
        <v>10.1016/j.ejmech.2010.11.034</v>
      </c>
      <c r="L2650" s="25" t="s">
        <v>463</v>
      </c>
    </row>
    <row r="2651" customFormat="false" ht="15" hidden="false" customHeight="false" outlineLevel="0" collapsed="false">
      <c r="A2651" s="25" t="n">
        <v>13850295</v>
      </c>
      <c r="B2651" s="25" t="s">
        <v>5682</v>
      </c>
      <c r="C2651" s="25" t="s">
        <v>5681</v>
      </c>
      <c r="D2651" s="26" t="n">
        <v>0.64</v>
      </c>
      <c r="E2651" s="27" t="n">
        <v>9.19382002601611</v>
      </c>
      <c r="F2651" s="27" t="n">
        <v>9.19382002601611</v>
      </c>
      <c r="G2651" s="25" t="s">
        <v>4133</v>
      </c>
      <c r="H2651" s="25" t="s">
        <v>4134</v>
      </c>
      <c r="I2651" s="25" t="n">
        <f aca="false">IFERROR(IF(INDEX(Documents!$C$5:$C$657,MATCH(H2651,Documents!$A$5:$A$657,0))="","",INDEX(Documents!$C$5:$C$657,MATCH(H2651,Documents!$A$5:$A$657,0))),"")</f>
        <v>2013</v>
      </c>
      <c r="J2651" s="25" t="str">
        <f aca="false">IFERROR(IF(INDEX(Documents!$D$5:$D$657,MATCH(H2651,Documents!$A$5:$A$657,0))="","",INDEX(Documents!$D$5:$D$657,MATCH(H2651,Documents!$A$5:$A$657,0))),"")</f>
        <v>Bioorg Med Chem</v>
      </c>
      <c r="K2651" s="25" t="str">
        <f aca="false">IFERROR(IF(INDEX(Documents!$G$5:$G$657,MATCH(H2651,Documents!$A$5:$A$657,0))="","",INDEX(Documents!$G$5:$G$657,MATCH(H2651,Documents!$A$5:$A$657,0))),"")</f>
        <v>10.1016/j.bmc.2013.09.040</v>
      </c>
      <c r="L2651" s="25" t="s">
        <v>4135</v>
      </c>
    </row>
    <row r="2652" customFormat="false" ht="15" hidden="false" customHeight="false" outlineLevel="0" collapsed="false">
      <c r="A2652" s="25" t="n">
        <v>19105746</v>
      </c>
      <c r="B2652" s="25" t="s">
        <v>5683</v>
      </c>
      <c r="C2652" s="25" t="s">
        <v>5684</v>
      </c>
      <c r="D2652" s="26" t="n">
        <v>10000</v>
      </c>
      <c r="E2652" s="27" t="n">
        <v>5</v>
      </c>
      <c r="F2652" s="27" t="n">
        <v>5</v>
      </c>
      <c r="G2652" s="25" t="s">
        <v>4300</v>
      </c>
      <c r="H2652" s="25" t="s">
        <v>4301</v>
      </c>
      <c r="I2652" s="25" t="n">
        <f aca="false">IFERROR(IF(INDEX(Documents!$C$5:$C$657,MATCH(H2652,Documents!$A$5:$A$657,0))="","",INDEX(Documents!$C$5:$C$657,MATCH(H2652,Documents!$A$5:$A$657,0))),"")</f>
        <v>2018</v>
      </c>
      <c r="J2652" s="25" t="str">
        <f aca="false">IFERROR(IF(INDEX(Documents!$D$5:$D$657,MATCH(H2652,Documents!$A$5:$A$657,0))="","",INDEX(Documents!$D$5:$D$657,MATCH(H2652,Documents!$A$5:$A$657,0))),"")</f>
        <v>Medchemcomm</v>
      </c>
      <c r="K2652" s="25" t="str">
        <f aca="false">IFERROR(IF(INDEX(Documents!$G$5:$G$657,MATCH(H2652,Documents!$A$5:$A$657,0))="","",INDEX(Documents!$G$5:$G$657,MATCH(H2652,Documents!$A$5:$A$657,0))),"")</f>
        <v>10.1039/C8MD00461G</v>
      </c>
      <c r="L2652" s="25" t="s">
        <v>4302</v>
      </c>
    </row>
    <row r="2653" customFormat="false" ht="15" hidden="false" customHeight="false" outlineLevel="0" collapsed="false">
      <c r="A2653" s="25" t="n">
        <v>10857010</v>
      </c>
      <c r="B2653" s="25" t="s">
        <v>5685</v>
      </c>
      <c r="C2653" s="25" t="s">
        <v>5686</v>
      </c>
      <c r="D2653" s="26" t="n">
        <v>294</v>
      </c>
      <c r="E2653" s="27" t="n">
        <v>6.53165266958784</v>
      </c>
      <c r="F2653" s="27" t="n">
        <v>6.53165266958784</v>
      </c>
      <c r="G2653" s="25" t="s">
        <v>4291</v>
      </c>
      <c r="H2653" s="25" t="s">
        <v>4292</v>
      </c>
      <c r="I2653" s="25" t="n">
        <f aca="false">IFERROR(IF(INDEX(Documents!$C$5:$C$657,MATCH(H2653,Documents!$A$5:$A$657,0))="","",INDEX(Documents!$C$5:$C$657,MATCH(H2653,Documents!$A$5:$A$657,0))),"")</f>
        <v>2012</v>
      </c>
      <c r="J2653" s="25" t="str">
        <f aca="false">IFERROR(IF(INDEX(Documents!$D$5:$D$657,MATCH(H2653,Documents!$A$5:$A$657,0))="","",INDEX(Documents!$D$5:$D$657,MATCH(H2653,Documents!$A$5:$A$657,0))),"")</f>
        <v>Bioorg Med Chem Lett</v>
      </c>
      <c r="K2653" s="25" t="str">
        <f aca="false">IFERROR(IF(INDEX(Documents!$G$5:$G$657,MATCH(H2653,Documents!$A$5:$A$657,0))="","",INDEX(Documents!$G$5:$G$657,MATCH(H2653,Documents!$A$5:$A$657,0))),"")</f>
        <v>10.1016/j.bmcl.2012.02.072</v>
      </c>
      <c r="L2653" s="25" t="s">
        <v>4293</v>
      </c>
    </row>
    <row r="2654" customFormat="false" ht="15" hidden="false" customHeight="false" outlineLevel="0" collapsed="false">
      <c r="A2654" s="25" t="n">
        <v>13330406</v>
      </c>
      <c r="B2654" s="25" t="s">
        <v>5687</v>
      </c>
      <c r="C2654" s="25" t="s">
        <v>5688</v>
      </c>
      <c r="D2654" s="26" t="n">
        <v>8</v>
      </c>
      <c r="E2654" s="27" t="n">
        <v>8.09691001300806</v>
      </c>
      <c r="F2654" s="27" t="n">
        <v>8.09691001300806</v>
      </c>
      <c r="G2654" s="25" t="s">
        <v>1055</v>
      </c>
      <c r="H2654" s="25" t="s">
        <v>1056</v>
      </c>
      <c r="I2654" s="25" t="n">
        <f aca="false">IFERROR(IF(INDEX(Documents!$C$5:$C$657,MATCH(H2654,Documents!$A$5:$A$657,0))="","",INDEX(Documents!$C$5:$C$657,MATCH(H2654,Documents!$A$5:$A$657,0))),"")</f>
        <v>2013</v>
      </c>
      <c r="J2654" s="25" t="str">
        <f aca="false">IFERROR(IF(INDEX(Documents!$D$5:$D$657,MATCH(H2654,Documents!$A$5:$A$657,0))="","",INDEX(Documents!$D$5:$D$657,MATCH(H2654,Documents!$A$5:$A$657,0))),"")</f>
        <v>Bioorg Med Chem</v>
      </c>
      <c r="K2654" s="25" t="str">
        <f aca="false">IFERROR(IF(INDEX(Documents!$G$5:$G$657,MATCH(H2654,Documents!$A$5:$A$657,0))="","",INDEX(Documents!$G$5:$G$657,MATCH(H2654,Documents!$A$5:$A$657,0))),"")</f>
        <v>10.1016/j.bmc.2013.03.030</v>
      </c>
      <c r="L2654" s="25" t="s">
        <v>1057</v>
      </c>
    </row>
    <row r="2655" customFormat="false" ht="15" hidden="false" customHeight="false" outlineLevel="0" collapsed="false">
      <c r="A2655" s="25" t="n">
        <v>2980586</v>
      </c>
      <c r="B2655" s="25" t="s">
        <v>5689</v>
      </c>
      <c r="C2655" s="25" t="s">
        <v>5690</v>
      </c>
      <c r="D2655" s="26" t="n">
        <v>3.162</v>
      </c>
      <c r="E2655" s="27" t="n">
        <v>8.50003813440381</v>
      </c>
      <c r="F2655" s="27" t="n">
        <v>8.50433822028477</v>
      </c>
      <c r="G2655" s="25" t="s">
        <v>599</v>
      </c>
      <c r="H2655" s="25" t="s">
        <v>600</v>
      </c>
      <c r="I2655" s="25" t="n">
        <f aca="false">IFERROR(IF(INDEX(Documents!$C$5:$C$657,MATCH(H2655,Documents!$A$5:$A$657,0))="","",INDEX(Documents!$C$5:$C$657,MATCH(H2655,Documents!$A$5:$A$657,0))),"")</f>
        <v>2010</v>
      </c>
      <c r="J2655" s="25" t="str">
        <f aca="false">IFERROR(IF(INDEX(Documents!$D$5:$D$657,MATCH(H2655,Documents!$A$5:$A$657,0))="","",INDEX(Documents!$D$5:$D$657,MATCH(H2655,Documents!$A$5:$A$657,0))),"")</f>
        <v>J Med Chem</v>
      </c>
      <c r="K2655" s="25" t="str">
        <f aca="false">IFERROR(IF(INDEX(Documents!$G$5:$G$657,MATCH(H2655,Documents!$A$5:$A$657,0))="","",INDEX(Documents!$G$5:$G$657,MATCH(H2655,Documents!$A$5:$A$657,0))),"")</f>
        <v>10.1021/jm901214q</v>
      </c>
      <c r="L2655" s="25" t="s">
        <v>601</v>
      </c>
    </row>
    <row r="2656" customFormat="false" ht="15" hidden="false" customHeight="false" outlineLevel="0" collapsed="false">
      <c r="A2656" s="25" t="n">
        <v>2980491</v>
      </c>
      <c r="B2656" s="25" t="s">
        <v>5689</v>
      </c>
      <c r="C2656" s="25" t="s">
        <v>5690</v>
      </c>
      <c r="D2656" s="26" t="n">
        <v>3.1</v>
      </c>
      <c r="E2656" s="27" t="n">
        <v>8.50863830616573</v>
      </c>
      <c r="F2656" s="27" t="n">
        <v>8.50433822028477</v>
      </c>
      <c r="G2656" s="25" t="s">
        <v>599</v>
      </c>
      <c r="H2656" s="25" t="s">
        <v>600</v>
      </c>
      <c r="I2656" s="25" t="n">
        <f aca="false">IFERROR(IF(INDEX(Documents!$C$5:$C$657,MATCH(H2656,Documents!$A$5:$A$657,0))="","",INDEX(Documents!$C$5:$C$657,MATCH(H2656,Documents!$A$5:$A$657,0))),"")</f>
        <v>2010</v>
      </c>
      <c r="J2656" s="25" t="str">
        <f aca="false">IFERROR(IF(INDEX(Documents!$D$5:$D$657,MATCH(H2656,Documents!$A$5:$A$657,0))="","",INDEX(Documents!$D$5:$D$657,MATCH(H2656,Documents!$A$5:$A$657,0))),"")</f>
        <v>J Med Chem</v>
      </c>
      <c r="K2656" s="25" t="str">
        <f aca="false">IFERROR(IF(INDEX(Documents!$G$5:$G$657,MATCH(H2656,Documents!$A$5:$A$657,0))="","",INDEX(Documents!$G$5:$G$657,MATCH(H2656,Documents!$A$5:$A$657,0))),"")</f>
        <v>10.1021/jm901214q</v>
      </c>
      <c r="L2656" s="25" t="s">
        <v>601</v>
      </c>
    </row>
    <row r="2657" customFormat="false" ht="15" hidden="false" customHeight="false" outlineLevel="0" collapsed="false">
      <c r="A2657" s="25" t="n">
        <v>12052745</v>
      </c>
      <c r="B2657" s="25" t="s">
        <v>5691</v>
      </c>
      <c r="C2657" s="25" t="s">
        <v>5692</v>
      </c>
      <c r="D2657" s="26" t="n">
        <v>5.5</v>
      </c>
      <c r="E2657" s="27" t="n">
        <v>8.25963731050576</v>
      </c>
      <c r="F2657" s="27" t="n">
        <v>8.25963731050576</v>
      </c>
      <c r="G2657" s="25" t="s">
        <v>587</v>
      </c>
      <c r="H2657" s="25" t="s">
        <v>588</v>
      </c>
      <c r="I2657" s="25" t="n">
        <f aca="false">IFERROR(IF(INDEX(Documents!$C$5:$C$657,MATCH(H2657,Documents!$A$5:$A$657,0))="","",INDEX(Documents!$C$5:$C$657,MATCH(H2657,Documents!$A$5:$A$657,0))),"")</f>
        <v>2012</v>
      </c>
      <c r="J2657" s="25" t="str">
        <f aca="false">IFERROR(IF(INDEX(Documents!$D$5:$D$657,MATCH(H2657,Documents!$A$5:$A$657,0))="","",INDEX(Documents!$D$5:$D$657,MATCH(H2657,Documents!$A$5:$A$657,0))),"")</f>
        <v>Eur J Med Chem</v>
      </c>
      <c r="K2657" s="25" t="str">
        <f aca="false">IFERROR(IF(INDEX(Documents!$G$5:$G$657,MATCH(H2657,Documents!$A$5:$A$657,0))="","",INDEX(Documents!$G$5:$G$657,MATCH(H2657,Documents!$A$5:$A$657,0))),"")</f>
        <v>10.1016/j.ejmech.2012.09.035</v>
      </c>
      <c r="L2657" s="25" t="s">
        <v>589</v>
      </c>
    </row>
    <row r="2658" customFormat="false" ht="15" hidden="false" customHeight="false" outlineLevel="0" collapsed="false">
      <c r="A2658" s="25" t="n">
        <v>12052755</v>
      </c>
      <c r="B2658" s="25" t="s">
        <v>5693</v>
      </c>
      <c r="C2658" s="25" t="s">
        <v>5694</v>
      </c>
      <c r="D2658" s="26" t="n">
        <v>1.1</v>
      </c>
      <c r="E2658" s="27" t="n">
        <v>8.95860731484178</v>
      </c>
      <c r="F2658" s="27" t="n">
        <v>8.95860731484178</v>
      </c>
      <c r="G2658" s="25" t="s">
        <v>587</v>
      </c>
      <c r="H2658" s="25" t="s">
        <v>588</v>
      </c>
      <c r="I2658" s="25" t="n">
        <f aca="false">IFERROR(IF(INDEX(Documents!$C$5:$C$657,MATCH(H2658,Documents!$A$5:$A$657,0))="","",INDEX(Documents!$C$5:$C$657,MATCH(H2658,Documents!$A$5:$A$657,0))),"")</f>
        <v>2012</v>
      </c>
      <c r="J2658" s="25" t="str">
        <f aca="false">IFERROR(IF(INDEX(Documents!$D$5:$D$657,MATCH(H2658,Documents!$A$5:$A$657,0))="","",INDEX(Documents!$D$5:$D$657,MATCH(H2658,Documents!$A$5:$A$657,0))),"")</f>
        <v>Eur J Med Chem</v>
      </c>
      <c r="K2658" s="25" t="str">
        <f aca="false">IFERROR(IF(INDEX(Documents!$G$5:$G$657,MATCH(H2658,Documents!$A$5:$A$657,0))="","",INDEX(Documents!$G$5:$G$657,MATCH(H2658,Documents!$A$5:$A$657,0))),"")</f>
        <v>10.1016/j.ejmech.2012.09.035</v>
      </c>
      <c r="L2658" s="25" t="s">
        <v>589</v>
      </c>
    </row>
    <row r="2659" customFormat="false" ht="15" hidden="false" customHeight="false" outlineLevel="0" collapsed="false">
      <c r="A2659" s="25" t="n">
        <v>6366833</v>
      </c>
      <c r="B2659" s="25" t="s">
        <v>5695</v>
      </c>
      <c r="C2659" s="25" t="s">
        <v>5696</v>
      </c>
      <c r="D2659" s="26" t="n">
        <v>316.23</v>
      </c>
      <c r="E2659" s="27" t="n">
        <v>6.49999693194831</v>
      </c>
      <c r="F2659" s="27" t="n">
        <v>6.49999693194831</v>
      </c>
      <c r="G2659" s="25" t="s">
        <v>2229</v>
      </c>
      <c r="H2659" s="25" t="s">
        <v>2230</v>
      </c>
      <c r="I2659" s="25" t="n">
        <f aca="false">IFERROR(IF(INDEX(Documents!$C$5:$C$657,MATCH(H2659,Documents!$A$5:$A$657,0))="","",INDEX(Documents!$C$5:$C$657,MATCH(H2659,Documents!$A$5:$A$657,0))),"")</f>
        <v>2011</v>
      </c>
      <c r="J2659" s="25" t="str">
        <f aca="false">IFERROR(IF(INDEX(Documents!$D$5:$D$657,MATCH(H2659,Documents!$A$5:$A$657,0))="","",INDEX(Documents!$D$5:$D$657,MATCH(H2659,Documents!$A$5:$A$657,0))),"")</f>
        <v>Eur J Med Chem</v>
      </c>
      <c r="K2659" s="25" t="str">
        <f aca="false">IFERROR(IF(INDEX(Documents!$G$5:$G$657,MATCH(H2659,Documents!$A$5:$A$657,0))="","",INDEX(Documents!$G$5:$G$657,MATCH(H2659,Documents!$A$5:$A$657,0))),"")</f>
        <v>10.1016/j.ejmech.2011.08.021</v>
      </c>
      <c r="L2659" s="25" t="s">
        <v>2231</v>
      </c>
    </row>
    <row r="2660" customFormat="false" ht="15" hidden="false" customHeight="false" outlineLevel="0" collapsed="false">
      <c r="A2660" s="25" t="n">
        <v>6366832</v>
      </c>
      <c r="B2660" s="25" t="s">
        <v>5697</v>
      </c>
      <c r="C2660" s="25" t="s">
        <v>5698</v>
      </c>
      <c r="D2660" s="26" t="n">
        <v>251.19</v>
      </c>
      <c r="E2660" s="27" t="n">
        <v>6.59999765407205</v>
      </c>
      <c r="F2660" s="27" t="n">
        <v>6.59999765407205</v>
      </c>
      <c r="G2660" s="25" t="s">
        <v>2229</v>
      </c>
      <c r="H2660" s="25" t="s">
        <v>2230</v>
      </c>
      <c r="I2660" s="25" t="n">
        <f aca="false">IFERROR(IF(INDEX(Documents!$C$5:$C$657,MATCH(H2660,Documents!$A$5:$A$657,0))="","",INDEX(Documents!$C$5:$C$657,MATCH(H2660,Documents!$A$5:$A$657,0))),"")</f>
        <v>2011</v>
      </c>
      <c r="J2660" s="25" t="str">
        <f aca="false">IFERROR(IF(INDEX(Documents!$D$5:$D$657,MATCH(H2660,Documents!$A$5:$A$657,0))="","",INDEX(Documents!$D$5:$D$657,MATCH(H2660,Documents!$A$5:$A$657,0))),"")</f>
        <v>Eur J Med Chem</v>
      </c>
      <c r="K2660" s="25" t="str">
        <f aca="false">IFERROR(IF(INDEX(Documents!$G$5:$G$657,MATCH(H2660,Documents!$A$5:$A$657,0))="","",INDEX(Documents!$G$5:$G$657,MATCH(H2660,Documents!$A$5:$A$657,0))),"")</f>
        <v>10.1016/j.ejmech.2011.08.021</v>
      </c>
      <c r="L2660" s="25" t="s">
        <v>2231</v>
      </c>
    </row>
    <row r="2661" customFormat="false" ht="15" hidden="false" customHeight="false" outlineLevel="0" collapsed="false">
      <c r="A2661" s="25" t="n">
        <v>6366835</v>
      </c>
      <c r="B2661" s="25" t="s">
        <v>5699</v>
      </c>
      <c r="C2661" s="25" t="s">
        <v>5700</v>
      </c>
      <c r="D2661" s="26" t="n">
        <v>199.53</v>
      </c>
      <c r="E2661" s="27" t="n">
        <v>6.69999179744619</v>
      </c>
      <c r="F2661" s="27" t="n">
        <v>6.69999179744619</v>
      </c>
      <c r="G2661" s="25" t="s">
        <v>2229</v>
      </c>
      <c r="H2661" s="25" t="s">
        <v>2230</v>
      </c>
      <c r="I2661" s="25" t="n">
        <f aca="false">IFERROR(IF(INDEX(Documents!$C$5:$C$657,MATCH(H2661,Documents!$A$5:$A$657,0))="","",INDEX(Documents!$C$5:$C$657,MATCH(H2661,Documents!$A$5:$A$657,0))),"")</f>
        <v>2011</v>
      </c>
      <c r="J2661" s="25" t="str">
        <f aca="false">IFERROR(IF(INDEX(Documents!$D$5:$D$657,MATCH(H2661,Documents!$A$5:$A$657,0))="","",INDEX(Documents!$D$5:$D$657,MATCH(H2661,Documents!$A$5:$A$657,0))),"")</f>
        <v>Eur J Med Chem</v>
      </c>
      <c r="K2661" s="25" t="str">
        <f aca="false">IFERROR(IF(INDEX(Documents!$G$5:$G$657,MATCH(H2661,Documents!$A$5:$A$657,0))="","",INDEX(Documents!$G$5:$G$657,MATCH(H2661,Documents!$A$5:$A$657,0))),"")</f>
        <v>10.1016/j.ejmech.2011.08.021</v>
      </c>
      <c r="L2661" s="25" t="s">
        <v>2231</v>
      </c>
    </row>
    <row r="2662" customFormat="false" ht="15" hidden="false" customHeight="false" outlineLevel="0" collapsed="false">
      <c r="A2662" s="25" t="n">
        <v>6366837</v>
      </c>
      <c r="B2662" s="25" t="s">
        <v>5701</v>
      </c>
      <c r="C2662" s="25" t="s">
        <v>5702</v>
      </c>
      <c r="D2662" s="26" t="n">
        <v>25.12</v>
      </c>
      <c r="E2662" s="27" t="n">
        <v>7.59998036493484</v>
      </c>
      <c r="F2662" s="27" t="n">
        <v>7.59998036493484</v>
      </c>
      <c r="G2662" s="25" t="s">
        <v>2229</v>
      </c>
      <c r="H2662" s="25" t="s">
        <v>2230</v>
      </c>
      <c r="I2662" s="25" t="n">
        <f aca="false">IFERROR(IF(INDEX(Documents!$C$5:$C$657,MATCH(H2662,Documents!$A$5:$A$657,0))="","",INDEX(Documents!$C$5:$C$657,MATCH(H2662,Documents!$A$5:$A$657,0))),"")</f>
        <v>2011</v>
      </c>
      <c r="J2662" s="25" t="str">
        <f aca="false">IFERROR(IF(INDEX(Documents!$D$5:$D$657,MATCH(H2662,Documents!$A$5:$A$657,0))="","",INDEX(Documents!$D$5:$D$657,MATCH(H2662,Documents!$A$5:$A$657,0))),"")</f>
        <v>Eur J Med Chem</v>
      </c>
      <c r="K2662" s="25" t="str">
        <f aca="false">IFERROR(IF(INDEX(Documents!$G$5:$G$657,MATCH(H2662,Documents!$A$5:$A$657,0))="","",INDEX(Documents!$G$5:$G$657,MATCH(H2662,Documents!$A$5:$A$657,0))),"")</f>
        <v>10.1016/j.ejmech.2011.08.021</v>
      </c>
      <c r="L2662" s="25" t="s">
        <v>2231</v>
      </c>
    </row>
    <row r="2663" customFormat="false" ht="15" hidden="false" customHeight="false" outlineLevel="0" collapsed="false">
      <c r="A2663" s="25" t="n">
        <v>6366808</v>
      </c>
      <c r="B2663" s="25" t="s">
        <v>5703</v>
      </c>
      <c r="C2663" s="25" t="s">
        <v>5704</v>
      </c>
      <c r="D2663" s="26" t="n">
        <v>630.96</v>
      </c>
      <c r="E2663" s="27" t="n">
        <v>6.19999817218203</v>
      </c>
      <c r="F2663" s="27" t="n">
        <v>6.19999817218203</v>
      </c>
      <c r="G2663" s="25" t="s">
        <v>2229</v>
      </c>
      <c r="H2663" s="25" t="s">
        <v>2230</v>
      </c>
      <c r="I2663" s="25" t="n">
        <f aca="false">IFERROR(IF(INDEX(Documents!$C$5:$C$657,MATCH(H2663,Documents!$A$5:$A$657,0))="","",INDEX(Documents!$C$5:$C$657,MATCH(H2663,Documents!$A$5:$A$657,0))),"")</f>
        <v>2011</v>
      </c>
      <c r="J2663" s="25" t="str">
        <f aca="false">IFERROR(IF(INDEX(Documents!$D$5:$D$657,MATCH(H2663,Documents!$A$5:$A$657,0))="","",INDEX(Documents!$D$5:$D$657,MATCH(H2663,Documents!$A$5:$A$657,0))),"")</f>
        <v>Eur J Med Chem</v>
      </c>
      <c r="K2663" s="25" t="str">
        <f aca="false">IFERROR(IF(INDEX(Documents!$G$5:$G$657,MATCH(H2663,Documents!$A$5:$A$657,0))="","",INDEX(Documents!$G$5:$G$657,MATCH(H2663,Documents!$A$5:$A$657,0))),"")</f>
        <v>10.1016/j.ejmech.2011.08.021</v>
      </c>
      <c r="L2663" s="25" t="s">
        <v>2231</v>
      </c>
    </row>
    <row r="2664" customFormat="false" ht="15" hidden="false" customHeight="false" outlineLevel="0" collapsed="false">
      <c r="A2664" s="25" t="n">
        <v>16263507</v>
      </c>
      <c r="B2664" s="25" t="s">
        <v>5705</v>
      </c>
      <c r="C2664" s="25" t="s">
        <v>5706</v>
      </c>
      <c r="D2664" s="26" t="n">
        <v>45</v>
      </c>
      <c r="E2664" s="27" t="n">
        <v>7.34678748622466</v>
      </c>
      <c r="F2664" s="27" t="n">
        <v>7.34678748622466</v>
      </c>
      <c r="G2664" s="25" t="s">
        <v>326</v>
      </c>
      <c r="H2664" s="25" t="s">
        <v>327</v>
      </c>
      <c r="I2664" s="25" t="n">
        <f aca="false">IFERROR(IF(INDEX(Documents!$C$5:$C$657,MATCH(H2664,Documents!$A$5:$A$657,0))="","",INDEX(Documents!$C$5:$C$657,MATCH(H2664,Documents!$A$5:$A$657,0))),"")</f>
        <v>2014</v>
      </c>
      <c r="J2664" s="25" t="str">
        <f aca="false">IFERROR(IF(INDEX(Documents!$D$5:$D$657,MATCH(H2664,Documents!$A$5:$A$657,0))="","",INDEX(Documents!$D$5:$D$657,MATCH(H2664,Documents!$A$5:$A$657,0))),"")</f>
        <v/>
      </c>
      <c r="K2664" s="25" t="str">
        <f aca="false">IFERROR(IF(INDEX(Documents!$G$5:$G$657,MATCH(H2664,Documents!$A$5:$A$657,0))="","",INDEX(Documents!$G$5:$G$657,MATCH(H2664,Documents!$A$5:$A$657,0))),"")</f>
        <v/>
      </c>
      <c r="L2664" s="25" t="s">
        <v>328</v>
      </c>
    </row>
    <row r="2665" customFormat="false" ht="15" hidden="false" customHeight="false" outlineLevel="0" collapsed="false">
      <c r="A2665" s="25" t="n">
        <v>17651704</v>
      </c>
      <c r="B2665" s="25" t="s">
        <v>5707</v>
      </c>
      <c r="C2665" s="25" t="s">
        <v>5708</v>
      </c>
      <c r="D2665" s="26" t="n">
        <v>39</v>
      </c>
      <c r="E2665" s="27" t="n">
        <v>7.4089353929735</v>
      </c>
      <c r="F2665" s="27" t="n">
        <v>7.4089353929735</v>
      </c>
      <c r="G2665" s="25" t="s">
        <v>730</v>
      </c>
      <c r="H2665" s="25" t="s">
        <v>731</v>
      </c>
      <c r="I2665" s="25" t="n">
        <f aca="false">IFERROR(IF(INDEX(Documents!$C$5:$C$657,MATCH(H2665,Documents!$A$5:$A$657,0))="","",INDEX(Documents!$C$5:$C$657,MATCH(H2665,Documents!$A$5:$A$657,0))),"")</f>
        <v>2014</v>
      </c>
      <c r="J2665" s="25" t="str">
        <f aca="false">IFERROR(IF(INDEX(Documents!$D$5:$D$657,MATCH(H2665,Documents!$A$5:$A$657,0))="","",INDEX(Documents!$D$5:$D$657,MATCH(H2665,Documents!$A$5:$A$657,0))),"")</f>
        <v/>
      </c>
      <c r="K2665" s="25" t="str">
        <f aca="false">IFERROR(IF(INDEX(Documents!$G$5:$G$657,MATCH(H2665,Documents!$A$5:$A$657,0))="","",INDEX(Documents!$G$5:$G$657,MATCH(H2665,Documents!$A$5:$A$657,0))),"")</f>
        <v/>
      </c>
      <c r="L2665" s="25" t="s">
        <v>732</v>
      </c>
    </row>
    <row r="2666" customFormat="false" ht="15" hidden="false" customHeight="false" outlineLevel="0" collapsed="false">
      <c r="A2666" s="25" t="n">
        <v>15656083</v>
      </c>
      <c r="B2666" s="25" t="s">
        <v>5709</v>
      </c>
      <c r="C2666" s="25" t="s">
        <v>5710</v>
      </c>
      <c r="D2666" s="26" t="n">
        <v>860</v>
      </c>
      <c r="E2666" s="27" t="n">
        <v>6.06550154875643</v>
      </c>
      <c r="F2666" s="27" t="n">
        <v>6.06550154875643</v>
      </c>
      <c r="G2666" s="25" t="s">
        <v>5711</v>
      </c>
      <c r="H2666" s="25" t="s">
        <v>5712</v>
      </c>
      <c r="I2666" s="25" t="n">
        <f aca="false">IFERROR(IF(INDEX(Documents!$C$5:$C$657,MATCH(H2666,Documents!$A$5:$A$657,0))="","",INDEX(Documents!$C$5:$C$657,MATCH(H2666,Documents!$A$5:$A$657,0))),"")</f>
        <v>2015</v>
      </c>
      <c r="J2666" s="25" t="str">
        <f aca="false">IFERROR(IF(INDEX(Documents!$D$5:$D$657,MATCH(H2666,Documents!$A$5:$A$657,0))="","",INDEX(Documents!$D$5:$D$657,MATCH(H2666,Documents!$A$5:$A$657,0))),"")</f>
        <v>J Nat Prod</v>
      </c>
      <c r="K2666" s="25" t="str">
        <f aca="false">IFERROR(IF(INDEX(Documents!$G$5:$G$657,MATCH(H2666,Documents!$A$5:$A$657,0))="","",INDEX(Documents!$G$5:$G$657,MATCH(H2666,Documents!$A$5:$A$657,0))),"")</f>
        <v>10.1021/acs.jnatprod.5b00301</v>
      </c>
      <c r="L2666" s="25" t="s">
        <v>5713</v>
      </c>
    </row>
    <row r="2667" customFormat="false" ht="15" hidden="false" customHeight="false" outlineLevel="0" collapsed="false">
      <c r="A2667" s="25" t="n">
        <v>15656084</v>
      </c>
      <c r="B2667" s="25" t="s">
        <v>5714</v>
      </c>
      <c r="C2667" s="25" t="s">
        <v>5715</v>
      </c>
      <c r="D2667" s="26" t="n">
        <v>1030</v>
      </c>
      <c r="E2667" s="27" t="n">
        <v>5.98716277529483</v>
      </c>
      <c r="F2667" s="27" t="n">
        <v>5.98716277529483</v>
      </c>
      <c r="G2667" s="25" t="s">
        <v>5711</v>
      </c>
      <c r="H2667" s="25" t="s">
        <v>5712</v>
      </c>
      <c r="I2667" s="25" t="n">
        <f aca="false">IFERROR(IF(INDEX(Documents!$C$5:$C$657,MATCH(H2667,Documents!$A$5:$A$657,0))="","",INDEX(Documents!$C$5:$C$657,MATCH(H2667,Documents!$A$5:$A$657,0))),"")</f>
        <v>2015</v>
      </c>
      <c r="J2667" s="25" t="str">
        <f aca="false">IFERROR(IF(INDEX(Documents!$D$5:$D$657,MATCH(H2667,Documents!$A$5:$A$657,0))="","",INDEX(Documents!$D$5:$D$657,MATCH(H2667,Documents!$A$5:$A$657,0))),"")</f>
        <v>J Nat Prod</v>
      </c>
      <c r="K2667" s="25" t="str">
        <f aca="false">IFERROR(IF(INDEX(Documents!$G$5:$G$657,MATCH(H2667,Documents!$A$5:$A$657,0))="","",INDEX(Documents!$G$5:$G$657,MATCH(H2667,Documents!$A$5:$A$657,0))),"")</f>
        <v>10.1021/acs.jnatprod.5b00301</v>
      </c>
      <c r="L2667" s="25" t="s">
        <v>5713</v>
      </c>
    </row>
    <row r="2668" customFormat="false" ht="15" hidden="false" customHeight="false" outlineLevel="0" collapsed="false">
      <c r="A2668" s="25" t="n">
        <v>2118215</v>
      </c>
      <c r="B2668" s="25" t="s">
        <v>5716</v>
      </c>
      <c r="C2668" s="25" t="s">
        <v>5717</v>
      </c>
      <c r="D2668" s="26" t="n">
        <v>26</v>
      </c>
      <c r="E2668" s="27" t="n">
        <v>7.58502665202918</v>
      </c>
      <c r="F2668" s="27" t="n">
        <v>7.58754676434894</v>
      </c>
      <c r="G2668" s="25" t="s">
        <v>1199</v>
      </c>
      <c r="H2668" s="25" t="s">
        <v>1200</v>
      </c>
      <c r="I2668" s="25" t="n">
        <f aca="false">IFERROR(IF(INDEX(Documents!$C$5:$C$657,MATCH(H2668,Documents!$A$5:$A$657,0))="","",INDEX(Documents!$C$5:$C$657,MATCH(H2668,Documents!$A$5:$A$657,0))),"")</f>
        <v>2008</v>
      </c>
      <c r="J2668" s="25" t="str">
        <f aca="false">IFERROR(IF(INDEX(Documents!$D$5:$D$657,MATCH(H2668,Documents!$A$5:$A$657,0))="","",INDEX(Documents!$D$5:$D$657,MATCH(H2668,Documents!$A$5:$A$657,0))),"")</f>
        <v>J Med Chem</v>
      </c>
      <c r="K2668" s="25" t="str">
        <f aca="false">IFERROR(IF(INDEX(Documents!$G$5:$G$657,MATCH(H2668,Documents!$A$5:$A$657,0))="","",INDEX(Documents!$G$5:$G$657,MATCH(H2668,Documents!$A$5:$A$657,0))),"")</f>
        <v>10.1021/jm7011613</v>
      </c>
      <c r="L2668" s="25" t="s">
        <v>676</v>
      </c>
    </row>
    <row r="2669" customFormat="false" ht="15" hidden="false" customHeight="false" outlineLevel="0" collapsed="false">
      <c r="A2669" s="25" t="n">
        <v>2118214</v>
      </c>
      <c r="B2669" s="25" t="s">
        <v>5716</v>
      </c>
      <c r="C2669" s="25" t="s">
        <v>5717</v>
      </c>
      <c r="D2669" s="26" t="n">
        <v>25.7</v>
      </c>
      <c r="E2669" s="27" t="n">
        <v>7.59006687666871</v>
      </c>
      <c r="F2669" s="27" t="n">
        <v>7.58754676434894</v>
      </c>
      <c r="G2669" s="25" t="s">
        <v>1199</v>
      </c>
      <c r="H2669" s="25" t="s">
        <v>1200</v>
      </c>
      <c r="I2669" s="25" t="n">
        <f aca="false">IFERROR(IF(INDEX(Documents!$C$5:$C$657,MATCH(H2669,Documents!$A$5:$A$657,0))="","",INDEX(Documents!$C$5:$C$657,MATCH(H2669,Documents!$A$5:$A$657,0))),"")</f>
        <v>2008</v>
      </c>
      <c r="J2669" s="25" t="str">
        <f aca="false">IFERROR(IF(INDEX(Documents!$D$5:$D$657,MATCH(H2669,Documents!$A$5:$A$657,0))="","",INDEX(Documents!$D$5:$D$657,MATCH(H2669,Documents!$A$5:$A$657,0))),"")</f>
        <v>J Med Chem</v>
      </c>
      <c r="K2669" s="25" t="str">
        <f aca="false">IFERROR(IF(INDEX(Documents!$G$5:$G$657,MATCH(H2669,Documents!$A$5:$A$657,0))="","",INDEX(Documents!$G$5:$G$657,MATCH(H2669,Documents!$A$5:$A$657,0))),"")</f>
        <v>10.1021/jm7011613</v>
      </c>
      <c r="L2669" s="25" t="s">
        <v>676</v>
      </c>
    </row>
    <row r="2670" customFormat="false" ht="15" hidden="false" customHeight="false" outlineLevel="0" collapsed="false">
      <c r="A2670" s="25" t="n">
        <v>27600497</v>
      </c>
      <c r="B2670" s="25" t="s">
        <v>5718</v>
      </c>
      <c r="C2670" s="25" t="s">
        <v>5719</v>
      </c>
      <c r="D2670" s="26" t="n">
        <v>3.8</v>
      </c>
      <c r="E2670" s="27" t="n">
        <v>8.42021640338319</v>
      </c>
      <c r="F2670" s="27" t="n">
        <v>8.42021640338319</v>
      </c>
      <c r="G2670" s="25" t="s">
        <v>778</v>
      </c>
      <c r="H2670" s="25" t="s">
        <v>779</v>
      </c>
      <c r="I2670" s="25" t="n">
        <f aca="false">IFERROR(IF(INDEX(Documents!$C$5:$C$657,MATCH(H2670,Documents!$A$5:$A$657,0))="","",INDEX(Documents!$C$5:$C$657,MATCH(H2670,Documents!$A$5:$A$657,0))),"")</f>
        <v>2018</v>
      </c>
      <c r="J2670" s="25" t="str">
        <f aca="false">IFERROR(IF(INDEX(Documents!$D$5:$D$657,MATCH(H2670,Documents!$A$5:$A$657,0))="","",INDEX(Documents!$D$5:$D$657,MATCH(H2670,Documents!$A$5:$A$657,0))),"")</f>
        <v/>
      </c>
      <c r="K2670" s="25" t="str">
        <f aca="false">IFERROR(IF(INDEX(Documents!$G$5:$G$657,MATCH(H2670,Documents!$A$5:$A$657,0))="","",INDEX(Documents!$G$5:$G$657,MATCH(H2670,Documents!$A$5:$A$657,0))),"")</f>
        <v/>
      </c>
      <c r="L2670" s="25" t="s">
        <v>780</v>
      </c>
    </row>
    <row r="2671" customFormat="false" ht="15" hidden="false" customHeight="false" outlineLevel="0" collapsed="false">
      <c r="A2671" s="25" t="n">
        <v>13321878</v>
      </c>
      <c r="B2671" s="25" t="s">
        <v>5720</v>
      </c>
      <c r="C2671" s="25" t="s">
        <v>5721</v>
      </c>
      <c r="D2671" s="26" t="n">
        <v>1480</v>
      </c>
      <c r="E2671" s="27" t="n">
        <v>5.82973828460504</v>
      </c>
      <c r="F2671" s="27" t="n">
        <v>5.82973828460504</v>
      </c>
      <c r="G2671" s="25" t="s">
        <v>3101</v>
      </c>
      <c r="H2671" s="25" t="s">
        <v>3102</v>
      </c>
      <c r="I2671" s="25" t="n">
        <f aca="false">IFERROR(IF(INDEX(Documents!$C$5:$C$657,MATCH(H2671,Documents!$A$5:$A$657,0))="","",INDEX(Documents!$C$5:$C$657,MATCH(H2671,Documents!$A$5:$A$657,0))),"")</f>
        <v>2013</v>
      </c>
      <c r="J2671" s="25" t="str">
        <f aca="false">IFERROR(IF(INDEX(Documents!$D$5:$D$657,MATCH(H2671,Documents!$A$5:$A$657,0))="","",INDEX(Documents!$D$5:$D$657,MATCH(H2671,Documents!$A$5:$A$657,0))),"")</f>
        <v>J Med Chem</v>
      </c>
      <c r="K2671" s="25" t="str">
        <f aca="false">IFERROR(IF(INDEX(Documents!$G$5:$G$657,MATCH(H2671,Documents!$A$5:$A$657,0))="","",INDEX(Documents!$G$5:$G$657,MATCH(H2671,Documents!$A$5:$A$657,0))),"")</f>
        <v>10.1021/jm4005175</v>
      </c>
      <c r="L2671" s="25" t="s">
        <v>3103</v>
      </c>
    </row>
    <row r="2672" customFormat="false" ht="15" hidden="false" customHeight="false" outlineLevel="0" collapsed="false">
      <c r="A2672" s="25" t="n">
        <v>13321880</v>
      </c>
      <c r="B2672" s="25" t="s">
        <v>5722</v>
      </c>
      <c r="C2672" s="25" t="s">
        <v>5723</v>
      </c>
      <c r="D2672" s="26" t="n">
        <v>1770</v>
      </c>
      <c r="E2672" s="27" t="n">
        <v>5.75202673363819</v>
      </c>
      <c r="F2672" s="27" t="n">
        <v>5.75202673363819</v>
      </c>
      <c r="G2672" s="25" t="s">
        <v>3101</v>
      </c>
      <c r="H2672" s="25" t="s">
        <v>3102</v>
      </c>
      <c r="I2672" s="25" t="n">
        <f aca="false">IFERROR(IF(INDEX(Documents!$C$5:$C$657,MATCH(H2672,Documents!$A$5:$A$657,0))="","",INDEX(Documents!$C$5:$C$657,MATCH(H2672,Documents!$A$5:$A$657,0))),"")</f>
        <v>2013</v>
      </c>
      <c r="J2672" s="25" t="str">
        <f aca="false">IFERROR(IF(INDEX(Documents!$D$5:$D$657,MATCH(H2672,Documents!$A$5:$A$657,0))="","",INDEX(Documents!$D$5:$D$657,MATCH(H2672,Documents!$A$5:$A$657,0))),"")</f>
        <v>J Med Chem</v>
      </c>
      <c r="K2672" s="25" t="str">
        <f aca="false">IFERROR(IF(INDEX(Documents!$G$5:$G$657,MATCH(H2672,Documents!$A$5:$A$657,0))="","",INDEX(Documents!$G$5:$G$657,MATCH(H2672,Documents!$A$5:$A$657,0))),"")</f>
        <v>10.1021/jm4005175</v>
      </c>
      <c r="L2672" s="25" t="s">
        <v>3103</v>
      </c>
    </row>
    <row r="2673" customFormat="false" ht="15" hidden="false" customHeight="false" outlineLevel="0" collapsed="false">
      <c r="A2673" s="25" t="n">
        <v>13321876</v>
      </c>
      <c r="B2673" s="25" t="s">
        <v>5724</v>
      </c>
      <c r="C2673" s="25" t="s">
        <v>5725</v>
      </c>
      <c r="D2673" s="26" t="n">
        <v>660</v>
      </c>
      <c r="E2673" s="27" t="n">
        <v>6.18045606445813</v>
      </c>
      <c r="F2673" s="27" t="n">
        <v>6.18045606445813</v>
      </c>
      <c r="G2673" s="25" t="s">
        <v>3101</v>
      </c>
      <c r="H2673" s="25" t="s">
        <v>3102</v>
      </c>
      <c r="I2673" s="25" t="n">
        <f aca="false">IFERROR(IF(INDEX(Documents!$C$5:$C$657,MATCH(H2673,Documents!$A$5:$A$657,0))="","",INDEX(Documents!$C$5:$C$657,MATCH(H2673,Documents!$A$5:$A$657,0))),"")</f>
        <v>2013</v>
      </c>
      <c r="J2673" s="25" t="str">
        <f aca="false">IFERROR(IF(INDEX(Documents!$D$5:$D$657,MATCH(H2673,Documents!$A$5:$A$657,0))="","",INDEX(Documents!$D$5:$D$657,MATCH(H2673,Documents!$A$5:$A$657,0))),"")</f>
        <v>J Med Chem</v>
      </c>
      <c r="K2673" s="25" t="str">
        <f aca="false">IFERROR(IF(INDEX(Documents!$G$5:$G$657,MATCH(H2673,Documents!$A$5:$A$657,0))="","",INDEX(Documents!$G$5:$G$657,MATCH(H2673,Documents!$A$5:$A$657,0))),"")</f>
        <v>10.1021/jm4005175</v>
      </c>
      <c r="L2673" s="25" t="s">
        <v>3103</v>
      </c>
    </row>
    <row r="2674" customFormat="false" ht="15" hidden="false" customHeight="false" outlineLevel="0" collapsed="false">
      <c r="A2674" s="25" t="n">
        <v>15156850</v>
      </c>
      <c r="B2674" s="25" t="s">
        <v>5726</v>
      </c>
      <c r="C2674" s="25" t="s">
        <v>5727</v>
      </c>
      <c r="D2674" s="26" t="n">
        <v>60</v>
      </c>
      <c r="E2674" s="27" t="n">
        <v>7.22184874961636</v>
      </c>
      <c r="F2674" s="27" t="n">
        <v>7.22184874961636</v>
      </c>
      <c r="G2674" s="25" t="s">
        <v>4188</v>
      </c>
      <c r="H2674" s="25" t="s">
        <v>4189</v>
      </c>
      <c r="I2674" s="25" t="n">
        <f aca="false">IFERROR(IF(INDEX(Documents!$C$5:$C$657,MATCH(H2674,Documents!$A$5:$A$657,0))="","",INDEX(Documents!$C$5:$C$657,MATCH(H2674,Documents!$A$5:$A$657,0))),"")</f>
        <v>2015</v>
      </c>
      <c r="J2674" s="25" t="str">
        <f aca="false">IFERROR(IF(INDEX(Documents!$D$5:$D$657,MATCH(H2674,Documents!$A$5:$A$657,0))="","",INDEX(Documents!$D$5:$D$657,MATCH(H2674,Documents!$A$5:$A$657,0))),"")</f>
        <v>Eur J Med Chem</v>
      </c>
      <c r="K2674" s="25" t="str">
        <f aca="false">IFERROR(IF(INDEX(Documents!$G$5:$G$657,MATCH(H2674,Documents!$A$5:$A$657,0))="","",INDEX(Documents!$G$5:$G$657,MATCH(H2674,Documents!$A$5:$A$657,0))),"")</f>
        <v>10.1016/j.ejmech.2014.11.066</v>
      </c>
      <c r="L2674" s="25" t="s">
        <v>1719</v>
      </c>
    </row>
    <row r="2675" customFormat="false" ht="15" hidden="false" customHeight="false" outlineLevel="0" collapsed="false">
      <c r="A2675" s="25" t="n">
        <v>15156852</v>
      </c>
      <c r="B2675" s="25" t="s">
        <v>5728</v>
      </c>
      <c r="C2675" s="25" t="s">
        <v>5729</v>
      </c>
      <c r="D2675" s="26" t="n">
        <v>60</v>
      </c>
      <c r="E2675" s="27" t="n">
        <v>7.22184874961636</v>
      </c>
      <c r="F2675" s="27" t="n">
        <v>7.22184874961636</v>
      </c>
      <c r="G2675" s="25" t="s">
        <v>4188</v>
      </c>
      <c r="H2675" s="25" t="s">
        <v>4189</v>
      </c>
      <c r="I2675" s="25" t="n">
        <f aca="false">IFERROR(IF(INDEX(Documents!$C$5:$C$657,MATCH(H2675,Documents!$A$5:$A$657,0))="","",INDEX(Documents!$C$5:$C$657,MATCH(H2675,Documents!$A$5:$A$657,0))),"")</f>
        <v>2015</v>
      </c>
      <c r="J2675" s="25" t="str">
        <f aca="false">IFERROR(IF(INDEX(Documents!$D$5:$D$657,MATCH(H2675,Documents!$A$5:$A$657,0))="","",INDEX(Documents!$D$5:$D$657,MATCH(H2675,Documents!$A$5:$A$657,0))),"")</f>
        <v>Eur J Med Chem</v>
      </c>
      <c r="K2675" s="25" t="str">
        <f aca="false">IFERROR(IF(INDEX(Documents!$G$5:$G$657,MATCH(H2675,Documents!$A$5:$A$657,0))="","",INDEX(Documents!$G$5:$G$657,MATCH(H2675,Documents!$A$5:$A$657,0))),"")</f>
        <v>10.1016/j.ejmech.2014.11.066</v>
      </c>
      <c r="L2675" s="25" t="s">
        <v>1719</v>
      </c>
    </row>
    <row r="2676" customFormat="false" ht="15" hidden="false" customHeight="false" outlineLevel="0" collapsed="false">
      <c r="A2676" s="25" t="n">
        <v>15156851</v>
      </c>
      <c r="B2676" s="25" t="s">
        <v>5730</v>
      </c>
      <c r="C2676" s="25" t="s">
        <v>5731</v>
      </c>
      <c r="D2676" s="26" t="n">
        <v>90</v>
      </c>
      <c r="E2676" s="27" t="n">
        <v>7.04575749056068</v>
      </c>
      <c r="F2676" s="27" t="n">
        <v>7.04575749056068</v>
      </c>
      <c r="G2676" s="25" t="s">
        <v>4188</v>
      </c>
      <c r="H2676" s="25" t="s">
        <v>4189</v>
      </c>
      <c r="I2676" s="25" t="n">
        <f aca="false">IFERROR(IF(INDEX(Documents!$C$5:$C$657,MATCH(H2676,Documents!$A$5:$A$657,0))="","",INDEX(Documents!$C$5:$C$657,MATCH(H2676,Documents!$A$5:$A$657,0))),"")</f>
        <v>2015</v>
      </c>
      <c r="J2676" s="25" t="str">
        <f aca="false">IFERROR(IF(INDEX(Documents!$D$5:$D$657,MATCH(H2676,Documents!$A$5:$A$657,0))="","",INDEX(Documents!$D$5:$D$657,MATCH(H2676,Documents!$A$5:$A$657,0))),"")</f>
        <v>Eur J Med Chem</v>
      </c>
      <c r="K2676" s="25" t="str">
        <f aca="false">IFERROR(IF(INDEX(Documents!$G$5:$G$657,MATCH(H2676,Documents!$A$5:$A$657,0))="","",INDEX(Documents!$G$5:$G$657,MATCH(H2676,Documents!$A$5:$A$657,0))),"")</f>
        <v>10.1016/j.ejmech.2014.11.066</v>
      </c>
      <c r="L2676" s="25" t="s">
        <v>1719</v>
      </c>
    </row>
    <row r="2677" customFormat="false" ht="15" hidden="false" customHeight="false" outlineLevel="0" collapsed="false">
      <c r="A2677" s="25" t="n">
        <v>16575990</v>
      </c>
      <c r="B2677" s="25" t="s">
        <v>5732</v>
      </c>
      <c r="C2677" s="25" t="s">
        <v>5733</v>
      </c>
      <c r="D2677" s="26" t="n">
        <v>148</v>
      </c>
      <c r="E2677" s="27" t="n">
        <v>6.82973828460504</v>
      </c>
      <c r="F2677" s="27" t="n">
        <v>6.91486914230252</v>
      </c>
      <c r="G2677" s="25" t="s">
        <v>548</v>
      </c>
      <c r="H2677" s="25" t="s">
        <v>549</v>
      </c>
      <c r="I2677" s="25" t="n">
        <f aca="false">IFERROR(IF(INDEX(Documents!$C$5:$C$657,MATCH(H2677,Documents!$A$5:$A$657,0))="","",INDEX(Documents!$C$5:$C$657,MATCH(H2677,Documents!$A$5:$A$657,0))),"")</f>
        <v>2016</v>
      </c>
      <c r="J2677" s="25" t="str">
        <f aca="false">IFERROR(IF(INDEX(Documents!$D$5:$D$657,MATCH(H2677,Documents!$A$5:$A$657,0))="","",INDEX(Documents!$D$5:$D$657,MATCH(H2677,Documents!$A$5:$A$657,0))),"")</f>
        <v>Eur J Med Chem</v>
      </c>
      <c r="K2677" s="25" t="str">
        <f aca="false">IFERROR(IF(INDEX(Documents!$G$5:$G$657,MATCH(H2677,Documents!$A$5:$A$657,0))="","",INDEX(Documents!$G$5:$G$657,MATCH(H2677,Documents!$A$5:$A$657,0))),"")</f>
        <v>10.1016/j.ejmech.2016.03.072</v>
      </c>
      <c r="L2677" s="25" t="s">
        <v>550</v>
      </c>
    </row>
    <row r="2678" customFormat="false" ht="15" hidden="false" customHeight="false" outlineLevel="0" collapsed="false">
      <c r="A2678" s="25" t="n">
        <v>15156847</v>
      </c>
      <c r="B2678" s="25" t="s">
        <v>5732</v>
      </c>
      <c r="C2678" s="25" t="s">
        <v>5733</v>
      </c>
      <c r="D2678" s="26" t="n">
        <v>100</v>
      </c>
      <c r="E2678" s="27" t="n">
        <v>7</v>
      </c>
      <c r="F2678" s="27" t="n">
        <v>6.91486914230252</v>
      </c>
      <c r="G2678" s="25" t="s">
        <v>4188</v>
      </c>
      <c r="H2678" s="25" t="s">
        <v>4189</v>
      </c>
      <c r="I2678" s="25" t="n">
        <f aca="false">IFERROR(IF(INDEX(Documents!$C$5:$C$657,MATCH(H2678,Documents!$A$5:$A$657,0))="","",INDEX(Documents!$C$5:$C$657,MATCH(H2678,Documents!$A$5:$A$657,0))),"")</f>
        <v>2015</v>
      </c>
      <c r="J2678" s="25" t="str">
        <f aca="false">IFERROR(IF(INDEX(Documents!$D$5:$D$657,MATCH(H2678,Documents!$A$5:$A$657,0))="","",INDEX(Documents!$D$5:$D$657,MATCH(H2678,Documents!$A$5:$A$657,0))),"")</f>
        <v>Eur J Med Chem</v>
      </c>
      <c r="K2678" s="25" t="str">
        <f aca="false">IFERROR(IF(INDEX(Documents!$G$5:$G$657,MATCH(H2678,Documents!$A$5:$A$657,0))="","",INDEX(Documents!$G$5:$G$657,MATCH(H2678,Documents!$A$5:$A$657,0))),"")</f>
        <v>10.1016/j.ejmech.2014.11.066</v>
      </c>
      <c r="L2678" s="25" t="s">
        <v>1719</v>
      </c>
    </row>
    <row r="2679" customFormat="false" ht="15" hidden="false" customHeight="false" outlineLevel="0" collapsed="false">
      <c r="A2679" s="25" t="n">
        <v>15156849</v>
      </c>
      <c r="B2679" s="25" t="s">
        <v>5734</v>
      </c>
      <c r="C2679" s="25" t="s">
        <v>5735</v>
      </c>
      <c r="D2679" s="26" t="n">
        <v>150</v>
      </c>
      <c r="E2679" s="27" t="n">
        <v>6.82390874094432</v>
      </c>
      <c r="F2679" s="27" t="n">
        <v>6.82390874094432</v>
      </c>
      <c r="G2679" s="25" t="s">
        <v>4188</v>
      </c>
      <c r="H2679" s="25" t="s">
        <v>4189</v>
      </c>
      <c r="I2679" s="25" t="n">
        <f aca="false">IFERROR(IF(INDEX(Documents!$C$5:$C$657,MATCH(H2679,Documents!$A$5:$A$657,0))="","",INDEX(Documents!$C$5:$C$657,MATCH(H2679,Documents!$A$5:$A$657,0))),"")</f>
        <v>2015</v>
      </c>
      <c r="J2679" s="25" t="str">
        <f aca="false">IFERROR(IF(INDEX(Documents!$D$5:$D$657,MATCH(H2679,Documents!$A$5:$A$657,0))="","",INDEX(Documents!$D$5:$D$657,MATCH(H2679,Documents!$A$5:$A$657,0))),"")</f>
        <v>Eur J Med Chem</v>
      </c>
      <c r="K2679" s="25" t="str">
        <f aca="false">IFERROR(IF(INDEX(Documents!$G$5:$G$657,MATCH(H2679,Documents!$A$5:$A$657,0))="","",INDEX(Documents!$G$5:$G$657,MATCH(H2679,Documents!$A$5:$A$657,0))),"")</f>
        <v>10.1016/j.ejmech.2014.11.066</v>
      </c>
      <c r="L2679" s="25" t="s">
        <v>1719</v>
      </c>
    </row>
    <row r="2680" customFormat="false" ht="15" hidden="false" customHeight="false" outlineLevel="0" collapsed="false">
      <c r="A2680" s="25" t="n">
        <v>15156848</v>
      </c>
      <c r="B2680" s="25" t="s">
        <v>5736</v>
      </c>
      <c r="C2680" s="25" t="s">
        <v>5737</v>
      </c>
      <c r="D2680" s="26" t="n">
        <v>90</v>
      </c>
      <c r="E2680" s="27" t="n">
        <v>7.04575749056068</v>
      </c>
      <c r="F2680" s="27" t="n">
        <v>7.04575749056068</v>
      </c>
      <c r="G2680" s="25" t="s">
        <v>4188</v>
      </c>
      <c r="H2680" s="25" t="s">
        <v>4189</v>
      </c>
      <c r="I2680" s="25" t="n">
        <f aca="false">IFERROR(IF(INDEX(Documents!$C$5:$C$657,MATCH(H2680,Documents!$A$5:$A$657,0))="","",INDEX(Documents!$C$5:$C$657,MATCH(H2680,Documents!$A$5:$A$657,0))),"")</f>
        <v>2015</v>
      </c>
      <c r="J2680" s="25" t="str">
        <f aca="false">IFERROR(IF(INDEX(Documents!$D$5:$D$657,MATCH(H2680,Documents!$A$5:$A$657,0))="","",INDEX(Documents!$D$5:$D$657,MATCH(H2680,Documents!$A$5:$A$657,0))),"")</f>
        <v>Eur J Med Chem</v>
      </c>
      <c r="K2680" s="25" t="str">
        <f aca="false">IFERROR(IF(INDEX(Documents!$G$5:$G$657,MATCH(H2680,Documents!$A$5:$A$657,0))="","",INDEX(Documents!$G$5:$G$657,MATCH(H2680,Documents!$A$5:$A$657,0))),"")</f>
        <v>10.1016/j.ejmech.2014.11.066</v>
      </c>
      <c r="L2680" s="25" t="s">
        <v>1719</v>
      </c>
    </row>
    <row r="2681" customFormat="false" ht="15" hidden="false" customHeight="false" outlineLevel="0" collapsed="false">
      <c r="A2681" s="25" t="n">
        <v>16575996</v>
      </c>
      <c r="B2681" s="25" t="s">
        <v>5738</v>
      </c>
      <c r="C2681" s="25" t="s">
        <v>5739</v>
      </c>
      <c r="D2681" s="26" t="n">
        <v>265</v>
      </c>
      <c r="E2681" s="27" t="n">
        <v>6.57675412606319</v>
      </c>
      <c r="F2681" s="27" t="n">
        <v>6.57675412606319</v>
      </c>
      <c r="G2681" s="25" t="s">
        <v>548</v>
      </c>
      <c r="H2681" s="25" t="s">
        <v>549</v>
      </c>
      <c r="I2681" s="25" t="n">
        <f aca="false">IFERROR(IF(INDEX(Documents!$C$5:$C$657,MATCH(H2681,Documents!$A$5:$A$657,0))="","",INDEX(Documents!$C$5:$C$657,MATCH(H2681,Documents!$A$5:$A$657,0))),"")</f>
        <v>2016</v>
      </c>
      <c r="J2681" s="25" t="str">
        <f aca="false">IFERROR(IF(INDEX(Documents!$D$5:$D$657,MATCH(H2681,Documents!$A$5:$A$657,0))="","",INDEX(Documents!$D$5:$D$657,MATCH(H2681,Documents!$A$5:$A$657,0))),"")</f>
        <v>Eur J Med Chem</v>
      </c>
      <c r="K2681" s="25" t="str">
        <f aca="false">IFERROR(IF(INDEX(Documents!$G$5:$G$657,MATCH(H2681,Documents!$A$5:$A$657,0))="","",INDEX(Documents!$G$5:$G$657,MATCH(H2681,Documents!$A$5:$A$657,0))),"")</f>
        <v>10.1016/j.ejmech.2016.03.072</v>
      </c>
      <c r="L2681" s="25" t="s">
        <v>550</v>
      </c>
    </row>
    <row r="2682" customFormat="false" ht="15" hidden="false" customHeight="false" outlineLevel="0" collapsed="false">
      <c r="A2682" s="25" t="n">
        <v>16575994</v>
      </c>
      <c r="B2682" s="25" t="s">
        <v>5740</v>
      </c>
      <c r="C2682" s="25" t="s">
        <v>5741</v>
      </c>
      <c r="D2682" s="26" t="n">
        <v>337</v>
      </c>
      <c r="E2682" s="27" t="n">
        <v>6.47237009912866</v>
      </c>
      <c r="F2682" s="27" t="n">
        <v>6.47237009912866</v>
      </c>
      <c r="G2682" s="25" t="s">
        <v>548</v>
      </c>
      <c r="H2682" s="25" t="s">
        <v>549</v>
      </c>
      <c r="I2682" s="25" t="n">
        <f aca="false">IFERROR(IF(INDEX(Documents!$C$5:$C$657,MATCH(H2682,Documents!$A$5:$A$657,0))="","",INDEX(Documents!$C$5:$C$657,MATCH(H2682,Documents!$A$5:$A$657,0))),"")</f>
        <v>2016</v>
      </c>
      <c r="J2682" s="25" t="str">
        <f aca="false">IFERROR(IF(INDEX(Documents!$D$5:$D$657,MATCH(H2682,Documents!$A$5:$A$657,0))="","",INDEX(Documents!$D$5:$D$657,MATCH(H2682,Documents!$A$5:$A$657,0))),"")</f>
        <v>Eur J Med Chem</v>
      </c>
      <c r="K2682" s="25" t="str">
        <f aca="false">IFERROR(IF(INDEX(Documents!$G$5:$G$657,MATCH(H2682,Documents!$A$5:$A$657,0))="","",INDEX(Documents!$G$5:$G$657,MATCH(H2682,Documents!$A$5:$A$657,0))),"")</f>
        <v>10.1016/j.ejmech.2016.03.072</v>
      </c>
      <c r="L2682" s="25" t="s">
        <v>550</v>
      </c>
    </row>
    <row r="2683" customFormat="false" ht="15" hidden="false" customHeight="false" outlineLevel="0" collapsed="false">
      <c r="A2683" s="25" t="n">
        <v>16575995</v>
      </c>
      <c r="B2683" s="25" t="s">
        <v>5742</v>
      </c>
      <c r="C2683" s="25" t="s">
        <v>5743</v>
      </c>
      <c r="D2683" s="26" t="n">
        <v>1086</v>
      </c>
      <c r="E2683" s="27" t="n">
        <v>5.96417017474717</v>
      </c>
      <c r="F2683" s="27" t="n">
        <v>5.96417017474717</v>
      </c>
      <c r="G2683" s="25" t="s">
        <v>548</v>
      </c>
      <c r="H2683" s="25" t="s">
        <v>549</v>
      </c>
      <c r="I2683" s="25" t="n">
        <f aca="false">IFERROR(IF(INDEX(Documents!$C$5:$C$657,MATCH(H2683,Documents!$A$5:$A$657,0))="","",INDEX(Documents!$C$5:$C$657,MATCH(H2683,Documents!$A$5:$A$657,0))),"")</f>
        <v>2016</v>
      </c>
      <c r="J2683" s="25" t="str">
        <f aca="false">IFERROR(IF(INDEX(Documents!$D$5:$D$657,MATCH(H2683,Documents!$A$5:$A$657,0))="","",INDEX(Documents!$D$5:$D$657,MATCH(H2683,Documents!$A$5:$A$657,0))),"")</f>
        <v>Eur J Med Chem</v>
      </c>
      <c r="K2683" s="25" t="str">
        <f aca="false">IFERROR(IF(INDEX(Documents!$G$5:$G$657,MATCH(H2683,Documents!$A$5:$A$657,0))="","",INDEX(Documents!$G$5:$G$657,MATCH(H2683,Documents!$A$5:$A$657,0))),"")</f>
        <v>10.1016/j.ejmech.2016.03.072</v>
      </c>
      <c r="L2683" s="25" t="s">
        <v>550</v>
      </c>
    </row>
    <row r="2684" customFormat="false" ht="15" hidden="false" customHeight="false" outlineLevel="0" collapsed="false">
      <c r="A2684" s="25" t="n">
        <v>16576926</v>
      </c>
      <c r="B2684" s="25" t="s">
        <v>5744</v>
      </c>
      <c r="C2684" s="25" t="s">
        <v>5745</v>
      </c>
      <c r="D2684" s="26" t="n">
        <v>84.1</v>
      </c>
      <c r="E2684" s="27" t="n">
        <v>7.07520400420209</v>
      </c>
      <c r="F2684" s="27" t="n">
        <v>7.07520400420209</v>
      </c>
      <c r="G2684" s="25" t="s">
        <v>548</v>
      </c>
      <c r="H2684" s="25" t="s">
        <v>549</v>
      </c>
      <c r="I2684" s="25" t="n">
        <f aca="false">IFERROR(IF(INDEX(Documents!$C$5:$C$657,MATCH(H2684,Documents!$A$5:$A$657,0))="","",INDEX(Documents!$C$5:$C$657,MATCH(H2684,Documents!$A$5:$A$657,0))),"")</f>
        <v>2016</v>
      </c>
      <c r="J2684" s="25" t="str">
        <f aca="false">IFERROR(IF(INDEX(Documents!$D$5:$D$657,MATCH(H2684,Documents!$A$5:$A$657,0))="","",INDEX(Documents!$D$5:$D$657,MATCH(H2684,Documents!$A$5:$A$657,0))),"")</f>
        <v>Eur J Med Chem</v>
      </c>
      <c r="K2684" s="25" t="str">
        <f aca="false">IFERROR(IF(INDEX(Documents!$G$5:$G$657,MATCH(H2684,Documents!$A$5:$A$657,0))="","",INDEX(Documents!$G$5:$G$657,MATCH(H2684,Documents!$A$5:$A$657,0))),"")</f>
        <v>10.1016/j.ejmech.2016.03.072</v>
      </c>
      <c r="L2684" s="25" t="s">
        <v>550</v>
      </c>
    </row>
    <row r="2685" customFormat="false" ht="15" hidden="false" customHeight="false" outlineLevel="0" collapsed="false">
      <c r="A2685" s="25" t="n">
        <v>16576924</v>
      </c>
      <c r="B2685" s="25" t="s">
        <v>5746</v>
      </c>
      <c r="C2685" s="25" t="s">
        <v>5747</v>
      </c>
      <c r="D2685" s="26" t="n">
        <v>1106</v>
      </c>
      <c r="E2685" s="27" t="n">
        <v>5.95624487303132</v>
      </c>
      <c r="F2685" s="27" t="n">
        <v>5.95624487303132</v>
      </c>
      <c r="G2685" s="25" t="s">
        <v>548</v>
      </c>
      <c r="H2685" s="25" t="s">
        <v>549</v>
      </c>
      <c r="I2685" s="25" t="n">
        <f aca="false">IFERROR(IF(INDEX(Documents!$C$5:$C$657,MATCH(H2685,Documents!$A$5:$A$657,0))="","",INDEX(Documents!$C$5:$C$657,MATCH(H2685,Documents!$A$5:$A$657,0))),"")</f>
        <v>2016</v>
      </c>
      <c r="J2685" s="25" t="str">
        <f aca="false">IFERROR(IF(INDEX(Documents!$D$5:$D$657,MATCH(H2685,Documents!$A$5:$A$657,0))="","",INDEX(Documents!$D$5:$D$657,MATCH(H2685,Documents!$A$5:$A$657,0))),"")</f>
        <v>Eur J Med Chem</v>
      </c>
      <c r="K2685" s="25" t="str">
        <f aca="false">IFERROR(IF(INDEX(Documents!$G$5:$G$657,MATCH(H2685,Documents!$A$5:$A$657,0))="","",INDEX(Documents!$G$5:$G$657,MATCH(H2685,Documents!$A$5:$A$657,0))),"")</f>
        <v>10.1016/j.ejmech.2016.03.072</v>
      </c>
      <c r="L2685" s="25" t="s">
        <v>550</v>
      </c>
    </row>
    <row r="2686" customFormat="false" ht="15" hidden="false" customHeight="false" outlineLevel="0" collapsed="false">
      <c r="A2686" s="25" t="n">
        <v>16576925</v>
      </c>
      <c r="B2686" s="25" t="s">
        <v>5748</v>
      </c>
      <c r="C2686" s="25" t="s">
        <v>5749</v>
      </c>
      <c r="D2686" s="26" t="n">
        <v>2617</v>
      </c>
      <c r="E2686" s="27" t="n">
        <v>5.58219627736012</v>
      </c>
      <c r="F2686" s="27" t="n">
        <v>5.58219627736012</v>
      </c>
      <c r="G2686" s="25" t="s">
        <v>548</v>
      </c>
      <c r="H2686" s="25" t="s">
        <v>549</v>
      </c>
      <c r="I2686" s="25" t="n">
        <f aca="false">IFERROR(IF(INDEX(Documents!$C$5:$C$657,MATCH(H2686,Documents!$A$5:$A$657,0))="","",INDEX(Documents!$C$5:$C$657,MATCH(H2686,Documents!$A$5:$A$657,0))),"")</f>
        <v>2016</v>
      </c>
      <c r="J2686" s="25" t="str">
        <f aca="false">IFERROR(IF(INDEX(Documents!$D$5:$D$657,MATCH(H2686,Documents!$A$5:$A$657,0))="","",INDEX(Documents!$D$5:$D$657,MATCH(H2686,Documents!$A$5:$A$657,0))),"")</f>
        <v>Eur J Med Chem</v>
      </c>
      <c r="K2686" s="25" t="str">
        <f aca="false">IFERROR(IF(INDEX(Documents!$G$5:$G$657,MATCH(H2686,Documents!$A$5:$A$657,0))="","",INDEX(Documents!$G$5:$G$657,MATCH(H2686,Documents!$A$5:$A$657,0))),"")</f>
        <v>10.1016/j.ejmech.2016.03.072</v>
      </c>
      <c r="L2686" s="25" t="s">
        <v>550</v>
      </c>
    </row>
    <row r="2687" customFormat="false" ht="15" hidden="false" customHeight="false" outlineLevel="0" collapsed="false">
      <c r="A2687" s="25" t="n">
        <v>16575993</v>
      </c>
      <c r="B2687" s="25" t="s">
        <v>5750</v>
      </c>
      <c r="C2687" s="25" t="s">
        <v>5751</v>
      </c>
      <c r="D2687" s="26" t="n">
        <v>594</v>
      </c>
      <c r="E2687" s="27" t="n">
        <v>6.22621355501881</v>
      </c>
      <c r="F2687" s="27" t="n">
        <v>6.22621355501881</v>
      </c>
      <c r="G2687" s="25" t="s">
        <v>548</v>
      </c>
      <c r="H2687" s="25" t="s">
        <v>549</v>
      </c>
      <c r="I2687" s="25" t="n">
        <f aca="false">IFERROR(IF(INDEX(Documents!$C$5:$C$657,MATCH(H2687,Documents!$A$5:$A$657,0))="","",INDEX(Documents!$C$5:$C$657,MATCH(H2687,Documents!$A$5:$A$657,0))),"")</f>
        <v>2016</v>
      </c>
      <c r="J2687" s="25" t="str">
        <f aca="false">IFERROR(IF(INDEX(Documents!$D$5:$D$657,MATCH(H2687,Documents!$A$5:$A$657,0))="","",INDEX(Documents!$D$5:$D$657,MATCH(H2687,Documents!$A$5:$A$657,0))),"")</f>
        <v>Eur J Med Chem</v>
      </c>
      <c r="K2687" s="25" t="str">
        <f aca="false">IFERROR(IF(INDEX(Documents!$G$5:$G$657,MATCH(H2687,Documents!$A$5:$A$657,0))="","",INDEX(Documents!$G$5:$G$657,MATCH(H2687,Documents!$A$5:$A$657,0))),"")</f>
        <v>10.1016/j.ejmech.2016.03.072</v>
      </c>
      <c r="L2687" s="25" t="s">
        <v>550</v>
      </c>
    </row>
    <row r="2688" customFormat="false" ht="15" hidden="false" customHeight="false" outlineLevel="0" collapsed="false">
      <c r="A2688" s="25" t="n">
        <v>16575991</v>
      </c>
      <c r="B2688" s="25" t="s">
        <v>5752</v>
      </c>
      <c r="C2688" s="25" t="s">
        <v>5753</v>
      </c>
      <c r="D2688" s="26" t="n">
        <v>2667</v>
      </c>
      <c r="E2688" s="27" t="n">
        <v>5.57397698431012</v>
      </c>
      <c r="F2688" s="27" t="n">
        <v>5.57397698431012</v>
      </c>
      <c r="G2688" s="25" t="s">
        <v>548</v>
      </c>
      <c r="H2688" s="25" t="s">
        <v>549</v>
      </c>
      <c r="I2688" s="25" t="n">
        <f aca="false">IFERROR(IF(INDEX(Documents!$C$5:$C$657,MATCH(H2688,Documents!$A$5:$A$657,0))="","",INDEX(Documents!$C$5:$C$657,MATCH(H2688,Documents!$A$5:$A$657,0))),"")</f>
        <v>2016</v>
      </c>
      <c r="J2688" s="25" t="str">
        <f aca="false">IFERROR(IF(INDEX(Documents!$D$5:$D$657,MATCH(H2688,Documents!$A$5:$A$657,0))="","",INDEX(Documents!$D$5:$D$657,MATCH(H2688,Documents!$A$5:$A$657,0))),"")</f>
        <v>Eur J Med Chem</v>
      </c>
      <c r="K2688" s="25" t="str">
        <f aca="false">IFERROR(IF(INDEX(Documents!$G$5:$G$657,MATCH(H2688,Documents!$A$5:$A$657,0))="","",INDEX(Documents!$G$5:$G$657,MATCH(H2688,Documents!$A$5:$A$657,0))),"")</f>
        <v>10.1016/j.ejmech.2016.03.072</v>
      </c>
      <c r="L2688" s="25" t="s">
        <v>550</v>
      </c>
    </row>
    <row r="2689" customFormat="false" ht="15" hidden="false" customHeight="false" outlineLevel="0" collapsed="false">
      <c r="A2689" s="25" t="n">
        <v>16575992</v>
      </c>
      <c r="B2689" s="25" t="s">
        <v>5754</v>
      </c>
      <c r="C2689" s="25" t="s">
        <v>5755</v>
      </c>
      <c r="D2689" s="26" t="n">
        <v>4809</v>
      </c>
      <c r="E2689" s="27" t="n">
        <v>5.31794522292619</v>
      </c>
      <c r="F2689" s="27" t="n">
        <v>5.31794522292619</v>
      </c>
      <c r="G2689" s="25" t="s">
        <v>548</v>
      </c>
      <c r="H2689" s="25" t="s">
        <v>549</v>
      </c>
      <c r="I2689" s="25" t="n">
        <f aca="false">IFERROR(IF(INDEX(Documents!$C$5:$C$657,MATCH(H2689,Documents!$A$5:$A$657,0))="","",INDEX(Documents!$C$5:$C$657,MATCH(H2689,Documents!$A$5:$A$657,0))),"")</f>
        <v>2016</v>
      </c>
      <c r="J2689" s="25" t="str">
        <f aca="false">IFERROR(IF(INDEX(Documents!$D$5:$D$657,MATCH(H2689,Documents!$A$5:$A$657,0))="","",INDEX(Documents!$D$5:$D$657,MATCH(H2689,Documents!$A$5:$A$657,0))),"")</f>
        <v>Eur J Med Chem</v>
      </c>
      <c r="K2689" s="25" t="str">
        <f aca="false">IFERROR(IF(INDEX(Documents!$G$5:$G$657,MATCH(H2689,Documents!$A$5:$A$657,0))="","",INDEX(Documents!$G$5:$G$657,MATCH(H2689,Documents!$A$5:$A$657,0))),"")</f>
        <v>10.1016/j.ejmech.2016.03.072</v>
      </c>
      <c r="L2689" s="25" t="s">
        <v>550</v>
      </c>
    </row>
    <row r="2690" customFormat="false" ht="15" hidden="false" customHeight="false" outlineLevel="0" collapsed="false">
      <c r="A2690" s="25" t="n">
        <v>25443269</v>
      </c>
      <c r="B2690" s="25" t="s">
        <v>5756</v>
      </c>
      <c r="C2690" s="25" t="s">
        <v>5757</v>
      </c>
      <c r="D2690" s="26" t="n">
        <v>139.5</v>
      </c>
      <c r="E2690" s="27" t="n">
        <v>6.85542579239038</v>
      </c>
      <c r="F2690" s="27" t="n">
        <v>6.85542579239038</v>
      </c>
      <c r="G2690" s="25" t="s">
        <v>2956</v>
      </c>
      <c r="H2690" s="25" t="s">
        <v>2957</v>
      </c>
      <c r="I2690" s="25" t="n">
        <f aca="false">IFERROR(IF(INDEX(Documents!$C$5:$C$657,MATCH(H2690,Documents!$A$5:$A$657,0))="","",INDEX(Documents!$C$5:$C$657,MATCH(H2690,Documents!$A$5:$A$657,0))),"")</f>
        <v>2023</v>
      </c>
      <c r="J2690" s="25" t="str">
        <f aca="false">IFERROR(IF(INDEX(Documents!$D$5:$D$657,MATCH(H2690,Documents!$A$5:$A$657,0))="","",INDEX(Documents!$D$5:$D$657,MATCH(H2690,Documents!$A$5:$A$657,0))),"")</f>
        <v>J Med Chem</v>
      </c>
      <c r="K2690" s="25" t="str">
        <f aca="false">IFERROR(IF(INDEX(Documents!$G$5:$G$657,MATCH(H2690,Documents!$A$5:$A$657,0))="","",INDEX(Documents!$G$5:$G$657,MATCH(H2690,Documents!$A$5:$A$657,0))),"")</f>
        <v>10.1021/acs.jmedchem.2c01084</v>
      </c>
      <c r="L2690" s="25" t="s">
        <v>2958</v>
      </c>
    </row>
    <row r="2691" customFormat="false" ht="15" hidden="false" customHeight="false" outlineLevel="0" collapsed="false">
      <c r="A2691" s="25" t="n">
        <v>25443270</v>
      </c>
      <c r="B2691" s="25" t="s">
        <v>5758</v>
      </c>
      <c r="C2691" s="25" t="s">
        <v>5759</v>
      </c>
      <c r="D2691" s="26" t="n">
        <v>3200</v>
      </c>
      <c r="E2691" s="27" t="n">
        <v>5.49485002168009</v>
      </c>
      <c r="F2691" s="27" t="n">
        <v>5.49485002168009</v>
      </c>
      <c r="G2691" s="25" t="s">
        <v>2956</v>
      </c>
      <c r="H2691" s="25" t="s">
        <v>2957</v>
      </c>
      <c r="I2691" s="25" t="n">
        <f aca="false">IFERROR(IF(INDEX(Documents!$C$5:$C$657,MATCH(H2691,Documents!$A$5:$A$657,0))="","",INDEX(Documents!$C$5:$C$657,MATCH(H2691,Documents!$A$5:$A$657,0))),"")</f>
        <v>2023</v>
      </c>
      <c r="J2691" s="25" t="str">
        <f aca="false">IFERROR(IF(INDEX(Documents!$D$5:$D$657,MATCH(H2691,Documents!$A$5:$A$657,0))="","",INDEX(Documents!$D$5:$D$657,MATCH(H2691,Documents!$A$5:$A$657,0))),"")</f>
        <v>J Med Chem</v>
      </c>
      <c r="K2691" s="25" t="str">
        <f aca="false">IFERROR(IF(INDEX(Documents!$G$5:$G$657,MATCH(H2691,Documents!$A$5:$A$657,0))="","",INDEX(Documents!$G$5:$G$657,MATCH(H2691,Documents!$A$5:$A$657,0))),"")</f>
        <v>10.1021/acs.jmedchem.2c01084</v>
      </c>
      <c r="L2691" s="25" t="s">
        <v>2958</v>
      </c>
    </row>
    <row r="2692" customFormat="false" ht="15" hidden="false" customHeight="false" outlineLevel="0" collapsed="false">
      <c r="A2692" s="25" t="n">
        <v>1911788</v>
      </c>
      <c r="B2692" s="25" t="s">
        <v>5760</v>
      </c>
      <c r="C2692" s="25" t="s">
        <v>5761</v>
      </c>
      <c r="D2692" s="26" t="n">
        <v>10000</v>
      </c>
      <c r="E2692" s="27" t="n">
        <v>5</v>
      </c>
      <c r="F2692" s="27" t="n">
        <v>5</v>
      </c>
      <c r="G2692" s="25" t="s">
        <v>2868</v>
      </c>
      <c r="H2692" s="25" t="s">
        <v>2869</v>
      </c>
      <c r="I2692" s="25" t="n">
        <f aca="false">IFERROR(IF(INDEX(Documents!$C$5:$C$657,MATCH(H2692,Documents!$A$5:$A$657,0))="","",INDEX(Documents!$C$5:$C$657,MATCH(H2692,Documents!$A$5:$A$657,0))),"")</f>
        <v>2007</v>
      </c>
      <c r="J2692" s="25" t="str">
        <f aca="false">IFERROR(IF(INDEX(Documents!$D$5:$D$657,MATCH(H2692,Documents!$A$5:$A$657,0))="","",INDEX(Documents!$D$5:$D$657,MATCH(H2692,Documents!$A$5:$A$657,0))),"")</f>
        <v>Bioorg Med Chem Lett</v>
      </c>
      <c r="K2692" s="25" t="str">
        <f aca="false">IFERROR(IF(INDEX(Documents!$G$5:$G$657,MATCH(H2692,Documents!$A$5:$A$657,0))="","",INDEX(Documents!$G$5:$G$657,MATCH(H2692,Documents!$A$5:$A$657,0))),"")</f>
        <v>10.1016/j.bmcl.2007.06.055</v>
      </c>
      <c r="L2692" s="25" t="s">
        <v>775</v>
      </c>
    </row>
    <row r="2693" customFormat="false" ht="15" hidden="false" customHeight="false" outlineLevel="0" collapsed="false">
      <c r="A2693" s="25" t="n">
        <v>2271584</v>
      </c>
      <c r="B2693" s="25" t="s">
        <v>5762</v>
      </c>
      <c r="C2693" s="25" t="s">
        <v>5763</v>
      </c>
      <c r="D2693" s="26" t="n">
        <v>4.77</v>
      </c>
      <c r="E2693" s="27" t="n">
        <v>8.32148162095989</v>
      </c>
      <c r="F2693" s="27" t="n">
        <v>8.32148162095989</v>
      </c>
      <c r="G2693" s="25" t="s">
        <v>1000</v>
      </c>
      <c r="H2693" s="25" t="s">
        <v>1001</v>
      </c>
      <c r="I2693" s="25" t="n">
        <f aca="false">IFERROR(IF(INDEX(Documents!$C$5:$C$657,MATCH(H2693,Documents!$A$5:$A$657,0))="","",INDEX(Documents!$C$5:$C$657,MATCH(H2693,Documents!$A$5:$A$657,0))),"")</f>
        <v>2009</v>
      </c>
      <c r="J2693" s="25" t="str">
        <f aca="false">IFERROR(IF(INDEX(Documents!$D$5:$D$657,MATCH(H2693,Documents!$A$5:$A$657,0))="","",INDEX(Documents!$D$5:$D$657,MATCH(H2693,Documents!$A$5:$A$657,0))),"")</f>
        <v>Bioorg Med Chem Lett</v>
      </c>
      <c r="K2693" s="25" t="str">
        <f aca="false">IFERROR(IF(INDEX(Documents!$G$5:$G$657,MATCH(H2693,Documents!$A$5:$A$657,0))="","",INDEX(Documents!$G$5:$G$657,MATCH(H2693,Documents!$A$5:$A$657,0))),"")</f>
        <v>10.1016/j.bmcl.2009.01.100</v>
      </c>
      <c r="L2693" s="25" t="s">
        <v>1002</v>
      </c>
    </row>
    <row r="2694" customFormat="false" ht="15" hidden="false" customHeight="false" outlineLevel="0" collapsed="false">
      <c r="A2694" s="25" t="n">
        <v>29084108</v>
      </c>
      <c r="B2694" s="25" t="s">
        <v>5764</v>
      </c>
      <c r="C2694" s="25" t="s">
        <v>5765</v>
      </c>
      <c r="D2694" s="26" t="n">
        <v>121</v>
      </c>
      <c r="E2694" s="27" t="n">
        <v>6.91721462968355</v>
      </c>
      <c r="F2694" s="27" t="n">
        <v>6.91721462968355</v>
      </c>
      <c r="G2694" s="25" t="s">
        <v>406</v>
      </c>
      <c r="H2694" s="25" t="s">
        <v>381</v>
      </c>
      <c r="I2694" s="25" t="n">
        <f aca="false">IFERROR(IF(INDEX(Documents!$C$5:$C$657,MATCH(H2694,Documents!$A$5:$A$657,0))="","",INDEX(Documents!$C$5:$C$657,MATCH(H2694,Documents!$A$5:$A$657,0))),"")</f>
        <v>2025</v>
      </c>
      <c r="J2694" s="25" t="str">
        <f aca="false">IFERROR(IF(INDEX(Documents!$D$5:$D$657,MATCH(H2694,Documents!$A$5:$A$657,0))="","",INDEX(Documents!$D$5:$D$657,MATCH(H2694,Documents!$A$5:$A$657,0))),"")</f>
        <v>Bioorg Med Chem</v>
      </c>
      <c r="K2694" s="25" t="str">
        <f aca="false">IFERROR(IF(INDEX(Documents!$G$5:$G$657,MATCH(H2694,Documents!$A$5:$A$657,0))="","",INDEX(Documents!$G$5:$G$657,MATCH(H2694,Documents!$A$5:$A$657,0))),"")</f>
        <v>10.1016/j.bmc.2024.118019</v>
      </c>
      <c r="L2694" s="25" t="s">
        <v>407</v>
      </c>
    </row>
    <row r="2695" customFormat="false" ht="15" hidden="false" customHeight="false" outlineLevel="0" collapsed="false">
      <c r="A2695" s="25" t="n">
        <v>29084107</v>
      </c>
      <c r="B2695" s="25" t="s">
        <v>5766</v>
      </c>
      <c r="C2695" s="25" t="s">
        <v>5767</v>
      </c>
      <c r="D2695" s="26" t="n">
        <v>13.1</v>
      </c>
      <c r="E2695" s="27" t="n">
        <v>7.88272870434424</v>
      </c>
      <c r="F2695" s="27" t="n">
        <v>7.88272870434424</v>
      </c>
      <c r="G2695" s="25" t="s">
        <v>406</v>
      </c>
      <c r="H2695" s="25" t="s">
        <v>381</v>
      </c>
      <c r="I2695" s="25" t="n">
        <f aca="false">IFERROR(IF(INDEX(Documents!$C$5:$C$657,MATCH(H2695,Documents!$A$5:$A$657,0))="","",INDEX(Documents!$C$5:$C$657,MATCH(H2695,Documents!$A$5:$A$657,0))),"")</f>
        <v>2025</v>
      </c>
      <c r="J2695" s="25" t="str">
        <f aca="false">IFERROR(IF(INDEX(Documents!$D$5:$D$657,MATCH(H2695,Documents!$A$5:$A$657,0))="","",INDEX(Documents!$D$5:$D$657,MATCH(H2695,Documents!$A$5:$A$657,0))),"")</f>
        <v>Bioorg Med Chem</v>
      </c>
      <c r="K2695" s="25" t="str">
        <f aca="false">IFERROR(IF(INDEX(Documents!$G$5:$G$657,MATCH(H2695,Documents!$A$5:$A$657,0))="","",INDEX(Documents!$G$5:$G$657,MATCH(H2695,Documents!$A$5:$A$657,0))),"")</f>
        <v>10.1016/j.bmc.2024.118019</v>
      </c>
      <c r="L2695" s="25" t="s">
        <v>407</v>
      </c>
    </row>
    <row r="2696" customFormat="false" ht="15" hidden="false" customHeight="false" outlineLevel="0" collapsed="false">
      <c r="A2696" s="25" t="n">
        <v>2271583</v>
      </c>
      <c r="B2696" s="25" t="s">
        <v>5768</v>
      </c>
      <c r="C2696" s="25" t="s">
        <v>5769</v>
      </c>
      <c r="D2696" s="26" t="n">
        <v>1.66</v>
      </c>
      <c r="E2696" s="27" t="n">
        <v>8.77989191195995</v>
      </c>
      <c r="F2696" s="27" t="n">
        <v>8.77989191195995</v>
      </c>
      <c r="G2696" s="25" t="s">
        <v>1000</v>
      </c>
      <c r="H2696" s="25" t="s">
        <v>1001</v>
      </c>
      <c r="I2696" s="25" t="n">
        <f aca="false">IFERROR(IF(INDEX(Documents!$C$5:$C$657,MATCH(H2696,Documents!$A$5:$A$657,0))="","",INDEX(Documents!$C$5:$C$657,MATCH(H2696,Documents!$A$5:$A$657,0))),"")</f>
        <v>2009</v>
      </c>
      <c r="J2696" s="25" t="str">
        <f aca="false">IFERROR(IF(INDEX(Documents!$D$5:$D$657,MATCH(H2696,Documents!$A$5:$A$657,0))="","",INDEX(Documents!$D$5:$D$657,MATCH(H2696,Documents!$A$5:$A$657,0))),"")</f>
        <v>Bioorg Med Chem Lett</v>
      </c>
      <c r="K2696" s="25" t="str">
        <f aca="false">IFERROR(IF(INDEX(Documents!$G$5:$G$657,MATCH(H2696,Documents!$A$5:$A$657,0))="","",INDEX(Documents!$G$5:$G$657,MATCH(H2696,Documents!$A$5:$A$657,0))),"")</f>
        <v>10.1016/j.bmcl.2009.01.100</v>
      </c>
      <c r="L2696" s="25" t="s">
        <v>1002</v>
      </c>
    </row>
    <row r="2697" customFormat="false" ht="15" hidden="false" customHeight="false" outlineLevel="0" collapsed="false">
      <c r="A2697" s="25" t="n">
        <v>2413513</v>
      </c>
      <c r="B2697" s="25" t="s">
        <v>5770</v>
      </c>
      <c r="C2697" s="25" t="s">
        <v>5771</v>
      </c>
      <c r="D2697" s="26" t="n">
        <v>4760</v>
      </c>
      <c r="E2697" s="27" t="n">
        <v>5.32239304727951</v>
      </c>
      <c r="F2697" s="27" t="n">
        <v>5.32239304727951</v>
      </c>
      <c r="G2697" s="25" t="s">
        <v>5772</v>
      </c>
      <c r="H2697" s="25" t="s">
        <v>5773</v>
      </c>
      <c r="I2697" s="25" t="n">
        <f aca="false">IFERROR(IF(INDEX(Documents!$C$5:$C$657,MATCH(H2697,Documents!$A$5:$A$657,0))="","",INDEX(Documents!$C$5:$C$657,MATCH(H2697,Documents!$A$5:$A$657,0))),"")</f>
        <v>2009</v>
      </c>
      <c r="J2697" s="25" t="str">
        <f aca="false">IFERROR(IF(INDEX(Documents!$D$5:$D$657,MATCH(H2697,Documents!$A$5:$A$657,0))="","",INDEX(Documents!$D$5:$D$657,MATCH(H2697,Documents!$A$5:$A$657,0))),"")</f>
        <v>Bioorg Med Chem</v>
      </c>
      <c r="K2697" s="25" t="str">
        <f aca="false">IFERROR(IF(INDEX(Documents!$G$5:$G$657,MATCH(H2697,Documents!$A$5:$A$657,0))="","",INDEX(Documents!$G$5:$G$657,MATCH(H2697,Documents!$A$5:$A$657,0))),"")</f>
        <v>10.1016/j.bmc.2009.02.027</v>
      </c>
      <c r="L2697" s="25" t="s">
        <v>5774</v>
      </c>
    </row>
    <row r="2698" customFormat="false" ht="15" hidden="false" customHeight="false" outlineLevel="0" collapsed="false">
      <c r="A2698" s="25" t="n">
        <v>2413511</v>
      </c>
      <c r="B2698" s="25" t="s">
        <v>5775</v>
      </c>
      <c r="C2698" s="25" t="s">
        <v>5776</v>
      </c>
      <c r="D2698" s="26" t="n">
        <v>9390</v>
      </c>
      <c r="E2698" s="27" t="n">
        <v>5.02733440773389</v>
      </c>
      <c r="F2698" s="27" t="n">
        <v>5.02733440773389</v>
      </c>
      <c r="G2698" s="25" t="s">
        <v>5772</v>
      </c>
      <c r="H2698" s="25" t="s">
        <v>5773</v>
      </c>
      <c r="I2698" s="25" t="n">
        <f aca="false">IFERROR(IF(INDEX(Documents!$C$5:$C$657,MATCH(H2698,Documents!$A$5:$A$657,0))="","",INDEX(Documents!$C$5:$C$657,MATCH(H2698,Documents!$A$5:$A$657,0))),"")</f>
        <v>2009</v>
      </c>
      <c r="J2698" s="25" t="str">
        <f aca="false">IFERROR(IF(INDEX(Documents!$D$5:$D$657,MATCH(H2698,Documents!$A$5:$A$657,0))="","",INDEX(Documents!$D$5:$D$657,MATCH(H2698,Documents!$A$5:$A$657,0))),"")</f>
        <v>Bioorg Med Chem</v>
      </c>
      <c r="K2698" s="25" t="str">
        <f aca="false">IFERROR(IF(INDEX(Documents!$G$5:$G$657,MATCH(H2698,Documents!$A$5:$A$657,0))="","",INDEX(Documents!$G$5:$G$657,MATCH(H2698,Documents!$A$5:$A$657,0))),"")</f>
        <v>10.1016/j.bmc.2009.02.027</v>
      </c>
      <c r="L2698" s="25" t="s">
        <v>5774</v>
      </c>
    </row>
    <row r="2699" customFormat="false" ht="15" hidden="false" customHeight="false" outlineLevel="0" collapsed="false">
      <c r="A2699" s="25" t="n">
        <v>2413514</v>
      </c>
      <c r="B2699" s="25" t="s">
        <v>5777</v>
      </c>
      <c r="C2699" s="25" t="s">
        <v>5778</v>
      </c>
      <c r="D2699" s="26" t="n">
        <v>2160</v>
      </c>
      <c r="E2699" s="27" t="n">
        <v>5.66554624884907</v>
      </c>
      <c r="F2699" s="27" t="n">
        <v>5.66554624884907</v>
      </c>
      <c r="G2699" s="25" t="s">
        <v>5772</v>
      </c>
      <c r="H2699" s="25" t="s">
        <v>5773</v>
      </c>
      <c r="I2699" s="25" t="n">
        <f aca="false">IFERROR(IF(INDEX(Documents!$C$5:$C$657,MATCH(H2699,Documents!$A$5:$A$657,0))="","",INDEX(Documents!$C$5:$C$657,MATCH(H2699,Documents!$A$5:$A$657,0))),"")</f>
        <v>2009</v>
      </c>
      <c r="J2699" s="25" t="str">
        <f aca="false">IFERROR(IF(INDEX(Documents!$D$5:$D$657,MATCH(H2699,Documents!$A$5:$A$657,0))="","",INDEX(Documents!$D$5:$D$657,MATCH(H2699,Documents!$A$5:$A$657,0))),"")</f>
        <v>Bioorg Med Chem</v>
      </c>
      <c r="K2699" s="25" t="str">
        <f aca="false">IFERROR(IF(INDEX(Documents!$G$5:$G$657,MATCH(H2699,Documents!$A$5:$A$657,0))="","",INDEX(Documents!$G$5:$G$657,MATCH(H2699,Documents!$A$5:$A$657,0))),"")</f>
        <v>10.1016/j.bmc.2009.02.027</v>
      </c>
      <c r="L2699" s="25" t="s">
        <v>5774</v>
      </c>
    </row>
    <row r="2700" customFormat="false" ht="15" hidden="false" customHeight="false" outlineLevel="0" collapsed="false">
      <c r="A2700" s="25" t="n">
        <v>2413512</v>
      </c>
      <c r="B2700" s="25" t="s">
        <v>5779</v>
      </c>
      <c r="C2700" s="25" t="s">
        <v>5780</v>
      </c>
      <c r="D2700" s="26" t="n">
        <v>1540</v>
      </c>
      <c r="E2700" s="27" t="n">
        <v>5.81247927916354</v>
      </c>
      <c r="F2700" s="27" t="n">
        <v>5.81247927916354</v>
      </c>
      <c r="G2700" s="25" t="s">
        <v>5772</v>
      </c>
      <c r="H2700" s="25" t="s">
        <v>5773</v>
      </c>
      <c r="I2700" s="25" t="n">
        <f aca="false">IFERROR(IF(INDEX(Documents!$C$5:$C$657,MATCH(H2700,Documents!$A$5:$A$657,0))="","",INDEX(Documents!$C$5:$C$657,MATCH(H2700,Documents!$A$5:$A$657,0))),"")</f>
        <v>2009</v>
      </c>
      <c r="J2700" s="25" t="str">
        <f aca="false">IFERROR(IF(INDEX(Documents!$D$5:$D$657,MATCH(H2700,Documents!$A$5:$A$657,0))="","",INDEX(Documents!$D$5:$D$657,MATCH(H2700,Documents!$A$5:$A$657,0))),"")</f>
        <v>Bioorg Med Chem</v>
      </c>
      <c r="K2700" s="25" t="str">
        <f aca="false">IFERROR(IF(INDEX(Documents!$G$5:$G$657,MATCH(H2700,Documents!$A$5:$A$657,0))="","",INDEX(Documents!$G$5:$G$657,MATCH(H2700,Documents!$A$5:$A$657,0))),"")</f>
        <v>10.1016/j.bmc.2009.02.027</v>
      </c>
      <c r="L2700" s="25" t="s">
        <v>5774</v>
      </c>
    </row>
    <row r="2701" customFormat="false" ht="15" hidden="false" customHeight="false" outlineLevel="0" collapsed="false">
      <c r="A2701" s="25" t="n">
        <v>2413510</v>
      </c>
      <c r="B2701" s="25" t="s">
        <v>5781</v>
      </c>
      <c r="C2701" s="25" t="s">
        <v>5782</v>
      </c>
      <c r="D2701" s="26" t="n">
        <v>5240</v>
      </c>
      <c r="E2701" s="27" t="n">
        <v>5.28066871301627</v>
      </c>
      <c r="F2701" s="27" t="n">
        <v>5.28066871301627</v>
      </c>
      <c r="G2701" s="25" t="s">
        <v>5772</v>
      </c>
      <c r="H2701" s="25" t="s">
        <v>5773</v>
      </c>
      <c r="I2701" s="25" t="n">
        <f aca="false">IFERROR(IF(INDEX(Documents!$C$5:$C$657,MATCH(H2701,Documents!$A$5:$A$657,0))="","",INDEX(Documents!$C$5:$C$657,MATCH(H2701,Documents!$A$5:$A$657,0))),"")</f>
        <v>2009</v>
      </c>
      <c r="J2701" s="25" t="str">
        <f aca="false">IFERROR(IF(INDEX(Documents!$D$5:$D$657,MATCH(H2701,Documents!$A$5:$A$657,0))="","",INDEX(Documents!$D$5:$D$657,MATCH(H2701,Documents!$A$5:$A$657,0))),"")</f>
        <v>Bioorg Med Chem</v>
      </c>
      <c r="K2701" s="25" t="str">
        <f aca="false">IFERROR(IF(INDEX(Documents!$G$5:$G$657,MATCH(H2701,Documents!$A$5:$A$657,0))="","",INDEX(Documents!$G$5:$G$657,MATCH(H2701,Documents!$A$5:$A$657,0))),"")</f>
        <v>10.1016/j.bmc.2009.02.027</v>
      </c>
      <c r="L2701" s="25" t="s">
        <v>5774</v>
      </c>
    </row>
    <row r="2702" customFormat="false" ht="15" hidden="false" customHeight="false" outlineLevel="0" collapsed="false">
      <c r="A2702" s="25" t="n">
        <v>2914142</v>
      </c>
      <c r="B2702" s="25" t="s">
        <v>5783</v>
      </c>
      <c r="C2702" s="25" t="s">
        <v>5784</v>
      </c>
      <c r="D2702" s="26" t="n">
        <v>553</v>
      </c>
      <c r="E2702" s="27" t="n">
        <v>6.2572748686953</v>
      </c>
      <c r="F2702" s="27" t="n">
        <v>6.2572748686953</v>
      </c>
      <c r="G2702" s="25" t="s">
        <v>5785</v>
      </c>
      <c r="H2702" s="25" t="s">
        <v>5786</v>
      </c>
      <c r="I2702" s="25" t="n">
        <f aca="false">IFERROR(IF(INDEX(Documents!$C$5:$C$657,MATCH(H2702,Documents!$A$5:$A$657,0))="","",INDEX(Documents!$C$5:$C$657,MATCH(H2702,Documents!$A$5:$A$657,0))),"")</f>
        <v>2009</v>
      </c>
      <c r="J2702" s="25" t="str">
        <f aca="false">IFERROR(IF(INDEX(Documents!$D$5:$D$657,MATCH(H2702,Documents!$A$5:$A$657,0))="","",INDEX(Documents!$D$5:$D$657,MATCH(H2702,Documents!$A$5:$A$657,0))),"")</f>
        <v>Bioorg Med Chem</v>
      </c>
      <c r="K2702" s="25" t="str">
        <f aca="false">IFERROR(IF(INDEX(Documents!$G$5:$G$657,MATCH(H2702,Documents!$A$5:$A$657,0))="","",INDEX(Documents!$G$5:$G$657,MATCH(H2702,Documents!$A$5:$A$657,0))),"")</f>
        <v>10.1016/j.bmc.2009.06.027</v>
      </c>
      <c r="L2702" s="25" t="s">
        <v>676</v>
      </c>
    </row>
    <row r="2703" customFormat="false" ht="15" hidden="false" customHeight="false" outlineLevel="0" collapsed="false">
      <c r="A2703" s="25" t="n">
        <v>2914151</v>
      </c>
      <c r="B2703" s="25" t="s">
        <v>5787</v>
      </c>
      <c r="C2703" s="25" t="s">
        <v>5788</v>
      </c>
      <c r="D2703" s="26" t="n">
        <v>609</v>
      </c>
      <c r="E2703" s="27" t="n">
        <v>6.21538270736713</v>
      </c>
      <c r="F2703" s="27" t="n">
        <v>6.21538270736713</v>
      </c>
      <c r="G2703" s="25" t="s">
        <v>5785</v>
      </c>
      <c r="H2703" s="25" t="s">
        <v>5786</v>
      </c>
      <c r="I2703" s="25" t="n">
        <f aca="false">IFERROR(IF(INDEX(Documents!$C$5:$C$657,MATCH(H2703,Documents!$A$5:$A$657,0))="","",INDEX(Documents!$C$5:$C$657,MATCH(H2703,Documents!$A$5:$A$657,0))),"")</f>
        <v>2009</v>
      </c>
      <c r="J2703" s="25" t="str">
        <f aca="false">IFERROR(IF(INDEX(Documents!$D$5:$D$657,MATCH(H2703,Documents!$A$5:$A$657,0))="","",INDEX(Documents!$D$5:$D$657,MATCH(H2703,Documents!$A$5:$A$657,0))),"")</f>
        <v>Bioorg Med Chem</v>
      </c>
      <c r="K2703" s="25" t="str">
        <f aca="false">IFERROR(IF(INDEX(Documents!$G$5:$G$657,MATCH(H2703,Documents!$A$5:$A$657,0))="","",INDEX(Documents!$G$5:$G$657,MATCH(H2703,Documents!$A$5:$A$657,0))),"")</f>
        <v>10.1016/j.bmc.2009.06.027</v>
      </c>
      <c r="L2703" s="25" t="s">
        <v>676</v>
      </c>
    </row>
    <row r="2704" customFormat="false" ht="15" hidden="false" customHeight="false" outlineLevel="0" collapsed="false">
      <c r="A2704" s="25" t="n">
        <v>2914108</v>
      </c>
      <c r="B2704" s="25" t="s">
        <v>5789</v>
      </c>
      <c r="C2704" s="25" t="s">
        <v>5790</v>
      </c>
      <c r="D2704" s="26" t="n">
        <v>373</v>
      </c>
      <c r="E2704" s="27" t="n">
        <v>6.42829116819131</v>
      </c>
      <c r="F2704" s="27" t="n">
        <v>6.42829116819131</v>
      </c>
      <c r="G2704" s="25" t="s">
        <v>5785</v>
      </c>
      <c r="H2704" s="25" t="s">
        <v>5786</v>
      </c>
      <c r="I2704" s="25" t="n">
        <f aca="false">IFERROR(IF(INDEX(Documents!$C$5:$C$657,MATCH(H2704,Documents!$A$5:$A$657,0))="","",INDEX(Documents!$C$5:$C$657,MATCH(H2704,Documents!$A$5:$A$657,0))),"")</f>
        <v>2009</v>
      </c>
      <c r="J2704" s="25" t="str">
        <f aca="false">IFERROR(IF(INDEX(Documents!$D$5:$D$657,MATCH(H2704,Documents!$A$5:$A$657,0))="","",INDEX(Documents!$D$5:$D$657,MATCH(H2704,Documents!$A$5:$A$657,0))),"")</f>
        <v>Bioorg Med Chem</v>
      </c>
      <c r="K2704" s="25" t="str">
        <f aca="false">IFERROR(IF(INDEX(Documents!$G$5:$G$657,MATCH(H2704,Documents!$A$5:$A$657,0))="","",INDEX(Documents!$G$5:$G$657,MATCH(H2704,Documents!$A$5:$A$657,0))),"")</f>
        <v>10.1016/j.bmc.2009.06.027</v>
      </c>
      <c r="L2704" s="25" t="s">
        <v>676</v>
      </c>
    </row>
    <row r="2705" customFormat="false" ht="15" hidden="false" customHeight="false" outlineLevel="0" collapsed="false">
      <c r="A2705" s="25" t="n">
        <v>2914117</v>
      </c>
      <c r="B2705" s="25" t="s">
        <v>5791</v>
      </c>
      <c r="C2705" s="25" t="s">
        <v>5792</v>
      </c>
      <c r="D2705" s="26" t="n">
        <v>739</v>
      </c>
      <c r="E2705" s="27" t="n">
        <v>6.13135556160517</v>
      </c>
      <c r="F2705" s="27" t="n">
        <v>6.13135556160517</v>
      </c>
      <c r="G2705" s="25" t="s">
        <v>5785</v>
      </c>
      <c r="H2705" s="25" t="s">
        <v>5786</v>
      </c>
      <c r="I2705" s="25" t="n">
        <f aca="false">IFERROR(IF(INDEX(Documents!$C$5:$C$657,MATCH(H2705,Documents!$A$5:$A$657,0))="","",INDEX(Documents!$C$5:$C$657,MATCH(H2705,Documents!$A$5:$A$657,0))),"")</f>
        <v>2009</v>
      </c>
      <c r="J2705" s="25" t="str">
        <f aca="false">IFERROR(IF(INDEX(Documents!$D$5:$D$657,MATCH(H2705,Documents!$A$5:$A$657,0))="","",INDEX(Documents!$D$5:$D$657,MATCH(H2705,Documents!$A$5:$A$657,0))),"")</f>
        <v>Bioorg Med Chem</v>
      </c>
      <c r="K2705" s="25" t="str">
        <f aca="false">IFERROR(IF(INDEX(Documents!$G$5:$G$657,MATCH(H2705,Documents!$A$5:$A$657,0))="","",INDEX(Documents!$G$5:$G$657,MATCH(H2705,Documents!$A$5:$A$657,0))),"")</f>
        <v>10.1016/j.bmc.2009.06.027</v>
      </c>
      <c r="L2705" s="25" t="s">
        <v>676</v>
      </c>
    </row>
    <row r="2706" customFormat="false" ht="15" hidden="false" customHeight="false" outlineLevel="0" collapsed="false">
      <c r="A2706" s="25" t="n">
        <v>2118257</v>
      </c>
      <c r="B2706" s="25" t="s">
        <v>5793</v>
      </c>
      <c r="C2706" s="25" t="s">
        <v>5794</v>
      </c>
      <c r="D2706" s="26" t="n">
        <v>0.7</v>
      </c>
      <c r="E2706" s="27" t="n">
        <v>9.15490195998575</v>
      </c>
      <c r="F2706" s="27" t="n">
        <v>9.1574607011537</v>
      </c>
      <c r="G2706" s="25" t="s">
        <v>1199</v>
      </c>
      <c r="H2706" s="25" t="s">
        <v>1200</v>
      </c>
      <c r="I2706" s="25" t="n">
        <f aca="false">IFERROR(IF(INDEX(Documents!$C$5:$C$657,MATCH(H2706,Documents!$A$5:$A$657,0))="","",INDEX(Documents!$C$5:$C$657,MATCH(H2706,Documents!$A$5:$A$657,0))),"")</f>
        <v>2008</v>
      </c>
      <c r="J2706" s="25" t="str">
        <f aca="false">IFERROR(IF(INDEX(Documents!$D$5:$D$657,MATCH(H2706,Documents!$A$5:$A$657,0))="","",INDEX(Documents!$D$5:$D$657,MATCH(H2706,Documents!$A$5:$A$657,0))),"")</f>
        <v>J Med Chem</v>
      </c>
      <c r="K2706" s="25" t="str">
        <f aca="false">IFERROR(IF(INDEX(Documents!$G$5:$G$657,MATCH(H2706,Documents!$A$5:$A$657,0))="","",INDEX(Documents!$G$5:$G$657,MATCH(H2706,Documents!$A$5:$A$657,0))),"")</f>
        <v>10.1021/jm7011613</v>
      </c>
      <c r="L2706" s="25" t="s">
        <v>676</v>
      </c>
    </row>
    <row r="2707" customFormat="false" ht="15" hidden="false" customHeight="false" outlineLevel="0" collapsed="false">
      <c r="A2707" s="25" t="n">
        <v>2118256</v>
      </c>
      <c r="B2707" s="25" t="s">
        <v>5793</v>
      </c>
      <c r="C2707" s="25" t="s">
        <v>5794</v>
      </c>
      <c r="D2707" s="26" t="n">
        <v>0.6918</v>
      </c>
      <c r="E2707" s="27" t="n">
        <v>9.16001944232166</v>
      </c>
      <c r="F2707" s="27" t="n">
        <v>9.1574607011537</v>
      </c>
      <c r="G2707" s="25" t="s">
        <v>1199</v>
      </c>
      <c r="H2707" s="25" t="s">
        <v>1200</v>
      </c>
      <c r="I2707" s="25" t="n">
        <f aca="false">IFERROR(IF(INDEX(Documents!$C$5:$C$657,MATCH(H2707,Documents!$A$5:$A$657,0))="","",INDEX(Documents!$C$5:$C$657,MATCH(H2707,Documents!$A$5:$A$657,0))),"")</f>
        <v>2008</v>
      </c>
      <c r="J2707" s="25" t="str">
        <f aca="false">IFERROR(IF(INDEX(Documents!$D$5:$D$657,MATCH(H2707,Documents!$A$5:$A$657,0))="","",INDEX(Documents!$D$5:$D$657,MATCH(H2707,Documents!$A$5:$A$657,0))),"")</f>
        <v>J Med Chem</v>
      </c>
      <c r="K2707" s="25" t="str">
        <f aca="false">IFERROR(IF(INDEX(Documents!$G$5:$G$657,MATCH(H2707,Documents!$A$5:$A$657,0))="","",INDEX(Documents!$G$5:$G$657,MATCH(H2707,Documents!$A$5:$A$657,0))),"")</f>
        <v>10.1021/jm7011613</v>
      </c>
      <c r="L2707" s="25" t="s">
        <v>676</v>
      </c>
    </row>
    <row r="2708" customFormat="false" ht="15" hidden="false" customHeight="false" outlineLevel="0" collapsed="false">
      <c r="A2708" s="25" t="n">
        <v>2118259</v>
      </c>
      <c r="B2708" s="25" t="s">
        <v>5795</v>
      </c>
      <c r="C2708" s="25" t="s">
        <v>5796</v>
      </c>
      <c r="D2708" s="26" t="n">
        <v>1.8</v>
      </c>
      <c r="E2708" s="27" t="n">
        <v>8.74472749489669</v>
      </c>
      <c r="F2708" s="27" t="n">
        <v>8.74739786913125</v>
      </c>
      <c r="G2708" s="25" t="s">
        <v>1199</v>
      </c>
      <c r="H2708" s="25" t="s">
        <v>1200</v>
      </c>
      <c r="I2708" s="25" t="n">
        <f aca="false">IFERROR(IF(INDEX(Documents!$C$5:$C$657,MATCH(H2708,Documents!$A$5:$A$657,0))="","",INDEX(Documents!$C$5:$C$657,MATCH(H2708,Documents!$A$5:$A$657,0))),"")</f>
        <v>2008</v>
      </c>
      <c r="J2708" s="25" t="str">
        <f aca="false">IFERROR(IF(INDEX(Documents!$D$5:$D$657,MATCH(H2708,Documents!$A$5:$A$657,0))="","",INDEX(Documents!$D$5:$D$657,MATCH(H2708,Documents!$A$5:$A$657,0))),"")</f>
        <v>J Med Chem</v>
      </c>
      <c r="K2708" s="25" t="str">
        <f aca="false">IFERROR(IF(INDEX(Documents!$G$5:$G$657,MATCH(H2708,Documents!$A$5:$A$657,0))="","",INDEX(Documents!$G$5:$G$657,MATCH(H2708,Documents!$A$5:$A$657,0))),"")</f>
        <v>10.1021/jm7011613</v>
      </c>
      <c r="L2708" s="25" t="s">
        <v>676</v>
      </c>
    </row>
    <row r="2709" customFormat="false" ht="15" hidden="false" customHeight="false" outlineLevel="0" collapsed="false">
      <c r="A2709" s="25" t="n">
        <v>2118258</v>
      </c>
      <c r="B2709" s="25" t="s">
        <v>5795</v>
      </c>
      <c r="C2709" s="25" t="s">
        <v>5796</v>
      </c>
      <c r="D2709" s="26" t="n">
        <v>1.778</v>
      </c>
      <c r="E2709" s="27" t="n">
        <v>8.75006824336581</v>
      </c>
      <c r="F2709" s="27" t="n">
        <v>8.74739786913125</v>
      </c>
      <c r="G2709" s="25" t="s">
        <v>1199</v>
      </c>
      <c r="H2709" s="25" t="s">
        <v>1200</v>
      </c>
      <c r="I2709" s="25" t="n">
        <f aca="false">IFERROR(IF(INDEX(Documents!$C$5:$C$657,MATCH(H2709,Documents!$A$5:$A$657,0))="","",INDEX(Documents!$C$5:$C$657,MATCH(H2709,Documents!$A$5:$A$657,0))),"")</f>
        <v>2008</v>
      </c>
      <c r="J2709" s="25" t="str">
        <f aca="false">IFERROR(IF(INDEX(Documents!$D$5:$D$657,MATCH(H2709,Documents!$A$5:$A$657,0))="","",INDEX(Documents!$D$5:$D$657,MATCH(H2709,Documents!$A$5:$A$657,0))),"")</f>
        <v>J Med Chem</v>
      </c>
      <c r="K2709" s="25" t="str">
        <f aca="false">IFERROR(IF(INDEX(Documents!$G$5:$G$657,MATCH(H2709,Documents!$A$5:$A$657,0))="","",INDEX(Documents!$G$5:$G$657,MATCH(H2709,Documents!$A$5:$A$657,0))),"")</f>
        <v>10.1021/jm7011613</v>
      </c>
      <c r="L2709" s="25" t="s">
        <v>676</v>
      </c>
    </row>
    <row r="2710" customFormat="false" ht="15" hidden="false" customHeight="false" outlineLevel="0" collapsed="false">
      <c r="A2710" s="25" t="n">
        <v>1891105</v>
      </c>
      <c r="B2710" s="25" t="s">
        <v>5797</v>
      </c>
      <c r="C2710" s="25" t="s">
        <v>5798</v>
      </c>
      <c r="D2710" s="26" t="n">
        <v>850</v>
      </c>
      <c r="E2710" s="27" t="n">
        <v>6.07058107428571</v>
      </c>
      <c r="F2710" s="27" t="n">
        <v>6.07058107428571</v>
      </c>
      <c r="G2710" s="25" t="s">
        <v>5799</v>
      </c>
      <c r="H2710" s="25" t="s">
        <v>5800</v>
      </c>
      <c r="I2710" s="25" t="n">
        <f aca="false">IFERROR(IF(INDEX(Documents!$C$5:$C$657,MATCH(H2710,Documents!$A$5:$A$657,0))="","",INDEX(Documents!$C$5:$C$657,MATCH(H2710,Documents!$A$5:$A$657,0))),"")</f>
        <v>2007</v>
      </c>
      <c r="J2710" s="25" t="str">
        <f aca="false">IFERROR(IF(INDEX(Documents!$D$5:$D$657,MATCH(H2710,Documents!$A$5:$A$657,0))="","",INDEX(Documents!$D$5:$D$657,MATCH(H2710,Documents!$A$5:$A$657,0))),"")</f>
        <v>Bioorg Med Chem Lett</v>
      </c>
      <c r="K2710" s="25" t="str">
        <f aca="false">IFERROR(IF(INDEX(Documents!$G$5:$G$657,MATCH(H2710,Documents!$A$5:$A$657,0))="","",INDEX(Documents!$G$5:$G$657,MATCH(H2710,Documents!$A$5:$A$657,0))),"")</f>
        <v>10.1016/j.bmcl.2006.10.095</v>
      </c>
      <c r="L2710" s="25" t="s">
        <v>285</v>
      </c>
    </row>
    <row r="2711" customFormat="false" ht="15" hidden="false" customHeight="false" outlineLevel="0" collapsed="false">
      <c r="A2711" s="25" t="n">
        <v>13912578</v>
      </c>
      <c r="B2711" s="25" t="s">
        <v>5801</v>
      </c>
      <c r="C2711" s="25" t="s">
        <v>5802</v>
      </c>
      <c r="D2711" s="26" t="n">
        <v>1</v>
      </c>
      <c r="E2711" s="27" t="n">
        <v>9</v>
      </c>
      <c r="F2711" s="27" t="n">
        <v>9</v>
      </c>
      <c r="G2711" s="25" t="s">
        <v>1717</v>
      </c>
      <c r="H2711" s="25" t="s">
        <v>1718</v>
      </c>
      <c r="I2711" s="25" t="n">
        <f aca="false">IFERROR(IF(INDEX(Documents!$C$5:$C$657,MATCH(H2711,Documents!$A$5:$A$657,0))="","",INDEX(Documents!$C$5:$C$657,MATCH(H2711,Documents!$A$5:$A$657,0))),"")</f>
        <v>2014</v>
      </c>
      <c r="J2711" s="25" t="str">
        <f aca="false">IFERROR(IF(INDEX(Documents!$D$5:$D$657,MATCH(H2711,Documents!$A$5:$A$657,0))="","",INDEX(Documents!$D$5:$D$657,MATCH(H2711,Documents!$A$5:$A$657,0))),"")</f>
        <v>Eur J Med Chem</v>
      </c>
      <c r="K2711" s="25" t="str">
        <f aca="false">IFERROR(IF(INDEX(Documents!$G$5:$G$657,MATCH(H2711,Documents!$A$5:$A$657,0))="","",INDEX(Documents!$G$5:$G$657,MATCH(H2711,Documents!$A$5:$A$657,0))),"")</f>
        <v>10.1016/j.ejmech.2013.10.070</v>
      </c>
      <c r="L2711" s="25" t="s">
        <v>1719</v>
      </c>
    </row>
    <row r="2712" customFormat="false" ht="15" hidden="false" customHeight="false" outlineLevel="0" collapsed="false">
      <c r="A2712" s="25" t="n">
        <v>22800472</v>
      </c>
      <c r="B2712" s="25" t="s">
        <v>5803</v>
      </c>
      <c r="C2712" s="25" t="s">
        <v>5804</v>
      </c>
      <c r="D2712" s="26" t="n">
        <v>26.2</v>
      </c>
      <c r="E2712" s="27" t="n">
        <v>7.58169870868025</v>
      </c>
      <c r="F2712" s="27" t="n">
        <v>7.58169870868025</v>
      </c>
      <c r="G2712" s="25" t="s">
        <v>5805</v>
      </c>
      <c r="H2712" s="25" t="s">
        <v>5806</v>
      </c>
      <c r="I2712" s="25" t="n">
        <f aca="false">IFERROR(IF(INDEX(Documents!$C$5:$C$657,MATCH(H2712,Documents!$A$5:$A$657,0))="","",INDEX(Documents!$C$5:$C$657,MATCH(H2712,Documents!$A$5:$A$657,0))),"")</f>
        <v>2020</v>
      </c>
      <c r="J2712" s="25" t="str">
        <f aca="false">IFERROR(IF(INDEX(Documents!$D$5:$D$657,MATCH(H2712,Documents!$A$5:$A$657,0))="","",INDEX(Documents!$D$5:$D$657,MATCH(H2712,Documents!$A$5:$A$657,0))),"")</f>
        <v>Eur J Med Chem</v>
      </c>
      <c r="K2712" s="25" t="str">
        <f aca="false">IFERROR(IF(INDEX(Documents!$G$5:$G$657,MATCH(H2712,Documents!$A$5:$A$657,0))="","",INDEX(Documents!$G$5:$G$657,MATCH(H2712,Documents!$A$5:$A$657,0))),"")</f>
        <v>10.1016/j.ejmech.2020.112858</v>
      </c>
      <c r="L2712" s="25" t="s">
        <v>5807</v>
      </c>
    </row>
    <row r="2713" customFormat="false" ht="15" hidden="false" customHeight="false" outlineLevel="0" collapsed="false">
      <c r="A2713" s="25" t="n">
        <v>22800479</v>
      </c>
      <c r="B2713" s="25" t="s">
        <v>5808</v>
      </c>
      <c r="C2713" s="25" t="s">
        <v>5809</v>
      </c>
      <c r="D2713" s="26" t="n">
        <v>919</v>
      </c>
      <c r="E2713" s="27" t="n">
        <v>6.03668448861389</v>
      </c>
      <c r="F2713" s="27" t="n">
        <v>6.03668448861389</v>
      </c>
      <c r="G2713" s="25" t="s">
        <v>5805</v>
      </c>
      <c r="H2713" s="25" t="s">
        <v>5806</v>
      </c>
      <c r="I2713" s="25" t="n">
        <f aca="false">IFERROR(IF(INDEX(Documents!$C$5:$C$657,MATCH(H2713,Documents!$A$5:$A$657,0))="","",INDEX(Documents!$C$5:$C$657,MATCH(H2713,Documents!$A$5:$A$657,0))),"")</f>
        <v>2020</v>
      </c>
      <c r="J2713" s="25" t="str">
        <f aca="false">IFERROR(IF(INDEX(Documents!$D$5:$D$657,MATCH(H2713,Documents!$A$5:$A$657,0))="","",INDEX(Documents!$D$5:$D$657,MATCH(H2713,Documents!$A$5:$A$657,0))),"")</f>
        <v>Eur J Med Chem</v>
      </c>
      <c r="K2713" s="25" t="str">
        <f aca="false">IFERROR(IF(INDEX(Documents!$G$5:$G$657,MATCH(H2713,Documents!$A$5:$A$657,0))="","",INDEX(Documents!$G$5:$G$657,MATCH(H2713,Documents!$A$5:$A$657,0))),"")</f>
        <v>10.1016/j.ejmech.2020.112858</v>
      </c>
      <c r="L2713" s="25" t="s">
        <v>5807</v>
      </c>
    </row>
    <row r="2714" customFormat="false" ht="15" hidden="false" customHeight="false" outlineLevel="0" collapsed="false">
      <c r="A2714" s="25" t="n">
        <v>16575989</v>
      </c>
      <c r="B2714" s="25" t="s">
        <v>5810</v>
      </c>
      <c r="C2714" s="25" t="s">
        <v>5811</v>
      </c>
      <c r="D2714" s="26" t="n">
        <v>2742</v>
      </c>
      <c r="E2714" s="27" t="n">
        <v>5.56193254954651</v>
      </c>
      <c r="F2714" s="27" t="n">
        <v>5.56193254954651</v>
      </c>
      <c r="G2714" s="25" t="s">
        <v>548</v>
      </c>
      <c r="H2714" s="25" t="s">
        <v>549</v>
      </c>
      <c r="I2714" s="25" t="n">
        <f aca="false">IFERROR(IF(INDEX(Documents!$C$5:$C$657,MATCH(H2714,Documents!$A$5:$A$657,0))="","",INDEX(Documents!$C$5:$C$657,MATCH(H2714,Documents!$A$5:$A$657,0))),"")</f>
        <v>2016</v>
      </c>
      <c r="J2714" s="25" t="str">
        <f aca="false">IFERROR(IF(INDEX(Documents!$D$5:$D$657,MATCH(H2714,Documents!$A$5:$A$657,0))="","",INDEX(Documents!$D$5:$D$657,MATCH(H2714,Documents!$A$5:$A$657,0))),"")</f>
        <v>Eur J Med Chem</v>
      </c>
      <c r="K2714" s="25" t="str">
        <f aca="false">IFERROR(IF(INDEX(Documents!$G$5:$G$657,MATCH(H2714,Documents!$A$5:$A$657,0))="","",INDEX(Documents!$G$5:$G$657,MATCH(H2714,Documents!$A$5:$A$657,0))),"")</f>
        <v>10.1016/j.ejmech.2016.03.072</v>
      </c>
      <c r="L2714" s="25" t="s">
        <v>550</v>
      </c>
    </row>
    <row r="2715" customFormat="false" ht="15" hidden="false" customHeight="false" outlineLevel="0" collapsed="false">
      <c r="A2715" s="25" t="n">
        <v>16575997</v>
      </c>
      <c r="B2715" s="25" t="s">
        <v>5812</v>
      </c>
      <c r="C2715" s="25" t="s">
        <v>5813</v>
      </c>
      <c r="D2715" s="26" t="n">
        <v>196</v>
      </c>
      <c r="E2715" s="27" t="n">
        <v>6.70774392864352</v>
      </c>
      <c r="F2715" s="27" t="n">
        <v>6.70774392864352</v>
      </c>
      <c r="G2715" s="25" t="s">
        <v>548</v>
      </c>
      <c r="H2715" s="25" t="s">
        <v>549</v>
      </c>
      <c r="I2715" s="25" t="n">
        <f aca="false">IFERROR(IF(INDEX(Documents!$C$5:$C$657,MATCH(H2715,Documents!$A$5:$A$657,0))="","",INDEX(Documents!$C$5:$C$657,MATCH(H2715,Documents!$A$5:$A$657,0))),"")</f>
        <v>2016</v>
      </c>
      <c r="J2715" s="25" t="str">
        <f aca="false">IFERROR(IF(INDEX(Documents!$D$5:$D$657,MATCH(H2715,Documents!$A$5:$A$657,0))="","",INDEX(Documents!$D$5:$D$657,MATCH(H2715,Documents!$A$5:$A$657,0))),"")</f>
        <v>Eur J Med Chem</v>
      </c>
      <c r="K2715" s="25" t="str">
        <f aca="false">IFERROR(IF(INDEX(Documents!$G$5:$G$657,MATCH(H2715,Documents!$A$5:$A$657,0))="","",INDEX(Documents!$G$5:$G$657,MATCH(H2715,Documents!$A$5:$A$657,0))),"")</f>
        <v>10.1016/j.ejmech.2016.03.072</v>
      </c>
      <c r="L2715" s="25" t="s">
        <v>550</v>
      </c>
    </row>
    <row r="2716" customFormat="false" ht="15" hidden="false" customHeight="false" outlineLevel="0" collapsed="false">
      <c r="A2716" s="25" t="n">
        <v>16575998</v>
      </c>
      <c r="B2716" s="25" t="s">
        <v>5814</v>
      </c>
      <c r="C2716" s="25" t="s">
        <v>5815</v>
      </c>
      <c r="D2716" s="26" t="n">
        <v>811</v>
      </c>
      <c r="E2716" s="27" t="n">
        <v>6.09097914578884</v>
      </c>
      <c r="F2716" s="27" t="n">
        <v>6.09097914578884</v>
      </c>
      <c r="G2716" s="25" t="s">
        <v>548</v>
      </c>
      <c r="H2716" s="25" t="s">
        <v>549</v>
      </c>
      <c r="I2716" s="25" t="n">
        <f aca="false">IFERROR(IF(INDEX(Documents!$C$5:$C$657,MATCH(H2716,Documents!$A$5:$A$657,0))="","",INDEX(Documents!$C$5:$C$657,MATCH(H2716,Documents!$A$5:$A$657,0))),"")</f>
        <v>2016</v>
      </c>
      <c r="J2716" s="25" t="str">
        <f aca="false">IFERROR(IF(INDEX(Documents!$D$5:$D$657,MATCH(H2716,Documents!$A$5:$A$657,0))="","",INDEX(Documents!$D$5:$D$657,MATCH(H2716,Documents!$A$5:$A$657,0))),"")</f>
        <v>Eur J Med Chem</v>
      </c>
      <c r="K2716" s="25" t="str">
        <f aca="false">IFERROR(IF(INDEX(Documents!$G$5:$G$657,MATCH(H2716,Documents!$A$5:$A$657,0))="","",INDEX(Documents!$G$5:$G$657,MATCH(H2716,Documents!$A$5:$A$657,0))),"")</f>
        <v>10.1016/j.ejmech.2016.03.072</v>
      </c>
      <c r="L2716" s="25" t="s">
        <v>550</v>
      </c>
    </row>
    <row r="2717" customFormat="false" ht="15" hidden="false" customHeight="false" outlineLevel="0" collapsed="false">
      <c r="A2717" s="25" t="n">
        <v>18428382</v>
      </c>
      <c r="B2717" s="25" t="s">
        <v>5816</v>
      </c>
      <c r="C2717" s="25" t="s">
        <v>5817</v>
      </c>
      <c r="D2717" s="26" t="n">
        <v>7.9</v>
      </c>
      <c r="E2717" s="27" t="n">
        <v>8.10237290870956</v>
      </c>
      <c r="F2717" s="27" t="n">
        <v>8.10237290870956</v>
      </c>
      <c r="G2717" s="25" t="s">
        <v>5818</v>
      </c>
      <c r="H2717" s="25" t="s">
        <v>5819</v>
      </c>
      <c r="I2717" s="25" t="n">
        <f aca="false">IFERROR(IF(INDEX(Documents!$C$5:$C$657,MATCH(H2717,Documents!$A$5:$A$657,0))="","",INDEX(Documents!$C$5:$C$657,MATCH(H2717,Documents!$A$5:$A$657,0))),"")</f>
        <v>2018</v>
      </c>
      <c r="J2717" s="25" t="str">
        <f aca="false">IFERROR(IF(INDEX(Documents!$D$5:$D$657,MATCH(H2717,Documents!$A$5:$A$657,0))="","",INDEX(Documents!$D$5:$D$657,MATCH(H2717,Documents!$A$5:$A$657,0))),"")</f>
        <v>Eur J Med Chem</v>
      </c>
      <c r="K2717" s="25" t="str">
        <f aca="false">IFERROR(IF(INDEX(Documents!$G$5:$G$657,MATCH(H2717,Documents!$A$5:$A$657,0))="","",INDEX(Documents!$G$5:$G$657,MATCH(H2717,Documents!$A$5:$A$657,0))),"")</f>
        <v>10.1016/j.ejmech.2018.05.019</v>
      </c>
      <c r="L2717" s="25" t="s">
        <v>5820</v>
      </c>
    </row>
    <row r="2718" customFormat="false" ht="15" hidden="false" customHeight="false" outlineLevel="0" collapsed="false">
      <c r="A2718" s="25" t="n">
        <v>15078023</v>
      </c>
      <c r="B2718" s="25" t="s">
        <v>5821</v>
      </c>
      <c r="C2718" s="25" t="s">
        <v>5822</v>
      </c>
      <c r="D2718" s="26" t="n">
        <v>1.47</v>
      </c>
      <c r="E2718" s="27" t="n">
        <v>8.83268266525182</v>
      </c>
      <c r="F2718" s="27" t="n">
        <v>8.83268266525182</v>
      </c>
      <c r="G2718" s="25" t="s">
        <v>1662</v>
      </c>
      <c r="H2718" s="25" t="s">
        <v>1663</v>
      </c>
      <c r="I2718" s="25" t="n">
        <f aca="false">IFERROR(IF(INDEX(Documents!$C$5:$C$657,MATCH(H2718,Documents!$A$5:$A$657,0))="","",INDEX(Documents!$C$5:$C$657,MATCH(H2718,Documents!$A$5:$A$657,0))),"")</f>
        <v>2014</v>
      </c>
      <c r="J2718" s="25" t="str">
        <f aca="false">IFERROR(IF(INDEX(Documents!$D$5:$D$657,MATCH(H2718,Documents!$A$5:$A$657,0))="","",INDEX(Documents!$D$5:$D$657,MATCH(H2718,Documents!$A$5:$A$657,0))),"")</f>
        <v>J Med Chem</v>
      </c>
      <c r="K2718" s="25" t="str">
        <f aca="false">IFERROR(IF(INDEX(Documents!$G$5:$G$657,MATCH(H2718,Documents!$A$5:$A$657,0))="","",INDEX(Documents!$G$5:$G$657,MATCH(H2718,Documents!$A$5:$A$657,0))),"")</f>
        <v>10.1021/jm500807e</v>
      </c>
      <c r="L2718" s="25" t="s">
        <v>1664</v>
      </c>
    </row>
    <row r="2719" customFormat="false" ht="15" hidden="false" customHeight="false" outlineLevel="0" collapsed="false">
      <c r="A2719" s="25" t="n">
        <v>15078015</v>
      </c>
      <c r="B2719" s="25" t="s">
        <v>5823</v>
      </c>
      <c r="C2719" s="25" t="s">
        <v>5824</v>
      </c>
      <c r="D2719" s="26" t="n">
        <v>3.83</v>
      </c>
      <c r="E2719" s="27" t="n">
        <v>8.41680122603138</v>
      </c>
      <c r="F2719" s="27" t="n">
        <v>8.41680122603138</v>
      </c>
      <c r="G2719" s="25" t="s">
        <v>1662</v>
      </c>
      <c r="H2719" s="25" t="s">
        <v>1663</v>
      </c>
      <c r="I2719" s="25" t="n">
        <f aca="false">IFERROR(IF(INDEX(Documents!$C$5:$C$657,MATCH(H2719,Documents!$A$5:$A$657,0))="","",INDEX(Documents!$C$5:$C$657,MATCH(H2719,Documents!$A$5:$A$657,0))),"")</f>
        <v>2014</v>
      </c>
      <c r="J2719" s="25" t="str">
        <f aca="false">IFERROR(IF(INDEX(Documents!$D$5:$D$657,MATCH(H2719,Documents!$A$5:$A$657,0))="","",INDEX(Documents!$D$5:$D$657,MATCH(H2719,Documents!$A$5:$A$657,0))),"")</f>
        <v>J Med Chem</v>
      </c>
      <c r="K2719" s="25" t="str">
        <f aca="false">IFERROR(IF(INDEX(Documents!$G$5:$G$657,MATCH(H2719,Documents!$A$5:$A$657,0))="","",INDEX(Documents!$G$5:$G$657,MATCH(H2719,Documents!$A$5:$A$657,0))),"")</f>
        <v>10.1021/jm500807e</v>
      </c>
      <c r="L2719" s="25" t="s">
        <v>1664</v>
      </c>
    </row>
    <row r="2720" customFormat="false" ht="15" hidden="false" customHeight="false" outlineLevel="0" collapsed="false">
      <c r="A2720" s="25" t="n">
        <v>16823035</v>
      </c>
      <c r="B2720" s="25" t="s">
        <v>5825</v>
      </c>
      <c r="C2720" s="25" t="s">
        <v>5826</v>
      </c>
      <c r="D2720" s="26" t="n">
        <v>1900</v>
      </c>
      <c r="E2720" s="27" t="n">
        <v>5.72124639904717</v>
      </c>
      <c r="F2720" s="27" t="n">
        <v>5.72124639904717</v>
      </c>
      <c r="G2720" s="25" t="s">
        <v>934</v>
      </c>
      <c r="H2720" s="25" t="s">
        <v>935</v>
      </c>
      <c r="I2720" s="25" t="n">
        <f aca="false">IFERROR(IF(INDEX(Documents!$C$5:$C$657,MATCH(H2720,Documents!$A$5:$A$657,0))="","",INDEX(Documents!$C$5:$C$657,MATCH(H2720,Documents!$A$5:$A$657,0))),"")</f>
        <v>2016</v>
      </c>
      <c r="J2720" s="25" t="str">
        <f aca="false">IFERROR(IF(INDEX(Documents!$D$5:$D$657,MATCH(H2720,Documents!$A$5:$A$657,0))="","",INDEX(Documents!$D$5:$D$657,MATCH(H2720,Documents!$A$5:$A$657,0))),"")</f>
        <v>Eur J Med Chem</v>
      </c>
      <c r="K2720" s="25" t="str">
        <f aca="false">IFERROR(IF(INDEX(Documents!$G$5:$G$657,MATCH(H2720,Documents!$A$5:$A$657,0))="","",INDEX(Documents!$G$5:$G$657,MATCH(H2720,Documents!$A$5:$A$657,0))),"")</f>
        <v>10.1016/j.ejmech.2016.08.005</v>
      </c>
      <c r="L2720" s="25" t="s">
        <v>936</v>
      </c>
    </row>
    <row r="2721" customFormat="false" ht="15" hidden="false" customHeight="false" outlineLevel="0" collapsed="false">
      <c r="A2721" s="25" t="n">
        <v>5205802</v>
      </c>
      <c r="B2721" s="25" t="s">
        <v>5827</v>
      </c>
      <c r="C2721" s="25" t="s">
        <v>5828</v>
      </c>
      <c r="D2721" s="26" t="n">
        <v>14791.08</v>
      </c>
      <c r="E2721" s="27" t="n">
        <v>4.83000011397362</v>
      </c>
      <c r="F2721" s="27" t="n">
        <v>4.83000011397362</v>
      </c>
      <c r="G2721" s="25" t="s">
        <v>461</v>
      </c>
      <c r="H2721" s="25" t="s">
        <v>462</v>
      </c>
      <c r="I2721" s="25" t="n">
        <f aca="false">IFERROR(IF(INDEX(Documents!$C$5:$C$657,MATCH(H2721,Documents!$A$5:$A$657,0))="","",INDEX(Documents!$C$5:$C$657,MATCH(H2721,Documents!$A$5:$A$657,0))),"")</f>
        <v>2011</v>
      </c>
      <c r="J2721" s="25" t="str">
        <f aca="false">IFERROR(IF(INDEX(Documents!$D$5:$D$657,MATCH(H2721,Documents!$A$5:$A$657,0))="","",INDEX(Documents!$D$5:$D$657,MATCH(H2721,Documents!$A$5:$A$657,0))),"")</f>
        <v>Eur J Med Chem</v>
      </c>
      <c r="K2721" s="25" t="str">
        <f aca="false">IFERROR(IF(INDEX(Documents!$G$5:$G$657,MATCH(H2721,Documents!$A$5:$A$657,0))="","",INDEX(Documents!$G$5:$G$657,MATCH(H2721,Documents!$A$5:$A$657,0))),"")</f>
        <v>10.1016/j.ejmech.2010.11.034</v>
      </c>
      <c r="L2721" s="25" t="s">
        <v>463</v>
      </c>
    </row>
    <row r="2722" customFormat="false" ht="15" hidden="false" customHeight="false" outlineLevel="0" collapsed="false">
      <c r="A2722" s="25" t="n">
        <v>19087967</v>
      </c>
      <c r="B2722" s="25" t="s">
        <v>5829</v>
      </c>
      <c r="C2722" s="25" t="s">
        <v>5830</v>
      </c>
      <c r="D2722" s="26" t="n">
        <v>2.7</v>
      </c>
      <c r="E2722" s="27" t="n">
        <v>8.56863623584101</v>
      </c>
      <c r="F2722" s="27" t="n">
        <v>8.56863623584101</v>
      </c>
      <c r="G2722" s="25" t="s">
        <v>2633</v>
      </c>
      <c r="H2722" s="25" t="s">
        <v>2634</v>
      </c>
      <c r="I2722" s="25" t="n">
        <f aca="false">IFERROR(IF(INDEX(Documents!$C$5:$C$657,MATCH(H2722,Documents!$A$5:$A$657,0))="","",INDEX(Documents!$C$5:$C$657,MATCH(H2722,Documents!$A$5:$A$657,0))),"")</f>
        <v>2019</v>
      </c>
      <c r="J2722" s="25" t="str">
        <f aca="false">IFERROR(IF(INDEX(Documents!$D$5:$D$657,MATCH(H2722,Documents!$A$5:$A$657,0))="","",INDEX(Documents!$D$5:$D$657,MATCH(H2722,Documents!$A$5:$A$657,0))),"")</f>
        <v>Eur J Med Chem</v>
      </c>
      <c r="K2722" s="25" t="str">
        <f aca="false">IFERROR(IF(INDEX(Documents!$G$5:$G$657,MATCH(H2722,Documents!$A$5:$A$657,0))="","",INDEX(Documents!$G$5:$G$657,MATCH(H2722,Documents!$A$5:$A$657,0))),"")</f>
        <v>10.1016/j.ejmech.2019.05.080</v>
      </c>
      <c r="L2722" s="25" t="s">
        <v>2635</v>
      </c>
    </row>
    <row r="2723" customFormat="false" ht="15" hidden="false" customHeight="false" outlineLevel="0" collapsed="false">
      <c r="A2723" s="25" t="n">
        <v>19087966</v>
      </c>
      <c r="B2723" s="25" t="s">
        <v>5831</v>
      </c>
      <c r="C2723" s="25" t="s">
        <v>5832</v>
      </c>
      <c r="D2723" s="26" t="n">
        <v>430</v>
      </c>
      <c r="E2723" s="27" t="n">
        <v>6.36653154442041</v>
      </c>
      <c r="F2723" s="27" t="n">
        <v>6.36653154442041</v>
      </c>
      <c r="G2723" s="25" t="s">
        <v>2633</v>
      </c>
      <c r="H2723" s="25" t="s">
        <v>2634</v>
      </c>
      <c r="I2723" s="25" t="n">
        <f aca="false">IFERROR(IF(INDEX(Documents!$C$5:$C$657,MATCH(H2723,Documents!$A$5:$A$657,0))="","",INDEX(Documents!$C$5:$C$657,MATCH(H2723,Documents!$A$5:$A$657,0))),"")</f>
        <v>2019</v>
      </c>
      <c r="J2723" s="25" t="str">
        <f aca="false">IFERROR(IF(INDEX(Documents!$D$5:$D$657,MATCH(H2723,Documents!$A$5:$A$657,0))="","",INDEX(Documents!$D$5:$D$657,MATCH(H2723,Documents!$A$5:$A$657,0))),"")</f>
        <v>Eur J Med Chem</v>
      </c>
      <c r="K2723" s="25" t="str">
        <f aca="false">IFERROR(IF(INDEX(Documents!$G$5:$G$657,MATCH(H2723,Documents!$A$5:$A$657,0))="","",INDEX(Documents!$G$5:$G$657,MATCH(H2723,Documents!$A$5:$A$657,0))),"")</f>
        <v>10.1016/j.ejmech.2019.05.080</v>
      </c>
      <c r="L2723" s="25" t="s">
        <v>2635</v>
      </c>
    </row>
    <row r="2724" customFormat="false" ht="15" hidden="false" customHeight="false" outlineLevel="0" collapsed="false">
      <c r="A2724" s="25" t="n">
        <v>19087964</v>
      </c>
      <c r="B2724" s="25" t="s">
        <v>5833</v>
      </c>
      <c r="C2724" s="25" t="s">
        <v>5834</v>
      </c>
      <c r="D2724" s="26" t="n">
        <v>920</v>
      </c>
      <c r="E2724" s="27" t="n">
        <v>6.03621217265444</v>
      </c>
      <c r="F2724" s="27" t="n">
        <v>6.03621217265444</v>
      </c>
      <c r="G2724" s="25" t="s">
        <v>2633</v>
      </c>
      <c r="H2724" s="25" t="s">
        <v>2634</v>
      </c>
      <c r="I2724" s="25" t="n">
        <f aca="false">IFERROR(IF(INDEX(Documents!$C$5:$C$657,MATCH(H2724,Documents!$A$5:$A$657,0))="","",INDEX(Documents!$C$5:$C$657,MATCH(H2724,Documents!$A$5:$A$657,0))),"")</f>
        <v>2019</v>
      </c>
      <c r="J2724" s="25" t="str">
        <f aca="false">IFERROR(IF(INDEX(Documents!$D$5:$D$657,MATCH(H2724,Documents!$A$5:$A$657,0))="","",INDEX(Documents!$D$5:$D$657,MATCH(H2724,Documents!$A$5:$A$657,0))),"")</f>
        <v>Eur J Med Chem</v>
      </c>
      <c r="K2724" s="25" t="str">
        <f aca="false">IFERROR(IF(INDEX(Documents!$G$5:$G$657,MATCH(H2724,Documents!$A$5:$A$657,0))="","",INDEX(Documents!$G$5:$G$657,MATCH(H2724,Documents!$A$5:$A$657,0))),"")</f>
        <v>10.1016/j.ejmech.2019.05.080</v>
      </c>
      <c r="L2724" s="25" t="s">
        <v>2635</v>
      </c>
    </row>
    <row r="2725" customFormat="false" ht="15" hidden="false" customHeight="false" outlineLevel="0" collapsed="false">
      <c r="A2725" s="25" t="n">
        <v>19087973</v>
      </c>
      <c r="B2725" s="25" t="s">
        <v>5835</v>
      </c>
      <c r="C2725" s="25" t="s">
        <v>5836</v>
      </c>
      <c r="D2725" s="26" t="n">
        <v>110</v>
      </c>
      <c r="E2725" s="27" t="n">
        <v>6.95860731484178</v>
      </c>
      <c r="F2725" s="27" t="n">
        <v>6.95860731484178</v>
      </c>
      <c r="G2725" s="25" t="s">
        <v>2633</v>
      </c>
      <c r="H2725" s="25" t="s">
        <v>2634</v>
      </c>
      <c r="I2725" s="25" t="n">
        <f aca="false">IFERROR(IF(INDEX(Documents!$C$5:$C$657,MATCH(H2725,Documents!$A$5:$A$657,0))="","",INDEX(Documents!$C$5:$C$657,MATCH(H2725,Documents!$A$5:$A$657,0))),"")</f>
        <v>2019</v>
      </c>
      <c r="J2725" s="25" t="str">
        <f aca="false">IFERROR(IF(INDEX(Documents!$D$5:$D$657,MATCH(H2725,Documents!$A$5:$A$657,0))="","",INDEX(Documents!$D$5:$D$657,MATCH(H2725,Documents!$A$5:$A$657,0))),"")</f>
        <v>Eur J Med Chem</v>
      </c>
      <c r="K2725" s="25" t="str">
        <f aca="false">IFERROR(IF(INDEX(Documents!$G$5:$G$657,MATCH(H2725,Documents!$A$5:$A$657,0))="","",INDEX(Documents!$G$5:$G$657,MATCH(H2725,Documents!$A$5:$A$657,0))),"")</f>
        <v>10.1016/j.ejmech.2019.05.080</v>
      </c>
      <c r="L2725" s="25" t="s">
        <v>2635</v>
      </c>
    </row>
    <row r="2726" customFormat="false" ht="15" hidden="false" customHeight="false" outlineLevel="0" collapsed="false">
      <c r="A2726" s="25" t="n">
        <v>19087968</v>
      </c>
      <c r="B2726" s="25" t="s">
        <v>5837</v>
      </c>
      <c r="C2726" s="25" t="s">
        <v>5838</v>
      </c>
      <c r="D2726" s="26" t="n">
        <v>300</v>
      </c>
      <c r="E2726" s="27" t="n">
        <v>6.52287874528034</v>
      </c>
      <c r="F2726" s="27" t="n">
        <v>6.52287874528034</v>
      </c>
      <c r="G2726" s="25" t="s">
        <v>2633</v>
      </c>
      <c r="H2726" s="25" t="s">
        <v>2634</v>
      </c>
      <c r="I2726" s="25" t="n">
        <f aca="false">IFERROR(IF(INDEX(Documents!$C$5:$C$657,MATCH(H2726,Documents!$A$5:$A$657,0))="","",INDEX(Documents!$C$5:$C$657,MATCH(H2726,Documents!$A$5:$A$657,0))),"")</f>
        <v>2019</v>
      </c>
      <c r="J2726" s="25" t="str">
        <f aca="false">IFERROR(IF(INDEX(Documents!$D$5:$D$657,MATCH(H2726,Documents!$A$5:$A$657,0))="","",INDEX(Documents!$D$5:$D$657,MATCH(H2726,Documents!$A$5:$A$657,0))),"")</f>
        <v>Eur J Med Chem</v>
      </c>
      <c r="K2726" s="25" t="str">
        <f aca="false">IFERROR(IF(INDEX(Documents!$G$5:$G$657,MATCH(H2726,Documents!$A$5:$A$657,0))="","",INDEX(Documents!$G$5:$G$657,MATCH(H2726,Documents!$A$5:$A$657,0))),"")</f>
        <v>10.1016/j.ejmech.2019.05.080</v>
      </c>
      <c r="L2726" s="25" t="s">
        <v>2635</v>
      </c>
    </row>
    <row r="2727" customFormat="false" ht="15" hidden="false" customHeight="false" outlineLevel="0" collapsed="false">
      <c r="A2727" s="25" t="n">
        <v>19087971</v>
      </c>
      <c r="B2727" s="25" t="s">
        <v>5839</v>
      </c>
      <c r="C2727" s="25" t="s">
        <v>5840</v>
      </c>
      <c r="D2727" s="26" t="n">
        <v>20</v>
      </c>
      <c r="E2727" s="27" t="n">
        <v>7.69897000433602</v>
      </c>
      <c r="F2727" s="27" t="n">
        <v>7.69897000433602</v>
      </c>
      <c r="G2727" s="25" t="s">
        <v>2633</v>
      </c>
      <c r="H2727" s="25" t="s">
        <v>2634</v>
      </c>
      <c r="I2727" s="25" t="n">
        <f aca="false">IFERROR(IF(INDEX(Documents!$C$5:$C$657,MATCH(H2727,Documents!$A$5:$A$657,0))="","",INDEX(Documents!$C$5:$C$657,MATCH(H2727,Documents!$A$5:$A$657,0))),"")</f>
        <v>2019</v>
      </c>
      <c r="J2727" s="25" t="str">
        <f aca="false">IFERROR(IF(INDEX(Documents!$D$5:$D$657,MATCH(H2727,Documents!$A$5:$A$657,0))="","",INDEX(Documents!$D$5:$D$657,MATCH(H2727,Documents!$A$5:$A$657,0))),"")</f>
        <v>Eur J Med Chem</v>
      </c>
      <c r="K2727" s="25" t="str">
        <f aca="false">IFERROR(IF(INDEX(Documents!$G$5:$G$657,MATCH(H2727,Documents!$A$5:$A$657,0))="","",INDEX(Documents!$G$5:$G$657,MATCH(H2727,Documents!$A$5:$A$657,0))),"")</f>
        <v>10.1016/j.ejmech.2019.05.080</v>
      </c>
      <c r="L2727" s="25" t="s">
        <v>2635</v>
      </c>
    </row>
    <row r="2728" customFormat="false" ht="15" hidden="false" customHeight="false" outlineLevel="0" collapsed="false">
      <c r="A2728" s="25" t="n">
        <v>19087965</v>
      </c>
      <c r="B2728" s="25" t="s">
        <v>5841</v>
      </c>
      <c r="C2728" s="25" t="s">
        <v>5842</v>
      </c>
      <c r="D2728" s="26" t="n">
        <v>20</v>
      </c>
      <c r="E2728" s="27" t="n">
        <v>7.69897000433602</v>
      </c>
      <c r="F2728" s="27" t="n">
        <v>7.69897000433602</v>
      </c>
      <c r="G2728" s="25" t="s">
        <v>2633</v>
      </c>
      <c r="H2728" s="25" t="s">
        <v>2634</v>
      </c>
      <c r="I2728" s="25" t="n">
        <f aca="false">IFERROR(IF(INDEX(Documents!$C$5:$C$657,MATCH(H2728,Documents!$A$5:$A$657,0))="","",INDEX(Documents!$C$5:$C$657,MATCH(H2728,Documents!$A$5:$A$657,0))),"")</f>
        <v>2019</v>
      </c>
      <c r="J2728" s="25" t="str">
        <f aca="false">IFERROR(IF(INDEX(Documents!$D$5:$D$657,MATCH(H2728,Documents!$A$5:$A$657,0))="","",INDEX(Documents!$D$5:$D$657,MATCH(H2728,Documents!$A$5:$A$657,0))),"")</f>
        <v>Eur J Med Chem</v>
      </c>
      <c r="K2728" s="25" t="str">
        <f aca="false">IFERROR(IF(INDEX(Documents!$G$5:$G$657,MATCH(H2728,Documents!$A$5:$A$657,0))="","",INDEX(Documents!$G$5:$G$657,MATCH(H2728,Documents!$A$5:$A$657,0))),"")</f>
        <v>10.1016/j.ejmech.2019.05.080</v>
      </c>
      <c r="L2728" s="25" t="s">
        <v>2635</v>
      </c>
    </row>
    <row r="2729" customFormat="false" ht="15" hidden="false" customHeight="false" outlineLevel="0" collapsed="false">
      <c r="A2729" s="25" t="n">
        <v>19087963</v>
      </c>
      <c r="B2729" s="25" t="s">
        <v>5843</v>
      </c>
      <c r="C2729" s="25" t="s">
        <v>5844</v>
      </c>
      <c r="D2729" s="26" t="n">
        <v>170</v>
      </c>
      <c r="E2729" s="27" t="n">
        <v>6.76955107862173</v>
      </c>
      <c r="F2729" s="27" t="n">
        <v>6.76955107862173</v>
      </c>
      <c r="G2729" s="25" t="s">
        <v>2633</v>
      </c>
      <c r="H2729" s="25" t="s">
        <v>2634</v>
      </c>
      <c r="I2729" s="25" t="n">
        <f aca="false">IFERROR(IF(INDEX(Documents!$C$5:$C$657,MATCH(H2729,Documents!$A$5:$A$657,0))="","",INDEX(Documents!$C$5:$C$657,MATCH(H2729,Documents!$A$5:$A$657,0))),"")</f>
        <v>2019</v>
      </c>
      <c r="J2729" s="25" t="str">
        <f aca="false">IFERROR(IF(INDEX(Documents!$D$5:$D$657,MATCH(H2729,Documents!$A$5:$A$657,0))="","",INDEX(Documents!$D$5:$D$657,MATCH(H2729,Documents!$A$5:$A$657,0))),"")</f>
        <v>Eur J Med Chem</v>
      </c>
      <c r="K2729" s="25" t="str">
        <f aca="false">IFERROR(IF(INDEX(Documents!$G$5:$G$657,MATCH(H2729,Documents!$A$5:$A$657,0))="","",INDEX(Documents!$G$5:$G$657,MATCH(H2729,Documents!$A$5:$A$657,0))),"")</f>
        <v>10.1016/j.ejmech.2019.05.080</v>
      </c>
      <c r="L2729" s="25" t="s">
        <v>2635</v>
      </c>
    </row>
    <row r="2730" customFormat="false" ht="15" hidden="false" customHeight="false" outlineLevel="0" collapsed="false">
      <c r="A2730" s="25" t="n">
        <v>19087970</v>
      </c>
      <c r="B2730" s="25" t="s">
        <v>5845</v>
      </c>
      <c r="C2730" s="25" t="s">
        <v>5846</v>
      </c>
      <c r="D2730" s="26" t="n">
        <v>1340</v>
      </c>
      <c r="E2730" s="27" t="n">
        <v>5.87289520163519</v>
      </c>
      <c r="F2730" s="27" t="n">
        <v>5.87289520163519</v>
      </c>
      <c r="G2730" s="25" t="s">
        <v>2633</v>
      </c>
      <c r="H2730" s="25" t="s">
        <v>2634</v>
      </c>
      <c r="I2730" s="25" t="n">
        <f aca="false">IFERROR(IF(INDEX(Documents!$C$5:$C$657,MATCH(H2730,Documents!$A$5:$A$657,0))="","",INDEX(Documents!$C$5:$C$657,MATCH(H2730,Documents!$A$5:$A$657,0))),"")</f>
        <v>2019</v>
      </c>
      <c r="J2730" s="25" t="str">
        <f aca="false">IFERROR(IF(INDEX(Documents!$D$5:$D$657,MATCH(H2730,Documents!$A$5:$A$657,0))="","",INDEX(Documents!$D$5:$D$657,MATCH(H2730,Documents!$A$5:$A$657,0))),"")</f>
        <v>Eur J Med Chem</v>
      </c>
      <c r="K2730" s="25" t="str">
        <f aca="false">IFERROR(IF(INDEX(Documents!$G$5:$G$657,MATCH(H2730,Documents!$A$5:$A$657,0))="","",INDEX(Documents!$G$5:$G$657,MATCH(H2730,Documents!$A$5:$A$657,0))),"")</f>
        <v>10.1016/j.ejmech.2019.05.080</v>
      </c>
      <c r="L2730" s="25" t="s">
        <v>2635</v>
      </c>
    </row>
    <row r="2731" customFormat="false" ht="15" hidden="false" customHeight="false" outlineLevel="0" collapsed="false">
      <c r="A2731" s="25" t="n">
        <v>19087960</v>
      </c>
      <c r="B2731" s="25" t="s">
        <v>5847</v>
      </c>
      <c r="C2731" s="25" t="s">
        <v>5848</v>
      </c>
      <c r="D2731" s="26" t="n">
        <v>120</v>
      </c>
      <c r="E2731" s="27" t="n">
        <v>6.92081875395238</v>
      </c>
      <c r="F2731" s="27" t="n">
        <v>6.92081875395238</v>
      </c>
      <c r="G2731" s="25" t="s">
        <v>2633</v>
      </c>
      <c r="H2731" s="25" t="s">
        <v>2634</v>
      </c>
      <c r="I2731" s="25" t="n">
        <f aca="false">IFERROR(IF(INDEX(Documents!$C$5:$C$657,MATCH(H2731,Documents!$A$5:$A$657,0))="","",INDEX(Documents!$C$5:$C$657,MATCH(H2731,Documents!$A$5:$A$657,0))),"")</f>
        <v>2019</v>
      </c>
      <c r="J2731" s="25" t="str">
        <f aca="false">IFERROR(IF(INDEX(Documents!$D$5:$D$657,MATCH(H2731,Documents!$A$5:$A$657,0))="","",INDEX(Documents!$D$5:$D$657,MATCH(H2731,Documents!$A$5:$A$657,0))),"")</f>
        <v>Eur J Med Chem</v>
      </c>
      <c r="K2731" s="25" t="str">
        <f aca="false">IFERROR(IF(INDEX(Documents!$G$5:$G$657,MATCH(H2731,Documents!$A$5:$A$657,0))="","",INDEX(Documents!$G$5:$G$657,MATCH(H2731,Documents!$A$5:$A$657,0))),"")</f>
        <v>10.1016/j.ejmech.2019.05.080</v>
      </c>
      <c r="L2731" s="25" t="s">
        <v>2635</v>
      </c>
    </row>
    <row r="2732" customFormat="false" ht="15" hidden="false" customHeight="false" outlineLevel="0" collapsed="false">
      <c r="A2732" s="25" t="n">
        <v>19087959</v>
      </c>
      <c r="B2732" s="25" t="s">
        <v>5849</v>
      </c>
      <c r="C2732" s="25" t="s">
        <v>5850</v>
      </c>
      <c r="D2732" s="26" t="n">
        <v>690</v>
      </c>
      <c r="E2732" s="27" t="n">
        <v>6.16115090926274</v>
      </c>
      <c r="F2732" s="27" t="n">
        <v>6.16115090926274</v>
      </c>
      <c r="G2732" s="25" t="s">
        <v>2633</v>
      </c>
      <c r="H2732" s="25" t="s">
        <v>2634</v>
      </c>
      <c r="I2732" s="25" t="n">
        <f aca="false">IFERROR(IF(INDEX(Documents!$C$5:$C$657,MATCH(H2732,Documents!$A$5:$A$657,0))="","",INDEX(Documents!$C$5:$C$657,MATCH(H2732,Documents!$A$5:$A$657,0))),"")</f>
        <v>2019</v>
      </c>
      <c r="J2732" s="25" t="str">
        <f aca="false">IFERROR(IF(INDEX(Documents!$D$5:$D$657,MATCH(H2732,Documents!$A$5:$A$657,0))="","",INDEX(Documents!$D$5:$D$657,MATCH(H2732,Documents!$A$5:$A$657,0))),"")</f>
        <v>Eur J Med Chem</v>
      </c>
      <c r="K2732" s="25" t="str">
        <f aca="false">IFERROR(IF(INDEX(Documents!$G$5:$G$657,MATCH(H2732,Documents!$A$5:$A$657,0))="","",INDEX(Documents!$G$5:$G$657,MATCH(H2732,Documents!$A$5:$A$657,0))),"")</f>
        <v>10.1016/j.ejmech.2019.05.080</v>
      </c>
      <c r="L2732" s="25" t="s">
        <v>2635</v>
      </c>
    </row>
    <row r="2733" customFormat="false" ht="15" hidden="false" customHeight="false" outlineLevel="0" collapsed="false">
      <c r="A2733" s="25" t="n">
        <v>16823057</v>
      </c>
      <c r="B2733" s="25" t="s">
        <v>5851</v>
      </c>
      <c r="C2733" s="25" t="s">
        <v>5852</v>
      </c>
      <c r="D2733" s="26" t="n">
        <v>300</v>
      </c>
      <c r="E2733" s="27" t="n">
        <v>6.52287874528034</v>
      </c>
      <c r="F2733" s="27" t="n">
        <v>6.52287874528034</v>
      </c>
      <c r="G2733" s="25" t="s">
        <v>934</v>
      </c>
      <c r="H2733" s="25" t="s">
        <v>935</v>
      </c>
      <c r="I2733" s="25" t="n">
        <f aca="false">IFERROR(IF(INDEX(Documents!$C$5:$C$657,MATCH(H2733,Documents!$A$5:$A$657,0))="","",INDEX(Documents!$C$5:$C$657,MATCH(H2733,Documents!$A$5:$A$657,0))),"")</f>
        <v>2016</v>
      </c>
      <c r="J2733" s="25" t="str">
        <f aca="false">IFERROR(IF(INDEX(Documents!$D$5:$D$657,MATCH(H2733,Documents!$A$5:$A$657,0))="","",INDEX(Documents!$D$5:$D$657,MATCH(H2733,Documents!$A$5:$A$657,0))),"")</f>
        <v>Eur J Med Chem</v>
      </c>
      <c r="K2733" s="25" t="str">
        <f aca="false">IFERROR(IF(INDEX(Documents!$G$5:$G$657,MATCH(H2733,Documents!$A$5:$A$657,0))="","",INDEX(Documents!$G$5:$G$657,MATCH(H2733,Documents!$A$5:$A$657,0))),"")</f>
        <v>10.1016/j.ejmech.2016.08.005</v>
      </c>
      <c r="L2733" s="25" t="s">
        <v>936</v>
      </c>
    </row>
    <row r="2734" customFormat="false" ht="15" hidden="false" customHeight="false" outlineLevel="0" collapsed="false">
      <c r="A2734" s="25" t="n">
        <v>1400404</v>
      </c>
      <c r="B2734" s="25" t="s">
        <v>5853</v>
      </c>
      <c r="C2734" s="25" t="s">
        <v>5854</v>
      </c>
      <c r="D2734" s="26" t="n">
        <v>326</v>
      </c>
      <c r="E2734" s="27" t="n">
        <v>6.48678239993206</v>
      </c>
      <c r="F2734" s="27" t="n">
        <v>6.48678239993206</v>
      </c>
      <c r="G2734" s="25" t="s">
        <v>4723</v>
      </c>
      <c r="H2734" s="25" t="s">
        <v>4724</v>
      </c>
      <c r="I2734" s="25" t="n">
        <f aca="false">IFERROR(IF(INDEX(Documents!$C$5:$C$657,MATCH(H2734,Documents!$A$5:$A$657,0))="","",INDEX(Documents!$C$5:$C$657,MATCH(H2734,Documents!$A$5:$A$657,0))),"")</f>
        <v>2005</v>
      </c>
      <c r="J2734" s="25" t="str">
        <f aca="false">IFERROR(IF(INDEX(Documents!$D$5:$D$657,MATCH(H2734,Documents!$A$5:$A$657,0))="","",INDEX(Documents!$D$5:$D$657,MATCH(H2734,Documents!$A$5:$A$657,0))),"")</f>
        <v>J Med Chem</v>
      </c>
      <c r="K2734" s="25" t="str">
        <f aca="false">IFERROR(IF(INDEX(Documents!$G$5:$G$657,MATCH(H2734,Documents!$A$5:$A$657,0))="","",INDEX(Documents!$G$5:$G$657,MATCH(H2734,Documents!$A$5:$A$657,0))),"")</f>
        <v>10.1021/jm040843r</v>
      </c>
      <c r="L2734" s="25" t="s">
        <v>4725</v>
      </c>
    </row>
    <row r="2735" customFormat="false" ht="15" hidden="false" customHeight="false" outlineLevel="0" collapsed="false">
      <c r="A2735" s="25" t="n">
        <v>19443446</v>
      </c>
      <c r="B2735" s="25" t="s">
        <v>5855</v>
      </c>
      <c r="C2735" s="25" t="s">
        <v>5856</v>
      </c>
      <c r="D2735" s="26" t="n">
        <v>4.07</v>
      </c>
      <c r="E2735" s="27" t="n">
        <v>8.39040559077478</v>
      </c>
      <c r="F2735" s="27" t="n">
        <v>8.39040559077478</v>
      </c>
      <c r="G2735" s="25" t="s">
        <v>373</v>
      </c>
      <c r="H2735" s="25" t="s">
        <v>374</v>
      </c>
      <c r="I2735" s="25" t="n">
        <f aca="false">IFERROR(IF(INDEX(Documents!$C$5:$C$657,MATCH(H2735,Documents!$A$5:$A$657,0))="","",INDEX(Documents!$C$5:$C$657,MATCH(H2735,Documents!$A$5:$A$657,0))),"")</f>
        <v>2016</v>
      </c>
      <c r="J2735" s="25" t="str">
        <f aca="false">IFERROR(IF(INDEX(Documents!$D$5:$D$657,MATCH(H2735,Documents!$A$5:$A$657,0))="","",INDEX(Documents!$D$5:$D$657,MATCH(H2735,Documents!$A$5:$A$657,0))),"")</f>
        <v>J Med Chem</v>
      </c>
      <c r="K2735" s="25" t="str">
        <f aca="false">IFERROR(IF(INDEX(Documents!$G$5:$G$657,MATCH(H2735,Documents!$A$5:$A$657,0))="","",INDEX(Documents!$G$5:$G$657,MATCH(H2735,Documents!$A$5:$A$657,0))),"")</f>
        <v>10.1021/acs.jmedchem.6b00516</v>
      </c>
      <c r="L2735" s="25" t="s">
        <v>375</v>
      </c>
    </row>
    <row r="2736" customFormat="false" ht="15" hidden="false" customHeight="false" outlineLevel="0" collapsed="false">
      <c r="A2736" s="25" t="n">
        <v>14534724</v>
      </c>
      <c r="B2736" s="25" t="s">
        <v>5857</v>
      </c>
      <c r="C2736" s="25" t="s">
        <v>5858</v>
      </c>
      <c r="D2736" s="26" t="n">
        <v>2570</v>
      </c>
      <c r="E2736" s="27" t="n">
        <v>5.59006687666871</v>
      </c>
      <c r="F2736" s="27" t="n">
        <v>5.59006687666871</v>
      </c>
      <c r="G2736" s="25" t="s">
        <v>5398</v>
      </c>
      <c r="H2736" s="25" t="s">
        <v>5399</v>
      </c>
      <c r="I2736" s="25" t="n">
        <f aca="false">IFERROR(IF(INDEX(Documents!$C$5:$C$657,MATCH(H2736,Documents!$A$5:$A$657,0))="","",INDEX(Documents!$C$5:$C$657,MATCH(H2736,Documents!$A$5:$A$657,0))),"")</f>
        <v>2014</v>
      </c>
      <c r="J2736" s="25" t="str">
        <f aca="false">IFERROR(IF(INDEX(Documents!$D$5:$D$657,MATCH(H2736,Documents!$A$5:$A$657,0))="","",INDEX(Documents!$D$5:$D$657,MATCH(H2736,Documents!$A$5:$A$657,0))),"")</f>
        <v>Medchemcomm</v>
      </c>
      <c r="K2736" s="25" t="str">
        <f aca="false">IFERROR(IF(INDEX(Documents!$G$5:$G$657,MATCH(H2736,Documents!$A$5:$A$657,0))="","",INDEX(Documents!$G$5:$G$657,MATCH(H2736,Documents!$A$5:$A$657,0))),"")</f>
        <v>10.1039/C3MD00394A</v>
      </c>
      <c r="L2736" s="25" t="s">
        <v>5400</v>
      </c>
    </row>
    <row r="2737" customFormat="false" ht="15" hidden="false" customHeight="false" outlineLevel="0" collapsed="false">
      <c r="A2737" s="25" t="n">
        <v>1969358</v>
      </c>
      <c r="B2737" s="25" t="s">
        <v>5859</v>
      </c>
      <c r="C2737" s="25" t="s">
        <v>5860</v>
      </c>
      <c r="D2737" s="26" t="n">
        <v>3.8</v>
      </c>
      <c r="E2737" s="27" t="n">
        <v>8.42021640338319</v>
      </c>
      <c r="F2737" s="27" t="n">
        <v>8.42021640338319</v>
      </c>
      <c r="G2737" s="25" t="s">
        <v>1895</v>
      </c>
      <c r="H2737" s="25" t="s">
        <v>1896</v>
      </c>
      <c r="I2737" s="25" t="n">
        <f aca="false">IFERROR(IF(INDEX(Documents!$C$5:$C$657,MATCH(H2737,Documents!$A$5:$A$657,0))="","",INDEX(Documents!$C$5:$C$657,MATCH(H2737,Documents!$A$5:$A$657,0))),"")</f>
        <v>2007</v>
      </c>
      <c r="J2737" s="25" t="str">
        <f aca="false">IFERROR(IF(INDEX(Documents!$D$5:$D$657,MATCH(H2737,Documents!$A$5:$A$657,0))="","",INDEX(Documents!$D$5:$D$657,MATCH(H2737,Documents!$A$5:$A$657,0))),"")</f>
        <v>Bioorg Med Chem Lett</v>
      </c>
      <c r="K2737" s="25" t="str">
        <f aca="false">IFERROR(IF(INDEX(Documents!$G$5:$G$657,MATCH(H2737,Documents!$A$5:$A$657,0))="","",INDEX(Documents!$G$5:$G$657,MATCH(H2737,Documents!$A$5:$A$657,0))),"")</f>
        <v>10.1016/j.bmcl.2007.04.099</v>
      </c>
      <c r="L2737" s="25" t="s">
        <v>515</v>
      </c>
    </row>
    <row r="2738" customFormat="false" ht="15" hidden="false" customHeight="false" outlineLevel="0" collapsed="false">
      <c r="A2738" s="25" t="n">
        <v>25443274</v>
      </c>
      <c r="B2738" s="25" t="s">
        <v>5861</v>
      </c>
      <c r="C2738" s="25" t="s">
        <v>5862</v>
      </c>
      <c r="D2738" s="26" t="n">
        <v>2450</v>
      </c>
      <c r="E2738" s="27" t="n">
        <v>5.61083391563547</v>
      </c>
      <c r="F2738" s="27" t="n">
        <v>5.61083391563547</v>
      </c>
      <c r="G2738" s="25" t="s">
        <v>2956</v>
      </c>
      <c r="H2738" s="25" t="s">
        <v>2957</v>
      </c>
      <c r="I2738" s="25" t="n">
        <f aca="false">IFERROR(IF(INDEX(Documents!$C$5:$C$657,MATCH(H2738,Documents!$A$5:$A$657,0))="","",INDEX(Documents!$C$5:$C$657,MATCH(H2738,Documents!$A$5:$A$657,0))),"")</f>
        <v>2023</v>
      </c>
      <c r="J2738" s="25" t="str">
        <f aca="false">IFERROR(IF(INDEX(Documents!$D$5:$D$657,MATCH(H2738,Documents!$A$5:$A$657,0))="","",INDEX(Documents!$D$5:$D$657,MATCH(H2738,Documents!$A$5:$A$657,0))),"")</f>
        <v>J Med Chem</v>
      </c>
      <c r="K2738" s="25" t="str">
        <f aca="false">IFERROR(IF(INDEX(Documents!$G$5:$G$657,MATCH(H2738,Documents!$A$5:$A$657,0))="","",INDEX(Documents!$G$5:$G$657,MATCH(H2738,Documents!$A$5:$A$657,0))),"")</f>
        <v>10.1021/acs.jmedchem.2c01084</v>
      </c>
      <c r="L2738" s="25" t="s">
        <v>2958</v>
      </c>
    </row>
    <row r="2739" customFormat="false" ht="15" hidden="false" customHeight="false" outlineLevel="0" collapsed="false">
      <c r="A2739" s="25" t="n">
        <v>25443262</v>
      </c>
      <c r="B2739" s="25" t="s">
        <v>5863</v>
      </c>
      <c r="C2739" s="25" t="s">
        <v>5864</v>
      </c>
      <c r="D2739" s="26" t="n">
        <v>3000</v>
      </c>
      <c r="E2739" s="27" t="n">
        <v>5.52287874528034</v>
      </c>
      <c r="F2739" s="27" t="n">
        <v>5.52287874528034</v>
      </c>
      <c r="G2739" s="25" t="s">
        <v>2956</v>
      </c>
      <c r="H2739" s="25" t="s">
        <v>2957</v>
      </c>
      <c r="I2739" s="25" t="n">
        <f aca="false">IFERROR(IF(INDEX(Documents!$C$5:$C$657,MATCH(H2739,Documents!$A$5:$A$657,0))="","",INDEX(Documents!$C$5:$C$657,MATCH(H2739,Documents!$A$5:$A$657,0))),"")</f>
        <v>2023</v>
      </c>
      <c r="J2739" s="25" t="str">
        <f aca="false">IFERROR(IF(INDEX(Documents!$D$5:$D$657,MATCH(H2739,Documents!$A$5:$A$657,0))="","",INDEX(Documents!$D$5:$D$657,MATCH(H2739,Documents!$A$5:$A$657,0))),"")</f>
        <v>J Med Chem</v>
      </c>
      <c r="K2739" s="25" t="str">
        <f aca="false">IFERROR(IF(INDEX(Documents!$G$5:$G$657,MATCH(H2739,Documents!$A$5:$A$657,0))="","",INDEX(Documents!$G$5:$G$657,MATCH(H2739,Documents!$A$5:$A$657,0))),"")</f>
        <v>10.1021/acs.jmedchem.2c01084</v>
      </c>
      <c r="L2739" s="25" t="s">
        <v>2958</v>
      </c>
    </row>
    <row r="2740" customFormat="false" ht="15" hidden="false" customHeight="false" outlineLevel="0" collapsed="false">
      <c r="A2740" s="25" t="n">
        <v>16823058</v>
      </c>
      <c r="B2740" s="25" t="s">
        <v>5865</v>
      </c>
      <c r="C2740" s="25" t="s">
        <v>5866</v>
      </c>
      <c r="D2740" s="26" t="n">
        <v>100</v>
      </c>
      <c r="E2740" s="27" t="n">
        <v>7</v>
      </c>
      <c r="F2740" s="27" t="n">
        <v>7</v>
      </c>
      <c r="G2740" s="25" t="s">
        <v>934</v>
      </c>
      <c r="H2740" s="25" t="s">
        <v>935</v>
      </c>
      <c r="I2740" s="25" t="n">
        <f aca="false">IFERROR(IF(INDEX(Documents!$C$5:$C$657,MATCH(H2740,Documents!$A$5:$A$657,0))="","",INDEX(Documents!$C$5:$C$657,MATCH(H2740,Documents!$A$5:$A$657,0))),"")</f>
        <v>2016</v>
      </c>
      <c r="J2740" s="25" t="str">
        <f aca="false">IFERROR(IF(INDEX(Documents!$D$5:$D$657,MATCH(H2740,Documents!$A$5:$A$657,0))="","",INDEX(Documents!$D$5:$D$657,MATCH(H2740,Documents!$A$5:$A$657,0))),"")</f>
        <v>Eur J Med Chem</v>
      </c>
      <c r="K2740" s="25" t="str">
        <f aca="false">IFERROR(IF(INDEX(Documents!$G$5:$G$657,MATCH(H2740,Documents!$A$5:$A$657,0))="","",INDEX(Documents!$G$5:$G$657,MATCH(H2740,Documents!$A$5:$A$657,0))),"")</f>
        <v>10.1016/j.ejmech.2016.08.005</v>
      </c>
      <c r="L2740" s="25" t="s">
        <v>936</v>
      </c>
    </row>
    <row r="2741" customFormat="false" ht="15" hidden="false" customHeight="false" outlineLevel="0" collapsed="false">
      <c r="A2741" s="25" t="n">
        <v>18388189</v>
      </c>
      <c r="B2741" s="25" t="s">
        <v>5867</v>
      </c>
      <c r="C2741" s="25" t="s">
        <v>5868</v>
      </c>
      <c r="D2741" s="26" t="n">
        <v>91</v>
      </c>
      <c r="E2741" s="27" t="n">
        <v>7.04095860767891</v>
      </c>
      <c r="F2741" s="27" t="n">
        <v>7.44369749923271</v>
      </c>
      <c r="G2741" s="25" t="s">
        <v>624</v>
      </c>
      <c r="H2741" s="25" t="s">
        <v>625</v>
      </c>
      <c r="I2741" s="25" t="n">
        <f aca="false">IFERROR(IF(INDEX(Documents!$C$5:$C$657,MATCH(H2741,Documents!$A$5:$A$657,0))="","",INDEX(Documents!$C$5:$C$657,MATCH(H2741,Documents!$A$5:$A$657,0))),"")</f>
        <v>2018</v>
      </c>
      <c r="J2741" s="25" t="str">
        <f aca="false">IFERROR(IF(INDEX(Documents!$D$5:$D$657,MATCH(H2741,Documents!$A$5:$A$657,0))="","",INDEX(Documents!$D$5:$D$657,MATCH(H2741,Documents!$A$5:$A$657,0))),"")</f>
        <v>Eur J Med Chem</v>
      </c>
      <c r="K2741" s="25" t="str">
        <f aca="false">IFERROR(IF(INDEX(Documents!$G$5:$G$657,MATCH(H2741,Documents!$A$5:$A$657,0))="","",INDEX(Documents!$G$5:$G$657,MATCH(H2741,Documents!$A$5:$A$657,0))),"")</f>
        <v>10.1016/j.ejmech.2018.01.034</v>
      </c>
      <c r="L2741" s="25" t="s">
        <v>626</v>
      </c>
    </row>
    <row r="2742" customFormat="false" ht="15" hidden="false" customHeight="false" outlineLevel="0" collapsed="false">
      <c r="A2742" s="25" t="n">
        <v>2052306</v>
      </c>
      <c r="B2742" s="25" t="s">
        <v>5867</v>
      </c>
      <c r="C2742" s="25" t="s">
        <v>5868</v>
      </c>
      <c r="D2742" s="26" t="n">
        <v>36</v>
      </c>
      <c r="E2742" s="27" t="n">
        <v>7.44369749923271</v>
      </c>
      <c r="F2742" s="27" t="n">
        <v>7.44369749923271</v>
      </c>
      <c r="G2742" s="25" t="s">
        <v>2025</v>
      </c>
      <c r="H2742" s="25" t="s">
        <v>2026</v>
      </c>
      <c r="I2742" s="25" t="n">
        <f aca="false">IFERROR(IF(INDEX(Documents!$C$5:$C$657,MATCH(H2742,Documents!$A$5:$A$657,0))="","",INDEX(Documents!$C$5:$C$657,MATCH(H2742,Documents!$A$5:$A$657,0))),"")</f>
        <v>2007</v>
      </c>
      <c r="J2742" s="25" t="str">
        <f aca="false">IFERROR(IF(INDEX(Documents!$D$5:$D$657,MATCH(H2742,Documents!$A$5:$A$657,0))="","",INDEX(Documents!$D$5:$D$657,MATCH(H2742,Documents!$A$5:$A$657,0))),"")</f>
        <v>Bioorg Med Chem Lett</v>
      </c>
      <c r="K2742" s="25" t="str">
        <f aca="false">IFERROR(IF(INDEX(Documents!$G$5:$G$657,MATCH(H2742,Documents!$A$5:$A$657,0))="","",INDEX(Documents!$G$5:$G$657,MATCH(H2742,Documents!$A$5:$A$657,0))),"")</f>
        <v>10.1016/j.bmcl.2007.09.089</v>
      </c>
      <c r="L2742" s="25" t="s">
        <v>601</v>
      </c>
    </row>
    <row r="2743" customFormat="false" ht="15" hidden="false" customHeight="false" outlineLevel="0" collapsed="false">
      <c r="A2743" s="25" t="n">
        <v>1430928</v>
      </c>
      <c r="B2743" s="25" t="s">
        <v>5867</v>
      </c>
      <c r="C2743" s="25" t="s">
        <v>5868</v>
      </c>
      <c r="D2743" s="26" t="n">
        <v>31.2</v>
      </c>
      <c r="E2743" s="27" t="n">
        <v>7.50584540598156</v>
      </c>
      <c r="F2743" s="27" t="n">
        <v>7.44369749923271</v>
      </c>
      <c r="G2743" s="25" t="s">
        <v>5869</v>
      </c>
      <c r="H2743" s="25" t="s">
        <v>5870</v>
      </c>
      <c r="I2743" s="25" t="n">
        <f aca="false">IFERROR(IF(INDEX(Documents!$C$5:$C$657,MATCH(H2743,Documents!$A$5:$A$657,0))="","",INDEX(Documents!$C$5:$C$657,MATCH(H2743,Documents!$A$5:$A$657,0))),"")</f>
        <v>2005</v>
      </c>
      <c r="J2743" s="25" t="str">
        <f aca="false">IFERROR(IF(INDEX(Documents!$D$5:$D$657,MATCH(H2743,Documents!$A$5:$A$657,0))="","",INDEX(Documents!$D$5:$D$657,MATCH(H2743,Documents!$A$5:$A$657,0))),"")</f>
        <v>Bioorg Med Chem Lett</v>
      </c>
      <c r="K2743" s="25" t="str">
        <f aca="false">IFERROR(IF(INDEX(Documents!$G$5:$G$657,MATCH(H2743,Documents!$A$5:$A$657,0))="","",INDEX(Documents!$G$5:$G$657,MATCH(H2743,Documents!$A$5:$A$657,0))),"")</f>
        <v>10.1016/j.bmcl.2004.11.007</v>
      </c>
      <c r="L2743" s="25" t="s">
        <v>5871</v>
      </c>
    </row>
    <row r="2744" customFormat="false" ht="15" hidden="false" customHeight="false" outlineLevel="0" collapsed="false">
      <c r="A2744" s="25" t="n">
        <v>16823054</v>
      </c>
      <c r="B2744" s="25" t="s">
        <v>5872</v>
      </c>
      <c r="C2744" s="25" t="s">
        <v>5873</v>
      </c>
      <c r="D2744" s="26" t="n">
        <v>100</v>
      </c>
      <c r="E2744" s="27" t="n">
        <v>7</v>
      </c>
      <c r="F2744" s="27" t="n">
        <v>7</v>
      </c>
      <c r="G2744" s="25" t="s">
        <v>934</v>
      </c>
      <c r="H2744" s="25" t="s">
        <v>935</v>
      </c>
      <c r="I2744" s="25" t="n">
        <f aca="false">IFERROR(IF(INDEX(Documents!$C$5:$C$657,MATCH(H2744,Documents!$A$5:$A$657,0))="","",INDEX(Documents!$C$5:$C$657,MATCH(H2744,Documents!$A$5:$A$657,0))),"")</f>
        <v>2016</v>
      </c>
      <c r="J2744" s="25" t="str">
        <f aca="false">IFERROR(IF(INDEX(Documents!$D$5:$D$657,MATCH(H2744,Documents!$A$5:$A$657,0))="","",INDEX(Documents!$D$5:$D$657,MATCH(H2744,Documents!$A$5:$A$657,0))),"")</f>
        <v>Eur J Med Chem</v>
      </c>
      <c r="K2744" s="25" t="str">
        <f aca="false">IFERROR(IF(INDEX(Documents!$G$5:$G$657,MATCH(H2744,Documents!$A$5:$A$657,0))="","",INDEX(Documents!$G$5:$G$657,MATCH(H2744,Documents!$A$5:$A$657,0))),"")</f>
        <v>10.1016/j.ejmech.2016.08.005</v>
      </c>
      <c r="L2744" s="25" t="s">
        <v>936</v>
      </c>
    </row>
    <row r="2745" customFormat="false" ht="15" hidden="false" customHeight="false" outlineLevel="0" collapsed="false">
      <c r="A2745" s="25" t="n">
        <v>18703169</v>
      </c>
      <c r="B2745" s="25" t="s">
        <v>5874</v>
      </c>
      <c r="C2745" s="25" t="s">
        <v>5875</v>
      </c>
      <c r="D2745" s="26" t="n">
        <v>53.9</v>
      </c>
      <c r="E2745" s="27" t="n">
        <v>7.26841123481326</v>
      </c>
      <c r="F2745" s="27" t="n">
        <v>7.26841123481326</v>
      </c>
      <c r="G2745" s="25" t="s">
        <v>4522</v>
      </c>
      <c r="H2745" s="25" t="s">
        <v>4523</v>
      </c>
      <c r="I2745" s="25" t="n">
        <f aca="false">IFERROR(IF(INDEX(Documents!$C$5:$C$657,MATCH(H2745,Documents!$A$5:$A$657,0))="","",INDEX(Documents!$C$5:$C$657,MATCH(H2745,Documents!$A$5:$A$657,0))),"")</f>
        <v>2018</v>
      </c>
      <c r="J2745" s="25" t="str">
        <f aca="false">IFERROR(IF(INDEX(Documents!$D$5:$D$657,MATCH(H2745,Documents!$A$5:$A$657,0))="","",INDEX(Documents!$D$5:$D$657,MATCH(H2745,Documents!$A$5:$A$657,0))),"")</f>
        <v>Eur J Med Chem</v>
      </c>
      <c r="K2745" s="25" t="str">
        <f aca="false">IFERROR(IF(INDEX(Documents!$G$5:$G$657,MATCH(H2745,Documents!$A$5:$A$657,0))="","",INDEX(Documents!$G$5:$G$657,MATCH(H2745,Documents!$A$5:$A$657,0))),"")</f>
        <v>10.1016/j.ejmech.2017.11.076</v>
      </c>
      <c r="L2745" s="25" t="s">
        <v>4524</v>
      </c>
    </row>
    <row r="2746" customFormat="false" ht="15" hidden="false" customHeight="false" outlineLevel="0" collapsed="false">
      <c r="A2746" s="25" t="n">
        <v>18703175</v>
      </c>
      <c r="B2746" s="25" t="s">
        <v>5876</v>
      </c>
      <c r="C2746" s="25" t="s">
        <v>5877</v>
      </c>
      <c r="D2746" s="26" t="n">
        <v>581.8</v>
      </c>
      <c r="E2746" s="27" t="n">
        <v>6.23522628308896</v>
      </c>
      <c r="F2746" s="27" t="n">
        <v>6.23522628308896</v>
      </c>
      <c r="G2746" s="25" t="s">
        <v>4522</v>
      </c>
      <c r="H2746" s="25" t="s">
        <v>4523</v>
      </c>
      <c r="I2746" s="25" t="n">
        <f aca="false">IFERROR(IF(INDEX(Documents!$C$5:$C$657,MATCH(H2746,Documents!$A$5:$A$657,0))="","",INDEX(Documents!$C$5:$C$657,MATCH(H2746,Documents!$A$5:$A$657,0))),"")</f>
        <v>2018</v>
      </c>
      <c r="J2746" s="25" t="str">
        <f aca="false">IFERROR(IF(INDEX(Documents!$D$5:$D$657,MATCH(H2746,Documents!$A$5:$A$657,0))="","",INDEX(Documents!$D$5:$D$657,MATCH(H2746,Documents!$A$5:$A$657,0))),"")</f>
        <v>Eur J Med Chem</v>
      </c>
      <c r="K2746" s="25" t="str">
        <f aca="false">IFERROR(IF(INDEX(Documents!$G$5:$G$657,MATCH(H2746,Documents!$A$5:$A$657,0))="","",INDEX(Documents!$G$5:$G$657,MATCH(H2746,Documents!$A$5:$A$657,0))),"")</f>
        <v>10.1016/j.ejmech.2017.11.076</v>
      </c>
      <c r="L2746" s="25" t="s">
        <v>4524</v>
      </c>
    </row>
    <row r="2747" customFormat="false" ht="15" hidden="false" customHeight="false" outlineLevel="0" collapsed="false">
      <c r="A2747" s="25" t="n">
        <v>18703179</v>
      </c>
      <c r="B2747" s="25" t="s">
        <v>5878</v>
      </c>
      <c r="C2747" s="25" t="s">
        <v>5879</v>
      </c>
      <c r="D2747" s="26" t="n">
        <v>1307</v>
      </c>
      <c r="E2747" s="27" t="n">
        <v>5.88372441241946</v>
      </c>
      <c r="F2747" s="27" t="n">
        <v>5.88372441241946</v>
      </c>
      <c r="G2747" s="25" t="s">
        <v>4522</v>
      </c>
      <c r="H2747" s="25" t="s">
        <v>4523</v>
      </c>
      <c r="I2747" s="25" t="n">
        <f aca="false">IFERROR(IF(INDEX(Documents!$C$5:$C$657,MATCH(H2747,Documents!$A$5:$A$657,0))="","",INDEX(Documents!$C$5:$C$657,MATCH(H2747,Documents!$A$5:$A$657,0))),"")</f>
        <v>2018</v>
      </c>
      <c r="J2747" s="25" t="str">
        <f aca="false">IFERROR(IF(INDEX(Documents!$D$5:$D$657,MATCH(H2747,Documents!$A$5:$A$657,0))="","",INDEX(Documents!$D$5:$D$657,MATCH(H2747,Documents!$A$5:$A$657,0))),"")</f>
        <v>Eur J Med Chem</v>
      </c>
      <c r="K2747" s="25" t="str">
        <f aca="false">IFERROR(IF(INDEX(Documents!$G$5:$G$657,MATCH(H2747,Documents!$A$5:$A$657,0))="","",INDEX(Documents!$G$5:$G$657,MATCH(H2747,Documents!$A$5:$A$657,0))),"")</f>
        <v>10.1016/j.ejmech.2017.11.076</v>
      </c>
      <c r="L2747" s="25" t="s">
        <v>4524</v>
      </c>
    </row>
    <row r="2748" customFormat="false" ht="15" hidden="false" customHeight="false" outlineLevel="0" collapsed="false">
      <c r="A2748" s="25" t="n">
        <v>18703190</v>
      </c>
      <c r="B2748" s="25" t="s">
        <v>5880</v>
      </c>
      <c r="C2748" s="25" t="s">
        <v>5881</v>
      </c>
      <c r="D2748" s="26" t="n">
        <v>1969</v>
      </c>
      <c r="E2748" s="27" t="n">
        <v>5.70575428386188</v>
      </c>
      <c r="F2748" s="27" t="n">
        <v>5.70575428386188</v>
      </c>
      <c r="G2748" s="25" t="s">
        <v>4522</v>
      </c>
      <c r="H2748" s="25" t="s">
        <v>4523</v>
      </c>
      <c r="I2748" s="25" t="n">
        <f aca="false">IFERROR(IF(INDEX(Documents!$C$5:$C$657,MATCH(H2748,Documents!$A$5:$A$657,0))="","",INDEX(Documents!$C$5:$C$657,MATCH(H2748,Documents!$A$5:$A$657,0))),"")</f>
        <v>2018</v>
      </c>
      <c r="J2748" s="25" t="str">
        <f aca="false">IFERROR(IF(INDEX(Documents!$D$5:$D$657,MATCH(H2748,Documents!$A$5:$A$657,0))="","",INDEX(Documents!$D$5:$D$657,MATCH(H2748,Documents!$A$5:$A$657,0))),"")</f>
        <v>Eur J Med Chem</v>
      </c>
      <c r="K2748" s="25" t="str">
        <f aca="false">IFERROR(IF(INDEX(Documents!$G$5:$G$657,MATCH(H2748,Documents!$A$5:$A$657,0))="","",INDEX(Documents!$G$5:$G$657,MATCH(H2748,Documents!$A$5:$A$657,0))),"")</f>
        <v>10.1016/j.ejmech.2017.11.076</v>
      </c>
      <c r="L2748" s="25" t="s">
        <v>4524</v>
      </c>
    </row>
    <row r="2749" customFormat="false" ht="15" hidden="false" customHeight="false" outlineLevel="0" collapsed="false">
      <c r="A2749" s="25" t="n">
        <v>18703168</v>
      </c>
      <c r="B2749" s="25" t="s">
        <v>5882</v>
      </c>
      <c r="C2749" s="25" t="s">
        <v>5883</v>
      </c>
      <c r="D2749" s="26" t="n">
        <v>120.1</v>
      </c>
      <c r="E2749" s="27" t="n">
        <v>6.92045699259709</v>
      </c>
      <c r="F2749" s="27" t="n">
        <v>6.92045699259709</v>
      </c>
      <c r="G2749" s="25" t="s">
        <v>4522</v>
      </c>
      <c r="H2749" s="25" t="s">
        <v>4523</v>
      </c>
      <c r="I2749" s="25" t="n">
        <f aca="false">IFERROR(IF(INDEX(Documents!$C$5:$C$657,MATCH(H2749,Documents!$A$5:$A$657,0))="","",INDEX(Documents!$C$5:$C$657,MATCH(H2749,Documents!$A$5:$A$657,0))),"")</f>
        <v>2018</v>
      </c>
      <c r="J2749" s="25" t="str">
        <f aca="false">IFERROR(IF(INDEX(Documents!$D$5:$D$657,MATCH(H2749,Documents!$A$5:$A$657,0))="","",INDEX(Documents!$D$5:$D$657,MATCH(H2749,Documents!$A$5:$A$657,0))),"")</f>
        <v>Eur J Med Chem</v>
      </c>
      <c r="K2749" s="25" t="str">
        <f aca="false">IFERROR(IF(INDEX(Documents!$G$5:$G$657,MATCH(H2749,Documents!$A$5:$A$657,0))="","",INDEX(Documents!$G$5:$G$657,MATCH(H2749,Documents!$A$5:$A$657,0))),"")</f>
        <v>10.1016/j.ejmech.2017.11.076</v>
      </c>
      <c r="L2749" s="25" t="s">
        <v>4524</v>
      </c>
    </row>
    <row r="2750" customFormat="false" ht="15" hidden="false" customHeight="false" outlineLevel="0" collapsed="false">
      <c r="A2750" s="25" t="n">
        <v>18703174</v>
      </c>
      <c r="B2750" s="25" t="s">
        <v>5884</v>
      </c>
      <c r="C2750" s="25" t="s">
        <v>5885</v>
      </c>
      <c r="D2750" s="26" t="n">
        <v>1660</v>
      </c>
      <c r="E2750" s="27" t="n">
        <v>5.77989191195995</v>
      </c>
      <c r="F2750" s="27" t="n">
        <v>5.77989191195995</v>
      </c>
      <c r="G2750" s="25" t="s">
        <v>4522</v>
      </c>
      <c r="H2750" s="25" t="s">
        <v>4523</v>
      </c>
      <c r="I2750" s="25" t="n">
        <f aca="false">IFERROR(IF(INDEX(Documents!$C$5:$C$657,MATCH(H2750,Documents!$A$5:$A$657,0))="","",INDEX(Documents!$C$5:$C$657,MATCH(H2750,Documents!$A$5:$A$657,0))),"")</f>
        <v>2018</v>
      </c>
      <c r="J2750" s="25" t="str">
        <f aca="false">IFERROR(IF(INDEX(Documents!$D$5:$D$657,MATCH(H2750,Documents!$A$5:$A$657,0))="","",INDEX(Documents!$D$5:$D$657,MATCH(H2750,Documents!$A$5:$A$657,0))),"")</f>
        <v>Eur J Med Chem</v>
      </c>
      <c r="K2750" s="25" t="str">
        <f aca="false">IFERROR(IF(INDEX(Documents!$G$5:$G$657,MATCH(H2750,Documents!$A$5:$A$657,0))="","",INDEX(Documents!$G$5:$G$657,MATCH(H2750,Documents!$A$5:$A$657,0))),"")</f>
        <v>10.1016/j.ejmech.2017.11.076</v>
      </c>
      <c r="L2750" s="25" t="s">
        <v>4524</v>
      </c>
    </row>
    <row r="2751" customFormat="false" ht="15" hidden="false" customHeight="false" outlineLevel="0" collapsed="false">
      <c r="A2751" s="25" t="n">
        <v>18703164</v>
      </c>
      <c r="B2751" s="25" t="s">
        <v>5886</v>
      </c>
      <c r="C2751" s="25" t="s">
        <v>5887</v>
      </c>
      <c r="D2751" s="26" t="n">
        <v>746.6</v>
      </c>
      <c r="E2751" s="27" t="n">
        <v>6.12691201440971</v>
      </c>
      <c r="F2751" s="27" t="n">
        <v>6.12691201440971</v>
      </c>
      <c r="G2751" s="25" t="s">
        <v>4522</v>
      </c>
      <c r="H2751" s="25" t="s">
        <v>4523</v>
      </c>
      <c r="I2751" s="25" t="n">
        <f aca="false">IFERROR(IF(INDEX(Documents!$C$5:$C$657,MATCH(H2751,Documents!$A$5:$A$657,0))="","",INDEX(Documents!$C$5:$C$657,MATCH(H2751,Documents!$A$5:$A$657,0))),"")</f>
        <v>2018</v>
      </c>
      <c r="J2751" s="25" t="str">
        <f aca="false">IFERROR(IF(INDEX(Documents!$D$5:$D$657,MATCH(H2751,Documents!$A$5:$A$657,0))="","",INDEX(Documents!$D$5:$D$657,MATCH(H2751,Documents!$A$5:$A$657,0))),"")</f>
        <v>Eur J Med Chem</v>
      </c>
      <c r="K2751" s="25" t="str">
        <f aca="false">IFERROR(IF(INDEX(Documents!$G$5:$G$657,MATCH(H2751,Documents!$A$5:$A$657,0))="","",INDEX(Documents!$G$5:$G$657,MATCH(H2751,Documents!$A$5:$A$657,0))),"")</f>
        <v>10.1016/j.ejmech.2017.11.076</v>
      </c>
      <c r="L2751" s="25" t="s">
        <v>4524</v>
      </c>
    </row>
    <row r="2752" customFormat="false" ht="15" hidden="false" customHeight="false" outlineLevel="0" collapsed="false">
      <c r="A2752" s="25" t="n">
        <v>16823045</v>
      </c>
      <c r="B2752" s="25" t="s">
        <v>5888</v>
      </c>
      <c r="C2752" s="25" t="s">
        <v>5889</v>
      </c>
      <c r="D2752" s="26" t="n">
        <v>1500</v>
      </c>
      <c r="E2752" s="27" t="n">
        <v>5.82390874094432</v>
      </c>
      <c r="F2752" s="27" t="n">
        <v>5.82390874094432</v>
      </c>
      <c r="G2752" s="25" t="s">
        <v>934</v>
      </c>
      <c r="H2752" s="25" t="s">
        <v>935</v>
      </c>
      <c r="I2752" s="25" t="n">
        <f aca="false">IFERROR(IF(INDEX(Documents!$C$5:$C$657,MATCH(H2752,Documents!$A$5:$A$657,0))="","",INDEX(Documents!$C$5:$C$657,MATCH(H2752,Documents!$A$5:$A$657,0))),"")</f>
        <v>2016</v>
      </c>
      <c r="J2752" s="25" t="str">
        <f aca="false">IFERROR(IF(INDEX(Documents!$D$5:$D$657,MATCH(H2752,Documents!$A$5:$A$657,0))="","",INDEX(Documents!$D$5:$D$657,MATCH(H2752,Documents!$A$5:$A$657,0))),"")</f>
        <v>Eur J Med Chem</v>
      </c>
      <c r="K2752" s="25" t="str">
        <f aca="false">IFERROR(IF(INDEX(Documents!$G$5:$G$657,MATCH(H2752,Documents!$A$5:$A$657,0))="","",INDEX(Documents!$G$5:$G$657,MATCH(H2752,Documents!$A$5:$A$657,0))),"")</f>
        <v>10.1016/j.ejmech.2016.08.005</v>
      </c>
      <c r="L2752" s="25" t="s">
        <v>936</v>
      </c>
    </row>
    <row r="2753" customFormat="false" ht="15" hidden="false" customHeight="false" outlineLevel="0" collapsed="false">
      <c r="A2753" s="25" t="n">
        <v>16823042</v>
      </c>
      <c r="B2753" s="25" t="s">
        <v>5890</v>
      </c>
      <c r="C2753" s="25" t="s">
        <v>5891</v>
      </c>
      <c r="D2753" s="26" t="n">
        <v>600</v>
      </c>
      <c r="E2753" s="27" t="n">
        <v>6.22184874961636</v>
      </c>
      <c r="F2753" s="27" t="n">
        <v>6.22184874961636</v>
      </c>
      <c r="G2753" s="25" t="s">
        <v>934</v>
      </c>
      <c r="H2753" s="25" t="s">
        <v>935</v>
      </c>
      <c r="I2753" s="25" t="n">
        <f aca="false">IFERROR(IF(INDEX(Documents!$C$5:$C$657,MATCH(H2753,Documents!$A$5:$A$657,0))="","",INDEX(Documents!$C$5:$C$657,MATCH(H2753,Documents!$A$5:$A$657,0))),"")</f>
        <v>2016</v>
      </c>
      <c r="J2753" s="25" t="str">
        <f aca="false">IFERROR(IF(INDEX(Documents!$D$5:$D$657,MATCH(H2753,Documents!$A$5:$A$657,0))="","",INDEX(Documents!$D$5:$D$657,MATCH(H2753,Documents!$A$5:$A$657,0))),"")</f>
        <v>Eur J Med Chem</v>
      </c>
      <c r="K2753" s="25" t="str">
        <f aca="false">IFERROR(IF(INDEX(Documents!$G$5:$G$657,MATCH(H2753,Documents!$A$5:$A$657,0))="","",INDEX(Documents!$G$5:$G$657,MATCH(H2753,Documents!$A$5:$A$657,0))),"")</f>
        <v>10.1016/j.ejmech.2016.08.005</v>
      </c>
      <c r="L2753" s="25" t="s">
        <v>936</v>
      </c>
    </row>
    <row r="2754" customFormat="false" ht="15" hidden="false" customHeight="false" outlineLevel="0" collapsed="false">
      <c r="A2754" s="25" t="n">
        <v>16823041</v>
      </c>
      <c r="B2754" s="25" t="s">
        <v>5892</v>
      </c>
      <c r="C2754" s="25" t="s">
        <v>5893</v>
      </c>
      <c r="D2754" s="26" t="n">
        <v>800</v>
      </c>
      <c r="E2754" s="27" t="n">
        <v>6.09691001300806</v>
      </c>
      <c r="F2754" s="27" t="n">
        <v>6.09691001300806</v>
      </c>
      <c r="G2754" s="25" t="s">
        <v>934</v>
      </c>
      <c r="H2754" s="25" t="s">
        <v>935</v>
      </c>
      <c r="I2754" s="25" t="n">
        <f aca="false">IFERROR(IF(INDEX(Documents!$C$5:$C$657,MATCH(H2754,Documents!$A$5:$A$657,0))="","",INDEX(Documents!$C$5:$C$657,MATCH(H2754,Documents!$A$5:$A$657,0))),"")</f>
        <v>2016</v>
      </c>
      <c r="J2754" s="25" t="str">
        <f aca="false">IFERROR(IF(INDEX(Documents!$D$5:$D$657,MATCH(H2754,Documents!$A$5:$A$657,0))="","",INDEX(Documents!$D$5:$D$657,MATCH(H2754,Documents!$A$5:$A$657,0))),"")</f>
        <v>Eur J Med Chem</v>
      </c>
      <c r="K2754" s="25" t="str">
        <f aca="false">IFERROR(IF(INDEX(Documents!$G$5:$G$657,MATCH(H2754,Documents!$A$5:$A$657,0))="","",INDEX(Documents!$G$5:$G$657,MATCH(H2754,Documents!$A$5:$A$657,0))),"")</f>
        <v>10.1016/j.ejmech.2016.08.005</v>
      </c>
      <c r="L2754" s="25" t="s">
        <v>936</v>
      </c>
    </row>
    <row r="2755" customFormat="false" ht="15" hidden="false" customHeight="false" outlineLevel="0" collapsed="false">
      <c r="A2755" s="25" t="n">
        <v>16823046</v>
      </c>
      <c r="B2755" s="25" t="s">
        <v>5894</v>
      </c>
      <c r="C2755" s="25" t="s">
        <v>5895</v>
      </c>
      <c r="D2755" s="26" t="n">
        <v>900</v>
      </c>
      <c r="E2755" s="27" t="n">
        <v>6.04575749056068</v>
      </c>
      <c r="F2755" s="27" t="n">
        <v>6.04575749056068</v>
      </c>
      <c r="G2755" s="25" t="s">
        <v>934</v>
      </c>
      <c r="H2755" s="25" t="s">
        <v>935</v>
      </c>
      <c r="I2755" s="25" t="n">
        <f aca="false">IFERROR(IF(INDEX(Documents!$C$5:$C$657,MATCH(H2755,Documents!$A$5:$A$657,0))="","",INDEX(Documents!$C$5:$C$657,MATCH(H2755,Documents!$A$5:$A$657,0))),"")</f>
        <v>2016</v>
      </c>
      <c r="J2755" s="25" t="str">
        <f aca="false">IFERROR(IF(INDEX(Documents!$D$5:$D$657,MATCH(H2755,Documents!$A$5:$A$657,0))="","",INDEX(Documents!$D$5:$D$657,MATCH(H2755,Documents!$A$5:$A$657,0))),"")</f>
        <v>Eur J Med Chem</v>
      </c>
      <c r="K2755" s="25" t="str">
        <f aca="false">IFERROR(IF(INDEX(Documents!$G$5:$G$657,MATCH(H2755,Documents!$A$5:$A$657,0))="","",INDEX(Documents!$G$5:$G$657,MATCH(H2755,Documents!$A$5:$A$657,0))),"")</f>
        <v>10.1016/j.ejmech.2016.08.005</v>
      </c>
      <c r="L2755" s="25" t="s">
        <v>936</v>
      </c>
    </row>
    <row r="2756" customFormat="false" ht="15" hidden="false" customHeight="false" outlineLevel="0" collapsed="false">
      <c r="A2756" s="25" t="n">
        <v>16823044</v>
      </c>
      <c r="B2756" s="25" t="s">
        <v>5896</v>
      </c>
      <c r="C2756" s="25" t="s">
        <v>5897</v>
      </c>
      <c r="D2756" s="26" t="n">
        <v>500</v>
      </c>
      <c r="E2756" s="27" t="n">
        <v>6.30102999566398</v>
      </c>
      <c r="F2756" s="27" t="n">
        <v>6.30102999566398</v>
      </c>
      <c r="G2756" s="25" t="s">
        <v>934</v>
      </c>
      <c r="H2756" s="25" t="s">
        <v>935</v>
      </c>
      <c r="I2756" s="25" t="n">
        <f aca="false">IFERROR(IF(INDEX(Documents!$C$5:$C$657,MATCH(H2756,Documents!$A$5:$A$657,0))="","",INDEX(Documents!$C$5:$C$657,MATCH(H2756,Documents!$A$5:$A$657,0))),"")</f>
        <v>2016</v>
      </c>
      <c r="J2756" s="25" t="str">
        <f aca="false">IFERROR(IF(INDEX(Documents!$D$5:$D$657,MATCH(H2756,Documents!$A$5:$A$657,0))="","",INDEX(Documents!$D$5:$D$657,MATCH(H2756,Documents!$A$5:$A$657,0))),"")</f>
        <v>Eur J Med Chem</v>
      </c>
      <c r="K2756" s="25" t="str">
        <f aca="false">IFERROR(IF(INDEX(Documents!$G$5:$G$657,MATCH(H2756,Documents!$A$5:$A$657,0))="","",INDEX(Documents!$G$5:$G$657,MATCH(H2756,Documents!$A$5:$A$657,0))),"")</f>
        <v>10.1016/j.ejmech.2016.08.005</v>
      </c>
      <c r="L2756" s="25" t="s">
        <v>936</v>
      </c>
    </row>
    <row r="2757" customFormat="false" ht="15" hidden="false" customHeight="false" outlineLevel="0" collapsed="false">
      <c r="A2757" s="25" t="n">
        <v>16823043</v>
      </c>
      <c r="B2757" s="25" t="s">
        <v>5898</v>
      </c>
      <c r="C2757" s="25" t="s">
        <v>5899</v>
      </c>
      <c r="D2757" s="26" t="n">
        <v>700</v>
      </c>
      <c r="E2757" s="27" t="n">
        <v>6.15490195998574</v>
      </c>
      <c r="F2757" s="27" t="n">
        <v>6.15490195998574</v>
      </c>
      <c r="G2757" s="25" t="s">
        <v>934</v>
      </c>
      <c r="H2757" s="25" t="s">
        <v>935</v>
      </c>
      <c r="I2757" s="25" t="n">
        <f aca="false">IFERROR(IF(INDEX(Documents!$C$5:$C$657,MATCH(H2757,Documents!$A$5:$A$657,0))="","",INDEX(Documents!$C$5:$C$657,MATCH(H2757,Documents!$A$5:$A$657,0))),"")</f>
        <v>2016</v>
      </c>
      <c r="J2757" s="25" t="str">
        <f aca="false">IFERROR(IF(INDEX(Documents!$D$5:$D$657,MATCH(H2757,Documents!$A$5:$A$657,0))="","",INDEX(Documents!$D$5:$D$657,MATCH(H2757,Documents!$A$5:$A$657,0))),"")</f>
        <v>Eur J Med Chem</v>
      </c>
      <c r="K2757" s="25" t="str">
        <f aca="false">IFERROR(IF(INDEX(Documents!$G$5:$G$657,MATCH(H2757,Documents!$A$5:$A$657,0))="","",INDEX(Documents!$G$5:$G$657,MATCH(H2757,Documents!$A$5:$A$657,0))),"")</f>
        <v>10.1016/j.ejmech.2016.08.005</v>
      </c>
      <c r="L2757" s="25" t="s">
        <v>936</v>
      </c>
    </row>
    <row r="2758" customFormat="false" ht="15" hidden="false" customHeight="false" outlineLevel="0" collapsed="false">
      <c r="A2758" s="25" t="n">
        <v>2573120</v>
      </c>
      <c r="B2758" s="25" t="s">
        <v>5900</v>
      </c>
      <c r="C2758" s="25" t="s">
        <v>5901</v>
      </c>
      <c r="D2758" s="26" t="n">
        <v>790</v>
      </c>
      <c r="E2758" s="27" t="n">
        <v>6.10237290870956</v>
      </c>
      <c r="F2758" s="27" t="n">
        <v>6.10237290870956</v>
      </c>
      <c r="G2758" s="25" t="s">
        <v>674</v>
      </c>
      <c r="H2758" s="25" t="s">
        <v>675</v>
      </c>
      <c r="I2758" s="25" t="n">
        <f aca="false">IFERROR(IF(INDEX(Documents!$C$5:$C$657,MATCH(H2758,Documents!$A$5:$A$657,0))="","",INDEX(Documents!$C$5:$C$657,MATCH(H2758,Documents!$A$5:$A$657,0))),"")</f>
        <v>2008</v>
      </c>
      <c r="J2758" s="25" t="str">
        <f aca="false">IFERROR(IF(INDEX(Documents!$D$5:$D$657,MATCH(H2758,Documents!$A$5:$A$657,0))="","",INDEX(Documents!$D$5:$D$657,MATCH(H2758,Documents!$A$5:$A$657,0))),"")</f>
        <v>Bioorg Med Chem</v>
      </c>
      <c r="K2758" s="25" t="str">
        <f aca="false">IFERROR(IF(INDEX(Documents!$G$5:$G$657,MATCH(H2758,Documents!$A$5:$A$657,0))="","",INDEX(Documents!$G$5:$G$657,MATCH(H2758,Documents!$A$5:$A$657,0))),"")</f>
        <v>10.1016/j.bmc.2008.06.001</v>
      </c>
      <c r="L2758" s="25" t="s">
        <v>676</v>
      </c>
    </row>
    <row r="2759" customFormat="false" ht="15" hidden="false" customHeight="false" outlineLevel="0" collapsed="false">
      <c r="A2759" s="25" t="n">
        <v>12146238</v>
      </c>
      <c r="B2759" s="25" t="s">
        <v>5902</v>
      </c>
      <c r="C2759" s="25" t="s">
        <v>5903</v>
      </c>
      <c r="D2759" s="26" t="n">
        <v>310</v>
      </c>
      <c r="E2759" s="27" t="n">
        <v>6.50863830616573</v>
      </c>
      <c r="F2759" s="27" t="n">
        <v>6.50863830616573</v>
      </c>
      <c r="G2759" s="25" t="s">
        <v>1126</v>
      </c>
      <c r="H2759" s="25" t="s">
        <v>1127</v>
      </c>
      <c r="I2759" s="25" t="n">
        <f aca="false">IFERROR(IF(INDEX(Documents!$C$5:$C$657,MATCH(H2759,Documents!$A$5:$A$657,0))="","",INDEX(Documents!$C$5:$C$657,MATCH(H2759,Documents!$A$5:$A$657,0))),"")</f>
        <v>2012</v>
      </c>
      <c r="J2759" s="25" t="str">
        <f aca="false">IFERROR(IF(INDEX(Documents!$D$5:$D$657,MATCH(H2759,Documents!$A$5:$A$657,0))="","",INDEX(Documents!$D$5:$D$657,MATCH(H2759,Documents!$A$5:$A$657,0))),"")</f>
        <v>J Med Chem</v>
      </c>
      <c r="K2759" s="25" t="str">
        <f aca="false">IFERROR(IF(INDEX(Documents!$G$5:$G$657,MATCH(H2759,Documents!$A$5:$A$657,0))="","",INDEX(Documents!$G$5:$G$657,MATCH(H2759,Documents!$A$5:$A$657,0))),"")</f>
        <v>10.1021/jm301212u</v>
      </c>
      <c r="L2759" s="25" t="s">
        <v>1128</v>
      </c>
    </row>
    <row r="2760" customFormat="false" ht="15" hidden="false" customHeight="false" outlineLevel="0" collapsed="false">
      <c r="A2760" s="25" t="n">
        <v>12146279</v>
      </c>
      <c r="B2760" s="25" t="s">
        <v>5902</v>
      </c>
      <c r="C2760" s="25" t="s">
        <v>5903</v>
      </c>
      <c r="D2760" s="26" t="n">
        <v>310</v>
      </c>
      <c r="E2760" s="27" t="n">
        <v>6.50863830616573</v>
      </c>
      <c r="F2760" s="27" t="n">
        <v>6.50863830616573</v>
      </c>
      <c r="G2760" s="25" t="s">
        <v>1126</v>
      </c>
      <c r="H2760" s="25" t="s">
        <v>1127</v>
      </c>
      <c r="I2760" s="25" t="n">
        <f aca="false">IFERROR(IF(INDEX(Documents!$C$5:$C$657,MATCH(H2760,Documents!$A$5:$A$657,0))="","",INDEX(Documents!$C$5:$C$657,MATCH(H2760,Documents!$A$5:$A$657,0))),"")</f>
        <v>2012</v>
      </c>
      <c r="J2760" s="25" t="str">
        <f aca="false">IFERROR(IF(INDEX(Documents!$D$5:$D$657,MATCH(H2760,Documents!$A$5:$A$657,0))="","",INDEX(Documents!$D$5:$D$657,MATCH(H2760,Documents!$A$5:$A$657,0))),"")</f>
        <v>J Med Chem</v>
      </c>
      <c r="K2760" s="25" t="str">
        <f aca="false">IFERROR(IF(INDEX(Documents!$G$5:$G$657,MATCH(H2760,Documents!$A$5:$A$657,0))="","",INDEX(Documents!$G$5:$G$657,MATCH(H2760,Documents!$A$5:$A$657,0))),"")</f>
        <v>10.1021/jm301212u</v>
      </c>
      <c r="L2760" s="25" t="s">
        <v>1128</v>
      </c>
    </row>
    <row r="2761" customFormat="false" ht="15" hidden="false" customHeight="false" outlineLevel="0" collapsed="false">
      <c r="A2761" s="25" t="n">
        <v>12146230</v>
      </c>
      <c r="B2761" s="25" t="s">
        <v>5904</v>
      </c>
      <c r="C2761" s="25" t="s">
        <v>5905</v>
      </c>
      <c r="D2761" s="26" t="n">
        <v>783</v>
      </c>
      <c r="E2761" s="27" t="n">
        <v>6.10623823794206</v>
      </c>
      <c r="F2761" s="27" t="n">
        <v>6.10623823794206</v>
      </c>
      <c r="G2761" s="25" t="s">
        <v>1126</v>
      </c>
      <c r="H2761" s="25" t="s">
        <v>1127</v>
      </c>
      <c r="I2761" s="25" t="n">
        <f aca="false">IFERROR(IF(INDEX(Documents!$C$5:$C$657,MATCH(H2761,Documents!$A$5:$A$657,0))="","",INDEX(Documents!$C$5:$C$657,MATCH(H2761,Documents!$A$5:$A$657,0))),"")</f>
        <v>2012</v>
      </c>
      <c r="J2761" s="25" t="str">
        <f aca="false">IFERROR(IF(INDEX(Documents!$D$5:$D$657,MATCH(H2761,Documents!$A$5:$A$657,0))="","",INDEX(Documents!$D$5:$D$657,MATCH(H2761,Documents!$A$5:$A$657,0))),"")</f>
        <v>J Med Chem</v>
      </c>
      <c r="K2761" s="25" t="str">
        <f aca="false">IFERROR(IF(INDEX(Documents!$G$5:$G$657,MATCH(H2761,Documents!$A$5:$A$657,0))="","",INDEX(Documents!$G$5:$G$657,MATCH(H2761,Documents!$A$5:$A$657,0))),"")</f>
        <v>10.1021/jm301212u</v>
      </c>
      <c r="L2761" s="25" t="s">
        <v>1128</v>
      </c>
    </row>
    <row r="2762" customFormat="false" ht="15" hidden="false" customHeight="false" outlineLevel="0" collapsed="false">
      <c r="A2762" s="25" t="n">
        <v>12146287</v>
      </c>
      <c r="B2762" s="25" t="s">
        <v>5904</v>
      </c>
      <c r="C2762" s="25" t="s">
        <v>5905</v>
      </c>
      <c r="D2762" s="26" t="n">
        <v>783</v>
      </c>
      <c r="E2762" s="27" t="n">
        <v>6.10623823794206</v>
      </c>
      <c r="F2762" s="27" t="n">
        <v>6.10623823794206</v>
      </c>
      <c r="G2762" s="25" t="s">
        <v>1126</v>
      </c>
      <c r="H2762" s="25" t="s">
        <v>1127</v>
      </c>
      <c r="I2762" s="25" t="n">
        <f aca="false">IFERROR(IF(INDEX(Documents!$C$5:$C$657,MATCH(H2762,Documents!$A$5:$A$657,0))="","",INDEX(Documents!$C$5:$C$657,MATCH(H2762,Documents!$A$5:$A$657,0))),"")</f>
        <v>2012</v>
      </c>
      <c r="J2762" s="25" t="str">
        <f aca="false">IFERROR(IF(INDEX(Documents!$D$5:$D$657,MATCH(H2762,Documents!$A$5:$A$657,0))="","",INDEX(Documents!$D$5:$D$657,MATCH(H2762,Documents!$A$5:$A$657,0))),"")</f>
        <v>J Med Chem</v>
      </c>
      <c r="K2762" s="25" t="str">
        <f aca="false">IFERROR(IF(INDEX(Documents!$G$5:$G$657,MATCH(H2762,Documents!$A$5:$A$657,0))="","",INDEX(Documents!$G$5:$G$657,MATCH(H2762,Documents!$A$5:$A$657,0))),"")</f>
        <v>10.1021/jm301212u</v>
      </c>
      <c r="L2762" s="25" t="s">
        <v>1128</v>
      </c>
    </row>
    <row r="2763" customFormat="false" ht="15" hidden="false" customHeight="false" outlineLevel="0" collapsed="false">
      <c r="A2763" s="25" t="n">
        <v>3198568</v>
      </c>
      <c r="B2763" s="25" t="s">
        <v>5906</v>
      </c>
      <c r="C2763" s="25" t="s">
        <v>5907</v>
      </c>
      <c r="D2763" s="26" t="n">
        <v>290</v>
      </c>
      <c r="E2763" s="27" t="n">
        <v>6.53760200210104</v>
      </c>
      <c r="F2763" s="27" t="n">
        <v>6.53760200210104</v>
      </c>
      <c r="G2763" s="25" t="s">
        <v>4040</v>
      </c>
      <c r="H2763" s="25" t="s">
        <v>4041</v>
      </c>
      <c r="I2763" s="25" t="n">
        <f aca="false">IFERROR(IF(INDEX(Documents!$C$5:$C$657,MATCH(H2763,Documents!$A$5:$A$657,0))="","",INDEX(Documents!$C$5:$C$657,MATCH(H2763,Documents!$A$5:$A$657,0))),"")</f>
        <v>2010</v>
      </c>
      <c r="J2763" s="25" t="str">
        <f aca="false">IFERROR(IF(INDEX(Documents!$D$5:$D$657,MATCH(H2763,Documents!$A$5:$A$657,0))="","",INDEX(Documents!$D$5:$D$657,MATCH(H2763,Documents!$A$5:$A$657,0))),"")</f>
        <v>Eur J Med Chem</v>
      </c>
      <c r="K2763" s="25" t="str">
        <f aca="false">IFERROR(IF(INDEX(Documents!$G$5:$G$657,MATCH(H2763,Documents!$A$5:$A$657,0))="","",INDEX(Documents!$G$5:$G$657,MATCH(H2763,Documents!$A$5:$A$657,0))),"")</f>
        <v>10.1016/j.ejmech.2009.12.018</v>
      </c>
      <c r="L2763" s="25" t="s">
        <v>4042</v>
      </c>
    </row>
    <row r="2764" customFormat="false" ht="15" hidden="false" customHeight="false" outlineLevel="0" collapsed="false">
      <c r="A2764" s="25" t="n">
        <v>2160624</v>
      </c>
      <c r="B2764" s="25" t="s">
        <v>5908</v>
      </c>
      <c r="C2764" s="25" t="s">
        <v>5909</v>
      </c>
      <c r="D2764" s="26" t="n">
        <v>1242.8</v>
      </c>
      <c r="E2764" s="27" t="n">
        <v>5.90559875541706</v>
      </c>
      <c r="F2764" s="27" t="n">
        <v>5.90559875541706</v>
      </c>
      <c r="G2764" s="25" t="s">
        <v>657</v>
      </c>
      <c r="H2764" s="25" t="s">
        <v>658</v>
      </c>
      <c r="I2764" s="25" t="n">
        <f aca="false">IFERROR(IF(INDEX(Documents!$C$5:$C$657,MATCH(H2764,Documents!$A$5:$A$657,0))="","",INDEX(Documents!$C$5:$C$657,MATCH(H2764,Documents!$A$5:$A$657,0))),"")</f>
        <v>2008</v>
      </c>
      <c r="J2764" s="25" t="str">
        <f aca="false">IFERROR(IF(INDEX(Documents!$D$5:$D$657,MATCH(H2764,Documents!$A$5:$A$657,0))="","",INDEX(Documents!$D$5:$D$657,MATCH(H2764,Documents!$A$5:$A$657,0))),"")</f>
        <v>J Med Chem</v>
      </c>
      <c r="K2764" s="25" t="str">
        <f aca="false">IFERROR(IF(INDEX(Documents!$G$5:$G$657,MATCH(H2764,Documents!$A$5:$A$657,0))="","",INDEX(Documents!$G$5:$G$657,MATCH(H2764,Documents!$A$5:$A$657,0))),"")</f>
        <v>10.1021/jm701519h</v>
      </c>
      <c r="L2764" s="25" t="s">
        <v>659</v>
      </c>
    </row>
    <row r="2765" customFormat="false" ht="15" hidden="false" customHeight="false" outlineLevel="0" collapsed="false">
      <c r="A2765" s="25" t="n">
        <v>2691012</v>
      </c>
      <c r="B2765" s="25" t="s">
        <v>5910</v>
      </c>
      <c r="C2765" s="25" t="s">
        <v>5911</v>
      </c>
      <c r="D2765" s="26" t="n">
        <v>4953</v>
      </c>
      <c r="E2765" s="27" t="n">
        <v>5.30513167201754</v>
      </c>
      <c r="F2765" s="27" t="n">
        <v>5.30513167201754</v>
      </c>
      <c r="G2765" s="25" t="s">
        <v>1648</v>
      </c>
      <c r="H2765" s="25" t="s">
        <v>1649</v>
      </c>
      <c r="I2765" s="25" t="n">
        <f aca="false">IFERROR(IF(INDEX(Documents!$C$5:$C$657,MATCH(H2765,Documents!$A$5:$A$657,0))="","",INDEX(Documents!$C$5:$C$657,MATCH(H2765,Documents!$A$5:$A$657,0))),"")</f>
        <v>2009</v>
      </c>
      <c r="J2765" s="25" t="str">
        <f aca="false">IFERROR(IF(INDEX(Documents!$D$5:$D$657,MATCH(H2765,Documents!$A$5:$A$657,0))="","",INDEX(Documents!$D$5:$D$657,MATCH(H2765,Documents!$A$5:$A$657,0))),"")</f>
        <v>Bioorg Med Chem Lett</v>
      </c>
      <c r="K2765" s="25" t="str">
        <f aca="false">IFERROR(IF(INDEX(Documents!$G$5:$G$657,MATCH(H2765,Documents!$A$5:$A$657,0))="","",INDEX(Documents!$G$5:$G$657,MATCH(H2765,Documents!$A$5:$A$657,0))),"")</f>
        <v>10.1016/j.bmcl.2009.05.114</v>
      </c>
      <c r="L2765" s="25" t="s">
        <v>1650</v>
      </c>
    </row>
    <row r="2766" customFormat="false" ht="15" hidden="false" customHeight="false" outlineLevel="0" collapsed="false">
      <c r="A2766" s="25" t="n">
        <v>2914139</v>
      </c>
      <c r="B2766" s="25" t="s">
        <v>5912</v>
      </c>
      <c r="C2766" s="25" t="s">
        <v>5913</v>
      </c>
      <c r="D2766" s="26" t="n">
        <v>3483</v>
      </c>
      <c r="E2766" s="27" t="n">
        <v>5.45804652554176</v>
      </c>
      <c r="F2766" s="27" t="n">
        <v>5.45804652554176</v>
      </c>
      <c r="G2766" s="25" t="s">
        <v>5785</v>
      </c>
      <c r="H2766" s="25" t="s">
        <v>5786</v>
      </c>
      <c r="I2766" s="25" t="n">
        <f aca="false">IFERROR(IF(INDEX(Documents!$C$5:$C$657,MATCH(H2766,Documents!$A$5:$A$657,0))="","",INDEX(Documents!$C$5:$C$657,MATCH(H2766,Documents!$A$5:$A$657,0))),"")</f>
        <v>2009</v>
      </c>
      <c r="J2766" s="25" t="str">
        <f aca="false">IFERROR(IF(INDEX(Documents!$D$5:$D$657,MATCH(H2766,Documents!$A$5:$A$657,0))="","",INDEX(Documents!$D$5:$D$657,MATCH(H2766,Documents!$A$5:$A$657,0))),"")</f>
        <v>Bioorg Med Chem</v>
      </c>
      <c r="K2766" s="25" t="str">
        <f aca="false">IFERROR(IF(INDEX(Documents!$G$5:$G$657,MATCH(H2766,Documents!$A$5:$A$657,0))="","",INDEX(Documents!$G$5:$G$657,MATCH(H2766,Documents!$A$5:$A$657,0))),"")</f>
        <v>10.1016/j.bmc.2009.06.027</v>
      </c>
      <c r="L2766" s="25" t="s">
        <v>676</v>
      </c>
    </row>
    <row r="2767" customFormat="false" ht="15" hidden="false" customHeight="false" outlineLevel="0" collapsed="false">
      <c r="A2767" s="25" t="n">
        <v>2914148</v>
      </c>
      <c r="B2767" s="25" t="s">
        <v>5914</v>
      </c>
      <c r="C2767" s="25" t="s">
        <v>5915</v>
      </c>
      <c r="D2767" s="26" t="n">
        <v>2887</v>
      </c>
      <c r="E2767" s="27" t="n">
        <v>5.53955321611928</v>
      </c>
      <c r="F2767" s="27" t="n">
        <v>5.53955321611928</v>
      </c>
      <c r="G2767" s="25" t="s">
        <v>5785</v>
      </c>
      <c r="H2767" s="25" t="s">
        <v>5786</v>
      </c>
      <c r="I2767" s="25" t="n">
        <f aca="false">IFERROR(IF(INDEX(Documents!$C$5:$C$657,MATCH(H2767,Documents!$A$5:$A$657,0))="","",INDEX(Documents!$C$5:$C$657,MATCH(H2767,Documents!$A$5:$A$657,0))),"")</f>
        <v>2009</v>
      </c>
      <c r="J2767" s="25" t="str">
        <f aca="false">IFERROR(IF(INDEX(Documents!$D$5:$D$657,MATCH(H2767,Documents!$A$5:$A$657,0))="","",INDEX(Documents!$D$5:$D$657,MATCH(H2767,Documents!$A$5:$A$657,0))),"")</f>
        <v>Bioorg Med Chem</v>
      </c>
      <c r="K2767" s="25" t="str">
        <f aca="false">IFERROR(IF(INDEX(Documents!$G$5:$G$657,MATCH(H2767,Documents!$A$5:$A$657,0))="","",INDEX(Documents!$G$5:$G$657,MATCH(H2767,Documents!$A$5:$A$657,0))),"")</f>
        <v>10.1016/j.bmc.2009.06.027</v>
      </c>
      <c r="L2767" s="25" t="s">
        <v>676</v>
      </c>
    </row>
    <row r="2768" customFormat="false" ht="15" hidden="false" customHeight="false" outlineLevel="0" collapsed="false">
      <c r="A2768" s="25" t="n">
        <v>2914114</v>
      </c>
      <c r="B2768" s="25" t="s">
        <v>5916</v>
      </c>
      <c r="C2768" s="25" t="s">
        <v>5917</v>
      </c>
      <c r="D2768" s="26" t="n">
        <v>1945</v>
      </c>
      <c r="E2768" s="27" t="n">
        <v>5.71108039433827</v>
      </c>
      <c r="F2768" s="27" t="n">
        <v>5.71108039433827</v>
      </c>
      <c r="G2768" s="25" t="s">
        <v>5785</v>
      </c>
      <c r="H2768" s="25" t="s">
        <v>5786</v>
      </c>
      <c r="I2768" s="25" t="n">
        <f aca="false">IFERROR(IF(INDEX(Documents!$C$5:$C$657,MATCH(H2768,Documents!$A$5:$A$657,0))="","",INDEX(Documents!$C$5:$C$657,MATCH(H2768,Documents!$A$5:$A$657,0))),"")</f>
        <v>2009</v>
      </c>
      <c r="J2768" s="25" t="str">
        <f aca="false">IFERROR(IF(INDEX(Documents!$D$5:$D$657,MATCH(H2768,Documents!$A$5:$A$657,0))="","",INDEX(Documents!$D$5:$D$657,MATCH(H2768,Documents!$A$5:$A$657,0))),"")</f>
        <v>Bioorg Med Chem</v>
      </c>
      <c r="K2768" s="25" t="str">
        <f aca="false">IFERROR(IF(INDEX(Documents!$G$5:$G$657,MATCH(H2768,Documents!$A$5:$A$657,0))="","",INDEX(Documents!$G$5:$G$657,MATCH(H2768,Documents!$A$5:$A$657,0))),"")</f>
        <v>10.1016/j.bmc.2009.06.027</v>
      </c>
      <c r="L2768" s="25" t="s">
        <v>676</v>
      </c>
    </row>
    <row r="2769" customFormat="false" ht="15" hidden="false" customHeight="false" outlineLevel="0" collapsed="false">
      <c r="A2769" s="25" t="n">
        <v>19087972</v>
      </c>
      <c r="B2769" s="25" t="s">
        <v>5918</v>
      </c>
      <c r="C2769" s="25" t="s">
        <v>5919</v>
      </c>
      <c r="D2769" s="26" t="n">
        <v>1020</v>
      </c>
      <c r="E2769" s="27" t="n">
        <v>5.99139982823808</v>
      </c>
      <c r="F2769" s="27" t="n">
        <v>5.99139982823808</v>
      </c>
      <c r="G2769" s="25" t="s">
        <v>2633</v>
      </c>
      <c r="H2769" s="25" t="s">
        <v>2634</v>
      </c>
      <c r="I2769" s="25" t="n">
        <f aca="false">IFERROR(IF(INDEX(Documents!$C$5:$C$657,MATCH(H2769,Documents!$A$5:$A$657,0))="","",INDEX(Documents!$C$5:$C$657,MATCH(H2769,Documents!$A$5:$A$657,0))),"")</f>
        <v>2019</v>
      </c>
      <c r="J2769" s="25" t="str">
        <f aca="false">IFERROR(IF(INDEX(Documents!$D$5:$D$657,MATCH(H2769,Documents!$A$5:$A$657,0))="","",INDEX(Documents!$D$5:$D$657,MATCH(H2769,Documents!$A$5:$A$657,0))),"")</f>
        <v>Eur J Med Chem</v>
      </c>
      <c r="K2769" s="25" t="str">
        <f aca="false">IFERROR(IF(INDEX(Documents!$G$5:$G$657,MATCH(H2769,Documents!$A$5:$A$657,0))="","",INDEX(Documents!$G$5:$G$657,MATCH(H2769,Documents!$A$5:$A$657,0))),"")</f>
        <v>10.1016/j.ejmech.2019.05.080</v>
      </c>
      <c r="L2769" s="25" t="s">
        <v>2635</v>
      </c>
    </row>
    <row r="2770" customFormat="false" ht="15" hidden="false" customHeight="false" outlineLevel="0" collapsed="false">
      <c r="A2770" s="25" t="n">
        <v>22894750</v>
      </c>
      <c r="B2770" s="25" t="s">
        <v>5920</v>
      </c>
      <c r="C2770" s="25" t="s">
        <v>5921</v>
      </c>
      <c r="D2770" s="26" t="n">
        <v>1800</v>
      </c>
      <c r="E2770" s="27" t="n">
        <v>5.74472749489669</v>
      </c>
      <c r="F2770" s="27" t="n">
        <v>5.74472749489669</v>
      </c>
      <c r="G2770" s="25" t="s">
        <v>4690</v>
      </c>
      <c r="H2770" s="25" t="s">
        <v>4691</v>
      </c>
      <c r="I2770" s="25" t="n">
        <f aca="false">IFERROR(IF(INDEX(Documents!$C$5:$C$657,MATCH(H2770,Documents!$A$5:$A$657,0))="","",INDEX(Documents!$C$5:$C$657,MATCH(H2770,Documents!$A$5:$A$657,0))),"")</f>
        <v>2020</v>
      </c>
      <c r="J2770" s="25" t="str">
        <f aca="false">IFERROR(IF(INDEX(Documents!$D$5:$D$657,MATCH(H2770,Documents!$A$5:$A$657,0))="","",INDEX(Documents!$D$5:$D$657,MATCH(H2770,Documents!$A$5:$A$657,0))),"")</f>
        <v>Bioorg Med Chem</v>
      </c>
      <c r="K2770" s="25" t="str">
        <f aca="false">IFERROR(IF(INDEX(Documents!$G$5:$G$657,MATCH(H2770,Documents!$A$5:$A$657,0))="","",INDEX(Documents!$G$5:$G$657,MATCH(H2770,Documents!$A$5:$A$657,0))),"")</f>
        <v>10.1016/j.bmc.2020.115672</v>
      </c>
      <c r="L2770" s="25" t="s">
        <v>4692</v>
      </c>
    </row>
    <row r="2771" customFormat="false" ht="15" hidden="false" customHeight="false" outlineLevel="0" collapsed="false">
      <c r="A2771" s="25" t="n">
        <v>22894743</v>
      </c>
      <c r="B2771" s="25" t="s">
        <v>5922</v>
      </c>
      <c r="C2771" s="25" t="s">
        <v>5923</v>
      </c>
      <c r="D2771" s="26" t="n">
        <v>4500</v>
      </c>
      <c r="E2771" s="27" t="n">
        <v>5.34678748622466</v>
      </c>
      <c r="F2771" s="27" t="n">
        <v>5.34678748622466</v>
      </c>
      <c r="G2771" s="25" t="s">
        <v>4690</v>
      </c>
      <c r="H2771" s="25" t="s">
        <v>4691</v>
      </c>
      <c r="I2771" s="25" t="n">
        <f aca="false">IFERROR(IF(INDEX(Documents!$C$5:$C$657,MATCH(H2771,Documents!$A$5:$A$657,0))="","",INDEX(Documents!$C$5:$C$657,MATCH(H2771,Documents!$A$5:$A$657,0))),"")</f>
        <v>2020</v>
      </c>
      <c r="J2771" s="25" t="str">
        <f aca="false">IFERROR(IF(INDEX(Documents!$D$5:$D$657,MATCH(H2771,Documents!$A$5:$A$657,0))="","",INDEX(Documents!$D$5:$D$657,MATCH(H2771,Documents!$A$5:$A$657,0))),"")</f>
        <v>Bioorg Med Chem</v>
      </c>
      <c r="K2771" s="25" t="str">
        <f aca="false">IFERROR(IF(INDEX(Documents!$G$5:$G$657,MATCH(H2771,Documents!$A$5:$A$657,0))="","",INDEX(Documents!$G$5:$G$657,MATCH(H2771,Documents!$A$5:$A$657,0))),"")</f>
        <v>10.1016/j.bmc.2020.115672</v>
      </c>
      <c r="L2771" s="25" t="s">
        <v>4692</v>
      </c>
    </row>
    <row r="2772" customFormat="false" ht="15" hidden="false" customHeight="false" outlineLevel="0" collapsed="false">
      <c r="A2772" s="25" t="n">
        <v>13922859</v>
      </c>
      <c r="B2772" s="25" t="s">
        <v>5924</v>
      </c>
      <c r="C2772" s="25" t="s">
        <v>5925</v>
      </c>
      <c r="D2772" s="26" t="n">
        <v>9000</v>
      </c>
      <c r="E2772" s="27" t="n">
        <v>5.04575749056068</v>
      </c>
      <c r="F2772" s="27" t="n">
        <v>5.04575749056068</v>
      </c>
      <c r="G2772" s="25" t="s">
        <v>243</v>
      </c>
      <c r="H2772" s="25" t="s">
        <v>244</v>
      </c>
      <c r="I2772" s="25" t="n">
        <f aca="false">IFERROR(IF(INDEX(Documents!$C$5:$C$657,MATCH(H2772,Documents!$A$5:$A$657,0))="","",INDEX(Documents!$C$5:$C$657,MATCH(H2772,Documents!$A$5:$A$657,0))),"")</f>
        <v>2014</v>
      </c>
      <c r="J2772" s="25" t="str">
        <f aca="false">IFERROR(IF(INDEX(Documents!$D$5:$D$657,MATCH(H2772,Documents!$A$5:$A$657,0))="","",INDEX(Documents!$D$5:$D$657,MATCH(H2772,Documents!$A$5:$A$657,0))),"")</f>
        <v>Eur J Med Chem</v>
      </c>
      <c r="K2772" s="25" t="str">
        <f aca="false">IFERROR(IF(INDEX(Documents!$G$5:$G$657,MATCH(H2772,Documents!$A$5:$A$657,0))="","",INDEX(Documents!$G$5:$G$657,MATCH(H2772,Documents!$A$5:$A$657,0))),"")</f>
        <v>10.1016/j.ejmech.2013.11.026</v>
      </c>
      <c r="L2772" s="25" t="s">
        <v>245</v>
      </c>
    </row>
    <row r="2773" customFormat="false" ht="15" hidden="false" customHeight="false" outlineLevel="0" collapsed="false">
      <c r="A2773" s="25" t="n">
        <v>13922870</v>
      </c>
      <c r="B2773" s="25" t="s">
        <v>5926</v>
      </c>
      <c r="C2773" s="25" t="s">
        <v>5927</v>
      </c>
      <c r="D2773" s="26" t="n">
        <v>7700</v>
      </c>
      <c r="E2773" s="27" t="n">
        <v>5.11350927482752</v>
      </c>
      <c r="F2773" s="27" t="n">
        <v>5.11350927482752</v>
      </c>
      <c r="G2773" s="25" t="s">
        <v>243</v>
      </c>
      <c r="H2773" s="25" t="s">
        <v>244</v>
      </c>
      <c r="I2773" s="25" t="n">
        <f aca="false">IFERROR(IF(INDEX(Documents!$C$5:$C$657,MATCH(H2773,Documents!$A$5:$A$657,0))="","",INDEX(Documents!$C$5:$C$657,MATCH(H2773,Documents!$A$5:$A$657,0))),"")</f>
        <v>2014</v>
      </c>
      <c r="J2773" s="25" t="str">
        <f aca="false">IFERROR(IF(INDEX(Documents!$D$5:$D$657,MATCH(H2773,Documents!$A$5:$A$657,0))="","",INDEX(Documents!$D$5:$D$657,MATCH(H2773,Documents!$A$5:$A$657,0))),"")</f>
        <v>Eur J Med Chem</v>
      </c>
      <c r="K2773" s="25" t="str">
        <f aca="false">IFERROR(IF(INDEX(Documents!$G$5:$G$657,MATCH(H2773,Documents!$A$5:$A$657,0))="","",INDEX(Documents!$G$5:$G$657,MATCH(H2773,Documents!$A$5:$A$657,0))),"")</f>
        <v>10.1016/j.ejmech.2013.11.026</v>
      </c>
      <c r="L2773" s="25" t="s">
        <v>245</v>
      </c>
    </row>
    <row r="2774" customFormat="false" ht="15" hidden="false" customHeight="false" outlineLevel="0" collapsed="false">
      <c r="A2774" s="25" t="n">
        <v>13922869</v>
      </c>
      <c r="B2774" s="25" t="s">
        <v>5928</v>
      </c>
      <c r="C2774" s="25" t="s">
        <v>5929</v>
      </c>
      <c r="D2774" s="26" t="n">
        <v>900</v>
      </c>
      <c r="E2774" s="27" t="n">
        <v>6.04575749056068</v>
      </c>
      <c r="F2774" s="27" t="n">
        <v>6.04575749056068</v>
      </c>
      <c r="G2774" s="25" t="s">
        <v>243</v>
      </c>
      <c r="H2774" s="25" t="s">
        <v>244</v>
      </c>
      <c r="I2774" s="25" t="n">
        <f aca="false">IFERROR(IF(INDEX(Documents!$C$5:$C$657,MATCH(H2774,Documents!$A$5:$A$657,0))="","",INDEX(Documents!$C$5:$C$657,MATCH(H2774,Documents!$A$5:$A$657,0))),"")</f>
        <v>2014</v>
      </c>
      <c r="J2774" s="25" t="str">
        <f aca="false">IFERROR(IF(INDEX(Documents!$D$5:$D$657,MATCH(H2774,Documents!$A$5:$A$657,0))="","",INDEX(Documents!$D$5:$D$657,MATCH(H2774,Documents!$A$5:$A$657,0))),"")</f>
        <v>Eur J Med Chem</v>
      </c>
      <c r="K2774" s="25" t="str">
        <f aca="false">IFERROR(IF(INDEX(Documents!$G$5:$G$657,MATCH(H2774,Documents!$A$5:$A$657,0))="","",INDEX(Documents!$G$5:$G$657,MATCH(H2774,Documents!$A$5:$A$657,0))),"")</f>
        <v>10.1016/j.ejmech.2013.11.026</v>
      </c>
      <c r="L2774" s="25" t="s">
        <v>245</v>
      </c>
    </row>
    <row r="2775" customFormat="false" ht="15" hidden="false" customHeight="false" outlineLevel="0" collapsed="false">
      <c r="A2775" s="25" t="n">
        <v>2413505</v>
      </c>
      <c r="B2775" s="25" t="s">
        <v>5930</v>
      </c>
      <c r="C2775" s="25" t="s">
        <v>5931</v>
      </c>
      <c r="D2775" s="26" t="n">
        <v>2780</v>
      </c>
      <c r="E2775" s="27" t="n">
        <v>5.55595520408192</v>
      </c>
      <c r="F2775" s="27" t="n">
        <v>5.55595520408192</v>
      </c>
      <c r="G2775" s="25" t="s">
        <v>5772</v>
      </c>
      <c r="H2775" s="25" t="s">
        <v>5773</v>
      </c>
      <c r="I2775" s="25" t="n">
        <f aca="false">IFERROR(IF(INDEX(Documents!$C$5:$C$657,MATCH(H2775,Documents!$A$5:$A$657,0))="","",INDEX(Documents!$C$5:$C$657,MATCH(H2775,Documents!$A$5:$A$657,0))),"")</f>
        <v>2009</v>
      </c>
      <c r="J2775" s="25" t="str">
        <f aca="false">IFERROR(IF(INDEX(Documents!$D$5:$D$657,MATCH(H2775,Documents!$A$5:$A$657,0))="","",INDEX(Documents!$D$5:$D$657,MATCH(H2775,Documents!$A$5:$A$657,0))),"")</f>
        <v>Bioorg Med Chem</v>
      </c>
      <c r="K2775" s="25" t="str">
        <f aca="false">IFERROR(IF(INDEX(Documents!$G$5:$G$657,MATCH(H2775,Documents!$A$5:$A$657,0))="","",INDEX(Documents!$G$5:$G$657,MATCH(H2775,Documents!$A$5:$A$657,0))),"")</f>
        <v>10.1016/j.bmc.2009.02.027</v>
      </c>
      <c r="L2775" s="25" t="s">
        <v>5774</v>
      </c>
    </row>
    <row r="2776" customFormat="false" ht="15" hidden="false" customHeight="false" outlineLevel="0" collapsed="false">
      <c r="A2776" s="25" t="n">
        <v>2413507</v>
      </c>
      <c r="B2776" s="25" t="s">
        <v>5932</v>
      </c>
      <c r="C2776" s="25" t="s">
        <v>5933</v>
      </c>
      <c r="D2776" s="26" t="n">
        <v>5810</v>
      </c>
      <c r="E2776" s="27" t="n">
        <v>5.23582386760967</v>
      </c>
      <c r="F2776" s="27" t="n">
        <v>5.23582386760967</v>
      </c>
      <c r="G2776" s="25" t="s">
        <v>5772</v>
      </c>
      <c r="H2776" s="25" t="s">
        <v>5773</v>
      </c>
      <c r="I2776" s="25" t="n">
        <f aca="false">IFERROR(IF(INDEX(Documents!$C$5:$C$657,MATCH(H2776,Documents!$A$5:$A$657,0))="","",INDEX(Documents!$C$5:$C$657,MATCH(H2776,Documents!$A$5:$A$657,0))),"")</f>
        <v>2009</v>
      </c>
      <c r="J2776" s="25" t="str">
        <f aca="false">IFERROR(IF(INDEX(Documents!$D$5:$D$657,MATCH(H2776,Documents!$A$5:$A$657,0))="","",INDEX(Documents!$D$5:$D$657,MATCH(H2776,Documents!$A$5:$A$657,0))),"")</f>
        <v>Bioorg Med Chem</v>
      </c>
      <c r="K2776" s="25" t="str">
        <f aca="false">IFERROR(IF(INDEX(Documents!$G$5:$G$657,MATCH(H2776,Documents!$A$5:$A$657,0))="","",INDEX(Documents!$G$5:$G$657,MATCH(H2776,Documents!$A$5:$A$657,0))),"")</f>
        <v>10.1016/j.bmc.2009.02.027</v>
      </c>
      <c r="L2776" s="25" t="s">
        <v>5774</v>
      </c>
    </row>
    <row r="2777" customFormat="false" ht="15" hidden="false" customHeight="false" outlineLevel="0" collapsed="false">
      <c r="A2777" s="25" t="n">
        <v>16823026</v>
      </c>
      <c r="B2777" s="25" t="s">
        <v>5934</v>
      </c>
      <c r="C2777" s="25" t="s">
        <v>5935</v>
      </c>
      <c r="D2777" s="26" t="n">
        <v>700</v>
      </c>
      <c r="E2777" s="27" t="n">
        <v>6.15490195998574</v>
      </c>
      <c r="F2777" s="27" t="n">
        <v>6.15490195998574</v>
      </c>
      <c r="G2777" s="25" t="s">
        <v>934</v>
      </c>
      <c r="H2777" s="25" t="s">
        <v>935</v>
      </c>
      <c r="I2777" s="25" t="n">
        <f aca="false">IFERROR(IF(INDEX(Documents!$C$5:$C$657,MATCH(H2777,Documents!$A$5:$A$657,0))="","",INDEX(Documents!$C$5:$C$657,MATCH(H2777,Documents!$A$5:$A$657,0))),"")</f>
        <v>2016</v>
      </c>
      <c r="J2777" s="25" t="str">
        <f aca="false">IFERROR(IF(INDEX(Documents!$D$5:$D$657,MATCH(H2777,Documents!$A$5:$A$657,0))="","",INDEX(Documents!$D$5:$D$657,MATCH(H2777,Documents!$A$5:$A$657,0))),"")</f>
        <v>Eur J Med Chem</v>
      </c>
      <c r="K2777" s="25" t="str">
        <f aca="false">IFERROR(IF(INDEX(Documents!$G$5:$G$657,MATCH(H2777,Documents!$A$5:$A$657,0))="","",INDEX(Documents!$G$5:$G$657,MATCH(H2777,Documents!$A$5:$A$657,0))),"")</f>
        <v>10.1016/j.ejmech.2016.08.005</v>
      </c>
      <c r="L2777" s="25" t="s">
        <v>936</v>
      </c>
    </row>
    <row r="2778" customFormat="false" ht="15" hidden="false" customHeight="false" outlineLevel="0" collapsed="false">
      <c r="A2778" s="25" t="n">
        <v>2251106</v>
      </c>
      <c r="B2778" s="25" t="s">
        <v>5936</v>
      </c>
      <c r="C2778" s="25" t="s">
        <v>5937</v>
      </c>
      <c r="D2778" s="26" t="n">
        <v>1.35</v>
      </c>
      <c r="E2778" s="27" t="n">
        <v>8.86966623150499</v>
      </c>
      <c r="F2778" s="27" t="n">
        <v>8.86966623150499</v>
      </c>
      <c r="G2778" s="25" t="s">
        <v>2152</v>
      </c>
      <c r="H2778" s="25" t="s">
        <v>2153</v>
      </c>
      <c r="I2778" s="25" t="n">
        <f aca="false">IFERROR(IF(INDEX(Documents!$C$5:$C$657,MATCH(H2778,Documents!$A$5:$A$657,0))="","",INDEX(Documents!$C$5:$C$657,MATCH(H2778,Documents!$A$5:$A$657,0))),"")</f>
        <v>2009</v>
      </c>
      <c r="J2778" s="25" t="str">
        <f aca="false">IFERROR(IF(INDEX(Documents!$D$5:$D$657,MATCH(H2778,Documents!$A$5:$A$657,0))="","",INDEX(Documents!$D$5:$D$657,MATCH(H2778,Documents!$A$5:$A$657,0))),"")</f>
        <v>J Med Chem</v>
      </c>
      <c r="K2778" s="25" t="str">
        <f aca="false">IFERROR(IF(INDEX(Documents!$G$5:$G$657,MATCH(H2778,Documents!$A$5:$A$657,0))="","",INDEX(Documents!$G$5:$G$657,MATCH(H2778,Documents!$A$5:$A$657,0))),"")</f>
        <v>10.1021/jm801044g</v>
      </c>
      <c r="L2778" s="25" t="s">
        <v>2020</v>
      </c>
    </row>
    <row r="2779" customFormat="false" ht="15" hidden="false" customHeight="false" outlineLevel="0" collapsed="false">
      <c r="A2779" s="25" t="n">
        <v>5205758</v>
      </c>
      <c r="B2779" s="25" t="s">
        <v>5938</v>
      </c>
      <c r="C2779" s="25" t="s">
        <v>5939</v>
      </c>
      <c r="D2779" s="26" t="n">
        <v>52.6</v>
      </c>
      <c r="E2779" s="27" t="n">
        <v>7.27901425584626</v>
      </c>
      <c r="F2779" s="27" t="n">
        <v>7.27901425584626</v>
      </c>
      <c r="G2779" s="25" t="s">
        <v>461</v>
      </c>
      <c r="H2779" s="25" t="s">
        <v>462</v>
      </c>
      <c r="I2779" s="25" t="n">
        <f aca="false">IFERROR(IF(INDEX(Documents!$C$5:$C$657,MATCH(H2779,Documents!$A$5:$A$657,0))="","",INDEX(Documents!$C$5:$C$657,MATCH(H2779,Documents!$A$5:$A$657,0))),"")</f>
        <v>2011</v>
      </c>
      <c r="J2779" s="25" t="str">
        <f aca="false">IFERROR(IF(INDEX(Documents!$D$5:$D$657,MATCH(H2779,Documents!$A$5:$A$657,0))="","",INDEX(Documents!$D$5:$D$657,MATCH(H2779,Documents!$A$5:$A$657,0))),"")</f>
        <v>Eur J Med Chem</v>
      </c>
      <c r="K2779" s="25" t="str">
        <f aca="false">IFERROR(IF(INDEX(Documents!$G$5:$G$657,MATCH(H2779,Documents!$A$5:$A$657,0))="","",INDEX(Documents!$G$5:$G$657,MATCH(H2779,Documents!$A$5:$A$657,0))),"")</f>
        <v>10.1016/j.ejmech.2010.11.034</v>
      </c>
      <c r="L2779" s="25" t="s">
        <v>463</v>
      </c>
    </row>
    <row r="2780" customFormat="false" ht="15" hidden="false" customHeight="false" outlineLevel="0" collapsed="false">
      <c r="A2780" s="25" t="n">
        <v>12688454</v>
      </c>
      <c r="B2780" s="25" t="s">
        <v>5940</v>
      </c>
      <c r="C2780" s="25" t="s">
        <v>5941</v>
      </c>
      <c r="D2780" s="26" t="n">
        <v>32</v>
      </c>
      <c r="E2780" s="27" t="n">
        <v>7.49485002168009</v>
      </c>
      <c r="F2780" s="27" t="n">
        <v>7.49485002168009</v>
      </c>
      <c r="G2780" s="25" t="s">
        <v>508</v>
      </c>
      <c r="H2780" s="25" t="s">
        <v>509</v>
      </c>
      <c r="I2780" s="25" t="n">
        <f aca="false">IFERROR(IF(INDEX(Documents!$C$5:$C$657,MATCH(H2780,Documents!$A$5:$A$657,0))="","",INDEX(Documents!$C$5:$C$657,MATCH(H2780,Documents!$A$5:$A$657,0))),"")</f>
        <v>2013</v>
      </c>
      <c r="J2780" s="25" t="str">
        <f aca="false">IFERROR(IF(INDEX(Documents!$D$5:$D$657,MATCH(H2780,Documents!$A$5:$A$657,0))="","",INDEX(Documents!$D$5:$D$657,MATCH(H2780,Documents!$A$5:$A$657,0))),"")</f>
        <v>ACS Med Chem Lett</v>
      </c>
      <c r="K2780" s="25" t="str">
        <f aca="false">IFERROR(IF(INDEX(Documents!$G$5:$G$657,MATCH(H2780,Documents!$A$5:$A$657,0))="","",INDEX(Documents!$G$5:$G$657,MATCH(H2780,Documents!$A$5:$A$657,0))),"")</f>
        <v>10.1021/ml3004236</v>
      </c>
      <c r="L2780" s="25" t="s">
        <v>510</v>
      </c>
    </row>
    <row r="2781" customFormat="false" ht="15" hidden="false" customHeight="false" outlineLevel="0" collapsed="false">
      <c r="A2781" s="25" t="n">
        <v>1617760</v>
      </c>
      <c r="B2781" s="25" t="s">
        <v>5942</v>
      </c>
      <c r="C2781" s="25" t="s">
        <v>5943</v>
      </c>
      <c r="D2781" s="26" t="n">
        <v>44</v>
      </c>
      <c r="E2781" s="27" t="n">
        <v>7.35654732351381</v>
      </c>
      <c r="F2781" s="27" t="n">
        <v>7.35654732351381</v>
      </c>
      <c r="G2781" s="25" t="s">
        <v>444</v>
      </c>
      <c r="H2781" s="25" t="s">
        <v>445</v>
      </c>
      <c r="I2781" s="25" t="n">
        <f aca="false">IFERROR(IF(INDEX(Documents!$C$5:$C$657,MATCH(H2781,Documents!$A$5:$A$657,0))="","",INDEX(Documents!$C$5:$C$657,MATCH(H2781,Documents!$A$5:$A$657,0))),"")</f>
        <v>2005</v>
      </c>
      <c r="J2781" s="25" t="str">
        <f aca="false">IFERROR(IF(INDEX(Documents!$D$5:$D$657,MATCH(H2781,Documents!$A$5:$A$657,0))="","",INDEX(Documents!$D$5:$D$657,MATCH(H2781,Documents!$A$5:$A$657,0))),"")</f>
        <v>Bioorg Med Chem Lett</v>
      </c>
      <c r="K2781" s="25" t="str">
        <f aca="false">IFERROR(IF(INDEX(Documents!$G$5:$G$657,MATCH(H2781,Documents!$A$5:$A$657,0))="","",INDEX(Documents!$G$5:$G$657,MATCH(H2781,Documents!$A$5:$A$657,0))),"")</f>
        <v>10.1016/j.bmcl.2005.07.023</v>
      </c>
      <c r="L2781" s="25" t="s">
        <v>446</v>
      </c>
    </row>
    <row r="2782" customFormat="false" ht="15" hidden="false" customHeight="false" outlineLevel="0" collapsed="false">
      <c r="A2782" s="25" t="n">
        <v>1617709</v>
      </c>
      <c r="B2782" s="25" t="s">
        <v>5944</v>
      </c>
      <c r="C2782" s="25" t="s">
        <v>5945</v>
      </c>
      <c r="D2782" s="26" t="n">
        <v>0.6</v>
      </c>
      <c r="E2782" s="27" t="n">
        <v>9.22184874961636</v>
      </c>
      <c r="F2782" s="27" t="n">
        <v>9.22184874961636</v>
      </c>
      <c r="G2782" s="25" t="s">
        <v>444</v>
      </c>
      <c r="H2782" s="25" t="s">
        <v>445</v>
      </c>
      <c r="I2782" s="25" t="n">
        <f aca="false">IFERROR(IF(INDEX(Documents!$C$5:$C$657,MATCH(H2782,Documents!$A$5:$A$657,0))="","",INDEX(Documents!$C$5:$C$657,MATCH(H2782,Documents!$A$5:$A$657,0))),"")</f>
        <v>2005</v>
      </c>
      <c r="J2782" s="25" t="str">
        <f aca="false">IFERROR(IF(INDEX(Documents!$D$5:$D$657,MATCH(H2782,Documents!$A$5:$A$657,0))="","",INDEX(Documents!$D$5:$D$657,MATCH(H2782,Documents!$A$5:$A$657,0))),"")</f>
        <v>Bioorg Med Chem Lett</v>
      </c>
      <c r="K2782" s="25" t="str">
        <f aca="false">IFERROR(IF(INDEX(Documents!$G$5:$G$657,MATCH(H2782,Documents!$A$5:$A$657,0))="","",INDEX(Documents!$G$5:$G$657,MATCH(H2782,Documents!$A$5:$A$657,0))),"")</f>
        <v>10.1016/j.bmcl.2005.07.023</v>
      </c>
      <c r="L2782" s="25" t="s">
        <v>446</v>
      </c>
    </row>
    <row r="2783" customFormat="false" ht="15" hidden="false" customHeight="false" outlineLevel="0" collapsed="false">
      <c r="A2783" s="25" t="n">
        <v>1617705</v>
      </c>
      <c r="B2783" s="25" t="s">
        <v>5946</v>
      </c>
      <c r="C2783" s="25" t="s">
        <v>5947</v>
      </c>
      <c r="D2783" s="26" t="n">
        <v>6</v>
      </c>
      <c r="E2783" s="27" t="n">
        <v>8.22184874961636</v>
      </c>
      <c r="F2783" s="27" t="n">
        <v>8.22184874961636</v>
      </c>
      <c r="G2783" s="25" t="s">
        <v>444</v>
      </c>
      <c r="H2783" s="25" t="s">
        <v>445</v>
      </c>
      <c r="I2783" s="25" t="n">
        <f aca="false">IFERROR(IF(INDEX(Documents!$C$5:$C$657,MATCH(H2783,Documents!$A$5:$A$657,0))="","",INDEX(Documents!$C$5:$C$657,MATCH(H2783,Documents!$A$5:$A$657,0))),"")</f>
        <v>2005</v>
      </c>
      <c r="J2783" s="25" t="str">
        <f aca="false">IFERROR(IF(INDEX(Documents!$D$5:$D$657,MATCH(H2783,Documents!$A$5:$A$657,0))="","",INDEX(Documents!$D$5:$D$657,MATCH(H2783,Documents!$A$5:$A$657,0))),"")</f>
        <v>Bioorg Med Chem Lett</v>
      </c>
      <c r="K2783" s="25" t="str">
        <f aca="false">IFERROR(IF(INDEX(Documents!$G$5:$G$657,MATCH(H2783,Documents!$A$5:$A$657,0))="","",INDEX(Documents!$G$5:$G$657,MATCH(H2783,Documents!$A$5:$A$657,0))),"")</f>
        <v>10.1016/j.bmcl.2005.07.023</v>
      </c>
      <c r="L2783" s="25" t="s">
        <v>446</v>
      </c>
    </row>
    <row r="2784" customFormat="false" ht="15" hidden="false" customHeight="false" outlineLevel="0" collapsed="false">
      <c r="A2784" s="25" t="n">
        <v>3194810</v>
      </c>
      <c r="B2784" s="25" t="s">
        <v>5948</v>
      </c>
      <c r="C2784" s="25" t="s">
        <v>5949</v>
      </c>
      <c r="D2784" s="26" t="n">
        <v>4.5</v>
      </c>
      <c r="E2784" s="27" t="n">
        <v>8.34678748622466</v>
      </c>
      <c r="F2784" s="27" t="n">
        <v>8.34678748622466</v>
      </c>
      <c r="G2784" s="25" t="s">
        <v>4112</v>
      </c>
      <c r="H2784" s="25" t="s">
        <v>4113</v>
      </c>
      <c r="I2784" s="25" t="n">
        <f aca="false">IFERROR(IF(INDEX(Documents!$C$5:$C$657,MATCH(H2784,Documents!$A$5:$A$657,0))="","",INDEX(Documents!$C$5:$C$657,MATCH(H2784,Documents!$A$5:$A$657,0))),"")</f>
        <v>2010</v>
      </c>
      <c r="J2784" s="25" t="str">
        <f aca="false">IFERROR(IF(INDEX(Documents!$D$5:$D$657,MATCH(H2784,Documents!$A$5:$A$657,0))="","",INDEX(Documents!$D$5:$D$657,MATCH(H2784,Documents!$A$5:$A$657,0))),"")</f>
        <v>Bioorg Med Chem Lett</v>
      </c>
      <c r="K2784" s="25" t="str">
        <f aca="false">IFERROR(IF(INDEX(Documents!$G$5:$G$657,MATCH(H2784,Documents!$A$5:$A$657,0))="","",INDEX(Documents!$G$5:$G$657,MATCH(H2784,Documents!$A$5:$A$657,0))),"")</f>
        <v>10.1016/j.bmcl.2010.01.074</v>
      </c>
      <c r="L2784" s="25" t="s">
        <v>515</v>
      </c>
    </row>
    <row r="2785" customFormat="false" ht="15" hidden="false" customHeight="false" outlineLevel="0" collapsed="false">
      <c r="A2785" s="25" t="n">
        <v>1617707</v>
      </c>
      <c r="B2785" s="25" t="s">
        <v>5950</v>
      </c>
      <c r="C2785" s="25" t="s">
        <v>5951</v>
      </c>
      <c r="D2785" s="26" t="n">
        <v>1.3</v>
      </c>
      <c r="E2785" s="27" t="n">
        <v>8.88605664769316</v>
      </c>
      <c r="F2785" s="27" t="n">
        <v>8.88605664769316</v>
      </c>
      <c r="G2785" s="25" t="s">
        <v>444</v>
      </c>
      <c r="H2785" s="25" t="s">
        <v>445</v>
      </c>
      <c r="I2785" s="25" t="n">
        <f aca="false">IFERROR(IF(INDEX(Documents!$C$5:$C$657,MATCH(H2785,Documents!$A$5:$A$657,0))="","",INDEX(Documents!$C$5:$C$657,MATCH(H2785,Documents!$A$5:$A$657,0))),"")</f>
        <v>2005</v>
      </c>
      <c r="J2785" s="25" t="str">
        <f aca="false">IFERROR(IF(INDEX(Documents!$D$5:$D$657,MATCH(H2785,Documents!$A$5:$A$657,0))="","",INDEX(Documents!$D$5:$D$657,MATCH(H2785,Documents!$A$5:$A$657,0))),"")</f>
        <v>Bioorg Med Chem Lett</v>
      </c>
      <c r="K2785" s="25" t="str">
        <f aca="false">IFERROR(IF(INDEX(Documents!$G$5:$G$657,MATCH(H2785,Documents!$A$5:$A$657,0))="","",INDEX(Documents!$G$5:$G$657,MATCH(H2785,Documents!$A$5:$A$657,0))),"")</f>
        <v>10.1016/j.bmcl.2005.07.023</v>
      </c>
      <c r="L2785" s="25" t="s">
        <v>446</v>
      </c>
    </row>
    <row r="2786" customFormat="false" ht="15" hidden="false" customHeight="false" outlineLevel="0" collapsed="false">
      <c r="A2786" s="25" t="n">
        <v>1617703</v>
      </c>
      <c r="B2786" s="25" t="s">
        <v>5952</v>
      </c>
      <c r="C2786" s="25" t="s">
        <v>5953</v>
      </c>
      <c r="D2786" s="26" t="n">
        <v>30</v>
      </c>
      <c r="E2786" s="27" t="n">
        <v>7.52287874528034</v>
      </c>
      <c r="F2786" s="27" t="n">
        <v>7.52287874528034</v>
      </c>
      <c r="G2786" s="25" t="s">
        <v>444</v>
      </c>
      <c r="H2786" s="25" t="s">
        <v>445</v>
      </c>
      <c r="I2786" s="25" t="n">
        <f aca="false">IFERROR(IF(INDEX(Documents!$C$5:$C$657,MATCH(H2786,Documents!$A$5:$A$657,0))="","",INDEX(Documents!$C$5:$C$657,MATCH(H2786,Documents!$A$5:$A$657,0))),"")</f>
        <v>2005</v>
      </c>
      <c r="J2786" s="25" t="str">
        <f aca="false">IFERROR(IF(INDEX(Documents!$D$5:$D$657,MATCH(H2786,Documents!$A$5:$A$657,0))="","",INDEX(Documents!$D$5:$D$657,MATCH(H2786,Documents!$A$5:$A$657,0))),"")</f>
        <v>Bioorg Med Chem Lett</v>
      </c>
      <c r="K2786" s="25" t="str">
        <f aca="false">IFERROR(IF(INDEX(Documents!$G$5:$G$657,MATCH(H2786,Documents!$A$5:$A$657,0))="","",INDEX(Documents!$G$5:$G$657,MATCH(H2786,Documents!$A$5:$A$657,0))),"")</f>
        <v>10.1016/j.bmcl.2005.07.023</v>
      </c>
      <c r="L2786" s="25" t="s">
        <v>446</v>
      </c>
    </row>
    <row r="2787" customFormat="false" ht="15" hidden="false" customHeight="false" outlineLevel="0" collapsed="false">
      <c r="A2787" s="25" t="n">
        <v>3089241</v>
      </c>
      <c r="B2787" s="25" t="s">
        <v>5954</v>
      </c>
      <c r="C2787" s="25" t="s">
        <v>5955</v>
      </c>
      <c r="D2787" s="26" t="n">
        <v>0.65</v>
      </c>
      <c r="E2787" s="27" t="n">
        <v>9.18708664335714</v>
      </c>
      <c r="F2787" s="27" t="n">
        <v>9.18708664335714</v>
      </c>
      <c r="G2787" s="25" t="s">
        <v>534</v>
      </c>
      <c r="H2787" s="25" t="s">
        <v>535</v>
      </c>
      <c r="I2787" s="25" t="n">
        <f aca="false">IFERROR(IF(INDEX(Documents!$C$5:$C$657,MATCH(H2787,Documents!$A$5:$A$657,0))="","",INDEX(Documents!$C$5:$C$657,MATCH(H2787,Documents!$A$5:$A$657,0))),"")</f>
        <v>2010</v>
      </c>
      <c r="J2787" s="25" t="str">
        <f aca="false">IFERROR(IF(INDEX(Documents!$D$5:$D$657,MATCH(H2787,Documents!$A$5:$A$657,0))="","",INDEX(Documents!$D$5:$D$657,MATCH(H2787,Documents!$A$5:$A$657,0))),"")</f>
        <v>Bioorg Med Chem Lett</v>
      </c>
      <c r="K2787" s="25" t="str">
        <f aca="false">IFERROR(IF(INDEX(Documents!$G$5:$G$657,MATCH(H2787,Documents!$A$5:$A$657,0))="","",INDEX(Documents!$G$5:$G$657,MATCH(H2787,Documents!$A$5:$A$657,0))),"")</f>
        <v>10.1016/j.bmcl.2009.11.084</v>
      </c>
      <c r="L2787" s="25" t="s">
        <v>515</v>
      </c>
    </row>
    <row r="2788" customFormat="false" ht="15" hidden="false" customHeight="false" outlineLevel="0" collapsed="false">
      <c r="A2788" s="25" t="n">
        <v>1617746</v>
      </c>
      <c r="B2788" s="25" t="s">
        <v>5956</v>
      </c>
      <c r="C2788" s="25" t="s">
        <v>5957</v>
      </c>
      <c r="D2788" s="26" t="n">
        <v>0.9</v>
      </c>
      <c r="E2788" s="27" t="n">
        <v>9.04575749056068</v>
      </c>
      <c r="F2788" s="27" t="n">
        <v>9.04575749056068</v>
      </c>
      <c r="G2788" s="25" t="s">
        <v>444</v>
      </c>
      <c r="H2788" s="25" t="s">
        <v>445</v>
      </c>
      <c r="I2788" s="25" t="n">
        <f aca="false">IFERROR(IF(INDEX(Documents!$C$5:$C$657,MATCH(H2788,Documents!$A$5:$A$657,0))="","",INDEX(Documents!$C$5:$C$657,MATCH(H2788,Documents!$A$5:$A$657,0))),"")</f>
        <v>2005</v>
      </c>
      <c r="J2788" s="25" t="str">
        <f aca="false">IFERROR(IF(INDEX(Documents!$D$5:$D$657,MATCH(H2788,Documents!$A$5:$A$657,0))="","",INDEX(Documents!$D$5:$D$657,MATCH(H2788,Documents!$A$5:$A$657,0))),"")</f>
        <v>Bioorg Med Chem Lett</v>
      </c>
      <c r="K2788" s="25" t="str">
        <f aca="false">IFERROR(IF(INDEX(Documents!$G$5:$G$657,MATCH(H2788,Documents!$A$5:$A$657,0))="","",INDEX(Documents!$G$5:$G$657,MATCH(H2788,Documents!$A$5:$A$657,0))),"")</f>
        <v>10.1016/j.bmcl.2005.07.023</v>
      </c>
      <c r="L2788" s="25" t="s">
        <v>446</v>
      </c>
    </row>
    <row r="2789" customFormat="false" ht="15" hidden="false" customHeight="false" outlineLevel="0" collapsed="false">
      <c r="A2789" s="25" t="n">
        <v>1617744</v>
      </c>
      <c r="B2789" s="25" t="s">
        <v>5958</v>
      </c>
      <c r="C2789" s="25" t="s">
        <v>5959</v>
      </c>
      <c r="D2789" s="26" t="n">
        <v>0.6</v>
      </c>
      <c r="E2789" s="27" t="n">
        <v>9.22184874961636</v>
      </c>
      <c r="F2789" s="27" t="n">
        <v>9.22184874961636</v>
      </c>
      <c r="G2789" s="25" t="s">
        <v>444</v>
      </c>
      <c r="H2789" s="25" t="s">
        <v>445</v>
      </c>
      <c r="I2789" s="25" t="n">
        <f aca="false">IFERROR(IF(INDEX(Documents!$C$5:$C$657,MATCH(H2789,Documents!$A$5:$A$657,0))="","",INDEX(Documents!$C$5:$C$657,MATCH(H2789,Documents!$A$5:$A$657,0))),"")</f>
        <v>2005</v>
      </c>
      <c r="J2789" s="25" t="str">
        <f aca="false">IFERROR(IF(INDEX(Documents!$D$5:$D$657,MATCH(H2789,Documents!$A$5:$A$657,0))="","",INDEX(Documents!$D$5:$D$657,MATCH(H2789,Documents!$A$5:$A$657,0))),"")</f>
        <v>Bioorg Med Chem Lett</v>
      </c>
      <c r="K2789" s="25" t="str">
        <f aca="false">IFERROR(IF(INDEX(Documents!$G$5:$G$657,MATCH(H2789,Documents!$A$5:$A$657,0))="","",INDEX(Documents!$G$5:$G$657,MATCH(H2789,Documents!$A$5:$A$657,0))),"")</f>
        <v>10.1016/j.bmcl.2005.07.023</v>
      </c>
      <c r="L2789" s="25" t="s">
        <v>446</v>
      </c>
    </row>
    <row r="2790" customFormat="false" ht="15" hidden="false" customHeight="false" outlineLevel="0" collapsed="false">
      <c r="A2790" s="25" t="n">
        <v>2160625</v>
      </c>
      <c r="B2790" s="25" t="s">
        <v>5960</v>
      </c>
      <c r="C2790" s="25" t="s">
        <v>5961</v>
      </c>
      <c r="D2790" s="26" t="n">
        <v>1090.5</v>
      </c>
      <c r="E2790" s="27" t="n">
        <v>5.96237433008528</v>
      </c>
      <c r="F2790" s="27" t="n">
        <v>5.96237433008528</v>
      </c>
      <c r="G2790" s="25" t="s">
        <v>657</v>
      </c>
      <c r="H2790" s="25" t="s">
        <v>658</v>
      </c>
      <c r="I2790" s="25" t="n">
        <f aca="false">IFERROR(IF(INDEX(Documents!$C$5:$C$657,MATCH(H2790,Documents!$A$5:$A$657,0))="","",INDEX(Documents!$C$5:$C$657,MATCH(H2790,Documents!$A$5:$A$657,0))),"")</f>
        <v>2008</v>
      </c>
      <c r="J2790" s="25" t="str">
        <f aca="false">IFERROR(IF(INDEX(Documents!$D$5:$D$657,MATCH(H2790,Documents!$A$5:$A$657,0))="","",INDEX(Documents!$D$5:$D$657,MATCH(H2790,Documents!$A$5:$A$657,0))),"")</f>
        <v>J Med Chem</v>
      </c>
      <c r="K2790" s="25" t="str">
        <f aca="false">IFERROR(IF(INDEX(Documents!$G$5:$G$657,MATCH(H2790,Documents!$A$5:$A$657,0))="","",INDEX(Documents!$G$5:$G$657,MATCH(H2790,Documents!$A$5:$A$657,0))),"")</f>
        <v>10.1021/jm701519h</v>
      </c>
      <c r="L2790" s="25" t="s">
        <v>659</v>
      </c>
    </row>
    <row r="2791" customFormat="false" ht="15" hidden="false" customHeight="false" outlineLevel="0" collapsed="false">
      <c r="A2791" s="25" t="n">
        <v>2160621</v>
      </c>
      <c r="B2791" s="25" t="s">
        <v>5962</v>
      </c>
      <c r="C2791" s="25" t="s">
        <v>5963</v>
      </c>
      <c r="D2791" s="26" t="n">
        <v>194.2</v>
      </c>
      <c r="E2791" s="27" t="n">
        <v>6.71175077442801</v>
      </c>
      <c r="F2791" s="27" t="n">
        <v>6.71175077442801</v>
      </c>
      <c r="G2791" s="25" t="s">
        <v>657</v>
      </c>
      <c r="H2791" s="25" t="s">
        <v>658</v>
      </c>
      <c r="I2791" s="25" t="n">
        <f aca="false">IFERROR(IF(INDEX(Documents!$C$5:$C$657,MATCH(H2791,Documents!$A$5:$A$657,0))="","",INDEX(Documents!$C$5:$C$657,MATCH(H2791,Documents!$A$5:$A$657,0))),"")</f>
        <v>2008</v>
      </c>
      <c r="J2791" s="25" t="str">
        <f aca="false">IFERROR(IF(INDEX(Documents!$D$5:$D$657,MATCH(H2791,Documents!$A$5:$A$657,0))="","",INDEX(Documents!$D$5:$D$657,MATCH(H2791,Documents!$A$5:$A$657,0))),"")</f>
        <v>J Med Chem</v>
      </c>
      <c r="K2791" s="25" t="str">
        <f aca="false">IFERROR(IF(INDEX(Documents!$G$5:$G$657,MATCH(H2791,Documents!$A$5:$A$657,0))="","",INDEX(Documents!$G$5:$G$657,MATCH(H2791,Documents!$A$5:$A$657,0))),"")</f>
        <v>10.1021/jm701519h</v>
      </c>
      <c r="L2791" s="25" t="s">
        <v>659</v>
      </c>
    </row>
    <row r="2792" customFormat="false" ht="15" hidden="false" customHeight="false" outlineLevel="0" collapsed="false">
      <c r="A2792" s="25" t="n">
        <v>2052318</v>
      </c>
      <c r="B2792" s="25" t="s">
        <v>5964</v>
      </c>
      <c r="C2792" s="25" t="s">
        <v>5965</v>
      </c>
      <c r="D2792" s="26" t="n">
        <v>79</v>
      </c>
      <c r="E2792" s="27" t="n">
        <v>7.10237290870956</v>
      </c>
      <c r="F2792" s="27" t="n">
        <v>7.10237290870956</v>
      </c>
      <c r="G2792" s="25" t="s">
        <v>2025</v>
      </c>
      <c r="H2792" s="25" t="s">
        <v>2026</v>
      </c>
      <c r="I2792" s="25" t="n">
        <f aca="false">IFERROR(IF(INDEX(Documents!$C$5:$C$657,MATCH(H2792,Documents!$A$5:$A$657,0))="","",INDEX(Documents!$C$5:$C$657,MATCH(H2792,Documents!$A$5:$A$657,0))),"")</f>
        <v>2007</v>
      </c>
      <c r="J2792" s="25" t="str">
        <f aca="false">IFERROR(IF(INDEX(Documents!$D$5:$D$657,MATCH(H2792,Documents!$A$5:$A$657,0))="","",INDEX(Documents!$D$5:$D$657,MATCH(H2792,Documents!$A$5:$A$657,0))),"")</f>
        <v>Bioorg Med Chem Lett</v>
      </c>
      <c r="K2792" s="25" t="str">
        <f aca="false">IFERROR(IF(INDEX(Documents!$G$5:$G$657,MATCH(H2792,Documents!$A$5:$A$657,0))="","",INDEX(Documents!$G$5:$G$657,MATCH(H2792,Documents!$A$5:$A$657,0))),"")</f>
        <v>10.1016/j.bmcl.2007.09.089</v>
      </c>
      <c r="L2792" s="25" t="s">
        <v>601</v>
      </c>
    </row>
    <row r="2793" customFormat="false" ht="15" hidden="false" customHeight="false" outlineLevel="0" collapsed="false">
      <c r="A2793" s="25" t="n">
        <v>2052319</v>
      </c>
      <c r="B2793" s="25" t="s">
        <v>5966</v>
      </c>
      <c r="C2793" s="25" t="s">
        <v>5967</v>
      </c>
      <c r="D2793" s="26" t="n">
        <v>79</v>
      </c>
      <c r="E2793" s="27" t="n">
        <v>7.10237290870956</v>
      </c>
      <c r="F2793" s="27" t="n">
        <v>7.10237290870956</v>
      </c>
      <c r="G2793" s="25" t="s">
        <v>2025</v>
      </c>
      <c r="H2793" s="25" t="s">
        <v>2026</v>
      </c>
      <c r="I2793" s="25" t="n">
        <f aca="false">IFERROR(IF(INDEX(Documents!$C$5:$C$657,MATCH(H2793,Documents!$A$5:$A$657,0))="","",INDEX(Documents!$C$5:$C$657,MATCH(H2793,Documents!$A$5:$A$657,0))),"")</f>
        <v>2007</v>
      </c>
      <c r="J2793" s="25" t="str">
        <f aca="false">IFERROR(IF(INDEX(Documents!$D$5:$D$657,MATCH(H2793,Documents!$A$5:$A$657,0))="","",INDEX(Documents!$D$5:$D$657,MATCH(H2793,Documents!$A$5:$A$657,0))),"")</f>
        <v>Bioorg Med Chem Lett</v>
      </c>
      <c r="K2793" s="25" t="str">
        <f aca="false">IFERROR(IF(INDEX(Documents!$G$5:$G$657,MATCH(H2793,Documents!$A$5:$A$657,0))="","",INDEX(Documents!$G$5:$G$657,MATCH(H2793,Documents!$A$5:$A$657,0))),"")</f>
        <v>10.1016/j.bmcl.2007.09.089</v>
      </c>
      <c r="L2793" s="25" t="s">
        <v>601</v>
      </c>
    </row>
    <row r="2794" customFormat="false" ht="15" hidden="false" customHeight="false" outlineLevel="0" collapsed="false">
      <c r="A2794" s="25" t="n">
        <v>2052283</v>
      </c>
      <c r="B2794" s="25" t="s">
        <v>5968</v>
      </c>
      <c r="C2794" s="25" t="s">
        <v>5969</v>
      </c>
      <c r="D2794" s="26" t="n">
        <v>11</v>
      </c>
      <c r="E2794" s="27" t="n">
        <v>7.95860731484178</v>
      </c>
      <c r="F2794" s="27" t="n">
        <v>7.95860731484178</v>
      </c>
      <c r="G2794" s="25" t="s">
        <v>2025</v>
      </c>
      <c r="H2794" s="25" t="s">
        <v>2026</v>
      </c>
      <c r="I2794" s="25" t="n">
        <f aca="false">IFERROR(IF(INDEX(Documents!$C$5:$C$657,MATCH(H2794,Documents!$A$5:$A$657,0))="","",INDEX(Documents!$C$5:$C$657,MATCH(H2794,Documents!$A$5:$A$657,0))),"")</f>
        <v>2007</v>
      </c>
      <c r="J2794" s="25" t="str">
        <f aca="false">IFERROR(IF(INDEX(Documents!$D$5:$D$657,MATCH(H2794,Documents!$A$5:$A$657,0))="","",INDEX(Documents!$D$5:$D$657,MATCH(H2794,Documents!$A$5:$A$657,0))),"")</f>
        <v>Bioorg Med Chem Lett</v>
      </c>
      <c r="K2794" s="25" t="str">
        <f aca="false">IFERROR(IF(INDEX(Documents!$G$5:$G$657,MATCH(H2794,Documents!$A$5:$A$657,0))="","",INDEX(Documents!$G$5:$G$657,MATCH(H2794,Documents!$A$5:$A$657,0))),"")</f>
        <v>10.1016/j.bmcl.2007.09.089</v>
      </c>
      <c r="L2794" s="25" t="s">
        <v>601</v>
      </c>
    </row>
    <row r="2795" customFormat="false" ht="15" hidden="false" customHeight="false" outlineLevel="0" collapsed="false">
      <c r="A2795" s="25" t="n">
        <v>2118270</v>
      </c>
      <c r="B2795" s="25" t="s">
        <v>5970</v>
      </c>
      <c r="C2795" s="25" t="s">
        <v>5971</v>
      </c>
      <c r="D2795" s="26" t="n">
        <v>0.5129</v>
      </c>
      <c r="E2795" s="27" t="n">
        <v>9.28996730093425</v>
      </c>
      <c r="F2795" s="27" t="n">
        <v>9.29119856241816</v>
      </c>
      <c r="G2795" s="25" t="s">
        <v>1199</v>
      </c>
      <c r="H2795" s="25" t="s">
        <v>1200</v>
      </c>
      <c r="I2795" s="25" t="n">
        <f aca="false">IFERROR(IF(INDEX(Documents!$C$5:$C$657,MATCH(H2795,Documents!$A$5:$A$657,0))="","",INDEX(Documents!$C$5:$C$657,MATCH(H2795,Documents!$A$5:$A$657,0))),"")</f>
        <v>2008</v>
      </c>
      <c r="J2795" s="25" t="str">
        <f aca="false">IFERROR(IF(INDEX(Documents!$D$5:$D$657,MATCH(H2795,Documents!$A$5:$A$657,0))="","",INDEX(Documents!$D$5:$D$657,MATCH(H2795,Documents!$A$5:$A$657,0))),"")</f>
        <v>J Med Chem</v>
      </c>
      <c r="K2795" s="25" t="str">
        <f aca="false">IFERROR(IF(INDEX(Documents!$G$5:$G$657,MATCH(H2795,Documents!$A$5:$A$657,0))="","",INDEX(Documents!$G$5:$G$657,MATCH(H2795,Documents!$A$5:$A$657,0))),"")</f>
        <v>10.1021/jm7011613</v>
      </c>
      <c r="L2795" s="25" t="s">
        <v>676</v>
      </c>
    </row>
    <row r="2796" customFormat="false" ht="15" hidden="false" customHeight="false" outlineLevel="0" collapsed="false">
      <c r="A2796" s="25" t="n">
        <v>2118271</v>
      </c>
      <c r="B2796" s="25" t="s">
        <v>5970</v>
      </c>
      <c r="C2796" s="25" t="s">
        <v>5971</v>
      </c>
      <c r="D2796" s="26" t="n">
        <v>0.51</v>
      </c>
      <c r="E2796" s="27" t="n">
        <v>9.29242982390206</v>
      </c>
      <c r="F2796" s="27" t="n">
        <v>9.29119856241816</v>
      </c>
      <c r="G2796" s="25" t="s">
        <v>1199</v>
      </c>
      <c r="H2796" s="25" t="s">
        <v>1200</v>
      </c>
      <c r="I2796" s="25" t="n">
        <f aca="false">IFERROR(IF(INDEX(Documents!$C$5:$C$657,MATCH(H2796,Documents!$A$5:$A$657,0))="","",INDEX(Documents!$C$5:$C$657,MATCH(H2796,Documents!$A$5:$A$657,0))),"")</f>
        <v>2008</v>
      </c>
      <c r="J2796" s="25" t="str">
        <f aca="false">IFERROR(IF(INDEX(Documents!$D$5:$D$657,MATCH(H2796,Documents!$A$5:$A$657,0))="","",INDEX(Documents!$D$5:$D$657,MATCH(H2796,Documents!$A$5:$A$657,0))),"")</f>
        <v>J Med Chem</v>
      </c>
      <c r="K2796" s="25" t="str">
        <f aca="false">IFERROR(IF(INDEX(Documents!$G$5:$G$657,MATCH(H2796,Documents!$A$5:$A$657,0))="","",INDEX(Documents!$G$5:$G$657,MATCH(H2796,Documents!$A$5:$A$657,0))),"")</f>
        <v>10.1021/jm7011613</v>
      </c>
      <c r="L2796" s="25" t="s">
        <v>676</v>
      </c>
    </row>
    <row r="2797" customFormat="false" ht="15" hidden="false" customHeight="false" outlineLevel="0" collapsed="false">
      <c r="A2797" s="25" t="n">
        <v>12725497</v>
      </c>
      <c r="B2797" s="25" t="s">
        <v>5972</v>
      </c>
      <c r="C2797" s="25" t="s">
        <v>5973</v>
      </c>
      <c r="D2797" s="26" t="n">
        <v>338</v>
      </c>
      <c r="E2797" s="27" t="n">
        <v>6.47108329972235</v>
      </c>
      <c r="F2797" s="27" t="n">
        <v>6.47108329972235</v>
      </c>
      <c r="G2797" s="25" t="s">
        <v>698</v>
      </c>
      <c r="H2797" s="25" t="s">
        <v>699</v>
      </c>
      <c r="I2797" s="25" t="n">
        <f aca="false">IFERROR(IF(INDEX(Documents!$C$5:$C$657,MATCH(H2797,Documents!$A$5:$A$657,0))="","",INDEX(Documents!$C$5:$C$657,MATCH(H2797,Documents!$A$5:$A$657,0))),"")</f>
        <v>2013</v>
      </c>
      <c r="J2797" s="25" t="str">
        <f aca="false">IFERROR(IF(INDEX(Documents!$D$5:$D$657,MATCH(H2797,Documents!$A$5:$A$657,0))="","",INDEX(Documents!$D$5:$D$657,MATCH(H2797,Documents!$A$5:$A$657,0))),"")</f>
        <v>J Med Chem</v>
      </c>
      <c r="K2797" s="25" t="str">
        <f aca="false">IFERROR(IF(INDEX(Documents!$G$5:$G$657,MATCH(H2797,Documents!$A$5:$A$657,0))="","",INDEX(Documents!$G$5:$G$657,MATCH(H2797,Documents!$A$5:$A$657,0))),"")</f>
        <v>10.1021/jm4000775</v>
      </c>
      <c r="L2797" s="25" t="s">
        <v>700</v>
      </c>
    </row>
    <row r="2798" customFormat="false" ht="15" hidden="false" customHeight="false" outlineLevel="0" collapsed="false">
      <c r="A2798" s="25" t="n">
        <v>14574061</v>
      </c>
      <c r="B2798" s="25" t="s">
        <v>5974</v>
      </c>
      <c r="C2798" s="25" t="s">
        <v>5975</v>
      </c>
      <c r="D2798" s="26" t="n">
        <v>54</v>
      </c>
      <c r="E2798" s="27" t="n">
        <v>7.26760624017703</v>
      </c>
      <c r="F2798" s="27" t="n">
        <v>7.26760624017703</v>
      </c>
      <c r="G2798" s="25" t="s">
        <v>5976</v>
      </c>
      <c r="H2798" s="25" t="s">
        <v>1358</v>
      </c>
      <c r="I2798" s="25" t="n">
        <f aca="false">IFERROR(IF(INDEX(Documents!$C$5:$C$657,MATCH(H2798,Documents!$A$5:$A$657,0))="","",INDEX(Documents!$C$5:$C$657,MATCH(H2798,Documents!$A$5:$A$657,0))),"")</f>
        <v>2013</v>
      </c>
      <c r="J2798" s="25" t="str">
        <f aca="false">IFERROR(IF(INDEX(Documents!$D$5:$D$657,MATCH(H2798,Documents!$A$5:$A$657,0))="","",INDEX(Documents!$D$5:$D$657,MATCH(H2798,Documents!$A$5:$A$657,0))),"")</f>
        <v>J Med Chem</v>
      </c>
      <c r="K2798" s="25" t="str">
        <f aca="false">IFERROR(IF(INDEX(Documents!$G$5:$G$657,MATCH(H2798,Documents!$A$5:$A$657,0))="","",INDEX(Documents!$G$5:$G$657,MATCH(H2798,Documents!$A$5:$A$657,0))),"")</f>
        <v>10.1021/jm4005626</v>
      </c>
      <c r="L2798" s="25" t="s">
        <v>5977</v>
      </c>
    </row>
    <row r="2799" customFormat="false" ht="15" hidden="false" customHeight="false" outlineLevel="0" collapsed="false">
      <c r="A2799" s="25" t="n">
        <v>16512530</v>
      </c>
      <c r="B2799" s="25" t="s">
        <v>5978</v>
      </c>
      <c r="C2799" s="25" t="s">
        <v>5979</v>
      </c>
      <c r="D2799" s="26" t="n">
        <v>6392</v>
      </c>
      <c r="E2799" s="27" t="n">
        <v>5.19436323369407</v>
      </c>
      <c r="F2799" s="27" t="n">
        <v>5.19436323369407</v>
      </c>
      <c r="G2799" s="25" t="s">
        <v>5980</v>
      </c>
      <c r="H2799" s="25" t="s">
        <v>5981</v>
      </c>
      <c r="I2799" s="25" t="n">
        <f aca="false">IFERROR(IF(INDEX(Documents!$C$5:$C$657,MATCH(H2799,Documents!$A$5:$A$657,0))="","",INDEX(Documents!$C$5:$C$657,MATCH(H2799,Documents!$A$5:$A$657,0))),"")</f>
        <v>2016</v>
      </c>
      <c r="J2799" s="25" t="str">
        <f aca="false">IFERROR(IF(INDEX(Documents!$D$5:$D$657,MATCH(H2799,Documents!$A$5:$A$657,0))="","",INDEX(Documents!$D$5:$D$657,MATCH(H2799,Documents!$A$5:$A$657,0))),"")</f>
        <v>J Med Chem</v>
      </c>
      <c r="K2799" s="25" t="str">
        <f aca="false">IFERROR(IF(INDEX(Documents!$G$5:$G$657,MATCH(H2799,Documents!$A$5:$A$657,0))="","",INDEX(Documents!$G$5:$G$657,MATCH(H2799,Documents!$A$5:$A$657,0))),"")</f>
        <v>10.1021/acs.jmedchem.5b01331</v>
      </c>
      <c r="L2799" s="25" t="s">
        <v>5982</v>
      </c>
    </row>
    <row r="2800" customFormat="false" ht="15" hidden="false" customHeight="false" outlineLevel="0" collapsed="false">
      <c r="A2800" s="25" t="n">
        <v>16512531</v>
      </c>
      <c r="B2800" s="25" t="s">
        <v>5983</v>
      </c>
      <c r="C2800" s="25" t="s">
        <v>5984</v>
      </c>
      <c r="D2800" s="26" t="n">
        <v>523</v>
      </c>
      <c r="E2800" s="27" t="n">
        <v>6.28149831113273</v>
      </c>
      <c r="F2800" s="27" t="n">
        <v>6.28149831113273</v>
      </c>
      <c r="G2800" s="25" t="s">
        <v>5980</v>
      </c>
      <c r="H2800" s="25" t="s">
        <v>5981</v>
      </c>
      <c r="I2800" s="25" t="n">
        <f aca="false">IFERROR(IF(INDEX(Documents!$C$5:$C$657,MATCH(H2800,Documents!$A$5:$A$657,0))="","",INDEX(Documents!$C$5:$C$657,MATCH(H2800,Documents!$A$5:$A$657,0))),"")</f>
        <v>2016</v>
      </c>
      <c r="J2800" s="25" t="str">
        <f aca="false">IFERROR(IF(INDEX(Documents!$D$5:$D$657,MATCH(H2800,Documents!$A$5:$A$657,0))="","",INDEX(Documents!$D$5:$D$657,MATCH(H2800,Documents!$A$5:$A$657,0))),"")</f>
        <v>J Med Chem</v>
      </c>
      <c r="K2800" s="25" t="str">
        <f aca="false">IFERROR(IF(INDEX(Documents!$G$5:$G$657,MATCH(H2800,Documents!$A$5:$A$657,0))="","",INDEX(Documents!$G$5:$G$657,MATCH(H2800,Documents!$A$5:$A$657,0))),"")</f>
        <v>10.1021/acs.jmedchem.5b01331</v>
      </c>
      <c r="L2800" s="25" t="s">
        <v>5982</v>
      </c>
    </row>
    <row r="2801" customFormat="false" ht="15" hidden="false" customHeight="false" outlineLevel="0" collapsed="false">
      <c r="A2801" s="25" t="n">
        <v>16512532</v>
      </c>
      <c r="B2801" s="25" t="s">
        <v>5985</v>
      </c>
      <c r="C2801" s="25" t="s">
        <v>5986</v>
      </c>
      <c r="D2801" s="26" t="n">
        <v>1073</v>
      </c>
      <c r="E2801" s="27" t="n">
        <v>5.96940027803405</v>
      </c>
      <c r="F2801" s="27" t="n">
        <v>5.96940027803405</v>
      </c>
      <c r="G2801" s="25" t="s">
        <v>5980</v>
      </c>
      <c r="H2801" s="25" t="s">
        <v>5981</v>
      </c>
      <c r="I2801" s="25" t="n">
        <f aca="false">IFERROR(IF(INDEX(Documents!$C$5:$C$657,MATCH(H2801,Documents!$A$5:$A$657,0))="","",INDEX(Documents!$C$5:$C$657,MATCH(H2801,Documents!$A$5:$A$657,0))),"")</f>
        <v>2016</v>
      </c>
      <c r="J2801" s="25" t="str">
        <f aca="false">IFERROR(IF(INDEX(Documents!$D$5:$D$657,MATCH(H2801,Documents!$A$5:$A$657,0))="","",INDEX(Documents!$D$5:$D$657,MATCH(H2801,Documents!$A$5:$A$657,0))),"")</f>
        <v>J Med Chem</v>
      </c>
      <c r="K2801" s="25" t="str">
        <f aca="false">IFERROR(IF(INDEX(Documents!$G$5:$G$657,MATCH(H2801,Documents!$A$5:$A$657,0))="","",INDEX(Documents!$G$5:$G$657,MATCH(H2801,Documents!$A$5:$A$657,0))),"")</f>
        <v>10.1021/acs.jmedchem.5b01331</v>
      </c>
      <c r="L2801" s="25" t="s">
        <v>5982</v>
      </c>
    </row>
    <row r="2802" customFormat="false" ht="15" hidden="false" customHeight="false" outlineLevel="0" collapsed="false">
      <c r="A2802" s="25" t="n">
        <v>16512536</v>
      </c>
      <c r="B2802" s="25" t="s">
        <v>5987</v>
      </c>
      <c r="C2802" s="25" t="s">
        <v>5988</v>
      </c>
      <c r="D2802" s="26" t="n">
        <v>3604</v>
      </c>
      <c r="E2802" s="27" t="n">
        <v>5.44321521769298</v>
      </c>
      <c r="F2802" s="27" t="n">
        <v>5.44321521769298</v>
      </c>
      <c r="G2802" s="25" t="s">
        <v>5980</v>
      </c>
      <c r="H2802" s="25" t="s">
        <v>5981</v>
      </c>
      <c r="I2802" s="25" t="n">
        <f aca="false">IFERROR(IF(INDEX(Documents!$C$5:$C$657,MATCH(H2802,Documents!$A$5:$A$657,0))="","",INDEX(Documents!$C$5:$C$657,MATCH(H2802,Documents!$A$5:$A$657,0))),"")</f>
        <v>2016</v>
      </c>
      <c r="J2802" s="25" t="str">
        <f aca="false">IFERROR(IF(INDEX(Documents!$D$5:$D$657,MATCH(H2802,Documents!$A$5:$A$657,0))="","",INDEX(Documents!$D$5:$D$657,MATCH(H2802,Documents!$A$5:$A$657,0))),"")</f>
        <v>J Med Chem</v>
      </c>
      <c r="K2802" s="25" t="str">
        <f aca="false">IFERROR(IF(INDEX(Documents!$G$5:$G$657,MATCH(H2802,Documents!$A$5:$A$657,0))="","",INDEX(Documents!$G$5:$G$657,MATCH(H2802,Documents!$A$5:$A$657,0))),"")</f>
        <v>10.1021/acs.jmedchem.5b01331</v>
      </c>
      <c r="L2802" s="25" t="s">
        <v>5982</v>
      </c>
    </row>
    <row r="2803" customFormat="false" ht="15" hidden="false" customHeight="false" outlineLevel="0" collapsed="false">
      <c r="A2803" s="25" t="n">
        <v>16512538</v>
      </c>
      <c r="B2803" s="25" t="s">
        <v>5989</v>
      </c>
      <c r="C2803" s="25" t="s">
        <v>5990</v>
      </c>
      <c r="D2803" s="26" t="n">
        <v>698</v>
      </c>
      <c r="E2803" s="27" t="n">
        <v>6.15614457737684</v>
      </c>
      <c r="F2803" s="27" t="n">
        <v>6.15614457737684</v>
      </c>
      <c r="G2803" s="25" t="s">
        <v>5980</v>
      </c>
      <c r="H2803" s="25" t="s">
        <v>5981</v>
      </c>
      <c r="I2803" s="25" t="n">
        <f aca="false">IFERROR(IF(INDEX(Documents!$C$5:$C$657,MATCH(H2803,Documents!$A$5:$A$657,0))="","",INDEX(Documents!$C$5:$C$657,MATCH(H2803,Documents!$A$5:$A$657,0))),"")</f>
        <v>2016</v>
      </c>
      <c r="J2803" s="25" t="str">
        <f aca="false">IFERROR(IF(INDEX(Documents!$D$5:$D$657,MATCH(H2803,Documents!$A$5:$A$657,0))="","",INDEX(Documents!$D$5:$D$657,MATCH(H2803,Documents!$A$5:$A$657,0))),"")</f>
        <v>J Med Chem</v>
      </c>
      <c r="K2803" s="25" t="str">
        <f aca="false">IFERROR(IF(INDEX(Documents!$G$5:$G$657,MATCH(H2803,Documents!$A$5:$A$657,0))="","",INDEX(Documents!$G$5:$G$657,MATCH(H2803,Documents!$A$5:$A$657,0))),"")</f>
        <v>10.1021/acs.jmedchem.5b01331</v>
      </c>
      <c r="L2803" s="25" t="s">
        <v>5982</v>
      </c>
    </row>
    <row r="2804" customFormat="false" ht="15" hidden="false" customHeight="false" outlineLevel="0" collapsed="false">
      <c r="A2804" s="25" t="n">
        <v>16512534</v>
      </c>
      <c r="B2804" s="25" t="s">
        <v>5991</v>
      </c>
      <c r="C2804" s="25" t="s">
        <v>5992</v>
      </c>
      <c r="D2804" s="26" t="n">
        <v>15.4</v>
      </c>
      <c r="E2804" s="27" t="n">
        <v>7.81247927916354</v>
      </c>
      <c r="F2804" s="27" t="n">
        <v>7.81247927916354</v>
      </c>
      <c r="G2804" s="25" t="s">
        <v>5980</v>
      </c>
      <c r="H2804" s="25" t="s">
        <v>5981</v>
      </c>
      <c r="I2804" s="25" t="n">
        <f aca="false">IFERROR(IF(INDEX(Documents!$C$5:$C$657,MATCH(H2804,Documents!$A$5:$A$657,0))="","",INDEX(Documents!$C$5:$C$657,MATCH(H2804,Documents!$A$5:$A$657,0))),"")</f>
        <v>2016</v>
      </c>
      <c r="J2804" s="25" t="str">
        <f aca="false">IFERROR(IF(INDEX(Documents!$D$5:$D$657,MATCH(H2804,Documents!$A$5:$A$657,0))="","",INDEX(Documents!$D$5:$D$657,MATCH(H2804,Documents!$A$5:$A$657,0))),"")</f>
        <v>J Med Chem</v>
      </c>
      <c r="K2804" s="25" t="str">
        <f aca="false">IFERROR(IF(INDEX(Documents!$G$5:$G$657,MATCH(H2804,Documents!$A$5:$A$657,0))="","",INDEX(Documents!$G$5:$G$657,MATCH(H2804,Documents!$A$5:$A$657,0))),"")</f>
        <v>10.1021/acs.jmedchem.5b01331</v>
      </c>
      <c r="L2804" s="25" t="s">
        <v>5982</v>
      </c>
    </row>
    <row r="2805" customFormat="false" ht="15" hidden="false" customHeight="false" outlineLevel="0" collapsed="false">
      <c r="A2805" s="25" t="n">
        <v>16512545</v>
      </c>
      <c r="B2805" s="25" t="s">
        <v>5993</v>
      </c>
      <c r="C2805" s="25" t="s">
        <v>5994</v>
      </c>
      <c r="D2805" s="26" t="n">
        <v>1578</v>
      </c>
      <c r="E2805" s="27" t="n">
        <v>5.8018930011266</v>
      </c>
      <c r="F2805" s="27" t="n">
        <v>5.8018930011266</v>
      </c>
      <c r="G2805" s="25" t="s">
        <v>5980</v>
      </c>
      <c r="H2805" s="25" t="s">
        <v>5981</v>
      </c>
      <c r="I2805" s="25" t="n">
        <f aca="false">IFERROR(IF(INDEX(Documents!$C$5:$C$657,MATCH(H2805,Documents!$A$5:$A$657,0))="","",INDEX(Documents!$C$5:$C$657,MATCH(H2805,Documents!$A$5:$A$657,0))),"")</f>
        <v>2016</v>
      </c>
      <c r="J2805" s="25" t="str">
        <f aca="false">IFERROR(IF(INDEX(Documents!$D$5:$D$657,MATCH(H2805,Documents!$A$5:$A$657,0))="","",INDEX(Documents!$D$5:$D$657,MATCH(H2805,Documents!$A$5:$A$657,0))),"")</f>
        <v>J Med Chem</v>
      </c>
      <c r="K2805" s="25" t="str">
        <f aca="false">IFERROR(IF(INDEX(Documents!$G$5:$G$657,MATCH(H2805,Documents!$A$5:$A$657,0))="","",INDEX(Documents!$G$5:$G$657,MATCH(H2805,Documents!$A$5:$A$657,0))),"")</f>
        <v>10.1021/acs.jmedchem.5b01331</v>
      </c>
      <c r="L2805" s="25" t="s">
        <v>5982</v>
      </c>
    </row>
    <row r="2806" customFormat="false" ht="15" hidden="false" customHeight="false" outlineLevel="0" collapsed="false">
      <c r="A2806" s="25" t="n">
        <v>16512546</v>
      </c>
      <c r="B2806" s="25" t="s">
        <v>5995</v>
      </c>
      <c r="C2806" s="25" t="s">
        <v>5996</v>
      </c>
      <c r="D2806" s="26" t="n">
        <v>4923</v>
      </c>
      <c r="E2806" s="27" t="n">
        <v>5.30777016422725</v>
      </c>
      <c r="F2806" s="27" t="n">
        <v>5.30777016422725</v>
      </c>
      <c r="G2806" s="25" t="s">
        <v>5980</v>
      </c>
      <c r="H2806" s="25" t="s">
        <v>5981</v>
      </c>
      <c r="I2806" s="25" t="n">
        <f aca="false">IFERROR(IF(INDEX(Documents!$C$5:$C$657,MATCH(H2806,Documents!$A$5:$A$657,0))="","",INDEX(Documents!$C$5:$C$657,MATCH(H2806,Documents!$A$5:$A$657,0))),"")</f>
        <v>2016</v>
      </c>
      <c r="J2806" s="25" t="str">
        <f aca="false">IFERROR(IF(INDEX(Documents!$D$5:$D$657,MATCH(H2806,Documents!$A$5:$A$657,0))="","",INDEX(Documents!$D$5:$D$657,MATCH(H2806,Documents!$A$5:$A$657,0))),"")</f>
        <v>J Med Chem</v>
      </c>
      <c r="K2806" s="25" t="str">
        <f aca="false">IFERROR(IF(INDEX(Documents!$G$5:$G$657,MATCH(H2806,Documents!$A$5:$A$657,0))="","",INDEX(Documents!$G$5:$G$657,MATCH(H2806,Documents!$A$5:$A$657,0))),"")</f>
        <v>10.1021/acs.jmedchem.5b01331</v>
      </c>
      <c r="L2806" s="25" t="s">
        <v>5982</v>
      </c>
    </row>
    <row r="2807" customFormat="false" ht="15" hidden="false" customHeight="false" outlineLevel="0" collapsed="false">
      <c r="A2807" s="25" t="n">
        <v>2118273</v>
      </c>
      <c r="B2807" s="25" t="s">
        <v>5997</v>
      </c>
      <c r="C2807" s="25" t="s">
        <v>5998</v>
      </c>
      <c r="D2807" s="26" t="n">
        <v>4.6</v>
      </c>
      <c r="E2807" s="27" t="n">
        <v>8.33724216831843</v>
      </c>
      <c r="F2807" s="27" t="n">
        <v>8.33861547351455</v>
      </c>
      <c r="G2807" s="25" t="s">
        <v>1199</v>
      </c>
      <c r="H2807" s="25" t="s">
        <v>1200</v>
      </c>
      <c r="I2807" s="25" t="n">
        <f aca="false">IFERROR(IF(INDEX(Documents!$C$5:$C$657,MATCH(H2807,Documents!$A$5:$A$657,0))="","",INDEX(Documents!$C$5:$C$657,MATCH(H2807,Documents!$A$5:$A$657,0))),"")</f>
        <v>2008</v>
      </c>
      <c r="J2807" s="25" t="str">
        <f aca="false">IFERROR(IF(INDEX(Documents!$D$5:$D$657,MATCH(H2807,Documents!$A$5:$A$657,0))="","",INDEX(Documents!$D$5:$D$657,MATCH(H2807,Documents!$A$5:$A$657,0))),"")</f>
        <v>J Med Chem</v>
      </c>
      <c r="K2807" s="25" t="str">
        <f aca="false">IFERROR(IF(INDEX(Documents!$G$5:$G$657,MATCH(H2807,Documents!$A$5:$A$657,0))="","",INDEX(Documents!$G$5:$G$657,MATCH(H2807,Documents!$A$5:$A$657,0))),"")</f>
        <v>10.1021/jm7011613</v>
      </c>
      <c r="L2807" s="25" t="s">
        <v>676</v>
      </c>
    </row>
    <row r="2808" customFormat="false" ht="15" hidden="false" customHeight="false" outlineLevel="0" collapsed="false">
      <c r="A2808" s="25" t="n">
        <v>2118272</v>
      </c>
      <c r="B2808" s="25" t="s">
        <v>5997</v>
      </c>
      <c r="C2808" s="25" t="s">
        <v>5998</v>
      </c>
      <c r="D2808" s="26" t="n">
        <v>4.571</v>
      </c>
      <c r="E2808" s="27" t="n">
        <v>8.33998877871067</v>
      </c>
      <c r="F2808" s="27" t="n">
        <v>8.33861547351455</v>
      </c>
      <c r="G2808" s="25" t="s">
        <v>1199</v>
      </c>
      <c r="H2808" s="25" t="s">
        <v>1200</v>
      </c>
      <c r="I2808" s="25" t="n">
        <f aca="false">IFERROR(IF(INDEX(Documents!$C$5:$C$657,MATCH(H2808,Documents!$A$5:$A$657,0))="","",INDEX(Documents!$C$5:$C$657,MATCH(H2808,Documents!$A$5:$A$657,0))),"")</f>
        <v>2008</v>
      </c>
      <c r="J2808" s="25" t="str">
        <f aca="false">IFERROR(IF(INDEX(Documents!$D$5:$D$657,MATCH(H2808,Documents!$A$5:$A$657,0))="","",INDEX(Documents!$D$5:$D$657,MATCH(H2808,Documents!$A$5:$A$657,0))),"")</f>
        <v>J Med Chem</v>
      </c>
      <c r="K2808" s="25" t="str">
        <f aca="false">IFERROR(IF(INDEX(Documents!$G$5:$G$657,MATCH(H2808,Documents!$A$5:$A$657,0))="","",INDEX(Documents!$G$5:$G$657,MATCH(H2808,Documents!$A$5:$A$657,0))),"")</f>
        <v>10.1021/jm7011613</v>
      </c>
      <c r="L2808" s="25" t="s">
        <v>676</v>
      </c>
    </row>
    <row r="2809" customFormat="false" ht="15" hidden="false" customHeight="false" outlineLevel="0" collapsed="false">
      <c r="A2809" s="25" t="n">
        <v>2118243</v>
      </c>
      <c r="B2809" s="25" t="s">
        <v>5999</v>
      </c>
      <c r="C2809" s="25" t="s">
        <v>6000</v>
      </c>
      <c r="D2809" s="26" t="n">
        <v>237</v>
      </c>
      <c r="E2809" s="27" t="n">
        <v>6.6252516539899</v>
      </c>
      <c r="F2809" s="27" t="n">
        <v>6.62762849619073</v>
      </c>
      <c r="G2809" s="25" t="s">
        <v>1199</v>
      </c>
      <c r="H2809" s="25" t="s">
        <v>1200</v>
      </c>
      <c r="I2809" s="25" t="n">
        <f aca="false">IFERROR(IF(INDEX(Documents!$C$5:$C$657,MATCH(H2809,Documents!$A$5:$A$657,0))="","",INDEX(Documents!$C$5:$C$657,MATCH(H2809,Documents!$A$5:$A$657,0))),"")</f>
        <v>2008</v>
      </c>
      <c r="J2809" s="25" t="str">
        <f aca="false">IFERROR(IF(INDEX(Documents!$D$5:$D$657,MATCH(H2809,Documents!$A$5:$A$657,0))="","",INDEX(Documents!$D$5:$D$657,MATCH(H2809,Documents!$A$5:$A$657,0))),"")</f>
        <v>J Med Chem</v>
      </c>
      <c r="K2809" s="25" t="str">
        <f aca="false">IFERROR(IF(INDEX(Documents!$G$5:$G$657,MATCH(H2809,Documents!$A$5:$A$657,0))="","",INDEX(Documents!$G$5:$G$657,MATCH(H2809,Documents!$A$5:$A$657,0))),"")</f>
        <v>10.1021/jm7011613</v>
      </c>
      <c r="L2809" s="25" t="s">
        <v>676</v>
      </c>
    </row>
    <row r="2810" customFormat="false" ht="15" hidden="false" customHeight="false" outlineLevel="0" collapsed="false">
      <c r="A2810" s="25" t="n">
        <v>2118242</v>
      </c>
      <c r="B2810" s="25" t="s">
        <v>5999</v>
      </c>
      <c r="C2810" s="25" t="s">
        <v>6000</v>
      </c>
      <c r="D2810" s="26" t="n">
        <v>234.42</v>
      </c>
      <c r="E2810" s="27" t="n">
        <v>6.63000533839157</v>
      </c>
      <c r="F2810" s="27" t="n">
        <v>6.62762849619073</v>
      </c>
      <c r="G2810" s="25" t="s">
        <v>1199</v>
      </c>
      <c r="H2810" s="25" t="s">
        <v>1200</v>
      </c>
      <c r="I2810" s="25" t="n">
        <f aca="false">IFERROR(IF(INDEX(Documents!$C$5:$C$657,MATCH(H2810,Documents!$A$5:$A$657,0))="","",INDEX(Documents!$C$5:$C$657,MATCH(H2810,Documents!$A$5:$A$657,0))),"")</f>
        <v>2008</v>
      </c>
      <c r="J2810" s="25" t="str">
        <f aca="false">IFERROR(IF(INDEX(Documents!$D$5:$D$657,MATCH(H2810,Documents!$A$5:$A$657,0))="","",INDEX(Documents!$D$5:$D$657,MATCH(H2810,Documents!$A$5:$A$657,0))),"")</f>
        <v>J Med Chem</v>
      </c>
      <c r="K2810" s="25" t="str">
        <f aca="false">IFERROR(IF(INDEX(Documents!$G$5:$G$657,MATCH(H2810,Documents!$A$5:$A$657,0))="","",INDEX(Documents!$G$5:$G$657,MATCH(H2810,Documents!$A$5:$A$657,0))),"")</f>
        <v>10.1021/jm7011613</v>
      </c>
      <c r="L2810" s="25" t="s">
        <v>676</v>
      </c>
    </row>
    <row r="2811" customFormat="false" ht="15" hidden="false" customHeight="false" outlineLevel="0" collapsed="false">
      <c r="A2811" s="25" t="n">
        <v>15199916</v>
      </c>
      <c r="B2811" s="25" t="s">
        <v>6001</v>
      </c>
      <c r="C2811" s="25" t="s">
        <v>6002</v>
      </c>
      <c r="D2811" s="26" t="n">
        <v>3.9</v>
      </c>
      <c r="E2811" s="27" t="n">
        <v>8.4089353929735</v>
      </c>
      <c r="F2811" s="27" t="n">
        <v>8.4089353929735</v>
      </c>
      <c r="G2811" s="25" t="s">
        <v>6003</v>
      </c>
      <c r="H2811" s="25" t="s">
        <v>3563</v>
      </c>
      <c r="I2811" s="25" t="n">
        <f aca="false">IFERROR(IF(INDEX(Documents!$C$5:$C$657,MATCH(H2811,Documents!$A$5:$A$657,0))="","",INDEX(Documents!$C$5:$C$657,MATCH(H2811,Documents!$A$5:$A$657,0))),"")</f>
        <v>2015</v>
      </c>
      <c r="J2811" s="25" t="str">
        <f aca="false">IFERROR(IF(INDEX(Documents!$D$5:$D$657,MATCH(H2811,Documents!$A$5:$A$657,0))="","",INDEX(Documents!$D$5:$D$657,MATCH(H2811,Documents!$A$5:$A$657,0))),"")</f>
        <v>Eur J Med Chem</v>
      </c>
      <c r="K2811" s="25" t="str">
        <f aca="false">IFERROR(IF(INDEX(Documents!$G$5:$G$657,MATCH(H2811,Documents!$A$5:$A$657,0))="","",INDEX(Documents!$G$5:$G$657,MATCH(H2811,Documents!$A$5:$A$657,0))),"")</f>
        <v>10.1016/j.ejmech.2015.01.028</v>
      </c>
      <c r="L2811" s="25" t="s">
        <v>515</v>
      </c>
    </row>
    <row r="2812" customFormat="false" ht="15" hidden="false" customHeight="false" outlineLevel="0" collapsed="false">
      <c r="A2812" s="25" t="n">
        <v>13850296</v>
      </c>
      <c r="B2812" s="25" t="s">
        <v>6004</v>
      </c>
      <c r="C2812" s="25" t="s">
        <v>6005</v>
      </c>
      <c r="D2812" s="26" t="n">
        <v>35</v>
      </c>
      <c r="E2812" s="27" t="n">
        <v>7.45593195564972</v>
      </c>
      <c r="F2812" s="27" t="n">
        <v>8.08057545463137</v>
      </c>
      <c r="G2812" s="25" t="s">
        <v>4133</v>
      </c>
      <c r="H2812" s="25" t="s">
        <v>4134</v>
      </c>
      <c r="I2812" s="25" t="n">
        <f aca="false">IFERROR(IF(INDEX(Documents!$C$5:$C$657,MATCH(H2812,Documents!$A$5:$A$657,0))="","",INDEX(Documents!$C$5:$C$657,MATCH(H2812,Documents!$A$5:$A$657,0))),"")</f>
        <v>2013</v>
      </c>
      <c r="J2812" s="25" t="str">
        <f aca="false">IFERROR(IF(INDEX(Documents!$D$5:$D$657,MATCH(H2812,Documents!$A$5:$A$657,0))="","",INDEX(Documents!$D$5:$D$657,MATCH(H2812,Documents!$A$5:$A$657,0))),"")</f>
        <v>Bioorg Med Chem</v>
      </c>
      <c r="K2812" s="25" t="str">
        <f aca="false">IFERROR(IF(INDEX(Documents!$G$5:$G$657,MATCH(H2812,Documents!$A$5:$A$657,0))="","",INDEX(Documents!$G$5:$G$657,MATCH(H2812,Documents!$A$5:$A$657,0))),"")</f>
        <v>10.1016/j.bmc.2013.09.040</v>
      </c>
      <c r="L2812" s="25" t="s">
        <v>4135</v>
      </c>
    </row>
    <row r="2813" customFormat="false" ht="15" hidden="false" customHeight="false" outlineLevel="0" collapsed="false">
      <c r="A2813" s="25" t="n">
        <v>6160286</v>
      </c>
      <c r="B2813" s="25" t="s">
        <v>6006</v>
      </c>
      <c r="C2813" s="25" t="s">
        <v>6005</v>
      </c>
      <c r="D2813" s="26" t="n">
        <v>10</v>
      </c>
      <c r="E2813" s="27" t="n">
        <v>8</v>
      </c>
      <c r="F2813" s="27" t="n">
        <v>8.08057545463137</v>
      </c>
      <c r="G2813" s="25" t="s">
        <v>6007</v>
      </c>
      <c r="H2813" s="25" t="s">
        <v>6008</v>
      </c>
      <c r="I2813" s="25" t="n">
        <f aca="false">IFERROR(IF(INDEX(Documents!$C$5:$C$657,MATCH(H2813,Documents!$A$5:$A$657,0))="","",INDEX(Documents!$C$5:$C$657,MATCH(H2813,Documents!$A$5:$A$657,0))),"")</f>
        <v>2011</v>
      </c>
      <c r="J2813" s="25" t="str">
        <f aca="false">IFERROR(IF(INDEX(Documents!$D$5:$D$657,MATCH(H2813,Documents!$A$5:$A$657,0))="","",INDEX(Documents!$D$5:$D$657,MATCH(H2813,Documents!$A$5:$A$657,0))),"")</f>
        <v>Bioorg Med Chem Lett</v>
      </c>
      <c r="K2813" s="25" t="str">
        <f aca="false">IFERROR(IF(INDEX(Documents!$G$5:$G$657,MATCH(H2813,Documents!$A$5:$A$657,0))="","",INDEX(Documents!$G$5:$G$657,MATCH(H2813,Documents!$A$5:$A$657,0))),"")</f>
        <v>10.1016/j.bmcl.2011.02.082</v>
      </c>
      <c r="L2813" s="25" t="s">
        <v>515</v>
      </c>
    </row>
    <row r="2814" customFormat="false" ht="15" hidden="false" customHeight="false" outlineLevel="0" collapsed="false">
      <c r="A2814" s="25" t="n">
        <v>25462082</v>
      </c>
      <c r="B2814" s="25" t="s">
        <v>6006</v>
      </c>
      <c r="C2814" s="25" t="s">
        <v>6005</v>
      </c>
      <c r="D2814" s="26" t="n">
        <v>6.9</v>
      </c>
      <c r="E2814" s="27" t="n">
        <v>8.16115090926274</v>
      </c>
      <c r="F2814" s="27" t="n">
        <v>8.08057545463137</v>
      </c>
      <c r="G2814" s="25" t="s">
        <v>2626</v>
      </c>
      <c r="H2814" s="25" t="s">
        <v>2627</v>
      </c>
      <c r="I2814" s="25" t="n">
        <f aca="false">IFERROR(IF(INDEX(Documents!$C$5:$C$657,MATCH(H2814,Documents!$A$5:$A$657,0))="","",INDEX(Documents!$C$5:$C$657,MATCH(H2814,Documents!$A$5:$A$657,0))),"")</f>
        <v>2023</v>
      </c>
      <c r="J2814" s="25" t="str">
        <f aca="false">IFERROR(IF(INDEX(Documents!$D$5:$D$657,MATCH(H2814,Documents!$A$5:$A$657,0))="","",INDEX(Documents!$D$5:$D$657,MATCH(H2814,Documents!$A$5:$A$657,0))),"")</f>
        <v>Eur J Med Chem</v>
      </c>
      <c r="K2814" s="25" t="str">
        <f aca="false">IFERROR(IF(INDEX(Documents!$G$5:$G$657,MATCH(H2814,Documents!$A$5:$A$657,0))="","",INDEX(Documents!$G$5:$G$657,MATCH(H2814,Documents!$A$5:$A$657,0))),"")</f>
        <v>10.1016/j.ejmech.2023.115109</v>
      </c>
      <c r="L2814" s="25" t="s">
        <v>2628</v>
      </c>
    </row>
    <row r="2815" customFormat="false" ht="15" hidden="false" customHeight="false" outlineLevel="0" collapsed="false">
      <c r="A2815" s="25" t="n">
        <v>14573977</v>
      </c>
      <c r="B2815" s="25" t="s">
        <v>6006</v>
      </c>
      <c r="C2815" s="25" t="s">
        <v>6005</v>
      </c>
      <c r="D2815" s="26" t="n">
        <v>3.8</v>
      </c>
      <c r="E2815" s="27" t="n">
        <v>8.42021640338319</v>
      </c>
      <c r="F2815" s="27" t="n">
        <v>8.08057545463137</v>
      </c>
      <c r="G2815" s="25" t="s">
        <v>6009</v>
      </c>
      <c r="H2815" s="25" t="s">
        <v>1358</v>
      </c>
      <c r="I2815" s="25" t="n">
        <f aca="false">IFERROR(IF(INDEX(Documents!$C$5:$C$657,MATCH(H2815,Documents!$A$5:$A$657,0))="","",INDEX(Documents!$C$5:$C$657,MATCH(H2815,Documents!$A$5:$A$657,0))),"")</f>
        <v>2013</v>
      </c>
      <c r="J2815" s="25" t="str">
        <f aca="false">IFERROR(IF(INDEX(Documents!$D$5:$D$657,MATCH(H2815,Documents!$A$5:$A$657,0))="","",INDEX(Documents!$D$5:$D$657,MATCH(H2815,Documents!$A$5:$A$657,0))),"")</f>
        <v>J Med Chem</v>
      </c>
      <c r="K2815" s="25" t="str">
        <f aca="false">IFERROR(IF(INDEX(Documents!$G$5:$G$657,MATCH(H2815,Documents!$A$5:$A$657,0))="","",INDEX(Documents!$G$5:$G$657,MATCH(H2815,Documents!$A$5:$A$657,0))),"")</f>
        <v>10.1021/jm4005626</v>
      </c>
      <c r="L2815" s="25" t="s">
        <v>725</v>
      </c>
    </row>
    <row r="2816" customFormat="false" ht="15" hidden="false" customHeight="false" outlineLevel="0" collapsed="false">
      <c r="A2816" s="25" t="n">
        <v>6350668</v>
      </c>
      <c r="B2816" s="25" t="s">
        <v>6010</v>
      </c>
      <c r="C2816" s="25" t="s">
        <v>6011</v>
      </c>
      <c r="D2816" s="26" t="n">
        <v>22</v>
      </c>
      <c r="E2816" s="27" t="n">
        <v>7.65757731917779</v>
      </c>
      <c r="F2816" s="27" t="n">
        <v>7.65757731917779</v>
      </c>
      <c r="G2816" s="25" t="s">
        <v>4107</v>
      </c>
      <c r="H2816" s="25" t="s">
        <v>4108</v>
      </c>
      <c r="I2816" s="25" t="n">
        <f aca="false">IFERROR(IF(INDEX(Documents!$C$5:$C$657,MATCH(H2816,Documents!$A$5:$A$657,0))="","",INDEX(Documents!$C$5:$C$657,MATCH(H2816,Documents!$A$5:$A$657,0))),"")</f>
        <v>2011</v>
      </c>
      <c r="J2816" s="25" t="str">
        <f aca="false">IFERROR(IF(INDEX(Documents!$D$5:$D$657,MATCH(H2816,Documents!$A$5:$A$657,0))="","",INDEX(Documents!$D$5:$D$657,MATCH(H2816,Documents!$A$5:$A$657,0))),"")</f>
        <v>Bioorg Med Chem</v>
      </c>
      <c r="K2816" s="25" t="str">
        <f aca="false">IFERROR(IF(INDEX(Documents!$G$5:$G$657,MATCH(H2816,Documents!$A$5:$A$657,0))="","",INDEX(Documents!$G$5:$G$657,MATCH(H2816,Documents!$A$5:$A$657,0))),"")</f>
        <v>10.1016/j.bmc.2011.07.062</v>
      </c>
      <c r="L2816" s="25" t="s">
        <v>4109</v>
      </c>
    </row>
    <row r="2817" customFormat="false" ht="15" hidden="false" customHeight="false" outlineLevel="0" collapsed="false">
      <c r="A2817" s="25" t="n">
        <v>6350666</v>
      </c>
      <c r="B2817" s="25" t="s">
        <v>6012</v>
      </c>
      <c r="C2817" s="25" t="s">
        <v>6013</v>
      </c>
      <c r="D2817" s="26" t="n">
        <v>5</v>
      </c>
      <c r="E2817" s="27" t="n">
        <v>8.30102999566398</v>
      </c>
      <c r="F2817" s="27" t="n">
        <v>8.30102999566398</v>
      </c>
      <c r="G2817" s="25" t="s">
        <v>4107</v>
      </c>
      <c r="H2817" s="25" t="s">
        <v>4108</v>
      </c>
      <c r="I2817" s="25" t="n">
        <f aca="false">IFERROR(IF(INDEX(Documents!$C$5:$C$657,MATCH(H2817,Documents!$A$5:$A$657,0))="","",INDEX(Documents!$C$5:$C$657,MATCH(H2817,Documents!$A$5:$A$657,0))),"")</f>
        <v>2011</v>
      </c>
      <c r="J2817" s="25" t="str">
        <f aca="false">IFERROR(IF(INDEX(Documents!$D$5:$D$657,MATCH(H2817,Documents!$A$5:$A$657,0))="","",INDEX(Documents!$D$5:$D$657,MATCH(H2817,Documents!$A$5:$A$657,0))),"")</f>
        <v>Bioorg Med Chem</v>
      </c>
      <c r="K2817" s="25" t="str">
        <f aca="false">IFERROR(IF(INDEX(Documents!$G$5:$G$657,MATCH(H2817,Documents!$A$5:$A$657,0))="","",INDEX(Documents!$G$5:$G$657,MATCH(H2817,Documents!$A$5:$A$657,0))),"")</f>
        <v>10.1016/j.bmc.2011.07.062</v>
      </c>
      <c r="L2817" s="25" t="s">
        <v>4109</v>
      </c>
    </row>
    <row r="2818" customFormat="false" ht="15" hidden="false" customHeight="false" outlineLevel="0" collapsed="false">
      <c r="A2818" s="25" t="n">
        <v>1969359</v>
      </c>
      <c r="B2818" s="25" t="s">
        <v>6014</v>
      </c>
      <c r="C2818" s="25" t="s">
        <v>6015</v>
      </c>
      <c r="D2818" s="26" t="n">
        <v>1</v>
      </c>
      <c r="E2818" s="27" t="n">
        <v>9</v>
      </c>
      <c r="F2818" s="27" t="n">
        <v>9</v>
      </c>
      <c r="G2818" s="25" t="s">
        <v>1895</v>
      </c>
      <c r="H2818" s="25" t="s">
        <v>1896</v>
      </c>
      <c r="I2818" s="25" t="n">
        <f aca="false">IFERROR(IF(INDEX(Documents!$C$5:$C$657,MATCH(H2818,Documents!$A$5:$A$657,0))="","",INDEX(Documents!$C$5:$C$657,MATCH(H2818,Documents!$A$5:$A$657,0))),"")</f>
        <v>2007</v>
      </c>
      <c r="J2818" s="25" t="str">
        <f aca="false">IFERROR(IF(INDEX(Documents!$D$5:$D$657,MATCH(H2818,Documents!$A$5:$A$657,0))="","",INDEX(Documents!$D$5:$D$657,MATCH(H2818,Documents!$A$5:$A$657,0))),"")</f>
        <v>Bioorg Med Chem Lett</v>
      </c>
      <c r="K2818" s="25" t="str">
        <f aca="false">IFERROR(IF(INDEX(Documents!$G$5:$G$657,MATCH(H2818,Documents!$A$5:$A$657,0))="","",INDEX(Documents!$G$5:$G$657,MATCH(H2818,Documents!$A$5:$A$657,0))),"")</f>
        <v>10.1016/j.bmcl.2007.04.099</v>
      </c>
      <c r="L2818" s="25" t="s">
        <v>515</v>
      </c>
    </row>
    <row r="2819" customFormat="false" ht="15" hidden="false" customHeight="false" outlineLevel="0" collapsed="false">
      <c r="A2819" s="25" t="n">
        <v>25443261</v>
      </c>
      <c r="B2819" s="25" t="s">
        <v>6016</v>
      </c>
      <c r="C2819" s="25" t="s">
        <v>6017</v>
      </c>
      <c r="D2819" s="26" t="n">
        <v>510</v>
      </c>
      <c r="E2819" s="27" t="n">
        <v>6.29242982390206</v>
      </c>
      <c r="F2819" s="27" t="n">
        <v>6.29242982390206</v>
      </c>
      <c r="G2819" s="25" t="s">
        <v>2956</v>
      </c>
      <c r="H2819" s="25" t="s">
        <v>2957</v>
      </c>
      <c r="I2819" s="25" t="n">
        <f aca="false">IFERROR(IF(INDEX(Documents!$C$5:$C$657,MATCH(H2819,Documents!$A$5:$A$657,0))="","",INDEX(Documents!$C$5:$C$657,MATCH(H2819,Documents!$A$5:$A$657,0))),"")</f>
        <v>2023</v>
      </c>
      <c r="J2819" s="25" t="str">
        <f aca="false">IFERROR(IF(INDEX(Documents!$D$5:$D$657,MATCH(H2819,Documents!$A$5:$A$657,0))="","",INDEX(Documents!$D$5:$D$657,MATCH(H2819,Documents!$A$5:$A$657,0))),"")</f>
        <v>J Med Chem</v>
      </c>
      <c r="K2819" s="25" t="str">
        <f aca="false">IFERROR(IF(INDEX(Documents!$G$5:$G$657,MATCH(H2819,Documents!$A$5:$A$657,0))="","",INDEX(Documents!$G$5:$G$657,MATCH(H2819,Documents!$A$5:$A$657,0))),"")</f>
        <v>10.1021/acs.jmedchem.2c01084</v>
      </c>
      <c r="L2819" s="25" t="s">
        <v>2958</v>
      </c>
    </row>
    <row r="2820" customFormat="false" ht="15" hidden="false" customHeight="false" outlineLevel="0" collapsed="false">
      <c r="A2820" s="25" t="n">
        <v>25443266</v>
      </c>
      <c r="B2820" s="25" t="s">
        <v>6018</v>
      </c>
      <c r="C2820" s="25" t="s">
        <v>6019</v>
      </c>
      <c r="D2820" s="26" t="n">
        <v>343.5</v>
      </c>
      <c r="E2820" s="27" t="n">
        <v>6.46407325860443</v>
      </c>
      <c r="F2820" s="27" t="n">
        <v>6.46407325860443</v>
      </c>
      <c r="G2820" s="25" t="s">
        <v>2956</v>
      </c>
      <c r="H2820" s="25" t="s">
        <v>2957</v>
      </c>
      <c r="I2820" s="25" t="n">
        <f aca="false">IFERROR(IF(INDEX(Documents!$C$5:$C$657,MATCH(H2820,Documents!$A$5:$A$657,0))="","",INDEX(Documents!$C$5:$C$657,MATCH(H2820,Documents!$A$5:$A$657,0))),"")</f>
        <v>2023</v>
      </c>
      <c r="J2820" s="25" t="str">
        <f aca="false">IFERROR(IF(INDEX(Documents!$D$5:$D$657,MATCH(H2820,Documents!$A$5:$A$657,0))="","",INDEX(Documents!$D$5:$D$657,MATCH(H2820,Documents!$A$5:$A$657,0))),"")</f>
        <v>J Med Chem</v>
      </c>
      <c r="K2820" s="25" t="str">
        <f aca="false">IFERROR(IF(INDEX(Documents!$G$5:$G$657,MATCH(H2820,Documents!$A$5:$A$657,0))="","",INDEX(Documents!$G$5:$G$657,MATCH(H2820,Documents!$A$5:$A$657,0))),"")</f>
        <v>10.1021/acs.jmedchem.2c01084</v>
      </c>
      <c r="L2820" s="25" t="s">
        <v>2958</v>
      </c>
    </row>
    <row r="2821" customFormat="false" ht="15" hidden="false" customHeight="false" outlineLevel="0" collapsed="false">
      <c r="A2821" s="25" t="n">
        <v>25443268</v>
      </c>
      <c r="B2821" s="25" t="s">
        <v>6020</v>
      </c>
      <c r="C2821" s="25" t="s">
        <v>6021</v>
      </c>
      <c r="D2821" s="26" t="n">
        <v>153.1</v>
      </c>
      <c r="E2821" s="27" t="n">
        <v>6.81502480930174</v>
      </c>
      <c r="F2821" s="27" t="n">
        <v>6.81502480930174</v>
      </c>
      <c r="G2821" s="25" t="s">
        <v>2956</v>
      </c>
      <c r="H2821" s="25" t="s">
        <v>2957</v>
      </c>
      <c r="I2821" s="25" t="n">
        <f aca="false">IFERROR(IF(INDEX(Documents!$C$5:$C$657,MATCH(H2821,Documents!$A$5:$A$657,0))="","",INDEX(Documents!$C$5:$C$657,MATCH(H2821,Documents!$A$5:$A$657,0))),"")</f>
        <v>2023</v>
      </c>
      <c r="J2821" s="25" t="str">
        <f aca="false">IFERROR(IF(INDEX(Documents!$D$5:$D$657,MATCH(H2821,Documents!$A$5:$A$657,0))="","",INDEX(Documents!$D$5:$D$657,MATCH(H2821,Documents!$A$5:$A$657,0))),"")</f>
        <v>J Med Chem</v>
      </c>
      <c r="K2821" s="25" t="str">
        <f aca="false">IFERROR(IF(INDEX(Documents!$G$5:$G$657,MATCH(H2821,Documents!$A$5:$A$657,0))="","",INDEX(Documents!$G$5:$G$657,MATCH(H2821,Documents!$A$5:$A$657,0))),"")</f>
        <v>10.1021/acs.jmedchem.2c01084</v>
      </c>
      <c r="L2821" s="25" t="s">
        <v>2958</v>
      </c>
    </row>
    <row r="2822" customFormat="false" ht="15" hidden="false" customHeight="false" outlineLevel="0" collapsed="false">
      <c r="A2822" s="25" t="n">
        <v>25443275</v>
      </c>
      <c r="B2822" s="25" t="s">
        <v>6022</v>
      </c>
      <c r="C2822" s="25" t="s">
        <v>6023</v>
      </c>
      <c r="D2822" s="26" t="n">
        <v>87.6</v>
      </c>
      <c r="E2822" s="27" t="n">
        <v>7.05749589383192</v>
      </c>
      <c r="F2822" s="27" t="n">
        <v>7.05749589383192</v>
      </c>
      <c r="G2822" s="25" t="s">
        <v>2956</v>
      </c>
      <c r="H2822" s="25" t="s">
        <v>2957</v>
      </c>
      <c r="I2822" s="25" t="n">
        <f aca="false">IFERROR(IF(INDEX(Documents!$C$5:$C$657,MATCH(H2822,Documents!$A$5:$A$657,0))="","",INDEX(Documents!$C$5:$C$657,MATCH(H2822,Documents!$A$5:$A$657,0))),"")</f>
        <v>2023</v>
      </c>
      <c r="J2822" s="25" t="str">
        <f aca="false">IFERROR(IF(INDEX(Documents!$D$5:$D$657,MATCH(H2822,Documents!$A$5:$A$657,0))="","",INDEX(Documents!$D$5:$D$657,MATCH(H2822,Documents!$A$5:$A$657,0))),"")</f>
        <v>J Med Chem</v>
      </c>
      <c r="K2822" s="25" t="str">
        <f aca="false">IFERROR(IF(INDEX(Documents!$G$5:$G$657,MATCH(H2822,Documents!$A$5:$A$657,0))="","",INDEX(Documents!$G$5:$G$657,MATCH(H2822,Documents!$A$5:$A$657,0))),"")</f>
        <v>10.1021/acs.jmedchem.2c01084</v>
      </c>
      <c r="L2822" s="25" t="s">
        <v>2958</v>
      </c>
    </row>
    <row r="2823" customFormat="false" ht="15" hidden="false" customHeight="false" outlineLevel="0" collapsed="false">
      <c r="A2823" s="25" t="n">
        <v>2167481</v>
      </c>
      <c r="B2823" s="25" t="s">
        <v>6024</v>
      </c>
      <c r="C2823" s="25" t="s">
        <v>6025</v>
      </c>
      <c r="D2823" s="26" t="n">
        <v>200</v>
      </c>
      <c r="E2823" s="27" t="n">
        <v>6.69897000433602</v>
      </c>
      <c r="F2823" s="27" t="n">
        <v>6.69897000433602</v>
      </c>
      <c r="G2823" s="25" t="s">
        <v>707</v>
      </c>
      <c r="H2823" s="25" t="s">
        <v>708</v>
      </c>
      <c r="I2823" s="25" t="n">
        <f aca="false">IFERROR(IF(INDEX(Documents!$C$5:$C$657,MATCH(H2823,Documents!$A$5:$A$657,0))="","",INDEX(Documents!$C$5:$C$657,MATCH(H2823,Documents!$A$5:$A$657,0))),"")</f>
        <v>2008</v>
      </c>
      <c r="J2823" s="25" t="str">
        <f aca="false">IFERROR(IF(INDEX(Documents!$D$5:$D$657,MATCH(H2823,Documents!$A$5:$A$657,0))="","",INDEX(Documents!$D$5:$D$657,MATCH(H2823,Documents!$A$5:$A$657,0))),"")</f>
        <v>Bioorg Med Chem Lett</v>
      </c>
      <c r="K2823" s="25" t="str">
        <f aca="false">IFERROR(IF(INDEX(Documents!$G$5:$G$657,MATCH(H2823,Documents!$A$5:$A$657,0))="","",INDEX(Documents!$G$5:$G$657,MATCH(H2823,Documents!$A$5:$A$657,0))),"")</f>
        <v>10.1016/j.bmcl.2008.04.006</v>
      </c>
      <c r="L2823" s="25" t="s">
        <v>709</v>
      </c>
    </row>
    <row r="2824" customFormat="false" ht="15" hidden="false" customHeight="false" outlineLevel="0" collapsed="false">
      <c r="A2824" s="25" t="n">
        <v>12137504</v>
      </c>
      <c r="B2824" s="25" t="s">
        <v>6026</v>
      </c>
      <c r="C2824" s="25" t="s">
        <v>6027</v>
      </c>
      <c r="D2824" s="26" t="n">
        <v>2450</v>
      </c>
      <c r="E2824" s="27" t="n">
        <v>5.61083391563547</v>
      </c>
      <c r="F2824" s="27" t="n">
        <v>5.61083391563547</v>
      </c>
      <c r="G2824" s="25" t="s">
        <v>2120</v>
      </c>
      <c r="H2824" s="25" t="s">
        <v>2121</v>
      </c>
      <c r="I2824" s="25" t="n">
        <f aca="false">IFERROR(IF(INDEX(Documents!$C$5:$C$657,MATCH(H2824,Documents!$A$5:$A$657,0))="","",INDEX(Documents!$C$5:$C$657,MATCH(H2824,Documents!$A$5:$A$657,0))),"")</f>
        <v>2012</v>
      </c>
      <c r="J2824" s="25" t="str">
        <f aca="false">IFERROR(IF(INDEX(Documents!$D$5:$D$657,MATCH(H2824,Documents!$A$5:$A$657,0))="","",INDEX(Documents!$D$5:$D$657,MATCH(H2824,Documents!$A$5:$A$657,0))),"")</f>
        <v>J Med Chem</v>
      </c>
      <c r="K2824" s="25" t="str">
        <f aca="false">IFERROR(IF(INDEX(Documents!$G$5:$G$657,MATCH(H2824,Documents!$A$5:$A$657,0))="","",INDEX(Documents!$G$5:$G$657,MATCH(H2824,Documents!$A$5:$A$657,0))),"")</f>
        <v>10.1021/jm3008213</v>
      </c>
      <c r="L2824" s="25" t="s">
        <v>2122</v>
      </c>
    </row>
    <row r="2825" customFormat="false" ht="15" hidden="false" customHeight="false" outlineLevel="0" collapsed="false">
      <c r="A2825" s="25" t="n">
        <v>2413508</v>
      </c>
      <c r="B2825" s="25" t="s">
        <v>6028</v>
      </c>
      <c r="C2825" s="25" t="s">
        <v>6029</v>
      </c>
      <c r="D2825" s="26" t="n">
        <v>3370</v>
      </c>
      <c r="E2825" s="27" t="n">
        <v>5.47237009912866</v>
      </c>
      <c r="F2825" s="27" t="n">
        <v>5.47237009912866</v>
      </c>
      <c r="G2825" s="25" t="s">
        <v>5772</v>
      </c>
      <c r="H2825" s="25" t="s">
        <v>5773</v>
      </c>
      <c r="I2825" s="25" t="n">
        <f aca="false">IFERROR(IF(INDEX(Documents!$C$5:$C$657,MATCH(H2825,Documents!$A$5:$A$657,0))="","",INDEX(Documents!$C$5:$C$657,MATCH(H2825,Documents!$A$5:$A$657,0))),"")</f>
        <v>2009</v>
      </c>
      <c r="J2825" s="25" t="str">
        <f aca="false">IFERROR(IF(INDEX(Documents!$D$5:$D$657,MATCH(H2825,Documents!$A$5:$A$657,0))="","",INDEX(Documents!$D$5:$D$657,MATCH(H2825,Documents!$A$5:$A$657,0))),"")</f>
        <v>Bioorg Med Chem</v>
      </c>
      <c r="K2825" s="25" t="str">
        <f aca="false">IFERROR(IF(INDEX(Documents!$G$5:$G$657,MATCH(H2825,Documents!$A$5:$A$657,0))="","",INDEX(Documents!$G$5:$G$657,MATCH(H2825,Documents!$A$5:$A$657,0))),"")</f>
        <v>10.1016/j.bmc.2009.02.027</v>
      </c>
      <c r="L2825" s="25" t="s">
        <v>5774</v>
      </c>
    </row>
    <row r="2826" customFormat="false" ht="15" hidden="false" customHeight="false" outlineLevel="0" collapsed="false">
      <c r="A2826" s="25" t="n">
        <v>12137503</v>
      </c>
      <c r="B2826" s="25" t="s">
        <v>6030</v>
      </c>
      <c r="C2826" s="25" t="s">
        <v>6031</v>
      </c>
      <c r="D2826" s="26" t="n">
        <v>13300</v>
      </c>
      <c r="E2826" s="27" t="n">
        <v>4.87614835903291</v>
      </c>
      <c r="F2826" s="27" t="n">
        <v>4.87614835903291</v>
      </c>
      <c r="G2826" s="25" t="s">
        <v>2120</v>
      </c>
      <c r="H2826" s="25" t="s">
        <v>2121</v>
      </c>
      <c r="I2826" s="25" t="n">
        <f aca="false">IFERROR(IF(INDEX(Documents!$C$5:$C$657,MATCH(H2826,Documents!$A$5:$A$657,0))="","",INDEX(Documents!$C$5:$C$657,MATCH(H2826,Documents!$A$5:$A$657,0))),"")</f>
        <v>2012</v>
      </c>
      <c r="J2826" s="25" t="str">
        <f aca="false">IFERROR(IF(INDEX(Documents!$D$5:$D$657,MATCH(H2826,Documents!$A$5:$A$657,0))="","",INDEX(Documents!$D$5:$D$657,MATCH(H2826,Documents!$A$5:$A$657,0))),"")</f>
        <v>J Med Chem</v>
      </c>
      <c r="K2826" s="25" t="str">
        <f aca="false">IFERROR(IF(INDEX(Documents!$G$5:$G$657,MATCH(H2826,Documents!$A$5:$A$657,0))="","",INDEX(Documents!$G$5:$G$657,MATCH(H2826,Documents!$A$5:$A$657,0))),"")</f>
        <v>10.1021/jm3008213</v>
      </c>
      <c r="L2826" s="25" t="s">
        <v>2122</v>
      </c>
    </row>
    <row r="2827" customFormat="false" ht="15" hidden="false" customHeight="false" outlineLevel="0" collapsed="false">
      <c r="A2827" s="25" t="n">
        <v>2690997</v>
      </c>
      <c r="B2827" s="25" t="s">
        <v>6032</v>
      </c>
      <c r="C2827" s="25" t="s">
        <v>6033</v>
      </c>
      <c r="D2827" s="26" t="n">
        <v>3919</v>
      </c>
      <c r="E2827" s="27" t="n">
        <v>5.4068247365219</v>
      </c>
      <c r="F2827" s="27" t="n">
        <v>5.4068247365219</v>
      </c>
      <c r="G2827" s="25" t="s">
        <v>1648</v>
      </c>
      <c r="H2827" s="25" t="s">
        <v>1649</v>
      </c>
      <c r="I2827" s="25" t="n">
        <f aca="false">IFERROR(IF(INDEX(Documents!$C$5:$C$657,MATCH(H2827,Documents!$A$5:$A$657,0))="","",INDEX(Documents!$C$5:$C$657,MATCH(H2827,Documents!$A$5:$A$657,0))),"")</f>
        <v>2009</v>
      </c>
      <c r="J2827" s="25" t="str">
        <f aca="false">IFERROR(IF(INDEX(Documents!$D$5:$D$657,MATCH(H2827,Documents!$A$5:$A$657,0))="","",INDEX(Documents!$D$5:$D$657,MATCH(H2827,Documents!$A$5:$A$657,0))),"")</f>
        <v>Bioorg Med Chem Lett</v>
      </c>
      <c r="K2827" s="25" t="str">
        <f aca="false">IFERROR(IF(INDEX(Documents!$G$5:$G$657,MATCH(H2827,Documents!$A$5:$A$657,0))="","",INDEX(Documents!$G$5:$G$657,MATCH(H2827,Documents!$A$5:$A$657,0))),"")</f>
        <v>10.1016/j.bmcl.2009.05.114</v>
      </c>
      <c r="L2827" s="25" t="s">
        <v>1650</v>
      </c>
    </row>
    <row r="2828" customFormat="false" ht="15" hidden="false" customHeight="false" outlineLevel="0" collapsed="false">
      <c r="A2828" s="25" t="n">
        <v>10848312</v>
      </c>
      <c r="B2828" s="25" t="s">
        <v>6034</v>
      </c>
      <c r="C2828" s="25" t="s">
        <v>6035</v>
      </c>
      <c r="D2828" s="26" t="n">
        <v>15.85</v>
      </c>
      <c r="E2828" s="27" t="n">
        <v>7.79997073344623</v>
      </c>
      <c r="F2828" s="27" t="n">
        <v>7.79997073344623</v>
      </c>
      <c r="G2828" s="25" t="s">
        <v>6036</v>
      </c>
      <c r="H2828" s="25" t="s">
        <v>6037</v>
      </c>
      <c r="I2828" s="25" t="n">
        <f aca="false">IFERROR(IF(INDEX(Documents!$C$5:$C$657,MATCH(H2828,Documents!$A$5:$A$657,0))="","",INDEX(Documents!$C$5:$C$657,MATCH(H2828,Documents!$A$5:$A$657,0))),"")</f>
        <v>2012</v>
      </c>
      <c r="J2828" s="25" t="str">
        <f aca="false">IFERROR(IF(INDEX(Documents!$D$5:$D$657,MATCH(H2828,Documents!$A$5:$A$657,0))="","",INDEX(Documents!$D$5:$D$657,MATCH(H2828,Documents!$A$5:$A$657,0))),"")</f>
        <v>Bioorg Med Chem Lett</v>
      </c>
      <c r="K2828" s="25" t="str">
        <f aca="false">IFERROR(IF(INDEX(Documents!$G$5:$G$657,MATCH(H2828,Documents!$A$5:$A$657,0))="","",INDEX(Documents!$G$5:$G$657,MATCH(H2828,Documents!$A$5:$A$657,0))),"")</f>
        <v>10.1016/j.bmcl.2012.02.048</v>
      </c>
      <c r="L2828" s="25" t="s">
        <v>6038</v>
      </c>
    </row>
    <row r="2829" customFormat="false" ht="15" hidden="false" customHeight="false" outlineLevel="0" collapsed="false">
      <c r="A2829" s="25" t="n">
        <v>15199882</v>
      </c>
      <c r="B2829" s="25" t="s">
        <v>6039</v>
      </c>
      <c r="C2829" s="25" t="s">
        <v>6040</v>
      </c>
      <c r="D2829" s="26" t="n">
        <v>750</v>
      </c>
      <c r="E2829" s="27" t="n">
        <v>6.1249387366083</v>
      </c>
      <c r="F2829" s="27" t="n">
        <v>6.1249387366083</v>
      </c>
      <c r="G2829" s="25" t="s">
        <v>3562</v>
      </c>
      <c r="H2829" s="25" t="s">
        <v>3563</v>
      </c>
      <c r="I2829" s="25" t="n">
        <f aca="false">IFERROR(IF(INDEX(Documents!$C$5:$C$657,MATCH(H2829,Documents!$A$5:$A$657,0))="","",INDEX(Documents!$C$5:$C$657,MATCH(H2829,Documents!$A$5:$A$657,0))),"")</f>
        <v>2015</v>
      </c>
      <c r="J2829" s="25" t="str">
        <f aca="false">IFERROR(IF(INDEX(Documents!$D$5:$D$657,MATCH(H2829,Documents!$A$5:$A$657,0))="","",INDEX(Documents!$D$5:$D$657,MATCH(H2829,Documents!$A$5:$A$657,0))),"")</f>
        <v>Eur J Med Chem</v>
      </c>
      <c r="K2829" s="25" t="str">
        <f aca="false">IFERROR(IF(INDEX(Documents!$G$5:$G$657,MATCH(H2829,Documents!$A$5:$A$657,0))="","",INDEX(Documents!$G$5:$G$657,MATCH(H2829,Documents!$A$5:$A$657,0))),"")</f>
        <v>10.1016/j.ejmech.2015.01.028</v>
      </c>
      <c r="L2829" s="25" t="s">
        <v>3564</v>
      </c>
    </row>
    <row r="2830" customFormat="false" ht="15" hidden="false" customHeight="false" outlineLevel="0" collapsed="false">
      <c r="A2830" s="25" t="n">
        <v>6309534</v>
      </c>
      <c r="B2830" s="25" t="s">
        <v>6041</v>
      </c>
      <c r="C2830" s="25" t="s">
        <v>6042</v>
      </c>
      <c r="D2830" s="26" t="n">
        <v>3443</v>
      </c>
      <c r="E2830" s="27" t="n">
        <v>5.46306297729533</v>
      </c>
      <c r="F2830" s="27" t="n">
        <v>5.46306297729533</v>
      </c>
      <c r="G2830" s="25" t="s">
        <v>1917</v>
      </c>
      <c r="H2830" s="25" t="s">
        <v>1918</v>
      </c>
      <c r="I2830" s="25" t="n">
        <f aca="false">IFERROR(IF(INDEX(Documents!$C$5:$C$657,MATCH(H2830,Documents!$A$5:$A$657,0))="","",INDEX(Documents!$C$5:$C$657,MATCH(H2830,Documents!$A$5:$A$657,0))),"")</f>
        <v>2011</v>
      </c>
      <c r="J2830" s="25" t="str">
        <f aca="false">IFERROR(IF(INDEX(Documents!$D$5:$D$657,MATCH(H2830,Documents!$A$5:$A$657,0))="","",INDEX(Documents!$D$5:$D$657,MATCH(H2830,Documents!$A$5:$A$657,0))),"")</f>
        <v>J Med Chem</v>
      </c>
      <c r="K2830" s="25" t="str">
        <f aca="false">IFERROR(IF(INDEX(Documents!$G$5:$G$657,MATCH(H2830,Documents!$A$5:$A$657,0))="","",INDEX(Documents!$G$5:$G$657,MATCH(H2830,Documents!$A$5:$A$657,0))),"")</f>
        <v>10.1021/jm200476p</v>
      </c>
      <c r="L2830" s="25" t="s">
        <v>676</v>
      </c>
    </row>
    <row r="2831" customFormat="false" ht="15" hidden="false" customHeight="false" outlineLevel="0" collapsed="false">
      <c r="A2831" s="25" t="n">
        <v>24857953</v>
      </c>
      <c r="B2831" s="25" t="s">
        <v>6043</v>
      </c>
      <c r="C2831" s="25" t="s">
        <v>6044</v>
      </c>
      <c r="D2831" s="26" t="n">
        <v>0.9</v>
      </c>
      <c r="E2831" s="27" t="n">
        <v>9.04575749056068</v>
      </c>
      <c r="F2831" s="27" t="n">
        <v>9.04575749056068</v>
      </c>
      <c r="G2831" s="25" t="s">
        <v>6045</v>
      </c>
      <c r="H2831" s="25" t="s">
        <v>6046</v>
      </c>
      <c r="I2831" s="25" t="n">
        <f aca="false">IFERROR(IF(INDEX(Documents!$C$5:$C$657,MATCH(H2831,Documents!$A$5:$A$657,0))="","",INDEX(Documents!$C$5:$C$657,MATCH(H2831,Documents!$A$5:$A$657,0))),"")</f>
        <v>2022</v>
      </c>
      <c r="J2831" s="25" t="str">
        <f aca="false">IFERROR(IF(INDEX(Documents!$D$5:$D$657,MATCH(H2831,Documents!$A$5:$A$657,0))="","",INDEX(Documents!$D$5:$D$657,MATCH(H2831,Documents!$A$5:$A$657,0))),"")</f>
        <v>J Med Chem</v>
      </c>
      <c r="K2831" s="25" t="str">
        <f aca="false">IFERROR(IF(INDEX(Documents!$G$5:$G$657,MATCH(H2831,Documents!$A$5:$A$657,0))="","",INDEX(Documents!$G$5:$G$657,MATCH(H2831,Documents!$A$5:$A$657,0))),"")</f>
        <v>10.1021/acs.jmedchem.2c00256</v>
      </c>
      <c r="L2831" s="25" t="s">
        <v>6047</v>
      </c>
    </row>
    <row r="2832" customFormat="false" ht="15" hidden="false" customHeight="false" outlineLevel="0" collapsed="false">
      <c r="A2832" s="25" t="n">
        <v>18138856</v>
      </c>
      <c r="B2832" s="25" t="s">
        <v>6048</v>
      </c>
      <c r="C2832" s="25" t="s">
        <v>6049</v>
      </c>
      <c r="D2832" s="26" t="n">
        <v>1.2</v>
      </c>
      <c r="E2832" s="27" t="n">
        <v>8.92081875395238</v>
      </c>
      <c r="F2832" s="27" t="n">
        <v>8.92081875395238</v>
      </c>
      <c r="G2832" s="25" t="s">
        <v>4579</v>
      </c>
      <c r="H2832" s="25" t="s">
        <v>3360</v>
      </c>
      <c r="I2832" s="25" t="n">
        <f aca="false">IFERROR(IF(INDEX(Documents!$C$5:$C$657,MATCH(H2832,Documents!$A$5:$A$657,0))="","",INDEX(Documents!$C$5:$C$657,MATCH(H2832,Documents!$A$5:$A$657,0))),"")</f>
        <v>2017</v>
      </c>
      <c r="J2832" s="25" t="str">
        <f aca="false">IFERROR(IF(INDEX(Documents!$D$5:$D$657,MATCH(H2832,Documents!$A$5:$A$657,0))="","",INDEX(Documents!$D$5:$D$657,MATCH(H2832,Documents!$A$5:$A$657,0))),"")</f>
        <v>J Med Chem</v>
      </c>
      <c r="K2832" s="25" t="str">
        <f aca="false">IFERROR(IF(INDEX(Documents!$G$5:$G$657,MATCH(H2832,Documents!$A$5:$A$657,0))="","",INDEX(Documents!$G$5:$G$657,MATCH(H2832,Documents!$A$5:$A$657,0))),"")</f>
        <v>10.1021/acs.jmedchem.7b00155</v>
      </c>
      <c r="L2832" s="25" t="s">
        <v>1359</v>
      </c>
    </row>
    <row r="2833" customFormat="false" ht="15" hidden="false" customHeight="false" outlineLevel="0" collapsed="false">
      <c r="A2833" s="25" t="n">
        <v>2118268</v>
      </c>
      <c r="B2833" s="25" t="s">
        <v>6050</v>
      </c>
      <c r="C2833" s="25" t="s">
        <v>6051</v>
      </c>
      <c r="D2833" s="26" t="n">
        <v>0.1259</v>
      </c>
      <c r="E2833" s="27" t="n">
        <v>9.89997426989214</v>
      </c>
      <c r="F2833" s="27" t="n">
        <v>9.95519825596113</v>
      </c>
      <c r="G2833" s="25" t="s">
        <v>1199</v>
      </c>
      <c r="H2833" s="25" t="s">
        <v>1200</v>
      </c>
      <c r="I2833" s="25" t="n">
        <f aca="false">IFERROR(IF(INDEX(Documents!$C$5:$C$657,MATCH(H2833,Documents!$A$5:$A$657,0))="","",INDEX(Documents!$C$5:$C$657,MATCH(H2833,Documents!$A$5:$A$657,0))),"")</f>
        <v>2008</v>
      </c>
      <c r="J2833" s="25" t="str">
        <f aca="false">IFERROR(IF(INDEX(Documents!$D$5:$D$657,MATCH(H2833,Documents!$A$5:$A$657,0))="","",INDEX(Documents!$D$5:$D$657,MATCH(H2833,Documents!$A$5:$A$657,0))),"")</f>
        <v>J Med Chem</v>
      </c>
      <c r="K2833" s="25" t="str">
        <f aca="false">IFERROR(IF(INDEX(Documents!$G$5:$G$657,MATCH(H2833,Documents!$A$5:$A$657,0))="","",INDEX(Documents!$G$5:$G$657,MATCH(H2833,Documents!$A$5:$A$657,0))),"")</f>
        <v>10.1021/jm7011613</v>
      </c>
      <c r="L2833" s="25" t="s">
        <v>676</v>
      </c>
    </row>
    <row r="2834" customFormat="false" ht="15" hidden="false" customHeight="false" outlineLevel="0" collapsed="false">
      <c r="A2834" s="25" t="n">
        <v>2118269</v>
      </c>
      <c r="B2834" s="25" t="s">
        <v>6050</v>
      </c>
      <c r="C2834" s="25" t="s">
        <v>6051</v>
      </c>
      <c r="D2834" s="26" t="n">
        <v>0.12</v>
      </c>
      <c r="E2834" s="27" t="n">
        <v>9.92081875395238</v>
      </c>
      <c r="F2834" s="27" t="n">
        <v>9.95519825596113</v>
      </c>
      <c r="G2834" s="25" t="s">
        <v>1199</v>
      </c>
      <c r="H2834" s="25" t="s">
        <v>1200</v>
      </c>
      <c r="I2834" s="25" t="n">
        <f aca="false">IFERROR(IF(INDEX(Documents!$C$5:$C$657,MATCH(H2834,Documents!$A$5:$A$657,0))="","",INDEX(Documents!$C$5:$C$657,MATCH(H2834,Documents!$A$5:$A$657,0))),"")</f>
        <v>2008</v>
      </c>
      <c r="J2834" s="25" t="str">
        <f aca="false">IFERROR(IF(INDEX(Documents!$D$5:$D$657,MATCH(H2834,Documents!$A$5:$A$657,0))="","",INDEX(Documents!$D$5:$D$657,MATCH(H2834,Documents!$A$5:$A$657,0))),"")</f>
        <v>J Med Chem</v>
      </c>
      <c r="K2834" s="25" t="str">
        <f aca="false">IFERROR(IF(INDEX(Documents!$G$5:$G$657,MATCH(H2834,Documents!$A$5:$A$657,0))="","",INDEX(Documents!$G$5:$G$657,MATCH(H2834,Documents!$A$5:$A$657,0))),"")</f>
        <v>10.1021/jm7011613</v>
      </c>
      <c r="L2834" s="25" t="s">
        <v>676</v>
      </c>
    </row>
    <row r="2835" customFormat="false" ht="15" hidden="false" customHeight="false" outlineLevel="0" collapsed="false">
      <c r="A2835" s="25" t="n">
        <v>5205332</v>
      </c>
      <c r="B2835" s="25" t="s">
        <v>6050</v>
      </c>
      <c r="C2835" s="25" t="s">
        <v>6051</v>
      </c>
      <c r="D2835" s="26" t="n">
        <v>0.1</v>
      </c>
      <c r="E2835" s="27" t="n">
        <v>10</v>
      </c>
      <c r="F2835" s="27" t="n">
        <v>9.95519825596113</v>
      </c>
      <c r="G2835" s="25" t="s">
        <v>461</v>
      </c>
      <c r="H2835" s="25" t="s">
        <v>462</v>
      </c>
      <c r="I2835" s="25" t="n">
        <f aca="false">IFERROR(IF(INDEX(Documents!$C$5:$C$657,MATCH(H2835,Documents!$A$5:$A$657,0))="","",INDEX(Documents!$C$5:$C$657,MATCH(H2835,Documents!$A$5:$A$657,0))),"")</f>
        <v>2011</v>
      </c>
      <c r="J2835" s="25" t="str">
        <f aca="false">IFERROR(IF(INDEX(Documents!$D$5:$D$657,MATCH(H2835,Documents!$A$5:$A$657,0))="","",INDEX(Documents!$D$5:$D$657,MATCH(H2835,Documents!$A$5:$A$657,0))),"")</f>
        <v>Eur J Med Chem</v>
      </c>
      <c r="K2835" s="25" t="str">
        <f aca="false">IFERROR(IF(INDEX(Documents!$G$5:$G$657,MATCH(H2835,Documents!$A$5:$A$657,0))="","",INDEX(Documents!$G$5:$G$657,MATCH(H2835,Documents!$A$5:$A$657,0))),"")</f>
        <v>10.1016/j.ejmech.2010.11.034</v>
      </c>
      <c r="L2835" s="25" t="s">
        <v>463</v>
      </c>
    </row>
    <row r="2836" customFormat="false" ht="15" hidden="false" customHeight="false" outlineLevel="0" collapsed="false">
      <c r="A2836" s="25" t="n">
        <v>360399</v>
      </c>
      <c r="B2836" s="25" t="s">
        <v>6052</v>
      </c>
      <c r="C2836" s="25" t="s">
        <v>6053</v>
      </c>
      <c r="D2836" s="26" t="n">
        <v>69</v>
      </c>
      <c r="E2836" s="27" t="n">
        <v>7.16115090926274</v>
      </c>
      <c r="F2836" s="27" t="n">
        <v>7.16115090926274</v>
      </c>
      <c r="G2836" s="25" t="s">
        <v>5269</v>
      </c>
      <c r="H2836" s="25" t="s">
        <v>5270</v>
      </c>
      <c r="I2836" s="25" t="n">
        <f aca="false">IFERROR(IF(INDEX(Documents!$C$5:$C$657,MATCH(H2836,Documents!$A$5:$A$657,0))="","",INDEX(Documents!$C$5:$C$657,MATCH(H2836,Documents!$A$5:$A$657,0))),"")</f>
        <v>2003</v>
      </c>
      <c r="J2836" s="25" t="str">
        <f aca="false">IFERROR(IF(INDEX(Documents!$D$5:$D$657,MATCH(H2836,Documents!$A$5:$A$657,0))="","",INDEX(Documents!$D$5:$D$657,MATCH(H2836,Documents!$A$5:$A$657,0))),"")</f>
        <v>J Med Chem</v>
      </c>
      <c r="K2836" s="25" t="str">
        <f aca="false">IFERROR(IF(INDEX(Documents!$G$5:$G$657,MATCH(H2836,Documents!$A$5:$A$657,0))="","",INDEX(Documents!$G$5:$G$657,MATCH(H2836,Documents!$A$5:$A$657,0))),"")</f>
        <v>10.1021/jm020329q</v>
      </c>
      <c r="L2836" s="25" t="s">
        <v>5271</v>
      </c>
    </row>
    <row r="2837" customFormat="false" ht="15" hidden="false" customHeight="false" outlineLevel="0" collapsed="false">
      <c r="A2837" s="25" t="n">
        <v>14926613</v>
      </c>
      <c r="B2837" s="25" t="s">
        <v>6054</v>
      </c>
      <c r="C2837" s="25" t="s">
        <v>6055</v>
      </c>
      <c r="D2837" s="26" t="n">
        <v>1.585</v>
      </c>
      <c r="E2837" s="27" t="n">
        <v>8.79997073344623</v>
      </c>
      <c r="F2837" s="27" t="n">
        <v>8.79997073344623</v>
      </c>
      <c r="G2837" s="25" t="s">
        <v>6056</v>
      </c>
      <c r="H2837" s="25" t="s">
        <v>6057</v>
      </c>
      <c r="I2837" s="25" t="n">
        <f aca="false">IFERROR(IF(INDEX(Documents!$C$5:$C$657,MATCH(H2837,Documents!$A$5:$A$657,0))="","",INDEX(Documents!$C$5:$C$657,MATCH(H2837,Documents!$A$5:$A$657,0))),"")</f>
        <v>2010</v>
      </c>
      <c r="J2837" s="25" t="str">
        <f aca="false">IFERROR(IF(INDEX(Documents!$D$5:$D$657,MATCH(H2837,Documents!$A$5:$A$657,0))="","",INDEX(Documents!$D$5:$D$657,MATCH(H2837,Documents!$A$5:$A$657,0))),"")</f>
        <v>Medchemcomm</v>
      </c>
      <c r="K2837" s="25" t="str">
        <f aca="false">IFERROR(IF(INDEX(Documents!$G$5:$G$657,MATCH(H2837,Documents!$A$5:$A$657,0))="","",INDEX(Documents!$G$5:$G$657,MATCH(H2837,Documents!$A$5:$A$657,0))),"")</f>
        <v>10.1039/C0MD00022A</v>
      </c>
      <c r="L2837" s="25" t="s">
        <v>6058</v>
      </c>
    </row>
    <row r="2838" customFormat="false" ht="15" hidden="false" customHeight="false" outlineLevel="0" collapsed="false">
      <c r="A2838" s="25" t="n">
        <v>3604304</v>
      </c>
      <c r="B2838" s="25" t="s">
        <v>6059</v>
      </c>
      <c r="C2838" s="25" t="s">
        <v>6060</v>
      </c>
      <c r="D2838" s="26" t="n">
        <v>3.981</v>
      </c>
      <c r="E2838" s="27" t="n">
        <v>8.4000078224159</v>
      </c>
      <c r="F2838" s="27" t="n">
        <v>8.4000078224159</v>
      </c>
      <c r="G2838" s="25" t="s">
        <v>6061</v>
      </c>
      <c r="H2838" s="25" t="s">
        <v>6062</v>
      </c>
      <c r="I2838" s="25" t="n">
        <f aca="false">IFERROR(IF(INDEX(Documents!$C$5:$C$657,MATCH(H2838,Documents!$A$5:$A$657,0))="","",INDEX(Documents!$C$5:$C$657,MATCH(H2838,Documents!$A$5:$A$657,0))),"")</f>
        <v>2010</v>
      </c>
      <c r="J2838" s="25" t="str">
        <f aca="false">IFERROR(IF(INDEX(Documents!$D$5:$D$657,MATCH(H2838,Documents!$A$5:$A$657,0))="","",INDEX(Documents!$D$5:$D$657,MATCH(H2838,Documents!$A$5:$A$657,0))),"")</f>
        <v>Bioorg Med Chem Lett</v>
      </c>
      <c r="K2838" s="25" t="str">
        <f aca="false">IFERROR(IF(INDEX(Documents!$G$5:$G$657,MATCH(H2838,Documents!$A$5:$A$657,0))="","",INDEX(Documents!$G$5:$G$657,MATCH(H2838,Documents!$A$5:$A$657,0))),"")</f>
        <v>10.1016/j.bmcl.2010.10.061</v>
      </c>
      <c r="L2838" s="25" t="s">
        <v>6063</v>
      </c>
    </row>
    <row r="2839" customFormat="false" ht="15" hidden="false" customHeight="false" outlineLevel="0" collapsed="false">
      <c r="A2839" s="25" t="n">
        <v>5250486</v>
      </c>
      <c r="B2839" s="25" t="s">
        <v>6064</v>
      </c>
      <c r="C2839" s="25" t="s">
        <v>6065</v>
      </c>
      <c r="D2839" s="26" t="n">
        <v>0.7943</v>
      </c>
      <c r="E2839" s="27" t="n">
        <v>9.10001543745061</v>
      </c>
      <c r="F2839" s="27" t="n">
        <v>9.10001543745061</v>
      </c>
      <c r="G2839" s="25" t="s">
        <v>5413</v>
      </c>
      <c r="H2839" s="25" t="s">
        <v>5414</v>
      </c>
      <c r="I2839" s="25" t="n">
        <f aca="false">IFERROR(IF(INDEX(Documents!$C$5:$C$657,MATCH(H2839,Documents!$A$5:$A$657,0))="","",INDEX(Documents!$C$5:$C$657,MATCH(H2839,Documents!$A$5:$A$657,0))),"")</f>
        <v>2011</v>
      </c>
      <c r="J2839" s="25" t="str">
        <f aca="false">IFERROR(IF(INDEX(Documents!$D$5:$D$657,MATCH(H2839,Documents!$A$5:$A$657,0))="","",INDEX(Documents!$D$5:$D$657,MATCH(H2839,Documents!$A$5:$A$657,0))),"")</f>
        <v>Bioorg Med Chem Lett</v>
      </c>
      <c r="K2839" s="25" t="str">
        <f aca="false">IFERROR(IF(INDEX(Documents!$G$5:$G$657,MATCH(H2839,Documents!$A$5:$A$657,0))="","",INDEX(Documents!$G$5:$G$657,MATCH(H2839,Documents!$A$5:$A$657,0))),"")</f>
        <v>10.1016/j.bmcl.2011.01.082</v>
      </c>
      <c r="L2839" s="25" t="s">
        <v>5415</v>
      </c>
    </row>
    <row r="2840" customFormat="false" ht="15" hidden="false" customHeight="false" outlineLevel="0" collapsed="false">
      <c r="A2840" s="25" t="n">
        <v>14926612</v>
      </c>
      <c r="B2840" s="25" t="s">
        <v>6066</v>
      </c>
      <c r="C2840" s="25" t="s">
        <v>6065</v>
      </c>
      <c r="D2840" s="26" t="n">
        <v>0.7943</v>
      </c>
      <c r="E2840" s="27" t="n">
        <v>9.10001543745061</v>
      </c>
      <c r="F2840" s="27" t="n">
        <v>9.10001543745061</v>
      </c>
      <c r="G2840" s="25" t="s">
        <v>6056</v>
      </c>
      <c r="H2840" s="25" t="s">
        <v>6057</v>
      </c>
      <c r="I2840" s="25" t="n">
        <f aca="false">IFERROR(IF(INDEX(Documents!$C$5:$C$657,MATCH(H2840,Documents!$A$5:$A$657,0))="","",INDEX(Documents!$C$5:$C$657,MATCH(H2840,Documents!$A$5:$A$657,0))),"")</f>
        <v>2010</v>
      </c>
      <c r="J2840" s="25" t="str">
        <f aca="false">IFERROR(IF(INDEX(Documents!$D$5:$D$657,MATCH(H2840,Documents!$A$5:$A$657,0))="","",INDEX(Documents!$D$5:$D$657,MATCH(H2840,Documents!$A$5:$A$657,0))),"")</f>
        <v>Medchemcomm</v>
      </c>
      <c r="K2840" s="25" t="str">
        <f aca="false">IFERROR(IF(INDEX(Documents!$G$5:$G$657,MATCH(H2840,Documents!$A$5:$A$657,0))="","",INDEX(Documents!$G$5:$G$657,MATCH(H2840,Documents!$A$5:$A$657,0))),"")</f>
        <v>10.1039/C0MD00022A</v>
      </c>
      <c r="L2840" s="25" t="s">
        <v>6058</v>
      </c>
    </row>
    <row r="2841" customFormat="false" ht="15" hidden="false" customHeight="false" outlineLevel="0" collapsed="false">
      <c r="A2841" s="25" t="n">
        <v>357631</v>
      </c>
      <c r="B2841" s="25" t="s">
        <v>6067</v>
      </c>
      <c r="C2841" s="25" t="s">
        <v>6068</v>
      </c>
      <c r="D2841" s="26" t="n">
        <v>146</v>
      </c>
      <c r="E2841" s="27" t="n">
        <v>6.83564714421556</v>
      </c>
      <c r="F2841" s="27" t="n">
        <v>6.83564714421556</v>
      </c>
      <c r="G2841" s="25" t="s">
        <v>5269</v>
      </c>
      <c r="H2841" s="25" t="s">
        <v>5270</v>
      </c>
      <c r="I2841" s="25" t="n">
        <f aca="false">IFERROR(IF(INDEX(Documents!$C$5:$C$657,MATCH(H2841,Documents!$A$5:$A$657,0))="","",INDEX(Documents!$C$5:$C$657,MATCH(H2841,Documents!$A$5:$A$657,0))),"")</f>
        <v>2003</v>
      </c>
      <c r="J2841" s="25" t="str">
        <f aca="false">IFERROR(IF(INDEX(Documents!$D$5:$D$657,MATCH(H2841,Documents!$A$5:$A$657,0))="","",INDEX(Documents!$D$5:$D$657,MATCH(H2841,Documents!$A$5:$A$657,0))),"")</f>
        <v>J Med Chem</v>
      </c>
      <c r="K2841" s="25" t="str">
        <f aca="false">IFERROR(IF(INDEX(Documents!$G$5:$G$657,MATCH(H2841,Documents!$A$5:$A$657,0))="","",INDEX(Documents!$G$5:$G$657,MATCH(H2841,Documents!$A$5:$A$657,0))),"")</f>
        <v>10.1021/jm020329q</v>
      </c>
      <c r="L2841" s="25" t="s">
        <v>5271</v>
      </c>
    </row>
    <row r="2842" customFormat="false" ht="15" hidden="false" customHeight="false" outlineLevel="0" collapsed="false">
      <c r="A2842" s="25" t="n">
        <v>370345</v>
      </c>
      <c r="B2842" s="25" t="s">
        <v>6069</v>
      </c>
      <c r="C2842" s="25" t="s">
        <v>6070</v>
      </c>
      <c r="D2842" s="26" t="n">
        <v>29</v>
      </c>
      <c r="E2842" s="27" t="n">
        <v>7.53760200210104</v>
      </c>
      <c r="F2842" s="27" t="n">
        <v>7.53760200210104</v>
      </c>
      <c r="G2842" s="25" t="s">
        <v>5269</v>
      </c>
      <c r="H2842" s="25" t="s">
        <v>5270</v>
      </c>
      <c r="I2842" s="25" t="n">
        <f aca="false">IFERROR(IF(INDEX(Documents!$C$5:$C$657,MATCH(H2842,Documents!$A$5:$A$657,0))="","",INDEX(Documents!$C$5:$C$657,MATCH(H2842,Documents!$A$5:$A$657,0))),"")</f>
        <v>2003</v>
      </c>
      <c r="J2842" s="25" t="str">
        <f aca="false">IFERROR(IF(INDEX(Documents!$D$5:$D$657,MATCH(H2842,Documents!$A$5:$A$657,0))="","",INDEX(Documents!$D$5:$D$657,MATCH(H2842,Documents!$A$5:$A$657,0))),"")</f>
        <v>J Med Chem</v>
      </c>
      <c r="K2842" s="25" t="str">
        <f aca="false">IFERROR(IF(INDEX(Documents!$G$5:$G$657,MATCH(H2842,Documents!$A$5:$A$657,0))="","",INDEX(Documents!$G$5:$G$657,MATCH(H2842,Documents!$A$5:$A$657,0))),"")</f>
        <v>10.1021/jm020329q</v>
      </c>
      <c r="L2842" s="25" t="s">
        <v>5271</v>
      </c>
    </row>
    <row r="2843" customFormat="false" ht="15" hidden="false" customHeight="false" outlineLevel="0" collapsed="false">
      <c r="A2843" s="25" t="n">
        <v>384416</v>
      </c>
      <c r="B2843" s="25" t="s">
        <v>6071</v>
      </c>
      <c r="C2843" s="25" t="s">
        <v>6072</v>
      </c>
      <c r="D2843" s="26" t="n">
        <v>11</v>
      </c>
      <c r="E2843" s="27" t="n">
        <v>7.95860731484178</v>
      </c>
      <c r="F2843" s="27" t="n">
        <v>7.95860731484178</v>
      </c>
      <c r="G2843" s="25" t="s">
        <v>5269</v>
      </c>
      <c r="H2843" s="25" t="s">
        <v>5270</v>
      </c>
      <c r="I2843" s="25" t="n">
        <f aca="false">IFERROR(IF(INDEX(Documents!$C$5:$C$657,MATCH(H2843,Documents!$A$5:$A$657,0))="","",INDEX(Documents!$C$5:$C$657,MATCH(H2843,Documents!$A$5:$A$657,0))),"")</f>
        <v>2003</v>
      </c>
      <c r="J2843" s="25" t="str">
        <f aca="false">IFERROR(IF(INDEX(Documents!$D$5:$D$657,MATCH(H2843,Documents!$A$5:$A$657,0))="","",INDEX(Documents!$D$5:$D$657,MATCH(H2843,Documents!$A$5:$A$657,0))),"")</f>
        <v>J Med Chem</v>
      </c>
      <c r="K2843" s="25" t="str">
        <f aca="false">IFERROR(IF(INDEX(Documents!$G$5:$G$657,MATCH(H2843,Documents!$A$5:$A$657,0))="","",INDEX(Documents!$G$5:$G$657,MATCH(H2843,Documents!$A$5:$A$657,0))),"")</f>
        <v>10.1021/jm020329q</v>
      </c>
      <c r="L2843" s="25" t="s">
        <v>5271</v>
      </c>
    </row>
    <row r="2844" customFormat="false" ht="15" hidden="false" customHeight="false" outlineLevel="0" collapsed="false">
      <c r="A2844" s="25" t="n">
        <v>373201</v>
      </c>
      <c r="B2844" s="25" t="s">
        <v>6073</v>
      </c>
      <c r="C2844" s="25" t="s">
        <v>6074</v>
      </c>
      <c r="D2844" s="26" t="n">
        <v>2</v>
      </c>
      <c r="E2844" s="27" t="n">
        <v>8.69897000433602</v>
      </c>
      <c r="F2844" s="27" t="n">
        <v>8.69897000433602</v>
      </c>
      <c r="G2844" s="25" t="s">
        <v>5269</v>
      </c>
      <c r="H2844" s="25" t="s">
        <v>5270</v>
      </c>
      <c r="I2844" s="25" t="n">
        <f aca="false">IFERROR(IF(INDEX(Documents!$C$5:$C$657,MATCH(H2844,Documents!$A$5:$A$657,0))="","",INDEX(Documents!$C$5:$C$657,MATCH(H2844,Documents!$A$5:$A$657,0))),"")</f>
        <v>2003</v>
      </c>
      <c r="J2844" s="25" t="str">
        <f aca="false">IFERROR(IF(INDEX(Documents!$D$5:$D$657,MATCH(H2844,Documents!$A$5:$A$657,0))="","",INDEX(Documents!$D$5:$D$657,MATCH(H2844,Documents!$A$5:$A$657,0))),"")</f>
        <v>J Med Chem</v>
      </c>
      <c r="K2844" s="25" t="str">
        <f aca="false">IFERROR(IF(INDEX(Documents!$G$5:$G$657,MATCH(H2844,Documents!$A$5:$A$657,0))="","",INDEX(Documents!$G$5:$G$657,MATCH(H2844,Documents!$A$5:$A$657,0))),"")</f>
        <v>10.1021/jm020329q</v>
      </c>
      <c r="L2844" s="25" t="s">
        <v>5271</v>
      </c>
    </row>
    <row r="2845" customFormat="false" ht="15" hidden="false" customHeight="false" outlineLevel="0" collapsed="false">
      <c r="A2845" s="25" t="n">
        <v>14574009</v>
      </c>
      <c r="B2845" s="25" t="s">
        <v>6075</v>
      </c>
      <c r="C2845" s="25" t="s">
        <v>6076</v>
      </c>
      <c r="D2845" s="26" t="n">
        <v>11</v>
      </c>
      <c r="E2845" s="27" t="n">
        <v>7.95860731484178</v>
      </c>
      <c r="F2845" s="27" t="n">
        <v>7.95860731484178</v>
      </c>
      <c r="G2845" s="25" t="s">
        <v>1357</v>
      </c>
      <c r="H2845" s="25" t="s">
        <v>1358</v>
      </c>
      <c r="I2845" s="25" t="n">
        <f aca="false">IFERROR(IF(INDEX(Documents!$C$5:$C$657,MATCH(H2845,Documents!$A$5:$A$657,0))="","",INDEX(Documents!$C$5:$C$657,MATCH(H2845,Documents!$A$5:$A$657,0))),"")</f>
        <v>2013</v>
      </c>
      <c r="J2845" s="25" t="str">
        <f aca="false">IFERROR(IF(INDEX(Documents!$D$5:$D$657,MATCH(H2845,Documents!$A$5:$A$657,0))="","",INDEX(Documents!$D$5:$D$657,MATCH(H2845,Documents!$A$5:$A$657,0))),"")</f>
        <v>J Med Chem</v>
      </c>
      <c r="K2845" s="25" t="str">
        <f aca="false">IFERROR(IF(INDEX(Documents!$G$5:$G$657,MATCH(H2845,Documents!$A$5:$A$657,0))="","",INDEX(Documents!$G$5:$G$657,MATCH(H2845,Documents!$A$5:$A$657,0))),"")</f>
        <v>10.1021/jm4005626</v>
      </c>
      <c r="L2845" s="25" t="s">
        <v>1359</v>
      </c>
    </row>
    <row r="2846" customFormat="false" ht="15" hidden="false" customHeight="false" outlineLevel="0" collapsed="false">
      <c r="A2846" s="25" t="n">
        <v>14574146</v>
      </c>
      <c r="B2846" s="25" t="s">
        <v>6077</v>
      </c>
      <c r="C2846" s="25" t="s">
        <v>6078</v>
      </c>
      <c r="D2846" s="26" t="n">
        <v>2</v>
      </c>
      <c r="E2846" s="27" t="n">
        <v>8.69897000433602</v>
      </c>
      <c r="F2846" s="27" t="n">
        <v>8.69897000433602</v>
      </c>
      <c r="G2846" s="25" t="s">
        <v>1357</v>
      </c>
      <c r="H2846" s="25" t="s">
        <v>1358</v>
      </c>
      <c r="I2846" s="25" t="n">
        <f aca="false">IFERROR(IF(INDEX(Documents!$C$5:$C$657,MATCH(H2846,Documents!$A$5:$A$657,0))="","",INDEX(Documents!$C$5:$C$657,MATCH(H2846,Documents!$A$5:$A$657,0))),"")</f>
        <v>2013</v>
      </c>
      <c r="J2846" s="25" t="str">
        <f aca="false">IFERROR(IF(INDEX(Documents!$D$5:$D$657,MATCH(H2846,Documents!$A$5:$A$657,0))="","",INDEX(Documents!$D$5:$D$657,MATCH(H2846,Documents!$A$5:$A$657,0))),"")</f>
        <v>J Med Chem</v>
      </c>
      <c r="K2846" s="25" t="str">
        <f aca="false">IFERROR(IF(INDEX(Documents!$G$5:$G$657,MATCH(H2846,Documents!$A$5:$A$657,0))="","",INDEX(Documents!$G$5:$G$657,MATCH(H2846,Documents!$A$5:$A$657,0))),"")</f>
        <v>10.1021/jm4005626</v>
      </c>
      <c r="L2846" s="25" t="s">
        <v>1359</v>
      </c>
    </row>
    <row r="2847" customFormat="false" ht="15" hidden="false" customHeight="false" outlineLevel="0" collapsed="false">
      <c r="A2847" s="25" t="n">
        <v>14573960</v>
      </c>
      <c r="B2847" s="25" t="s">
        <v>6079</v>
      </c>
      <c r="C2847" s="25" t="s">
        <v>6080</v>
      </c>
      <c r="D2847" s="26" t="n">
        <v>1.8</v>
      </c>
      <c r="E2847" s="27" t="n">
        <v>8.74472749489669</v>
      </c>
      <c r="F2847" s="27" t="n">
        <v>8.74472749489669</v>
      </c>
      <c r="G2847" s="25" t="s">
        <v>1357</v>
      </c>
      <c r="H2847" s="25" t="s">
        <v>1358</v>
      </c>
      <c r="I2847" s="25" t="n">
        <f aca="false">IFERROR(IF(INDEX(Documents!$C$5:$C$657,MATCH(H2847,Documents!$A$5:$A$657,0))="","",INDEX(Documents!$C$5:$C$657,MATCH(H2847,Documents!$A$5:$A$657,0))),"")</f>
        <v>2013</v>
      </c>
      <c r="J2847" s="25" t="str">
        <f aca="false">IFERROR(IF(INDEX(Documents!$D$5:$D$657,MATCH(H2847,Documents!$A$5:$A$657,0))="","",INDEX(Documents!$D$5:$D$657,MATCH(H2847,Documents!$A$5:$A$657,0))),"")</f>
        <v>J Med Chem</v>
      </c>
      <c r="K2847" s="25" t="str">
        <f aca="false">IFERROR(IF(INDEX(Documents!$G$5:$G$657,MATCH(H2847,Documents!$A$5:$A$657,0))="","",INDEX(Documents!$G$5:$G$657,MATCH(H2847,Documents!$A$5:$A$657,0))),"")</f>
        <v>10.1021/jm4005626</v>
      </c>
      <c r="L2847" s="25" t="s">
        <v>1359</v>
      </c>
    </row>
    <row r="2848" customFormat="false" ht="15" hidden="false" customHeight="false" outlineLevel="0" collapsed="false">
      <c r="A2848" s="25" t="n">
        <v>2118274</v>
      </c>
      <c r="B2848" s="25" t="s">
        <v>6081</v>
      </c>
      <c r="C2848" s="25" t="s">
        <v>6082</v>
      </c>
      <c r="D2848" s="26" t="n">
        <v>3.311</v>
      </c>
      <c r="E2848" s="27" t="n">
        <v>8.48004081924793</v>
      </c>
      <c r="F2848" s="27" t="n">
        <v>8.48076343968502</v>
      </c>
      <c r="G2848" s="25" t="s">
        <v>1199</v>
      </c>
      <c r="H2848" s="25" t="s">
        <v>1200</v>
      </c>
      <c r="I2848" s="25" t="n">
        <f aca="false">IFERROR(IF(INDEX(Documents!$C$5:$C$657,MATCH(H2848,Documents!$A$5:$A$657,0))="","",INDEX(Documents!$C$5:$C$657,MATCH(H2848,Documents!$A$5:$A$657,0))),"")</f>
        <v>2008</v>
      </c>
      <c r="J2848" s="25" t="str">
        <f aca="false">IFERROR(IF(INDEX(Documents!$D$5:$D$657,MATCH(H2848,Documents!$A$5:$A$657,0))="","",INDEX(Documents!$D$5:$D$657,MATCH(H2848,Documents!$A$5:$A$657,0))),"")</f>
        <v>J Med Chem</v>
      </c>
      <c r="K2848" s="25" t="str">
        <f aca="false">IFERROR(IF(INDEX(Documents!$G$5:$G$657,MATCH(H2848,Documents!$A$5:$A$657,0))="","",INDEX(Documents!$G$5:$G$657,MATCH(H2848,Documents!$A$5:$A$657,0))),"")</f>
        <v>10.1021/jm7011613</v>
      </c>
      <c r="L2848" s="25" t="s">
        <v>676</v>
      </c>
    </row>
    <row r="2849" customFormat="false" ht="15" hidden="false" customHeight="false" outlineLevel="0" collapsed="false">
      <c r="A2849" s="25" t="n">
        <v>2118275</v>
      </c>
      <c r="B2849" s="25" t="s">
        <v>6081</v>
      </c>
      <c r="C2849" s="25" t="s">
        <v>6082</v>
      </c>
      <c r="D2849" s="26" t="n">
        <v>3.3</v>
      </c>
      <c r="E2849" s="27" t="n">
        <v>8.48148606012211</v>
      </c>
      <c r="F2849" s="27" t="n">
        <v>8.48076343968502</v>
      </c>
      <c r="G2849" s="25" t="s">
        <v>1199</v>
      </c>
      <c r="H2849" s="25" t="s">
        <v>1200</v>
      </c>
      <c r="I2849" s="25" t="n">
        <f aca="false">IFERROR(IF(INDEX(Documents!$C$5:$C$657,MATCH(H2849,Documents!$A$5:$A$657,0))="","",INDEX(Documents!$C$5:$C$657,MATCH(H2849,Documents!$A$5:$A$657,0))),"")</f>
        <v>2008</v>
      </c>
      <c r="J2849" s="25" t="str">
        <f aca="false">IFERROR(IF(INDEX(Documents!$D$5:$D$657,MATCH(H2849,Documents!$A$5:$A$657,0))="","",INDEX(Documents!$D$5:$D$657,MATCH(H2849,Documents!$A$5:$A$657,0))),"")</f>
        <v>J Med Chem</v>
      </c>
      <c r="K2849" s="25" t="str">
        <f aca="false">IFERROR(IF(INDEX(Documents!$G$5:$G$657,MATCH(H2849,Documents!$A$5:$A$657,0))="","",INDEX(Documents!$G$5:$G$657,MATCH(H2849,Documents!$A$5:$A$657,0))),"")</f>
        <v>10.1021/jm7011613</v>
      </c>
      <c r="L2849" s="25" t="s">
        <v>676</v>
      </c>
    </row>
    <row r="2850" customFormat="false" ht="15" hidden="false" customHeight="false" outlineLevel="0" collapsed="false">
      <c r="A2850" s="25" t="n">
        <v>380174</v>
      </c>
      <c r="B2850" s="25" t="s">
        <v>6083</v>
      </c>
      <c r="C2850" s="25" t="s">
        <v>6084</v>
      </c>
      <c r="D2850" s="26" t="n">
        <v>1</v>
      </c>
      <c r="E2850" s="27" t="n">
        <v>9</v>
      </c>
      <c r="F2850" s="27" t="n">
        <v>9</v>
      </c>
      <c r="G2850" s="25" t="s">
        <v>5269</v>
      </c>
      <c r="H2850" s="25" t="s">
        <v>5270</v>
      </c>
      <c r="I2850" s="25" t="n">
        <f aca="false">IFERROR(IF(INDEX(Documents!$C$5:$C$657,MATCH(H2850,Documents!$A$5:$A$657,0))="","",INDEX(Documents!$C$5:$C$657,MATCH(H2850,Documents!$A$5:$A$657,0))),"")</f>
        <v>2003</v>
      </c>
      <c r="J2850" s="25" t="str">
        <f aca="false">IFERROR(IF(INDEX(Documents!$D$5:$D$657,MATCH(H2850,Documents!$A$5:$A$657,0))="","",INDEX(Documents!$D$5:$D$657,MATCH(H2850,Documents!$A$5:$A$657,0))),"")</f>
        <v>J Med Chem</v>
      </c>
      <c r="K2850" s="25" t="str">
        <f aca="false">IFERROR(IF(INDEX(Documents!$G$5:$G$657,MATCH(H2850,Documents!$A$5:$A$657,0))="","",INDEX(Documents!$G$5:$G$657,MATCH(H2850,Documents!$A$5:$A$657,0))),"")</f>
        <v>10.1021/jm020329q</v>
      </c>
      <c r="L2850" s="25" t="s">
        <v>5271</v>
      </c>
    </row>
    <row r="2851" customFormat="false" ht="15" hidden="false" customHeight="false" outlineLevel="0" collapsed="false">
      <c r="A2851" s="25" t="n">
        <v>13405031</v>
      </c>
      <c r="B2851" s="25" t="s">
        <v>6085</v>
      </c>
      <c r="C2851" s="25" t="s">
        <v>6086</v>
      </c>
      <c r="D2851" s="26" t="n">
        <v>70.1</v>
      </c>
      <c r="E2851" s="27" t="n">
        <v>7.15428198203334</v>
      </c>
      <c r="F2851" s="27" t="n">
        <v>7.15428198203334</v>
      </c>
      <c r="G2851" s="25" t="s">
        <v>2692</v>
      </c>
      <c r="H2851" s="25" t="s">
        <v>2693</v>
      </c>
      <c r="I2851" s="25" t="n">
        <f aca="false">IFERROR(IF(INDEX(Documents!$C$5:$C$657,MATCH(H2851,Documents!$A$5:$A$657,0))="","",INDEX(Documents!$C$5:$C$657,MATCH(H2851,Documents!$A$5:$A$657,0))),"")</f>
        <v>2013</v>
      </c>
      <c r="J2851" s="25" t="str">
        <f aca="false">IFERROR(IF(INDEX(Documents!$D$5:$D$657,MATCH(H2851,Documents!$A$5:$A$657,0))="","",INDEX(Documents!$D$5:$D$657,MATCH(H2851,Documents!$A$5:$A$657,0))),"")</f>
        <v>Bioorg Med Chem</v>
      </c>
      <c r="K2851" s="25" t="str">
        <f aca="false">IFERROR(IF(INDEX(Documents!$G$5:$G$657,MATCH(H2851,Documents!$A$5:$A$657,0))="","",INDEX(Documents!$G$5:$G$657,MATCH(H2851,Documents!$A$5:$A$657,0))),"")</f>
        <v>10.1016/j.bmc.2013.06.010</v>
      </c>
      <c r="L2851" s="25" t="s">
        <v>2694</v>
      </c>
    </row>
    <row r="2852" customFormat="false" ht="15" hidden="false" customHeight="false" outlineLevel="0" collapsed="false">
      <c r="A2852" s="25" t="n">
        <v>2504017</v>
      </c>
      <c r="B2852" s="25" t="s">
        <v>6087</v>
      </c>
      <c r="C2852" s="25" t="s">
        <v>6088</v>
      </c>
      <c r="D2852" s="26" t="n">
        <v>0.9</v>
      </c>
      <c r="E2852" s="27" t="n">
        <v>9.04575749056068</v>
      </c>
      <c r="F2852" s="27" t="n">
        <v>9.04575749056068</v>
      </c>
      <c r="G2852" s="25" t="s">
        <v>1831</v>
      </c>
      <c r="H2852" s="25" t="s">
        <v>1832</v>
      </c>
      <c r="I2852" s="25" t="n">
        <f aca="false">IFERROR(IF(INDEX(Documents!$C$5:$C$657,MATCH(H2852,Documents!$A$5:$A$657,0))="","",INDEX(Documents!$C$5:$C$657,MATCH(H2852,Documents!$A$5:$A$657,0))),"")</f>
        <v>2008</v>
      </c>
      <c r="J2852" s="25" t="str">
        <f aca="false">IFERROR(IF(INDEX(Documents!$D$5:$D$657,MATCH(H2852,Documents!$A$5:$A$657,0))="","",INDEX(Documents!$D$5:$D$657,MATCH(H2852,Documents!$A$5:$A$657,0))),"")</f>
        <v>Bioorg Med Chem Lett</v>
      </c>
      <c r="K2852" s="25" t="str">
        <f aca="false">IFERROR(IF(INDEX(Documents!$G$5:$G$657,MATCH(H2852,Documents!$A$5:$A$657,0))="","",INDEX(Documents!$G$5:$G$657,MATCH(H2852,Documents!$A$5:$A$657,0))),"")</f>
        <v>10.1016/j.bmcl.2008.10.070</v>
      </c>
      <c r="L2852" s="25" t="s">
        <v>515</v>
      </c>
    </row>
    <row r="2853" customFormat="false" ht="15" hidden="false" customHeight="false" outlineLevel="0" collapsed="false">
      <c r="A2853" s="25" t="n">
        <v>2033371</v>
      </c>
      <c r="B2853" s="25" t="s">
        <v>6089</v>
      </c>
      <c r="C2853" s="25" t="s">
        <v>6090</v>
      </c>
      <c r="D2853" s="26" t="n">
        <v>18</v>
      </c>
      <c r="E2853" s="27" t="n">
        <v>7.74472749489669</v>
      </c>
      <c r="F2853" s="27" t="n">
        <v>7.74472749489669</v>
      </c>
      <c r="G2853" s="25" t="s">
        <v>1133</v>
      </c>
      <c r="H2853" s="25" t="s">
        <v>1134</v>
      </c>
      <c r="I2853" s="25" t="n">
        <f aca="false">IFERROR(IF(INDEX(Documents!$C$5:$C$657,MATCH(H2853,Documents!$A$5:$A$657,0))="","",INDEX(Documents!$C$5:$C$657,MATCH(H2853,Documents!$A$5:$A$657,0))),"")</f>
        <v>2007</v>
      </c>
      <c r="J2853" s="25" t="str">
        <f aca="false">IFERROR(IF(INDEX(Documents!$D$5:$D$657,MATCH(H2853,Documents!$A$5:$A$657,0))="","",INDEX(Documents!$D$5:$D$657,MATCH(H2853,Documents!$A$5:$A$657,0))),"")</f>
        <v>Bioorg Med Chem Lett</v>
      </c>
      <c r="K2853" s="25" t="str">
        <f aca="false">IFERROR(IF(INDEX(Documents!$G$5:$G$657,MATCH(H2853,Documents!$A$5:$A$657,0))="","",INDEX(Documents!$G$5:$G$657,MATCH(H2853,Documents!$A$5:$A$657,0))),"")</f>
        <v>10.1016/j.bmcl.2007.04.093</v>
      </c>
      <c r="L2853" s="25" t="s">
        <v>775</v>
      </c>
    </row>
    <row r="2854" customFormat="false" ht="15" hidden="false" customHeight="false" outlineLevel="0" collapsed="false">
      <c r="A2854" s="25" t="n">
        <v>1969360</v>
      </c>
      <c r="B2854" s="25" t="s">
        <v>6091</v>
      </c>
      <c r="C2854" s="25" t="s">
        <v>6092</v>
      </c>
      <c r="D2854" s="26" t="n">
        <v>1.1</v>
      </c>
      <c r="E2854" s="27" t="n">
        <v>8.95860731484178</v>
      </c>
      <c r="F2854" s="27" t="n">
        <v>8.95860731484178</v>
      </c>
      <c r="G2854" s="25" t="s">
        <v>1895</v>
      </c>
      <c r="H2854" s="25" t="s">
        <v>1896</v>
      </c>
      <c r="I2854" s="25" t="n">
        <f aca="false">IFERROR(IF(INDEX(Documents!$C$5:$C$657,MATCH(H2854,Documents!$A$5:$A$657,0))="","",INDEX(Documents!$C$5:$C$657,MATCH(H2854,Documents!$A$5:$A$657,0))),"")</f>
        <v>2007</v>
      </c>
      <c r="J2854" s="25" t="str">
        <f aca="false">IFERROR(IF(INDEX(Documents!$D$5:$D$657,MATCH(H2854,Documents!$A$5:$A$657,0))="","",INDEX(Documents!$D$5:$D$657,MATCH(H2854,Documents!$A$5:$A$657,0))),"")</f>
        <v>Bioorg Med Chem Lett</v>
      </c>
      <c r="K2854" s="25" t="str">
        <f aca="false">IFERROR(IF(INDEX(Documents!$G$5:$G$657,MATCH(H2854,Documents!$A$5:$A$657,0))="","",INDEX(Documents!$G$5:$G$657,MATCH(H2854,Documents!$A$5:$A$657,0))),"")</f>
        <v>10.1016/j.bmcl.2007.04.099</v>
      </c>
      <c r="L2854" s="25" t="s">
        <v>515</v>
      </c>
    </row>
    <row r="2855" customFormat="false" ht="15" hidden="false" customHeight="false" outlineLevel="0" collapsed="false">
      <c r="A2855" s="25" t="n">
        <v>25443271</v>
      </c>
      <c r="B2855" s="25" t="s">
        <v>6093</v>
      </c>
      <c r="C2855" s="25" t="s">
        <v>6094</v>
      </c>
      <c r="D2855" s="26" t="n">
        <v>387.4</v>
      </c>
      <c r="E2855" s="27" t="n">
        <v>6.41184038361691</v>
      </c>
      <c r="F2855" s="27" t="n">
        <v>6.41184038361691</v>
      </c>
      <c r="G2855" s="25" t="s">
        <v>2956</v>
      </c>
      <c r="H2855" s="25" t="s">
        <v>2957</v>
      </c>
      <c r="I2855" s="25" t="n">
        <f aca="false">IFERROR(IF(INDEX(Documents!$C$5:$C$657,MATCH(H2855,Documents!$A$5:$A$657,0))="","",INDEX(Documents!$C$5:$C$657,MATCH(H2855,Documents!$A$5:$A$657,0))),"")</f>
        <v>2023</v>
      </c>
      <c r="J2855" s="25" t="str">
        <f aca="false">IFERROR(IF(INDEX(Documents!$D$5:$D$657,MATCH(H2855,Documents!$A$5:$A$657,0))="","",INDEX(Documents!$D$5:$D$657,MATCH(H2855,Documents!$A$5:$A$657,0))),"")</f>
        <v>J Med Chem</v>
      </c>
      <c r="K2855" s="25" t="str">
        <f aca="false">IFERROR(IF(INDEX(Documents!$G$5:$G$657,MATCH(H2855,Documents!$A$5:$A$657,0))="","",INDEX(Documents!$G$5:$G$657,MATCH(H2855,Documents!$A$5:$A$657,0))),"")</f>
        <v>10.1021/acs.jmedchem.2c01084</v>
      </c>
      <c r="L2855" s="25" t="s">
        <v>2958</v>
      </c>
    </row>
    <row r="2856" customFormat="false" ht="15" hidden="false" customHeight="false" outlineLevel="0" collapsed="false">
      <c r="A2856" s="25" t="n">
        <v>353194</v>
      </c>
      <c r="B2856" s="25" t="s">
        <v>6095</v>
      </c>
      <c r="C2856" s="25" t="s">
        <v>6096</v>
      </c>
      <c r="D2856" s="26" t="n">
        <v>77</v>
      </c>
      <c r="E2856" s="27" t="n">
        <v>7.11350927482752</v>
      </c>
      <c r="F2856" s="27" t="n">
        <v>7.11350927482752</v>
      </c>
      <c r="G2856" s="25" t="s">
        <v>5269</v>
      </c>
      <c r="H2856" s="25" t="s">
        <v>5270</v>
      </c>
      <c r="I2856" s="25" t="n">
        <f aca="false">IFERROR(IF(INDEX(Documents!$C$5:$C$657,MATCH(H2856,Documents!$A$5:$A$657,0))="","",INDEX(Documents!$C$5:$C$657,MATCH(H2856,Documents!$A$5:$A$657,0))),"")</f>
        <v>2003</v>
      </c>
      <c r="J2856" s="25" t="str">
        <f aca="false">IFERROR(IF(INDEX(Documents!$D$5:$D$657,MATCH(H2856,Documents!$A$5:$A$657,0))="","",INDEX(Documents!$D$5:$D$657,MATCH(H2856,Documents!$A$5:$A$657,0))),"")</f>
        <v>J Med Chem</v>
      </c>
      <c r="K2856" s="25" t="str">
        <f aca="false">IFERROR(IF(INDEX(Documents!$G$5:$G$657,MATCH(H2856,Documents!$A$5:$A$657,0))="","",INDEX(Documents!$G$5:$G$657,MATCH(H2856,Documents!$A$5:$A$657,0))),"")</f>
        <v>10.1021/jm020329q</v>
      </c>
      <c r="L2856" s="25" t="s">
        <v>5271</v>
      </c>
    </row>
    <row r="2857" customFormat="false" ht="15" hidden="false" customHeight="false" outlineLevel="0" collapsed="false">
      <c r="A2857" s="25" t="n">
        <v>2096600</v>
      </c>
      <c r="B2857" s="25" t="s">
        <v>6097</v>
      </c>
      <c r="C2857" s="25" t="s">
        <v>6098</v>
      </c>
      <c r="D2857" s="26" t="n">
        <v>22800</v>
      </c>
      <c r="E2857" s="27" t="n">
        <v>4.64206515299955</v>
      </c>
      <c r="F2857" s="27" t="n">
        <v>4.64206515299955</v>
      </c>
      <c r="G2857" s="25" t="s">
        <v>4060</v>
      </c>
      <c r="H2857" s="25" t="s">
        <v>4061</v>
      </c>
      <c r="I2857" s="25" t="n">
        <f aca="false">IFERROR(IF(INDEX(Documents!$C$5:$C$657,MATCH(H2857,Documents!$A$5:$A$657,0))="","",INDEX(Documents!$C$5:$C$657,MATCH(H2857,Documents!$A$5:$A$657,0))),"")</f>
        <v>2008</v>
      </c>
      <c r="J2857" s="25" t="str">
        <f aca="false">IFERROR(IF(INDEX(Documents!$D$5:$D$657,MATCH(H2857,Documents!$A$5:$A$657,0))="","",INDEX(Documents!$D$5:$D$657,MATCH(H2857,Documents!$A$5:$A$657,0))),"")</f>
        <v>Bioorg Med Chem Lett</v>
      </c>
      <c r="K2857" s="25" t="str">
        <f aca="false">IFERROR(IF(INDEX(Documents!$G$5:$G$657,MATCH(H2857,Documents!$A$5:$A$657,0))="","",INDEX(Documents!$G$5:$G$657,MATCH(H2857,Documents!$A$5:$A$657,0))),"")</f>
        <v>10.1016/j.bmcl.2007.11.133</v>
      </c>
      <c r="L2857" s="25" t="s">
        <v>4062</v>
      </c>
    </row>
    <row r="2858" customFormat="false" ht="15" hidden="false" customHeight="false" outlineLevel="0" collapsed="false">
      <c r="A2858" s="25" t="n">
        <v>2413503</v>
      </c>
      <c r="B2858" s="25" t="s">
        <v>6099</v>
      </c>
      <c r="C2858" s="25" t="s">
        <v>6100</v>
      </c>
      <c r="D2858" s="26" t="n">
        <v>5670</v>
      </c>
      <c r="E2858" s="27" t="n">
        <v>5.24641694110709</v>
      </c>
      <c r="F2858" s="27" t="n">
        <v>5.24641694110709</v>
      </c>
      <c r="G2858" s="25" t="s">
        <v>5772</v>
      </c>
      <c r="H2858" s="25" t="s">
        <v>5773</v>
      </c>
      <c r="I2858" s="25" t="n">
        <f aca="false">IFERROR(IF(INDEX(Documents!$C$5:$C$657,MATCH(H2858,Documents!$A$5:$A$657,0))="","",INDEX(Documents!$C$5:$C$657,MATCH(H2858,Documents!$A$5:$A$657,0))),"")</f>
        <v>2009</v>
      </c>
      <c r="J2858" s="25" t="str">
        <f aca="false">IFERROR(IF(INDEX(Documents!$D$5:$D$657,MATCH(H2858,Documents!$A$5:$A$657,0))="","",INDEX(Documents!$D$5:$D$657,MATCH(H2858,Documents!$A$5:$A$657,0))),"")</f>
        <v>Bioorg Med Chem</v>
      </c>
      <c r="K2858" s="25" t="str">
        <f aca="false">IFERROR(IF(INDEX(Documents!$G$5:$G$657,MATCH(H2858,Documents!$A$5:$A$657,0))="","",INDEX(Documents!$G$5:$G$657,MATCH(H2858,Documents!$A$5:$A$657,0))),"")</f>
        <v>10.1016/j.bmc.2009.02.027</v>
      </c>
      <c r="L2858" s="25" t="s">
        <v>5774</v>
      </c>
    </row>
    <row r="2859" customFormat="false" ht="15" hidden="false" customHeight="false" outlineLevel="0" collapsed="false">
      <c r="A2859" s="25" t="n">
        <v>13321881</v>
      </c>
      <c r="B2859" s="25" t="s">
        <v>6101</v>
      </c>
      <c r="C2859" s="25" t="s">
        <v>6102</v>
      </c>
      <c r="D2859" s="26" t="n">
        <v>338</v>
      </c>
      <c r="E2859" s="27" t="n">
        <v>6.47108329972235</v>
      </c>
      <c r="F2859" s="27" t="n">
        <v>6.47108329972235</v>
      </c>
      <c r="G2859" s="25" t="s">
        <v>3101</v>
      </c>
      <c r="H2859" s="25" t="s">
        <v>3102</v>
      </c>
      <c r="I2859" s="25" t="n">
        <f aca="false">IFERROR(IF(INDEX(Documents!$C$5:$C$657,MATCH(H2859,Documents!$A$5:$A$657,0))="","",INDEX(Documents!$C$5:$C$657,MATCH(H2859,Documents!$A$5:$A$657,0))),"")</f>
        <v>2013</v>
      </c>
      <c r="J2859" s="25" t="str">
        <f aca="false">IFERROR(IF(INDEX(Documents!$D$5:$D$657,MATCH(H2859,Documents!$A$5:$A$657,0))="","",INDEX(Documents!$D$5:$D$657,MATCH(H2859,Documents!$A$5:$A$657,0))),"")</f>
        <v>J Med Chem</v>
      </c>
      <c r="K2859" s="25" t="str">
        <f aca="false">IFERROR(IF(INDEX(Documents!$G$5:$G$657,MATCH(H2859,Documents!$A$5:$A$657,0))="","",INDEX(Documents!$G$5:$G$657,MATCH(H2859,Documents!$A$5:$A$657,0))),"")</f>
        <v>10.1021/jm4005175</v>
      </c>
      <c r="L2859" s="25" t="s">
        <v>3103</v>
      </c>
    </row>
    <row r="2860" customFormat="false" ht="15" hidden="false" customHeight="false" outlineLevel="0" collapsed="false">
      <c r="A2860" s="25" t="n">
        <v>13321883</v>
      </c>
      <c r="B2860" s="25" t="s">
        <v>6103</v>
      </c>
      <c r="C2860" s="25" t="s">
        <v>6104</v>
      </c>
      <c r="D2860" s="26" t="n">
        <v>795</v>
      </c>
      <c r="E2860" s="27" t="n">
        <v>6.09963287134353</v>
      </c>
      <c r="F2860" s="27" t="n">
        <v>6.09963287134353</v>
      </c>
      <c r="G2860" s="25" t="s">
        <v>3101</v>
      </c>
      <c r="H2860" s="25" t="s">
        <v>3102</v>
      </c>
      <c r="I2860" s="25" t="n">
        <f aca="false">IFERROR(IF(INDEX(Documents!$C$5:$C$657,MATCH(H2860,Documents!$A$5:$A$657,0))="","",INDEX(Documents!$C$5:$C$657,MATCH(H2860,Documents!$A$5:$A$657,0))),"")</f>
        <v>2013</v>
      </c>
      <c r="J2860" s="25" t="str">
        <f aca="false">IFERROR(IF(INDEX(Documents!$D$5:$D$657,MATCH(H2860,Documents!$A$5:$A$657,0))="","",INDEX(Documents!$D$5:$D$657,MATCH(H2860,Documents!$A$5:$A$657,0))),"")</f>
        <v>J Med Chem</v>
      </c>
      <c r="K2860" s="25" t="str">
        <f aca="false">IFERROR(IF(INDEX(Documents!$G$5:$G$657,MATCH(H2860,Documents!$A$5:$A$657,0))="","",INDEX(Documents!$G$5:$G$657,MATCH(H2860,Documents!$A$5:$A$657,0))),"")</f>
        <v>10.1021/jm4005175</v>
      </c>
      <c r="L2860" s="25" t="s">
        <v>3103</v>
      </c>
    </row>
    <row r="2861" customFormat="false" ht="15" hidden="false" customHeight="false" outlineLevel="0" collapsed="false">
      <c r="A2861" s="25" t="n">
        <v>13321884</v>
      </c>
      <c r="B2861" s="25" t="s">
        <v>6105</v>
      </c>
      <c r="C2861" s="25" t="s">
        <v>6106</v>
      </c>
      <c r="D2861" s="26" t="n">
        <v>6830</v>
      </c>
      <c r="E2861" s="27" t="n">
        <v>5.16557929631847</v>
      </c>
      <c r="F2861" s="27" t="n">
        <v>5.16557929631847</v>
      </c>
      <c r="G2861" s="25" t="s">
        <v>3101</v>
      </c>
      <c r="H2861" s="25" t="s">
        <v>3102</v>
      </c>
      <c r="I2861" s="25" t="n">
        <f aca="false">IFERROR(IF(INDEX(Documents!$C$5:$C$657,MATCH(H2861,Documents!$A$5:$A$657,0))="","",INDEX(Documents!$C$5:$C$657,MATCH(H2861,Documents!$A$5:$A$657,0))),"")</f>
        <v>2013</v>
      </c>
      <c r="J2861" s="25" t="str">
        <f aca="false">IFERROR(IF(INDEX(Documents!$D$5:$D$657,MATCH(H2861,Documents!$A$5:$A$657,0))="","",INDEX(Documents!$D$5:$D$657,MATCH(H2861,Documents!$A$5:$A$657,0))),"")</f>
        <v>J Med Chem</v>
      </c>
      <c r="K2861" s="25" t="str">
        <f aca="false">IFERROR(IF(INDEX(Documents!$G$5:$G$657,MATCH(H2861,Documents!$A$5:$A$657,0))="","",INDEX(Documents!$G$5:$G$657,MATCH(H2861,Documents!$A$5:$A$657,0))),"")</f>
        <v>10.1021/jm4005175</v>
      </c>
      <c r="L2861" s="25" t="s">
        <v>3103</v>
      </c>
    </row>
    <row r="2862" customFormat="false" ht="15" hidden="false" customHeight="false" outlineLevel="0" collapsed="false">
      <c r="A2862" s="25" t="n">
        <v>2413509</v>
      </c>
      <c r="B2862" s="25" t="s">
        <v>6107</v>
      </c>
      <c r="C2862" s="25" t="s">
        <v>6108</v>
      </c>
      <c r="D2862" s="26" t="n">
        <v>1030</v>
      </c>
      <c r="E2862" s="27" t="n">
        <v>5.98716277529483</v>
      </c>
      <c r="F2862" s="27" t="n">
        <v>5.98716277529483</v>
      </c>
      <c r="G2862" s="25" t="s">
        <v>5772</v>
      </c>
      <c r="H2862" s="25" t="s">
        <v>5773</v>
      </c>
      <c r="I2862" s="25" t="n">
        <f aca="false">IFERROR(IF(INDEX(Documents!$C$5:$C$657,MATCH(H2862,Documents!$A$5:$A$657,0))="","",INDEX(Documents!$C$5:$C$657,MATCH(H2862,Documents!$A$5:$A$657,0))),"")</f>
        <v>2009</v>
      </c>
      <c r="J2862" s="25" t="str">
        <f aca="false">IFERROR(IF(INDEX(Documents!$D$5:$D$657,MATCH(H2862,Documents!$A$5:$A$657,0))="","",INDEX(Documents!$D$5:$D$657,MATCH(H2862,Documents!$A$5:$A$657,0))),"")</f>
        <v>Bioorg Med Chem</v>
      </c>
      <c r="K2862" s="25" t="str">
        <f aca="false">IFERROR(IF(INDEX(Documents!$G$5:$G$657,MATCH(H2862,Documents!$A$5:$A$657,0))="","",INDEX(Documents!$G$5:$G$657,MATCH(H2862,Documents!$A$5:$A$657,0))),"")</f>
        <v>10.1016/j.bmc.2009.02.027</v>
      </c>
      <c r="L2862" s="25" t="s">
        <v>5774</v>
      </c>
    </row>
    <row r="2863" customFormat="false" ht="15" hidden="false" customHeight="false" outlineLevel="0" collapsed="false">
      <c r="A2863" s="25" t="n">
        <v>2413504</v>
      </c>
      <c r="B2863" s="25" t="s">
        <v>6109</v>
      </c>
      <c r="C2863" s="25" t="s">
        <v>6110</v>
      </c>
      <c r="D2863" s="26" t="n">
        <v>3650</v>
      </c>
      <c r="E2863" s="27" t="n">
        <v>5.43770713554353</v>
      </c>
      <c r="F2863" s="27" t="n">
        <v>5.43770713554353</v>
      </c>
      <c r="G2863" s="25" t="s">
        <v>5772</v>
      </c>
      <c r="H2863" s="25" t="s">
        <v>5773</v>
      </c>
      <c r="I2863" s="25" t="n">
        <f aca="false">IFERROR(IF(INDEX(Documents!$C$5:$C$657,MATCH(H2863,Documents!$A$5:$A$657,0))="","",INDEX(Documents!$C$5:$C$657,MATCH(H2863,Documents!$A$5:$A$657,0))),"")</f>
        <v>2009</v>
      </c>
      <c r="J2863" s="25" t="str">
        <f aca="false">IFERROR(IF(INDEX(Documents!$D$5:$D$657,MATCH(H2863,Documents!$A$5:$A$657,0))="","",INDEX(Documents!$D$5:$D$657,MATCH(H2863,Documents!$A$5:$A$657,0))),"")</f>
        <v>Bioorg Med Chem</v>
      </c>
      <c r="K2863" s="25" t="str">
        <f aca="false">IFERROR(IF(INDEX(Documents!$G$5:$G$657,MATCH(H2863,Documents!$A$5:$A$657,0))="","",INDEX(Documents!$G$5:$G$657,MATCH(H2863,Documents!$A$5:$A$657,0))),"")</f>
        <v>10.1016/j.bmc.2009.02.027</v>
      </c>
      <c r="L2863" s="25" t="s">
        <v>5774</v>
      </c>
    </row>
    <row r="2864" customFormat="false" ht="15" hidden="false" customHeight="false" outlineLevel="0" collapsed="false">
      <c r="A2864" s="25" t="n">
        <v>2413506</v>
      </c>
      <c r="B2864" s="25" t="s">
        <v>6111</v>
      </c>
      <c r="C2864" s="25" t="s">
        <v>6112</v>
      </c>
      <c r="D2864" s="26" t="n">
        <v>3490</v>
      </c>
      <c r="E2864" s="27" t="n">
        <v>5.45717457304082</v>
      </c>
      <c r="F2864" s="27" t="n">
        <v>5.45717457304082</v>
      </c>
      <c r="G2864" s="25" t="s">
        <v>5772</v>
      </c>
      <c r="H2864" s="25" t="s">
        <v>5773</v>
      </c>
      <c r="I2864" s="25" t="n">
        <f aca="false">IFERROR(IF(INDEX(Documents!$C$5:$C$657,MATCH(H2864,Documents!$A$5:$A$657,0))="","",INDEX(Documents!$C$5:$C$657,MATCH(H2864,Documents!$A$5:$A$657,0))),"")</f>
        <v>2009</v>
      </c>
      <c r="J2864" s="25" t="str">
        <f aca="false">IFERROR(IF(INDEX(Documents!$D$5:$D$657,MATCH(H2864,Documents!$A$5:$A$657,0))="","",INDEX(Documents!$D$5:$D$657,MATCH(H2864,Documents!$A$5:$A$657,0))),"")</f>
        <v>Bioorg Med Chem</v>
      </c>
      <c r="K2864" s="25" t="str">
        <f aca="false">IFERROR(IF(INDEX(Documents!$G$5:$G$657,MATCH(H2864,Documents!$A$5:$A$657,0))="","",INDEX(Documents!$G$5:$G$657,MATCH(H2864,Documents!$A$5:$A$657,0))),"")</f>
        <v>10.1016/j.bmc.2009.02.027</v>
      </c>
      <c r="L2864" s="25" t="s">
        <v>5774</v>
      </c>
    </row>
    <row r="2865" customFormat="false" ht="15" hidden="false" customHeight="false" outlineLevel="0" collapsed="false">
      <c r="A2865" s="25" t="n">
        <v>2413528</v>
      </c>
      <c r="B2865" s="25" t="s">
        <v>6113</v>
      </c>
      <c r="C2865" s="25" t="s">
        <v>6114</v>
      </c>
      <c r="D2865" s="26" t="n">
        <v>2060</v>
      </c>
      <c r="E2865" s="27" t="n">
        <v>5.68613277963085</v>
      </c>
      <c r="F2865" s="27" t="n">
        <v>5.68613277963085</v>
      </c>
      <c r="G2865" s="25" t="s">
        <v>5772</v>
      </c>
      <c r="H2865" s="25" t="s">
        <v>5773</v>
      </c>
      <c r="I2865" s="25" t="n">
        <f aca="false">IFERROR(IF(INDEX(Documents!$C$5:$C$657,MATCH(H2865,Documents!$A$5:$A$657,0))="","",INDEX(Documents!$C$5:$C$657,MATCH(H2865,Documents!$A$5:$A$657,0))),"")</f>
        <v>2009</v>
      </c>
      <c r="J2865" s="25" t="str">
        <f aca="false">IFERROR(IF(INDEX(Documents!$D$5:$D$657,MATCH(H2865,Documents!$A$5:$A$657,0))="","",INDEX(Documents!$D$5:$D$657,MATCH(H2865,Documents!$A$5:$A$657,0))),"")</f>
        <v>Bioorg Med Chem</v>
      </c>
      <c r="K2865" s="25" t="str">
        <f aca="false">IFERROR(IF(INDEX(Documents!$G$5:$G$657,MATCH(H2865,Documents!$A$5:$A$657,0))="","",INDEX(Documents!$G$5:$G$657,MATCH(H2865,Documents!$A$5:$A$657,0))),"")</f>
        <v>10.1016/j.bmc.2009.02.027</v>
      </c>
      <c r="L2865" s="25" t="s">
        <v>5774</v>
      </c>
    </row>
    <row r="2866" customFormat="false" ht="15" hidden="false" customHeight="false" outlineLevel="0" collapsed="false">
      <c r="A2866" s="25" t="n">
        <v>366142</v>
      </c>
      <c r="B2866" s="25" t="s">
        <v>6115</v>
      </c>
      <c r="C2866" s="25" t="s">
        <v>6116</v>
      </c>
      <c r="D2866" s="26" t="n">
        <v>67</v>
      </c>
      <c r="E2866" s="27" t="n">
        <v>7.17392519729917</v>
      </c>
      <c r="F2866" s="27" t="n">
        <v>7.17392519729917</v>
      </c>
      <c r="G2866" s="25" t="s">
        <v>5269</v>
      </c>
      <c r="H2866" s="25" t="s">
        <v>5270</v>
      </c>
      <c r="I2866" s="25" t="n">
        <f aca="false">IFERROR(IF(INDEX(Documents!$C$5:$C$657,MATCH(H2866,Documents!$A$5:$A$657,0))="","",INDEX(Documents!$C$5:$C$657,MATCH(H2866,Documents!$A$5:$A$657,0))),"")</f>
        <v>2003</v>
      </c>
      <c r="J2866" s="25" t="str">
        <f aca="false">IFERROR(IF(INDEX(Documents!$D$5:$D$657,MATCH(H2866,Documents!$A$5:$A$657,0))="","",INDEX(Documents!$D$5:$D$657,MATCH(H2866,Documents!$A$5:$A$657,0))),"")</f>
        <v>J Med Chem</v>
      </c>
      <c r="K2866" s="25" t="str">
        <f aca="false">IFERROR(IF(INDEX(Documents!$G$5:$G$657,MATCH(H2866,Documents!$A$5:$A$657,0))="","",INDEX(Documents!$G$5:$G$657,MATCH(H2866,Documents!$A$5:$A$657,0))),"")</f>
        <v>10.1021/jm020329q</v>
      </c>
      <c r="L2866" s="25" t="s">
        <v>5271</v>
      </c>
    </row>
    <row r="2867" customFormat="false" ht="15" hidden="false" customHeight="false" outlineLevel="0" collapsed="false">
      <c r="A2867" s="25" t="n">
        <v>18588968</v>
      </c>
      <c r="B2867" s="25" t="s">
        <v>6117</v>
      </c>
      <c r="C2867" s="25" t="s">
        <v>6118</v>
      </c>
      <c r="D2867" s="26" t="n">
        <v>5000</v>
      </c>
      <c r="E2867" s="27" t="n">
        <v>5.30102999566398</v>
      </c>
      <c r="F2867" s="27" t="n">
        <v>5.30102999566398</v>
      </c>
      <c r="G2867" s="25" t="s">
        <v>1175</v>
      </c>
      <c r="H2867" s="25" t="s">
        <v>1176</v>
      </c>
      <c r="I2867" s="25" t="n">
        <f aca="false">IFERROR(IF(INDEX(Documents!$C$5:$C$657,MATCH(H2867,Documents!$A$5:$A$657,0))="","",INDEX(Documents!$C$5:$C$657,MATCH(H2867,Documents!$A$5:$A$657,0))),"")</f>
        <v>2018</v>
      </c>
      <c r="J2867" s="25" t="str">
        <f aca="false">IFERROR(IF(INDEX(Documents!$D$5:$D$657,MATCH(H2867,Documents!$A$5:$A$657,0))="","",INDEX(Documents!$D$5:$D$657,MATCH(H2867,Documents!$A$5:$A$657,0))),"")</f>
        <v>J Med Chem</v>
      </c>
      <c r="K2867" s="25" t="str">
        <f aca="false">IFERROR(IF(INDEX(Documents!$G$5:$G$657,MATCH(H2867,Documents!$A$5:$A$657,0))="","",INDEX(Documents!$G$5:$G$657,MATCH(H2867,Documents!$A$5:$A$657,0))),"")</f>
        <v>10.1021/acs.jmedchem.7b01820</v>
      </c>
      <c r="L2867" s="25" t="s">
        <v>1177</v>
      </c>
    </row>
    <row r="2868" customFormat="false" ht="15" hidden="false" customHeight="false" outlineLevel="0" collapsed="false">
      <c r="A2868" s="25" t="n">
        <v>2691003</v>
      </c>
      <c r="B2868" s="25" t="s">
        <v>6119</v>
      </c>
      <c r="C2868" s="25" t="s">
        <v>6120</v>
      </c>
      <c r="D2868" s="26" t="n">
        <v>10000</v>
      </c>
      <c r="E2868" s="27" t="n">
        <v>5</v>
      </c>
      <c r="F2868" s="27" t="n">
        <v>5</v>
      </c>
      <c r="G2868" s="25" t="s">
        <v>1648</v>
      </c>
      <c r="H2868" s="25" t="s">
        <v>1649</v>
      </c>
      <c r="I2868" s="25" t="n">
        <f aca="false">IFERROR(IF(INDEX(Documents!$C$5:$C$657,MATCH(H2868,Documents!$A$5:$A$657,0))="","",INDEX(Documents!$C$5:$C$657,MATCH(H2868,Documents!$A$5:$A$657,0))),"")</f>
        <v>2009</v>
      </c>
      <c r="J2868" s="25" t="str">
        <f aca="false">IFERROR(IF(INDEX(Documents!$D$5:$D$657,MATCH(H2868,Documents!$A$5:$A$657,0))="","",INDEX(Documents!$D$5:$D$657,MATCH(H2868,Documents!$A$5:$A$657,0))),"")</f>
        <v>Bioorg Med Chem Lett</v>
      </c>
      <c r="K2868" s="25" t="str">
        <f aca="false">IFERROR(IF(INDEX(Documents!$G$5:$G$657,MATCH(H2868,Documents!$A$5:$A$657,0))="","",INDEX(Documents!$G$5:$G$657,MATCH(H2868,Documents!$A$5:$A$657,0))),"")</f>
        <v>10.1016/j.bmcl.2009.05.114</v>
      </c>
      <c r="L2868" s="25" t="s">
        <v>1650</v>
      </c>
    </row>
    <row r="2869" customFormat="false" ht="15" hidden="false" customHeight="false" outlineLevel="0" collapsed="false">
      <c r="A2869" s="25" t="n">
        <v>10979888</v>
      </c>
      <c r="B2869" s="25" t="s">
        <v>6121</v>
      </c>
      <c r="C2869" s="25" t="s">
        <v>6122</v>
      </c>
      <c r="D2869" s="26" t="n">
        <v>59000</v>
      </c>
      <c r="E2869" s="27" t="n">
        <v>4.22914798835786</v>
      </c>
      <c r="F2869" s="27" t="n">
        <v>4.22914798835786</v>
      </c>
      <c r="G2869" s="25" t="s">
        <v>631</v>
      </c>
      <c r="H2869" s="25" t="s">
        <v>632</v>
      </c>
      <c r="I2869" s="25" t="n">
        <f aca="false">IFERROR(IF(INDEX(Documents!$C$5:$C$657,MATCH(H2869,Documents!$A$5:$A$657,0))="","",INDEX(Documents!$C$5:$C$657,MATCH(H2869,Documents!$A$5:$A$657,0))),"")</f>
        <v>2012</v>
      </c>
      <c r="J2869" s="25" t="str">
        <f aca="false">IFERROR(IF(INDEX(Documents!$D$5:$D$657,MATCH(H2869,Documents!$A$5:$A$657,0))="","",INDEX(Documents!$D$5:$D$657,MATCH(H2869,Documents!$A$5:$A$657,0))),"")</f>
        <v>ACS Med Chem Lett</v>
      </c>
      <c r="K2869" s="25" t="str">
        <f aca="false">IFERROR(IF(INDEX(Documents!$G$5:$G$657,MATCH(H2869,Documents!$A$5:$A$657,0))="","",INDEX(Documents!$G$5:$G$657,MATCH(H2869,Documents!$A$5:$A$657,0))),"")</f>
        <v>10.1021/ml3000325</v>
      </c>
      <c r="L2869" s="25" t="s">
        <v>633</v>
      </c>
    </row>
    <row r="2870" customFormat="false" ht="15" hidden="false" customHeight="false" outlineLevel="0" collapsed="false">
      <c r="A2870" s="25" t="n">
        <v>29298874</v>
      </c>
      <c r="B2870" s="25" t="s">
        <v>6123</v>
      </c>
      <c r="C2870" s="25" t="s">
        <v>6124</v>
      </c>
      <c r="D2870" s="26" t="n">
        <v>6312</v>
      </c>
      <c r="E2870" s="27" t="n">
        <v>5.19983300979864</v>
      </c>
      <c r="F2870" s="27" t="n">
        <v>5.19983300979864</v>
      </c>
      <c r="G2870" s="25" t="s">
        <v>5013</v>
      </c>
      <c r="H2870" s="25" t="s">
        <v>5014</v>
      </c>
      <c r="I2870" s="25" t="n">
        <f aca="false">IFERROR(IF(INDEX(Documents!$C$5:$C$657,MATCH(H2870,Documents!$A$5:$A$657,0))="","",INDEX(Documents!$C$5:$C$657,MATCH(H2870,Documents!$A$5:$A$657,0))),"")</f>
        <v>2025</v>
      </c>
      <c r="J2870" s="25" t="str">
        <f aca="false">IFERROR(IF(INDEX(Documents!$D$5:$D$657,MATCH(H2870,Documents!$A$5:$A$657,0))="","",INDEX(Documents!$D$5:$D$657,MATCH(H2870,Documents!$A$5:$A$657,0))),"")</f>
        <v>J Med Chem</v>
      </c>
      <c r="K2870" s="25" t="str">
        <f aca="false">IFERROR(IF(INDEX(Documents!$G$5:$G$657,MATCH(H2870,Documents!$A$5:$A$657,0))="","",INDEX(Documents!$G$5:$G$657,MATCH(H2870,Documents!$A$5:$A$657,0))),"")</f>
        <v>10.1021/acs.jmedchem.4c03132</v>
      </c>
      <c r="L2870" s="25" t="s">
        <v>5015</v>
      </c>
    </row>
    <row r="2871" customFormat="false" ht="15" hidden="false" customHeight="false" outlineLevel="0" collapsed="false">
      <c r="A2871" s="25" t="n">
        <v>18673896</v>
      </c>
      <c r="B2871" s="25" t="s">
        <v>6125</v>
      </c>
      <c r="C2871" s="25" t="s">
        <v>6126</v>
      </c>
      <c r="D2871" s="26" t="n">
        <v>1700</v>
      </c>
      <c r="E2871" s="27" t="n">
        <v>5.76955107862173</v>
      </c>
      <c r="F2871" s="27" t="n">
        <v>5.76955107862173</v>
      </c>
      <c r="G2871" s="25" t="s">
        <v>664</v>
      </c>
      <c r="H2871" s="25" t="s">
        <v>665</v>
      </c>
      <c r="I2871" s="25" t="n">
        <f aca="false">IFERROR(IF(INDEX(Documents!$C$5:$C$657,MATCH(H2871,Documents!$A$5:$A$657,0))="","",INDEX(Documents!$C$5:$C$657,MATCH(H2871,Documents!$A$5:$A$657,0))),"")</f>
        <v>2018</v>
      </c>
      <c r="J2871" s="25" t="str">
        <f aca="false">IFERROR(IF(INDEX(Documents!$D$5:$D$657,MATCH(H2871,Documents!$A$5:$A$657,0))="","",INDEX(Documents!$D$5:$D$657,MATCH(H2871,Documents!$A$5:$A$657,0))),"")</f>
        <v>Bioorg Med Chem</v>
      </c>
      <c r="K2871" s="25" t="str">
        <f aca="false">IFERROR(IF(INDEX(Documents!$G$5:$G$657,MATCH(H2871,Documents!$A$5:$A$657,0))="","",INDEX(Documents!$G$5:$G$657,MATCH(H2871,Documents!$A$5:$A$657,0))),"")</f>
        <v>10.1016/j.bmc.2018.07.043</v>
      </c>
      <c r="L2871" s="25" t="s">
        <v>666</v>
      </c>
    </row>
    <row r="2872" customFormat="false" ht="15" hidden="false" customHeight="false" outlineLevel="0" collapsed="false">
      <c r="A2872" s="25" t="n">
        <v>12136195</v>
      </c>
      <c r="B2872" s="25" t="s">
        <v>6127</v>
      </c>
      <c r="C2872" s="25" t="s">
        <v>6128</v>
      </c>
      <c r="D2872" s="26" t="n">
        <v>948</v>
      </c>
      <c r="E2872" s="27" t="n">
        <v>6.02319166266193</v>
      </c>
      <c r="F2872" s="27" t="n">
        <v>6.02319166266193</v>
      </c>
      <c r="G2872" s="25" t="s">
        <v>718</v>
      </c>
      <c r="H2872" s="25" t="s">
        <v>719</v>
      </c>
      <c r="I2872" s="25" t="n">
        <f aca="false">IFERROR(IF(INDEX(Documents!$C$5:$C$657,MATCH(H2872,Documents!$A$5:$A$657,0))="","",INDEX(Documents!$C$5:$C$657,MATCH(H2872,Documents!$A$5:$A$657,0))),"")</f>
        <v>2012</v>
      </c>
      <c r="J2872" s="25" t="str">
        <f aca="false">IFERROR(IF(INDEX(Documents!$D$5:$D$657,MATCH(H2872,Documents!$A$5:$A$657,0))="","",INDEX(Documents!$D$5:$D$657,MATCH(H2872,Documents!$A$5:$A$657,0))),"")</f>
        <v>J Med Chem</v>
      </c>
      <c r="K2872" s="25" t="str">
        <f aca="false">IFERROR(IF(INDEX(Documents!$G$5:$G$657,MATCH(H2872,Documents!$A$5:$A$657,0))="","",INDEX(Documents!$G$5:$G$657,MATCH(H2872,Documents!$A$5:$A$657,0))),"")</f>
        <v>10.1021/jm301181r</v>
      </c>
      <c r="L2872" s="25" t="s">
        <v>720</v>
      </c>
    </row>
    <row r="2873" customFormat="false" ht="15" hidden="false" customHeight="false" outlineLevel="0" collapsed="false">
      <c r="A2873" s="25" t="n">
        <v>12136183</v>
      </c>
      <c r="B2873" s="25" t="s">
        <v>6129</v>
      </c>
      <c r="C2873" s="25" t="s">
        <v>6130</v>
      </c>
      <c r="D2873" s="26" t="n">
        <v>1073</v>
      </c>
      <c r="E2873" s="27" t="n">
        <v>5.96940027803405</v>
      </c>
      <c r="F2873" s="27" t="n">
        <v>5.96940027803405</v>
      </c>
      <c r="G2873" s="25" t="s">
        <v>718</v>
      </c>
      <c r="H2873" s="25" t="s">
        <v>719</v>
      </c>
      <c r="I2873" s="25" t="n">
        <f aca="false">IFERROR(IF(INDEX(Documents!$C$5:$C$657,MATCH(H2873,Documents!$A$5:$A$657,0))="","",INDEX(Documents!$C$5:$C$657,MATCH(H2873,Documents!$A$5:$A$657,0))),"")</f>
        <v>2012</v>
      </c>
      <c r="J2873" s="25" t="str">
        <f aca="false">IFERROR(IF(INDEX(Documents!$D$5:$D$657,MATCH(H2873,Documents!$A$5:$A$657,0))="","",INDEX(Documents!$D$5:$D$657,MATCH(H2873,Documents!$A$5:$A$657,0))),"")</f>
        <v>J Med Chem</v>
      </c>
      <c r="K2873" s="25" t="str">
        <f aca="false">IFERROR(IF(INDEX(Documents!$G$5:$G$657,MATCH(H2873,Documents!$A$5:$A$657,0))="","",INDEX(Documents!$G$5:$G$657,MATCH(H2873,Documents!$A$5:$A$657,0))),"")</f>
        <v>10.1021/jm301181r</v>
      </c>
      <c r="L2873" s="25" t="s">
        <v>720</v>
      </c>
    </row>
    <row r="2874" customFormat="false" ht="15" hidden="false" customHeight="false" outlineLevel="0" collapsed="false">
      <c r="A2874" s="25" t="n">
        <v>13499109</v>
      </c>
      <c r="B2874" s="25" t="s">
        <v>6131</v>
      </c>
      <c r="C2874" s="25" t="s">
        <v>6132</v>
      </c>
      <c r="D2874" s="26" t="n">
        <v>62</v>
      </c>
      <c r="E2874" s="27" t="n">
        <v>7.20760831050175</v>
      </c>
      <c r="F2874" s="27" t="n">
        <v>7.20760831050175</v>
      </c>
      <c r="G2874" s="25" t="s">
        <v>757</v>
      </c>
      <c r="H2874" s="25" t="s">
        <v>758</v>
      </c>
      <c r="I2874" s="25" t="n">
        <f aca="false">IFERROR(IF(INDEX(Documents!$C$5:$C$657,MATCH(H2874,Documents!$A$5:$A$657,0))="","",INDEX(Documents!$C$5:$C$657,MATCH(H2874,Documents!$A$5:$A$657,0))),"")</f>
        <v>2013</v>
      </c>
      <c r="J2874" s="25" t="str">
        <f aca="false">IFERROR(IF(INDEX(Documents!$D$5:$D$657,MATCH(H2874,Documents!$A$5:$A$657,0))="","",INDEX(Documents!$D$5:$D$657,MATCH(H2874,Documents!$A$5:$A$657,0))),"")</f>
        <v>Eur J Med Chem</v>
      </c>
      <c r="K2874" s="25" t="str">
        <f aca="false">IFERROR(IF(INDEX(Documents!$G$5:$G$657,MATCH(H2874,Documents!$A$5:$A$657,0))="","",INDEX(Documents!$G$5:$G$657,MATCH(H2874,Documents!$A$5:$A$657,0))),"")</f>
        <v>10.1016/j.ejmech.2013.09.038</v>
      </c>
      <c r="L2874" s="25" t="s">
        <v>759</v>
      </c>
    </row>
    <row r="2875" customFormat="false" ht="15" hidden="false" customHeight="false" outlineLevel="0" collapsed="false">
      <c r="A2875" s="25" t="n">
        <v>24419801</v>
      </c>
      <c r="B2875" s="25" t="s">
        <v>6133</v>
      </c>
      <c r="C2875" s="25" t="s">
        <v>6134</v>
      </c>
      <c r="D2875" s="26" t="n">
        <v>334</v>
      </c>
      <c r="E2875" s="27" t="n">
        <v>6.47625353318844</v>
      </c>
      <c r="F2875" s="27" t="n">
        <v>6.47625353318844</v>
      </c>
      <c r="G2875" s="25" t="s">
        <v>335</v>
      </c>
      <c r="H2875" s="25" t="s">
        <v>336</v>
      </c>
      <c r="I2875" s="25" t="n">
        <f aca="false">IFERROR(IF(INDEX(Documents!$C$5:$C$657,MATCH(H2875,Documents!$A$5:$A$657,0))="","",INDEX(Documents!$C$5:$C$657,MATCH(H2875,Documents!$A$5:$A$657,0))),"")</f>
        <v>2022</v>
      </c>
      <c r="J2875" s="25" t="str">
        <f aca="false">IFERROR(IF(INDEX(Documents!$D$5:$D$657,MATCH(H2875,Documents!$A$5:$A$657,0))="","",INDEX(Documents!$D$5:$D$657,MATCH(H2875,Documents!$A$5:$A$657,0))),"")</f>
        <v>J Med Chem</v>
      </c>
      <c r="K2875" s="25" t="str">
        <f aca="false">IFERROR(IF(INDEX(Documents!$G$5:$G$657,MATCH(H2875,Documents!$A$5:$A$657,0))="","",INDEX(Documents!$G$5:$G$657,MATCH(H2875,Documents!$A$5:$A$657,0))),"")</f>
        <v>10.1021/acs.jmedchem.1c01836</v>
      </c>
      <c r="L2875" s="25" t="s">
        <v>337</v>
      </c>
    </row>
    <row r="2876" customFormat="false" ht="15" hidden="false" customHeight="false" outlineLevel="0" collapsed="false">
      <c r="A2876" s="25" t="n">
        <v>2504015</v>
      </c>
      <c r="B2876" s="25" t="s">
        <v>6135</v>
      </c>
      <c r="C2876" s="25" t="s">
        <v>6136</v>
      </c>
      <c r="D2876" s="26" t="n">
        <v>155</v>
      </c>
      <c r="E2876" s="27" t="n">
        <v>6.80966830182971</v>
      </c>
      <c r="F2876" s="27" t="n">
        <v>6.80966830182971</v>
      </c>
      <c r="G2876" s="25" t="s">
        <v>1831</v>
      </c>
      <c r="H2876" s="25" t="s">
        <v>1832</v>
      </c>
      <c r="I2876" s="25" t="n">
        <f aca="false">IFERROR(IF(INDEX(Documents!$C$5:$C$657,MATCH(H2876,Documents!$A$5:$A$657,0))="","",INDEX(Documents!$C$5:$C$657,MATCH(H2876,Documents!$A$5:$A$657,0))),"")</f>
        <v>2008</v>
      </c>
      <c r="J2876" s="25" t="str">
        <f aca="false">IFERROR(IF(INDEX(Documents!$D$5:$D$657,MATCH(H2876,Documents!$A$5:$A$657,0))="","",INDEX(Documents!$D$5:$D$657,MATCH(H2876,Documents!$A$5:$A$657,0))),"")</f>
        <v>Bioorg Med Chem Lett</v>
      </c>
      <c r="K2876" s="25" t="str">
        <f aca="false">IFERROR(IF(INDEX(Documents!$G$5:$G$657,MATCH(H2876,Documents!$A$5:$A$657,0))="","",INDEX(Documents!$G$5:$G$657,MATCH(H2876,Documents!$A$5:$A$657,0))),"")</f>
        <v>10.1016/j.bmcl.2008.10.070</v>
      </c>
      <c r="L2876" s="25" t="s">
        <v>515</v>
      </c>
    </row>
    <row r="2877" customFormat="false" ht="15" hidden="false" customHeight="false" outlineLevel="0" collapsed="false">
      <c r="A2877" s="25" t="n">
        <v>2504014</v>
      </c>
      <c r="B2877" s="25" t="s">
        <v>6137</v>
      </c>
      <c r="C2877" s="25" t="s">
        <v>6138</v>
      </c>
      <c r="D2877" s="26" t="n">
        <v>5.8</v>
      </c>
      <c r="E2877" s="27" t="n">
        <v>8.23657200643706</v>
      </c>
      <c r="F2877" s="27" t="n">
        <v>8.23657200643706</v>
      </c>
      <c r="G2877" s="25" t="s">
        <v>1831</v>
      </c>
      <c r="H2877" s="25" t="s">
        <v>1832</v>
      </c>
      <c r="I2877" s="25" t="n">
        <f aca="false">IFERROR(IF(INDEX(Documents!$C$5:$C$657,MATCH(H2877,Documents!$A$5:$A$657,0))="","",INDEX(Documents!$C$5:$C$657,MATCH(H2877,Documents!$A$5:$A$657,0))),"")</f>
        <v>2008</v>
      </c>
      <c r="J2877" s="25" t="str">
        <f aca="false">IFERROR(IF(INDEX(Documents!$D$5:$D$657,MATCH(H2877,Documents!$A$5:$A$657,0))="","",INDEX(Documents!$D$5:$D$657,MATCH(H2877,Documents!$A$5:$A$657,0))),"")</f>
        <v>Bioorg Med Chem Lett</v>
      </c>
      <c r="K2877" s="25" t="str">
        <f aca="false">IFERROR(IF(INDEX(Documents!$G$5:$G$657,MATCH(H2877,Documents!$A$5:$A$657,0))="","",INDEX(Documents!$G$5:$G$657,MATCH(H2877,Documents!$A$5:$A$657,0))),"")</f>
        <v>10.1016/j.bmcl.2008.10.070</v>
      </c>
      <c r="L2877" s="25" t="s">
        <v>515</v>
      </c>
    </row>
    <row r="2878" customFormat="false" ht="15" hidden="false" customHeight="false" outlineLevel="0" collapsed="false">
      <c r="A2878" s="25" t="n">
        <v>2504013</v>
      </c>
      <c r="B2878" s="25" t="s">
        <v>6139</v>
      </c>
      <c r="C2878" s="25" t="s">
        <v>6140</v>
      </c>
      <c r="D2878" s="26" t="n">
        <v>1.5</v>
      </c>
      <c r="E2878" s="27" t="n">
        <v>8.82390874094432</v>
      </c>
      <c r="F2878" s="27" t="n">
        <v>8.82390874094432</v>
      </c>
      <c r="G2878" s="25" t="s">
        <v>1831</v>
      </c>
      <c r="H2878" s="25" t="s">
        <v>1832</v>
      </c>
      <c r="I2878" s="25" t="n">
        <f aca="false">IFERROR(IF(INDEX(Documents!$C$5:$C$657,MATCH(H2878,Documents!$A$5:$A$657,0))="","",INDEX(Documents!$C$5:$C$657,MATCH(H2878,Documents!$A$5:$A$657,0))),"")</f>
        <v>2008</v>
      </c>
      <c r="J2878" s="25" t="str">
        <f aca="false">IFERROR(IF(INDEX(Documents!$D$5:$D$657,MATCH(H2878,Documents!$A$5:$A$657,0))="","",INDEX(Documents!$D$5:$D$657,MATCH(H2878,Documents!$A$5:$A$657,0))),"")</f>
        <v>Bioorg Med Chem Lett</v>
      </c>
      <c r="K2878" s="25" t="str">
        <f aca="false">IFERROR(IF(INDEX(Documents!$G$5:$G$657,MATCH(H2878,Documents!$A$5:$A$657,0))="","",INDEX(Documents!$G$5:$G$657,MATCH(H2878,Documents!$A$5:$A$657,0))),"")</f>
        <v>10.1016/j.bmcl.2008.10.070</v>
      </c>
      <c r="L2878" s="25" t="s">
        <v>515</v>
      </c>
    </row>
    <row r="2879" customFormat="false" ht="15" hidden="false" customHeight="false" outlineLevel="0" collapsed="false">
      <c r="A2879" s="25" t="n">
        <v>2033380</v>
      </c>
      <c r="B2879" s="25" t="s">
        <v>6141</v>
      </c>
      <c r="C2879" s="25" t="s">
        <v>6142</v>
      </c>
      <c r="D2879" s="26" t="n">
        <v>22</v>
      </c>
      <c r="E2879" s="27" t="n">
        <v>7.65757731917779</v>
      </c>
      <c r="F2879" s="27" t="n">
        <v>7.65757731917779</v>
      </c>
      <c r="G2879" s="25" t="s">
        <v>1133</v>
      </c>
      <c r="H2879" s="25" t="s">
        <v>1134</v>
      </c>
      <c r="I2879" s="25" t="n">
        <f aca="false">IFERROR(IF(INDEX(Documents!$C$5:$C$657,MATCH(H2879,Documents!$A$5:$A$657,0))="","",INDEX(Documents!$C$5:$C$657,MATCH(H2879,Documents!$A$5:$A$657,0))),"")</f>
        <v>2007</v>
      </c>
      <c r="J2879" s="25" t="str">
        <f aca="false">IFERROR(IF(INDEX(Documents!$D$5:$D$657,MATCH(H2879,Documents!$A$5:$A$657,0))="","",INDEX(Documents!$D$5:$D$657,MATCH(H2879,Documents!$A$5:$A$657,0))),"")</f>
        <v>Bioorg Med Chem Lett</v>
      </c>
      <c r="K2879" s="25" t="str">
        <f aca="false">IFERROR(IF(INDEX(Documents!$G$5:$G$657,MATCH(H2879,Documents!$A$5:$A$657,0))="","",INDEX(Documents!$G$5:$G$657,MATCH(H2879,Documents!$A$5:$A$657,0))),"")</f>
        <v>10.1016/j.bmcl.2007.04.093</v>
      </c>
      <c r="L2879" s="25" t="s">
        <v>775</v>
      </c>
    </row>
    <row r="2880" customFormat="false" ht="15" hidden="false" customHeight="false" outlineLevel="0" collapsed="false">
      <c r="A2880" s="25" t="n">
        <v>2033381</v>
      </c>
      <c r="B2880" s="25" t="s">
        <v>6143</v>
      </c>
      <c r="C2880" s="25" t="s">
        <v>6144</v>
      </c>
      <c r="D2880" s="26" t="n">
        <v>33</v>
      </c>
      <c r="E2880" s="27" t="n">
        <v>7.48148606012211</v>
      </c>
      <c r="F2880" s="27" t="n">
        <v>7.48148606012211</v>
      </c>
      <c r="G2880" s="25" t="s">
        <v>1133</v>
      </c>
      <c r="H2880" s="25" t="s">
        <v>1134</v>
      </c>
      <c r="I2880" s="25" t="n">
        <f aca="false">IFERROR(IF(INDEX(Documents!$C$5:$C$657,MATCH(H2880,Documents!$A$5:$A$657,0))="","",INDEX(Documents!$C$5:$C$657,MATCH(H2880,Documents!$A$5:$A$657,0))),"")</f>
        <v>2007</v>
      </c>
      <c r="J2880" s="25" t="str">
        <f aca="false">IFERROR(IF(INDEX(Documents!$D$5:$D$657,MATCH(H2880,Documents!$A$5:$A$657,0))="","",INDEX(Documents!$D$5:$D$657,MATCH(H2880,Documents!$A$5:$A$657,0))),"")</f>
        <v>Bioorg Med Chem Lett</v>
      </c>
      <c r="K2880" s="25" t="str">
        <f aca="false">IFERROR(IF(INDEX(Documents!$G$5:$G$657,MATCH(H2880,Documents!$A$5:$A$657,0))="","",INDEX(Documents!$G$5:$G$657,MATCH(H2880,Documents!$A$5:$A$657,0))),"")</f>
        <v>10.1016/j.bmcl.2007.04.093</v>
      </c>
      <c r="L2880" s="25" t="s">
        <v>775</v>
      </c>
    </row>
    <row r="2881" customFormat="false" ht="15" hidden="false" customHeight="false" outlineLevel="0" collapsed="false">
      <c r="A2881" s="25" t="n">
        <v>2033379</v>
      </c>
      <c r="B2881" s="25" t="s">
        <v>6145</v>
      </c>
      <c r="C2881" s="25" t="s">
        <v>6146</v>
      </c>
      <c r="D2881" s="26" t="n">
        <v>316</v>
      </c>
      <c r="E2881" s="27" t="n">
        <v>6.5003129173816</v>
      </c>
      <c r="F2881" s="27" t="n">
        <v>6.5003129173816</v>
      </c>
      <c r="G2881" s="25" t="s">
        <v>1133</v>
      </c>
      <c r="H2881" s="25" t="s">
        <v>1134</v>
      </c>
      <c r="I2881" s="25" t="n">
        <f aca="false">IFERROR(IF(INDEX(Documents!$C$5:$C$657,MATCH(H2881,Documents!$A$5:$A$657,0))="","",INDEX(Documents!$C$5:$C$657,MATCH(H2881,Documents!$A$5:$A$657,0))),"")</f>
        <v>2007</v>
      </c>
      <c r="J2881" s="25" t="str">
        <f aca="false">IFERROR(IF(INDEX(Documents!$D$5:$D$657,MATCH(H2881,Documents!$A$5:$A$657,0))="","",INDEX(Documents!$D$5:$D$657,MATCH(H2881,Documents!$A$5:$A$657,0))),"")</f>
        <v>Bioorg Med Chem Lett</v>
      </c>
      <c r="K2881" s="25" t="str">
        <f aca="false">IFERROR(IF(INDEX(Documents!$G$5:$G$657,MATCH(H2881,Documents!$A$5:$A$657,0))="","",INDEX(Documents!$G$5:$G$657,MATCH(H2881,Documents!$A$5:$A$657,0))),"")</f>
        <v>10.1016/j.bmcl.2007.04.093</v>
      </c>
      <c r="L2881" s="25" t="s">
        <v>775</v>
      </c>
    </row>
    <row r="2882" customFormat="false" ht="15" hidden="false" customHeight="false" outlineLevel="0" collapsed="false">
      <c r="A2882" s="25" t="n">
        <v>2033368</v>
      </c>
      <c r="B2882" s="25" t="s">
        <v>6147</v>
      </c>
      <c r="C2882" s="25" t="s">
        <v>6148</v>
      </c>
      <c r="D2882" s="26" t="n">
        <v>989</v>
      </c>
      <c r="E2882" s="27" t="n">
        <v>6.00480370840282</v>
      </c>
      <c r="F2882" s="27" t="n">
        <v>6.00480370840282</v>
      </c>
      <c r="G2882" s="25" t="s">
        <v>1133</v>
      </c>
      <c r="H2882" s="25" t="s">
        <v>1134</v>
      </c>
      <c r="I2882" s="25" t="n">
        <f aca="false">IFERROR(IF(INDEX(Documents!$C$5:$C$657,MATCH(H2882,Documents!$A$5:$A$657,0))="","",INDEX(Documents!$C$5:$C$657,MATCH(H2882,Documents!$A$5:$A$657,0))),"")</f>
        <v>2007</v>
      </c>
      <c r="J2882" s="25" t="str">
        <f aca="false">IFERROR(IF(INDEX(Documents!$D$5:$D$657,MATCH(H2882,Documents!$A$5:$A$657,0))="","",INDEX(Documents!$D$5:$D$657,MATCH(H2882,Documents!$A$5:$A$657,0))),"")</f>
        <v>Bioorg Med Chem Lett</v>
      </c>
      <c r="K2882" s="25" t="str">
        <f aca="false">IFERROR(IF(INDEX(Documents!$G$5:$G$657,MATCH(H2882,Documents!$A$5:$A$657,0))="","",INDEX(Documents!$G$5:$G$657,MATCH(H2882,Documents!$A$5:$A$657,0))),"")</f>
        <v>10.1016/j.bmcl.2007.04.093</v>
      </c>
      <c r="L2882" s="25" t="s">
        <v>775</v>
      </c>
    </row>
    <row r="2883" customFormat="false" ht="15" hidden="false" customHeight="false" outlineLevel="0" collapsed="false">
      <c r="A2883" s="25" t="n">
        <v>2033372</v>
      </c>
      <c r="B2883" s="25" t="s">
        <v>6149</v>
      </c>
      <c r="C2883" s="25" t="s">
        <v>6150</v>
      </c>
      <c r="D2883" s="26" t="n">
        <v>371</v>
      </c>
      <c r="E2883" s="27" t="n">
        <v>6.43062609038495</v>
      </c>
      <c r="F2883" s="27" t="n">
        <v>6.43062609038495</v>
      </c>
      <c r="G2883" s="25" t="s">
        <v>1133</v>
      </c>
      <c r="H2883" s="25" t="s">
        <v>1134</v>
      </c>
      <c r="I2883" s="25" t="n">
        <f aca="false">IFERROR(IF(INDEX(Documents!$C$5:$C$657,MATCH(H2883,Documents!$A$5:$A$657,0))="","",INDEX(Documents!$C$5:$C$657,MATCH(H2883,Documents!$A$5:$A$657,0))),"")</f>
        <v>2007</v>
      </c>
      <c r="J2883" s="25" t="str">
        <f aca="false">IFERROR(IF(INDEX(Documents!$D$5:$D$657,MATCH(H2883,Documents!$A$5:$A$657,0))="","",INDEX(Documents!$D$5:$D$657,MATCH(H2883,Documents!$A$5:$A$657,0))),"")</f>
        <v>Bioorg Med Chem Lett</v>
      </c>
      <c r="K2883" s="25" t="str">
        <f aca="false">IFERROR(IF(INDEX(Documents!$G$5:$G$657,MATCH(H2883,Documents!$A$5:$A$657,0))="","",INDEX(Documents!$G$5:$G$657,MATCH(H2883,Documents!$A$5:$A$657,0))),"")</f>
        <v>10.1016/j.bmcl.2007.04.093</v>
      </c>
      <c r="L2883" s="25" t="s">
        <v>775</v>
      </c>
    </row>
    <row r="2884" customFormat="false" ht="15" hidden="false" customHeight="false" outlineLevel="0" collapsed="false">
      <c r="A2884" s="25" t="n">
        <v>2033378</v>
      </c>
      <c r="B2884" s="25" t="s">
        <v>6151</v>
      </c>
      <c r="C2884" s="25" t="s">
        <v>6152</v>
      </c>
      <c r="D2884" s="26" t="n">
        <v>202</v>
      </c>
      <c r="E2884" s="27" t="n">
        <v>6.69464863055338</v>
      </c>
      <c r="F2884" s="27" t="n">
        <v>6.69464863055338</v>
      </c>
      <c r="G2884" s="25" t="s">
        <v>1133</v>
      </c>
      <c r="H2884" s="25" t="s">
        <v>1134</v>
      </c>
      <c r="I2884" s="25" t="n">
        <f aca="false">IFERROR(IF(INDEX(Documents!$C$5:$C$657,MATCH(H2884,Documents!$A$5:$A$657,0))="","",INDEX(Documents!$C$5:$C$657,MATCH(H2884,Documents!$A$5:$A$657,0))),"")</f>
        <v>2007</v>
      </c>
      <c r="J2884" s="25" t="str">
        <f aca="false">IFERROR(IF(INDEX(Documents!$D$5:$D$657,MATCH(H2884,Documents!$A$5:$A$657,0))="","",INDEX(Documents!$D$5:$D$657,MATCH(H2884,Documents!$A$5:$A$657,0))),"")</f>
        <v>Bioorg Med Chem Lett</v>
      </c>
      <c r="K2884" s="25" t="str">
        <f aca="false">IFERROR(IF(INDEX(Documents!$G$5:$G$657,MATCH(H2884,Documents!$A$5:$A$657,0))="","",INDEX(Documents!$G$5:$G$657,MATCH(H2884,Documents!$A$5:$A$657,0))),"")</f>
        <v>10.1016/j.bmcl.2007.04.093</v>
      </c>
      <c r="L2884" s="25" t="s">
        <v>775</v>
      </c>
    </row>
    <row r="2885" customFormat="false" ht="15" hidden="false" customHeight="false" outlineLevel="0" collapsed="false">
      <c r="A2885" s="25" t="n">
        <v>2033375</v>
      </c>
      <c r="B2885" s="25" t="s">
        <v>6153</v>
      </c>
      <c r="C2885" s="25" t="s">
        <v>6154</v>
      </c>
      <c r="D2885" s="26" t="n">
        <v>313</v>
      </c>
      <c r="E2885" s="27" t="n">
        <v>6.50445566245355</v>
      </c>
      <c r="F2885" s="27" t="n">
        <v>6.50445566245355</v>
      </c>
      <c r="G2885" s="25" t="s">
        <v>1133</v>
      </c>
      <c r="H2885" s="25" t="s">
        <v>1134</v>
      </c>
      <c r="I2885" s="25" t="n">
        <f aca="false">IFERROR(IF(INDEX(Documents!$C$5:$C$657,MATCH(H2885,Documents!$A$5:$A$657,0))="","",INDEX(Documents!$C$5:$C$657,MATCH(H2885,Documents!$A$5:$A$657,0))),"")</f>
        <v>2007</v>
      </c>
      <c r="J2885" s="25" t="str">
        <f aca="false">IFERROR(IF(INDEX(Documents!$D$5:$D$657,MATCH(H2885,Documents!$A$5:$A$657,0))="","",INDEX(Documents!$D$5:$D$657,MATCH(H2885,Documents!$A$5:$A$657,0))),"")</f>
        <v>Bioorg Med Chem Lett</v>
      </c>
      <c r="K2885" s="25" t="str">
        <f aca="false">IFERROR(IF(INDEX(Documents!$G$5:$G$657,MATCH(H2885,Documents!$A$5:$A$657,0))="","",INDEX(Documents!$G$5:$G$657,MATCH(H2885,Documents!$A$5:$A$657,0))),"")</f>
        <v>10.1016/j.bmcl.2007.04.093</v>
      </c>
      <c r="L2885" s="25" t="s">
        <v>775</v>
      </c>
    </row>
    <row r="2886" customFormat="false" ht="15" hidden="false" customHeight="false" outlineLevel="0" collapsed="false">
      <c r="A2886" s="25" t="n">
        <v>2033390</v>
      </c>
      <c r="B2886" s="25" t="s">
        <v>6155</v>
      </c>
      <c r="C2886" s="25" t="s">
        <v>6156</v>
      </c>
      <c r="D2886" s="26" t="n">
        <v>9</v>
      </c>
      <c r="E2886" s="27" t="n">
        <v>8.04575749056068</v>
      </c>
      <c r="F2886" s="27" t="n">
        <v>8.04575749056068</v>
      </c>
      <c r="G2886" s="25" t="s">
        <v>1133</v>
      </c>
      <c r="H2886" s="25" t="s">
        <v>1134</v>
      </c>
      <c r="I2886" s="25" t="n">
        <f aca="false">IFERROR(IF(INDEX(Documents!$C$5:$C$657,MATCH(H2886,Documents!$A$5:$A$657,0))="","",INDEX(Documents!$C$5:$C$657,MATCH(H2886,Documents!$A$5:$A$657,0))),"")</f>
        <v>2007</v>
      </c>
      <c r="J2886" s="25" t="str">
        <f aca="false">IFERROR(IF(INDEX(Documents!$D$5:$D$657,MATCH(H2886,Documents!$A$5:$A$657,0))="","",INDEX(Documents!$D$5:$D$657,MATCH(H2886,Documents!$A$5:$A$657,0))),"")</f>
        <v>Bioorg Med Chem Lett</v>
      </c>
      <c r="K2886" s="25" t="str">
        <f aca="false">IFERROR(IF(INDEX(Documents!$G$5:$G$657,MATCH(H2886,Documents!$A$5:$A$657,0))="","",INDEX(Documents!$G$5:$G$657,MATCH(H2886,Documents!$A$5:$A$657,0))),"")</f>
        <v>10.1016/j.bmcl.2007.04.093</v>
      </c>
      <c r="L2886" s="25" t="s">
        <v>775</v>
      </c>
    </row>
    <row r="2887" customFormat="false" ht="15" hidden="false" customHeight="false" outlineLevel="0" collapsed="false">
      <c r="A2887" s="25" t="n">
        <v>2033369</v>
      </c>
      <c r="B2887" s="25" t="s">
        <v>6157</v>
      </c>
      <c r="C2887" s="25" t="s">
        <v>6158</v>
      </c>
      <c r="D2887" s="26" t="n">
        <v>141</v>
      </c>
      <c r="E2887" s="27" t="n">
        <v>6.85078088734462</v>
      </c>
      <c r="F2887" s="27" t="n">
        <v>6.85078088734462</v>
      </c>
      <c r="G2887" s="25" t="s">
        <v>1133</v>
      </c>
      <c r="H2887" s="25" t="s">
        <v>1134</v>
      </c>
      <c r="I2887" s="25" t="n">
        <f aca="false">IFERROR(IF(INDEX(Documents!$C$5:$C$657,MATCH(H2887,Documents!$A$5:$A$657,0))="","",INDEX(Documents!$C$5:$C$657,MATCH(H2887,Documents!$A$5:$A$657,0))),"")</f>
        <v>2007</v>
      </c>
      <c r="J2887" s="25" t="str">
        <f aca="false">IFERROR(IF(INDEX(Documents!$D$5:$D$657,MATCH(H2887,Documents!$A$5:$A$657,0))="","",INDEX(Documents!$D$5:$D$657,MATCH(H2887,Documents!$A$5:$A$657,0))),"")</f>
        <v>Bioorg Med Chem Lett</v>
      </c>
      <c r="K2887" s="25" t="str">
        <f aca="false">IFERROR(IF(INDEX(Documents!$G$5:$G$657,MATCH(H2887,Documents!$A$5:$A$657,0))="","",INDEX(Documents!$G$5:$G$657,MATCH(H2887,Documents!$A$5:$A$657,0))),"")</f>
        <v>10.1016/j.bmcl.2007.04.093</v>
      </c>
      <c r="L2887" s="25" t="s">
        <v>775</v>
      </c>
    </row>
    <row r="2888" customFormat="false" ht="15" hidden="false" customHeight="false" outlineLevel="0" collapsed="false">
      <c r="A2888" s="25" t="n">
        <v>2033373</v>
      </c>
      <c r="B2888" s="25" t="s">
        <v>6159</v>
      </c>
      <c r="C2888" s="25" t="s">
        <v>6160</v>
      </c>
      <c r="D2888" s="26" t="n">
        <v>722</v>
      </c>
      <c r="E2888" s="27" t="n">
        <v>6.14146280243036</v>
      </c>
      <c r="F2888" s="27" t="n">
        <v>6.14146280243036</v>
      </c>
      <c r="G2888" s="25" t="s">
        <v>1133</v>
      </c>
      <c r="H2888" s="25" t="s">
        <v>1134</v>
      </c>
      <c r="I2888" s="25" t="n">
        <f aca="false">IFERROR(IF(INDEX(Documents!$C$5:$C$657,MATCH(H2888,Documents!$A$5:$A$657,0))="","",INDEX(Documents!$C$5:$C$657,MATCH(H2888,Documents!$A$5:$A$657,0))),"")</f>
        <v>2007</v>
      </c>
      <c r="J2888" s="25" t="str">
        <f aca="false">IFERROR(IF(INDEX(Documents!$D$5:$D$657,MATCH(H2888,Documents!$A$5:$A$657,0))="","",INDEX(Documents!$D$5:$D$657,MATCH(H2888,Documents!$A$5:$A$657,0))),"")</f>
        <v>Bioorg Med Chem Lett</v>
      </c>
      <c r="K2888" s="25" t="str">
        <f aca="false">IFERROR(IF(INDEX(Documents!$G$5:$G$657,MATCH(H2888,Documents!$A$5:$A$657,0))="","",INDEX(Documents!$G$5:$G$657,MATCH(H2888,Documents!$A$5:$A$657,0))),"")</f>
        <v>10.1016/j.bmcl.2007.04.093</v>
      </c>
      <c r="L2888" s="25" t="s">
        <v>775</v>
      </c>
    </row>
    <row r="2889" customFormat="false" ht="15" hidden="false" customHeight="false" outlineLevel="0" collapsed="false">
      <c r="A2889" s="25" t="n">
        <v>2033374</v>
      </c>
      <c r="B2889" s="25" t="s">
        <v>6161</v>
      </c>
      <c r="C2889" s="25" t="s">
        <v>6162</v>
      </c>
      <c r="D2889" s="26" t="n">
        <v>252</v>
      </c>
      <c r="E2889" s="27" t="n">
        <v>6.59859945921846</v>
      </c>
      <c r="F2889" s="27" t="n">
        <v>6.59859945921846</v>
      </c>
      <c r="G2889" s="25" t="s">
        <v>1133</v>
      </c>
      <c r="H2889" s="25" t="s">
        <v>1134</v>
      </c>
      <c r="I2889" s="25" t="n">
        <f aca="false">IFERROR(IF(INDEX(Documents!$C$5:$C$657,MATCH(H2889,Documents!$A$5:$A$657,0))="","",INDEX(Documents!$C$5:$C$657,MATCH(H2889,Documents!$A$5:$A$657,0))),"")</f>
        <v>2007</v>
      </c>
      <c r="J2889" s="25" t="str">
        <f aca="false">IFERROR(IF(INDEX(Documents!$D$5:$D$657,MATCH(H2889,Documents!$A$5:$A$657,0))="","",INDEX(Documents!$D$5:$D$657,MATCH(H2889,Documents!$A$5:$A$657,0))),"")</f>
        <v>Bioorg Med Chem Lett</v>
      </c>
      <c r="K2889" s="25" t="str">
        <f aca="false">IFERROR(IF(INDEX(Documents!$G$5:$G$657,MATCH(H2889,Documents!$A$5:$A$657,0))="","",INDEX(Documents!$G$5:$G$657,MATCH(H2889,Documents!$A$5:$A$657,0))),"")</f>
        <v>10.1016/j.bmcl.2007.04.093</v>
      </c>
      <c r="L2889" s="25" t="s">
        <v>775</v>
      </c>
    </row>
    <row r="2890" customFormat="false" ht="15" hidden="false" customHeight="false" outlineLevel="0" collapsed="false">
      <c r="A2890" s="25" t="n">
        <v>2033367</v>
      </c>
      <c r="B2890" s="25" t="s">
        <v>6163</v>
      </c>
      <c r="C2890" s="25" t="s">
        <v>6164</v>
      </c>
      <c r="D2890" s="26" t="n">
        <v>2920</v>
      </c>
      <c r="E2890" s="27" t="n">
        <v>5.53461714855158</v>
      </c>
      <c r="F2890" s="27" t="n">
        <v>5.53461714855158</v>
      </c>
      <c r="G2890" s="25" t="s">
        <v>1133</v>
      </c>
      <c r="H2890" s="25" t="s">
        <v>1134</v>
      </c>
      <c r="I2890" s="25" t="n">
        <f aca="false">IFERROR(IF(INDEX(Documents!$C$5:$C$657,MATCH(H2890,Documents!$A$5:$A$657,0))="","",INDEX(Documents!$C$5:$C$657,MATCH(H2890,Documents!$A$5:$A$657,0))),"")</f>
        <v>2007</v>
      </c>
      <c r="J2890" s="25" t="str">
        <f aca="false">IFERROR(IF(INDEX(Documents!$D$5:$D$657,MATCH(H2890,Documents!$A$5:$A$657,0))="","",INDEX(Documents!$D$5:$D$657,MATCH(H2890,Documents!$A$5:$A$657,0))),"")</f>
        <v>Bioorg Med Chem Lett</v>
      </c>
      <c r="K2890" s="25" t="str">
        <f aca="false">IFERROR(IF(INDEX(Documents!$G$5:$G$657,MATCH(H2890,Documents!$A$5:$A$657,0))="","",INDEX(Documents!$G$5:$G$657,MATCH(H2890,Documents!$A$5:$A$657,0))),"")</f>
        <v>10.1016/j.bmcl.2007.04.093</v>
      </c>
      <c r="L2890" s="25" t="s">
        <v>775</v>
      </c>
    </row>
    <row r="2891" customFormat="false" ht="15" hidden="false" customHeight="false" outlineLevel="0" collapsed="false">
      <c r="A2891" s="25" t="n">
        <v>2033363</v>
      </c>
      <c r="B2891" s="25" t="s">
        <v>6165</v>
      </c>
      <c r="C2891" s="25" t="s">
        <v>6166</v>
      </c>
      <c r="D2891" s="26" t="n">
        <v>98</v>
      </c>
      <c r="E2891" s="27" t="n">
        <v>7.00877392430751</v>
      </c>
      <c r="F2891" s="27" t="n">
        <v>7.00877392430751</v>
      </c>
      <c r="G2891" s="25" t="s">
        <v>1133</v>
      </c>
      <c r="H2891" s="25" t="s">
        <v>1134</v>
      </c>
      <c r="I2891" s="25" t="n">
        <f aca="false">IFERROR(IF(INDEX(Documents!$C$5:$C$657,MATCH(H2891,Documents!$A$5:$A$657,0))="","",INDEX(Documents!$C$5:$C$657,MATCH(H2891,Documents!$A$5:$A$657,0))),"")</f>
        <v>2007</v>
      </c>
      <c r="J2891" s="25" t="str">
        <f aca="false">IFERROR(IF(INDEX(Documents!$D$5:$D$657,MATCH(H2891,Documents!$A$5:$A$657,0))="","",INDEX(Documents!$D$5:$D$657,MATCH(H2891,Documents!$A$5:$A$657,0))),"")</f>
        <v>Bioorg Med Chem Lett</v>
      </c>
      <c r="K2891" s="25" t="str">
        <f aca="false">IFERROR(IF(INDEX(Documents!$G$5:$G$657,MATCH(H2891,Documents!$A$5:$A$657,0))="","",INDEX(Documents!$G$5:$G$657,MATCH(H2891,Documents!$A$5:$A$657,0))),"")</f>
        <v>10.1016/j.bmcl.2007.04.093</v>
      </c>
      <c r="L2891" s="25" t="s">
        <v>775</v>
      </c>
    </row>
    <row r="2892" customFormat="false" ht="15" hidden="false" customHeight="false" outlineLevel="0" collapsed="false">
      <c r="A2892" s="25" t="n">
        <v>1969365</v>
      </c>
      <c r="B2892" s="25" t="s">
        <v>6167</v>
      </c>
      <c r="C2892" s="25" t="s">
        <v>6168</v>
      </c>
      <c r="D2892" s="26" t="n">
        <v>65</v>
      </c>
      <c r="E2892" s="27" t="n">
        <v>7.18708664335714</v>
      </c>
      <c r="F2892" s="27" t="n">
        <v>7.18708664335714</v>
      </c>
      <c r="G2892" s="25" t="s">
        <v>1895</v>
      </c>
      <c r="H2892" s="25" t="s">
        <v>1896</v>
      </c>
      <c r="I2892" s="25" t="n">
        <f aca="false">IFERROR(IF(INDEX(Documents!$C$5:$C$657,MATCH(H2892,Documents!$A$5:$A$657,0))="","",INDEX(Documents!$C$5:$C$657,MATCH(H2892,Documents!$A$5:$A$657,0))),"")</f>
        <v>2007</v>
      </c>
      <c r="J2892" s="25" t="str">
        <f aca="false">IFERROR(IF(INDEX(Documents!$D$5:$D$657,MATCH(H2892,Documents!$A$5:$A$657,0))="","",INDEX(Documents!$D$5:$D$657,MATCH(H2892,Documents!$A$5:$A$657,0))),"")</f>
        <v>Bioorg Med Chem Lett</v>
      </c>
      <c r="K2892" s="25" t="str">
        <f aca="false">IFERROR(IF(INDEX(Documents!$G$5:$G$657,MATCH(H2892,Documents!$A$5:$A$657,0))="","",INDEX(Documents!$G$5:$G$657,MATCH(H2892,Documents!$A$5:$A$657,0))),"")</f>
        <v>10.1016/j.bmcl.2007.04.099</v>
      </c>
      <c r="L2892" s="25" t="s">
        <v>515</v>
      </c>
    </row>
    <row r="2893" customFormat="false" ht="15" hidden="false" customHeight="false" outlineLevel="0" collapsed="false">
      <c r="A2893" s="25" t="n">
        <v>1969364</v>
      </c>
      <c r="B2893" s="25" t="s">
        <v>6169</v>
      </c>
      <c r="C2893" s="25" t="s">
        <v>6170</v>
      </c>
      <c r="D2893" s="26" t="n">
        <v>1</v>
      </c>
      <c r="E2893" s="27" t="n">
        <v>9</v>
      </c>
      <c r="F2893" s="27" t="n">
        <v>9</v>
      </c>
      <c r="G2893" s="25" t="s">
        <v>1895</v>
      </c>
      <c r="H2893" s="25" t="s">
        <v>1896</v>
      </c>
      <c r="I2893" s="25" t="n">
        <f aca="false">IFERROR(IF(INDEX(Documents!$C$5:$C$657,MATCH(H2893,Documents!$A$5:$A$657,0))="","",INDEX(Documents!$C$5:$C$657,MATCH(H2893,Documents!$A$5:$A$657,0))),"")</f>
        <v>2007</v>
      </c>
      <c r="J2893" s="25" t="str">
        <f aca="false">IFERROR(IF(INDEX(Documents!$D$5:$D$657,MATCH(H2893,Documents!$A$5:$A$657,0))="","",INDEX(Documents!$D$5:$D$657,MATCH(H2893,Documents!$A$5:$A$657,0))),"")</f>
        <v>Bioorg Med Chem Lett</v>
      </c>
      <c r="K2893" s="25" t="str">
        <f aca="false">IFERROR(IF(INDEX(Documents!$G$5:$G$657,MATCH(H2893,Documents!$A$5:$A$657,0))="","",INDEX(Documents!$G$5:$G$657,MATCH(H2893,Documents!$A$5:$A$657,0))),"")</f>
        <v>10.1016/j.bmcl.2007.04.099</v>
      </c>
      <c r="L2893" s="25" t="s">
        <v>515</v>
      </c>
    </row>
    <row r="2894" customFormat="false" ht="15" hidden="false" customHeight="false" outlineLevel="0" collapsed="false">
      <c r="A2894" s="25" t="n">
        <v>2504020</v>
      </c>
      <c r="B2894" s="25" t="s">
        <v>6171</v>
      </c>
      <c r="C2894" s="25" t="s">
        <v>6172</v>
      </c>
      <c r="D2894" s="26" t="n">
        <v>1</v>
      </c>
      <c r="E2894" s="27" t="n">
        <v>9</v>
      </c>
      <c r="F2894" s="27" t="n">
        <v>9</v>
      </c>
      <c r="G2894" s="25" t="s">
        <v>1831</v>
      </c>
      <c r="H2894" s="25" t="s">
        <v>1832</v>
      </c>
      <c r="I2894" s="25" t="n">
        <f aca="false">IFERROR(IF(INDEX(Documents!$C$5:$C$657,MATCH(H2894,Documents!$A$5:$A$657,0))="","",INDEX(Documents!$C$5:$C$657,MATCH(H2894,Documents!$A$5:$A$657,0))),"")</f>
        <v>2008</v>
      </c>
      <c r="J2894" s="25" t="str">
        <f aca="false">IFERROR(IF(INDEX(Documents!$D$5:$D$657,MATCH(H2894,Documents!$A$5:$A$657,0))="","",INDEX(Documents!$D$5:$D$657,MATCH(H2894,Documents!$A$5:$A$657,0))),"")</f>
        <v>Bioorg Med Chem Lett</v>
      </c>
      <c r="K2894" s="25" t="str">
        <f aca="false">IFERROR(IF(INDEX(Documents!$G$5:$G$657,MATCH(H2894,Documents!$A$5:$A$657,0))="","",INDEX(Documents!$G$5:$G$657,MATCH(H2894,Documents!$A$5:$A$657,0))),"")</f>
        <v>10.1016/j.bmcl.2008.10.070</v>
      </c>
      <c r="L2894" s="25" t="s">
        <v>515</v>
      </c>
    </row>
    <row r="2895" customFormat="false" ht="15" hidden="false" customHeight="false" outlineLevel="0" collapsed="false">
      <c r="A2895" s="25" t="n">
        <v>2504022</v>
      </c>
      <c r="B2895" s="25" t="s">
        <v>6173</v>
      </c>
      <c r="C2895" s="25" t="s">
        <v>6174</v>
      </c>
      <c r="D2895" s="26" t="n">
        <v>4.7</v>
      </c>
      <c r="E2895" s="27" t="n">
        <v>8.32790214206428</v>
      </c>
      <c r="F2895" s="27" t="n">
        <v>8.32790214206428</v>
      </c>
      <c r="G2895" s="25" t="s">
        <v>1831</v>
      </c>
      <c r="H2895" s="25" t="s">
        <v>1832</v>
      </c>
      <c r="I2895" s="25" t="n">
        <f aca="false">IFERROR(IF(INDEX(Documents!$C$5:$C$657,MATCH(H2895,Documents!$A$5:$A$657,0))="","",INDEX(Documents!$C$5:$C$657,MATCH(H2895,Documents!$A$5:$A$657,0))),"")</f>
        <v>2008</v>
      </c>
      <c r="J2895" s="25" t="str">
        <f aca="false">IFERROR(IF(INDEX(Documents!$D$5:$D$657,MATCH(H2895,Documents!$A$5:$A$657,0))="","",INDEX(Documents!$D$5:$D$657,MATCH(H2895,Documents!$A$5:$A$657,0))),"")</f>
        <v>Bioorg Med Chem Lett</v>
      </c>
      <c r="K2895" s="25" t="str">
        <f aca="false">IFERROR(IF(INDEX(Documents!$G$5:$G$657,MATCH(H2895,Documents!$A$5:$A$657,0))="","",INDEX(Documents!$G$5:$G$657,MATCH(H2895,Documents!$A$5:$A$657,0))),"")</f>
        <v>10.1016/j.bmcl.2008.10.070</v>
      </c>
      <c r="L2895" s="25" t="s">
        <v>515</v>
      </c>
    </row>
    <row r="2896" customFormat="false" ht="15" hidden="false" customHeight="false" outlineLevel="0" collapsed="false">
      <c r="A2896" s="25" t="n">
        <v>2504030</v>
      </c>
      <c r="B2896" s="25" t="s">
        <v>6175</v>
      </c>
      <c r="C2896" s="25" t="s">
        <v>6176</v>
      </c>
      <c r="D2896" s="26" t="n">
        <v>1.9</v>
      </c>
      <c r="E2896" s="27" t="n">
        <v>8.72124639904717</v>
      </c>
      <c r="F2896" s="27" t="n">
        <v>8.72124639904717</v>
      </c>
      <c r="G2896" s="25" t="s">
        <v>1831</v>
      </c>
      <c r="H2896" s="25" t="s">
        <v>1832</v>
      </c>
      <c r="I2896" s="25" t="n">
        <f aca="false">IFERROR(IF(INDEX(Documents!$C$5:$C$657,MATCH(H2896,Documents!$A$5:$A$657,0))="","",INDEX(Documents!$C$5:$C$657,MATCH(H2896,Documents!$A$5:$A$657,0))),"")</f>
        <v>2008</v>
      </c>
      <c r="J2896" s="25" t="str">
        <f aca="false">IFERROR(IF(INDEX(Documents!$D$5:$D$657,MATCH(H2896,Documents!$A$5:$A$657,0))="","",INDEX(Documents!$D$5:$D$657,MATCH(H2896,Documents!$A$5:$A$657,0))),"")</f>
        <v>Bioorg Med Chem Lett</v>
      </c>
      <c r="K2896" s="25" t="str">
        <f aca="false">IFERROR(IF(INDEX(Documents!$G$5:$G$657,MATCH(H2896,Documents!$A$5:$A$657,0))="","",INDEX(Documents!$G$5:$G$657,MATCH(H2896,Documents!$A$5:$A$657,0))),"")</f>
        <v>10.1016/j.bmcl.2008.10.070</v>
      </c>
      <c r="L2896" s="25" t="s">
        <v>515</v>
      </c>
    </row>
    <row r="2897" customFormat="false" ht="15" hidden="false" customHeight="false" outlineLevel="0" collapsed="false">
      <c r="A2897" s="25" t="n">
        <v>2504025</v>
      </c>
      <c r="B2897" s="25" t="s">
        <v>6177</v>
      </c>
      <c r="C2897" s="25" t="s">
        <v>6178</v>
      </c>
      <c r="D2897" s="26" t="n">
        <v>1.8</v>
      </c>
      <c r="E2897" s="27" t="n">
        <v>8.74472749489669</v>
      </c>
      <c r="F2897" s="27" t="n">
        <v>8.74472749489669</v>
      </c>
      <c r="G2897" s="25" t="s">
        <v>1831</v>
      </c>
      <c r="H2897" s="25" t="s">
        <v>1832</v>
      </c>
      <c r="I2897" s="25" t="n">
        <f aca="false">IFERROR(IF(INDEX(Documents!$C$5:$C$657,MATCH(H2897,Documents!$A$5:$A$657,0))="","",INDEX(Documents!$C$5:$C$657,MATCH(H2897,Documents!$A$5:$A$657,0))),"")</f>
        <v>2008</v>
      </c>
      <c r="J2897" s="25" t="str">
        <f aca="false">IFERROR(IF(INDEX(Documents!$D$5:$D$657,MATCH(H2897,Documents!$A$5:$A$657,0))="","",INDEX(Documents!$D$5:$D$657,MATCH(H2897,Documents!$A$5:$A$657,0))),"")</f>
        <v>Bioorg Med Chem Lett</v>
      </c>
      <c r="K2897" s="25" t="str">
        <f aca="false">IFERROR(IF(INDEX(Documents!$G$5:$G$657,MATCH(H2897,Documents!$A$5:$A$657,0))="","",INDEX(Documents!$G$5:$G$657,MATCH(H2897,Documents!$A$5:$A$657,0))),"")</f>
        <v>10.1016/j.bmcl.2008.10.070</v>
      </c>
      <c r="L2897" s="25" t="s">
        <v>515</v>
      </c>
    </row>
    <row r="2898" customFormat="false" ht="15" hidden="false" customHeight="false" outlineLevel="0" collapsed="false">
      <c r="A2898" s="25" t="n">
        <v>2504029</v>
      </c>
      <c r="B2898" s="25" t="s">
        <v>6179</v>
      </c>
      <c r="C2898" s="25" t="s">
        <v>6180</v>
      </c>
      <c r="D2898" s="26" t="n">
        <v>5.8</v>
      </c>
      <c r="E2898" s="27" t="n">
        <v>8.23657200643706</v>
      </c>
      <c r="F2898" s="27" t="n">
        <v>8.23657200643706</v>
      </c>
      <c r="G2898" s="25" t="s">
        <v>1831</v>
      </c>
      <c r="H2898" s="25" t="s">
        <v>1832</v>
      </c>
      <c r="I2898" s="25" t="n">
        <f aca="false">IFERROR(IF(INDEX(Documents!$C$5:$C$657,MATCH(H2898,Documents!$A$5:$A$657,0))="","",INDEX(Documents!$C$5:$C$657,MATCH(H2898,Documents!$A$5:$A$657,0))),"")</f>
        <v>2008</v>
      </c>
      <c r="J2898" s="25" t="str">
        <f aca="false">IFERROR(IF(INDEX(Documents!$D$5:$D$657,MATCH(H2898,Documents!$A$5:$A$657,0))="","",INDEX(Documents!$D$5:$D$657,MATCH(H2898,Documents!$A$5:$A$657,0))),"")</f>
        <v>Bioorg Med Chem Lett</v>
      </c>
      <c r="K2898" s="25" t="str">
        <f aca="false">IFERROR(IF(INDEX(Documents!$G$5:$G$657,MATCH(H2898,Documents!$A$5:$A$657,0))="","",INDEX(Documents!$G$5:$G$657,MATCH(H2898,Documents!$A$5:$A$657,0))),"")</f>
        <v>10.1016/j.bmcl.2008.10.070</v>
      </c>
      <c r="L2898" s="25" t="s">
        <v>515</v>
      </c>
    </row>
    <row r="2899" customFormat="false" ht="15" hidden="false" customHeight="false" outlineLevel="0" collapsed="false">
      <c r="A2899" s="25" t="n">
        <v>2504024</v>
      </c>
      <c r="B2899" s="25" t="s">
        <v>6181</v>
      </c>
      <c r="C2899" s="25" t="s">
        <v>6182</v>
      </c>
      <c r="D2899" s="26" t="n">
        <v>0.9</v>
      </c>
      <c r="E2899" s="27" t="n">
        <v>9.04575749056068</v>
      </c>
      <c r="F2899" s="27" t="n">
        <v>9.04575749056068</v>
      </c>
      <c r="G2899" s="25" t="s">
        <v>1831</v>
      </c>
      <c r="H2899" s="25" t="s">
        <v>1832</v>
      </c>
      <c r="I2899" s="25" t="n">
        <f aca="false">IFERROR(IF(INDEX(Documents!$C$5:$C$657,MATCH(H2899,Documents!$A$5:$A$657,0))="","",INDEX(Documents!$C$5:$C$657,MATCH(H2899,Documents!$A$5:$A$657,0))),"")</f>
        <v>2008</v>
      </c>
      <c r="J2899" s="25" t="str">
        <f aca="false">IFERROR(IF(INDEX(Documents!$D$5:$D$657,MATCH(H2899,Documents!$A$5:$A$657,0))="","",INDEX(Documents!$D$5:$D$657,MATCH(H2899,Documents!$A$5:$A$657,0))),"")</f>
        <v>Bioorg Med Chem Lett</v>
      </c>
      <c r="K2899" s="25" t="str">
        <f aca="false">IFERROR(IF(INDEX(Documents!$G$5:$G$657,MATCH(H2899,Documents!$A$5:$A$657,0))="","",INDEX(Documents!$G$5:$G$657,MATCH(H2899,Documents!$A$5:$A$657,0))),"")</f>
        <v>10.1016/j.bmcl.2008.10.070</v>
      </c>
      <c r="L2899" s="25" t="s">
        <v>515</v>
      </c>
    </row>
    <row r="2900" customFormat="false" ht="15" hidden="false" customHeight="false" outlineLevel="0" collapsed="false">
      <c r="A2900" s="25" t="n">
        <v>2504023</v>
      </c>
      <c r="B2900" s="25" t="s">
        <v>6183</v>
      </c>
      <c r="C2900" s="25" t="s">
        <v>6184</v>
      </c>
      <c r="D2900" s="26" t="n">
        <v>0.8</v>
      </c>
      <c r="E2900" s="27" t="n">
        <v>9.09691001300806</v>
      </c>
      <c r="F2900" s="27" t="n">
        <v>9.09691001300806</v>
      </c>
      <c r="G2900" s="25" t="s">
        <v>1831</v>
      </c>
      <c r="H2900" s="25" t="s">
        <v>1832</v>
      </c>
      <c r="I2900" s="25" t="n">
        <f aca="false">IFERROR(IF(INDEX(Documents!$C$5:$C$657,MATCH(H2900,Documents!$A$5:$A$657,0))="","",INDEX(Documents!$C$5:$C$657,MATCH(H2900,Documents!$A$5:$A$657,0))),"")</f>
        <v>2008</v>
      </c>
      <c r="J2900" s="25" t="str">
        <f aca="false">IFERROR(IF(INDEX(Documents!$D$5:$D$657,MATCH(H2900,Documents!$A$5:$A$657,0))="","",INDEX(Documents!$D$5:$D$657,MATCH(H2900,Documents!$A$5:$A$657,0))),"")</f>
        <v>Bioorg Med Chem Lett</v>
      </c>
      <c r="K2900" s="25" t="str">
        <f aca="false">IFERROR(IF(INDEX(Documents!$G$5:$G$657,MATCH(H2900,Documents!$A$5:$A$657,0))="","",INDEX(Documents!$G$5:$G$657,MATCH(H2900,Documents!$A$5:$A$657,0))),"")</f>
        <v>10.1016/j.bmcl.2008.10.070</v>
      </c>
      <c r="L2900" s="25" t="s">
        <v>515</v>
      </c>
    </row>
    <row r="2901" customFormat="false" ht="15" hidden="false" customHeight="false" outlineLevel="0" collapsed="false">
      <c r="A2901" s="25" t="n">
        <v>2504027</v>
      </c>
      <c r="B2901" s="25" t="s">
        <v>6185</v>
      </c>
      <c r="C2901" s="25" t="s">
        <v>6186</v>
      </c>
      <c r="D2901" s="26" t="n">
        <v>6.6</v>
      </c>
      <c r="E2901" s="27" t="n">
        <v>8.18045606445813</v>
      </c>
      <c r="F2901" s="27" t="n">
        <v>8.18045606445813</v>
      </c>
      <c r="G2901" s="25" t="s">
        <v>1831</v>
      </c>
      <c r="H2901" s="25" t="s">
        <v>1832</v>
      </c>
      <c r="I2901" s="25" t="n">
        <f aca="false">IFERROR(IF(INDEX(Documents!$C$5:$C$657,MATCH(H2901,Documents!$A$5:$A$657,0))="","",INDEX(Documents!$C$5:$C$657,MATCH(H2901,Documents!$A$5:$A$657,0))),"")</f>
        <v>2008</v>
      </c>
      <c r="J2901" s="25" t="str">
        <f aca="false">IFERROR(IF(INDEX(Documents!$D$5:$D$657,MATCH(H2901,Documents!$A$5:$A$657,0))="","",INDEX(Documents!$D$5:$D$657,MATCH(H2901,Documents!$A$5:$A$657,0))),"")</f>
        <v>Bioorg Med Chem Lett</v>
      </c>
      <c r="K2901" s="25" t="str">
        <f aca="false">IFERROR(IF(INDEX(Documents!$G$5:$G$657,MATCH(H2901,Documents!$A$5:$A$657,0))="","",INDEX(Documents!$G$5:$G$657,MATCH(H2901,Documents!$A$5:$A$657,0))),"")</f>
        <v>10.1016/j.bmcl.2008.10.070</v>
      </c>
      <c r="L2901" s="25" t="s">
        <v>515</v>
      </c>
    </row>
    <row r="2902" customFormat="false" ht="15" hidden="false" customHeight="false" outlineLevel="0" collapsed="false">
      <c r="A2902" s="25" t="n">
        <v>2504026</v>
      </c>
      <c r="B2902" s="25" t="s">
        <v>6187</v>
      </c>
      <c r="C2902" s="25" t="s">
        <v>6188</v>
      </c>
      <c r="D2902" s="26" t="n">
        <v>2.4</v>
      </c>
      <c r="E2902" s="27" t="n">
        <v>8.61978875828839</v>
      </c>
      <c r="F2902" s="27" t="n">
        <v>8.61978875828839</v>
      </c>
      <c r="G2902" s="25" t="s">
        <v>1831</v>
      </c>
      <c r="H2902" s="25" t="s">
        <v>1832</v>
      </c>
      <c r="I2902" s="25" t="n">
        <f aca="false">IFERROR(IF(INDEX(Documents!$C$5:$C$657,MATCH(H2902,Documents!$A$5:$A$657,0))="","",INDEX(Documents!$C$5:$C$657,MATCH(H2902,Documents!$A$5:$A$657,0))),"")</f>
        <v>2008</v>
      </c>
      <c r="J2902" s="25" t="str">
        <f aca="false">IFERROR(IF(INDEX(Documents!$D$5:$D$657,MATCH(H2902,Documents!$A$5:$A$657,0))="","",INDEX(Documents!$D$5:$D$657,MATCH(H2902,Documents!$A$5:$A$657,0))),"")</f>
        <v>Bioorg Med Chem Lett</v>
      </c>
      <c r="K2902" s="25" t="str">
        <f aca="false">IFERROR(IF(INDEX(Documents!$G$5:$G$657,MATCH(H2902,Documents!$A$5:$A$657,0))="","",INDEX(Documents!$G$5:$G$657,MATCH(H2902,Documents!$A$5:$A$657,0))),"")</f>
        <v>10.1016/j.bmcl.2008.10.070</v>
      </c>
      <c r="L2902" s="25" t="s">
        <v>515</v>
      </c>
    </row>
    <row r="2903" customFormat="false" ht="15" hidden="false" customHeight="false" outlineLevel="0" collapsed="false">
      <c r="A2903" s="25" t="n">
        <v>2504028</v>
      </c>
      <c r="B2903" s="25" t="s">
        <v>6189</v>
      </c>
      <c r="C2903" s="25" t="s">
        <v>6190</v>
      </c>
      <c r="D2903" s="26" t="n">
        <v>1</v>
      </c>
      <c r="E2903" s="27" t="n">
        <v>9</v>
      </c>
      <c r="F2903" s="27" t="n">
        <v>9</v>
      </c>
      <c r="G2903" s="25" t="s">
        <v>1831</v>
      </c>
      <c r="H2903" s="25" t="s">
        <v>1832</v>
      </c>
      <c r="I2903" s="25" t="n">
        <f aca="false">IFERROR(IF(INDEX(Documents!$C$5:$C$657,MATCH(H2903,Documents!$A$5:$A$657,0))="","",INDEX(Documents!$C$5:$C$657,MATCH(H2903,Documents!$A$5:$A$657,0))),"")</f>
        <v>2008</v>
      </c>
      <c r="J2903" s="25" t="str">
        <f aca="false">IFERROR(IF(INDEX(Documents!$D$5:$D$657,MATCH(H2903,Documents!$A$5:$A$657,0))="","",INDEX(Documents!$D$5:$D$657,MATCH(H2903,Documents!$A$5:$A$657,0))),"")</f>
        <v>Bioorg Med Chem Lett</v>
      </c>
      <c r="K2903" s="25" t="str">
        <f aca="false">IFERROR(IF(INDEX(Documents!$G$5:$G$657,MATCH(H2903,Documents!$A$5:$A$657,0))="","",INDEX(Documents!$G$5:$G$657,MATCH(H2903,Documents!$A$5:$A$657,0))),"")</f>
        <v>10.1016/j.bmcl.2008.10.070</v>
      </c>
      <c r="L2903" s="25" t="s">
        <v>515</v>
      </c>
    </row>
    <row r="2904" customFormat="false" ht="15" hidden="false" customHeight="false" outlineLevel="0" collapsed="false">
      <c r="A2904" s="25" t="n">
        <v>2504012</v>
      </c>
      <c r="B2904" s="25" t="s">
        <v>6191</v>
      </c>
      <c r="C2904" s="25" t="s">
        <v>6192</v>
      </c>
      <c r="D2904" s="26" t="n">
        <v>0.9</v>
      </c>
      <c r="E2904" s="27" t="n">
        <v>9.04575749056068</v>
      </c>
      <c r="F2904" s="27" t="n">
        <v>9.04575749056068</v>
      </c>
      <c r="G2904" s="25" t="s">
        <v>1831</v>
      </c>
      <c r="H2904" s="25" t="s">
        <v>1832</v>
      </c>
      <c r="I2904" s="25" t="n">
        <f aca="false">IFERROR(IF(INDEX(Documents!$C$5:$C$657,MATCH(H2904,Documents!$A$5:$A$657,0))="","",INDEX(Documents!$C$5:$C$657,MATCH(H2904,Documents!$A$5:$A$657,0))),"")</f>
        <v>2008</v>
      </c>
      <c r="J2904" s="25" t="str">
        <f aca="false">IFERROR(IF(INDEX(Documents!$D$5:$D$657,MATCH(H2904,Documents!$A$5:$A$657,0))="","",INDEX(Documents!$D$5:$D$657,MATCH(H2904,Documents!$A$5:$A$657,0))),"")</f>
        <v>Bioorg Med Chem Lett</v>
      </c>
      <c r="K2904" s="25" t="str">
        <f aca="false">IFERROR(IF(INDEX(Documents!$G$5:$G$657,MATCH(H2904,Documents!$A$5:$A$657,0))="","",INDEX(Documents!$G$5:$G$657,MATCH(H2904,Documents!$A$5:$A$657,0))),"")</f>
        <v>10.1016/j.bmcl.2008.10.070</v>
      </c>
      <c r="L2904" s="25" t="s">
        <v>515</v>
      </c>
    </row>
    <row r="2905" customFormat="false" ht="15" hidden="false" customHeight="false" outlineLevel="0" collapsed="false">
      <c r="A2905" s="25" t="n">
        <v>2504018</v>
      </c>
      <c r="B2905" s="25" t="s">
        <v>6193</v>
      </c>
      <c r="C2905" s="25" t="s">
        <v>6194</v>
      </c>
      <c r="D2905" s="26" t="n">
        <v>6.8</v>
      </c>
      <c r="E2905" s="27" t="n">
        <v>8.16749108729376</v>
      </c>
      <c r="F2905" s="27" t="n">
        <v>8.16749108729376</v>
      </c>
      <c r="G2905" s="25" t="s">
        <v>1831</v>
      </c>
      <c r="H2905" s="25" t="s">
        <v>1832</v>
      </c>
      <c r="I2905" s="25" t="n">
        <f aca="false">IFERROR(IF(INDEX(Documents!$C$5:$C$657,MATCH(H2905,Documents!$A$5:$A$657,0))="","",INDEX(Documents!$C$5:$C$657,MATCH(H2905,Documents!$A$5:$A$657,0))),"")</f>
        <v>2008</v>
      </c>
      <c r="J2905" s="25" t="str">
        <f aca="false">IFERROR(IF(INDEX(Documents!$D$5:$D$657,MATCH(H2905,Documents!$A$5:$A$657,0))="","",INDEX(Documents!$D$5:$D$657,MATCH(H2905,Documents!$A$5:$A$657,0))),"")</f>
        <v>Bioorg Med Chem Lett</v>
      </c>
      <c r="K2905" s="25" t="str">
        <f aca="false">IFERROR(IF(INDEX(Documents!$G$5:$G$657,MATCH(H2905,Documents!$A$5:$A$657,0))="","",INDEX(Documents!$G$5:$G$657,MATCH(H2905,Documents!$A$5:$A$657,0))),"")</f>
        <v>10.1016/j.bmcl.2008.10.070</v>
      </c>
      <c r="L2905" s="25" t="s">
        <v>515</v>
      </c>
    </row>
    <row r="2906" customFormat="false" ht="15" hidden="false" customHeight="false" outlineLevel="0" collapsed="false">
      <c r="A2906" s="25" t="n">
        <v>2504016</v>
      </c>
      <c r="B2906" s="25" t="s">
        <v>6195</v>
      </c>
      <c r="C2906" s="25" t="s">
        <v>6196</v>
      </c>
      <c r="D2906" s="26" t="n">
        <v>11</v>
      </c>
      <c r="E2906" s="27" t="n">
        <v>7.95860731484178</v>
      </c>
      <c r="F2906" s="27" t="n">
        <v>7.95860731484178</v>
      </c>
      <c r="G2906" s="25" t="s">
        <v>1831</v>
      </c>
      <c r="H2906" s="25" t="s">
        <v>1832</v>
      </c>
      <c r="I2906" s="25" t="n">
        <f aca="false">IFERROR(IF(INDEX(Documents!$C$5:$C$657,MATCH(H2906,Documents!$A$5:$A$657,0))="","",INDEX(Documents!$C$5:$C$657,MATCH(H2906,Documents!$A$5:$A$657,0))),"")</f>
        <v>2008</v>
      </c>
      <c r="J2906" s="25" t="str">
        <f aca="false">IFERROR(IF(INDEX(Documents!$D$5:$D$657,MATCH(H2906,Documents!$A$5:$A$657,0))="","",INDEX(Documents!$D$5:$D$657,MATCH(H2906,Documents!$A$5:$A$657,0))),"")</f>
        <v>Bioorg Med Chem Lett</v>
      </c>
      <c r="K2906" s="25" t="str">
        <f aca="false">IFERROR(IF(INDEX(Documents!$G$5:$G$657,MATCH(H2906,Documents!$A$5:$A$657,0))="","",INDEX(Documents!$G$5:$G$657,MATCH(H2906,Documents!$A$5:$A$657,0))),"")</f>
        <v>10.1016/j.bmcl.2008.10.070</v>
      </c>
      <c r="L2906" s="25" t="s">
        <v>515</v>
      </c>
    </row>
    <row r="2907" customFormat="false" ht="15" hidden="false" customHeight="false" outlineLevel="0" collapsed="false">
      <c r="A2907" s="25" t="n">
        <v>2504019</v>
      </c>
      <c r="B2907" s="25" t="s">
        <v>6197</v>
      </c>
      <c r="C2907" s="25" t="s">
        <v>6198</v>
      </c>
      <c r="D2907" s="26" t="n">
        <v>1</v>
      </c>
      <c r="E2907" s="27" t="n">
        <v>9</v>
      </c>
      <c r="F2907" s="27" t="n">
        <v>9</v>
      </c>
      <c r="G2907" s="25" t="s">
        <v>1831</v>
      </c>
      <c r="H2907" s="25" t="s">
        <v>1832</v>
      </c>
      <c r="I2907" s="25" t="n">
        <f aca="false">IFERROR(IF(INDEX(Documents!$C$5:$C$657,MATCH(H2907,Documents!$A$5:$A$657,0))="","",INDEX(Documents!$C$5:$C$657,MATCH(H2907,Documents!$A$5:$A$657,0))),"")</f>
        <v>2008</v>
      </c>
      <c r="J2907" s="25" t="str">
        <f aca="false">IFERROR(IF(INDEX(Documents!$D$5:$D$657,MATCH(H2907,Documents!$A$5:$A$657,0))="","",INDEX(Documents!$D$5:$D$657,MATCH(H2907,Documents!$A$5:$A$657,0))),"")</f>
        <v>Bioorg Med Chem Lett</v>
      </c>
      <c r="K2907" s="25" t="str">
        <f aca="false">IFERROR(IF(INDEX(Documents!$G$5:$G$657,MATCH(H2907,Documents!$A$5:$A$657,0))="","",INDEX(Documents!$G$5:$G$657,MATCH(H2907,Documents!$A$5:$A$657,0))),"")</f>
        <v>10.1016/j.bmcl.2008.10.070</v>
      </c>
      <c r="L2907" s="25" t="s">
        <v>515</v>
      </c>
    </row>
    <row r="2908" customFormat="false" ht="15" hidden="false" customHeight="false" outlineLevel="0" collapsed="false">
      <c r="A2908" s="25" t="n">
        <v>1969353</v>
      </c>
      <c r="B2908" s="25" t="s">
        <v>6199</v>
      </c>
      <c r="C2908" s="25" t="s">
        <v>6200</v>
      </c>
      <c r="D2908" s="26" t="n">
        <v>2.3</v>
      </c>
      <c r="E2908" s="27" t="n">
        <v>8.63827216398241</v>
      </c>
      <c r="F2908" s="27" t="n">
        <v>8.63827216398241</v>
      </c>
      <c r="G2908" s="25" t="s">
        <v>1895</v>
      </c>
      <c r="H2908" s="25" t="s">
        <v>1896</v>
      </c>
      <c r="I2908" s="25" t="n">
        <f aca="false">IFERROR(IF(INDEX(Documents!$C$5:$C$657,MATCH(H2908,Documents!$A$5:$A$657,0))="","",INDEX(Documents!$C$5:$C$657,MATCH(H2908,Documents!$A$5:$A$657,0))),"")</f>
        <v>2007</v>
      </c>
      <c r="J2908" s="25" t="str">
        <f aca="false">IFERROR(IF(INDEX(Documents!$D$5:$D$657,MATCH(H2908,Documents!$A$5:$A$657,0))="","",INDEX(Documents!$D$5:$D$657,MATCH(H2908,Documents!$A$5:$A$657,0))),"")</f>
        <v>Bioorg Med Chem Lett</v>
      </c>
      <c r="K2908" s="25" t="str">
        <f aca="false">IFERROR(IF(INDEX(Documents!$G$5:$G$657,MATCH(H2908,Documents!$A$5:$A$657,0))="","",INDEX(Documents!$G$5:$G$657,MATCH(H2908,Documents!$A$5:$A$657,0))),"")</f>
        <v>10.1016/j.bmcl.2007.04.099</v>
      </c>
      <c r="L2908" s="25" t="s">
        <v>515</v>
      </c>
    </row>
    <row r="2909" customFormat="false" ht="15" hidden="false" customHeight="false" outlineLevel="0" collapsed="false">
      <c r="A2909" s="25" t="n">
        <v>1969361</v>
      </c>
      <c r="B2909" s="25" t="s">
        <v>6201</v>
      </c>
      <c r="C2909" s="25" t="s">
        <v>6202</v>
      </c>
      <c r="D2909" s="26" t="n">
        <v>23</v>
      </c>
      <c r="E2909" s="27" t="n">
        <v>7.63827216398241</v>
      </c>
      <c r="F2909" s="27" t="n">
        <v>7.63827216398241</v>
      </c>
      <c r="G2909" s="25" t="s">
        <v>1895</v>
      </c>
      <c r="H2909" s="25" t="s">
        <v>1896</v>
      </c>
      <c r="I2909" s="25" t="n">
        <f aca="false">IFERROR(IF(INDEX(Documents!$C$5:$C$657,MATCH(H2909,Documents!$A$5:$A$657,0))="","",INDEX(Documents!$C$5:$C$657,MATCH(H2909,Documents!$A$5:$A$657,0))),"")</f>
        <v>2007</v>
      </c>
      <c r="J2909" s="25" t="str">
        <f aca="false">IFERROR(IF(INDEX(Documents!$D$5:$D$657,MATCH(H2909,Documents!$A$5:$A$657,0))="","",INDEX(Documents!$D$5:$D$657,MATCH(H2909,Documents!$A$5:$A$657,0))),"")</f>
        <v>Bioorg Med Chem Lett</v>
      </c>
      <c r="K2909" s="25" t="str">
        <f aca="false">IFERROR(IF(INDEX(Documents!$G$5:$G$657,MATCH(H2909,Documents!$A$5:$A$657,0))="","",INDEX(Documents!$G$5:$G$657,MATCH(H2909,Documents!$A$5:$A$657,0))),"")</f>
        <v>10.1016/j.bmcl.2007.04.099</v>
      </c>
      <c r="L2909" s="25" t="s">
        <v>515</v>
      </c>
    </row>
    <row r="2910" customFormat="false" ht="15" hidden="false" customHeight="false" outlineLevel="0" collapsed="false">
      <c r="A2910" s="25" t="n">
        <v>1969355</v>
      </c>
      <c r="B2910" s="25" t="s">
        <v>6203</v>
      </c>
      <c r="C2910" s="25" t="s">
        <v>6204</v>
      </c>
      <c r="D2910" s="26" t="n">
        <v>18</v>
      </c>
      <c r="E2910" s="27" t="n">
        <v>7.74472749489669</v>
      </c>
      <c r="F2910" s="27" t="n">
        <v>7.74472749489669</v>
      </c>
      <c r="G2910" s="25" t="s">
        <v>1895</v>
      </c>
      <c r="H2910" s="25" t="s">
        <v>1896</v>
      </c>
      <c r="I2910" s="25" t="n">
        <f aca="false">IFERROR(IF(INDEX(Documents!$C$5:$C$657,MATCH(H2910,Documents!$A$5:$A$657,0))="","",INDEX(Documents!$C$5:$C$657,MATCH(H2910,Documents!$A$5:$A$657,0))),"")</f>
        <v>2007</v>
      </c>
      <c r="J2910" s="25" t="str">
        <f aca="false">IFERROR(IF(INDEX(Documents!$D$5:$D$657,MATCH(H2910,Documents!$A$5:$A$657,0))="","",INDEX(Documents!$D$5:$D$657,MATCH(H2910,Documents!$A$5:$A$657,0))),"")</f>
        <v>Bioorg Med Chem Lett</v>
      </c>
      <c r="K2910" s="25" t="str">
        <f aca="false">IFERROR(IF(INDEX(Documents!$G$5:$G$657,MATCH(H2910,Documents!$A$5:$A$657,0))="","",INDEX(Documents!$G$5:$G$657,MATCH(H2910,Documents!$A$5:$A$657,0))),"")</f>
        <v>10.1016/j.bmcl.2007.04.099</v>
      </c>
      <c r="L2910" s="25" t="s">
        <v>515</v>
      </c>
    </row>
    <row r="2911" customFormat="false" ht="15" hidden="false" customHeight="false" outlineLevel="0" collapsed="false">
      <c r="A2911" s="25" t="n">
        <v>1969354</v>
      </c>
      <c r="B2911" s="25" t="s">
        <v>6205</v>
      </c>
      <c r="C2911" s="25" t="s">
        <v>6206</v>
      </c>
      <c r="D2911" s="26" t="n">
        <v>6</v>
      </c>
      <c r="E2911" s="27" t="n">
        <v>8.22184874961636</v>
      </c>
      <c r="F2911" s="27" t="n">
        <v>8.22184874961636</v>
      </c>
      <c r="G2911" s="25" t="s">
        <v>1895</v>
      </c>
      <c r="H2911" s="25" t="s">
        <v>1896</v>
      </c>
      <c r="I2911" s="25" t="n">
        <f aca="false">IFERROR(IF(INDEX(Documents!$C$5:$C$657,MATCH(H2911,Documents!$A$5:$A$657,0))="","",INDEX(Documents!$C$5:$C$657,MATCH(H2911,Documents!$A$5:$A$657,0))),"")</f>
        <v>2007</v>
      </c>
      <c r="J2911" s="25" t="str">
        <f aca="false">IFERROR(IF(INDEX(Documents!$D$5:$D$657,MATCH(H2911,Documents!$A$5:$A$657,0))="","",INDEX(Documents!$D$5:$D$657,MATCH(H2911,Documents!$A$5:$A$657,0))),"")</f>
        <v>Bioorg Med Chem Lett</v>
      </c>
      <c r="K2911" s="25" t="str">
        <f aca="false">IFERROR(IF(INDEX(Documents!$G$5:$G$657,MATCH(H2911,Documents!$A$5:$A$657,0))="","",INDEX(Documents!$G$5:$G$657,MATCH(H2911,Documents!$A$5:$A$657,0))),"")</f>
        <v>10.1016/j.bmcl.2007.04.099</v>
      </c>
      <c r="L2911" s="25" t="s">
        <v>515</v>
      </c>
    </row>
    <row r="2912" customFormat="false" ht="15" hidden="false" customHeight="false" outlineLevel="0" collapsed="false">
      <c r="A2912" s="25" t="n">
        <v>1969346</v>
      </c>
      <c r="B2912" s="25" t="s">
        <v>6207</v>
      </c>
      <c r="C2912" s="25" t="s">
        <v>6208</v>
      </c>
      <c r="D2912" s="26" t="n">
        <v>24</v>
      </c>
      <c r="E2912" s="27" t="n">
        <v>7.61978875828839</v>
      </c>
      <c r="F2912" s="27" t="n">
        <v>7.61978875828839</v>
      </c>
      <c r="G2912" s="25" t="s">
        <v>1895</v>
      </c>
      <c r="H2912" s="25" t="s">
        <v>1896</v>
      </c>
      <c r="I2912" s="25" t="n">
        <f aca="false">IFERROR(IF(INDEX(Documents!$C$5:$C$657,MATCH(H2912,Documents!$A$5:$A$657,0))="","",INDEX(Documents!$C$5:$C$657,MATCH(H2912,Documents!$A$5:$A$657,0))),"")</f>
        <v>2007</v>
      </c>
      <c r="J2912" s="25" t="str">
        <f aca="false">IFERROR(IF(INDEX(Documents!$D$5:$D$657,MATCH(H2912,Documents!$A$5:$A$657,0))="","",INDEX(Documents!$D$5:$D$657,MATCH(H2912,Documents!$A$5:$A$657,0))),"")</f>
        <v>Bioorg Med Chem Lett</v>
      </c>
      <c r="K2912" s="25" t="str">
        <f aca="false">IFERROR(IF(INDEX(Documents!$G$5:$G$657,MATCH(H2912,Documents!$A$5:$A$657,0))="","",INDEX(Documents!$G$5:$G$657,MATCH(H2912,Documents!$A$5:$A$657,0))),"")</f>
        <v>10.1016/j.bmcl.2007.04.099</v>
      </c>
      <c r="L2912" s="25" t="s">
        <v>515</v>
      </c>
    </row>
    <row r="2913" customFormat="false" ht="15" hidden="false" customHeight="false" outlineLevel="0" collapsed="false">
      <c r="A2913" s="25" t="n">
        <v>1969362</v>
      </c>
      <c r="B2913" s="25" t="s">
        <v>6209</v>
      </c>
      <c r="C2913" s="25" t="s">
        <v>6210</v>
      </c>
      <c r="D2913" s="26" t="n">
        <v>2.5</v>
      </c>
      <c r="E2913" s="27" t="n">
        <v>8.60205999132796</v>
      </c>
      <c r="F2913" s="27" t="n">
        <v>8.60205999132796</v>
      </c>
      <c r="G2913" s="25" t="s">
        <v>1895</v>
      </c>
      <c r="H2913" s="25" t="s">
        <v>1896</v>
      </c>
      <c r="I2913" s="25" t="n">
        <f aca="false">IFERROR(IF(INDEX(Documents!$C$5:$C$657,MATCH(H2913,Documents!$A$5:$A$657,0))="","",INDEX(Documents!$C$5:$C$657,MATCH(H2913,Documents!$A$5:$A$657,0))),"")</f>
        <v>2007</v>
      </c>
      <c r="J2913" s="25" t="str">
        <f aca="false">IFERROR(IF(INDEX(Documents!$D$5:$D$657,MATCH(H2913,Documents!$A$5:$A$657,0))="","",INDEX(Documents!$D$5:$D$657,MATCH(H2913,Documents!$A$5:$A$657,0))),"")</f>
        <v>Bioorg Med Chem Lett</v>
      </c>
      <c r="K2913" s="25" t="str">
        <f aca="false">IFERROR(IF(INDEX(Documents!$G$5:$G$657,MATCH(H2913,Documents!$A$5:$A$657,0))="","",INDEX(Documents!$G$5:$G$657,MATCH(H2913,Documents!$A$5:$A$657,0))),"")</f>
        <v>10.1016/j.bmcl.2007.04.099</v>
      </c>
      <c r="L2913" s="25" t="s">
        <v>515</v>
      </c>
    </row>
    <row r="2914" customFormat="false" ht="15" hidden="false" customHeight="false" outlineLevel="0" collapsed="false">
      <c r="A2914" s="25" t="n">
        <v>1969349</v>
      </c>
      <c r="B2914" s="25" t="s">
        <v>6211</v>
      </c>
      <c r="C2914" s="25" t="s">
        <v>6212</v>
      </c>
      <c r="D2914" s="26" t="n">
        <v>1</v>
      </c>
      <c r="E2914" s="27" t="n">
        <v>9</v>
      </c>
      <c r="F2914" s="27" t="n">
        <v>9</v>
      </c>
      <c r="G2914" s="25" t="s">
        <v>1895</v>
      </c>
      <c r="H2914" s="25" t="s">
        <v>1896</v>
      </c>
      <c r="I2914" s="25" t="n">
        <f aca="false">IFERROR(IF(INDEX(Documents!$C$5:$C$657,MATCH(H2914,Documents!$A$5:$A$657,0))="","",INDEX(Documents!$C$5:$C$657,MATCH(H2914,Documents!$A$5:$A$657,0))),"")</f>
        <v>2007</v>
      </c>
      <c r="J2914" s="25" t="str">
        <f aca="false">IFERROR(IF(INDEX(Documents!$D$5:$D$657,MATCH(H2914,Documents!$A$5:$A$657,0))="","",INDEX(Documents!$D$5:$D$657,MATCH(H2914,Documents!$A$5:$A$657,0))),"")</f>
        <v>Bioorg Med Chem Lett</v>
      </c>
      <c r="K2914" s="25" t="str">
        <f aca="false">IFERROR(IF(INDEX(Documents!$G$5:$G$657,MATCH(H2914,Documents!$A$5:$A$657,0))="","",INDEX(Documents!$G$5:$G$657,MATCH(H2914,Documents!$A$5:$A$657,0))),"")</f>
        <v>10.1016/j.bmcl.2007.04.099</v>
      </c>
      <c r="L2914" s="25" t="s">
        <v>515</v>
      </c>
    </row>
    <row r="2915" customFormat="false" ht="15" hidden="false" customHeight="false" outlineLevel="0" collapsed="false">
      <c r="A2915" s="25" t="n">
        <v>1969348</v>
      </c>
      <c r="B2915" s="25" t="s">
        <v>6213</v>
      </c>
      <c r="C2915" s="25" t="s">
        <v>6214</v>
      </c>
      <c r="D2915" s="26" t="n">
        <v>5</v>
      </c>
      <c r="E2915" s="27" t="n">
        <v>8.30102999566398</v>
      </c>
      <c r="F2915" s="27" t="n">
        <v>8.30102999566398</v>
      </c>
      <c r="G2915" s="25" t="s">
        <v>1895</v>
      </c>
      <c r="H2915" s="25" t="s">
        <v>1896</v>
      </c>
      <c r="I2915" s="25" t="n">
        <f aca="false">IFERROR(IF(INDEX(Documents!$C$5:$C$657,MATCH(H2915,Documents!$A$5:$A$657,0))="","",INDEX(Documents!$C$5:$C$657,MATCH(H2915,Documents!$A$5:$A$657,0))),"")</f>
        <v>2007</v>
      </c>
      <c r="J2915" s="25" t="str">
        <f aca="false">IFERROR(IF(INDEX(Documents!$D$5:$D$657,MATCH(H2915,Documents!$A$5:$A$657,0))="","",INDEX(Documents!$D$5:$D$657,MATCH(H2915,Documents!$A$5:$A$657,0))),"")</f>
        <v>Bioorg Med Chem Lett</v>
      </c>
      <c r="K2915" s="25" t="str">
        <f aca="false">IFERROR(IF(INDEX(Documents!$G$5:$G$657,MATCH(H2915,Documents!$A$5:$A$657,0))="","",INDEX(Documents!$G$5:$G$657,MATCH(H2915,Documents!$A$5:$A$657,0))),"")</f>
        <v>10.1016/j.bmcl.2007.04.099</v>
      </c>
      <c r="L2915" s="25" t="s">
        <v>515</v>
      </c>
    </row>
    <row r="2916" customFormat="false" ht="15" hidden="false" customHeight="false" outlineLevel="0" collapsed="false">
      <c r="A2916" s="25" t="n">
        <v>1969347</v>
      </c>
      <c r="B2916" s="25" t="s">
        <v>6215</v>
      </c>
      <c r="C2916" s="25" t="s">
        <v>6216</v>
      </c>
      <c r="D2916" s="26" t="n">
        <v>0.2</v>
      </c>
      <c r="E2916" s="27" t="n">
        <v>9.69897000433602</v>
      </c>
      <c r="F2916" s="27" t="n">
        <v>9.69897000433602</v>
      </c>
      <c r="G2916" s="25" t="s">
        <v>1895</v>
      </c>
      <c r="H2916" s="25" t="s">
        <v>1896</v>
      </c>
      <c r="I2916" s="25" t="n">
        <f aca="false">IFERROR(IF(INDEX(Documents!$C$5:$C$657,MATCH(H2916,Documents!$A$5:$A$657,0))="","",INDEX(Documents!$C$5:$C$657,MATCH(H2916,Documents!$A$5:$A$657,0))),"")</f>
        <v>2007</v>
      </c>
      <c r="J2916" s="25" t="str">
        <f aca="false">IFERROR(IF(INDEX(Documents!$D$5:$D$657,MATCH(H2916,Documents!$A$5:$A$657,0))="","",INDEX(Documents!$D$5:$D$657,MATCH(H2916,Documents!$A$5:$A$657,0))),"")</f>
        <v>Bioorg Med Chem Lett</v>
      </c>
      <c r="K2916" s="25" t="str">
        <f aca="false">IFERROR(IF(INDEX(Documents!$G$5:$G$657,MATCH(H2916,Documents!$A$5:$A$657,0))="","",INDEX(Documents!$G$5:$G$657,MATCH(H2916,Documents!$A$5:$A$657,0))),"")</f>
        <v>10.1016/j.bmcl.2007.04.099</v>
      </c>
      <c r="L2916" s="25" t="s">
        <v>515</v>
      </c>
    </row>
    <row r="2917" customFormat="false" ht="15" hidden="false" customHeight="false" outlineLevel="0" collapsed="false">
      <c r="A2917" s="25" t="n">
        <v>1969341</v>
      </c>
      <c r="B2917" s="25" t="s">
        <v>6217</v>
      </c>
      <c r="C2917" s="25" t="s">
        <v>6218</v>
      </c>
      <c r="D2917" s="26" t="n">
        <v>1.1</v>
      </c>
      <c r="E2917" s="27" t="n">
        <v>8.95860731484178</v>
      </c>
      <c r="F2917" s="27" t="n">
        <v>8.95860731484178</v>
      </c>
      <c r="G2917" s="25" t="s">
        <v>1895</v>
      </c>
      <c r="H2917" s="25" t="s">
        <v>1896</v>
      </c>
      <c r="I2917" s="25" t="n">
        <f aca="false">IFERROR(IF(INDEX(Documents!$C$5:$C$657,MATCH(H2917,Documents!$A$5:$A$657,0))="","",INDEX(Documents!$C$5:$C$657,MATCH(H2917,Documents!$A$5:$A$657,0))),"")</f>
        <v>2007</v>
      </c>
      <c r="J2917" s="25" t="str">
        <f aca="false">IFERROR(IF(INDEX(Documents!$D$5:$D$657,MATCH(H2917,Documents!$A$5:$A$657,0))="","",INDEX(Documents!$D$5:$D$657,MATCH(H2917,Documents!$A$5:$A$657,0))),"")</f>
        <v>Bioorg Med Chem Lett</v>
      </c>
      <c r="K2917" s="25" t="str">
        <f aca="false">IFERROR(IF(INDEX(Documents!$G$5:$G$657,MATCH(H2917,Documents!$A$5:$A$657,0))="","",INDEX(Documents!$G$5:$G$657,MATCH(H2917,Documents!$A$5:$A$657,0))),"")</f>
        <v>10.1016/j.bmcl.2007.04.099</v>
      </c>
      <c r="L2917" s="25" t="s">
        <v>515</v>
      </c>
    </row>
    <row r="2918" customFormat="false" ht="15" hidden="false" customHeight="false" outlineLevel="0" collapsed="false">
      <c r="A2918" s="25" t="n">
        <v>1969345</v>
      </c>
      <c r="B2918" s="25" t="s">
        <v>6219</v>
      </c>
      <c r="C2918" s="25" t="s">
        <v>6220</v>
      </c>
      <c r="D2918" s="26" t="n">
        <v>6</v>
      </c>
      <c r="E2918" s="27" t="n">
        <v>8.22184874961636</v>
      </c>
      <c r="F2918" s="27" t="n">
        <v>8.22184874961636</v>
      </c>
      <c r="G2918" s="25" t="s">
        <v>1895</v>
      </c>
      <c r="H2918" s="25" t="s">
        <v>1896</v>
      </c>
      <c r="I2918" s="25" t="n">
        <f aca="false">IFERROR(IF(INDEX(Documents!$C$5:$C$657,MATCH(H2918,Documents!$A$5:$A$657,0))="","",INDEX(Documents!$C$5:$C$657,MATCH(H2918,Documents!$A$5:$A$657,0))),"")</f>
        <v>2007</v>
      </c>
      <c r="J2918" s="25" t="str">
        <f aca="false">IFERROR(IF(INDEX(Documents!$D$5:$D$657,MATCH(H2918,Documents!$A$5:$A$657,0))="","",INDEX(Documents!$D$5:$D$657,MATCH(H2918,Documents!$A$5:$A$657,0))),"")</f>
        <v>Bioorg Med Chem Lett</v>
      </c>
      <c r="K2918" s="25" t="str">
        <f aca="false">IFERROR(IF(INDEX(Documents!$G$5:$G$657,MATCH(H2918,Documents!$A$5:$A$657,0))="","",INDEX(Documents!$G$5:$G$657,MATCH(H2918,Documents!$A$5:$A$657,0))),"")</f>
        <v>10.1016/j.bmcl.2007.04.099</v>
      </c>
      <c r="L2918" s="25" t="s">
        <v>515</v>
      </c>
    </row>
    <row r="2919" customFormat="false" ht="15" hidden="false" customHeight="false" outlineLevel="0" collapsed="false">
      <c r="A2919" s="25" t="n">
        <v>1969344</v>
      </c>
      <c r="B2919" s="25" t="s">
        <v>6221</v>
      </c>
      <c r="C2919" s="25" t="s">
        <v>6222</v>
      </c>
      <c r="D2919" s="26" t="n">
        <v>11</v>
      </c>
      <c r="E2919" s="27" t="n">
        <v>7.95860731484178</v>
      </c>
      <c r="F2919" s="27" t="n">
        <v>7.95860731484178</v>
      </c>
      <c r="G2919" s="25" t="s">
        <v>1895</v>
      </c>
      <c r="H2919" s="25" t="s">
        <v>1896</v>
      </c>
      <c r="I2919" s="25" t="n">
        <f aca="false">IFERROR(IF(INDEX(Documents!$C$5:$C$657,MATCH(H2919,Documents!$A$5:$A$657,0))="","",INDEX(Documents!$C$5:$C$657,MATCH(H2919,Documents!$A$5:$A$657,0))),"")</f>
        <v>2007</v>
      </c>
      <c r="J2919" s="25" t="str">
        <f aca="false">IFERROR(IF(INDEX(Documents!$D$5:$D$657,MATCH(H2919,Documents!$A$5:$A$657,0))="","",INDEX(Documents!$D$5:$D$657,MATCH(H2919,Documents!$A$5:$A$657,0))),"")</f>
        <v>Bioorg Med Chem Lett</v>
      </c>
      <c r="K2919" s="25" t="str">
        <f aca="false">IFERROR(IF(INDEX(Documents!$G$5:$G$657,MATCH(H2919,Documents!$A$5:$A$657,0))="","",INDEX(Documents!$G$5:$G$657,MATCH(H2919,Documents!$A$5:$A$657,0))),"")</f>
        <v>10.1016/j.bmcl.2007.04.099</v>
      </c>
      <c r="L2919" s="25" t="s">
        <v>515</v>
      </c>
    </row>
    <row r="2920" customFormat="false" ht="15" hidden="false" customHeight="false" outlineLevel="0" collapsed="false">
      <c r="A2920" s="25" t="n">
        <v>1969342</v>
      </c>
      <c r="B2920" s="25" t="s">
        <v>6223</v>
      </c>
      <c r="C2920" s="25" t="s">
        <v>6224</v>
      </c>
      <c r="D2920" s="26" t="n">
        <v>0.9</v>
      </c>
      <c r="E2920" s="27" t="n">
        <v>9.04575749056068</v>
      </c>
      <c r="F2920" s="27" t="n">
        <v>9.04575749056068</v>
      </c>
      <c r="G2920" s="25" t="s">
        <v>1895</v>
      </c>
      <c r="H2920" s="25" t="s">
        <v>1896</v>
      </c>
      <c r="I2920" s="25" t="n">
        <f aca="false">IFERROR(IF(INDEX(Documents!$C$5:$C$657,MATCH(H2920,Documents!$A$5:$A$657,0))="","",INDEX(Documents!$C$5:$C$657,MATCH(H2920,Documents!$A$5:$A$657,0))),"")</f>
        <v>2007</v>
      </c>
      <c r="J2920" s="25" t="str">
        <f aca="false">IFERROR(IF(INDEX(Documents!$D$5:$D$657,MATCH(H2920,Documents!$A$5:$A$657,0))="","",INDEX(Documents!$D$5:$D$657,MATCH(H2920,Documents!$A$5:$A$657,0))),"")</f>
        <v>Bioorg Med Chem Lett</v>
      </c>
      <c r="K2920" s="25" t="str">
        <f aca="false">IFERROR(IF(INDEX(Documents!$G$5:$G$657,MATCH(H2920,Documents!$A$5:$A$657,0))="","",INDEX(Documents!$G$5:$G$657,MATCH(H2920,Documents!$A$5:$A$657,0))),"")</f>
        <v>10.1016/j.bmcl.2007.04.099</v>
      </c>
      <c r="L2920" s="25" t="s">
        <v>515</v>
      </c>
    </row>
    <row r="2921" customFormat="false" ht="15" hidden="false" customHeight="false" outlineLevel="0" collapsed="false">
      <c r="A2921" s="25" t="n">
        <v>1969343</v>
      </c>
      <c r="B2921" s="25" t="s">
        <v>6225</v>
      </c>
      <c r="C2921" s="25" t="s">
        <v>6226</v>
      </c>
      <c r="D2921" s="26" t="n">
        <v>1.3</v>
      </c>
      <c r="E2921" s="27" t="n">
        <v>8.88605664769316</v>
      </c>
      <c r="F2921" s="27" t="n">
        <v>8.88605664769316</v>
      </c>
      <c r="G2921" s="25" t="s">
        <v>1895</v>
      </c>
      <c r="H2921" s="25" t="s">
        <v>1896</v>
      </c>
      <c r="I2921" s="25" t="n">
        <f aca="false">IFERROR(IF(INDEX(Documents!$C$5:$C$657,MATCH(H2921,Documents!$A$5:$A$657,0))="","",INDEX(Documents!$C$5:$C$657,MATCH(H2921,Documents!$A$5:$A$657,0))),"")</f>
        <v>2007</v>
      </c>
      <c r="J2921" s="25" t="str">
        <f aca="false">IFERROR(IF(INDEX(Documents!$D$5:$D$657,MATCH(H2921,Documents!$A$5:$A$657,0))="","",INDEX(Documents!$D$5:$D$657,MATCH(H2921,Documents!$A$5:$A$657,0))),"")</f>
        <v>Bioorg Med Chem Lett</v>
      </c>
      <c r="K2921" s="25" t="str">
        <f aca="false">IFERROR(IF(INDEX(Documents!$G$5:$G$657,MATCH(H2921,Documents!$A$5:$A$657,0))="","",INDEX(Documents!$G$5:$G$657,MATCH(H2921,Documents!$A$5:$A$657,0))),"")</f>
        <v>10.1016/j.bmcl.2007.04.099</v>
      </c>
      <c r="L2921" s="25" t="s">
        <v>515</v>
      </c>
    </row>
    <row r="2922" customFormat="false" ht="15" hidden="false" customHeight="false" outlineLevel="0" collapsed="false">
      <c r="A2922" s="25" t="n">
        <v>1969363</v>
      </c>
      <c r="B2922" s="25" t="s">
        <v>6227</v>
      </c>
      <c r="C2922" s="25" t="s">
        <v>6228</v>
      </c>
      <c r="D2922" s="26" t="n">
        <v>0.8</v>
      </c>
      <c r="E2922" s="27" t="n">
        <v>9.09691001300806</v>
      </c>
      <c r="F2922" s="27" t="n">
        <v>9.09691001300806</v>
      </c>
      <c r="G2922" s="25" t="s">
        <v>1895</v>
      </c>
      <c r="H2922" s="25" t="s">
        <v>1896</v>
      </c>
      <c r="I2922" s="25" t="n">
        <f aca="false">IFERROR(IF(INDEX(Documents!$C$5:$C$657,MATCH(H2922,Documents!$A$5:$A$657,0))="","",INDEX(Documents!$C$5:$C$657,MATCH(H2922,Documents!$A$5:$A$657,0))),"")</f>
        <v>2007</v>
      </c>
      <c r="J2922" s="25" t="str">
        <f aca="false">IFERROR(IF(INDEX(Documents!$D$5:$D$657,MATCH(H2922,Documents!$A$5:$A$657,0))="","",INDEX(Documents!$D$5:$D$657,MATCH(H2922,Documents!$A$5:$A$657,0))),"")</f>
        <v>Bioorg Med Chem Lett</v>
      </c>
      <c r="K2922" s="25" t="str">
        <f aca="false">IFERROR(IF(INDEX(Documents!$G$5:$G$657,MATCH(H2922,Documents!$A$5:$A$657,0))="","",INDEX(Documents!$G$5:$G$657,MATCH(H2922,Documents!$A$5:$A$657,0))),"")</f>
        <v>10.1016/j.bmcl.2007.04.099</v>
      </c>
      <c r="L2922" s="25" t="s">
        <v>515</v>
      </c>
    </row>
    <row r="2923" customFormat="false" ht="15" hidden="false" customHeight="false" outlineLevel="0" collapsed="false">
      <c r="A2923" s="25" t="n">
        <v>1969351</v>
      </c>
      <c r="B2923" s="25" t="s">
        <v>6229</v>
      </c>
      <c r="C2923" s="25" t="s">
        <v>6230</v>
      </c>
      <c r="D2923" s="26" t="n">
        <v>1.1</v>
      </c>
      <c r="E2923" s="27" t="n">
        <v>8.95860731484178</v>
      </c>
      <c r="F2923" s="27" t="n">
        <v>8.95860731484178</v>
      </c>
      <c r="G2923" s="25" t="s">
        <v>1895</v>
      </c>
      <c r="H2923" s="25" t="s">
        <v>1896</v>
      </c>
      <c r="I2923" s="25" t="n">
        <f aca="false">IFERROR(IF(INDEX(Documents!$C$5:$C$657,MATCH(H2923,Documents!$A$5:$A$657,0))="","",INDEX(Documents!$C$5:$C$657,MATCH(H2923,Documents!$A$5:$A$657,0))),"")</f>
        <v>2007</v>
      </c>
      <c r="J2923" s="25" t="str">
        <f aca="false">IFERROR(IF(INDEX(Documents!$D$5:$D$657,MATCH(H2923,Documents!$A$5:$A$657,0))="","",INDEX(Documents!$D$5:$D$657,MATCH(H2923,Documents!$A$5:$A$657,0))),"")</f>
        <v>Bioorg Med Chem Lett</v>
      </c>
      <c r="K2923" s="25" t="str">
        <f aca="false">IFERROR(IF(INDEX(Documents!$G$5:$G$657,MATCH(H2923,Documents!$A$5:$A$657,0))="","",INDEX(Documents!$G$5:$G$657,MATCH(H2923,Documents!$A$5:$A$657,0))),"")</f>
        <v>10.1016/j.bmcl.2007.04.099</v>
      </c>
      <c r="L2923" s="25" t="s">
        <v>515</v>
      </c>
    </row>
    <row r="2924" customFormat="false" ht="15" hidden="false" customHeight="false" outlineLevel="0" collapsed="false">
      <c r="A2924" s="25" t="n">
        <v>1969350</v>
      </c>
      <c r="B2924" s="25" t="s">
        <v>6231</v>
      </c>
      <c r="C2924" s="25" t="s">
        <v>6232</v>
      </c>
      <c r="D2924" s="26" t="n">
        <v>12</v>
      </c>
      <c r="E2924" s="27" t="n">
        <v>7.92081875395238</v>
      </c>
      <c r="F2924" s="27" t="n">
        <v>7.92081875395238</v>
      </c>
      <c r="G2924" s="25" t="s">
        <v>1895</v>
      </c>
      <c r="H2924" s="25" t="s">
        <v>1896</v>
      </c>
      <c r="I2924" s="25" t="n">
        <f aca="false">IFERROR(IF(INDEX(Documents!$C$5:$C$657,MATCH(H2924,Documents!$A$5:$A$657,0))="","",INDEX(Documents!$C$5:$C$657,MATCH(H2924,Documents!$A$5:$A$657,0))),"")</f>
        <v>2007</v>
      </c>
      <c r="J2924" s="25" t="str">
        <f aca="false">IFERROR(IF(INDEX(Documents!$D$5:$D$657,MATCH(H2924,Documents!$A$5:$A$657,0))="","",INDEX(Documents!$D$5:$D$657,MATCH(H2924,Documents!$A$5:$A$657,0))),"")</f>
        <v>Bioorg Med Chem Lett</v>
      </c>
      <c r="K2924" s="25" t="str">
        <f aca="false">IFERROR(IF(INDEX(Documents!$G$5:$G$657,MATCH(H2924,Documents!$A$5:$A$657,0))="","",INDEX(Documents!$G$5:$G$657,MATCH(H2924,Documents!$A$5:$A$657,0))),"")</f>
        <v>10.1016/j.bmcl.2007.04.099</v>
      </c>
      <c r="L2924" s="25" t="s">
        <v>515</v>
      </c>
    </row>
    <row r="2925" customFormat="false" ht="15" hidden="false" customHeight="false" outlineLevel="0" collapsed="false">
      <c r="A2925" s="25" t="n">
        <v>2033365</v>
      </c>
      <c r="B2925" s="25" t="s">
        <v>6233</v>
      </c>
      <c r="C2925" s="25" t="s">
        <v>6234</v>
      </c>
      <c r="D2925" s="26" t="n">
        <v>1581</v>
      </c>
      <c r="E2925" s="27" t="n">
        <v>5.80106813006779</v>
      </c>
      <c r="F2925" s="27" t="n">
        <v>5.80106813006779</v>
      </c>
      <c r="G2925" s="25" t="s">
        <v>1133</v>
      </c>
      <c r="H2925" s="25" t="s">
        <v>1134</v>
      </c>
      <c r="I2925" s="25" t="n">
        <f aca="false">IFERROR(IF(INDEX(Documents!$C$5:$C$657,MATCH(H2925,Documents!$A$5:$A$657,0))="","",INDEX(Documents!$C$5:$C$657,MATCH(H2925,Documents!$A$5:$A$657,0))),"")</f>
        <v>2007</v>
      </c>
      <c r="J2925" s="25" t="str">
        <f aca="false">IFERROR(IF(INDEX(Documents!$D$5:$D$657,MATCH(H2925,Documents!$A$5:$A$657,0))="","",INDEX(Documents!$D$5:$D$657,MATCH(H2925,Documents!$A$5:$A$657,0))),"")</f>
        <v>Bioorg Med Chem Lett</v>
      </c>
      <c r="K2925" s="25" t="str">
        <f aca="false">IFERROR(IF(INDEX(Documents!$G$5:$G$657,MATCH(H2925,Documents!$A$5:$A$657,0))="","",INDEX(Documents!$G$5:$G$657,MATCH(H2925,Documents!$A$5:$A$657,0))),"")</f>
        <v>10.1016/j.bmcl.2007.04.093</v>
      </c>
      <c r="L2925" s="25" t="s">
        <v>775</v>
      </c>
    </row>
    <row r="2926" customFormat="false" ht="15" hidden="false" customHeight="false" outlineLevel="0" collapsed="false">
      <c r="A2926" s="25" t="n">
        <v>18432992</v>
      </c>
      <c r="B2926" s="25" t="s">
        <v>6235</v>
      </c>
      <c r="C2926" s="25" t="s">
        <v>6236</v>
      </c>
      <c r="D2926" s="26" t="n">
        <v>591</v>
      </c>
      <c r="E2926" s="27" t="n">
        <v>6.22841251911875</v>
      </c>
      <c r="F2926" s="27" t="n">
        <v>6.22841251911875</v>
      </c>
      <c r="G2926" s="25" t="s">
        <v>5474</v>
      </c>
      <c r="H2926" s="25" t="s">
        <v>5475</v>
      </c>
      <c r="I2926" s="25" t="n">
        <f aca="false">IFERROR(IF(INDEX(Documents!$C$5:$C$657,MATCH(H2926,Documents!$A$5:$A$657,0))="","",INDEX(Documents!$C$5:$C$657,MATCH(H2926,Documents!$A$5:$A$657,0))),"")</f>
        <v>2018</v>
      </c>
      <c r="J2926" s="25" t="str">
        <f aca="false">IFERROR(IF(INDEX(Documents!$D$5:$D$657,MATCH(H2926,Documents!$A$5:$A$657,0))="","",INDEX(Documents!$D$5:$D$657,MATCH(H2926,Documents!$A$5:$A$657,0))),"")</f>
        <v>Eur J Med Chem</v>
      </c>
      <c r="K2926" s="25" t="str">
        <f aca="false">IFERROR(IF(INDEX(Documents!$G$5:$G$657,MATCH(H2926,Documents!$A$5:$A$657,0))="","",INDEX(Documents!$G$5:$G$657,MATCH(H2926,Documents!$A$5:$A$657,0))),"")</f>
        <v>10.1016/j.ejmech.2018.05.050</v>
      </c>
      <c r="L2926" s="25" t="s">
        <v>5476</v>
      </c>
    </row>
    <row r="2927" customFormat="false" ht="15" hidden="false" customHeight="false" outlineLevel="0" collapsed="false">
      <c r="A2927" s="25" t="n">
        <v>2980489</v>
      </c>
      <c r="B2927" s="25" t="s">
        <v>6237</v>
      </c>
      <c r="C2927" s="25" t="s">
        <v>6238</v>
      </c>
      <c r="D2927" s="26" t="n">
        <v>0.4</v>
      </c>
      <c r="E2927" s="27" t="n">
        <v>9.39794000867204</v>
      </c>
      <c r="F2927" s="27" t="n">
        <v>9.39897391554397</v>
      </c>
      <c r="G2927" s="25" t="s">
        <v>599</v>
      </c>
      <c r="H2927" s="25" t="s">
        <v>600</v>
      </c>
      <c r="I2927" s="25" t="n">
        <f aca="false">IFERROR(IF(INDEX(Documents!$C$5:$C$657,MATCH(H2927,Documents!$A$5:$A$657,0))="","",INDEX(Documents!$C$5:$C$657,MATCH(H2927,Documents!$A$5:$A$657,0))),"")</f>
        <v>2010</v>
      </c>
      <c r="J2927" s="25" t="str">
        <f aca="false">IFERROR(IF(INDEX(Documents!$D$5:$D$657,MATCH(H2927,Documents!$A$5:$A$657,0))="","",INDEX(Documents!$D$5:$D$657,MATCH(H2927,Documents!$A$5:$A$657,0))),"")</f>
        <v>J Med Chem</v>
      </c>
      <c r="K2927" s="25" t="str">
        <f aca="false">IFERROR(IF(INDEX(Documents!$G$5:$G$657,MATCH(H2927,Documents!$A$5:$A$657,0))="","",INDEX(Documents!$G$5:$G$657,MATCH(H2927,Documents!$A$5:$A$657,0))),"")</f>
        <v>10.1021/jm901214q</v>
      </c>
      <c r="L2927" s="25" t="s">
        <v>601</v>
      </c>
    </row>
    <row r="2928" customFormat="false" ht="15" hidden="false" customHeight="false" outlineLevel="0" collapsed="false">
      <c r="A2928" s="25" t="n">
        <v>2980588</v>
      </c>
      <c r="B2928" s="25" t="s">
        <v>6237</v>
      </c>
      <c r="C2928" s="25" t="s">
        <v>6238</v>
      </c>
      <c r="D2928" s="26" t="n">
        <v>0.3981</v>
      </c>
      <c r="E2928" s="27" t="n">
        <v>9.4000078224159</v>
      </c>
      <c r="F2928" s="27" t="n">
        <v>9.39897391554397</v>
      </c>
      <c r="G2928" s="25" t="s">
        <v>599</v>
      </c>
      <c r="H2928" s="25" t="s">
        <v>600</v>
      </c>
      <c r="I2928" s="25" t="n">
        <f aca="false">IFERROR(IF(INDEX(Documents!$C$5:$C$657,MATCH(H2928,Documents!$A$5:$A$657,0))="","",INDEX(Documents!$C$5:$C$657,MATCH(H2928,Documents!$A$5:$A$657,0))),"")</f>
        <v>2010</v>
      </c>
      <c r="J2928" s="25" t="str">
        <f aca="false">IFERROR(IF(INDEX(Documents!$D$5:$D$657,MATCH(H2928,Documents!$A$5:$A$657,0))="","",INDEX(Documents!$D$5:$D$657,MATCH(H2928,Documents!$A$5:$A$657,0))),"")</f>
        <v>J Med Chem</v>
      </c>
      <c r="K2928" s="25" t="str">
        <f aca="false">IFERROR(IF(INDEX(Documents!$G$5:$G$657,MATCH(H2928,Documents!$A$5:$A$657,0))="","",INDEX(Documents!$G$5:$G$657,MATCH(H2928,Documents!$A$5:$A$657,0))),"")</f>
        <v>10.1021/jm901214q</v>
      </c>
      <c r="L2928" s="25" t="s">
        <v>601</v>
      </c>
    </row>
    <row r="2929" customFormat="false" ht="15" hidden="false" customHeight="false" outlineLevel="0" collapsed="false">
      <c r="A2929" s="25" t="n">
        <v>27788186</v>
      </c>
      <c r="B2929" s="25" t="s">
        <v>6239</v>
      </c>
      <c r="C2929" s="25" t="s">
        <v>6240</v>
      </c>
      <c r="D2929" s="26" t="n">
        <v>1372</v>
      </c>
      <c r="E2929" s="27" t="n">
        <v>5.86264588862927</v>
      </c>
      <c r="F2929" s="27" t="n">
        <v>5.86264588862927</v>
      </c>
      <c r="G2929" s="25" t="s">
        <v>310</v>
      </c>
      <c r="H2929" s="25" t="s">
        <v>311</v>
      </c>
      <c r="I2929" s="25" t="n">
        <f aca="false">IFERROR(IF(INDEX(Documents!$C$5:$C$657,MATCH(H2929,Documents!$A$5:$A$657,0))="","",INDEX(Documents!$C$5:$C$657,MATCH(H2929,Documents!$A$5:$A$657,0))),"")</f>
        <v>2019</v>
      </c>
      <c r="J2929" s="25" t="str">
        <f aca="false">IFERROR(IF(INDEX(Documents!$D$5:$D$657,MATCH(H2929,Documents!$A$5:$A$657,0))="","",INDEX(Documents!$D$5:$D$657,MATCH(H2929,Documents!$A$5:$A$657,0))),"")</f>
        <v/>
      </c>
      <c r="K2929" s="25" t="str">
        <f aca="false">IFERROR(IF(INDEX(Documents!$G$5:$G$657,MATCH(H2929,Documents!$A$5:$A$657,0))="","",INDEX(Documents!$G$5:$G$657,MATCH(H2929,Documents!$A$5:$A$657,0))),"")</f>
        <v/>
      </c>
      <c r="L2929" s="25" t="s">
        <v>312</v>
      </c>
    </row>
    <row r="2930" customFormat="false" ht="15" hidden="false" customHeight="false" outlineLevel="0" collapsed="false">
      <c r="A2930" s="25" t="n">
        <v>27788180</v>
      </c>
      <c r="B2930" s="25" t="s">
        <v>6241</v>
      </c>
      <c r="C2930" s="25" t="s">
        <v>6242</v>
      </c>
      <c r="D2930" s="26" t="n">
        <v>1029</v>
      </c>
      <c r="E2930" s="27" t="n">
        <v>5.98758462523757</v>
      </c>
      <c r="F2930" s="27" t="n">
        <v>5.98758462523757</v>
      </c>
      <c r="G2930" s="25" t="s">
        <v>310</v>
      </c>
      <c r="H2930" s="25" t="s">
        <v>311</v>
      </c>
      <c r="I2930" s="25" t="n">
        <f aca="false">IFERROR(IF(INDEX(Documents!$C$5:$C$657,MATCH(H2930,Documents!$A$5:$A$657,0))="","",INDEX(Documents!$C$5:$C$657,MATCH(H2930,Documents!$A$5:$A$657,0))),"")</f>
        <v>2019</v>
      </c>
      <c r="J2930" s="25" t="str">
        <f aca="false">IFERROR(IF(INDEX(Documents!$D$5:$D$657,MATCH(H2930,Documents!$A$5:$A$657,0))="","",INDEX(Documents!$D$5:$D$657,MATCH(H2930,Documents!$A$5:$A$657,0))),"")</f>
        <v/>
      </c>
      <c r="K2930" s="25" t="str">
        <f aca="false">IFERROR(IF(INDEX(Documents!$G$5:$G$657,MATCH(H2930,Documents!$A$5:$A$657,0))="","",INDEX(Documents!$G$5:$G$657,MATCH(H2930,Documents!$A$5:$A$657,0))),"")</f>
        <v/>
      </c>
      <c r="L2930" s="25" t="s">
        <v>312</v>
      </c>
    </row>
    <row r="2931" customFormat="false" ht="15" hidden="false" customHeight="false" outlineLevel="0" collapsed="false">
      <c r="A2931" s="25" t="n">
        <v>3102067</v>
      </c>
      <c r="B2931" s="25" t="s">
        <v>6243</v>
      </c>
      <c r="C2931" s="25" t="s">
        <v>6244</v>
      </c>
      <c r="D2931" s="26" t="n">
        <v>10</v>
      </c>
      <c r="E2931" s="27" t="n">
        <v>8</v>
      </c>
      <c r="F2931" s="27" t="n">
        <v>8</v>
      </c>
      <c r="G2931" s="25" t="s">
        <v>4178</v>
      </c>
      <c r="H2931" s="25" t="s">
        <v>4179</v>
      </c>
      <c r="I2931" s="25" t="n">
        <f aca="false">IFERROR(IF(INDEX(Documents!$C$5:$C$657,MATCH(H2931,Documents!$A$5:$A$657,0))="","",INDEX(Documents!$C$5:$C$657,MATCH(H2931,Documents!$A$5:$A$657,0))),"")</f>
        <v>2010</v>
      </c>
      <c r="J2931" s="25" t="str">
        <f aca="false">IFERROR(IF(INDEX(Documents!$D$5:$D$657,MATCH(H2931,Documents!$A$5:$A$657,0))="","",INDEX(Documents!$D$5:$D$657,MATCH(H2931,Documents!$A$5:$A$657,0))),"")</f>
        <v>Bioorg Med Chem Lett</v>
      </c>
      <c r="K2931" s="25" t="str">
        <f aca="false">IFERROR(IF(INDEX(Documents!$G$5:$G$657,MATCH(H2931,Documents!$A$5:$A$657,0))="","",INDEX(Documents!$G$5:$G$657,MATCH(H2931,Documents!$A$5:$A$657,0))),"")</f>
        <v>10.1016/j.bmcl.2009.12.032</v>
      </c>
      <c r="L2931" s="25" t="s">
        <v>659</v>
      </c>
    </row>
    <row r="2932" customFormat="false" ht="15" hidden="false" customHeight="false" outlineLevel="0" collapsed="false">
      <c r="A2932" s="25" t="n">
        <v>3278137</v>
      </c>
      <c r="B2932" s="25" t="s">
        <v>6245</v>
      </c>
      <c r="C2932" s="25" t="s">
        <v>6246</v>
      </c>
      <c r="D2932" s="26" t="n">
        <v>634</v>
      </c>
      <c r="E2932" s="27" t="n">
        <v>6.19791074211827</v>
      </c>
      <c r="F2932" s="27" t="n">
        <v>6.19791074211827</v>
      </c>
      <c r="G2932" s="25" t="s">
        <v>6247</v>
      </c>
      <c r="H2932" s="25" t="s">
        <v>6248</v>
      </c>
      <c r="I2932" s="25" t="n">
        <f aca="false">IFERROR(IF(INDEX(Documents!$C$5:$C$657,MATCH(H2932,Documents!$A$5:$A$657,0))="","",INDEX(Documents!$C$5:$C$657,MATCH(H2932,Documents!$A$5:$A$657,0))),"")</f>
        <v>2010</v>
      </c>
      <c r="J2932" s="25" t="str">
        <f aca="false">IFERROR(IF(INDEX(Documents!$D$5:$D$657,MATCH(H2932,Documents!$A$5:$A$657,0))="","",INDEX(Documents!$D$5:$D$657,MATCH(H2932,Documents!$A$5:$A$657,0))),"")</f>
        <v>Bioorg Med Chem Lett</v>
      </c>
      <c r="K2932" s="25" t="str">
        <f aca="false">IFERROR(IF(INDEX(Documents!$G$5:$G$657,MATCH(H2932,Documents!$A$5:$A$657,0))="","",INDEX(Documents!$G$5:$G$657,MATCH(H2932,Documents!$A$5:$A$657,0))),"")</f>
        <v>10.1016/j.bmcl.2010.03.068</v>
      </c>
      <c r="L2932" s="25" t="s">
        <v>659</v>
      </c>
    </row>
    <row r="2933" customFormat="false" ht="15" hidden="false" customHeight="false" outlineLevel="0" collapsed="false">
      <c r="A2933" s="25" t="n">
        <v>3278139</v>
      </c>
      <c r="B2933" s="25" t="s">
        <v>6249</v>
      </c>
      <c r="C2933" s="25" t="s">
        <v>6250</v>
      </c>
      <c r="D2933" s="26" t="n">
        <v>1072</v>
      </c>
      <c r="E2933" s="27" t="n">
        <v>5.96980521464325</v>
      </c>
      <c r="F2933" s="27" t="n">
        <v>5.96980521464325</v>
      </c>
      <c r="G2933" s="25" t="s">
        <v>6247</v>
      </c>
      <c r="H2933" s="25" t="s">
        <v>6248</v>
      </c>
      <c r="I2933" s="25" t="n">
        <f aca="false">IFERROR(IF(INDEX(Documents!$C$5:$C$657,MATCH(H2933,Documents!$A$5:$A$657,0))="","",INDEX(Documents!$C$5:$C$657,MATCH(H2933,Documents!$A$5:$A$657,0))),"")</f>
        <v>2010</v>
      </c>
      <c r="J2933" s="25" t="str">
        <f aca="false">IFERROR(IF(INDEX(Documents!$D$5:$D$657,MATCH(H2933,Documents!$A$5:$A$657,0))="","",INDEX(Documents!$D$5:$D$657,MATCH(H2933,Documents!$A$5:$A$657,0))),"")</f>
        <v>Bioorg Med Chem Lett</v>
      </c>
      <c r="K2933" s="25" t="str">
        <f aca="false">IFERROR(IF(INDEX(Documents!$G$5:$G$657,MATCH(H2933,Documents!$A$5:$A$657,0))="","",INDEX(Documents!$G$5:$G$657,MATCH(H2933,Documents!$A$5:$A$657,0))),"")</f>
        <v>10.1016/j.bmcl.2010.03.068</v>
      </c>
      <c r="L2933" s="25" t="s">
        <v>659</v>
      </c>
    </row>
    <row r="2934" customFormat="false" ht="15" hidden="false" customHeight="false" outlineLevel="0" collapsed="false">
      <c r="A2934" s="25" t="n">
        <v>3278138</v>
      </c>
      <c r="B2934" s="25" t="s">
        <v>6251</v>
      </c>
      <c r="C2934" s="25" t="s">
        <v>6252</v>
      </c>
      <c r="D2934" s="26" t="n">
        <v>804</v>
      </c>
      <c r="E2934" s="27" t="n">
        <v>6.09474395125155</v>
      </c>
      <c r="F2934" s="27" t="n">
        <v>6.09474395125155</v>
      </c>
      <c r="G2934" s="25" t="s">
        <v>6247</v>
      </c>
      <c r="H2934" s="25" t="s">
        <v>6248</v>
      </c>
      <c r="I2934" s="25" t="n">
        <f aca="false">IFERROR(IF(INDEX(Documents!$C$5:$C$657,MATCH(H2934,Documents!$A$5:$A$657,0))="","",INDEX(Documents!$C$5:$C$657,MATCH(H2934,Documents!$A$5:$A$657,0))),"")</f>
        <v>2010</v>
      </c>
      <c r="J2934" s="25" t="str">
        <f aca="false">IFERROR(IF(INDEX(Documents!$D$5:$D$657,MATCH(H2934,Documents!$A$5:$A$657,0))="","",INDEX(Documents!$D$5:$D$657,MATCH(H2934,Documents!$A$5:$A$657,0))),"")</f>
        <v>Bioorg Med Chem Lett</v>
      </c>
      <c r="K2934" s="25" t="str">
        <f aca="false">IFERROR(IF(INDEX(Documents!$G$5:$G$657,MATCH(H2934,Documents!$A$5:$A$657,0))="","",INDEX(Documents!$G$5:$G$657,MATCH(H2934,Documents!$A$5:$A$657,0))),"")</f>
        <v>10.1016/j.bmcl.2010.03.068</v>
      </c>
      <c r="L2934" s="25" t="s">
        <v>659</v>
      </c>
    </row>
    <row r="2935" customFormat="false" ht="15" hidden="false" customHeight="false" outlineLevel="0" collapsed="false">
      <c r="A2935" s="25" t="n">
        <v>3278135</v>
      </c>
      <c r="B2935" s="25" t="s">
        <v>6253</v>
      </c>
      <c r="C2935" s="25" t="s">
        <v>6254</v>
      </c>
      <c r="D2935" s="26" t="n">
        <v>325</v>
      </c>
      <c r="E2935" s="27" t="n">
        <v>6.48811663902113</v>
      </c>
      <c r="F2935" s="27" t="n">
        <v>6.48811663902113</v>
      </c>
      <c r="G2935" s="25" t="s">
        <v>6247</v>
      </c>
      <c r="H2935" s="25" t="s">
        <v>6248</v>
      </c>
      <c r="I2935" s="25" t="n">
        <f aca="false">IFERROR(IF(INDEX(Documents!$C$5:$C$657,MATCH(H2935,Documents!$A$5:$A$657,0))="","",INDEX(Documents!$C$5:$C$657,MATCH(H2935,Documents!$A$5:$A$657,0))),"")</f>
        <v>2010</v>
      </c>
      <c r="J2935" s="25" t="str">
        <f aca="false">IFERROR(IF(INDEX(Documents!$D$5:$D$657,MATCH(H2935,Documents!$A$5:$A$657,0))="","",INDEX(Documents!$D$5:$D$657,MATCH(H2935,Documents!$A$5:$A$657,0))),"")</f>
        <v>Bioorg Med Chem Lett</v>
      </c>
      <c r="K2935" s="25" t="str">
        <f aca="false">IFERROR(IF(INDEX(Documents!$G$5:$G$657,MATCH(H2935,Documents!$A$5:$A$657,0))="","",INDEX(Documents!$G$5:$G$657,MATCH(H2935,Documents!$A$5:$A$657,0))),"")</f>
        <v>10.1016/j.bmcl.2010.03.068</v>
      </c>
      <c r="L2935" s="25" t="s">
        <v>659</v>
      </c>
    </row>
    <row r="2936" customFormat="false" ht="15" hidden="false" customHeight="false" outlineLevel="0" collapsed="false">
      <c r="A2936" s="25" t="n">
        <v>3278134</v>
      </c>
      <c r="B2936" s="25" t="s">
        <v>6255</v>
      </c>
      <c r="C2936" s="25" t="s">
        <v>6256</v>
      </c>
      <c r="D2936" s="26" t="n">
        <v>371</v>
      </c>
      <c r="E2936" s="27" t="n">
        <v>6.43062609038495</v>
      </c>
      <c r="F2936" s="27" t="n">
        <v>6.43062609038495</v>
      </c>
      <c r="G2936" s="25" t="s">
        <v>6247</v>
      </c>
      <c r="H2936" s="25" t="s">
        <v>6248</v>
      </c>
      <c r="I2936" s="25" t="n">
        <f aca="false">IFERROR(IF(INDEX(Documents!$C$5:$C$657,MATCH(H2936,Documents!$A$5:$A$657,0))="","",INDEX(Documents!$C$5:$C$657,MATCH(H2936,Documents!$A$5:$A$657,0))),"")</f>
        <v>2010</v>
      </c>
      <c r="J2936" s="25" t="str">
        <f aca="false">IFERROR(IF(INDEX(Documents!$D$5:$D$657,MATCH(H2936,Documents!$A$5:$A$657,0))="","",INDEX(Documents!$D$5:$D$657,MATCH(H2936,Documents!$A$5:$A$657,0))),"")</f>
        <v>Bioorg Med Chem Lett</v>
      </c>
      <c r="K2936" s="25" t="str">
        <f aca="false">IFERROR(IF(INDEX(Documents!$G$5:$G$657,MATCH(H2936,Documents!$A$5:$A$657,0))="","",INDEX(Documents!$G$5:$G$657,MATCH(H2936,Documents!$A$5:$A$657,0))),"")</f>
        <v>10.1016/j.bmcl.2010.03.068</v>
      </c>
      <c r="L2936" s="25" t="s">
        <v>659</v>
      </c>
    </row>
    <row r="2937" customFormat="false" ht="15" hidden="false" customHeight="false" outlineLevel="0" collapsed="false">
      <c r="A2937" s="25" t="n">
        <v>16320678</v>
      </c>
      <c r="B2937" s="25" t="s">
        <v>6257</v>
      </c>
      <c r="C2937" s="25" t="s">
        <v>6258</v>
      </c>
      <c r="D2937" s="26" t="n">
        <v>1.1</v>
      </c>
      <c r="E2937" s="27" t="n">
        <v>8.95860731484178</v>
      </c>
      <c r="F2937" s="27" t="n">
        <v>8.95860731484178</v>
      </c>
      <c r="G2937" s="25" t="s">
        <v>326</v>
      </c>
      <c r="H2937" s="25" t="s">
        <v>327</v>
      </c>
      <c r="I2937" s="25" t="n">
        <f aca="false">IFERROR(IF(INDEX(Documents!$C$5:$C$657,MATCH(H2937,Documents!$A$5:$A$657,0))="","",INDEX(Documents!$C$5:$C$657,MATCH(H2937,Documents!$A$5:$A$657,0))),"")</f>
        <v>2014</v>
      </c>
      <c r="J2937" s="25" t="str">
        <f aca="false">IFERROR(IF(INDEX(Documents!$D$5:$D$657,MATCH(H2937,Documents!$A$5:$A$657,0))="","",INDEX(Documents!$D$5:$D$657,MATCH(H2937,Documents!$A$5:$A$657,0))),"")</f>
        <v/>
      </c>
      <c r="K2937" s="25" t="str">
        <f aca="false">IFERROR(IF(INDEX(Documents!$G$5:$G$657,MATCH(H2937,Documents!$A$5:$A$657,0))="","",INDEX(Documents!$G$5:$G$657,MATCH(H2937,Documents!$A$5:$A$657,0))),"")</f>
        <v/>
      </c>
      <c r="L2937" s="25" t="s">
        <v>328</v>
      </c>
    </row>
    <row r="2938" customFormat="false" ht="15" hidden="false" customHeight="false" outlineLevel="0" collapsed="false">
      <c r="A2938" s="25" t="n">
        <v>14999677</v>
      </c>
      <c r="B2938" s="25" t="s">
        <v>6259</v>
      </c>
      <c r="C2938" s="25" t="s">
        <v>6260</v>
      </c>
      <c r="D2938" s="26" t="n">
        <v>4200</v>
      </c>
      <c r="E2938" s="27" t="n">
        <v>5.3767507096021</v>
      </c>
      <c r="F2938" s="27" t="n">
        <v>5.3767507096021</v>
      </c>
      <c r="G2938" s="25" t="s">
        <v>2988</v>
      </c>
      <c r="H2938" s="25" t="s">
        <v>2989</v>
      </c>
      <c r="I2938" s="25" t="n">
        <f aca="false">IFERROR(IF(INDEX(Documents!$C$5:$C$657,MATCH(H2938,Documents!$A$5:$A$657,0))="","",INDEX(Documents!$C$5:$C$657,MATCH(H2938,Documents!$A$5:$A$657,0))),"")</f>
        <v>2014</v>
      </c>
      <c r="J2938" s="25" t="str">
        <f aca="false">IFERROR(IF(INDEX(Documents!$D$5:$D$657,MATCH(H2938,Documents!$A$5:$A$657,0))="","",INDEX(Documents!$D$5:$D$657,MATCH(H2938,Documents!$A$5:$A$657,0))),"")</f>
        <v>Eur J Med Chem</v>
      </c>
      <c r="K2938" s="25" t="str">
        <f aca="false">IFERROR(IF(INDEX(Documents!$G$5:$G$657,MATCH(H2938,Documents!$A$5:$A$657,0))="","",INDEX(Documents!$G$5:$G$657,MATCH(H2938,Documents!$A$5:$A$657,0))),"")</f>
        <v>10.1016/j.ejmech.2014.07.062</v>
      </c>
      <c r="L2938" s="25" t="s">
        <v>2990</v>
      </c>
    </row>
    <row r="2939" customFormat="false" ht="15" hidden="false" customHeight="false" outlineLevel="0" collapsed="false">
      <c r="A2939" s="25" t="n">
        <v>12089857</v>
      </c>
      <c r="B2939" s="25" t="s">
        <v>6261</v>
      </c>
      <c r="C2939" s="25" t="s">
        <v>6262</v>
      </c>
      <c r="D2939" s="26" t="n">
        <v>47</v>
      </c>
      <c r="E2939" s="27" t="n">
        <v>7.32790214206428</v>
      </c>
      <c r="F2939" s="27" t="n">
        <v>7.32790214206428</v>
      </c>
      <c r="G2939" s="25" t="s">
        <v>1028</v>
      </c>
      <c r="H2939" s="25" t="s">
        <v>1029</v>
      </c>
      <c r="I2939" s="25" t="n">
        <f aca="false">IFERROR(IF(INDEX(Documents!$C$5:$C$657,MATCH(H2939,Documents!$A$5:$A$657,0))="","",INDEX(Documents!$C$5:$C$657,MATCH(H2939,Documents!$A$5:$A$657,0))),"")</f>
        <v>2012</v>
      </c>
      <c r="J2939" s="25" t="str">
        <f aca="false">IFERROR(IF(INDEX(Documents!$D$5:$D$657,MATCH(H2939,Documents!$A$5:$A$657,0))="","",INDEX(Documents!$D$5:$D$657,MATCH(H2939,Documents!$A$5:$A$657,0))),"")</f>
        <v>J Med Chem</v>
      </c>
      <c r="K2939" s="25" t="str">
        <f aca="false">IFERROR(IF(INDEX(Documents!$G$5:$G$657,MATCH(H2939,Documents!$A$5:$A$657,0))="","",INDEX(Documents!$G$5:$G$657,MATCH(H2939,Documents!$A$5:$A$657,0))),"")</f>
        <v>10.1021/jm300763w</v>
      </c>
      <c r="L2939" s="25" t="s">
        <v>1030</v>
      </c>
    </row>
    <row r="2940" customFormat="false" ht="15" hidden="false" customHeight="false" outlineLevel="0" collapsed="false">
      <c r="A2940" s="25" t="n">
        <v>12089859</v>
      </c>
      <c r="B2940" s="25" t="s">
        <v>6263</v>
      </c>
      <c r="C2940" s="25" t="s">
        <v>6264</v>
      </c>
      <c r="D2940" s="26" t="n">
        <v>24</v>
      </c>
      <c r="E2940" s="27" t="n">
        <v>7.61978875828839</v>
      </c>
      <c r="F2940" s="27" t="n">
        <v>7.61978875828839</v>
      </c>
      <c r="G2940" s="25" t="s">
        <v>1028</v>
      </c>
      <c r="H2940" s="25" t="s">
        <v>1029</v>
      </c>
      <c r="I2940" s="25" t="n">
        <f aca="false">IFERROR(IF(INDEX(Documents!$C$5:$C$657,MATCH(H2940,Documents!$A$5:$A$657,0))="","",INDEX(Documents!$C$5:$C$657,MATCH(H2940,Documents!$A$5:$A$657,0))),"")</f>
        <v>2012</v>
      </c>
      <c r="J2940" s="25" t="str">
        <f aca="false">IFERROR(IF(INDEX(Documents!$D$5:$D$657,MATCH(H2940,Documents!$A$5:$A$657,0))="","",INDEX(Documents!$D$5:$D$657,MATCH(H2940,Documents!$A$5:$A$657,0))),"")</f>
        <v>J Med Chem</v>
      </c>
      <c r="K2940" s="25" t="str">
        <f aca="false">IFERROR(IF(INDEX(Documents!$G$5:$G$657,MATCH(H2940,Documents!$A$5:$A$657,0))="","",INDEX(Documents!$G$5:$G$657,MATCH(H2940,Documents!$A$5:$A$657,0))),"")</f>
        <v>10.1021/jm300763w</v>
      </c>
      <c r="L2940" s="25" t="s">
        <v>1030</v>
      </c>
    </row>
    <row r="2941" customFormat="false" ht="15" hidden="false" customHeight="false" outlineLevel="0" collapsed="false">
      <c r="A2941" s="25" t="n">
        <v>18560298</v>
      </c>
      <c r="B2941" s="25" t="s">
        <v>6265</v>
      </c>
      <c r="C2941" s="25" t="s">
        <v>6266</v>
      </c>
      <c r="D2941" s="26" t="n">
        <v>22.1</v>
      </c>
      <c r="E2941" s="27" t="n">
        <v>7.65560772631489</v>
      </c>
      <c r="F2941" s="27" t="n">
        <v>7.65560772631489</v>
      </c>
      <c r="G2941" s="25" t="s">
        <v>278</v>
      </c>
      <c r="H2941" s="25" t="s">
        <v>279</v>
      </c>
      <c r="I2941" s="25" t="n">
        <f aca="false">IFERROR(IF(INDEX(Documents!$C$5:$C$657,MATCH(H2941,Documents!$A$5:$A$657,0))="","",INDEX(Documents!$C$5:$C$657,MATCH(H2941,Documents!$A$5:$A$657,0))),"")</f>
        <v>2018</v>
      </c>
      <c r="J2941" s="25" t="str">
        <f aca="false">IFERROR(IF(INDEX(Documents!$D$5:$D$657,MATCH(H2941,Documents!$A$5:$A$657,0))="","",INDEX(Documents!$D$5:$D$657,MATCH(H2941,Documents!$A$5:$A$657,0))),"")</f>
        <v>J Med Chem</v>
      </c>
      <c r="K2941" s="25" t="str">
        <f aca="false">IFERROR(IF(INDEX(Documents!$G$5:$G$657,MATCH(H2941,Documents!$A$5:$A$657,0))="","",INDEX(Documents!$G$5:$G$657,MATCH(H2941,Documents!$A$5:$A$657,0))),"")</f>
        <v>10.1021/acs.jmedchem.8b00611</v>
      </c>
      <c r="L2941" s="25" t="s">
        <v>280</v>
      </c>
    </row>
    <row r="2942" customFormat="false" ht="15" hidden="false" customHeight="false" outlineLevel="0" collapsed="false">
      <c r="A2942" s="25" t="n">
        <v>18560297</v>
      </c>
      <c r="B2942" s="25" t="s">
        <v>6267</v>
      </c>
      <c r="C2942" s="25" t="s">
        <v>6268</v>
      </c>
      <c r="D2942" s="26" t="n">
        <v>8.5</v>
      </c>
      <c r="E2942" s="27" t="n">
        <v>8.07058107428571</v>
      </c>
      <c r="F2942" s="27" t="n">
        <v>8.07058107428571</v>
      </c>
      <c r="G2942" s="25" t="s">
        <v>278</v>
      </c>
      <c r="H2942" s="25" t="s">
        <v>279</v>
      </c>
      <c r="I2942" s="25" t="n">
        <f aca="false">IFERROR(IF(INDEX(Documents!$C$5:$C$657,MATCH(H2942,Documents!$A$5:$A$657,0))="","",INDEX(Documents!$C$5:$C$657,MATCH(H2942,Documents!$A$5:$A$657,0))),"")</f>
        <v>2018</v>
      </c>
      <c r="J2942" s="25" t="str">
        <f aca="false">IFERROR(IF(INDEX(Documents!$D$5:$D$657,MATCH(H2942,Documents!$A$5:$A$657,0))="","",INDEX(Documents!$D$5:$D$657,MATCH(H2942,Documents!$A$5:$A$657,0))),"")</f>
        <v>J Med Chem</v>
      </c>
      <c r="K2942" s="25" t="str">
        <f aca="false">IFERROR(IF(INDEX(Documents!$G$5:$G$657,MATCH(H2942,Documents!$A$5:$A$657,0))="","",INDEX(Documents!$G$5:$G$657,MATCH(H2942,Documents!$A$5:$A$657,0))),"")</f>
        <v>10.1021/acs.jmedchem.8b00611</v>
      </c>
      <c r="L2942" s="25" t="s">
        <v>280</v>
      </c>
    </row>
    <row r="2943" customFormat="false" ht="15" hidden="false" customHeight="false" outlineLevel="0" collapsed="false">
      <c r="A2943" s="25" t="n">
        <v>18560290</v>
      </c>
      <c r="B2943" s="25" t="s">
        <v>6269</v>
      </c>
      <c r="C2943" s="25" t="s">
        <v>6270</v>
      </c>
      <c r="D2943" s="26" t="n">
        <v>286</v>
      </c>
      <c r="E2943" s="27" t="n">
        <v>6.54363396687096</v>
      </c>
      <c r="F2943" s="27" t="n">
        <v>6.54363396687096</v>
      </c>
      <c r="G2943" s="25" t="s">
        <v>278</v>
      </c>
      <c r="H2943" s="25" t="s">
        <v>279</v>
      </c>
      <c r="I2943" s="25" t="n">
        <f aca="false">IFERROR(IF(INDEX(Documents!$C$5:$C$657,MATCH(H2943,Documents!$A$5:$A$657,0))="","",INDEX(Documents!$C$5:$C$657,MATCH(H2943,Documents!$A$5:$A$657,0))),"")</f>
        <v>2018</v>
      </c>
      <c r="J2943" s="25" t="str">
        <f aca="false">IFERROR(IF(INDEX(Documents!$D$5:$D$657,MATCH(H2943,Documents!$A$5:$A$657,0))="","",INDEX(Documents!$D$5:$D$657,MATCH(H2943,Documents!$A$5:$A$657,0))),"")</f>
        <v>J Med Chem</v>
      </c>
      <c r="K2943" s="25" t="str">
        <f aca="false">IFERROR(IF(INDEX(Documents!$G$5:$G$657,MATCH(H2943,Documents!$A$5:$A$657,0))="","",INDEX(Documents!$G$5:$G$657,MATCH(H2943,Documents!$A$5:$A$657,0))),"")</f>
        <v>10.1021/acs.jmedchem.8b00611</v>
      </c>
      <c r="L2943" s="25" t="s">
        <v>280</v>
      </c>
    </row>
    <row r="2944" customFormat="false" ht="15" hidden="false" customHeight="false" outlineLevel="0" collapsed="false">
      <c r="A2944" s="25" t="n">
        <v>1736755</v>
      </c>
      <c r="B2944" s="25" t="s">
        <v>6271</v>
      </c>
      <c r="C2944" s="25" t="s">
        <v>6272</v>
      </c>
      <c r="D2944" s="26" t="n">
        <v>220</v>
      </c>
      <c r="E2944" s="27" t="n">
        <v>6.65757731917779</v>
      </c>
      <c r="F2944" s="27" t="n">
        <v>6.65757731917779</v>
      </c>
      <c r="G2944" s="25" t="s">
        <v>6273</v>
      </c>
      <c r="H2944" s="25" t="s">
        <v>6274</v>
      </c>
      <c r="I2944" s="25" t="n">
        <f aca="false">IFERROR(IF(INDEX(Documents!$C$5:$C$657,MATCH(H2944,Documents!$A$5:$A$657,0))="","",INDEX(Documents!$C$5:$C$657,MATCH(H2944,Documents!$A$5:$A$657,0))),"")</f>
        <v>2006</v>
      </c>
      <c r="J2944" s="25" t="str">
        <f aca="false">IFERROR(IF(INDEX(Documents!$D$5:$D$657,MATCH(H2944,Documents!$A$5:$A$657,0))="","",INDEX(Documents!$D$5:$D$657,MATCH(H2944,Documents!$A$5:$A$657,0))),"")</f>
        <v>Bioorg Med Chem Lett</v>
      </c>
      <c r="K2944" s="25" t="str">
        <f aca="false">IFERROR(IF(INDEX(Documents!$G$5:$G$657,MATCH(H2944,Documents!$A$5:$A$657,0))="","",INDEX(Documents!$G$5:$G$657,MATCH(H2944,Documents!$A$5:$A$657,0))),"")</f>
        <v>10.1016/j.bmcl.2006.04.059</v>
      </c>
      <c r="L2944" s="25" t="s">
        <v>6275</v>
      </c>
    </row>
    <row r="2945" customFormat="false" ht="15" hidden="false" customHeight="false" outlineLevel="0" collapsed="false">
      <c r="A2945" s="25" t="n">
        <v>2393089</v>
      </c>
      <c r="B2945" s="25" t="s">
        <v>6276</v>
      </c>
      <c r="C2945" s="25" t="s">
        <v>6277</v>
      </c>
      <c r="D2945" s="26" t="n">
        <v>1020</v>
      </c>
      <c r="E2945" s="27" t="n">
        <v>5.99139982823808</v>
      </c>
      <c r="F2945" s="27" t="n">
        <v>5.99139982823808</v>
      </c>
      <c r="G2945" s="25" t="s">
        <v>6278</v>
      </c>
      <c r="H2945" s="25" t="s">
        <v>6279</v>
      </c>
      <c r="I2945" s="25" t="n">
        <f aca="false">IFERROR(IF(INDEX(Documents!$C$5:$C$657,MATCH(H2945,Documents!$A$5:$A$657,0))="","",INDEX(Documents!$C$5:$C$657,MATCH(H2945,Documents!$A$5:$A$657,0))),"")</f>
        <v>2009</v>
      </c>
      <c r="J2945" s="25" t="str">
        <f aca="false">IFERROR(IF(INDEX(Documents!$D$5:$D$657,MATCH(H2945,Documents!$A$5:$A$657,0))="","",INDEX(Documents!$D$5:$D$657,MATCH(H2945,Documents!$A$5:$A$657,0))),"")</f>
        <v>J Med Chem</v>
      </c>
      <c r="K2945" s="25" t="str">
        <f aca="false">IFERROR(IF(INDEX(Documents!$G$5:$G$657,MATCH(H2945,Documents!$A$5:$A$657,0))="","",INDEX(Documents!$G$5:$G$657,MATCH(H2945,Documents!$A$5:$A$657,0))),"")</f>
        <v>10.1021/jm8011382</v>
      </c>
      <c r="L2945" s="25" t="s">
        <v>6280</v>
      </c>
    </row>
    <row r="2946" customFormat="false" ht="15" hidden="false" customHeight="false" outlineLevel="0" collapsed="false">
      <c r="A2946" s="25" t="n">
        <v>2045802</v>
      </c>
      <c r="B2946" s="25" t="s">
        <v>6281</v>
      </c>
      <c r="C2946" s="25" t="s">
        <v>6282</v>
      </c>
      <c r="D2946" s="26" t="n">
        <v>3.13</v>
      </c>
      <c r="E2946" s="27" t="n">
        <v>8.50445566245355</v>
      </c>
      <c r="F2946" s="27" t="n">
        <v>8.50445566245355</v>
      </c>
      <c r="G2946" s="25" t="s">
        <v>2478</v>
      </c>
      <c r="H2946" s="25" t="s">
        <v>2479</v>
      </c>
      <c r="I2946" s="25" t="n">
        <f aca="false">IFERROR(IF(INDEX(Documents!$C$5:$C$657,MATCH(H2946,Documents!$A$5:$A$657,0))="","",INDEX(Documents!$C$5:$C$657,MATCH(H2946,Documents!$A$5:$A$657,0))),"")</f>
        <v>2007</v>
      </c>
      <c r="J2946" s="25" t="str">
        <f aca="false">IFERROR(IF(INDEX(Documents!$D$5:$D$657,MATCH(H2946,Documents!$A$5:$A$657,0))="","",INDEX(Documents!$D$5:$D$657,MATCH(H2946,Documents!$A$5:$A$657,0))),"")</f>
        <v>Bioorg Med Chem</v>
      </c>
      <c r="K2946" s="25" t="str">
        <f aca="false">IFERROR(IF(INDEX(Documents!$G$5:$G$657,MATCH(H2946,Documents!$A$5:$A$657,0))="","",INDEX(Documents!$G$5:$G$657,MATCH(H2946,Documents!$A$5:$A$657,0))),"")</f>
        <v>10.1016/j.bmc.2007.08.039</v>
      </c>
      <c r="L2946" s="25" t="s">
        <v>659</v>
      </c>
    </row>
    <row r="2947" customFormat="false" ht="15" hidden="false" customHeight="false" outlineLevel="0" collapsed="false">
      <c r="A2947" s="25" t="n">
        <v>2045804</v>
      </c>
      <c r="B2947" s="25" t="s">
        <v>6283</v>
      </c>
      <c r="C2947" s="25" t="s">
        <v>6284</v>
      </c>
      <c r="D2947" s="26" t="n">
        <v>7.46</v>
      </c>
      <c r="E2947" s="27" t="n">
        <v>8.12726117252733</v>
      </c>
      <c r="F2947" s="27" t="n">
        <v>8.12726117252733</v>
      </c>
      <c r="G2947" s="25" t="s">
        <v>2478</v>
      </c>
      <c r="H2947" s="25" t="s">
        <v>2479</v>
      </c>
      <c r="I2947" s="25" t="n">
        <f aca="false">IFERROR(IF(INDEX(Documents!$C$5:$C$657,MATCH(H2947,Documents!$A$5:$A$657,0))="","",INDEX(Documents!$C$5:$C$657,MATCH(H2947,Documents!$A$5:$A$657,0))),"")</f>
        <v>2007</v>
      </c>
      <c r="J2947" s="25" t="str">
        <f aca="false">IFERROR(IF(INDEX(Documents!$D$5:$D$657,MATCH(H2947,Documents!$A$5:$A$657,0))="","",INDEX(Documents!$D$5:$D$657,MATCH(H2947,Documents!$A$5:$A$657,0))),"")</f>
        <v>Bioorg Med Chem</v>
      </c>
      <c r="K2947" s="25" t="str">
        <f aca="false">IFERROR(IF(INDEX(Documents!$G$5:$G$657,MATCH(H2947,Documents!$A$5:$A$657,0))="","",INDEX(Documents!$G$5:$G$657,MATCH(H2947,Documents!$A$5:$A$657,0))),"")</f>
        <v>10.1016/j.bmc.2007.08.039</v>
      </c>
      <c r="L2947" s="25" t="s">
        <v>659</v>
      </c>
    </row>
    <row r="2948" customFormat="false" ht="15" hidden="false" customHeight="false" outlineLevel="0" collapsed="false">
      <c r="A2948" s="25" t="n">
        <v>2045803</v>
      </c>
      <c r="B2948" s="25" t="s">
        <v>6285</v>
      </c>
      <c r="C2948" s="25" t="s">
        <v>6286</v>
      </c>
      <c r="D2948" s="26" t="n">
        <v>2.52</v>
      </c>
      <c r="E2948" s="27" t="n">
        <v>8.59859945921846</v>
      </c>
      <c r="F2948" s="27" t="n">
        <v>8.59859945921846</v>
      </c>
      <c r="G2948" s="25" t="s">
        <v>2478</v>
      </c>
      <c r="H2948" s="25" t="s">
        <v>2479</v>
      </c>
      <c r="I2948" s="25" t="n">
        <f aca="false">IFERROR(IF(INDEX(Documents!$C$5:$C$657,MATCH(H2948,Documents!$A$5:$A$657,0))="","",INDEX(Documents!$C$5:$C$657,MATCH(H2948,Documents!$A$5:$A$657,0))),"")</f>
        <v>2007</v>
      </c>
      <c r="J2948" s="25" t="str">
        <f aca="false">IFERROR(IF(INDEX(Documents!$D$5:$D$657,MATCH(H2948,Documents!$A$5:$A$657,0))="","",INDEX(Documents!$D$5:$D$657,MATCH(H2948,Documents!$A$5:$A$657,0))),"")</f>
        <v>Bioorg Med Chem</v>
      </c>
      <c r="K2948" s="25" t="str">
        <f aca="false">IFERROR(IF(INDEX(Documents!$G$5:$G$657,MATCH(H2948,Documents!$A$5:$A$657,0))="","",INDEX(Documents!$G$5:$G$657,MATCH(H2948,Documents!$A$5:$A$657,0))),"")</f>
        <v>10.1016/j.bmc.2007.08.039</v>
      </c>
      <c r="L2948" s="25" t="s">
        <v>659</v>
      </c>
    </row>
    <row r="2949" customFormat="false" ht="15" hidden="false" customHeight="false" outlineLevel="0" collapsed="false">
      <c r="A2949" s="25" t="n">
        <v>2045805</v>
      </c>
      <c r="B2949" s="25" t="s">
        <v>6287</v>
      </c>
      <c r="C2949" s="25" t="s">
        <v>6288</v>
      </c>
      <c r="D2949" s="26" t="n">
        <v>10.9</v>
      </c>
      <c r="E2949" s="27" t="n">
        <v>7.96257350205938</v>
      </c>
      <c r="F2949" s="27" t="n">
        <v>7.96257350205938</v>
      </c>
      <c r="G2949" s="25" t="s">
        <v>2478</v>
      </c>
      <c r="H2949" s="25" t="s">
        <v>2479</v>
      </c>
      <c r="I2949" s="25" t="n">
        <f aca="false">IFERROR(IF(INDEX(Documents!$C$5:$C$657,MATCH(H2949,Documents!$A$5:$A$657,0))="","",INDEX(Documents!$C$5:$C$657,MATCH(H2949,Documents!$A$5:$A$657,0))),"")</f>
        <v>2007</v>
      </c>
      <c r="J2949" s="25" t="str">
        <f aca="false">IFERROR(IF(INDEX(Documents!$D$5:$D$657,MATCH(H2949,Documents!$A$5:$A$657,0))="","",INDEX(Documents!$D$5:$D$657,MATCH(H2949,Documents!$A$5:$A$657,0))),"")</f>
        <v>Bioorg Med Chem</v>
      </c>
      <c r="K2949" s="25" t="str">
        <f aca="false">IFERROR(IF(INDEX(Documents!$G$5:$G$657,MATCH(H2949,Documents!$A$5:$A$657,0))="","",INDEX(Documents!$G$5:$G$657,MATCH(H2949,Documents!$A$5:$A$657,0))),"")</f>
        <v>10.1016/j.bmc.2007.08.039</v>
      </c>
      <c r="L2949" s="25" t="s">
        <v>659</v>
      </c>
    </row>
    <row r="2950" customFormat="false" ht="15" hidden="false" customHeight="false" outlineLevel="0" collapsed="false">
      <c r="A2950" s="25" t="n">
        <v>2690992</v>
      </c>
      <c r="B2950" s="25" t="s">
        <v>6289</v>
      </c>
      <c r="C2950" s="25" t="s">
        <v>6290</v>
      </c>
      <c r="D2950" s="26" t="n">
        <v>290</v>
      </c>
      <c r="E2950" s="27" t="n">
        <v>6.53760200210104</v>
      </c>
      <c r="F2950" s="27" t="n">
        <v>6.53760200210104</v>
      </c>
      <c r="G2950" s="25" t="s">
        <v>1648</v>
      </c>
      <c r="H2950" s="25" t="s">
        <v>1649</v>
      </c>
      <c r="I2950" s="25" t="n">
        <f aca="false">IFERROR(IF(INDEX(Documents!$C$5:$C$657,MATCH(H2950,Documents!$A$5:$A$657,0))="","",INDEX(Documents!$C$5:$C$657,MATCH(H2950,Documents!$A$5:$A$657,0))),"")</f>
        <v>2009</v>
      </c>
      <c r="J2950" s="25" t="str">
        <f aca="false">IFERROR(IF(INDEX(Documents!$D$5:$D$657,MATCH(H2950,Documents!$A$5:$A$657,0))="","",INDEX(Documents!$D$5:$D$657,MATCH(H2950,Documents!$A$5:$A$657,0))),"")</f>
        <v>Bioorg Med Chem Lett</v>
      </c>
      <c r="K2950" s="25" t="str">
        <f aca="false">IFERROR(IF(INDEX(Documents!$G$5:$G$657,MATCH(H2950,Documents!$A$5:$A$657,0))="","",INDEX(Documents!$G$5:$G$657,MATCH(H2950,Documents!$A$5:$A$657,0))),"")</f>
        <v>10.1016/j.bmcl.2009.05.114</v>
      </c>
      <c r="L2950" s="25" t="s">
        <v>1650</v>
      </c>
    </row>
    <row r="2951" customFormat="false" ht="15" hidden="false" customHeight="false" outlineLevel="0" collapsed="false">
      <c r="A2951" s="25" t="n">
        <v>3089199</v>
      </c>
      <c r="B2951" s="25" t="s">
        <v>6291</v>
      </c>
      <c r="C2951" s="25" t="s">
        <v>6292</v>
      </c>
      <c r="D2951" s="26" t="n">
        <v>0.7</v>
      </c>
      <c r="E2951" s="27" t="n">
        <v>9.15490195998575</v>
      </c>
      <c r="F2951" s="27" t="n">
        <v>9.15490195998575</v>
      </c>
      <c r="G2951" s="25" t="s">
        <v>534</v>
      </c>
      <c r="H2951" s="25" t="s">
        <v>535</v>
      </c>
      <c r="I2951" s="25" t="n">
        <f aca="false">IFERROR(IF(INDEX(Documents!$C$5:$C$657,MATCH(H2951,Documents!$A$5:$A$657,0))="","",INDEX(Documents!$C$5:$C$657,MATCH(H2951,Documents!$A$5:$A$657,0))),"")</f>
        <v>2010</v>
      </c>
      <c r="J2951" s="25" t="str">
        <f aca="false">IFERROR(IF(INDEX(Documents!$D$5:$D$657,MATCH(H2951,Documents!$A$5:$A$657,0))="","",INDEX(Documents!$D$5:$D$657,MATCH(H2951,Documents!$A$5:$A$657,0))),"")</f>
        <v>Bioorg Med Chem Lett</v>
      </c>
      <c r="K2951" s="25" t="str">
        <f aca="false">IFERROR(IF(INDEX(Documents!$G$5:$G$657,MATCH(H2951,Documents!$A$5:$A$657,0))="","",INDEX(Documents!$G$5:$G$657,MATCH(H2951,Documents!$A$5:$A$657,0))),"")</f>
        <v>10.1016/j.bmcl.2009.11.084</v>
      </c>
      <c r="L2951" s="25" t="s">
        <v>515</v>
      </c>
    </row>
    <row r="2952" customFormat="false" ht="15" hidden="false" customHeight="false" outlineLevel="0" collapsed="false">
      <c r="A2952" s="25" t="n">
        <v>1617717</v>
      </c>
      <c r="B2952" s="25" t="s">
        <v>6293</v>
      </c>
      <c r="C2952" s="25" t="s">
        <v>6294</v>
      </c>
      <c r="D2952" s="26" t="n">
        <v>1.8</v>
      </c>
      <c r="E2952" s="27" t="n">
        <v>8.74472749489669</v>
      </c>
      <c r="F2952" s="27" t="n">
        <v>8.74472749489669</v>
      </c>
      <c r="G2952" s="25" t="s">
        <v>444</v>
      </c>
      <c r="H2952" s="25" t="s">
        <v>445</v>
      </c>
      <c r="I2952" s="25" t="n">
        <f aca="false">IFERROR(IF(INDEX(Documents!$C$5:$C$657,MATCH(H2952,Documents!$A$5:$A$657,0))="","",INDEX(Documents!$C$5:$C$657,MATCH(H2952,Documents!$A$5:$A$657,0))),"")</f>
        <v>2005</v>
      </c>
      <c r="J2952" s="25" t="str">
        <f aca="false">IFERROR(IF(INDEX(Documents!$D$5:$D$657,MATCH(H2952,Documents!$A$5:$A$657,0))="","",INDEX(Documents!$D$5:$D$657,MATCH(H2952,Documents!$A$5:$A$657,0))),"")</f>
        <v>Bioorg Med Chem Lett</v>
      </c>
      <c r="K2952" s="25" t="str">
        <f aca="false">IFERROR(IF(INDEX(Documents!$G$5:$G$657,MATCH(H2952,Documents!$A$5:$A$657,0))="","",INDEX(Documents!$G$5:$G$657,MATCH(H2952,Documents!$A$5:$A$657,0))),"")</f>
        <v>10.1016/j.bmcl.2005.07.023</v>
      </c>
      <c r="L2952" s="25" t="s">
        <v>446</v>
      </c>
    </row>
    <row r="2953" customFormat="false" ht="15" hidden="false" customHeight="false" outlineLevel="0" collapsed="false">
      <c r="A2953" s="25" t="n">
        <v>1617724</v>
      </c>
      <c r="B2953" s="25" t="s">
        <v>6295</v>
      </c>
      <c r="C2953" s="25" t="s">
        <v>6296</v>
      </c>
      <c r="D2953" s="26" t="n">
        <v>3.5</v>
      </c>
      <c r="E2953" s="27" t="n">
        <v>8.45593195564972</v>
      </c>
      <c r="F2953" s="27" t="n">
        <v>8.45593195564972</v>
      </c>
      <c r="G2953" s="25" t="s">
        <v>444</v>
      </c>
      <c r="H2953" s="25" t="s">
        <v>445</v>
      </c>
      <c r="I2953" s="25" t="n">
        <f aca="false">IFERROR(IF(INDEX(Documents!$C$5:$C$657,MATCH(H2953,Documents!$A$5:$A$657,0))="","",INDEX(Documents!$C$5:$C$657,MATCH(H2953,Documents!$A$5:$A$657,0))),"")</f>
        <v>2005</v>
      </c>
      <c r="J2953" s="25" t="str">
        <f aca="false">IFERROR(IF(INDEX(Documents!$D$5:$D$657,MATCH(H2953,Documents!$A$5:$A$657,0))="","",INDEX(Documents!$D$5:$D$657,MATCH(H2953,Documents!$A$5:$A$657,0))),"")</f>
        <v>Bioorg Med Chem Lett</v>
      </c>
      <c r="K2953" s="25" t="str">
        <f aca="false">IFERROR(IF(INDEX(Documents!$G$5:$G$657,MATCH(H2953,Documents!$A$5:$A$657,0))="","",INDEX(Documents!$G$5:$G$657,MATCH(H2953,Documents!$A$5:$A$657,0))),"")</f>
        <v>10.1016/j.bmcl.2005.07.023</v>
      </c>
      <c r="L2953" s="25" t="s">
        <v>446</v>
      </c>
    </row>
    <row r="2954" customFormat="false" ht="15" hidden="false" customHeight="false" outlineLevel="0" collapsed="false">
      <c r="A2954" s="25" t="n">
        <v>1617715</v>
      </c>
      <c r="B2954" s="25" t="s">
        <v>6297</v>
      </c>
      <c r="C2954" s="25" t="s">
        <v>6298</v>
      </c>
      <c r="D2954" s="26" t="n">
        <v>1</v>
      </c>
      <c r="E2954" s="27" t="n">
        <v>9</v>
      </c>
      <c r="F2954" s="27" t="n">
        <v>9</v>
      </c>
      <c r="G2954" s="25" t="s">
        <v>444</v>
      </c>
      <c r="H2954" s="25" t="s">
        <v>445</v>
      </c>
      <c r="I2954" s="25" t="n">
        <f aca="false">IFERROR(IF(INDEX(Documents!$C$5:$C$657,MATCH(H2954,Documents!$A$5:$A$657,0))="","",INDEX(Documents!$C$5:$C$657,MATCH(H2954,Documents!$A$5:$A$657,0))),"")</f>
        <v>2005</v>
      </c>
      <c r="J2954" s="25" t="str">
        <f aca="false">IFERROR(IF(INDEX(Documents!$D$5:$D$657,MATCH(H2954,Documents!$A$5:$A$657,0))="","",INDEX(Documents!$D$5:$D$657,MATCH(H2954,Documents!$A$5:$A$657,0))),"")</f>
        <v>Bioorg Med Chem Lett</v>
      </c>
      <c r="K2954" s="25" t="str">
        <f aca="false">IFERROR(IF(INDEX(Documents!$G$5:$G$657,MATCH(H2954,Documents!$A$5:$A$657,0))="","",INDEX(Documents!$G$5:$G$657,MATCH(H2954,Documents!$A$5:$A$657,0))),"")</f>
        <v>10.1016/j.bmcl.2005.07.023</v>
      </c>
      <c r="L2954" s="25" t="s">
        <v>446</v>
      </c>
    </row>
    <row r="2955" customFormat="false" ht="15" hidden="false" customHeight="false" outlineLevel="0" collapsed="false">
      <c r="A2955" s="25" t="n">
        <v>1617711</v>
      </c>
      <c r="B2955" s="25" t="s">
        <v>6299</v>
      </c>
      <c r="C2955" s="25" t="s">
        <v>6300</v>
      </c>
      <c r="D2955" s="26" t="n">
        <v>6.7</v>
      </c>
      <c r="E2955" s="27" t="n">
        <v>8.17392519729917</v>
      </c>
      <c r="F2955" s="27" t="n">
        <v>8.17392519729917</v>
      </c>
      <c r="G2955" s="25" t="s">
        <v>444</v>
      </c>
      <c r="H2955" s="25" t="s">
        <v>445</v>
      </c>
      <c r="I2955" s="25" t="n">
        <f aca="false">IFERROR(IF(INDEX(Documents!$C$5:$C$657,MATCH(H2955,Documents!$A$5:$A$657,0))="","",INDEX(Documents!$C$5:$C$657,MATCH(H2955,Documents!$A$5:$A$657,0))),"")</f>
        <v>2005</v>
      </c>
      <c r="J2955" s="25" t="str">
        <f aca="false">IFERROR(IF(INDEX(Documents!$D$5:$D$657,MATCH(H2955,Documents!$A$5:$A$657,0))="","",INDEX(Documents!$D$5:$D$657,MATCH(H2955,Documents!$A$5:$A$657,0))),"")</f>
        <v>Bioorg Med Chem Lett</v>
      </c>
      <c r="K2955" s="25" t="str">
        <f aca="false">IFERROR(IF(INDEX(Documents!$G$5:$G$657,MATCH(H2955,Documents!$A$5:$A$657,0))="","",INDEX(Documents!$G$5:$G$657,MATCH(H2955,Documents!$A$5:$A$657,0))),"")</f>
        <v>10.1016/j.bmcl.2005.07.023</v>
      </c>
      <c r="L2955" s="25" t="s">
        <v>446</v>
      </c>
    </row>
    <row r="2956" customFormat="false" ht="15" hidden="false" customHeight="false" outlineLevel="0" collapsed="false">
      <c r="A2956" s="25" t="n">
        <v>1617726</v>
      </c>
      <c r="B2956" s="25" t="s">
        <v>6301</v>
      </c>
      <c r="C2956" s="25" t="s">
        <v>6302</v>
      </c>
      <c r="D2956" s="26" t="n">
        <v>35</v>
      </c>
      <c r="E2956" s="27" t="n">
        <v>7.45593195564972</v>
      </c>
      <c r="F2956" s="27" t="n">
        <v>7.45593195564972</v>
      </c>
      <c r="G2956" s="25" t="s">
        <v>444</v>
      </c>
      <c r="H2956" s="25" t="s">
        <v>445</v>
      </c>
      <c r="I2956" s="25" t="n">
        <f aca="false">IFERROR(IF(INDEX(Documents!$C$5:$C$657,MATCH(H2956,Documents!$A$5:$A$657,0))="","",INDEX(Documents!$C$5:$C$657,MATCH(H2956,Documents!$A$5:$A$657,0))),"")</f>
        <v>2005</v>
      </c>
      <c r="J2956" s="25" t="str">
        <f aca="false">IFERROR(IF(INDEX(Documents!$D$5:$D$657,MATCH(H2956,Documents!$A$5:$A$657,0))="","",INDEX(Documents!$D$5:$D$657,MATCH(H2956,Documents!$A$5:$A$657,0))),"")</f>
        <v>Bioorg Med Chem Lett</v>
      </c>
      <c r="K2956" s="25" t="str">
        <f aca="false">IFERROR(IF(INDEX(Documents!$G$5:$G$657,MATCH(H2956,Documents!$A$5:$A$657,0))="","",INDEX(Documents!$G$5:$G$657,MATCH(H2956,Documents!$A$5:$A$657,0))),"")</f>
        <v>10.1016/j.bmcl.2005.07.023</v>
      </c>
      <c r="L2956" s="25" t="s">
        <v>446</v>
      </c>
    </row>
    <row r="2957" customFormat="false" ht="15" hidden="false" customHeight="false" outlineLevel="0" collapsed="false">
      <c r="A2957" s="25" t="n">
        <v>1617713</v>
      </c>
      <c r="B2957" s="25" t="s">
        <v>6303</v>
      </c>
      <c r="C2957" s="25" t="s">
        <v>6304</v>
      </c>
      <c r="D2957" s="26" t="n">
        <v>0.4</v>
      </c>
      <c r="E2957" s="27" t="n">
        <v>9.39794000867204</v>
      </c>
      <c r="F2957" s="27" t="n">
        <v>9.39794000867204</v>
      </c>
      <c r="G2957" s="25" t="s">
        <v>444</v>
      </c>
      <c r="H2957" s="25" t="s">
        <v>445</v>
      </c>
      <c r="I2957" s="25" t="n">
        <f aca="false">IFERROR(IF(INDEX(Documents!$C$5:$C$657,MATCH(H2957,Documents!$A$5:$A$657,0))="","",INDEX(Documents!$C$5:$C$657,MATCH(H2957,Documents!$A$5:$A$657,0))),"")</f>
        <v>2005</v>
      </c>
      <c r="J2957" s="25" t="str">
        <f aca="false">IFERROR(IF(INDEX(Documents!$D$5:$D$657,MATCH(H2957,Documents!$A$5:$A$657,0))="","",INDEX(Documents!$D$5:$D$657,MATCH(H2957,Documents!$A$5:$A$657,0))),"")</f>
        <v>Bioorg Med Chem Lett</v>
      </c>
      <c r="K2957" s="25" t="str">
        <f aca="false">IFERROR(IF(INDEX(Documents!$G$5:$G$657,MATCH(H2957,Documents!$A$5:$A$657,0))="","",INDEX(Documents!$G$5:$G$657,MATCH(H2957,Documents!$A$5:$A$657,0))),"")</f>
        <v>10.1016/j.bmcl.2005.07.023</v>
      </c>
      <c r="L2957" s="25" t="s">
        <v>446</v>
      </c>
    </row>
    <row r="2958" customFormat="false" ht="15" hidden="false" customHeight="false" outlineLevel="0" collapsed="false">
      <c r="A2958" s="25" t="n">
        <v>1617722</v>
      </c>
      <c r="B2958" s="25" t="s">
        <v>6305</v>
      </c>
      <c r="C2958" s="25" t="s">
        <v>6306</v>
      </c>
      <c r="D2958" s="26" t="n">
        <v>16</v>
      </c>
      <c r="E2958" s="27" t="n">
        <v>7.79588001734408</v>
      </c>
      <c r="F2958" s="27" t="n">
        <v>7.79588001734408</v>
      </c>
      <c r="G2958" s="25" t="s">
        <v>444</v>
      </c>
      <c r="H2958" s="25" t="s">
        <v>445</v>
      </c>
      <c r="I2958" s="25" t="n">
        <f aca="false">IFERROR(IF(INDEX(Documents!$C$5:$C$657,MATCH(H2958,Documents!$A$5:$A$657,0))="","",INDEX(Documents!$C$5:$C$657,MATCH(H2958,Documents!$A$5:$A$657,0))),"")</f>
        <v>2005</v>
      </c>
      <c r="J2958" s="25" t="str">
        <f aca="false">IFERROR(IF(INDEX(Documents!$D$5:$D$657,MATCH(H2958,Documents!$A$5:$A$657,0))="","",INDEX(Documents!$D$5:$D$657,MATCH(H2958,Documents!$A$5:$A$657,0))),"")</f>
        <v>Bioorg Med Chem Lett</v>
      </c>
      <c r="K2958" s="25" t="str">
        <f aca="false">IFERROR(IF(INDEX(Documents!$G$5:$G$657,MATCH(H2958,Documents!$A$5:$A$657,0))="","",INDEX(Documents!$G$5:$G$657,MATCH(H2958,Documents!$A$5:$A$657,0))),"")</f>
        <v>10.1016/j.bmcl.2005.07.023</v>
      </c>
      <c r="L2958" s="25" t="s">
        <v>446</v>
      </c>
    </row>
    <row r="2959" customFormat="false" ht="15" hidden="false" customHeight="false" outlineLevel="0" collapsed="false">
      <c r="A2959" s="25" t="n">
        <v>1617752</v>
      </c>
      <c r="B2959" s="25" t="s">
        <v>6307</v>
      </c>
      <c r="C2959" s="25" t="s">
        <v>6308</v>
      </c>
      <c r="D2959" s="26" t="n">
        <v>8</v>
      </c>
      <c r="E2959" s="27" t="n">
        <v>8.09691001300806</v>
      </c>
      <c r="F2959" s="27" t="n">
        <v>8.09691001300806</v>
      </c>
      <c r="G2959" s="25" t="s">
        <v>444</v>
      </c>
      <c r="H2959" s="25" t="s">
        <v>445</v>
      </c>
      <c r="I2959" s="25" t="n">
        <f aca="false">IFERROR(IF(INDEX(Documents!$C$5:$C$657,MATCH(H2959,Documents!$A$5:$A$657,0))="","",INDEX(Documents!$C$5:$C$657,MATCH(H2959,Documents!$A$5:$A$657,0))),"")</f>
        <v>2005</v>
      </c>
      <c r="J2959" s="25" t="str">
        <f aca="false">IFERROR(IF(INDEX(Documents!$D$5:$D$657,MATCH(H2959,Documents!$A$5:$A$657,0))="","",INDEX(Documents!$D$5:$D$657,MATCH(H2959,Documents!$A$5:$A$657,0))),"")</f>
        <v>Bioorg Med Chem Lett</v>
      </c>
      <c r="K2959" s="25" t="str">
        <f aca="false">IFERROR(IF(INDEX(Documents!$G$5:$G$657,MATCH(H2959,Documents!$A$5:$A$657,0))="","",INDEX(Documents!$G$5:$G$657,MATCH(H2959,Documents!$A$5:$A$657,0))),"")</f>
        <v>10.1016/j.bmcl.2005.07.023</v>
      </c>
      <c r="L2959" s="25" t="s">
        <v>446</v>
      </c>
    </row>
    <row r="2960" customFormat="false" ht="15" hidden="false" customHeight="false" outlineLevel="0" collapsed="false">
      <c r="A2960" s="25" t="n">
        <v>1617758</v>
      </c>
      <c r="B2960" s="25" t="s">
        <v>6309</v>
      </c>
      <c r="C2960" s="25" t="s">
        <v>6310</v>
      </c>
      <c r="D2960" s="26" t="n">
        <v>0.9</v>
      </c>
      <c r="E2960" s="27" t="n">
        <v>9.04575749056068</v>
      </c>
      <c r="F2960" s="27" t="n">
        <v>9.04575749056068</v>
      </c>
      <c r="G2960" s="25" t="s">
        <v>444</v>
      </c>
      <c r="H2960" s="25" t="s">
        <v>445</v>
      </c>
      <c r="I2960" s="25" t="n">
        <f aca="false">IFERROR(IF(INDEX(Documents!$C$5:$C$657,MATCH(H2960,Documents!$A$5:$A$657,0))="","",INDEX(Documents!$C$5:$C$657,MATCH(H2960,Documents!$A$5:$A$657,0))),"")</f>
        <v>2005</v>
      </c>
      <c r="J2960" s="25" t="str">
        <f aca="false">IFERROR(IF(INDEX(Documents!$D$5:$D$657,MATCH(H2960,Documents!$A$5:$A$657,0))="","",INDEX(Documents!$D$5:$D$657,MATCH(H2960,Documents!$A$5:$A$657,0))),"")</f>
        <v>Bioorg Med Chem Lett</v>
      </c>
      <c r="K2960" s="25" t="str">
        <f aca="false">IFERROR(IF(INDEX(Documents!$G$5:$G$657,MATCH(H2960,Documents!$A$5:$A$657,0))="","",INDEX(Documents!$G$5:$G$657,MATCH(H2960,Documents!$A$5:$A$657,0))),"")</f>
        <v>10.1016/j.bmcl.2005.07.023</v>
      </c>
      <c r="L2960" s="25" t="s">
        <v>446</v>
      </c>
    </row>
    <row r="2961" customFormat="false" ht="15" hidden="false" customHeight="false" outlineLevel="0" collapsed="false">
      <c r="A2961" s="25" t="n">
        <v>1617778</v>
      </c>
      <c r="B2961" s="25" t="s">
        <v>6311</v>
      </c>
      <c r="C2961" s="25" t="s">
        <v>6312</v>
      </c>
      <c r="D2961" s="26" t="n">
        <v>192</v>
      </c>
      <c r="E2961" s="27" t="n">
        <v>6.71669877129645</v>
      </c>
      <c r="F2961" s="27" t="n">
        <v>6.71669877129645</v>
      </c>
      <c r="G2961" s="25" t="s">
        <v>444</v>
      </c>
      <c r="H2961" s="25" t="s">
        <v>445</v>
      </c>
      <c r="I2961" s="25" t="n">
        <f aca="false">IFERROR(IF(INDEX(Documents!$C$5:$C$657,MATCH(H2961,Documents!$A$5:$A$657,0))="","",INDEX(Documents!$C$5:$C$657,MATCH(H2961,Documents!$A$5:$A$657,0))),"")</f>
        <v>2005</v>
      </c>
      <c r="J2961" s="25" t="str">
        <f aca="false">IFERROR(IF(INDEX(Documents!$D$5:$D$657,MATCH(H2961,Documents!$A$5:$A$657,0))="","",INDEX(Documents!$D$5:$D$657,MATCH(H2961,Documents!$A$5:$A$657,0))),"")</f>
        <v>Bioorg Med Chem Lett</v>
      </c>
      <c r="K2961" s="25" t="str">
        <f aca="false">IFERROR(IF(INDEX(Documents!$G$5:$G$657,MATCH(H2961,Documents!$A$5:$A$657,0))="","",INDEX(Documents!$G$5:$G$657,MATCH(H2961,Documents!$A$5:$A$657,0))),"")</f>
        <v>10.1016/j.bmcl.2005.07.023</v>
      </c>
      <c r="L2961" s="25" t="s">
        <v>446</v>
      </c>
    </row>
    <row r="2962" customFormat="false" ht="15" hidden="false" customHeight="false" outlineLevel="0" collapsed="false">
      <c r="A2962" s="25" t="n">
        <v>1617782</v>
      </c>
      <c r="B2962" s="25" t="s">
        <v>6313</v>
      </c>
      <c r="C2962" s="25" t="s">
        <v>6314</v>
      </c>
      <c r="D2962" s="26" t="n">
        <v>230</v>
      </c>
      <c r="E2962" s="27" t="n">
        <v>6.63827216398241</v>
      </c>
      <c r="F2962" s="27" t="n">
        <v>6.63827216398241</v>
      </c>
      <c r="G2962" s="25" t="s">
        <v>444</v>
      </c>
      <c r="H2962" s="25" t="s">
        <v>445</v>
      </c>
      <c r="I2962" s="25" t="n">
        <f aca="false">IFERROR(IF(INDEX(Documents!$C$5:$C$657,MATCH(H2962,Documents!$A$5:$A$657,0))="","",INDEX(Documents!$C$5:$C$657,MATCH(H2962,Documents!$A$5:$A$657,0))),"")</f>
        <v>2005</v>
      </c>
      <c r="J2962" s="25" t="str">
        <f aca="false">IFERROR(IF(INDEX(Documents!$D$5:$D$657,MATCH(H2962,Documents!$A$5:$A$657,0))="","",INDEX(Documents!$D$5:$D$657,MATCH(H2962,Documents!$A$5:$A$657,0))),"")</f>
        <v>Bioorg Med Chem Lett</v>
      </c>
      <c r="K2962" s="25" t="str">
        <f aca="false">IFERROR(IF(INDEX(Documents!$G$5:$G$657,MATCH(H2962,Documents!$A$5:$A$657,0))="","",INDEX(Documents!$G$5:$G$657,MATCH(H2962,Documents!$A$5:$A$657,0))),"")</f>
        <v>10.1016/j.bmcl.2005.07.023</v>
      </c>
      <c r="L2962" s="25" t="s">
        <v>446</v>
      </c>
    </row>
    <row r="2963" customFormat="false" ht="15" hidden="false" customHeight="false" outlineLevel="0" collapsed="false">
      <c r="A2963" s="25" t="n">
        <v>1617780</v>
      </c>
      <c r="B2963" s="25" t="s">
        <v>6315</v>
      </c>
      <c r="C2963" s="25" t="s">
        <v>6316</v>
      </c>
      <c r="D2963" s="26" t="n">
        <v>77</v>
      </c>
      <c r="E2963" s="27" t="n">
        <v>7.11350927482752</v>
      </c>
      <c r="F2963" s="27" t="n">
        <v>7.11350927482752</v>
      </c>
      <c r="G2963" s="25" t="s">
        <v>444</v>
      </c>
      <c r="H2963" s="25" t="s">
        <v>445</v>
      </c>
      <c r="I2963" s="25" t="n">
        <f aca="false">IFERROR(IF(INDEX(Documents!$C$5:$C$657,MATCH(H2963,Documents!$A$5:$A$657,0))="","",INDEX(Documents!$C$5:$C$657,MATCH(H2963,Documents!$A$5:$A$657,0))),"")</f>
        <v>2005</v>
      </c>
      <c r="J2963" s="25" t="str">
        <f aca="false">IFERROR(IF(INDEX(Documents!$D$5:$D$657,MATCH(H2963,Documents!$A$5:$A$657,0))="","",INDEX(Documents!$D$5:$D$657,MATCH(H2963,Documents!$A$5:$A$657,0))),"")</f>
        <v>Bioorg Med Chem Lett</v>
      </c>
      <c r="K2963" s="25" t="str">
        <f aca="false">IFERROR(IF(INDEX(Documents!$G$5:$G$657,MATCH(H2963,Documents!$A$5:$A$657,0))="","",INDEX(Documents!$G$5:$G$657,MATCH(H2963,Documents!$A$5:$A$657,0))),"")</f>
        <v>10.1016/j.bmcl.2005.07.023</v>
      </c>
      <c r="L2963" s="25" t="s">
        <v>446</v>
      </c>
    </row>
    <row r="2964" customFormat="false" ht="15" hidden="false" customHeight="false" outlineLevel="0" collapsed="false">
      <c r="A2964" s="25" t="n">
        <v>1617776</v>
      </c>
      <c r="B2964" s="25" t="s">
        <v>6317</v>
      </c>
      <c r="C2964" s="25" t="s">
        <v>6318</v>
      </c>
      <c r="D2964" s="26" t="n">
        <v>164</v>
      </c>
      <c r="E2964" s="27" t="n">
        <v>6.7851561519523</v>
      </c>
      <c r="F2964" s="27" t="n">
        <v>6.7851561519523</v>
      </c>
      <c r="G2964" s="25" t="s">
        <v>444</v>
      </c>
      <c r="H2964" s="25" t="s">
        <v>445</v>
      </c>
      <c r="I2964" s="25" t="n">
        <f aca="false">IFERROR(IF(INDEX(Documents!$C$5:$C$657,MATCH(H2964,Documents!$A$5:$A$657,0))="","",INDEX(Documents!$C$5:$C$657,MATCH(H2964,Documents!$A$5:$A$657,0))),"")</f>
        <v>2005</v>
      </c>
      <c r="J2964" s="25" t="str">
        <f aca="false">IFERROR(IF(INDEX(Documents!$D$5:$D$657,MATCH(H2964,Documents!$A$5:$A$657,0))="","",INDEX(Documents!$D$5:$D$657,MATCH(H2964,Documents!$A$5:$A$657,0))),"")</f>
        <v>Bioorg Med Chem Lett</v>
      </c>
      <c r="K2964" s="25" t="str">
        <f aca="false">IFERROR(IF(INDEX(Documents!$G$5:$G$657,MATCH(H2964,Documents!$A$5:$A$657,0))="","",INDEX(Documents!$G$5:$G$657,MATCH(H2964,Documents!$A$5:$A$657,0))),"")</f>
        <v>10.1016/j.bmcl.2005.07.023</v>
      </c>
      <c r="L2964" s="25" t="s">
        <v>446</v>
      </c>
    </row>
    <row r="2965" customFormat="false" ht="15" hidden="false" customHeight="false" outlineLevel="0" collapsed="false">
      <c r="A2965" s="25" t="n">
        <v>1617772</v>
      </c>
      <c r="B2965" s="25" t="s">
        <v>6319</v>
      </c>
      <c r="C2965" s="25" t="s">
        <v>6320</v>
      </c>
      <c r="D2965" s="26" t="n">
        <v>278</v>
      </c>
      <c r="E2965" s="27" t="n">
        <v>6.55595520408192</v>
      </c>
      <c r="F2965" s="27" t="n">
        <v>6.55595520408192</v>
      </c>
      <c r="G2965" s="25" t="s">
        <v>444</v>
      </c>
      <c r="H2965" s="25" t="s">
        <v>445</v>
      </c>
      <c r="I2965" s="25" t="n">
        <f aca="false">IFERROR(IF(INDEX(Documents!$C$5:$C$657,MATCH(H2965,Documents!$A$5:$A$657,0))="","",INDEX(Documents!$C$5:$C$657,MATCH(H2965,Documents!$A$5:$A$657,0))),"")</f>
        <v>2005</v>
      </c>
      <c r="J2965" s="25" t="str">
        <f aca="false">IFERROR(IF(INDEX(Documents!$D$5:$D$657,MATCH(H2965,Documents!$A$5:$A$657,0))="","",INDEX(Documents!$D$5:$D$657,MATCH(H2965,Documents!$A$5:$A$657,0))),"")</f>
        <v>Bioorg Med Chem Lett</v>
      </c>
      <c r="K2965" s="25" t="str">
        <f aca="false">IFERROR(IF(INDEX(Documents!$G$5:$G$657,MATCH(H2965,Documents!$A$5:$A$657,0))="","",INDEX(Documents!$G$5:$G$657,MATCH(H2965,Documents!$A$5:$A$657,0))),"")</f>
        <v>10.1016/j.bmcl.2005.07.023</v>
      </c>
      <c r="L2965" s="25" t="s">
        <v>446</v>
      </c>
    </row>
    <row r="2966" customFormat="false" ht="15" hidden="false" customHeight="false" outlineLevel="0" collapsed="false">
      <c r="A2966" s="25" t="n">
        <v>1617774</v>
      </c>
      <c r="B2966" s="25" t="s">
        <v>6321</v>
      </c>
      <c r="C2966" s="25" t="s">
        <v>6322</v>
      </c>
      <c r="D2966" s="26" t="n">
        <v>983</v>
      </c>
      <c r="E2966" s="27" t="n">
        <v>6.00744648216787</v>
      </c>
      <c r="F2966" s="27" t="n">
        <v>6.00744648216787</v>
      </c>
      <c r="G2966" s="25" t="s">
        <v>444</v>
      </c>
      <c r="H2966" s="25" t="s">
        <v>445</v>
      </c>
      <c r="I2966" s="25" t="n">
        <f aca="false">IFERROR(IF(INDEX(Documents!$C$5:$C$657,MATCH(H2966,Documents!$A$5:$A$657,0))="","",INDEX(Documents!$C$5:$C$657,MATCH(H2966,Documents!$A$5:$A$657,0))),"")</f>
        <v>2005</v>
      </c>
      <c r="J2966" s="25" t="str">
        <f aca="false">IFERROR(IF(INDEX(Documents!$D$5:$D$657,MATCH(H2966,Documents!$A$5:$A$657,0))="","",INDEX(Documents!$D$5:$D$657,MATCH(H2966,Documents!$A$5:$A$657,0))),"")</f>
        <v>Bioorg Med Chem Lett</v>
      </c>
      <c r="K2966" s="25" t="str">
        <f aca="false">IFERROR(IF(INDEX(Documents!$G$5:$G$657,MATCH(H2966,Documents!$A$5:$A$657,0))="","",INDEX(Documents!$G$5:$G$657,MATCH(H2966,Documents!$A$5:$A$657,0))),"")</f>
        <v>10.1016/j.bmcl.2005.07.023</v>
      </c>
      <c r="L2966" s="25" t="s">
        <v>446</v>
      </c>
    </row>
    <row r="2967" customFormat="false" ht="15" hidden="false" customHeight="false" outlineLevel="0" collapsed="false">
      <c r="A2967" s="25" t="n">
        <v>1617736</v>
      </c>
      <c r="B2967" s="25" t="s">
        <v>6323</v>
      </c>
      <c r="C2967" s="25" t="s">
        <v>6324</v>
      </c>
      <c r="D2967" s="26" t="n">
        <v>10</v>
      </c>
      <c r="E2967" s="27" t="n">
        <v>8</v>
      </c>
      <c r="F2967" s="27" t="n">
        <v>8</v>
      </c>
      <c r="G2967" s="25" t="s">
        <v>444</v>
      </c>
      <c r="H2967" s="25" t="s">
        <v>445</v>
      </c>
      <c r="I2967" s="25" t="n">
        <f aca="false">IFERROR(IF(INDEX(Documents!$C$5:$C$657,MATCH(H2967,Documents!$A$5:$A$657,0))="","",INDEX(Documents!$C$5:$C$657,MATCH(H2967,Documents!$A$5:$A$657,0))),"")</f>
        <v>2005</v>
      </c>
      <c r="J2967" s="25" t="str">
        <f aca="false">IFERROR(IF(INDEX(Documents!$D$5:$D$657,MATCH(H2967,Documents!$A$5:$A$657,0))="","",INDEX(Documents!$D$5:$D$657,MATCH(H2967,Documents!$A$5:$A$657,0))),"")</f>
        <v>Bioorg Med Chem Lett</v>
      </c>
      <c r="K2967" s="25" t="str">
        <f aca="false">IFERROR(IF(INDEX(Documents!$G$5:$G$657,MATCH(H2967,Documents!$A$5:$A$657,0))="","",INDEX(Documents!$G$5:$G$657,MATCH(H2967,Documents!$A$5:$A$657,0))),"")</f>
        <v>10.1016/j.bmcl.2005.07.023</v>
      </c>
      <c r="L2967" s="25" t="s">
        <v>446</v>
      </c>
    </row>
    <row r="2968" customFormat="false" ht="15" hidden="false" customHeight="false" outlineLevel="0" collapsed="false">
      <c r="A2968" s="25" t="n">
        <v>1617734</v>
      </c>
      <c r="B2968" s="25" t="s">
        <v>6325</v>
      </c>
      <c r="C2968" s="25" t="s">
        <v>6326</v>
      </c>
      <c r="D2968" s="26" t="n">
        <v>23</v>
      </c>
      <c r="E2968" s="27" t="n">
        <v>7.63827216398241</v>
      </c>
      <c r="F2968" s="27" t="n">
        <v>7.63827216398241</v>
      </c>
      <c r="G2968" s="25" t="s">
        <v>444</v>
      </c>
      <c r="H2968" s="25" t="s">
        <v>445</v>
      </c>
      <c r="I2968" s="25" t="n">
        <f aca="false">IFERROR(IF(INDEX(Documents!$C$5:$C$657,MATCH(H2968,Documents!$A$5:$A$657,0))="","",INDEX(Documents!$C$5:$C$657,MATCH(H2968,Documents!$A$5:$A$657,0))),"")</f>
        <v>2005</v>
      </c>
      <c r="J2968" s="25" t="str">
        <f aca="false">IFERROR(IF(INDEX(Documents!$D$5:$D$657,MATCH(H2968,Documents!$A$5:$A$657,0))="","",INDEX(Documents!$D$5:$D$657,MATCH(H2968,Documents!$A$5:$A$657,0))),"")</f>
        <v>Bioorg Med Chem Lett</v>
      </c>
      <c r="K2968" s="25" t="str">
        <f aca="false">IFERROR(IF(INDEX(Documents!$G$5:$G$657,MATCH(H2968,Documents!$A$5:$A$657,0))="","",INDEX(Documents!$G$5:$G$657,MATCH(H2968,Documents!$A$5:$A$657,0))),"")</f>
        <v>10.1016/j.bmcl.2005.07.023</v>
      </c>
      <c r="L2968" s="25" t="s">
        <v>446</v>
      </c>
    </row>
    <row r="2969" customFormat="false" ht="15" hidden="false" customHeight="false" outlineLevel="0" collapsed="false">
      <c r="A2969" s="25" t="n">
        <v>1617730</v>
      </c>
      <c r="B2969" s="25" t="s">
        <v>6327</v>
      </c>
      <c r="C2969" s="25" t="s">
        <v>6328</v>
      </c>
      <c r="D2969" s="26" t="n">
        <v>2</v>
      </c>
      <c r="E2969" s="27" t="n">
        <v>8.69897000433602</v>
      </c>
      <c r="F2969" s="27" t="n">
        <v>8.69897000433602</v>
      </c>
      <c r="G2969" s="25" t="s">
        <v>444</v>
      </c>
      <c r="H2969" s="25" t="s">
        <v>445</v>
      </c>
      <c r="I2969" s="25" t="n">
        <f aca="false">IFERROR(IF(INDEX(Documents!$C$5:$C$657,MATCH(H2969,Documents!$A$5:$A$657,0))="","",INDEX(Documents!$C$5:$C$657,MATCH(H2969,Documents!$A$5:$A$657,0))),"")</f>
        <v>2005</v>
      </c>
      <c r="J2969" s="25" t="str">
        <f aca="false">IFERROR(IF(INDEX(Documents!$D$5:$D$657,MATCH(H2969,Documents!$A$5:$A$657,0))="","",INDEX(Documents!$D$5:$D$657,MATCH(H2969,Documents!$A$5:$A$657,0))),"")</f>
        <v>Bioorg Med Chem Lett</v>
      </c>
      <c r="K2969" s="25" t="str">
        <f aca="false">IFERROR(IF(INDEX(Documents!$G$5:$G$657,MATCH(H2969,Documents!$A$5:$A$657,0))="","",INDEX(Documents!$G$5:$G$657,MATCH(H2969,Documents!$A$5:$A$657,0))),"")</f>
        <v>10.1016/j.bmcl.2005.07.023</v>
      </c>
      <c r="L2969" s="25" t="s">
        <v>446</v>
      </c>
    </row>
    <row r="2970" customFormat="false" ht="15" hidden="false" customHeight="false" outlineLevel="0" collapsed="false">
      <c r="A2970" s="25" t="n">
        <v>1617732</v>
      </c>
      <c r="B2970" s="25" t="s">
        <v>6329</v>
      </c>
      <c r="C2970" s="25" t="s">
        <v>6330</v>
      </c>
      <c r="D2970" s="26" t="n">
        <v>6</v>
      </c>
      <c r="E2970" s="27" t="n">
        <v>8.22184874961636</v>
      </c>
      <c r="F2970" s="27" t="n">
        <v>8.22184874961636</v>
      </c>
      <c r="G2970" s="25" t="s">
        <v>444</v>
      </c>
      <c r="H2970" s="25" t="s">
        <v>445</v>
      </c>
      <c r="I2970" s="25" t="n">
        <f aca="false">IFERROR(IF(INDEX(Documents!$C$5:$C$657,MATCH(H2970,Documents!$A$5:$A$657,0))="","",INDEX(Documents!$C$5:$C$657,MATCH(H2970,Documents!$A$5:$A$657,0))),"")</f>
        <v>2005</v>
      </c>
      <c r="J2970" s="25" t="str">
        <f aca="false">IFERROR(IF(INDEX(Documents!$D$5:$D$657,MATCH(H2970,Documents!$A$5:$A$657,0))="","",INDEX(Documents!$D$5:$D$657,MATCH(H2970,Documents!$A$5:$A$657,0))),"")</f>
        <v>Bioorg Med Chem Lett</v>
      </c>
      <c r="K2970" s="25" t="str">
        <f aca="false">IFERROR(IF(INDEX(Documents!$G$5:$G$657,MATCH(H2970,Documents!$A$5:$A$657,0))="","",INDEX(Documents!$G$5:$G$657,MATCH(H2970,Documents!$A$5:$A$657,0))),"")</f>
        <v>10.1016/j.bmcl.2005.07.023</v>
      </c>
      <c r="L2970" s="25" t="s">
        <v>446</v>
      </c>
    </row>
    <row r="2971" customFormat="false" ht="15" hidden="false" customHeight="false" outlineLevel="0" collapsed="false">
      <c r="A2971" s="25" t="n">
        <v>1617738</v>
      </c>
      <c r="B2971" s="25" t="s">
        <v>6331</v>
      </c>
      <c r="C2971" s="25" t="s">
        <v>6332</v>
      </c>
      <c r="D2971" s="26" t="n">
        <v>1</v>
      </c>
      <c r="E2971" s="27" t="n">
        <v>9</v>
      </c>
      <c r="F2971" s="27" t="n">
        <v>9.04845500650403</v>
      </c>
      <c r="G2971" s="25" t="s">
        <v>444</v>
      </c>
      <c r="H2971" s="25" t="s">
        <v>445</v>
      </c>
      <c r="I2971" s="25" t="n">
        <f aca="false">IFERROR(IF(INDEX(Documents!$C$5:$C$657,MATCH(H2971,Documents!$A$5:$A$657,0))="","",INDEX(Documents!$C$5:$C$657,MATCH(H2971,Documents!$A$5:$A$657,0))),"")</f>
        <v>2005</v>
      </c>
      <c r="J2971" s="25" t="str">
        <f aca="false">IFERROR(IF(INDEX(Documents!$D$5:$D$657,MATCH(H2971,Documents!$A$5:$A$657,0))="","",INDEX(Documents!$D$5:$D$657,MATCH(H2971,Documents!$A$5:$A$657,0))),"")</f>
        <v>Bioorg Med Chem Lett</v>
      </c>
      <c r="K2971" s="25" t="str">
        <f aca="false">IFERROR(IF(INDEX(Documents!$G$5:$G$657,MATCH(H2971,Documents!$A$5:$A$657,0))="","",INDEX(Documents!$G$5:$G$657,MATCH(H2971,Documents!$A$5:$A$657,0))),"")</f>
        <v>10.1016/j.bmcl.2005.07.023</v>
      </c>
      <c r="L2971" s="25" t="s">
        <v>446</v>
      </c>
    </row>
    <row r="2972" customFormat="false" ht="15" hidden="false" customHeight="false" outlineLevel="0" collapsed="false">
      <c r="A2972" s="25" t="n">
        <v>3102054</v>
      </c>
      <c r="B2972" s="25" t="s">
        <v>6331</v>
      </c>
      <c r="C2972" s="25" t="s">
        <v>6332</v>
      </c>
      <c r="D2972" s="26" t="n">
        <v>0.8</v>
      </c>
      <c r="E2972" s="27" t="n">
        <v>9.09691001300806</v>
      </c>
      <c r="F2972" s="27" t="n">
        <v>9.04845500650403</v>
      </c>
      <c r="G2972" s="25" t="s">
        <v>4178</v>
      </c>
      <c r="H2972" s="25" t="s">
        <v>4179</v>
      </c>
      <c r="I2972" s="25" t="n">
        <f aca="false">IFERROR(IF(INDEX(Documents!$C$5:$C$657,MATCH(H2972,Documents!$A$5:$A$657,0))="","",INDEX(Documents!$C$5:$C$657,MATCH(H2972,Documents!$A$5:$A$657,0))),"")</f>
        <v>2010</v>
      </c>
      <c r="J2972" s="25" t="str">
        <f aca="false">IFERROR(IF(INDEX(Documents!$D$5:$D$657,MATCH(H2972,Documents!$A$5:$A$657,0))="","",INDEX(Documents!$D$5:$D$657,MATCH(H2972,Documents!$A$5:$A$657,0))),"")</f>
        <v>Bioorg Med Chem Lett</v>
      </c>
      <c r="K2972" s="25" t="str">
        <f aca="false">IFERROR(IF(INDEX(Documents!$G$5:$G$657,MATCH(H2972,Documents!$A$5:$A$657,0))="","",INDEX(Documents!$G$5:$G$657,MATCH(H2972,Documents!$A$5:$A$657,0))),"")</f>
        <v>10.1016/j.bmcl.2009.12.032</v>
      </c>
      <c r="L2972" s="25" t="s">
        <v>659</v>
      </c>
    </row>
    <row r="2973" customFormat="false" ht="15" hidden="false" customHeight="false" outlineLevel="0" collapsed="false">
      <c r="A2973" s="25" t="n">
        <v>1617740</v>
      </c>
      <c r="B2973" s="25" t="s">
        <v>6333</v>
      </c>
      <c r="C2973" s="25" t="s">
        <v>6334</v>
      </c>
      <c r="D2973" s="26" t="n">
        <v>128</v>
      </c>
      <c r="E2973" s="27" t="n">
        <v>6.89279003035213</v>
      </c>
      <c r="F2973" s="27" t="n">
        <v>6.89279003035213</v>
      </c>
      <c r="G2973" s="25" t="s">
        <v>444</v>
      </c>
      <c r="H2973" s="25" t="s">
        <v>445</v>
      </c>
      <c r="I2973" s="25" t="n">
        <f aca="false">IFERROR(IF(INDEX(Documents!$C$5:$C$657,MATCH(H2973,Documents!$A$5:$A$657,0))="","",INDEX(Documents!$C$5:$C$657,MATCH(H2973,Documents!$A$5:$A$657,0))),"")</f>
        <v>2005</v>
      </c>
      <c r="J2973" s="25" t="str">
        <f aca="false">IFERROR(IF(INDEX(Documents!$D$5:$D$657,MATCH(H2973,Documents!$A$5:$A$657,0))="","",INDEX(Documents!$D$5:$D$657,MATCH(H2973,Documents!$A$5:$A$657,0))),"")</f>
        <v>Bioorg Med Chem Lett</v>
      </c>
      <c r="K2973" s="25" t="str">
        <f aca="false">IFERROR(IF(INDEX(Documents!$G$5:$G$657,MATCH(H2973,Documents!$A$5:$A$657,0))="","",INDEX(Documents!$G$5:$G$657,MATCH(H2973,Documents!$A$5:$A$657,0))),"")</f>
        <v>10.1016/j.bmcl.2005.07.023</v>
      </c>
      <c r="L2973" s="25" t="s">
        <v>446</v>
      </c>
    </row>
    <row r="2974" customFormat="false" ht="15" hidden="false" customHeight="false" outlineLevel="0" collapsed="false">
      <c r="A2974" s="25" t="n">
        <v>1617748</v>
      </c>
      <c r="B2974" s="25" t="s">
        <v>6335</v>
      </c>
      <c r="C2974" s="25" t="s">
        <v>6336</v>
      </c>
      <c r="D2974" s="26" t="n">
        <v>13</v>
      </c>
      <c r="E2974" s="27" t="n">
        <v>7.88605664769316</v>
      </c>
      <c r="F2974" s="27" t="n">
        <v>7.88605664769316</v>
      </c>
      <c r="G2974" s="25" t="s">
        <v>444</v>
      </c>
      <c r="H2974" s="25" t="s">
        <v>445</v>
      </c>
      <c r="I2974" s="25" t="n">
        <f aca="false">IFERROR(IF(INDEX(Documents!$C$5:$C$657,MATCH(H2974,Documents!$A$5:$A$657,0))="","",INDEX(Documents!$C$5:$C$657,MATCH(H2974,Documents!$A$5:$A$657,0))),"")</f>
        <v>2005</v>
      </c>
      <c r="J2974" s="25" t="str">
        <f aca="false">IFERROR(IF(INDEX(Documents!$D$5:$D$657,MATCH(H2974,Documents!$A$5:$A$657,0))="","",INDEX(Documents!$D$5:$D$657,MATCH(H2974,Documents!$A$5:$A$657,0))),"")</f>
        <v>Bioorg Med Chem Lett</v>
      </c>
      <c r="K2974" s="25" t="str">
        <f aca="false">IFERROR(IF(INDEX(Documents!$G$5:$G$657,MATCH(H2974,Documents!$A$5:$A$657,0))="","",INDEX(Documents!$G$5:$G$657,MATCH(H2974,Documents!$A$5:$A$657,0))),"")</f>
        <v>10.1016/j.bmcl.2005.07.023</v>
      </c>
      <c r="L2974" s="25" t="s">
        <v>446</v>
      </c>
    </row>
    <row r="2975" customFormat="false" ht="15" hidden="false" customHeight="false" outlineLevel="0" collapsed="false">
      <c r="A2975" s="25" t="n">
        <v>1617750</v>
      </c>
      <c r="B2975" s="25" t="s">
        <v>6337</v>
      </c>
      <c r="C2975" s="25" t="s">
        <v>6338</v>
      </c>
      <c r="D2975" s="26" t="n">
        <v>232</v>
      </c>
      <c r="E2975" s="27" t="n">
        <v>6.6345120151091</v>
      </c>
      <c r="F2975" s="27" t="n">
        <v>6.6345120151091</v>
      </c>
      <c r="G2975" s="25" t="s">
        <v>444</v>
      </c>
      <c r="H2975" s="25" t="s">
        <v>445</v>
      </c>
      <c r="I2975" s="25" t="n">
        <f aca="false">IFERROR(IF(INDEX(Documents!$C$5:$C$657,MATCH(H2975,Documents!$A$5:$A$657,0))="","",INDEX(Documents!$C$5:$C$657,MATCH(H2975,Documents!$A$5:$A$657,0))),"")</f>
        <v>2005</v>
      </c>
      <c r="J2975" s="25" t="str">
        <f aca="false">IFERROR(IF(INDEX(Documents!$D$5:$D$657,MATCH(H2975,Documents!$A$5:$A$657,0))="","",INDEX(Documents!$D$5:$D$657,MATCH(H2975,Documents!$A$5:$A$657,0))),"")</f>
        <v>Bioorg Med Chem Lett</v>
      </c>
      <c r="K2975" s="25" t="str">
        <f aca="false">IFERROR(IF(INDEX(Documents!$G$5:$G$657,MATCH(H2975,Documents!$A$5:$A$657,0))="","",INDEX(Documents!$G$5:$G$657,MATCH(H2975,Documents!$A$5:$A$657,0))),"")</f>
        <v>10.1016/j.bmcl.2005.07.023</v>
      </c>
      <c r="L2975" s="25" t="s">
        <v>446</v>
      </c>
    </row>
    <row r="2976" customFormat="false" ht="15" hidden="false" customHeight="false" outlineLevel="0" collapsed="false">
      <c r="A2976" s="25" t="n">
        <v>1617754</v>
      </c>
      <c r="B2976" s="25" t="s">
        <v>6339</v>
      </c>
      <c r="C2976" s="25" t="s">
        <v>6340</v>
      </c>
      <c r="D2976" s="26" t="n">
        <v>58</v>
      </c>
      <c r="E2976" s="27" t="n">
        <v>7.23657200643706</v>
      </c>
      <c r="F2976" s="27" t="n">
        <v>7.23657200643706</v>
      </c>
      <c r="G2976" s="25" t="s">
        <v>444</v>
      </c>
      <c r="H2976" s="25" t="s">
        <v>445</v>
      </c>
      <c r="I2976" s="25" t="n">
        <f aca="false">IFERROR(IF(INDEX(Documents!$C$5:$C$657,MATCH(H2976,Documents!$A$5:$A$657,0))="","",INDEX(Documents!$C$5:$C$657,MATCH(H2976,Documents!$A$5:$A$657,0))),"")</f>
        <v>2005</v>
      </c>
      <c r="J2976" s="25" t="str">
        <f aca="false">IFERROR(IF(INDEX(Documents!$D$5:$D$657,MATCH(H2976,Documents!$A$5:$A$657,0))="","",INDEX(Documents!$D$5:$D$657,MATCH(H2976,Documents!$A$5:$A$657,0))),"")</f>
        <v>Bioorg Med Chem Lett</v>
      </c>
      <c r="K2976" s="25" t="str">
        <f aca="false">IFERROR(IF(INDEX(Documents!$G$5:$G$657,MATCH(H2976,Documents!$A$5:$A$657,0))="","",INDEX(Documents!$G$5:$G$657,MATCH(H2976,Documents!$A$5:$A$657,0))),"")</f>
        <v>10.1016/j.bmcl.2005.07.023</v>
      </c>
      <c r="L2976" s="25" t="s">
        <v>446</v>
      </c>
    </row>
    <row r="2977" customFormat="false" ht="15" hidden="false" customHeight="false" outlineLevel="0" collapsed="false">
      <c r="A2977" s="25" t="n">
        <v>1617728</v>
      </c>
      <c r="B2977" s="25" t="s">
        <v>6341</v>
      </c>
      <c r="C2977" s="25" t="s">
        <v>6342</v>
      </c>
      <c r="D2977" s="26" t="n">
        <v>9</v>
      </c>
      <c r="E2977" s="27" t="n">
        <v>8.04575749056068</v>
      </c>
      <c r="F2977" s="27" t="n">
        <v>8.04575749056068</v>
      </c>
      <c r="G2977" s="25" t="s">
        <v>444</v>
      </c>
      <c r="H2977" s="25" t="s">
        <v>445</v>
      </c>
      <c r="I2977" s="25" t="n">
        <f aca="false">IFERROR(IF(INDEX(Documents!$C$5:$C$657,MATCH(H2977,Documents!$A$5:$A$657,0))="","",INDEX(Documents!$C$5:$C$657,MATCH(H2977,Documents!$A$5:$A$657,0))),"")</f>
        <v>2005</v>
      </c>
      <c r="J2977" s="25" t="str">
        <f aca="false">IFERROR(IF(INDEX(Documents!$D$5:$D$657,MATCH(H2977,Documents!$A$5:$A$657,0))="","",INDEX(Documents!$D$5:$D$657,MATCH(H2977,Documents!$A$5:$A$657,0))),"")</f>
        <v>Bioorg Med Chem Lett</v>
      </c>
      <c r="K2977" s="25" t="str">
        <f aca="false">IFERROR(IF(INDEX(Documents!$G$5:$G$657,MATCH(H2977,Documents!$A$5:$A$657,0))="","",INDEX(Documents!$G$5:$G$657,MATCH(H2977,Documents!$A$5:$A$657,0))),"")</f>
        <v>10.1016/j.bmcl.2005.07.023</v>
      </c>
      <c r="L2977" s="25" t="s">
        <v>446</v>
      </c>
    </row>
    <row r="2978" customFormat="false" ht="15" hidden="false" customHeight="false" outlineLevel="0" collapsed="false">
      <c r="A2978" s="25" t="n">
        <v>3089223</v>
      </c>
      <c r="B2978" s="25" t="s">
        <v>6343</v>
      </c>
      <c r="C2978" s="25" t="s">
        <v>6344</v>
      </c>
      <c r="D2978" s="26" t="n">
        <v>8</v>
      </c>
      <c r="E2978" s="27" t="n">
        <v>8.09691001300806</v>
      </c>
      <c r="F2978" s="27" t="n">
        <v>8.09691001300806</v>
      </c>
      <c r="G2978" s="25" t="s">
        <v>534</v>
      </c>
      <c r="H2978" s="25" t="s">
        <v>535</v>
      </c>
      <c r="I2978" s="25" t="n">
        <f aca="false">IFERROR(IF(INDEX(Documents!$C$5:$C$657,MATCH(H2978,Documents!$A$5:$A$657,0))="","",INDEX(Documents!$C$5:$C$657,MATCH(H2978,Documents!$A$5:$A$657,0))),"")</f>
        <v>2010</v>
      </c>
      <c r="J2978" s="25" t="str">
        <f aca="false">IFERROR(IF(INDEX(Documents!$D$5:$D$657,MATCH(H2978,Documents!$A$5:$A$657,0))="","",INDEX(Documents!$D$5:$D$657,MATCH(H2978,Documents!$A$5:$A$657,0))),"")</f>
        <v>Bioorg Med Chem Lett</v>
      </c>
      <c r="K2978" s="25" t="str">
        <f aca="false">IFERROR(IF(INDEX(Documents!$G$5:$G$657,MATCH(H2978,Documents!$A$5:$A$657,0))="","",INDEX(Documents!$G$5:$G$657,MATCH(H2978,Documents!$A$5:$A$657,0))),"")</f>
        <v>10.1016/j.bmcl.2009.11.084</v>
      </c>
      <c r="L2978" s="25" t="s">
        <v>515</v>
      </c>
    </row>
    <row r="2979" customFormat="false" ht="15" hidden="false" customHeight="false" outlineLevel="0" collapsed="false">
      <c r="A2979" s="25" t="n">
        <v>17981837</v>
      </c>
      <c r="B2979" s="25" t="s">
        <v>6345</v>
      </c>
      <c r="C2979" s="25" t="s">
        <v>6346</v>
      </c>
      <c r="D2979" s="26" t="n">
        <v>5.7</v>
      </c>
      <c r="E2979" s="27" t="n">
        <v>8.24412514432751</v>
      </c>
      <c r="F2979" s="27" t="n">
        <v>8.24412514432751</v>
      </c>
      <c r="G2979" s="25" t="s">
        <v>6347</v>
      </c>
      <c r="H2979" s="25" t="s">
        <v>6348</v>
      </c>
      <c r="I2979" s="25" t="n">
        <f aca="false">IFERROR(IF(INDEX(Documents!$C$5:$C$657,MATCH(H2979,Documents!$A$5:$A$657,0))="","",INDEX(Documents!$C$5:$C$657,MATCH(H2979,Documents!$A$5:$A$657,0))),"")</f>
        <v>2017</v>
      </c>
      <c r="J2979" s="25" t="str">
        <f aca="false">IFERROR(IF(INDEX(Documents!$D$5:$D$657,MATCH(H2979,Documents!$A$5:$A$657,0))="","",INDEX(Documents!$D$5:$D$657,MATCH(H2979,Documents!$A$5:$A$657,0))),"")</f>
        <v>Eur J Med Chem</v>
      </c>
      <c r="K2979" s="25" t="str">
        <f aca="false">IFERROR(IF(INDEX(Documents!$G$5:$G$657,MATCH(H2979,Documents!$A$5:$A$657,0))="","",INDEX(Documents!$G$5:$G$657,MATCH(H2979,Documents!$A$5:$A$657,0))),"")</f>
        <v>10.1016/j.ejmech.2017.01.002</v>
      </c>
      <c r="L2979" s="25" t="s">
        <v>6349</v>
      </c>
    </row>
    <row r="2980" customFormat="false" ht="15" hidden="false" customHeight="false" outlineLevel="0" collapsed="false">
      <c r="A2980" s="25" t="n">
        <v>15078018</v>
      </c>
      <c r="B2980" s="25" t="s">
        <v>6350</v>
      </c>
      <c r="C2980" s="25" t="s">
        <v>6351</v>
      </c>
      <c r="D2980" s="26" t="n">
        <v>0.96</v>
      </c>
      <c r="E2980" s="27" t="n">
        <v>9.01772876696043</v>
      </c>
      <c r="F2980" s="27" t="n">
        <v>9.01772876696043</v>
      </c>
      <c r="G2980" s="25" t="s">
        <v>1662</v>
      </c>
      <c r="H2980" s="25" t="s">
        <v>1663</v>
      </c>
      <c r="I2980" s="25" t="n">
        <f aca="false">IFERROR(IF(INDEX(Documents!$C$5:$C$657,MATCH(H2980,Documents!$A$5:$A$657,0))="","",INDEX(Documents!$C$5:$C$657,MATCH(H2980,Documents!$A$5:$A$657,0))),"")</f>
        <v>2014</v>
      </c>
      <c r="J2980" s="25" t="str">
        <f aca="false">IFERROR(IF(INDEX(Documents!$D$5:$D$657,MATCH(H2980,Documents!$A$5:$A$657,0))="","",INDEX(Documents!$D$5:$D$657,MATCH(H2980,Documents!$A$5:$A$657,0))),"")</f>
        <v>J Med Chem</v>
      </c>
      <c r="K2980" s="25" t="str">
        <f aca="false">IFERROR(IF(INDEX(Documents!$G$5:$G$657,MATCH(H2980,Documents!$A$5:$A$657,0))="","",INDEX(Documents!$G$5:$G$657,MATCH(H2980,Documents!$A$5:$A$657,0))),"")</f>
        <v>10.1021/jm500807e</v>
      </c>
      <c r="L2980" s="25" t="s">
        <v>1664</v>
      </c>
    </row>
    <row r="2981" customFormat="false" ht="15" hidden="false" customHeight="false" outlineLevel="0" collapsed="false">
      <c r="A2981" s="25" t="n">
        <v>15078013</v>
      </c>
      <c r="B2981" s="25" t="s">
        <v>6352</v>
      </c>
      <c r="C2981" s="25" t="s">
        <v>6353</v>
      </c>
      <c r="D2981" s="26" t="n">
        <v>0.12</v>
      </c>
      <c r="E2981" s="27" t="n">
        <v>9.92081875395238</v>
      </c>
      <c r="F2981" s="27" t="n">
        <v>9.92081875395238</v>
      </c>
      <c r="G2981" s="25" t="s">
        <v>1662</v>
      </c>
      <c r="H2981" s="25" t="s">
        <v>1663</v>
      </c>
      <c r="I2981" s="25" t="n">
        <f aca="false">IFERROR(IF(INDEX(Documents!$C$5:$C$657,MATCH(H2981,Documents!$A$5:$A$657,0))="","",INDEX(Documents!$C$5:$C$657,MATCH(H2981,Documents!$A$5:$A$657,0))),"")</f>
        <v>2014</v>
      </c>
      <c r="J2981" s="25" t="str">
        <f aca="false">IFERROR(IF(INDEX(Documents!$D$5:$D$657,MATCH(H2981,Documents!$A$5:$A$657,0))="","",INDEX(Documents!$D$5:$D$657,MATCH(H2981,Documents!$A$5:$A$657,0))),"")</f>
        <v>J Med Chem</v>
      </c>
      <c r="K2981" s="25" t="str">
        <f aca="false">IFERROR(IF(INDEX(Documents!$G$5:$G$657,MATCH(H2981,Documents!$A$5:$A$657,0))="","",INDEX(Documents!$G$5:$G$657,MATCH(H2981,Documents!$A$5:$A$657,0))),"")</f>
        <v>10.1021/jm500807e</v>
      </c>
      <c r="L2981" s="25" t="s">
        <v>1664</v>
      </c>
    </row>
    <row r="2982" customFormat="false" ht="15" hidden="false" customHeight="false" outlineLevel="0" collapsed="false">
      <c r="A2982" s="25" t="n">
        <v>2622726</v>
      </c>
      <c r="B2982" s="25" t="s">
        <v>6354</v>
      </c>
      <c r="C2982" s="25" t="s">
        <v>6355</v>
      </c>
      <c r="D2982" s="26" t="n">
        <v>0.7</v>
      </c>
      <c r="E2982" s="27" t="n">
        <v>9.15490195998575</v>
      </c>
      <c r="F2982" s="27" t="n">
        <v>9.15490195998575</v>
      </c>
      <c r="G2982" s="25" t="s">
        <v>1707</v>
      </c>
      <c r="H2982" s="25" t="s">
        <v>1708</v>
      </c>
      <c r="I2982" s="25" t="n">
        <f aca="false">IFERROR(IF(INDEX(Documents!$C$5:$C$657,MATCH(H2982,Documents!$A$5:$A$657,0))="","",INDEX(Documents!$C$5:$C$657,MATCH(H2982,Documents!$A$5:$A$657,0))),"")</f>
        <v>2009</v>
      </c>
      <c r="J2982" s="25" t="str">
        <f aca="false">IFERROR(IF(INDEX(Documents!$D$5:$D$657,MATCH(H2982,Documents!$A$5:$A$657,0))="","",INDEX(Documents!$D$5:$D$657,MATCH(H2982,Documents!$A$5:$A$657,0))),"")</f>
        <v>J Med Chem</v>
      </c>
      <c r="K2982" s="25" t="str">
        <f aca="false">IFERROR(IF(INDEX(Documents!$G$5:$G$657,MATCH(H2982,Documents!$A$5:$A$657,0))="","",INDEX(Documents!$G$5:$G$657,MATCH(H2982,Documents!$A$5:$A$657,0))),"")</f>
        <v>10.1021/jm801563d</v>
      </c>
      <c r="L2982" s="25" t="s">
        <v>601</v>
      </c>
    </row>
    <row r="2983" customFormat="false" ht="15" hidden="false" customHeight="false" outlineLevel="0" collapsed="false">
      <c r="A2983" s="25" t="n">
        <v>2622732</v>
      </c>
      <c r="B2983" s="25" t="s">
        <v>6356</v>
      </c>
      <c r="C2983" s="25" t="s">
        <v>6357</v>
      </c>
      <c r="D2983" s="26" t="n">
        <v>5.8</v>
      </c>
      <c r="E2983" s="27" t="n">
        <v>8.23657200643706</v>
      </c>
      <c r="F2983" s="27" t="n">
        <v>8.23657200643706</v>
      </c>
      <c r="G2983" s="25" t="s">
        <v>1707</v>
      </c>
      <c r="H2983" s="25" t="s">
        <v>1708</v>
      </c>
      <c r="I2983" s="25" t="n">
        <f aca="false">IFERROR(IF(INDEX(Documents!$C$5:$C$657,MATCH(H2983,Documents!$A$5:$A$657,0))="","",INDEX(Documents!$C$5:$C$657,MATCH(H2983,Documents!$A$5:$A$657,0))),"")</f>
        <v>2009</v>
      </c>
      <c r="J2983" s="25" t="str">
        <f aca="false">IFERROR(IF(INDEX(Documents!$D$5:$D$657,MATCH(H2983,Documents!$A$5:$A$657,0))="","",INDEX(Documents!$D$5:$D$657,MATCH(H2983,Documents!$A$5:$A$657,0))),"")</f>
        <v>J Med Chem</v>
      </c>
      <c r="K2983" s="25" t="str">
        <f aca="false">IFERROR(IF(INDEX(Documents!$G$5:$G$657,MATCH(H2983,Documents!$A$5:$A$657,0))="","",INDEX(Documents!$G$5:$G$657,MATCH(H2983,Documents!$A$5:$A$657,0))),"")</f>
        <v>10.1021/jm801563d</v>
      </c>
      <c r="L2983" s="25" t="s">
        <v>601</v>
      </c>
    </row>
    <row r="2984" customFormat="false" ht="15" hidden="false" customHeight="false" outlineLevel="0" collapsed="false">
      <c r="A2984" s="25" t="n">
        <v>17981836</v>
      </c>
      <c r="B2984" s="25" t="s">
        <v>6358</v>
      </c>
      <c r="C2984" s="25" t="s">
        <v>6359</v>
      </c>
      <c r="D2984" s="26" t="n">
        <v>66</v>
      </c>
      <c r="E2984" s="27" t="n">
        <v>7.18045606445813</v>
      </c>
      <c r="F2984" s="27" t="n">
        <v>7.18045606445813</v>
      </c>
      <c r="G2984" s="25" t="s">
        <v>6347</v>
      </c>
      <c r="H2984" s="25" t="s">
        <v>6348</v>
      </c>
      <c r="I2984" s="25" t="n">
        <f aca="false">IFERROR(IF(INDEX(Documents!$C$5:$C$657,MATCH(H2984,Documents!$A$5:$A$657,0))="","",INDEX(Documents!$C$5:$C$657,MATCH(H2984,Documents!$A$5:$A$657,0))),"")</f>
        <v>2017</v>
      </c>
      <c r="J2984" s="25" t="str">
        <f aca="false">IFERROR(IF(INDEX(Documents!$D$5:$D$657,MATCH(H2984,Documents!$A$5:$A$657,0))="","",INDEX(Documents!$D$5:$D$657,MATCH(H2984,Documents!$A$5:$A$657,0))),"")</f>
        <v>Eur J Med Chem</v>
      </c>
      <c r="K2984" s="25" t="str">
        <f aca="false">IFERROR(IF(INDEX(Documents!$G$5:$G$657,MATCH(H2984,Documents!$A$5:$A$657,0))="","",INDEX(Documents!$G$5:$G$657,MATCH(H2984,Documents!$A$5:$A$657,0))),"")</f>
        <v>10.1016/j.ejmech.2017.01.002</v>
      </c>
      <c r="L2984" s="25" t="s">
        <v>6349</v>
      </c>
    </row>
    <row r="2985" customFormat="false" ht="15" hidden="false" customHeight="false" outlineLevel="0" collapsed="false">
      <c r="A2985" s="25" t="n">
        <v>15078021</v>
      </c>
      <c r="B2985" s="25" t="s">
        <v>6360</v>
      </c>
      <c r="C2985" s="25" t="s">
        <v>6361</v>
      </c>
      <c r="D2985" s="26" t="n">
        <v>94.2</v>
      </c>
      <c r="E2985" s="27" t="n">
        <v>7.02594909720712</v>
      </c>
      <c r="F2985" s="27" t="n">
        <v>7.02594909720712</v>
      </c>
      <c r="G2985" s="25" t="s">
        <v>1662</v>
      </c>
      <c r="H2985" s="25" t="s">
        <v>1663</v>
      </c>
      <c r="I2985" s="25" t="n">
        <f aca="false">IFERROR(IF(INDEX(Documents!$C$5:$C$657,MATCH(H2985,Documents!$A$5:$A$657,0))="","",INDEX(Documents!$C$5:$C$657,MATCH(H2985,Documents!$A$5:$A$657,0))),"")</f>
        <v>2014</v>
      </c>
      <c r="J2985" s="25" t="str">
        <f aca="false">IFERROR(IF(INDEX(Documents!$D$5:$D$657,MATCH(H2985,Documents!$A$5:$A$657,0))="","",INDEX(Documents!$D$5:$D$657,MATCH(H2985,Documents!$A$5:$A$657,0))),"")</f>
        <v>J Med Chem</v>
      </c>
      <c r="K2985" s="25" t="str">
        <f aca="false">IFERROR(IF(INDEX(Documents!$G$5:$G$657,MATCH(H2985,Documents!$A$5:$A$657,0))="","",INDEX(Documents!$G$5:$G$657,MATCH(H2985,Documents!$A$5:$A$657,0))),"")</f>
        <v>10.1021/jm500807e</v>
      </c>
      <c r="L2985" s="25" t="s">
        <v>1664</v>
      </c>
    </row>
    <row r="2986" customFormat="false" ht="15" hidden="false" customHeight="false" outlineLevel="0" collapsed="false">
      <c r="A2986" s="25" t="n">
        <v>15078017</v>
      </c>
      <c r="B2986" s="25" t="s">
        <v>6362</v>
      </c>
      <c r="C2986" s="25" t="s">
        <v>6363</v>
      </c>
      <c r="D2986" s="26" t="n">
        <v>65.6</v>
      </c>
      <c r="E2986" s="27" t="n">
        <v>7.18309616062434</v>
      </c>
      <c r="F2986" s="27" t="n">
        <v>7.18309616062434</v>
      </c>
      <c r="G2986" s="25" t="s">
        <v>1662</v>
      </c>
      <c r="H2986" s="25" t="s">
        <v>1663</v>
      </c>
      <c r="I2986" s="25" t="n">
        <f aca="false">IFERROR(IF(INDEX(Documents!$C$5:$C$657,MATCH(H2986,Documents!$A$5:$A$657,0))="","",INDEX(Documents!$C$5:$C$657,MATCH(H2986,Documents!$A$5:$A$657,0))),"")</f>
        <v>2014</v>
      </c>
      <c r="J2986" s="25" t="str">
        <f aca="false">IFERROR(IF(INDEX(Documents!$D$5:$D$657,MATCH(H2986,Documents!$A$5:$A$657,0))="","",INDEX(Documents!$D$5:$D$657,MATCH(H2986,Documents!$A$5:$A$657,0))),"")</f>
        <v>J Med Chem</v>
      </c>
      <c r="K2986" s="25" t="str">
        <f aca="false">IFERROR(IF(INDEX(Documents!$G$5:$G$657,MATCH(H2986,Documents!$A$5:$A$657,0))="","",INDEX(Documents!$G$5:$G$657,MATCH(H2986,Documents!$A$5:$A$657,0))),"")</f>
        <v>10.1021/jm500807e</v>
      </c>
      <c r="L2986" s="25" t="s">
        <v>1664</v>
      </c>
    </row>
    <row r="2987" customFormat="false" ht="15" hidden="false" customHeight="false" outlineLevel="0" collapsed="false">
      <c r="A2987" s="25" t="n">
        <v>15078012</v>
      </c>
      <c r="B2987" s="25" t="s">
        <v>6364</v>
      </c>
      <c r="C2987" s="25" t="s">
        <v>6365</v>
      </c>
      <c r="D2987" s="26" t="n">
        <v>1.12</v>
      </c>
      <c r="E2987" s="27" t="n">
        <v>8.95078197732982</v>
      </c>
      <c r="F2987" s="27" t="n">
        <v>8.95078197732982</v>
      </c>
      <c r="G2987" s="25" t="s">
        <v>1662</v>
      </c>
      <c r="H2987" s="25" t="s">
        <v>1663</v>
      </c>
      <c r="I2987" s="25" t="n">
        <f aca="false">IFERROR(IF(INDEX(Documents!$C$5:$C$657,MATCH(H2987,Documents!$A$5:$A$657,0))="","",INDEX(Documents!$C$5:$C$657,MATCH(H2987,Documents!$A$5:$A$657,0))),"")</f>
        <v>2014</v>
      </c>
      <c r="J2987" s="25" t="str">
        <f aca="false">IFERROR(IF(INDEX(Documents!$D$5:$D$657,MATCH(H2987,Documents!$A$5:$A$657,0))="","",INDEX(Documents!$D$5:$D$657,MATCH(H2987,Documents!$A$5:$A$657,0))),"")</f>
        <v>J Med Chem</v>
      </c>
      <c r="K2987" s="25" t="str">
        <f aca="false">IFERROR(IF(INDEX(Documents!$G$5:$G$657,MATCH(H2987,Documents!$A$5:$A$657,0))="","",INDEX(Documents!$G$5:$G$657,MATCH(H2987,Documents!$A$5:$A$657,0))),"")</f>
        <v>10.1021/jm500807e</v>
      </c>
      <c r="L2987" s="25" t="s">
        <v>1664</v>
      </c>
    </row>
    <row r="2988" customFormat="false" ht="15" hidden="false" customHeight="false" outlineLevel="0" collapsed="false">
      <c r="A2988" s="25" t="n">
        <v>2622737</v>
      </c>
      <c r="B2988" s="25" t="s">
        <v>6366</v>
      </c>
      <c r="C2988" s="25" t="s">
        <v>6367</v>
      </c>
      <c r="D2988" s="26" t="n">
        <v>9</v>
      </c>
      <c r="E2988" s="27" t="n">
        <v>8.04575749056068</v>
      </c>
      <c r="F2988" s="27" t="n">
        <v>8.04575749056068</v>
      </c>
      <c r="G2988" s="25" t="s">
        <v>1707</v>
      </c>
      <c r="H2988" s="25" t="s">
        <v>1708</v>
      </c>
      <c r="I2988" s="25" t="n">
        <f aca="false">IFERROR(IF(INDEX(Documents!$C$5:$C$657,MATCH(H2988,Documents!$A$5:$A$657,0))="","",INDEX(Documents!$C$5:$C$657,MATCH(H2988,Documents!$A$5:$A$657,0))),"")</f>
        <v>2009</v>
      </c>
      <c r="J2988" s="25" t="str">
        <f aca="false">IFERROR(IF(INDEX(Documents!$D$5:$D$657,MATCH(H2988,Documents!$A$5:$A$657,0))="","",INDEX(Documents!$D$5:$D$657,MATCH(H2988,Documents!$A$5:$A$657,0))),"")</f>
        <v>J Med Chem</v>
      </c>
      <c r="K2988" s="25" t="str">
        <f aca="false">IFERROR(IF(INDEX(Documents!$G$5:$G$657,MATCH(H2988,Documents!$A$5:$A$657,0))="","",INDEX(Documents!$G$5:$G$657,MATCH(H2988,Documents!$A$5:$A$657,0))),"")</f>
        <v>10.1021/jm801563d</v>
      </c>
      <c r="L2988" s="25" t="s">
        <v>601</v>
      </c>
    </row>
    <row r="2989" customFormat="false" ht="15" hidden="false" customHeight="false" outlineLevel="0" collapsed="false">
      <c r="A2989" s="25" t="n">
        <v>2622747</v>
      </c>
      <c r="B2989" s="25" t="s">
        <v>6368</v>
      </c>
      <c r="C2989" s="25" t="s">
        <v>6369</v>
      </c>
      <c r="D2989" s="26" t="n">
        <v>39.8</v>
      </c>
      <c r="E2989" s="27" t="n">
        <v>7.40011692792631</v>
      </c>
      <c r="F2989" s="27" t="n">
        <v>7.40011692792631</v>
      </c>
      <c r="G2989" s="25" t="s">
        <v>1707</v>
      </c>
      <c r="H2989" s="25" t="s">
        <v>1708</v>
      </c>
      <c r="I2989" s="25" t="n">
        <f aca="false">IFERROR(IF(INDEX(Documents!$C$5:$C$657,MATCH(H2989,Documents!$A$5:$A$657,0))="","",INDEX(Documents!$C$5:$C$657,MATCH(H2989,Documents!$A$5:$A$657,0))),"")</f>
        <v>2009</v>
      </c>
      <c r="J2989" s="25" t="str">
        <f aca="false">IFERROR(IF(INDEX(Documents!$D$5:$D$657,MATCH(H2989,Documents!$A$5:$A$657,0))="","",INDEX(Documents!$D$5:$D$657,MATCH(H2989,Documents!$A$5:$A$657,0))),"")</f>
        <v>J Med Chem</v>
      </c>
      <c r="K2989" s="25" t="str">
        <f aca="false">IFERROR(IF(INDEX(Documents!$G$5:$G$657,MATCH(H2989,Documents!$A$5:$A$657,0))="","",INDEX(Documents!$G$5:$G$657,MATCH(H2989,Documents!$A$5:$A$657,0))),"")</f>
        <v>10.1021/jm801563d</v>
      </c>
      <c r="L2989" s="25" t="s">
        <v>601</v>
      </c>
    </row>
    <row r="2990" customFormat="false" ht="15" hidden="false" customHeight="false" outlineLevel="0" collapsed="false">
      <c r="A2990" s="25" t="n">
        <v>3378222</v>
      </c>
      <c r="B2990" s="25" t="s">
        <v>6370</v>
      </c>
      <c r="C2990" s="25" t="s">
        <v>6371</v>
      </c>
      <c r="D2990" s="26" t="n">
        <v>0.3981</v>
      </c>
      <c r="E2990" s="27" t="n">
        <v>9.4000078224159</v>
      </c>
      <c r="F2990" s="27" t="n">
        <v>9.4000078224159</v>
      </c>
      <c r="G2990" s="25" t="s">
        <v>4906</v>
      </c>
      <c r="H2990" s="25" t="s">
        <v>4907</v>
      </c>
      <c r="I2990" s="25" t="n">
        <f aca="false">IFERROR(IF(INDEX(Documents!$C$5:$C$657,MATCH(H2990,Documents!$A$5:$A$657,0))="","",INDEX(Documents!$C$5:$C$657,MATCH(H2990,Documents!$A$5:$A$657,0))),"")</f>
        <v>2010</v>
      </c>
      <c r="J2990" s="25" t="str">
        <f aca="false">IFERROR(IF(INDEX(Documents!$D$5:$D$657,MATCH(H2990,Documents!$A$5:$A$657,0))="","",INDEX(Documents!$D$5:$D$657,MATCH(H2990,Documents!$A$5:$A$657,0))),"")</f>
        <v>Bioorg Med Chem Lett</v>
      </c>
      <c r="K2990" s="25" t="str">
        <f aca="false">IFERROR(IF(INDEX(Documents!$G$5:$G$657,MATCH(H2990,Documents!$A$5:$A$657,0))="","",INDEX(Documents!$G$5:$G$657,MATCH(H2990,Documents!$A$5:$A$657,0))),"")</f>
        <v>10.1016/j.bmcl.2010.06.067</v>
      </c>
      <c r="L2990" s="25" t="s">
        <v>4908</v>
      </c>
    </row>
    <row r="2991" customFormat="false" ht="15" hidden="false" customHeight="false" outlineLevel="0" collapsed="false">
      <c r="A2991" s="25" t="n">
        <v>3089221</v>
      </c>
      <c r="B2991" s="25" t="s">
        <v>6372</v>
      </c>
      <c r="C2991" s="25" t="s">
        <v>6373</v>
      </c>
      <c r="D2991" s="26" t="n">
        <v>7</v>
      </c>
      <c r="E2991" s="27" t="n">
        <v>8.15490195998574</v>
      </c>
      <c r="F2991" s="27" t="n">
        <v>8.15490195998574</v>
      </c>
      <c r="G2991" s="25" t="s">
        <v>534</v>
      </c>
      <c r="H2991" s="25" t="s">
        <v>535</v>
      </c>
      <c r="I2991" s="25" t="n">
        <f aca="false">IFERROR(IF(INDEX(Documents!$C$5:$C$657,MATCH(H2991,Documents!$A$5:$A$657,0))="","",INDEX(Documents!$C$5:$C$657,MATCH(H2991,Documents!$A$5:$A$657,0))),"")</f>
        <v>2010</v>
      </c>
      <c r="J2991" s="25" t="str">
        <f aca="false">IFERROR(IF(INDEX(Documents!$D$5:$D$657,MATCH(H2991,Documents!$A$5:$A$657,0))="","",INDEX(Documents!$D$5:$D$657,MATCH(H2991,Documents!$A$5:$A$657,0))),"")</f>
        <v>Bioorg Med Chem Lett</v>
      </c>
      <c r="K2991" s="25" t="str">
        <f aca="false">IFERROR(IF(INDEX(Documents!$G$5:$G$657,MATCH(H2991,Documents!$A$5:$A$657,0))="","",INDEX(Documents!$G$5:$G$657,MATCH(H2991,Documents!$A$5:$A$657,0))),"")</f>
        <v>10.1016/j.bmcl.2009.11.084</v>
      </c>
      <c r="L2991" s="25" t="s">
        <v>515</v>
      </c>
    </row>
    <row r="2992" customFormat="false" ht="15" hidden="false" customHeight="false" outlineLevel="0" collapsed="false">
      <c r="A2992" s="25" t="n">
        <v>12089856</v>
      </c>
      <c r="B2992" s="25" t="s">
        <v>6374</v>
      </c>
      <c r="C2992" s="25" t="s">
        <v>6375</v>
      </c>
      <c r="D2992" s="26" t="n">
        <v>78</v>
      </c>
      <c r="E2992" s="27" t="n">
        <v>7.10790539730952</v>
      </c>
      <c r="F2992" s="27" t="n">
        <v>7.10790539730952</v>
      </c>
      <c r="G2992" s="25" t="s">
        <v>1028</v>
      </c>
      <c r="H2992" s="25" t="s">
        <v>1029</v>
      </c>
      <c r="I2992" s="25" t="n">
        <f aca="false">IFERROR(IF(INDEX(Documents!$C$5:$C$657,MATCH(H2992,Documents!$A$5:$A$657,0))="","",INDEX(Documents!$C$5:$C$657,MATCH(H2992,Documents!$A$5:$A$657,0))),"")</f>
        <v>2012</v>
      </c>
      <c r="J2992" s="25" t="str">
        <f aca="false">IFERROR(IF(INDEX(Documents!$D$5:$D$657,MATCH(H2992,Documents!$A$5:$A$657,0))="","",INDEX(Documents!$D$5:$D$657,MATCH(H2992,Documents!$A$5:$A$657,0))),"")</f>
        <v>J Med Chem</v>
      </c>
      <c r="K2992" s="25" t="str">
        <f aca="false">IFERROR(IF(INDEX(Documents!$G$5:$G$657,MATCH(H2992,Documents!$A$5:$A$657,0))="","",INDEX(Documents!$G$5:$G$657,MATCH(H2992,Documents!$A$5:$A$657,0))),"")</f>
        <v>10.1021/jm300763w</v>
      </c>
      <c r="L2992" s="25" t="s">
        <v>1030</v>
      </c>
    </row>
    <row r="2993" customFormat="false" ht="15" hidden="false" customHeight="false" outlineLevel="0" collapsed="false">
      <c r="A2993" s="25" t="n">
        <v>12089858</v>
      </c>
      <c r="B2993" s="25" t="s">
        <v>6376</v>
      </c>
      <c r="C2993" s="25" t="s">
        <v>6377</v>
      </c>
      <c r="D2993" s="26" t="n">
        <v>188</v>
      </c>
      <c r="E2993" s="27" t="n">
        <v>6.72584215073632</v>
      </c>
      <c r="F2993" s="27" t="n">
        <v>6.72584215073632</v>
      </c>
      <c r="G2993" s="25" t="s">
        <v>1028</v>
      </c>
      <c r="H2993" s="25" t="s">
        <v>1029</v>
      </c>
      <c r="I2993" s="25" t="n">
        <f aca="false">IFERROR(IF(INDEX(Documents!$C$5:$C$657,MATCH(H2993,Documents!$A$5:$A$657,0))="","",INDEX(Documents!$C$5:$C$657,MATCH(H2993,Documents!$A$5:$A$657,0))),"")</f>
        <v>2012</v>
      </c>
      <c r="J2993" s="25" t="str">
        <f aca="false">IFERROR(IF(INDEX(Documents!$D$5:$D$657,MATCH(H2993,Documents!$A$5:$A$657,0))="","",INDEX(Documents!$D$5:$D$657,MATCH(H2993,Documents!$A$5:$A$657,0))),"")</f>
        <v>J Med Chem</v>
      </c>
      <c r="K2993" s="25" t="str">
        <f aca="false">IFERROR(IF(INDEX(Documents!$G$5:$G$657,MATCH(H2993,Documents!$A$5:$A$657,0))="","",INDEX(Documents!$G$5:$G$657,MATCH(H2993,Documents!$A$5:$A$657,0))),"")</f>
        <v>10.1021/jm300763w</v>
      </c>
      <c r="L2993" s="25" t="s">
        <v>1030</v>
      </c>
    </row>
    <row r="2994" customFormat="false" ht="15" hidden="false" customHeight="false" outlineLevel="0" collapsed="false">
      <c r="A2994" s="25" t="n">
        <v>1971312</v>
      </c>
      <c r="B2994" s="25" t="s">
        <v>6378</v>
      </c>
      <c r="C2994" s="25" t="s">
        <v>6379</v>
      </c>
      <c r="D2994" s="26" t="n">
        <v>13000</v>
      </c>
      <c r="E2994" s="27" t="n">
        <v>4.88605664769316</v>
      </c>
      <c r="F2994" s="27" t="n">
        <v>4.88605664769316</v>
      </c>
      <c r="G2994" s="25" t="s">
        <v>6380</v>
      </c>
      <c r="H2994" s="25" t="s">
        <v>6381</v>
      </c>
      <c r="I2994" s="25" t="n">
        <f aca="false">IFERROR(IF(INDEX(Documents!$C$5:$C$657,MATCH(H2994,Documents!$A$5:$A$657,0))="","",INDEX(Documents!$C$5:$C$657,MATCH(H2994,Documents!$A$5:$A$657,0))),"")</f>
        <v>2007</v>
      </c>
      <c r="J2994" s="25" t="str">
        <f aca="false">IFERROR(IF(INDEX(Documents!$D$5:$D$657,MATCH(H2994,Documents!$A$5:$A$657,0))="","",INDEX(Documents!$D$5:$D$657,MATCH(H2994,Documents!$A$5:$A$657,0))),"")</f>
        <v>Bioorg Med Chem Lett</v>
      </c>
      <c r="K2994" s="25" t="str">
        <f aca="false">IFERROR(IF(INDEX(Documents!$G$5:$G$657,MATCH(H2994,Documents!$A$5:$A$657,0))="","",INDEX(Documents!$G$5:$G$657,MATCH(H2994,Documents!$A$5:$A$657,0))),"")</f>
        <v>10.1016/j.bmcl.2007.06.002</v>
      </c>
      <c r="L2994" s="25" t="s">
        <v>6382</v>
      </c>
    </row>
    <row r="2995" customFormat="false" ht="15" hidden="false" customHeight="false" outlineLevel="0" collapsed="false">
      <c r="A2995" s="25" t="n">
        <v>1971309</v>
      </c>
      <c r="B2995" s="25" t="s">
        <v>6383</v>
      </c>
      <c r="C2995" s="25" t="s">
        <v>6384</v>
      </c>
      <c r="D2995" s="26" t="n">
        <v>487</v>
      </c>
      <c r="E2995" s="27" t="n">
        <v>6.31247103878537</v>
      </c>
      <c r="F2995" s="27" t="n">
        <v>6.31247103878537</v>
      </c>
      <c r="G2995" s="25" t="s">
        <v>6380</v>
      </c>
      <c r="H2995" s="25" t="s">
        <v>6381</v>
      </c>
      <c r="I2995" s="25" t="n">
        <f aca="false">IFERROR(IF(INDEX(Documents!$C$5:$C$657,MATCH(H2995,Documents!$A$5:$A$657,0))="","",INDEX(Documents!$C$5:$C$657,MATCH(H2995,Documents!$A$5:$A$657,0))),"")</f>
        <v>2007</v>
      </c>
      <c r="J2995" s="25" t="str">
        <f aca="false">IFERROR(IF(INDEX(Documents!$D$5:$D$657,MATCH(H2995,Documents!$A$5:$A$657,0))="","",INDEX(Documents!$D$5:$D$657,MATCH(H2995,Documents!$A$5:$A$657,0))),"")</f>
        <v>Bioorg Med Chem Lett</v>
      </c>
      <c r="K2995" s="25" t="str">
        <f aca="false">IFERROR(IF(INDEX(Documents!$G$5:$G$657,MATCH(H2995,Documents!$A$5:$A$657,0))="","",INDEX(Documents!$G$5:$G$657,MATCH(H2995,Documents!$A$5:$A$657,0))),"")</f>
        <v>10.1016/j.bmcl.2007.06.002</v>
      </c>
      <c r="L2995" s="25" t="s">
        <v>6382</v>
      </c>
    </row>
    <row r="2996" customFormat="false" ht="15" hidden="false" customHeight="false" outlineLevel="0" collapsed="false">
      <c r="A2996" s="25" t="n">
        <v>3278089</v>
      </c>
      <c r="B2996" s="25" t="s">
        <v>6385</v>
      </c>
      <c r="C2996" s="25" t="s">
        <v>6386</v>
      </c>
      <c r="D2996" s="26" t="n">
        <v>398</v>
      </c>
      <c r="E2996" s="27" t="n">
        <v>6.40011692792631</v>
      </c>
      <c r="F2996" s="27" t="n">
        <v>6.40011692792631</v>
      </c>
      <c r="G2996" s="25" t="s">
        <v>6247</v>
      </c>
      <c r="H2996" s="25" t="s">
        <v>6248</v>
      </c>
      <c r="I2996" s="25" t="n">
        <f aca="false">IFERROR(IF(INDEX(Documents!$C$5:$C$657,MATCH(H2996,Documents!$A$5:$A$657,0))="","",INDEX(Documents!$C$5:$C$657,MATCH(H2996,Documents!$A$5:$A$657,0))),"")</f>
        <v>2010</v>
      </c>
      <c r="J2996" s="25" t="str">
        <f aca="false">IFERROR(IF(INDEX(Documents!$D$5:$D$657,MATCH(H2996,Documents!$A$5:$A$657,0))="","",INDEX(Documents!$D$5:$D$657,MATCH(H2996,Documents!$A$5:$A$657,0))),"")</f>
        <v>Bioorg Med Chem Lett</v>
      </c>
      <c r="K2996" s="25" t="str">
        <f aca="false">IFERROR(IF(INDEX(Documents!$G$5:$G$657,MATCH(H2996,Documents!$A$5:$A$657,0))="","",INDEX(Documents!$G$5:$G$657,MATCH(H2996,Documents!$A$5:$A$657,0))),"")</f>
        <v>10.1016/j.bmcl.2010.03.068</v>
      </c>
      <c r="L2996" s="25" t="s">
        <v>659</v>
      </c>
    </row>
    <row r="2997" customFormat="false" ht="15" hidden="false" customHeight="false" outlineLevel="0" collapsed="false">
      <c r="A2997" s="25" t="n">
        <v>22800473</v>
      </c>
      <c r="B2997" s="25" t="s">
        <v>6387</v>
      </c>
      <c r="C2997" s="25" t="s">
        <v>6388</v>
      </c>
      <c r="D2997" s="26" t="n">
        <v>28.9</v>
      </c>
      <c r="E2997" s="27" t="n">
        <v>7.53910215724345</v>
      </c>
      <c r="F2997" s="27" t="n">
        <v>7.53910215724345</v>
      </c>
      <c r="G2997" s="25" t="s">
        <v>5805</v>
      </c>
      <c r="H2997" s="25" t="s">
        <v>5806</v>
      </c>
      <c r="I2997" s="25" t="n">
        <f aca="false">IFERROR(IF(INDEX(Documents!$C$5:$C$657,MATCH(H2997,Documents!$A$5:$A$657,0))="","",INDEX(Documents!$C$5:$C$657,MATCH(H2997,Documents!$A$5:$A$657,0))),"")</f>
        <v>2020</v>
      </c>
      <c r="J2997" s="25" t="str">
        <f aca="false">IFERROR(IF(INDEX(Documents!$D$5:$D$657,MATCH(H2997,Documents!$A$5:$A$657,0))="","",INDEX(Documents!$D$5:$D$657,MATCH(H2997,Documents!$A$5:$A$657,0))),"")</f>
        <v>Eur J Med Chem</v>
      </c>
      <c r="K2997" s="25" t="str">
        <f aca="false">IFERROR(IF(INDEX(Documents!$G$5:$G$657,MATCH(H2997,Documents!$A$5:$A$657,0))="","",INDEX(Documents!$G$5:$G$657,MATCH(H2997,Documents!$A$5:$A$657,0))),"")</f>
        <v>10.1016/j.ejmech.2020.112858</v>
      </c>
      <c r="L2997" s="25" t="s">
        <v>5807</v>
      </c>
    </row>
    <row r="2998" customFormat="false" ht="15" hidden="false" customHeight="false" outlineLevel="0" collapsed="false">
      <c r="A2998" s="25" t="n">
        <v>22800471</v>
      </c>
      <c r="B2998" s="25" t="s">
        <v>6389</v>
      </c>
      <c r="C2998" s="25" t="s">
        <v>6390</v>
      </c>
      <c r="D2998" s="26" t="n">
        <v>5.7</v>
      </c>
      <c r="E2998" s="27" t="n">
        <v>8.24412514432751</v>
      </c>
      <c r="F2998" s="27" t="n">
        <v>8.24412514432751</v>
      </c>
      <c r="G2998" s="25" t="s">
        <v>5805</v>
      </c>
      <c r="H2998" s="25" t="s">
        <v>5806</v>
      </c>
      <c r="I2998" s="25" t="n">
        <f aca="false">IFERROR(IF(INDEX(Documents!$C$5:$C$657,MATCH(H2998,Documents!$A$5:$A$657,0))="","",INDEX(Documents!$C$5:$C$657,MATCH(H2998,Documents!$A$5:$A$657,0))),"")</f>
        <v>2020</v>
      </c>
      <c r="J2998" s="25" t="str">
        <f aca="false">IFERROR(IF(INDEX(Documents!$D$5:$D$657,MATCH(H2998,Documents!$A$5:$A$657,0))="","",INDEX(Documents!$D$5:$D$657,MATCH(H2998,Documents!$A$5:$A$657,0))),"")</f>
        <v>Eur J Med Chem</v>
      </c>
      <c r="K2998" s="25" t="str">
        <f aca="false">IFERROR(IF(INDEX(Documents!$G$5:$G$657,MATCH(H2998,Documents!$A$5:$A$657,0))="","",INDEX(Documents!$G$5:$G$657,MATCH(H2998,Documents!$A$5:$A$657,0))),"")</f>
        <v>10.1016/j.ejmech.2020.112858</v>
      </c>
      <c r="L2998" s="25" t="s">
        <v>5807</v>
      </c>
    </row>
    <row r="2999" customFormat="false" ht="15" hidden="false" customHeight="false" outlineLevel="0" collapsed="false">
      <c r="A2999" s="25" t="n">
        <v>18428381</v>
      </c>
      <c r="B2999" s="25" t="s">
        <v>6391</v>
      </c>
      <c r="C2999" s="25" t="s">
        <v>6392</v>
      </c>
      <c r="D2999" s="26" t="n">
        <v>6.9</v>
      </c>
      <c r="E2999" s="27" t="n">
        <v>8.16115090926274</v>
      </c>
      <c r="F2999" s="27" t="n">
        <v>8.16115090926274</v>
      </c>
      <c r="G2999" s="25" t="s">
        <v>5818</v>
      </c>
      <c r="H2999" s="25" t="s">
        <v>5819</v>
      </c>
      <c r="I2999" s="25" t="n">
        <f aca="false">IFERROR(IF(INDEX(Documents!$C$5:$C$657,MATCH(H2999,Documents!$A$5:$A$657,0))="","",INDEX(Documents!$C$5:$C$657,MATCH(H2999,Documents!$A$5:$A$657,0))),"")</f>
        <v>2018</v>
      </c>
      <c r="J2999" s="25" t="str">
        <f aca="false">IFERROR(IF(INDEX(Documents!$D$5:$D$657,MATCH(H2999,Documents!$A$5:$A$657,0))="","",INDEX(Documents!$D$5:$D$657,MATCH(H2999,Documents!$A$5:$A$657,0))),"")</f>
        <v>Eur J Med Chem</v>
      </c>
      <c r="K2999" s="25" t="str">
        <f aca="false">IFERROR(IF(INDEX(Documents!$G$5:$G$657,MATCH(H2999,Documents!$A$5:$A$657,0))="","",INDEX(Documents!$G$5:$G$657,MATCH(H2999,Documents!$A$5:$A$657,0))),"")</f>
        <v>10.1016/j.ejmech.2018.05.019</v>
      </c>
      <c r="L2999" s="25" t="s">
        <v>5820</v>
      </c>
    </row>
    <row r="3000" customFormat="false" ht="15" hidden="false" customHeight="false" outlineLevel="0" collapsed="false">
      <c r="A3000" s="25" t="n">
        <v>24859822</v>
      </c>
      <c r="B3000" s="25" t="s">
        <v>6393</v>
      </c>
      <c r="C3000" s="25" t="s">
        <v>6394</v>
      </c>
      <c r="D3000" s="26" t="n">
        <v>7</v>
      </c>
      <c r="E3000" s="27" t="n">
        <v>8.15490195998574</v>
      </c>
      <c r="F3000" s="27" t="n">
        <v>8.48940535046503</v>
      </c>
      <c r="G3000" s="25" t="s">
        <v>6395</v>
      </c>
      <c r="H3000" s="25" t="s">
        <v>6396</v>
      </c>
      <c r="I3000" s="25" t="n">
        <f aca="false">IFERROR(IF(INDEX(Documents!$C$5:$C$657,MATCH(H3000,Documents!$A$5:$A$657,0))="","",INDEX(Documents!$C$5:$C$657,MATCH(H3000,Documents!$A$5:$A$657,0))),"")</f>
        <v>2022</v>
      </c>
      <c r="J3000" s="25" t="str">
        <f aca="false">IFERROR(IF(INDEX(Documents!$D$5:$D$657,MATCH(H3000,Documents!$A$5:$A$657,0))="","",INDEX(Documents!$D$5:$D$657,MATCH(H3000,Documents!$A$5:$A$657,0))),"")</f>
        <v>J Med Chem</v>
      </c>
      <c r="K3000" s="25" t="str">
        <f aca="false">IFERROR(IF(INDEX(Documents!$G$5:$G$657,MATCH(H3000,Documents!$A$5:$A$657,0))="","",INDEX(Documents!$G$5:$G$657,MATCH(H3000,Documents!$A$5:$A$657,0))),"")</f>
        <v>10.1021/acs.jmedchem.2c00582</v>
      </c>
      <c r="L3000" s="25" t="s">
        <v>6397</v>
      </c>
    </row>
    <row r="3001" customFormat="false" ht="15" hidden="false" customHeight="false" outlineLevel="0" collapsed="false">
      <c r="A3001" s="25" t="n">
        <v>22800468</v>
      </c>
      <c r="B3001" s="25" t="s">
        <v>6393</v>
      </c>
      <c r="C3001" s="25" t="s">
        <v>6394</v>
      </c>
      <c r="D3001" s="26" t="n">
        <v>1.5</v>
      </c>
      <c r="E3001" s="27" t="n">
        <v>8.82390874094432</v>
      </c>
      <c r="F3001" s="27" t="n">
        <v>8.48940535046503</v>
      </c>
      <c r="G3001" s="25" t="s">
        <v>5805</v>
      </c>
      <c r="H3001" s="25" t="s">
        <v>5806</v>
      </c>
      <c r="I3001" s="25" t="n">
        <f aca="false">IFERROR(IF(INDEX(Documents!$C$5:$C$657,MATCH(H3001,Documents!$A$5:$A$657,0))="","",INDEX(Documents!$C$5:$C$657,MATCH(H3001,Documents!$A$5:$A$657,0))),"")</f>
        <v>2020</v>
      </c>
      <c r="J3001" s="25" t="str">
        <f aca="false">IFERROR(IF(INDEX(Documents!$D$5:$D$657,MATCH(H3001,Documents!$A$5:$A$657,0))="","",INDEX(Documents!$D$5:$D$657,MATCH(H3001,Documents!$A$5:$A$657,0))),"")</f>
        <v>Eur J Med Chem</v>
      </c>
      <c r="K3001" s="25" t="str">
        <f aca="false">IFERROR(IF(INDEX(Documents!$G$5:$G$657,MATCH(H3001,Documents!$A$5:$A$657,0))="","",INDEX(Documents!$G$5:$G$657,MATCH(H3001,Documents!$A$5:$A$657,0))),"")</f>
        <v>10.1016/j.ejmech.2020.112858</v>
      </c>
      <c r="L3001" s="25" t="s">
        <v>5807</v>
      </c>
    </row>
    <row r="3002" customFormat="false" ht="15" hidden="false" customHeight="false" outlineLevel="0" collapsed="false">
      <c r="A3002" s="25" t="n">
        <v>24859823</v>
      </c>
      <c r="B3002" s="25" t="s">
        <v>6398</v>
      </c>
      <c r="C3002" s="25" t="s">
        <v>6399</v>
      </c>
      <c r="D3002" s="26" t="n">
        <v>1.4</v>
      </c>
      <c r="E3002" s="27" t="n">
        <v>8.85387196432176</v>
      </c>
      <c r="F3002" s="27" t="n">
        <v>8.85387196432176</v>
      </c>
      <c r="G3002" s="25" t="s">
        <v>6395</v>
      </c>
      <c r="H3002" s="25" t="s">
        <v>6396</v>
      </c>
      <c r="I3002" s="25" t="n">
        <f aca="false">IFERROR(IF(INDEX(Documents!$C$5:$C$657,MATCH(H3002,Documents!$A$5:$A$657,0))="","",INDEX(Documents!$C$5:$C$657,MATCH(H3002,Documents!$A$5:$A$657,0))),"")</f>
        <v>2022</v>
      </c>
      <c r="J3002" s="25" t="str">
        <f aca="false">IFERROR(IF(INDEX(Documents!$D$5:$D$657,MATCH(H3002,Documents!$A$5:$A$657,0))="","",INDEX(Documents!$D$5:$D$657,MATCH(H3002,Documents!$A$5:$A$657,0))),"")</f>
        <v>J Med Chem</v>
      </c>
      <c r="K3002" s="25" t="str">
        <f aca="false">IFERROR(IF(INDEX(Documents!$G$5:$G$657,MATCH(H3002,Documents!$A$5:$A$657,0))="","",INDEX(Documents!$G$5:$G$657,MATCH(H3002,Documents!$A$5:$A$657,0))),"")</f>
        <v>10.1021/acs.jmedchem.2c00582</v>
      </c>
      <c r="L3002" s="25" t="s">
        <v>6397</v>
      </c>
    </row>
    <row r="3003" customFormat="false" ht="15" hidden="false" customHeight="false" outlineLevel="0" collapsed="false">
      <c r="A3003" s="25" t="n">
        <v>18428380</v>
      </c>
      <c r="B3003" s="25" t="s">
        <v>6400</v>
      </c>
      <c r="C3003" s="25" t="s">
        <v>6401</v>
      </c>
      <c r="D3003" s="26" t="n">
        <v>3.5</v>
      </c>
      <c r="E3003" s="27" t="n">
        <v>8.45593195564972</v>
      </c>
      <c r="F3003" s="27" t="n">
        <v>8.45593195564972</v>
      </c>
      <c r="G3003" s="25" t="s">
        <v>5818</v>
      </c>
      <c r="H3003" s="25" t="s">
        <v>5819</v>
      </c>
      <c r="I3003" s="25" t="n">
        <f aca="false">IFERROR(IF(INDEX(Documents!$C$5:$C$657,MATCH(H3003,Documents!$A$5:$A$657,0))="","",INDEX(Documents!$C$5:$C$657,MATCH(H3003,Documents!$A$5:$A$657,0))),"")</f>
        <v>2018</v>
      </c>
      <c r="J3003" s="25" t="str">
        <f aca="false">IFERROR(IF(INDEX(Documents!$D$5:$D$657,MATCH(H3003,Documents!$A$5:$A$657,0))="","",INDEX(Documents!$D$5:$D$657,MATCH(H3003,Documents!$A$5:$A$657,0))),"")</f>
        <v>Eur J Med Chem</v>
      </c>
      <c r="K3003" s="25" t="str">
        <f aca="false">IFERROR(IF(INDEX(Documents!$G$5:$G$657,MATCH(H3003,Documents!$A$5:$A$657,0))="","",INDEX(Documents!$G$5:$G$657,MATCH(H3003,Documents!$A$5:$A$657,0))),"")</f>
        <v>10.1016/j.ejmech.2018.05.019</v>
      </c>
      <c r="L3003" s="25" t="s">
        <v>5820</v>
      </c>
    </row>
    <row r="3004" customFormat="false" ht="15" hidden="false" customHeight="false" outlineLevel="0" collapsed="false">
      <c r="A3004" s="25" t="n">
        <v>24859821</v>
      </c>
      <c r="B3004" s="25" t="s">
        <v>6402</v>
      </c>
      <c r="C3004" s="25" t="s">
        <v>6403</v>
      </c>
      <c r="D3004" s="26" t="n">
        <v>19</v>
      </c>
      <c r="E3004" s="27" t="n">
        <v>7.72124639904717</v>
      </c>
      <c r="F3004" s="27" t="n">
        <v>7.72124639904717</v>
      </c>
      <c r="G3004" s="25" t="s">
        <v>6395</v>
      </c>
      <c r="H3004" s="25" t="s">
        <v>6396</v>
      </c>
      <c r="I3004" s="25" t="n">
        <f aca="false">IFERROR(IF(INDEX(Documents!$C$5:$C$657,MATCH(H3004,Documents!$A$5:$A$657,0))="","",INDEX(Documents!$C$5:$C$657,MATCH(H3004,Documents!$A$5:$A$657,0))),"")</f>
        <v>2022</v>
      </c>
      <c r="J3004" s="25" t="str">
        <f aca="false">IFERROR(IF(INDEX(Documents!$D$5:$D$657,MATCH(H3004,Documents!$A$5:$A$657,0))="","",INDEX(Documents!$D$5:$D$657,MATCH(H3004,Documents!$A$5:$A$657,0))),"")</f>
        <v>J Med Chem</v>
      </c>
      <c r="K3004" s="25" t="str">
        <f aca="false">IFERROR(IF(INDEX(Documents!$G$5:$G$657,MATCH(H3004,Documents!$A$5:$A$657,0))="","",INDEX(Documents!$G$5:$G$657,MATCH(H3004,Documents!$A$5:$A$657,0))),"")</f>
        <v>10.1021/acs.jmedchem.2c00582</v>
      </c>
      <c r="L3004" s="25" t="s">
        <v>6397</v>
      </c>
    </row>
    <row r="3005" customFormat="false" ht="15" hidden="false" customHeight="false" outlineLevel="0" collapsed="false">
      <c r="A3005" s="25" t="n">
        <v>18428390</v>
      </c>
      <c r="B3005" s="25" t="s">
        <v>6404</v>
      </c>
      <c r="C3005" s="25" t="s">
        <v>6405</v>
      </c>
      <c r="D3005" s="26" t="n">
        <v>606</v>
      </c>
      <c r="E3005" s="27" t="n">
        <v>6.21752737583371</v>
      </c>
      <c r="F3005" s="27" t="n">
        <v>6.21752737583371</v>
      </c>
      <c r="G3005" s="25" t="s">
        <v>5818</v>
      </c>
      <c r="H3005" s="25" t="s">
        <v>5819</v>
      </c>
      <c r="I3005" s="25" t="n">
        <f aca="false">IFERROR(IF(INDEX(Documents!$C$5:$C$657,MATCH(H3005,Documents!$A$5:$A$657,0))="","",INDEX(Documents!$C$5:$C$657,MATCH(H3005,Documents!$A$5:$A$657,0))),"")</f>
        <v>2018</v>
      </c>
      <c r="J3005" s="25" t="str">
        <f aca="false">IFERROR(IF(INDEX(Documents!$D$5:$D$657,MATCH(H3005,Documents!$A$5:$A$657,0))="","",INDEX(Documents!$D$5:$D$657,MATCH(H3005,Documents!$A$5:$A$657,0))),"")</f>
        <v>Eur J Med Chem</v>
      </c>
      <c r="K3005" s="25" t="str">
        <f aca="false">IFERROR(IF(INDEX(Documents!$G$5:$G$657,MATCH(H3005,Documents!$A$5:$A$657,0))="","",INDEX(Documents!$G$5:$G$657,MATCH(H3005,Documents!$A$5:$A$657,0))),"")</f>
        <v>10.1016/j.ejmech.2018.05.019</v>
      </c>
      <c r="L3005" s="25" t="s">
        <v>5820</v>
      </c>
    </row>
    <row r="3006" customFormat="false" ht="15" hidden="false" customHeight="false" outlineLevel="0" collapsed="false">
      <c r="A3006" s="25" t="n">
        <v>2118235</v>
      </c>
      <c r="B3006" s="25" t="s">
        <v>6406</v>
      </c>
      <c r="C3006" s="25" t="s">
        <v>6407</v>
      </c>
      <c r="D3006" s="26" t="n">
        <v>27</v>
      </c>
      <c r="E3006" s="27" t="n">
        <v>7.56863623584101</v>
      </c>
      <c r="F3006" s="27" t="n">
        <v>7.5696027672963</v>
      </c>
      <c r="G3006" s="25" t="s">
        <v>1199</v>
      </c>
      <c r="H3006" s="25" t="s">
        <v>1200</v>
      </c>
      <c r="I3006" s="25" t="n">
        <f aca="false">IFERROR(IF(INDEX(Documents!$C$5:$C$657,MATCH(H3006,Documents!$A$5:$A$657,0))="","",INDEX(Documents!$C$5:$C$657,MATCH(H3006,Documents!$A$5:$A$657,0))),"")</f>
        <v>2008</v>
      </c>
      <c r="J3006" s="25" t="str">
        <f aca="false">IFERROR(IF(INDEX(Documents!$D$5:$D$657,MATCH(H3006,Documents!$A$5:$A$657,0))="","",INDEX(Documents!$D$5:$D$657,MATCH(H3006,Documents!$A$5:$A$657,0))),"")</f>
        <v>J Med Chem</v>
      </c>
      <c r="K3006" s="25" t="str">
        <f aca="false">IFERROR(IF(INDEX(Documents!$G$5:$G$657,MATCH(H3006,Documents!$A$5:$A$657,0))="","",INDEX(Documents!$G$5:$G$657,MATCH(H3006,Documents!$A$5:$A$657,0))),"")</f>
        <v>10.1021/jm7011613</v>
      </c>
      <c r="L3006" s="25" t="s">
        <v>676</v>
      </c>
    </row>
    <row r="3007" customFormat="false" ht="15" hidden="false" customHeight="false" outlineLevel="0" collapsed="false">
      <c r="A3007" s="25" t="n">
        <v>2118234</v>
      </c>
      <c r="B3007" s="25" t="s">
        <v>6406</v>
      </c>
      <c r="C3007" s="25" t="s">
        <v>6407</v>
      </c>
      <c r="D3007" s="26" t="n">
        <v>26.92</v>
      </c>
      <c r="E3007" s="27" t="n">
        <v>7.56992494444806</v>
      </c>
      <c r="F3007" s="27" t="n">
        <v>7.5696027672963</v>
      </c>
      <c r="G3007" s="25" t="s">
        <v>1199</v>
      </c>
      <c r="H3007" s="25" t="s">
        <v>1200</v>
      </c>
      <c r="I3007" s="25" t="n">
        <f aca="false">IFERROR(IF(INDEX(Documents!$C$5:$C$657,MATCH(H3007,Documents!$A$5:$A$657,0))="","",INDEX(Documents!$C$5:$C$657,MATCH(H3007,Documents!$A$5:$A$657,0))),"")</f>
        <v>2008</v>
      </c>
      <c r="J3007" s="25" t="str">
        <f aca="false">IFERROR(IF(INDEX(Documents!$D$5:$D$657,MATCH(H3007,Documents!$A$5:$A$657,0))="","",INDEX(Documents!$D$5:$D$657,MATCH(H3007,Documents!$A$5:$A$657,0))),"")</f>
        <v>J Med Chem</v>
      </c>
      <c r="K3007" s="25" t="str">
        <f aca="false">IFERROR(IF(INDEX(Documents!$G$5:$G$657,MATCH(H3007,Documents!$A$5:$A$657,0))="","",INDEX(Documents!$G$5:$G$657,MATCH(H3007,Documents!$A$5:$A$657,0))),"")</f>
        <v>10.1021/jm7011613</v>
      </c>
      <c r="L3007" s="25" t="s">
        <v>676</v>
      </c>
    </row>
    <row r="3008" customFormat="false" ht="15" hidden="false" customHeight="false" outlineLevel="0" collapsed="false">
      <c r="A3008" s="25" t="n">
        <v>6381665</v>
      </c>
      <c r="B3008" s="25" t="s">
        <v>6408</v>
      </c>
      <c r="C3008" s="25" t="s">
        <v>6407</v>
      </c>
      <c r="D3008" s="26" t="n">
        <v>26.92</v>
      </c>
      <c r="E3008" s="27" t="n">
        <v>7.56992494444806</v>
      </c>
      <c r="F3008" s="27" t="n">
        <v>7.5696027672963</v>
      </c>
      <c r="G3008" s="25" t="s">
        <v>1192</v>
      </c>
      <c r="H3008" s="25" t="s">
        <v>1193</v>
      </c>
      <c r="I3008" s="25" t="n">
        <f aca="false">IFERROR(IF(INDEX(Documents!$C$5:$C$657,MATCH(H3008,Documents!$A$5:$A$657,0))="","",INDEX(Documents!$C$5:$C$657,MATCH(H3008,Documents!$A$5:$A$657,0))),"")</f>
        <v>2011</v>
      </c>
      <c r="J3008" s="25" t="str">
        <f aca="false">IFERROR(IF(INDEX(Documents!$D$5:$D$657,MATCH(H3008,Documents!$A$5:$A$657,0))="","",INDEX(Documents!$D$5:$D$657,MATCH(H3008,Documents!$A$5:$A$657,0))),"")</f>
        <v>Eur J Med Chem</v>
      </c>
      <c r="K3008" s="25" t="str">
        <f aca="false">IFERROR(IF(INDEX(Documents!$G$5:$G$657,MATCH(H3008,Documents!$A$5:$A$657,0))="","",INDEX(Documents!$G$5:$G$657,MATCH(H3008,Documents!$A$5:$A$657,0))),"")</f>
        <v>10.1016/j.ejmech.2011.07.023</v>
      </c>
      <c r="L3008" s="25" t="s">
        <v>1194</v>
      </c>
    </row>
    <row r="3009" customFormat="false" ht="15" hidden="false" customHeight="false" outlineLevel="0" collapsed="false">
      <c r="A3009" s="25" t="n">
        <v>2096602</v>
      </c>
      <c r="B3009" s="25" t="s">
        <v>6409</v>
      </c>
      <c r="C3009" s="25" t="s">
        <v>6410</v>
      </c>
      <c r="D3009" s="26" t="n">
        <v>6600</v>
      </c>
      <c r="E3009" s="27" t="n">
        <v>5.18045606445813</v>
      </c>
      <c r="F3009" s="27" t="n">
        <v>5.18045606445813</v>
      </c>
      <c r="G3009" s="25" t="s">
        <v>4060</v>
      </c>
      <c r="H3009" s="25" t="s">
        <v>4061</v>
      </c>
      <c r="I3009" s="25" t="n">
        <f aca="false">IFERROR(IF(INDEX(Documents!$C$5:$C$657,MATCH(H3009,Documents!$A$5:$A$657,0))="","",INDEX(Documents!$C$5:$C$657,MATCH(H3009,Documents!$A$5:$A$657,0))),"")</f>
        <v>2008</v>
      </c>
      <c r="J3009" s="25" t="str">
        <f aca="false">IFERROR(IF(INDEX(Documents!$D$5:$D$657,MATCH(H3009,Documents!$A$5:$A$657,0))="","",INDEX(Documents!$D$5:$D$657,MATCH(H3009,Documents!$A$5:$A$657,0))),"")</f>
        <v>Bioorg Med Chem Lett</v>
      </c>
      <c r="K3009" s="25" t="str">
        <f aca="false">IFERROR(IF(INDEX(Documents!$G$5:$G$657,MATCH(H3009,Documents!$A$5:$A$657,0))="","",INDEX(Documents!$G$5:$G$657,MATCH(H3009,Documents!$A$5:$A$657,0))),"")</f>
        <v>10.1016/j.bmcl.2007.11.133</v>
      </c>
      <c r="L3009" s="25" t="s">
        <v>4062</v>
      </c>
    </row>
    <row r="3010" customFormat="false" ht="15" hidden="false" customHeight="false" outlineLevel="0" collapsed="false">
      <c r="A3010" s="25" t="n">
        <v>12136199</v>
      </c>
      <c r="B3010" s="25" t="s">
        <v>6411</v>
      </c>
      <c r="C3010" s="25" t="s">
        <v>6412</v>
      </c>
      <c r="D3010" s="26" t="n">
        <v>5504</v>
      </c>
      <c r="E3010" s="27" t="n">
        <v>5.25932157477255</v>
      </c>
      <c r="F3010" s="27" t="n">
        <v>5.25932157477255</v>
      </c>
      <c r="G3010" s="25" t="s">
        <v>718</v>
      </c>
      <c r="H3010" s="25" t="s">
        <v>719</v>
      </c>
      <c r="I3010" s="25" t="n">
        <f aca="false">IFERROR(IF(INDEX(Documents!$C$5:$C$657,MATCH(H3010,Documents!$A$5:$A$657,0))="","",INDEX(Documents!$C$5:$C$657,MATCH(H3010,Documents!$A$5:$A$657,0))),"")</f>
        <v>2012</v>
      </c>
      <c r="J3010" s="25" t="str">
        <f aca="false">IFERROR(IF(INDEX(Documents!$D$5:$D$657,MATCH(H3010,Documents!$A$5:$A$657,0))="","",INDEX(Documents!$D$5:$D$657,MATCH(H3010,Documents!$A$5:$A$657,0))),"")</f>
        <v>J Med Chem</v>
      </c>
      <c r="K3010" s="25" t="str">
        <f aca="false">IFERROR(IF(INDEX(Documents!$G$5:$G$657,MATCH(H3010,Documents!$A$5:$A$657,0))="","",INDEX(Documents!$G$5:$G$657,MATCH(H3010,Documents!$A$5:$A$657,0))),"")</f>
        <v>10.1021/jm301181r</v>
      </c>
      <c r="L3010" s="25" t="s">
        <v>720</v>
      </c>
    </row>
    <row r="3011" customFormat="false" ht="15" hidden="false" customHeight="false" outlineLevel="0" collapsed="false">
      <c r="A3011" s="25" t="n">
        <v>1400497</v>
      </c>
      <c r="B3011" s="25" t="s">
        <v>6413</v>
      </c>
      <c r="C3011" s="25" t="s">
        <v>6414</v>
      </c>
      <c r="D3011" s="26" t="n">
        <v>3959</v>
      </c>
      <c r="E3011" s="27" t="n">
        <v>5.4024144982478</v>
      </c>
      <c r="F3011" s="27" t="n">
        <v>5.4024144982478</v>
      </c>
      <c r="G3011" s="25" t="s">
        <v>4723</v>
      </c>
      <c r="H3011" s="25" t="s">
        <v>4724</v>
      </c>
      <c r="I3011" s="25" t="n">
        <f aca="false">IFERROR(IF(INDEX(Documents!$C$5:$C$657,MATCH(H3011,Documents!$A$5:$A$657,0))="","",INDEX(Documents!$C$5:$C$657,MATCH(H3011,Documents!$A$5:$A$657,0))),"")</f>
        <v>2005</v>
      </c>
      <c r="J3011" s="25" t="str">
        <f aca="false">IFERROR(IF(INDEX(Documents!$D$5:$D$657,MATCH(H3011,Documents!$A$5:$A$657,0))="","",INDEX(Documents!$D$5:$D$657,MATCH(H3011,Documents!$A$5:$A$657,0))),"")</f>
        <v>J Med Chem</v>
      </c>
      <c r="K3011" s="25" t="str">
        <f aca="false">IFERROR(IF(INDEX(Documents!$G$5:$G$657,MATCH(H3011,Documents!$A$5:$A$657,0))="","",INDEX(Documents!$G$5:$G$657,MATCH(H3011,Documents!$A$5:$A$657,0))),"")</f>
        <v>10.1021/jm040843r</v>
      </c>
      <c r="L3011" s="25" t="s">
        <v>4725</v>
      </c>
    </row>
    <row r="3012" customFormat="false" ht="15" hidden="false" customHeight="false" outlineLevel="0" collapsed="false">
      <c r="A3012" s="25" t="n">
        <v>2096592</v>
      </c>
      <c r="B3012" s="25" t="s">
        <v>6415</v>
      </c>
      <c r="C3012" s="25" t="s">
        <v>6416</v>
      </c>
      <c r="D3012" s="26" t="n">
        <v>4900</v>
      </c>
      <c r="E3012" s="27" t="n">
        <v>5.30980391997149</v>
      </c>
      <c r="F3012" s="27" t="n">
        <v>5.30980391997149</v>
      </c>
      <c r="G3012" s="25" t="s">
        <v>4060</v>
      </c>
      <c r="H3012" s="25" t="s">
        <v>4061</v>
      </c>
      <c r="I3012" s="25" t="n">
        <f aca="false">IFERROR(IF(INDEX(Documents!$C$5:$C$657,MATCH(H3012,Documents!$A$5:$A$657,0))="","",INDEX(Documents!$C$5:$C$657,MATCH(H3012,Documents!$A$5:$A$657,0))),"")</f>
        <v>2008</v>
      </c>
      <c r="J3012" s="25" t="str">
        <f aca="false">IFERROR(IF(INDEX(Documents!$D$5:$D$657,MATCH(H3012,Documents!$A$5:$A$657,0))="","",INDEX(Documents!$D$5:$D$657,MATCH(H3012,Documents!$A$5:$A$657,0))),"")</f>
        <v>Bioorg Med Chem Lett</v>
      </c>
      <c r="K3012" s="25" t="str">
        <f aca="false">IFERROR(IF(INDEX(Documents!$G$5:$G$657,MATCH(H3012,Documents!$A$5:$A$657,0))="","",INDEX(Documents!$G$5:$G$657,MATCH(H3012,Documents!$A$5:$A$657,0))),"")</f>
        <v>10.1016/j.bmcl.2007.11.133</v>
      </c>
      <c r="L3012" s="25" t="s">
        <v>4062</v>
      </c>
    </row>
    <row r="3013" customFormat="false" ht="15" hidden="false" customHeight="false" outlineLevel="0" collapsed="false">
      <c r="A3013" s="25" t="n">
        <v>1400500</v>
      </c>
      <c r="B3013" s="25" t="s">
        <v>6417</v>
      </c>
      <c r="C3013" s="25" t="s">
        <v>6418</v>
      </c>
      <c r="D3013" s="26" t="n">
        <v>696</v>
      </c>
      <c r="E3013" s="27" t="n">
        <v>6.15739076038944</v>
      </c>
      <c r="F3013" s="27" t="n">
        <v>6.15739076038944</v>
      </c>
      <c r="G3013" s="25" t="s">
        <v>4723</v>
      </c>
      <c r="H3013" s="25" t="s">
        <v>4724</v>
      </c>
      <c r="I3013" s="25" t="n">
        <f aca="false">IFERROR(IF(INDEX(Documents!$C$5:$C$657,MATCH(H3013,Documents!$A$5:$A$657,0))="","",INDEX(Documents!$C$5:$C$657,MATCH(H3013,Documents!$A$5:$A$657,0))),"")</f>
        <v>2005</v>
      </c>
      <c r="J3013" s="25" t="str">
        <f aca="false">IFERROR(IF(INDEX(Documents!$D$5:$D$657,MATCH(H3013,Documents!$A$5:$A$657,0))="","",INDEX(Documents!$D$5:$D$657,MATCH(H3013,Documents!$A$5:$A$657,0))),"")</f>
        <v>J Med Chem</v>
      </c>
      <c r="K3013" s="25" t="str">
        <f aca="false">IFERROR(IF(INDEX(Documents!$G$5:$G$657,MATCH(H3013,Documents!$A$5:$A$657,0))="","",INDEX(Documents!$G$5:$G$657,MATCH(H3013,Documents!$A$5:$A$657,0))),"")</f>
        <v>10.1021/jm040843r</v>
      </c>
      <c r="L3013" s="25" t="s">
        <v>4725</v>
      </c>
    </row>
    <row r="3014" customFormat="false" ht="15" hidden="false" customHeight="false" outlineLevel="0" collapsed="false">
      <c r="A3014" s="25" t="n">
        <v>5100344</v>
      </c>
      <c r="B3014" s="25" t="s">
        <v>6419</v>
      </c>
      <c r="C3014" s="25" t="s">
        <v>6420</v>
      </c>
      <c r="D3014" s="26" t="n">
        <v>20.2</v>
      </c>
      <c r="E3014" s="27" t="n">
        <v>7.69464863055338</v>
      </c>
      <c r="F3014" s="27" t="n">
        <v>7.69464863055338</v>
      </c>
      <c r="G3014" s="25" t="s">
        <v>1811</v>
      </c>
      <c r="H3014" s="25" t="s">
        <v>1812</v>
      </c>
      <c r="I3014" s="25" t="n">
        <f aca="false">IFERROR(IF(INDEX(Documents!$C$5:$C$657,MATCH(H3014,Documents!$A$5:$A$657,0))="","",INDEX(Documents!$C$5:$C$657,MATCH(H3014,Documents!$A$5:$A$657,0))),"")</f>
        <v>2010</v>
      </c>
      <c r="J3014" s="25" t="str">
        <f aca="false">IFERROR(IF(INDEX(Documents!$D$5:$D$657,MATCH(H3014,Documents!$A$5:$A$657,0))="","",INDEX(Documents!$D$5:$D$657,MATCH(H3014,Documents!$A$5:$A$657,0))),"")</f>
        <v>Eur J Med Chem</v>
      </c>
      <c r="K3014" s="25" t="str">
        <f aca="false">IFERROR(IF(INDEX(Documents!$G$5:$G$657,MATCH(H3014,Documents!$A$5:$A$657,0))="","",INDEX(Documents!$G$5:$G$657,MATCH(H3014,Documents!$A$5:$A$657,0))),"")</f>
        <v>10.1016/j.ejmech.2010.09.053</v>
      </c>
      <c r="L3014" s="25" t="s">
        <v>1813</v>
      </c>
    </row>
    <row r="3015" customFormat="false" ht="15" hidden="false" customHeight="false" outlineLevel="0" collapsed="false">
      <c r="A3015" s="25" t="n">
        <v>5100339</v>
      </c>
      <c r="B3015" s="25" t="s">
        <v>6421</v>
      </c>
      <c r="C3015" s="25" t="s">
        <v>6422</v>
      </c>
      <c r="D3015" s="26" t="n">
        <v>14.6</v>
      </c>
      <c r="E3015" s="27" t="n">
        <v>7.83564714421556</v>
      </c>
      <c r="F3015" s="27" t="n">
        <v>7.83564714421556</v>
      </c>
      <c r="G3015" s="25" t="s">
        <v>1811</v>
      </c>
      <c r="H3015" s="25" t="s">
        <v>1812</v>
      </c>
      <c r="I3015" s="25" t="n">
        <f aca="false">IFERROR(IF(INDEX(Documents!$C$5:$C$657,MATCH(H3015,Documents!$A$5:$A$657,0))="","",INDEX(Documents!$C$5:$C$657,MATCH(H3015,Documents!$A$5:$A$657,0))),"")</f>
        <v>2010</v>
      </c>
      <c r="J3015" s="25" t="str">
        <f aca="false">IFERROR(IF(INDEX(Documents!$D$5:$D$657,MATCH(H3015,Documents!$A$5:$A$657,0))="","",INDEX(Documents!$D$5:$D$657,MATCH(H3015,Documents!$A$5:$A$657,0))),"")</f>
        <v>Eur J Med Chem</v>
      </c>
      <c r="K3015" s="25" t="str">
        <f aca="false">IFERROR(IF(INDEX(Documents!$G$5:$G$657,MATCH(H3015,Documents!$A$5:$A$657,0))="","",INDEX(Documents!$G$5:$G$657,MATCH(H3015,Documents!$A$5:$A$657,0))),"")</f>
        <v>10.1016/j.ejmech.2010.09.053</v>
      </c>
      <c r="L3015" s="25" t="s">
        <v>1813</v>
      </c>
    </row>
    <row r="3016" customFormat="false" ht="15" hidden="false" customHeight="false" outlineLevel="0" collapsed="false">
      <c r="A3016" s="25" t="n">
        <v>5100343</v>
      </c>
      <c r="B3016" s="25" t="s">
        <v>6423</v>
      </c>
      <c r="C3016" s="25" t="s">
        <v>6424</v>
      </c>
      <c r="D3016" s="26" t="n">
        <v>1796.8</v>
      </c>
      <c r="E3016" s="27" t="n">
        <v>5.74550026108262</v>
      </c>
      <c r="F3016" s="27" t="n">
        <v>5.74550026108262</v>
      </c>
      <c r="G3016" s="25" t="s">
        <v>1811</v>
      </c>
      <c r="H3016" s="25" t="s">
        <v>1812</v>
      </c>
      <c r="I3016" s="25" t="n">
        <f aca="false">IFERROR(IF(INDEX(Documents!$C$5:$C$657,MATCH(H3016,Documents!$A$5:$A$657,0))="","",INDEX(Documents!$C$5:$C$657,MATCH(H3016,Documents!$A$5:$A$657,0))),"")</f>
        <v>2010</v>
      </c>
      <c r="J3016" s="25" t="str">
        <f aca="false">IFERROR(IF(INDEX(Documents!$D$5:$D$657,MATCH(H3016,Documents!$A$5:$A$657,0))="","",INDEX(Documents!$D$5:$D$657,MATCH(H3016,Documents!$A$5:$A$657,0))),"")</f>
        <v>Eur J Med Chem</v>
      </c>
      <c r="K3016" s="25" t="str">
        <f aca="false">IFERROR(IF(INDEX(Documents!$G$5:$G$657,MATCH(H3016,Documents!$A$5:$A$657,0))="","",INDEX(Documents!$G$5:$G$657,MATCH(H3016,Documents!$A$5:$A$657,0))),"")</f>
        <v>10.1016/j.ejmech.2010.09.053</v>
      </c>
      <c r="L3016" s="25" t="s">
        <v>1813</v>
      </c>
    </row>
    <row r="3017" customFormat="false" ht="15" hidden="false" customHeight="false" outlineLevel="0" collapsed="false">
      <c r="A3017" s="25" t="n">
        <v>5100338</v>
      </c>
      <c r="B3017" s="25" t="s">
        <v>6425</v>
      </c>
      <c r="C3017" s="25" t="s">
        <v>6426</v>
      </c>
      <c r="D3017" s="26" t="n">
        <v>1132.4</v>
      </c>
      <c r="E3017" s="27" t="n">
        <v>5.94600013930694</v>
      </c>
      <c r="F3017" s="27" t="n">
        <v>5.94600013930694</v>
      </c>
      <c r="G3017" s="25" t="s">
        <v>1811</v>
      </c>
      <c r="H3017" s="25" t="s">
        <v>1812</v>
      </c>
      <c r="I3017" s="25" t="n">
        <f aca="false">IFERROR(IF(INDEX(Documents!$C$5:$C$657,MATCH(H3017,Documents!$A$5:$A$657,0))="","",INDEX(Documents!$C$5:$C$657,MATCH(H3017,Documents!$A$5:$A$657,0))),"")</f>
        <v>2010</v>
      </c>
      <c r="J3017" s="25" t="str">
        <f aca="false">IFERROR(IF(INDEX(Documents!$D$5:$D$657,MATCH(H3017,Documents!$A$5:$A$657,0))="","",INDEX(Documents!$D$5:$D$657,MATCH(H3017,Documents!$A$5:$A$657,0))),"")</f>
        <v>Eur J Med Chem</v>
      </c>
      <c r="K3017" s="25" t="str">
        <f aca="false">IFERROR(IF(INDEX(Documents!$G$5:$G$657,MATCH(H3017,Documents!$A$5:$A$657,0))="","",INDEX(Documents!$G$5:$G$657,MATCH(H3017,Documents!$A$5:$A$657,0))),"")</f>
        <v>10.1016/j.ejmech.2010.09.053</v>
      </c>
      <c r="L3017" s="25" t="s">
        <v>1813</v>
      </c>
    </row>
    <row r="3018" customFormat="false" ht="15" hidden="false" customHeight="false" outlineLevel="0" collapsed="false">
      <c r="A3018" s="25" t="n">
        <v>2914121</v>
      </c>
      <c r="B3018" s="25" t="s">
        <v>6427</v>
      </c>
      <c r="C3018" s="25" t="s">
        <v>6428</v>
      </c>
      <c r="D3018" s="26" t="n">
        <v>5.7</v>
      </c>
      <c r="E3018" s="27" t="n">
        <v>8.24412514432751</v>
      </c>
      <c r="F3018" s="27" t="n">
        <v>8.24412514432751</v>
      </c>
      <c r="G3018" s="25" t="s">
        <v>5785</v>
      </c>
      <c r="H3018" s="25" t="s">
        <v>5786</v>
      </c>
      <c r="I3018" s="25" t="n">
        <f aca="false">IFERROR(IF(INDEX(Documents!$C$5:$C$657,MATCH(H3018,Documents!$A$5:$A$657,0))="","",INDEX(Documents!$C$5:$C$657,MATCH(H3018,Documents!$A$5:$A$657,0))),"")</f>
        <v>2009</v>
      </c>
      <c r="J3018" s="25" t="str">
        <f aca="false">IFERROR(IF(INDEX(Documents!$D$5:$D$657,MATCH(H3018,Documents!$A$5:$A$657,0))="","",INDEX(Documents!$D$5:$D$657,MATCH(H3018,Documents!$A$5:$A$657,0))),"")</f>
        <v>Bioorg Med Chem</v>
      </c>
      <c r="K3018" s="25" t="str">
        <f aca="false">IFERROR(IF(INDEX(Documents!$G$5:$G$657,MATCH(H3018,Documents!$A$5:$A$657,0))="","",INDEX(Documents!$G$5:$G$657,MATCH(H3018,Documents!$A$5:$A$657,0))),"")</f>
        <v>10.1016/j.bmc.2009.06.027</v>
      </c>
      <c r="L3018" s="25" t="s">
        <v>676</v>
      </c>
    </row>
    <row r="3019" customFormat="false" ht="15" hidden="false" customHeight="false" outlineLevel="0" collapsed="false">
      <c r="A3019" s="25" t="n">
        <v>2914122</v>
      </c>
      <c r="B3019" s="25" t="s">
        <v>6429</v>
      </c>
      <c r="C3019" s="25" t="s">
        <v>6430</v>
      </c>
      <c r="D3019" s="26" t="n">
        <v>12</v>
      </c>
      <c r="E3019" s="27" t="n">
        <v>7.92081875395238</v>
      </c>
      <c r="F3019" s="27" t="n">
        <v>7.92081875395238</v>
      </c>
      <c r="G3019" s="25" t="s">
        <v>5785</v>
      </c>
      <c r="H3019" s="25" t="s">
        <v>5786</v>
      </c>
      <c r="I3019" s="25" t="n">
        <f aca="false">IFERROR(IF(INDEX(Documents!$C$5:$C$657,MATCH(H3019,Documents!$A$5:$A$657,0))="","",INDEX(Documents!$C$5:$C$657,MATCH(H3019,Documents!$A$5:$A$657,0))),"")</f>
        <v>2009</v>
      </c>
      <c r="J3019" s="25" t="str">
        <f aca="false">IFERROR(IF(INDEX(Documents!$D$5:$D$657,MATCH(H3019,Documents!$A$5:$A$657,0))="","",INDEX(Documents!$D$5:$D$657,MATCH(H3019,Documents!$A$5:$A$657,0))),"")</f>
        <v>Bioorg Med Chem</v>
      </c>
      <c r="K3019" s="25" t="str">
        <f aca="false">IFERROR(IF(INDEX(Documents!$G$5:$G$657,MATCH(H3019,Documents!$A$5:$A$657,0))="","",INDEX(Documents!$G$5:$G$657,MATCH(H3019,Documents!$A$5:$A$657,0))),"")</f>
        <v>10.1016/j.bmc.2009.06.027</v>
      </c>
      <c r="L3019" s="25" t="s">
        <v>676</v>
      </c>
    </row>
    <row r="3020" customFormat="false" ht="15" hidden="false" customHeight="false" outlineLevel="0" collapsed="false">
      <c r="A3020" s="25" t="n">
        <v>2914130</v>
      </c>
      <c r="B3020" s="25" t="s">
        <v>6431</v>
      </c>
      <c r="C3020" s="25" t="s">
        <v>6432</v>
      </c>
      <c r="D3020" s="26" t="n">
        <v>20</v>
      </c>
      <c r="E3020" s="27" t="n">
        <v>7.69897000433602</v>
      </c>
      <c r="F3020" s="27" t="n">
        <v>7.69897000433602</v>
      </c>
      <c r="G3020" s="25" t="s">
        <v>5785</v>
      </c>
      <c r="H3020" s="25" t="s">
        <v>5786</v>
      </c>
      <c r="I3020" s="25" t="n">
        <f aca="false">IFERROR(IF(INDEX(Documents!$C$5:$C$657,MATCH(H3020,Documents!$A$5:$A$657,0))="","",INDEX(Documents!$C$5:$C$657,MATCH(H3020,Documents!$A$5:$A$657,0))),"")</f>
        <v>2009</v>
      </c>
      <c r="J3020" s="25" t="str">
        <f aca="false">IFERROR(IF(INDEX(Documents!$D$5:$D$657,MATCH(H3020,Documents!$A$5:$A$657,0))="","",INDEX(Documents!$D$5:$D$657,MATCH(H3020,Documents!$A$5:$A$657,0))),"")</f>
        <v>Bioorg Med Chem</v>
      </c>
      <c r="K3020" s="25" t="str">
        <f aca="false">IFERROR(IF(INDEX(Documents!$G$5:$G$657,MATCH(H3020,Documents!$A$5:$A$657,0))="","",INDEX(Documents!$G$5:$G$657,MATCH(H3020,Documents!$A$5:$A$657,0))),"")</f>
        <v>10.1016/j.bmc.2009.06.027</v>
      </c>
      <c r="L3020" s="25" t="s">
        <v>676</v>
      </c>
    </row>
    <row r="3021" customFormat="false" ht="15" hidden="false" customHeight="false" outlineLevel="0" collapsed="false">
      <c r="A3021" s="25" t="n">
        <v>25462083</v>
      </c>
      <c r="B3021" s="25" t="s">
        <v>6433</v>
      </c>
      <c r="C3021" s="25" t="s">
        <v>6434</v>
      </c>
      <c r="D3021" s="26" t="n">
        <v>0.08</v>
      </c>
      <c r="E3021" s="27" t="n">
        <v>10.0969100130081</v>
      </c>
      <c r="F3021" s="27" t="n">
        <v>10.1109243748082</v>
      </c>
      <c r="G3021" s="25" t="s">
        <v>2626</v>
      </c>
      <c r="H3021" s="25" t="s">
        <v>2627</v>
      </c>
      <c r="I3021" s="25" t="n">
        <f aca="false">IFERROR(IF(INDEX(Documents!$C$5:$C$657,MATCH(H3021,Documents!$A$5:$A$657,0))="","",INDEX(Documents!$C$5:$C$657,MATCH(H3021,Documents!$A$5:$A$657,0))),"")</f>
        <v>2023</v>
      </c>
      <c r="J3021" s="25" t="str">
        <f aca="false">IFERROR(IF(INDEX(Documents!$D$5:$D$657,MATCH(H3021,Documents!$A$5:$A$657,0))="","",INDEX(Documents!$D$5:$D$657,MATCH(H3021,Documents!$A$5:$A$657,0))),"")</f>
        <v>Eur J Med Chem</v>
      </c>
      <c r="K3021" s="25" t="str">
        <f aca="false">IFERROR(IF(INDEX(Documents!$G$5:$G$657,MATCH(H3021,Documents!$A$5:$A$657,0))="","",INDEX(Documents!$G$5:$G$657,MATCH(H3021,Documents!$A$5:$A$657,0))),"")</f>
        <v>10.1016/j.ejmech.2023.115109</v>
      </c>
      <c r="L3021" s="25" t="s">
        <v>2628</v>
      </c>
    </row>
    <row r="3022" customFormat="false" ht="15" hidden="false" customHeight="false" outlineLevel="0" collapsed="false">
      <c r="A3022" s="25" t="n">
        <v>24974997</v>
      </c>
      <c r="B3022" s="25" t="s">
        <v>6433</v>
      </c>
      <c r="C3022" s="25" t="s">
        <v>6434</v>
      </c>
      <c r="D3022" s="26" t="n">
        <v>0.075</v>
      </c>
      <c r="E3022" s="27" t="n">
        <v>10.1249387366083</v>
      </c>
      <c r="F3022" s="27" t="n">
        <v>10.1109243748082</v>
      </c>
      <c r="G3022" s="25" t="s">
        <v>6435</v>
      </c>
      <c r="H3022" s="25" t="s">
        <v>4018</v>
      </c>
      <c r="I3022" s="25" t="n">
        <f aca="false">IFERROR(IF(INDEX(Documents!$C$5:$C$657,MATCH(H3022,Documents!$A$5:$A$657,0))="","",INDEX(Documents!$C$5:$C$657,MATCH(H3022,Documents!$A$5:$A$657,0))),"")</f>
        <v>2022</v>
      </c>
      <c r="J3022" s="25" t="str">
        <f aca="false">IFERROR(IF(INDEX(Documents!$D$5:$D$657,MATCH(H3022,Documents!$A$5:$A$657,0))="","",INDEX(Documents!$D$5:$D$657,MATCH(H3022,Documents!$A$5:$A$657,0))),"")</f>
        <v>RSC Med Chem</v>
      </c>
      <c r="K3022" s="25" t="str">
        <f aca="false">IFERROR(IF(INDEX(Documents!$G$5:$G$657,MATCH(H3022,Documents!$A$5:$A$657,0))="","",INDEX(Documents!$G$5:$G$657,MATCH(H3022,Documents!$A$5:$A$657,0))),"")</f>
        <v>10.1039/d2md00006g</v>
      </c>
      <c r="L3022" s="25" t="s">
        <v>6436</v>
      </c>
    </row>
    <row r="3023" customFormat="false" ht="15" hidden="false" customHeight="false" outlineLevel="0" collapsed="false">
      <c r="A3023" s="25" t="n">
        <v>1400503</v>
      </c>
      <c r="B3023" s="25" t="s">
        <v>6437</v>
      </c>
      <c r="C3023" s="25" t="s">
        <v>6438</v>
      </c>
      <c r="D3023" s="26" t="n">
        <v>54</v>
      </c>
      <c r="E3023" s="27" t="n">
        <v>7.26760624017703</v>
      </c>
      <c r="F3023" s="27" t="n">
        <v>7.26760624017703</v>
      </c>
      <c r="G3023" s="25" t="s">
        <v>4723</v>
      </c>
      <c r="H3023" s="25" t="s">
        <v>4724</v>
      </c>
      <c r="I3023" s="25" t="n">
        <f aca="false">IFERROR(IF(INDEX(Documents!$C$5:$C$657,MATCH(H3023,Documents!$A$5:$A$657,0))="","",INDEX(Documents!$C$5:$C$657,MATCH(H3023,Documents!$A$5:$A$657,0))),"")</f>
        <v>2005</v>
      </c>
      <c r="J3023" s="25" t="str">
        <f aca="false">IFERROR(IF(INDEX(Documents!$D$5:$D$657,MATCH(H3023,Documents!$A$5:$A$657,0))="","",INDEX(Documents!$D$5:$D$657,MATCH(H3023,Documents!$A$5:$A$657,0))),"")</f>
        <v>J Med Chem</v>
      </c>
      <c r="K3023" s="25" t="str">
        <f aca="false">IFERROR(IF(INDEX(Documents!$G$5:$G$657,MATCH(H3023,Documents!$A$5:$A$657,0))="","",INDEX(Documents!$G$5:$G$657,MATCH(H3023,Documents!$A$5:$A$657,0))),"")</f>
        <v>10.1021/jm040843r</v>
      </c>
      <c r="L3023" s="25" t="s">
        <v>4725</v>
      </c>
    </row>
    <row r="3024" customFormat="false" ht="15" hidden="false" customHeight="false" outlineLevel="0" collapsed="false">
      <c r="A3024" s="25" t="n">
        <v>1400425</v>
      </c>
      <c r="B3024" s="25" t="s">
        <v>6439</v>
      </c>
      <c r="C3024" s="25" t="s">
        <v>6440</v>
      </c>
      <c r="D3024" s="26" t="n">
        <v>357</v>
      </c>
      <c r="E3024" s="27" t="n">
        <v>6.44733178388781</v>
      </c>
      <c r="F3024" s="27" t="n">
        <v>6.44733178388781</v>
      </c>
      <c r="G3024" s="25" t="s">
        <v>4723</v>
      </c>
      <c r="H3024" s="25" t="s">
        <v>4724</v>
      </c>
      <c r="I3024" s="25" t="n">
        <f aca="false">IFERROR(IF(INDEX(Documents!$C$5:$C$657,MATCH(H3024,Documents!$A$5:$A$657,0))="","",INDEX(Documents!$C$5:$C$657,MATCH(H3024,Documents!$A$5:$A$657,0))),"")</f>
        <v>2005</v>
      </c>
      <c r="J3024" s="25" t="str">
        <f aca="false">IFERROR(IF(INDEX(Documents!$D$5:$D$657,MATCH(H3024,Documents!$A$5:$A$657,0))="","",INDEX(Documents!$D$5:$D$657,MATCH(H3024,Documents!$A$5:$A$657,0))),"")</f>
        <v>J Med Chem</v>
      </c>
      <c r="K3024" s="25" t="str">
        <f aca="false">IFERROR(IF(INDEX(Documents!$G$5:$G$657,MATCH(H3024,Documents!$A$5:$A$657,0))="","",INDEX(Documents!$G$5:$G$657,MATCH(H3024,Documents!$A$5:$A$657,0))),"")</f>
        <v>10.1021/jm040843r</v>
      </c>
      <c r="L3024" s="25" t="s">
        <v>4725</v>
      </c>
    </row>
    <row r="3025" customFormat="false" ht="15" hidden="false" customHeight="false" outlineLevel="0" collapsed="false">
      <c r="A3025" s="25" t="n">
        <v>2914124</v>
      </c>
      <c r="B3025" s="25" t="s">
        <v>6441</v>
      </c>
      <c r="C3025" s="25" t="s">
        <v>6442</v>
      </c>
      <c r="D3025" s="26" t="n">
        <v>12</v>
      </c>
      <c r="E3025" s="27" t="n">
        <v>7.92081875395238</v>
      </c>
      <c r="F3025" s="27" t="n">
        <v>7.92081875395238</v>
      </c>
      <c r="G3025" s="25" t="s">
        <v>5785</v>
      </c>
      <c r="H3025" s="25" t="s">
        <v>5786</v>
      </c>
      <c r="I3025" s="25" t="n">
        <f aca="false">IFERROR(IF(INDEX(Documents!$C$5:$C$657,MATCH(H3025,Documents!$A$5:$A$657,0))="","",INDEX(Documents!$C$5:$C$657,MATCH(H3025,Documents!$A$5:$A$657,0))),"")</f>
        <v>2009</v>
      </c>
      <c r="J3025" s="25" t="str">
        <f aca="false">IFERROR(IF(INDEX(Documents!$D$5:$D$657,MATCH(H3025,Documents!$A$5:$A$657,0))="","",INDEX(Documents!$D$5:$D$657,MATCH(H3025,Documents!$A$5:$A$657,0))),"")</f>
        <v>Bioorg Med Chem</v>
      </c>
      <c r="K3025" s="25" t="str">
        <f aca="false">IFERROR(IF(INDEX(Documents!$G$5:$G$657,MATCH(H3025,Documents!$A$5:$A$657,0))="","",INDEX(Documents!$G$5:$G$657,MATCH(H3025,Documents!$A$5:$A$657,0))),"")</f>
        <v>10.1016/j.bmc.2009.06.027</v>
      </c>
      <c r="L3025" s="25" t="s">
        <v>676</v>
      </c>
    </row>
    <row r="3026" customFormat="false" ht="15" hidden="false" customHeight="false" outlineLevel="0" collapsed="false">
      <c r="A3026" s="25" t="n">
        <v>2914132</v>
      </c>
      <c r="B3026" s="25" t="s">
        <v>6443</v>
      </c>
      <c r="C3026" s="25" t="s">
        <v>6444</v>
      </c>
      <c r="D3026" s="26" t="n">
        <v>12</v>
      </c>
      <c r="E3026" s="27" t="n">
        <v>7.92081875395238</v>
      </c>
      <c r="F3026" s="27" t="n">
        <v>7.92081875395238</v>
      </c>
      <c r="G3026" s="25" t="s">
        <v>5785</v>
      </c>
      <c r="H3026" s="25" t="s">
        <v>5786</v>
      </c>
      <c r="I3026" s="25" t="n">
        <f aca="false">IFERROR(IF(INDEX(Documents!$C$5:$C$657,MATCH(H3026,Documents!$A$5:$A$657,0))="","",INDEX(Documents!$C$5:$C$657,MATCH(H3026,Documents!$A$5:$A$657,0))),"")</f>
        <v>2009</v>
      </c>
      <c r="J3026" s="25" t="str">
        <f aca="false">IFERROR(IF(INDEX(Documents!$D$5:$D$657,MATCH(H3026,Documents!$A$5:$A$657,0))="","",INDEX(Documents!$D$5:$D$657,MATCH(H3026,Documents!$A$5:$A$657,0))),"")</f>
        <v>Bioorg Med Chem</v>
      </c>
      <c r="K3026" s="25" t="str">
        <f aca="false">IFERROR(IF(INDEX(Documents!$G$5:$G$657,MATCH(H3026,Documents!$A$5:$A$657,0))="","",INDEX(Documents!$G$5:$G$657,MATCH(H3026,Documents!$A$5:$A$657,0))),"")</f>
        <v>10.1016/j.bmc.2009.06.027</v>
      </c>
      <c r="L3026" s="25" t="s">
        <v>676</v>
      </c>
    </row>
    <row r="3027" customFormat="false" ht="15" hidden="false" customHeight="false" outlineLevel="0" collapsed="false">
      <c r="A3027" s="25" t="n">
        <v>2914137</v>
      </c>
      <c r="B3027" s="25" t="s">
        <v>6445</v>
      </c>
      <c r="C3027" s="25" t="s">
        <v>6446</v>
      </c>
      <c r="D3027" s="26" t="n">
        <v>310</v>
      </c>
      <c r="E3027" s="27" t="n">
        <v>6.50863830616573</v>
      </c>
      <c r="F3027" s="27" t="n">
        <v>6.50863830616573</v>
      </c>
      <c r="G3027" s="25" t="s">
        <v>5785</v>
      </c>
      <c r="H3027" s="25" t="s">
        <v>5786</v>
      </c>
      <c r="I3027" s="25" t="n">
        <f aca="false">IFERROR(IF(INDEX(Documents!$C$5:$C$657,MATCH(H3027,Documents!$A$5:$A$657,0))="","",INDEX(Documents!$C$5:$C$657,MATCH(H3027,Documents!$A$5:$A$657,0))),"")</f>
        <v>2009</v>
      </c>
      <c r="J3027" s="25" t="str">
        <f aca="false">IFERROR(IF(INDEX(Documents!$D$5:$D$657,MATCH(H3027,Documents!$A$5:$A$657,0))="","",INDEX(Documents!$D$5:$D$657,MATCH(H3027,Documents!$A$5:$A$657,0))),"")</f>
        <v>Bioorg Med Chem</v>
      </c>
      <c r="K3027" s="25" t="str">
        <f aca="false">IFERROR(IF(INDEX(Documents!$G$5:$G$657,MATCH(H3027,Documents!$A$5:$A$657,0))="","",INDEX(Documents!$G$5:$G$657,MATCH(H3027,Documents!$A$5:$A$657,0))),"")</f>
        <v>10.1016/j.bmc.2009.06.027</v>
      </c>
      <c r="L3027" s="25" t="s">
        <v>676</v>
      </c>
    </row>
    <row r="3028" customFormat="false" ht="15" hidden="false" customHeight="false" outlineLevel="0" collapsed="false">
      <c r="A3028" s="25" t="n">
        <v>2914146</v>
      </c>
      <c r="B3028" s="25" t="s">
        <v>6447</v>
      </c>
      <c r="C3028" s="25" t="s">
        <v>6448</v>
      </c>
      <c r="D3028" s="26" t="n">
        <v>170</v>
      </c>
      <c r="E3028" s="27" t="n">
        <v>6.76955107862173</v>
      </c>
      <c r="F3028" s="27" t="n">
        <v>6.76955107862173</v>
      </c>
      <c r="G3028" s="25" t="s">
        <v>5785</v>
      </c>
      <c r="H3028" s="25" t="s">
        <v>5786</v>
      </c>
      <c r="I3028" s="25" t="n">
        <f aca="false">IFERROR(IF(INDEX(Documents!$C$5:$C$657,MATCH(H3028,Documents!$A$5:$A$657,0))="","",INDEX(Documents!$C$5:$C$657,MATCH(H3028,Documents!$A$5:$A$657,0))),"")</f>
        <v>2009</v>
      </c>
      <c r="J3028" s="25" t="str">
        <f aca="false">IFERROR(IF(INDEX(Documents!$D$5:$D$657,MATCH(H3028,Documents!$A$5:$A$657,0))="","",INDEX(Documents!$D$5:$D$657,MATCH(H3028,Documents!$A$5:$A$657,0))),"")</f>
        <v>Bioorg Med Chem</v>
      </c>
      <c r="K3028" s="25" t="str">
        <f aca="false">IFERROR(IF(INDEX(Documents!$G$5:$G$657,MATCH(H3028,Documents!$A$5:$A$657,0))="","",INDEX(Documents!$G$5:$G$657,MATCH(H3028,Documents!$A$5:$A$657,0))),"")</f>
        <v>10.1016/j.bmc.2009.06.027</v>
      </c>
      <c r="L3028" s="25" t="s">
        <v>676</v>
      </c>
    </row>
    <row r="3029" customFormat="false" ht="15" hidden="false" customHeight="false" outlineLevel="0" collapsed="false">
      <c r="A3029" s="25" t="n">
        <v>2914103</v>
      </c>
      <c r="B3029" s="25" t="s">
        <v>6449</v>
      </c>
      <c r="C3029" s="25" t="s">
        <v>6450</v>
      </c>
      <c r="D3029" s="26" t="n">
        <v>900</v>
      </c>
      <c r="E3029" s="27" t="n">
        <v>6.04575749056068</v>
      </c>
      <c r="F3029" s="27" t="n">
        <v>6.04575749056068</v>
      </c>
      <c r="G3029" s="25" t="s">
        <v>5785</v>
      </c>
      <c r="H3029" s="25" t="s">
        <v>5786</v>
      </c>
      <c r="I3029" s="25" t="n">
        <f aca="false">IFERROR(IF(INDEX(Documents!$C$5:$C$657,MATCH(H3029,Documents!$A$5:$A$657,0))="","",INDEX(Documents!$C$5:$C$657,MATCH(H3029,Documents!$A$5:$A$657,0))),"")</f>
        <v>2009</v>
      </c>
      <c r="J3029" s="25" t="str">
        <f aca="false">IFERROR(IF(INDEX(Documents!$D$5:$D$657,MATCH(H3029,Documents!$A$5:$A$657,0))="","",INDEX(Documents!$D$5:$D$657,MATCH(H3029,Documents!$A$5:$A$657,0))),"")</f>
        <v>Bioorg Med Chem</v>
      </c>
      <c r="K3029" s="25" t="str">
        <f aca="false">IFERROR(IF(INDEX(Documents!$G$5:$G$657,MATCH(H3029,Documents!$A$5:$A$657,0))="","",INDEX(Documents!$G$5:$G$657,MATCH(H3029,Documents!$A$5:$A$657,0))),"")</f>
        <v>10.1016/j.bmc.2009.06.027</v>
      </c>
      <c r="L3029" s="25" t="s">
        <v>676</v>
      </c>
    </row>
    <row r="3030" customFormat="false" ht="15" hidden="false" customHeight="false" outlineLevel="0" collapsed="false">
      <c r="A3030" s="25" t="n">
        <v>2914112</v>
      </c>
      <c r="B3030" s="25" t="s">
        <v>6451</v>
      </c>
      <c r="C3030" s="25" t="s">
        <v>6452</v>
      </c>
      <c r="D3030" s="26" t="n">
        <v>1100</v>
      </c>
      <c r="E3030" s="27" t="n">
        <v>5.95860731484178</v>
      </c>
      <c r="F3030" s="27" t="n">
        <v>5.95860731484178</v>
      </c>
      <c r="G3030" s="25" t="s">
        <v>5785</v>
      </c>
      <c r="H3030" s="25" t="s">
        <v>5786</v>
      </c>
      <c r="I3030" s="25" t="n">
        <f aca="false">IFERROR(IF(INDEX(Documents!$C$5:$C$657,MATCH(H3030,Documents!$A$5:$A$657,0))="","",INDEX(Documents!$C$5:$C$657,MATCH(H3030,Documents!$A$5:$A$657,0))),"")</f>
        <v>2009</v>
      </c>
      <c r="J3030" s="25" t="str">
        <f aca="false">IFERROR(IF(INDEX(Documents!$D$5:$D$657,MATCH(H3030,Documents!$A$5:$A$657,0))="","",INDEX(Documents!$D$5:$D$657,MATCH(H3030,Documents!$A$5:$A$657,0))),"")</f>
        <v>Bioorg Med Chem</v>
      </c>
      <c r="K3030" s="25" t="str">
        <f aca="false">IFERROR(IF(INDEX(Documents!$G$5:$G$657,MATCH(H3030,Documents!$A$5:$A$657,0))="","",INDEX(Documents!$G$5:$G$657,MATCH(H3030,Documents!$A$5:$A$657,0))),"")</f>
        <v>10.1016/j.bmc.2009.06.027</v>
      </c>
      <c r="L3030" s="25" t="s">
        <v>676</v>
      </c>
    </row>
    <row r="3031" customFormat="false" ht="15" hidden="false" customHeight="false" outlineLevel="0" collapsed="false">
      <c r="A3031" s="25" t="n">
        <v>2096596</v>
      </c>
      <c r="B3031" s="25" t="s">
        <v>6453</v>
      </c>
      <c r="C3031" s="25" t="s">
        <v>6454</v>
      </c>
      <c r="D3031" s="26" t="n">
        <v>7400</v>
      </c>
      <c r="E3031" s="27" t="n">
        <v>5.13076828026902</v>
      </c>
      <c r="F3031" s="27" t="n">
        <v>5.13076828026902</v>
      </c>
      <c r="G3031" s="25" t="s">
        <v>4060</v>
      </c>
      <c r="H3031" s="25" t="s">
        <v>4061</v>
      </c>
      <c r="I3031" s="25" t="n">
        <f aca="false">IFERROR(IF(INDEX(Documents!$C$5:$C$657,MATCH(H3031,Documents!$A$5:$A$657,0))="","",INDEX(Documents!$C$5:$C$657,MATCH(H3031,Documents!$A$5:$A$657,0))),"")</f>
        <v>2008</v>
      </c>
      <c r="J3031" s="25" t="str">
        <f aca="false">IFERROR(IF(INDEX(Documents!$D$5:$D$657,MATCH(H3031,Documents!$A$5:$A$657,0))="","",INDEX(Documents!$D$5:$D$657,MATCH(H3031,Documents!$A$5:$A$657,0))),"")</f>
        <v>Bioorg Med Chem Lett</v>
      </c>
      <c r="K3031" s="25" t="str">
        <f aca="false">IFERROR(IF(INDEX(Documents!$G$5:$G$657,MATCH(H3031,Documents!$A$5:$A$657,0))="","",INDEX(Documents!$G$5:$G$657,MATCH(H3031,Documents!$A$5:$A$657,0))),"")</f>
        <v>10.1016/j.bmcl.2007.11.133</v>
      </c>
      <c r="L3031" s="25" t="s">
        <v>4062</v>
      </c>
    </row>
    <row r="3032" customFormat="false" ht="15" hidden="false" customHeight="false" outlineLevel="0" collapsed="false">
      <c r="A3032" s="25" t="n">
        <v>1400430</v>
      </c>
      <c r="B3032" s="25" t="s">
        <v>6455</v>
      </c>
      <c r="C3032" s="25" t="s">
        <v>6456</v>
      </c>
      <c r="D3032" s="26" t="n">
        <v>160</v>
      </c>
      <c r="E3032" s="27" t="n">
        <v>6.79588001734408</v>
      </c>
      <c r="F3032" s="27" t="n">
        <v>6.79588001734408</v>
      </c>
      <c r="G3032" s="25" t="s">
        <v>4723</v>
      </c>
      <c r="H3032" s="25" t="s">
        <v>4724</v>
      </c>
      <c r="I3032" s="25" t="n">
        <f aca="false">IFERROR(IF(INDEX(Documents!$C$5:$C$657,MATCH(H3032,Documents!$A$5:$A$657,0))="","",INDEX(Documents!$C$5:$C$657,MATCH(H3032,Documents!$A$5:$A$657,0))),"")</f>
        <v>2005</v>
      </c>
      <c r="J3032" s="25" t="str">
        <f aca="false">IFERROR(IF(INDEX(Documents!$D$5:$D$657,MATCH(H3032,Documents!$A$5:$A$657,0))="","",INDEX(Documents!$D$5:$D$657,MATCH(H3032,Documents!$A$5:$A$657,0))),"")</f>
        <v>J Med Chem</v>
      </c>
      <c r="K3032" s="25" t="str">
        <f aca="false">IFERROR(IF(INDEX(Documents!$G$5:$G$657,MATCH(H3032,Documents!$A$5:$A$657,0))="","",INDEX(Documents!$G$5:$G$657,MATCH(H3032,Documents!$A$5:$A$657,0))),"")</f>
        <v>10.1021/jm040843r</v>
      </c>
      <c r="L3032" s="25" t="s">
        <v>4725</v>
      </c>
    </row>
    <row r="3033" customFormat="false" ht="15" hidden="false" customHeight="false" outlineLevel="0" collapsed="false">
      <c r="A3033" s="25" t="n">
        <v>2115223</v>
      </c>
      <c r="B3033" s="25" t="s">
        <v>6457</v>
      </c>
      <c r="C3033" s="25" t="s">
        <v>6458</v>
      </c>
      <c r="D3033" s="26" t="n">
        <v>390</v>
      </c>
      <c r="E3033" s="27" t="n">
        <v>6.4089353929735</v>
      </c>
      <c r="F3033" s="27" t="n">
        <v>6.4089353929735</v>
      </c>
      <c r="G3033" s="25" t="s">
        <v>6459</v>
      </c>
      <c r="H3033" s="25" t="s">
        <v>6460</v>
      </c>
      <c r="I3033" s="25" t="n">
        <f aca="false">IFERROR(IF(INDEX(Documents!$C$5:$C$657,MATCH(H3033,Documents!$A$5:$A$657,0))="","",INDEX(Documents!$C$5:$C$657,MATCH(H3033,Documents!$A$5:$A$657,0))),"")</f>
        <v>2008</v>
      </c>
      <c r="J3033" s="25" t="str">
        <f aca="false">IFERROR(IF(INDEX(Documents!$D$5:$D$657,MATCH(H3033,Documents!$A$5:$A$657,0))="","",INDEX(Documents!$D$5:$D$657,MATCH(H3033,Documents!$A$5:$A$657,0))),"")</f>
        <v>J Med Chem</v>
      </c>
      <c r="K3033" s="25" t="str">
        <f aca="false">IFERROR(IF(INDEX(Documents!$G$5:$G$657,MATCH(H3033,Documents!$A$5:$A$657,0))="","",INDEX(Documents!$G$5:$G$657,MATCH(H3033,Documents!$A$5:$A$657,0))),"")</f>
        <v>10.1021/jm070566z</v>
      </c>
      <c r="L3033" s="25" t="s">
        <v>676</v>
      </c>
    </row>
    <row r="3034" customFormat="false" ht="15" hidden="false" customHeight="false" outlineLevel="0" collapsed="false">
      <c r="A3034" s="25" t="n">
        <v>2115170</v>
      </c>
      <c r="B3034" s="25" t="s">
        <v>6461</v>
      </c>
      <c r="C3034" s="25" t="s">
        <v>6462</v>
      </c>
      <c r="D3034" s="26" t="n">
        <v>1.3</v>
      </c>
      <c r="E3034" s="27" t="n">
        <v>8.88605664769316</v>
      </c>
      <c r="F3034" s="27" t="n">
        <v>8.88605664769316</v>
      </c>
      <c r="G3034" s="25" t="s">
        <v>6459</v>
      </c>
      <c r="H3034" s="25" t="s">
        <v>6460</v>
      </c>
      <c r="I3034" s="25" t="n">
        <f aca="false">IFERROR(IF(INDEX(Documents!$C$5:$C$657,MATCH(H3034,Documents!$A$5:$A$657,0))="","",INDEX(Documents!$C$5:$C$657,MATCH(H3034,Documents!$A$5:$A$657,0))),"")</f>
        <v>2008</v>
      </c>
      <c r="J3034" s="25" t="str">
        <f aca="false">IFERROR(IF(INDEX(Documents!$D$5:$D$657,MATCH(H3034,Documents!$A$5:$A$657,0))="","",INDEX(Documents!$D$5:$D$657,MATCH(H3034,Documents!$A$5:$A$657,0))),"")</f>
        <v>J Med Chem</v>
      </c>
      <c r="K3034" s="25" t="str">
        <f aca="false">IFERROR(IF(INDEX(Documents!$G$5:$G$657,MATCH(H3034,Documents!$A$5:$A$657,0))="","",INDEX(Documents!$G$5:$G$657,MATCH(H3034,Documents!$A$5:$A$657,0))),"")</f>
        <v>10.1021/jm070566z</v>
      </c>
      <c r="L3034" s="25" t="s">
        <v>676</v>
      </c>
    </row>
    <row r="3035" customFormat="false" ht="15" hidden="false" customHeight="false" outlineLevel="0" collapsed="false">
      <c r="A3035" s="25" t="n">
        <v>7852140</v>
      </c>
      <c r="B3035" s="25" t="s">
        <v>6463</v>
      </c>
      <c r="C3035" s="25" t="s">
        <v>6464</v>
      </c>
      <c r="D3035" s="26" t="n">
        <v>1.3</v>
      </c>
      <c r="E3035" s="27" t="n">
        <v>8.88605664769316</v>
      </c>
      <c r="F3035" s="27" t="n">
        <v>8.88605664769316</v>
      </c>
      <c r="G3035" s="25" t="s">
        <v>5276</v>
      </c>
      <c r="H3035" s="25" t="s">
        <v>5277</v>
      </c>
      <c r="I3035" s="25" t="n">
        <f aca="false">IFERROR(IF(INDEX(Documents!$C$5:$C$657,MATCH(H3035,Documents!$A$5:$A$657,0))="","",INDEX(Documents!$C$5:$C$657,MATCH(H3035,Documents!$A$5:$A$657,0))),"")</f>
        <v>2011</v>
      </c>
      <c r="J3035" s="25" t="str">
        <f aca="false">IFERROR(IF(INDEX(Documents!$D$5:$D$657,MATCH(H3035,Documents!$A$5:$A$657,0))="","",INDEX(Documents!$D$5:$D$657,MATCH(H3035,Documents!$A$5:$A$657,0))),"")</f>
        <v>Eur J Med Chem</v>
      </c>
      <c r="K3035" s="25" t="str">
        <f aca="false">IFERROR(IF(INDEX(Documents!$G$5:$G$657,MATCH(H3035,Documents!$A$5:$A$657,0))="","",INDEX(Documents!$G$5:$G$657,MATCH(H3035,Documents!$A$5:$A$657,0))),"")</f>
        <v>10.1016/j.ejmech.2011.09.037</v>
      </c>
      <c r="L3035" s="25" t="s">
        <v>5278</v>
      </c>
    </row>
    <row r="3036" customFormat="false" ht="15" hidden="false" customHeight="false" outlineLevel="0" collapsed="false">
      <c r="A3036" s="25" t="n">
        <v>2115173</v>
      </c>
      <c r="B3036" s="25" t="s">
        <v>6465</v>
      </c>
      <c r="C3036" s="25" t="s">
        <v>6466</v>
      </c>
      <c r="D3036" s="26" t="n">
        <v>1.7</v>
      </c>
      <c r="E3036" s="27" t="n">
        <v>8.76955107862173</v>
      </c>
      <c r="F3036" s="27" t="n">
        <v>8.76955107862173</v>
      </c>
      <c r="G3036" s="25" t="s">
        <v>6459</v>
      </c>
      <c r="H3036" s="25" t="s">
        <v>6460</v>
      </c>
      <c r="I3036" s="25" t="n">
        <f aca="false">IFERROR(IF(INDEX(Documents!$C$5:$C$657,MATCH(H3036,Documents!$A$5:$A$657,0))="","",INDEX(Documents!$C$5:$C$657,MATCH(H3036,Documents!$A$5:$A$657,0))),"")</f>
        <v>2008</v>
      </c>
      <c r="J3036" s="25" t="str">
        <f aca="false">IFERROR(IF(INDEX(Documents!$D$5:$D$657,MATCH(H3036,Documents!$A$5:$A$657,0))="","",INDEX(Documents!$D$5:$D$657,MATCH(H3036,Documents!$A$5:$A$657,0))),"")</f>
        <v>J Med Chem</v>
      </c>
      <c r="K3036" s="25" t="str">
        <f aca="false">IFERROR(IF(INDEX(Documents!$G$5:$G$657,MATCH(H3036,Documents!$A$5:$A$657,0))="","",INDEX(Documents!$G$5:$G$657,MATCH(H3036,Documents!$A$5:$A$657,0))),"")</f>
        <v>10.1021/jm070566z</v>
      </c>
      <c r="L3036" s="25" t="s">
        <v>676</v>
      </c>
    </row>
    <row r="3037" customFormat="false" ht="15" hidden="false" customHeight="false" outlineLevel="0" collapsed="false">
      <c r="A3037" s="25" t="n">
        <v>7852138</v>
      </c>
      <c r="B3037" s="25" t="s">
        <v>6467</v>
      </c>
      <c r="C3037" s="25" t="s">
        <v>6468</v>
      </c>
      <c r="D3037" s="26" t="n">
        <v>0.9</v>
      </c>
      <c r="E3037" s="27" t="n">
        <v>9.04575749056068</v>
      </c>
      <c r="F3037" s="27" t="n">
        <v>9.04575749056068</v>
      </c>
      <c r="G3037" s="25" t="s">
        <v>5276</v>
      </c>
      <c r="H3037" s="25" t="s">
        <v>5277</v>
      </c>
      <c r="I3037" s="25" t="n">
        <f aca="false">IFERROR(IF(INDEX(Documents!$C$5:$C$657,MATCH(H3037,Documents!$A$5:$A$657,0))="","",INDEX(Documents!$C$5:$C$657,MATCH(H3037,Documents!$A$5:$A$657,0))),"")</f>
        <v>2011</v>
      </c>
      <c r="J3037" s="25" t="str">
        <f aca="false">IFERROR(IF(INDEX(Documents!$D$5:$D$657,MATCH(H3037,Documents!$A$5:$A$657,0))="","",INDEX(Documents!$D$5:$D$657,MATCH(H3037,Documents!$A$5:$A$657,0))),"")</f>
        <v>Eur J Med Chem</v>
      </c>
      <c r="K3037" s="25" t="str">
        <f aca="false">IFERROR(IF(INDEX(Documents!$G$5:$G$657,MATCH(H3037,Documents!$A$5:$A$657,0))="","",INDEX(Documents!$G$5:$G$657,MATCH(H3037,Documents!$A$5:$A$657,0))),"")</f>
        <v>10.1016/j.ejmech.2011.09.037</v>
      </c>
      <c r="L3037" s="25" t="s">
        <v>5278</v>
      </c>
    </row>
    <row r="3038" customFormat="false" ht="15" hidden="false" customHeight="false" outlineLevel="0" collapsed="false">
      <c r="A3038" s="25" t="n">
        <v>2115176</v>
      </c>
      <c r="B3038" s="25" t="s">
        <v>6469</v>
      </c>
      <c r="C3038" s="25" t="s">
        <v>6470</v>
      </c>
      <c r="D3038" s="26" t="n">
        <v>87</v>
      </c>
      <c r="E3038" s="27" t="n">
        <v>7.06048074738138</v>
      </c>
      <c r="F3038" s="27" t="n">
        <v>7.06048074738138</v>
      </c>
      <c r="G3038" s="25" t="s">
        <v>6459</v>
      </c>
      <c r="H3038" s="25" t="s">
        <v>6460</v>
      </c>
      <c r="I3038" s="25" t="n">
        <f aca="false">IFERROR(IF(INDEX(Documents!$C$5:$C$657,MATCH(H3038,Documents!$A$5:$A$657,0))="","",INDEX(Documents!$C$5:$C$657,MATCH(H3038,Documents!$A$5:$A$657,0))),"")</f>
        <v>2008</v>
      </c>
      <c r="J3038" s="25" t="str">
        <f aca="false">IFERROR(IF(INDEX(Documents!$D$5:$D$657,MATCH(H3038,Documents!$A$5:$A$657,0))="","",INDEX(Documents!$D$5:$D$657,MATCH(H3038,Documents!$A$5:$A$657,0))),"")</f>
        <v>J Med Chem</v>
      </c>
      <c r="K3038" s="25" t="str">
        <f aca="false">IFERROR(IF(INDEX(Documents!$G$5:$G$657,MATCH(H3038,Documents!$A$5:$A$657,0))="","",INDEX(Documents!$G$5:$G$657,MATCH(H3038,Documents!$A$5:$A$657,0))),"")</f>
        <v>10.1021/jm070566z</v>
      </c>
      <c r="L3038" s="25" t="s">
        <v>676</v>
      </c>
    </row>
    <row r="3039" customFormat="false" ht="15" hidden="false" customHeight="false" outlineLevel="0" collapsed="false">
      <c r="A3039" s="25" t="n">
        <v>7852128</v>
      </c>
      <c r="B3039" s="25" t="s">
        <v>6471</v>
      </c>
      <c r="C3039" s="25" t="s">
        <v>6472</v>
      </c>
      <c r="D3039" s="26" t="n">
        <v>19.1</v>
      </c>
      <c r="E3039" s="27" t="n">
        <v>7.71896663275227</v>
      </c>
      <c r="F3039" s="27" t="n">
        <v>7.71896663275227</v>
      </c>
      <c r="G3039" s="25" t="s">
        <v>5276</v>
      </c>
      <c r="H3039" s="25" t="s">
        <v>5277</v>
      </c>
      <c r="I3039" s="25" t="n">
        <f aca="false">IFERROR(IF(INDEX(Documents!$C$5:$C$657,MATCH(H3039,Documents!$A$5:$A$657,0))="","",INDEX(Documents!$C$5:$C$657,MATCH(H3039,Documents!$A$5:$A$657,0))),"")</f>
        <v>2011</v>
      </c>
      <c r="J3039" s="25" t="str">
        <f aca="false">IFERROR(IF(INDEX(Documents!$D$5:$D$657,MATCH(H3039,Documents!$A$5:$A$657,0))="","",INDEX(Documents!$D$5:$D$657,MATCH(H3039,Documents!$A$5:$A$657,0))),"")</f>
        <v>Eur J Med Chem</v>
      </c>
      <c r="K3039" s="25" t="str">
        <f aca="false">IFERROR(IF(INDEX(Documents!$G$5:$G$657,MATCH(H3039,Documents!$A$5:$A$657,0))="","",INDEX(Documents!$G$5:$G$657,MATCH(H3039,Documents!$A$5:$A$657,0))),"")</f>
        <v>10.1016/j.ejmech.2011.09.037</v>
      </c>
      <c r="L3039" s="25" t="s">
        <v>5278</v>
      </c>
    </row>
    <row r="3040" customFormat="false" ht="15" hidden="false" customHeight="false" outlineLevel="0" collapsed="false">
      <c r="A3040" s="25" t="n">
        <v>7852130</v>
      </c>
      <c r="B3040" s="25" t="s">
        <v>6473</v>
      </c>
      <c r="C3040" s="25" t="s">
        <v>6474</v>
      </c>
      <c r="D3040" s="26" t="n">
        <v>376.4</v>
      </c>
      <c r="E3040" s="27" t="n">
        <v>6.42435038524478</v>
      </c>
      <c r="F3040" s="27" t="n">
        <v>6.42435038524478</v>
      </c>
      <c r="G3040" s="25" t="s">
        <v>5276</v>
      </c>
      <c r="H3040" s="25" t="s">
        <v>5277</v>
      </c>
      <c r="I3040" s="25" t="n">
        <f aca="false">IFERROR(IF(INDEX(Documents!$C$5:$C$657,MATCH(H3040,Documents!$A$5:$A$657,0))="","",INDEX(Documents!$C$5:$C$657,MATCH(H3040,Documents!$A$5:$A$657,0))),"")</f>
        <v>2011</v>
      </c>
      <c r="J3040" s="25" t="str">
        <f aca="false">IFERROR(IF(INDEX(Documents!$D$5:$D$657,MATCH(H3040,Documents!$A$5:$A$657,0))="","",INDEX(Documents!$D$5:$D$657,MATCH(H3040,Documents!$A$5:$A$657,0))),"")</f>
        <v>Eur J Med Chem</v>
      </c>
      <c r="K3040" s="25" t="str">
        <f aca="false">IFERROR(IF(INDEX(Documents!$G$5:$G$657,MATCH(H3040,Documents!$A$5:$A$657,0))="","",INDEX(Documents!$G$5:$G$657,MATCH(H3040,Documents!$A$5:$A$657,0))),"")</f>
        <v>10.1016/j.ejmech.2011.09.037</v>
      </c>
      <c r="L3040" s="25" t="s">
        <v>5278</v>
      </c>
    </row>
    <row r="3041" customFormat="false" ht="15" hidden="false" customHeight="false" outlineLevel="0" collapsed="false">
      <c r="A3041" s="25" t="n">
        <v>2115179</v>
      </c>
      <c r="B3041" s="25" t="s">
        <v>6475</v>
      </c>
      <c r="C3041" s="25" t="s">
        <v>6476</v>
      </c>
      <c r="D3041" s="26" t="n">
        <v>64</v>
      </c>
      <c r="E3041" s="27" t="n">
        <v>7.19382002601611</v>
      </c>
      <c r="F3041" s="27" t="n">
        <v>7.19382002601611</v>
      </c>
      <c r="G3041" s="25" t="s">
        <v>6459</v>
      </c>
      <c r="H3041" s="25" t="s">
        <v>6460</v>
      </c>
      <c r="I3041" s="25" t="n">
        <f aca="false">IFERROR(IF(INDEX(Documents!$C$5:$C$657,MATCH(H3041,Documents!$A$5:$A$657,0))="","",INDEX(Documents!$C$5:$C$657,MATCH(H3041,Documents!$A$5:$A$657,0))),"")</f>
        <v>2008</v>
      </c>
      <c r="J3041" s="25" t="str">
        <f aca="false">IFERROR(IF(INDEX(Documents!$D$5:$D$657,MATCH(H3041,Documents!$A$5:$A$657,0))="","",INDEX(Documents!$D$5:$D$657,MATCH(H3041,Documents!$A$5:$A$657,0))),"")</f>
        <v>J Med Chem</v>
      </c>
      <c r="K3041" s="25" t="str">
        <f aca="false">IFERROR(IF(INDEX(Documents!$G$5:$G$657,MATCH(H3041,Documents!$A$5:$A$657,0))="","",INDEX(Documents!$G$5:$G$657,MATCH(H3041,Documents!$A$5:$A$657,0))),"")</f>
        <v>10.1021/jm070566z</v>
      </c>
      <c r="L3041" s="25" t="s">
        <v>676</v>
      </c>
    </row>
    <row r="3042" customFormat="false" ht="15" hidden="false" customHeight="false" outlineLevel="0" collapsed="false">
      <c r="A3042" s="25" t="n">
        <v>7852126</v>
      </c>
      <c r="B3042" s="25" t="s">
        <v>6477</v>
      </c>
      <c r="C3042" s="25" t="s">
        <v>6478</v>
      </c>
      <c r="D3042" s="26" t="n">
        <v>18.3</v>
      </c>
      <c r="E3042" s="27" t="n">
        <v>7.73754891026957</v>
      </c>
      <c r="F3042" s="27" t="n">
        <v>7.73754891026957</v>
      </c>
      <c r="G3042" s="25" t="s">
        <v>5276</v>
      </c>
      <c r="H3042" s="25" t="s">
        <v>5277</v>
      </c>
      <c r="I3042" s="25" t="n">
        <f aca="false">IFERROR(IF(INDEX(Documents!$C$5:$C$657,MATCH(H3042,Documents!$A$5:$A$657,0))="","",INDEX(Documents!$C$5:$C$657,MATCH(H3042,Documents!$A$5:$A$657,0))),"")</f>
        <v>2011</v>
      </c>
      <c r="J3042" s="25" t="str">
        <f aca="false">IFERROR(IF(INDEX(Documents!$D$5:$D$657,MATCH(H3042,Documents!$A$5:$A$657,0))="","",INDEX(Documents!$D$5:$D$657,MATCH(H3042,Documents!$A$5:$A$657,0))),"")</f>
        <v>Eur J Med Chem</v>
      </c>
      <c r="K3042" s="25" t="str">
        <f aca="false">IFERROR(IF(INDEX(Documents!$G$5:$G$657,MATCH(H3042,Documents!$A$5:$A$657,0))="","",INDEX(Documents!$G$5:$G$657,MATCH(H3042,Documents!$A$5:$A$657,0))),"")</f>
        <v>10.1016/j.ejmech.2011.09.037</v>
      </c>
      <c r="L3042" s="25" t="s">
        <v>5278</v>
      </c>
    </row>
    <row r="3043" customFormat="false" ht="15" hidden="false" customHeight="false" outlineLevel="0" collapsed="false">
      <c r="A3043" s="25" t="n">
        <v>2115227</v>
      </c>
      <c r="B3043" s="25" t="s">
        <v>6479</v>
      </c>
      <c r="C3043" s="25" t="s">
        <v>6480</v>
      </c>
      <c r="D3043" s="26" t="n">
        <v>570</v>
      </c>
      <c r="E3043" s="27" t="n">
        <v>6.24412514432751</v>
      </c>
      <c r="F3043" s="27" t="n">
        <v>6.24412514432751</v>
      </c>
      <c r="G3043" s="25" t="s">
        <v>6459</v>
      </c>
      <c r="H3043" s="25" t="s">
        <v>6460</v>
      </c>
      <c r="I3043" s="25" t="n">
        <f aca="false">IFERROR(IF(INDEX(Documents!$C$5:$C$657,MATCH(H3043,Documents!$A$5:$A$657,0))="","",INDEX(Documents!$C$5:$C$657,MATCH(H3043,Documents!$A$5:$A$657,0))),"")</f>
        <v>2008</v>
      </c>
      <c r="J3043" s="25" t="str">
        <f aca="false">IFERROR(IF(INDEX(Documents!$D$5:$D$657,MATCH(H3043,Documents!$A$5:$A$657,0))="","",INDEX(Documents!$D$5:$D$657,MATCH(H3043,Documents!$A$5:$A$657,0))),"")</f>
        <v>J Med Chem</v>
      </c>
      <c r="K3043" s="25" t="str">
        <f aca="false">IFERROR(IF(INDEX(Documents!$G$5:$G$657,MATCH(H3043,Documents!$A$5:$A$657,0))="","",INDEX(Documents!$G$5:$G$657,MATCH(H3043,Documents!$A$5:$A$657,0))),"")</f>
        <v>10.1021/jm070566z</v>
      </c>
      <c r="L3043" s="25" t="s">
        <v>676</v>
      </c>
    </row>
    <row r="3044" customFormat="false" ht="15" hidden="false" customHeight="false" outlineLevel="0" collapsed="false">
      <c r="A3044" s="25" t="n">
        <v>2115166</v>
      </c>
      <c r="B3044" s="25" t="s">
        <v>6481</v>
      </c>
      <c r="C3044" s="25" t="s">
        <v>6482</v>
      </c>
      <c r="D3044" s="26" t="n">
        <v>65</v>
      </c>
      <c r="E3044" s="27" t="n">
        <v>7.18708664335714</v>
      </c>
      <c r="F3044" s="27" t="n">
        <v>7.18708664335714</v>
      </c>
      <c r="G3044" s="25" t="s">
        <v>6459</v>
      </c>
      <c r="H3044" s="25" t="s">
        <v>6460</v>
      </c>
      <c r="I3044" s="25" t="n">
        <f aca="false">IFERROR(IF(INDEX(Documents!$C$5:$C$657,MATCH(H3044,Documents!$A$5:$A$657,0))="","",INDEX(Documents!$C$5:$C$657,MATCH(H3044,Documents!$A$5:$A$657,0))),"")</f>
        <v>2008</v>
      </c>
      <c r="J3044" s="25" t="str">
        <f aca="false">IFERROR(IF(INDEX(Documents!$D$5:$D$657,MATCH(H3044,Documents!$A$5:$A$657,0))="","",INDEX(Documents!$D$5:$D$657,MATCH(H3044,Documents!$A$5:$A$657,0))),"")</f>
        <v>J Med Chem</v>
      </c>
      <c r="K3044" s="25" t="str">
        <f aca="false">IFERROR(IF(INDEX(Documents!$G$5:$G$657,MATCH(H3044,Documents!$A$5:$A$657,0))="","",INDEX(Documents!$G$5:$G$657,MATCH(H3044,Documents!$A$5:$A$657,0))),"")</f>
        <v>10.1021/jm070566z</v>
      </c>
      <c r="L3044" s="25" t="s">
        <v>676</v>
      </c>
    </row>
    <row r="3045" customFormat="false" ht="15" hidden="false" customHeight="false" outlineLevel="0" collapsed="false">
      <c r="A3045" s="25" t="n">
        <v>2096594</v>
      </c>
      <c r="B3045" s="25" t="s">
        <v>6483</v>
      </c>
      <c r="C3045" s="25" t="s">
        <v>6484</v>
      </c>
      <c r="D3045" s="26" t="n">
        <v>17400</v>
      </c>
      <c r="E3045" s="27" t="n">
        <v>4.7594507517174</v>
      </c>
      <c r="F3045" s="27" t="n">
        <v>4.7594507517174</v>
      </c>
      <c r="G3045" s="25" t="s">
        <v>4060</v>
      </c>
      <c r="H3045" s="25" t="s">
        <v>4061</v>
      </c>
      <c r="I3045" s="25" t="n">
        <f aca="false">IFERROR(IF(INDEX(Documents!$C$5:$C$657,MATCH(H3045,Documents!$A$5:$A$657,0))="","",INDEX(Documents!$C$5:$C$657,MATCH(H3045,Documents!$A$5:$A$657,0))),"")</f>
        <v>2008</v>
      </c>
      <c r="J3045" s="25" t="str">
        <f aca="false">IFERROR(IF(INDEX(Documents!$D$5:$D$657,MATCH(H3045,Documents!$A$5:$A$657,0))="","",INDEX(Documents!$D$5:$D$657,MATCH(H3045,Documents!$A$5:$A$657,0))),"")</f>
        <v>Bioorg Med Chem Lett</v>
      </c>
      <c r="K3045" s="25" t="str">
        <f aca="false">IFERROR(IF(INDEX(Documents!$G$5:$G$657,MATCH(H3045,Documents!$A$5:$A$657,0))="","",INDEX(Documents!$G$5:$G$657,MATCH(H3045,Documents!$A$5:$A$657,0))),"")</f>
        <v>10.1016/j.bmcl.2007.11.133</v>
      </c>
      <c r="L3045" s="25" t="s">
        <v>4062</v>
      </c>
    </row>
    <row r="3046" customFormat="false" ht="15" hidden="false" customHeight="false" outlineLevel="0" collapsed="false">
      <c r="A3046" s="25" t="n">
        <v>1400491</v>
      </c>
      <c r="B3046" s="25" t="s">
        <v>6485</v>
      </c>
      <c r="C3046" s="25" t="s">
        <v>6486</v>
      </c>
      <c r="D3046" s="26" t="n">
        <v>349</v>
      </c>
      <c r="E3046" s="27" t="n">
        <v>6.45717457304082</v>
      </c>
      <c r="F3046" s="27" t="n">
        <v>6.45717457304082</v>
      </c>
      <c r="G3046" s="25" t="s">
        <v>4723</v>
      </c>
      <c r="H3046" s="25" t="s">
        <v>4724</v>
      </c>
      <c r="I3046" s="25" t="n">
        <f aca="false">IFERROR(IF(INDEX(Documents!$C$5:$C$657,MATCH(H3046,Documents!$A$5:$A$657,0))="","",INDEX(Documents!$C$5:$C$657,MATCH(H3046,Documents!$A$5:$A$657,0))),"")</f>
        <v>2005</v>
      </c>
      <c r="J3046" s="25" t="str">
        <f aca="false">IFERROR(IF(INDEX(Documents!$D$5:$D$657,MATCH(H3046,Documents!$A$5:$A$657,0))="","",INDEX(Documents!$D$5:$D$657,MATCH(H3046,Documents!$A$5:$A$657,0))),"")</f>
        <v>J Med Chem</v>
      </c>
      <c r="K3046" s="25" t="str">
        <f aca="false">IFERROR(IF(INDEX(Documents!$G$5:$G$657,MATCH(H3046,Documents!$A$5:$A$657,0))="","",INDEX(Documents!$G$5:$G$657,MATCH(H3046,Documents!$A$5:$A$657,0))),"")</f>
        <v>10.1021/jm040843r</v>
      </c>
      <c r="L3046" s="25" t="s">
        <v>4725</v>
      </c>
    </row>
    <row r="3047" customFormat="false" ht="15" hidden="false" customHeight="false" outlineLevel="0" collapsed="false">
      <c r="A3047" s="25" t="n">
        <v>2914123</v>
      </c>
      <c r="B3047" s="25" t="s">
        <v>6487</v>
      </c>
      <c r="C3047" s="25" t="s">
        <v>6488</v>
      </c>
      <c r="D3047" s="26" t="n">
        <v>4.2</v>
      </c>
      <c r="E3047" s="27" t="n">
        <v>8.3767507096021</v>
      </c>
      <c r="F3047" s="27" t="n">
        <v>8.3767507096021</v>
      </c>
      <c r="G3047" s="25" t="s">
        <v>5785</v>
      </c>
      <c r="H3047" s="25" t="s">
        <v>5786</v>
      </c>
      <c r="I3047" s="25" t="n">
        <f aca="false">IFERROR(IF(INDEX(Documents!$C$5:$C$657,MATCH(H3047,Documents!$A$5:$A$657,0))="","",INDEX(Documents!$C$5:$C$657,MATCH(H3047,Documents!$A$5:$A$657,0))),"")</f>
        <v>2009</v>
      </c>
      <c r="J3047" s="25" t="str">
        <f aca="false">IFERROR(IF(INDEX(Documents!$D$5:$D$657,MATCH(H3047,Documents!$A$5:$A$657,0))="","",INDEX(Documents!$D$5:$D$657,MATCH(H3047,Documents!$A$5:$A$657,0))),"")</f>
        <v>Bioorg Med Chem</v>
      </c>
      <c r="K3047" s="25" t="str">
        <f aca="false">IFERROR(IF(INDEX(Documents!$G$5:$G$657,MATCH(H3047,Documents!$A$5:$A$657,0))="","",INDEX(Documents!$G$5:$G$657,MATCH(H3047,Documents!$A$5:$A$657,0))),"")</f>
        <v>10.1016/j.bmc.2009.06.027</v>
      </c>
      <c r="L3047" s="25" t="s">
        <v>676</v>
      </c>
    </row>
    <row r="3048" customFormat="false" ht="15" hidden="false" customHeight="false" outlineLevel="0" collapsed="false">
      <c r="A3048" s="25" t="n">
        <v>2914131</v>
      </c>
      <c r="B3048" s="25" t="s">
        <v>6489</v>
      </c>
      <c r="C3048" s="25" t="s">
        <v>6490</v>
      </c>
      <c r="D3048" s="26" t="n">
        <v>1.3</v>
      </c>
      <c r="E3048" s="27" t="n">
        <v>8.88605664769316</v>
      </c>
      <c r="F3048" s="27" t="n">
        <v>8.88605664769316</v>
      </c>
      <c r="G3048" s="25" t="s">
        <v>5785</v>
      </c>
      <c r="H3048" s="25" t="s">
        <v>5786</v>
      </c>
      <c r="I3048" s="25" t="n">
        <f aca="false">IFERROR(IF(INDEX(Documents!$C$5:$C$657,MATCH(H3048,Documents!$A$5:$A$657,0))="","",INDEX(Documents!$C$5:$C$657,MATCH(H3048,Documents!$A$5:$A$657,0))),"")</f>
        <v>2009</v>
      </c>
      <c r="J3048" s="25" t="str">
        <f aca="false">IFERROR(IF(INDEX(Documents!$D$5:$D$657,MATCH(H3048,Documents!$A$5:$A$657,0))="","",INDEX(Documents!$D$5:$D$657,MATCH(H3048,Documents!$A$5:$A$657,0))),"")</f>
        <v>Bioorg Med Chem</v>
      </c>
      <c r="K3048" s="25" t="str">
        <f aca="false">IFERROR(IF(INDEX(Documents!$G$5:$G$657,MATCH(H3048,Documents!$A$5:$A$657,0))="","",INDEX(Documents!$G$5:$G$657,MATCH(H3048,Documents!$A$5:$A$657,0))),"")</f>
        <v>10.1016/j.bmc.2009.06.027</v>
      </c>
      <c r="L3048" s="25" t="s">
        <v>676</v>
      </c>
    </row>
    <row r="3049" customFormat="false" ht="15" hidden="false" customHeight="false" outlineLevel="0" collapsed="false">
      <c r="A3049" s="25" t="n">
        <v>2914136</v>
      </c>
      <c r="B3049" s="25" t="s">
        <v>6491</v>
      </c>
      <c r="C3049" s="25" t="s">
        <v>6492</v>
      </c>
      <c r="D3049" s="26" t="n">
        <v>80</v>
      </c>
      <c r="E3049" s="27" t="n">
        <v>7.09691001300806</v>
      </c>
      <c r="F3049" s="27" t="n">
        <v>7.09691001300806</v>
      </c>
      <c r="G3049" s="25" t="s">
        <v>5785</v>
      </c>
      <c r="H3049" s="25" t="s">
        <v>5786</v>
      </c>
      <c r="I3049" s="25" t="n">
        <f aca="false">IFERROR(IF(INDEX(Documents!$C$5:$C$657,MATCH(H3049,Documents!$A$5:$A$657,0))="","",INDEX(Documents!$C$5:$C$657,MATCH(H3049,Documents!$A$5:$A$657,0))),"")</f>
        <v>2009</v>
      </c>
      <c r="J3049" s="25" t="str">
        <f aca="false">IFERROR(IF(INDEX(Documents!$D$5:$D$657,MATCH(H3049,Documents!$A$5:$A$657,0))="","",INDEX(Documents!$D$5:$D$657,MATCH(H3049,Documents!$A$5:$A$657,0))),"")</f>
        <v>Bioorg Med Chem</v>
      </c>
      <c r="K3049" s="25" t="str">
        <f aca="false">IFERROR(IF(INDEX(Documents!$G$5:$G$657,MATCH(H3049,Documents!$A$5:$A$657,0))="","",INDEX(Documents!$G$5:$G$657,MATCH(H3049,Documents!$A$5:$A$657,0))),"")</f>
        <v>10.1016/j.bmc.2009.06.027</v>
      </c>
      <c r="L3049" s="25" t="s">
        <v>676</v>
      </c>
    </row>
    <row r="3050" customFormat="false" ht="15" hidden="false" customHeight="false" outlineLevel="0" collapsed="false">
      <c r="A3050" s="25" t="n">
        <v>2914145</v>
      </c>
      <c r="B3050" s="25" t="s">
        <v>6493</v>
      </c>
      <c r="C3050" s="25" t="s">
        <v>6494</v>
      </c>
      <c r="D3050" s="26" t="n">
        <v>20</v>
      </c>
      <c r="E3050" s="27" t="n">
        <v>7.69897000433602</v>
      </c>
      <c r="F3050" s="27" t="n">
        <v>7.69897000433602</v>
      </c>
      <c r="G3050" s="25" t="s">
        <v>5785</v>
      </c>
      <c r="H3050" s="25" t="s">
        <v>5786</v>
      </c>
      <c r="I3050" s="25" t="n">
        <f aca="false">IFERROR(IF(INDEX(Documents!$C$5:$C$657,MATCH(H3050,Documents!$A$5:$A$657,0))="","",INDEX(Documents!$C$5:$C$657,MATCH(H3050,Documents!$A$5:$A$657,0))),"")</f>
        <v>2009</v>
      </c>
      <c r="J3050" s="25" t="str">
        <f aca="false">IFERROR(IF(INDEX(Documents!$D$5:$D$657,MATCH(H3050,Documents!$A$5:$A$657,0))="","",INDEX(Documents!$D$5:$D$657,MATCH(H3050,Documents!$A$5:$A$657,0))),"")</f>
        <v>Bioorg Med Chem</v>
      </c>
      <c r="K3050" s="25" t="str">
        <f aca="false">IFERROR(IF(INDEX(Documents!$G$5:$G$657,MATCH(H3050,Documents!$A$5:$A$657,0))="","",INDEX(Documents!$G$5:$G$657,MATCH(H3050,Documents!$A$5:$A$657,0))),"")</f>
        <v>10.1016/j.bmc.2009.06.027</v>
      </c>
      <c r="L3050" s="25" t="s">
        <v>676</v>
      </c>
    </row>
    <row r="3051" customFormat="false" ht="15" hidden="false" customHeight="false" outlineLevel="0" collapsed="false">
      <c r="A3051" s="25" t="n">
        <v>2914102</v>
      </c>
      <c r="B3051" s="25" t="s">
        <v>6495</v>
      </c>
      <c r="C3051" s="25" t="s">
        <v>6496</v>
      </c>
      <c r="D3051" s="26" t="n">
        <v>110</v>
      </c>
      <c r="E3051" s="27" t="n">
        <v>6.95860731484178</v>
      </c>
      <c r="F3051" s="27" t="n">
        <v>6.95860731484178</v>
      </c>
      <c r="G3051" s="25" t="s">
        <v>5785</v>
      </c>
      <c r="H3051" s="25" t="s">
        <v>5786</v>
      </c>
      <c r="I3051" s="25" t="n">
        <f aca="false">IFERROR(IF(INDEX(Documents!$C$5:$C$657,MATCH(H3051,Documents!$A$5:$A$657,0))="","",INDEX(Documents!$C$5:$C$657,MATCH(H3051,Documents!$A$5:$A$657,0))),"")</f>
        <v>2009</v>
      </c>
      <c r="J3051" s="25" t="str">
        <f aca="false">IFERROR(IF(INDEX(Documents!$D$5:$D$657,MATCH(H3051,Documents!$A$5:$A$657,0))="","",INDEX(Documents!$D$5:$D$657,MATCH(H3051,Documents!$A$5:$A$657,0))),"")</f>
        <v>Bioorg Med Chem</v>
      </c>
      <c r="K3051" s="25" t="str">
        <f aca="false">IFERROR(IF(INDEX(Documents!$G$5:$G$657,MATCH(H3051,Documents!$A$5:$A$657,0))="","",INDEX(Documents!$G$5:$G$657,MATCH(H3051,Documents!$A$5:$A$657,0))),"")</f>
        <v>10.1016/j.bmc.2009.06.027</v>
      </c>
      <c r="L3051" s="25" t="s">
        <v>676</v>
      </c>
    </row>
    <row r="3052" customFormat="false" ht="15" hidden="false" customHeight="false" outlineLevel="0" collapsed="false">
      <c r="A3052" s="25" t="n">
        <v>2914111</v>
      </c>
      <c r="B3052" s="25" t="s">
        <v>6497</v>
      </c>
      <c r="C3052" s="25" t="s">
        <v>6498</v>
      </c>
      <c r="D3052" s="26" t="n">
        <v>200</v>
      </c>
      <c r="E3052" s="27" t="n">
        <v>6.69897000433602</v>
      </c>
      <c r="F3052" s="27" t="n">
        <v>6.69897000433602</v>
      </c>
      <c r="G3052" s="25" t="s">
        <v>5785</v>
      </c>
      <c r="H3052" s="25" t="s">
        <v>5786</v>
      </c>
      <c r="I3052" s="25" t="n">
        <f aca="false">IFERROR(IF(INDEX(Documents!$C$5:$C$657,MATCH(H3052,Documents!$A$5:$A$657,0))="","",INDEX(Documents!$C$5:$C$657,MATCH(H3052,Documents!$A$5:$A$657,0))),"")</f>
        <v>2009</v>
      </c>
      <c r="J3052" s="25" t="str">
        <f aca="false">IFERROR(IF(INDEX(Documents!$D$5:$D$657,MATCH(H3052,Documents!$A$5:$A$657,0))="","",INDEX(Documents!$D$5:$D$657,MATCH(H3052,Documents!$A$5:$A$657,0))),"")</f>
        <v>Bioorg Med Chem</v>
      </c>
      <c r="K3052" s="25" t="str">
        <f aca="false">IFERROR(IF(INDEX(Documents!$G$5:$G$657,MATCH(H3052,Documents!$A$5:$A$657,0))="","",INDEX(Documents!$G$5:$G$657,MATCH(H3052,Documents!$A$5:$A$657,0))),"")</f>
        <v>10.1016/j.bmc.2009.06.027</v>
      </c>
      <c r="L3052" s="25" t="s">
        <v>676</v>
      </c>
    </row>
    <row r="3053" customFormat="false" ht="15" hidden="false" customHeight="false" outlineLevel="0" collapsed="false">
      <c r="A3053" s="25" t="n">
        <v>2096604</v>
      </c>
      <c r="B3053" s="25" t="s">
        <v>6499</v>
      </c>
      <c r="C3053" s="25" t="s">
        <v>6500</v>
      </c>
      <c r="D3053" s="26" t="n">
        <v>22800</v>
      </c>
      <c r="E3053" s="27" t="n">
        <v>4.64206515299955</v>
      </c>
      <c r="F3053" s="27" t="n">
        <v>4.64206515299955</v>
      </c>
      <c r="G3053" s="25" t="s">
        <v>4060</v>
      </c>
      <c r="H3053" s="25" t="s">
        <v>4061</v>
      </c>
      <c r="I3053" s="25" t="n">
        <f aca="false">IFERROR(IF(INDEX(Documents!$C$5:$C$657,MATCH(H3053,Documents!$A$5:$A$657,0))="","",INDEX(Documents!$C$5:$C$657,MATCH(H3053,Documents!$A$5:$A$657,0))),"")</f>
        <v>2008</v>
      </c>
      <c r="J3053" s="25" t="str">
        <f aca="false">IFERROR(IF(INDEX(Documents!$D$5:$D$657,MATCH(H3053,Documents!$A$5:$A$657,0))="","",INDEX(Documents!$D$5:$D$657,MATCH(H3053,Documents!$A$5:$A$657,0))),"")</f>
        <v>Bioorg Med Chem Lett</v>
      </c>
      <c r="K3053" s="25" t="str">
        <f aca="false">IFERROR(IF(INDEX(Documents!$G$5:$G$657,MATCH(H3053,Documents!$A$5:$A$657,0))="","",INDEX(Documents!$G$5:$G$657,MATCH(H3053,Documents!$A$5:$A$657,0))),"")</f>
        <v>10.1016/j.bmcl.2007.11.133</v>
      </c>
      <c r="L3053" s="25" t="s">
        <v>4062</v>
      </c>
    </row>
    <row r="3054" customFormat="false" ht="15" hidden="false" customHeight="false" outlineLevel="0" collapsed="false">
      <c r="A3054" s="25" t="n">
        <v>16462607</v>
      </c>
      <c r="B3054" s="25" t="s">
        <v>6501</v>
      </c>
      <c r="C3054" s="25" t="s">
        <v>6502</v>
      </c>
      <c r="D3054" s="26" t="n">
        <v>1041</v>
      </c>
      <c r="E3054" s="27" t="n">
        <v>5.98254927048946</v>
      </c>
      <c r="F3054" s="27" t="n">
        <v>5.98254927048946</v>
      </c>
      <c r="G3054" s="25" t="s">
        <v>1973</v>
      </c>
      <c r="H3054" s="25" t="s">
        <v>1974</v>
      </c>
      <c r="I3054" s="25" t="n">
        <f aca="false">IFERROR(IF(INDEX(Documents!$C$5:$C$657,MATCH(H3054,Documents!$A$5:$A$657,0))="","",INDEX(Documents!$C$5:$C$657,MATCH(H3054,Documents!$A$5:$A$657,0))),"")</f>
        <v>2016</v>
      </c>
      <c r="J3054" s="25" t="str">
        <f aca="false">IFERROR(IF(INDEX(Documents!$D$5:$D$657,MATCH(H3054,Documents!$A$5:$A$657,0))="","",INDEX(Documents!$D$5:$D$657,MATCH(H3054,Documents!$A$5:$A$657,0))),"")</f>
        <v>Bioorg Med Chem</v>
      </c>
      <c r="K3054" s="25" t="str">
        <f aca="false">IFERROR(IF(INDEX(Documents!$G$5:$G$657,MATCH(H3054,Documents!$A$5:$A$657,0))="","",INDEX(Documents!$G$5:$G$657,MATCH(H3054,Documents!$A$5:$A$657,0))),"")</f>
        <v>10.1016/j.bmc.2016.01.033</v>
      </c>
      <c r="L3054" s="25" t="s">
        <v>1975</v>
      </c>
    </row>
    <row r="3055" customFormat="false" ht="15" hidden="false" customHeight="false" outlineLevel="0" collapsed="false">
      <c r="A3055" s="25" t="n">
        <v>16462020</v>
      </c>
      <c r="B3055" s="25" t="s">
        <v>6503</v>
      </c>
      <c r="C3055" s="25" t="s">
        <v>6504</v>
      </c>
      <c r="D3055" s="26" t="n">
        <v>2496</v>
      </c>
      <c r="E3055" s="27" t="n">
        <v>5.60275541898961</v>
      </c>
      <c r="F3055" s="27" t="n">
        <v>5.60275541898961</v>
      </c>
      <c r="G3055" s="25" t="s">
        <v>1973</v>
      </c>
      <c r="H3055" s="25" t="s">
        <v>1974</v>
      </c>
      <c r="I3055" s="25" t="n">
        <f aca="false">IFERROR(IF(INDEX(Documents!$C$5:$C$657,MATCH(H3055,Documents!$A$5:$A$657,0))="","",INDEX(Documents!$C$5:$C$657,MATCH(H3055,Documents!$A$5:$A$657,0))),"")</f>
        <v>2016</v>
      </c>
      <c r="J3055" s="25" t="str">
        <f aca="false">IFERROR(IF(INDEX(Documents!$D$5:$D$657,MATCH(H3055,Documents!$A$5:$A$657,0))="","",INDEX(Documents!$D$5:$D$657,MATCH(H3055,Documents!$A$5:$A$657,0))),"")</f>
        <v>Bioorg Med Chem</v>
      </c>
      <c r="K3055" s="25" t="str">
        <f aca="false">IFERROR(IF(INDEX(Documents!$G$5:$G$657,MATCH(H3055,Documents!$A$5:$A$657,0))="","",INDEX(Documents!$G$5:$G$657,MATCH(H3055,Documents!$A$5:$A$657,0))),"")</f>
        <v>10.1016/j.bmc.2016.01.033</v>
      </c>
      <c r="L3055" s="25" t="s">
        <v>1975</v>
      </c>
    </row>
    <row r="3056" customFormat="false" ht="15" hidden="false" customHeight="false" outlineLevel="0" collapsed="false">
      <c r="A3056" s="25" t="n">
        <v>16462021</v>
      </c>
      <c r="B3056" s="25" t="s">
        <v>6505</v>
      </c>
      <c r="C3056" s="25" t="s">
        <v>6506</v>
      </c>
      <c r="D3056" s="26" t="n">
        <v>1808</v>
      </c>
      <c r="E3056" s="27" t="n">
        <v>5.74280157386066</v>
      </c>
      <c r="F3056" s="27" t="n">
        <v>5.74280157386066</v>
      </c>
      <c r="G3056" s="25" t="s">
        <v>1973</v>
      </c>
      <c r="H3056" s="25" t="s">
        <v>1974</v>
      </c>
      <c r="I3056" s="25" t="n">
        <f aca="false">IFERROR(IF(INDEX(Documents!$C$5:$C$657,MATCH(H3056,Documents!$A$5:$A$657,0))="","",INDEX(Documents!$C$5:$C$657,MATCH(H3056,Documents!$A$5:$A$657,0))),"")</f>
        <v>2016</v>
      </c>
      <c r="J3056" s="25" t="str">
        <f aca="false">IFERROR(IF(INDEX(Documents!$D$5:$D$657,MATCH(H3056,Documents!$A$5:$A$657,0))="","",INDEX(Documents!$D$5:$D$657,MATCH(H3056,Documents!$A$5:$A$657,0))),"")</f>
        <v>Bioorg Med Chem</v>
      </c>
      <c r="K3056" s="25" t="str">
        <f aca="false">IFERROR(IF(INDEX(Documents!$G$5:$G$657,MATCH(H3056,Documents!$A$5:$A$657,0))="","",INDEX(Documents!$G$5:$G$657,MATCH(H3056,Documents!$A$5:$A$657,0))),"")</f>
        <v>10.1016/j.bmc.2016.01.033</v>
      </c>
      <c r="L3056" s="25" t="s">
        <v>1975</v>
      </c>
    </row>
    <row r="3057" customFormat="false" ht="15" hidden="false" customHeight="false" outlineLevel="0" collapsed="false">
      <c r="A3057" s="25" t="n">
        <v>16462608</v>
      </c>
      <c r="B3057" s="25" t="s">
        <v>6507</v>
      </c>
      <c r="C3057" s="25" t="s">
        <v>6508</v>
      </c>
      <c r="D3057" s="26" t="n">
        <v>1929</v>
      </c>
      <c r="E3057" s="27" t="n">
        <v>5.71466777235612</v>
      </c>
      <c r="F3057" s="27" t="n">
        <v>5.71466777235612</v>
      </c>
      <c r="G3057" s="25" t="s">
        <v>1973</v>
      </c>
      <c r="H3057" s="25" t="s">
        <v>1974</v>
      </c>
      <c r="I3057" s="25" t="n">
        <f aca="false">IFERROR(IF(INDEX(Documents!$C$5:$C$657,MATCH(H3057,Documents!$A$5:$A$657,0))="","",INDEX(Documents!$C$5:$C$657,MATCH(H3057,Documents!$A$5:$A$657,0))),"")</f>
        <v>2016</v>
      </c>
      <c r="J3057" s="25" t="str">
        <f aca="false">IFERROR(IF(INDEX(Documents!$D$5:$D$657,MATCH(H3057,Documents!$A$5:$A$657,0))="","",INDEX(Documents!$D$5:$D$657,MATCH(H3057,Documents!$A$5:$A$657,0))),"")</f>
        <v>Bioorg Med Chem</v>
      </c>
      <c r="K3057" s="25" t="str">
        <f aca="false">IFERROR(IF(INDEX(Documents!$G$5:$G$657,MATCH(H3057,Documents!$A$5:$A$657,0))="","",INDEX(Documents!$G$5:$G$657,MATCH(H3057,Documents!$A$5:$A$657,0))),"")</f>
        <v>10.1016/j.bmc.2016.01.033</v>
      </c>
      <c r="L3057" s="25" t="s">
        <v>1975</v>
      </c>
    </row>
    <row r="3058" customFormat="false" ht="15" hidden="false" customHeight="false" outlineLevel="0" collapsed="false">
      <c r="A3058" s="25" t="n">
        <v>16462019</v>
      </c>
      <c r="B3058" s="25" t="s">
        <v>6509</v>
      </c>
      <c r="C3058" s="25" t="s">
        <v>6510</v>
      </c>
      <c r="D3058" s="26" t="n">
        <v>1725</v>
      </c>
      <c r="E3058" s="27" t="n">
        <v>5.76321090059071</v>
      </c>
      <c r="F3058" s="27" t="n">
        <v>5.76321090059071</v>
      </c>
      <c r="G3058" s="25" t="s">
        <v>1973</v>
      </c>
      <c r="H3058" s="25" t="s">
        <v>1974</v>
      </c>
      <c r="I3058" s="25" t="n">
        <f aca="false">IFERROR(IF(INDEX(Documents!$C$5:$C$657,MATCH(H3058,Documents!$A$5:$A$657,0))="","",INDEX(Documents!$C$5:$C$657,MATCH(H3058,Documents!$A$5:$A$657,0))),"")</f>
        <v>2016</v>
      </c>
      <c r="J3058" s="25" t="str">
        <f aca="false">IFERROR(IF(INDEX(Documents!$D$5:$D$657,MATCH(H3058,Documents!$A$5:$A$657,0))="","",INDEX(Documents!$D$5:$D$657,MATCH(H3058,Documents!$A$5:$A$657,0))),"")</f>
        <v>Bioorg Med Chem</v>
      </c>
      <c r="K3058" s="25" t="str">
        <f aca="false">IFERROR(IF(INDEX(Documents!$G$5:$G$657,MATCH(H3058,Documents!$A$5:$A$657,0))="","",INDEX(Documents!$G$5:$G$657,MATCH(H3058,Documents!$A$5:$A$657,0))),"")</f>
        <v>10.1016/j.bmc.2016.01.033</v>
      </c>
      <c r="L3058" s="25" t="s">
        <v>1975</v>
      </c>
    </row>
    <row r="3059" customFormat="false" ht="15" hidden="false" customHeight="false" outlineLevel="0" collapsed="false">
      <c r="A3059" s="25" t="n">
        <v>16462016</v>
      </c>
      <c r="B3059" s="25" t="s">
        <v>6511</v>
      </c>
      <c r="C3059" s="25" t="s">
        <v>6512</v>
      </c>
      <c r="D3059" s="26" t="n">
        <v>6213</v>
      </c>
      <c r="E3059" s="27" t="n">
        <v>5.20669864638689</v>
      </c>
      <c r="F3059" s="27" t="n">
        <v>5.20669864638689</v>
      </c>
      <c r="G3059" s="25" t="s">
        <v>1973</v>
      </c>
      <c r="H3059" s="25" t="s">
        <v>1974</v>
      </c>
      <c r="I3059" s="25" t="n">
        <f aca="false">IFERROR(IF(INDEX(Documents!$C$5:$C$657,MATCH(H3059,Documents!$A$5:$A$657,0))="","",INDEX(Documents!$C$5:$C$657,MATCH(H3059,Documents!$A$5:$A$657,0))),"")</f>
        <v>2016</v>
      </c>
      <c r="J3059" s="25" t="str">
        <f aca="false">IFERROR(IF(INDEX(Documents!$D$5:$D$657,MATCH(H3059,Documents!$A$5:$A$657,0))="","",INDEX(Documents!$D$5:$D$657,MATCH(H3059,Documents!$A$5:$A$657,0))),"")</f>
        <v>Bioorg Med Chem</v>
      </c>
      <c r="K3059" s="25" t="str">
        <f aca="false">IFERROR(IF(INDEX(Documents!$G$5:$G$657,MATCH(H3059,Documents!$A$5:$A$657,0))="","",INDEX(Documents!$G$5:$G$657,MATCH(H3059,Documents!$A$5:$A$657,0))),"")</f>
        <v>10.1016/j.bmc.2016.01.033</v>
      </c>
      <c r="L3059" s="25" t="s">
        <v>1975</v>
      </c>
    </row>
    <row r="3060" customFormat="false" ht="15" hidden="false" customHeight="false" outlineLevel="0" collapsed="false">
      <c r="A3060" s="25" t="n">
        <v>16462017</v>
      </c>
      <c r="B3060" s="25" t="s">
        <v>6513</v>
      </c>
      <c r="C3060" s="25" t="s">
        <v>6514</v>
      </c>
      <c r="D3060" s="26" t="n">
        <v>4719</v>
      </c>
      <c r="E3060" s="27" t="n">
        <v>5.32615002265705</v>
      </c>
      <c r="F3060" s="27" t="n">
        <v>5.32615002265705</v>
      </c>
      <c r="G3060" s="25" t="s">
        <v>1973</v>
      </c>
      <c r="H3060" s="25" t="s">
        <v>1974</v>
      </c>
      <c r="I3060" s="25" t="n">
        <f aca="false">IFERROR(IF(INDEX(Documents!$C$5:$C$657,MATCH(H3060,Documents!$A$5:$A$657,0))="","",INDEX(Documents!$C$5:$C$657,MATCH(H3060,Documents!$A$5:$A$657,0))),"")</f>
        <v>2016</v>
      </c>
      <c r="J3060" s="25" t="str">
        <f aca="false">IFERROR(IF(INDEX(Documents!$D$5:$D$657,MATCH(H3060,Documents!$A$5:$A$657,0))="","",INDEX(Documents!$D$5:$D$657,MATCH(H3060,Documents!$A$5:$A$657,0))),"")</f>
        <v>Bioorg Med Chem</v>
      </c>
      <c r="K3060" s="25" t="str">
        <f aca="false">IFERROR(IF(INDEX(Documents!$G$5:$G$657,MATCH(H3060,Documents!$A$5:$A$657,0))="","",INDEX(Documents!$G$5:$G$657,MATCH(H3060,Documents!$A$5:$A$657,0))),"")</f>
        <v>10.1016/j.bmc.2016.01.033</v>
      </c>
      <c r="L3060" s="25" t="s">
        <v>1975</v>
      </c>
    </row>
    <row r="3061" customFormat="false" ht="15" hidden="false" customHeight="false" outlineLevel="0" collapsed="false">
      <c r="A3061" s="25" t="n">
        <v>6386898</v>
      </c>
      <c r="B3061" s="25" t="s">
        <v>6515</v>
      </c>
      <c r="C3061" s="25" t="s">
        <v>6516</v>
      </c>
      <c r="D3061" s="26" t="n">
        <v>900</v>
      </c>
      <c r="E3061" s="27" t="n">
        <v>6.04575749056068</v>
      </c>
      <c r="F3061" s="27" t="n">
        <v>6.04575749056068</v>
      </c>
      <c r="G3061" s="25" t="s">
        <v>6517</v>
      </c>
      <c r="H3061" s="25" t="s">
        <v>6518</v>
      </c>
      <c r="I3061" s="25" t="n">
        <f aca="false">IFERROR(IF(INDEX(Documents!$C$5:$C$657,MATCH(H3061,Documents!$A$5:$A$657,0))="","",INDEX(Documents!$C$5:$C$657,MATCH(H3061,Documents!$A$5:$A$657,0))),"")</f>
        <v>2011</v>
      </c>
      <c r="J3061" s="25" t="str">
        <f aca="false">IFERROR(IF(INDEX(Documents!$D$5:$D$657,MATCH(H3061,Documents!$A$5:$A$657,0))="","",INDEX(Documents!$D$5:$D$657,MATCH(H3061,Documents!$A$5:$A$657,0))),"")</f>
        <v>Bioorg Med Chem Lett</v>
      </c>
      <c r="K3061" s="25" t="str">
        <f aca="false">IFERROR(IF(INDEX(Documents!$G$5:$G$657,MATCH(H3061,Documents!$A$5:$A$657,0))="","",INDEX(Documents!$G$5:$G$657,MATCH(H3061,Documents!$A$5:$A$657,0))),"")</f>
        <v>10.1016/j.bmcl.2011.08.032</v>
      </c>
      <c r="L3061" s="25" t="s">
        <v>6519</v>
      </c>
    </row>
    <row r="3062" customFormat="false" ht="15" hidden="false" customHeight="false" outlineLevel="0" collapsed="false">
      <c r="A3062" s="25" t="n">
        <v>6386892</v>
      </c>
      <c r="B3062" s="25" t="s">
        <v>6520</v>
      </c>
      <c r="C3062" s="25" t="s">
        <v>6521</v>
      </c>
      <c r="D3062" s="26" t="n">
        <v>2310</v>
      </c>
      <c r="E3062" s="27" t="n">
        <v>5.63638802010786</v>
      </c>
      <c r="F3062" s="27" t="n">
        <v>5.63638802010786</v>
      </c>
      <c r="G3062" s="25" t="s">
        <v>6517</v>
      </c>
      <c r="H3062" s="25" t="s">
        <v>6518</v>
      </c>
      <c r="I3062" s="25" t="n">
        <f aca="false">IFERROR(IF(INDEX(Documents!$C$5:$C$657,MATCH(H3062,Documents!$A$5:$A$657,0))="","",INDEX(Documents!$C$5:$C$657,MATCH(H3062,Documents!$A$5:$A$657,0))),"")</f>
        <v>2011</v>
      </c>
      <c r="J3062" s="25" t="str">
        <f aca="false">IFERROR(IF(INDEX(Documents!$D$5:$D$657,MATCH(H3062,Documents!$A$5:$A$657,0))="","",INDEX(Documents!$D$5:$D$657,MATCH(H3062,Documents!$A$5:$A$657,0))),"")</f>
        <v>Bioorg Med Chem Lett</v>
      </c>
      <c r="K3062" s="25" t="str">
        <f aca="false">IFERROR(IF(INDEX(Documents!$G$5:$G$657,MATCH(H3062,Documents!$A$5:$A$657,0))="","",INDEX(Documents!$G$5:$G$657,MATCH(H3062,Documents!$A$5:$A$657,0))),"")</f>
        <v>10.1016/j.bmcl.2011.08.032</v>
      </c>
      <c r="L3062" s="25" t="s">
        <v>6519</v>
      </c>
    </row>
    <row r="3063" customFormat="false" ht="15" hidden="false" customHeight="false" outlineLevel="0" collapsed="false">
      <c r="A3063" s="25" t="n">
        <v>2115185</v>
      </c>
      <c r="B3063" s="25" t="s">
        <v>6522</v>
      </c>
      <c r="C3063" s="25" t="s">
        <v>6523</v>
      </c>
      <c r="D3063" s="26" t="n">
        <v>390</v>
      </c>
      <c r="E3063" s="27" t="n">
        <v>6.4089353929735</v>
      </c>
      <c r="F3063" s="27" t="n">
        <v>6.4089353929735</v>
      </c>
      <c r="G3063" s="25" t="s">
        <v>6459</v>
      </c>
      <c r="H3063" s="25" t="s">
        <v>6460</v>
      </c>
      <c r="I3063" s="25" t="n">
        <f aca="false">IFERROR(IF(INDEX(Documents!$C$5:$C$657,MATCH(H3063,Documents!$A$5:$A$657,0))="","",INDEX(Documents!$C$5:$C$657,MATCH(H3063,Documents!$A$5:$A$657,0))),"")</f>
        <v>2008</v>
      </c>
      <c r="J3063" s="25" t="str">
        <f aca="false">IFERROR(IF(INDEX(Documents!$D$5:$D$657,MATCH(H3063,Documents!$A$5:$A$657,0))="","",INDEX(Documents!$D$5:$D$657,MATCH(H3063,Documents!$A$5:$A$657,0))),"")</f>
        <v>J Med Chem</v>
      </c>
      <c r="K3063" s="25" t="str">
        <f aca="false">IFERROR(IF(INDEX(Documents!$G$5:$G$657,MATCH(H3063,Documents!$A$5:$A$657,0))="","",INDEX(Documents!$G$5:$G$657,MATCH(H3063,Documents!$A$5:$A$657,0))),"")</f>
        <v>10.1021/jm070566z</v>
      </c>
      <c r="L3063" s="25" t="s">
        <v>676</v>
      </c>
    </row>
    <row r="3064" customFormat="false" ht="15" hidden="false" customHeight="false" outlineLevel="0" collapsed="false">
      <c r="A3064" s="25" t="n">
        <v>5100346</v>
      </c>
      <c r="B3064" s="25" t="s">
        <v>6524</v>
      </c>
      <c r="C3064" s="25" t="s">
        <v>6525</v>
      </c>
      <c r="D3064" s="26" t="n">
        <v>133.5</v>
      </c>
      <c r="E3064" s="27" t="n">
        <v>6.87451873429941</v>
      </c>
      <c r="F3064" s="27" t="n">
        <v>6.87451873429941</v>
      </c>
      <c r="G3064" s="25" t="s">
        <v>1811</v>
      </c>
      <c r="H3064" s="25" t="s">
        <v>1812</v>
      </c>
      <c r="I3064" s="25" t="n">
        <f aca="false">IFERROR(IF(INDEX(Documents!$C$5:$C$657,MATCH(H3064,Documents!$A$5:$A$657,0))="","",INDEX(Documents!$C$5:$C$657,MATCH(H3064,Documents!$A$5:$A$657,0))),"")</f>
        <v>2010</v>
      </c>
      <c r="J3064" s="25" t="str">
        <f aca="false">IFERROR(IF(INDEX(Documents!$D$5:$D$657,MATCH(H3064,Documents!$A$5:$A$657,0))="","",INDEX(Documents!$D$5:$D$657,MATCH(H3064,Documents!$A$5:$A$657,0))),"")</f>
        <v>Eur J Med Chem</v>
      </c>
      <c r="K3064" s="25" t="str">
        <f aca="false">IFERROR(IF(INDEX(Documents!$G$5:$G$657,MATCH(H3064,Documents!$A$5:$A$657,0))="","",INDEX(Documents!$G$5:$G$657,MATCH(H3064,Documents!$A$5:$A$657,0))),"")</f>
        <v>10.1016/j.ejmech.2010.09.053</v>
      </c>
      <c r="L3064" s="25" t="s">
        <v>1813</v>
      </c>
    </row>
    <row r="3065" customFormat="false" ht="15" hidden="false" customHeight="false" outlineLevel="0" collapsed="false">
      <c r="A3065" s="25" t="n">
        <v>5100341</v>
      </c>
      <c r="B3065" s="25" t="s">
        <v>6526</v>
      </c>
      <c r="C3065" s="25" t="s">
        <v>6527</v>
      </c>
      <c r="D3065" s="26" t="n">
        <v>52.4</v>
      </c>
      <c r="E3065" s="27" t="n">
        <v>7.28066871301627</v>
      </c>
      <c r="F3065" s="27" t="n">
        <v>7.28066871301627</v>
      </c>
      <c r="G3065" s="25" t="s">
        <v>1811</v>
      </c>
      <c r="H3065" s="25" t="s">
        <v>1812</v>
      </c>
      <c r="I3065" s="25" t="n">
        <f aca="false">IFERROR(IF(INDEX(Documents!$C$5:$C$657,MATCH(H3065,Documents!$A$5:$A$657,0))="","",INDEX(Documents!$C$5:$C$657,MATCH(H3065,Documents!$A$5:$A$657,0))),"")</f>
        <v>2010</v>
      </c>
      <c r="J3065" s="25" t="str">
        <f aca="false">IFERROR(IF(INDEX(Documents!$D$5:$D$657,MATCH(H3065,Documents!$A$5:$A$657,0))="","",INDEX(Documents!$D$5:$D$657,MATCH(H3065,Documents!$A$5:$A$657,0))),"")</f>
        <v>Eur J Med Chem</v>
      </c>
      <c r="K3065" s="25" t="str">
        <f aca="false">IFERROR(IF(INDEX(Documents!$G$5:$G$657,MATCH(H3065,Documents!$A$5:$A$657,0))="","",INDEX(Documents!$G$5:$G$657,MATCH(H3065,Documents!$A$5:$A$657,0))),"")</f>
        <v>10.1016/j.ejmech.2010.09.053</v>
      </c>
      <c r="L3065" s="25" t="s">
        <v>1813</v>
      </c>
    </row>
    <row r="3066" customFormat="false" ht="15" hidden="false" customHeight="false" outlineLevel="0" collapsed="false">
      <c r="A3066" s="25" t="n">
        <v>5100348</v>
      </c>
      <c r="B3066" s="25" t="s">
        <v>6528</v>
      </c>
      <c r="C3066" s="25" t="s">
        <v>6529</v>
      </c>
      <c r="D3066" s="26" t="n">
        <v>163.4</v>
      </c>
      <c r="E3066" s="27" t="n">
        <v>6.7867479478036</v>
      </c>
      <c r="F3066" s="27" t="n">
        <v>6.7867479478036</v>
      </c>
      <c r="G3066" s="25" t="s">
        <v>1811</v>
      </c>
      <c r="H3066" s="25" t="s">
        <v>1812</v>
      </c>
      <c r="I3066" s="25" t="n">
        <f aca="false">IFERROR(IF(INDEX(Documents!$C$5:$C$657,MATCH(H3066,Documents!$A$5:$A$657,0))="","",INDEX(Documents!$C$5:$C$657,MATCH(H3066,Documents!$A$5:$A$657,0))),"")</f>
        <v>2010</v>
      </c>
      <c r="J3066" s="25" t="str">
        <f aca="false">IFERROR(IF(INDEX(Documents!$D$5:$D$657,MATCH(H3066,Documents!$A$5:$A$657,0))="","",INDEX(Documents!$D$5:$D$657,MATCH(H3066,Documents!$A$5:$A$657,0))),"")</f>
        <v>Eur J Med Chem</v>
      </c>
      <c r="K3066" s="25" t="str">
        <f aca="false">IFERROR(IF(INDEX(Documents!$G$5:$G$657,MATCH(H3066,Documents!$A$5:$A$657,0))="","",INDEX(Documents!$G$5:$G$657,MATCH(H3066,Documents!$A$5:$A$657,0))),"")</f>
        <v>10.1016/j.ejmech.2010.09.053</v>
      </c>
      <c r="L3066" s="25" t="s">
        <v>1813</v>
      </c>
    </row>
    <row r="3067" customFormat="false" ht="15" hidden="false" customHeight="false" outlineLevel="0" collapsed="false">
      <c r="A3067" s="25" t="n">
        <v>3516734</v>
      </c>
      <c r="B3067" s="25" t="s">
        <v>6530</v>
      </c>
      <c r="C3067" s="25" t="s">
        <v>6531</v>
      </c>
      <c r="D3067" s="26" t="n">
        <v>426</v>
      </c>
      <c r="E3067" s="27" t="n">
        <v>6.37059040089728</v>
      </c>
      <c r="F3067" s="27" t="n">
        <v>6.37059040089728</v>
      </c>
      <c r="G3067" s="25" t="s">
        <v>6532</v>
      </c>
      <c r="H3067" s="25" t="s">
        <v>6533</v>
      </c>
      <c r="I3067" s="25" t="n">
        <f aca="false">IFERROR(IF(INDEX(Documents!$C$5:$C$657,MATCH(H3067,Documents!$A$5:$A$657,0))="","",INDEX(Documents!$C$5:$C$657,MATCH(H3067,Documents!$A$5:$A$657,0))),"")</f>
        <v>2010</v>
      </c>
      <c r="J3067" s="25" t="str">
        <f aca="false">IFERROR(IF(INDEX(Documents!$D$5:$D$657,MATCH(H3067,Documents!$A$5:$A$657,0))="","",INDEX(Documents!$D$5:$D$657,MATCH(H3067,Documents!$A$5:$A$657,0))),"")</f>
        <v>J Med Chem</v>
      </c>
      <c r="K3067" s="25" t="str">
        <f aca="false">IFERROR(IF(INDEX(Documents!$G$5:$G$657,MATCH(H3067,Documents!$A$5:$A$657,0))="","",INDEX(Documents!$G$5:$G$657,MATCH(H3067,Documents!$A$5:$A$657,0))),"")</f>
        <v>10.1021/jm1006676</v>
      </c>
      <c r="L3067" s="25" t="s">
        <v>6534</v>
      </c>
    </row>
    <row r="3068" customFormat="false" ht="15" hidden="false" customHeight="false" outlineLevel="0" collapsed="false">
      <c r="A3068" s="25" t="n">
        <v>3517577</v>
      </c>
      <c r="B3068" s="25" t="s">
        <v>6535</v>
      </c>
      <c r="C3068" s="25" t="s">
        <v>6536</v>
      </c>
      <c r="D3068" s="26" t="n">
        <v>305</v>
      </c>
      <c r="E3068" s="27" t="n">
        <v>6.51570016065321</v>
      </c>
      <c r="F3068" s="27" t="n">
        <v>6.51570016065321</v>
      </c>
      <c r="G3068" s="25" t="s">
        <v>6532</v>
      </c>
      <c r="H3068" s="25" t="s">
        <v>6533</v>
      </c>
      <c r="I3068" s="25" t="n">
        <f aca="false">IFERROR(IF(INDEX(Documents!$C$5:$C$657,MATCH(H3068,Documents!$A$5:$A$657,0))="","",INDEX(Documents!$C$5:$C$657,MATCH(H3068,Documents!$A$5:$A$657,0))),"")</f>
        <v>2010</v>
      </c>
      <c r="J3068" s="25" t="str">
        <f aca="false">IFERROR(IF(INDEX(Documents!$D$5:$D$657,MATCH(H3068,Documents!$A$5:$A$657,0))="","",INDEX(Documents!$D$5:$D$657,MATCH(H3068,Documents!$A$5:$A$657,0))),"")</f>
        <v>J Med Chem</v>
      </c>
      <c r="K3068" s="25" t="str">
        <f aca="false">IFERROR(IF(INDEX(Documents!$G$5:$G$657,MATCH(H3068,Documents!$A$5:$A$657,0))="","",INDEX(Documents!$G$5:$G$657,MATCH(H3068,Documents!$A$5:$A$657,0))),"")</f>
        <v>10.1021/jm1006676</v>
      </c>
      <c r="L3068" s="25" t="s">
        <v>6534</v>
      </c>
    </row>
    <row r="3069" customFormat="false" ht="15" hidden="false" customHeight="false" outlineLevel="0" collapsed="false">
      <c r="A3069" s="25" t="n">
        <v>3516735</v>
      </c>
      <c r="B3069" s="25" t="s">
        <v>6537</v>
      </c>
      <c r="C3069" s="25" t="s">
        <v>6538</v>
      </c>
      <c r="D3069" s="26" t="n">
        <v>265</v>
      </c>
      <c r="E3069" s="27" t="n">
        <v>6.57675412606319</v>
      </c>
      <c r="F3069" s="27" t="n">
        <v>6.57675412606319</v>
      </c>
      <c r="G3069" s="25" t="s">
        <v>6532</v>
      </c>
      <c r="H3069" s="25" t="s">
        <v>6533</v>
      </c>
      <c r="I3069" s="25" t="n">
        <f aca="false">IFERROR(IF(INDEX(Documents!$C$5:$C$657,MATCH(H3069,Documents!$A$5:$A$657,0))="","",INDEX(Documents!$C$5:$C$657,MATCH(H3069,Documents!$A$5:$A$657,0))),"")</f>
        <v>2010</v>
      </c>
      <c r="J3069" s="25" t="str">
        <f aca="false">IFERROR(IF(INDEX(Documents!$D$5:$D$657,MATCH(H3069,Documents!$A$5:$A$657,0))="","",INDEX(Documents!$D$5:$D$657,MATCH(H3069,Documents!$A$5:$A$657,0))),"")</f>
        <v>J Med Chem</v>
      </c>
      <c r="K3069" s="25" t="str">
        <f aca="false">IFERROR(IF(INDEX(Documents!$G$5:$G$657,MATCH(H3069,Documents!$A$5:$A$657,0))="","",INDEX(Documents!$G$5:$G$657,MATCH(H3069,Documents!$A$5:$A$657,0))),"")</f>
        <v>10.1021/jm1006676</v>
      </c>
      <c r="L3069" s="25" t="s">
        <v>6534</v>
      </c>
    </row>
    <row r="3070" customFormat="false" ht="15" hidden="false" customHeight="false" outlineLevel="0" collapsed="false">
      <c r="A3070" s="25" t="n">
        <v>3517578</v>
      </c>
      <c r="B3070" s="25" t="s">
        <v>6539</v>
      </c>
      <c r="C3070" s="25" t="s">
        <v>6540</v>
      </c>
      <c r="D3070" s="26" t="n">
        <v>419</v>
      </c>
      <c r="E3070" s="27" t="n">
        <v>6.37778597703371</v>
      </c>
      <c r="F3070" s="27" t="n">
        <v>6.37778597703371</v>
      </c>
      <c r="G3070" s="25" t="s">
        <v>6532</v>
      </c>
      <c r="H3070" s="25" t="s">
        <v>6533</v>
      </c>
      <c r="I3070" s="25" t="n">
        <f aca="false">IFERROR(IF(INDEX(Documents!$C$5:$C$657,MATCH(H3070,Documents!$A$5:$A$657,0))="","",INDEX(Documents!$C$5:$C$657,MATCH(H3070,Documents!$A$5:$A$657,0))),"")</f>
        <v>2010</v>
      </c>
      <c r="J3070" s="25" t="str">
        <f aca="false">IFERROR(IF(INDEX(Documents!$D$5:$D$657,MATCH(H3070,Documents!$A$5:$A$657,0))="","",INDEX(Documents!$D$5:$D$657,MATCH(H3070,Documents!$A$5:$A$657,0))),"")</f>
        <v>J Med Chem</v>
      </c>
      <c r="K3070" s="25" t="str">
        <f aca="false">IFERROR(IF(INDEX(Documents!$G$5:$G$657,MATCH(H3070,Documents!$A$5:$A$657,0))="","",INDEX(Documents!$G$5:$G$657,MATCH(H3070,Documents!$A$5:$A$657,0))),"")</f>
        <v>10.1021/jm1006676</v>
      </c>
      <c r="L3070" s="25" t="s">
        <v>6534</v>
      </c>
    </row>
    <row r="3071" customFormat="false" ht="15" hidden="false" customHeight="false" outlineLevel="0" collapsed="false">
      <c r="A3071" s="25" t="n">
        <v>15039080</v>
      </c>
      <c r="B3071" s="25" t="s">
        <v>6541</v>
      </c>
      <c r="C3071" s="25" t="s">
        <v>6542</v>
      </c>
      <c r="D3071" s="26" t="n">
        <v>31000</v>
      </c>
      <c r="E3071" s="27" t="n">
        <v>4.50863830616573</v>
      </c>
      <c r="F3071" s="27" t="n">
        <v>4.50863830616573</v>
      </c>
      <c r="G3071" s="25" t="s">
        <v>6543</v>
      </c>
      <c r="H3071" s="25" t="s">
        <v>6544</v>
      </c>
      <c r="I3071" s="25" t="n">
        <f aca="false">IFERROR(IF(INDEX(Documents!$C$5:$C$657,MATCH(H3071,Documents!$A$5:$A$657,0))="","",INDEX(Documents!$C$5:$C$657,MATCH(H3071,Documents!$A$5:$A$657,0))),"")</f>
        <v>2014</v>
      </c>
      <c r="J3071" s="25" t="str">
        <f aca="false">IFERROR(IF(INDEX(Documents!$D$5:$D$657,MATCH(H3071,Documents!$A$5:$A$657,0))="","",INDEX(Documents!$D$5:$D$657,MATCH(H3071,Documents!$A$5:$A$657,0))),"")</f>
        <v>Bioorg Med Chem Lett</v>
      </c>
      <c r="K3071" s="25" t="str">
        <f aca="false">IFERROR(IF(INDEX(Documents!$G$5:$G$657,MATCH(H3071,Documents!$A$5:$A$657,0))="","",INDEX(Documents!$G$5:$G$657,MATCH(H3071,Documents!$A$5:$A$657,0))),"")</f>
        <v>10.1016/j.bmcl.2014.07.038</v>
      </c>
      <c r="L3071" s="25" t="s">
        <v>6545</v>
      </c>
    </row>
    <row r="3072" customFormat="false" ht="15" hidden="false" customHeight="false" outlineLevel="0" collapsed="false">
      <c r="A3072" s="25" t="n">
        <v>3516736</v>
      </c>
      <c r="B3072" s="25" t="s">
        <v>6546</v>
      </c>
      <c r="C3072" s="25" t="s">
        <v>6547</v>
      </c>
      <c r="D3072" s="26" t="n">
        <v>1934</v>
      </c>
      <c r="E3072" s="27" t="n">
        <v>5.71354353025302</v>
      </c>
      <c r="F3072" s="27" t="n">
        <v>5.71354353025302</v>
      </c>
      <c r="G3072" s="25" t="s">
        <v>6532</v>
      </c>
      <c r="H3072" s="25" t="s">
        <v>6533</v>
      </c>
      <c r="I3072" s="25" t="n">
        <f aca="false">IFERROR(IF(INDEX(Documents!$C$5:$C$657,MATCH(H3072,Documents!$A$5:$A$657,0))="","",INDEX(Documents!$C$5:$C$657,MATCH(H3072,Documents!$A$5:$A$657,0))),"")</f>
        <v>2010</v>
      </c>
      <c r="J3072" s="25" t="str">
        <f aca="false">IFERROR(IF(INDEX(Documents!$D$5:$D$657,MATCH(H3072,Documents!$A$5:$A$657,0))="","",INDEX(Documents!$D$5:$D$657,MATCH(H3072,Documents!$A$5:$A$657,0))),"")</f>
        <v>J Med Chem</v>
      </c>
      <c r="K3072" s="25" t="str">
        <f aca="false">IFERROR(IF(INDEX(Documents!$G$5:$G$657,MATCH(H3072,Documents!$A$5:$A$657,0))="","",INDEX(Documents!$G$5:$G$657,MATCH(H3072,Documents!$A$5:$A$657,0))),"")</f>
        <v>10.1021/jm1006676</v>
      </c>
      <c r="L3072" s="25" t="s">
        <v>6534</v>
      </c>
    </row>
    <row r="3073" customFormat="false" ht="15" hidden="false" customHeight="false" outlineLevel="0" collapsed="false">
      <c r="A3073" s="25" t="n">
        <v>3516740</v>
      </c>
      <c r="B3073" s="25" t="s">
        <v>6548</v>
      </c>
      <c r="C3073" s="25" t="s">
        <v>6549</v>
      </c>
      <c r="D3073" s="26" t="n">
        <v>683</v>
      </c>
      <c r="E3073" s="27" t="n">
        <v>6.16557929631847</v>
      </c>
      <c r="F3073" s="27" t="n">
        <v>6.16557929631847</v>
      </c>
      <c r="G3073" s="25" t="s">
        <v>6532</v>
      </c>
      <c r="H3073" s="25" t="s">
        <v>6533</v>
      </c>
      <c r="I3073" s="25" t="n">
        <f aca="false">IFERROR(IF(INDEX(Documents!$C$5:$C$657,MATCH(H3073,Documents!$A$5:$A$657,0))="","",INDEX(Documents!$C$5:$C$657,MATCH(H3073,Documents!$A$5:$A$657,0))),"")</f>
        <v>2010</v>
      </c>
      <c r="J3073" s="25" t="str">
        <f aca="false">IFERROR(IF(INDEX(Documents!$D$5:$D$657,MATCH(H3073,Documents!$A$5:$A$657,0))="","",INDEX(Documents!$D$5:$D$657,MATCH(H3073,Documents!$A$5:$A$657,0))),"")</f>
        <v>J Med Chem</v>
      </c>
      <c r="K3073" s="25" t="str">
        <f aca="false">IFERROR(IF(INDEX(Documents!$G$5:$G$657,MATCH(H3073,Documents!$A$5:$A$657,0))="","",INDEX(Documents!$G$5:$G$657,MATCH(H3073,Documents!$A$5:$A$657,0))),"")</f>
        <v>10.1021/jm1006676</v>
      </c>
      <c r="L3073" s="25" t="s">
        <v>6534</v>
      </c>
    </row>
    <row r="3074" customFormat="false" ht="15" hidden="false" customHeight="false" outlineLevel="0" collapsed="false">
      <c r="A3074" s="25" t="n">
        <v>3517579</v>
      </c>
      <c r="B3074" s="25" t="s">
        <v>6550</v>
      </c>
      <c r="C3074" s="25" t="s">
        <v>6551</v>
      </c>
      <c r="D3074" s="26" t="n">
        <v>622</v>
      </c>
      <c r="E3074" s="27" t="n">
        <v>6.20620961530918</v>
      </c>
      <c r="F3074" s="27" t="n">
        <v>6.20620961530918</v>
      </c>
      <c r="G3074" s="25" t="s">
        <v>6532</v>
      </c>
      <c r="H3074" s="25" t="s">
        <v>6533</v>
      </c>
      <c r="I3074" s="25" t="n">
        <f aca="false">IFERROR(IF(INDEX(Documents!$C$5:$C$657,MATCH(H3074,Documents!$A$5:$A$657,0))="","",INDEX(Documents!$C$5:$C$657,MATCH(H3074,Documents!$A$5:$A$657,0))),"")</f>
        <v>2010</v>
      </c>
      <c r="J3074" s="25" t="str">
        <f aca="false">IFERROR(IF(INDEX(Documents!$D$5:$D$657,MATCH(H3074,Documents!$A$5:$A$657,0))="","",INDEX(Documents!$D$5:$D$657,MATCH(H3074,Documents!$A$5:$A$657,0))),"")</f>
        <v>J Med Chem</v>
      </c>
      <c r="K3074" s="25" t="str">
        <f aca="false">IFERROR(IF(INDEX(Documents!$G$5:$G$657,MATCH(H3074,Documents!$A$5:$A$657,0))="","",INDEX(Documents!$G$5:$G$657,MATCH(H3074,Documents!$A$5:$A$657,0))),"")</f>
        <v>10.1021/jm1006676</v>
      </c>
      <c r="L3074" s="25" t="s">
        <v>6534</v>
      </c>
    </row>
    <row r="3075" customFormat="false" ht="15" hidden="false" customHeight="false" outlineLevel="0" collapsed="false">
      <c r="A3075" s="25" t="n">
        <v>3517585</v>
      </c>
      <c r="B3075" s="25" t="s">
        <v>6552</v>
      </c>
      <c r="C3075" s="25" t="s">
        <v>6553</v>
      </c>
      <c r="D3075" s="26" t="n">
        <v>553</v>
      </c>
      <c r="E3075" s="27" t="n">
        <v>6.2572748686953</v>
      </c>
      <c r="F3075" s="27" t="n">
        <v>6.2572748686953</v>
      </c>
      <c r="G3075" s="25" t="s">
        <v>6532</v>
      </c>
      <c r="H3075" s="25" t="s">
        <v>6533</v>
      </c>
      <c r="I3075" s="25" t="n">
        <f aca="false">IFERROR(IF(INDEX(Documents!$C$5:$C$657,MATCH(H3075,Documents!$A$5:$A$657,0))="","",INDEX(Documents!$C$5:$C$657,MATCH(H3075,Documents!$A$5:$A$657,0))),"")</f>
        <v>2010</v>
      </c>
      <c r="J3075" s="25" t="str">
        <f aca="false">IFERROR(IF(INDEX(Documents!$D$5:$D$657,MATCH(H3075,Documents!$A$5:$A$657,0))="","",INDEX(Documents!$D$5:$D$657,MATCH(H3075,Documents!$A$5:$A$657,0))),"")</f>
        <v>J Med Chem</v>
      </c>
      <c r="K3075" s="25" t="str">
        <f aca="false">IFERROR(IF(INDEX(Documents!$G$5:$G$657,MATCH(H3075,Documents!$A$5:$A$657,0))="","",INDEX(Documents!$G$5:$G$657,MATCH(H3075,Documents!$A$5:$A$657,0))),"")</f>
        <v>10.1021/jm1006676</v>
      </c>
      <c r="L3075" s="25" t="s">
        <v>6534</v>
      </c>
    </row>
    <row r="3076" customFormat="false" ht="15" hidden="false" customHeight="false" outlineLevel="0" collapsed="false">
      <c r="A3076" s="25" t="n">
        <v>6386899</v>
      </c>
      <c r="B3076" s="25" t="s">
        <v>6554</v>
      </c>
      <c r="C3076" s="25" t="s">
        <v>6555</v>
      </c>
      <c r="D3076" s="26" t="n">
        <v>780</v>
      </c>
      <c r="E3076" s="27" t="n">
        <v>6.10790539730952</v>
      </c>
      <c r="F3076" s="27" t="n">
        <v>6.10790539730952</v>
      </c>
      <c r="G3076" s="25" t="s">
        <v>6517</v>
      </c>
      <c r="H3076" s="25" t="s">
        <v>6518</v>
      </c>
      <c r="I3076" s="25" t="n">
        <f aca="false">IFERROR(IF(INDEX(Documents!$C$5:$C$657,MATCH(H3076,Documents!$A$5:$A$657,0))="","",INDEX(Documents!$C$5:$C$657,MATCH(H3076,Documents!$A$5:$A$657,0))),"")</f>
        <v>2011</v>
      </c>
      <c r="J3076" s="25" t="str">
        <f aca="false">IFERROR(IF(INDEX(Documents!$D$5:$D$657,MATCH(H3076,Documents!$A$5:$A$657,0))="","",INDEX(Documents!$D$5:$D$657,MATCH(H3076,Documents!$A$5:$A$657,0))),"")</f>
        <v>Bioorg Med Chem Lett</v>
      </c>
      <c r="K3076" s="25" t="str">
        <f aca="false">IFERROR(IF(INDEX(Documents!$G$5:$G$657,MATCH(H3076,Documents!$A$5:$A$657,0))="","",INDEX(Documents!$G$5:$G$657,MATCH(H3076,Documents!$A$5:$A$657,0))),"")</f>
        <v>10.1016/j.bmcl.2011.08.032</v>
      </c>
      <c r="L3076" s="25" t="s">
        <v>6519</v>
      </c>
    </row>
    <row r="3077" customFormat="false" ht="15" hidden="false" customHeight="false" outlineLevel="0" collapsed="false">
      <c r="A3077" s="25" t="n">
        <v>6386896</v>
      </c>
      <c r="B3077" s="25" t="s">
        <v>6556</v>
      </c>
      <c r="C3077" s="25" t="s">
        <v>6557</v>
      </c>
      <c r="D3077" s="26" t="n">
        <v>1010</v>
      </c>
      <c r="E3077" s="27" t="n">
        <v>5.99567862621736</v>
      </c>
      <c r="F3077" s="27" t="n">
        <v>5.99567862621736</v>
      </c>
      <c r="G3077" s="25" t="s">
        <v>6517</v>
      </c>
      <c r="H3077" s="25" t="s">
        <v>6518</v>
      </c>
      <c r="I3077" s="25" t="n">
        <f aca="false">IFERROR(IF(INDEX(Documents!$C$5:$C$657,MATCH(H3077,Documents!$A$5:$A$657,0))="","",INDEX(Documents!$C$5:$C$657,MATCH(H3077,Documents!$A$5:$A$657,0))),"")</f>
        <v>2011</v>
      </c>
      <c r="J3077" s="25" t="str">
        <f aca="false">IFERROR(IF(INDEX(Documents!$D$5:$D$657,MATCH(H3077,Documents!$A$5:$A$657,0))="","",INDEX(Documents!$D$5:$D$657,MATCH(H3077,Documents!$A$5:$A$657,0))),"")</f>
        <v>Bioorg Med Chem Lett</v>
      </c>
      <c r="K3077" s="25" t="str">
        <f aca="false">IFERROR(IF(INDEX(Documents!$G$5:$G$657,MATCH(H3077,Documents!$A$5:$A$657,0))="","",INDEX(Documents!$G$5:$G$657,MATCH(H3077,Documents!$A$5:$A$657,0))),"")</f>
        <v>10.1016/j.bmcl.2011.08.032</v>
      </c>
      <c r="L3077" s="25" t="s">
        <v>6519</v>
      </c>
    </row>
    <row r="3078" customFormat="false" ht="15" hidden="false" customHeight="false" outlineLevel="0" collapsed="false">
      <c r="A3078" s="25" t="n">
        <v>3516741</v>
      </c>
      <c r="B3078" s="25" t="s">
        <v>6558</v>
      </c>
      <c r="C3078" s="25" t="s">
        <v>6559</v>
      </c>
      <c r="D3078" s="26" t="n">
        <v>1037</v>
      </c>
      <c r="E3078" s="27" t="n">
        <v>5.98422124361096</v>
      </c>
      <c r="F3078" s="27" t="n">
        <v>5.98422124361096</v>
      </c>
      <c r="G3078" s="25" t="s">
        <v>6532</v>
      </c>
      <c r="H3078" s="25" t="s">
        <v>6533</v>
      </c>
      <c r="I3078" s="25" t="n">
        <f aca="false">IFERROR(IF(INDEX(Documents!$C$5:$C$657,MATCH(H3078,Documents!$A$5:$A$657,0))="","",INDEX(Documents!$C$5:$C$657,MATCH(H3078,Documents!$A$5:$A$657,0))),"")</f>
        <v>2010</v>
      </c>
      <c r="J3078" s="25" t="str">
        <f aca="false">IFERROR(IF(INDEX(Documents!$D$5:$D$657,MATCH(H3078,Documents!$A$5:$A$657,0))="","",INDEX(Documents!$D$5:$D$657,MATCH(H3078,Documents!$A$5:$A$657,0))),"")</f>
        <v>J Med Chem</v>
      </c>
      <c r="K3078" s="25" t="str">
        <f aca="false">IFERROR(IF(INDEX(Documents!$G$5:$G$657,MATCH(H3078,Documents!$A$5:$A$657,0))="","",INDEX(Documents!$G$5:$G$657,MATCH(H3078,Documents!$A$5:$A$657,0))),"")</f>
        <v>10.1021/jm1006676</v>
      </c>
      <c r="L3078" s="25" t="s">
        <v>6534</v>
      </c>
    </row>
    <row r="3079" customFormat="false" ht="15" hidden="false" customHeight="false" outlineLevel="0" collapsed="false">
      <c r="A3079" s="25" t="n">
        <v>3517586</v>
      </c>
      <c r="B3079" s="25" t="s">
        <v>6560</v>
      </c>
      <c r="C3079" s="25" t="s">
        <v>6561</v>
      </c>
      <c r="D3079" s="26" t="n">
        <v>451</v>
      </c>
      <c r="E3079" s="27" t="n">
        <v>6.34582345812204</v>
      </c>
      <c r="F3079" s="27" t="n">
        <v>6.34582345812204</v>
      </c>
      <c r="G3079" s="25" t="s">
        <v>6532</v>
      </c>
      <c r="H3079" s="25" t="s">
        <v>6533</v>
      </c>
      <c r="I3079" s="25" t="n">
        <f aca="false">IFERROR(IF(INDEX(Documents!$C$5:$C$657,MATCH(H3079,Documents!$A$5:$A$657,0))="","",INDEX(Documents!$C$5:$C$657,MATCH(H3079,Documents!$A$5:$A$657,0))),"")</f>
        <v>2010</v>
      </c>
      <c r="J3079" s="25" t="str">
        <f aca="false">IFERROR(IF(INDEX(Documents!$D$5:$D$657,MATCH(H3079,Documents!$A$5:$A$657,0))="","",INDEX(Documents!$D$5:$D$657,MATCH(H3079,Documents!$A$5:$A$657,0))),"")</f>
        <v>J Med Chem</v>
      </c>
      <c r="K3079" s="25" t="str">
        <f aca="false">IFERROR(IF(INDEX(Documents!$G$5:$G$657,MATCH(H3079,Documents!$A$5:$A$657,0))="","",INDEX(Documents!$G$5:$G$657,MATCH(H3079,Documents!$A$5:$A$657,0))),"")</f>
        <v>10.1021/jm1006676</v>
      </c>
      <c r="L3079" s="25" t="s">
        <v>6534</v>
      </c>
    </row>
    <row r="3080" customFormat="false" ht="15" hidden="false" customHeight="false" outlineLevel="0" collapsed="false">
      <c r="A3080" s="25" t="n">
        <v>5100334</v>
      </c>
      <c r="B3080" s="25" t="s">
        <v>6562</v>
      </c>
      <c r="C3080" s="25" t="s">
        <v>6563</v>
      </c>
      <c r="D3080" s="26" t="n">
        <v>3200.5</v>
      </c>
      <c r="E3080" s="27" t="n">
        <v>5.49478216846819</v>
      </c>
      <c r="F3080" s="27" t="n">
        <v>5.49478216846819</v>
      </c>
      <c r="G3080" s="25" t="s">
        <v>1811</v>
      </c>
      <c r="H3080" s="25" t="s">
        <v>1812</v>
      </c>
      <c r="I3080" s="25" t="n">
        <f aca="false">IFERROR(IF(INDEX(Documents!$C$5:$C$657,MATCH(H3080,Documents!$A$5:$A$657,0))="","",INDEX(Documents!$C$5:$C$657,MATCH(H3080,Documents!$A$5:$A$657,0))),"")</f>
        <v>2010</v>
      </c>
      <c r="J3080" s="25" t="str">
        <f aca="false">IFERROR(IF(INDEX(Documents!$D$5:$D$657,MATCH(H3080,Documents!$A$5:$A$657,0))="","",INDEX(Documents!$D$5:$D$657,MATCH(H3080,Documents!$A$5:$A$657,0))),"")</f>
        <v>Eur J Med Chem</v>
      </c>
      <c r="K3080" s="25" t="str">
        <f aca="false">IFERROR(IF(INDEX(Documents!$G$5:$G$657,MATCH(H3080,Documents!$A$5:$A$657,0))="","",INDEX(Documents!$G$5:$G$657,MATCH(H3080,Documents!$A$5:$A$657,0))),"")</f>
        <v>10.1016/j.ejmech.2010.09.053</v>
      </c>
      <c r="L3080" s="25" t="s">
        <v>1813</v>
      </c>
    </row>
    <row r="3081" customFormat="false" ht="15" hidden="false" customHeight="false" outlineLevel="0" collapsed="false">
      <c r="A3081" s="25" t="n">
        <v>5100328</v>
      </c>
      <c r="B3081" s="25" t="s">
        <v>6564</v>
      </c>
      <c r="C3081" s="25" t="s">
        <v>6565</v>
      </c>
      <c r="D3081" s="26" t="n">
        <v>2344.4</v>
      </c>
      <c r="E3081" s="27" t="n">
        <v>5.62996828729042</v>
      </c>
      <c r="F3081" s="27" t="n">
        <v>5.62996828729042</v>
      </c>
      <c r="G3081" s="25" t="s">
        <v>1811</v>
      </c>
      <c r="H3081" s="25" t="s">
        <v>1812</v>
      </c>
      <c r="I3081" s="25" t="n">
        <f aca="false">IFERROR(IF(INDEX(Documents!$C$5:$C$657,MATCH(H3081,Documents!$A$5:$A$657,0))="","",INDEX(Documents!$C$5:$C$657,MATCH(H3081,Documents!$A$5:$A$657,0))),"")</f>
        <v>2010</v>
      </c>
      <c r="J3081" s="25" t="str">
        <f aca="false">IFERROR(IF(INDEX(Documents!$D$5:$D$657,MATCH(H3081,Documents!$A$5:$A$657,0))="","",INDEX(Documents!$D$5:$D$657,MATCH(H3081,Documents!$A$5:$A$657,0))),"")</f>
        <v>Eur J Med Chem</v>
      </c>
      <c r="K3081" s="25" t="str">
        <f aca="false">IFERROR(IF(INDEX(Documents!$G$5:$G$657,MATCH(H3081,Documents!$A$5:$A$657,0))="","",INDEX(Documents!$G$5:$G$657,MATCH(H3081,Documents!$A$5:$A$657,0))),"")</f>
        <v>10.1016/j.ejmech.2010.09.053</v>
      </c>
      <c r="L3081" s="25" t="s">
        <v>1813</v>
      </c>
    </row>
    <row r="3082" customFormat="false" ht="15" hidden="false" customHeight="false" outlineLevel="0" collapsed="false">
      <c r="A3082" s="25" t="n">
        <v>15039078</v>
      </c>
      <c r="B3082" s="25" t="s">
        <v>6566</v>
      </c>
      <c r="C3082" s="25" t="s">
        <v>6567</v>
      </c>
      <c r="D3082" s="26" t="n">
        <v>2400</v>
      </c>
      <c r="E3082" s="27" t="n">
        <v>5.61978875828839</v>
      </c>
      <c r="F3082" s="27" t="n">
        <v>5.61978875828839</v>
      </c>
      <c r="G3082" s="25" t="s">
        <v>6543</v>
      </c>
      <c r="H3082" s="25" t="s">
        <v>6544</v>
      </c>
      <c r="I3082" s="25" t="n">
        <f aca="false">IFERROR(IF(INDEX(Documents!$C$5:$C$657,MATCH(H3082,Documents!$A$5:$A$657,0))="","",INDEX(Documents!$C$5:$C$657,MATCH(H3082,Documents!$A$5:$A$657,0))),"")</f>
        <v>2014</v>
      </c>
      <c r="J3082" s="25" t="str">
        <f aca="false">IFERROR(IF(INDEX(Documents!$D$5:$D$657,MATCH(H3082,Documents!$A$5:$A$657,0))="","",INDEX(Documents!$D$5:$D$657,MATCH(H3082,Documents!$A$5:$A$657,0))),"")</f>
        <v>Bioorg Med Chem Lett</v>
      </c>
      <c r="K3082" s="25" t="str">
        <f aca="false">IFERROR(IF(INDEX(Documents!$G$5:$G$657,MATCH(H3082,Documents!$A$5:$A$657,0))="","",INDEX(Documents!$G$5:$G$657,MATCH(H3082,Documents!$A$5:$A$657,0))),"")</f>
        <v>10.1016/j.bmcl.2014.07.038</v>
      </c>
      <c r="L3082" s="25" t="s">
        <v>6545</v>
      </c>
    </row>
    <row r="3083" customFormat="false" ht="15" hidden="false" customHeight="false" outlineLevel="0" collapsed="false">
      <c r="A3083" s="25" t="n">
        <v>15039079</v>
      </c>
      <c r="B3083" s="25" t="s">
        <v>6568</v>
      </c>
      <c r="C3083" s="25" t="s">
        <v>6569</v>
      </c>
      <c r="D3083" s="26" t="n">
        <v>12700</v>
      </c>
      <c r="E3083" s="27" t="n">
        <v>4.89619627904404</v>
      </c>
      <c r="F3083" s="27" t="n">
        <v>4.89619627904404</v>
      </c>
      <c r="G3083" s="25" t="s">
        <v>6543</v>
      </c>
      <c r="H3083" s="25" t="s">
        <v>6544</v>
      </c>
      <c r="I3083" s="25" t="n">
        <f aca="false">IFERROR(IF(INDEX(Documents!$C$5:$C$657,MATCH(H3083,Documents!$A$5:$A$657,0))="","",INDEX(Documents!$C$5:$C$657,MATCH(H3083,Documents!$A$5:$A$657,0))),"")</f>
        <v>2014</v>
      </c>
      <c r="J3083" s="25" t="str">
        <f aca="false">IFERROR(IF(INDEX(Documents!$D$5:$D$657,MATCH(H3083,Documents!$A$5:$A$657,0))="","",INDEX(Documents!$D$5:$D$657,MATCH(H3083,Documents!$A$5:$A$657,0))),"")</f>
        <v>Bioorg Med Chem Lett</v>
      </c>
      <c r="K3083" s="25" t="str">
        <f aca="false">IFERROR(IF(INDEX(Documents!$G$5:$G$657,MATCH(H3083,Documents!$A$5:$A$657,0))="","",INDEX(Documents!$G$5:$G$657,MATCH(H3083,Documents!$A$5:$A$657,0))),"")</f>
        <v>10.1016/j.bmcl.2014.07.038</v>
      </c>
      <c r="L3083" s="25" t="s">
        <v>6545</v>
      </c>
    </row>
    <row r="3084" customFormat="false" ht="15" hidden="false" customHeight="false" outlineLevel="0" collapsed="false">
      <c r="A3084" s="25" t="n">
        <v>3517587</v>
      </c>
      <c r="B3084" s="25" t="s">
        <v>6570</v>
      </c>
      <c r="C3084" s="25" t="s">
        <v>6571</v>
      </c>
      <c r="D3084" s="26" t="n">
        <v>496</v>
      </c>
      <c r="E3084" s="27" t="n">
        <v>6.3045183235098</v>
      </c>
      <c r="F3084" s="27" t="n">
        <v>6.3045183235098</v>
      </c>
      <c r="G3084" s="25" t="s">
        <v>6532</v>
      </c>
      <c r="H3084" s="25" t="s">
        <v>6533</v>
      </c>
      <c r="I3084" s="25" t="n">
        <f aca="false">IFERROR(IF(INDEX(Documents!$C$5:$C$657,MATCH(H3084,Documents!$A$5:$A$657,0))="","",INDEX(Documents!$C$5:$C$657,MATCH(H3084,Documents!$A$5:$A$657,0))),"")</f>
        <v>2010</v>
      </c>
      <c r="J3084" s="25" t="str">
        <f aca="false">IFERROR(IF(INDEX(Documents!$D$5:$D$657,MATCH(H3084,Documents!$A$5:$A$657,0))="","",INDEX(Documents!$D$5:$D$657,MATCH(H3084,Documents!$A$5:$A$657,0))),"")</f>
        <v>J Med Chem</v>
      </c>
      <c r="K3084" s="25" t="str">
        <f aca="false">IFERROR(IF(INDEX(Documents!$G$5:$G$657,MATCH(H3084,Documents!$A$5:$A$657,0))="","",INDEX(Documents!$G$5:$G$657,MATCH(H3084,Documents!$A$5:$A$657,0))),"")</f>
        <v>10.1021/jm1006676</v>
      </c>
      <c r="L3084" s="25" t="s">
        <v>6534</v>
      </c>
    </row>
    <row r="3085" customFormat="false" ht="15" hidden="false" customHeight="false" outlineLevel="0" collapsed="false">
      <c r="A3085" s="25" t="n">
        <v>3517588</v>
      </c>
      <c r="B3085" s="25" t="s">
        <v>6572</v>
      </c>
      <c r="C3085" s="25" t="s">
        <v>6573</v>
      </c>
      <c r="D3085" s="26" t="n">
        <v>1285</v>
      </c>
      <c r="E3085" s="27" t="n">
        <v>5.89109687233269</v>
      </c>
      <c r="F3085" s="27" t="n">
        <v>5.89109687233269</v>
      </c>
      <c r="G3085" s="25" t="s">
        <v>6532</v>
      </c>
      <c r="H3085" s="25" t="s">
        <v>6533</v>
      </c>
      <c r="I3085" s="25" t="n">
        <f aca="false">IFERROR(IF(INDEX(Documents!$C$5:$C$657,MATCH(H3085,Documents!$A$5:$A$657,0))="","",INDEX(Documents!$C$5:$C$657,MATCH(H3085,Documents!$A$5:$A$657,0))),"")</f>
        <v>2010</v>
      </c>
      <c r="J3085" s="25" t="str">
        <f aca="false">IFERROR(IF(INDEX(Documents!$D$5:$D$657,MATCH(H3085,Documents!$A$5:$A$657,0))="","",INDEX(Documents!$D$5:$D$657,MATCH(H3085,Documents!$A$5:$A$657,0))),"")</f>
        <v>J Med Chem</v>
      </c>
      <c r="K3085" s="25" t="str">
        <f aca="false">IFERROR(IF(INDEX(Documents!$G$5:$G$657,MATCH(H3085,Documents!$A$5:$A$657,0))="","",INDEX(Documents!$G$5:$G$657,MATCH(H3085,Documents!$A$5:$A$657,0))),"")</f>
        <v>10.1021/jm1006676</v>
      </c>
      <c r="L3085" s="25" t="s">
        <v>6534</v>
      </c>
    </row>
    <row r="3086" customFormat="false" ht="15" hidden="false" customHeight="false" outlineLevel="0" collapsed="false">
      <c r="A3086" s="25" t="n">
        <v>2914115</v>
      </c>
      <c r="B3086" s="25" t="s">
        <v>6574</v>
      </c>
      <c r="C3086" s="25" t="s">
        <v>6575</v>
      </c>
      <c r="D3086" s="26" t="n">
        <v>1291</v>
      </c>
      <c r="E3086" s="27" t="n">
        <v>5.88907375773358</v>
      </c>
      <c r="F3086" s="27" t="n">
        <v>5.88907375773358</v>
      </c>
      <c r="G3086" s="25" t="s">
        <v>5785</v>
      </c>
      <c r="H3086" s="25" t="s">
        <v>5786</v>
      </c>
      <c r="I3086" s="25" t="n">
        <f aca="false">IFERROR(IF(INDEX(Documents!$C$5:$C$657,MATCH(H3086,Documents!$A$5:$A$657,0))="","",INDEX(Documents!$C$5:$C$657,MATCH(H3086,Documents!$A$5:$A$657,0))),"")</f>
        <v>2009</v>
      </c>
      <c r="J3086" s="25" t="str">
        <f aca="false">IFERROR(IF(INDEX(Documents!$D$5:$D$657,MATCH(H3086,Documents!$A$5:$A$657,0))="","",INDEX(Documents!$D$5:$D$657,MATCH(H3086,Documents!$A$5:$A$657,0))),"")</f>
        <v>Bioorg Med Chem</v>
      </c>
      <c r="K3086" s="25" t="str">
        <f aca="false">IFERROR(IF(INDEX(Documents!$G$5:$G$657,MATCH(H3086,Documents!$A$5:$A$657,0))="","",INDEX(Documents!$G$5:$G$657,MATCH(H3086,Documents!$A$5:$A$657,0))),"")</f>
        <v>10.1016/j.bmc.2009.06.027</v>
      </c>
      <c r="L3086" s="25" t="s">
        <v>676</v>
      </c>
    </row>
    <row r="3087" customFormat="false" ht="15" hidden="false" customHeight="false" outlineLevel="0" collapsed="false">
      <c r="A3087" s="25" t="n">
        <v>2914133</v>
      </c>
      <c r="B3087" s="25" t="s">
        <v>6576</v>
      </c>
      <c r="C3087" s="25" t="s">
        <v>6577</v>
      </c>
      <c r="D3087" s="26" t="n">
        <v>1200</v>
      </c>
      <c r="E3087" s="27" t="n">
        <v>5.92081875395238</v>
      </c>
      <c r="F3087" s="27" t="n">
        <v>5.92081875395238</v>
      </c>
      <c r="G3087" s="25" t="s">
        <v>5785</v>
      </c>
      <c r="H3087" s="25" t="s">
        <v>5786</v>
      </c>
      <c r="I3087" s="25" t="n">
        <f aca="false">IFERROR(IF(INDEX(Documents!$C$5:$C$657,MATCH(H3087,Documents!$A$5:$A$657,0))="","",INDEX(Documents!$C$5:$C$657,MATCH(H3087,Documents!$A$5:$A$657,0))),"")</f>
        <v>2009</v>
      </c>
      <c r="J3087" s="25" t="str">
        <f aca="false">IFERROR(IF(INDEX(Documents!$D$5:$D$657,MATCH(H3087,Documents!$A$5:$A$657,0))="","",INDEX(Documents!$D$5:$D$657,MATCH(H3087,Documents!$A$5:$A$657,0))),"")</f>
        <v>Bioorg Med Chem</v>
      </c>
      <c r="K3087" s="25" t="str">
        <f aca="false">IFERROR(IF(INDEX(Documents!$G$5:$G$657,MATCH(H3087,Documents!$A$5:$A$657,0))="","",INDEX(Documents!$G$5:$G$657,MATCH(H3087,Documents!$A$5:$A$657,0))),"")</f>
        <v>10.1016/j.bmc.2009.06.027</v>
      </c>
      <c r="L3087" s="25" t="s">
        <v>676</v>
      </c>
    </row>
    <row r="3088" customFormat="false" ht="15" hidden="false" customHeight="false" outlineLevel="0" collapsed="false">
      <c r="A3088" s="25" t="n">
        <v>2914104</v>
      </c>
      <c r="B3088" s="25" t="s">
        <v>6578</v>
      </c>
      <c r="C3088" s="25" t="s">
        <v>6579</v>
      </c>
      <c r="D3088" s="26" t="n">
        <v>721</v>
      </c>
      <c r="E3088" s="27" t="n">
        <v>6.14206473528057</v>
      </c>
      <c r="F3088" s="27" t="n">
        <v>6.14206473528057</v>
      </c>
      <c r="G3088" s="25" t="s">
        <v>5785</v>
      </c>
      <c r="H3088" s="25" t="s">
        <v>5786</v>
      </c>
      <c r="I3088" s="25" t="n">
        <f aca="false">IFERROR(IF(INDEX(Documents!$C$5:$C$657,MATCH(H3088,Documents!$A$5:$A$657,0))="","",INDEX(Documents!$C$5:$C$657,MATCH(H3088,Documents!$A$5:$A$657,0))),"")</f>
        <v>2009</v>
      </c>
      <c r="J3088" s="25" t="str">
        <f aca="false">IFERROR(IF(INDEX(Documents!$D$5:$D$657,MATCH(H3088,Documents!$A$5:$A$657,0))="","",INDEX(Documents!$D$5:$D$657,MATCH(H3088,Documents!$A$5:$A$657,0))),"")</f>
        <v>Bioorg Med Chem</v>
      </c>
      <c r="K3088" s="25" t="str">
        <f aca="false">IFERROR(IF(INDEX(Documents!$G$5:$G$657,MATCH(H3088,Documents!$A$5:$A$657,0))="","",INDEX(Documents!$G$5:$G$657,MATCH(H3088,Documents!$A$5:$A$657,0))),"")</f>
        <v>10.1016/j.bmc.2009.06.027</v>
      </c>
      <c r="L3088" s="25" t="s">
        <v>676</v>
      </c>
    </row>
    <row r="3089" customFormat="false" ht="15" hidden="false" customHeight="false" outlineLevel="0" collapsed="false">
      <c r="A3089" s="25" t="n">
        <v>2914113</v>
      </c>
      <c r="B3089" s="25" t="s">
        <v>6580</v>
      </c>
      <c r="C3089" s="25" t="s">
        <v>6581</v>
      </c>
      <c r="D3089" s="26" t="n">
        <v>667</v>
      </c>
      <c r="E3089" s="27" t="n">
        <v>6.17587416608345</v>
      </c>
      <c r="F3089" s="27" t="n">
        <v>6.17587416608345</v>
      </c>
      <c r="G3089" s="25" t="s">
        <v>5785</v>
      </c>
      <c r="H3089" s="25" t="s">
        <v>5786</v>
      </c>
      <c r="I3089" s="25" t="n">
        <f aca="false">IFERROR(IF(INDEX(Documents!$C$5:$C$657,MATCH(H3089,Documents!$A$5:$A$657,0))="","",INDEX(Documents!$C$5:$C$657,MATCH(H3089,Documents!$A$5:$A$657,0))),"")</f>
        <v>2009</v>
      </c>
      <c r="J3089" s="25" t="str">
        <f aca="false">IFERROR(IF(INDEX(Documents!$D$5:$D$657,MATCH(H3089,Documents!$A$5:$A$657,0))="","",INDEX(Documents!$D$5:$D$657,MATCH(H3089,Documents!$A$5:$A$657,0))),"")</f>
        <v>Bioorg Med Chem</v>
      </c>
      <c r="K3089" s="25" t="str">
        <f aca="false">IFERROR(IF(INDEX(Documents!$G$5:$G$657,MATCH(H3089,Documents!$A$5:$A$657,0))="","",INDEX(Documents!$G$5:$G$657,MATCH(H3089,Documents!$A$5:$A$657,0))),"")</f>
        <v>10.1016/j.bmc.2009.06.027</v>
      </c>
      <c r="L3089" s="25" t="s">
        <v>676</v>
      </c>
    </row>
    <row r="3090" customFormat="false" ht="15" hidden="false" customHeight="false" outlineLevel="0" collapsed="false">
      <c r="A3090" s="25" t="n">
        <v>2096593</v>
      </c>
      <c r="B3090" s="25" t="s">
        <v>6582</v>
      </c>
      <c r="C3090" s="25" t="s">
        <v>6583</v>
      </c>
      <c r="D3090" s="26" t="n">
        <v>6000</v>
      </c>
      <c r="E3090" s="27" t="n">
        <v>5.22184874961636</v>
      </c>
      <c r="F3090" s="27" t="n">
        <v>5.22184874961636</v>
      </c>
      <c r="G3090" s="25" t="s">
        <v>4060</v>
      </c>
      <c r="H3090" s="25" t="s">
        <v>4061</v>
      </c>
      <c r="I3090" s="25" t="n">
        <f aca="false">IFERROR(IF(INDEX(Documents!$C$5:$C$657,MATCH(H3090,Documents!$A$5:$A$657,0))="","",INDEX(Documents!$C$5:$C$657,MATCH(H3090,Documents!$A$5:$A$657,0))),"")</f>
        <v>2008</v>
      </c>
      <c r="J3090" s="25" t="str">
        <f aca="false">IFERROR(IF(INDEX(Documents!$D$5:$D$657,MATCH(H3090,Documents!$A$5:$A$657,0))="","",INDEX(Documents!$D$5:$D$657,MATCH(H3090,Documents!$A$5:$A$657,0))),"")</f>
        <v>Bioorg Med Chem Lett</v>
      </c>
      <c r="K3090" s="25" t="str">
        <f aca="false">IFERROR(IF(INDEX(Documents!$G$5:$G$657,MATCH(H3090,Documents!$A$5:$A$657,0))="","",INDEX(Documents!$G$5:$G$657,MATCH(H3090,Documents!$A$5:$A$657,0))),"")</f>
        <v>10.1016/j.bmcl.2007.11.133</v>
      </c>
      <c r="L3090" s="25" t="s">
        <v>4062</v>
      </c>
    </row>
    <row r="3091" customFormat="false" ht="15" hidden="false" customHeight="false" outlineLevel="0" collapsed="false">
      <c r="A3091" s="25" t="n">
        <v>6386897</v>
      </c>
      <c r="B3091" s="25" t="s">
        <v>6584</v>
      </c>
      <c r="C3091" s="25" t="s">
        <v>6585</v>
      </c>
      <c r="D3091" s="26" t="n">
        <v>960</v>
      </c>
      <c r="E3091" s="27" t="n">
        <v>6.01772876696043</v>
      </c>
      <c r="F3091" s="27" t="n">
        <v>6.01772876696043</v>
      </c>
      <c r="G3091" s="25" t="s">
        <v>6517</v>
      </c>
      <c r="H3091" s="25" t="s">
        <v>6518</v>
      </c>
      <c r="I3091" s="25" t="n">
        <f aca="false">IFERROR(IF(INDEX(Documents!$C$5:$C$657,MATCH(H3091,Documents!$A$5:$A$657,0))="","",INDEX(Documents!$C$5:$C$657,MATCH(H3091,Documents!$A$5:$A$657,0))),"")</f>
        <v>2011</v>
      </c>
      <c r="J3091" s="25" t="str">
        <f aca="false">IFERROR(IF(INDEX(Documents!$D$5:$D$657,MATCH(H3091,Documents!$A$5:$A$657,0))="","",INDEX(Documents!$D$5:$D$657,MATCH(H3091,Documents!$A$5:$A$657,0))),"")</f>
        <v>Bioorg Med Chem Lett</v>
      </c>
      <c r="K3091" s="25" t="str">
        <f aca="false">IFERROR(IF(INDEX(Documents!$G$5:$G$657,MATCH(H3091,Documents!$A$5:$A$657,0))="","",INDEX(Documents!$G$5:$G$657,MATCH(H3091,Documents!$A$5:$A$657,0))),"")</f>
        <v>10.1016/j.bmcl.2011.08.032</v>
      </c>
      <c r="L3091" s="25" t="s">
        <v>6519</v>
      </c>
    </row>
    <row r="3092" customFormat="false" ht="15" hidden="false" customHeight="false" outlineLevel="0" collapsed="false">
      <c r="A3092" s="25" t="n">
        <v>6386894</v>
      </c>
      <c r="B3092" s="25" t="s">
        <v>6586</v>
      </c>
      <c r="C3092" s="25" t="s">
        <v>6587</v>
      </c>
      <c r="D3092" s="26" t="n">
        <v>1790</v>
      </c>
      <c r="E3092" s="27" t="n">
        <v>5.74714696902011</v>
      </c>
      <c r="F3092" s="27" t="n">
        <v>5.74714696902011</v>
      </c>
      <c r="G3092" s="25" t="s">
        <v>6517</v>
      </c>
      <c r="H3092" s="25" t="s">
        <v>6518</v>
      </c>
      <c r="I3092" s="25" t="n">
        <f aca="false">IFERROR(IF(INDEX(Documents!$C$5:$C$657,MATCH(H3092,Documents!$A$5:$A$657,0))="","",INDEX(Documents!$C$5:$C$657,MATCH(H3092,Documents!$A$5:$A$657,0))),"")</f>
        <v>2011</v>
      </c>
      <c r="J3092" s="25" t="str">
        <f aca="false">IFERROR(IF(INDEX(Documents!$D$5:$D$657,MATCH(H3092,Documents!$A$5:$A$657,0))="","",INDEX(Documents!$D$5:$D$657,MATCH(H3092,Documents!$A$5:$A$657,0))),"")</f>
        <v>Bioorg Med Chem Lett</v>
      </c>
      <c r="K3092" s="25" t="str">
        <f aca="false">IFERROR(IF(INDEX(Documents!$G$5:$G$657,MATCH(H3092,Documents!$A$5:$A$657,0))="","",INDEX(Documents!$G$5:$G$657,MATCH(H3092,Documents!$A$5:$A$657,0))),"")</f>
        <v>10.1016/j.bmcl.2011.08.032</v>
      </c>
      <c r="L3092" s="25" t="s">
        <v>6519</v>
      </c>
    </row>
    <row r="3093" customFormat="false" ht="15" hidden="false" customHeight="false" outlineLevel="0" collapsed="false">
      <c r="A3093" s="25" t="n">
        <v>3102055</v>
      </c>
      <c r="B3093" s="25" t="s">
        <v>6588</v>
      </c>
      <c r="C3093" s="25" t="s">
        <v>6589</v>
      </c>
      <c r="D3093" s="26" t="n">
        <v>175</v>
      </c>
      <c r="E3093" s="27" t="n">
        <v>6.75696195131371</v>
      </c>
      <c r="F3093" s="27" t="n">
        <v>6.75696195131371</v>
      </c>
      <c r="G3093" s="25" t="s">
        <v>4178</v>
      </c>
      <c r="H3093" s="25" t="s">
        <v>4179</v>
      </c>
      <c r="I3093" s="25" t="n">
        <f aca="false">IFERROR(IF(INDEX(Documents!$C$5:$C$657,MATCH(H3093,Documents!$A$5:$A$657,0))="","",INDEX(Documents!$C$5:$C$657,MATCH(H3093,Documents!$A$5:$A$657,0))),"")</f>
        <v>2010</v>
      </c>
      <c r="J3093" s="25" t="str">
        <f aca="false">IFERROR(IF(INDEX(Documents!$D$5:$D$657,MATCH(H3093,Documents!$A$5:$A$657,0))="","",INDEX(Documents!$D$5:$D$657,MATCH(H3093,Documents!$A$5:$A$657,0))),"")</f>
        <v>Bioorg Med Chem Lett</v>
      </c>
      <c r="K3093" s="25" t="str">
        <f aca="false">IFERROR(IF(INDEX(Documents!$G$5:$G$657,MATCH(H3093,Documents!$A$5:$A$657,0))="","",INDEX(Documents!$G$5:$G$657,MATCH(H3093,Documents!$A$5:$A$657,0))),"")</f>
        <v>10.1016/j.bmcl.2009.12.032</v>
      </c>
      <c r="L3093" s="25" t="s">
        <v>659</v>
      </c>
    </row>
    <row r="3094" customFormat="false" ht="15" hidden="false" customHeight="false" outlineLevel="0" collapsed="false">
      <c r="A3094" s="25" t="n">
        <v>1400509</v>
      </c>
      <c r="B3094" s="25" t="s">
        <v>6590</v>
      </c>
      <c r="C3094" s="25" t="s">
        <v>6591</v>
      </c>
      <c r="D3094" s="26" t="n">
        <v>1984</v>
      </c>
      <c r="E3094" s="27" t="n">
        <v>5.70245833218184</v>
      </c>
      <c r="F3094" s="27" t="n">
        <v>5.70245833218184</v>
      </c>
      <c r="G3094" s="25" t="s">
        <v>4723</v>
      </c>
      <c r="H3094" s="25" t="s">
        <v>4724</v>
      </c>
      <c r="I3094" s="25" t="n">
        <f aca="false">IFERROR(IF(INDEX(Documents!$C$5:$C$657,MATCH(H3094,Documents!$A$5:$A$657,0))="","",INDEX(Documents!$C$5:$C$657,MATCH(H3094,Documents!$A$5:$A$657,0))),"")</f>
        <v>2005</v>
      </c>
      <c r="J3094" s="25" t="str">
        <f aca="false">IFERROR(IF(INDEX(Documents!$D$5:$D$657,MATCH(H3094,Documents!$A$5:$A$657,0))="","",INDEX(Documents!$D$5:$D$657,MATCH(H3094,Documents!$A$5:$A$657,0))),"")</f>
        <v>J Med Chem</v>
      </c>
      <c r="K3094" s="25" t="str">
        <f aca="false">IFERROR(IF(INDEX(Documents!$G$5:$G$657,MATCH(H3094,Documents!$A$5:$A$657,0))="","",INDEX(Documents!$G$5:$G$657,MATCH(H3094,Documents!$A$5:$A$657,0))),"")</f>
        <v>10.1021/jm040843r</v>
      </c>
      <c r="L3094" s="25" t="s">
        <v>4725</v>
      </c>
    </row>
    <row r="3095" customFormat="false" ht="15" hidden="false" customHeight="false" outlineLevel="0" collapsed="false">
      <c r="A3095" s="25" t="n">
        <v>2115171</v>
      </c>
      <c r="B3095" s="25" t="s">
        <v>6592</v>
      </c>
      <c r="C3095" s="25" t="s">
        <v>6593</v>
      </c>
      <c r="D3095" s="26" t="n">
        <v>1370</v>
      </c>
      <c r="E3095" s="27" t="n">
        <v>5.86327943284359</v>
      </c>
      <c r="F3095" s="27" t="n">
        <v>5.86327943284359</v>
      </c>
      <c r="G3095" s="25" t="s">
        <v>6459</v>
      </c>
      <c r="H3095" s="25" t="s">
        <v>6460</v>
      </c>
      <c r="I3095" s="25" t="n">
        <f aca="false">IFERROR(IF(INDEX(Documents!$C$5:$C$657,MATCH(H3095,Documents!$A$5:$A$657,0))="","",INDEX(Documents!$C$5:$C$657,MATCH(H3095,Documents!$A$5:$A$657,0))),"")</f>
        <v>2008</v>
      </c>
      <c r="J3095" s="25" t="str">
        <f aca="false">IFERROR(IF(INDEX(Documents!$D$5:$D$657,MATCH(H3095,Documents!$A$5:$A$657,0))="","",INDEX(Documents!$D$5:$D$657,MATCH(H3095,Documents!$A$5:$A$657,0))),"")</f>
        <v>J Med Chem</v>
      </c>
      <c r="K3095" s="25" t="str">
        <f aca="false">IFERROR(IF(INDEX(Documents!$G$5:$G$657,MATCH(H3095,Documents!$A$5:$A$657,0))="","",INDEX(Documents!$G$5:$G$657,MATCH(H3095,Documents!$A$5:$A$657,0))),"")</f>
        <v>10.1021/jm070566z</v>
      </c>
      <c r="L3095" s="25" t="s">
        <v>676</v>
      </c>
    </row>
    <row r="3096" customFormat="false" ht="15" hidden="false" customHeight="false" outlineLevel="0" collapsed="false">
      <c r="A3096" s="25" t="n">
        <v>7852139</v>
      </c>
      <c r="B3096" s="25" t="s">
        <v>6594</v>
      </c>
      <c r="C3096" s="25" t="s">
        <v>6595</v>
      </c>
      <c r="D3096" s="26" t="n">
        <v>161.7</v>
      </c>
      <c r="E3096" s="27" t="n">
        <v>6.7912899800936</v>
      </c>
      <c r="F3096" s="27" t="n">
        <v>6.7912899800936</v>
      </c>
      <c r="G3096" s="25" t="s">
        <v>5276</v>
      </c>
      <c r="H3096" s="25" t="s">
        <v>5277</v>
      </c>
      <c r="I3096" s="25" t="n">
        <f aca="false">IFERROR(IF(INDEX(Documents!$C$5:$C$657,MATCH(H3096,Documents!$A$5:$A$657,0))="","",INDEX(Documents!$C$5:$C$657,MATCH(H3096,Documents!$A$5:$A$657,0))),"")</f>
        <v>2011</v>
      </c>
      <c r="J3096" s="25" t="str">
        <f aca="false">IFERROR(IF(INDEX(Documents!$D$5:$D$657,MATCH(H3096,Documents!$A$5:$A$657,0))="","",INDEX(Documents!$D$5:$D$657,MATCH(H3096,Documents!$A$5:$A$657,0))),"")</f>
        <v>Eur J Med Chem</v>
      </c>
      <c r="K3096" s="25" t="str">
        <f aca="false">IFERROR(IF(INDEX(Documents!$G$5:$G$657,MATCH(H3096,Documents!$A$5:$A$657,0))="","",INDEX(Documents!$G$5:$G$657,MATCH(H3096,Documents!$A$5:$A$657,0))),"")</f>
        <v>10.1016/j.ejmech.2011.09.037</v>
      </c>
      <c r="L3096" s="25" t="s">
        <v>5278</v>
      </c>
    </row>
    <row r="3097" customFormat="false" ht="15" hidden="false" customHeight="false" outlineLevel="0" collapsed="false">
      <c r="A3097" s="25" t="n">
        <v>2115174</v>
      </c>
      <c r="B3097" s="25" t="s">
        <v>6596</v>
      </c>
      <c r="C3097" s="25" t="s">
        <v>6597</v>
      </c>
      <c r="D3097" s="26" t="n">
        <v>150</v>
      </c>
      <c r="E3097" s="27" t="n">
        <v>6.82390874094432</v>
      </c>
      <c r="F3097" s="27" t="n">
        <v>6.82390874094432</v>
      </c>
      <c r="G3097" s="25" t="s">
        <v>6459</v>
      </c>
      <c r="H3097" s="25" t="s">
        <v>6460</v>
      </c>
      <c r="I3097" s="25" t="n">
        <f aca="false">IFERROR(IF(INDEX(Documents!$C$5:$C$657,MATCH(H3097,Documents!$A$5:$A$657,0))="","",INDEX(Documents!$C$5:$C$657,MATCH(H3097,Documents!$A$5:$A$657,0))),"")</f>
        <v>2008</v>
      </c>
      <c r="J3097" s="25" t="str">
        <f aca="false">IFERROR(IF(INDEX(Documents!$D$5:$D$657,MATCH(H3097,Documents!$A$5:$A$657,0))="","",INDEX(Documents!$D$5:$D$657,MATCH(H3097,Documents!$A$5:$A$657,0))),"")</f>
        <v>J Med Chem</v>
      </c>
      <c r="K3097" s="25" t="str">
        <f aca="false">IFERROR(IF(INDEX(Documents!$G$5:$G$657,MATCH(H3097,Documents!$A$5:$A$657,0))="","",INDEX(Documents!$G$5:$G$657,MATCH(H3097,Documents!$A$5:$A$657,0))),"")</f>
        <v>10.1021/jm070566z</v>
      </c>
      <c r="L3097" s="25" t="s">
        <v>676</v>
      </c>
    </row>
    <row r="3098" customFormat="false" ht="15" hidden="false" customHeight="false" outlineLevel="0" collapsed="false">
      <c r="A3098" s="25" t="n">
        <v>7852137</v>
      </c>
      <c r="B3098" s="25" t="s">
        <v>6598</v>
      </c>
      <c r="C3098" s="25" t="s">
        <v>6599</v>
      </c>
      <c r="D3098" s="26" t="n">
        <v>53.9</v>
      </c>
      <c r="E3098" s="27" t="n">
        <v>7.26841123481326</v>
      </c>
      <c r="F3098" s="27" t="n">
        <v>7.26841123481326</v>
      </c>
      <c r="G3098" s="25" t="s">
        <v>5276</v>
      </c>
      <c r="H3098" s="25" t="s">
        <v>5277</v>
      </c>
      <c r="I3098" s="25" t="n">
        <f aca="false">IFERROR(IF(INDEX(Documents!$C$5:$C$657,MATCH(H3098,Documents!$A$5:$A$657,0))="","",INDEX(Documents!$C$5:$C$657,MATCH(H3098,Documents!$A$5:$A$657,0))),"")</f>
        <v>2011</v>
      </c>
      <c r="J3098" s="25" t="str">
        <f aca="false">IFERROR(IF(INDEX(Documents!$D$5:$D$657,MATCH(H3098,Documents!$A$5:$A$657,0))="","",INDEX(Documents!$D$5:$D$657,MATCH(H3098,Documents!$A$5:$A$657,0))),"")</f>
        <v>Eur J Med Chem</v>
      </c>
      <c r="K3098" s="25" t="str">
        <f aca="false">IFERROR(IF(INDEX(Documents!$G$5:$G$657,MATCH(H3098,Documents!$A$5:$A$657,0))="","",INDEX(Documents!$G$5:$G$657,MATCH(H3098,Documents!$A$5:$A$657,0))),"")</f>
        <v>10.1016/j.ejmech.2011.09.037</v>
      </c>
      <c r="L3098" s="25" t="s">
        <v>5278</v>
      </c>
    </row>
    <row r="3099" customFormat="false" ht="15" hidden="false" customHeight="false" outlineLevel="0" collapsed="false">
      <c r="A3099" s="25" t="n">
        <v>2115177</v>
      </c>
      <c r="B3099" s="25" t="s">
        <v>6600</v>
      </c>
      <c r="C3099" s="25" t="s">
        <v>6601</v>
      </c>
      <c r="D3099" s="26" t="n">
        <v>3940</v>
      </c>
      <c r="E3099" s="27" t="n">
        <v>5.40450377817443</v>
      </c>
      <c r="F3099" s="27" t="n">
        <v>5.40450377817443</v>
      </c>
      <c r="G3099" s="25" t="s">
        <v>6459</v>
      </c>
      <c r="H3099" s="25" t="s">
        <v>6460</v>
      </c>
      <c r="I3099" s="25" t="n">
        <f aca="false">IFERROR(IF(INDEX(Documents!$C$5:$C$657,MATCH(H3099,Documents!$A$5:$A$657,0))="","",INDEX(Documents!$C$5:$C$657,MATCH(H3099,Documents!$A$5:$A$657,0))),"")</f>
        <v>2008</v>
      </c>
      <c r="J3099" s="25" t="str">
        <f aca="false">IFERROR(IF(INDEX(Documents!$D$5:$D$657,MATCH(H3099,Documents!$A$5:$A$657,0))="","",INDEX(Documents!$D$5:$D$657,MATCH(H3099,Documents!$A$5:$A$657,0))),"")</f>
        <v>J Med Chem</v>
      </c>
      <c r="K3099" s="25" t="str">
        <f aca="false">IFERROR(IF(INDEX(Documents!$G$5:$G$657,MATCH(H3099,Documents!$A$5:$A$657,0))="","",INDEX(Documents!$G$5:$G$657,MATCH(H3099,Documents!$A$5:$A$657,0))),"")</f>
        <v>10.1021/jm070566z</v>
      </c>
      <c r="L3099" s="25" t="s">
        <v>676</v>
      </c>
    </row>
    <row r="3100" customFormat="false" ht="15" hidden="false" customHeight="false" outlineLevel="0" collapsed="false">
      <c r="A3100" s="25" t="n">
        <v>7852127</v>
      </c>
      <c r="B3100" s="25" t="s">
        <v>6602</v>
      </c>
      <c r="C3100" s="25" t="s">
        <v>6603</v>
      </c>
      <c r="D3100" s="26" t="n">
        <v>135.2</v>
      </c>
      <c r="E3100" s="27" t="n">
        <v>6.86902330839438</v>
      </c>
      <c r="F3100" s="27" t="n">
        <v>6.86902330839438</v>
      </c>
      <c r="G3100" s="25" t="s">
        <v>5276</v>
      </c>
      <c r="H3100" s="25" t="s">
        <v>5277</v>
      </c>
      <c r="I3100" s="25" t="n">
        <f aca="false">IFERROR(IF(INDEX(Documents!$C$5:$C$657,MATCH(H3100,Documents!$A$5:$A$657,0))="","",INDEX(Documents!$C$5:$C$657,MATCH(H3100,Documents!$A$5:$A$657,0))),"")</f>
        <v>2011</v>
      </c>
      <c r="J3100" s="25" t="str">
        <f aca="false">IFERROR(IF(INDEX(Documents!$D$5:$D$657,MATCH(H3100,Documents!$A$5:$A$657,0))="","",INDEX(Documents!$D$5:$D$657,MATCH(H3100,Documents!$A$5:$A$657,0))),"")</f>
        <v>Eur J Med Chem</v>
      </c>
      <c r="K3100" s="25" t="str">
        <f aca="false">IFERROR(IF(INDEX(Documents!$G$5:$G$657,MATCH(H3100,Documents!$A$5:$A$657,0))="","",INDEX(Documents!$G$5:$G$657,MATCH(H3100,Documents!$A$5:$A$657,0))),"")</f>
        <v>10.1016/j.ejmech.2011.09.037</v>
      </c>
      <c r="L3100" s="25" t="s">
        <v>5278</v>
      </c>
    </row>
    <row r="3101" customFormat="false" ht="15" hidden="false" customHeight="false" outlineLevel="0" collapsed="false">
      <c r="A3101" s="25" t="n">
        <v>7852129</v>
      </c>
      <c r="B3101" s="25" t="s">
        <v>6604</v>
      </c>
      <c r="C3101" s="25" t="s">
        <v>6605</v>
      </c>
      <c r="D3101" s="26" t="n">
        <v>72.9</v>
      </c>
      <c r="E3101" s="27" t="n">
        <v>7.13727247168203</v>
      </c>
      <c r="F3101" s="27" t="n">
        <v>7.13727247168203</v>
      </c>
      <c r="G3101" s="25" t="s">
        <v>5276</v>
      </c>
      <c r="H3101" s="25" t="s">
        <v>5277</v>
      </c>
      <c r="I3101" s="25" t="n">
        <f aca="false">IFERROR(IF(INDEX(Documents!$C$5:$C$657,MATCH(H3101,Documents!$A$5:$A$657,0))="","",INDEX(Documents!$C$5:$C$657,MATCH(H3101,Documents!$A$5:$A$657,0))),"")</f>
        <v>2011</v>
      </c>
      <c r="J3101" s="25" t="str">
        <f aca="false">IFERROR(IF(INDEX(Documents!$D$5:$D$657,MATCH(H3101,Documents!$A$5:$A$657,0))="","",INDEX(Documents!$D$5:$D$657,MATCH(H3101,Documents!$A$5:$A$657,0))),"")</f>
        <v>Eur J Med Chem</v>
      </c>
      <c r="K3101" s="25" t="str">
        <f aca="false">IFERROR(IF(INDEX(Documents!$G$5:$G$657,MATCH(H3101,Documents!$A$5:$A$657,0))="","",INDEX(Documents!$G$5:$G$657,MATCH(H3101,Documents!$A$5:$A$657,0))),"")</f>
        <v>10.1016/j.ejmech.2011.09.037</v>
      </c>
      <c r="L3101" s="25" t="s">
        <v>5278</v>
      </c>
    </row>
    <row r="3102" customFormat="false" ht="15" hidden="false" customHeight="false" outlineLevel="0" collapsed="false">
      <c r="A3102" s="25" t="n">
        <v>2115180</v>
      </c>
      <c r="B3102" s="25" t="s">
        <v>6606</v>
      </c>
      <c r="C3102" s="25" t="s">
        <v>6607</v>
      </c>
      <c r="D3102" s="26" t="n">
        <v>510</v>
      </c>
      <c r="E3102" s="27" t="n">
        <v>6.29242982390206</v>
      </c>
      <c r="F3102" s="27" t="n">
        <v>6.29242982390206</v>
      </c>
      <c r="G3102" s="25" t="s">
        <v>6459</v>
      </c>
      <c r="H3102" s="25" t="s">
        <v>6460</v>
      </c>
      <c r="I3102" s="25" t="n">
        <f aca="false">IFERROR(IF(INDEX(Documents!$C$5:$C$657,MATCH(H3102,Documents!$A$5:$A$657,0))="","",INDEX(Documents!$C$5:$C$657,MATCH(H3102,Documents!$A$5:$A$657,0))),"")</f>
        <v>2008</v>
      </c>
      <c r="J3102" s="25" t="str">
        <f aca="false">IFERROR(IF(INDEX(Documents!$D$5:$D$657,MATCH(H3102,Documents!$A$5:$A$657,0))="","",INDEX(Documents!$D$5:$D$657,MATCH(H3102,Documents!$A$5:$A$657,0))),"")</f>
        <v>J Med Chem</v>
      </c>
      <c r="K3102" s="25" t="str">
        <f aca="false">IFERROR(IF(INDEX(Documents!$G$5:$G$657,MATCH(H3102,Documents!$A$5:$A$657,0))="","",INDEX(Documents!$G$5:$G$657,MATCH(H3102,Documents!$A$5:$A$657,0))),"")</f>
        <v>10.1021/jm070566z</v>
      </c>
      <c r="L3102" s="25" t="s">
        <v>676</v>
      </c>
    </row>
    <row r="3103" customFormat="false" ht="15" hidden="false" customHeight="false" outlineLevel="0" collapsed="false">
      <c r="A3103" s="25" t="n">
        <v>7852125</v>
      </c>
      <c r="B3103" s="25" t="s">
        <v>6608</v>
      </c>
      <c r="C3103" s="25" t="s">
        <v>6609</v>
      </c>
      <c r="D3103" s="26" t="n">
        <v>98.5</v>
      </c>
      <c r="E3103" s="27" t="n">
        <v>7.00656376950239</v>
      </c>
      <c r="F3103" s="27" t="n">
        <v>7.00656376950239</v>
      </c>
      <c r="G3103" s="25" t="s">
        <v>5276</v>
      </c>
      <c r="H3103" s="25" t="s">
        <v>5277</v>
      </c>
      <c r="I3103" s="25" t="n">
        <f aca="false">IFERROR(IF(INDEX(Documents!$C$5:$C$657,MATCH(H3103,Documents!$A$5:$A$657,0))="","",INDEX(Documents!$C$5:$C$657,MATCH(H3103,Documents!$A$5:$A$657,0))),"")</f>
        <v>2011</v>
      </c>
      <c r="J3103" s="25" t="str">
        <f aca="false">IFERROR(IF(INDEX(Documents!$D$5:$D$657,MATCH(H3103,Documents!$A$5:$A$657,0))="","",INDEX(Documents!$D$5:$D$657,MATCH(H3103,Documents!$A$5:$A$657,0))),"")</f>
        <v>Eur J Med Chem</v>
      </c>
      <c r="K3103" s="25" t="str">
        <f aca="false">IFERROR(IF(INDEX(Documents!$G$5:$G$657,MATCH(H3103,Documents!$A$5:$A$657,0))="","",INDEX(Documents!$G$5:$G$657,MATCH(H3103,Documents!$A$5:$A$657,0))),"")</f>
        <v>10.1016/j.ejmech.2011.09.037</v>
      </c>
      <c r="L3103" s="25" t="s">
        <v>5278</v>
      </c>
    </row>
    <row r="3104" customFormat="false" ht="15" hidden="false" customHeight="false" outlineLevel="0" collapsed="false">
      <c r="A3104" s="25" t="n">
        <v>2115228</v>
      </c>
      <c r="B3104" s="25" t="s">
        <v>6610</v>
      </c>
      <c r="C3104" s="25" t="s">
        <v>6611</v>
      </c>
      <c r="D3104" s="26" t="n">
        <v>3940</v>
      </c>
      <c r="E3104" s="27" t="n">
        <v>5.40450377817443</v>
      </c>
      <c r="F3104" s="27" t="n">
        <v>5.40450377817443</v>
      </c>
      <c r="G3104" s="25" t="s">
        <v>6459</v>
      </c>
      <c r="H3104" s="25" t="s">
        <v>6460</v>
      </c>
      <c r="I3104" s="25" t="n">
        <f aca="false">IFERROR(IF(INDEX(Documents!$C$5:$C$657,MATCH(H3104,Documents!$A$5:$A$657,0))="","",INDEX(Documents!$C$5:$C$657,MATCH(H3104,Documents!$A$5:$A$657,0))),"")</f>
        <v>2008</v>
      </c>
      <c r="J3104" s="25" t="str">
        <f aca="false">IFERROR(IF(INDEX(Documents!$D$5:$D$657,MATCH(H3104,Documents!$A$5:$A$657,0))="","",INDEX(Documents!$D$5:$D$657,MATCH(H3104,Documents!$A$5:$A$657,0))),"")</f>
        <v>J Med Chem</v>
      </c>
      <c r="K3104" s="25" t="str">
        <f aca="false">IFERROR(IF(INDEX(Documents!$G$5:$G$657,MATCH(H3104,Documents!$A$5:$A$657,0))="","",INDEX(Documents!$G$5:$G$657,MATCH(H3104,Documents!$A$5:$A$657,0))),"")</f>
        <v>10.1021/jm070566z</v>
      </c>
      <c r="L3104" s="25" t="s">
        <v>676</v>
      </c>
    </row>
    <row r="3105" customFormat="false" ht="15" hidden="false" customHeight="false" outlineLevel="0" collapsed="false">
      <c r="A3105" s="25" t="n">
        <v>2115167</v>
      </c>
      <c r="B3105" s="25" t="s">
        <v>6612</v>
      </c>
      <c r="C3105" s="25" t="s">
        <v>6613</v>
      </c>
      <c r="D3105" s="26" t="n">
        <v>390</v>
      </c>
      <c r="E3105" s="27" t="n">
        <v>6.4089353929735</v>
      </c>
      <c r="F3105" s="27" t="n">
        <v>6.4089353929735</v>
      </c>
      <c r="G3105" s="25" t="s">
        <v>6459</v>
      </c>
      <c r="H3105" s="25" t="s">
        <v>6460</v>
      </c>
      <c r="I3105" s="25" t="n">
        <f aca="false">IFERROR(IF(INDEX(Documents!$C$5:$C$657,MATCH(H3105,Documents!$A$5:$A$657,0))="","",INDEX(Documents!$C$5:$C$657,MATCH(H3105,Documents!$A$5:$A$657,0))),"")</f>
        <v>2008</v>
      </c>
      <c r="J3105" s="25" t="str">
        <f aca="false">IFERROR(IF(INDEX(Documents!$D$5:$D$657,MATCH(H3105,Documents!$A$5:$A$657,0))="","",INDEX(Documents!$D$5:$D$657,MATCH(H3105,Documents!$A$5:$A$657,0))),"")</f>
        <v>J Med Chem</v>
      </c>
      <c r="K3105" s="25" t="str">
        <f aca="false">IFERROR(IF(INDEX(Documents!$G$5:$G$657,MATCH(H3105,Documents!$A$5:$A$657,0))="","",INDEX(Documents!$G$5:$G$657,MATCH(H3105,Documents!$A$5:$A$657,0))),"")</f>
        <v>10.1021/jm070566z</v>
      </c>
      <c r="L3105" s="25" t="s">
        <v>676</v>
      </c>
    </row>
    <row r="3106" customFormat="false" ht="15" hidden="false" customHeight="false" outlineLevel="0" collapsed="false">
      <c r="A3106" s="25" t="n">
        <v>2914126</v>
      </c>
      <c r="B3106" s="25" t="s">
        <v>6614</v>
      </c>
      <c r="C3106" s="25" t="s">
        <v>6615</v>
      </c>
      <c r="D3106" s="26" t="n">
        <v>790</v>
      </c>
      <c r="E3106" s="27" t="n">
        <v>6.10237290870956</v>
      </c>
      <c r="F3106" s="27" t="n">
        <v>6.10237290870956</v>
      </c>
      <c r="G3106" s="25" t="s">
        <v>5785</v>
      </c>
      <c r="H3106" s="25" t="s">
        <v>5786</v>
      </c>
      <c r="I3106" s="25" t="n">
        <f aca="false">IFERROR(IF(INDEX(Documents!$C$5:$C$657,MATCH(H3106,Documents!$A$5:$A$657,0))="","",INDEX(Documents!$C$5:$C$657,MATCH(H3106,Documents!$A$5:$A$657,0))),"")</f>
        <v>2009</v>
      </c>
      <c r="J3106" s="25" t="str">
        <f aca="false">IFERROR(IF(INDEX(Documents!$D$5:$D$657,MATCH(H3106,Documents!$A$5:$A$657,0))="","",INDEX(Documents!$D$5:$D$657,MATCH(H3106,Documents!$A$5:$A$657,0))),"")</f>
        <v>Bioorg Med Chem</v>
      </c>
      <c r="K3106" s="25" t="str">
        <f aca="false">IFERROR(IF(INDEX(Documents!$G$5:$G$657,MATCH(H3106,Documents!$A$5:$A$657,0))="","",INDEX(Documents!$G$5:$G$657,MATCH(H3106,Documents!$A$5:$A$657,0))),"")</f>
        <v>10.1016/j.bmc.2009.06.027</v>
      </c>
      <c r="L3106" s="25" t="s">
        <v>676</v>
      </c>
    </row>
    <row r="3107" customFormat="false" ht="15" hidden="false" customHeight="false" outlineLevel="0" collapsed="false">
      <c r="A3107" s="25" t="n">
        <v>2914134</v>
      </c>
      <c r="B3107" s="25" t="s">
        <v>6616</v>
      </c>
      <c r="C3107" s="25" t="s">
        <v>6617</v>
      </c>
      <c r="D3107" s="26" t="n">
        <v>100</v>
      </c>
      <c r="E3107" s="27" t="n">
        <v>7</v>
      </c>
      <c r="F3107" s="27" t="n">
        <v>7</v>
      </c>
      <c r="G3107" s="25" t="s">
        <v>5785</v>
      </c>
      <c r="H3107" s="25" t="s">
        <v>5786</v>
      </c>
      <c r="I3107" s="25" t="n">
        <f aca="false">IFERROR(IF(INDEX(Documents!$C$5:$C$657,MATCH(H3107,Documents!$A$5:$A$657,0))="","",INDEX(Documents!$C$5:$C$657,MATCH(H3107,Documents!$A$5:$A$657,0))),"")</f>
        <v>2009</v>
      </c>
      <c r="J3107" s="25" t="str">
        <f aca="false">IFERROR(IF(INDEX(Documents!$D$5:$D$657,MATCH(H3107,Documents!$A$5:$A$657,0))="","",INDEX(Documents!$D$5:$D$657,MATCH(H3107,Documents!$A$5:$A$657,0))),"")</f>
        <v>Bioorg Med Chem</v>
      </c>
      <c r="K3107" s="25" t="str">
        <f aca="false">IFERROR(IF(INDEX(Documents!$G$5:$G$657,MATCH(H3107,Documents!$A$5:$A$657,0))="","",INDEX(Documents!$G$5:$G$657,MATCH(H3107,Documents!$A$5:$A$657,0))),"")</f>
        <v>10.1016/j.bmc.2009.06.027</v>
      </c>
      <c r="L3107" s="25" t="s">
        <v>676</v>
      </c>
    </row>
    <row r="3108" customFormat="false" ht="15" hidden="false" customHeight="false" outlineLevel="0" collapsed="false">
      <c r="A3108" s="25" t="n">
        <v>2914152</v>
      </c>
      <c r="B3108" s="25" t="s">
        <v>6618</v>
      </c>
      <c r="C3108" s="25" t="s">
        <v>6619</v>
      </c>
      <c r="D3108" s="26" t="n">
        <v>940</v>
      </c>
      <c r="E3108" s="27" t="n">
        <v>6.0268721464003</v>
      </c>
      <c r="F3108" s="27" t="n">
        <v>6.0268721464003</v>
      </c>
      <c r="G3108" s="25" t="s">
        <v>5785</v>
      </c>
      <c r="H3108" s="25" t="s">
        <v>5786</v>
      </c>
      <c r="I3108" s="25" t="n">
        <f aca="false">IFERROR(IF(INDEX(Documents!$C$5:$C$657,MATCH(H3108,Documents!$A$5:$A$657,0))="","",INDEX(Documents!$C$5:$C$657,MATCH(H3108,Documents!$A$5:$A$657,0))),"")</f>
        <v>2009</v>
      </c>
      <c r="J3108" s="25" t="str">
        <f aca="false">IFERROR(IF(INDEX(Documents!$D$5:$D$657,MATCH(H3108,Documents!$A$5:$A$657,0))="","",INDEX(Documents!$D$5:$D$657,MATCH(H3108,Documents!$A$5:$A$657,0))),"")</f>
        <v>Bioorg Med Chem</v>
      </c>
      <c r="K3108" s="25" t="str">
        <f aca="false">IFERROR(IF(INDEX(Documents!$G$5:$G$657,MATCH(H3108,Documents!$A$5:$A$657,0))="","",INDEX(Documents!$G$5:$G$657,MATCH(H3108,Documents!$A$5:$A$657,0))),"")</f>
        <v>10.1016/j.bmc.2009.06.027</v>
      </c>
      <c r="L3108" s="25" t="s">
        <v>676</v>
      </c>
    </row>
    <row r="3109" customFormat="false" ht="15" hidden="false" customHeight="false" outlineLevel="0" collapsed="false">
      <c r="A3109" s="25" t="n">
        <v>2914118</v>
      </c>
      <c r="B3109" s="25" t="s">
        <v>6620</v>
      </c>
      <c r="C3109" s="25" t="s">
        <v>6621</v>
      </c>
      <c r="D3109" s="26" t="n">
        <v>3400</v>
      </c>
      <c r="E3109" s="27" t="n">
        <v>5.46852108295775</v>
      </c>
      <c r="F3109" s="27" t="n">
        <v>5.46852108295775</v>
      </c>
      <c r="G3109" s="25" t="s">
        <v>5785</v>
      </c>
      <c r="H3109" s="25" t="s">
        <v>5786</v>
      </c>
      <c r="I3109" s="25" t="n">
        <f aca="false">IFERROR(IF(INDEX(Documents!$C$5:$C$657,MATCH(H3109,Documents!$A$5:$A$657,0))="","",INDEX(Documents!$C$5:$C$657,MATCH(H3109,Documents!$A$5:$A$657,0))),"")</f>
        <v>2009</v>
      </c>
      <c r="J3109" s="25" t="str">
        <f aca="false">IFERROR(IF(INDEX(Documents!$D$5:$D$657,MATCH(H3109,Documents!$A$5:$A$657,0))="","",INDEX(Documents!$D$5:$D$657,MATCH(H3109,Documents!$A$5:$A$657,0))),"")</f>
        <v>Bioorg Med Chem</v>
      </c>
      <c r="K3109" s="25" t="str">
        <f aca="false">IFERROR(IF(INDEX(Documents!$G$5:$G$657,MATCH(H3109,Documents!$A$5:$A$657,0))="","",INDEX(Documents!$G$5:$G$657,MATCH(H3109,Documents!$A$5:$A$657,0))),"")</f>
        <v>10.1016/j.bmc.2009.06.027</v>
      </c>
      <c r="L3109" s="25" t="s">
        <v>676</v>
      </c>
    </row>
    <row r="3110" customFormat="false" ht="15" hidden="false" customHeight="false" outlineLevel="0" collapsed="false">
      <c r="A3110" s="25" t="n">
        <v>2096597</v>
      </c>
      <c r="B3110" s="25" t="s">
        <v>6622</v>
      </c>
      <c r="C3110" s="25" t="s">
        <v>6623</v>
      </c>
      <c r="D3110" s="26" t="n">
        <v>4000</v>
      </c>
      <c r="E3110" s="27" t="n">
        <v>5.39794000867204</v>
      </c>
      <c r="F3110" s="27" t="n">
        <v>5.39794000867204</v>
      </c>
      <c r="G3110" s="25" t="s">
        <v>4060</v>
      </c>
      <c r="H3110" s="25" t="s">
        <v>4061</v>
      </c>
      <c r="I3110" s="25" t="n">
        <f aca="false">IFERROR(IF(INDEX(Documents!$C$5:$C$657,MATCH(H3110,Documents!$A$5:$A$657,0))="","",INDEX(Documents!$C$5:$C$657,MATCH(H3110,Documents!$A$5:$A$657,0))),"")</f>
        <v>2008</v>
      </c>
      <c r="J3110" s="25" t="str">
        <f aca="false">IFERROR(IF(INDEX(Documents!$D$5:$D$657,MATCH(H3110,Documents!$A$5:$A$657,0))="","",INDEX(Documents!$D$5:$D$657,MATCH(H3110,Documents!$A$5:$A$657,0))),"")</f>
        <v>Bioorg Med Chem Lett</v>
      </c>
      <c r="K3110" s="25" t="str">
        <f aca="false">IFERROR(IF(INDEX(Documents!$G$5:$G$657,MATCH(H3110,Documents!$A$5:$A$657,0))="","",INDEX(Documents!$G$5:$G$657,MATCH(H3110,Documents!$A$5:$A$657,0))),"")</f>
        <v>10.1016/j.bmcl.2007.11.133</v>
      </c>
      <c r="L3110" s="25" t="s">
        <v>4062</v>
      </c>
    </row>
    <row r="3111" customFormat="false" ht="15" hidden="false" customHeight="false" outlineLevel="0" collapsed="false">
      <c r="A3111" s="25" t="n">
        <v>2096603</v>
      </c>
      <c r="B3111" s="25" t="s">
        <v>6624</v>
      </c>
      <c r="C3111" s="25" t="s">
        <v>6625</v>
      </c>
      <c r="D3111" s="26" t="n">
        <v>6600</v>
      </c>
      <c r="E3111" s="27" t="n">
        <v>5.18045606445813</v>
      </c>
      <c r="F3111" s="27" t="n">
        <v>5.18045606445813</v>
      </c>
      <c r="G3111" s="25" t="s">
        <v>4060</v>
      </c>
      <c r="H3111" s="25" t="s">
        <v>4061</v>
      </c>
      <c r="I3111" s="25" t="n">
        <f aca="false">IFERROR(IF(INDEX(Documents!$C$5:$C$657,MATCH(H3111,Documents!$A$5:$A$657,0))="","",INDEX(Documents!$C$5:$C$657,MATCH(H3111,Documents!$A$5:$A$657,0))),"")</f>
        <v>2008</v>
      </c>
      <c r="J3111" s="25" t="str">
        <f aca="false">IFERROR(IF(INDEX(Documents!$D$5:$D$657,MATCH(H3111,Documents!$A$5:$A$657,0))="","",INDEX(Documents!$D$5:$D$657,MATCH(H3111,Documents!$A$5:$A$657,0))),"")</f>
        <v>Bioorg Med Chem Lett</v>
      </c>
      <c r="K3111" s="25" t="str">
        <f aca="false">IFERROR(IF(INDEX(Documents!$G$5:$G$657,MATCH(H3111,Documents!$A$5:$A$657,0))="","",INDEX(Documents!$G$5:$G$657,MATCH(H3111,Documents!$A$5:$A$657,0))),"")</f>
        <v>10.1016/j.bmcl.2007.11.133</v>
      </c>
      <c r="L3111" s="25" t="s">
        <v>4062</v>
      </c>
    </row>
    <row r="3112" customFormat="false" ht="15" hidden="false" customHeight="false" outlineLevel="0" collapsed="false">
      <c r="A3112" s="25" t="n">
        <v>2096601</v>
      </c>
      <c r="B3112" s="25" t="s">
        <v>6626</v>
      </c>
      <c r="C3112" s="25" t="s">
        <v>6627</v>
      </c>
      <c r="D3112" s="26" t="n">
        <v>4800</v>
      </c>
      <c r="E3112" s="27" t="n">
        <v>5.31875876262441</v>
      </c>
      <c r="F3112" s="27" t="n">
        <v>5.31875876262441</v>
      </c>
      <c r="G3112" s="25" t="s">
        <v>4060</v>
      </c>
      <c r="H3112" s="25" t="s">
        <v>4061</v>
      </c>
      <c r="I3112" s="25" t="n">
        <f aca="false">IFERROR(IF(INDEX(Documents!$C$5:$C$657,MATCH(H3112,Documents!$A$5:$A$657,0))="","",INDEX(Documents!$C$5:$C$657,MATCH(H3112,Documents!$A$5:$A$657,0))),"")</f>
        <v>2008</v>
      </c>
      <c r="J3112" s="25" t="str">
        <f aca="false">IFERROR(IF(INDEX(Documents!$D$5:$D$657,MATCH(H3112,Documents!$A$5:$A$657,0))="","",INDEX(Documents!$D$5:$D$657,MATCH(H3112,Documents!$A$5:$A$657,0))),"")</f>
        <v>Bioorg Med Chem Lett</v>
      </c>
      <c r="K3112" s="25" t="str">
        <f aca="false">IFERROR(IF(INDEX(Documents!$G$5:$G$657,MATCH(H3112,Documents!$A$5:$A$657,0))="","",INDEX(Documents!$G$5:$G$657,MATCH(H3112,Documents!$A$5:$A$657,0))),"")</f>
        <v>10.1016/j.bmcl.2007.11.133</v>
      </c>
      <c r="L3112" s="25" t="s">
        <v>4062</v>
      </c>
    </row>
    <row r="3113" customFormat="false" ht="15" hidden="false" customHeight="false" outlineLevel="0" collapsed="false">
      <c r="A3113" s="25" t="n">
        <v>1400422</v>
      </c>
      <c r="B3113" s="25" t="s">
        <v>6628</v>
      </c>
      <c r="C3113" s="25" t="s">
        <v>6629</v>
      </c>
      <c r="D3113" s="26" t="n">
        <v>1412</v>
      </c>
      <c r="E3113" s="27" t="n">
        <v>5.85016530328422</v>
      </c>
      <c r="F3113" s="27" t="n">
        <v>5.85016530328422</v>
      </c>
      <c r="G3113" s="25" t="s">
        <v>4723</v>
      </c>
      <c r="H3113" s="25" t="s">
        <v>4724</v>
      </c>
      <c r="I3113" s="25" t="n">
        <f aca="false">IFERROR(IF(INDEX(Documents!$C$5:$C$657,MATCH(H3113,Documents!$A$5:$A$657,0))="","",INDEX(Documents!$C$5:$C$657,MATCH(H3113,Documents!$A$5:$A$657,0))),"")</f>
        <v>2005</v>
      </c>
      <c r="J3113" s="25" t="str">
        <f aca="false">IFERROR(IF(INDEX(Documents!$D$5:$D$657,MATCH(H3113,Documents!$A$5:$A$657,0))="","",INDEX(Documents!$D$5:$D$657,MATCH(H3113,Documents!$A$5:$A$657,0))),"")</f>
        <v>J Med Chem</v>
      </c>
      <c r="K3113" s="25" t="str">
        <f aca="false">IFERROR(IF(INDEX(Documents!$G$5:$G$657,MATCH(H3113,Documents!$A$5:$A$657,0))="","",INDEX(Documents!$G$5:$G$657,MATCH(H3113,Documents!$A$5:$A$657,0))),"")</f>
        <v>10.1021/jm040843r</v>
      </c>
      <c r="L3113" s="25" t="s">
        <v>4725</v>
      </c>
    </row>
    <row r="3114" customFormat="false" ht="15" hidden="false" customHeight="false" outlineLevel="0" collapsed="false">
      <c r="A3114" s="25" t="n">
        <v>1400413</v>
      </c>
      <c r="B3114" s="25" t="s">
        <v>6630</v>
      </c>
      <c r="C3114" s="25" t="s">
        <v>6631</v>
      </c>
      <c r="D3114" s="26" t="n">
        <v>774</v>
      </c>
      <c r="E3114" s="27" t="n">
        <v>6.11125903931711</v>
      </c>
      <c r="F3114" s="27" t="n">
        <v>6.11125903931711</v>
      </c>
      <c r="G3114" s="25" t="s">
        <v>4723</v>
      </c>
      <c r="H3114" s="25" t="s">
        <v>4724</v>
      </c>
      <c r="I3114" s="25" t="n">
        <f aca="false">IFERROR(IF(INDEX(Documents!$C$5:$C$657,MATCH(H3114,Documents!$A$5:$A$657,0))="","",INDEX(Documents!$C$5:$C$657,MATCH(H3114,Documents!$A$5:$A$657,0))),"")</f>
        <v>2005</v>
      </c>
      <c r="J3114" s="25" t="str">
        <f aca="false">IFERROR(IF(INDEX(Documents!$D$5:$D$657,MATCH(H3114,Documents!$A$5:$A$657,0))="","",INDEX(Documents!$D$5:$D$657,MATCH(H3114,Documents!$A$5:$A$657,0))),"")</f>
        <v>J Med Chem</v>
      </c>
      <c r="K3114" s="25" t="str">
        <f aca="false">IFERROR(IF(INDEX(Documents!$G$5:$G$657,MATCH(H3114,Documents!$A$5:$A$657,0))="","",INDEX(Documents!$G$5:$G$657,MATCH(H3114,Documents!$A$5:$A$657,0))),"")</f>
        <v>10.1021/jm040843r</v>
      </c>
      <c r="L3114" s="25" t="s">
        <v>4725</v>
      </c>
    </row>
    <row r="3115" customFormat="false" ht="15" hidden="false" customHeight="false" outlineLevel="0" collapsed="false">
      <c r="A3115" s="25" t="n">
        <v>1400532</v>
      </c>
      <c r="B3115" s="25" t="s">
        <v>6632</v>
      </c>
      <c r="C3115" s="25" t="s">
        <v>6633</v>
      </c>
      <c r="D3115" s="26" t="n">
        <v>208</v>
      </c>
      <c r="E3115" s="27" t="n">
        <v>6.68193666503724</v>
      </c>
      <c r="F3115" s="27" t="n">
        <v>6.68193666503724</v>
      </c>
      <c r="G3115" s="25" t="s">
        <v>6634</v>
      </c>
      <c r="H3115" s="25" t="s">
        <v>4724</v>
      </c>
      <c r="I3115" s="25" t="n">
        <f aca="false">IFERROR(IF(INDEX(Documents!$C$5:$C$657,MATCH(H3115,Documents!$A$5:$A$657,0))="","",INDEX(Documents!$C$5:$C$657,MATCH(H3115,Documents!$A$5:$A$657,0))),"")</f>
        <v>2005</v>
      </c>
      <c r="J3115" s="25" t="str">
        <f aca="false">IFERROR(IF(INDEX(Documents!$D$5:$D$657,MATCH(H3115,Documents!$A$5:$A$657,0))="","",INDEX(Documents!$D$5:$D$657,MATCH(H3115,Documents!$A$5:$A$657,0))),"")</f>
        <v>J Med Chem</v>
      </c>
      <c r="K3115" s="25" t="str">
        <f aca="false">IFERROR(IF(INDEX(Documents!$G$5:$G$657,MATCH(H3115,Documents!$A$5:$A$657,0))="","",INDEX(Documents!$G$5:$G$657,MATCH(H3115,Documents!$A$5:$A$657,0))),"")</f>
        <v>10.1021/jm040843r</v>
      </c>
      <c r="L3115" s="25" t="s">
        <v>4725</v>
      </c>
    </row>
    <row r="3116" customFormat="false" ht="15" hidden="false" customHeight="false" outlineLevel="0" collapsed="false">
      <c r="A3116" s="25" t="n">
        <v>1400611</v>
      </c>
      <c r="B3116" s="25" t="s">
        <v>6635</v>
      </c>
      <c r="C3116" s="25" t="s">
        <v>6636</v>
      </c>
      <c r="D3116" s="26" t="n">
        <v>489</v>
      </c>
      <c r="E3116" s="27" t="n">
        <v>6.31069114087638</v>
      </c>
      <c r="F3116" s="27" t="n">
        <v>6.31069114087638</v>
      </c>
      <c r="G3116" s="25" t="s">
        <v>4723</v>
      </c>
      <c r="H3116" s="25" t="s">
        <v>4724</v>
      </c>
      <c r="I3116" s="25" t="n">
        <f aca="false">IFERROR(IF(INDEX(Documents!$C$5:$C$657,MATCH(H3116,Documents!$A$5:$A$657,0))="","",INDEX(Documents!$C$5:$C$657,MATCH(H3116,Documents!$A$5:$A$657,0))),"")</f>
        <v>2005</v>
      </c>
      <c r="J3116" s="25" t="str">
        <f aca="false">IFERROR(IF(INDEX(Documents!$D$5:$D$657,MATCH(H3116,Documents!$A$5:$A$657,0))="","",INDEX(Documents!$D$5:$D$657,MATCH(H3116,Documents!$A$5:$A$657,0))),"")</f>
        <v>J Med Chem</v>
      </c>
      <c r="K3116" s="25" t="str">
        <f aca="false">IFERROR(IF(INDEX(Documents!$G$5:$G$657,MATCH(H3116,Documents!$A$5:$A$657,0))="","",INDEX(Documents!$G$5:$G$657,MATCH(H3116,Documents!$A$5:$A$657,0))),"")</f>
        <v>10.1021/jm040843r</v>
      </c>
      <c r="L3116" s="25" t="s">
        <v>4725</v>
      </c>
    </row>
    <row r="3117" customFormat="false" ht="15" hidden="false" customHeight="false" outlineLevel="0" collapsed="false">
      <c r="A3117" s="25" t="n">
        <v>1400407</v>
      </c>
      <c r="B3117" s="25" t="s">
        <v>6637</v>
      </c>
      <c r="C3117" s="25" t="s">
        <v>6638</v>
      </c>
      <c r="D3117" s="26" t="n">
        <v>634</v>
      </c>
      <c r="E3117" s="27" t="n">
        <v>6.19791074211827</v>
      </c>
      <c r="F3117" s="27" t="n">
        <v>6.19791074211827</v>
      </c>
      <c r="G3117" s="25" t="s">
        <v>4723</v>
      </c>
      <c r="H3117" s="25" t="s">
        <v>4724</v>
      </c>
      <c r="I3117" s="25" t="n">
        <f aca="false">IFERROR(IF(INDEX(Documents!$C$5:$C$657,MATCH(H3117,Documents!$A$5:$A$657,0))="","",INDEX(Documents!$C$5:$C$657,MATCH(H3117,Documents!$A$5:$A$657,0))),"")</f>
        <v>2005</v>
      </c>
      <c r="J3117" s="25" t="str">
        <f aca="false">IFERROR(IF(INDEX(Documents!$D$5:$D$657,MATCH(H3117,Documents!$A$5:$A$657,0))="","",INDEX(Documents!$D$5:$D$657,MATCH(H3117,Documents!$A$5:$A$657,0))),"")</f>
        <v>J Med Chem</v>
      </c>
      <c r="K3117" s="25" t="str">
        <f aca="false">IFERROR(IF(INDEX(Documents!$G$5:$G$657,MATCH(H3117,Documents!$A$5:$A$657,0))="","",INDEX(Documents!$G$5:$G$657,MATCH(H3117,Documents!$A$5:$A$657,0))),"")</f>
        <v>10.1021/jm040843r</v>
      </c>
      <c r="L3117" s="25" t="s">
        <v>4725</v>
      </c>
    </row>
    <row r="3118" customFormat="false" ht="15" hidden="false" customHeight="false" outlineLevel="0" collapsed="false">
      <c r="A3118" s="25" t="n">
        <v>1400600</v>
      </c>
      <c r="B3118" s="25" t="s">
        <v>6639</v>
      </c>
      <c r="C3118" s="25" t="s">
        <v>6640</v>
      </c>
      <c r="D3118" s="26" t="n">
        <v>608</v>
      </c>
      <c r="E3118" s="27" t="n">
        <v>6.21609642072727</v>
      </c>
      <c r="F3118" s="27" t="n">
        <v>6.21609642072727</v>
      </c>
      <c r="G3118" s="25" t="s">
        <v>4723</v>
      </c>
      <c r="H3118" s="25" t="s">
        <v>4724</v>
      </c>
      <c r="I3118" s="25" t="n">
        <f aca="false">IFERROR(IF(INDEX(Documents!$C$5:$C$657,MATCH(H3118,Documents!$A$5:$A$657,0))="","",INDEX(Documents!$C$5:$C$657,MATCH(H3118,Documents!$A$5:$A$657,0))),"")</f>
        <v>2005</v>
      </c>
      <c r="J3118" s="25" t="str">
        <f aca="false">IFERROR(IF(INDEX(Documents!$D$5:$D$657,MATCH(H3118,Documents!$A$5:$A$657,0))="","",INDEX(Documents!$D$5:$D$657,MATCH(H3118,Documents!$A$5:$A$657,0))),"")</f>
        <v>J Med Chem</v>
      </c>
      <c r="K3118" s="25" t="str">
        <f aca="false">IFERROR(IF(INDEX(Documents!$G$5:$G$657,MATCH(H3118,Documents!$A$5:$A$657,0))="","",INDEX(Documents!$G$5:$G$657,MATCH(H3118,Documents!$A$5:$A$657,0))),"")</f>
        <v>10.1021/jm040843r</v>
      </c>
      <c r="L3118" s="25" t="s">
        <v>4725</v>
      </c>
    </row>
    <row r="3119" customFormat="false" ht="15" hidden="false" customHeight="false" outlineLevel="0" collapsed="false">
      <c r="A3119" s="25" t="n">
        <v>1400410</v>
      </c>
      <c r="B3119" s="25" t="s">
        <v>6641</v>
      </c>
      <c r="C3119" s="25" t="s">
        <v>6642</v>
      </c>
      <c r="D3119" s="26" t="n">
        <v>758</v>
      </c>
      <c r="E3119" s="27" t="n">
        <v>6.12033079436795</v>
      </c>
      <c r="F3119" s="27" t="n">
        <v>6.12033079436795</v>
      </c>
      <c r="G3119" s="25" t="s">
        <v>4723</v>
      </c>
      <c r="H3119" s="25" t="s">
        <v>4724</v>
      </c>
      <c r="I3119" s="25" t="n">
        <f aca="false">IFERROR(IF(INDEX(Documents!$C$5:$C$657,MATCH(H3119,Documents!$A$5:$A$657,0))="","",INDEX(Documents!$C$5:$C$657,MATCH(H3119,Documents!$A$5:$A$657,0))),"")</f>
        <v>2005</v>
      </c>
      <c r="J3119" s="25" t="str">
        <f aca="false">IFERROR(IF(INDEX(Documents!$D$5:$D$657,MATCH(H3119,Documents!$A$5:$A$657,0))="","",INDEX(Documents!$D$5:$D$657,MATCH(H3119,Documents!$A$5:$A$657,0))),"")</f>
        <v>J Med Chem</v>
      </c>
      <c r="K3119" s="25" t="str">
        <f aca="false">IFERROR(IF(INDEX(Documents!$G$5:$G$657,MATCH(H3119,Documents!$A$5:$A$657,0))="","",INDEX(Documents!$G$5:$G$657,MATCH(H3119,Documents!$A$5:$A$657,0))),"")</f>
        <v>10.1021/jm040843r</v>
      </c>
      <c r="L3119" s="25" t="s">
        <v>4725</v>
      </c>
    </row>
    <row r="3120" customFormat="false" ht="15" hidden="false" customHeight="false" outlineLevel="0" collapsed="false">
      <c r="A3120" s="25" t="n">
        <v>1400614</v>
      </c>
      <c r="B3120" s="25" t="s">
        <v>6643</v>
      </c>
      <c r="C3120" s="25" t="s">
        <v>6644</v>
      </c>
      <c r="D3120" s="26" t="n">
        <v>765</v>
      </c>
      <c r="E3120" s="27" t="n">
        <v>6.11633856484638</v>
      </c>
      <c r="F3120" s="27" t="n">
        <v>6.11633856484638</v>
      </c>
      <c r="G3120" s="25" t="s">
        <v>4723</v>
      </c>
      <c r="H3120" s="25" t="s">
        <v>4724</v>
      </c>
      <c r="I3120" s="25" t="n">
        <f aca="false">IFERROR(IF(INDEX(Documents!$C$5:$C$657,MATCH(H3120,Documents!$A$5:$A$657,0))="","",INDEX(Documents!$C$5:$C$657,MATCH(H3120,Documents!$A$5:$A$657,0))),"")</f>
        <v>2005</v>
      </c>
      <c r="J3120" s="25" t="str">
        <f aca="false">IFERROR(IF(INDEX(Documents!$D$5:$D$657,MATCH(H3120,Documents!$A$5:$A$657,0))="","",INDEX(Documents!$D$5:$D$657,MATCH(H3120,Documents!$A$5:$A$657,0))),"")</f>
        <v>J Med Chem</v>
      </c>
      <c r="K3120" s="25" t="str">
        <f aca="false">IFERROR(IF(INDEX(Documents!$G$5:$G$657,MATCH(H3120,Documents!$A$5:$A$657,0))="","",INDEX(Documents!$G$5:$G$657,MATCH(H3120,Documents!$A$5:$A$657,0))),"")</f>
        <v>10.1021/jm040843r</v>
      </c>
      <c r="L3120" s="25" t="s">
        <v>4725</v>
      </c>
    </row>
    <row r="3121" customFormat="false" ht="15" hidden="false" customHeight="false" outlineLevel="0" collapsed="false">
      <c r="A3121" s="25" t="n">
        <v>2349973</v>
      </c>
      <c r="B3121" s="25" t="s">
        <v>6645</v>
      </c>
      <c r="C3121" s="25" t="s">
        <v>6646</v>
      </c>
      <c r="D3121" s="26" t="n">
        <v>1109</v>
      </c>
      <c r="E3121" s="27" t="n">
        <v>5.95506845385084</v>
      </c>
      <c r="F3121" s="27" t="n">
        <v>5.95506845385084</v>
      </c>
      <c r="G3121" s="25" t="s">
        <v>6647</v>
      </c>
      <c r="H3121" s="25" t="s">
        <v>6648</v>
      </c>
      <c r="I3121" s="25" t="n">
        <f aca="false">IFERROR(IF(INDEX(Documents!$C$5:$C$657,MATCH(H3121,Documents!$A$5:$A$657,0))="","",INDEX(Documents!$C$5:$C$657,MATCH(H3121,Documents!$A$5:$A$657,0))),"")</f>
        <v>2008</v>
      </c>
      <c r="J3121" s="25" t="str">
        <f aca="false">IFERROR(IF(INDEX(Documents!$D$5:$D$657,MATCH(H3121,Documents!$A$5:$A$657,0))="","",INDEX(Documents!$D$5:$D$657,MATCH(H3121,Documents!$A$5:$A$657,0))),"")</f>
        <v>J Med Chem</v>
      </c>
      <c r="K3121" s="25" t="str">
        <f aca="false">IFERROR(IF(INDEX(Documents!$G$5:$G$657,MATCH(H3121,Documents!$A$5:$A$657,0))="","",INDEX(Documents!$G$5:$G$657,MATCH(H3121,Documents!$A$5:$A$657,0))),"")</f>
        <v>10.1021/jm8000778</v>
      </c>
      <c r="L3121" s="25" t="s">
        <v>1573</v>
      </c>
    </row>
    <row r="3122" customFormat="false" ht="15" hidden="false" customHeight="false" outlineLevel="0" collapsed="false">
      <c r="A3122" s="25" t="n">
        <v>2115224</v>
      </c>
      <c r="B3122" s="25" t="s">
        <v>6649</v>
      </c>
      <c r="C3122" s="25" t="s">
        <v>6650</v>
      </c>
      <c r="D3122" s="26" t="n">
        <v>3940</v>
      </c>
      <c r="E3122" s="27" t="n">
        <v>5.40450377817443</v>
      </c>
      <c r="F3122" s="27" t="n">
        <v>5.40450377817443</v>
      </c>
      <c r="G3122" s="25" t="s">
        <v>6459</v>
      </c>
      <c r="H3122" s="25" t="s">
        <v>6460</v>
      </c>
      <c r="I3122" s="25" t="n">
        <f aca="false">IFERROR(IF(INDEX(Documents!$C$5:$C$657,MATCH(H3122,Documents!$A$5:$A$657,0))="","",INDEX(Documents!$C$5:$C$657,MATCH(H3122,Documents!$A$5:$A$657,0))),"")</f>
        <v>2008</v>
      </c>
      <c r="J3122" s="25" t="str">
        <f aca="false">IFERROR(IF(INDEX(Documents!$D$5:$D$657,MATCH(H3122,Documents!$A$5:$A$657,0))="","",INDEX(Documents!$D$5:$D$657,MATCH(H3122,Documents!$A$5:$A$657,0))),"")</f>
        <v>J Med Chem</v>
      </c>
      <c r="K3122" s="25" t="str">
        <f aca="false">IFERROR(IF(INDEX(Documents!$G$5:$G$657,MATCH(H3122,Documents!$A$5:$A$657,0))="","",INDEX(Documents!$G$5:$G$657,MATCH(H3122,Documents!$A$5:$A$657,0))),"")</f>
        <v>10.1021/jm070566z</v>
      </c>
      <c r="L3122" s="25" t="s">
        <v>676</v>
      </c>
    </row>
    <row r="3123" customFormat="false" ht="15" hidden="false" customHeight="false" outlineLevel="0" collapsed="false">
      <c r="A3123" s="25" t="n">
        <v>2115172</v>
      </c>
      <c r="B3123" s="25" t="s">
        <v>6651</v>
      </c>
      <c r="C3123" s="25" t="s">
        <v>6652</v>
      </c>
      <c r="D3123" s="26" t="n">
        <v>29</v>
      </c>
      <c r="E3123" s="27" t="n">
        <v>7.53760200210104</v>
      </c>
      <c r="F3123" s="27" t="n">
        <v>7.53760200210104</v>
      </c>
      <c r="G3123" s="25" t="s">
        <v>6459</v>
      </c>
      <c r="H3123" s="25" t="s">
        <v>6460</v>
      </c>
      <c r="I3123" s="25" t="n">
        <f aca="false">IFERROR(IF(INDEX(Documents!$C$5:$C$657,MATCH(H3123,Documents!$A$5:$A$657,0))="","",INDEX(Documents!$C$5:$C$657,MATCH(H3123,Documents!$A$5:$A$657,0))),"")</f>
        <v>2008</v>
      </c>
      <c r="J3123" s="25" t="str">
        <f aca="false">IFERROR(IF(INDEX(Documents!$D$5:$D$657,MATCH(H3123,Documents!$A$5:$A$657,0))="","",INDEX(Documents!$D$5:$D$657,MATCH(H3123,Documents!$A$5:$A$657,0))),"")</f>
        <v>J Med Chem</v>
      </c>
      <c r="K3123" s="25" t="str">
        <f aca="false">IFERROR(IF(INDEX(Documents!$G$5:$G$657,MATCH(H3123,Documents!$A$5:$A$657,0))="","",INDEX(Documents!$G$5:$G$657,MATCH(H3123,Documents!$A$5:$A$657,0))),"")</f>
        <v>10.1021/jm070566z</v>
      </c>
      <c r="L3123" s="25" t="s">
        <v>676</v>
      </c>
    </row>
    <row r="3124" customFormat="false" ht="15" hidden="false" customHeight="false" outlineLevel="0" collapsed="false">
      <c r="A3124" s="25" t="n">
        <v>2115175</v>
      </c>
      <c r="B3124" s="25" t="s">
        <v>6653</v>
      </c>
      <c r="C3124" s="25" t="s">
        <v>6654</v>
      </c>
      <c r="D3124" s="26" t="n">
        <v>20</v>
      </c>
      <c r="E3124" s="27" t="n">
        <v>7.69897000433602</v>
      </c>
      <c r="F3124" s="27" t="n">
        <v>7.69897000433602</v>
      </c>
      <c r="G3124" s="25" t="s">
        <v>6459</v>
      </c>
      <c r="H3124" s="25" t="s">
        <v>6460</v>
      </c>
      <c r="I3124" s="25" t="n">
        <f aca="false">IFERROR(IF(INDEX(Documents!$C$5:$C$657,MATCH(H3124,Documents!$A$5:$A$657,0))="","",INDEX(Documents!$C$5:$C$657,MATCH(H3124,Documents!$A$5:$A$657,0))),"")</f>
        <v>2008</v>
      </c>
      <c r="J3124" s="25" t="str">
        <f aca="false">IFERROR(IF(INDEX(Documents!$D$5:$D$657,MATCH(H3124,Documents!$A$5:$A$657,0))="","",INDEX(Documents!$D$5:$D$657,MATCH(H3124,Documents!$A$5:$A$657,0))),"")</f>
        <v>J Med Chem</v>
      </c>
      <c r="K3124" s="25" t="str">
        <f aca="false">IFERROR(IF(INDEX(Documents!$G$5:$G$657,MATCH(H3124,Documents!$A$5:$A$657,0))="","",INDEX(Documents!$G$5:$G$657,MATCH(H3124,Documents!$A$5:$A$657,0))),"")</f>
        <v>10.1021/jm070566z</v>
      </c>
      <c r="L3124" s="25" t="s">
        <v>676</v>
      </c>
    </row>
    <row r="3125" customFormat="false" ht="15" hidden="false" customHeight="false" outlineLevel="0" collapsed="false">
      <c r="A3125" s="25" t="n">
        <v>2115186</v>
      </c>
      <c r="B3125" s="25" t="s">
        <v>6655</v>
      </c>
      <c r="C3125" s="25" t="s">
        <v>6656</v>
      </c>
      <c r="D3125" s="26" t="n">
        <v>2180</v>
      </c>
      <c r="E3125" s="27" t="n">
        <v>5.6615435063954</v>
      </c>
      <c r="F3125" s="27" t="n">
        <v>5.6615435063954</v>
      </c>
      <c r="G3125" s="25" t="s">
        <v>6459</v>
      </c>
      <c r="H3125" s="25" t="s">
        <v>6460</v>
      </c>
      <c r="I3125" s="25" t="n">
        <f aca="false">IFERROR(IF(INDEX(Documents!$C$5:$C$657,MATCH(H3125,Documents!$A$5:$A$657,0))="","",INDEX(Documents!$C$5:$C$657,MATCH(H3125,Documents!$A$5:$A$657,0))),"")</f>
        <v>2008</v>
      </c>
      <c r="J3125" s="25" t="str">
        <f aca="false">IFERROR(IF(INDEX(Documents!$D$5:$D$657,MATCH(H3125,Documents!$A$5:$A$657,0))="","",INDEX(Documents!$D$5:$D$657,MATCH(H3125,Documents!$A$5:$A$657,0))),"")</f>
        <v>J Med Chem</v>
      </c>
      <c r="K3125" s="25" t="str">
        <f aca="false">IFERROR(IF(INDEX(Documents!$G$5:$G$657,MATCH(H3125,Documents!$A$5:$A$657,0))="","",INDEX(Documents!$G$5:$G$657,MATCH(H3125,Documents!$A$5:$A$657,0))),"")</f>
        <v>10.1021/jm070566z</v>
      </c>
      <c r="L3125" s="25" t="s">
        <v>676</v>
      </c>
    </row>
    <row r="3126" customFormat="false" ht="15" hidden="false" customHeight="false" outlineLevel="0" collapsed="false">
      <c r="A3126" s="25" t="n">
        <v>2349284</v>
      </c>
      <c r="B3126" s="25" t="s">
        <v>6657</v>
      </c>
      <c r="C3126" s="25" t="s">
        <v>6658</v>
      </c>
      <c r="D3126" s="26" t="n">
        <v>1044</v>
      </c>
      <c r="E3126" s="27" t="n">
        <v>5.98129950133376</v>
      </c>
      <c r="F3126" s="27" t="n">
        <v>5.98129950133376</v>
      </c>
      <c r="G3126" s="25" t="s">
        <v>6647</v>
      </c>
      <c r="H3126" s="25" t="s">
        <v>6648</v>
      </c>
      <c r="I3126" s="25" t="n">
        <f aca="false">IFERROR(IF(INDEX(Documents!$C$5:$C$657,MATCH(H3126,Documents!$A$5:$A$657,0))="","",INDEX(Documents!$C$5:$C$657,MATCH(H3126,Documents!$A$5:$A$657,0))),"")</f>
        <v>2008</v>
      </c>
      <c r="J3126" s="25" t="str">
        <f aca="false">IFERROR(IF(INDEX(Documents!$D$5:$D$657,MATCH(H3126,Documents!$A$5:$A$657,0))="","",INDEX(Documents!$D$5:$D$657,MATCH(H3126,Documents!$A$5:$A$657,0))),"")</f>
        <v>J Med Chem</v>
      </c>
      <c r="K3126" s="25" t="str">
        <f aca="false">IFERROR(IF(INDEX(Documents!$G$5:$G$657,MATCH(H3126,Documents!$A$5:$A$657,0))="","",INDEX(Documents!$G$5:$G$657,MATCH(H3126,Documents!$A$5:$A$657,0))),"")</f>
        <v>10.1021/jm8000778</v>
      </c>
      <c r="L3126" s="25" t="s">
        <v>1573</v>
      </c>
    </row>
    <row r="3127" customFormat="false" ht="15" hidden="false" customHeight="false" outlineLevel="0" collapsed="false">
      <c r="A3127" s="25" t="n">
        <v>2573109</v>
      </c>
      <c r="B3127" s="25" t="s">
        <v>6659</v>
      </c>
      <c r="C3127" s="25" t="s">
        <v>6660</v>
      </c>
      <c r="D3127" s="26" t="n">
        <v>110</v>
      </c>
      <c r="E3127" s="27" t="n">
        <v>6.95860731484178</v>
      </c>
      <c r="F3127" s="27" t="n">
        <v>6.95860731484178</v>
      </c>
      <c r="G3127" s="25" t="s">
        <v>674</v>
      </c>
      <c r="H3127" s="25" t="s">
        <v>675</v>
      </c>
      <c r="I3127" s="25" t="n">
        <f aca="false">IFERROR(IF(INDEX(Documents!$C$5:$C$657,MATCH(H3127,Documents!$A$5:$A$657,0))="","",INDEX(Documents!$C$5:$C$657,MATCH(H3127,Documents!$A$5:$A$657,0))),"")</f>
        <v>2008</v>
      </c>
      <c r="J3127" s="25" t="str">
        <f aca="false">IFERROR(IF(INDEX(Documents!$D$5:$D$657,MATCH(H3127,Documents!$A$5:$A$657,0))="","",INDEX(Documents!$D$5:$D$657,MATCH(H3127,Documents!$A$5:$A$657,0))),"")</f>
        <v>Bioorg Med Chem</v>
      </c>
      <c r="K3127" s="25" t="str">
        <f aca="false">IFERROR(IF(INDEX(Documents!$G$5:$G$657,MATCH(H3127,Documents!$A$5:$A$657,0))="","",INDEX(Documents!$G$5:$G$657,MATCH(H3127,Documents!$A$5:$A$657,0))),"")</f>
        <v>10.1016/j.bmc.2008.06.001</v>
      </c>
      <c r="L3127" s="25" t="s">
        <v>676</v>
      </c>
    </row>
    <row r="3128" customFormat="false" ht="15" hidden="false" customHeight="false" outlineLevel="0" collapsed="false">
      <c r="A3128" s="25" t="n">
        <v>2115178</v>
      </c>
      <c r="B3128" s="25" t="s">
        <v>6661</v>
      </c>
      <c r="C3128" s="25" t="s">
        <v>6662</v>
      </c>
      <c r="D3128" s="26" t="n">
        <v>980</v>
      </c>
      <c r="E3128" s="27" t="n">
        <v>6.00877392430751</v>
      </c>
      <c r="F3128" s="27" t="n">
        <v>6.00877392430751</v>
      </c>
      <c r="G3128" s="25" t="s">
        <v>6459</v>
      </c>
      <c r="H3128" s="25" t="s">
        <v>6460</v>
      </c>
      <c r="I3128" s="25" t="n">
        <f aca="false">IFERROR(IF(INDEX(Documents!$C$5:$C$657,MATCH(H3128,Documents!$A$5:$A$657,0))="","",INDEX(Documents!$C$5:$C$657,MATCH(H3128,Documents!$A$5:$A$657,0))),"")</f>
        <v>2008</v>
      </c>
      <c r="J3128" s="25" t="str">
        <f aca="false">IFERROR(IF(INDEX(Documents!$D$5:$D$657,MATCH(H3128,Documents!$A$5:$A$657,0))="","",INDEX(Documents!$D$5:$D$657,MATCH(H3128,Documents!$A$5:$A$657,0))),"")</f>
        <v>J Med Chem</v>
      </c>
      <c r="K3128" s="25" t="str">
        <f aca="false">IFERROR(IF(INDEX(Documents!$G$5:$G$657,MATCH(H3128,Documents!$A$5:$A$657,0))="","",INDEX(Documents!$G$5:$G$657,MATCH(H3128,Documents!$A$5:$A$657,0))),"")</f>
        <v>10.1021/jm070566z</v>
      </c>
      <c r="L3128" s="25" t="s">
        <v>676</v>
      </c>
    </row>
    <row r="3129" customFormat="false" ht="15" hidden="false" customHeight="false" outlineLevel="0" collapsed="false">
      <c r="A3129" s="25" t="n">
        <v>2115181</v>
      </c>
      <c r="B3129" s="25" t="s">
        <v>6663</v>
      </c>
      <c r="C3129" s="25" t="s">
        <v>6664</v>
      </c>
      <c r="D3129" s="26" t="n">
        <v>1730</v>
      </c>
      <c r="E3129" s="27" t="n">
        <v>5.76195389687121</v>
      </c>
      <c r="F3129" s="27" t="n">
        <v>5.76195389687121</v>
      </c>
      <c r="G3129" s="25" t="s">
        <v>6459</v>
      </c>
      <c r="H3129" s="25" t="s">
        <v>6460</v>
      </c>
      <c r="I3129" s="25" t="n">
        <f aca="false">IFERROR(IF(INDEX(Documents!$C$5:$C$657,MATCH(H3129,Documents!$A$5:$A$657,0))="","",INDEX(Documents!$C$5:$C$657,MATCH(H3129,Documents!$A$5:$A$657,0))),"")</f>
        <v>2008</v>
      </c>
      <c r="J3129" s="25" t="str">
        <f aca="false">IFERROR(IF(INDEX(Documents!$D$5:$D$657,MATCH(H3129,Documents!$A$5:$A$657,0))="","",INDEX(Documents!$D$5:$D$657,MATCH(H3129,Documents!$A$5:$A$657,0))),"")</f>
        <v>J Med Chem</v>
      </c>
      <c r="K3129" s="25" t="str">
        <f aca="false">IFERROR(IF(INDEX(Documents!$G$5:$G$657,MATCH(H3129,Documents!$A$5:$A$657,0))="","",INDEX(Documents!$G$5:$G$657,MATCH(H3129,Documents!$A$5:$A$657,0))),"")</f>
        <v>10.1021/jm070566z</v>
      </c>
      <c r="L3129" s="25" t="s">
        <v>676</v>
      </c>
    </row>
    <row r="3130" customFormat="false" ht="15" hidden="false" customHeight="false" outlineLevel="0" collapsed="false">
      <c r="A3130" s="25" t="n">
        <v>2115229</v>
      </c>
      <c r="B3130" s="25" t="s">
        <v>6665</v>
      </c>
      <c r="C3130" s="25" t="s">
        <v>6666</v>
      </c>
      <c r="D3130" s="26" t="n">
        <v>3940</v>
      </c>
      <c r="E3130" s="27" t="n">
        <v>5.40450377817443</v>
      </c>
      <c r="F3130" s="27" t="n">
        <v>5.40450377817443</v>
      </c>
      <c r="G3130" s="25" t="s">
        <v>6459</v>
      </c>
      <c r="H3130" s="25" t="s">
        <v>6460</v>
      </c>
      <c r="I3130" s="25" t="n">
        <f aca="false">IFERROR(IF(INDEX(Documents!$C$5:$C$657,MATCH(H3130,Documents!$A$5:$A$657,0))="","",INDEX(Documents!$C$5:$C$657,MATCH(H3130,Documents!$A$5:$A$657,0))),"")</f>
        <v>2008</v>
      </c>
      <c r="J3130" s="25" t="str">
        <f aca="false">IFERROR(IF(INDEX(Documents!$D$5:$D$657,MATCH(H3130,Documents!$A$5:$A$657,0))="","",INDEX(Documents!$D$5:$D$657,MATCH(H3130,Documents!$A$5:$A$657,0))),"")</f>
        <v>J Med Chem</v>
      </c>
      <c r="K3130" s="25" t="str">
        <f aca="false">IFERROR(IF(INDEX(Documents!$G$5:$G$657,MATCH(H3130,Documents!$A$5:$A$657,0))="","",INDEX(Documents!$G$5:$G$657,MATCH(H3130,Documents!$A$5:$A$657,0))),"")</f>
        <v>10.1021/jm070566z</v>
      </c>
      <c r="L3130" s="25" t="s">
        <v>676</v>
      </c>
    </row>
    <row r="3131" customFormat="false" ht="15" hidden="false" customHeight="false" outlineLevel="0" collapsed="false">
      <c r="A3131" s="25" t="n">
        <v>2115169</v>
      </c>
      <c r="B3131" s="25" t="s">
        <v>6667</v>
      </c>
      <c r="C3131" s="25" t="s">
        <v>6668</v>
      </c>
      <c r="D3131" s="26" t="n">
        <v>2400</v>
      </c>
      <c r="E3131" s="27" t="n">
        <v>5.61978875828839</v>
      </c>
      <c r="F3131" s="27" t="n">
        <v>5.61978875828839</v>
      </c>
      <c r="G3131" s="25" t="s">
        <v>6459</v>
      </c>
      <c r="H3131" s="25" t="s">
        <v>6460</v>
      </c>
      <c r="I3131" s="25" t="n">
        <f aca="false">IFERROR(IF(INDEX(Documents!$C$5:$C$657,MATCH(H3131,Documents!$A$5:$A$657,0))="","",INDEX(Documents!$C$5:$C$657,MATCH(H3131,Documents!$A$5:$A$657,0))),"")</f>
        <v>2008</v>
      </c>
      <c r="J3131" s="25" t="str">
        <f aca="false">IFERROR(IF(INDEX(Documents!$D$5:$D$657,MATCH(H3131,Documents!$A$5:$A$657,0))="","",INDEX(Documents!$D$5:$D$657,MATCH(H3131,Documents!$A$5:$A$657,0))),"")</f>
        <v>J Med Chem</v>
      </c>
      <c r="K3131" s="25" t="str">
        <f aca="false">IFERROR(IF(INDEX(Documents!$G$5:$G$657,MATCH(H3131,Documents!$A$5:$A$657,0))="","",INDEX(Documents!$G$5:$G$657,MATCH(H3131,Documents!$A$5:$A$657,0))),"")</f>
        <v>10.1021/jm070566z</v>
      </c>
      <c r="L3131" s="25" t="s">
        <v>676</v>
      </c>
    </row>
    <row r="3132" customFormat="false" ht="15" hidden="false" customHeight="false" outlineLevel="0" collapsed="false">
      <c r="A3132" s="25" t="n">
        <v>12718747</v>
      </c>
      <c r="B3132" s="25" t="s">
        <v>6669</v>
      </c>
      <c r="C3132" s="25" t="s">
        <v>6670</v>
      </c>
      <c r="D3132" s="26" t="n">
        <v>18220</v>
      </c>
      <c r="E3132" s="27" t="n">
        <v>4.73945162736302</v>
      </c>
      <c r="F3132" s="27" t="n">
        <v>4.73945162736302</v>
      </c>
      <c r="G3132" s="25" t="s">
        <v>2789</v>
      </c>
      <c r="H3132" s="25" t="s">
        <v>2790</v>
      </c>
      <c r="I3132" s="25" t="n">
        <f aca="false">IFERROR(IF(INDEX(Documents!$C$5:$C$657,MATCH(H3132,Documents!$A$5:$A$657,0))="","",INDEX(Documents!$C$5:$C$657,MATCH(H3132,Documents!$A$5:$A$657,0))),"")</f>
        <v>2013</v>
      </c>
      <c r="J3132" s="25" t="str">
        <f aca="false">IFERROR(IF(INDEX(Documents!$D$5:$D$657,MATCH(H3132,Documents!$A$5:$A$657,0))="","",INDEX(Documents!$D$5:$D$657,MATCH(H3132,Documents!$A$5:$A$657,0))),"")</f>
        <v>Bioorg Med Chem</v>
      </c>
      <c r="K3132" s="25" t="str">
        <f aca="false">IFERROR(IF(INDEX(Documents!$G$5:$G$657,MATCH(H3132,Documents!$A$5:$A$657,0))="","",INDEX(Documents!$G$5:$G$657,MATCH(H3132,Documents!$A$5:$A$657,0))),"")</f>
        <v>10.1016/j.bmc.2013.01.055</v>
      </c>
      <c r="L3132" s="25" t="s">
        <v>2791</v>
      </c>
    </row>
    <row r="3133" customFormat="false" ht="15" hidden="false" customHeight="false" outlineLevel="0" collapsed="false">
      <c r="A3133" s="25" t="n">
        <v>1400416</v>
      </c>
      <c r="B3133" s="25" t="s">
        <v>6671</v>
      </c>
      <c r="C3133" s="25" t="s">
        <v>6672</v>
      </c>
      <c r="D3133" s="26" t="n">
        <v>505</v>
      </c>
      <c r="E3133" s="27" t="n">
        <v>6.29670862188134</v>
      </c>
      <c r="F3133" s="27" t="n">
        <v>6.29670862188134</v>
      </c>
      <c r="G3133" s="25" t="s">
        <v>4723</v>
      </c>
      <c r="H3133" s="25" t="s">
        <v>4724</v>
      </c>
      <c r="I3133" s="25" t="n">
        <f aca="false">IFERROR(IF(INDEX(Documents!$C$5:$C$657,MATCH(H3133,Documents!$A$5:$A$657,0))="","",INDEX(Documents!$C$5:$C$657,MATCH(H3133,Documents!$A$5:$A$657,0))),"")</f>
        <v>2005</v>
      </c>
      <c r="J3133" s="25" t="str">
        <f aca="false">IFERROR(IF(INDEX(Documents!$D$5:$D$657,MATCH(H3133,Documents!$A$5:$A$657,0))="","",INDEX(Documents!$D$5:$D$657,MATCH(H3133,Documents!$A$5:$A$657,0))),"")</f>
        <v>J Med Chem</v>
      </c>
      <c r="K3133" s="25" t="str">
        <f aca="false">IFERROR(IF(INDEX(Documents!$G$5:$G$657,MATCH(H3133,Documents!$A$5:$A$657,0))="","",INDEX(Documents!$G$5:$G$657,MATCH(H3133,Documents!$A$5:$A$657,0))),"")</f>
        <v>10.1021/jm040843r</v>
      </c>
      <c r="L3133" s="25" t="s">
        <v>4725</v>
      </c>
    </row>
    <row r="3134" customFormat="false" ht="15" hidden="false" customHeight="false" outlineLevel="0" collapsed="false">
      <c r="A3134" s="25" t="n">
        <v>1400419</v>
      </c>
      <c r="B3134" s="25" t="s">
        <v>6673</v>
      </c>
      <c r="C3134" s="25" t="s">
        <v>6674</v>
      </c>
      <c r="D3134" s="26" t="n">
        <v>3297</v>
      </c>
      <c r="E3134" s="27" t="n">
        <v>5.48188105285685</v>
      </c>
      <c r="F3134" s="27" t="n">
        <v>5.48188105285685</v>
      </c>
      <c r="G3134" s="25" t="s">
        <v>4723</v>
      </c>
      <c r="H3134" s="25" t="s">
        <v>4724</v>
      </c>
      <c r="I3134" s="25" t="n">
        <f aca="false">IFERROR(IF(INDEX(Documents!$C$5:$C$657,MATCH(H3134,Documents!$A$5:$A$657,0))="","",INDEX(Documents!$C$5:$C$657,MATCH(H3134,Documents!$A$5:$A$657,0))),"")</f>
        <v>2005</v>
      </c>
      <c r="J3134" s="25" t="str">
        <f aca="false">IFERROR(IF(INDEX(Documents!$D$5:$D$657,MATCH(H3134,Documents!$A$5:$A$657,0))="","",INDEX(Documents!$D$5:$D$657,MATCH(H3134,Documents!$A$5:$A$657,0))),"")</f>
        <v>J Med Chem</v>
      </c>
      <c r="K3134" s="25" t="str">
        <f aca="false">IFERROR(IF(INDEX(Documents!$G$5:$G$657,MATCH(H3134,Documents!$A$5:$A$657,0))="","",INDEX(Documents!$G$5:$G$657,MATCH(H3134,Documents!$A$5:$A$657,0))),"")</f>
        <v>10.1021/jm040843r</v>
      </c>
      <c r="L3134" s="25" t="s">
        <v>4725</v>
      </c>
    </row>
    <row r="3135" customFormat="false" ht="15" hidden="false" customHeight="false" outlineLevel="0" collapsed="false">
      <c r="A3135" s="25" t="n">
        <v>2413531</v>
      </c>
      <c r="B3135" s="25" t="s">
        <v>6675</v>
      </c>
      <c r="C3135" s="25" t="s">
        <v>6676</v>
      </c>
      <c r="D3135" s="26" t="n">
        <v>4200</v>
      </c>
      <c r="E3135" s="27" t="n">
        <v>5.3767507096021</v>
      </c>
      <c r="F3135" s="27" t="n">
        <v>5.3767507096021</v>
      </c>
      <c r="G3135" s="25" t="s">
        <v>5772</v>
      </c>
      <c r="H3135" s="25" t="s">
        <v>5773</v>
      </c>
      <c r="I3135" s="25" t="n">
        <f aca="false">IFERROR(IF(INDEX(Documents!$C$5:$C$657,MATCH(H3135,Documents!$A$5:$A$657,0))="","",INDEX(Documents!$C$5:$C$657,MATCH(H3135,Documents!$A$5:$A$657,0))),"")</f>
        <v>2009</v>
      </c>
      <c r="J3135" s="25" t="str">
        <f aca="false">IFERROR(IF(INDEX(Documents!$D$5:$D$657,MATCH(H3135,Documents!$A$5:$A$657,0))="","",INDEX(Documents!$D$5:$D$657,MATCH(H3135,Documents!$A$5:$A$657,0))),"")</f>
        <v>Bioorg Med Chem</v>
      </c>
      <c r="K3135" s="25" t="str">
        <f aca="false">IFERROR(IF(INDEX(Documents!$G$5:$G$657,MATCH(H3135,Documents!$A$5:$A$657,0))="","",INDEX(Documents!$G$5:$G$657,MATCH(H3135,Documents!$A$5:$A$657,0))),"")</f>
        <v>10.1016/j.bmc.2009.02.027</v>
      </c>
      <c r="L3135" s="25" t="s">
        <v>5774</v>
      </c>
    </row>
    <row r="3136" customFormat="false" ht="15" hidden="false" customHeight="false" outlineLevel="0" collapsed="false">
      <c r="A3136" s="25" t="n">
        <v>1400506</v>
      </c>
      <c r="B3136" s="25" t="s">
        <v>6677</v>
      </c>
      <c r="C3136" s="25" t="s">
        <v>6678</v>
      </c>
      <c r="D3136" s="26" t="n">
        <v>242</v>
      </c>
      <c r="E3136" s="27" t="n">
        <v>6.61618463401957</v>
      </c>
      <c r="F3136" s="27" t="n">
        <v>6.61618463401957</v>
      </c>
      <c r="G3136" s="25" t="s">
        <v>4723</v>
      </c>
      <c r="H3136" s="25" t="s">
        <v>4724</v>
      </c>
      <c r="I3136" s="25" t="n">
        <f aca="false">IFERROR(IF(INDEX(Documents!$C$5:$C$657,MATCH(H3136,Documents!$A$5:$A$657,0))="","",INDEX(Documents!$C$5:$C$657,MATCH(H3136,Documents!$A$5:$A$657,0))),"")</f>
        <v>2005</v>
      </c>
      <c r="J3136" s="25" t="str">
        <f aca="false">IFERROR(IF(INDEX(Documents!$D$5:$D$657,MATCH(H3136,Documents!$A$5:$A$657,0))="","",INDEX(Documents!$D$5:$D$657,MATCH(H3136,Documents!$A$5:$A$657,0))),"")</f>
        <v>J Med Chem</v>
      </c>
      <c r="K3136" s="25" t="str">
        <f aca="false">IFERROR(IF(INDEX(Documents!$G$5:$G$657,MATCH(H3136,Documents!$A$5:$A$657,0))="","",INDEX(Documents!$G$5:$G$657,MATCH(H3136,Documents!$A$5:$A$657,0))),"")</f>
        <v>10.1021/jm040843r</v>
      </c>
      <c r="L3136" s="25" t="s">
        <v>4725</v>
      </c>
    </row>
    <row r="3137" customFormat="false" ht="15" hidden="false" customHeight="false" outlineLevel="0" collapsed="false">
      <c r="A3137" s="25" t="n">
        <v>2914128</v>
      </c>
      <c r="B3137" s="25" t="s">
        <v>6679</v>
      </c>
      <c r="C3137" s="25" t="s">
        <v>6680</v>
      </c>
      <c r="D3137" s="26" t="n">
        <v>2.4</v>
      </c>
      <c r="E3137" s="27" t="n">
        <v>8.61978875828839</v>
      </c>
      <c r="F3137" s="27" t="n">
        <v>8.61978875828839</v>
      </c>
      <c r="G3137" s="25" t="s">
        <v>5785</v>
      </c>
      <c r="H3137" s="25" t="s">
        <v>5786</v>
      </c>
      <c r="I3137" s="25" t="n">
        <f aca="false">IFERROR(IF(INDEX(Documents!$C$5:$C$657,MATCH(H3137,Documents!$A$5:$A$657,0))="","",INDEX(Documents!$C$5:$C$657,MATCH(H3137,Documents!$A$5:$A$657,0))),"")</f>
        <v>2009</v>
      </c>
      <c r="J3137" s="25" t="str">
        <f aca="false">IFERROR(IF(INDEX(Documents!$D$5:$D$657,MATCH(H3137,Documents!$A$5:$A$657,0))="","",INDEX(Documents!$D$5:$D$657,MATCH(H3137,Documents!$A$5:$A$657,0))),"")</f>
        <v>Bioorg Med Chem</v>
      </c>
      <c r="K3137" s="25" t="str">
        <f aca="false">IFERROR(IF(INDEX(Documents!$G$5:$G$657,MATCH(H3137,Documents!$A$5:$A$657,0))="","",INDEX(Documents!$G$5:$G$657,MATCH(H3137,Documents!$A$5:$A$657,0))),"")</f>
        <v>10.1016/j.bmc.2009.06.027</v>
      </c>
      <c r="L3137" s="25" t="s">
        <v>676</v>
      </c>
    </row>
    <row r="3138" customFormat="false" ht="15" hidden="false" customHeight="false" outlineLevel="0" collapsed="false">
      <c r="A3138" s="25" t="n">
        <v>2914129</v>
      </c>
      <c r="B3138" s="25" t="s">
        <v>6681</v>
      </c>
      <c r="C3138" s="25" t="s">
        <v>6682</v>
      </c>
      <c r="D3138" s="26" t="n">
        <v>1.6</v>
      </c>
      <c r="E3138" s="27" t="n">
        <v>8.79588001734408</v>
      </c>
      <c r="F3138" s="27" t="n">
        <v>8.79588001734408</v>
      </c>
      <c r="G3138" s="25" t="s">
        <v>5785</v>
      </c>
      <c r="H3138" s="25" t="s">
        <v>5786</v>
      </c>
      <c r="I3138" s="25" t="n">
        <f aca="false">IFERROR(IF(INDEX(Documents!$C$5:$C$657,MATCH(H3138,Documents!$A$5:$A$657,0))="","",INDEX(Documents!$C$5:$C$657,MATCH(H3138,Documents!$A$5:$A$657,0))),"")</f>
        <v>2009</v>
      </c>
      <c r="J3138" s="25" t="str">
        <f aca="false">IFERROR(IF(INDEX(Documents!$D$5:$D$657,MATCH(H3138,Documents!$A$5:$A$657,0))="","",INDEX(Documents!$D$5:$D$657,MATCH(H3138,Documents!$A$5:$A$657,0))),"")</f>
        <v>Bioorg Med Chem</v>
      </c>
      <c r="K3138" s="25" t="str">
        <f aca="false">IFERROR(IF(INDEX(Documents!$G$5:$G$657,MATCH(H3138,Documents!$A$5:$A$657,0))="","",INDEX(Documents!$G$5:$G$657,MATCH(H3138,Documents!$A$5:$A$657,0))),"")</f>
        <v>10.1016/j.bmc.2009.06.027</v>
      </c>
      <c r="L3138" s="25" t="s">
        <v>676</v>
      </c>
    </row>
    <row r="3139" customFormat="false" ht="15" hidden="false" customHeight="false" outlineLevel="0" collapsed="false">
      <c r="A3139" s="25" t="n">
        <v>1400494</v>
      </c>
      <c r="B3139" s="25" t="s">
        <v>6683</v>
      </c>
      <c r="C3139" s="25" t="s">
        <v>6684</v>
      </c>
      <c r="D3139" s="26" t="n">
        <v>3469</v>
      </c>
      <c r="E3139" s="27" t="n">
        <v>5.45979570015794</v>
      </c>
      <c r="F3139" s="27" t="n">
        <v>5.45979570015794</v>
      </c>
      <c r="G3139" s="25" t="s">
        <v>4723</v>
      </c>
      <c r="H3139" s="25" t="s">
        <v>4724</v>
      </c>
      <c r="I3139" s="25" t="n">
        <f aca="false">IFERROR(IF(INDEX(Documents!$C$5:$C$657,MATCH(H3139,Documents!$A$5:$A$657,0))="","",INDEX(Documents!$C$5:$C$657,MATCH(H3139,Documents!$A$5:$A$657,0))),"")</f>
        <v>2005</v>
      </c>
      <c r="J3139" s="25" t="str">
        <f aca="false">IFERROR(IF(INDEX(Documents!$D$5:$D$657,MATCH(H3139,Documents!$A$5:$A$657,0))="","",INDEX(Documents!$D$5:$D$657,MATCH(H3139,Documents!$A$5:$A$657,0))),"")</f>
        <v>J Med Chem</v>
      </c>
      <c r="K3139" s="25" t="str">
        <f aca="false">IFERROR(IF(INDEX(Documents!$G$5:$G$657,MATCH(H3139,Documents!$A$5:$A$657,0))="","",INDEX(Documents!$G$5:$G$657,MATCH(H3139,Documents!$A$5:$A$657,0))),"")</f>
        <v>10.1021/jm040843r</v>
      </c>
      <c r="L3139" s="25" t="s">
        <v>4725</v>
      </c>
    </row>
    <row r="3140" customFormat="false" ht="15" hidden="false" customHeight="false" outlineLevel="0" collapsed="false">
      <c r="A3140" s="25" t="n">
        <v>6386890</v>
      </c>
      <c r="B3140" s="25" t="s">
        <v>6685</v>
      </c>
      <c r="C3140" s="25" t="s">
        <v>6686</v>
      </c>
      <c r="D3140" s="26" t="n">
        <v>4520</v>
      </c>
      <c r="E3140" s="27" t="n">
        <v>5.34486156518862</v>
      </c>
      <c r="F3140" s="27" t="n">
        <v>5.34486156518862</v>
      </c>
      <c r="G3140" s="25" t="s">
        <v>6517</v>
      </c>
      <c r="H3140" s="25" t="s">
        <v>6518</v>
      </c>
      <c r="I3140" s="25" t="n">
        <f aca="false">IFERROR(IF(INDEX(Documents!$C$5:$C$657,MATCH(H3140,Documents!$A$5:$A$657,0))="","",INDEX(Documents!$C$5:$C$657,MATCH(H3140,Documents!$A$5:$A$657,0))),"")</f>
        <v>2011</v>
      </c>
      <c r="J3140" s="25" t="str">
        <f aca="false">IFERROR(IF(INDEX(Documents!$D$5:$D$657,MATCH(H3140,Documents!$A$5:$A$657,0))="","",INDEX(Documents!$D$5:$D$657,MATCH(H3140,Documents!$A$5:$A$657,0))),"")</f>
        <v>Bioorg Med Chem Lett</v>
      </c>
      <c r="K3140" s="25" t="str">
        <f aca="false">IFERROR(IF(INDEX(Documents!$G$5:$G$657,MATCH(H3140,Documents!$A$5:$A$657,0))="","",INDEX(Documents!$G$5:$G$657,MATCH(H3140,Documents!$A$5:$A$657,0))),"")</f>
        <v>10.1016/j.bmcl.2011.08.032</v>
      </c>
      <c r="L3140" s="25" t="s">
        <v>6519</v>
      </c>
    </row>
    <row r="3141" customFormat="false" ht="15" hidden="false" customHeight="false" outlineLevel="0" collapsed="false">
      <c r="A3141" s="25" t="n">
        <v>6386893</v>
      </c>
      <c r="B3141" s="25" t="s">
        <v>6687</v>
      </c>
      <c r="C3141" s="25" t="s">
        <v>6688</v>
      </c>
      <c r="D3141" s="26" t="n">
        <v>2270</v>
      </c>
      <c r="E3141" s="27" t="n">
        <v>5.64397414280688</v>
      </c>
      <c r="F3141" s="27" t="n">
        <v>5.64397414280688</v>
      </c>
      <c r="G3141" s="25" t="s">
        <v>6517</v>
      </c>
      <c r="H3141" s="25" t="s">
        <v>6518</v>
      </c>
      <c r="I3141" s="25" t="n">
        <f aca="false">IFERROR(IF(INDEX(Documents!$C$5:$C$657,MATCH(H3141,Documents!$A$5:$A$657,0))="","",INDEX(Documents!$C$5:$C$657,MATCH(H3141,Documents!$A$5:$A$657,0))),"")</f>
        <v>2011</v>
      </c>
      <c r="J3141" s="25" t="str">
        <f aca="false">IFERROR(IF(INDEX(Documents!$D$5:$D$657,MATCH(H3141,Documents!$A$5:$A$657,0))="","",INDEX(Documents!$D$5:$D$657,MATCH(H3141,Documents!$A$5:$A$657,0))),"")</f>
        <v>Bioorg Med Chem Lett</v>
      </c>
      <c r="K3141" s="25" t="str">
        <f aca="false">IFERROR(IF(INDEX(Documents!$G$5:$G$657,MATCH(H3141,Documents!$A$5:$A$657,0))="","",INDEX(Documents!$G$5:$G$657,MATCH(H3141,Documents!$A$5:$A$657,0))),"")</f>
        <v>10.1016/j.bmcl.2011.08.032</v>
      </c>
      <c r="L3141" s="25" t="s">
        <v>6519</v>
      </c>
    </row>
    <row r="3142" customFormat="false" ht="15" hidden="false" customHeight="false" outlineLevel="0" collapsed="false">
      <c r="A3142" s="25" t="n">
        <v>2914135</v>
      </c>
      <c r="B3142" s="25" t="s">
        <v>6689</v>
      </c>
      <c r="C3142" s="25" t="s">
        <v>6690</v>
      </c>
      <c r="D3142" s="26" t="n">
        <v>790</v>
      </c>
      <c r="E3142" s="27" t="n">
        <v>6.10237290870956</v>
      </c>
      <c r="F3142" s="27" t="n">
        <v>6.10237290870956</v>
      </c>
      <c r="G3142" s="25" t="s">
        <v>5785</v>
      </c>
      <c r="H3142" s="25" t="s">
        <v>5786</v>
      </c>
      <c r="I3142" s="25" t="n">
        <f aca="false">IFERROR(IF(INDEX(Documents!$C$5:$C$657,MATCH(H3142,Documents!$A$5:$A$657,0))="","",INDEX(Documents!$C$5:$C$657,MATCH(H3142,Documents!$A$5:$A$657,0))),"")</f>
        <v>2009</v>
      </c>
      <c r="J3142" s="25" t="str">
        <f aca="false">IFERROR(IF(INDEX(Documents!$D$5:$D$657,MATCH(H3142,Documents!$A$5:$A$657,0))="","",INDEX(Documents!$D$5:$D$657,MATCH(H3142,Documents!$A$5:$A$657,0))),"")</f>
        <v>Bioorg Med Chem</v>
      </c>
      <c r="K3142" s="25" t="str">
        <f aca="false">IFERROR(IF(INDEX(Documents!$G$5:$G$657,MATCH(H3142,Documents!$A$5:$A$657,0))="","",INDEX(Documents!$G$5:$G$657,MATCH(H3142,Documents!$A$5:$A$657,0))),"")</f>
        <v>10.1016/j.bmc.2009.06.027</v>
      </c>
      <c r="L3142" s="25" t="s">
        <v>676</v>
      </c>
    </row>
    <row r="3143" customFormat="false" ht="15" hidden="false" customHeight="false" outlineLevel="0" collapsed="false">
      <c r="A3143" s="25" t="n">
        <v>2914153</v>
      </c>
      <c r="B3143" s="25" t="s">
        <v>6691</v>
      </c>
      <c r="C3143" s="25" t="s">
        <v>6692</v>
      </c>
      <c r="D3143" s="26" t="n">
        <v>80</v>
      </c>
      <c r="E3143" s="27" t="n">
        <v>7.09691001300806</v>
      </c>
      <c r="F3143" s="27" t="n">
        <v>7.09691001300806</v>
      </c>
      <c r="G3143" s="25" t="s">
        <v>5785</v>
      </c>
      <c r="H3143" s="25" t="s">
        <v>5786</v>
      </c>
      <c r="I3143" s="25" t="n">
        <f aca="false">IFERROR(IF(INDEX(Documents!$C$5:$C$657,MATCH(H3143,Documents!$A$5:$A$657,0))="","",INDEX(Documents!$C$5:$C$657,MATCH(H3143,Documents!$A$5:$A$657,0))),"")</f>
        <v>2009</v>
      </c>
      <c r="J3143" s="25" t="str">
        <f aca="false">IFERROR(IF(INDEX(Documents!$D$5:$D$657,MATCH(H3143,Documents!$A$5:$A$657,0))="","",INDEX(Documents!$D$5:$D$657,MATCH(H3143,Documents!$A$5:$A$657,0))),"")</f>
        <v>Bioorg Med Chem</v>
      </c>
      <c r="K3143" s="25" t="str">
        <f aca="false">IFERROR(IF(INDEX(Documents!$G$5:$G$657,MATCH(H3143,Documents!$A$5:$A$657,0))="","",INDEX(Documents!$G$5:$G$657,MATCH(H3143,Documents!$A$5:$A$657,0))),"")</f>
        <v>10.1016/j.bmc.2009.06.027</v>
      </c>
      <c r="L3143" s="25" t="s">
        <v>676</v>
      </c>
    </row>
    <row r="3144" customFormat="false" ht="15" hidden="false" customHeight="false" outlineLevel="0" collapsed="false">
      <c r="A3144" s="25" t="n">
        <v>6386895</v>
      </c>
      <c r="B3144" s="25" t="s">
        <v>6693</v>
      </c>
      <c r="C3144" s="25" t="s">
        <v>6694</v>
      </c>
      <c r="D3144" s="26" t="n">
        <v>1740</v>
      </c>
      <c r="E3144" s="27" t="n">
        <v>5.7594507517174</v>
      </c>
      <c r="F3144" s="27" t="n">
        <v>5.7594507517174</v>
      </c>
      <c r="G3144" s="25" t="s">
        <v>6517</v>
      </c>
      <c r="H3144" s="25" t="s">
        <v>6518</v>
      </c>
      <c r="I3144" s="25" t="n">
        <f aca="false">IFERROR(IF(INDEX(Documents!$C$5:$C$657,MATCH(H3144,Documents!$A$5:$A$657,0))="","",INDEX(Documents!$C$5:$C$657,MATCH(H3144,Documents!$A$5:$A$657,0))),"")</f>
        <v>2011</v>
      </c>
      <c r="J3144" s="25" t="str">
        <f aca="false">IFERROR(IF(INDEX(Documents!$D$5:$D$657,MATCH(H3144,Documents!$A$5:$A$657,0))="","",INDEX(Documents!$D$5:$D$657,MATCH(H3144,Documents!$A$5:$A$657,0))),"")</f>
        <v>Bioorg Med Chem Lett</v>
      </c>
      <c r="K3144" s="25" t="str">
        <f aca="false">IFERROR(IF(INDEX(Documents!$G$5:$G$657,MATCH(H3144,Documents!$A$5:$A$657,0))="","",INDEX(Documents!$G$5:$G$657,MATCH(H3144,Documents!$A$5:$A$657,0))),"")</f>
        <v>10.1016/j.bmcl.2011.08.032</v>
      </c>
      <c r="L3144" s="25" t="s">
        <v>6519</v>
      </c>
    </row>
    <row r="3145" customFormat="false" ht="15" hidden="false" customHeight="false" outlineLevel="0" collapsed="false">
      <c r="A3145" s="25" t="n">
        <v>1400515</v>
      </c>
      <c r="B3145" s="25" t="s">
        <v>6695</v>
      </c>
      <c r="C3145" s="25" t="s">
        <v>6696</v>
      </c>
      <c r="D3145" s="26" t="n">
        <v>815</v>
      </c>
      <c r="E3145" s="27" t="n">
        <v>6.08884239126002</v>
      </c>
      <c r="F3145" s="27" t="n">
        <v>6.08884239126002</v>
      </c>
      <c r="G3145" s="25" t="s">
        <v>4723</v>
      </c>
      <c r="H3145" s="25" t="s">
        <v>4724</v>
      </c>
      <c r="I3145" s="25" t="n">
        <f aca="false">IFERROR(IF(INDEX(Documents!$C$5:$C$657,MATCH(H3145,Documents!$A$5:$A$657,0))="","",INDEX(Documents!$C$5:$C$657,MATCH(H3145,Documents!$A$5:$A$657,0))),"")</f>
        <v>2005</v>
      </c>
      <c r="J3145" s="25" t="str">
        <f aca="false">IFERROR(IF(INDEX(Documents!$D$5:$D$657,MATCH(H3145,Documents!$A$5:$A$657,0))="","",INDEX(Documents!$D$5:$D$657,MATCH(H3145,Documents!$A$5:$A$657,0))),"")</f>
        <v>J Med Chem</v>
      </c>
      <c r="K3145" s="25" t="str">
        <f aca="false">IFERROR(IF(INDEX(Documents!$G$5:$G$657,MATCH(H3145,Documents!$A$5:$A$657,0))="","",INDEX(Documents!$G$5:$G$657,MATCH(H3145,Documents!$A$5:$A$657,0))),"")</f>
        <v>10.1021/jm040843r</v>
      </c>
      <c r="L3145" s="25" t="s">
        <v>4725</v>
      </c>
    </row>
    <row r="3146" customFormat="false" ht="15" hidden="false" customHeight="false" outlineLevel="0" collapsed="false">
      <c r="A3146" s="25" t="n">
        <v>13299849</v>
      </c>
      <c r="B3146" s="25" t="s">
        <v>6697</v>
      </c>
      <c r="C3146" s="25" t="s">
        <v>6698</v>
      </c>
      <c r="D3146" s="26" t="n">
        <v>4.56</v>
      </c>
      <c r="E3146" s="27" t="n">
        <v>8.34103515733557</v>
      </c>
      <c r="F3146" s="27" t="n">
        <v>8.34103515733557</v>
      </c>
      <c r="G3146" s="25" t="s">
        <v>3589</v>
      </c>
      <c r="H3146" s="25" t="s">
        <v>3590</v>
      </c>
      <c r="I3146" s="25" t="n">
        <f aca="false">IFERROR(IF(INDEX(Documents!$C$5:$C$657,MATCH(H3146,Documents!$A$5:$A$657,0))="","",INDEX(Documents!$C$5:$C$657,MATCH(H3146,Documents!$A$5:$A$657,0))),"")</f>
        <v>2013</v>
      </c>
      <c r="J3146" s="25" t="str">
        <f aca="false">IFERROR(IF(INDEX(Documents!$D$5:$D$657,MATCH(H3146,Documents!$A$5:$A$657,0))="","",INDEX(Documents!$D$5:$D$657,MATCH(H3146,Documents!$A$5:$A$657,0))),"")</f>
        <v>J Med Chem</v>
      </c>
      <c r="K3146" s="25" t="str">
        <f aca="false">IFERROR(IF(INDEX(Documents!$G$5:$G$657,MATCH(H3146,Documents!$A$5:$A$657,0))="","",INDEX(Documents!$G$5:$G$657,MATCH(H3146,Documents!$A$5:$A$657,0))),"")</f>
        <v>10.1021/jm400182t</v>
      </c>
      <c r="L3146" s="25" t="s">
        <v>3591</v>
      </c>
    </row>
    <row r="3147" customFormat="false" ht="15" hidden="false" customHeight="false" outlineLevel="0" collapsed="false">
      <c r="A3147" s="25" t="n">
        <v>5205781</v>
      </c>
      <c r="B3147" s="25" t="s">
        <v>6699</v>
      </c>
      <c r="C3147" s="25" t="s">
        <v>6700</v>
      </c>
      <c r="D3147" s="26" t="n">
        <v>1.2</v>
      </c>
      <c r="E3147" s="27" t="n">
        <v>8.92081875395238</v>
      </c>
      <c r="F3147" s="27" t="n">
        <v>8.92081875395238</v>
      </c>
      <c r="G3147" s="25" t="s">
        <v>461</v>
      </c>
      <c r="H3147" s="25" t="s">
        <v>462</v>
      </c>
      <c r="I3147" s="25" t="n">
        <f aca="false">IFERROR(IF(INDEX(Documents!$C$5:$C$657,MATCH(H3147,Documents!$A$5:$A$657,0))="","",INDEX(Documents!$C$5:$C$657,MATCH(H3147,Documents!$A$5:$A$657,0))),"")</f>
        <v>2011</v>
      </c>
      <c r="J3147" s="25" t="str">
        <f aca="false">IFERROR(IF(INDEX(Documents!$D$5:$D$657,MATCH(H3147,Documents!$A$5:$A$657,0))="","",INDEX(Documents!$D$5:$D$657,MATCH(H3147,Documents!$A$5:$A$657,0))),"")</f>
        <v>Eur J Med Chem</v>
      </c>
      <c r="K3147" s="25" t="str">
        <f aca="false">IFERROR(IF(INDEX(Documents!$G$5:$G$657,MATCH(H3147,Documents!$A$5:$A$657,0))="","",INDEX(Documents!$G$5:$G$657,MATCH(H3147,Documents!$A$5:$A$657,0))),"")</f>
        <v>10.1016/j.ejmech.2010.11.034</v>
      </c>
      <c r="L3147" s="25" t="s">
        <v>463</v>
      </c>
    </row>
    <row r="3148" customFormat="false" ht="15" hidden="false" customHeight="false" outlineLevel="0" collapsed="false">
      <c r="A3148" s="25" t="n">
        <v>5205782</v>
      </c>
      <c r="B3148" s="25" t="s">
        <v>6701</v>
      </c>
      <c r="C3148" s="25" t="s">
        <v>6702</v>
      </c>
      <c r="D3148" s="26" t="n">
        <v>5.7</v>
      </c>
      <c r="E3148" s="27" t="n">
        <v>8.24412514432751</v>
      </c>
      <c r="F3148" s="27" t="n">
        <v>8.24412514432751</v>
      </c>
      <c r="G3148" s="25" t="s">
        <v>461</v>
      </c>
      <c r="H3148" s="25" t="s">
        <v>462</v>
      </c>
      <c r="I3148" s="25" t="n">
        <f aca="false">IFERROR(IF(INDEX(Documents!$C$5:$C$657,MATCH(H3148,Documents!$A$5:$A$657,0))="","",INDEX(Documents!$C$5:$C$657,MATCH(H3148,Documents!$A$5:$A$657,0))),"")</f>
        <v>2011</v>
      </c>
      <c r="J3148" s="25" t="str">
        <f aca="false">IFERROR(IF(INDEX(Documents!$D$5:$D$657,MATCH(H3148,Documents!$A$5:$A$657,0))="","",INDEX(Documents!$D$5:$D$657,MATCH(H3148,Documents!$A$5:$A$657,0))),"")</f>
        <v>Eur J Med Chem</v>
      </c>
      <c r="K3148" s="25" t="str">
        <f aca="false">IFERROR(IF(INDEX(Documents!$G$5:$G$657,MATCH(H3148,Documents!$A$5:$A$657,0))="","",INDEX(Documents!$G$5:$G$657,MATCH(H3148,Documents!$A$5:$A$657,0))),"")</f>
        <v>10.1016/j.ejmech.2010.11.034</v>
      </c>
      <c r="L3148" s="25" t="s">
        <v>463</v>
      </c>
    </row>
    <row r="3149" customFormat="false" ht="15" hidden="false" customHeight="false" outlineLevel="0" collapsed="false">
      <c r="A3149" s="25" t="n">
        <v>5205753</v>
      </c>
      <c r="B3149" s="25" t="s">
        <v>6703</v>
      </c>
      <c r="C3149" s="25" t="s">
        <v>6704</v>
      </c>
      <c r="D3149" s="26" t="n">
        <v>16</v>
      </c>
      <c r="E3149" s="27" t="n">
        <v>7.79588001734408</v>
      </c>
      <c r="F3149" s="27" t="n">
        <v>7.79588001734408</v>
      </c>
      <c r="G3149" s="25" t="s">
        <v>461</v>
      </c>
      <c r="H3149" s="25" t="s">
        <v>462</v>
      </c>
      <c r="I3149" s="25" t="n">
        <f aca="false">IFERROR(IF(INDEX(Documents!$C$5:$C$657,MATCH(H3149,Documents!$A$5:$A$657,0))="","",INDEX(Documents!$C$5:$C$657,MATCH(H3149,Documents!$A$5:$A$657,0))),"")</f>
        <v>2011</v>
      </c>
      <c r="J3149" s="25" t="str">
        <f aca="false">IFERROR(IF(INDEX(Documents!$D$5:$D$657,MATCH(H3149,Documents!$A$5:$A$657,0))="","",INDEX(Documents!$D$5:$D$657,MATCH(H3149,Documents!$A$5:$A$657,0))),"")</f>
        <v>Eur J Med Chem</v>
      </c>
      <c r="K3149" s="25" t="str">
        <f aca="false">IFERROR(IF(INDEX(Documents!$G$5:$G$657,MATCH(H3149,Documents!$A$5:$A$657,0))="","",INDEX(Documents!$G$5:$G$657,MATCH(H3149,Documents!$A$5:$A$657,0))),"")</f>
        <v>10.1016/j.ejmech.2010.11.034</v>
      </c>
      <c r="L3149" s="25" t="s">
        <v>463</v>
      </c>
    </row>
    <row r="3150" customFormat="false" ht="15" hidden="false" customHeight="false" outlineLevel="0" collapsed="false">
      <c r="A3150" s="25" t="n">
        <v>6298725</v>
      </c>
      <c r="B3150" s="25" t="s">
        <v>6705</v>
      </c>
      <c r="C3150" s="25" t="s">
        <v>6706</v>
      </c>
      <c r="D3150" s="26" t="n">
        <v>27</v>
      </c>
      <c r="E3150" s="27" t="n">
        <v>7.56863623584101</v>
      </c>
      <c r="F3150" s="27" t="n">
        <v>7.56863623584101</v>
      </c>
      <c r="G3150" s="25" t="s">
        <v>6707</v>
      </c>
      <c r="H3150" s="25" t="s">
        <v>6708</v>
      </c>
      <c r="I3150" s="25" t="n">
        <f aca="false">IFERROR(IF(INDEX(Documents!$C$5:$C$657,MATCH(H3150,Documents!$A$5:$A$657,0))="","",INDEX(Documents!$C$5:$C$657,MATCH(H3150,Documents!$A$5:$A$657,0))),"")</f>
        <v>2011</v>
      </c>
      <c r="J3150" s="25" t="str">
        <f aca="false">IFERROR(IF(INDEX(Documents!$D$5:$D$657,MATCH(H3150,Documents!$A$5:$A$657,0))="","",INDEX(Documents!$D$5:$D$657,MATCH(H3150,Documents!$A$5:$A$657,0))),"")</f>
        <v>Bioorg Med Chem</v>
      </c>
      <c r="K3150" s="25" t="str">
        <f aca="false">IFERROR(IF(INDEX(Documents!$G$5:$G$657,MATCH(H3150,Documents!$A$5:$A$657,0))="","",INDEX(Documents!$G$5:$G$657,MATCH(H3150,Documents!$A$5:$A$657,0))),"")</f>
        <v>10.1016/j.bmc.2011.06.033</v>
      </c>
      <c r="L3150" s="25" t="s">
        <v>6709</v>
      </c>
    </row>
    <row r="3151" customFormat="false" ht="15" hidden="false" customHeight="false" outlineLevel="0" collapsed="false">
      <c r="A3151" s="25" t="n">
        <v>18588990</v>
      </c>
      <c r="B3151" s="25" t="s">
        <v>6710</v>
      </c>
      <c r="C3151" s="25" t="s">
        <v>6711</v>
      </c>
      <c r="D3151" s="26" t="n">
        <v>990</v>
      </c>
      <c r="E3151" s="27" t="n">
        <v>6.00436480540245</v>
      </c>
      <c r="F3151" s="27" t="n">
        <v>6.00436480540245</v>
      </c>
      <c r="G3151" s="25" t="s">
        <v>1175</v>
      </c>
      <c r="H3151" s="25" t="s">
        <v>1176</v>
      </c>
      <c r="I3151" s="25" t="n">
        <f aca="false">IFERROR(IF(INDEX(Documents!$C$5:$C$657,MATCH(H3151,Documents!$A$5:$A$657,0))="","",INDEX(Documents!$C$5:$C$657,MATCH(H3151,Documents!$A$5:$A$657,0))),"")</f>
        <v>2018</v>
      </c>
      <c r="J3151" s="25" t="str">
        <f aca="false">IFERROR(IF(INDEX(Documents!$D$5:$D$657,MATCH(H3151,Documents!$A$5:$A$657,0))="","",INDEX(Documents!$D$5:$D$657,MATCH(H3151,Documents!$A$5:$A$657,0))),"")</f>
        <v>J Med Chem</v>
      </c>
      <c r="K3151" s="25" t="str">
        <f aca="false">IFERROR(IF(INDEX(Documents!$G$5:$G$657,MATCH(H3151,Documents!$A$5:$A$657,0))="","",INDEX(Documents!$G$5:$G$657,MATCH(H3151,Documents!$A$5:$A$657,0))),"")</f>
        <v>10.1021/acs.jmedchem.7b01820</v>
      </c>
      <c r="L3151" s="25" t="s">
        <v>1177</v>
      </c>
    </row>
    <row r="3152" customFormat="false" ht="15" hidden="false" customHeight="false" outlineLevel="0" collapsed="false">
      <c r="A3152" s="25" t="n">
        <v>3017037</v>
      </c>
      <c r="B3152" s="25" t="s">
        <v>6712</v>
      </c>
      <c r="C3152" s="25" t="s">
        <v>6713</v>
      </c>
      <c r="D3152" s="26" t="n">
        <v>17</v>
      </c>
      <c r="E3152" s="27" t="n">
        <v>7.76955107862173</v>
      </c>
      <c r="F3152" s="27" t="n">
        <v>7.76955107862173</v>
      </c>
      <c r="G3152" s="25" t="s">
        <v>1785</v>
      </c>
      <c r="H3152" s="25" t="s">
        <v>1786</v>
      </c>
      <c r="I3152" s="25" t="n">
        <f aca="false">IFERROR(IF(INDEX(Documents!$C$5:$C$657,MATCH(H3152,Documents!$A$5:$A$657,0))="","",INDEX(Documents!$C$5:$C$657,MATCH(H3152,Documents!$A$5:$A$657,0))),"")</f>
        <v>2009</v>
      </c>
      <c r="J3152" s="25" t="str">
        <f aca="false">IFERROR(IF(INDEX(Documents!$D$5:$D$657,MATCH(H3152,Documents!$A$5:$A$657,0))="","",INDEX(Documents!$D$5:$D$657,MATCH(H3152,Documents!$A$5:$A$657,0))),"")</f>
        <v>Bioorg Med Chem Lett</v>
      </c>
      <c r="K3152" s="25" t="str">
        <f aca="false">IFERROR(IF(INDEX(Documents!$G$5:$G$657,MATCH(H3152,Documents!$A$5:$A$657,0))="","",INDEX(Documents!$G$5:$G$657,MATCH(H3152,Documents!$A$5:$A$657,0))),"")</f>
        <v>10.1016/j.bmcl.2009.07.057</v>
      </c>
      <c r="L3152" s="25" t="s">
        <v>659</v>
      </c>
    </row>
    <row r="3153" customFormat="false" ht="15" hidden="false" customHeight="false" outlineLevel="0" collapsed="false">
      <c r="A3153" s="25" t="n">
        <v>22800469</v>
      </c>
      <c r="B3153" s="25" t="s">
        <v>6714</v>
      </c>
      <c r="C3153" s="25" t="s">
        <v>6715</v>
      </c>
      <c r="D3153" s="26" t="n">
        <v>4.3</v>
      </c>
      <c r="E3153" s="27" t="n">
        <v>8.36653154442041</v>
      </c>
      <c r="F3153" s="27" t="n">
        <v>8.36653154442041</v>
      </c>
      <c r="G3153" s="25" t="s">
        <v>5805</v>
      </c>
      <c r="H3153" s="25" t="s">
        <v>5806</v>
      </c>
      <c r="I3153" s="25" t="n">
        <f aca="false">IFERROR(IF(INDEX(Documents!$C$5:$C$657,MATCH(H3153,Documents!$A$5:$A$657,0))="","",INDEX(Documents!$C$5:$C$657,MATCH(H3153,Documents!$A$5:$A$657,0))),"")</f>
        <v>2020</v>
      </c>
      <c r="J3153" s="25" t="str">
        <f aca="false">IFERROR(IF(INDEX(Documents!$D$5:$D$657,MATCH(H3153,Documents!$A$5:$A$657,0))="","",INDEX(Documents!$D$5:$D$657,MATCH(H3153,Documents!$A$5:$A$657,0))),"")</f>
        <v>Eur J Med Chem</v>
      </c>
      <c r="K3153" s="25" t="str">
        <f aca="false">IFERROR(IF(INDEX(Documents!$G$5:$G$657,MATCH(H3153,Documents!$A$5:$A$657,0))="","",INDEX(Documents!$G$5:$G$657,MATCH(H3153,Documents!$A$5:$A$657,0))),"")</f>
        <v>10.1016/j.ejmech.2020.112858</v>
      </c>
      <c r="L3153" s="25" t="s">
        <v>5807</v>
      </c>
    </row>
    <row r="3154" customFormat="false" ht="15" hidden="false" customHeight="false" outlineLevel="0" collapsed="false">
      <c r="A3154" s="25" t="n">
        <v>5205759</v>
      </c>
      <c r="B3154" s="25" t="s">
        <v>6716</v>
      </c>
      <c r="C3154" s="25" t="s">
        <v>6717</v>
      </c>
      <c r="D3154" s="26" t="n">
        <v>25.5</v>
      </c>
      <c r="E3154" s="27" t="n">
        <v>7.59345981956605</v>
      </c>
      <c r="F3154" s="27" t="n">
        <v>7.59345981956605</v>
      </c>
      <c r="G3154" s="25" t="s">
        <v>461</v>
      </c>
      <c r="H3154" s="25" t="s">
        <v>462</v>
      </c>
      <c r="I3154" s="25" t="n">
        <f aca="false">IFERROR(IF(INDEX(Documents!$C$5:$C$657,MATCH(H3154,Documents!$A$5:$A$657,0))="","",INDEX(Documents!$C$5:$C$657,MATCH(H3154,Documents!$A$5:$A$657,0))),"")</f>
        <v>2011</v>
      </c>
      <c r="J3154" s="25" t="str">
        <f aca="false">IFERROR(IF(INDEX(Documents!$D$5:$D$657,MATCH(H3154,Documents!$A$5:$A$657,0))="","",INDEX(Documents!$D$5:$D$657,MATCH(H3154,Documents!$A$5:$A$657,0))),"")</f>
        <v>Eur J Med Chem</v>
      </c>
      <c r="K3154" s="25" t="str">
        <f aca="false">IFERROR(IF(INDEX(Documents!$G$5:$G$657,MATCH(H3154,Documents!$A$5:$A$657,0))="","",INDEX(Documents!$G$5:$G$657,MATCH(H3154,Documents!$A$5:$A$657,0))),"")</f>
        <v>10.1016/j.ejmech.2010.11.034</v>
      </c>
      <c r="L3154" s="25" t="s">
        <v>463</v>
      </c>
    </row>
    <row r="3155" customFormat="false" ht="15" hidden="false" customHeight="false" outlineLevel="0" collapsed="false">
      <c r="A3155" s="25" t="n">
        <v>22800470</v>
      </c>
      <c r="B3155" s="25" t="s">
        <v>6718</v>
      </c>
      <c r="C3155" s="25" t="s">
        <v>6719</v>
      </c>
      <c r="D3155" s="26" t="n">
        <v>5.7</v>
      </c>
      <c r="E3155" s="27" t="n">
        <v>8.24412514432751</v>
      </c>
      <c r="F3155" s="27" t="n">
        <v>8.24412514432751</v>
      </c>
      <c r="G3155" s="25" t="s">
        <v>5805</v>
      </c>
      <c r="H3155" s="25" t="s">
        <v>5806</v>
      </c>
      <c r="I3155" s="25" t="n">
        <f aca="false">IFERROR(IF(INDEX(Documents!$C$5:$C$657,MATCH(H3155,Documents!$A$5:$A$657,0))="","",INDEX(Documents!$C$5:$C$657,MATCH(H3155,Documents!$A$5:$A$657,0))),"")</f>
        <v>2020</v>
      </c>
      <c r="J3155" s="25" t="str">
        <f aca="false">IFERROR(IF(INDEX(Documents!$D$5:$D$657,MATCH(H3155,Documents!$A$5:$A$657,0))="","",INDEX(Documents!$D$5:$D$657,MATCH(H3155,Documents!$A$5:$A$657,0))),"")</f>
        <v>Eur J Med Chem</v>
      </c>
      <c r="K3155" s="25" t="str">
        <f aca="false">IFERROR(IF(INDEX(Documents!$G$5:$G$657,MATCH(H3155,Documents!$A$5:$A$657,0))="","",INDEX(Documents!$G$5:$G$657,MATCH(H3155,Documents!$A$5:$A$657,0))),"")</f>
        <v>10.1016/j.ejmech.2020.112858</v>
      </c>
      <c r="L3155" s="25" t="s">
        <v>5807</v>
      </c>
    </row>
    <row r="3156" customFormat="false" ht="15" hidden="false" customHeight="false" outlineLevel="0" collapsed="false">
      <c r="A3156" s="25" t="n">
        <v>13321877</v>
      </c>
      <c r="B3156" s="25" t="s">
        <v>6720</v>
      </c>
      <c r="C3156" s="25" t="s">
        <v>6721</v>
      </c>
      <c r="D3156" s="26" t="n">
        <v>444</v>
      </c>
      <c r="E3156" s="27" t="n">
        <v>6.35261702988538</v>
      </c>
      <c r="F3156" s="27" t="n">
        <v>6.35261702988538</v>
      </c>
      <c r="G3156" s="25" t="s">
        <v>3101</v>
      </c>
      <c r="H3156" s="25" t="s">
        <v>3102</v>
      </c>
      <c r="I3156" s="25" t="n">
        <f aca="false">IFERROR(IF(INDEX(Documents!$C$5:$C$657,MATCH(H3156,Documents!$A$5:$A$657,0))="","",INDEX(Documents!$C$5:$C$657,MATCH(H3156,Documents!$A$5:$A$657,0))),"")</f>
        <v>2013</v>
      </c>
      <c r="J3156" s="25" t="str">
        <f aca="false">IFERROR(IF(INDEX(Documents!$D$5:$D$657,MATCH(H3156,Documents!$A$5:$A$657,0))="","",INDEX(Documents!$D$5:$D$657,MATCH(H3156,Documents!$A$5:$A$657,0))),"")</f>
        <v>J Med Chem</v>
      </c>
      <c r="K3156" s="25" t="str">
        <f aca="false">IFERROR(IF(INDEX(Documents!$G$5:$G$657,MATCH(H3156,Documents!$A$5:$A$657,0))="","",INDEX(Documents!$G$5:$G$657,MATCH(H3156,Documents!$A$5:$A$657,0))),"")</f>
        <v>10.1021/jm4005175</v>
      </c>
      <c r="L3156" s="25" t="s">
        <v>3103</v>
      </c>
    </row>
    <row r="3157" customFormat="false" ht="15" hidden="false" customHeight="false" outlineLevel="0" collapsed="false">
      <c r="A3157" s="25" t="n">
        <v>13321879</v>
      </c>
      <c r="B3157" s="25" t="s">
        <v>6722</v>
      </c>
      <c r="C3157" s="25" t="s">
        <v>6723</v>
      </c>
      <c r="D3157" s="26" t="n">
        <v>3420</v>
      </c>
      <c r="E3157" s="27" t="n">
        <v>5.46597389394387</v>
      </c>
      <c r="F3157" s="27" t="n">
        <v>5.46597389394387</v>
      </c>
      <c r="G3157" s="25" t="s">
        <v>3101</v>
      </c>
      <c r="H3157" s="25" t="s">
        <v>3102</v>
      </c>
      <c r="I3157" s="25" t="n">
        <f aca="false">IFERROR(IF(INDEX(Documents!$C$5:$C$657,MATCH(H3157,Documents!$A$5:$A$657,0))="","",INDEX(Documents!$C$5:$C$657,MATCH(H3157,Documents!$A$5:$A$657,0))),"")</f>
        <v>2013</v>
      </c>
      <c r="J3157" s="25" t="str">
        <f aca="false">IFERROR(IF(INDEX(Documents!$D$5:$D$657,MATCH(H3157,Documents!$A$5:$A$657,0))="","",INDEX(Documents!$D$5:$D$657,MATCH(H3157,Documents!$A$5:$A$657,0))),"")</f>
        <v>J Med Chem</v>
      </c>
      <c r="K3157" s="25" t="str">
        <f aca="false">IFERROR(IF(INDEX(Documents!$G$5:$G$657,MATCH(H3157,Documents!$A$5:$A$657,0))="","",INDEX(Documents!$G$5:$G$657,MATCH(H3157,Documents!$A$5:$A$657,0))),"")</f>
        <v>10.1021/jm4005175</v>
      </c>
      <c r="L3157" s="25" t="s">
        <v>3103</v>
      </c>
    </row>
    <row r="3158" customFormat="false" ht="15" hidden="false" customHeight="false" outlineLevel="0" collapsed="false">
      <c r="A3158" s="25" t="n">
        <v>14999681</v>
      </c>
      <c r="B3158" s="25" t="s">
        <v>6724</v>
      </c>
      <c r="C3158" s="25" t="s">
        <v>6725</v>
      </c>
      <c r="D3158" s="26" t="n">
        <v>1000</v>
      </c>
      <c r="E3158" s="27" t="n">
        <v>6</v>
      </c>
      <c r="F3158" s="27" t="n">
        <v>6</v>
      </c>
      <c r="G3158" s="25" t="s">
        <v>2988</v>
      </c>
      <c r="H3158" s="25" t="s">
        <v>2989</v>
      </c>
      <c r="I3158" s="25" t="n">
        <f aca="false">IFERROR(IF(INDEX(Documents!$C$5:$C$657,MATCH(H3158,Documents!$A$5:$A$657,0))="","",INDEX(Documents!$C$5:$C$657,MATCH(H3158,Documents!$A$5:$A$657,0))),"")</f>
        <v>2014</v>
      </c>
      <c r="J3158" s="25" t="str">
        <f aca="false">IFERROR(IF(INDEX(Documents!$D$5:$D$657,MATCH(H3158,Documents!$A$5:$A$657,0))="","",INDEX(Documents!$D$5:$D$657,MATCH(H3158,Documents!$A$5:$A$657,0))),"")</f>
        <v>Eur J Med Chem</v>
      </c>
      <c r="K3158" s="25" t="str">
        <f aca="false">IFERROR(IF(INDEX(Documents!$G$5:$G$657,MATCH(H3158,Documents!$A$5:$A$657,0))="","",INDEX(Documents!$G$5:$G$657,MATCH(H3158,Documents!$A$5:$A$657,0))),"")</f>
        <v>10.1016/j.ejmech.2014.07.062</v>
      </c>
      <c r="L3158" s="25" t="s">
        <v>2990</v>
      </c>
    </row>
    <row r="3159" customFormat="false" ht="15" hidden="false" customHeight="false" outlineLevel="0" collapsed="false">
      <c r="A3159" s="25" t="n">
        <v>1891102</v>
      </c>
      <c r="B3159" s="25" t="s">
        <v>6726</v>
      </c>
      <c r="C3159" s="25" t="s">
        <v>6727</v>
      </c>
      <c r="D3159" s="26" t="n">
        <v>8300</v>
      </c>
      <c r="E3159" s="27" t="n">
        <v>5.08092190762393</v>
      </c>
      <c r="F3159" s="27" t="n">
        <v>5.08092190762393</v>
      </c>
      <c r="G3159" s="25" t="s">
        <v>5799</v>
      </c>
      <c r="H3159" s="25" t="s">
        <v>5800</v>
      </c>
      <c r="I3159" s="25" t="n">
        <f aca="false">IFERROR(IF(INDEX(Documents!$C$5:$C$657,MATCH(H3159,Documents!$A$5:$A$657,0))="","",INDEX(Documents!$C$5:$C$657,MATCH(H3159,Documents!$A$5:$A$657,0))),"")</f>
        <v>2007</v>
      </c>
      <c r="J3159" s="25" t="str">
        <f aca="false">IFERROR(IF(INDEX(Documents!$D$5:$D$657,MATCH(H3159,Documents!$A$5:$A$657,0))="","",INDEX(Documents!$D$5:$D$657,MATCH(H3159,Documents!$A$5:$A$657,0))),"")</f>
        <v>Bioorg Med Chem Lett</v>
      </c>
      <c r="K3159" s="25" t="str">
        <f aca="false">IFERROR(IF(INDEX(Documents!$G$5:$G$657,MATCH(H3159,Documents!$A$5:$A$657,0))="","",INDEX(Documents!$G$5:$G$657,MATCH(H3159,Documents!$A$5:$A$657,0))),"")</f>
        <v>10.1016/j.bmcl.2006.10.095</v>
      </c>
      <c r="L3159" s="25" t="s">
        <v>285</v>
      </c>
    </row>
    <row r="3160" customFormat="false" ht="15" hidden="false" customHeight="false" outlineLevel="0" collapsed="false">
      <c r="A3160" s="25" t="n">
        <v>1891095</v>
      </c>
      <c r="B3160" s="25" t="s">
        <v>6728</v>
      </c>
      <c r="C3160" s="25" t="s">
        <v>6729</v>
      </c>
      <c r="D3160" s="26" t="n">
        <v>1300</v>
      </c>
      <c r="E3160" s="27" t="n">
        <v>5.88605664769316</v>
      </c>
      <c r="F3160" s="27" t="n">
        <v>5.88605664769316</v>
      </c>
      <c r="G3160" s="25" t="s">
        <v>5799</v>
      </c>
      <c r="H3160" s="25" t="s">
        <v>5800</v>
      </c>
      <c r="I3160" s="25" t="n">
        <f aca="false">IFERROR(IF(INDEX(Documents!$C$5:$C$657,MATCH(H3160,Documents!$A$5:$A$657,0))="","",INDEX(Documents!$C$5:$C$657,MATCH(H3160,Documents!$A$5:$A$657,0))),"")</f>
        <v>2007</v>
      </c>
      <c r="J3160" s="25" t="str">
        <f aca="false">IFERROR(IF(INDEX(Documents!$D$5:$D$657,MATCH(H3160,Documents!$A$5:$A$657,0))="","",INDEX(Documents!$D$5:$D$657,MATCH(H3160,Documents!$A$5:$A$657,0))),"")</f>
        <v>Bioorg Med Chem Lett</v>
      </c>
      <c r="K3160" s="25" t="str">
        <f aca="false">IFERROR(IF(INDEX(Documents!$G$5:$G$657,MATCH(H3160,Documents!$A$5:$A$657,0))="","",INDEX(Documents!$G$5:$G$657,MATCH(H3160,Documents!$A$5:$A$657,0))),"")</f>
        <v>10.1016/j.bmcl.2006.10.095</v>
      </c>
      <c r="L3160" s="25" t="s">
        <v>285</v>
      </c>
    </row>
    <row r="3161" customFormat="false" ht="15" hidden="false" customHeight="false" outlineLevel="0" collapsed="false">
      <c r="A3161" s="25" t="n">
        <v>1891104</v>
      </c>
      <c r="B3161" s="25" t="s">
        <v>6730</v>
      </c>
      <c r="C3161" s="25" t="s">
        <v>6731</v>
      </c>
      <c r="D3161" s="26" t="n">
        <v>1100</v>
      </c>
      <c r="E3161" s="27" t="n">
        <v>5.95860731484178</v>
      </c>
      <c r="F3161" s="27" t="n">
        <v>5.95860731484178</v>
      </c>
      <c r="G3161" s="25" t="s">
        <v>5799</v>
      </c>
      <c r="H3161" s="25" t="s">
        <v>5800</v>
      </c>
      <c r="I3161" s="25" t="n">
        <f aca="false">IFERROR(IF(INDEX(Documents!$C$5:$C$657,MATCH(H3161,Documents!$A$5:$A$657,0))="","",INDEX(Documents!$C$5:$C$657,MATCH(H3161,Documents!$A$5:$A$657,0))),"")</f>
        <v>2007</v>
      </c>
      <c r="J3161" s="25" t="str">
        <f aca="false">IFERROR(IF(INDEX(Documents!$D$5:$D$657,MATCH(H3161,Documents!$A$5:$A$657,0))="","",INDEX(Documents!$D$5:$D$657,MATCH(H3161,Documents!$A$5:$A$657,0))),"")</f>
        <v>Bioorg Med Chem Lett</v>
      </c>
      <c r="K3161" s="25" t="str">
        <f aca="false">IFERROR(IF(INDEX(Documents!$G$5:$G$657,MATCH(H3161,Documents!$A$5:$A$657,0))="","",INDEX(Documents!$G$5:$G$657,MATCH(H3161,Documents!$A$5:$A$657,0))),"")</f>
        <v>10.1016/j.bmcl.2006.10.095</v>
      </c>
      <c r="L3161" s="25" t="s">
        <v>285</v>
      </c>
    </row>
    <row r="3162" customFormat="false" ht="15" hidden="false" customHeight="false" outlineLevel="0" collapsed="false">
      <c r="A3162" s="25" t="n">
        <v>14573993</v>
      </c>
      <c r="B3162" s="25" t="s">
        <v>6732</v>
      </c>
      <c r="C3162" s="25" t="s">
        <v>6733</v>
      </c>
      <c r="D3162" s="26" t="n">
        <v>6.8</v>
      </c>
      <c r="E3162" s="27" t="n">
        <v>8.16749108729376</v>
      </c>
      <c r="F3162" s="27" t="n">
        <v>8.16749108729376</v>
      </c>
      <c r="G3162" s="25" t="s">
        <v>4417</v>
      </c>
      <c r="H3162" s="25" t="s">
        <v>1358</v>
      </c>
      <c r="I3162" s="25" t="n">
        <f aca="false">IFERROR(IF(INDEX(Documents!$C$5:$C$657,MATCH(H3162,Documents!$A$5:$A$657,0))="","",INDEX(Documents!$C$5:$C$657,MATCH(H3162,Documents!$A$5:$A$657,0))),"")</f>
        <v>2013</v>
      </c>
      <c r="J3162" s="25" t="str">
        <f aca="false">IFERROR(IF(INDEX(Documents!$D$5:$D$657,MATCH(H3162,Documents!$A$5:$A$657,0))="","",INDEX(Documents!$D$5:$D$657,MATCH(H3162,Documents!$A$5:$A$657,0))),"")</f>
        <v>J Med Chem</v>
      </c>
      <c r="K3162" s="25" t="str">
        <f aca="false">IFERROR(IF(INDEX(Documents!$G$5:$G$657,MATCH(H3162,Documents!$A$5:$A$657,0))="","",INDEX(Documents!$G$5:$G$657,MATCH(H3162,Documents!$A$5:$A$657,0))),"")</f>
        <v>10.1021/jm4005626</v>
      </c>
      <c r="L3162" s="25" t="s">
        <v>4418</v>
      </c>
    </row>
    <row r="3163" customFormat="false" ht="15" hidden="false" customHeight="false" outlineLevel="0" collapsed="false">
      <c r="A3163" s="25" t="n">
        <v>17981845</v>
      </c>
      <c r="B3163" s="25" t="s">
        <v>6734</v>
      </c>
      <c r="C3163" s="25" t="s">
        <v>6735</v>
      </c>
      <c r="D3163" s="26" t="n">
        <v>3.4</v>
      </c>
      <c r="E3163" s="27" t="n">
        <v>8.46852108295775</v>
      </c>
      <c r="F3163" s="27" t="n">
        <v>8.46852108295775</v>
      </c>
      <c r="G3163" s="25" t="s">
        <v>6347</v>
      </c>
      <c r="H3163" s="25" t="s">
        <v>6348</v>
      </c>
      <c r="I3163" s="25" t="n">
        <f aca="false">IFERROR(IF(INDEX(Documents!$C$5:$C$657,MATCH(H3163,Documents!$A$5:$A$657,0))="","",INDEX(Documents!$C$5:$C$657,MATCH(H3163,Documents!$A$5:$A$657,0))),"")</f>
        <v>2017</v>
      </c>
      <c r="J3163" s="25" t="str">
        <f aca="false">IFERROR(IF(INDEX(Documents!$D$5:$D$657,MATCH(H3163,Documents!$A$5:$A$657,0))="","",INDEX(Documents!$D$5:$D$657,MATCH(H3163,Documents!$A$5:$A$657,0))),"")</f>
        <v>Eur J Med Chem</v>
      </c>
      <c r="K3163" s="25" t="str">
        <f aca="false">IFERROR(IF(INDEX(Documents!$G$5:$G$657,MATCH(H3163,Documents!$A$5:$A$657,0))="","",INDEX(Documents!$G$5:$G$657,MATCH(H3163,Documents!$A$5:$A$657,0))),"")</f>
        <v>10.1016/j.ejmech.2017.01.002</v>
      </c>
      <c r="L3163" s="25" t="s">
        <v>6349</v>
      </c>
    </row>
    <row r="3164" customFormat="false" ht="15" hidden="false" customHeight="false" outlineLevel="0" collapsed="false">
      <c r="A3164" s="25" t="n">
        <v>6285516</v>
      </c>
      <c r="B3164" s="25" t="s">
        <v>6736</v>
      </c>
      <c r="C3164" s="25" t="s">
        <v>6737</v>
      </c>
      <c r="D3164" s="26" t="n">
        <v>260</v>
      </c>
      <c r="E3164" s="27" t="n">
        <v>6.58502665202918</v>
      </c>
      <c r="F3164" s="27" t="n">
        <v>6.58502665202918</v>
      </c>
      <c r="G3164" s="25" t="s">
        <v>261</v>
      </c>
      <c r="H3164" s="25" t="s">
        <v>262</v>
      </c>
      <c r="I3164" s="25" t="n">
        <f aca="false">IFERROR(IF(INDEX(Documents!$C$5:$C$657,MATCH(H3164,Documents!$A$5:$A$657,0))="","",INDEX(Documents!$C$5:$C$657,MATCH(H3164,Documents!$A$5:$A$657,0))),"")</f>
        <v>2011</v>
      </c>
      <c r="J3164" s="25" t="str">
        <f aca="false">IFERROR(IF(INDEX(Documents!$D$5:$D$657,MATCH(H3164,Documents!$A$5:$A$657,0))="","",INDEX(Documents!$D$5:$D$657,MATCH(H3164,Documents!$A$5:$A$657,0))),"")</f>
        <v>J Med Chem</v>
      </c>
      <c r="K3164" s="25" t="str">
        <f aca="false">IFERROR(IF(INDEX(Documents!$G$5:$G$657,MATCH(H3164,Documents!$A$5:$A$657,0))="","",INDEX(Documents!$G$5:$G$657,MATCH(H3164,Documents!$A$5:$A$657,0))),"")</f>
        <v>10.1021/jm2004392</v>
      </c>
      <c r="L3164" s="25" t="s">
        <v>263</v>
      </c>
    </row>
    <row r="3165" customFormat="false" ht="15" hidden="false" customHeight="false" outlineLevel="0" collapsed="false">
      <c r="A3165" s="25" t="n">
        <v>17981847</v>
      </c>
      <c r="B3165" s="25" t="s">
        <v>6738</v>
      </c>
      <c r="C3165" s="25" t="s">
        <v>6739</v>
      </c>
      <c r="D3165" s="26" t="n">
        <v>4.7</v>
      </c>
      <c r="E3165" s="27" t="n">
        <v>8.32790214206428</v>
      </c>
      <c r="F3165" s="27" t="n">
        <v>8.32790214206428</v>
      </c>
      <c r="G3165" s="25" t="s">
        <v>6347</v>
      </c>
      <c r="H3165" s="25" t="s">
        <v>6348</v>
      </c>
      <c r="I3165" s="25" t="n">
        <f aca="false">IFERROR(IF(INDEX(Documents!$C$5:$C$657,MATCH(H3165,Documents!$A$5:$A$657,0))="","",INDEX(Documents!$C$5:$C$657,MATCH(H3165,Documents!$A$5:$A$657,0))),"")</f>
        <v>2017</v>
      </c>
      <c r="J3165" s="25" t="str">
        <f aca="false">IFERROR(IF(INDEX(Documents!$D$5:$D$657,MATCH(H3165,Documents!$A$5:$A$657,0))="","",INDEX(Documents!$D$5:$D$657,MATCH(H3165,Documents!$A$5:$A$657,0))),"")</f>
        <v>Eur J Med Chem</v>
      </c>
      <c r="K3165" s="25" t="str">
        <f aca="false">IFERROR(IF(INDEX(Documents!$G$5:$G$657,MATCH(H3165,Documents!$A$5:$A$657,0))="","",INDEX(Documents!$G$5:$G$657,MATCH(H3165,Documents!$A$5:$A$657,0))),"")</f>
        <v>10.1016/j.ejmech.2017.01.002</v>
      </c>
      <c r="L3165" s="25" t="s">
        <v>6349</v>
      </c>
    </row>
    <row r="3166" customFormat="false" ht="15" hidden="false" customHeight="false" outlineLevel="0" collapsed="false">
      <c r="A3166" s="25" t="n">
        <v>17981846</v>
      </c>
      <c r="B3166" s="25" t="s">
        <v>6740</v>
      </c>
      <c r="C3166" s="25" t="s">
        <v>6741</v>
      </c>
      <c r="D3166" s="26" t="n">
        <v>4.9</v>
      </c>
      <c r="E3166" s="27" t="n">
        <v>8.30980391997149</v>
      </c>
      <c r="F3166" s="27" t="n">
        <v>8.30980391997149</v>
      </c>
      <c r="G3166" s="25" t="s">
        <v>6347</v>
      </c>
      <c r="H3166" s="25" t="s">
        <v>6348</v>
      </c>
      <c r="I3166" s="25" t="n">
        <f aca="false">IFERROR(IF(INDEX(Documents!$C$5:$C$657,MATCH(H3166,Documents!$A$5:$A$657,0))="","",INDEX(Documents!$C$5:$C$657,MATCH(H3166,Documents!$A$5:$A$657,0))),"")</f>
        <v>2017</v>
      </c>
      <c r="J3166" s="25" t="str">
        <f aca="false">IFERROR(IF(INDEX(Documents!$D$5:$D$657,MATCH(H3166,Documents!$A$5:$A$657,0))="","",INDEX(Documents!$D$5:$D$657,MATCH(H3166,Documents!$A$5:$A$657,0))),"")</f>
        <v>Eur J Med Chem</v>
      </c>
      <c r="K3166" s="25" t="str">
        <f aca="false">IFERROR(IF(INDEX(Documents!$G$5:$G$657,MATCH(H3166,Documents!$A$5:$A$657,0))="","",INDEX(Documents!$G$5:$G$657,MATCH(H3166,Documents!$A$5:$A$657,0))),"")</f>
        <v>10.1016/j.ejmech.2017.01.002</v>
      </c>
      <c r="L3166" s="25" t="s">
        <v>6349</v>
      </c>
    </row>
    <row r="3167" customFormat="false" ht="15" hidden="false" customHeight="false" outlineLevel="0" collapsed="false">
      <c r="A3167" s="25" t="n">
        <v>17981841</v>
      </c>
      <c r="B3167" s="25" t="s">
        <v>6742</v>
      </c>
      <c r="C3167" s="25" t="s">
        <v>6743</v>
      </c>
      <c r="D3167" s="26" t="n">
        <v>311</v>
      </c>
      <c r="E3167" s="27" t="n">
        <v>6.50723961097316</v>
      </c>
      <c r="F3167" s="27" t="n">
        <v>6.50723961097316</v>
      </c>
      <c r="G3167" s="25" t="s">
        <v>6347</v>
      </c>
      <c r="H3167" s="25" t="s">
        <v>6348</v>
      </c>
      <c r="I3167" s="25" t="n">
        <f aca="false">IFERROR(IF(INDEX(Documents!$C$5:$C$657,MATCH(H3167,Documents!$A$5:$A$657,0))="","",INDEX(Documents!$C$5:$C$657,MATCH(H3167,Documents!$A$5:$A$657,0))),"")</f>
        <v>2017</v>
      </c>
      <c r="J3167" s="25" t="str">
        <f aca="false">IFERROR(IF(INDEX(Documents!$D$5:$D$657,MATCH(H3167,Documents!$A$5:$A$657,0))="","",INDEX(Documents!$D$5:$D$657,MATCH(H3167,Documents!$A$5:$A$657,0))),"")</f>
        <v>Eur J Med Chem</v>
      </c>
      <c r="K3167" s="25" t="str">
        <f aca="false">IFERROR(IF(INDEX(Documents!$G$5:$G$657,MATCH(H3167,Documents!$A$5:$A$657,0))="","",INDEX(Documents!$G$5:$G$657,MATCH(H3167,Documents!$A$5:$A$657,0))),"")</f>
        <v>10.1016/j.ejmech.2017.01.002</v>
      </c>
      <c r="L3167" s="25" t="s">
        <v>6349</v>
      </c>
    </row>
    <row r="3168" customFormat="false" ht="15" hidden="false" customHeight="false" outlineLevel="0" collapsed="false">
      <c r="A3168" s="25" t="n">
        <v>17981844</v>
      </c>
      <c r="B3168" s="25" t="s">
        <v>6744</v>
      </c>
      <c r="C3168" s="25" t="s">
        <v>6745</v>
      </c>
      <c r="D3168" s="26" t="n">
        <v>2.6</v>
      </c>
      <c r="E3168" s="27" t="n">
        <v>8.58502665202918</v>
      </c>
      <c r="F3168" s="27" t="n">
        <v>8.58502665202918</v>
      </c>
      <c r="G3168" s="25" t="s">
        <v>6347</v>
      </c>
      <c r="H3168" s="25" t="s">
        <v>6348</v>
      </c>
      <c r="I3168" s="25" t="n">
        <f aca="false">IFERROR(IF(INDEX(Documents!$C$5:$C$657,MATCH(H3168,Documents!$A$5:$A$657,0))="","",INDEX(Documents!$C$5:$C$657,MATCH(H3168,Documents!$A$5:$A$657,0))),"")</f>
        <v>2017</v>
      </c>
      <c r="J3168" s="25" t="str">
        <f aca="false">IFERROR(IF(INDEX(Documents!$D$5:$D$657,MATCH(H3168,Documents!$A$5:$A$657,0))="","",INDEX(Documents!$D$5:$D$657,MATCH(H3168,Documents!$A$5:$A$657,0))),"")</f>
        <v>Eur J Med Chem</v>
      </c>
      <c r="K3168" s="25" t="str">
        <f aca="false">IFERROR(IF(INDEX(Documents!$G$5:$G$657,MATCH(H3168,Documents!$A$5:$A$657,0))="","",INDEX(Documents!$G$5:$G$657,MATCH(H3168,Documents!$A$5:$A$657,0))),"")</f>
        <v>10.1016/j.ejmech.2017.01.002</v>
      </c>
      <c r="L3168" s="25" t="s">
        <v>6349</v>
      </c>
    </row>
    <row r="3169" customFormat="false" ht="15" hidden="false" customHeight="false" outlineLevel="0" collapsed="false">
      <c r="A3169" s="25" t="n">
        <v>13424167</v>
      </c>
      <c r="B3169" s="25" t="s">
        <v>6746</v>
      </c>
      <c r="C3169" s="25" t="s">
        <v>6747</v>
      </c>
      <c r="D3169" s="26" t="n">
        <v>94.2</v>
      </c>
      <c r="E3169" s="27" t="n">
        <v>7.02594909720712</v>
      </c>
      <c r="F3169" s="27" t="n">
        <v>7.02594909720712</v>
      </c>
      <c r="G3169" s="25" t="s">
        <v>6748</v>
      </c>
      <c r="H3169" s="25" t="s">
        <v>6749</v>
      </c>
      <c r="I3169" s="25" t="n">
        <f aca="false">IFERROR(IF(INDEX(Documents!$C$5:$C$657,MATCH(H3169,Documents!$A$5:$A$657,0))="","",INDEX(Documents!$C$5:$C$657,MATCH(H3169,Documents!$A$5:$A$657,0))),"")</f>
        <v>2013</v>
      </c>
      <c r="J3169" s="25" t="str">
        <f aca="false">IFERROR(IF(INDEX(Documents!$D$5:$D$657,MATCH(H3169,Documents!$A$5:$A$657,0))="","",INDEX(Documents!$D$5:$D$657,MATCH(H3169,Documents!$A$5:$A$657,0))),"")</f>
        <v>J Med Chem</v>
      </c>
      <c r="K3169" s="25" t="str">
        <f aca="false">IFERROR(IF(INDEX(Documents!$G$5:$G$657,MATCH(H3169,Documents!$A$5:$A$657,0))="","",INDEX(Documents!$G$5:$G$657,MATCH(H3169,Documents!$A$5:$A$657,0))),"")</f>
        <v>10.1021/jm400070u</v>
      </c>
      <c r="L3169" s="25" t="s">
        <v>6750</v>
      </c>
    </row>
    <row r="3170" customFormat="false" ht="15" hidden="false" customHeight="false" outlineLevel="0" collapsed="false">
      <c r="A3170" s="25" t="n">
        <v>17981843</v>
      </c>
      <c r="B3170" s="25" t="s">
        <v>6751</v>
      </c>
      <c r="C3170" s="25" t="s">
        <v>6752</v>
      </c>
      <c r="D3170" s="26" t="n">
        <v>2</v>
      </c>
      <c r="E3170" s="27" t="n">
        <v>8.69897000433602</v>
      </c>
      <c r="F3170" s="27" t="n">
        <v>8.69897000433602</v>
      </c>
      <c r="G3170" s="25" t="s">
        <v>6347</v>
      </c>
      <c r="H3170" s="25" t="s">
        <v>6348</v>
      </c>
      <c r="I3170" s="25" t="n">
        <f aca="false">IFERROR(IF(INDEX(Documents!$C$5:$C$657,MATCH(H3170,Documents!$A$5:$A$657,0))="","",INDEX(Documents!$C$5:$C$657,MATCH(H3170,Documents!$A$5:$A$657,0))),"")</f>
        <v>2017</v>
      </c>
      <c r="J3170" s="25" t="str">
        <f aca="false">IFERROR(IF(INDEX(Documents!$D$5:$D$657,MATCH(H3170,Documents!$A$5:$A$657,0))="","",INDEX(Documents!$D$5:$D$657,MATCH(H3170,Documents!$A$5:$A$657,0))),"")</f>
        <v>Eur J Med Chem</v>
      </c>
      <c r="K3170" s="25" t="str">
        <f aca="false">IFERROR(IF(INDEX(Documents!$G$5:$G$657,MATCH(H3170,Documents!$A$5:$A$657,0))="","",INDEX(Documents!$G$5:$G$657,MATCH(H3170,Documents!$A$5:$A$657,0))),"")</f>
        <v>10.1016/j.ejmech.2017.01.002</v>
      </c>
      <c r="L3170" s="25" t="s">
        <v>6349</v>
      </c>
    </row>
    <row r="3171" customFormat="false" ht="15" hidden="false" customHeight="false" outlineLevel="0" collapsed="false">
      <c r="A3171" s="25" t="n">
        <v>17981842</v>
      </c>
      <c r="B3171" s="25" t="s">
        <v>6753</v>
      </c>
      <c r="C3171" s="25" t="s">
        <v>6754</v>
      </c>
      <c r="D3171" s="26" t="n">
        <v>9</v>
      </c>
      <c r="E3171" s="27" t="n">
        <v>8.04575749056068</v>
      </c>
      <c r="F3171" s="27" t="n">
        <v>8.04575749056068</v>
      </c>
      <c r="G3171" s="25" t="s">
        <v>6347</v>
      </c>
      <c r="H3171" s="25" t="s">
        <v>6348</v>
      </c>
      <c r="I3171" s="25" t="n">
        <f aca="false">IFERROR(IF(INDEX(Documents!$C$5:$C$657,MATCH(H3171,Documents!$A$5:$A$657,0))="","",INDEX(Documents!$C$5:$C$657,MATCH(H3171,Documents!$A$5:$A$657,0))),"")</f>
        <v>2017</v>
      </c>
      <c r="J3171" s="25" t="str">
        <f aca="false">IFERROR(IF(INDEX(Documents!$D$5:$D$657,MATCH(H3171,Documents!$A$5:$A$657,0))="","",INDEX(Documents!$D$5:$D$657,MATCH(H3171,Documents!$A$5:$A$657,0))),"")</f>
        <v>Eur J Med Chem</v>
      </c>
      <c r="K3171" s="25" t="str">
        <f aca="false">IFERROR(IF(INDEX(Documents!$G$5:$G$657,MATCH(H3171,Documents!$A$5:$A$657,0))="","",INDEX(Documents!$G$5:$G$657,MATCH(H3171,Documents!$A$5:$A$657,0))),"")</f>
        <v>10.1016/j.ejmech.2017.01.002</v>
      </c>
      <c r="L3171" s="25" t="s">
        <v>6349</v>
      </c>
    </row>
    <row r="3172" customFormat="false" ht="15" hidden="false" customHeight="false" outlineLevel="0" collapsed="false">
      <c r="A3172" s="25" t="n">
        <v>12116561</v>
      </c>
      <c r="B3172" s="25" t="s">
        <v>6755</v>
      </c>
      <c r="C3172" s="25" t="s">
        <v>6756</v>
      </c>
      <c r="D3172" s="26" t="n">
        <v>24.1</v>
      </c>
      <c r="E3172" s="27" t="n">
        <v>7.61798295742513</v>
      </c>
      <c r="F3172" s="27" t="n">
        <v>7.61798295742513</v>
      </c>
      <c r="G3172" s="25" t="s">
        <v>3415</v>
      </c>
      <c r="H3172" s="25" t="s">
        <v>3416</v>
      </c>
      <c r="I3172" s="25" t="n">
        <f aca="false">IFERROR(IF(INDEX(Documents!$C$5:$C$657,MATCH(H3172,Documents!$A$5:$A$657,0))="","",INDEX(Documents!$C$5:$C$657,MATCH(H3172,Documents!$A$5:$A$657,0))),"")</f>
        <v>2012</v>
      </c>
      <c r="J3172" s="25" t="str">
        <f aca="false">IFERROR(IF(INDEX(Documents!$D$5:$D$657,MATCH(H3172,Documents!$A$5:$A$657,0))="","",INDEX(Documents!$D$5:$D$657,MATCH(H3172,Documents!$A$5:$A$657,0))),"")</f>
        <v>J Med Chem</v>
      </c>
      <c r="K3172" s="25" t="str">
        <f aca="false">IFERROR(IF(INDEX(Documents!$G$5:$G$657,MATCH(H3172,Documents!$A$5:$A$657,0))="","",INDEX(Documents!$G$5:$G$657,MATCH(H3172,Documents!$A$5:$A$657,0))),"")</f>
        <v>10.1021/jm3008568</v>
      </c>
      <c r="L3172" s="25" t="s">
        <v>3417</v>
      </c>
    </row>
    <row r="3173" customFormat="false" ht="15" hidden="false" customHeight="false" outlineLevel="0" collapsed="false">
      <c r="A3173" s="25" t="n">
        <v>12116560</v>
      </c>
      <c r="B3173" s="25" t="s">
        <v>6757</v>
      </c>
      <c r="C3173" s="25" t="s">
        <v>6758</v>
      </c>
      <c r="D3173" s="26" t="n">
        <v>195.8</v>
      </c>
      <c r="E3173" s="27" t="n">
        <v>6.70818731253288</v>
      </c>
      <c r="F3173" s="27" t="n">
        <v>6.70818731253288</v>
      </c>
      <c r="G3173" s="25" t="s">
        <v>3415</v>
      </c>
      <c r="H3173" s="25" t="s">
        <v>3416</v>
      </c>
      <c r="I3173" s="25" t="n">
        <f aca="false">IFERROR(IF(INDEX(Documents!$C$5:$C$657,MATCH(H3173,Documents!$A$5:$A$657,0))="","",INDEX(Documents!$C$5:$C$657,MATCH(H3173,Documents!$A$5:$A$657,0))),"")</f>
        <v>2012</v>
      </c>
      <c r="J3173" s="25" t="str">
        <f aca="false">IFERROR(IF(INDEX(Documents!$D$5:$D$657,MATCH(H3173,Documents!$A$5:$A$657,0))="","",INDEX(Documents!$D$5:$D$657,MATCH(H3173,Documents!$A$5:$A$657,0))),"")</f>
        <v>J Med Chem</v>
      </c>
      <c r="K3173" s="25" t="str">
        <f aca="false">IFERROR(IF(INDEX(Documents!$G$5:$G$657,MATCH(H3173,Documents!$A$5:$A$657,0))="","",INDEX(Documents!$G$5:$G$657,MATCH(H3173,Documents!$A$5:$A$657,0))),"")</f>
        <v>10.1021/jm3008568</v>
      </c>
      <c r="L3173" s="25" t="s">
        <v>3417</v>
      </c>
    </row>
    <row r="3174" customFormat="false" ht="15" hidden="false" customHeight="false" outlineLevel="0" collapsed="false">
      <c r="A3174" s="25" t="n">
        <v>12116558</v>
      </c>
      <c r="B3174" s="25" t="s">
        <v>6759</v>
      </c>
      <c r="C3174" s="25" t="s">
        <v>6760</v>
      </c>
      <c r="D3174" s="26" t="n">
        <v>0.28</v>
      </c>
      <c r="E3174" s="27" t="n">
        <v>9.55284196865778</v>
      </c>
      <c r="F3174" s="27" t="n">
        <v>9.55284196865778</v>
      </c>
      <c r="G3174" s="25" t="s">
        <v>3415</v>
      </c>
      <c r="H3174" s="25" t="s">
        <v>3416</v>
      </c>
      <c r="I3174" s="25" t="n">
        <f aca="false">IFERROR(IF(INDEX(Documents!$C$5:$C$657,MATCH(H3174,Documents!$A$5:$A$657,0))="","",INDEX(Documents!$C$5:$C$657,MATCH(H3174,Documents!$A$5:$A$657,0))),"")</f>
        <v>2012</v>
      </c>
      <c r="J3174" s="25" t="str">
        <f aca="false">IFERROR(IF(INDEX(Documents!$D$5:$D$657,MATCH(H3174,Documents!$A$5:$A$657,0))="","",INDEX(Documents!$D$5:$D$657,MATCH(H3174,Documents!$A$5:$A$657,0))),"")</f>
        <v>J Med Chem</v>
      </c>
      <c r="K3174" s="25" t="str">
        <f aca="false">IFERROR(IF(INDEX(Documents!$G$5:$G$657,MATCH(H3174,Documents!$A$5:$A$657,0))="","",INDEX(Documents!$G$5:$G$657,MATCH(H3174,Documents!$A$5:$A$657,0))),"")</f>
        <v>10.1021/jm3008568</v>
      </c>
      <c r="L3174" s="25" t="s">
        <v>3417</v>
      </c>
    </row>
    <row r="3175" customFormat="false" ht="15" hidden="false" customHeight="false" outlineLevel="0" collapsed="false">
      <c r="A3175" s="25" t="n">
        <v>16790058</v>
      </c>
      <c r="B3175" s="25" t="s">
        <v>6761</v>
      </c>
      <c r="C3175" s="25" t="s">
        <v>6762</v>
      </c>
      <c r="D3175" s="26" t="n">
        <v>546.44</v>
      </c>
      <c r="E3175" s="27" t="n">
        <v>6.26245751733633</v>
      </c>
      <c r="F3175" s="27" t="n">
        <v>6.26245751733633</v>
      </c>
      <c r="G3175" s="25" t="s">
        <v>5022</v>
      </c>
      <c r="H3175" s="25" t="s">
        <v>5023</v>
      </c>
      <c r="I3175" s="25" t="n">
        <f aca="false">IFERROR(IF(INDEX(Documents!$C$5:$C$657,MATCH(H3175,Documents!$A$5:$A$657,0))="","",INDEX(Documents!$C$5:$C$657,MATCH(H3175,Documents!$A$5:$A$657,0))),"")</f>
        <v>2016</v>
      </c>
      <c r="J3175" s="25" t="str">
        <f aca="false">IFERROR(IF(INDEX(Documents!$D$5:$D$657,MATCH(H3175,Documents!$A$5:$A$657,0))="","",INDEX(Documents!$D$5:$D$657,MATCH(H3175,Documents!$A$5:$A$657,0))),"")</f>
        <v>Eur J Med Chem</v>
      </c>
      <c r="K3175" s="25" t="str">
        <f aca="false">IFERROR(IF(INDEX(Documents!$G$5:$G$657,MATCH(H3175,Documents!$A$5:$A$657,0))="","",INDEX(Documents!$G$5:$G$657,MATCH(H3175,Documents!$A$5:$A$657,0))),"")</f>
        <v>10.1016/j.ejmech.2016.07.012</v>
      </c>
      <c r="L3175" s="25" t="s">
        <v>5024</v>
      </c>
    </row>
    <row r="3176" customFormat="false" ht="15" hidden="false" customHeight="false" outlineLevel="0" collapsed="false">
      <c r="A3176" s="25" t="n">
        <v>16790054</v>
      </c>
      <c r="B3176" s="25" t="s">
        <v>6763</v>
      </c>
      <c r="C3176" s="25" t="s">
        <v>6764</v>
      </c>
      <c r="D3176" s="26" t="n">
        <v>7.59</v>
      </c>
      <c r="E3176" s="27" t="n">
        <v>8.11975822410452</v>
      </c>
      <c r="F3176" s="27" t="n">
        <v>8.11975822410452</v>
      </c>
      <c r="G3176" s="25" t="s">
        <v>5022</v>
      </c>
      <c r="H3176" s="25" t="s">
        <v>5023</v>
      </c>
      <c r="I3176" s="25" t="n">
        <f aca="false">IFERROR(IF(INDEX(Documents!$C$5:$C$657,MATCH(H3176,Documents!$A$5:$A$657,0))="","",INDEX(Documents!$C$5:$C$657,MATCH(H3176,Documents!$A$5:$A$657,0))),"")</f>
        <v>2016</v>
      </c>
      <c r="J3176" s="25" t="str">
        <f aca="false">IFERROR(IF(INDEX(Documents!$D$5:$D$657,MATCH(H3176,Documents!$A$5:$A$657,0))="","",INDEX(Documents!$D$5:$D$657,MATCH(H3176,Documents!$A$5:$A$657,0))),"")</f>
        <v>Eur J Med Chem</v>
      </c>
      <c r="K3176" s="25" t="str">
        <f aca="false">IFERROR(IF(INDEX(Documents!$G$5:$G$657,MATCH(H3176,Documents!$A$5:$A$657,0))="","",INDEX(Documents!$G$5:$G$657,MATCH(H3176,Documents!$A$5:$A$657,0))),"")</f>
        <v>10.1016/j.ejmech.2016.07.012</v>
      </c>
      <c r="L3176" s="25" t="s">
        <v>5024</v>
      </c>
    </row>
    <row r="3177" customFormat="false" ht="15" hidden="false" customHeight="false" outlineLevel="0" collapsed="false">
      <c r="A3177" s="25" t="n">
        <v>16790060</v>
      </c>
      <c r="B3177" s="25" t="s">
        <v>6765</v>
      </c>
      <c r="C3177" s="25" t="s">
        <v>6766</v>
      </c>
      <c r="D3177" s="26" t="n">
        <v>167.81</v>
      </c>
      <c r="E3177" s="27" t="n">
        <v>6.77518216260496</v>
      </c>
      <c r="F3177" s="27" t="n">
        <v>6.77518216260496</v>
      </c>
      <c r="G3177" s="25" t="s">
        <v>5022</v>
      </c>
      <c r="H3177" s="25" t="s">
        <v>5023</v>
      </c>
      <c r="I3177" s="25" t="n">
        <f aca="false">IFERROR(IF(INDEX(Documents!$C$5:$C$657,MATCH(H3177,Documents!$A$5:$A$657,0))="","",INDEX(Documents!$C$5:$C$657,MATCH(H3177,Documents!$A$5:$A$657,0))),"")</f>
        <v>2016</v>
      </c>
      <c r="J3177" s="25" t="str">
        <f aca="false">IFERROR(IF(INDEX(Documents!$D$5:$D$657,MATCH(H3177,Documents!$A$5:$A$657,0))="","",INDEX(Documents!$D$5:$D$657,MATCH(H3177,Documents!$A$5:$A$657,0))),"")</f>
        <v>Eur J Med Chem</v>
      </c>
      <c r="K3177" s="25" t="str">
        <f aca="false">IFERROR(IF(INDEX(Documents!$G$5:$G$657,MATCH(H3177,Documents!$A$5:$A$657,0))="","",INDEX(Documents!$G$5:$G$657,MATCH(H3177,Documents!$A$5:$A$657,0))),"")</f>
        <v>10.1016/j.ejmech.2016.07.012</v>
      </c>
      <c r="L3177" s="25" t="s">
        <v>5024</v>
      </c>
    </row>
    <row r="3178" customFormat="false" ht="15" hidden="false" customHeight="false" outlineLevel="0" collapsed="false">
      <c r="A3178" s="25" t="n">
        <v>16790056</v>
      </c>
      <c r="B3178" s="25" t="s">
        <v>6767</v>
      </c>
      <c r="C3178" s="25" t="s">
        <v>6768</v>
      </c>
      <c r="D3178" s="26" t="n">
        <v>584.17</v>
      </c>
      <c r="E3178" s="27" t="n">
        <v>6.23346074994549</v>
      </c>
      <c r="F3178" s="27" t="n">
        <v>6.23346074994549</v>
      </c>
      <c r="G3178" s="25" t="s">
        <v>5022</v>
      </c>
      <c r="H3178" s="25" t="s">
        <v>5023</v>
      </c>
      <c r="I3178" s="25" t="n">
        <f aca="false">IFERROR(IF(INDEX(Documents!$C$5:$C$657,MATCH(H3178,Documents!$A$5:$A$657,0))="","",INDEX(Documents!$C$5:$C$657,MATCH(H3178,Documents!$A$5:$A$657,0))),"")</f>
        <v>2016</v>
      </c>
      <c r="J3178" s="25" t="str">
        <f aca="false">IFERROR(IF(INDEX(Documents!$D$5:$D$657,MATCH(H3178,Documents!$A$5:$A$657,0))="","",INDEX(Documents!$D$5:$D$657,MATCH(H3178,Documents!$A$5:$A$657,0))),"")</f>
        <v>Eur J Med Chem</v>
      </c>
      <c r="K3178" s="25" t="str">
        <f aca="false">IFERROR(IF(INDEX(Documents!$G$5:$G$657,MATCH(H3178,Documents!$A$5:$A$657,0))="","",INDEX(Documents!$G$5:$G$657,MATCH(H3178,Documents!$A$5:$A$657,0))),"")</f>
        <v>10.1016/j.ejmech.2016.07.012</v>
      </c>
      <c r="L3178" s="25" t="s">
        <v>5024</v>
      </c>
    </row>
    <row r="3179" customFormat="false" ht="15" hidden="false" customHeight="false" outlineLevel="0" collapsed="false">
      <c r="A3179" s="25" t="n">
        <v>16790052</v>
      </c>
      <c r="B3179" s="25" t="s">
        <v>6769</v>
      </c>
      <c r="C3179" s="25" t="s">
        <v>6770</v>
      </c>
      <c r="D3179" s="26" t="n">
        <v>58.28</v>
      </c>
      <c r="E3179" s="27" t="n">
        <v>7.23448045690205</v>
      </c>
      <c r="F3179" s="27" t="n">
        <v>7.23448045690205</v>
      </c>
      <c r="G3179" s="25" t="s">
        <v>5022</v>
      </c>
      <c r="H3179" s="25" t="s">
        <v>5023</v>
      </c>
      <c r="I3179" s="25" t="n">
        <f aca="false">IFERROR(IF(INDEX(Documents!$C$5:$C$657,MATCH(H3179,Documents!$A$5:$A$657,0))="","",INDEX(Documents!$C$5:$C$657,MATCH(H3179,Documents!$A$5:$A$657,0))),"")</f>
        <v>2016</v>
      </c>
      <c r="J3179" s="25" t="str">
        <f aca="false">IFERROR(IF(INDEX(Documents!$D$5:$D$657,MATCH(H3179,Documents!$A$5:$A$657,0))="","",INDEX(Documents!$D$5:$D$657,MATCH(H3179,Documents!$A$5:$A$657,0))),"")</f>
        <v>Eur J Med Chem</v>
      </c>
      <c r="K3179" s="25" t="str">
        <f aca="false">IFERROR(IF(INDEX(Documents!$G$5:$G$657,MATCH(H3179,Documents!$A$5:$A$657,0))="","",INDEX(Documents!$G$5:$G$657,MATCH(H3179,Documents!$A$5:$A$657,0))),"")</f>
        <v>10.1016/j.ejmech.2016.07.012</v>
      </c>
      <c r="L3179" s="25" t="s">
        <v>5024</v>
      </c>
    </row>
    <row r="3180" customFormat="false" ht="15" hidden="false" customHeight="false" outlineLevel="0" collapsed="false">
      <c r="A3180" s="25" t="n">
        <v>16790050</v>
      </c>
      <c r="B3180" s="25" t="s">
        <v>6771</v>
      </c>
      <c r="C3180" s="25" t="s">
        <v>6772</v>
      </c>
      <c r="D3180" s="26" t="n">
        <v>84.22</v>
      </c>
      <c r="E3180" s="27" t="n">
        <v>7.07458476291575</v>
      </c>
      <c r="F3180" s="27" t="n">
        <v>7.07458476291575</v>
      </c>
      <c r="G3180" s="25" t="s">
        <v>5022</v>
      </c>
      <c r="H3180" s="25" t="s">
        <v>5023</v>
      </c>
      <c r="I3180" s="25" t="n">
        <f aca="false">IFERROR(IF(INDEX(Documents!$C$5:$C$657,MATCH(H3180,Documents!$A$5:$A$657,0))="","",INDEX(Documents!$C$5:$C$657,MATCH(H3180,Documents!$A$5:$A$657,0))),"")</f>
        <v>2016</v>
      </c>
      <c r="J3180" s="25" t="str">
        <f aca="false">IFERROR(IF(INDEX(Documents!$D$5:$D$657,MATCH(H3180,Documents!$A$5:$A$657,0))="","",INDEX(Documents!$D$5:$D$657,MATCH(H3180,Documents!$A$5:$A$657,0))),"")</f>
        <v>Eur J Med Chem</v>
      </c>
      <c r="K3180" s="25" t="str">
        <f aca="false">IFERROR(IF(INDEX(Documents!$G$5:$G$657,MATCH(H3180,Documents!$A$5:$A$657,0))="","",INDEX(Documents!$G$5:$G$657,MATCH(H3180,Documents!$A$5:$A$657,0))),"")</f>
        <v>10.1016/j.ejmech.2016.07.012</v>
      </c>
      <c r="L3180" s="25" t="s">
        <v>5024</v>
      </c>
    </row>
    <row r="3181" customFormat="false" ht="15" hidden="false" customHeight="false" outlineLevel="0" collapsed="false">
      <c r="A3181" s="25" t="n">
        <v>3017040</v>
      </c>
      <c r="B3181" s="25" t="s">
        <v>6773</v>
      </c>
      <c r="C3181" s="25" t="s">
        <v>6774</v>
      </c>
      <c r="D3181" s="26" t="n">
        <v>440</v>
      </c>
      <c r="E3181" s="27" t="n">
        <v>6.35654732351381</v>
      </c>
      <c r="F3181" s="27" t="n">
        <v>6.35654732351381</v>
      </c>
      <c r="G3181" s="25" t="s">
        <v>1785</v>
      </c>
      <c r="H3181" s="25" t="s">
        <v>1786</v>
      </c>
      <c r="I3181" s="25" t="n">
        <f aca="false">IFERROR(IF(INDEX(Documents!$C$5:$C$657,MATCH(H3181,Documents!$A$5:$A$657,0))="","",INDEX(Documents!$C$5:$C$657,MATCH(H3181,Documents!$A$5:$A$657,0))),"")</f>
        <v>2009</v>
      </c>
      <c r="J3181" s="25" t="str">
        <f aca="false">IFERROR(IF(INDEX(Documents!$D$5:$D$657,MATCH(H3181,Documents!$A$5:$A$657,0))="","",INDEX(Documents!$D$5:$D$657,MATCH(H3181,Documents!$A$5:$A$657,0))),"")</f>
        <v>Bioorg Med Chem Lett</v>
      </c>
      <c r="K3181" s="25" t="str">
        <f aca="false">IFERROR(IF(INDEX(Documents!$G$5:$G$657,MATCH(H3181,Documents!$A$5:$A$657,0))="","",INDEX(Documents!$G$5:$G$657,MATCH(H3181,Documents!$A$5:$A$657,0))),"")</f>
        <v>10.1016/j.bmcl.2009.07.057</v>
      </c>
      <c r="L3181" s="25" t="s">
        <v>659</v>
      </c>
    </row>
    <row r="3182" customFormat="false" ht="15" hidden="false" customHeight="false" outlineLevel="0" collapsed="false">
      <c r="A3182" s="25" t="n">
        <v>2691015</v>
      </c>
      <c r="B3182" s="25" t="s">
        <v>6775</v>
      </c>
      <c r="C3182" s="25" t="s">
        <v>6776</v>
      </c>
      <c r="D3182" s="26" t="n">
        <v>58</v>
      </c>
      <c r="E3182" s="27" t="n">
        <v>7.23657200643706</v>
      </c>
      <c r="F3182" s="27" t="n">
        <v>7.23657200643706</v>
      </c>
      <c r="G3182" s="25" t="s">
        <v>1648</v>
      </c>
      <c r="H3182" s="25" t="s">
        <v>1649</v>
      </c>
      <c r="I3182" s="25" t="n">
        <f aca="false">IFERROR(IF(INDEX(Documents!$C$5:$C$657,MATCH(H3182,Documents!$A$5:$A$657,0))="","",INDEX(Documents!$C$5:$C$657,MATCH(H3182,Documents!$A$5:$A$657,0))),"")</f>
        <v>2009</v>
      </c>
      <c r="J3182" s="25" t="str">
        <f aca="false">IFERROR(IF(INDEX(Documents!$D$5:$D$657,MATCH(H3182,Documents!$A$5:$A$657,0))="","",INDEX(Documents!$D$5:$D$657,MATCH(H3182,Documents!$A$5:$A$657,0))),"")</f>
        <v>Bioorg Med Chem Lett</v>
      </c>
      <c r="K3182" s="25" t="str">
        <f aca="false">IFERROR(IF(INDEX(Documents!$G$5:$G$657,MATCH(H3182,Documents!$A$5:$A$657,0))="","",INDEX(Documents!$G$5:$G$657,MATCH(H3182,Documents!$A$5:$A$657,0))),"")</f>
        <v>10.1016/j.bmcl.2009.05.114</v>
      </c>
      <c r="L3182" s="25" t="s">
        <v>1650</v>
      </c>
    </row>
    <row r="3183" customFormat="false" ht="15" hidden="false" customHeight="false" outlineLevel="0" collapsed="false">
      <c r="A3183" s="25" t="n">
        <v>1968475</v>
      </c>
      <c r="B3183" s="25" t="s">
        <v>6777</v>
      </c>
      <c r="C3183" s="25" t="s">
        <v>6778</v>
      </c>
      <c r="D3183" s="26" t="n">
        <v>3.6</v>
      </c>
      <c r="E3183" s="27" t="n">
        <v>8.44369749923271</v>
      </c>
      <c r="F3183" s="27" t="n">
        <v>8.44369749923271</v>
      </c>
      <c r="G3183" s="25" t="s">
        <v>2433</v>
      </c>
      <c r="H3183" s="25" t="s">
        <v>2434</v>
      </c>
      <c r="I3183" s="25" t="n">
        <f aca="false">IFERROR(IF(INDEX(Documents!$C$5:$C$657,MATCH(H3183,Documents!$A$5:$A$657,0))="","",INDEX(Documents!$C$5:$C$657,MATCH(H3183,Documents!$A$5:$A$657,0))),"")</f>
        <v>2007</v>
      </c>
      <c r="J3183" s="25" t="str">
        <f aca="false">IFERROR(IF(INDEX(Documents!$D$5:$D$657,MATCH(H3183,Documents!$A$5:$A$657,0))="","",INDEX(Documents!$D$5:$D$657,MATCH(H3183,Documents!$A$5:$A$657,0))),"")</f>
        <v>Bioorg Med Chem Lett</v>
      </c>
      <c r="K3183" s="25" t="str">
        <f aca="false">IFERROR(IF(INDEX(Documents!$G$5:$G$657,MATCH(H3183,Documents!$A$5:$A$657,0))="","",INDEX(Documents!$G$5:$G$657,MATCH(H3183,Documents!$A$5:$A$657,0))),"")</f>
        <v>10.1016/j.bmcl.2007.04.059</v>
      </c>
      <c r="L3183" s="25" t="s">
        <v>2435</v>
      </c>
    </row>
    <row r="3184" customFormat="false" ht="15" hidden="false" customHeight="false" outlineLevel="0" collapsed="false">
      <c r="A3184" s="25" t="n">
        <v>1968476</v>
      </c>
      <c r="B3184" s="25" t="s">
        <v>6779</v>
      </c>
      <c r="C3184" s="25" t="s">
        <v>6780</v>
      </c>
      <c r="D3184" s="26" t="n">
        <v>56</v>
      </c>
      <c r="E3184" s="27" t="n">
        <v>7.2518119729938</v>
      </c>
      <c r="F3184" s="27" t="n">
        <v>7.2518119729938</v>
      </c>
      <c r="G3184" s="25" t="s">
        <v>2433</v>
      </c>
      <c r="H3184" s="25" t="s">
        <v>2434</v>
      </c>
      <c r="I3184" s="25" t="n">
        <f aca="false">IFERROR(IF(INDEX(Documents!$C$5:$C$657,MATCH(H3184,Documents!$A$5:$A$657,0))="","",INDEX(Documents!$C$5:$C$657,MATCH(H3184,Documents!$A$5:$A$657,0))),"")</f>
        <v>2007</v>
      </c>
      <c r="J3184" s="25" t="str">
        <f aca="false">IFERROR(IF(INDEX(Documents!$D$5:$D$657,MATCH(H3184,Documents!$A$5:$A$657,0))="","",INDEX(Documents!$D$5:$D$657,MATCH(H3184,Documents!$A$5:$A$657,0))),"")</f>
        <v>Bioorg Med Chem Lett</v>
      </c>
      <c r="K3184" s="25" t="str">
        <f aca="false">IFERROR(IF(INDEX(Documents!$G$5:$G$657,MATCH(H3184,Documents!$A$5:$A$657,0))="","",INDEX(Documents!$G$5:$G$657,MATCH(H3184,Documents!$A$5:$A$657,0))),"")</f>
        <v>10.1016/j.bmcl.2007.04.059</v>
      </c>
      <c r="L3184" s="25" t="s">
        <v>2435</v>
      </c>
    </row>
    <row r="3185" customFormat="false" ht="15" hidden="false" customHeight="false" outlineLevel="0" collapsed="false">
      <c r="A3185" s="25" t="n">
        <v>1968477</v>
      </c>
      <c r="B3185" s="25" t="s">
        <v>6781</v>
      </c>
      <c r="C3185" s="25" t="s">
        <v>6782</v>
      </c>
      <c r="D3185" s="26" t="n">
        <v>600</v>
      </c>
      <c r="E3185" s="27" t="n">
        <v>6.22184874961636</v>
      </c>
      <c r="F3185" s="27" t="n">
        <v>6.22184874961636</v>
      </c>
      <c r="G3185" s="25" t="s">
        <v>2433</v>
      </c>
      <c r="H3185" s="25" t="s">
        <v>2434</v>
      </c>
      <c r="I3185" s="25" t="n">
        <f aca="false">IFERROR(IF(INDEX(Documents!$C$5:$C$657,MATCH(H3185,Documents!$A$5:$A$657,0))="","",INDEX(Documents!$C$5:$C$657,MATCH(H3185,Documents!$A$5:$A$657,0))),"")</f>
        <v>2007</v>
      </c>
      <c r="J3185" s="25" t="str">
        <f aca="false">IFERROR(IF(INDEX(Documents!$D$5:$D$657,MATCH(H3185,Documents!$A$5:$A$657,0))="","",INDEX(Documents!$D$5:$D$657,MATCH(H3185,Documents!$A$5:$A$657,0))),"")</f>
        <v>Bioorg Med Chem Lett</v>
      </c>
      <c r="K3185" s="25" t="str">
        <f aca="false">IFERROR(IF(INDEX(Documents!$G$5:$G$657,MATCH(H3185,Documents!$A$5:$A$657,0))="","",INDEX(Documents!$G$5:$G$657,MATCH(H3185,Documents!$A$5:$A$657,0))),"")</f>
        <v>10.1016/j.bmcl.2007.04.059</v>
      </c>
      <c r="L3185" s="25" t="s">
        <v>2435</v>
      </c>
    </row>
    <row r="3186" customFormat="false" ht="15" hidden="false" customHeight="false" outlineLevel="0" collapsed="false">
      <c r="A3186" s="25" t="n">
        <v>12063616</v>
      </c>
      <c r="B3186" s="25" t="s">
        <v>6783</v>
      </c>
      <c r="C3186" s="25" t="s">
        <v>6784</v>
      </c>
      <c r="D3186" s="26" t="n">
        <v>689</v>
      </c>
      <c r="E3186" s="27" t="n">
        <v>6.16178077809238</v>
      </c>
      <c r="F3186" s="27" t="n">
        <v>6.16178077809238</v>
      </c>
      <c r="G3186" s="25" t="s">
        <v>6785</v>
      </c>
      <c r="H3186" s="25" t="s">
        <v>6786</v>
      </c>
      <c r="I3186" s="25" t="n">
        <f aca="false">IFERROR(IF(INDEX(Documents!$C$5:$C$657,MATCH(H3186,Documents!$A$5:$A$657,0))="","",INDEX(Documents!$C$5:$C$657,MATCH(H3186,Documents!$A$5:$A$657,0))),"")</f>
        <v>2012</v>
      </c>
      <c r="J3186" s="25" t="str">
        <f aca="false">IFERROR(IF(INDEX(Documents!$D$5:$D$657,MATCH(H3186,Documents!$A$5:$A$657,0))="","",INDEX(Documents!$D$5:$D$657,MATCH(H3186,Documents!$A$5:$A$657,0))),"")</f>
        <v>Eur J Med Chem</v>
      </c>
      <c r="K3186" s="25" t="str">
        <f aca="false">IFERROR(IF(INDEX(Documents!$G$5:$G$657,MATCH(H3186,Documents!$A$5:$A$657,0))="","",INDEX(Documents!$G$5:$G$657,MATCH(H3186,Documents!$A$5:$A$657,0))),"")</f>
        <v>10.1016/j.ejmech.2012.10.031</v>
      </c>
      <c r="L3186" s="25" t="s">
        <v>6787</v>
      </c>
    </row>
    <row r="3187" customFormat="false" ht="15" hidden="false" customHeight="false" outlineLevel="0" collapsed="false">
      <c r="A3187" s="25" t="n">
        <v>12063620</v>
      </c>
      <c r="B3187" s="25" t="s">
        <v>6788</v>
      </c>
      <c r="C3187" s="25" t="s">
        <v>6789</v>
      </c>
      <c r="D3187" s="26" t="n">
        <v>3639</v>
      </c>
      <c r="E3187" s="27" t="n">
        <v>5.43901794441377</v>
      </c>
      <c r="F3187" s="27" t="n">
        <v>5.43901794441377</v>
      </c>
      <c r="G3187" s="25" t="s">
        <v>6785</v>
      </c>
      <c r="H3187" s="25" t="s">
        <v>6786</v>
      </c>
      <c r="I3187" s="25" t="n">
        <f aca="false">IFERROR(IF(INDEX(Documents!$C$5:$C$657,MATCH(H3187,Documents!$A$5:$A$657,0))="","",INDEX(Documents!$C$5:$C$657,MATCH(H3187,Documents!$A$5:$A$657,0))),"")</f>
        <v>2012</v>
      </c>
      <c r="J3187" s="25" t="str">
        <f aca="false">IFERROR(IF(INDEX(Documents!$D$5:$D$657,MATCH(H3187,Documents!$A$5:$A$657,0))="","",INDEX(Documents!$D$5:$D$657,MATCH(H3187,Documents!$A$5:$A$657,0))),"")</f>
        <v>Eur J Med Chem</v>
      </c>
      <c r="K3187" s="25" t="str">
        <f aca="false">IFERROR(IF(INDEX(Documents!$G$5:$G$657,MATCH(H3187,Documents!$A$5:$A$657,0))="","",INDEX(Documents!$G$5:$G$657,MATCH(H3187,Documents!$A$5:$A$657,0))),"")</f>
        <v>10.1016/j.ejmech.2012.10.031</v>
      </c>
      <c r="L3187" s="25" t="s">
        <v>6787</v>
      </c>
    </row>
    <row r="3188" customFormat="false" ht="15" hidden="false" customHeight="false" outlineLevel="0" collapsed="false">
      <c r="A3188" s="25" t="n">
        <v>2349970</v>
      </c>
      <c r="B3188" s="25" t="s">
        <v>6790</v>
      </c>
      <c r="C3188" s="25" t="s">
        <v>6791</v>
      </c>
      <c r="D3188" s="26" t="n">
        <v>758</v>
      </c>
      <c r="E3188" s="27" t="n">
        <v>6.12033079436795</v>
      </c>
      <c r="F3188" s="27" t="n">
        <v>6.12033079436795</v>
      </c>
      <c r="G3188" s="25" t="s">
        <v>6647</v>
      </c>
      <c r="H3188" s="25" t="s">
        <v>6648</v>
      </c>
      <c r="I3188" s="25" t="n">
        <f aca="false">IFERROR(IF(INDEX(Documents!$C$5:$C$657,MATCH(H3188,Documents!$A$5:$A$657,0))="","",INDEX(Documents!$C$5:$C$657,MATCH(H3188,Documents!$A$5:$A$657,0))),"")</f>
        <v>2008</v>
      </c>
      <c r="J3188" s="25" t="str">
        <f aca="false">IFERROR(IF(INDEX(Documents!$D$5:$D$657,MATCH(H3188,Documents!$A$5:$A$657,0))="","",INDEX(Documents!$D$5:$D$657,MATCH(H3188,Documents!$A$5:$A$657,0))),"")</f>
        <v>J Med Chem</v>
      </c>
      <c r="K3188" s="25" t="str">
        <f aca="false">IFERROR(IF(INDEX(Documents!$G$5:$G$657,MATCH(H3188,Documents!$A$5:$A$657,0))="","",INDEX(Documents!$G$5:$G$657,MATCH(H3188,Documents!$A$5:$A$657,0))),"")</f>
        <v>10.1021/jm8000778</v>
      </c>
      <c r="L3188" s="25" t="s">
        <v>1573</v>
      </c>
    </row>
    <row r="3189" customFormat="false" ht="15" hidden="false" customHeight="false" outlineLevel="0" collapsed="false">
      <c r="A3189" s="25" t="n">
        <v>2349971</v>
      </c>
      <c r="B3189" s="25" t="s">
        <v>6792</v>
      </c>
      <c r="C3189" s="25" t="s">
        <v>6793</v>
      </c>
      <c r="D3189" s="26" t="n">
        <v>1781</v>
      </c>
      <c r="E3189" s="27" t="n">
        <v>5.74933608053676</v>
      </c>
      <c r="F3189" s="27" t="n">
        <v>5.74933608053676</v>
      </c>
      <c r="G3189" s="25" t="s">
        <v>6647</v>
      </c>
      <c r="H3189" s="25" t="s">
        <v>6648</v>
      </c>
      <c r="I3189" s="25" t="n">
        <f aca="false">IFERROR(IF(INDEX(Documents!$C$5:$C$657,MATCH(H3189,Documents!$A$5:$A$657,0))="","",INDEX(Documents!$C$5:$C$657,MATCH(H3189,Documents!$A$5:$A$657,0))),"")</f>
        <v>2008</v>
      </c>
      <c r="J3189" s="25" t="str">
        <f aca="false">IFERROR(IF(INDEX(Documents!$D$5:$D$657,MATCH(H3189,Documents!$A$5:$A$657,0))="","",INDEX(Documents!$D$5:$D$657,MATCH(H3189,Documents!$A$5:$A$657,0))),"")</f>
        <v>J Med Chem</v>
      </c>
      <c r="K3189" s="25" t="str">
        <f aca="false">IFERROR(IF(INDEX(Documents!$G$5:$G$657,MATCH(H3189,Documents!$A$5:$A$657,0))="","",INDEX(Documents!$G$5:$G$657,MATCH(H3189,Documents!$A$5:$A$657,0))),"")</f>
        <v>10.1021/jm8000778</v>
      </c>
      <c r="L3189" s="25" t="s">
        <v>1573</v>
      </c>
    </row>
    <row r="3190" customFormat="false" ht="15" hidden="false" customHeight="false" outlineLevel="0" collapsed="false">
      <c r="A3190" s="25" t="n">
        <v>2349972</v>
      </c>
      <c r="B3190" s="25" t="s">
        <v>6794</v>
      </c>
      <c r="C3190" s="25" t="s">
        <v>6795</v>
      </c>
      <c r="D3190" s="26" t="n">
        <v>1124</v>
      </c>
      <c r="E3190" s="27" t="n">
        <v>5.94923368876696</v>
      </c>
      <c r="F3190" s="27" t="n">
        <v>5.94923368876696</v>
      </c>
      <c r="G3190" s="25" t="s">
        <v>6647</v>
      </c>
      <c r="H3190" s="25" t="s">
        <v>6648</v>
      </c>
      <c r="I3190" s="25" t="n">
        <f aca="false">IFERROR(IF(INDEX(Documents!$C$5:$C$657,MATCH(H3190,Documents!$A$5:$A$657,0))="","",INDEX(Documents!$C$5:$C$657,MATCH(H3190,Documents!$A$5:$A$657,0))),"")</f>
        <v>2008</v>
      </c>
      <c r="J3190" s="25" t="str">
        <f aca="false">IFERROR(IF(INDEX(Documents!$D$5:$D$657,MATCH(H3190,Documents!$A$5:$A$657,0))="","",INDEX(Documents!$D$5:$D$657,MATCH(H3190,Documents!$A$5:$A$657,0))),"")</f>
        <v>J Med Chem</v>
      </c>
      <c r="K3190" s="25" t="str">
        <f aca="false">IFERROR(IF(INDEX(Documents!$G$5:$G$657,MATCH(H3190,Documents!$A$5:$A$657,0))="","",INDEX(Documents!$G$5:$G$657,MATCH(H3190,Documents!$A$5:$A$657,0))),"")</f>
        <v>10.1021/jm8000778</v>
      </c>
      <c r="L3190" s="25" t="s">
        <v>1573</v>
      </c>
    </row>
    <row r="3191" customFormat="false" ht="15" hidden="false" customHeight="false" outlineLevel="0" collapsed="false">
      <c r="A3191" s="25" t="n">
        <v>3017038</v>
      </c>
      <c r="B3191" s="25" t="s">
        <v>6796</v>
      </c>
      <c r="C3191" s="25" t="s">
        <v>6797</v>
      </c>
      <c r="D3191" s="26" t="n">
        <v>37</v>
      </c>
      <c r="E3191" s="27" t="n">
        <v>7.43179827593301</v>
      </c>
      <c r="F3191" s="27" t="n">
        <v>7.43179827593301</v>
      </c>
      <c r="G3191" s="25" t="s">
        <v>1785</v>
      </c>
      <c r="H3191" s="25" t="s">
        <v>1786</v>
      </c>
      <c r="I3191" s="25" t="n">
        <f aca="false">IFERROR(IF(INDEX(Documents!$C$5:$C$657,MATCH(H3191,Documents!$A$5:$A$657,0))="","",INDEX(Documents!$C$5:$C$657,MATCH(H3191,Documents!$A$5:$A$657,0))),"")</f>
        <v>2009</v>
      </c>
      <c r="J3191" s="25" t="str">
        <f aca="false">IFERROR(IF(INDEX(Documents!$D$5:$D$657,MATCH(H3191,Documents!$A$5:$A$657,0))="","",INDEX(Documents!$D$5:$D$657,MATCH(H3191,Documents!$A$5:$A$657,0))),"")</f>
        <v>Bioorg Med Chem Lett</v>
      </c>
      <c r="K3191" s="25" t="str">
        <f aca="false">IFERROR(IF(INDEX(Documents!$G$5:$G$657,MATCH(H3191,Documents!$A$5:$A$657,0))="","",INDEX(Documents!$G$5:$G$657,MATCH(H3191,Documents!$A$5:$A$657,0))),"")</f>
        <v>10.1016/j.bmcl.2009.07.057</v>
      </c>
      <c r="L3191" s="25" t="s">
        <v>659</v>
      </c>
    </row>
    <row r="3192" customFormat="false" ht="15" hidden="false" customHeight="false" outlineLevel="0" collapsed="false">
      <c r="A3192" s="25" t="n">
        <v>3017035</v>
      </c>
      <c r="B3192" s="25" t="s">
        <v>6798</v>
      </c>
      <c r="C3192" s="25" t="s">
        <v>6799</v>
      </c>
      <c r="D3192" s="26" t="n">
        <v>2.7</v>
      </c>
      <c r="E3192" s="27" t="n">
        <v>8.56863623584101</v>
      </c>
      <c r="F3192" s="27" t="n">
        <v>8.56863623584101</v>
      </c>
      <c r="G3192" s="25" t="s">
        <v>1785</v>
      </c>
      <c r="H3192" s="25" t="s">
        <v>1786</v>
      </c>
      <c r="I3192" s="25" t="n">
        <f aca="false">IFERROR(IF(INDEX(Documents!$C$5:$C$657,MATCH(H3192,Documents!$A$5:$A$657,0))="","",INDEX(Documents!$C$5:$C$657,MATCH(H3192,Documents!$A$5:$A$657,0))),"")</f>
        <v>2009</v>
      </c>
      <c r="J3192" s="25" t="str">
        <f aca="false">IFERROR(IF(INDEX(Documents!$D$5:$D$657,MATCH(H3192,Documents!$A$5:$A$657,0))="","",INDEX(Documents!$D$5:$D$657,MATCH(H3192,Documents!$A$5:$A$657,0))),"")</f>
        <v>Bioorg Med Chem Lett</v>
      </c>
      <c r="K3192" s="25" t="str">
        <f aca="false">IFERROR(IF(INDEX(Documents!$G$5:$G$657,MATCH(H3192,Documents!$A$5:$A$657,0))="","",INDEX(Documents!$G$5:$G$657,MATCH(H3192,Documents!$A$5:$A$657,0))),"")</f>
        <v>10.1016/j.bmcl.2009.07.057</v>
      </c>
      <c r="L3192" s="25" t="s">
        <v>659</v>
      </c>
    </row>
    <row r="3193" customFormat="false" ht="15" hidden="false" customHeight="false" outlineLevel="0" collapsed="false">
      <c r="A3193" s="25" t="n">
        <v>3082578</v>
      </c>
      <c r="B3193" s="25" t="s">
        <v>6800</v>
      </c>
      <c r="C3193" s="25" t="s">
        <v>6801</v>
      </c>
      <c r="D3193" s="26" t="n">
        <v>6.6</v>
      </c>
      <c r="E3193" s="27" t="n">
        <v>8.18045606445813</v>
      </c>
      <c r="F3193" s="27" t="n">
        <v>8.18045606445813</v>
      </c>
      <c r="G3193" s="25" t="s">
        <v>1760</v>
      </c>
      <c r="H3193" s="25" t="s">
        <v>1761</v>
      </c>
      <c r="I3193" s="25" t="n">
        <f aca="false">IFERROR(IF(INDEX(Documents!$C$5:$C$657,MATCH(H3193,Documents!$A$5:$A$657,0))="","",INDEX(Documents!$C$5:$C$657,MATCH(H3193,Documents!$A$5:$A$657,0))),"")</f>
        <v>2010</v>
      </c>
      <c r="J3193" s="25" t="str">
        <f aca="false">IFERROR(IF(INDEX(Documents!$D$5:$D$657,MATCH(H3193,Documents!$A$5:$A$657,0))="","",INDEX(Documents!$D$5:$D$657,MATCH(H3193,Documents!$A$5:$A$657,0))),"")</f>
        <v>Bioorg Med Chem Lett</v>
      </c>
      <c r="K3193" s="25" t="str">
        <f aca="false">IFERROR(IF(INDEX(Documents!$G$5:$G$657,MATCH(H3193,Documents!$A$5:$A$657,0))="","",INDEX(Documents!$G$5:$G$657,MATCH(H3193,Documents!$A$5:$A$657,0))),"")</f>
        <v>10.1016/j.bmcl.2009.10.062</v>
      </c>
      <c r="L3193" s="25" t="s">
        <v>775</v>
      </c>
    </row>
    <row r="3194" customFormat="false" ht="15" hidden="false" customHeight="false" outlineLevel="0" collapsed="false">
      <c r="A3194" s="25" t="n">
        <v>3082575</v>
      </c>
      <c r="B3194" s="25" t="s">
        <v>6802</v>
      </c>
      <c r="C3194" s="25" t="s">
        <v>6803</v>
      </c>
      <c r="D3194" s="26" t="n">
        <v>40</v>
      </c>
      <c r="E3194" s="27" t="n">
        <v>7.39794000867204</v>
      </c>
      <c r="F3194" s="27" t="n">
        <v>7.39794000867204</v>
      </c>
      <c r="G3194" s="25" t="s">
        <v>1760</v>
      </c>
      <c r="H3194" s="25" t="s">
        <v>1761</v>
      </c>
      <c r="I3194" s="25" t="n">
        <f aca="false">IFERROR(IF(INDEX(Documents!$C$5:$C$657,MATCH(H3194,Documents!$A$5:$A$657,0))="","",INDEX(Documents!$C$5:$C$657,MATCH(H3194,Documents!$A$5:$A$657,0))),"")</f>
        <v>2010</v>
      </c>
      <c r="J3194" s="25" t="str">
        <f aca="false">IFERROR(IF(INDEX(Documents!$D$5:$D$657,MATCH(H3194,Documents!$A$5:$A$657,0))="","",INDEX(Documents!$D$5:$D$657,MATCH(H3194,Documents!$A$5:$A$657,0))),"")</f>
        <v>Bioorg Med Chem Lett</v>
      </c>
      <c r="K3194" s="25" t="str">
        <f aca="false">IFERROR(IF(INDEX(Documents!$G$5:$G$657,MATCH(H3194,Documents!$A$5:$A$657,0))="","",INDEX(Documents!$G$5:$G$657,MATCH(H3194,Documents!$A$5:$A$657,0))),"")</f>
        <v>10.1016/j.bmcl.2009.10.062</v>
      </c>
      <c r="L3194" s="25" t="s">
        <v>775</v>
      </c>
    </row>
    <row r="3195" customFormat="false" ht="15" hidden="false" customHeight="false" outlineLevel="0" collapsed="false">
      <c r="A3195" s="25" t="n">
        <v>3082577</v>
      </c>
      <c r="B3195" s="25" t="s">
        <v>6804</v>
      </c>
      <c r="C3195" s="25" t="s">
        <v>6805</v>
      </c>
      <c r="D3195" s="26" t="n">
        <v>2080</v>
      </c>
      <c r="E3195" s="27" t="n">
        <v>5.68193666503724</v>
      </c>
      <c r="F3195" s="27" t="n">
        <v>5.68193666503724</v>
      </c>
      <c r="G3195" s="25" t="s">
        <v>1760</v>
      </c>
      <c r="H3195" s="25" t="s">
        <v>1761</v>
      </c>
      <c r="I3195" s="25" t="n">
        <f aca="false">IFERROR(IF(INDEX(Documents!$C$5:$C$657,MATCH(H3195,Documents!$A$5:$A$657,0))="","",INDEX(Documents!$C$5:$C$657,MATCH(H3195,Documents!$A$5:$A$657,0))),"")</f>
        <v>2010</v>
      </c>
      <c r="J3195" s="25" t="str">
        <f aca="false">IFERROR(IF(INDEX(Documents!$D$5:$D$657,MATCH(H3195,Documents!$A$5:$A$657,0))="","",INDEX(Documents!$D$5:$D$657,MATCH(H3195,Documents!$A$5:$A$657,0))),"")</f>
        <v>Bioorg Med Chem Lett</v>
      </c>
      <c r="K3195" s="25" t="str">
        <f aca="false">IFERROR(IF(INDEX(Documents!$G$5:$G$657,MATCH(H3195,Documents!$A$5:$A$657,0))="","",INDEX(Documents!$G$5:$G$657,MATCH(H3195,Documents!$A$5:$A$657,0))),"")</f>
        <v>10.1016/j.bmcl.2009.10.062</v>
      </c>
      <c r="L3195" s="25" t="s">
        <v>775</v>
      </c>
    </row>
    <row r="3196" customFormat="false" ht="15" hidden="false" customHeight="false" outlineLevel="0" collapsed="false">
      <c r="A3196" s="25" t="n">
        <v>3082576</v>
      </c>
      <c r="B3196" s="25" t="s">
        <v>6806</v>
      </c>
      <c r="C3196" s="25" t="s">
        <v>6807</v>
      </c>
      <c r="D3196" s="26" t="n">
        <v>120</v>
      </c>
      <c r="E3196" s="27" t="n">
        <v>6.92081875395238</v>
      </c>
      <c r="F3196" s="27" t="n">
        <v>6.92081875395238</v>
      </c>
      <c r="G3196" s="25" t="s">
        <v>1760</v>
      </c>
      <c r="H3196" s="25" t="s">
        <v>1761</v>
      </c>
      <c r="I3196" s="25" t="n">
        <f aca="false">IFERROR(IF(INDEX(Documents!$C$5:$C$657,MATCH(H3196,Documents!$A$5:$A$657,0))="","",INDEX(Documents!$C$5:$C$657,MATCH(H3196,Documents!$A$5:$A$657,0))),"")</f>
        <v>2010</v>
      </c>
      <c r="J3196" s="25" t="str">
        <f aca="false">IFERROR(IF(INDEX(Documents!$D$5:$D$657,MATCH(H3196,Documents!$A$5:$A$657,0))="","",INDEX(Documents!$D$5:$D$657,MATCH(H3196,Documents!$A$5:$A$657,0))),"")</f>
        <v>Bioorg Med Chem Lett</v>
      </c>
      <c r="K3196" s="25" t="str">
        <f aca="false">IFERROR(IF(INDEX(Documents!$G$5:$G$657,MATCH(H3196,Documents!$A$5:$A$657,0))="","",INDEX(Documents!$G$5:$G$657,MATCH(H3196,Documents!$A$5:$A$657,0))),"")</f>
        <v>10.1016/j.bmcl.2009.10.062</v>
      </c>
      <c r="L3196" s="25" t="s">
        <v>775</v>
      </c>
    </row>
    <row r="3197" customFormat="false" ht="15" hidden="false" customHeight="false" outlineLevel="0" collapsed="false">
      <c r="A3197" s="25" t="n">
        <v>3082574</v>
      </c>
      <c r="B3197" s="25" t="s">
        <v>6808</v>
      </c>
      <c r="C3197" s="25" t="s">
        <v>6809</v>
      </c>
      <c r="D3197" s="26" t="n">
        <v>16</v>
      </c>
      <c r="E3197" s="27" t="n">
        <v>7.79588001734408</v>
      </c>
      <c r="F3197" s="27" t="n">
        <v>7.79588001734408</v>
      </c>
      <c r="G3197" s="25" t="s">
        <v>1760</v>
      </c>
      <c r="H3197" s="25" t="s">
        <v>1761</v>
      </c>
      <c r="I3197" s="25" t="n">
        <f aca="false">IFERROR(IF(INDEX(Documents!$C$5:$C$657,MATCH(H3197,Documents!$A$5:$A$657,0))="","",INDEX(Documents!$C$5:$C$657,MATCH(H3197,Documents!$A$5:$A$657,0))),"")</f>
        <v>2010</v>
      </c>
      <c r="J3197" s="25" t="str">
        <f aca="false">IFERROR(IF(INDEX(Documents!$D$5:$D$657,MATCH(H3197,Documents!$A$5:$A$657,0))="","",INDEX(Documents!$D$5:$D$657,MATCH(H3197,Documents!$A$5:$A$657,0))),"")</f>
        <v>Bioorg Med Chem Lett</v>
      </c>
      <c r="K3197" s="25" t="str">
        <f aca="false">IFERROR(IF(INDEX(Documents!$G$5:$G$657,MATCH(H3197,Documents!$A$5:$A$657,0))="","",INDEX(Documents!$G$5:$G$657,MATCH(H3197,Documents!$A$5:$A$657,0))),"")</f>
        <v>10.1016/j.bmcl.2009.10.062</v>
      </c>
      <c r="L3197" s="25" t="s">
        <v>775</v>
      </c>
    </row>
    <row r="3198" customFormat="false" ht="15" hidden="false" customHeight="false" outlineLevel="0" collapsed="false">
      <c r="A3198" s="25" t="n">
        <v>3017036</v>
      </c>
      <c r="B3198" s="25" t="s">
        <v>6810</v>
      </c>
      <c r="C3198" s="25" t="s">
        <v>6811</v>
      </c>
      <c r="D3198" s="26" t="n">
        <v>8.6</v>
      </c>
      <c r="E3198" s="27" t="n">
        <v>8.06550154875643</v>
      </c>
      <c r="F3198" s="27" t="n">
        <v>8.06550154875643</v>
      </c>
      <c r="G3198" s="25" t="s">
        <v>1785</v>
      </c>
      <c r="H3198" s="25" t="s">
        <v>1786</v>
      </c>
      <c r="I3198" s="25" t="n">
        <f aca="false">IFERROR(IF(INDEX(Documents!$C$5:$C$657,MATCH(H3198,Documents!$A$5:$A$657,0))="","",INDEX(Documents!$C$5:$C$657,MATCH(H3198,Documents!$A$5:$A$657,0))),"")</f>
        <v>2009</v>
      </c>
      <c r="J3198" s="25" t="str">
        <f aca="false">IFERROR(IF(INDEX(Documents!$D$5:$D$657,MATCH(H3198,Documents!$A$5:$A$657,0))="","",INDEX(Documents!$D$5:$D$657,MATCH(H3198,Documents!$A$5:$A$657,0))),"")</f>
        <v>Bioorg Med Chem Lett</v>
      </c>
      <c r="K3198" s="25" t="str">
        <f aca="false">IFERROR(IF(INDEX(Documents!$G$5:$G$657,MATCH(H3198,Documents!$A$5:$A$657,0))="","",INDEX(Documents!$G$5:$G$657,MATCH(H3198,Documents!$A$5:$A$657,0))),"")</f>
        <v>10.1016/j.bmcl.2009.07.057</v>
      </c>
      <c r="L3198" s="25" t="s">
        <v>659</v>
      </c>
    </row>
    <row r="3199" customFormat="false" ht="15" hidden="false" customHeight="false" outlineLevel="0" collapsed="false">
      <c r="A3199" s="25" t="n">
        <v>14999682</v>
      </c>
      <c r="B3199" s="25" t="s">
        <v>6812</v>
      </c>
      <c r="C3199" s="25" t="s">
        <v>6813</v>
      </c>
      <c r="D3199" s="26" t="n">
        <v>660</v>
      </c>
      <c r="E3199" s="27" t="n">
        <v>6.18045606445813</v>
      </c>
      <c r="F3199" s="27" t="n">
        <v>6.18045606445813</v>
      </c>
      <c r="G3199" s="25" t="s">
        <v>2988</v>
      </c>
      <c r="H3199" s="25" t="s">
        <v>2989</v>
      </c>
      <c r="I3199" s="25" t="n">
        <f aca="false">IFERROR(IF(INDEX(Documents!$C$5:$C$657,MATCH(H3199,Documents!$A$5:$A$657,0))="","",INDEX(Documents!$C$5:$C$657,MATCH(H3199,Documents!$A$5:$A$657,0))),"")</f>
        <v>2014</v>
      </c>
      <c r="J3199" s="25" t="str">
        <f aca="false">IFERROR(IF(INDEX(Documents!$D$5:$D$657,MATCH(H3199,Documents!$A$5:$A$657,0))="","",INDEX(Documents!$D$5:$D$657,MATCH(H3199,Documents!$A$5:$A$657,0))),"")</f>
        <v>Eur J Med Chem</v>
      </c>
      <c r="K3199" s="25" t="str">
        <f aca="false">IFERROR(IF(INDEX(Documents!$G$5:$G$657,MATCH(H3199,Documents!$A$5:$A$657,0))="","",INDEX(Documents!$G$5:$G$657,MATCH(H3199,Documents!$A$5:$A$657,0))),"")</f>
        <v>10.1016/j.ejmech.2014.07.062</v>
      </c>
      <c r="L3199" s="25" t="s">
        <v>2990</v>
      </c>
    </row>
    <row r="3200" customFormat="false" ht="15" hidden="false" customHeight="false" outlineLevel="0" collapsed="false">
      <c r="A3200" s="25" t="n">
        <v>25531997</v>
      </c>
      <c r="B3200" s="25" t="s">
        <v>6814</v>
      </c>
      <c r="C3200" s="25" t="s">
        <v>6815</v>
      </c>
      <c r="D3200" s="26" t="n">
        <v>764</v>
      </c>
      <c r="E3200" s="27" t="n">
        <v>6.11690664142431</v>
      </c>
      <c r="F3200" s="27" t="n">
        <v>6.11690664142431</v>
      </c>
      <c r="G3200" s="25" t="s">
        <v>762</v>
      </c>
      <c r="H3200" s="25" t="s">
        <v>763</v>
      </c>
      <c r="I3200" s="25" t="n">
        <f aca="false">IFERROR(IF(INDEX(Documents!$C$5:$C$657,MATCH(H3200,Documents!$A$5:$A$657,0))="","",INDEX(Documents!$C$5:$C$657,MATCH(H3200,Documents!$A$5:$A$657,0))),"")</f>
        <v>2023</v>
      </c>
      <c r="J3200" s="25" t="str">
        <f aca="false">IFERROR(IF(INDEX(Documents!$D$5:$D$657,MATCH(H3200,Documents!$A$5:$A$657,0))="","",INDEX(Documents!$D$5:$D$657,MATCH(H3200,Documents!$A$5:$A$657,0))),"")</f>
        <v>J Med Chem</v>
      </c>
      <c r="K3200" s="25" t="str">
        <f aca="false">IFERROR(IF(INDEX(Documents!$G$5:$G$657,MATCH(H3200,Documents!$A$5:$A$657,0))="","",INDEX(Documents!$G$5:$G$657,MATCH(H3200,Documents!$A$5:$A$657,0))),"")</f>
        <v>10.1021/acs.jmedchem.3c00541</v>
      </c>
      <c r="L3200" s="25" t="s">
        <v>764</v>
      </c>
    </row>
    <row r="3201" customFormat="false" ht="15" hidden="false" customHeight="false" outlineLevel="0" collapsed="false">
      <c r="A3201" s="25" t="n">
        <v>12089888</v>
      </c>
      <c r="B3201" s="25" t="s">
        <v>6816</v>
      </c>
      <c r="C3201" s="25" t="s">
        <v>6817</v>
      </c>
      <c r="D3201" s="26" t="n">
        <v>18.4</v>
      </c>
      <c r="E3201" s="27" t="n">
        <v>7.73518217699046</v>
      </c>
      <c r="F3201" s="27" t="n">
        <v>7.73518217699046</v>
      </c>
      <c r="G3201" s="25" t="s">
        <v>1028</v>
      </c>
      <c r="H3201" s="25" t="s">
        <v>1029</v>
      </c>
      <c r="I3201" s="25" t="n">
        <f aca="false">IFERROR(IF(INDEX(Documents!$C$5:$C$657,MATCH(H3201,Documents!$A$5:$A$657,0))="","",INDEX(Documents!$C$5:$C$657,MATCH(H3201,Documents!$A$5:$A$657,0))),"")</f>
        <v>2012</v>
      </c>
      <c r="J3201" s="25" t="str">
        <f aca="false">IFERROR(IF(INDEX(Documents!$D$5:$D$657,MATCH(H3201,Documents!$A$5:$A$657,0))="","",INDEX(Documents!$D$5:$D$657,MATCH(H3201,Documents!$A$5:$A$657,0))),"")</f>
        <v>J Med Chem</v>
      </c>
      <c r="K3201" s="25" t="str">
        <f aca="false">IFERROR(IF(INDEX(Documents!$G$5:$G$657,MATCH(H3201,Documents!$A$5:$A$657,0))="","",INDEX(Documents!$G$5:$G$657,MATCH(H3201,Documents!$A$5:$A$657,0))),"")</f>
        <v>10.1021/jm300763w</v>
      </c>
      <c r="L3201" s="25" t="s">
        <v>1030</v>
      </c>
    </row>
    <row r="3202" customFormat="false" ht="15" hidden="false" customHeight="false" outlineLevel="0" collapsed="false">
      <c r="A3202" s="25" t="n">
        <v>17981835</v>
      </c>
      <c r="B3202" s="25" t="s">
        <v>6818</v>
      </c>
      <c r="C3202" s="25" t="s">
        <v>6819</v>
      </c>
      <c r="D3202" s="26" t="n">
        <v>7.6</v>
      </c>
      <c r="E3202" s="27" t="n">
        <v>8.11918640771921</v>
      </c>
      <c r="F3202" s="27" t="n">
        <v>8.11918640771921</v>
      </c>
      <c r="G3202" s="25" t="s">
        <v>6347</v>
      </c>
      <c r="H3202" s="25" t="s">
        <v>6348</v>
      </c>
      <c r="I3202" s="25" t="n">
        <f aca="false">IFERROR(IF(INDEX(Documents!$C$5:$C$657,MATCH(H3202,Documents!$A$5:$A$657,0))="","",INDEX(Documents!$C$5:$C$657,MATCH(H3202,Documents!$A$5:$A$657,0))),"")</f>
        <v>2017</v>
      </c>
      <c r="J3202" s="25" t="str">
        <f aca="false">IFERROR(IF(INDEX(Documents!$D$5:$D$657,MATCH(H3202,Documents!$A$5:$A$657,0))="","",INDEX(Documents!$D$5:$D$657,MATCH(H3202,Documents!$A$5:$A$657,0))),"")</f>
        <v>Eur J Med Chem</v>
      </c>
      <c r="K3202" s="25" t="str">
        <f aca="false">IFERROR(IF(INDEX(Documents!$G$5:$G$657,MATCH(H3202,Documents!$A$5:$A$657,0))="","",INDEX(Documents!$G$5:$G$657,MATCH(H3202,Documents!$A$5:$A$657,0))),"")</f>
        <v>10.1016/j.ejmech.2017.01.002</v>
      </c>
      <c r="L3202" s="25" t="s">
        <v>6349</v>
      </c>
    </row>
    <row r="3203" customFormat="false" ht="15" hidden="false" customHeight="false" outlineLevel="0" collapsed="false">
      <c r="A3203" s="25" t="n">
        <v>2601222</v>
      </c>
      <c r="B3203" s="25" t="s">
        <v>6820</v>
      </c>
      <c r="C3203" s="25" t="s">
        <v>6821</v>
      </c>
      <c r="D3203" s="26" t="n">
        <v>160</v>
      </c>
      <c r="E3203" s="27" t="n">
        <v>6.79588001734408</v>
      </c>
      <c r="F3203" s="27" t="n">
        <v>6.79588001734408</v>
      </c>
      <c r="G3203" s="25" t="s">
        <v>6822</v>
      </c>
      <c r="H3203" s="25" t="s">
        <v>6823</v>
      </c>
      <c r="I3203" s="25" t="n">
        <f aca="false">IFERROR(IF(INDEX(Documents!$C$5:$C$657,MATCH(H3203,Documents!$A$5:$A$657,0))="","",INDEX(Documents!$C$5:$C$657,MATCH(H3203,Documents!$A$5:$A$657,0))),"")</f>
        <v>2009</v>
      </c>
      <c r="J3203" s="25" t="str">
        <f aca="false">IFERROR(IF(INDEX(Documents!$D$5:$D$657,MATCH(H3203,Documents!$A$5:$A$657,0))="","",INDEX(Documents!$D$5:$D$657,MATCH(H3203,Documents!$A$5:$A$657,0))),"")</f>
        <v>Bioorg Med Chem Lett</v>
      </c>
      <c r="K3203" s="25" t="str">
        <f aca="false">IFERROR(IF(INDEX(Documents!$G$5:$G$657,MATCH(H3203,Documents!$A$5:$A$657,0))="","",INDEX(Documents!$G$5:$G$657,MATCH(H3203,Documents!$A$5:$A$657,0))),"")</f>
        <v>10.1016/j.bmcl.2008.11.091</v>
      </c>
      <c r="L3203" s="25" t="s">
        <v>6824</v>
      </c>
    </row>
    <row r="3204" customFormat="false" ht="15" hidden="false" customHeight="false" outlineLevel="0" collapsed="false">
      <c r="A3204" s="25" t="n">
        <v>2601214</v>
      </c>
      <c r="B3204" s="25" t="s">
        <v>6825</v>
      </c>
      <c r="C3204" s="25" t="s">
        <v>6826</v>
      </c>
      <c r="D3204" s="26" t="n">
        <v>75</v>
      </c>
      <c r="E3204" s="27" t="n">
        <v>7.1249387366083</v>
      </c>
      <c r="F3204" s="27" t="n">
        <v>7.1249387366083</v>
      </c>
      <c r="G3204" s="25" t="s">
        <v>6822</v>
      </c>
      <c r="H3204" s="25" t="s">
        <v>6823</v>
      </c>
      <c r="I3204" s="25" t="n">
        <f aca="false">IFERROR(IF(INDEX(Documents!$C$5:$C$657,MATCH(H3204,Documents!$A$5:$A$657,0))="","",INDEX(Documents!$C$5:$C$657,MATCH(H3204,Documents!$A$5:$A$657,0))),"")</f>
        <v>2009</v>
      </c>
      <c r="J3204" s="25" t="str">
        <f aca="false">IFERROR(IF(INDEX(Documents!$D$5:$D$657,MATCH(H3204,Documents!$A$5:$A$657,0))="","",INDEX(Documents!$D$5:$D$657,MATCH(H3204,Documents!$A$5:$A$657,0))),"")</f>
        <v>Bioorg Med Chem Lett</v>
      </c>
      <c r="K3204" s="25" t="str">
        <f aca="false">IFERROR(IF(INDEX(Documents!$G$5:$G$657,MATCH(H3204,Documents!$A$5:$A$657,0))="","",INDEX(Documents!$G$5:$G$657,MATCH(H3204,Documents!$A$5:$A$657,0))),"")</f>
        <v>10.1016/j.bmcl.2008.11.091</v>
      </c>
      <c r="L3204" s="25" t="s">
        <v>6824</v>
      </c>
    </row>
    <row r="3205" customFormat="false" ht="15" hidden="false" customHeight="false" outlineLevel="0" collapsed="false">
      <c r="A3205" s="25" t="n">
        <v>2601218</v>
      </c>
      <c r="B3205" s="25" t="s">
        <v>6827</v>
      </c>
      <c r="C3205" s="25" t="s">
        <v>6828</v>
      </c>
      <c r="D3205" s="26" t="n">
        <v>87</v>
      </c>
      <c r="E3205" s="27" t="n">
        <v>7.06048074738138</v>
      </c>
      <c r="F3205" s="27" t="n">
        <v>7.06048074738138</v>
      </c>
      <c r="G3205" s="25" t="s">
        <v>6822</v>
      </c>
      <c r="H3205" s="25" t="s">
        <v>6823</v>
      </c>
      <c r="I3205" s="25" t="n">
        <f aca="false">IFERROR(IF(INDEX(Documents!$C$5:$C$657,MATCH(H3205,Documents!$A$5:$A$657,0))="","",INDEX(Documents!$C$5:$C$657,MATCH(H3205,Documents!$A$5:$A$657,0))),"")</f>
        <v>2009</v>
      </c>
      <c r="J3205" s="25" t="str">
        <f aca="false">IFERROR(IF(INDEX(Documents!$D$5:$D$657,MATCH(H3205,Documents!$A$5:$A$657,0))="","",INDEX(Documents!$D$5:$D$657,MATCH(H3205,Documents!$A$5:$A$657,0))),"")</f>
        <v>Bioorg Med Chem Lett</v>
      </c>
      <c r="K3205" s="25" t="str">
        <f aca="false">IFERROR(IF(INDEX(Documents!$G$5:$G$657,MATCH(H3205,Documents!$A$5:$A$657,0))="","",INDEX(Documents!$G$5:$G$657,MATCH(H3205,Documents!$A$5:$A$657,0))),"")</f>
        <v>10.1016/j.bmcl.2008.11.091</v>
      </c>
      <c r="L3205" s="25" t="s">
        <v>6824</v>
      </c>
    </row>
    <row r="3206" customFormat="false" ht="15" hidden="false" customHeight="false" outlineLevel="0" collapsed="false">
      <c r="A3206" s="25" t="n">
        <v>19437748</v>
      </c>
      <c r="B3206" s="25" t="s">
        <v>6829</v>
      </c>
      <c r="C3206" s="25" t="s">
        <v>6830</v>
      </c>
      <c r="D3206" s="26" t="n">
        <v>33</v>
      </c>
      <c r="E3206" s="27" t="n">
        <v>7.48148606012211</v>
      </c>
      <c r="F3206" s="27" t="n">
        <v>7.48148606012211</v>
      </c>
      <c r="G3206" s="25" t="s">
        <v>1331</v>
      </c>
      <c r="H3206" s="25" t="s">
        <v>1332</v>
      </c>
      <c r="I3206" s="25" t="n">
        <f aca="false">IFERROR(IF(INDEX(Documents!$C$5:$C$657,MATCH(H3206,Documents!$A$5:$A$657,0))="","",INDEX(Documents!$C$5:$C$657,MATCH(H3206,Documents!$A$5:$A$657,0))),"")</f>
        <v>2016</v>
      </c>
      <c r="J3206" s="25" t="str">
        <f aca="false">IFERROR(IF(INDEX(Documents!$D$5:$D$657,MATCH(H3206,Documents!$A$5:$A$657,0))="","",INDEX(Documents!$D$5:$D$657,MATCH(H3206,Documents!$A$5:$A$657,0))),"")</f>
        <v>Bioorg Med Chem</v>
      </c>
      <c r="K3206" s="25" t="str">
        <f aca="false">IFERROR(IF(INDEX(Documents!$G$5:$G$657,MATCH(H3206,Documents!$A$5:$A$657,0))="","",INDEX(Documents!$G$5:$G$657,MATCH(H3206,Documents!$A$5:$A$657,0))),"")</f>
        <v>10.1016/j.bmc.2016.08.055</v>
      </c>
      <c r="L3206" s="25" t="s">
        <v>1333</v>
      </c>
    </row>
    <row r="3207" customFormat="false" ht="15" hidden="false" customHeight="false" outlineLevel="0" collapsed="false">
      <c r="A3207" s="25" t="n">
        <v>19437751</v>
      </c>
      <c r="B3207" s="25" t="s">
        <v>6831</v>
      </c>
      <c r="C3207" s="25" t="s">
        <v>6832</v>
      </c>
      <c r="D3207" s="26" t="n">
        <v>240</v>
      </c>
      <c r="E3207" s="27" t="n">
        <v>6.61978875828839</v>
      </c>
      <c r="F3207" s="27" t="n">
        <v>6.61978875828839</v>
      </c>
      <c r="G3207" s="25" t="s">
        <v>1331</v>
      </c>
      <c r="H3207" s="25" t="s">
        <v>1332</v>
      </c>
      <c r="I3207" s="25" t="n">
        <f aca="false">IFERROR(IF(INDEX(Documents!$C$5:$C$657,MATCH(H3207,Documents!$A$5:$A$657,0))="","",INDEX(Documents!$C$5:$C$657,MATCH(H3207,Documents!$A$5:$A$657,0))),"")</f>
        <v>2016</v>
      </c>
      <c r="J3207" s="25" t="str">
        <f aca="false">IFERROR(IF(INDEX(Documents!$D$5:$D$657,MATCH(H3207,Documents!$A$5:$A$657,0))="","",INDEX(Documents!$D$5:$D$657,MATCH(H3207,Documents!$A$5:$A$657,0))),"")</f>
        <v>Bioorg Med Chem</v>
      </c>
      <c r="K3207" s="25" t="str">
        <f aca="false">IFERROR(IF(INDEX(Documents!$G$5:$G$657,MATCH(H3207,Documents!$A$5:$A$657,0))="","",INDEX(Documents!$G$5:$G$657,MATCH(H3207,Documents!$A$5:$A$657,0))),"")</f>
        <v>10.1016/j.bmc.2016.08.055</v>
      </c>
      <c r="L3207" s="25" t="s">
        <v>1333</v>
      </c>
    </row>
    <row r="3208" customFormat="false" ht="15" hidden="false" customHeight="false" outlineLevel="0" collapsed="false">
      <c r="A3208" s="25" t="n">
        <v>19437747</v>
      </c>
      <c r="B3208" s="25" t="s">
        <v>6833</v>
      </c>
      <c r="C3208" s="25" t="s">
        <v>6834</v>
      </c>
      <c r="D3208" s="26" t="n">
        <v>133</v>
      </c>
      <c r="E3208" s="27" t="n">
        <v>6.87614835903291</v>
      </c>
      <c r="F3208" s="27" t="n">
        <v>6.87614835903291</v>
      </c>
      <c r="G3208" s="25" t="s">
        <v>1331</v>
      </c>
      <c r="H3208" s="25" t="s">
        <v>1332</v>
      </c>
      <c r="I3208" s="25" t="n">
        <f aca="false">IFERROR(IF(INDEX(Documents!$C$5:$C$657,MATCH(H3208,Documents!$A$5:$A$657,0))="","",INDEX(Documents!$C$5:$C$657,MATCH(H3208,Documents!$A$5:$A$657,0))),"")</f>
        <v>2016</v>
      </c>
      <c r="J3208" s="25" t="str">
        <f aca="false">IFERROR(IF(INDEX(Documents!$D$5:$D$657,MATCH(H3208,Documents!$A$5:$A$657,0))="","",INDEX(Documents!$D$5:$D$657,MATCH(H3208,Documents!$A$5:$A$657,0))),"")</f>
        <v>Bioorg Med Chem</v>
      </c>
      <c r="K3208" s="25" t="str">
        <f aca="false">IFERROR(IF(INDEX(Documents!$G$5:$G$657,MATCH(H3208,Documents!$A$5:$A$657,0))="","",INDEX(Documents!$G$5:$G$657,MATCH(H3208,Documents!$A$5:$A$657,0))),"")</f>
        <v>10.1016/j.bmc.2016.08.055</v>
      </c>
      <c r="L3208" s="25" t="s">
        <v>1333</v>
      </c>
    </row>
    <row r="3209" customFormat="false" ht="15" hidden="false" customHeight="false" outlineLevel="0" collapsed="false">
      <c r="A3209" s="25" t="n">
        <v>19437753</v>
      </c>
      <c r="B3209" s="25" t="s">
        <v>6835</v>
      </c>
      <c r="C3209" s="25" t="s">
        <v>6836</v>
      </c>
      <c r="D3209" s="26" t="n">
        <v>2133</v>
      </c>
      <c r="E3209" s="27" t="n">
        <v>5.67100914455057</v>
      </c>
      <c r="F3209" s="27" t="n">
        <v>5.67100914455057</v>
      </c>
      <c r="G3209" s="25" t="s">
        <v>1331</v>
      </c>
      <c r="H3209" s="25" t="s">
        <v>1332</v>
      </c>
      <c r="I3209" s="25" t="n">
        <f aca="false">IFERROR(IF(INDEX(Documents!$C$5:$C$657,MATCH(H3209,Documents!$A$5:$A$657,0))="","",INDEX(Documents!$C$5:$C$657,MATCH(H3209,Documents!$A$5:$A$657,0))),"")</f>
        <v>2016</v>
      </c>
      <c r="J3209" s="25" t="str">
        <f aca="false">IFERROR(IF(INDEX(Documents!$D$5:$D$657,MATCH(H3209,Documents!$A$5:$A$657,0))="","",INDEX(Documents!$D$5:$D$657,MATCH(H3209,Documents!$A$5:$A$657,0))),"")</f>
        <v>Bioorg Med Chem</v>
      </c>
      <c r="K3209" s="25" t="str">
        <f aca="false">IFERROR(IF(INDEX(Documents!$G$5:$G$657,MATCH(H3209,Documents!$A$5:$A$657,0))="","",INDEX(Documents!$G$5:$G$657,MATCH(H3209,Documents!$A$5:$A$657,0))),"")</f>
        <v>10.1016/j.bmc.2016.08.055</v>
      </c>
      <c r="L3209" s="25" t="s">
        <v>1333</v>
      </c>
    </row>
    <row r="3210" customFormat="false" ht="15" hidden="false" customHeight="false" outlineLevel="0" collapsed="false">
      <c r="A3210" s="25" t="n">
        <v>19437752</v>
      </c>
      <c r="B3210" s="25" t="s">
        <v>6837</v>
      </c>
      <c r="C3210" s="25" t="s">
        <v>6838</v>
      </c>
      <c r="D3210" s="26" t="n">
        <v>120</v>
      </c>
      <c r="E3210" s="27" t="n">
        <v>6.92081875395238</v>
      </c>
      <c r="F3210" s="27" t="n">
        <v>6.92081875395238</v>
      </c>
      <c r="G3210" s="25" t="s">
        <v>1331</v>
      </c>
      <c r="H3210" s="25" t="s">
        <v>1332</v>
      </c>
      <c r="I3210" s="25" t="n">
        <f aca="false">IFERROR(IF(INDEX(Documents!$C$5:$C$657,MATCH(H3210,Documents!$A$5:$A$657,0))="","",INDEX(Documents!$C$5:$C$657,MATCH(H3210,Documents!$A$5:$A$657,0))),"")</f>
        <v>2016</v>
      </c>
      <c r="J3210" s="25" t="str">
        <f aca="false">IFERROR(IF(INDEX(Documents!$D$5:$D$657,MATCH(H3210,Documents!$A$5:$A$657,0))="","",INDEX(Documents!$D$5:$D$657,MATCH(H3210,Documents!$A$5:$A$657,0))),"")</f>
        <v>Bioorg Med Chem</v>
      </c>
      <c r="K3210" s="25" t="str">
        <f aca="false">IFERROR(IF(INDEX(Documents!$G$5:$G$657,MATCH(H3210,Documents!$A$5:$A$657,0))="","",INDEX(Documents!$G$5:$G$657,MATCH(H3210,Documents!$A$5:$A$657,0))),"")</f>
        <v>10.1016/j.bmc.2016.08.055</v>
      </c>
      <c r="L3210" s="25" t="s">
        <v>1333</v>
      </c>
    </row>
    <row r="3211" customFormat="false" ht="15" hidden="false" customHeight="false" outlineLevel="0" collapsed="false">
      <c r="A3211" s="25" t="n">
        <v>19437749</v>
      </c>
      <c r="B3211" s="25" t="s">
        <v>6839</v>
      </c>
      <c r="C3211" s="25" t="s">
        <v>6840</v>
      </c>
      <c r="D3211" s="26" t="n">
        <v>280</v>
      </c>
      <c r="E3211" s="27" t="n">
        <v>6.55284196865778</v>
      </c>
      <c r="F3211" s="27" t="n">
        <v>6.55284196865778</v>
      </c>
      <c r="G3211" s="25" t="s">
        <v>1331</v>
      </c>
      <c r="H3211" s="25" t="s">
        <v>1332</v>
      </c>
      <c r="I3211" s="25" t="n">
        <f aca="false">IFERROR(IF(INDEX(Documents!$C$5:$C$657,MATCH(H3211,Documents!$A$5:$A$657,0))="","",INDEX(Documents!$C$5:$C$657,MATCH(H3211,Documents!$A$5:$A$657,0))),"")</f>
        <v>2016</v>
      </c>
      <c r="J3211" s="25" t="str">
        <f aca="false">IFERROR(IF(INDEX(Documents!$D$5:$D$657,MATCH(H3211,Documents!$A$5:$A$657,0))="","",INDEX(Documents!$D$5:$D$657,MATCH(H3211,Documents!$A$5:$A$657,0))),"")</f>
        <v>Bioorg Med Chem</v>
      </c>
      <c r="K3211" s="25" t="str">
        <f aca="false">IFERROR(IF(INDEX(Documents!$G$5:$G$657,MATCH(H3211,Documents!$A$5:$A$657,0))="","",INDEX(Documents!$G$5:$G$657,MATCH(H3211,Documents!$A$5:$A$657,0))),"")</f>
        <v>10.1016/j.bmc.2016.08.055</v>
      </c>
      <c r="L3211" s="25" t="s">
        <v>1333</v>
      </c>
    </row>
    <row r="3212" customFormat="false" ht="15" hidden="false" customHeight="false" outlineLevel="0" collapsed="false">
      <c r="A3212" s="25" t="n">
        <v>19437755</v>
      </c>
      <c r="B3212" s="25" t="s">
        <v>6841</v>
      </c>
      <c r="C3212" s="25" t="s">
        <v>6842</v>
      </c>
      <c r="D3212" s="26" t="n">
        <v>800</v>
      </c>
      <c r="E3212" s="27" t="n">
        <v>6.09691001300806</v>
      </c>
      <c r="F3212" s="27" t="n">
        <v>6.09691001300806</v>
      </c>
      <c r="G3212" s="25" t="s">
        <v>1331</v>
      </c>
      <c r="H3212" s="25" t="s">
        <v>1332</v>
      </c>
      <c r="I3212" s="25" t="n">
        <f aca="false">IFERROR(IF(INDEX(Documents!$C$5:$C$657,MATCH(H3212,Documents!$A$5:$A$657,0))="","",INDEX(Documents!$C$5:$C$657,MATCH(H3212,Documents!$A$5:$A$657,0))),"")</f>
        <v>2016</v>
      </c>
      <c r="J3212" s="25" t="str">
        <f aca="false">IFERROR(IF(INDEX(Documents!$D$5:$D$657,MATCH(H3212,Documents!$A$5:$A$657,0))="","",INDEX(Documents!$D$5:$D$657,MATCH(H3212,Documents!$A$5:$A$657,0))),"")</f>
        <v>Bioorg Med Chem</v>
      </c>
      <c r="K3212" s="25" t="str">
        <f aca="false">IFERROR(IF(INDEX(Documents!$G$5:$G$657,MATCH(H3212,Documents!$A$5:$A$657,0))="","",INDEX(Documents!$G$5:$G$657,MATCH(H3212,Documents!$A$5:$A$657,0))),"")</f>
        <v>10.1016/j.bmc.2016.08.055</v>
      </c>
      <c r="L3212" s="25" t="s">
        <v>1333</v>
      </c>
    </row>
    <row r="3213" customFormat="false" ht="15" hidden="false" customHeight="false" outlineLevel="0" collapsed="false">
      <c r="A3213" s="25" t="n">
        <v>19437750</v>
      </c>
      <c r="B3213" s="25" t="s">
        <v>6843</v>
      </c>
      <c r="C3213" s="25" t="s">
        <v>6844</v>
      </c>
      <c r="D3213" s="26" t="n">
        <v>53</v>
      </c>
      <c r="E3213" s="27" t="n">
        <v>7.27572413039921</v>
      </c>
      <c r="F3213" s="27" t="n">
        <v>7.27572413039921</v>
      </c>
      <c r="G3213" s="25" t="s">
        <v>1331</v>
      </c>
      <c r="H3213" s="25" t="s">
        <v>1332</v>
      </c>
      <c r="I3213" s="25" t="n">
        <f aca="false">IFERROR(IF(INDEX(Documents!$C$5:$C$657,MATCH(H3213,Documents!$A$5:$A$657,0))="","",INDEX(Documents!$C$5:$C$657,MATCH(H3213,Documents!$A$5:$A$657,0))),"")</f>
        <v>2016</v>
      </c>
      <c r="J3213" s="25" t="str">
        <f aca="false">IFERROR(IF(INDEX(Documents!$D$5:$D$657,MATCH(H3213,Documents!$A$5:$A$657,0))="","",INDEX(Documents!$D$5:$D$657,MATCH(H3213,Documents!$A$5:$A$657,0))),"")</f>
        <v>Bioorg Med Chem</v>
      </c>
      <c r="K3213" s="25" t="str">
        <f aca="false">IFERROR(IF(INDEX(Documents!$G$5:$G$657,MATCH(H3213,Documents!$A$5:$A$657,0))="","",INDEX(Documents!$G$5:$G$657,MATCH(H3213,Documents!$A$5:$A$657,0))),"")</f>
        <v>10.1016/j.bmc.2016.08.055</v>
      </c>
      <c r="L3213" s="25" t="s">
        <v>1333</v>
      </c>
    </row>
    <row r="3214" customFormat="false" ht="15" hidden="false" customHeight="false" outlineLevel="0" collapsed="false">
      <c r="A3214" s="25" t="n">
        <v>2601198</v>
      </c>
      <c r="B3214" s="25" t="s">
        <v>6845</v>
      </c>
      <c r="C3214" s="25" t="s">
        <v>6846</v>
      </c>
      <c r="D3214" s="26" t="n">
        <v>81</v>
      </c>
      <c r="E3214" s="27" t="n">
        <v>7.09151498112135</v>
      </c>
      <c r="F3214" s="27" t="n">
        <v>7.09151498112135</v>
      </c>
      <c r="G3214" s="25" t="s">
        <v>6822</v>
      </c>
      <c r="H3214" s="25" t="s">
        <v>6823</v>
      </c>
      <c r="I3214" s="25" t="n">
        <f aca="false">IFERROR(IF(INDEX(Documents!$C$5:$C$657,MATCH(H3214,Documents!$A$5:$A$657,0))="","",INDEX(Documents!$C$5:$C$657,MATCH(H3214,Documents!$A$5:$A$657,0))),"")</f>
        <v>2009</v>
      </c>
      <c r="J3214" s="25" t="str">
        <f aca="false">IFERROR(IF(INDEX(Documents!$D$5:$D$657,MATCH(H3214,Documents!$A$5:$A$657,0))="","",INDEX(Documents!$D$5:$D$657,MATCH(H3214,Documents!$A$5:$A$657,0))),"")</f>
        <v>Bioorg Med Chem Lett</v>
      </c>
      <c r="K3214" s="25" t="str">
        <f aca="false">IFERROR(IF(INDEX(Documents!$G$5:$G$657,MATCH(H3214,Documents!$A$5:$A$657,0))="","",INDEX(Documents!$G$5:$G$657,MATCH(H3214,Documents!$A$5:$A$657,0))),"")</f>
        <v>10.1016/j.bmcl.2008.11.091</v>
      </c>
      <c r="L3214" s="25" t="s">
        <v>6824</v>
      </c>
    </row>
    <row r="3215" customFormat="false" ht="15" hidden="false" customHeight="false" outlineLevel="0" collapsed="false">
      <c r="A3215" s="25" t="n">
        <v>2601186</v>
      </c>
      <c r="B3215" s="25" t="s">
        <v>6847</v>
      </c>
      <c r="C3215" s="25" t="s">
        <v>6848</v>
      </c>
      <c r="D3215" s="26" t="n">
        <v>100</v>
      </c>
      <c r="E3215" s="27" t="n">
        <v>7</v>
      </c>
      <c r="F3215" s="27" t="n">
        <v>7</v>
      </c>
      <c r="G3215" s="25" t="s">
        <v>6822</v>
      </c>
      <c r="H3215" s="25" t="s">
        <v>6823</v>
      </c>
      <c r="I3215" s="25" t="n">
        <f aca="false">IFERROR(IF(INDEX(Documents!$C$5:$C$657,MATCH(H3215,Documents!$A$5:$A$657,0))="","",INDEX(Documents!$C$5:$C$657,MATCH(H3215,Documents!$A$5:$A$657,0))),"")</f>
        <v>2009</v>
      </c>
      <c r="J3215" s="25" t="str">
        <f aca="false">IFERROR(IF(INDEX(Documents!$D$5:$D$657,MATCH(H3215,Documents!$A$5:$A$657,0))="","",INDEX(Documents!$D$5:$D$657,MATCH(H3215,Documents!$A$5:$A$657,0))),"")</f>
        <v>Bioorg Med Chem Lett</v>
      </c>
      <c r="K3215" s="25" t="str">
        <f aca="false">IFERROR(IF(INDEX(Documents!$G$5:$G$657,MATCH(H3215,Documents!$A$5:$A$657,0))="","",INDEX(Documents!$G$5:$G$657,MATCH(H3215,Documents!$A$5:$A$657,0))),"")</f>
        <v>10.1016/j.bmcl.2008.11.091</v>
      </c>
      <c r="L3215" s="25" t="s">
        <v>6824</v>
      </c>
    </row>
    <row r="3216" customFormat="false" ht="15" hidden="false" customHeight="false" outlineLevel="0" collapsed="false">
      <c r="A3216" s="25" t="n">
        <v>2601178</v>
      </c>
      <c r="B3216" s="25" t="s">
        <v>6849</v>
      </c>
      <c r="C3216" s="25" t="s">
        <v>6850</v>
      </c>
      <c r="D3216" s="26" t="n">
        <v>85</v>
      </c>
      <c r="E3216" s="27" t="n">
        <v>7.07058107428571</v>
      </c>
      <c r="F3216" s="27" t="n">
        <v>7.07058107428571</v>
      </c>
      <c r="G3216" s="25" t="s">
        <v>6822</v>
      </c>
      <c r="H3216" s="25" t="s">
        <v>6823</v>
      </c>
      <c r="I3216" s="25" t="n">
        <f aca="false">IFERROR(IF(INDEX(Documents!$C$5:$C$657,MATCH(H3216,Documents!$A$5:$A$657,0))="","",INDEX(Documents!$C$5:$C$657,MATCH(H3216,Documents!$A$5:$A$657,0))),"")</f>
        <v>2009</v>
      </c>
      <c r="J3216" s="25" t="str">
        <f aca="false">IFERROR(IF(INDEX(Documents!$D$5:$D$657,MATCH(H3216,Documents!$A$5:$A$657,0))="","",INDEX(Documents!$D$5:$D$657,MATCH(H3216,Documents!$A$5:$A$657,0))),"")</f>
        <v>Bioorg Med Chem Lett</v>
      </c>
      <c r="K3216" s="25" t="str">
        <f aca="false">IFERROR(IF(INDEX(Documents!$G$5:$G$657,MATCH(H3216,Documents!$A$5:$A$657,0))="","",INDEX(Documents!$G$5:$G$657,MATCH(H3216,Documents!$A$5:$A$657,0))),"")</f>
        <v>10.1016/j.bmcl.2008.11.091</v>
      </c>
      <c r="L3216" s="25" t="s">
        <v>6824</v>
      </c>
    </row>
    <row r="3217" customFormat="false" ht="15" hidden="false" customHeight="false" outlineLevel="0" collapsed="false">
      <c r="A3217" s="25" t="n">
        <v>2601182</v>
      </c>
      <c r="B3217" s="25" t="s">
        <v>6851</v>
      </c>
      <c r="C3217" s="25" t="s">
        <v>6852</v>
      </c>
      <c r="D3217" s="26" t="n">
        <v>27</v>
      </c>
      <c r="E3217" s="27" t="n">
        <v>7.56863623584101</v>
      </c>
      <c r="F3217" s="27" t="n">
        <v>7.56863623584101</v>
      </c>
      <c r="G3217" s="25" t="s">
        <v>6822</v>
      </c>
      <c r="H3217" s="25" t="s">
        <v>6823</v>
      </c>
      <c r="I3217" s="25" t="n">
        <f aca="false">IFERROR(IF(INDEX(Documents!$C$5:$C$657,MATCH(H3217,Documents!$A$5:$A$657,0))="","",INDEX(Documents!$C$5:$C$657,MATCH(H3217,Documents!$A$5:$A$657,0))),"")</f>
        <v>2009</v>
      </c>
      <c r="J3217" s="25" t="str">
        <f aca="false">IFERROR(IF(INDEX(Documents!$D$5:$D$657,MATCH(H3217,Documents!$A$5:$A$657,0))="","",INDEX(Documents!$D$5:$D$657,MATCH(H3217,Documents!$A$5:$A$657,0))),"")</f>
        <v>Bioorg Med Chem Lett</v>
      </c>
      <c r="K3217" s="25" t="str">
        <f aca="false">IFERROR(IF(INDEX(Documents!$G$5:$G$657,MATCH(H3217,Documents!$A$5:$A$657,0))="","",INDEX(Documents!$G$5:$G$657,MATCH(H3217,Documents!$A$5:$A$657,0))),"")</f>
        <v>10.1016/j.bmcl.2008.11.091</v>
      </c>
      <c r="L3217" s="25" t="s">
        <v>6824</v>
      </c>
    </row>
    <row r="3218" customFormat="false" ht="15" hidden="false" customHeight="false" outlineLevel="0" collapsed="false">
      <c r="A3218" s="25" t="n">
        <v>2601194</v>
      </c>
      <c r="B3218" s="25" t="s">
        <v>6853</v>
      </c>
      <c r="C3218" s="25" t="s">
        <v>6854</v>
      </c>
      <c r="D3218" s="26" t="n">
        <v>23</v>
      </c>
      <c r="E3218" s="27" t="n">
        <v>7.63827216398241</v>
      </c>
      <c r="F3218" s="27" t="n">
        <v>7.63827216398241</v>
      </c>
      <c r="G3218" s="25" t="s">
        <v>6822</v>
      </c>
      <c r="H3218" s="25" t="s">
        <v>6823</v>
      </c>
      <c r="I3218" s="25" t="n">
        <f aca="false">IFERROR(IF(INDEX(Documents!$C$5:$C$657,MATCH(H3218,Documents!$A$5:$A$657,0))="","",INDEX(Documents!$C$5:$C$657,MATCH(H3218,Documents!$A$5:$A$657,0))),"")</f>
        <v>2009</v>
      </c>
      <c r="J3218" s="25" t="str">
        <f aca="false">IFERROR(IF(INDEX(Documents!$D$5:$D$657,MATCH(H3218,Documents!$A$5:$A$657,0))="","",INDEX(Documents!$D$5:$D$657,MATCH(H3218,Documents!$A$5:$A$657,0))),"")</f>
        <v>Bioorg Med Chem Lett</v>
      </c>
      <c r="K3218" s="25" t="str">
        <f aca="false">IFERROR(IF(INDEX(Documents!$G$5:$G$657,MATCH(H3218,Documents!$A$5:$A$657,0))="","",INDEX(Documents!$G$5:$G$657,MATCH(H3218,Documents!$A$5:$A$657,0))),"")</f>
        <v>10.1016/j.bmcl.2008.11.091</v>
      </c>
      <c r="L3218" s="25" t="s">
        <v>6824</v>
      </c>
    </row>
    <row r="3219" customFormat="false" ht="15" hidden="false" customHeight="false" outlineLevel="0" collapsed="false">
      <c r="A3219" s="25" t="n">
        <v>2601162</v>
      </c>
      <c r="B3219" s="25" t="s">
        <v>6855</v>
      </c>
      <c r="C3219" s="25" t="s">
        <v>6856</v>
      </c>
      <c r="D3219" s="26" t="n">
        <v>5.7</v>
      </c>
      <c r="E3219" s="27" t="n">
        <v>8.24412514432751</v>
      </c>
      <c r="F3219" s="27" t="n">
        <v>8.24412514432751</v>
      </c>
      <c r="G3219" s="25" t="s">
        <v>6822</v>
      </c>
      <c r="H3219" s="25" t="s">
        <v>6823</v>
      </c>
      <c r="I3219" s="25" t="n">
        <f aca="false">IFERROR(IF(INDEX(Documents!$C$5:$C$657,MATCH(H3219,Documents!$A$5:$A$657,0))="","",INDEX(Documents!$C$5:$C$657,MATCH(H3219,Documents!$A$5:$A$657,0))),"")</f>
        <v>2009</v>
      </c>
      <c r="J3219" s="25" t="str">
        <f aca="false">IFERROR(IF(INDEX(Documents!$D$5:$D$657,MATCH(H3219,Documents!$A$5:$A$657,0))="","",INDEX(Documents!$D$5:$D$657,MATCH(H3219,Documents!$A$5:$A$657,0))),"")</f>
        <v>Bioorg Med Chem Lett</v>
      </c>
      <c r="K3219" s="25" t="str">
        <f aca="false">IFERROR(IF(INDEX(Documents!$G$5:$G$657,MATCH(H3219,Documents!$A$5:$A$657,0))="","",INDEX(Documents!$G$5:$G$657,MATCH(H3219,Documents!$A$5:$A$657,0))),"")</f>
        <v>10.1016/j.bmcl.2008.11.091</v>
      </c>
      <c r="L3219" s="25" t="s">
        <v>6824</v>
      </c>
    </row>
    <row r="3220" customFormat="false" ht="15" hidden="false" customHeight="false" outlineLevel="0" collapsed="false">
      <c r="A3220" s="25" t="n">
        <v>2601190</v>
      </c>
      <c r="B3220" s="25" t="s">
        <v>6857</v>
      </c>
      <c r="C3220" s="25" t="s">
        <v>6858</v>
      </c>
      <c r="D3220" s="26" t="n">
        <v>36</v>
      </c>
      <c r="E3220" s="27" t="n">
        <v>7.44369749923271</v>
      </c>
      <c r="F3220" s="27" t="n">
        <v>7.44369749923271</v>
      </c>
      <c r="G3220" s="25" t="s">
        <v>6822</v>
      </c>
      <c r="H3220" s="25" t="s">
        <v>6823</v>
      </c>
      <c r="I3220" s="25" t="n">
        <f aca="false">IFERROR(IF(INDEX(Documents!$C$5:$C$657,MATCH(H3220,Documents!$A$5:$A$657,0))="","",INDEX(Documents!$C$5:$C$657,MATCH(H3220,Documents!$A$5:$A$657,0))),"")</f>
        <v>2009</v>
      </c>
      <c r="J3220" s="25" t="str">
        <f aca="false">IFERROR(IF(INDEX(Documents!$D$5:$D$657,MATCH(H3220,Documents!$A$5:$A$657,0))="","",INDEX(Documents!$D$5:$D$657,MATCH(H3220,Documents!$A$5:$A$657,0))),"")</f>
        <v>Bioorg Med Chem Lett</v>
      </c>
      <c r="K3220" s="25" t="str">
        <f aca="false">IFERROR(IF(INDEX(Documents!$G$5:$G$657,MATCH(H3220,Documents!$A$5:$A$657,0))="","",INDEX(Documents!$G$5:$G$657,MATCH(H3220,Documents!$A$5:$A$657,0))),"")</f>
        <v>10.1016/j.bmcl.2008.11.091</v>
      </c>
      <c r="L3220" s="25" t="s">
        <v>6824</v>
      </c>
    </row>
    <row r="3221" customFormat="false" ht="15" hidden="false" customHeight="false" outlineLevel="0" collapsed="false">
      <c r="A3221" s="25" t="n">
        <v>2601154</v>
      </c>
      <c r="B3221" s="25" t="s">
        <v>6859</v>
      </c>
      <c r="C3221" s="25" t="s">
        <v>6860</v>
      </c>
      <c r="D3221" s="26" t="n">
        <v>5.2</v>
      </c>
      <c r="E3221" s="27" t="n">
        <v>8.2839966563652</v>
      </c>
      <c r="F3221" s="27" t="n">
        <v>8.2839966563652</v>
      </c>
      <c r="G3221" s="25" t="s">
        <v>6822</v>
      </c>
      <c r="H3221" s="25" t="s">
        <v>6823</v>
      </c>
      <c r="I3221" s="25" t="n">
        <f aca="false">IFERROR(IF(INDEX(Documents!$C$5:$C$657,MATCH(H3221,Documents!$A$5:$A$657,0))="","",INDEX(Documents!$C$5:$C$657,MATCH(H3221,Documents!$A$5:$A$657,0))),"")</f>
        <v>2009</v>
      </c>
      <c r="J3221" s="25" t="str">
        <f aca="false">IFERROR(IF(INDEX(Documents!$D$5:$D$657,MATCH(H3221,Documents!$A$5:$A$657,0))="","",INDEX(Documents!$D$5:$D$657,MATCH(H3221,Documents!$A$5:$A$657,0))),"")</f>
        <v>Bioorg Med Chem Lett</v>
      </c>
      <c r="K3221" s="25" t="str">
        <f aca="false">IFERROR(IF(INDEX(Documents!$G$5:$G$657,MATCH(H3221,Documents!$A$5:$A$657,0))="","",INDEX(Documents!$G$5:$G$657,MATCH(H3221,Documents!$A$5:$A$657,0))),"")</f>
        <v>10.1016/j.bmcl.2008.11.091</v>
      </c>
      <c r="L3221" s="25" t="s">
        <v>6824</v>
      </c>
    </row>
    <row r="3222" customFormat="false" ht="15" hidden="false" customHeight="false" outlineLevel="0" collapsed="false">
      <c r="A3222" s="25" t="n">
        <v>2601158</v>
      </c>
      <c r="B3222" s="25" t="s">
        <v>6861</v>
      </c>
      <c r="C3222" s="25" t="s">
        <v>6862</v>
      </c>
      <c r="D3222" s="26" t="n">
        <v>23</v>
      </c>
      <c r="E3222" s="27" t="n">
        <v>7.63827216398241</v>
      </c>
      <c r="F3222" s="27" t="n">
        <v>7.63827216398241</v>
      </c>
      <c r="G3222" s="25" t="s">
        <v>6822</v>
      </c>
      <c r="H3222" s="25" t="s">
        <v>6823</v>
      </c>
      <c r="I3222" s="25" t="n">
        <f aca="false">IFERROR(IF(INDEX(Documents!$C$5:$C$657,MATCH(H3222,Documents!$A$5:$A$657,0))="","",INDEX(Documents!$C$5:$C$657,MATCH(H3222,Documents!$A$5:$A$657,0))),"")</f>
        <v>2009</v>
      </c>
      <c r="J3222" s="25" t="str">
        <f aca="false">IFERROR(IF(INDEX(Documents!$D$5:$D$657,MATCH(H3222,Documents!$A$5:$A$657,0))="","",INDEX(Documents!$D$5:$D$657,MATCH(H3222,Documents!$A$5:$A$657,0))),"")</f>
        <v>Bioorg Med Chem Lett</v>
      </c>
      <c r="K3222" s="25" t="str">
        <f aca="false">IFERROR(IF(INDEX(Documents!$G$5:$G$657,MATCH(H3222,Documents!$A$5:$A$657,0))="","",INDEX(Documents!$G$5:$G$657,MATCH(H3222,Documents!$A$5:$A$657,0))),"")</f>
        <v>10.1016/j.bmcl.2008.11.091</v>
      </c>
      <c r="L3222" s="25" t="s">
        <v>6824</v>
      </c>
    </row>
    <row r="3223" customFormat="false" ht="15" hidden="false" customHeight="false" outlineLevel="0" collapsed="false">
      <c r="A3223" s="25" t="n">
        <v>2601166</v>
      </c>
      <c r="B3223" s="25" t="s">
        <v>6863</v>
      </c>
      <c r="C3223" s="25" t="s">
        <v>6864</v>
      </c>
      <c r="D3223" s="26" t="n">
        <v>17</v>
      </c>
      <c r="E3223" s="27" t="n">
        <v>7.76955107862173</v>
      </c>
      <c r="F3223" s="27" t="n">
        <v>7.76955107862173</v>
      </c>
      <c r="G3223" s="25" t="s">
        <v>6822</v>
      </c>
      <c r="H3223" s="25" t="s">
        <v>6823</v>
      </c>
      <c r="I3223" s="25" t="n">
        <f aca="false">IFERROR(IF(INDEX(Documents!$C$5:$C$657,MATCH(H3223,Documents!$A$5:$A$657,0))="","",INDEX(Documents!$C$5:$C$657,MATCH(H3223,Documents!$A$5:$A$657,0))),"")</f>
        <v>2009</v>
      </c>
      <c r="J3223" s="25" t="str">
        <f aca="false">IFERROR(IF(INDEX(Documents!$D$5:$D$657,MATCH(H3223,Documents!$A$5:$A$657,0))="","",INDEX(Documents!$D$5:$D$657,MATCH(H3223,Documents!$A$5:$A$657,0))),"")</f>
        <v>Bioorg Med Chem Lett</v>
      </c>
      <c r="K3223" s="25" t="str">
        <f aca="false">IFERROR(IF(INDEX(Documents!$G$5:$G$657,MATCH(H3223,Documents!$A$5:$A$657,0))="","",INDEX(Documents!$G$5:$G$657,MATCH(H3223,Documents!$A$5:$A$657,0))),"")</f>
        <v>10.1016/j.bmcl.2008.11.091</v>
      </c>
      <c r="L3223" s="25" t="s">
        <v>6824</v>
      </c>
    </row>
    <row r="3224" customFormat="false" ht="15" hidden="false" customHeight="false" outlineLevel="0" collapsed="false">
      <c r="A3224" s="25" t="n">
        <v>2601170</v>
      </c>
      <c r="B3224" s="25" t="s">
        <v>6865</v>
      </c>
      <c r="C3224" s="25" t="s">
        <v>6866</v>
      </c>
      <c r="D3224" s="26" t="n">
        <v>82</v>
      </c>
      <c r="E3224" s="27" t="n">
        <v>7.08618614761628</v>
      </c>
      <c r="F3224" s="27" t="n">
        <v>7.08618614761628</v>
      </c>
      <c r="G3224" s="25" t="s">
        <v>6822</v>
      </c>
      <c r="H3224" s="25" t="s">
        <v>6823</v>
      </c>
      <c r="I3224" s="25" t="n">
        <f aca="false">IFERROR(IF(INDEX(Documents!$C$5:$C$657,MATCH(H3224,Documents!$A$5:$A$657,0))="","",INDEX(Documents!$C$5:$C$657,MATCH(H3224,Documents!$A$5:$A$657,0))),"")</f>
        <v>2009</v>
      </c>
      <c r="J3224" s="25" t="str">
        <f aca="false">IFERROR(IF(INDEX(Documents!$D$5:$D$657,MATCH(H3224,Documents!$A$5:$A$657,0))="","",INDEX(Documents!$D$5:$D$657,MATCH(H3224,Documents!$A$5:$A$657,0))),"")</f>
        <v>Bioorg Med Chem Lett</v>
      </c>
      <c r="K3224" s="25" t="str">
        <f aca="false">IFERROR(IF(INDEX(Documents!$G$5:$G$657,MATCH(H3224,Documents!$A$5:$A$657,0))="","",INDEX(Documents!$G$5:$G$657,MATCH(H3224,Documents!$A$5:$A$657,0))),"")</f>
        <v>10.1016/j.bmcl.2008.11.091</v>
      </c>
      <c r="L3224" s="25" t="s">
        <v>6824</v>
      </c>
    </row>
    <row r="3225" customFormat="false" ht="15" hidden="false" customHeight="false" outlineLevel="0" collapsed="false">
      <c r="A3225" s="25" t="n">
        <v>2601210</v>
      </c>
      <c r="B3225" s="25" t="s">
        <v>6867</v>
      </c>
      <c r="C3225" s="25" t="s">
        <v>6868</v>
      </c>
      <c r="D3225" s="26" t="n">
        <v>75</v>
      </c>
      <c r="E3225" s="27" t="n">
        <v>7.1249387366083</v>
      </c>
      <c r="F3225" s="27" t="n">
        <v>7.1249387366083</v>
      </c>
      <c r="G3225" s="25" t="s">
        <v>6822</v>
      </c>
      <c r="H3225" s="25" t="s">
        <v>6823</v>
      </c>
      <c r="I3225" s="25" t="n">
        <f aca="false">IFERROR(IF(INDEX(Documents!$C$5:$C$657,MATCH(H3225,Documents!$A$5:$A$657,0))="","",INDEX(Documents!$C$5:$C$657,MATCH(H3225,Documents!$A$5:$A$657,0))),"")</f>
        <v>2009</v>
      </c>
      <c r="J3225" s="25" t="str">
        <f aca="false">IFERROR(IF(INDEX(Documents!$D$5:$D$657,MATCH(H3225,Documents!$A$5:$A$657,0))="","",INDEX(Documents!$D$5:$D$657,MATCH(H3225,Documents!$A$5:$A$657,0))),"")</f>
        <v>Bioorg Med Chem Lett</v>
      </c>
      <c r="K3225" s="25" t="str">
        <f aca="false">IFERROR(IF(INDEX(Documents!$G$5:$G$657,MATCH(H3225,Documents!$A$5:$A$657,0))="","",INDEX(Documents!$G$5:$G$657,MATCH(H3225,Documents!$A$5:$A$657,0))),"")</f>
        <v>10.1016/j.bmcl.2008.11.091</v>
      </c>
      <c r="L3225" s="25" t="s">
        <v>6824</v>
      </c>
    </row>
    <row r="3226" customFormat="false" ht="15" hidden="false" customHeight="false" outlineLevel="0" collapsed="false">
      <c r="A3226" s="25" t="n">
        <v>2601202</v>
      </c>
      <c r="B3226" s="25" t="s">
        <v>6869</v>
      </c>
      <c r="C3226" s="25" t="s">
        <v>6870</v>
      </c>
      <c r="D3226" s="26" t="n">
        <v>59</v>
      </c>
      <c r="E3226" s="27" t="n">
        <v>7.22914798835786</v>
      </c>
      <c r="F3226" s="27" t="n">
        <v>7.22914798835786</v>
      </c>
      <c r="G3226" s="25" t="s">
        <v>6822</v>
      </c>
      <c r="H3226" s="25" t="s">
        <v>6823</v>
      </c>
      <c r="I3226" s="25" t="n">
        <f aca="false">IFERROR(IF(INDEX(Documents!$C$5:$C$657,MATCH(H3226,Documents!$A$5:$A$657,0))="","",INDEX(Documents!$C$5:$C$657,MATCH(H3226,Documents!$A$5:$A$657,0))),"")</f>
        <v>2009</v>
      </c>
      <c r="J3226" s="25" t="str">
        <f aca="false">IFERROR(IF(INDEX(Documents!$D$5:$D$657,MATCH(H3226,Documents!$A$5:$A$657,0))="","",INDEX(Documents!$D$5:$D$657,MATCH(H3226,Documents!$A$5:$A$657,0))),"")</f>
        <v>Bioorg Med Chem Lett</v>
      </c>
      <c r="K3226" s="25" t="str">
        <f aca="false">IFERROR(IF(INDEX(Documents!$G$5:$G$657,MATCH(H3226,Documents!$A$5:$A$657,0))="","",INDEX(Documents!$G$5:$G$657,MATCH(H3226,Documents!$A$5:$A$657,0))),"")</f>
        <v>10.1016/j.bmcl.2008.11.091</v>
      </c>
      <c r="L3226" s="25" t="s">
        <v>6824</v>
      </c>
    </row>
    <row r="3227" customFormat="false" ht="15" hidden="false" customHeight="false" outlineLevel="0" collapsed="false">
      <c r="A3227" s="25" t="n">
        <v>2601206</v>
      </c>
      <c r="B3227" s="25" t="s">
        <v>6871</v>
      </c>
      <c r="C3227" s="25" t="s">
        <v>6872</v>
      </c>
      <c r="D3227" s="26" t="n">
        <v>130</v>
      </c>
      <c r="E3227" s="27" t="n">
        <v>6.88605664769316</v>
      </c>
      <c r="F3227" s="27" t="n">
        <v>6.88605664769316</v>
      </c>
      <c r="G3227" s="25" t="s">
        <v>6822</v>
      </c>
      <c r="H3227" s="25" t="s">
        <v>6823</v>
      </c>
      <c r="I3227" s="25" t="n">
        <f aca="false">IFERROR(IF(INDEX(Documents!$C$5:$C$657,MATCH(H3227,Documents!$A$5:$A$657,0))="","",INDEX(Documents!$C$5:$C$657,MATCH(H3227,Documents!$A$5:$A$657,0))),"")</f>
        <v>2009</v>
      </c>
      <c r="J3227" s="25" t="str">
        <f aca="false">IFERROR(IF(INDEX(Documents!$D$5:$D$657,MATCH(H3227,Documents!$A$5:$A$657,0))="","",INDEX(Documents!$D$5:$D$657,MATCH(H3227,Documents!$A$5:$A$657,0))),"")</f>
        <v>Bioorg Med Chem Lett</v>
      </c>
      <c r="K3227" s="25" t="str">
        <f aca="false">IFERROR(IF(INDEX(Documents!$G$5:$G$657,MATCH(H3227,Documents!$A$5:$A$657,0))="","",INDEX(Documents!$G$5:$G$657,MATCH(H3227,Documents!$A$5:$A$657,0))),"")</f>
        <v>10.1016/j.bmcl.2008.11.091</v>
      </c>
      <c r="L3227" s="25" t="s">
        <v>6824</v>
      </c>
    </row>
    <row r="3228" customFormat="false" ht="15" hidden="false" customHeight="false" outlineLevel="0" collapsed="false">
      <c r="A3228" s="25" t="n">
        <v>13850279</v>
      </c>
      <c r="B3228" s="25" t="s">
        <v>6873</v>
      </c>
      <c r="C3228" s="25" t="s">
        <v>6874</v>
      </c>
      <c r="D3228" s="26" t="n">
        <v>377</v>
      </c>
      <c r="E3228" s="27" t="n">
        <v>6.42365864979421</v>
      </c>
      <c r="F3228" s="27" t="n">
        <v>6.42365864979421</v>
      </c>
      <c r="G3228" s="25" t="s">
        <v>5354</v>
      </c>
      <c r="H3228" s="25" t="s">
        <v>4134</v>
      </c>
      <c r="I3228" s="25" t="n">
        <f aca="false">IFERROR(IF(INDEX(Documents!$C$5:$C$657,MATCH(H3228,Documents!$A$5:$A$657,0))="","",INDEX(Documents!$C$5:$C$657,MATCH(H3228,Documents!$A$5:$A$657,0))),"")</f>
        <v>2013</v>
      </c>
      <c r="J3228" s="25" t="str">
        <f aca="false">IFERROR(IF(INDEX(Documents!$D$5:$D$657,MATCH(H3228,Documents!$A$5:$A$657,0))="","",INDEX(Documents!$D$5:$D$657,MATCH(H3228,Documents!$A$5:$A$657,0))),"")</f>
        <v>Bioorg Med Chem</v>
      </c>
      <c r="K3228" s="25" t="str">
        <f aca="false">IFERROR(IF(INDEX(Documents!$G$5:$G$657,MATCH(H3228,Documents!$A$5:$A$657,0))="","",INDEX(Documents!$G$5:$G$657,MATCH(H3228,Documents!$A$5:$A$657,0))),"")</f>
        <v>10.1016/j.bmc.2013.09.040</v>
      </c>
      <c r="L3228" s="25" t="s">
        <v>5355</v>
      </c>
    </row>
    <row r="3229" customFormat="false" ht="15" hidden="false" customHeight="false" outlineLevel="0" collapsed="false">
      <c r="A3229" s="25" t="n">
        <v>2167509</v>
      </c>
      <c r="B3229" s="25" t="s">
        <v>6875</v>
      </c>
      <c r="C3229" s="25" t="s">
        <v>6876</v>
      </c>
      <c r="D3229" s="26" t="n">
        <v>34</v>
      </c>
      <c r="E3229" s="27" t="n">
        <v>7.46852108295775</v>
      </c>
      <c r="F3229" s="27" t="n">
        <v>7.46852108295775</v>
      </c>
      <c r="G3229" s="25" t="s">
        <v>707</v>
      </c>
      <c r="H3229" s="25" t="s">
        <v>708</v>
      </c>
      <c r="I3229" s="25" t="n">
        <f aca="false">IFERROR(IF(INDEX(Documents!$C$5:$C$657,MATCH(H3229,Documents!$A$5:$A$657,0))="","",INDEX(Documents!$C$5:$C$657,MATCH(H3229,Documents!$A$5:$A$657,0))),"")</f>
        <v>2008</v>
      </c>
      <c r="J3229" s="25" t="str">
        <f aca="false">IFERROR(IF(INDEX(Documents!$D$5:$D$657,MATCH(H3229,Documents!$A$5:$A$657,0))="","",INDEX(Documents!$D$5:$D$657,MATCH(H3229,Documents!$A$5:$A$657,0))),"")</f>
        <v>Bioorg Med Chem Lett</v>
      </c>
      <c r="K3229" s="25" t="str">
        <f aca="false">IFERROR(IF(INDEX(Documents!$G$5:$G$657,MATCH(H3229,Documents!$A$5:$A$657,0))="","",INDEX(Documents!$G$5:$G$657,MATCH(H3229,Documents!$A$5:$A$657,0))),"")</f>
        <v>10.1016/j.bmcl.2008.04.006</v>
      </c>
      <c r="L3229" s="25" t="s">
        <v>709</v>
      </c>
    </row>
    <row r="3230" customFormat="false" ht="15" hidden="false" customHeight="false" outlineLevel="0" collapsed="false">
      <c r="A3230" s="25" t="n">
        <v>2167506</v>
      </c>
      <c r="B3230" s="25" t="s">
        <v>6877</v>
      </c>
      <c r="C3230" s="25" t="s">
        <v>6878</v>
      </c>
      <c r="D3230" s="26" t="n">
        <v>180</v>
      </c>
      <c r="E3230" s="27" t="n">
        <v>6.74472749489669</v>
      </c>
      <c r="F3230" s="27" t="n">
        <v>6.74472749489669</v>
      </c>
      <c r="G3230" s="25" t="s">
        <v>707</v>
      </c>
      <c r="H3230" s="25" t="s">
        <v>708</v>
      </c>
      <c r="I3230" s="25" t="n">
        <f aca="false">IFERROR(IF(INDEX(Documents!$C$5:$C$657,MATCH(H3230,Documents!$A$5:$A$657,0))="","",INDEX(Documents!$C$5:$C$657,MATCH(H3230,Documents!$A$5:$A$657,0))),"")</f>
        <v>2008</v>
      </c>
      <c r="J3230" s="25" t="str">
        <f aca="false">IFERROR(IF(INDEX(Documents!$D$5:$D$657,MATCH(H3230,Documents!$A$5:$A$657,0))="","",INDEX(Documents!$D$5:$D$657,MATCH(H3230,Documents!$A$5:$A$657,0))),"")</f>
        <v>Bioorg Med Chem Lett</v>
      </c>
      <c r="K3230" s="25" t="str">
        <f aca="false">IFERROR(IF(INDEX(Documents!$G$5:$G$657,MATCH(H3230,Documents!$A$5:$A$657,0))="","",INDEX(Documents!$G$5:$G$657,MATCH(H3230,Documents!$A$5:$A$657,0))),"")</f>
        <v>10.1016/j.bmcl.2008.04.006</v>
      </c>
      <c r="L3230" s="25" t="s">
        <v>709</v>
      </c>
    </row>
    <row r="3231" customFormat="false" ht="15" hidden="false" customHeight="false" outlineLevel="0" collapsed="false">
      <c r="A3231" s="25" t="n">
        <v>2167513</v>
      </c>
      <c r="B3231" s="25" t="s">
        <v>6879</v>
      </c>
      <c r="C3231" s="25" t="s">
        <v>6880</v>
      </c>
      <c r="D3231" s="26" t="n">
        <v>6.3</v>
      </c>
      <c r="E3231" s="27" t="n">
        <v>8.20065945054642</v>
      </c>
      <c r="F3231" s="27" t="n">
        <v>8.20065945054642</v>
      </c>
      <c r="G3231" s="25" t="s">
        <v>707</v>
      </c>
      <c r="H3231" s="25" t="s">
        <v>708</v>
      </c>
      <c r="I3231" s="25" t="n">
        <f aca="false">IFERROR(IF(INDEX(Documents!$C$5:$C$657,MATCH(H3231,Documents!$A$5:$A$657,0))="","",INDEX(Documents!$C$5:$C$657,MATCH(H3231,Documents!$A$5:$A$657,0))),"")</f>
        <v>2008</v>
      </c>
      <c r="J3231" s="25" t="str">
        <f aca="false">IFERROR(IF(INDEX(Documents!$D$5:$D$657,MATCH(H3231,Documents!$A$5:$A$657,0))="","",INDEX(Documents!$D$5:$D$657,MATCH(H3231,Documents!$A$5:$A$657,0))),"")</f>
        <v>Bioorg Med Chem Lett</v>
      </c>
      <c r="K3231" s="25" t="str">
        <f aca="false">IFERROR(IF(INDEX(Documents!$G$5:$G$657,MATCH(H3231,Documents!$A$5:$A$657,0))="","",INDEX(Documents!$G$5:$G$657,MATCH(H3231,Documents!$A$5:$A$657,0))),"")</f>
        <v>10.1016/j.bmcl.2008.04.006</v>
      </c>
      <c r="L3231" s="25" t="s">
        <v>709</v>
      </c>
    </row>
    <row r="3232" customFormat="false" ht="15" hidden="false" customHeight="false" outlineLevel="0" collapsed="false">
      <c r="A3232" s="25" t="n">
        <v>2167510</v>
      </c>
      <c r="B3232" s="25" t="s">
        <v>6881</v>
      </c>
      <c r="C3232" s="25" t="s">
        <v>6882</v>
      </c>
      <c r="D3232" s="26" t="n">
        <v>19</v>
      </c>
      <c r="E3232" s="27" t="n">
        <v>7.72124639904717</v>
      </c>
      <c r="F3232" s="27" t="n">
        <v>7.72124639904717</v>
      </c>
      <c r="G3232" s="25" t="s">
        <v>707</v>
      </c>
      <c r="H3232" s="25" t="s">
        <v>708</v>
      </c>
      <c r="I3232" s="25" t="n">
        <f aca="false">IFERROR(IF(INDEX(Documents!$C$5:$C$657,MATCH(H3232,Documents!$A$5:$A$657,0))="","",INDEX(Documents!$C$5:$C$657,MATCH(H3232,Documents!$A$5:$A$657,0))),"")</f>
        <v>2008</v>
      </c>
      <c r="J3232" s="25" t="str">
        <f aca="false">IFERROR(IF(INDEX(Documents!$D$5:$D$657,MATCH(H3232,Documents!$A$5:$A$657,0))="","",INDEX(Documents!$D$5:$D$657,MATCH(H3232,Documents!$A$5:$A$657,0))),"")</f>
        <v>Bioorg Med Chem Lett</v>
      </c>
      <c r="K3232" s="25" t="str">
        <f aca="false">IFERROR(IF(INDEX(Documents!$G$5:$G$657,MATCH(H3232,Documents!$A$5:$A$657,0))="","",INDEX(Documents!$G$5:$G$657,MATCH(H3232,Documents!$A$5:$A$657,0))),"")</f>
        <v>10.1016/j.bmcl.2008.04.006</v>
      </c>
      <c r="L3232" s="25" t="s">
        <v>709</v>
      </c>
    </row>
    <row r="3233" customFormat="false" ht="15" hidden="false" customHeight="false" outlineLevel="0" collapsed="false">
      <c r="A3233" s="25" t="n">
        <v>3017005</v>
      </c>
      <c r="B3233" s="25" t="s">
        <v>6883</v>
      </c>
      <c r="C3233" s="25" t="s">
        <v>6884</v>
      </c>
      <c r="D3233" s="26" t="n">
        <v>1200</v>
      </c>
      <c r="E3233" s="27" t="n">
        <v>5.92081875395238</v>
      </c>
      <c r="F3233" s="27" t="n">
        <v>5.92081875395238</v>
      </c>
      <c r="G3233" s="25" t="s">
        <v>1785</v>
      </c>
      <c r="H3233" s="25" t="s">
        <v>1786</v>
      </c>
      <c r="I3233" s="25" t="n">
        <f aca="false">IFERROR(IF(INDEX(Documents!$C$5:$C$657,MATCH(H3233,Documents!$A$5:$A$657,0))="","",INDEX(Documents!$C$5:$C$657,MATCH(H3233,Documents!$A$5:$A$657,0))),"")</f>
        <v>2009</v>
      </c>
      <c r="J3233" s="25" t="str">
        <f aca="false">IFERROR(IF(INDEX(Documents!$D$5:$D$657,MATCH(H3233,Documents!$A$5:$A$657,0))="","",INDEX(Documents!$D$5:$D$657,MATCH(H3233,Documents!$A$5:$A$657,0))),"")</f>
        <v>Bioorg Med Chem Lett</v>
      </c>
      <c r="K3233" s="25" t="str">
        <f aca="false">IFERROR(IF(INDEX(Documents!$G$5:$G$657,MATCH(H3233,Documents!$A$5:$A$657,0))="","",INDEX(Documents!$G$5:$G$657,MATCH(H3233,Documents!$A$5:$A$657,0))),"")</f>
        <v>10.1016/j.bmcl.2009.07.057</v>
      </c>
      <c r="L3233" s="25" t="s">
        <v>659</v>
      </c>
    </row>
    <row r="3234" customFormat="false" ht="15" hidden="false" customHeight="false" outlineLevel="0" collapsed="false">
      <c r="A3234" s="25" t="n">
        <v>3017003</v>
      </c>
      <c r="B3234" s="25" t="s">
        <v>6885</v>
      </c>
      <c r="C3234" s="25" t="s">
        <v>6886</v>
      </c>
      <c r="D3234" s="26" t="n">
        <v>83</v>
      </c>
      <c r="E3234" s="27" t="n">
        <v>7.08092190762393</v>
      </c>
      <c r="F3234" s="27" t="n">
        <v>7.08092190762393</v>
      </c>
      <c r="G3234" s="25" t="s">
        <v>1785</v>
      </c>
      <c r="H3234" s="25" t="s">
        <v>1786</v>
      </c>
      <c r="I3234" s="25" t="n">
        <f aca="false">IFERROR(IF(INDEX(Documents!$C$5:$C$657,MATCH(H3234,Documents!$A$5:$A$657,0))="","",INDEX(Documents!$C$5:$C$657,MATCH(H3234,Documents!$A$5:$A$657,0))),"")</f>
        <v>2009</v>
      </c>
      <c r="J3234" s="25" t="str">
        <f aca="false">IFERROR(IF(INDEX(Documents!$D$5:$D$657,MATCH(H3234,Documents!$A$5:$A$657,0))="","",INDEX(Documents!$D$5:$D$657,MATCH(H3234,Documents!$A$5:$A$657,0))),"")</f>
        <v>Bioorg Med Chem Lett</v>
      </c>
      <c r="K3234" s="25" t="str">
        <f aca="false">IFERROR(IF(INDEX(Documents!$G$5:$G$657,MATCH(H3234,Documents!$A$5:$A$657,0))="","",INDEX(Documents!$G$5:$G$657,MATCH(H3234,Documents!$A$5:$A$657,0))),"")</f>
        <v>10.1016/j.bmcl.2009.07.057</v>
      </c>
      <c r="L3234" s="25" t="s">
        <v>659</v>
      </c>
    </row>
    <row r="3235" customFormat="false" ht="15" hidden="false" customHeight="false" outlineLevel="0" collapsed="false">
      <c r="A3235" s="25" t="n">
        <v>3017001</v>
      </c>
      <c r="B3235" s="25" t="s">
        <v>6887</v>
      </c>
      <c r="C3235" s="25" t="s">
        <v>6888</v>
      </c>
      <c r="D3235" s="26" t="n">
        <v>62</v>
      </c>
      <c r="E3235" s="27" t="n">
        <v>7.20760831050175</v>
      </c>
      <c r="F3235" s="27" t="n">
        <v>7.20760831050175</v>
      </c>
      <c r="G3235" s="25" t="s">
        <v>1785</v>
      </c>
      <c r="H3235" s="25" t="s">
        <v>1786</v>
      </c>
      <c r="I3235" s="25" t="n">
        <f aca="false">IFERROR(IF(INDEX(Documents!$C$5:$C$657,MATCH(H3235,Documents!$A$5:$A$657,0))="","",INDEX(Documents!$C$5:$C$657,MATCH(H3235,Documents!$A$5:$A$657,0))),"")</f>
        <v>2009</v>
      </c>
      <c r="J3235" s="25" t="str">
        <f aca="false">IFERROR(IF(INDEX(Documents!$D$5:$D$657,MATCH(H3235,Documents!$A$5:$A$657,0))="","",INDEX(Documents!$D$5:$D$657,MATCH(H3235,Documents!$A$5:$A$657,0))),"")</f>
        <v>Bioorg Med Chem Lett</v>
      </c>
      <c r="K3235" s="25" t="str">
        <f aca="false">IFERROR(IF(INDEX(Documents!$G$5:$G$657,MATCH(H3235,Documents!$A$5:$A$657,0))="","",INDEX(Documents!$G$5:$G$657,MATCH(H3235,Documents!$A$5:$A$657,0))),"")</f>
        <v>10.1016/j.bmcl.2009.07.057</v>
      </c>
      <c r="L3235" s="25" t="s">
        <v>659</v>
      </c>
    </row>
    <row r="3236" customFormat="false" ht="15" hidden="false" customHeight="false" outlineLevel="0" collapsed="false">
      <c r="A3236" s="25" t="n">
        <v>3017000</v>
      </c>
      <c r="B3236" s="25" t="s">
        <v>6889</v>
      </c>
      <c r="C3236" s="25" t="s">
        <v>6890</v>
      </c>
      <c r="D3236" s="26" t="n">
        <v>45</v>
      </c>
      <c r="E3236" s="27" t="n">
        <v>7.34678748622466</v>
      </c>
      <c r="F3236" s="27" t="n">
        <v>7.34678748622466</v>
      </c>
      <c r="G3236" s="25" t="s">
        <v>1785</v>
      </c>
      <c r="H3236" s="25" t="s">
        <v>1786</v>
      </c>
      <c r="I3236" s="25" t="n">
        <f aca="false">IFERROR(IF(INDEX(Documents!$C$5:$C$657,MATCH(H3236,Documents!$A$5:$A$657,0))="","",INDEX(Documents!$C$5:$C$657,MATCH(H3236,Documents!$A$5:$A$657,0))),"")</f>
        <v>2009</v>
      </c>
      <c r="J3236" s="25" t="str">
        <f aca="false">IFERROR(IF(INDEX(Documents!$D$5:$D$657,MATCH(H3236,Documents!$A$5:$A$657,0))="","",INDEX(Documents!$D$5:$D$657,MATCH(H3236,Documents!$A$5:$A$657,0))),"")</f>
        <v>Bioorg Med Chem Lett</v>
      </c>
      <c r="K3236" s="25" t="str">
        <f aca="false">IFERROR(IF(INDEX(Documents!$G$5:$G$657,MATCH(H3236,Documents!$A$5:$A$657,0))="","",INDEX(Documents!$G$5:$G$657,MATCH(H3236,Documents!$A$5:$A$657,0))),"")</f>
        <v>10.1016/j.bmcl.2009.07.057</v>
      </c>
      <c r="L3236" s="25" t="s">
        <v>659</v>
      </c>
    </row>
    <row r="3237" customFormat="false" ht="15" hidden="false" customHeight="false" outlineLevel="0" collapsed="false">
      <c r="A3237" s="25" t="n">
        <v>3016999</v>
      </c>
      <c r="B3237" s="25" t="s">
        <v>6891</v>
      </c>
      <c r="C3237" s="25" t="s">
        <v>6892</v>
      </c>
      <c r="D3237" s="26" t="n">
        <v>19</v>
      </c>
      <c r="E3237" s="27" t="n">
        <v>7.72124639904717</v>
      </c>
      <c r="F3237" s="27" t="n">
        <v>7.72124639904717</v>
      </c>
      <c r="G3237" s="25" t="s">
        <v>1785</v>
      </c>
      <c r="H3237" s="25" t="s">
        <v>1786</v>
      </c>
      <c r="I3237" s="25" t="n">
        <f aca="false">IFERROR(IF(INDEX(Documents!$C$5:$C$657,MATCH(H3237,Documents!$A$5:$A$657,0))="","",INDEX(Documents!$C$5:$C$657,MATCH(H3237,Documents!$A$5:$A$657,0))),"")</f>
        <v>2009</v>
      </c>
      <c r="J3237" s="25" t="str">
        <f aca="false">IFERROR(IF(INDEX(Documents!$D$5:$D$657,MATCH(H3237,Documents!$A$5:$A$657,0))="","",INDEX(Documents!$D$5:$D$657,MATCH(H3237,Documents!$A$5:$A$657,0))),"")</f>
        <v>Bioorg Med Chem Lett</v>
      </c>
      <c r="K3237" s="25" t="str">
        <f aca="false">IFERROR(IF(INDEX(Documents!$G$5:$G$657,MATCH(H3237,Documents!$A$5:$A$657,0))="","",INDEX(Documents!$G$5:$G$657,MATCH(H3237,Documents!$A$5:$A$657,0))),"")</f>
        <v>10.1016/j.bmcl.2009.07.057</v>
      </c>
      <c r="L3237" s="25" t="s">
        <v>659</v>
      </c>
    </row>
    <row r="3238" customFormat="false" ht="15" hidden="false" customHeight="false" outlineLevel="0" collapsed="false">
      <c r="A3238" s="25" t="n">
        <v>3017002</v>
      </c>
      <c r="B3238" s="25" t="s">
        <v>6893</v>
      </c>
      <c r="C3238" s="25" t="s">
        <v>6894</v>
      </c>
      <c r="D3238" s="26" t="n">
        <v>300</v>
      </c>
      <c r="E3238" s="27" t="n">
        <v>6.52287874528034</v>
      </c>
      <c r="F3238" s="27" t="n">
        <v>6.52287874528034</v>
      </c>
      <c r="G3238" s="25" t="s">
        <v>1785</v>
      </c>
      <c r="H3238" s="25" t="s">
        <v>1786</v>
      </c>
      <c r="I3238" s="25" t="n">
        <f aca="false">IFERROR(IF(INDEX(Documents!$C$5:$C$657,MATCH(H3238,Documents!$A$5:$A$657,0))="","",INDEX(Documents!$C$5:$C$657,MATCH(H3238,Documents!$A$5:$A$657,0))),"")</f>
        <v>2009</v>
      </c>
      <c r="J3238" s="25" t="str">
        <f aca="false">IFERROR(IF(INDEX(Documents!$D$5:$D$657,MATCH(H3238,Documents!$A$5:$A$657,0))="","",INDEX(Documents!$D$5:$D$657,MATCH(H3238,Documents!$A$5:$A$657,0))),"")</f>
        <v>Bioorg Med Chem Lett</v>
      </c>
      <c r="K3238" s="25" t="str">
        <f aca="false">IFERROR(IF(INDEX(Documents!$G$5:$G$657,MATCH(H3238,Documents!$A$5:$A$657,0))="","",INDEX(Documents!$G$5:$G$657,MATCH(H3238,Documents!$A$5:$A$657,0))),"")</f>
        <v>10.1016/j.bmcl.2009.07.057</v>
      </c>
      <c r="L3238" s="25" t="s">
        <v>659</v>
      </c>
    </row>
    <row r="3239" customFormat="false" ht="15" hidden="false" customHeight="false" outlineLevel="0" collapsed="false">
      <c r="A3239" s="25" t="n">
        <v>3016998</v>
      </c>
      <c r="B3239" s="25" t="s">
        <v>6895</v>
      </c>
      <c r="C3239" s="25" t="s">
        <v>6896</v>
      </c>
      <c r="D3239" s="26" t="n">
        <v>3.9</v>
      </c>
      <c r="E3239" s="27" t="n">
        <v>8.4089353929735</v>
      </c>
      <c r="F3239" s="27" t="n">
        <v>8.4089353929735</v>
      </c>
      <c r="G3239" s="25" t="s">
        <v>1785</v>
      </c>
      <c r="H3239" s="25" t="s">
        <v>1786</v>
      </c>
      <c r="I3239" s="25" t="n">
        <f aca="false">IFERROR(IF(INDEX(Documents!$C$5:$C$657,MATCH(H3239,Documents!$A$5:$A$657,0))="","",INDEX(Documents!$C$5:$C$657,MATCH(H3239,Documents!$A$5:$A$657,0))),"")</f>
        <v>2009</v>
      </c>
      <c r="J3239" s="25" t="str">
        <f aca="false">IFERROR(IF(INDEX(Documents!$D$5:$D$657,MATCH(H3239,Documents!$A$5:$A$657,0))="","",INDEX(Documents!$D$5:$D$657,MATCH(H3239,Documents!$A$5:$A$657,0))),"")</f>
        <v>Bioorg Med Chem Lett</v>
      </c>
      <c r="K3239" s="25" t="str">
        <f aca="false">IFERROR(IF(INDEX(Documents!$G$5:$G$657,MATCH(H3239,Documents!$A$5:$A$657,0))="","",INDEX(Documents!$G$5:$G$657,MATCH(H3239,Documents!$A$5:$A$657,0))),"")</f>
        <v>10.1016/j.bmcl.2009.07.057</v>
      </c>
      <c r="L3239" s="25" t="s">
        <v>659</v>
      </c>
    </row>
    <row r="3240" customFormat="false" ht="15" hidden="false" customHeight="false" outlineLevel="0" collapsed="false">
      <c r="A3240" s="25" t="n">
        <v>5205764</v>
      </c>
      <c r="B3240" s="25" t="s">
        <v>6897</v>
      </c>
      <c r="C3240" s="25" t="s">
        <v>6898</v>
      </c>
      <c r="D3240" s="26" t="n">
        <v>3.9</v>
      </c>
      <c r="E3240" s="27" t="n">
        <v>8.4089353929735</v>
      </c>
      <c r="F3240" s="27" t="n">
        <v>8.4089353929735</v>
      </c>
      <c r="G3240" s="25" t="s">
        <v>461</v>
      </c>
      <c r="H3240" s="25" t="s">
        <v>462</v>
      </c>
      <c r="I3240" s="25" t="n">
        <f aca="false">IFERROR(IF(INDEX(Documents!$C$5:$C$657,MATCH(H3240,Documents!$A$5:$A$657,0))="","",INDEX(Documents!$C$5:$C$657,MATCH(H3240,Documents!$A$5:$A$657,0))),"")</f>
        <v>2011</v>
      </c>
      <c r="J3240" s="25" t="str">
        <f aca="false">IFERROR(IF(INDEX(Documents!$D$5:$D$657,MATCH(H3240,Documents!$A$5:$A$657,0))="","",INDEX(Documents!$D$5:$D$657,MATCH(H3240,Documents!$A$5:$A$657,0))),"")</f>
        <v>Eur J Med Chem</v>
      </c>
      <c r="K3240" s="25" t="str">
        <f aca="false">IFERROR(IF(INDEX(Documents!$G$5:$G$657,MATCH(H3240,Documents!$A$5:$A$657,0))="","",INDEX(Documents!$G$5:$G$657,MATCH(H3240,Documents!$A$5:$A$657,0))),"")</f>
        <v>10.1016/j.ejmech.2010.11.034</v>
      </c>
      <c r="L3240" s="25" t="s">
        <v>463</v>
      </c>
    </row>
    <row r="3241" customFormat="false" ht="15" hidden="false" customHeight="false" outlineLevel="0" collapsed="false">
      <c r="A3241" s="25" t="n">
        <v>2167507</v>
      </c>
      <c r="B3241" s="25" t="s">
        <v>6899</v>
      </c>
      <c r="C3241" s="25" t="s">
        <v>6900</v>
      </c>
      <c r="D3241" s="26" t="n">
        <v>92</v>
      </c>
      <c r="E3241" s="27" t="n">
        <v>7.03621217265444</v>
      </c>
      <c r="F3241" s="27" t="n">
        <v>7.03621217265444</v>
      </c>
      <c r="G3241" s="25" t="s">
        <v>707</v>
      </c>
      <c r="H3241" s="25" t="s">
        <v>708</v>
      </c>
      <c r="I3241" s="25" t="n">
        <f aca="false">IFERROR(IF(INDEX(Documents!$C$5:$C$657,MATCH(H3241,Documents!$A$5:$A$657,0))="","",INDEX(Documents!$C$5:$C$657,MATCH(H3241,Documents!$A$5:$A$657,0))),"")</f>
        <v>2008</v>
      </c>
      <c r="J3241" s="25" t="str">
        <f aca="false">IFERROR(IF(INDEX(Documents!$D$5:$D$657,MATCH(H3241,Documents!$A$5:$A$657,0))="","",INDEX(Documents!$D$5:$D$657,MATCH(H3241,Documents!$A$5:$A$657,0))),"")</f>
        <v>Bioorg Med Chem Lett</v>
      </c>
      <c r="K3241" s="25" t="str">
        <f aca="false">IFERROR(IF(INDEX(Documents!$G$5:$G$657,MATCH(H3241,Documents!$A$5:$A$657,0))="","",INDEX(Documents!$G$5:$G$657,MATCH(H3241,Documents!$A$5:$A$657,0))),"")</f>
        <v>10.1016/j.bmcl.2008.04.006</v>
      </c>
      <c r="L3241" s="25" t="s">
        <v>709</v>
      </c>
    </row>
    <row r="3242" customFormat="false" ht="15" hidden="false" customHeight="false" outlineLevel="0" collapsed="false">
      <c r="A3242" s="25" t="n">
        <v>3017004</v>
      </c>
      <c r="B3242" s="25" t="s">
        <v>6901</v>
      </c>
      <c r="C3242" s="25" t="s">
        <v>6902</v>
      </c>
      <c r="D3242" s="26" t="n">
        <v>700</v>
      </c>
      <c r="E3242" s="27" t="n">
        <v>6.15490195998574</v>
      </c>
      <c r="F3242" s="27" t="n">
        <v>6.15490195998574</v>
      </c>
      <c r="G3242" s="25" t="s">
        <v>1785</v>
      </c>
      <c r="H3242" s="25" t="s">
        <v>1786</v>
      </c>
      <c r="I3242" s="25" t="n">
        <f aca="false">IFERROR(IF(INDEX(Documents!$C$5:$C$657,MATCH(H3242,Documents!$A$5:$A$657,0))="","",INDEX(Documents!$C$5:$C$657,MATCH(H3242,Documents!$A$5:$A$657,0))),"")</f>
        <v>2009</v>
      </c>
      <c r="J3242" s="25" t="str">
        <f aca="false">IFERROR(IF(INDEX(Documents!$D$5:$D$657,MATCH(H3242,Documents!$A$5:$A$657,0))="","",INDEX(Documents!$D$5:$D$657,MATCH(H3242,Documents!$A$5:$A$657,0))),"")</f>
        <v>Bioorg Med Chem Lett</v>
      </c>
      <c r="K3242" s="25" t="str">
        <f aca="false">IFERROR(IF(INDEX(Documents!$G$5:$G$657,MATCH(H3242,Documents!$A$5:$A$657,0))="","",INDEX(Documents!$G$5:$G$657,MATCH(H3242,Documents!$A$5:$A$657,0))),"")</f>
        <v>10.1016/j.bmcl.2009.07.057</v>
      </c>
      <c r="L3242" s="25" t="s">
        <v>659</v>
      </c>
    </row>
    <row r="3243" customFormat="false" ht="15" hidden="false" customHeight="false" outlineLevel="0" collapsed="false">
      <c r="A3243" s="25" t="n">
        <v>2167514</v>
      </c>
      <c r="B3243" s="25" t="s">
        <v>6903</v>
      </c>
      <c r="C3243" s="25" t="s">
        <v>6904</v>
      </c>
      <c r="D3243" s="26" t="n">
        <v>5.6</v>
      </c>
      <c r="E3243" s="27" t="n">
        <v>8.2518119729938</v>
      </c>
      <c r="F3243" s="27" t="n">
        <v>8.2518119729938</v>
      </c>
      <c r="G3243" s="25" t="s">
        <v>707</v>
      </c>
      <c r="H3243" s="25" t="s">
        <v>708</v>
      </c>
      <c r="I3243" s="25" t="n">
        <f aca="false">IFERROR(IF(INDEX(Documents!$C$5:$C$657,MATCH(H3243,Documents!$A$5:$A$657,0))="","",INDEX(Documents!$C$5:$C$657,MATCH(H3243,Documents!$A$5:$A$657,0))),"")</f>
        <v>2008</v>
      </c>
      <c r="J3243" s="25" t="str">
        <f aca="false">IFERROR(IF(INDEX(Documents!$D$5:$D$657,MATCH(H3243,Documents!$A$5:$A$657,0))="","",INDEX(Documents!$D$5:$D$657,MATCH(H3243,Documents!$A$5:$A$657,0))),"")</f>
        <v>Bioorg Med Chem Lett</v>
      </c>
      <c r="K3243" s="25" t="str">
        <f aca="false">IFERROR(IF(INDEX(Documents!$G$5:$G$657,MATCH(H3243,Documents!$A$5:$A$657,0))="","",INDEX(Documents!$G$5:$G$657,MATCH(H3243,Documents!$A$5:$A$657,0))),"")</f>
        <v>10.1016/j.bmcl.2008.04.006</v>
      </c>
      <c r="L3243" s="25" t="s">
        <v>709</v>
      </c>
    </row>
    <row r="3244" customFormat="false" ht="15" hidden="false" customHeight="false" outlineLevel="0" collapsed="false">
      <c r="A3244" s="25" t="n">
        <v>22800467</v>
      </c>
      <c r="B3244" s="25" t="s">
        <v>6905</v>
      </c>
      <c r="C3244" s="25" t="s">
        <v>6906</v>
      </c>
      <c r="D3244" s="26" t="n">
        <v>4.7</v>
      </c>
      <c r="E3244" s="27" t="n">
        <v>8.32790214206428</v>
      </c>
      <c r="F3244" s="27" t="n">
        <v>8.32790214206428</v>
      </c>
      <c r="G3244" s="25" t="s">
        <v>5805</v>
      </c>
      <c r="H3244" s="25" t="s">
        <v>5806</v>
      </c>
      <c r="I3244" s="25" t="n">
        <f aca="false">IFERROR(IF(INDEX(Documents!$C$5:$C$657,MATCH(H3244,Documents!$A$5:$A$657,0))="","",INDEX(Documents!$C$5:$C$657,MATCH(H3244,Documents!$A$5:$A$657,0))),"")</f>
        <v>2020</v>
      </c>
      <c r="J3244" s="25" t="str">
        <f aca="false">IFERROR(IF(INDEX(Documents!$D$5:$D$657,MATCH(H3244,Documents!$A$5:$A$657,0))="","",INDEX(Documents!$D$5:$D$657,MATCH(H3244,Documents!$A$5:$A$657,0))),"")</f>
        <v>Eur J Med Chem</v>
      </c>
      <c r="K3244" s="25" t="str">
        <f aca="false">IFERROR(IF(INDEX(Documents!$G$5:$G$657,MATCH(H3244,Documents!$A$5:$A$657,0))="","",INDEX(Documents!$G$5:$G$657,MATCH(H3244,Documents!$A$5:$A$657,0))),"")</f>
        <v>10.1016/j.ejmech.2020.112858</v>
      </c>
      <c r="L3244" s="25" t="s">
        <v>5807</v>
      </c>
    </row>
    <row r="3245" customFormat="false" ht="15" hidden="false" customHeight="false" outlineLevel="0" collapsed="false">
      <c r="A3245" s="25" t="n">
        <v>22800477</v>
      </c>
      <c r="B3245" s="25" t="s">
        <v>6907</v>
      </c>
      <c r="C3245" s="25" t="s">
        <v>6908</v>
      </c>
      <c r="D3245" s="26" t="n">
        <v>33.9</v>
      </c>
      <c r="E3245" s="27" t="n">
        <v>7.46980030179692</v>
      </c>
      <c r="F3245" s="27" t="n">
        <v>7.46980030179692</v>
      </c>
      <c r="G3245" s="25" t="s">
        <v>5805</v>
      </c>
      <c r="H3245" s="25" t="s">
        <v>5806</v>
      </c>
      <c r="I3245" s="25" t="n">
        <f aca="false">IFERROR(IF(INDEX(Documents!$C$5:$C$657,MATCH(H3245,Documents!$A$5:$A$657,0))="","",INDEX(Documents!$C$5:$C$657,MATCH(H3245,Documents!$A$5:$A$657,0))),"")</f>
        <v>2020</v>
      </c>
      <c r="J3245" s="25" t="str">
        <f aca="false">IFERROR(IF(INDEX(Documents!$D$5:$D$657,MATCH(H3245,Documents!$A$5:$A$657,0))="","",INDEX(Documents!$D$5:$D$657,MATCH(H3245,Documents!$A$5:$A$657,0))),"")</f>
        <v>Eur J Med Chem</v>
      </c>
      <c r="K3245" s="25" t="str">
        <f aca="false">IFERROR(IF(INDEX(Documents!$G$5:$G$657,MATCH(H3245,Documents!$A$5:$A$657,0))="","",INDEX(Documents!$G$5:$G$657,MATCH(H3245,Documents!$A$5:$A$657,0))),"")</f>
        <v>10.1016/j.ejmech.2020.112858</v>
      </c>
      <c r="L3245" s="25" t="s">
        <v>5807</v>
      </c>
    </row>
    <row r="3246" customFormat="false" ht="15" hidden="false" customHeight="false" outlineLevel="0" collapsed="false">
      <c r="A3246" s="25" t="n">
        <v>2167505</v>
      </c>
      <c r="B3246" s="25" t="s">
        <v>6909</v>
      </c>
      <c r="C3246" s="25" t="s">
        <v>6910</v>
      </c>
      <c r="D3246" s="26" t="n">
        <v>390</v>
      </c>
      <c r="E3246" s="27" t="n">
        <v>6.4089353929735</v>
      </c>
      <c r="F3246" s="27" t="n">
        <v>6.4089353929735</v>
      </c>
      <c r="G3246" s="25" t="s">
        <v>707</v>
      </c>
      <c r="H3246" s="25" t="s">
        <v>708</v>
      </c>
      <c r="I3246" s="25" t="n">
        <f aca="false">IFERROR(IF(INDEX(Documents!$C$5:$C$657,MATCH(H3246,Documents!$A$5:$A$657,0))="","",INDEX(Documents!$C$5:$C$657,MATCH(H3246,Documents!$A$5:$A$657,0))),"")</f>
        <v>2008</v>
      </c>
      <c r="J3246" s="25" t="str">
        <f aca="false">IFERROR(IF(INDEX(Documents!$D$5:$D$657,MATCH(H3246,Documents!$A$5:$A$657,0))="","",INDEX(Documents!$D$5:$D$657,MATCH(H3246,Documents!$A$5:$A$657,0))),"")</f>
        <v>Bioorg Med Chem Lett</v>
      </c>
      <c r="K3246" s="25" t="str">
        <f aca="false">IFERROR(IF(INDEX(Documents!$G$5:$G$657,MATCH(H3246,Documents!$A$5:$A$657,0))="","",INDEX(Documents!$G$5:$G$657,MATCH(H3246,Documents!$A$5:$A$657,0))),"")</f>
        <v>10.1016/j.bmcl.2008.04.006</v>
      </c>
      <c r="L3246" s="25" t="s">
        <v>709</v>
      </c>
    </row>
    <row r="3247" customFormat="false" ht="15" hidden="false" customHeight="false" outlineLevel="0" collapsed="false">
      <c r="A3247" s="25" t="n">
        <v>2167511</v>
      </c>
      <c r="B3247" s="25" t="s">
        <v>6911</v>
      </c>
      <c r="C3247" s="25" t="s">
        <v>6912</v>
      </c>
      <c r="D3247" s="26" t="n">
        <v>10</v>
      </c>
      <c r="E3247" s="27" t="n">
        <v>8</v>
      </c>
      <c r="F3247" s="27" t="n">
        <v>8</v>
      </c>
      <c r="G3247" s="25" t="s">
        <v>707</v>
      </c>
      <c r="H3247" s="25" t="s">
        <v>708</v>
      </c>
      <c r="I3247" s="25" t="n">
        <f aca="false">IFERROR(IF(INDEX(Documents!$C$5:$C$657,MATCH(H3247,Documents!$A$5:$A$657,0))="","",INDEX(Documents!$C$5:$C$657,MATCH(H3247,Documents!$A$5:$A$657,0))),"")</f>
        <v>2008</v>
      </c>
      <c r="J3247" s="25" t="str">
        <f aca="false">IFERROR(IF(INDEX(Documents!$D$5:$D$657,MATCH(H3247,Documents!$A$5:$A$657,0))="","",INDEX(Documents!$D$5:$D$657,MATCH(H3247,Documents!$A$5:$A$657,0))),"")</f>
        <v>Bioorg Med Chem Lett</v>
      </c>
      <c r="K3247" s="25" t="str">
        <f aca="false">IFERROR(IF(INDEX(Documents!$G$5:$G$657,MATCH(H3247,Documents!$A$5:$A$657,0))="","",INDEX(Documents!$G$5:$G$657,MATCH(H3247,Documents!$A$5:$A$657,0))),"")</f>
        <v>10.1016/j.bmcl.2008.04.006</v>
      </c>
      <c r="L3247" s="25" t="s">
        <v>709</v>
      </c>
    </row>
    <row r="3248" customFormat="false" ht="15" hidden="false" customHeight="false" outlineLevel="0" collapsed="false">
      <c r="A3248" s="25" t="n">
        <v>2601291</v>
      </c>
      <c r="B3248" s="25" t="s">
        <v>6913</v>
      </c>
      <c r="C3248" s="25" t="s">
        <v>6914</v>
      </c>
      <c r="D3248" s="26" t="n">
        <v>3.9</v>
      </c>
      <c r="E3248" s="27" t="n">
        <v>8.4089353929735</v>
      </c>
      <c r="F3248" s="27" t="n">
        <v>8.4089353929735</v>
      </c>
      <c r="G3248" s="25" t="s">
        <v>6822</v>
      </c>
      <c r="H3248" s="25" t="s">
        <v>6823</v>
      </c>
      <c r="I3248" s="25" t="n">
        <f aca="false">IFERROR(IF(INDEX(Documents!$C$5:$C$657,MATCH(H3248,Documents!$A$5:$A$657,0))="","",INDEX(Documents!$C$5:$C$657,MATCH(H3248,Documents!$A$5:$A$657,0))),"")</f>
        <v>2009</v>
      </c>
      <c r="J3248" s="25" t="str">
        <f aca="false">IFERROR(IF(INDEX(Documents!$D$5:$D$657,MATCH(H3248,Documents!$A$5:$A$657,0))="","",INDEX(Documents!$D$5:$D$657,MATCH(H3248,Documents!$A$5:$A$657,0))),"")</f>
        <v>Bioorg Med Chem Lett</v>
      </c>
      <c r="K3248" s="25" t="str">
        <f aca="false">IFERROR(IF(INDEX(Documents!$G$5:$G$657,MATCH(H3248,Documents!$A$5:$A$657,0))="","",INDEX(Documents!$G$5:$G$657,MATCH(H3248,Documents!$A$5:$A$657,0))),"")</f>
        <v>10.1016/j.bmcl.2008.11.091</v>
      </c>
      <c r="L3248" s="25" t="s">
        <v>6824</v>
      </c>
    </row>
    <row r="3249" customFormat="false" ht="15" hidden="false" customHeight="false" outlineLevel="0" collapsed="false">
      <c r="A3249" s="25" t="n">
        <v>2167515</v>
      </c>
      <c r="B3249" s="25" t="s">
        <v>6915</v>
      </c>
      <c r="C3249" s="25" t="s">
        <v>6916</v>
      </c>
      <c r="D3249" s="26" t="n">
        <v>3.9</v>
      </c>
      <c r="E3249" s="27" t="n">
        <v>8.4089353929735</v>
      </c>
      <c r="F3249" s="27" t="n">
        <v>8.4089353929735</v>
      </c>
      <c r="G3249" s="25" t="s">
        <v>707</v>
      </c>
      <c r="H3249" s="25" t="s">
        <v>708</v>
      </c>
      <c r="I3249" s="25" t="n">
        <f aca="false">IFERROR(IF(INDEX(Documents!$C$5:$C$657,MATCH(H3249,Documents!$A$5:$A$657,0))="","",INDEX(Documents!$C$5:$C$657,MATCH(H3249,Documents!$A$5:$A$657,0))),"")</f>
        <v>2008</v>
      </c>
      <c r="J3249" s="25" t="str">
        <f aca="false">IFERROR(IF(INDEX(Documents!$D$5:$D$657,MATCH(H3249,Documents!$A$5:$A$657,0))="","",INDEX(Documents!$D$5:$D$657,MATCH(H3249,Documents!$A$5:$A$657,0))),"")</f>
        <v>Bioorg Med Chem Lett</v>
      </c>
      <c r="K3249" s="25" t="str">
        <f aca="false">IFERROR(IF(INDEX(Documents!$G$5:$G$657,MATCH(H3249,Documents!$A$5:$A$657,0))="","",INDEX(Documents!$G$5:$G$657,MATCH(H3249,Documents!$A$5:$A$657,0))),"")</f>
        <v>10.1016/j.bmcl.2008.04.006</v>
      </c>
      <c r="L3249" s="25" t="s">
        <v>709</v>
      </c>
    </row>
    <row r="3250" customFormat="false" ht="15" hidden="false" customHeight="false" outlineLevel="0" collapsed="false">
      <c r="A3250" s="25" t="n">
        <v>2601230</v>
      </c>
      <c r="B3250" s="25" t="s">
        <v>6917</v>
      </c>
      <c r="C3250" s="25" t="s">
        <v>6918</v>
      </c>
      <c r="D3250" s="26" t="n">
        <v>48</v>
      </c>
      <c r="E3250" s="27" t="n">
        <v>7.31875876262441</v>
      </c>
      <c r="F3250" s="27" t="n">
        <v>7.31875876262441</v>
      </c>
      <c r="G3250" s="25" t="s">
        <v>6822</v>
      </c>
      <c r="H3250" s="25" t="s">
        <v>6823</v>
      </c>
      <c r="I3250" s="25" t="n">
        <f aca="false">IFERROR(IF(INDEX(Documents!$C$5:$C$657,MATCH(H3250,Documents!$A$5:$A$657,0))="","",INDEX(Documents!$C$5:$C$657,MATCH(H3250,Documents!$A$5:$A$657,0))),"")</f>
        <v>2009</v>
      </c>
      <c r="J3250" s="25" t="str">
        <f aca="false">IFERROR(IF(INDEX(Documents!$D$5:$D$657,MATCH(H3250,Documents!$A$5:$A$657,0))="","",INDEX(Documents!$D$5:$D$657,MATCH(H3250,Documents!$A$5:$A$657,0))),"")</f>
        <v>Bioorg Med Chem Lett</v>
      </c>
      <c r="K3250" s="25" t="str">
        <f aca="false">IFERROR(IF(INDEX(Documents!$G$5:$G$657,MATCH(H3250,Documents!$A$5:$A$657,0))="","",INDEX(Documents!$G$5:$G$657,MATCH(H3250,Documents!$A$5:$A$657,0))),"")</f>
        <v>10.1016/j.bmcl.2008.11.091</v>
      </c>
      <c r="L3250" s="25" t="s">
        <v>6824</v>
      </c>
    </row>
    <row r="3251" customFormat="false" ht="15" hidden="false" customHeight="false" outlineLevel="0" collapsed="false">
      <c r="A3251" s="25" t="n">
        <v>2167508</v>
      </c>
      <c r="B3251" s="25" t="s">
        <v>6919</v>
      </c>
      <c r="C3251" s="25" t="s">
        <v>6920</v>
      </c>
      <c r="D3251" s="26" t="n">
        <v>48</v>
      </c>
      <c r="E3251" s="27" t="n">
        <v>7.31875876262441</v>
      </c>
      <c r="F3251" s="27" t="n">
        <v>7.31875876262441</v>
      </c>
      <c r="G3251" s="25" t="s">
        <v>707</v>
      </c>
      <c r="H3251" s="25" t="s">
        <v>708</v>
      </c>
      <c r="I3251" s="25" t="n">
        <f aca="false">IFERROR(IF(INDEX(Documents!$C$5:$C$657,MATCH(H3251,Documents!$A$5:$A$657,0))="","",INDEX(Documents!$C$5:$C$657,MATCH(H3251,Documents!$A$5:$A$657,0))),"")</f>
        <v>2008</v>
      </c>
      <c r="J3251" s="25" t="str">
        <f aca="false">IFERROR(IF(INDEX(Documents!$D$5:$D$657,MATCH(H3251,Documents!$A$5:$A$657,0))="","",INDEX(Documents!$D$5:$D$657,MATCH(H3251,Documents!$A$5:$A$657,0))),"")</f>
        <v>Bioorg Med Chem Lett</v>
      </c>
      <c r="K3251" s="25" t="str">
        <f aca="false">IFERROR(IF(INDEX(Documents!$G$5:$G$657,MATCH(H3251,Documents!$A$5:$A$657,0))="","",INDEX(Documents!$G$5:$G$657,MATCH(H3251,Documents!$A$5:$A$657,0))),"")</f>
        <v>10.1016/j.bmcl.2008.04.006</v>
      </c>
      <c r="L3251" s="25" t="s">
        <v>709</v>
      </c>
    </row>
    <row r="3252" customFormat="false" ht="15" hidden="false" customHeight="false" outlineLevel="0" collapsed="false">
      <c r="A3252" s="25" t="n">
        <v>2167512</v>
      </c>
      <c r="B3252" s="25" t="s">
        <v>6921</v>
      </c>
      <c r="C3252" s="25" t="s">
        <v>6922</v>
      </c>
      <c r="D3252" s="26" t="n">
        <v>8.1</v>
      </c>
      <c r="E3252" s="27" t="n">
        <v>8.09151498112135</v>
      </c>
      <c r="F3252" s="27" t="n">
        <v>8.09151498112135</v>
      </c>
      <c r="G3252" s="25" t="s">
        <v>707</v>
      </c>
      <c r="H3252" s="25" t="s">
        <v>708</v>
      </c>
      <c r="I3252" s="25" t="n">
        <f aca="false">IFERROR(IF(INDEX(Documents!$C$5:$C$657,MATCH(H3252,Documents!$A$5:$A$657,0))="","",INDEX(Documents!$C$5:$C$657,MATCH(H3252,Documents!$A$5:$A$657,0))),"")</f>
        <v>2008</v>
      </c>
      <c r="J3252" s="25" t="str">
        <f aca="false">IFERROR(IF(INDEX(Documents!$D$5:$D$657,MATCH(H3252,Documents!$A$5:$A$657,0))="","",INDEX(Documents!$D$5:$D$657,MATCH(H3252,Documents!$A$5:$A$657,0))),"")</f>
        <v>Bioorg Med Chem Lett</v>
      </c>
      <c r="K3252" s="25" t="str">
        <f aca="false">IFERROR(IF(INDEX(Documents!$G$5:$G$657,MATCH(H3252,Documents!$A$5:$A$657,0))="","",INDEX(Documents!$G$5:$G$657,MATCH(H3252,Documents!$A$5:$A$657,0))),"")</f>
        <v>10.1016/j.bmcl.2008.04.006</v>
      </c>
      <c r="L3252" s="25" t="s">
        <v>709</v>
      </c>
    </row>
    <row r="3253" customFormat="false" ht="15" hidden="false" customHeight="false" outlineLevel="0" collapsed="false">
      <c r="A3253" s="25" t="n">
        <v>14534702</v>
      </c>
      <c r="B3253" s="25" t="s">
        <v>6923</v>
      </c>
      <c r="C3253" s="25" t="s">
        <v>6924</v>
      </c>
      <c r="D3253" s="26" t="n">
        <v>2580</v>
      </c>
      <c r="E3253" s="27" t="n">
        <v>5.58838029403677</v>
      </c>
      <c r="F3253" s="27" t="n">
        <v>5.58838029403677</v>
      </c>
      <c r="G3253" s="25" t="s">
        <v>5398</v>
      </c>
      <c r="H3253" s="25" t="s">
        <v>5399</v>
      </c>
      <c r="I3253" s="25" t="n">
        <f aca="false">IFERROR(IF(INDEX(Documents!$C$5:$C$657,MATCH(H3253,Documents!$A$5:$A$657,0))="","",INDEX(Documents!$C$5:$C$657,MATCH(H3253,Documents!$A$5:$A$657,0))),"")</f>
        <v>2014</v>
      </c>
      <c r="J3253" s="25" t="str">
        <f aca="false">IFERROR(IF(INDEX(Documents!$D$5:$D$657,MATCH(H3253,Documents!$A$5:$A$657,0))="","",INDEX(Documents!$D$5:$D$657,MATCH(H3253,Documents!$A$5:$A$657,0))),"")</f>
        <v>Medchemcomm</v>
      </c>
      <c r="K3253" s="25" t="str">
        <f aca="false">IFERROR(IF(INDEX(Documents!$G$5:$G$657,MATCH(H3253,Documents!$A$5:$A$657,0))="","",INDEX(Documents!$G$5:$G$657,MATCH(H3253,Documents!$A$5:$A$657,0))),"")</f>
        <v>10.1039/C3MD00394A</v>
      </c>
      <c r="L3253" s="25" t="s">
        <v>5400</v>
      </c>
    </row>
    <row r="3254" customFormat="false" ht="15" hidden="false" customHeight="false" outlineLevel="0" collapsed="false">
      <c r="A3254" s="25" t="n">
        <v>2080537</v>
      </c>
      <c r="B3254" s="25" t="s">
        <v>6925</v>
      </c>
      <c r="C3254" s="25" t="s">
        <v>6926</v>
      </c>
      <c r="D3254" s="26" t="n">
        <v>4</v>
      </c>
      <c r="E3254" s="27" t="n">
        <v>8.39794000867204</v>
      </c>
      <c r="F3254" s="27" t="n">
        <v>8.39794000867204</v>
      </c>
      <c r="G3254" s="25" t="s">
        <v>6927</v>
      </c>
      <c r="H3254" s="25" t="s">
        <v>6928</v>
      </c>
      <c r="I3254" s="25" t="n">
        <f aca="false">IFERROR(IF(INDEX(Documents!$C$5:$C$657,MATCH(H3254,Documents!$A$5:$A$657,0))="","",INDEX(Documents!$C$5:$C$657,MATCH(H3254,Documents!$A$5:$A$657,0))),"")</f>
        <v>2008</v>
      </c>
      <c r="J3254" s="25" t="str">
        <f aca="false">IFERROR(IF(INDEX(Documents!$D$5:$D$657,MATCH(H3254,Documents!$A$5:$A$657,0))="","",INDEX(Documents!$D$5:$D$657,MATCH(H3254,Documents!$A$5:$A$657,0))),"")</f>
        <v>Bioorg Med Chem Lett</v>
      </c>
      <c r="K3254" s="25" t="str">
        <f aca="false">IFERROR(IF(INDEX(Documents!$G$5:$G$657,MATCH(H3254,Documents!$A$5:$A$657,0))="","",INDEX(Documents!$G$5:$G$657,MATCH(H3254,Documents!$A$5:$A$657,0))),"")</f>
        <v>10.1016/j.bmcl.2008.01.042</v>
      </c>
      <c r="L3254" s="25" t="s">
        <v>285</v>
      </c>
    </row>
    <row r="3255" customFormat="false" ht="15" hidden="false" customHeight="false" outlineLevel="0" collapsed="false">
      <c r="A3255" s="25" t="n">
        <v>15685996</v>
      </c>
      <c r="B3255" s="25" t="s">
        <v>6929</v>
      </c>
      <c r="C3255" s="25" t="s">
        <v>6930</v>
      </c>
      <c r="D3255" s="26" t="n">
        <v>257.6</v>
      </c>
      <c r="E3255" s="27" t="n">
        <v>6.58905414131223</v>
      </c>
      <c r="F3255" s="27" t="n">
        <v>6.58905414131223</v>
      </c>
      <c r="G3255" s="25" t="s">
        <v>817</v>
      </c>
      <c r="H3255" s="25" t="s">
        <v>818</v>
      </c>
      <c r="I3255" s="25" t="n">
        <f aca="false">IFERROR(IF(INDEX(Documents!$C$5:$C$657,MATCH(H3255,Documents!$A$5:$A$657,0))="","",INDEX(Documents!$C$5:$C$657,MATCH(H3255,Documents!$A$5:$A$657,0))),"")</f>
        <v>2015</v>
      </c>
      <c r="J3255" s="25" t="str">
        <f aca="false">IFERROR(IF(INDEX(Documents!$D$5:$D$657,MATCH(H3255,Documents!$A$5:$A$657,0))="","",INDEX(Documents!$D$5:$D$657,MATCH(H3255,Documents!$A$5:$A$657,0))),"")</f>
        <v>Bioorg Med Chem</v>
      </c>
      <c r="K3255" s="25" t="str">
        <f aca="false">IFERROR(IF(INDEX(Documents!$G$5:$G$657,MATCH(H3255,Documents!$A$5:$A$657,0))="","",INDEX(Documents!$G$5:$G$657,MATCH(H3255,Documents!$A$5:$A$657,0))),"")</f>
        <v>10.1016/j.bmc.2015.07.057</v>
      </c>
      <c r="L3255" s="25" t="s">
        <v>819</v>
      </c>
    </row>
    <row r="3256" customFormat="false" ht="15" hidden="false" customHeight="false" outlineLevel="0" collapsed="false">
      <c r="A3256" s="25" t="n">
        <v>2573119</v>
      </c>
      <c r="B3256" s="25" t="s">
        <v>6931</v>
      </c>
      <c r="C3256" s="25" t="s">
        <v>6932</v>
      </c>
      <c r="D3256" s="26" t="n">
        <v>650</v>
      </c>
      <c r="E3256" s="27" t="n">
        <v>6.18708664335714</v>
      </c>
      <c r="F3256" s="27" t="n">
        <v>6.18708664335714</v>
      </c>
      <c r="G3256" s="25" t="s">
        <v>674</v>
      </c>
      <c r="H3256" s="25" t="s">
        <v>675</v>
      </c>
      <c r="I3256" s="25" t="n">
        <f aca="false">IFERROR(IF(INDEX(Documents!$C$5:$C$657,MATCH(H3256,Documents!$A$5:$A$657,0))="","",INDEX(Documents!$C$5:$C$657,MATCH(H3256,Documents!$A$5:$A$657,0))),"")</f>
        <v>2008</v>
      </c>
      <c r="J3256" s="25" t="str">
        <f aca="false">IFERROR(IF(INDEX(Documents!$D$5:$D$657,MATCH(H3256,Documents!$A$5:$A$657,0))="","",INDEX(Documents!$D$5:$D$657,MATCH(H3256,Documents!$A$5:$A$657,0))),"")</f>
        <v>Bioorg Med Chem</v>
      </c>
      <c r="K3256" s="25" t="str">
        <f aca="false">IFERROR(IF(INDEX(Documents!$G$5:$G$657,MATCH(H3256,Documents!$A$5:$A$657,0))="","",INDEX(Documents!$G$5:$G$657,MATCH(H3256,Documents!$A$5:$A$657,0))),"")</f>
        <v>10.1016/j.bmc.2008.06.001</v>
      </c>
      <c r="L3256" s="25" t="s">
        <v>676</v>
      </c>
    </row>
    <row r="3257" customFormat="false" ht="15" hidden="false" customHeight="false" outlineLevel="0" collapsed="false">
      <c r="A3257" s="25" t="n">
        <v>2413501</v>
      </c>
      <c r="B3257" s="25" t="s">
        <v>6933</v>
      </c>
      <c r="C3257" s="25" t="s">
        <v>6934</v>
      </c>
      <c r="D3257" s="26" t="n">
        <v>4270</v>
      </c>
      <c r="E3257" s="27" t="n">
        <v>5.36957212497498</v>
      </c>
      <c r="F3257" s="27" t="n">
        <v>5.36957212497498</v>
      </c>
      <c r="G3257" s="25" t="s">
        <v>5772</v>
      </c>
      <c r="H3257" s="25" t="s">
        <v>5773</v>
      </c>
      <c r="I3257" s="25" t="n">
        <f aca="false">IFERROR(IF(INDEX(Documents!$C$5:$C$657,MATCH(H3257,Documents!$A$5:$A$657,0))="","",INDEX(Documents!$C$5:$C$657,MATCH(H3257,Documents!$A$5:$A$657,0))),"")</f>
        <v>2009</v>
      </c>
      <c r="J3257" s="25" t="str">
        <f aca="false">IFERROR(IF(INDEX(Documents!$D$5:$D$657,MATCH(H3257,Documents!$A$5:$A$657,0))="","",INDEX(Documents!$D$5:$D$657,MATCH(H3257,Documents!$A$5:$A$657,0))),"")</f>
        <v>Bioorg Med Chem</v>
      </c>
      <c r="K3257" s="25" t="str">
        <f aca="false">IFERROR(IF(INDEX(Documents!$G$5:$G$657,MATCH(H3257,Documents!$A$5:$A$657,0))="","",INDEX(Documents!$G$5:$G$657,MATCH(H3257,Documents!$A$5:$A$657,0))),"")</f>
        <v>10.1016/j.bmc.2009.02.027</v>
      </c>
      <c r="L3257" s="25" t="s">
        <v>5774</v>
      </c>
    </row>
    <row r="3258" customFormat="false" ht="15" hidden="false" customHeight="false" outlineLevel="0" collapsed="false">
      <c r="A3258" s="25" t="n">
        <v>12146236</v>
      </c>
      <c r="B3258" s="25" t="s">
        <v>6935</v>
      </c>
      <c r="C3258" s="25" t="s">
        <v>6936</v>
      </c>
      <c r="D3258" s="26" t="n">
        <v>462</v>
      </c>
      <c r="E3258" s="27" t="n">
        <v>6.33535802444387</v>
      </c>
      <c r="F3258" s="27" t="n">
        <v>6.33535802444387</v>
      </c>
      <c r="G3258" s="25" t="s">
        <v>1126</v>
      </c>
      <c r="H3258" s="25" t="s">
        <v>1127</v>
      </c>
      <c r="I3258" s="25" t="n">
        <f aca="false">IFERROR(IF(INDEX(Documents!$C$5:$C$657,MATCH(H3258,Documents!$A$5:$A$657,0))="","",INDEX(Documents!$C$5:$C$657,MATCH(H3258,Documents!$A$5:$A$657,0))),"")</f>
        <v>2012</v>
      </c>
      <c r="J3258" s="25" t="str">
        <f aca="false">IFERROR(IF(INDEX(Documents!$D$5:$D$657,MATCH(H3258,Documents!$A$5:$A$657,0))="","",INDEX(Documents!$D$5:$D$657,MATCH(H3258,Documents!$A$5:$A$657,0))),"")</f>
        <v>J Med Chem</v>
      </c>
      <c r="K3258" s="25" t="str">
        <f aca="false">IFERROR(IF(INDEX(Documents!$G$5:$G$657,MATCH(H3258,Documents!$A$5:$A$657,0))="","",INDEX(Documents!$G$5:$G$657,MATCH(H3258,Documents!$A$5:$A$657,0))),"")</f>
        <v>10.1021/jm301212u</v>
      </c>
      <c r="L3258" s="25" t="s">
        <v>1128</v>
      </c>
    </row>
    <row r="3259" customFormat="false" ht="15" hidden="false" customHeight="false" outlineLevel="0" collapsed="false">
      <c r="A3259" s="25" t="n">
        <v>12146281</v>
      </c>
      <c r="B3259" s="25" t="s">
        <v>6935</v>
      </c>
      <c r="C3259" s="25" t="s">
        <v>6936</v>
      </c>
      <c r="D3259" s="26" t="n">
        <v>462</v>
      </c>
      <c r="E3259" s="27" t="n">
        <v>6.33535802444387</v>
      </c>
      <c r="F3259" s="27" t="n">
        <v>6.33535802444387</v>
      </c>
      <c r="G3259" s="25" t="s">
        <v>1126</v>
      </c>
      <c r="H3259" s="25" t="s">
        <v>1127</v>
      </c>
      <c r="I3259" s="25" t="n">
        <f aca="false">IFERROR(IF(INDEX(Documents!$C$5:$C$657,MATCH(H3259,Documents!$A$5:$A$657,0))="","",INDEX(Documents!$C$5:$C$657,MATCH(H3259,Documents!$A$5:$A$657,0))),"")</f>
        <v>2012</v>
      </c>
      <c r="J3259" s="25" t="str">
        <f aca="false">IFERROR(IF(INDEX(Documents!$D$5:$D$657,MATCH(H3259,Documents!$A$5:$A$657,0))="","",INDEX(Documents!$D$5:$D$657,MATCH(H3259,Documents!$A$5:$A$657,0))),"")</f>
        <v>J Med Chem</v>
      </c>
      <c r="K3259" s="25" t="str">
        <f aca="false">IFERROR(IF(INDEX(Documents!$G$5:$G$657,MATCH(H3259,Documents!$A$5:$A$657,0))="","",INDEX(Documents!$G$5:$G$657,MATCH(H3259,Documents!$A$5:$A$657,0))),"")</f>
        <v>10.1021/jm301212u</v>
      </c>
      <c r="L3259" s="25" t="s">
        <v>1128</v>
      </c>
    </row>
    <row r="3260" customFormat="false" ht="15" hidden="false" customHeight="false" outlineLevel="0" collapsed="false">
      <c r="A3260" s="25" t="n">
        <v>12146235</v>
      </c>
      <c r="B3260" s="25" t="s">
        <v>6937</v>
      </c>
      <c r="C3260" s="25" t="s">
        <v>6938</v>
      </c>
      <c r="D3260" s="26" t="n">
        <v>494</v>
      </c>
      <c r="E3260" s="27" t="n">
        <v>6.30627305107635</v>
      </c>
      <c r="F3260" s="27" t="n">
        <v>6.30627305107635</v>
      </c>
      <c r="G3260" s="25" t="s">
        <v>1126</v>
      </c>
      <c r="H3260" s="25" t="s">
        <v>1127</v>
      </c>
      <c r="I3260" s="25" t="n">
        <f aca="false">IFERROR(IF(INDEX(Documents!$C$5:$C$657,MATCH(H3260,Documents!$A$5:$A$657,0))="","",INDEX(Documents!$C$5:$C$657,MATCH(H3260,Documents!$A$5:$A$657,0))),"")</f>
        <v>2012</v>
      </c>
      <c r="J3260" s="25" t="str">
        <f aca="false">IFERROR(IF(INDEX(Documents!$D$5:$D$657,MATCH(H3260,Documents!$A$5:$A$657,0))="","",INDEX(Documents!$D$5:$D$657,MATCH(H3260,Documents!$A$5:$A$657,0))),"")</f>
        <v>J Med Chem</v>
      </c>
      <c r="K3260" s="25" t="str">
        <f aca="false">IFERROR(IF(INDEX(Documents!$G$5:$G$657,MATCH(H3260,Documents!$A$5:$A$657,0))="","",INDEX(Documents!$G$5:$G$657,MATCH(H3260,Documents!$A$5:$A$657,0))),"")</f>
        <v>10.1021/jm301212u</v>
      </c>
      <c r="L3260" s="25" t="s">
        <v>1128</v>
      </c>
    </row>
    <row r="3261" customFormat="false" ht="15" hidden="false" customHeight="false" outlineLevel="0" collapsed="false">
      <c r="A3261" s="25" t="n">
        <v>12146282</v>
      </c>
      <c r="B3261" s="25" t="s">
        <v>6937</v>
      </c>
      <c r="C3261" s="25" t="s">
        <v>6938</v>
      </c>
      <c r="D3261" s="26" t="n">
        <v>494</v>
      </c>
      <c r="E3261" s="27" t="n">
        <v>6.30627305107635</v>
      </c>
      <c r="F3261" s="27" t="n">
        <v>6.30627305107635</v>
      </c>
      <c r="G3261" s="25" t="s">
        <v>1126</v>
      </c>
      <c r="H3261" s="25" t="s">
        <v>1127</v>
      </c>
      <c r="I3261" s="25" t="n">
        <f aca="false">IFERROR(IF(INDEX(Documents!$C$5:$C$657,MATCH(H3261,Documents!$A$5:$A$657,0))="","",INDEX(Documents!$C$5:$C$657,MATCH(H3261,Documents!$A$5:$A$657,0))),"")</f>
        <v>2012</v>
      </c>
      <c r="J3261" s="25" t="str">
        <f aca="false">IFERROR(IF(INDEX(Documents!$D$5:$D$657,MATCH(H3261,Documents!$A$5:$A$657,0))="","",INDEX(Documents!$D$5:$D$657,MATCH(H3261,Documents!$A$5:$A$657,0))),"")</f>
        <v>J Med Chem</v>
      </c>
      <c r="K3261" s="25" t="str">
        <f aca="false">IFERROR(IF(INDEX(Documents!$G$5:$G$657,MATCH(H3261,Documents!$A$5:$A$657,0))="","",INDEX(Documents!$G$5:$G$657,MATCH(H3261,Documents!$A$5:$A$657,0))),"")</f>
        <v>10.1021/jm301212u</v>
      </c>
      <c r="L3261" s="25" t="s">
        <v>1128</v>
      </c>
    </row>
    <row r="3262" customFormat="false" ht="15" hidden="false" customHeight="false" outlineLevel="0" collapsed="false">
      <c r="A3262" s="25" t="n">
        <v>3198566</v>
      </c>
      <c r="B3262" s="25" t="s">
        <v>6939</v>
      </c>
      <c r="C3262" s="25" t="s">
        <v>6940</v>
      </c>
      <c r="D3262" s="26" t="n">
        <v>329</v>
      </c>
      <c r="E3262" s="27" t="n">
        <v>6.48280410205003</v>
      </c>
      <c r="F3262" s="27" t="n">
        <v>6.48280410205003</v>
      </c>
      <c r="G3262" s="25" t="s">
        <v>4040</v>
      </c>
      <c r="H3262" s="25" t="s">
        <v>4041</v>
      </c>
      <c r="I3262" s="25" t="n">
        <f aca="false">IFERROR(IF(INDEX(Documents!$C$5:$C$657,MATCH(H3262,Documents!$A$5:$A$657,0))="","",INDEX(Documents!$C$5:$C$657,MATCH(H3262,Documents!$A$5:$A$657,0))),"")</f>
        <v>2010</v>
      </c>
      <c r="J3262" s="25" t="str">
        <f aca="false">IFERROR(IF(INDEX(Documents!$D$5:$D$657,MATCH(H3262,Documents!$A$5:$A$657,0))="","",INDEX(Documents!$D$5:$D$657,MATCH(H3262,Documents!$A$5:$A$657,0))),"")</f>
        <v>Eur J Med Chem</v>
      </c>
      <c r="K3262" s="25" t="str">
        <f aca="false">IFERROR(IF(INDEX(Documents!$G$5:$G$657,MATCH(H3262,Documents!$A$5:$A$657,0))="","",INDEX(Documents!$G$5:$G$657,MATCH(H3262,Documents!$A$5:$A$657,0))),"")</f>
        <v>10.1016/j.ejmech.2009.12.018</v>
      </c>
      <c r="L3262" s="25" t="s">
        <v>4042</v>
      </c>
    </row>
    <row r="3263" customFormat="false" ht="15" hidden="false" customHeight="false" outlineLevel="0" collapsed="false">
      <c r="A3263" s="25" t="n">
        <v>3198567</v>
      </c>
      <c r="B3263" s="25" t="s">
        <v>6941</v>
      </c>
      <c r="C3263" s="25" t="s">
        <v>6942</v>
      </c>
      <c r="D3263" s="26" t="n">
        <v>317</v>
      </c>
      <c r="E3263" s="27" t="n">
        <v>6.49894073778225</v>
      </c>
      <c r="F3263" s="27" t="n">
        <v>6.49894073778225</v>
      </c>
      <c r="G3263" s="25" t="s">
        <v>4040</v>
      </c>
      <c r="H3263" s="25" t="s">
        <v>4041</v>
      </c>
      <c r="I3263" s="25" t="n">
        <f aca="false">IFERROR(IF(INDEX(Documents!$C$5:$C$657,MATCH(H3263,Documents!$A$5:$A$657,0))="","",INDEX(Documents!$C$5:$C$657,MATCH(H3263,Documents!$A$5:$A$657,0))),"")</f>
        <v>2010</v>
      </c>
      <c r="J3263" s="25" t="str">
        <f aca="false">IFERROR(IF(INDEX(Documents!$D$5:$D$657,MATCH(H3263,Documents!$A$5:$A$657,0))="","",INDEX(Documents!$D$5:$D$657,MATCH(H3263,Documents!$A$5:$A$657,0))),"")</f>
        <v>Eur J Med Chem</v>
      </c>
      <c r="K3263" s="25" t="str">
        <f aca="false">IFERROR(IF(INDEX(Documents!$G$5:$G$657,MATCH(H3263,Documents!$A$5:$A$657,0))="","",INDEX(Documents!$G$5:$G$657,MATCH(H3263,Documents!$A$5:$A$657,0))),"")</f>
        <v>10.1016/j.ejmech.2009.12.018</v>
      </c>
      <c r="L3263" s="25" t="s">
        <v>4042</v>
      </c>
    </row>
    <row r="3264" customFormat="false" ht="15" hidden="false" customHeight="false" outlineLevel="0" collapsed="false">
      <c r="A3264" s="25" t="n">
        <v>12089889</v>
      </c>
      <c r="B3264" s="25" t="s">
        <v>6943</v>
      </c>
      <c r="C3264" s="25" t="s">
        <v>6944</v>
      </c>
      <c r="D3264" s="26" t="n">
        <v>412</v>
      </c>
      <c r="E3264" s="27" t="n">
        <v>6.38510278396687</v>
      </c>
      <c r="F3264" s="27" t="n">
        <v>6.38510278396687</v>
      </c>
      <c r="G3264" s="25" t="s">
        <v>1028</v>
      </c>
      <c r="H3264" s="25" t="s">
        <v>1029</v>
      </c>
      <c r="I3264" s="25" t="n">
        <f aca="false">IFERROR(IF(INDEX(Documents!$C$5:$C$657,MATCH(H3264,Documents!$A$5:$A$657,0))="","",INDEX(Documents!$C$5:$C$657,MATCH(H3264,Documents!$A$5:$A$657,0))),"")</f>
        <v>2012</v>
      </c>
      <c r="J3264" s="25" t="str">
        <f aca="false">IFERROR(IF(INDEX(Documents!$D$5:$D$657,MATCH(H3264,Documents!$A$5:$A$657,0))="","",INDEX(Documents!$D$5:$D$657,MATCH(H3264,Documents!$A$5:$A$657,0))),"")</f>
        <v>J Med Chem</v>
      </c>
      <c r="K3264" s="25" t="str">
        <f aca="false">IFERROR(IF(INDEX(Documents!$G$5:$G$657,MATCH(H3264,Documents!$A$5:$A$657,0))="","",INDEX(Documents!$G$5:$G$657,MATCH(H3264,Documents!$A$5:$A$657,0))),"")</f>
        <v>10.1021/jm300763w</v>
      </c>
      <c r="L3264" s="25" t="s">
        <v>1030</v>
      </c>
    </row>
    <row r="3265" customFormat="false" ht="15" hidden="false" customHeight="false" outlineLevel="0" collapsed="false">
      <c r="A3265" s="25" t="n">
        <v>12089890</v>
      </c>
      <c r="B3265" s="25" t="s">
        <v>6945</v>
      </c>
      <c r="C3265" s="25" t="s">
        <v>6946</v>
      </c>
      <c r="D3265" s="26" t="n">
        <v>468</v>
      </c>
      <c r="E3265" s="27" t="n">
        <v>6.32975414692588</v>
      </c>
      <c r="F3265" s="27" t="n">
        <v>6.32975414692588</v>
      </c>
      <c r="G3265" s="25" t="s">
        <v>1028</v>
      </c>
      <c r="H3265" s="25" t="s">
        <v>1029</v>
      </c>
      <c r="I3265" s="25" t="n">
        <f aca="false">IFERROR(IF(INDEX(Documents!$C$5:$C$657,MATCH(H3265,Documents!$A$5:$A$657,0))="","",INDEX(Documents!$C$5:$C$657,MATCH(H3265,Documents!$A$5:$A$657,0))),"")</f>
        <v>2012</v>
      </c>
      <c r="J3265" s="25" t="str">
        <f aca="false">IFERROR(IF(INDEX(Documents!$D$5:$D$657,MATCH(H3265,Documents!$A$5:$A$657,0))="","",INDEX(Documents!$D$5:$D$657,MATCH(H3265,Documents!$A$5:$A$657,0))),"")</f>
        <v>J Med Chem</v>
      </c>
      <c r="K3265" s="25" t="str">
        <f aca="false">IFERROR(IF(INDEX(Documents!$G$5:$G$657,MATCH(H3265,Documents!$A$5:$A$657,0))="","",INDEX(Documents!$G$5:$G$657,MATCH(H3265,Documents!$A$5:$A$657,0))),"")</f>
        <v>10.1021/jm300763w</v>
      </c>
      <c r="L3265" s="25" t="s">
        <v>1030</v>
      </c>
    </row>
    <row r="3266" customFormat="false" ht="15" hidden="false" customHeight="false" outlineLevel="0" collapsed="false">
      <c r="A3266" s="25" t="n">
        <v>2691018</v>
      </c>
      <c r="B3266" s="25" t="s">
        <v>6947</v>
      </c>
      <c r="C3266" s="25" t="s">
        <v>6948</v>
      </c>
      <c r="D3266" s="26" t="n">
        <v>10000</v>
      </c>
      <c r="E3266" s="27" t="n">
        <v>5</v>
      </c>
      <c r="F3266" s="27" t="n">
        <v>5</v>
      </c>
      <c r="G3266" s="25" t="s">
        <v>1648</v>
      </c>
      <c r="H3266" s="25" t="s">
        <v>1649</v>
      </c>
      <c r="I3266" s="25" t="n">
        <f aca="false">IFERROR(IF(INDEX(Documents!$C$5:$C$657,MATCH(H3266,Documents!$A$5:$A$657,0))="","",INDEX(Documents!$C$5:$C$657,MATCH(H3266,Documents!$A$5:$A$657,0))),"")</f>
        <v>2009</v>
      </c>
      <c r="J3266" s="25" t="str">
        <f aca="false">IFERROR(IF(INDEX(Documents!$D$5:$D$657,MATCH(H3266,Documents!$A$5:$A$657,0))="","",INDEX(Documents!$D$5:$D$657,MATCH(H3266,Documents!$A$5:$A$657,0))),"")</f>
        <v>Bioorg Med Chem Lett</v>
      </c>
      <c r="K3266" s="25" t="str">
        <f aca="false">IFERROR(IF(INDEX(Documents!$G$5:$G$657,MATCH(H3266,Documents!$A$5:$A$657,0))="","",INDEX(Documents!$G$5:$G$657,MATCH(H3266,Documents!$A$5:$A$657,0))),"")</f>
        <v>10.1016/j.bmcl.2009.05.114</v>
      </c>
      <c r="L3266" s="25" t="s">
        <v>1650</v>
      </c>
    </row>
    <row r="3267" customFormat="false" ht="15" hidden="false" customHeight="false" outlineLevel="0" collapsed="false">
      <c r="A3267" s="25" t="n">
        <v>12063619</v>
      </c>
      <c r="B3267" s="25" t="s">
        <v>6949</v>
      </c>
      <c r="C3267" s="25" t="s">
        <v>6950</v>
      </c>
      <c r="D3267" s="26" t="n">
        <v>251</v>
      </c>
      <c r="E3267" s="27" t="n">
        <v>6.60032627851896</v>
      </c>
      <c r="F3267" s="27" t="n">
        <v>6.60032627851896</v>
      </c>
      <c r="G3267" s="25" t="s">
        <v>6785</v>
      </c>
      <c r="H3267" s="25" t="s">
        <v>6786</v>
      </c>
      <c r="I3267" s="25" t="n">
        <f aca="false">IFERROR(IF(INDEX(Documents!$C$5:$C$657,MATCH(H3267,Documents!$A$5:$A$657,0))="","",INDEX(Documents!$C$5:$C$657,MATCH(H3267,Documents!$A$5:$A$657,0))),"")</f>
        <v>2012</v>
      </c>
      <c r="J3267" s="25" t="str">
        <f aca="false">IFERROR(IF(INDEX(Documents!$D$5:$D$657,MATCH(H3267,Documents!$A$5:$A$657,0))="","",INDEX(Documents!$D$5:$D$657,MATCH(H3267,Documents!$A$5:$A$657,0))),"")</f>
        <v>Eur J Med Chem</v>
      </c>
      <c r="K3267" s="25" t="str">
        <f aca="false">IFERROR(IF(INDEX(Documents!$G$5:$G$657,MATCH(H3267,Documents!$A$5:$A$657,0))="","",INDEX(Documents!$G$5:$G$657,MATCH(H3267,Documents!$A$5:$A$657,0))),"")</f>
        <v>10.1016/j.ejmech.2012.10.031</v>
      </c>
      <c r="L3267" s="25" t="s">
        <v>6787</v>
      </c>
    </row>
    <row r="3268" customFormat="false" ht="15" hidden="false" customHeight="false" outlineLevel="0" collapsed="false">
      <c r="A3268" s="25" t="n">
        <v>12063618</v>
      </c>
      <c r="B3268" s="25" t="s">
        <v>6951</v>
      </c>
      <c r="C3268" s="25" t="s">
        <v>6952</v>
      </c>
      <c r="D3268" s="26" t="n">
        <v>385</v>
      </c>
      <c r="E3268" s="27" t="n">
        <v>6.4145392704915</v>
      </c>
      <c r="F3268" s="27" t="n">
        <v>6.4145392704915</v>
      </c>
      <c r="G3268" s="25" t="s">
        <v>6785</v>
      </c>
      <c r="H3268" s="25" t="s">
        <v>6786</v>
      </c>
      <c r="I3268" s="25" t="n">
        <f aca="false">IFERROR(IF(INDEX(Documents!$C$5:$C$657,MATCH(H3268,Documents!$A$5:$A$657,0))="","",INDEX(Documents!$C$5:$C$657,MATCH(H3268,Documents!$A$5:$A$657,0))),"")</f>
        <v>2012</v>
      </c>
      <c r="J3268" s="25" t="str">
        <f aca="false">IFERROR(IF(INDEX(Documents!$D$5:$D$657,MATCH(H3268,Documents!$A$5:$A$657,0))="","",INDEX(Documents!$D$5:$D$657,MATCH(H3268,Documents!$A$5:$A$657,0))),"")</f>
        <v>Eur J Med Chem</v>
      </c>
      <c r="K3268" s="25" t="str">
        <f aca="false">IFERROR(IF(INDEX(Documents!$G$5:$G$657,MATCH(H3268,Documents!$A$5:$A$657,0))="","",INDEX(Documents!$G$5:$G$657,MATCH(H3268,Documents!$A$5:$A$657,0))),"")</f>
        <v>10.1016/j.ejmech.2012.10.031</v>
      </c>
      <c r="L3268" s="25" t="s">
        <v>6787</v>
      </c>
    </row>
    <row r="3269" customFormat="false" ht="15" hidden="false" customHeight="false" outlineLevel="0" collapsed="false">
      <c r="A3269" s="25" t="n">
        <v>2096598</v>
      </c>
      <c r="B3269" s="25" t="s">
        <v>6953</v>
      </c>
      <c r="C3269" s="25" t="s">
        <v>6954</v>
      </c>
      <c r="D3269" s="26" t="n">
        <v>19100</v>
      </c>
      <c r="E3269" s="27" t="n">
        <v>4.71896663275227</v>
      </c>
      <c r="F3269" s="27" t="n">
        <v>4.71896663275227</v>
      </c>
      <c r="G3269" s="25" t="s">
        <v>4060</v>
      </c>
      <c r="H3269" s="25" t="s">
        <v>4061</v>
      </c>
      <c r="I3269" s="25" t="n">
        <f aca="false">IFERROR(IF(INDEX(Documents!$C$5:$C$657,MATCH(H3269,Documents!$A$5:$A$657,0))="","",INDEX(Documents!$C$5:$C$657,MATCH(H3269,Documents!$A$5:$A$657,0))),"")</f>
        <v>2008</v>
      </c>
      <c r="J3269" s="25" t="str">
        <f aca="false">IFERROR(IF(INDEX(Documents!$D$5:$D$657,MATCH(H3269,Documents!$A$5:$A$657,0))="","",INDEX(Documents!$D$5:$D$657,MATCH(H3269,Documents!$A$5:$A$657,0))),"")</f>
        <v>Bioorg Med Chem Lett</v>
      </c>
      <c r="K3269" s="25" t="str">
        <f aca="false">IFERROR(IF(INDEX(Documents!$G$5:$G$657,MATCH(H3269,Documents!$A$5:$A$657,0))="","",INDEX(Documents!$G$5:$G$657,MATCH(H3269,Documents!$A$5:$A$657,0))),"")</f>
        <v>10.1016/j.bmcl.2007.11.133</v>
      </c>
      <c r="L3269" s="25" t="s">
        <v>4062</v>
      </c>
    </row>
    <row r="3270" customFormat="false" ht="15" hidden="false" customHeight="false" outlineLevel="0" collapsed="false">
      <c r="A3270" s="25" t="n">
        <v>25843654</v>
      </c>
      <c r="B3270" s="25" t="s">
        <v>6955</v>
      </c>
      <c r="C3270" s="25" t="s">
        <v>6956</v>
      </c>
      <c r="D3270" s="26" t="n">
        <v>827</v>
      </c>
      <c r="E3270" s="27" t="n">
        <v>6.08249449044745</v>
      </c>
      <c r="F3270" s="27" t="n">
        <v>6.08249449044745</v>
      </c>
      <c r="G3270" s="25" t="s">
        <v>1152</v>
      </c>
      <c r="H3270" s="25" t="s">
        <v>1153</v>
      </c>
      <c r="I3270" s="25" t="n">
        <f aca="false">IFERROR(IF(INDEX(Documents!$C$5:$C$657,MATCH(H3270,Documents!$A$5:$A$657,0))="","",INDEX(Documents!$C$5:$C$657,MATCH(H3270,Documents!$A$5:$A$657,0))),"")</f>
        <v>2024</v>
      </c>
      <c r="J3270" s="25" t="str">
        <f aca="false">IFERROR(IF(INDEX(Documents!$D$5:$D$657,MATCH(H3270,Documents!$A$5:$A$657,0))="","",INDEX(Documents!$D$5:$D$657,MATCH(H3270,Documents!$A$5:$A$657,0))),"")</f>
        <v>J Med Chem</v>
      </c>
      <c r="K3270" s="25" t="str">
        <f aca="false">IFERROR(IF(INDEX(Documents!$G$5:$G$657,MATCH(H3270,Documents!$A$5:$A$657,0))="","",INDEX(Documents!$G$5:$G$657,MATCH(H3270,Documents!$A$5:$A$657,0))),"")</f>
        <v>10.1021/acs.jmedchem.3c02423</v>
      </c>
      <c r="L3270" s="25" t="s">
        <v>1154</v>
      </c>
    </row>
    <row r="3271" customFormat="false" ht="15" hidden="false" customHeight="false" outlineLevel="0" collapsed="false">
      <c r="A3271" s="25" t="n">
        <v>13424169</v>
      </c>
      <c r="B3271" s="25" t="s">
        <v>6957</v>
      </c>
      <c r="C3271" s="25" t="s">
        <v>6958</v>
      </c>
      <c r="D3271" s="26" t="n">
        <v>1220</v>
      </c>
      <c r="E3271" s="27" t="n">
        <v>5.91364016932525</v>
      </c>
      <c r="F3271" s="27" t="n">
        <v>5.91364016932525</v>
      </c>
      <c r="G3271" s="25" t="s">
        <v>6748</v>
      </c>
      <c r="H3271" s="25" t="s">
        <v>6749</v>
      </c>
      <c r="I3271" s="25" t="n">
        <f aca="false">IFERROR(IF(INDEX(Documents!$C$5:$C$657,MATCH(H3271,Documents!$A$5:$A$657,0))="","",INDEX(Documents!$C$5:$C$657,MATCH(H3271,Documents!$A$5:$A$657,0))),"")</f>
        <v>2013</v>
      </c>
      <c r="J3271" s="25" t="str">
        <f aca="false">IFERROR(IF(INDEX(Documents!$D$5:$D$657,MATCH(H3271,Documents!$A$5:$A$657,0))="","",INDEX(Documents!$D$5:$D$657,MATCH(H3271,Documents!$A$5:$A$657,0))),"")</f>
        <v>J Med Chem</v>
      </c>
      <c r="K3271" s="25" t="str">
        <f aca="false">IFERROR(IF(INDEX(Documents!$G$5:$G$657,MATCH(H3271,Documents!$A$5:$A$657,0))="","",INDEX(Documents!$G$5:$G$657,MATCH(H3271,Documents!$A$5:$A$657,0))),"")</f>
        <v>10.1021/jm400070u</v>
      </c>
      <c r="L3271" s="25" t="s">
        <v>6750</v>
      </c>
    </row>
    <row r="3272" customFormat="false" ht="15" hidden="false" customHeight="false" outlineLevel="0" collapsed="false">
      <c r="A3272" s="25" t="n">
        <v>15702895</v>
      </c>
      <c r="B3272" s="25" t="s">
        <v>6959</v>
      </c>
      <c r="C3272" s="25" t="s">
        <v>6960</v>
      </c>
      <c r="D3272" s="26" t="n">
        <v>106</v>
      </c>
      <c r="E3272" s="27" t="n">
        <v>6.97469413473523</v>
      </c>
      <c r="F3272" s="27" t="n">
        <v>6.97469413473523</v>
      </c>
      <c r="G3272" s="25" t="s">
        <v>2347</v>
      </c>
      <c r="H3272" s="25" t="s">
        <v>2348</v>
      </c>
      <c r="I3272" s="25" t="n">
        <f aca="false">IFERROR(IF(INDEX(Documents!$C$5:$C$657,MATCH(H3272,Documents!$A$5:$A$657,0))="","",INDEX(Documents!$C$5:$C$657,MATCH(H3272,Documents!$A$5:$A$657,0))),"")</f>
        <v>2015</v>
      </c>
      <c r="J3272" s="25" t="str">
        <f aca="false">IFERROR(IF(INDEX(Documents!$D$5:$D$657,MATCH(H3272,Documents!$A$5:$A$657,0))="","",INDEX(Documents!$D$5:$D$657,MATCH(H3272,Documents!$A$5:$A$657,0))),"")</f>
        <v>Eur J Med Chem</v>
      </c>
      <c r="K3272" s="25" t="str">
        <f aca="false">IFERROR(IF(INDEX(Documents!$G$5:$G$657,MATCH(H3272,Documents!$A$5:$A$657,0))="","",INDEX(Documents!$G$5:$G$657,MATCH(H3272,Documents!$A$5:$A$657,0))),"")</f>
        <v>10.1016/j.ejmech.2015.06.057</v>
      </c>
      <c r="L3272" s="25" t="s">
        <v>2349</v>
      </c>
    </row>
    <row r="3273" customFormat="false" ht="15" hidden="false" customHeight="false" outlineLevel="0" collapsed="false">
      <c r="A3273" s="25" t="n">
        <v>15702896</v>
      </c>
      <c r="B3273" s="25" t="s">
        <v>6961</v>
      </c>
      <c r="C3273" s="25" t="s">
        <v>6962</v>
      </c>
      <c r="D3273" s="26" t="n">
        <v>1707</v>
      </c>
      <c r="E3273" s="27" t="n">
        <v>5.76776647888527</v>
      </c>
      <c r="F3273" s="27" t="n">
        <v>5.76776647888527</v>
      </c>
      <c r="G3273" s="25" t="s">
        <v>2347</v>
      </c>
      <c r="H3273" s="25" t="s">
        <v>2348</v>
      </c>
      <c r="I3273" s="25" t="n">
        <f aca="false">IFERROR(IF(INDEX(Documents!$C$5:$C$657,MATCH(H3273,Documents!$A$5:$A$657,0))="","",INDEX(Documents!$C$5:$C$657,MATCH(H3273,Documents!$A$5:$A$657,0))),"")</f>
        <v>2015</v>
      </c>
      <c r="J3273" s="25" t="str">
        <f aca="false">IFERROR(IF(INDEX(Documents!$D$5:$D$657,MATCH(H3273,Documents!$A$5:$A$657,0))="","",INDEX(Documents!$D$5:$D$657,MATCH(H3273,Documents!$A$5:$A$657,0))),"")</f>
        <v>Eur J Med Chem</v>
      </c>
      <c r="K3273" s="25" t="str">
        <f aca="false">IFERROR(IF(INDEX(Documents!$G$5:$G$657,MATCH(H3273,Documents!$A$5:$A$657,0))="","",INDEX(Documents!$G$5:$G$657,MATCH(H3273,Documents!$A$5:$A$657,0))),"")</f>
        <v>10.1016/j.ejmech.2015.06.057</v>
      </c>
      <c r="L3273" s="25" t="s">
        <v>2349</v>
      </c>
    </row>
    <row r="3274" customFormat="false" ht="15" hidden="false" customHeight="false" outlineLevel="0" collapsed="false">
      <c r="A3274" s="25" t="n">
        <v>15702894</v>
      </c>
      <c r="B3274" s="25" t="s">
        <v>6963</v>
      </c>
      <c r="C3274" s="25" t="s">
        <v>6964</v>
      </c>
      <c r="D3274" s="26" t="n">
        <v>244</v>
      </c>
      <c r="E3274" s="27" t="n">
        <v>6.61261017366127</v>
      </c>
      <c r="F3274" s="27" t="n">
        <v>6.61261017366127</v>
      </c>
      <c r="G3274" s="25" t="s">
        <v>2347</v>
      </c>
      <c r="H3274" s="25" t="s">
        <v>2348</v>
      </c>
      <c r="I3274" s="25" t="n">
        <f aca="false">IFERROR(IF(INDEX(Documents!$C$5:$C$657,MATCH(H3274,Documents!$A$5:$A$657,0))="","",INDEX(Documents!$C$5:$C$657,MATCH(H3274,Documents!$A$5:$A$657,0))),"")</f>
        <v>2015</v>
      </c>
      <c r="J3274" s="25" t="str">
        <f aca="false">IFERROR(IF(INDEX(Documents!$D$5:$D$657,MATCH(H3274,Documents!$A$5:$A$657,0))="","",INDEX(Documents!$D$5:$D$657,MATCH(H3274,Documents!$A$5:$A$657,0))),"")</f>
        <v>Eur J Med Chem</v>
      </c>
      <c r="K3274" s="25" t="str">
        <f aca="false">IFERROR(IF(INDEX(Documents!$G$5:$G$657,MATCH(H3274,Documents!$A$5:$A$657,0))="","",INDEX(Documents!$G$5:$G$657,MATCH(H3274,Documents!$A$5:$A$657,0))),"")</f>
        <v>10.1016/j.ejmech.2015.06.057</v>
      </c>
      <c r="L3274" s="25" t="s">
        <v>2349</v>
      </c>
    </row>
    <row r="3275" customFormat="false" ht="15" hidden="false" customHeight="false" outlineLevel="0" collapsed="false">
      <c r="A3275" s="25" t="n">
        <v>15702888</v>
      </c>
      <c r="B3275" s="25" t="s">
        <v>6965</v>
      </c>
      <c r="C3275" s="25" t="s">
        <v>6966</v>
      </c>
      <c r="D3275" s="26" t="n">
        <v>72.2</v>
      </c>
      <c r="E3275" s="27" t="n">
        <v>7.14146280243036</v>
      </c>
      <c r="F3275" s="27" t="n">
        <v>7.14146280243036</v>
      </c>
      <c r="G3275" s="25" t="s">
        <v>2347</v>
      </c>
      <c r="H3275" s="25" t="s">
        <v>2348</v>
      </c>
      <c r="I3275" s="25" t="n">
        <f aca="false">IFERROR(IF(INDEX(Documents!$C$5:$C$657,MATCH(H3275,Documents!$A$5:$A$657,0))="","",INDEX(Documents!$C$5:$C$657,MATCH(H3275,Documents!$A$5:$A$657,0))),"")</f>
        <v>2015</v>
      </c>
      <c r="J3275" s="25" t="str">
        <f aca="false">IFERROR(IF(INDEX(Documents!$D$5:$D$657,MATCH(H3275,Documents!$A$5:$A$657,0))="","",INDEX(Documents!$D$5:$D$657,MATCH(H3275,Documents!$A$5:$A$657,0))),"")</f>
        <v>Eur J Med Chem</v>
      </c>
      <c r="K3275" s="25" t="str">
        <f aca="false">IFERROR(IF(INDEX(Documents!$G$5:$G$657,MATCH(H3275,Documents!$A$5:$A$657,0))="","",INDEX(Documents!$G$5:$G$657,MATCH(H3275,Documents!$A$5:$A$657,0))),"")</f>
        <v>10.1016/j.ejmech.2015.06.057</v>
      </c>
      <c r="L3275" s="25" t="s">
        <v>2349</v>
      </c>
    </row>
    <row r="3276" customFormat="false" ht="15" hidden="false" customHeight="false" outlineLevel="0" collapsed="false">
      <c r="A3276" s="25" t="n">
        <v>15702899</v>
      </c>
      <c r="B3276" s="25" t="s">
        <v>6967</v>
      </c>
      <c r="C3276" s="25" t="s">
        <v>6968</v>
      </c>
      <c r="D3276" s="26" t="n">
        <v>575</v>
      </c>
      <c r="E3276" s="27" t="n">
        <v>6.24033215531037</v>
      </c>
      <c r="F3276" s="27" t="n">
        <v>6.24033215531037</v>
      </c>
      <c r="G3276" s="25" t="s">
        <v>2347</v>
      </c>
      <c r="H3276" s="25" t="s">
        <v>2348</v>
      </c>
      <c r="I3276" s="25" t="n">
        <f aca="false">IFERROR(IF(INDEX(Documents!$C$5:$C$657,MATCH(H3276,Documents!$A$5:$A$657,0))="","",INDEX(Documents!$C$5:$C$657,MATCH(H3276,Documents!$A$5:$A$657,0))),"")</f>
        <v>2015</v>
      </c>
      <c r="J3276" s="25" t="str">
        <f aca="false">IFERROR(IF(INDEX(Documents!$D$5:$D$657,MATCH(H3276,Documents!$A$5:$A$657,0))="","",INDEX(Documents!$D$5:$D$657,MATCH(H3276,Documents!$A$5:$A$657,0))),"")</f>
        <v>Eur J Med Chem</v>
      </c>
      <c r="K3276" s="25" t="str">
        <f aca="false">IFERROR(IF(INDEX(Documents!$G$5:$G$657,MATCH(H3276,Documents!$A$5:$A$657,0))="","",INDEX(Documents!$G$5:$G$657,MATCH(H3276,Documents!$A$5:$A$657,0))),"")</f>
        <v>10.1016/j.ejmech.2015.06.057</v>
      </c>
      <c r="L3276" s="25" t="s">
        <v>2349</v>
      </c>
    </row>
    <row r="3277" customFormat="false" ht="15" hidden="false" customHeight="false" outlineLevel="0" collapsed="false">
      <c r="A3277" s="25" t="n">
        <v>15702893</v>
      </c>
      <c r="B3277" s="25" t="s">
        <v>6969</v>
      </c>
      <c r="C3277" s="25" t="s">
        <v>6970</v>
      </c>
      <c r="D3277" s="26" t="n">
        <v>492</v>
      </c>
      <c r="E3277" s="27" t="n">
        <v>6.30803489723264</v>
      </c>
      <c r="F3277" s="27" t="n">
        <v>6.30803489723264</v>
      </c>
      <c r="G3277" s="25" t="s">
        <v>2347</v>
      </c>
      <c r="H3277" s="25" t="s">
        <v>2348</v>
      </c>
      <c r="I3277" s="25" t="n">
        <f aca="false">IFERROR(IF(INDEX(Documents!$C$5:$C$657,MATCH(H3277,Documents!$A$5:$A$657,0))="","",INDEX(Documents!$C$5:$C$657,MATCH(H3277,Documents!$A$5:$A$657,0))),"")</f>
        <v>2015</v>
      </c>
      <c r="J3277" s="25" t="str">
        <f aca="false">IFERROR(IF(INDEX(Documents!$D$5:$D$657,MATCH(H3277,Documents!$A$5:$A$657,0))="","",INDEX(Documents!$D$5:$D$657,MATCH(H3277,Documents!$A$5:$A$657,0))),"")</f>
        <v>Eur J Med Chem</v>
      </c>
      <c r="K3277" s="25" t="str">
        <f aca="false">IFERROR(IF(INDEX(Documents!$G$5:$G$657,MATCH(H3277,Documents!$A$5:$A$657,0))="","",INDEX(Documents!$G$5:$G$657,MATCH(H3277,Documents!$A$5:$A$657,0))),"")</f>
        <v>10.1016/j.ejmech.2015.06.057</v>
      </c>
      <c r="L3277" s="25" t="s">
        <v>2349</v>
      </c>
    </row>
    <row r="3278" customFormat="false" ht="15" hidden="false" customHeight="false" outlineLevel="0" collapsed="false">
      <c r="A3278" s="25" t="n">
        <v>15702903</v>
      </c>
      <c r="B3278" s="25" t="s">
        <v>6971</v>
      </c>
      <c r="C3278" s="25" t="s">
        <v>6972</v>
      </c>
      <c r="D3278" s="26" t="n">
        <v>343</v>
      </c>
      <c r="E3278" s="27" t="n">
        <v>6.46470587995723</v>
      </c>
      <c r="F3278" s="27" t="n">
        <v>6.46470587995723</v>
      </c>
      <c r="G3278" s="25" t="s">
        <v>2347</v>
      </c>
      <c r="H3278" s="25" t="s">
        <v>2348</v>
      </c>
      <c r="I3278" s="25" t="n">
        <f aca="false">IFERROR(IF(INDEX(Documents!$C$5:$C$657,MATCH(H3278,Documents!$A$5:$A$657,0))="","",INDEX(Documents!$C$5:$C$657,MATCH(H3278,Documents!$A$5:$A$657,0))),"")</f>
        <v>2015</v>
      </c>
      <c r="J3278" s="25" t="str">
        <f aca="false">IFERROR(IF(INDEX(Documents!$D$5:$D$657,MATCH(H3278,Documents!$A$5:$A$657,0))="","",INDEX(Documents!$D$5:$D$657,MATCH(H3278,Documents!$A$5:$A$657,0))),"")</f>
        <v>Eur J Med Chem</v>
      </c>
      <c r="K3278" s="25" t="str">
        <f aca="false">IFERROR(IF(INDEX(Documents!$G$5:$G$657,MATCH(H3278,Documents!$A$5:$A$657,0))="","",INDEX(Documents!$G$5:$G$657,MATCH(H3278,Documents!$A$5:$A$657,0))),"")</f>
        <v>10.1016/j.ejmech.2015.06.057</v>
      </c>
      <c r="L3278" s="25" t="s">
        <v>2349</v>
      </c>
    </row>
    <row r="3279" customFormat="false" ht="15" hidden="false" customHeight="false" outlineLevel="0" collapsed="false">
      <c r="A3279" s="25" t="n">
        <v>15702884</v>
      </c>
      <c r="B3279" s="25" t="s">
        <v>6973</v>
      </c>
      <c r="C3279" s="25" t="s">
        <v>6974</v>
      </c>
      <c r="D3279" s="26" t="n">
        <v>5.7</v>
      </c>
      <c r="E3279" s="27" t="n">
        <v>8.24412514432751</v>
      </c>
      <c r="F3279" s="27" t="n">
        <v>8.24412514432751</v>
      </c>
      <c r="G3279" s="25" t="s">
        <v>2347</v>
      </c>
      <c r="H3279" s="25" t="s">
        <v>2348</v>
      </c>
      <c r="I3279" s="25" t="n">
        <f aca="false">IFERROR(IF(INDEX(Documents!$C$5:$C$657,MATCH(H3279,Documents!$A$5:$A$657,0))="","",INDEX(Documents!$C$5:$C$657,MATCH(H3279,Documents!$A$5:$A$657,0))),"")</f>
        <v>2015</v>
      </c>
      <c r="J3279" s="25" t="str">
        <f aca="false">IFERROR(IF(INDEX(Documents!$D$5:$D$657,MATCH(H3279,Documents!$A$5:$A$657,0))="","",INDEX(Documents!$D$5:$D$657,MATCH(H3279,Documents!$A$5:$A$657,0))),"")</f>
        <v>Eur J Med Chem</v>
      </c>
      <c r="K3279" s="25" t="str">
        <f aca="false">IFERROR(IF(INDEX(Documents!$G$5:$G$657,MATCH(H3279,Documents!$A$5:$A$657,0))="","",INDEX(Documents!$G$5:$G$657,MATCH(H3279,Documents!$A$5:$A$657,0))),"")</f>
        <v>10.1016/j.ejmech.2015.06.057</v>
      </c>
      <c r="L3279" s="25" t="s">
        <v>2349</v>
      </c>
    </row>
    <row r="3280" customFormat="false" ht="15" hidden="false" customHeight="false" outlineLevel="0" collapsed="false">
      <c r="A3280" s="25" t="n">
        <v>13424170</v>
      </c>
      <c r="B3280" s="25" t="s">
        <v>6975</v>
      </c>
      <c r="C3280" s="25" t="s">
        <v>6976</v>
      </c>
      <c r="D3280" s="26" t="n">
        <v>15.3</v>
      </c>
      <c r="E3280" s="27" t="n">
        <v>7.8153085691824</v>
      </c>
      <c r="F3280" s="27" t="n">
        <v>7.8153085691824</v>
      </c>
      <c r="G3280" s="25" t="s">
        <v>6748</v>
      </c>
      <c r="H3280" s="25" t="s">
        <v>6749</v>
      </c>
      <c r="I3280" s="25" t="n">
        <f aca="false">IFERROR(IF(INDEX(Documents!$C$5:$C$657,MATCH(H3280,Documents!$A$5:$A$657,0))="","",INDEX(Documents!$C$5:$C$657,MATCH(H3280,Documents!$A$5:$A$657,0))),"")</f>
        <v>2013</v>
      </c>
      <c r="J3280" s="25" t="str">
        <f aca="false">IFERROR(IF(INDEX(Documents!$D$5:$D$657,MATCH(H3280,Documents!$A$5:$A$657,0))="","",INDEX(Documents!$D$5:$D$657,MATCH(H3280,Documents!$A$5:$A$657,0))),"")</f>
        <v>J Med Chem</v>
      </c>
      <c r="K3280" s="25" t="str">
        <f aca="false">IFERROR(IF(INDEX(Documents!$G$5:$G$657,MATCH(H3280,Documents!$A$5:$A$657,0))="","",INDEX(Documents!$G$5:$G$657,MATCH(H3280,Documents!$A$5:$A$657,0))),"")</f>
        <v>10.1021/jm400070u</v>
      </c>
      <c r="L3280" s="25" t="s">
        <v>6750</v>
      </c>
    </row>
    <row r="3281" customFormat="false" ht="15" hidden="false" customHeight="false" outlineLevel="0" collapsed="false">
      <c r="A3281" s="25" t="n">
        <v>15702886</v>
      </c>
      <c r="B3281" s="25" t="s">
        <v>6977</v>
      </c>
      <c r="C3281" s="25" t="s">
        <v>6978</v>
      </c>
      <c r="D3281" s="26" t="n">
        <v>164</v>
      </c>
      <c r="E3281" s="27" t="n">
        <v>6.7851561519523</v>
      </c>
      <c r="F3281" s="27" t="n">
        <v>6.7851561519523</v>
      </c>
      <c r="G3281" s="25" t="s">
        <v>2347</v>
      </c>
      <c r="H3281" s="25" t="s">
        <v>2348</v>
      </c>
      <c r="I3281" s="25" t="n">
        <f aca="false">IFERROR(IF(INDEX(Documents!$C$5:$C$657,MATCH(H3281,Documents!$A$5:$A$657,0))="","",INDEX(Documents!$C$5:$C$657,MATCH(H3281,Documents!$A$5:$A$657,0))),"")</f>
        <v>2015</v>
      </c>
      <c r="J3281" s="25" t="str">
        <f aca="false">IFERROR(IF(INDEX(Documents!$D$5:$D$657,MATCH(H3281,Documents!$A$5:$A$657,0))="","",INDEX(Documents!$D$5:$D$657,MATCH(H3281,Documents!$A$5:$A$657,0))),"")</f>
        <v>Eur J Med Chem</v>
      </c>
      <c r="K3281" s="25" t="str">
        <f aca="false">IFERROR(IF(INDEX(Documents!$G$5:$G$657,MATCH(H3281,Documents!$A$5:$A$657,0))="","",INDEX(Documents!$G$5:$G$657,MATCH(H3281,Documents!$A$5:$A$657,0))),"")</f>
        <v>10.1016/j.ejmech.2015.06.057</v>
      </c>
      <c r="L3281" s="25" t="s">
        <v>2349</v>
      </c>
    </row>
    <row r="3282" customFormat="false" ht="15" hidden="false" customHeight="false" outlineLevel="0" collapsed="false">
      <c r="A3282" s="25" t="n">
        <v>15702891</v>
      </c>
      <c r="B3282" s="25" t="s">
        <v>6979</v>
      </c>
      <c r="C3282" s="25" t="s">
        <v>6980</v>
      </c>
      <c r="D3282" s="26" t="n">
        <v>1100</v>
      </c>
      <c r="E3282" s="27" t="n">
        <v>5.95860731484178</v>
      </c>
      <c r="F3282" s="27" t="n">
        <v>5.95860731484178</v>
      </c>
      <c r="G3282" s="25" t="s">
        <v>2347</v>
      </c>
      <c r="H3282" s="25" t="s">
        <v>2348</v>
      </c>
      <c r="I3282" s="25" t="n">
        <f aca="false">IFERROR(IF(INDEX(Documents!$C$5:$C$657,MATCH(H3282,Documents!$A$5:$A$657,0))="","",INDEX(Documents!$C$5:$C$657,MATCH(H3282,Documents!$A$5:$A$657,0))),"")</f>
        <v>2015</v>
      </c>
      <c r="J3282" s="25" t="str">
        <f aca="false">IFERROR(IF(INDEX(Documents!$D$5:$D$657,MATCH(H3282,Documents!$A$5:$A$657,0))="","",INDEX(Documents!$D$5:$D$657,MATCH(H3282,Documents!$A$5:$A$657,0))),"")</f>
        <v>Eur J Med Chem</v>
      </c>
      <c r="K3282" s="25" t="str">
        <f aca="false">IFERROR(IF(INDEX(Documents!$G$5:$G$657,MATCH(H3282,Documents!$A$5:$A$657,0))="","",INDEX(Documents!$G$5:$G$657,MATCH(H3282,Documents!$A$5:$A$657,0))),"")</f>
        <v>10.1016/j.ejmech.2015.06.057</v>
      </c>
      <c r="L3282" s="25" t="s">
        <v>2349</v>
      </c>
    </row>
    <row r="3283" customFormat="false" ht="15" hidden="false" customHeight="false" outlineLevel="0" collapsed="false">
      <c r="A3283" s="25" t="n">
        <v>15702885</v>
      </c>
      <c r="B3283" s="25" t="s">
        <v>6981</v>
      </c>
      <c r="C3283" s="25" t="s">
        <v>6982</v>
      </c>
      <c r="D3283" s="26" t="n">
        <v>343</v>
      </c>
      <c r="E3283" s="27" t="n">
        <v>6.46470587995723</v>
      </c>
      <c r="F3283" s="27" t="n">
        <v>6.46470587995723</v>
      </c>
      <c r="G3283" s="25" t="s">
        <v>2347</v>
      </c>
      <c r="H3283" s="25" t="s">
        <v>2348</v>
      </c>
      <c r="I3283" s="25" t="n">
        <f aca="false">IFERROR(IF(INDEX(Documents!$C$5:$C$657,MATCH(H3283,Documents!$A$5:$A$657,0))="","",INDEX(Documents!$C$5:$C$657,MATCH(H3283,Documents!$A$5:$A$657,0))),"")</f>
        <v>2015</v>
      </c>
      <c r="J3283" s="25" t="str">
        <f aca="false">IFERROR(IF(INDEX(Documents!$D$5:$D$657,MATCH(H3283,Documents!$A$5:$A$657,0))="","",INDEX(Documents!$D$5:$D$657,MATCH(H3283,Documents!$A$5:$A$657,0))),"")</f>
        <v>Eur J Med Chem</v>
      </c>
      <c r="K3283" s="25" t="str">
        <f aca="false">IFERROR(IF(INDEX(Documents!$G$5:$G$657,MATCH(H3283,Documents!$A$5:$A$657,0))="","",INDEX(Documents!$G$5:$G$657,MATCH(H3283,Documents!$A$5:$A$657,0))),"")</f>
        <v>10.1016/j.ejmech.2015.06.057</v>
      </c>
      <c r="L3283" s="25" t="s">
        <v>2349</v>
      </c>
    </row>
    <row r="3284" customFormat="false" ht="15" hidden="false" customHeight="false" outlineLevel="0" collapsed="false">
      <c r="A3284" s="25" t="n">
        <v>18487746</v>
      </c>
      <c r="B3284" s="25" t="s">
        <v>6983</v>
      </c>
      <c r="C3284" s="25" t="s">
        <v>6984</v>
      </c>
      <c r="D3284" s="26" t="n">
        <v>2548</v>
      </c>
      <c r="E3284" s="27" t="n">
        <v>5.59380057633669</v>
      </c>
      <c r="F3284" s="27" t="n">
        <v>5.59380057633669</v>
      </c>
      <c r="G3284" s="25" t="s">
        <v>6985</v>
      </c>
      <c r="H3284" s="25" t="s">
        <v>6986</v>
      </c>
      <c r="I3284" s="25" t="n">
        <f aca="false">IFERROR(IF(INDEX(Documents!$C$5:$C$657,MATCH(H3284,Documents!$A$5:$A$657,0))="","",INDEX(Documents!$C$5:$C$657,MATCH(H3284,Documents!$A$5:$A$657,0))),"")</f>
        <v>2018</v>
      </c>
      <c r="J3284" s="25" t="str">
        <f aca="false">IFERROR(IF(INDEX(Documents!$D$5:$D$657,MATCH(H3284,Documents!$A$5:$A$657,0))="","",INDEX(Documents!$D$5:$D$657,MATCH(H3284,Documents!$A$5:$A$657,0))),"")</f>
        <v>Bioorg Med Chem</v>
      </c>
      <c r="K3284" s="25" t="str">
        <f aca="false">IFERROR(IF(INDEX(Documents!$G$5:$G$657,MATCH(H3284,Documents!$A$5:$A$657,0))="","",INDEX(Documents!$G$5:$G$657,MATCH(H3284,Documents!$A$5:$A$657,0))),"")</f>
        <v>10.1016/j.bmc.2017.11.051</v>
      </c>
      <c r="L3284" s="25" t="s">
        <v>6987</v>
      </c>
    </row>
    <row r="3285" customFormat="false" ht="15" hidden="false" customHeight="false" outlineLevel="0" collapsed="false">
      <c r="A3285" s="25" t="n">
        <v>17981850</v>
      </c>
      <c r="B3285" s="25" t="s">
        <v>6988</v>
      </c>
      <c r="C3285" s="25" t="s">
        <v>6989</v>
      </c>
      <c r="D3285" s="26" t="n">
        <v>240</v>
      </c>
      <c r="E3285" s="27" t="n">
        <v>6.61978875828839</v>
      </c>
      <c r="F3285" s="27" t="n">
        <v>6.61978875828839</v>
      </c>
      <c r="G3285" s="25" t="s">
        <v>6347</v>
      </c>
      <c r="H3285" s="25" t="s">
        <v>6348</v>
      </c>
      <c r="I3285" s="25" t="n">
        <f aca="false">IFERROR(IF(INDEX(Documents!$C$5:$C$657,MATCH(H3285,Documents!$A$5:$A$657,0))="","",INDEX(Documents!$C$5:$C$657,MATCH(H3285,Documents!$A$5:$A$657,0))),"")</f>
        <v>2017</v>
      </c>
      <c r="J3285" s="25" t="str">
        <f aca="false">IFERROR(IF(INDEX(Documents!$D$5:$D$657,MATCH(H3285,Documents!$A$5:$A$657,0))="","",INDEX(Documents!$D$5:$D$657,MATCH(H3285,Documents!$A$5:$A$657,0))),"")</f>
        <v>Eur J Med Chem</v>
      </c>
      <c r="K3285" s="25" t="str">
        <f aca="false">IFERROR(IF(INDEX(Documents!$G$5:$G$657,MATCH(H3285,Documents!$A$5:$A$657,0))="","",INDEX(Documents!$G$5:$G$657,MATCH(H3285,Documents!$A$5:$A$657,0))),"")</f>
        <v>10.1016/j.ejmech.2017.01.002</v>
      </c>
      <c r="L3285" s="25" t="s">
        <v>6349</v>
      </c>
    </row>
    <row r="3286" customFormat="false" ht="15" hidden="false" customHeight="false" outlineLevel="0" collapsed="false">
      <c r="A3286" s="25" t="n">
        <v>13424171</v>
      </c>
      <c r="B3286" s="25" t="s">
        <v>6990</v>
      </c>
      <c r="C3286" s="25" t="s">
        <v>6991</v>
      </c>
      <c r="D3286" s="26" t="n">
        <v>527</v>
      </c>
      <c r="E3286" s="27" t="n">
        <v>6.27818938478745</v>
      </c>
      <c r="F3286" s="27" t="n">
        <v>6.27818938478745</v>
      </c>
      <c r="G3286" s="25" t="s">
        <v>6748</v>
      </c>
      <c r="H3286" s="25" t="s">
        <v>6749</v>
      </c>
      <c r="I3286" s="25" t="n">
        <f aca="false">IFERROR(IF(INDEX(Documents!$C$5:$C$657,MATCH(H3286,Documents!$A$5:$A$657,0))="","",INDEX(Documents!$C$5:$C$657,MATCH(H3286,Documents!$A$5:$A$657,0))),"")</f>
        <v>2013</v>
      </c>
      <c r="J3286" s="25" t="str">
        <f aca="false">IFERROR(IF(INDEX(Documents!$D$5:$D$657,MATCH(H3286,Documents!$A$5:$A$657,0))="","",INDEX(Documents!$D$5:$D$657,MATCH(H3286,Documents!$A$5:$A$657,0))),"")</f>
        <v>J Med Chem</v>
      </c>
      <c r="K3286" s="25" t="str">
        <f aca="false">IFERROR(IF(INDEX(Documents!$G$5:$G$657,MATCH(H3286,Documents!$A$5:$A$657,0))="","",INDEX(Documents!$G$5:$G$657,MATCH(H3286,Documents!$A$5:$A$657,0))),"")</f>
        <v>10.1021/jm400070u</v>
      </c>
      <c r="L3286" s="25" t="s">
        <v>6750</v>
      </c>
    </row>
    <row r="3287" customFormat="false" ht="15" hidden="false" customHeight="false" outlineLevel="0" collapsed="false">
      <c r="A3287" s="25" t="n">
        <v>16741334</v>
      </c>
      <c r="B3287" s="25" t="s">
        <v>6992</v>
      </c>
      <c r="C3287" s="25" t="s">
        <v>6993</v>
      </c>
      <c r="D3287" s="26" t="n">
        <v>51.1</v>
      </c>
      <c r="E3287" s="27" t="n">
        <v>7.29157909986529</v>
      </c>
      <c r="F3287" s="27" t="n">
        <v>7.29157909986529</v>
      </c>
      <c r="G3287" s="25" t="s">
        <v>1324</v>
      </c>
      <c r="H3287" s="25" t="s">
        <v>1325</v>
      </c>
      <c r="I3287" s="25" t="n">
        <f aca="false">IFERROR(IF(INDEX(Documents!$C$5:$C$657,MATCH(H3287,Documents!$A$5:$A$657,0))="","",INDEX(Documents!$C$5:$C$657,MATCH(H3287,Documents!$A$5:$A$657,0))),"")</f>
        <v>2016</v>
      </c>
      <c r="J3287" s="25" t="str">
        <f aca="false">IFERROR(IF(INDEX(Documents!$D$5:$D$657,MATCH(H3287,Documents!$A$5:$A$657,0))="","",INDEX(Documents!$D$5:$D$657,MATCH(H3287,Documents!$A$5:$A$657,0))),"")</f>
        <v>Eur J Med Chem</v>
      </c>
      <c r="K3287" s="25" t="str">
        <f aca="false">IFERROR(IF(INDEX(Documents!$G$5:$G$657,MATCH(H3287,Documents!$A$5:$A$657,0))="","",INDEX(Documents!$G$5:$G$657,MATCH(H3287,Documents!$A$5:$A$657,0))),"")</f>
        <v>10.1016/j.ejmech.2016.05.011</v>
      </c>
      <c r="L3287" s="25" t="s">
        <v>1326</v>
      </c>
    </row>
    <row r="3288" customFormat="false" ht="15" hidden="false" customHeight="false" outlineLevel="0" collapsed="false">
      <c r="A3288" s="25" t="n">
        <v>16741335</v>
      </c>
      <c r="B3288" s="25" t="s">
        <v>6994</v>
      </c>
      <c r="C3288" s="25" t="s">
        <v>6995</v>
      </c>
      <c r="D3288" s="26" t="n">
        <v>9.5</v>
      </c>
      <c r="E3288" s="27" t="n">
        <v>8.02227639471115</v>
      </c>
      <c r="F3288" s="27" t="n">
        <v>8.02227639471115</v>
      </c>
      <c r="G3288" s="25" t="s">
        <v>1324</v>
      </c>
      <c r="H3288" s="25" t="s">
        <v>1325</v>
      </c>
      <c r="I3288" s="25" t="n">
        <f aca="false">IFERROR(IF(INDEX(Documents!$C$5:$C$657,MATCH(H3288,Documents!$A$5:$A$657,0))="","",INDEX(Documents!$C$5:$C$657,MATCH(H3288,Documents!$A$5:$A$657,0))),"")</f>
        <v>2016</v>
      </c>
      <c r="J3288" s="25" t="str">
        <f aca="false">IFERROR(IF(INDEX(Documents!$D$5:$D$657,MATCH(H3288,Documents!$A$5:$A$657,0))="","",INDEX(Documents!$D$5:$D$657,MATCH(H3288,Documents!$A$5:$A$657,0))),"")</f>
        <v>Eur J Med Chem</v>
      </c>
      <c r="K3288" s="25" t="str">
        <f aca="false">IFERROR(IF(INDEX(Documents!$G$5:$G$657,MATCH(H3288,Documents!$A$5:$A$657,0))="","",INDEX(Documents!$G$5:$G$657,MATCH(H3288,Documents!$A$5:$A$657,0))),"")</f>
        <v>10.1016/j.ejmech.2016.05.011</v>
      </c>
      <c r="L3288" s="25" t="s">
        <v>1326</v>
      </c>
    </row>
    <row r="3289" customFormat="false" ht="15" hidden="false" customHeight="false" outlineLevel="0" collapsed="false">
      <c r="A3289" s="25" t="n">
        <v>15702905</v>
      </c>
      <c r="B3289" s="25" t="s">
        <v>6996</v>
      </c>
      <c r="C3289" s="25" t="s">
        <v>6997</v>
      </c>
      <c r="D3289" s="26" t="n">
        <v>7.2</v>
      </c>
      <c r="E3289" s="27" t="n">
        <v>8.14266750356873</v>
      </c>
      <c r="F3289" s="27" t="n">
        <v>8.14266750356873</v>
      </c>
      <c r="G3289" s="25" t="s">
        <v>2347</v>
      </c>
      <c r="H3289" s="25" t="s">
        <v>2348</v>
      </c>
      <c r="I3289" s="25" t="n">
        <f aca="false">IFERROR(IF(INDEX(Documents!$C$5:$C$657,MATCH(H3289,Documents!$A$5:$A$657,0))="","",INDEX(Documents!$C$5:$C$657,MATCH(H3289,Documents!$A$5:$A$657,0))),"")</f>
        <v>2015</v>
      </c>
      <c r="J3289" s="25" t="str">
        <f aca="false">IFERROR(IF(INDEX(Documents!$D$5:$D$657,MATCH(H3289,Documents!$A$5:$A$657,0))="","",INDEX(Documents!$D$5:$D$657,MATCH(H3289,Documents!$A$5:$A$657,0))),"")</f>
        <v>Eur J Med Chem</v>
      </c>
      <c r="K3289" s="25" t="str">
        <f aca="false">IFERROR(IF(INDEX(Documents!$G$5:$G$657,MATCH(H3289,Documents!$A$5:$A$657,0))="","",INDEX(Documents!$G$5:$G$657,MATCH(H3289,Documents!$A$5:$A$657,0))),"")</f>
        <v>10.1016/j.ejmech.2015.06.057</v>
      </c>
      <c r="L3289" s="25" t="s">
        <v>2349</v>
      </c>
    </row>
    <row r="3290" customFormat="false" ht="15" hidden="false" customHeight="false" outlineLevel="0" collapsed="false">
      <c r="A3290" s="25" t="n">
        <v>13424168</v>
      </c>
      <c r="B3290" s="25" t="s">
        <v>6998</v>
      </c>
      <c r="C3290" s="25" t="s">
        <v>6999</v>
      </c>
      <c r="D3290" s="26" t="n">
        <v>29.1</v>
      </c>
      <c r="E3290" s="27" t="n">
        <v>7.53610701101409</v>
      </c>
      <c r="F3290" s="27" t="n">
        <v>7.53610701101409</v>
      </c>
      <c r="G3290" s="25" t="s">
        <v>6748</v>
      </c>
      <c r="H3290" s="25" t="s">
        <v>6749</v>
      </c>
      <c r="I3290" s="25" t="n">
        <f aca="false">IFERROR(IF(INDEX(Documents!$C$5:$C$657,MATCH(H3290,Documents!$A$5:$A$657,0))="","",INDEX(Documents!$C$5:$C$657,MATCH(H3290,Documents!$A$5:$A$657,0))),"")</f>
        <v>2013</v>
      </c>
      <c r="J3290" s="25" t="str">
        <f aca="false">IFERROR(IF(INDEX(Documents!$D$5:$D$657,MATCH(H3290,Documents!$A$5:$A$657,0))="","",INDEX(Documents!$D$5:$D$657,MATCH(H3290,Documents!$A$5:$A$657,0))),"")</f>
        <v>J Med Chem</v>
      </c>
      <c r="K3290" s="25" t="str">
        <f aca="false">IFERROR(IF(INDEX(Documents!$G$5:$G$657,MATCH(H3290,Documents!$A$5:$A$657,0))="","",INDEX(Documents!$G$5:$G$657,MATCH(H3290,Documents!$A$5:$A$657,0))),"")</f>
        <v>10.1021/jm400070u</v>
      </c>
      <c r="L3290" s="25" t="s">
        <v>6750</v>
      </c>
    </row>
    <row r="3291" customFormat="false" ht="15" hidden="false" customHeight="false" outlineLevel="0" collapsed="false">
      <c r="A3291" s="25" t="n">
        <v>2601242</v>
      </c>
      <c r="B3291" s="25" t="s">
        <v>7000</v>
      </c>
      <c r="C3291" s="25" t="s">
        <v>7001</v>
      </c>
      <c r="D3291" s="26" t="n">
        <v>11</v>
      </c>
      <c r="E3291" s="27" t="n">
        <v>7.95860731484178</v>
      </c>
      <c r="F3291" s="27" t="n">
        <v>7.95860731484178</v>
      </c>
      <c r="G3291" s="25" t="s">
        <v>6822</v>
      </c>
      <c r="H3291" s="25" t="s">
        <v>6823</v>
      </c>
      <c r="I3291" s="25" t="n">
        <f aca="false">IFERROR(IF(INDEX(Documents!$C$5:$C$657,MATCH(H3291,Documents!$A$5:$A$657,0))="","",INDEX(Documents!$C$5:$C$657,MATCH(H3291,Documents!$A$5:$A$657,0))),"")</f>
        <v>2009</v>
      </c>
      <c r="J3291" s="25" t="str">
        <f aca="false">IFERROR(IF(INDEX(Documents!$D$5:$D$657,MATCH(H3291,Documents!$A$5:$A$657,0))="","",INDEX(Documents!$D$5:$D$657,MATCH(H3291,Documents!$A$5:$A$657,0))),"")</f>
        <v>Bioorg Med Chem Lett</v>
      </c>
      <c r="K3291" s="25" t="str">
        <f aca="false">IFERROR(IF(INDEX(Documents!$G$5:$G$657,MATCH(H3291,Documents!$A$5:$A$657,0))="","",INDEX(Documents!$G$5:$G$657,MATCH(H3291,Documents!$A$5:$A$657,0))),"")</f>
        <v>10.1016/j.bmcl.2008.11.091</v>
      </c>
      <c r="L3291" s="25" t="s">
        <v>6824</v>
      </c>
    </row>
    <row r="3292" customFormat="false" ht="15" hidden="false" customHeight="false" outlineLevel="0" collapsed="false">
      <c r="A3292" s="25" t="n">
        <v>3017032</v>
      </c>
      <c r="B3292" s="25" t="s">
        <v>7002</v>
      </c>
      <c r="C3292" s="25" t="s">
        <v>7003</v>
      </c>
      <c r="D3292" s="26" t="n">
        <v>16</v>
      </c>
      <c r="E3292" s="27" t="n">
        <v>7.79588001734408</v>
      </c>
      <c r="F3292" s="27" t="n">
        <v>7.79588001734408</v>
      </c>
      <c r="G3292" s="25" t="s">
        <v>1785</v>
      </c>
      <c r="H3292" s="25" t="s">
        <v>1786</v>
      </c>
      <c r="I3292" s="25" t="n">
        <f aca="false">IFERROR(IF(INDEX(Documents!$C$5:$C$657,MATCH(H3292,Documents!$A$5:$A$657,0))="","",INDEX(Documents!$C$5:$C$657,MATCH(H3292,Documents!$A$5:$A$657,0))),"")</f>
        <v>2009</v>
      </c>
      <c r="J3292" s="25" t="str">
        <f aca="false">IFERROR(IF(INDEX(Documents!$D$5:$D$657,MATCH(H3292,Documents!$A$5:$A$657,0))="","",INDEX(Documents!$D$5:$D$657,MATCH(H3292,Documents!$A$5:$A$657,0))),"")</f>
        <v>Bioorg Med Chem Lett</v>
      </c>
      <c r="K3292" s="25" t="str">
        <f aca="false">IFERROR(IF(INDEX(Documents!$G$5:$G$657,MATCH(H3292,Documents!$A$5:$A$657,0))="","",INDEX(Documents!$G$5:$G$657,MATCH(H3292,Documents!$A$5:$A$657,0))),"")</f>
        <v>10.1016/j.bmcl.2009.07.057</v>
      </c>
      <c r="L3292" s="25" t="s">
        <v>659</v>
      </c>
    </row>
    <row r="3293" customFormat="false" ht="15" hidden="false" customHeight="false" outlineLevel="0" collapsed="false">
      <c r="A3293" s="25" t="n">
        <v>2601254</v>
      </c>
      <c r="B3293" s="25" t="s">
        <v>7004</v>
      </c>
      <c r="C3293" s="25" t="s">
        <v>7005</v>
      </c>
      <c r="D3293" s="26" t="n">
        <v>23</v>
      </c>
      <c r="E3293" s="27" t="n">
        <v>7.63827216398241</v>
      </c>
      <c r="F3293" s="27" t="n">
        <v>7.63827216398241</v>
      </c>
      <c r="G3293" s="25" t="s">
        <v>6822</v>
      </c>
      <c r="H3293" s="25" t="s">
        <v>6823</v>
      </c>
      <c r="I3293" s="25" t="n">
        <f aca="false">IFERROR(IF(INDEX(Documents!$C$5:$C$657,MATCH(H3293,Documents!$A$5:$A$657,0))="","",INDEX(Documents!$C$5:$C$657,MATCH(H3293,Documents!$A$5:$A$657,0))),"")</f>
        <v>2009</v>
      </c>
      <c r="J3293" s="25" t="str">
        <f aca="false">IFERROR(IF(INDEX(Documents!$D$5:$D$657,MATCH(H3293,Documents!$A$5:$A$657,0))="","",INDEX(Documents!$D$5:$D$657,MATCH(H3293,Documents!$A$5:$A$657,0))),"")</f>
        <v>Bioorg Med Chem Lett</v>
      </c>
      <c r="K3293" s="25" t="str">
        <f aca="false">IFERROR(IF(INDEX(Documents!$G$5:$G$657,MATCH(H3293,Documents!$A$5:$A$657,0))="","",INDEX(Documents!$G$5:$G$657,MATCH(H3293,Documents!$A$5:$A$657,0))),"")</f>
        <v>10.1016/j.bmcl.2008.11.091</v>
      </c>
      <c r="L3293" s="25" t="s">
        <v>6824</v>
      </c>
    </row>
    <row r="3294" customFormat="false" ht="15" hidden="false" customHeight="false" outlineLevel="0" collapsed="false">
      <c r="A3294" s="25" t="n">
        <v>2601269</v>
      </c>
      <c r="B3294" s="25" t="s">
        <v>7006</v>
      </c>
      <c r="C3294" s="25" t="s">
        <v>7007</v>
      </c>
      <c r="D3294" s="26" t="n">
        <v>540</v>
      </c>
      <c r="E3294" s="27" t="n">
        <v>6.26760624017703</v>
      </c>
      <c r="F3294" s="27" t="n">
        <v>6.26760624017703</v>
      </c>
      <c r="G3294" s="25" t="s">
        <v>6822</v>
      </c>
      <c r="H3294" s="25" t="s">
        <v>6823</v>
      </c>
      <c r="I3294" s="25" t="n">
        <f aca="false">IFERROR(IF(INDEX(Documents!$C$5:$C$657,MATCH(H3294,Documents!$A$5:$A$657,0))="","",INDEX(Documents!$C$5:$C$657,MATCH(H3294,Documents!$A$5:$A$657,0))),"")</f>
        <v>2009</v>
      </c>
      <c r="J3294" s="25" t="str">
        <f aca="false">IFERROR(IF(INDEX(Documents!$D$5:$D$657,MATCH(H3294,Documents!$A$5:$A$657,0))="","",INDEX(Documents!$D$5:$D$657,MATCH(H3294,Documents!$A$5:$A$657,0))),"")</f>
        <v>Bioorg Med Chem Lett</v>
      </c>
      <c r="K3294" s="25" t="str">
        <f aca="false">IFERROR(IF(INDEX(Documents!$G$5:$G$657,MATCH(H3294,Documents!$A$5:$A$657,0))="","",INDEX(Documents!$G$5:$G$657,MATCH(H3294,Documents!$A$5:$A$657,0))),"")</f>
        <v>10.1016/j.bmcl.2008.11.091</v>
      </c>
      <c r="L3294" s="25" t="s">
        <v>6824</v>
      </c>
    </row>
    <row r="3295" customFormat="false" ht="15" hidden="false" customHeight="false" outlineLevel="0" collapsed="false">
      <c r="A3295" s="25" t="n">
        <v>2601262</v>
      </c>
      <c r="B3295" s="25" t="s">
        <v>7008</v>
      </c>
      <c r="C3295" s="25" t="s">
        <v>7009</v>
      </c>
      <c r="D3295" s="26" t="n">
        <v>35</v>
      </c>
      <c r="E3295" s="27" t="n">
        <v>7.45593195564972</v>
      </c>
      <c r="F3295" s="27" t="n">
        <v>7.45593195564972</v>
      </c>
      <c r="G3295" s="25" t="s">
        <v>6822</v>
      </c>
      <c r="H3295" s="25" t="s">
        <v>6823</v>
      </c>
      <c r="I3295" s="25" t="n">
        <f aca="false">IFERROR(IF(INDEX(Documents!$C$5:$C$657,MATCH(H3295,Documents!$A$5:$A$657,0))="","",INDEX(Documents!$C$5:$C$657,MATCH(H3295,Documents!$A$5:$A$657,0))),"")</f>
        <v>2009</v>
      </c>
      <c r="J3295" s="25" t="str">
        <f aca="false">IFERROR(IF(INDEX(Documents!$D$5:$D$657,MATCH(H3295,Documents!$A$5:$A$657,0))="","",INDEX(Documents!$D$5:$D$657,MATCH(H3295,Documents!$A$5:$A$657,0))),"")</f>
        <v>Bioorg Med Chem Lett</v>
      </c>
      <c r="K3295" s="25" t="str">
        <f aca="false">IFERROR(IF(INDEX(Documents!$G$5:$G$657,MATCH(H3295,Documents!$A$5:$A$657,0))="","",INDEX(Documents!$G$5:$G$657,MATCH(H3295,Documents!$A$5:$A$657,0))),"")</f>
        <v>10.1016/j.bmcl.2008.11.091</v>
      </c>
      <c r="L3295" s="25" t="s">
        <v>6824</v>
      </c>
    </row>
    <row r="3296" customFormat="false" ht="15" hidden="false" customHeight="false" outlineLevel="0" collapsed="false">
      <c r="A3296" s="25" t="n">
        <v>2601258</v>
      </c>
      <c r="B3296" s="25" t="s">
        <v>7010</v>
      </c>
      <c r="C3296" s="25" t="s">
        <v>7011</v>
      </c>
      <c r="D3296" s="26" t="n">
        <v>23</v>
      </c>
      <c r="E3296" s="27" t="n">
        <v>7.63827216398241</v>
      </c>
      <c r="F3296" s="27" t="n">
        <v>7.63827216398241</v>
      </c>
      <c r="G3296" s="25" t="s">
        <v>6822</v>
      </c>
      <c r="H3296" s="25" t="s">
        <v>6823</v>
      </c>
      <c r="I3296" s="25" t="n">
        <f aca="false">IFERROR(IF(INDEX(Documents!$C$5:$C$657,MATCH(H3296,Documents!$A$5:$A$657,0))="","",INDEX(Documents!$C$5:$C$657,MATCH(H3296,Documents!$A$5:$A$657,0))),"")</f>
        <v>2009</v>
      </c>
      <c r="J3296" s="25" t="str">
        <f aca="false">IFERROR(IF(INDEX(Documents!$D$5:$D$657,MATCH(H3296,Documents!$A$5:$A$657,0))="","",INDEX(Documents!$D$5:$D$657,MATCH(H3296,Documents!$A$5:$A$657,0))),"")</f>
        <v>Bioorg Med Chem Lett</v>
      </c>
      <c r="K3296" s="25" t="str">
        <f aca="false">IFERROR(IF(INDEX(Documents!$G$5:$G$657,MATCH(H3296,Documents!$A$5:$A$657,0))="","",INDEX(Documents!$G$5:$G$657,MATCH(H3296,Documents!$A$5:$A$657,0))),"")</f>
        <v>10.1016/j.bmcl.2008.11.091</v>
      </c>
      <c r="L3296" s="25" t="s">
        <v>6824</v>
      </c>
    </row>
    <row r="3297" customFormat="false" ht="15" hidden="false" customHeight="false" outlineLevel="0" collapsed="false">
      <c r="A3297" s="25" t="n">
        <v>2601246</v>
      </c>
      <c r="B3297" s="25" t="s">
        <v>7012</v>
      </c>
      <c r="C3297" s="25" t="s">
        <v>7013</v>
      </c>
      <c r="D3297" s="26" t="n">
        <v>11</v>
      </c>
      <c r="E3297" s="27" t="n">
        <v>7.95860731484178</v>
      </c>
      <c r="F3297" s="27" t="n">
        <v>7.95860731484178</v>
      </c>
      <c r="G3297" s="25" t="s">
        <v>6822</v>
      </c>
      <c r="H3297" s="25" t="s">
        <v>6823</v>
      </c>
      <c r="I3297" s="25" t="n">
        <f aca="false">IFERROR(IF(INDEX(Documents!$C$5:$C$657,MATCH(H3297,Documents!$A$5:$A$657,0))="","",INDEX(Documents!$C$5:$C$657,MATCH(H3297,Documents!$A$5:$A$657,0))),"")</f>
        <v>2009</v>
      </c>
      <c r="J3297" s="25" t="str">
        <f aca="false">IFERROR(IF(INDEX(Documents!$D$5:$D$657,MATCH(H3297,Documents!$A$5:$A$657,0))="","",INDEX(Documents!$D$5:$D$657,MATCH(H3297,Documents!$A$5:$A$657,0))),"")</f>
        <v>Bioorg Med Chem Lett</v>
      </c>
      <c r="K3297" s="25" t="str">
        <f aca="false">IFERROR(IF(INDEX(Documents!$G$5:$G$657,MATCH(H3297,Documents!$A$5:$A$657,0))="","",INDEX(Documents!$G$5:$G$657,MATCH(H3297,Documents!$A$5:$A$657,0))),"")</f>
        <v>10.1016/j.bmcl.2008.11.091</v>
      </c>
      <c r="L3297" s="25" t="s">
        <v>6824</v>
      </c>
    </row>
    <row r="3298" customFormat="false" ht="15" hidden="false" customHeight="false" outlineLevel="0" collapsed="false">
      <c r="A3298" s="25" t="n">
        <v>2601266</v>
      </c>
      <c r="B3298" s="25" t="s">
        <v>7014</v>
      </c>
      <c r="C3298" s="25" t="s">
        <v>7015</v>
      </c>
      <c r="D3298" s="26" t="n">
        <v>120</v>
      </c>
      <c r="E3298" s="27" t="n">
        <v>6.92081875395238</v>
      </c>
      <c r="F3298" s="27" t="n">
        <v>6.92081875395238</v>
      </c>
      <c r="G3298" s="25" t="s">
        <v>6822</v>
      </c>
      <c r="H3298" s="25" t="s">
        <v>6823</v>
      </c>
      <c r="I3298" s="25" t="n">
        <f aca="false">IFERROR(IF(INDEX(Documents!$C$5:$C$657,MATCH(H3298,Documents!$A$5:$A$657,0))="","",INDEX(Documents!$C$5:$C$657,MATCH(H3298,Documents!$A$5:$A$657,0))),"")</f>
        <v>2009</v>
      </c>
      <c r="J3298" s="25" t="str">
        <f aca="false">IFERROR(IF(INDEX(Documents!$D$5:$D$657,MATCH(H3298,Documents!$A$5:$A$657,0))="","",INDEX(Documents!$D$5:$D$657,MATCH(H3298,Documents!$A$5:$A$657,0))),"")</f>
        <v>Bioorg Med Chem Lett</v>
      </c>
      <c r="K3298" s="25" t="str">
        <f aca="false">IFERROR(IF(INDEX(Documents!$G$5:$G$657,MATCH(H3298,Documents!$A$5:$A$657,0))="","",INDEX(Documents!$G$5:$G$657,MATCH(H3298,Documents!$A$5:$A$657,0))),"")</f>
        <v>10.1016/j.bmcl.2008.11.091</v>
      </c>
      <c r="L3298" s="25" t="s">
        <v>6824</v>
      </c>
    </row>
    <row r="3299" customFormat="false" ht="15" hidden="false" customHeight="false" outlineLevel="0" collapsed="false">
      <c r="A3299" s="25" t="n">
        <v>3017033</v>
      </c>
      <c r="B3299" s="25" t="s">
        <v>7016</v>
      </c>
      <c r="C3299" s="25" t="s">
        <v>7017</v>
      </c>
      <c r="D3299" s="26" t="n">
        <v>70</v>
      </c>
      <c r="E3299" s="27" t="n">
        <v>7.15490195998574</v>
      </c>
      <c r="F3299" s="27" t="n">
        <v>7.15490195998574</v>
      </c>
      <c r="G3299" s="25" t="s">
        <v>1785</v>
      </c>
      <c r="H3299" s="25" t="s">
        <v>1786</v>
      </c>
      <c r="I3299" s="25" t="n">
        <f aca="false">IFERROR(IF(INDEX(Documents!$C$5:$C$657,MATCH(H3299,Documents!$A$5:$A$657,0))="","",INDEX(Documents!$C$5:$C$657,MATCH(H3299,Documents!$A$5:$A$657,0))),"")</f>
        <v>2009</v>
      </c>
      <c r="J3299" s="25" t="str">
        <f aca="false">IFERROR(IF(INDEX(Documents!$D$5:$D$657,MATCH(H3299,Documents!$A$5:$A$657,0))="","",INDEX(Documents!$D$5:$D$657,MATCH(H3299,Documents!$A$5:$A$657,0))),"")</f>
        <v>Bioorg Med Chem Lett</v>
      </c>
      <c r="K3299" s="25" t="str">
        <f aca="false">IFERROR(IF(INDEX(Documents!$G$5:$G$657,MATCH(H3299,Documents!$A$5:$A$657,0))="","",INDEX(Documents!$G$5:$G$657,MATCH(H3299,Documents!$A$5:$A$657,0))),"")</f>
        <v>10.1016/j.bmcl.2009.07.057</v>
      </c>
      <c r="L3299" s="25" t="s">
        <v>659</v>
      </c>
    </row>
    <row r="3300" customFormat="false" ht="15" hidden="false" customHeight="false" outlineLevel="0" collapsed="false">
      <c r="A3300" s="25" t="n">
        <v>2601250</v>
      </c>
      <c r="B3300" s="25" t="s">
        <v>7018</v>
      </c>
      <c r="C3300" s="25" t="s">
        <v>7019</v>
      </c>
      <c r="D3300" s="26" t="n">
        <v>14</v>
      </c>
      <c r="E3300" s="27" t="n">
        <v>7.85387196432176</v>
      </c>
      <c r="F3300" s="27" t="n">
        <v>7.85387196432176</v>
      </c>
      <c r="G3300" s="25" t="s">
        <v>6822</v>
      </c>
      <c r="H3300" s="25" t="s">
        <v>6823</v>
      </c>
      <c r="I3300" s="25" t="n">
        <f aca="false">IFERROR(IF(INDEX(Documents!$C$5:$C$657,MATCH(H3300,Documents!$A$5:$A$657,0))="","",INDEX(Documents!$C$5:$C$657,MATCH(H3300,Documents!$A$5:$A$657,0))),"")</f>
        <v>2009</v>
      </c>
      <c r="J3300" s="25" t="str">
        <f aca="false">IFERROR(IF(INDEX(Documents!$D$5:$D$657,MATCH(H3300,Documents!$A$5:$A$657,0))="","",INDEX(Documents!$D$5:$D$657,MATCH(H3300,Documents!$A$5:$A$657,0))),"")</f>
        <v>Bioorg Med Chem Lett</v>
      </c>
      <c r="K3300" s="25" t="str">
        <f aca="false">IFERROR(IF(INDEX(Documents!$G$5:$G$657,MATCH(H3300,Documents!$A$5:$A$657,0))="","",INDEX(Documents!$G$5:$G$657,MATCH(H3300,Documents!$A$5:$A$657,0))),"")</f>
        <v>10.1016/j.bmcl.2008.11.091</v>
      </c>
      <c r="L3300" s="25" t="s">
        <v>6824</v>
      </c>
    </row>
    <row r="3301" customFormat="false" ht="15" hidden="false" customHeight="false" outlineLevel="0" collapsed="false">
      <c r="A3301" s="25" t="n">
        <v>2601226</v>
      </c>
      <c r="B3301" s="25" t="s">
        <v>7020</v>
      </c>
      <c r="C3301" s="25" t="s">
        <v>7021</v>
      </c>
      <c r="D3301" s="26" t="n">
        <v>1.7</v>
      </c>
      <c r="E3301" s="27" t="n">
        <v>8.76955107862173</v>
      </c>
      <c r="F3301" s="27" t="n">
        <v>8.76955107862173</v>
      </c>
      <c r="G3301" s="25" t="s">
        <v>6822</v>
      </c>
      <c r="H3301" s="25" t="s">
        <v>6823</v>
      </c>
      <c r="I3301" s="25" t="n">
        <f aca="false">IFERROR(IF(INDEX(Documents!$C$5:$C$657,MATCH(H3301,Documents!$A$5:$A$657,0))="","",INDEX(Documents!$C$5:$C$657,MATCH(H3301,Documents!$A$5:$A$657,0))),"")</f>
        <v>2009</v>
      </c>
      <c r="J3301" s="25" t="str">
        <f aca="false">IFERROR(IF(INDEX(Documents!$D$5:$D$657,MATCH(H3301,Documents!$A$5:$A$657,0))="","",INDEX(Documents!$D$5:$D$657,MATCH(H3301,Documents!$A$5:$A$657,0))),"")</f>
        <v>Bioorg Med Chem Lett</v>
      </c>
      <c r="K3301" s="25" t="str">
        <f aca="false">IFERROR(IF(INDEX(Documents!$G$5:$G$657,MATCH(H3301,Documents!$A$5:$A$657,0))="","",INDEX(Documents!$G$5:$G$657,MATCH(H3301,Documents!$A$5:$A$657,0))),"")</f>
        <v>10.1016/j.bmcl.2008.11.091</v>
      </c>
      <c r="L3301" s="25" t="s">
        <v>6824</v>
      </c>
    </row>
    <row r="3302" customFormat="false" ht="15" hidden="false" customHeight="false" outlineLevel="0" collapsed="false">
      <c r="A3302" s="25" t="n">
        <v>2601284</v>
      </c>
      <c r="B3302" s="25" t="s">
        <v>7022</v>
      </c>
      <c r="C3302" s="25" t="s">
        <v>7023</v>
      </c>
      <c r="D3302" s="26" t="n">
        <v>660</v>
      </c>
      <c r="E3302" s="27" t="n">
        <v>6.18045606445813</v>
      </c>
      <c r="F3302" s="27" t="n">
        <v>6.18045606445813</v>
      </c>
      <c r="G3302" s="25" t="s">
        <v>6822</v>
      </c>
      <c r="H3302" s="25" t="s">
        <v>6823</v>
      </c>
      <c r="I3302" s="25" t="n">
        <f aca="false">IFERROR(IF(INDEX(Documents!$C$5:$C$657,MATCH(H3302,Documents!$A$5:$A$657,0))="","",INDEX(Documents!$C$5:$C$657,MATCH(H3302,Documents!$A$5:$A$657,0))),"")</f>
        <v>2009</v>
      </c>
      <c r="J3302" s="25" t="str">
        <f aca="false">IFERROR(IF(INDEX(Documents!$D$5:$D$657,MATCH(H3302,Documents!$A$5:$A$657,0))="","",INDEX(Documents!$D$5:$D$657,MATCH(H3302,Documents!$A$5:$A$657,0))),"")</f>
        <v>Bioorg Med Chem Lett</v>
      </c>
      <c r="K3302" s="25" t="str">
        <f aca="false">IFERROR(IF(INDEX(Documents!$G$5:$G$657,MATCH(H3302,Documents!$A$5:$A$657,0))="","",INDEX(Documents!$G$5:$G$657,MATCH(H3302,Documents!$A$5:$A$657,0))),"")</f>
        <v>10.1016/j.bmcl.2008.11.091</v>
      </c>
      <c r="L3302" s="25" t="s">
        <v>6824</v>
      </c>
    </row>
    <row r="3303" customFormat="false" ht="15" hidden="false" customHeight="false" outlineLevel="0" collapsed="false">
      <c r="A3303" s="25" t="n">
        <v>2601234</v>
      </c>
      <c r="B3303" s="25" t="s">
        <v>7024</v>
      </c>
      <c r="C3303" s="25" t="s">
        <v>7025</v>
      </c>
      <c r="D3303" s="26" t="n">
        <v>9.4</v>
      </c>
      <c r="E3303" s="27" t="n">
        <v>8.0268721464003</v>
      </c>
      <c r="F3303" s="27" t="n">
        <v>8.0268721464003</v>
      </c>
      <c r="G3303" s="25" t="s">
        <v>6822</v>
      </c>
      <c r="H3303" s="25" t="s">
        <v>6823</v>
      </c>
      <c r="I3303" s="25" t="n">
        <f aca="false">IFERROR(IF(INDEX(Documents!$C$5:$C$657,MATCH(H3303,Documents!$A$5:$A$657,0))="","",INDEX(Documents!$C$5:$C$657,MATCH(H3303,Documents!$A$5:$A$657,0))),"")</f>
        <v>2009</v>
      </c>
      <c r="J3303" s="25" t="str">
        <f aca="false">IFERROR(IF(INDEX(Documents!$D$5:$D$657,MATCH(H3303,Documents!$A$5:$A$657,0))="","",INDEX(Documents!$D$5:$D$657,MATCH(H3303,Documents!$A$5:$A$657,0))),"")</f>
        <v>Bioorg Med Chem Lett</v>
      </c>
      <c r="K3303" s="25" t="str">
        <f aca="false">IFERROR(IF(INDEX(Documents!$G$5:$G$657,MATCH(H3303,Documents!$A$5:$A$657,0))="","",INDEX(Documents!$G$5:$G$657,MATCH(H3303,Documents!$A$5:$A$657,0))),"")</f>
        <v>10.1016/j.bmcl.2008.11.091</v>
      </c>
      <c r="L3303" s="25" t="s">
        <v>6824</v>
      </c>
    </row>
    <row r="3304" customFormat="false" ht="15" hidden="false" customHeight="false" outlineLevel="0" collapsed="false">
      <c r="A3304" s="25" t="n">
        <v>2601287</v>
      </c>
      <c r="B3304" s="25" t="s">
        <v>7026</v>
      </c>
      <c r="C3304" s="25" t="s">
        <v>7027</v>
      </c>
      <c r="D3304" s="26" t="n">
        <v>2000</v>
      </c>
      <c r="E3304" s="27" t="n">
        <v>5.69897000433602</v>
      </c>
      <c r="F3304" s="27" t="n">
        <v>5.69897000433602</v>
      </c>
      <c r="G3304" s="25" t="s">
        <v>6822</v>
      </c>
      <c r="H3304" s="25" t="s">
        <v>6823</v>
      </c>
      <c r="I3304" s="25" t="n">
        <f aca="false">IFERROR(IF(INDEX(Documents!$C$5:$C$657,MATCH(H3304,Documents!$A$5:$A$657,0))="","",INDEX(Documents!$C$5:$C$657,MATCH(H3304,Documents!$A$5:$A$657,0))),"")</f>
        <v>2009</v>
      </c>
      <c r="J3304" s="25" t="str">
        <f aca="false">IFERROR(IF(INDEX(Documents!$D$5:$D$657,MATCH(H3304,Documents!$A$5:$A$657,0))="","",INDEX(Documents!$D$5:$D$657,MATCH(H3304,Documents!$A$5:$A$657,0))),"")</f>
        <v>Bioorg Med Chem Lett</v>
      </c>
      <c r="K3304" s="25" t="str">
        <f aca="false">IFERROR(IF(INDEX(Documents!$G$5:$G$657,MATCH(H3304,Documents!$A$5:$A$657,0))="","",INDEX(Documents!$G$5:$G$657,MATCH(H3304,Documents!$A$5:$A$657,0))),"")</f>
        <v>10.1016/j.bmcl.2008.11.091</v>
      </c>
      <c r="L3304" s="25" t="s">
        <v>6824</v>
      </c>
    </row>
    <row r="3305" customFormat="false" ht="15" hidden="false" customHeight="false" outlineLevel="0" collapsed="false">
      <c r="A3305" s="25" t="n">
        <v>2601280</v>
      </c>
      <c r="B3305" s="25" t="s">
        <v>7028</v>
      </c>
      <c r="C3305" s="25" t="s">
        <v>7029</v>
      </c>
      <c r="D3305" s="26" t="n">
        <v>2900</v>
      </c>
      <c r="E3305" s="27" t="n">
        <v>5.53760200210104</v>
      </c>
      <c r="F3305" s="27" t="n">
        <v>5.53760200210104</v>
      </c>
      <c r="G3305" s="25" t="s">
        <v>6822</v>
      </c>
      <c r="H3305" s="25" t="s">
        <v>6823</v>
      </c>
      <c r="I3305" s="25" t="n">
        <f aca="false">IFERROR(IF(INDEX(Documents!$C$5:$C$657,MATCH(H3305,Documents!$A$5:$A$657,0))="","",INDEX(Documents!$C$5:$C$657,MATCH(H3305,Documents!$A$5:$A$657,0))),"")</f>
        <v>2009</v>
      </c>
      <c r="J3305" s="25" t="str">
        <f aca="false">IFERROR(IF(INDEX(Documents!$D$5:$D$657,MATCH(H3305,Documents!$A$5:$A$657,0))="","",INDEX(Documents!$D$5:$D$657,MATCH(H3305,Documents!$A$5:$A$657,0))),"")</f>
        <v>Bioorg Med Chem Lett</v>
      </c>
      <c r="K3305" s="25" t="str">
        <f aca="false">IFERROR(IF(INDEX(Documents!$G$5:$G$657,MATCH(H3305,Documents!$A$5:$A$657,0))="","",INDEX(Documents!$G$5:$G$657,MATCH(H3305,Documents!$A$5:$A$657,0))),"")</f>
        <v>10.1016/j.bmcl.2008.11.091</v>
      </c>
      <c r="L3305" s="25" t="s">
        <v>6824</v>
      </c>
    </row>
    <row r="3306" customFormat="false" ht="15" hidden="false" customHeight="false" outlineLevel="0" collapsed="false">
      <c r="A3306" s="25" t="n">
        <v>2601273</v>
      </c>
      <c r="B3306" s="25" t="s">
        <v>7030</v>
      </c>
      <c r="C3306" s="25" t="s">
        <v>7031</v>
      </c>
      <c r="D3306" s="26" t="n">
        <v>120</v>
      </c>
      <c r="E3306" s="27" t="n">
        <v>6.92081875395238</v>
      </c>
      <c r="F3306" s="27" t="n">
        <v>6.92081875395238</v>
      </c>
      <c r="G3306" s="25" t="s">
        <v>6822</v>
      </c>
      <c r="H3306" s="25" t="s">
        <v>6823</v>
      </c>
      <c r="I3306" s="25" t="n">
        <f aca="false">IFERROR(IF(INDEX(Documents!$C$5:$C$657,MATCH(H3306,Documents!$A$5:$A$657,0))="","",INDEX(Documents!$C$5:$C$657,MATCH(H3306,Documents!$A$5:$A$657,0))),"")</f>
        <v>2009</v>
      </c>
      <c r="J3306" s="25" t="str">
        <f aca="false">IFERROR(IF(INDEX(Documents!$D$5:$D$657,MATCH(H3306,Documents!$A$5:$A$657,0))="","",INDEX(Documents!$D$5:$D$657,MATCH(H3306,Documents!$A$5:$A$657,0))),"")</f>
        <v>Bioorg Med Chem Lett</v>
      </c>
      <c r="K3306" s="25" t="str">
        <f aca="false">IFERROR(IF(INDEX(Documents!$G$5:$G$657,MATCH(H3306,Documents!$A$5:$A$657,0))="","",INDEX(Documents!$G$5:$G$657,MATCH(H3306,Documents!$A$5:$A$657,0))),"")</f>
        <v>10.1016/j.bmcl.2008.11.091</v>
      </c>
      <c r="L3306" s="25" t="s">
        <v>6824</v>
      </c>
    </row>
    <row r="3307" customFormat="false" ht="15" hidden="false" customHeight="false" outlineLevel="0" collapsed="false">
      <c r="A3307" s="25" t="n">
        <v>2601277</v>
      </c>
      <c r="B3307" s="25" t="s">
        <v>7032</v>
      </c>
      <c r="C3307" s="25" t="s">
        <v>7033</v>
      </c>
      <c r="D3307" s="26" t="n">
        <v>170</v>
      </c>
      <c r="E3307" s="27" t="n">
        <v>6.76955107862173</v>
      </c>
      <c r="F3307" s="27" t="n">
        <v>6.76955107862173</v>
      </c>
      <c r="G3307" s="25" t="s">
        <v>6822</v>
      </c>
      <c r="H3307" s="25" t="s">
        <v>6823</v>
      </c>
      <c r="I3307" s="25" t="n">
        <f aca="false">IFERROR(IF(INDEX(Documents!$C$5:$C$657,MATCH(H3307,Documents!$A$5:$A$657,0))="","",INDEX(Documents!$C$5:$C$657,MATCH(H3307,Documents!$A$5:$A$657,0))),"")</f>
        <v>2009</v>
      </c>
      <c r="J3307" s="25" t="str">
        <f aca="false">IFERROR(IF(INDEX(Documents!$D$5:$D$657,MATCH(H3307,Documents!$A$5:$A$657,0))="","",INDEX(Documents!$D$5:$D$657,MATCH(H3307,Documents!$A$5:$A$657,0))),"")</f>
        <v>Bioorg Med Chem Lett</v>
      </c>
      <c r="K3307" s="25" t="str">
        <f aca="false">IFERROR(IF(INDEX(Documents!$G$5:$G$657,MATCH(H3307,Documents!$A$5:$A$657,0))="","",INDEX(Documents!$G$5:$G$657,MATCH(H3307,Documents!$A$5:$A$657,0))),"")</f>
        <v>10.1016/j.bmcl.2008.11.091</v>
      </c>
      <c r="L3307" s="25" t="s">
        <v>6824</v>
      </c>
    </row>
    <row r="3308" customFormat="false" ht="15" hidden="false" customHeight="false" outlineLevel="0" collapsed="false">
      <c r="A3308" s="25" t="n">
        <v>25876190</v>
      </c>
      <c r="B3308" s="25" t="s">
        <v>7034</v>
      </c>
      <c r="C3308" s="25" t="s">
        <v>7035</v>
      </c>
      <c r="D3308" s="26" t="n">
        <v>270</v>
      </c>
      <c r="E3308" s="27" t="n">
        <v>6.56863623584101</v>
      </c>
      <c r="F3308" s="27" t="n">
        <v>6.56863623584101</v>
      </c>
      <c r="G3308" s="25" t="s">
        <v>648</v>
      </c>
      <c r="H3308" s="25" t="s">
        <v>649</v>
      </c>
      <c r="I3308" s="25" t="n">
        <f aca="false">IFERROR(IF(INDEX(Documents!$C$5:$C$657,MATCH(H3308,Documents!$A$5:$A$657,0))="","",INDEX(Documents!$C$5:$C$657,MATCH(H3308,Documents!$A$5:$A$657,0))),"")</f>
        <v>2024</v>
      </c>
      <c r="J3308" s="25" t="str">
        <f aca="false">IFERROR(IF(INDEX(Documents!$D$5:$D$657,MATCH(H3308,Documents!$A$5:$A$657,0))="","",INDEX(Documents!$D$5:$D$657,MATCH(H3308,Documents!$A$5:$A$657,0))),"")</f>
        <v>Eur J Med Chem</v>
      </c>
      <c r="K3308" s="25" t="str">
        <f aca="false">IFERROR(IF(INDEX(Documents!$G$5:$G$657,MATCH(H3308,Documents!$A$5:$A$657,0))="","",INDEX(Documents!$G$5:$G$657,MATCH(H3308,Documents!$A$5:$A$657,0))),"")</f>
        <v>10.1016/j.ejmech.2024.116298</v>
      </c>
      <c r="L3308" s="25" t="s">
        <v>650</v>
      </c>
    </row>
    <row r="3309" customFormat="false" ht="15" hidden="false" customHeight="false" outlineLevel="0" collapsed="false">
      <c r="A3309" s="25" t="n">
        <v>6386891</v>
      </c>
      <c r="B3309" s="25" t="s">
        <v>7036</v>
      </c>
      <c r="C3309" s="25" t="s">
        <v>7037</v>
      </c>
      <c r="D3309" s="26" t="n">
        <v>4010</v>
      </c>
      <c r="E3309" s="27" t="n">
        <v>5.39685562737982</v>
      </c>
      <c r="F3309" s="27" t="n">
        <v>5.39685562737982</v>
      </c>
      <c r="G3309" s="25" t="s">
        <v>6517</v>
      </c>
      <c r="H3309" s="25" t="s">
        <v>6518</v>
      </c>
      <c r="I3309" s="25" t="n">
        <f aca="false">IFERROR(IF(INDEX(Documents!$C$5:$C$657,MATCH(H3309,Documents!$A$5:$A$657,0))="","",INDEX(Documents!$C$5:$C$657,MATCH(H3309,Documents!$A$5:$A$657,0))),"")</f>
        <v>2011</v>
      </c>
      <c r="J3309" s="25" t="str">
        <f aca="false">IFERROR(IF(INDEX(Documents!$D$5:$D$657,MATCH(H3309,Documents!$A$5:$A$657,0))="","",INDEX(Documents!$D$5:$D$657,MATCH(H3309,Documents!$A$5:$A$657,0))),"")</f>
        <v>Bioorg Med Chem Lett</v>
      </c>
      <c r="K3309" s="25" t="str">
        <f aca="false">IFERROR(IF(INDEX(Documents!$G$5:$G$657,MATCH(H3309,Documents!$A$5:$A$657,0))="","",INDEX(Documents!$G$5:$G$657,MATCH(H3309,Documents!$A$5:$A$657,0))),"")</f>
        <v>10.1016/j.bmcl.2011.08.032</v>
      </c>
      <c r="L3309" s="25" t="s">
        <v>6519</v>
      </c>
    </row>
    <row r="3310" customFormat="false" ht="15" hidden="false" customHeight="false" outlineLevel="0" collapsed="false">
      <c r="A3310" s="25" t="n">
        <v>12664983</v>
      </c>
      <c r="B3310" s="25" t="s">
        <v>7038</v>
      </c>
      <c r="C3310" s="25" t="s">
        <v>7039</v>
      </c>
      <c r="D3310" s="26" t="n">
        <v>192</v>
      </c>
      <c r="E3310" s="27" t="n">
        <v>6.71669877129645</v>
      </c>
      <c r="F3310" s="27" t="n">
        <v>6.71669877129645</v>
      </c>
      <c r="G3310" s="25" t="s">
        <v>2531</v>
      </c>
      <c r="H3310" s="25" t="s">
        <v>2532</v>
      </c>
      <c r="I3310" s="25" t="n">
        <f aca="false">IFERROR(IF(INDEX(Documents!$C$5:$C$657,MATCH(H3310,Documents!$A$5:$A$657,0))="","",INDEX(Documents!$C$5:$C$657,MATCH(H3310,Documents!$A$5:$A$657,0))),"")</f>
        <v>2013</v>
      </c>
      <c r="J3310" s="25" t="str">
        <f aca="false">IFERROR(IF(INDEX(Documents!$D$5:$D$657,MATCH(H3310,Documents!$A$5:$A$657,0))="","",INDEX(Documents!$D$5:$D$657,MATCH(H3310,Documents!$A$5:$A$657,0))),"")</f>
        <v>J Med Chem</v>
      </c>
      <c r="K3310" s="25" t="str">
        <f aca="false">IFERROR(IF(INDEX(Documents!$G$5:$G$657,MATCH(H3310,Documents!$A$5:$A$657,0))="","",INDEX(Documents!$G$5:$G$657,MATCH(H3310,Documents!$A$5:$A$657,0))),"")</f>
        <v>10.1021/jm3017464</v>
      </c>
      <c r="L3310" s="25" t="s">
        <v>2533</v>
      </c>
    </row>
    <row r="3311" customFormat="false" ht="15" hidden="false" customHeight="false" outlineLevel="0" collapsed="false">
      <c r="A3311" s="25" t="n">
        <v>12688499</v>
      </c>
      <c r="B3311" s="25" t="s">
        <v>7040</v>
      </c>
      <c r="C3311" s="25" t="s">
        <v>7041</v>
      </c>
      <c r="D3311" s="26" t="n">
        <v>750</v>
      </c>
      <c r="E3311" s="27" t="n">
        <v>6.1249387366083</v>
      </c>
      <c r="F3311" s="27" t="n">
        <v>6.1249387366083</v>
      </c>
      <c r="G3311" s="25" t="s">
        <v>7042</v>
      </c>
      <c r="H3311" s="25" t="s">
        <v>509</v>
      </c>
      <c r="I3311" s="25" t="n">
        <f aca="false">IFERROR(IF(INDEX(Documents!$C$5:$C$657,MATCH(H3311,Documents!$A$5:$A$657,0))="","",INDEX(Documents!$C$5:$C$657,MATCH(H3311,Documents!$A$5:$A$657,0))),"")</f>
        <v>2013</v>
      </c>
      <c r="J3311" s="25" t="str">
        <f aca="false">IFERROR(IF(INDEX(Documents!$D$5:$D$657,MATCH(H3311,Documents!$A$5:$A$657,0))="","",INDEX(Documents!$D$5:$D$657,MATCH(H3311,Documents!$A$5:$A$657,0))),"")</f>
        <v>ACS Med Chem Lett</v>
      </c>
      <c r="K3311" s="25" t="str">
        <f aca="false">IFERROR(IF(INDEX(Documents!$G$5:$G$657,MATCH(H3311,Documents!$A$5:$A$657,0))="","",INDEX(Documents!$G$5:$G$657,MATCH(H3311,Documents!$A$5:$A$657,0))),"")</f>
        <v>10.1021/ml3004236</v>
      </c>
      <c r="L3311" s="25" t="s">
        <v>1359</v>
      </c>
    </row>
    <row r="3312" customFormat="false" ht="15" hidden="false" customHeight="false" outlineLevel="0" collapsed="false">
      <c r="A3312" s="25" t="n">
        <v>12688455</v>
      </c>
      <c r="B3312" s="25" t="s">
        <v>7043</v>
      </c>
      <c r="C3312" s="25" t="s">
        <v>7044</v>
      </c>
      <c r="D3312" s="26" t="n">
        <v>310</v>
      </c>
      <c r="E3312" s="27" t="n">
        <v>6.50863830616573</v>
      </c>
      <c r="F3312" s="27" t="n">
        <v>6.50863830616573</v>
      </c>
      <c r="G3312" s="25" t="s">
        <v>508</v>
      </c>
      <c r="H3312" s="25" t="s">
        <v>509</v>
      </c>
      <c r="I3312" s="25" t="n">
        <f aca="false">IFERROR(IF(INDEX(Documents!$C$5:$C$657,MATCH(H3312,Documents!$A$5:$A$657,0))="","",INDEX(Documents!$C$5:$C$657,MATCH(H3312,Documents!$A$5:$A$657,0))),"")</f>
        <v>2013</v>
      </c>
      <c r="J3312" s="25" t="str">
        <f aca="false">IFERROR(IF(INDEX(Documents!$D$5:$D$657,MATCH(H3312,Documents!$A$5:$A$657,0))="","",INDEX(Documents!$D$5:$D$657,MATCH(H3312,Documents!$A$5:$A$657,0))),"")</f>
        <v>ACS Med Chem Lett</v>
      </c>
      <c r="K3312" s="25" t="str">
        <f aca="false">IFERROR(IF(INDEX(Documents!$G$5:$G$657,MATCH(H3312,Documents!$A$5:$A$657,0))="","",INDEX(Documents!$G$5:$G$657,MATCH(H3312,Documents!$A$5:$A$657,0))),"")</f>
        <v>10.1021/ml3004236</v>
      </c>
      <c r="L3312" s="25" t="s">
        <v>510</v>
      </c>
    </row>
    <row r="3313" customFormat="false" ht="15" hidden="false" customHeight="false" outlineLevel="0" collapsed="false">
      <c r="A3313" s="25" t="n">
        <v>12688489</v>
      </c>
      <c r="B3313" s="25" t="s">
        <v>7045</v>
      </c>
      <c r="C3313" s="25" t="s">
        <v>7046</v>
      </c>
      <c r="D3313" s="26" t="n">
        <v>230</v>
      </c>
      <c r="E3313" s="27" t="n">
        <v>6.63827216398241</v>
      </c>
      <c r="F3313" s="27" t="n">
        <v>6.63827216398241</v>
      </c>
      <c r="G3313" s="25" t="s">
        <v>508</v>
      </c>
      <c r="H3313" s="25" t="s">
        <v>509</v>
      </c>
      <c r="I3313" s="25" t="n">
        <f aca="false">IFERROR(IF(INDEX(Documents!$C$5:$C$657,MATCH(H3313,Documents!$A$5:$A$657,0))="","",INDEX(Documents!$C$5:$C$657,MATCH(H3313,Documents!$A$5:$A$657,0))),"")</f>
        <v>2013</v>
      </c>
      <c r="J3313" s="25" t="str">
        <f aca="false">IFERROR(IF(INDEX(Documents!$D$5:$D$657,MATCH(H3313,Documents!$A$5:$A$657,0))="","",INDEX(Documents!$D$5:$D$657,MATCH(H3313,Documents!$A$5:$A$657,0))),"")</f>
        <v>ACS Med Chem Lett</v>
      </c>
      <c r="K3313" s="25" t="str">
        <f aca="false">IFERROR(IF(INDEX(Documents!$G$5:$G$657,MATCH(H3313,Documents!$A$5:$A$657,0))="","",INDEX(Documents!$G$5:$G$657,MATCH(H3313,Documents!$A$5:$A$657,0))),"")</f>
        <v>10.1021/ml3004236</v>
      </c>
      <c r="L3313" s="25" t="s">
        <v>510</v>
      </c>
    </row>
    <row r="3314" customFormat="false" ht="15" hidden="false" customHeight="false" outlineLevel="0" collapsed="false">
      <c r="A3314" s="25" t="n">
        <v>12688497</v>
      </c>
      <c r="B3314" s="25" t="s">
        <v>7047</v>
      </c>
      <c r="C3314" s="25" t="s">
        <v>7048</v>
      </c>
      <c r="D3314" s="26" t="n">
        <v>680</v>
      </c>
      <c r="E3314" s="27" t="n">
        <v>6.16749108729376</v>
      </c>
      <c r="F3314" s="27" t="n">
        <v>6.16749108729376</v>
      </c>
      <c r="G3314" s="25" t="s">
        <v>508</v>
      </c>
      <c r="H3314" s="25" t="s">
        <v>509</v>
      </c>
      <c r="I3314" s="25" t="n">
        <f aca="false">IFERROR(IF(INDEX(Documents!$C$5:$C$657,MATCH(H3314,Documents!$A$5:$A$657,0))="","",INDEX(Documents!$C$5:$C$657,MATCH(H3314,Documents!$A$5:$A$657,0))),"")</f>
        <v>2013</v>
      </c>
      <c r="J3314" s="25" t="str">
        <f aca="false">IFERROR(IF(INDEX(Documents!$D$5:$D$657,MATCH(H3314,Documents!$A$5:$A$657,0))="","",INDEX(Documents!$D$5:$D$657,MATCH(H3314,Documents!$A$5:$A$657,0))),"")</f>
        <v>ACS Med Chem Lett</v>
      </c>
      <c r="K3314" s="25" t="str">
        <f aca="false">IFERROR(IF(INDEX(Documents!$G$5:$G$657,MATCH(H3314,Documents!$A$5:$A$657,0))="","",INDEX(Documents!$G$5:$G$657,MATCH(H3314,Documents!$A$5:$A$657,0))),"")</f>
        <v>10.1021/ml3004236</v>
      </c>
      <c r="L3314" s="25" t="s">
        <v>510</v>
      </c>
    </row>
    <row r="3315" customFormat="false" ht="15" hidden="false" customHeight="false" outlineLevel="0" collapsed="false">
      <c r="A3315" s="25" t="n">
        <v>12688496</v>
      </c>
      <c r="B3315" s="25" t="s">
        <v>7049</v>
      </c>
      <c r="C3315" s="25" t="s">
        <v>7050</v>
      </c>
      <c r="D3315" s="26" t="n">
        <v>166</v>
      </c>
      <c r="E3315" s="27" t="n">
        <v>6.77989191195995</v>
      </c>
      <c r="F3315" s="27" t="n">
        <v>6.77989191195995</v>
      </c>
      <c r="G3315" s="25" t="s">
        <v>508</v>
      </c>
      <c r="H3315" s="25" t="s">
        <v>509</v>
      </c>
      <c r="I3315" s="25" t="n">
        <f aca="false">IFERROR(IF(INDEX(Documents!$C$5:$C$657,MATCH(H3315,Documents!$A$5:$A$657,0))="","",INDEX(Documents!$C$5:$C$657,MATCH(H3315,Documents!$A$5:$A$657,0))),"")</f>
        <v>2013</v>
      </c>
      <c r="J3315" s="25" t="str">
        <f aca="false">IFERROR(IF(INDEX(Documents!$D$5:$D$657,MATCH(H3315,Documents!$A$5:$A$657,0))="","",INDEX(Documents!$D$5:$D$657,MATCH(H3315,Documents!$A$5:$A$657,0))),"")</f>
        <v>ACS Med Chem Lett</v>
      </c>
      <c r="K3315" s="25" t="str">
        <f aca="false">IFERROR(IF(INDEX(Documents!$G$5:$G$657,MATCH(H3315,Documents!$A$5:$A$657,0))="","",INDEX(Documents!$G$5:$G$657,MATCH(H3315,Documents!$A$5:$A$657,0))),"")</f>
        <v>10.1021/ml3004236</v>
      </c>
      <c r="L3315" s="25" t="s">
        <v>510</v>
      </c>
    </row>
    <row r="3316" customFormat="false" ht="15" hidden="false" customHeight="false" outlineLevel="0" collapsed="false">
      <c r="A3316" s="25" t="n">
        <v>12688495</v>
      </c>
      <c r="B3316" s="25" t="s">
        <v>7051</v>
      </c>
      <c r="C3316" s="25" t="s">
        <v>7052</v>
      </c>
      <c r="D3316" s="26" t="n">
        <v>44</v>
      </c>
      <c r="E3316" s="27" t="n">
        <v>7.35654732351381</v>
      </c>
      <c r="F3316" s="27" t="n">
        <v>7.35654732351381</v>
      </c>
      <c r="G3316" s="25" t="s">
        <v>508</v>
      </c>
      <c r="H3316" s="25" t="s">
        <v>509</v>
      </c>
      <c r="I3316" s="25" t="n">
        <f aca="false">IFERROR(IF(INDEX(Documents!$C$5:$C$657,MATCH(H3316,Documents!$A$5:$A$657,0))="","",INDEX(Documents!$C$5:$C$657,MATCH(H3316,Documents!$A$5:$A$657,0))),"")</f>
        <v>2013</v>
      </c>
      <c r="J3316" s="25" t="str">
        <f aca="false">IFERROR(IF(INDEX(Documents!$D$5:$D$657,MATCH(H3316,Documents!$A$5:$A$657,0))="","",INDEX(Documents!$D$5:$D$657,MATCH(H3316,Documents!$A$5:$A$657,0))),"")</f>
        <v>ACS Med Chem Lett</v>
      </c>
      <c r="K3316" s="25" t="str">
        <f aca="false">IFERROR(IF(INDEX(Documents!$G$5:$G$657,MATCH(H3316,Documents!$A$5:$A$657,0))="","",INDEX(Documents!$G$5:$G$657,MATCH(H3316,Documents!$A$5:$A$657,0))),"")</f>
        <v>10.1021/ml3004236</v>
      </c>
      <c r="L3316" s="25" t="s">
        <v>510</v>
      </c>
    </row>
    <row r="3317" customFormat="false" ht="15" hidden="false" customHeight="false" outlineLevel="0" collapsed="false">
      <c r="A3317" s="25" t="n">
        <v>12688494</v>
      </c>
      <c r="B3317" s="25" t="s">
        <v>7053</v>
      </c>
      <c r="C3317" s="25" t="s">
        <v>7054</v>
      </c>
      <c r="D3317" s="26" t="n">
        <v>174</v>
      </c>
      <c r="E3317" s="27" t="n">
        <v>6.7594507517174</v>
      </c>
      <c r="F3317" s="27" t="n">
        <v>6.7594507517174</v>
      </c>
      <c r="G3317" s="25" t="s">
        <v>508</v>
      </c>
      <c r="H3317" s="25" t="s">
        <v>509</v>
      </c>
      <c r="I3317" s="25" t="n">
        <f aca="false">IFERROR(IF(INDEX(Documents!$C$5:$C$657,MATCH(H3317,Documents!$A$5:$A$657,0))="","",INDEX(Documents!$C$5:$C$657,MATCH(H3317,Documents!$A$5:$A$657,0))),"")</f>
        <v>2013</v>
      </c>
      <c r="J3317" s="25" t="str">
        <f aca="false">IFERROR(IF(INDEX(Documents!$D$5:$D$657,MATCH(H3317,Documents!$A$5:$A$657,0))="","",INDEX(Documents!$D$5:$D$657,MATCH(H3317,Documents!$A$5:$A$657,0))),"")</f>
        <v>ACS Med Chem Lett</v>
      </c>
      <c r="K3317" s="25" t="str">
        <f aca="false">IFERROR(IF(INDEX(Documents!$G$5:$G$657,MATCH(H3317,Documents!$A$5:$A$657,0))="","",INDEX(Documents!$G$5:$G$657,MATCH(H3317,Documents!$A$5:$A$657,0))),"")</f>
        <v>10.1021/ml3004236</v>
      </c>
      <c r="L3317" s="25" t="s">
        <v>510</v>
      </c>
    </row>
    <row r="3318" customFormat="false" ht="15" hidden="false" customHeight="false" outlineLevel="0" collapsed="false">
      <c r="A3318" s="25" t="n">
        <v>29298870</v>
      </c>
      <c r="B3318" s="25" t="s">
        <v>7055</v>
      </c>
      <c r="C3318" s="25" t="s">
        <v>7056</v>
      </c>
      <c r="D3318" s="26" t="n">
        <v>1650</v>
      </c>
      <c r="E3318" s="27" t="n">
        <v>5.78251605578609</v>
      </c>
      <c r="F3318" s="27" t="n">
        <v>5.78251605578609</v>
      </c>
      <c r="G3318" s="25" t="s">
        <v>5013</v>
      </c>
      <c r="H3318" s="25" t="s">
        <v>5014</v>
      </c>
      <c r="I3318" s="25" t="n">
        <f aca="false">IFERROR(IF(INDEX(Documents!$C$5:$C$657,MATCH(H3318,Documents!$A$5:$A$657,0))="","",INDEX(Documents!$C$5:$C$657,MATCH(H3318,Documents!$A$5:$A$657,0))),"")</f>
        <v>2025</v>
      </c>
      <c r="J3318" s="25" t="str">
        <f aca="false">IFERROR(IF(INDEX(Documents!$D$5:$D$657,MATCH(H3318,Documents!$A$5:$A$657,0))="","",INDEX(Documents!$D$5:$D$657,MATCH(H3318,Documents!$A$5:$A$657,0))),"")</f>
        <v>J Med Chem</v>
      </c>
      <c r="K3318" s="25" t="str">
        <f aca="false">IFERROR(IF(INDEX(Documents!$G$5:$G$657,MATCH(H3318,Documents!$A$5:$A$657,0))="","",INDEX(Documents!$G$5:$G$657,MATCH(H3318,Documents!$A$5:$A$657,0))),"")</f>
        <v>10.1021/acs.jmedchem.4c03132</v>
      </c>
      <c r="L3318" s="25" t="s">
        <v>5015</v>
      </c>
    </row>
    <row r="3319" customFormat="false" ht="15" hidden="false" customHeight="false" outlineLevel="0" collapsed="false">
      <c r="A3319" s="25" t="n">
        <v>1617756</v>
      </c>
      <c r="B3319" s="25" t="s">
        <v>7057</v>
      </c>
      <c r="C3319" s="25" t="s">
        <v>7058</v>
      </c>
      <c r="D3319" s="26" t="n">
        <v>0.5</v>
      </c>
      <c r="E3319" s="27" t="n">
        <v>9.30102999566398</v>
      </c>
      <c r="F3319" s="27" t="n">
        <v>9.30102999566398</v>
      </c>
      <c r="G3319" s="25" t="s">
        <v>444</v>
      </c>
      <c r="H3319" s="25" t="s">
        <v>445</v>
      </c>
      <c r="I3319" s="25" t="n">
        <f aca="false">IFERROR(IF(INDEX(Documents!$C$5:$C$657,MATCH(H3319,Documents!$A$5:$A$657,0))="","",INDEX(Documents!$C$5:$C$657,MATCH(H3319,Documents!$A$5:$A$657,0))),"")</f>
        <v>2005</v>
      </c>
      <c r="J3319" s="25" t="str">
        <f aca="false">IFERROR(IF(INDEX(Documents!$D$5:$D$657,MATCH(H3319,Documents!$A$5:$A$657,0))="","",INDEX(Documents!$D$5:$D$657,MATCH(H3319,Documents!$A$5:$A$657,0))),"")</f>
        <v>Bioorg Med Chem Lett</v>
      </c>
      <c r="K3319" s="25" t="str">
        <f aca="false">IFERROR(IF(INDEX(Documents!$G$5:$G$657,MATCH(H3319,Documents!$A$5:$A$657,0))="","",INDEX(Documents!$G$5:$G$657,MATCH(H3319,Documents!$A$5:$A$657,0))),"")</f>
        <v>10.1016/j.bmcl.2005.07.023</v>
      </c>
      <c r="L3319" s="25" t="s">
        <v>446</v>
      </c>
    </row>
    <row r="3320" customFormat="false" ht="15" hidden="false" customHeight="false" outlineLevel="0" collapsed="false">
      <c r="A3320" s="25" t="n">
        <v>7844457</v>
      </c>
      <c r="B3320" s="25" t="s">
        <v>7059</v>
      </c>
      <c r="C3320" s="25" t="s">
        <v>7060</v>
      </c>
      <c r="D3320" s="26" t="n">
        <v>226.8</v>
      </c>
      <c r="E3320" s="27" t="n">
        <v>6.64435694977913</v>
      </c>
      <c r="F3320" s="27" t="n">
        <v>6.64435694977913</v>
      </c>
      <c r="G3320" s="25" t="s">
        <v>7061</v>
      </c>
      <c r="H3320" s="25" t="s">
        <v>7062</v>
      </c>
      <c r="I3320" s="25" t="n">
        <f aca="false">IFERROR(IF(INDEX(Documents!$C$5:$C$657,MATCH(H3320,Documents!$A$5:$A$657,0))="","",INDEX(Documents!$C$5:$C$657,MATCH(H3320,Documents!$A$5:$A$657,0))),"")</f>
        <v>2011</v>
      </c>
      <c r="J3320" s="25" t="str">
        <f aca="false">IFERROR(IF(INDEX(Documents!$D$5:$D$657,MATCH(H3320,Documents!$A$5:$A$657,0))="","",INDEX(Documents!$D$5:$D$657,MATCH(H3320,Documents!$A$5:$A$657,0))),"")</f>
        <v>Eur J Med Chem</v>
      </c>
      <c r="K3320" s="25" t="str">
        <f aca="false">IFERROR(IF(INDEX(Documents!$G$5:$G$657,MATCH(H3320,Documents!$A$5:$A$657,0))="","",INDEX(Documents!$G$5:$G$657,MATCH(H3320,Documents!$A$5:$A$657,0))),"")</f>
        <v>10.1016/j.ejmech.2011.08.030</v>
      </c>
      <c r="L3320" s="25" t="s">
        <v>7063</v>
      </c>
    </row>
    <row r="3321" customFormat="false" ht="15" hidden="false" customHeight="false" outlineLevel="0" collapsed="false">
      <c r="A3321" s="25" t="n">
        <v>7844456</v>
      </c>
      <c r="B3321" s="25" t="s">
        <v>7064</v>
      </c>
      <c r="C3321" s="25" t="s">
        <v>7065</v>
      </c>
      <c r="D3321" s="26" t="n">
        <v>242.4</v>
      </c>
      <c r="E3321" s="27" t="n">
        <v>6.61546738450575</v>
      </c>
      <c r="F3321" s="27" t="n">
        <v>6.61546738450575</v>
      </c>
      <c r="G3321" s="25" t="s">
        <v>7061</v>
      </c>
      <c r="H3321" s="25" t="s">
        <v>7062</v>
      </c>
      <c r="I3321" s="25" t="n">
        <f aca="false">IFERROR(IF(INDEX(Documents!$C$5:$C$657,MATCH(H3321,Documents!$A$5:$A$657,0))="","",INDEX(Documents!$C$5:$C$657,MATCH(H3321,Documents!$A$5:$A$657,0))),"")</f>
        <v>2011</v>
      </c>
      <c r="J3321" s="25" t="str">
        <f aca="false">IFERROR(IF(INDEX(Documents!$D$5:$D$657,MATCH(H3321,Documents!$A$5:$A$657,0))="","",INDEX(Documents!$D$5:$D$657,MATCH(H3321,Documents!$A$5:$A$657,0))),"")</f>
        <v>Eur J Med Chem</v>
      </c>
      <c r="K3321" s="25" t="str">
        <f aca="false">IFERROR(IF(INDEX(Documents!$G$5:$G$657,MATCH(H3321,Documents!$A$5:$A$657,0))="","",INDEX(Documents!$G$5:$G$657,MATCH(H3321,Documents!$A$5:$A$657,0))),"")</f>
        <v>10.1016/j.ejmech.2011.08.030</v>
      </c>
      <c r="L3321" s="25" t="s">
        <v>7063</v>
      </c>
    </row>
    <row r="3322" customFormat="false" ht="15" hidden="false" customHeight="false" outlineLevel="0" collapsed="false">
      <c r="A3322" s="25" t="n">
        <v>5205754</v>
      </c>
      <c r="B3322" s="25" t="s">
        <v>7066</v>
      </c>
      <c r="C3322" s="25" t="s">
        <v>7067</v>
      </c>
      <c r="D3322" s="26" t="n">
        <v>50</v>
      </c>
      <c r="E3322" s="27" t="n">
        <v>7.30102999566398</v>
      </c>
      <c r="F3322" s="27" t="n">
        <v>7.30102999566398</v>
      </c>
      <c r="G3322" s="25" t="s">
        <v>461</v>
      </c>
      <c r="H3322" s="25" t="s">
        <v>462</v>
      </c>
      <c r="I3322" s="25" t="n">
        <f aca="false">IFERROR(IF(INDEX(Documents!$C$5:$C$657,MATCH(H3322,Documents!$A$5:$A$657,0))="","",INDEX(Documents!$C$5:$C$657,MATCH(H3322,Documents!$A$5:$A$657,0))),"")</f>
        <v>2011</v>
      </c>
      <c r="J3322" s="25" t="str">
        <f aca="false">IFERROR(IF(INDEX(Documents!$D$5:$D$657,MATCH(H3322,Documents!$A$5:$A$657,0))="","",INDEX(Documents!$D$5:$D$657,MATCH(H3322,Documents!$A$5:$A$657,0))),"")</f>
        <v>Eur J Med Chem</v>
      </c>
      <c r="K3322" s="25" t="str">
        <f aca="false">IFERROR(IF(INDEX(Documents!$G$5:$G$657,MATCH(H3322,Documents!$A$5:$A$657,0))="","",INDEX(Documents!$G$5:$G$657,MATCH(H3322,Documents!$A$5:$A$657,0))),"")</f>
        <v>10.1016/j.ejmech.2010.11.034</v>
      </c>
      <c r="L3322" s="25" t="s">
        <v>463</v>
      </c>
    </row>
    <row r="3323" customFormat="false" ht="15" hidden="false" customHeight="false" outlineLevel="0" collapsed="false">
      <c r="A3323" s="25" t="n">
        <v>5205336</v>
      </c>
      <c r="B3323" s="25" t="s">
        <v>7068</v>
      </c>
      <c r="C3323" s="25" t="s">
        <v>7069</v>
      </c>
      <c r="D3323" s="26" t="n">
        <v>0.2</v>
      </c>
      <c r="E3323" s="27" t="n">
        <v>9.69897000433602</v>
      </c>
      <c r="F3323" s="27" t="n">
        <v>9.76297014390487</v>
      </c>
      <c r="G3323" s="25" t="s">
        <v>461</v>
      </c>
      <c r="H3323" s="25" t="s">
        <v>462</v>
      </c>
      <c r="I3323" s="25" t="n">
        <f aca="false">IFERROR(IF(INDEX(Documents!$C$5:$C$657,MATCH(H3323,Documents!$A$5:$A$657,0))="","",INDEX(Documents!$C$5:$C$657,MATCH(H3323,Documents!$A$5:$A$657,0))),"")</f>
        <v>2011</v>
      </c>
      <c r="J3323" s="25" t="str">
        <f aca="false">IFERROR(IF(INDEX(Documents!$D$5:$D$657,MATCH(H3323,Documents!$A$5:$A$657,0))="","",INDEX(Documents!$D$5:$D$657,MATCH(H3323,Documents!$A$5:$A$657,0))),"")</f>
        <v>Eur J Med Chem</v>
      </c>
      <c r="K3323" s="25" t="str">
        <f aca="false">IFERROR(IF(INDEX(Documents!$G$5:$G$657,MATCH(H3323,Documents!$A$5:$A$657,0))="","",INDEX(Documents!$G$5:$G$657,MATCH(H3323,Documents!$A$5:$A$657,0))),"")</f>
        <v>10.1016/j.ejmech.2010.11.034</v>
      </c>
      <c r="L3323" s="25" t="s">
        <v>463</v>
      </c>
    </row>
    <row r="3324" customFormat="false" ht="15" hidden="false" customHeight="false" outlineLevel="0" collapsed="false">
      <c r="A3324" s="25" t="n">
        <v>2118289</v>
      </c>
      <c r="B3324" s="25" t="s">
        <v>7068</v>
      </c>
      <c r="C3324" s="25" t="s">
        <v>7069</v>
      </c>
      <c r="D3324" s="26" t="n">
        <v>0.15</v>
      </c>
      <c r="E3324" s="27" t="n">
        <v>9.82390874094432</v>
      </c>
      <c r="F3324" s="27" t="n">
        <v>9.76297014390487</v>
      </c>
      <c r="G3324" s="25" t="s">
        <v>1199</v>
      </c>
      <c r="H3324" s="25" t="s">
        <v>1200</v>
      </c>
      <c r="I3324" s="25" t="n">
        <f aca="false">IFERROR(IF(INDEX(Documents!$C$5:$C$657,MATCH(H3324,Documents!$A$5:$A$657,0))="","",INDEX(Documents!$C$5:$C$657,MATCH(H3324,Documents!$A$5:$A$657,0))),"")</f>
        <v>2008</v>
      </c>
      <c r="J3324" s="25" t="str">
        <f aca="false">IFERROR(IF(INDEX(Documents!$D$5:$D$657,MATCH(H3324,Documents!$A$5:$A$657,0))="","",INDEX(Documents!$D$5:$D$657,MATCH(H3324,Documents!$A$5:$A$657,0))),"")</f>
        <v>J Med Chem</v>
      </c>
      <c r="K3324" s="25" t="str">
        <f aca="false">IFERROR(IF(INDEX(Documents!$G$5:$G$657,MATCH(H3324,Documents!$A$5:$A$657,0))="","",INDEX(Documents!$G$5:$G$657,MATCH(H3324,Documents!$A$5:$A$657,0))),"")</f>
        <v>10.1021/jm7011613</v>
      </c>
      <c r="L3324" s="25" t="s">
        <v>676</v>
      </c>
    </row>
    <row r="3325" customFormat="false" ht="15" hidden="false" customHeight="false" outlineLevel="0" collapsed="false">
      <c r="A3325" s="25" t="n">
        <v>2118288</v>
      </c>
      <c r="B3325" s="25" t="s">
        <v>7068</v>
      </c>
      <c r="C3325" s="25" t="s">
        <v>7069</v>
      </c>
      <c r="D3325" s="26" t="n">
        <v>0.1479</v>
      </c>
      <c r="E3325" s="27" t="n">
        <v>9.83003182600311</v>
      </c>
      <c r="F3325" s="27" t="n">
        <v>9.76297014390487</v>
      </c>
      <c r="G3325" s="25" t="s">
        <v>1199</v>
      </c>
      <c r="H3325" s="25" t="s">
        <v>1200</v>
      </c>
      <c r="I3325" s="25" t="n">
        <f aca="false">IFERROR(IF(INDEX(Documents!$C$5:$C$657,MATCH(H3325,Documents!$A$5:$A$657,0))="","",INDEX(Documents!$C$5:$C$657,MATCH(H3325,Documents!$A$5:$A$657,0))),"")</f>
        <v>2008</v>
      </c>
      <c r="J3325" s="25" t="str">
        <f aca="false">IFERROR(IF(INDEX(Documents!$D$5:$D$657,MATCH(H3325,Documents!$A$5:$A$657,0))="","",INDEX(Documents!$D$5:$D$657,MATCH(H3325,Documents!$A$5:$A$657,0))),"")</f>
        <v>J Med Chem</v>
      </c>
      <c r="K3325" s="25" t="str">
        <f aca="false">IFERROR(IF(INDEX(Documents!$G$5:$G$657,MATCH(H3325,Documents!$A$5:$A$657,0))="","",INDEX(Documents!$G$5:$G$657,MATCH(H3325,Documents!$A$5:$A$657,0))),"")</f>
        <v>10.1021/jm7011613</v>
      </c>
      <c r="L3325" s="25" t="s">
        <v>676</v>
      </c>
    </row>
    <row r="3326" customFormat="false" ht="15" hidden="false" customHeight="false" outlineLevel="0" collapsed="false">
      <c r="A3326" s="25" t="n">
        <v>12725498</v>
      </c>
      <c r="B3326" s="25" t="s">
        <v>7070</v>
      </c>
      <c r="C3326" s="25" t="s">
        <v>7071</v>
      </c>
      <c r="D3326" s="26" t="n">
        <v>63.5</v>
      </c>
      <c r="E3326" s="27" t="n">
        <v>7.19722627470802</v>
      </c>
      <c r="F3326" s="27" t="n">
        <v>7.19722627470802</v>
      </c>
      <c r="G3326" s="25" t="s">
        <v>698</v>
      </c>
      <c r="H3326" s="25" t="s">
        <v>699</v>
      </c>
      <c r="I3326" s="25" t="n">
        <f aca="false">IFERROR(IF(INDEX(Documents!$C$5:$C$657,MATCH(H3326,Documents!$A$5:$A$657,0))="","",INDEX(Documents!$C$5:$C$657,MATCH(H3326,Documents!$A$5:$A$657,0))),"")</f>
        <v>2013</v>
      </c>
      <c r="J3326" s="25" t="str">
        <f aca="false">IFERROR(IF(INDEX(Documents!$D$5:$D$657,MATCH(H3326,Documents!$A$5:$A$657,0))="","",INDEX(Documents!$D$5:$D$657,MATCH(H3326,Documents!$A$5:$A$657,0))),"")</f>
        <v>J Med Chem</v>
      </c>
      <c r="K3326" s="25" t="str">
        <f aca="false">IFERROR(IF(INDEX(Documents!$G$5:$G$657,MATCH(H3326,Documents!$A$5:$A$657,0))="","",INDEX(Documents!$G$5:$G$657,MATCH(H3326,Documents!$A$5:$A$657,0))),"")</f>
        <v>10.1021/jm4000775</v>
      </c>
      <c r="L3326" s="25" t="s">
        <v>700</v>
      </c>
    </row>
    <row r="3327" customFormat="false" ht="15" hidden="false" customHeight="false" outlineLevel="0" collapsed="false">
      <c r="A3327" s="25" t="n">
        <v>5205791</v>
      </c>
      <c r="B3327" s="25" t="s">
        <v>7072</v>
      </c>
      <c r="C3327" s="25" t="s">
        <v>7073</v>
      </c>
      <c r="D3327" s="26" t="n">
        <v>7.586</v>
      </c>
      <c r="E3327" s="27" t="n">
        <v>8.11998716163323</v>
      </c>
      <c r="F3327" s="27" t="n">
        <v>8.11998716163323</v>
      </c>
      <c r="G3327" s="25" t="s">
        <v>461</v>
      </c>
      <c r="H3327" s="25" t="s">
        <v>462</v>
      </c>
      <c r="I3327" s="25" t="n">
        <f aca="false">IFERROR(IF(INDEX(Documents!$C$5:$C$657,MATCH(H3327,Documents!$A$5:$A$657,0))="","",INDEX(Documents!$C$5:$C$657,MATCH(H3327,Documents!$A$5:$A$657,0))),"")</f>
        <v>2011</v>
      </c>
      <c r="J3327" s="25" t="str">
        <f aca="false">IFERROR(IF(INDEX(Documents!$D$5:$D$657,MATCH(H3327,Documents!$A$5:$A$657,0))="","",INDEX(Documents!$D$5:$D$657,MATCH(H3327,Documents!$A$5:$A$657,0))),"")</f>
        <v>Eur J Med Chem</v>
      </c>
      <c r="K3327" s="25" t="str">
        <f aca="false">IFERROR(IF(INDEX(Documents!$G$5:$G$657,MATCH(H3327,Documents!$A$5:$A$657,0))="","",INDEX(Documents!$G$5:$G$657,MATCH(H3327,Documents!$A$5:$A$657,0))),"")</f>
        <v>10.1016/j.ejmech.2010.11.034</v>
      </c>
      <c r="L3327" s="25" t="s">
        <v>463</v>
      </c>
    </row>
    <row r="3328" customFormat="false" ht="15" hidden="false" customHeight="false" outlineLevel="0" collapsed="false">
      <c r="A3328" s="25" t="n">
        <v>5205743</v>
      </c>
      <c r="B3328" s="25" t="s">
        <v>7074</v>
      </c>
      <c r="C3328" s="25" t="s">
        <v>7075</v>
      </c>
      <c r="D3328" s="26" t="n">
        <v>0.04</v>
      </c>
      <c r="E3328" s="27" t="n">
        <v>10.397940008672</v>
      </c>
      <c r="F3328" s="27" t="n">
        <v>10.4148691423025</v>
      </c>
      <c r="G3328" s="25" t="s">
        <v>461</v>
      </c>
      <c r="H3328" s="25" t="s">
        <v>462</v>
      </c>
      <c r="I3328" s="25" t="n">
        <f aca="false">IFERROR(IF(INDEX(Documents!$C$5:$C$657,MATCH(H3328,Documents!$A$5:$A$657,0))="","",INDEX(Documents!$C$5:$C$657,MATCH(H3328,Documents!$A$5:$A$657,0))),"")</f>
        <v>2011</v>
      </c>
      <c r="J3328" s="25" t="str">
        <f aca="false">IFERROR(IF(INDEX(Documents!$D$5:$D$657,MATCH(H3328,Documents!$A$5:$A$657,0))="","",INDEX(Documents!$D$5:$D$657,MATCH(H3328,Documents!$A$5:$A$657,0))),"")</f>
        <v>Eur J Med Chem</v>
      </c>
      <c r="K3328" s="25" t="str">
        <f aca="false">IFERROR(IF(INDEX(Documents!$G$5:$G$657,MATCH(H3328,Documents!$A$5:$A$657,0))="","",INDEX(Documents!$G$5:$G$657,MATCH(H3328,Documents!$A$5:$A$657,0))),"")</f>
        <v>10.1016/j.ejmech.2010.11.034</v>
      </c>
      <c r="L3328" s="25" t="s">
        <v>463</v>
      </c>
    </row>
    <row r="3329" customFormat="false" ht="15" hidden="false" customHeight="false" outlineLevel="0" collapsed="false">
      <c r="A3329" s="25" t="n">
        <v>14573922</v>
      </c>
      <c r="B3329" s="25" t="s">
        <v>7074</v>
      </c>
      <c r="C3329" s="25" t="s">
        <v>7075</v>
      </c>
      <c r="D3329" s="26" t="n">
        <v>0.037</v>
      </c>
      <c r="E3329" s="27" t="n">
        <v>10.431798275933</v>
      </c>
      <c r="F3329" s="27" t="n">
        <v>10.4148691423025</v>
      </c>
      <c r="G3329" s="25" t="s">
        <v>1357</v>
      </c>
      <c r="H3329" s="25" t="s">
        <v>1358</v>
      </c>
      <c r="I3329" s="25" t="n">
        <f aca="false">IFERROR(IF(INDEX(Documents!$C$5:$C$657,MATCH(H3329,Documents!$A$5:$A$657,0))="","",INDEX(Documents!$C$5:$C$657,MATCH(H3329,Documents!$A$5:$A$657,0))),"")</f>
        <v>2013</v>
      </c>
      <c r="J3329" s="25" t="str">
        <f aca="false">IFERROR(IF(INDEX(Documents!$D$5:$D$657,MATCH(H3329,Documents!$A$5:$A$657,0))="","",INDEX(Documents!$D$5:$D$657,MATCH(H3329,Documents!$A$5:$A$657,0))),"")</f>
        <v>J Med Chem</v>
      </c>
      <c r="K3329" s="25" t="str">
        <f aca="false">IFERROR(IF(INDEX(Documents!$G$5:$G$657,MATCH(H3329,Documents!$A$5:$A$657,0))="","",INDEX(Documents!$G$5:$G$657,MATCH(H3329,Documents!$A$5:$A$657,0))),"")</f>
        <v>10.1021/jm4005626</v>
      </c>
      <c r="L3329" s="25" t="s">
        <v>1359</v>
      </c>
    </row>
    <row r="3330" customFormat="false" ht="15" hidden="false" customHeight="false" outlineLevel="0" collapsed="false">
      <c r="A3330" s="25" t="n">
        <v>22856264</v>
      </c>
      <c r="B3330" s="25" t="s">
        <v>7076</v>
      </c>
      <c r="C3330" s="25" t="s">
        <v>7077</v>
      </c>
      <c r="D3330" s="26" t="n">
        <v>320</v>
      </c>
      <c r="E3330" s="27" t="n">
        <v>6.49485002168009</v>
      </c>
      <c r="F3330" s="27" t="n">
        <v>6.49485002168009</v>
      </c>
      <c r="G3330" s="25" t="s">
        <v>7078</v>
      </c>
      <c r="H3330" s="25" t="s">
        <v>7079</v>
      </c>
      <c r="I3330" s="25" t="n">
        <f aca="false">IFERROR(IF(INDEX(Documents!$C$5:$C$657,MATCH(H3330,Documents!$A$5:$A$657,0))="","",INDEX(Documents!$C$5:$C$657,MATCH(H3330,Documents!$A$5:$A$657,0))),"")</f>
        <v>2021</v>
      </c>
      <c r="J3330" s="25" t="str">
        <f aca="false">IFERROR(IF(INDEX(Documents!$D$5:$D$657,MATCH(H3330,Documents!$A$5:$A$657,0))="","",INDEX(Documents!$D$5:$D$657,MATCH(H3330,Documents!$A$5:$A$657,0))),"")</f>
        <v>Bioorg Med Chem</v>
      </c>
      <c r="K3330" s="25" t="str">
        <f aca="false">IFERROR(IF(INDEX(Documents!$G$5:$G$657,MATCH(H3330,Documents!$A$5:$A$657,0))="","",INDEX(Documents!$G$5:$G$657,MATCH(H3330,Documents!$A$5:$A$657,0))),"")</f>
        <v>10.1016/j.bmc.2021.116035</v>
      </c>
      <c r="L3330" s="25" t="s">
        <v>7080</v>
      </c>
    </row>
    <row r="3331" customFormat="false" ht="15" hidden="false" customHeight="false" outlineLevel="0" collapsed="false">
      <c r="A3331" s="25" t="n">
        <v>22856253</v>
      </c>
      <c r="B3331" s="25" t="s">
        <v>7081</v>
      </c>
      <c r="C3331" s="25" t="s">
        <v>7082</v>
      </c>
      <c r="D3331" s="26" t="n">
        <v>975</v>
      </c>
      <c r="E3331" s="27" t="n">
        <v>6.01099538430146</v>
      </c>
      <c r="F3331" s="27" t="n">
        <v>6.01099538430146</v>
      </c>
      <c r="G3331" s="25" t="s">
        <v>7078</v>
      </c>
      <c r="H3331" s="25" t="s">
        <v>7079</v>
      </c>
      <c r="I3331" s="25" t="n">
        <f aca="false">IFERROR(IF(INDEX(Documents!$C$5:$C$657,MATCH(H3331,Documents!$A$5:$A$657,0))="","",INDEX(Documents!$C$5:$C$657,MATCH(H3331,Documents!$A$5:$A$657,0))),"")</f>
        <v>2021</v>
      </c>
      <c r="J3331" s="25" t="str">
        <f aca="false">IFERROR(IF(INDEX(Documents!$D$5:$D$657,MATCH(H3331,Documents!$A$5:$A$657,0))="","",INDEX(Documents!$D$5:$D$657,MATCH(H3331,Documents!$A$5:$A$657,0))),"")</f>
        <v>Bioorg Med Chem</v>
      </c>
      <c r="K3331" s="25" t="str">
        <f aca="false">IFERROR(IF(INDEX(Documents!$G$5:$G$657,MATCH(H3331,Documents!$A$5:$A$657,0))="","",INDEX(Documents!$G$5:$G$657,MATCH(H3331,Documents!$A$5:$A$657,0))),"")</f>
        <v>10.1016/j.bmc.2021.116035</v>
      </c>
      <c r="L3331" s="25" t="s">
        <v>7080</v>
      </c>
    </row>
    <row r="3332" customFormat="false" ht="15" hidden="false" customHeight="false" outlineLevel="0" collapsed="false">
      <c r="A3332" s="25" t="n">
        <v>15685997</v>
      </c>
      <c r="B3332" s="25" t="s">
        <v>7083</v>
      </c>
      <c r="C3332" s="25" t="s">
        <v>7084</v>
      </c>
      <c r="D3332" s="26" t="n">
        <v>2618</v>
      </c>
      <c r="E3332" s="27" t="n">
        <v>5.58203035778526</v>
      </c>
      <c r="F3332" s="27" t="n">
        <v>5.58203035778526</v>
      </c>
      <c r="G3332" s="25" t="s">
        <v>817</v>
      </c>
      <c r="H3332" s="25" t="s">
        <v>818</v>
      </c>
      <c r="I3332" s="25" t="n">
        <f aca="false">IFERROR(IF(INDEX(Documents!$C$5:$C$657,MATCH(H3332,Documents!$A$5:$A$657,0))="","",INDEX(Documents!$C$5:$C$657,MATCH(H3332,Documents!$A$5:$A$657,0))),"")</f>
        <v>2015</v>
      </c>
      <c r="J3332" s="25" t="str">
        <f aca="false">IFERROR(IF(INDEX(Documents!$D$5:$D$657,MATCH(H3332,Documents!$A$5:$A$657,0))="","",INDEX(Documents!$D$5:$D$657,MATCH(H3332,Documents!$A$5:$A$657,0))),"")</f>
        <v>Bioorg Med Chem</v>
      </c>
      <c r="K3332" s="25" t="str">
        <f aca="false">IFERROR(IF(INDEX(Documents!$G$5:$G$657,MATCH(H3332,Documents!$A$5:$A$657,0))="","",INDEX(Documents!$G$5:$G$657,MATCH(H3332,Documents!$A$5:$A$657,0))),"")</f>
        <v>10.1016/j.bmc.2015.07.057</v>
      </c>
      <c r="L3332" s="25" t="s">
        <v>819</v>
      </c>
    </row>
    <row r="3333" customFormat="false" ht="15" hidden="false" customHeight="false" outlineLevel="0" collapsed="false">
      <c r="A3333" s="25" t="n">
        <v>12052743</v>
      </c>
      <c r="B3333" s="25" t="s">
        <v>7085</v>
      </c>
      <c r="C3333" s="25" t="s">
        <v>7086</v>
      </c>
      <c r="D3333" s="26" t="n">
        <v>31.5</v>
      </c>
      <c r="E3333" s="27" t="n">
        <v>7.5016894462104</v>
      </c>
      <c r="F3333" s="27" t="n">
        <v>7.5016894462104</v>
      </c>
      <c r="G3333" s="25" t="s">
        <v>587</v>
      </c>
      <c r="H3333" s="25" t="s">
        <v>588</v>
      </c>
      <c r="I3333" s="25" t="n">
        <f aca="false">IFERROR(IF(INDEX(Documents!$C$5:$C$657,MATCH(H3333,Documents!$A$5:$A$657,0))="","",INDEX(Documents!$C$5:$C$657,MATCH(H3333,Documents!$A$5:$A$657,0))),"")</f>
        <v>2012</v>
      </c>
      <c r="J3333" s="25" t="str">
        <f aca="false">IFERROR(IF(INDEX(Documents!$D$5:$D$657,MATCH(H3333,Documents!$A$5:$A$657,0))="","",INDEX(Documents!$D$5:$D$657,MATCH(H3333,Documents!$A$5:$A$657,0))),"")</f>
        <v>Eur J Med Chem</v>
      </c>
      <c r="K3333" s="25" t="str">
        <f aca="false">IFERROR(IF(INDEX(Documents!$G$5:$G$657,MATCH(H3333,Documents!$A$5:$A$657,0))="","",INDEX(Documents!$G$5:$G$657,MATCH(H3333,Documents!$A$5:$A$657,0))),"")</f>
        <v>10.1016/j.ejmech.2012.09.035</v>
      </c>
      <c r="L3333" s="25" t="s">
        <v>589</v>
      </c>
    </row>
    <row r="3334" customFormat="false" ht="15" hidden="false" customHeight="false" outlineLevel="0" collapsed="false">
      <c r="A3334" s="25" t="n">
        <v>12052753</v>
      </c>
      <c r="B3334" s="25" t="s">
        <v>7087</v>
      </c>
      <c r="C3334" s="25" t="s">
        <v>7088</v>
      </c>
      <c r="D3334" s="26" t="n">
        <v>139.1</v>
      </c>
      <c r="E3334" s="27" t="n">
        <v>6.85667287000795</v>
      </c>
      <c r="F3334" s="27" t="n">
        <v>6.85667287000795</v>
      </c>
      <c r="G3334" s="25" t="s">
        <v>587</v>
      </c>
      <c r="H3334" s="25" t="s">
        <v>588</v>
      </c>
      <c r="I3334" s="25" t="n">
        <f aca="false">IFERROR(IF(INDEX(Documents!$C$5:$C$657,MATCH(H3334,Documents!$A$5:$A$657,0))="","",INDEX(Documents!$C$5:$C$657,MATCH(H3334,Documents!$A$5:$A$657,0))),"")</f>
        <v>2012</v>
      </c>
      <c r="J3334" s="25" t="str">
        <f aca="false">IFERROR(IF(INDEX(Documents!$D$5:$D$657,MATCH(H3334,Documents!$A$5:$A$657,0))="","",INDEX(Documents!$D$5:$D$657,MATCH(H3334,Documents!$A$5:$A$657,0))),"")</f>
        <v>Eur J Med Chem</v>
      </c>
      <c r="K3334" s="25" t="str">
        <f aca="false">IFERROR(IF(INDEX(Documents!$G$5:$G$657,MATCH(H3334,Documents!$A$5:$A$657,0))="","",INDEX(Documents!$G$5:$G$657,MATCH(H3334,Documents!$A$5:$A$657,0))),"")</f>
        <v>10.1016/j.ejmech.2012.09.035</v>
      </c>
      <c r="L3334" s="25" t="s">
        <v>589</v>
      </c>
    </row>
    <row r="3335" customFormat="false" ht="15" hidden="false" customHeight="false" outlineLevel="0" collapsed="false">
      <c r="A3335" s="25" t="n">
        <v>12666614</v>
      </c>
      <c r="B3335" s="25" t="s">
        <v>7089</v>
      </c>
      <c r="C3335" s="25" t="s">
        <v>7090</v>
      </c>
      <c r="D3335" s="26" t="n">
        <v>170</v>
      </c>
      <c r="E3335" s="27" t="n">
        <v>6.76955107862173</v>
      </c>
      <c r="F3335" s="27" t="n">
        <v>6.76955107862173</v>
      </c>
      <c r="G3335" s="25" t="s">
        <v>1351</v>
      </c>
      <c r="H3335" s="25" t="s">
        <v>1352</v>
      </c>
      <c r="I3335" s="25" t="n">
        <f aca="false">IFERROR(IF(INDEX(Documents!$C$5:$C$657,MATCH(H3335,Documents!$A$5:$A$657,0))="","",INDEX(Documents!$C$5:$C$657,MATCH(H3335,Documents!$A$5:$A$657,0))),"")</f>
        <v>2013</v>
      </c>
      <c r="J3335" s="25" t="str">
        <f aca="false">IFERROR(IF(INDEX(Documents!$D$5:$D$657,MATCH(H3335,Documents!$A$5:$A$657,0))="","",INDEX(Documents!$D$5:$D$657,MATCH(H3335,Documents!$A$5:$A$657,0))),"")</f>
        <v>Bioorg Med Chem Lett</v>
      </c>
      <c r="K3335" s="25" t="str">
        <f aca="false">IFERROR(IF(INDEX(Documents!$G$5:$G$657,MATCH(H3335,Documents!$A$5:$A$657,0))="","",INDEX(Documents!$G$5:$G$657,MATCH(H3335,Documents!$A$5:$A$657,0))),"")</f>
        <v>10.1016/j.bmcl.2013.01.044</v>
      </c>
      <c r="L3335" s="25" t="s">
        <v>515</v>
      </c>
    </row>
    <row r="3336" customFormat="false" ht="15" hidden="false" customHeight="false" outlineLevel="0" collapsed="false">
      <c r="A3336" s="25" t="n">
        <v>12666611</v>
      </c>
      <c r="B3336" s="25" t="s">
        <v>7091</v>
      </c>
      <c r="C3336" s="25" t="s">
        <v>7092</v>
      </c>
      <c r="D3336" s="26" t="n">
        <v>600</v>
      </c>
      <c r="E3336" s="27" t="n">
        <v>6.22184874961636</v>
      </c>
      <c r="F3336" s="27" t="n">
        <v>6.22184874961636</v>
      </c>
      <c r="G3336" s="25" t="s">
        <v>1351</v>
      </c>
      <c r="H3336" s="25" t="s">
        <v>1352</v>
      </c>
      <c r="I3336" s="25" t="n">
        <f aca="false">IFERROR(IF(INDEX(Documents!$C$5:$C$657,MATCH(H3336,Documents!$A$5:$A$657,0))="","",INDEX(Documents!$C$5:$C$657,MATCH(H3336,Documents!$A$5:$A$657,0))),"")</f>
        <v>2013</v>
      </c>
      <c r="J3336" s="25" t="str">
        <f aca="false">IFERROR(IF(INDEX(Documents!$D$5:$D$657,MATCH(H3336,Documents!$A$5:$A$657,0))="","",INDEX(Documents!$D$5:$D$657,MATCH(H3336,Documents!$A$5:$A$657,0))),"")</f>
        <v>Bioorg Med Chem Lett</v>
      </c>
      <c r="K3336" s="25" t="str">
        <f aca="false">IFERROR(IF(INDEX(Documents!$G$5:$G$657,MATCH(H3336,Documents!$A$5:$A$657,0))="","",INDEX(Documents!$G$5:$G$657,MATCH(H3336,Documents!$A$5:$A$657,0))),"")</f>
        <v>10.1016/j.bmcl.2013.01.044</v>
      </c>
      <c r="L3336" s="25" t="s">
        <v>515</v>
      </c>
    </row>
    <row r="3337" customFormat="false" ht="15" hidden="false" customHeight="false" outlineLevel="0" collapsed="false">
      <c r="A3337" s="25" t="n">
        <v>18588981</v>
      </c>
      <c r="B3337" s="25" t="s">
        <v>7093</v>
      </c>
      <c r="C3337" s="25" t="s">
        <v>7094</v>
      </c>
      <c r="D3337" s="26" t="n">
        <v>4600</v>
      </c>
      <c r="E3337" s="27" t="n">
        <v>5.33724216831843</v>
      </c>
      <c r="F3337" s="27" t="n">
        <v>5.33724216831843</v>
      </c>
      <c r="G3337" s="25" t="s">
        <v>1175</v>
      </c>
      <c r="H3337" s="25" t="s">
        <v>1176</v>
      </c>
      <c r="I3337" s="25" t="n">
        <f aca="false">IFERROR(IF(INDEX(Documents!$C$5:$C$657,MATCH(H3337,Documents!$A$5:$A$657,0))="","",INDEX(Documents!$C$5:$C$657,MATCH(H3337,Documents!$A$5:$A$657,0))),"")</f>
        <v>2018</v>
      </c>
      <c r="J3337" s="25" t="str">
        <f aca="false">IFERROR(IF(INDEX(Documents!$D$5:$D$657,MATCH(H3337,Documents!$A$5:$A$657,0))="","",INDEX(Documents!$D$5:$D$657,MATCH(H3337,Documents!$A$5:$A$657,0))),"")</f>
        <v>J Med Chem</v>
      </c>
      <c r="K3337" s="25" t="str">
        <f aca="false">IFERROR(IF(INDEX(Documents!$G$5:$G$657,MATCH(H3337,Documents!$A$5:$A$657,0))="","",INDEX(Documents!$G$5:$G$657,MATCH(H3337,Documents!$A$5:$A$657,0))),"")</f>
        <v>10.1021/acs.jmedchem.7b01820</v>
      </c>
      <c r="L3337" s="25" t="s">
        <v>1177</v>
      </c>
    </row>
    <row r="3338" customFormat="false" ht="15" hidden="false" customHeight="false" outlineLevel="0" collapsed="false">
      <c r="A3338" s="25" t="n">
        <v>13321875</v>
      </c>
      <c r="B3338" s="25" t="s">
        <v>7095</v>
      </c>
      <c r="C3338" s="25" t="s">
        <v>7096</v>
      </c>
      <c r="D3338" s="26" t="n">
        <v>1560</v>
      </c>
      <c r="E3338" s="27" t="n">
        <v>5.80687540164554</v>
      </c>
      <c r="F3338" s="27" t="n">
        <v>5.80687540164554</v>
      </c>
      <c r="G3338" s="25" t="s">
        <v>3101</v>
      </c>
      <c r="H3338" s="25" t="s">
        <v>3102</v>
      </c>
      <c r="I3338" s="25" t="n">
        <f aca="false">IFERROR(IF(INDEX(Documents!$C$5:$C$657,MATCH(H3338,Documents!$A$5:$A$657,0))="","",INDEX(Documents!$C$5:$C$657,MATCH(H3338,Documents!$A$5:$A$657,0))),"")</f>
        <v>2013</v>
      </c>
      <c r="J3338" s="25" t="str">
        <f aca="false">IFERROR(IF(INDEX(Documents!$D$5:$D$657,MATCH(H3338,Documents!$A$5:$A$657,0))="","",INDEX(Documents!$D$5:$D$657,MATCH(H3338,Documents!$A$5:$A$657,0))),"")</f>
        <v>J Med Chem</v>
      </c>
      <c r="K3338" s="25" t="str">
        <f aca="false">IFERROR(IF(INDEX(Documents!$G$5:$G$657,MATCH(H3338,Documents!$A$5:$A$657,0))="","",INDEX(Documents!$G$5:$G$657,MATCH(H3338,Documents!$A$5:$A$657,0))),"")</f>
        <v>10.1021/jm4005175</v>
      </c>
      <c r="L3338" s="25" t="s">
        <v>3103</v>
      </c>
    </row>
    <row r="3339" customFormat="false" ht="15" hidden="false" customHeight="false" outlineLevel="0" collapsed="false">
      <c r="A3339" s="25" t="n">
        <v>18428379</v>
      </c>
      <c r="B3339" s="25" t="s">
        <v>7097</v>
      </c>
      <c r="C3339" s="25" t="s">
        <v>7098</v>
      </c>
      <c r="D3339" s="26" t="n">
        <v>5.9</v>
      </c>
      <c r="E3339" s="27" t="n">
        <v>8.22914798835786</v>
      </c>
      <c r="F3339" s="27" t="n">
        <v>8.22914798835786</v>
      </c>
      <c r="G3339" s="25" t="s">
        <v>5818</v>
      </c>
      <c r="H3339" s="25" t="s">
        <v>5819</v>
      </c>
      <c r="I3339" s="25" t="n">
        <f aca="false">IFERROR(IF(INDEX(Documents!$C$5:$C$657,MATCH(H3339,Documents!$A$5:$A$657,0))="","",INDEX(Documents!$C$5:$C$657,MATCH(H3339,Documents!$A$5:$A$657,0))),"")</f>
        <v>2018</v>
      </c>
      <c r="J3339" s="25" t="str">
        <f aca="false">IFERROR(IF(INDEX(Documents!$D$5:$D$657,MATCH(H3339,Documents!$A$5:$A$657,0))="","",INDEX(Documents!$D$5:$D$657,MATCH(H3339,Documents!$A$5:$A$657,0))),"")</f>
        <v>Eur J Med Chem</v>
      </c>
      <c r="K3339" s="25" t="str">
        <f aca="false">IFERROR(IF(INDEX(Documents!$G$5:$G$657,MATCH(H3339,Documents!$A$5:$A$657,0))="","",INDEX(Documents!$G$5:$G$657,MATCH(H3339,Documents!$A$5:$A$657,0))),"")</f>
        <v>10.1016/j.ejmech.2018.05.019</v>
      </c>
      <c r="L3339" s="25" t="s">
        <v>5820</v>
      </c>
    </row>
    <row r="3340" customFormat="false" ht="15" hidden="false" customHeight="false" outlineLevel="0" collapsed="false">
      <c r="A3340" s="25" t="n">
        <v>18428389</v>
      </c>
      <c r="B3340" s="25" t="s">
        <v>7099</v>
      </c>
      <c r="C3340" s="25" t="s">
        <v>7100</v>
      </c>
      <c r="D3340" s="26" t="n">
        <v>46.3</v>
      </c>
      <c r="E3340" s="27" t="n">
        <v>7.33441900898205</v>
      </c>
      <c r="F3340" s="27" t="n">
        <v>7.33441900898205</v>
      </c>
      <c r="G3340" s="25" t="s">
        <v>5818</v>
      </c>
      <c r="H3340" s="25" t="s">
        <v>5819</v>
      </c>
      <c r="I3340" s="25" t="n">
        <f aca="false">IFERROR(IF(INDEX(Documents!$C$5:$C$657,MATCH(H3340,Documents!$A$5:$A$657,0))="","",INDEX(Documents!$C$5:$C$657,MATCH(H3340,Documents!$A$5:$A$657,0))),"")</f>
        <v>2018</v>
      </c>
      <c r="J3340" s="25" t="str">
        <f aca="false">IFERROR(IF(INDEX(Documents!$D$5:$D$657,MATCH(H3340,Documents!$A$5:$A$657,0))="","",INDEX(Documents!$D$5:$D$657,MATCH(H3340,Documents!$A$5:$A$657,0))),"")</f>
        <v>Eur J Med Chem</v>
      </c>
      <c r="K3340" s="25" t="str">
        <f aca="false">IFERROR(IF(INDEX(Documents!$G$5:$G$657,MATCH(H3340,Documents!$A$5:$A$657,0))="","",INDEX(Documents!$G$5:$G$657,MATCH(H3340,Documents!$A$5:$A$657,0))),"")</f>
        <v>10.1016/j.ejmech.2018.05.019</v>
      </c>
      <c r="L3340" s="25" t="s">
        <v>5820</v>
      </c>
    </row>
    <row r="3341" customFormat="false" ht="15" hidden="false" customHeight="false" outlineLevel="0" collapsed="false">
      <c r="A3341" s="25" t="n">
        <v>3011904</v>
      </c>
      <c r="B3341" s="25" t="s">
        <v>7101</v>
      </c>
      <c r="C3341" s="25" t="s">
        <v>7102</v>
      </c>
      <c r="D3341" s="26" t="n">
        <v>81</v>
      </c>
      <c r="E3341" s="27" t="n">
        <v>7.09151498112135</v>
      </c>
      <c r="F3341" s="27" t="n">
        <v>7.09151498112135</v>
      </c>
      <c r="G3341" s="25" t="s">
        <v>1780</v>
      </c>
      <c r="H3341" s="25" t="s">
        <v>1781</v>
      </c>
      <c r="I3341" s="25" t="n">
        <f aca="false">IFERROR(IF(INDEX(Documents!$C$5:$C$657,MATCH(H3341,Documents!$A$5:$A$657,0))="","",INDEX(Documents!$C$5:$C$657,MATCH(H3341,Documents!$A$5:$A$657,0))),"")</f>
        <v>2009</v>
      </c>
      <c r="J3341" s="25" t="str">
        <f aca="false">IFERROR(IF(INDEX(Documents!$D$5:$D$657,MATCH(H3341,Documents!$A$5:$A$657,0))="","",INDEX(Documents!$D$5:$D$657,MATCH(H3341,Documents!$A$5:$A$657,0))),"")</f>
        <v>Bioorg Med Chem Lett</v>
      </c>
      <c r="K3341" s="25" t="str">
        <f aca="false">IFERROR(IF(INDEX(Documents!$G$5:$G$657,MATCH(H3341,Documents!$A$5:$A$657,0))="","",INDEX(Documents!$G$5:$G$657,MATCH(H3341,Documents!$A$5:$A$657,0))),"")</f>
        <v>10.1016/j.bmcl.2009.08.063</v>
      </c>
      <c r="L3341" s="25" t="s">
        <v>1782</v>
      </c>
    </row>
    <row r="3342" customFormat="false" ht="15" hidden="false" customHeight="false" outlineLevel="0" collapsed="false">
      <c r="A3342" s="25" t="n">
        <v>3011910</v>
      </c>
      <c r="B3342" s="25" t="s">
        <v>7103</v>
      </c>
      <c r="C3342" s="25" t="s">
        <v>7104</v>
      </c>
      <c r="D3342" s="26" t="n">
        <v>1.9</v>
      </c>
      <c r="E3342" s="27" t="n">
        <v>8.72124639904717</v>
      </c>
      <c r="F3342" s="27" t="n">
        <v>8.72124639904717</v>
      </c>
      <c r="G3342" s="25" t="s">
        <v>1780</v>
      </c>
      <c r="H3342" s="25" t="s">
        <v>1781</v>
      </c>
      <c r="I3342" s="25" t="n">
        <f aca="false">IFERROR(IF(INDEX(Documents!$C$5:$C$657,MATCH(H3342,Documents!$A$5:$A$657,0))="","",INDEX(Documents!$C$5:$C$657,MATCH(H3342,Documents!$A$5:$A$657,0))),"")</f>
        <v>2009</v>
      </c>
      <c r="J3342" s="25" t="str">
        <f aca="false">IFERROR(IF(INDEX(Documents!$D$5:$D$657,MATCH(H3342,Documents!$A$5:$A$657,0))="","",INDEX(Documents!$D$5:$D$657,MATCH(H3342,Documents!$A$5:$A$657,0))),"")</f>
        <v>Bioorg Med Chem Lett</v>
      </c>
      <c r="K3342" s="25" t="str">
        <f aca="false">IFERROR(IF(INDEX(Documents!$G$5:$G$657,MATCH(H3342,Documents!$A$5:$A$657,0))="","",INDEX(Documents!$G$5:$G$657,MATCH(H3342,Documents!$A$5:$A$657,0))),"")</f>
        <v>10.1016/j.bmcl.2009.08.063</v>
      </c>
      <c r="L3342" s="25" t="s">
        <v>1782</v>
      </c>
    </row>
    <row r="3343" customFormat="false" ht="15" hidden="false" customHeight="false" outlineLevel="0" collapsed="false">
      <c r="A3343" s="25" t="n">
        <v>1962668</v>
      </c>
      <c r="B3343" s="25" t="s">
        <v>7105</v>
      </c>
      <c r="C3343" s="25" t="s">
        <v>7106</v>
      </c>
      <c r="D3343" s="26" t="n">
        <v>28000</v>
      </c>
      <c r="E3343" s="27" t="n">
        <v>4.55284196865778</v>
      </c>
      <c r="F3343" s="27" t="n">
        <v>4.55284196865778</v>
      </c>
      <c r="G3343" s="25" t="s">
        <v>7107</v>
      </c>
      <c r="H3343" s="25" t="s">
        <v>7108</v>
      </c>
      <c r="I3343" s="25" t="n">
        <f aca="false">IFERROR(IF(INDEX(Documents!$C$5:$C$657,MATCH(H3343,Documents!$A$5:$A$657,0))="","",INDEX(Documents!$C$5:$C$657,MATCH(H3343,Documents!$A$5:$A$657,0))),"")</f>
        <v>2007</v>
      </c>
      <c r="J3343" s="25" t="str">
        <f aca="false">IFERROR(IF(INDEX(Documents!$D$5:$D$657,MATCH(H3343,Documents!$A$5:$A$657,0))="","",INDEX(Documents!$D$5:$D$657,MATCH(H3343,Documents!$A$5:$A$657,0))),"")</f>
        <v>Bioorg Med Chem Lett</v>
      </c>
      <c r="K3343" s="25" t="str">
        <f aca="false">IFERROR(IF(INDEX(Documents!$G$5:$G$657,MATCH(H3343,Documents!$A$5:$A$657,0))="","",INDEX(Documents!$G$5:$G$657,MATCH(H3343,Documents!$A$5:$A$657,0))),"")</f>
        <v>10.1016/j.bmcl.2007.04.009</v>
      </c>
      <c r="L3343" s="25" t="s">
        <v>7109</v>
      </c>
    </row>
    <row r="3344" customFormat="false" ht="15" hidden="false" customHeight="false" outlineLevel="0" collapsed="false">
      <c r="A3344" s="25" t="n">
        <v>3102066</v>
      </c>
      <c r="B3344" s="25" t="s">
        <v>7110</v>
      </c>
      <c r="C3344" s="25" t="s">
        <v>7111</v>
      </c>
      <c r="D3344" s="26" t="n">
        <v>8.4</v>
      </c>
      <c r="E3344" s="27" t="n">
        <v>8.07572071393812</v>
      </c>
      <c r="F3344" s="27" t="n">
        <v>8.07572071393812</v>
      </c>
      <c r="G3344" s="25" t="s">
        <v>4178</v>
      </c>
      <c r="H3344" s="25" t="s">
        <v>4179</v>
      </c>
      <c r="I3344" s="25" t="n">
        <f aca="false">IFERROR(IF(INDEX(Documents!$C$5:$C$657,MATCH(H3344,Documents!$A$5:$A$657,0))="","",INDEX(Documents!$C$5:$C$657,MATCH(H3344,Documents!$A$5:$A$657,0))),"")</f>
        <v>2010</v>
      </c>
      <c r="J3344" s="25" t="str">
        <f aca="false">IFERROR(IF(INDEX(Documents!$D$5:$D$657,MATCH(H3344,Documents!$A$5:$A$657,0))="","",INDEX(Documents!$D$5:$D$657,MATCH(H3344,Documents!$A$5:$A$657,0))),"")</f>
        <v>Bioorg Med Chem Lett</v>
      </c>
      <c r="K3344" s="25" t="str">
        <f aca="false">IFERROR(IF(INDEX(Documents!$G$5:$G$657,MATCH(H3344,Documents!$A$5:$A$657,0))="","",INDEX(Documents!$G$5:$G$657,MATCH(H3344,Documents!$A$5:$A$657,0))),"")</f>
        <v>10.1016/j.bmcl.2009.12.032</v>
      </c>
      <c r="L3344" s="25" t="s">
        <v>659</v>
      </c>
    </row>
    <row r="3345" customFormat="false" ht="15" hidden="false" customHeight="false" outlineLevel="0" collapsed="false">
      <c r="A3345" s="25" t="n">
        <v>3102057</v>
      </c>
      <c r="B3345" s="25" t="s">
        <v>7112</v>
      </c>
      <c r="C3345" s="25" t="s">
        <v>7113</v>
      </c>
      <c r="D3345" s="26" t="n">
        <v>2.7</v>
      </c>
      <c r="E3345" s="27" t="n">
        <v>8.56863623584101</v>
      </c>
      <c r="F3345" s="27" t="n">
        <v>8.56863623584101</v>
      </c>
      <c r="G3345" s="25" t="s">
        <v>4178</v>
      </c>
      <c r="H3345" s="25" t="s">
        <v>4179</v>
      </c>
      <c r="I3345" s="25" t="n">
        <f aca="false">IFERROR(IF(INDEX(Documents!$C$5:$C$657,MATCH(H3345,Documents!$A$5:$A$657,0))="","",INDEX(Documents!$C$5:$C$657,MATCH(H3345,Documents!$A$5:$A$657,0))),"")</f>
        <v>2010</v>
      </c>
      <c r="J3345" s="25" t="str">
        <f aca="false">IFERROR(IF(INDEX(Documents!$D$5:$D$657,MATCH(H3345,Documents!$A$5:$A$657,0))="","",INDEX(Documents!$D$5:$D$657,MATCH(H3345,Documents!$A$5:$A$657,0))),"")</f>
        <v>Bioorg Med Chem Lett</v>
      </c>
      <c r="K3345" s="25" t="str">
        <f aca="false">IFERROR(IF(INDEX(Documents!$G$5:$G$657,MATCH(H3345,Documents!$A$5:$A$657,0))="","",INDEX(Documents!$G$5:$G$657,MATCH(H3345,Documents!$A$5:$A$657,0))),"")</f>
        <v>10.1016/j.bmcl.2009.12.032</v>
      </c>
      <c r="L3345" s="25" t="s">
        <v>659</v>
      </c>
    </row>
    <row r="3346" customFormat="false" ht="15" hidden="false" customHeight="false" outlineLevel="0" collapsed="false">
      <c r="A3346" s="25" t="n">
        <v>3102069</v>
      </c>
      <c r="B3346" s="25" t="s">
        <v>7114</v>
      </c>
      <c r="C3346" s="25" t="s">
        <v>7115</v>
      </c>
      <c r="D3346" s="26" t="n">
        <v>20</v>
      </c>
      <c r="E3346" s="27" t="n">
        <v>7.69897000433602</v>
      </c>
      <c r="F3346" s="27" t="n">
        <v>7.69897000433602</v>
      </c>
      <c r="G3346" s="25" t="s">
        <v>4178</v>
      </c>
      <c r="H3346" s="25" t="s">
        <v>4179</v>
      </c>
      <c r="I3346" s="25" t="n">
        <f aca="false">IFERROR(IF(INDEX(Documents!$C$5:$C$657,MATCH(H3346,Documents!$A$5:$A$657,0))="","",INDEX(Documents!$C$5:$C$657,MATCH(H3346,Documents!$A$5:$A$657,0))),"")</f>
        <v>2010</v>
      </c>
      <c r="J3346" s="25" t="str">
        <f aca="false">IFERROR(IF(INDEX(Documents!$D$5:$D$657,MATCH(H3346,Documents!$A$5:$A$657,0))="","",INDEX(Documents!$D$5:$D$657,MATCH(H3346,Documents!$A$5:$A$657,0))),"")</f>
        <v>Bioorg Med Chem Lett</v>
      </c>
      <c r="K3346" s="25" t="str">
        <f aca="false">IFERROR(IF(INDEX(Documents!$G$5:$G$657,MATCH(H3346,Documents!$A$5:$A$657,0))="","",INDEX(Documents!$G$5:$G$657,MATCH(H3346,Documents!$A$5:$A$657,0))),"")</f>
        <v>10.1016/j.bmcl.2009.12.032</v>
      </c>
      <c r="L3346" s="25" t="s">
        <v>659</v>
      </c>
    </row>
    <row r="3347" customFormat="false" ht="15" hidden="false" customHeight="false" outlineLevel="0" collapsed="false">
      <c r="A3347" s="25" t="n">
        <v>3102065</v>
      </c>
      <c r="B3347" s="25" t="s">
        <v>7116</v>
      </c>
      <c r="C3347" s="25" t="s">
        <v>7117</v>
      </c>
      <c r="D3347" s="26" t="n">
        <v>23.8</v>
      </c>
      <c r="E3347" s="27" t="n">
        <v>7.62342304294349</v>
      </c>
      <c r="F3347" s="27" t="n">
        <v>7.62342304294349</v>
      </c>
      <c r="G3347" s="25" t="s">
        <v>4178</v>
      </c>
      <c r="H3347" s="25" t="s">
        <v>4179</v>
      </c>
      <c r="I3347" s="25" t="n">
        <f aca="false">IFERROR(IF(INDEX(Documents!$C$5:$C$657,MATCH(H3347,Documents!$A$5:$A$657,0))="","",INDEX(Documents!$C$5:$C$657,MATCH(H3347,Documents!$A$5:$A$657,0))),"")</f>
        <v>2010</v>
      </c>
      <c r="J3347" s="25" t="str">
        <f aca="false">IFERROR(IF(INDEX(Documents!$D$5:$D$657,MATCH(H3347,Documents!$A$5:$A$657,0))="","",INDEX(Documents!$D$5:$D$657,MATCH(H3347,Documents!$A$5:$A$657,0))),"")</f>
        <v>Bioorg Med Chem Lett</v>
      </c>
      <c r="K3347" s="25" t="str">
        <f aca="false">IFERROR(IF(INDEX(Documents!$G$5:$G$657,MATCH(H3347,Documents!$A$5:$A$657,0))="","",INDEX(Documents!$G$5:$G$657,MATCH(H3347,Documents!$A$5:$A$657,0))),"")</f>
        <v>10.1016/j.bmcl.2009.12.032</v>
      </c>
      <c r="L3347" s="25" t="s">
        <v>659</v>
      </c>
    </row>
    <row r="3348" customFormat="false" ht="15" hidden="false" customHeight="false" outlineLevel="0" collapsed="false">
      <c r="A3348" s="25" t="n">
        <v>5205776</v>
      </c>
      <c r="B3348" s="25" t="s">
        <v>7118</v>
      </c>
      <c r="C3348" s="25" t="s">
        <v>7119</v>
      </c>
      <c r="D3348" s="26" t="n">
        <v>9.7</v>
      </c>
      <c r="E3348" s="27" t="n">
        <v>8.01322826573376</v>
      </c>
      <c r="F3348" s="27" t="n">
        <v>8.01322826573376</v>
      </c>
      <c r="G3348" s="25" t="s">
        <v>461</v>
      </c>
      <c r="H3348" s="25" t="s">
        <v>462</v>
      </c>
      <c r="I3348" s="25" t="n">
        <f aca="false">IFERROR(IF(INDEX(Documents!$C$5:$C$657,MATCH(H3348,Documents!$A$5:$A$657,0))="","",INDEX(Documents!$C$5:$C$657,MATCH(H3348,Documents!$A$5:$A$657,0))),"")</f>
        <v>2011</v>
      </c>
      <c r="J3348" s="25" t="str">
        <f aca="false">IFERROR(IF(INDEX(Documents!$D$5:$D$657,MATCH(H3348,Documents!$A$5:$A$657,0))="","",INDEX(Documents!$D$5:$D$657,MATCH(H3348,Documents!$A$5:$A$657,0))),"")</f>
        <v>Eur J Med Chem</v>
      </c>
      <c r="K3348" s="25" t="str">
        <f aca="false">IFERROR(IF(INDEX(Documents!$G$5:$G$657,MATCH(H3348,Documents!$A$5:$A$657,0))="","",INDEX(Documents!$G$5:$G$657,MATCH(H3348,Documents!$A$5:$A$657,0))),"")</f>
        <v>10.1016/j.ejmech.2010.11.034</v>
      </c>
      <c r="L3348" s="25" t="s">
        <v>463</v>
      </c>
    </row>
    <row r="3349" customFormat="false" ht="15" hidden="false" customHeight="false" outlineLevel="0" collapsed="false">
      <c r="A3349" s="25" t="n">
        <v>3102059</v>
      </c>
      <c r="B3349" s="25" t="s">
        <v>7120</v>
      </c>
      <c r="C3349" s="25" t="s">
        <v>7121</v>
      </c>
      <c r="D3349" s="26" t="n">
        <v>9.7</v>
      </c>
      <c r="E3349" s="27" t="n">
        <v>8.01322826573376</v>
      </c>
      <c r="F3349" s="27" t="n">
        <v>8.01322826573376</v>
      </c>
      <c r="G3349" s="25" t="s">
        <v>4178</v>
      </c>
      <c r="H3349" s="25" t="s">
        <v>4179</v>
      </c>
      <c r="I3349" s="25" t="n">
        <f aca="false">IFERROR(IF(INDEX(Documents!$C$5:$C$657,MATCH(H3349,Documents!$A$5:$A$657,0))="","",INDEX(Documents!$C$5:$C$657,MATCH(H3349,Documents!$A$5:$A$657,0))),"")</f>
        <v>2010</v>
      </c>
      <c r="J3349" s="25" t="str">
        <f aca="false">IFERROR(IF(INDEX(Documents!$D$5:$D$657,MATCH(H3349,Documents!$A$5:$A$657,0))="","",INDEX(Documents!$D$5:$D$657,MATCH(H3349,Documents!$A$5:$A$657,0))),"")</f>
        <v>Bioorg Med Chem Lett</v>
      </c>
      <c r="K3349" s="25" t="str">
        <f aca="false">IFERROR(IF(INDEX(Documents!$G$5:$G$657,MATCH(H3349,Documents!$A$5:$A$657,0))="","",INDEX(Documents!$G$5:$G$657,MATCH(H3349,Documents!$A$5:$A$657,0))),"")</f>
        <v>10.1016/j.bmcl.2009.12.032</v>
      </c>
      <c r="L3349" s="25" t="s">
        <v>659</v>
      </c>
    </row>
    <row r="3350" customFormat="false" ht="15" hidden="false" customHeight="false" outlineLevel="0" collapsed="false">
      <c r="A3350" s="25" t="n">
        <v>3102058</v>
      </c>
      <c r="B3350" s="25" t="s">
        <v>7122</v>
      </c>
      <c r="C3350" s="25" t="s">
        <v>7123</v>
      </c>
      <c r="D3350" s="26" t="n">
        <v>13.8</v>
      </c>
      <c r="E3350" s="27" t="n">
        <v>7.86012091359876</v>
      </c>
      <c r="F3350" s="27" t="n">
        <v>7.86012091359876</v>
      </c>
      <c r="G3350" s="25" t="s">
        <v>4178</v>
      </c>
      <c r="H3350" s="25" t="s">
        <v>4179</v>
      </c>
      <c r="I3350" s="25" t="n">
        <f aca="false">IFERROR(IF(INDEX(Documents!$C$5:$C$657,MATCH(H3350,Documents!$A$5:$A$657,0))="","",INDEX(Documents!$C$5:$C$657,MATCH(H3350,Documents!$A$5:$A$657,0))),"")</f>
        <v>2010</v>
      </c>
      <c r="J3350" s="25" t="str">
        <f aca="false">IFERROR(IF(INDEX(Documents!$D$5:$D$657,MATCH(H3350,Documents!$A$5:$A$657,0))="","",INDEX(Documents!$D$5:$D$657,MATCH(H3350,Documents!$A$5:$A$657,0))),"")</f>
        <v>Bioorg Med Chem Lett</v>
      </c>
      <c r="K3350" s="25" t="str">
        <f aca="false">IFERROR(IF(INDEX(Documents!$G$5:$G$657,MATCH(H3350,Documents!$A$5:$A$657,0))="","",INDEX(Documents!$G$5:$G$657,MATCH(H3350,Documents!$A$5:$A$657,0))),"")</f>
        <v>10.1016/j.bmcl.2009.12.032</v>
      </c>
      <c r="L3350" s="25" t="s">
        <v>659</v>
      </c>
    </row>
    <row r="3351" customFormat="false" ht="15" hidden="false" customHeight="false" outlineLevel="0" collapsed="false">
      <c r="A3351" s="25" t="n">
        <v>3102056</v>
      </c>
      <c r="B3351" s="25" t="s">
        <v>7124</v>
      </c>
      <c r="C3351" s="25" t="s">
        <v>7125</v>
      </c>
      <c r="D3351" s="26" t="n">
        <v>20</v>
      </c>
      <c r="E3351" s="27" t="n">
        <v>7.69897000433602</v>
      </c>
      <c r="F3351" s="27" t="n">
        <v>7.69897000433602</v>
      </c>
      <c r="G3351" s="25" t="s">
        <v>4178</v>
      </c>
      <c r="H3351" s="25" t="s">
        <v>4179</v>
      </c>
      <c r="I3351" s="25" t="n">
        <f aca="false">IFERROR(IF(INDEX(Documents!$C$5:$C$657,MATCH(H3351,Documents!$A$5:$A$657,0))="","",INDEX(Documents!$C$5:$C$657,MATCH(H3351,Documents!$A$5:$A$657,0))),"")</f>
        <v>2010</v>
      </c>
      <c r="J3351" s="25" t="str">
        <f aca="false">IFERROR(IF(INDEX(Documents!$D$5:$D$657,MATCH(H3351,Documents!$A$5:$A$657,0))="","",INDEX(Documents!$D$5:$D$657,MATCH(H3351,Documents!$A$5:$A$657,0))),"")</f>
        <v>Bioorg Med Chem Lett</v>
      </c>
      <c r="K3351" s="25" t="str">
        <f aca="false">IFERROR(IF(INDEX(Documents!$G$5:$G$657,MATCH(H3351,Documents!$A$5:$A$657,0))="","",INDEX(Documents!$G$5:$G$657,MATCH(H3351,Documents!$A$5:$A$657,0))),"")</f>
        <v>10.1016/j.bmcl.2009.12.032</v>
      </c>
      <c r="L3351" s="25" t="s">
        <v>659</v>
      </c>
    </row>
    <row r="3352" customFormat="false" ht="15" hidden="false" customHeight="false" outlineLevel="0" collapsed="false">
      <c r="A3352" s="25" t="n">
        <v>3102060</v>
      </c>
      <c r="B3352" s="25" t="s">
        <v>7126</v>
      </c>
      <c r="C3352" s="25" t="s">
        <v>7127</v>
      </c>
      <c r="D3352" s="26" t="n">
        <v>3.5</v>
      </c>
      <c r="E3352" s="27" t="n">
        <v>8.45593195564972</v>
      </c>
      <c r="F3352" s="27" t="n">
        <v>8.45593195564972</v>
      </c>
      <c r="G3352" s="25" t="s">
        <v>4178</v>
      </c>
      <c r="H3352" s="25" t="s">
        <v>4179</v>
      </c>
      <c r="I3352" s="25" t="n">
        <f aca="false">IFERROR(IF(INDEX(Documents!$C$5:$C$657,MATCH(H3352,Documents!$A$5:$A$657,0))="","",INDEX(Documents!$C$5:$C$657,MATCH(H3352,Documents!$A$5:$A$657,0))),"")</f>
        <v>2010</v>
      </c>
      <c r="J3352" s="25" t="str">
        <f aca="false">IFERROR(IF(INDEX(Documents!$D$5:$D$657,MATCH(H3352,Documents!$A$5:$A$657,0))="","",INDEX(Documents!$D$5:$D$657,MATCH(H3352,Documents!$A$5:$A$657,0))),"")</f>
        <v>Bioorg Med Chem Lett</v>
      </c>
      <c r="K3352" s="25" t="str">
        <f aca="false">IFERROR(IF(INDEX(Documents!$G$5:$G$657,MATCH(H3352,Documents!$A$5:$A$657,0))="","",INDEX(Documents!$G$5:$G$657,MATCH(H3352,Documents!$A$5:$A$657,0))),"")</f>
        <v>10.1016/j.bmcl.2009.12.032</v>
      </c>
      <c r="L3352" s="25" t="s">
        <v>659</v>
      </c>
    </row>
    <row r="3353" customFormat="false" ht="15" hidden="false" customHeight="false" outlineLevel="0" collapsed="false">
      <c r="A3353" s="25" t="n">
        <v>5205777</v>
      </c>
      <c r="B3353" s="25" t="s">
        <v>7128</v>
      </c>
      <c r="C3353" s="25" t="s">
        <v>7129</v>
      </c>
      <c r="D3353" s="26" t="n">
        <v>3.5</v>
      </c>
      <c r="E3353" s="27" t="n">
        <v>8.45593195564972</v>
      </c>
      <c r="F3353" s="27" t="n">
        <v>8.45593195564972</v>
      </c>
      <c r="G3353" s="25" t="s">
        <v>461</v>
      </c>
      <c r="H3353" s="25" t="s">
        <v>462</v>
      </c>
      <c r="I3353" s="25" t="n">
        <f aca="false">IFERROR(IF(INDEX(Documents!$C$5:$C$657,MATCH(H3353,Documents!$A$5:$A$657,0))="","",INDEX(Documents!$C$5:$C$657,MATCH(H3353,Documents!$A$5:$A$657,0))),"")</f>
        <v>2011</v>
      </c>
      <c r="J3353" s="25" t="str">
        <f aca="false">IFERROR(IF(INDEX(Documents!$D$5:$D$657,MATCH(H3353,Documents!$A$5:$A$657,0))="","",INDEX(Documents!$D$5:$D$657,MATCH(H3353,Documents!$A$5:$A$657,0))),"")</f>
        <v>Eur J Med Chem</v>
      </c>
      <c r="K3353" s="25" t="str">
        <f aca="false">IFERROR(IF(INDEX(Documents!$G$5:$G$657,MATCH(H3353,Documents!$A$5:$A$657,0))="","",INDEX(Documents!$G$5:$G$657,MATCH(H3353,Documents!$A$5:$A$657,0))),"")</f>
        <v>10.1016/j.ejmech.2010.11.034</v>
      </c>
      <c r="L3353" s="25" t="s">
        <v>463</v>
      </c>
    </row>
    <row r="3354" customFormat="false" ht="15" hidden="false" customHeight="false" outlineLevel="0" collapsed="false">
      <c r="A3354" s="25" t="n">
        <v>18588991</v>
      </c>
      <c r="B3354" s="25" t="s">
        <v>7130</v>
      </c>
      <c r="C3354" s="25" t="s">
        <v>7131</v>
      </c>
      <c r="D3354" s="26" t="n">
        <v>3600</v>
      </c>
      <c r="E3354" s="27" t="n">
        <v>5.44369749923271</v>
      </c>
      <c r="F3354" s="27" t="n">
        <v>5.44369749923271</v>
      </c>
      <c r="G3354" s="25" t="s">
        <v>1175</v>
      </c>
      <c r="H3354" s="25" t="s">
        <v>1176</v>
      </c>
      <c r="I3354" s="25" t="n">
        <f aca="false">IFERROR(IF(INDEX(Documents!$C$5:$C$657,MATCH(H3354,Documents!$A$5:$A$657,0))="","",INDEX(Documents!$C$5:$C$657,MATCH(H3354,Documents!$A$5:$A$657,0))),"")</f>
        <v>2018</v>
      </c>
      <c r="J3354" s="25" t="str">
        <f aca="false">IFERROR(IF(INDEX(Documents!$D$5:$D$657,MATCH(H3354,Documents!$A$5:$A$657,0))="","",INDEX(Documents!$D$5:$D$657,MATCH(H3354,Documents!$A$5:$A$657,0))),"")</f>
        <v>J Med Chem</v>
      </c>
      <c r="K3354" s="25" t="str">
        <f aca="false">IFERROR(IF(INDEX(Documents!$G$5:$G$657,MATCH(H3354,Documents!$A$5:$A$657,0))="","",INDEX(Documents!$G$5:$G$657,MATCH(H3354,Documents!$A$5:$A$657,0))),"")</f>
        <v>10.1021/acs.jmedchem.7b01820</v>
      </c>
      <c r="L3354" s="25" t="s">
        <v>1177</v>
      </c>
    </row>
    <row r="3355" customFormat="false" ht="15" hidden="false" customHeight="false" outlineLevel="0" collapsed="false">
      <c r="A3355" s="25" t="n">
        <v>13857351</v>
      </c>
      <c r="B3355" s="25" t="s">
        <v>7132</v>
      </c>
      <c r="C3355" s="25" t="s">
        <v>7133</v>
      </c>
      <c r="D3355" s="26" t="n">
        <v>62.8</v>
      </c>
      <c r="E3355" s="27" t="n">
        <v>7.2020403562628</v>
      </c>
      <c r="F3355" s="27" t="n">
        <v>7.2020403562628</v>
      </c>
      <c r="G3355" s="25" t="s">
        <v>4912</v>
      </c>
      <c r="H3355" s="25" t="s">
        <v>4913</v>
      </c>
      <c r="I3355" s="25" t="n">
        <f aca="false">IFERROR(IF(INDEX(Documents!$C$5:$C$657,MATCH(H3355,Documents!$A$5:$A$657,0))="","",INDEX(Documents!$C$5:$C$657,MATCH(H3355,Documents!$A$5:$A$657,0))),"")</f>
        <v>2013</v>
      </c>
      <c r="J3355" s="25" t="str">
        <f aca="false">IFERROR(IF(INDEX(Documents!$D$5:$D$657,MATCH(H3355,Documents!$A$5:$A$657,0))="","",INDEX(Documents!$D$5:$D$657,MATCH(H3355,Documents!$A$5:$A$657,0))),"")</f>
        <v>J Med Chem</v>
      </c>
      <c r="K3355" s="25" t="str">
        <f aca="false">IFERROR(IF(INDEX(Documents!$G$5:$G$657,MATCH(H3355,Documents!$A$5:$A$657,0))="","",INDEX(Documents!$G$5:$G$657,MATCH(H3355,Documents!$A$5:$A$657,0))),"")</f>
        <v>10.1021/jm400305d</v>
      </c>
      <c r="L3355" s="25" t="s">
        <v>4914</v>
      </c>
    </row>
    <row r="3356" customFormat="false" ht="15" hidden="false" customHeight="false" outlineLevel="0" collapsed="false">
      <c r="A3356" s="25" t="n">
        <v>13857344</v>
      </c>
      <c r="B3356" s="25" t="s">
        <v>7134</v>
      </c>
      <c r="C3356" s="25" t="s">
        <v>7135</v>
      </c>
      <c r="D3356" s="26" t="n">
        <v>104</v>
      </c>
      <c r="E3356" s="27" t="n">
        <v>6.98296666070122</v>
      </c>
      <c r="F3356" s="27" t="n">
        <v>6.98296666070122</v>
      </c>
      <c r="G3356" s="25" t="s">
        <v>4912</v>
      </c>
      <c r="H3356" s="25" t="s">
        <v>4913</v>
      </c>
      <c r="I3356" s="25" t="n">
        <f aca="false">IFERROR(IF(INDEX(Documents!$C$5:$C$657,MATCH(H3356,Documents!$A$5:$A$657,0))="","",INDEX(Documents!$C$5:$C$657,MATCH(H3356,Documents!$A$5:$A$657,0))),"")</f>
        <v>2013</v>
      </c>
      <c r="J3356" s="25" t="str">
        <f aca="false">IFERROR(IF(INDEX(Documents!$D$5:$D$657,MATCH(H3356,Documents!$A$5:$A$657,0))="","",INDEX(Documents!$D$5:$D$657,MATCH(H3356,Documents!$A$5:$A$657,0))),"")</f>
        <v>J Med Chem</v>
      </c>
      <c r="K3356" s="25" t="str">
        <f aca="false">IFERROR(IF(INDEX(Documents!$G$5:$G$657,MATCH(H3356,Documents!$A$5:$A$657,0))="","",INDEX(Documents!$G$5:$G$657,MATCH(H3356,Documents!$A$5:$A$657,0))),"")</f>
        <v>10.1021/jm400305d</v>
      </c>
      <c r="L3356" s="25" t="s">
        <v>4914</v>
      </c>
    </row>
    <row r="3357" customFormat="false" ht="15" hidden="false" customHeight="false" outlineLevel="0" collapsed="false">
      <c r="A3357" s="25" t="n">
        <v>13857345</v>
      </c>
      <c r="B3357" s="25" t="s">
        <v>7136</v>
      </c>
      <c r="C3357" s="25" t="s">
        <v>7137</v>
      </c>
      <c r="D3357" s="26" t="n">
        <v>56.3</v>
      </c>
      <c r="E3357" s="27" t="n">
        <v>7.24949160514865</v>
      </c>
      <c r="F3357" s="27" t="n">
        <v>7.24949160514865</v>
      </c>
      <c r="G3357" s="25" t="s">
        <v>4912</v>
      </c>
      <c r="H3357" s="25" t="s">
        <v>4913</v>
      </c>
      <c r="I3357" s="25" t="n">
        <f aca="false">IFERROR(IF(INDEX(Documents!$C$5:$C$657,MATCH(H3357,Documents!$A$5:$A$657,0))="","",INDEX(Documents!$C$5:$C$657,MATCH(H3357,Documents!$A$5:$A$657,0))),"")</f>
        <v>2013</v>
      </c>
      <c r="J3357" s="25" t="str">
        <f aca="false">IFERROR(IF(INDEX(Documents!$D$5:$D$657,MATCH(H3357,Documents!$A$5:$A$657,0))="","",INDEX(Documents!$D$5:$D$657,MATCH(H3357,Documents!$A$5:$A$657,0))),"")</f>
        <v>J Med Chem</v>
      </c>
      <c r="K3357" s="25" t="str">
        <f aca="false">IFERROR(IF(INDEX(Documents!$G$5:$G$657,MATCH(H3357,Documents!$A$5:$A$657,0))="","",INDEX(Documents!$G$5:$G$657,MATCH(H3357,Documents!$A$5:$A$657,0))),"")</f>
        <v>10.1021/jm400305d</v>
      </c>
      <c r="L3357" s="25" t="s">
        <v>4914</v>
      </c>
    </row>
    <row r="3358" customFormat="false" ht="15" hidden="false" customHeight="false" outlineLevel="0" collapsed="false">
      <c r="A3358" s="25" t="n">
        <v>13858375</v>
      </c>
      <c r="B3358" s="25" t="s">
        <v>7138</v>
      </c>
      <c r="C3358" s="25" t="s">
        <v>7139</v>
      </c>
      <c r="D3358" s="26" t="n">
        <v>13.7</v>
      </c>
      <c r="E3358" s="27" t="n">
        <v>7.86327943284359</v>
      </c>
      <c r="F3358" s="27" t="n">
        <v>7.86327943284359</v>
      </c>
      <c r="G3358" s="25" t="s">
        <v>4912</v>
      </c>
      <c r="H3358" s="25" t="s">
        <v>4913</v>
      </c>
      <c r="I3358" s="25" t="n">
        <f aca="false">IFERROR(IF(INDEX(Documents!$C$5:$C$657,MATCH(H3358,Documents!$A$5:$A$657,0))="","",INDEX(Documents!$C$5:$C$657,MATCH(H3358,Documents!$A$5:$A$657,0))),"")</f>
        <v>2013</v>
      </c>
      <c r="J3358" s="25" t="str">
        <f aca="false">IFERROR(IF(INDEX(Documents!$D$5:$D$657,MATCH(H3358,Documents!$A$5:$A$657,0))="","",INDEX(Documents!$D$5:$D$657,MATCH(H3358,Documents!$A$5:$A$657,0))),"")</f>
        <v>J Med Chem</v>
      </c>
      <c r="K3358" s="25" t="str">
        <f aca="false">IFERROR(IF(INDEX(Documents!$G$5:$G$657,MATCH(H3358,Documents!$A$5:$A$657,0))="","",INDEX(Documents!$G$5:$G$657,MATCH(H3358,Documents!$A$5:$A$657,0))),"")</f>
        <v>10.1021/jm400305d</v>
      </c>
      <c r="L3358" s="25" t="s">
        <v>4914</v>
      </c>
    </row>
    <row r="3359" customFormat="false" ht="15" hidden="false" customHeight="false" outlineLevel="0" collapsed="false">
      <c r="A3359" s="25" t="n">
        <v>13858371</v>
      </c>
      <c r="B3359" s="25" t="s">
        <v>7140</v>
      </c>
      <c r="C3359" s="25" t="s">
        <v>7141</v>
      </c>
      <c r="D3359" s="26" t="n">
        <v>40.3</v>
      </c>
      <c r="E3359" s="27" t="n">
        <v>7.39469495385889</v>
      </c>
      <c r="F3359" s="27" t="n">
        <v>7.39794000867204</v>
      </c>
      <c r="G3359" s="25" t="s">
        <v>4912</v>
      </c>
      <c r="H3359" s="25" t="s">
        <v>4913</v>
      </c>
      <c r="I3359" s="25" t="n">
        <f aca="false">IFERROR(IF(INDEX(Documents!$C$5:$C$657,MATCH(H3359,Documents!$A$5:$A$657,0))="","",INDEX(Documents!$C$5:$C$657,MATCH(H3359,Documents!$A$5:$A$657,0))),"")</f>
        <v>2013</v>
      </c>
      <c r="J3359" s="25" t="str">
        <f aca="false">IFERROR(IF(INDEX(Documents!$D$5:$D$657,MATCH(H3359,Documents!$A$5:$A$657,0))="","",INDEX(Documents!$D$5:$D$657,MATCH(H3359,Documents!$A$5:$A$657,0))),"")</f>
        <v>J Med Chem</v>
      </c>
      <c r="K3359" s="25" t="str">
        <f aca="false">IFERROR(IF(INDEX(Documents!$G$5:$G$657,MATCH(H3359,Documents!$A$5:$A$657,0))="","",INDEX(Documents!$G$5:$G$657,MATCH(H3359,Documents!$A$5:$A$657,0))),"")</f>
        <v>10.1021/jm400305d</v>
      </c>
      <c r="L3359" s="25" t="s">
        <v>4914</v>
      </c>
    </row>
    <row r="3360" customFormat="false" ht="15" hidden="false" customHeight="false" outlineLevel="0" collapsed="false">
      <c r="A3360" s="25" t="n">
        <v>14989602</v>
      </c>
      <c r="B3360" s="25" t="s">
        <v>7142</v>
      </c>
      <c r="C3360" s="25" t="s">
        <v>7141</v>
      </c>
      <c r="D3360" s="26" t="n">
        <v>40</v>
      </c>
      <c r="E3360" s="27" t="n">
        <v>7.39794000867204</v>
      </c>
      <c r="F3360" s="27" t="n">
        <v>7.39794000867204</v>
      </c>
      <c r="G3360" s="25" t="s">
        <v>7143</v>
      </c>
      <c r="H3360" s="25" t="s">
        <v>7144</v>
      </c>
      <c r="I3360" s="25" t="n">
        <f aca="false">IFERROR(IF(INDEX(Documents!$C$5:$C$657,MATCH(H3360,Documents!$A$5:$A$657,0))="","",INDEX(Documents!$C$5:$C$657,MATCH(H3360,Documents!$A$5:$A$657,0))),"")</f>
        <v>2014</v>
      </c>
      <c r="J3360" s="25" t="str">
        <f aca="false">IFERROR(IF(INDEX(Documents!$D$5:$D$657,MATCH(H3360,Documents!$A$5:$A$657,0))="","",INDEX(Documents!$D$5:$D$657,MATCH(H3360,Documents!$A$5:$A$657,0))),"")</f>
        <v>Bioorg Med Chem Lett</v>
      </c>
      <c r="K3360" s="25" t="str">
        <f aca="false">IFERROR(IF(INDEX(Documents!$G$5:$G$657,MATCH(H3360,Documents!$A$5:$A$657,0))="","",INDEX(Documents!$G$5:$G$657,MATCH(H3360,Documents!$A$5:$A$657,0))),"")</f>
        <v>10.1016/j.bmcl.2014.11.006</v>
      </c>
      <c r="L3360" s="25" t="s">
        <v>515</v>
      </c>
    </row>
    <row r="3361" customFormat="false" ht="15" hidden="false" customHeight="false" outlineLevel="0" collapsed="false">
      <c r="A3361" s="25" t="n">
        <v>14574045</v>
      </c>
      <c r="B3361" s="25" t="s">
        <v>7142</v>
      </c>
      <c r="C3361" s="25" t="s">
        <v>7141</v>
      </c>
      <c r="D3361" s="26" t="n">
        <v>37</v>
      </c>
      <c r="E3361" s="27" t="n">
        <v>7.43179827593301</v>
      </c>
      <c r="F3361" s="27" t="n">
        <v>7.39794000867204</v>
      </c>
      <c r="G3361" s="25" t="s">
        <v>1612</v>
      </c>
      <c r="H3361" s="25" t="s">
        <v>1358</v>
      </c>
      <c r="I3361" s="25" t="n">
        <f aca="false">IFERROR(IF(INDEX(Documents!$C$5:$C$657,MATCH(H3361,Documents!$A$5:$A$657,0))="","",INDEX(Documents!$C$5:$C$657,MATCH(H3361,Documents!$A$5:$A$657,0))),"")</f>
        <v>2013</v>
      </c>
      <c r="J3361" s="25" t="str">
        <f aca="false">IFERROR(IF(INDEX(Documents!$D$5:$D$657,MATCH(H3361,Documents!$A$5:$A$657,0))="","",INDEX(Documents!$D$5:$D$657,MATCH(H3361,Documents!$A$5:$A$657,0))),"")</f>
        <v>J Med Chem</v>
      </c>
      <c r="K3361" s="25" t="str">
        <f aca="false">IFERROR(IF(INDEX(Documents!$G$5:$G$657,MATCH(H3361,Documents!$A$5:$A$657,0))="","",INDEX(Documents!$G$5:$G$657,MATCH(H3361,Documents!$A$5:$A$657,0))),"")</f>
        <v>10.1021/jm4005626</v>
      </c>
      <c r="L3361" s="25" t="s">
        <v>1613</v>
      </c>
    </row>
    <row r="3362" customFormat="false" ht="15" hidden="false" customHeight="false" outlineLevel="0" collapsed="false">
      <c r="A3362" s="25" t="n">
        <v>13858377</v>
      </c>
      <c r="B3362" s="25" t="s">
        <v>7145</v>
      </c>
      <c r="C3362" s="25" t="s">
        <v>7146</v>
      </c>
      <c r="D3362" s="26" t="n">
        <v>459</v>
      </c>
      <c r="E3362" s="27" t="n">
        <v>6.33818731446274</v>
      </c>
      <c r="F3362" s="27" t="n">
        <v>6.33818731446274</v>
      </c>
      <c r="G3362" s="25" t="s">
        <v>4912</v>
      </c>
      <c r="H3362" s="25" t="s">
        <v>4913</v>
      </c>
      <c r="I3362" s="25" t="n">
        <f aca="false">IFERROR(IF(INDEX(Documents!$C$5:$C$657,MATCH(H3362,Documents!$A$5:$A$657,0))="","",INDEX(Documents!$C$5:$C$657,MATCH(H3362,Documents!$A$5:$A$657,0))),"")</f>
        <v>2013</v>
      </c>
      <c r="J3362" s="25" t="str">
        <f aca="false">IFERROR(IF(INDEX(Documents!$D$5:$D$657,MATCH(H3362,Documents!$A$5:$A$657,0))="","",INDEX(Documents!$D$5:$D$657,MATCH(H3362,Documents!$A$5:$A$657,0))),"")</f>
        <v>J Med Chem</v>
      </c>
      <c r="K3362" s="25" t="str">
        <f aca="false">IFERROR(IF(INDEX(Documents!$G$5:$G$657,MATCH(H3362,Documents!$A$5:$A$657,0))="","",INDEX(Documents!$G$5:$G$657,MATCH(H3362,Documents!$A$5:$A$657,0))),"")</f>
        <v>10.1021/jm400305d</v>
      </c>
      <c r="L3362" s="25" t="s">
        <v>4914</v>
      </c>
    </row>
    <row r="3363" customFormat="false" ht="15" hidden="false" customHeight="false" outlineLevel="0" collapsed="false">
      <c r="A3363" s="25" t="n">
        <v>13858376</v>
      </c>
      <c r="B3363" s="25" t="s">
        <v>7147</v>
      </c>
      <c r="C3363" s="25" t="s">
        <v>7148</v>
      </c>
      <c r="D3363" s="26" t="n">
        <v>37.5</v>
      </c>
      <c r="E3363" s="27" t="n">
        <v>7.42596873227228</v>
      </c>
      <c r="F3363" s="27" t="n">
        <v>7.42596873227228</v>
      </c>
      <c r="G3363" s="25" t="s">
        <v>4912</v>
      </c>
      <c r="H3363" s="25" t="s">
        <v>4913</v>
      </c>
      <c r="I3363" s="25" t="n">
        <f aca="false">IFERROR(IF(INDEX(Documents!$C$5:$C$657,MATCH(H3363,Documents!$A$5:$A$657,0))="","",INDEX(Documents!$C$5:$C$657,MATCH(H3363,Documents!$A$5:$A$657,0))),"")</f>
        <v>2013</v>
      </c>
      <c r="J3363" s="25" t="str">
        <f aca="false">IFERROR(IF(INDEX(Documents!$D$5:$D$657,MATCH(H3363,Documents!$A$5:$A$657,0))="","",INDEX(Documents!$D$5:$D$657,MATCH(H3363,Documents!$A$5:$A$657,0))),"")</f>
        <v>J Med Chem</v>
      </c>
      <c r="K3363" s="25" t="str">
        <f aca="false">IFERROR(IF(INDEX(Documents!$G$5:$G$657,MATCH(H3363,Documents!$A$5:$A$657,0))="","",INDEX(Documents!$G$5:$G$657,MATCH(H3363,Documents!$A$5:$A$657,0))),"")</f>
        <v>10.1021/jm400305d</v>
      </c>
      <c r="L3363" s="25" t="s">
        <v>4914</v>
      </c>
    </row>
    <row r="3364" customFormat="false" ht="15" hidden="false" customHeight="false" outlineLevel="0" collapsed="false">
      <c r="A3364" s="25" t="n">
        <v>10952512</v>
      </c>
      <c r="B3364" s="25" t="s">
        <v>7149</v>
      </c>
      <c r="C3364" s="25" t="s">
        <v>7150</v>
      </c>
      <c r="D3364" s="26" t="n">
        <v>20</v>
      </c>
      <c r="E3364" s="27" t="n">
        <v>7.69897000433602</v>
      </c>
      <c r="F3364" s="27" t="n">
        <v>7.70005846396316</v>
      </c>
      <c r="G3364" s="25" t="s">
        <v>4925</v>
      </c>
      <c r="H3364" s="25" t="s">
        <v>4926</v>
      </c>
      <c r="I3364" s="25" t="n">
        <f aca="false">IFERROR(IF(INDEX(Documents!$C$5:$C$657,MATCH(H3364,Documents!$A$5:$A$657,0))="","",INDEX(Documents!$C$5:$C$657,MATCH(H3364,Documents!$A$5:$A$657,0))),"")</f>
        <v>2012</v>
      </c>
      <c r="J3364" s="25" t="str">
        <f aca="false">IFERROR(IF(INDEX(Documents!$D$5:$D$657,MATCH(H3364,Documents!$A$5:$A$657,0))="","",INDEX(Documents!$D$5:$D$657,MATCH(H3364,Documents!$A$5:$A$657,0))),"")</f>
        <v>Bioorg Med Chem Lett</v>
      </c>
      <c r="K3364" s="25" t="str">
        <f aca="false">IFERROR(IF(INDEX(Documents!$G$5:$G$657,MATCH(H3364,Documents!$A$5:$A$657,0))="","",INDEX(Documents!$G$5:$G$657,MATCH(H3364,Documents!$A$5:$A$657,0))),"")</f>
        <v>10.1016/j.bmcl.2012.06.035</v>
      </c>
      <c r="L3364" s="25" t="s">
        <v>4927</v>
      </c>
    </row>
    <row r="3365" customFormat="false" ht="15" hidden="false" customHeight="false" outlineLevel="0" collapsed="false">
      <c r="A3365" s="25" t="n">
        <v>13858373</v>
      </c>
      <c r="B3365" s="25" t="s">
        <v>7151</v>
      </c>
      <c r="C3365" s="25" t="s">
        <v>7150</v>
      </c>
      <c r="D3365" s="26" t="n">
        <v>19.9</v>
      </c>
      <c r="E3365" s="27" t="n">
        <v>7.70114692359029</v>
      </c>
      <c r="F3365" s="27" t="n">
        <v>7.70005846396316</v>
      </c>
      <c r="G3365" s="25" t="s">
        <v>4912</v>
      </c>
      <c r="H3365" s="25" t="s">
        <v>4913</v>
      </c>
      <c r="I3365" s="25" t="n">
        <f aca="false">IFERROR(IF(INDEX(Documents!$C$5:$C$657,MATCH(H3365,Documents!$A$5:$A$657,0))="","",INDEX(Documents!$C$5:$C$657,MATCH(H3365,Documents!$A$5:$A$657,0))),"")</f>
        <v>2013</v>
      </c>
      <c r="J3365" s="25" t="str">
        <f aca="false">IFERROR(IF(INDEX(Documents!$D$5:$D$657,MATCH(H3365,Documents!$A$5:$A$657,0))="","",INDEX(Documents!$D$5:$D$657,MATCH(H3365,Documents!$A$5:$A$657,0))),"")</f>
        <v>J Med Chem</v>
      </c>
      <c r="K3365" s="25" t="str">
        <f aca="false">IFERROR(IF(INDEX(Documents!$G$5:$G$657,MATCH(H3365,Documents!$A$5:$A$657,0))="","",INDEX(Documents!$G$5:$G$657,MATCH(H3365,Documents!$A$5:$A$657,0))),"")</f>
        <v>10.1021/jm400305d</v>
      </c>
      <c r="L3365" s="25" t="s">
        <v>4914</v>
      </c>
    </row>
    <row r="3366" customFormat="false" ht="15" hidden="false" customHeight="false" outlineLevel="0" collapsed="false">
      <c r="A3366" s="25" t="n">
        <v>13858374</v>
      </c>
      <c r="B3366" s="25" t="s">
        <v>7152</v>
      </c>
      <c r="C3366" s="25" t="s">
        <v>7153</v>
      </c>
      <c r="D3366" s="26" t="n">
        <v>48.2</v>
      </c>
      <c r="E3366" s="27" t="n">
        <v>7.31695296176115</v>
      </c>
      <c r="F3366" s="27" t="n">
        <v>7.31785586219278</v>
      </c>
      <c r="G3366" s="25" t="s">
        <v>4912</v>
      </c>
      <c r="H3366" s="25" t="s">
        <v>4913</v>
      </c>
      <c r="I3366" s="25" t="n">
        <f aca="false">IFERROR(IF(INDEX(Documents!$C$5:$C$657,MATCH(H3366,Documents!$A$5:$A$657,0))="","",INDEX(Documents!$C$5:$C$657,MATCH(H3366,Documents!$A$5:$A$657,0))),"")</f>
        <v>2013</v>
      </c>
      <c r="J3366" s="25" t="str">
        <f aca="false">IFERROR(IF(INDEX(Documents!$D$5:$D$657,MATCH(H3366,Documents!$A$5:$A$657,0))="","",INDEX(Documents!$D$5:$D$657,MATCH(H3366,Documents!$A$5:$A$657,0))),"")</f>
        <v>J Med Chem</v>
      </c>
      <c r="K3366" s="25" t="str">
        <f aca="false">IFERROR(IF(INDEX(Documents!$G$5:$G$657,MATCH(H3366,Documents!$A$5:$A$657,0))="","",INDEX(Documents!$G$5:$G$657,MATCH(H3366,Documents!$A$5:$A$657,0))),"")</f>
        <v>10.1021/jm400305d</v>
      </c>
      <c r="L3366" s="25" t="s">
        <v>4914</v>
      </c>
    </row>
    <row r="3367" customFormat="false" ht="15" hidden="false" customHeight="false" outlineLevel="0" collapsed="false">
      <c r="A3367" s="25" t="n">
        <v>10952513</v>
      </c>
      <c r="B3367" s="25" t="s">
        <v>7154</v>
      </c>
      <c r="C3367" s="25" t="s">
        <v>7153</v>
      </c>
      <c r="D3367" s="26" t="n">
        <v>48</v>
      </c>
      <c r="E3367" s="27" t="n">
        <v>7.31875876262441</v>
      </c>
      <c r="F3367" s="27" t="n">
        <v>7.31785586219278</v>
      </c>
      <c r="G3367" s="25" t="s">
        <v>4925</v>
      </c>
      <c r="H3367" s="25" t="s">
        <v>4926</v>
      </c>
      <c r="I3367" s="25" t="n">
        <f aca="false">IFERROR(IF(INDEX(Documents!$C$5:$C$657,MATCH(H3367,Documents!$A$5:$A$657,0))="","",INDEX(Documents!$C$5:$C$657,MATCH(H3367,Documents!$A$5:$A$657,0))),"")</f>
        <v>2012</v>
      </c>
      <c r="J3367" s="25" t="str">
        <f aca="false">IFERROR(IF(INDEX(Documents!$D$5:$D$657,MATCH(H3367,Documents!$A$5:$A$657,0))="","",INDEX(Documents!$D$5:$D$657,MATCH(H3367,Documents!$A$5:$A$657,0))),"")</f>
        <v>Bioorg Med Chem Lett</v>
      </c>
      <c r="K3367" s="25" t="str">
        <f aca="false">IFERROR(IF(INDEX(Documents!$G$5:$G$657,MATCH(H3367,Documents!$A$5:$A$657,0))="","",INDEX(Documents!$G$5:$G$657,MATCH(H3367,Documents!$A$5:$A$657,0))),"")</f>
        <v>10.1016/j.bmcl.2012.06.035</v>
      </c>
      <c r="L3367" s="25" t="s">
        <v>4927</v>
      </c>
    </row>
    <row r="3368" customFormat="false" ht="15" hidden="false" customHeight="false" outlineLevel="0" collapsed="false">
      <c r="A3368" s="25" t="n">
        <v>18388186</v>
      </c>
      <c r="B3368" s="25" t="s">
        <v>7155</v>
      </c>
      <c r="C3368" s="25" t="s">
        <v>7156</v>
      </c>
      <c r="D3368" s="26" t="n">
        <v>27.5</v>
      </c>
      <c r="E3368" s="27" t="n">
        <v>7.56066730616974</v>
      </c>
      <c r="F3368" s="27" t="n">
        <v>7.56066730616974</v>
      </c>
      <c r="G3368" s="25" t="s">
        <v>624</v>
      </c>
      <c r="H3368" s="25" t="s">
        <v>625</v>
      </c>
      <c r="I3368" s="25" t="n">
        <f aca="false">IFERROR(IF(INDEX(Documents!$C$5:$C$657,MATCH(H3368,Documents!$A$5:$A$657,0))="","",INDEX(Documents!$C$5:$C$657,MATCH(H3368,Documents!$A$5:$A$657,0))),"")</f>
        <v>2018</v>
      </c>
      <c r="J3368" s="25" t="str">
        <f aca="false">IFERROR(IF(INDEX(Documents!$D$5:$D$657,MATCH(H3368,Documents!$A$5:$A$657,0))="","",INDEX(Documents!$D$5:$D$657,MATCH(H3368,Documents!$A$5:$A$657,0))),"")</f>
        <v>Eur J Med Chem</v>
      </c>
      <c r="K3368" s="25" t="str">
        <f aca="false">IFERROR(IF(INDEX(Documents!$G$5:$G$657,MATCH(H3368,Documents!$A$5:$A$657,0))="","",INDEX(Documents!$G$5:$G$657,MATCH(H3368,Documents!$A$5:$A$657,0))),"")</f>
        <v>10.1016/j.ejmech.2018.01.034</v>
      </c>
      <c r="L3368" s="25" t="s">
        <v>626</v>
      </c>
    </row>
    <row r="3369" customFormat="false" ht="15" hidden="false" customHeight="false" outlineLevel="0" collapsed="false">
      <c r="A3369" s="25" t="n">
        <v>24859824</v>
      </c>
      <c r="B3369" s="25" t="s">
        <v>7157</v>
      </c>
      <c r="C3369" s="25" t="s">
        <v>7158</v>
      </c>
      <c r="D3369" s="26" t="n">
        <v>1.9</v>
      </c>
      <c r="E3369" s="27" t="n">
        <v>8.72124639904717</v>
      </c>
      <c r="F3369" s="27" t="n">
        <v>8.72124639904717</v>
      </c>
      <c r="G3369" s="25" t="s">
        <v>6395</v>
      </c>
      <c r="H3369" s="25" t="s">
        <v>6396</v>
      </c>
      <c r="I3369" s="25" t="n">
        <f aca="false">IFERROR(IF(INDEX(Documents!$C$5:$C$657,MATCH(H3369,Documents!$A$5:$A$657,0))="","",INDEX(Documents!$C$5:$C$657,MATCH(H3369,Documents!$A$5:$A$657,0))),"")</f>
        <v>2022</v>
      </c>
      <c r="J3369" s="25" t="str">
        <f aca="false">IFERROR(IF(INDEX(Documents!$D$5:$D$657,MATCH(H3369,Documents!$A$5:$A$657,0))="","",INDEX(Documents!$D$5:$D$657,MATCH(H3369,Documents!$A$5:$A$657,0))),"")</f>
        <v>J Med Chem</v>
      </c>
      <c r="K3369" s="25" t="str">
        <f aca="false">IFERROR(IF(INDEX(Documents!$G$5:$G$657,MATCH(H3369,Documents!$A$5:$A$657,0))="","",INDEX(Documents!$G$5:$G$657,MATCH(H3369,Documents!$A$5:$A$657,0))),"")</f>
        <v>10.1021/acs.jmedchem.2c00582</v>
      </c>
      <c r="L3369" s="25" t="s">
        <v>6397</v>
      </c>
    </row>
    <row r="3370" customFormat="false" ht="15" hidden="false" customHeight="false" outlineLevel="0" collapsed="false">
      <c r="A3370" s="25" t="n">
        <v>22800480</v>
      </c>
      <c r="B3370" s="25" t="s">
        <v>7159</v>
      </c>
      <c r="C3370" s="25" t="s">
        <v>7160</v>
      </c>
      <c r="D3370" s="26" t="n">
        <v>531</v>
      </c>
      <c r="E3370" s="27" t="n">
        <v>6.27490547891853</v>
      </c>
      <c r="F3370" s="27" t="n">
        <v>6.27490547891853</v>
      </c>
      <c r="G3370" s="25" t="s">
        <v>5805</v>
      </c>
      <c r="H3370" s="25" t="s">
        <v>5806</v>
      </c>
      <c r="I3370" s="25" t="n">
        <f aca="false">IFERROR(IF(INDEX(Documents!$C$5:$C$657,MATCH(H3370,Documents!$A$5:$A$657,0))="","",INDEX(Documents!$C$5:$C$657,MATCH(H3370,Documents!$A$5:$A$657,0))),"")</f>
        <v>2020</v>
      </c>
      <c r="J3370" s="25" t="str">
        <f aca="false">IFERROR(IF(INDEX(Documents!$D$5:$D$657,MATCH(H3370,Documents!$A$5:$A$657,0))="","",INDEX(Documents!$D$5:$D$657,MATCH(H3370,Documents!$A$5:$A$657,0))),"")</f>
        <v>Eur J Med Chem</v>
      </c>
      <c r="K3370" s="25" t="str">
        <f aca="false">IFERROR(IF(INDEX(Documents!$G$5:$G$657,MATCH(H3370,Documents!$A$5:$A$657,0))="","",INDEX(Documents!$G$5:$G$657,MATCH(H3370,Documents!$A$5:$A$657,0))),"")</f>
        <v>10.1016/j.ejmech.2020.112858</v>
      </c>
      <c r="L3370" s="25" t="s">
        <v>5807</v>
      </c>
    </row>
    <row r="3371" customFormat="false" ht="15" hidden="false" customHeight="false" outlineLevel="0" collapsed="false">
      <c r="A3371" s="25" t="n">
        <v>22800478</v>
      </c>
      <c r="B3371" s="25" t="s">
        <v>7161</v>
      </c>
      <c r="C3371" s="25" t="s">
        <v>7162</v>
      </c>
      <c r="D3371" s="26" t="n">
        <v>1.5</v>
      </c>
      <c r="E3371" s="27" t="n">
        <v>8.82390874094432</v>
      </c>
      <c r="F3371" s="27" t="n">
        <v>8.82390874094432</v>
      </c>
      <c r="G3371" s="25" t="s">
        <v>5805</v>
      </c>
      <c r="H3371" s="25" t="s">
        <v>5806</v>
      </c>
      <c r="I3371" s="25" t="n">
        <f aca="false">IFERROR(IF(INDEX(Documents!$C$5:$C$657,MATCH(H3371,Documents!$A$5:$A$657,0))="","",INDEX(Documents!$C$5:$C$657,MATCH(H3371,Documents!$A$5:$A$657,0))),"")</f>
        <v>2020</v>
      </c>
      <c r="J3371" s="25" t="str">
        <f aca="false">IFERROR(IF(INDEX(Documents!$D$5:$D$657,MATCH(H3371,Documents!$A$5:$A$657,0))="","",INDEX(Documents!$D$5:$D$657,MATCH(H3371,Documents!$A$5:$A$657,0))),"")</f>
        <v>Eur J Med Chem</v>
      </c>
      <c r="K3371" s="25" t="str">
        <f aca="false">IFERROR(IF(INDEX(Documents!$G$5:$G$657,MATCH(H3371,Documents!$A$5:$A$657,0))="","",INDEX(Documents!$G$5:$G$657,MATCH(H3371,Documents!$A$5:$A$657,0))),"")</f>
        <v>10.1016/j.ejmech.2020.112858</v>
      </c>
      <c r="L3371" s="25" t="s">
        <v>5807</v>
      </c>
    </row>
    <row r="3372" customFormat="false" ht="15" hidden="false" customHeight="false" outlineLevel="0" collapsed="false">
      <c r="A3372" s="25" t="n">
        <v>2980603</v>
      </c>
      <c r="B3372" s="25" t="s">
        <v>7163</v>
      </c>
      <c r="C3372" s="25" t="s">
        <v>7164</v>
      </c>
      <c r="D3372" s="26" t="n">
        <v>18.2</v>
      </c>
      <c r="E3372" s="27" t="n">
        <v>7.73992861201493</v>
      </c>
      <c r="F3372" s="27" t="n">
        <v>7.74232805345581</v>
      </c>
      <c r="G3372" s="25" t="s">
        <v>599</v>
      </c>
      <c r="H3372" s="25" t="s">
        <v>600</v>
      </c>
      <c r="I3372" s="25" t="n">
        <f aca="false">IFERROR(IF(INDEX(Documents!$C$5:$C$657,MATCH(H3372,Documents!$A$5:$A$657,0))="","",INDEX(Documents!$C$5:$C$657,MATCH(H3372,Documents!$A$5:$A$657,0))),"")</f>
        <v>2010</v>
      </c>
      <c r="J3372" s="25" t="str">
        <f aca="false">IFERROR(IF(INDEX(Documents!$D$5:$D$657,MATCH(H3372,Documents!$A$5:$A$657,0))="","",INDEX(Documents!$D$5:$D$657,MATCH(H3372,Documents!$A$5:$A$657,0))),"")</f>
        <v>J Med Chem</v>
      </c>
      <c r="K3372" s="25" t="str">
        <f aca="false">IFERROR(IF(INDEX(Documents!$G$5:$G$657,MATCH(H3372,Documents!$A$5:$A$657,0))="","",INDEX(Documents!$G$5:$G$657,MATCH(H3372,Documents!$A$5:$A$657,0))),"")</f>
        <v>10.1021/jm901214q</v>
      </c>
      <c r="L3372" s="25" t="s">
        <v>601</v>
      </c>
    </row>
    <row r="3373" customFormat="false" ht="15" hidden="false" customHeight="false" outlineLevel="0" collapsed="false">
      <c r="A3373" s="25" t="n">
        <v>2980474</v>
      </c>
      <c r="B3373" s="25" t="s">
        <v>7163</v>
      </c>
      <c r="C3373" s="25" t="s">
        <v>7164</v>
      </c>
      <c r="D3373" s="26" t="n">
        <v>18</v>
      </c>
      <c r="E3373" s="27" t="n">
        <v>7.74472749489669</v>
      </c>
      <c r="F3373" s="27" t="n">
        <v>7.74232805345581</v>
      </c>
      <c r="G3373" s="25" t="s">
        <v>599</v>
      </c>
      <c r="H3373" s="25" t="s">
        <v>600</v>
      </c>
      <c r="I3373" s="25" t="n">
        <f aca="false">IFERROR(IF(INDEX(Documents!$C$5:$C$657,MATCH(H3373,Documents!$A$5:$A$657,0))="","",INDEX(Documents!$C$5:$C$657,MATCH(H3373,Documents!$A$5:$A$657,0))),"")</f>
        <v>2010</v>
      </c>
      <c r="J3373" s="25" t="str">
        <f aca="false">IFERROR(IF(INDEX(Documents!$D$5:$D$657,MATCH(H3373,Documents!$A$5:$A$657,0))="","",INDEX(Documents!$D$5:$D$657,MATCH(H3373,Documents!$A$5:$A$657,0))),"")</f>
        <v>J Med Chem</v>
      </c>
      <c r="K3373" s="25" t="str">
        <f aca="false">IFERROR(IF(INDEX(Documents!$G$5:$G$657,MATCH(H3373,Documents!$A$5:$A$657,0))="","",INDEX(Documents!$G$5:$G$657,MATCH(H3373,Documents!$A$5:$A$657,0))),"")</f>
        <v>10.1021/jm901214q</v>
      </c>
      <c r="L3373" s="25" t="s">
        <v>601</v>
      </c>
    </row>
    <row r="3374" customFormat="false" ht="15" hidden="false" customHeight="false" outlineLevel="0" collapsed="false">
      <c r="A3374" s="25" t="n">
        <v>12619639</v>
      </c>
      <c r="B3374" s="25" t="s">
        <v>7165</v>
      </c>
      <c r="C3374" s="25" t="s">
        <v>7166</v>
      </c>
      <c r="D3374" s="26" t="n">
        <v>956</v>
      </c>
      <c r="E3374" s="27" t="n">
        <v>6.0195421077239</v>
      </c>
      <c r="F3374" s="27" t="n">
        <v>6.0195421077239</v>
      </c>
      <c r="G3374" s="25" t="s">
        <v>2805</v>
      </c>
      <c r="H3374" s="25" t="s">
        <v>2806</v>
      </c>
      <c r="I3374" s="25" t="n">
        <f aca="false">IFERROR(IF(INDEX(Documents!$C$5:$C$657,MATCH(H3374,Documents!$A$5:$A$657,0))="","",INDEX(Documents!$C$5:$C$657,MATCH(H3374,Documents!$A$5:$A$657,0))),"")</f>
        <v>2013</v>
      </c>
      <c r="J3374" s="25" t="str">
        <f aca="false">IFERROR(IF(INDEX(Documents!$D$5:$D$657,MATCH(H3374,Documents!$A$5:$A$657,0))="","",INDEX(Documents!$D$5:$D$657,MATCH(H3374,Documents!$A$5:$A$657,0))),"")</f>
        <v>J Med Chem</v>
      </c>
      <c r="K3374" s="25" t="str">
        <f aca="false">IFERROR(IF(INDEX(Documents!$G$5:$G$657,MATCH(H3374,Documents!$A$5:$A$657,0))="","",INDEX(Documents!$G$5:$G$657,MATCH(H3374,Documents!$A$5:$A$657,0))),"")</f>
        <v>10.1021/jm301527r</v>
      </c>
      <c r="L3374" s="25" t="s">
        <v>2807</v>
      </c>
    </row>
    <row r="3375" customFormat="false" ht="15" hidden="false" customHeight="false" outlineLevel="0" collapsed="false">
      <c r="A3375" s="25" t="n">
        <v>2355482</v>
      </c>
      <c r="B3375" s="25" t="s">
        <v>7167</v>
      </c>
      <c r="C3375" s="25" t="s">
        <v>7168</v>
      </c>
      <c r="D3375" s="26" t="n">
        <v>15</v>
      </c>
      <c r="E3375" s="27" t="n">
        <v>7.82390874094432</v>
      </c>
      <c r="F3375" s="27" t="n">
        <v>7.82390874094432</v>
      </c>
      <c r="G3375" s="25" t="s">
        <v>773</v>
      </c>
      <c r="H3375" s="25" t="s">
        <v>774</v>
      </c>
      <c r="I3375" s="25" t="n">
        <f aca="false">IFERROR(IF(INDEX(Documents!$C$5:$C$657,MATCH(H3375,Documents!$A$5:$A$657,0))="","",INDEX(Documents!$C$5:$C$657,MATCH(H3375,Documents!$A$5:$A$657,0))),"")</f>
        <v>2008</v>
      </c>
      <c r="J3375" s="25" t="str">
        <f aca="false">IFERROR(IF(INDEX(Documents!$D$5:$D$657,MATCH(H3375,Documents!$A$5:$A$657,0))="","",INDEX(Documents!$D$5:$D$657,MATCH(H3375,Documents!$A$5:$A$657,0))),"")</f>
        <v>Bioorg Med Chem Lett</v>
      </c>
      <c r="K3375" s="25" t="str">
        <f aca="false">IFERROR(IF(INDEX(Documents!$G$5:$G$657,MATCH(H3375,Documents!$A$5:$A$657,0))="","",INDEX(Documents!$G$5:$G$657,MATCH(H3375,Documents!$A$5:$A$657,0))),"")</f>
        <v>10.1016/j.bmcl.2008.04.032</v>
      </c>
      <c r="L3375" s="25" t="s">
        <v>775</v>
      </c>
    </row>
    <row r="3376" customFormat="false" ht="15" hidden="false" customHeight="false" outlineLevel="0" collapsed="false">
      <c r="A3376" s="25" t="n">
        <v>27788168</v>
      </c>
      <c r="B3376" s="25" t="s">
        <v>7169</v>
      </c>
      <c r="C3376" s="25" t="s">
        <v>7170</v>
      </c>
      <c r="D3376" s="26" t="n">
        <v>426</v>
      </c>
      <c r="E3376" s="27" t="n">
        <v>6.37059040089728</v>
      </c>
      <c r="F3376" s="27" t="n">
        <v>6.37059040089728</v>
      </c>
      <c r="G3376" s="25" t="s">
        <v>310</v>
      </c>
      <c r="H3376" s="25" t="s">
        <v>311</v>
      </c>
      <c r="I3376" s="25" t="n">
        <f aca="false">IFERROR(IF(INDEX(Documents!$C$5:$C$657,MATCH(H3376,Documents!$A$5:$A$657,0))="","",INDEX(Documents!$C$5:$C$657,MATCH(H3376,Documents!$A$5:$A$657,0))),"")</f>
        <v>2019</v>
      </c>
      <c r="J3376" s="25" t="str">
        <f aca="false">IFERROR(IF(INDEX(Documents!$D$5:$D$657,MATCH(H3376,Documents!$A$5:$A$657,0))="","",INDEX(Documents!$D$5:$D$657,MATCH(H3376,Documents!$A$5:$A$657,0))),"")</f>
        <v/>
      </c>
      <c r="K3376" s="25" t="str">
        <f aca="false">IFERROR(IF(INDEX(Documents!$G$5:$G$657,MATCH(H3376,Documents!$A$5:$A$657,0))="","",INDEX(Documents!$G$5:$G$657,MATCH(H3376,Documents!$A$5:$A$657,0))),"")</f>
        <v/>
      </c>
      <c r="L3376" s="25" t="s">
        <v>312</v>
      </c>
    </row>
    <row r="3377" customFormat="false" ht="15" hidden="false" customHeight="false" outlineLevel="0" collapsed="false">
      <c r="A3377" s="25" t="n">
        <v>27788210</v>
      </c>
      <c r="B3377" s="25" t="s">
        <v>7171</v>
      </c>
      <c r="C3377" s="25" t="s">
        <v>7172</v>
      </c>
      <c r="D3377" s="26" t="n">
        <v>1460</v>
      </c>
      <c r="E3377" s="27" t="n">
        <v>5.83564714421556</v>
      </c>
      <c r="F3377" s="27" t="n">
        <v>5.83564714421556</v>
      </c>
      <c r="G3377" s="25" t="s">
        <v>310</v>
      </c>
      <c r="H3377" s="25" t="s">
        <v>311</v>
      </c>
      <c r="I3377" s="25" t="n">
        <f aca="false">IFERROR(IF(INDEX(Documents!$C$5:$C$657,MATCH(H3377,Documents!$A$5:$A$657,0))="","",INDEX(Documents!$C$5:$C$657,MATCH(H3377,Documents!$A$5:$A$657,0))),"")</f>
        <v>2019</v>
      </c>
      <c r="J3377" s="25" t="str">
        <f aca="false">IFERROR(IF(INDEX(Documents!$D$5:$D$657,MATCH(H3377,Documents!$A$5:$A$657,0))="","",INDEX(Documents!$D$5:$D$657,MATCH(H3377,Documents!$A$5:$A$657,0))),"")</f>
        <v/>
      </c>
      <c r="K3377" s="25" t="str">
        <f aca="false">IFERROR(IF(INDEX(Documents!$G$5:$G$657,MATCH(H3377,Documents!$A$5:$A$657,0))="","",INDEX(Documents!$G$5:$G$657,MATCH(H3377,Documents!$A$5:$A$657,0))),"")</f>
        <v/>
      </c>
      <c r="L3377" s="25" t="s">
        <v>312</v>
      </c>
    </row>
    <row r="3378" customFormat="false" ht="15" hidden="false" customHeight="false" outlineLevel="0" collapsed="false">
      <c r="A3378" s="25" t="n">
        <v>27788156</v>
      </c>
      <c r="B3378" s="25" t="s">
        <v>7173</v>
      </c>
      <c r="C3378" s="25" t="s">
        <v>7174</v>
      </c>
      <c r="D3378" s="26" t="n">
        <v>137</v>
      </c>
      <c r="E3378" s="27" t="n">
        <v>6.86327943284359</v>
      </c>
      <c r="F3378" s="27" t="n">
        <v>6.86327943284359</v>
      </c>
      <c r="G3378" s="25" t="s">
        <v>310</v>
      </c>
      <c r="H3378" s="25" t="s">
        <v>311</v>
      </c>
      <c r="I3378" s="25" t="n">
        <f aca="false">IFERROR(IF(INDEX(Documents!$C$5:$C$657,MATCH(H3378,Documents!$A$5:$A$657,0))="","",INDEX(Documents!$C$5:$C$657,MATCH(H3378,Documents!$A$5:$A$657,0))),"")</f>
        <v>2019</v>
      </c>
      <c r="J3378" s="25" t="str">
        <f aca="false">IFERROR(IF(INDEX(Documents!$D$5:$D$657,MATCH(H3378,Documents!$A$5:$A$657,0))="","",INDEX(Documents!$D$5:$D$657,MATCH(H3378,Documents!$A$5:$A$657,0))),"")</f>
        <v/>
      </c>
      <c r="K3378" s="25" t="str">
        <f aca="false">IFERROR(IF(INDEX(Documents!$G$5:$G$657,MATCH(H3378,Documents!$A$5:$A$657,0))="","",INDEX(Documents!$G$5:$G$657,MATCH(H3378,Documents!$A$5:$A$657,0))),"")</f>
        <v/>
      </c>
      <c r="L3378" s="25" t="s">
        <v>312</v>
      </c>
    </row>
    <row r="3379" customFormat="false" ht="15" hidden="false" customHeight="false" outlineLevel="0" collapsed="false">
      <c r="A3379" s="25" t="n">
        <v>27788192</v>
      </c>
      <c r="B3379" s="25" t="s">
        <v>7175</v>
      </c>
      <c r="C3379" s="25" t="s">
        <v>7176</v>
      </c>
      <c r="D3379" s="26" t="n">
        <v>1304</v>
      </c>
      <c r="E3379" s="27" t="n">
        <v>5.8847224086041</v>
      </c>
      <c r="F3379" s="27" t="n">
        <v>5.8847224086041</v>
      </c>
      <c r="G3379" s="25" t="s">
        <v>310</v>
      </c>
      <c r="H3379" s="25" t="s">
        <v>311</v>
      </c>
      <c r="I3379" s="25" t="n">
        <f aca="false">IFERROR(IF(INDEX(Documents!$C$5:$C$657,MATCH(H3379,Documents!$A$5:$A$657,0))="","",INDEX(Documents!$C$5:$C$657,MATCH(H3379,Documents!$A$5:$A$657,0))),"")</f>
        <v>2019</v>
      </c>
      <c r="J3379" s="25" t="str">
        <f aca="false">IFERROR(IF(INDEX(Documents!$D$5:$D$657,MATCH(H3379,Documents!$A$5:$A$657,0))="","",INDEX(Documents!$D$5:$D$657,MATCH(H3379,Documents!$A$5:$A$657,0))),"")</f>
        <v/>
      </c>
      <c r="K3379" s="25" t="str">
        <f aca="false">IFERROR(IF(INDEX(Documents!$G$5:$G$657,MATCH(H3379,Documents!$A$5:$A$657,0))="","",INDEX(Documents!$G$5:$G$657,MATCH(H3379,Documents!$A$5:$A$657,0))),"")</f>
        <v/>
      </c>
      <c r="L3379" s="25" t="s">
        <v>312</v>
      </c>
    </row>
    <row r="3380" customFormat="false" ht="15" hidden="false" customHeight="false" outlineLevel="0" collapsed="false">
      <c r="A3380" s="25" t="n">
        <v>27788033</v>
      </c>
      <c r="B3380" s="25" t="s">
        <v>7177</v>
      </c>
      <c r="C3380" s="25" t="s">
        <v>7178</v>
      </c>
      <c r="D3380" s="26" t="n">
        <v>16.1</v>
      </c>
      <c r="E3380" s="27" t="n">
        <v>7.79317412396815</v>
      </c>
      <c r="F3380" s="27" t="n">
        <v>7.79317412396815</v>
      </c>
      <c r="G3380" s="25" t="s">
        <v>255</v>
      </c>
      <c r="H3380" s="25" t="s">
        <v>256</v>
      </c>
      <c r="I3380" s="25" t="n">
        <f aca="false">IFERROR(IF(INDEX(Documents!$C$5:$C$657,MATCH(H3380,Documents!$A$5:$A$657,0))="","",INDEX(Documents!$C$5:$C$657,MATCH(H3380,Documents!$A$5:$A$657,0))),"")</f>
        <v>2019</v>
      </c>
      <c r="J3380" s="25" t="str">
        <f aca="false">IFERROR(IF(INDEX(Documents!$D$5:$D$657,MATCH(H3380,Documents!$A$5:$A$657,0))="","",INDEX(Documents!$D$5:$D$657,MATCH(H3380,Documents!$A$5:$A$657,0))),"")</f>
        <v/>
      </c>
      <c r="K3380" s="25" t="str">
        <f aca="false">IFERROR(IF(INDEX(Documents!$G$5:$G$657,MATCH(H3380,Documents!$A$5:$A$657,0))="","",INDEX(Documents!$G$5:$G$657,MATCH(H3380,Documents!$A$5:$A$657,0))),"")</f>
        <v/>
      </c>
      <c r="L3380" s="25" t="s">
        <v>250</v>
      </c>
    </row>
    <row r="3381" customFormat="false" ht="15" hidden="false" customHeight="false" outlineLevel="0" collapsed="false">
      <c r="A3381" s="25" t="n">
        <v>27788051</v>
      </c>
      <c r="B3381" s="25" t="s">
        <v>7179</v>
      </c>
      <c r="C3381" s="25" t="s">
        <v>7180</v>
      </c>
      <c r="D3381" s="26" t="n">
        <v>45.5</v>
      </c>
      <c r="E3381" s="27" t="n">
        <v>7.34198860334289</v>
      </c>
      <c r="F3381" s="27" t="n">
        <v>7.34198860334289</v>
      </c>
      <c r="G3381" s="25" t="s">
        <v>255</v>
      </c>
      <c r="H3381" s="25" t="s">
        <v>256</v>
      </c>
      <c r="I3381" s="25" t="n">
        <f aca="false">IFERROR(IF(INDEX(Documents!$C$5:$C$657,MATCH(H3381,Documents!$A$5:$A$657,0))="","",INDEX(Documents!$C$5:$C$657,MATCH(H3381,Documents!$A$5:$A$657,0))),"")</f>
        <v>2019</v>
      </c>
      <c r="J3381" s="25" t="str">
        <f aca="false">IFERROR(IF(INDEX(Documents!$D$5:$D$657,MATCH(H3381,Documents!$A$5:$A$657,0))="","",INDEX(Documents!$D$5:$D$657,MATCH(H3381,Documents!$A$5:$A$657,0))),"")</f>
        <v/>
      </c>
      <c r="K3381" s="25" t="str">
        <f aca="false">IFERROR(IF(INDEX(Documents!$G$5:$G$657,MATCH(H3381,Documents!$A$5:$A$657,0))="","",INDEX(Documents!$G$5:$G$657,MATCH(H3381,Documents!$A$5:$A$657,0))),"")</f>
        <v/>
      </c>
      <c r="L3381" s="25" t="s">
        <v>250</v>
      </c>
    </row>
    <row r="3382" customFormat="false" ht="15" hidden="false" customHeight="false" outlineLevel="0" collapsed="false">
      <c r="A3382" s="25" t="n">
        <v>27788138</v>
      </c>
      <c r="B3382" s="25" t="s">
        <v>7181</v>
      </c>
      <c r="C3382" s="25" t="s">
        <v>7182</v>
      </c>
      <c r="D3382" s="26" t="n">
        <v>640</v>
      </c>
      <c r="E3382" s="27" t="n">
        <v>6.19382002601611</v>
      </c>
      <c r="F3382" s="27" t="n">
        <v>6.19382002601611</v>
      </c>
      <c r="G3382" s="25" t="s">
        <v>310</v>
      </c>
      <c r="H3382" s="25" t="s">
        <v>311</v>
      </c>
      <c r="I3382" s="25" t="n">
        <f aca="false">IFERROR(IF(INDEX(Documents!$C$5:$C$657,MATCH(H3382,Documents!$A$5:$A$657,0))="","",INDEX(Documents!$C$5:$C$657,MATCH(H3382,Documents!$A$5:$A$657,0))),"")</f>
        <v>2019</v>
      </c>
      <c r="J3382" s="25" t="str">
        <f aca="false">IFERROR(IF(INDEX(Documents!$D$5:$D$657,MATCH(H3382,Documents!$A$5:$A$657,0))="","",INDEX(Documents!$D$5:$D$657,MATCH(H3382,Documents!$A$5:$A$657,0))),"")</f>
        <v/>
      </c>
      <c r="K3382" s="25" t="str">
        <f aca="false">IFERROR(IF(INDEX(Documents!$G$5:$G$657,MATCH(H3382,Documents!$A$5:$A$657,0))="","",INDEX(Documents!$G$5:$G$657,MATCH(H3382,Documents!$A$5:$A$657,0))),"")</f>
        <v/>
      </c>
      <c r="L3382" s="25" t="s">
        <v>312</v>
      </c>
    </row>
    <row r="3383" customFormat="false" ht="15" hidden="false" customHeight="false" outlineLevel="0" collapsed="false">
      <c r="A3383" s="25" t="n">
        <v>27788132</v>
      </c>
      <c r="B3383" s="25" t="s">
        <v>7183</v>
      </c>
      <c r="C3383" s="25" t="s">
        <v>7184</v>
      </c>
      <c r="D3383" s="26" t="n">
        <v>153</v>
      </c>
      <c r="E3383" s="27" t="n">
        <v>6.8153085691824</v>
      </c>
      <c r="F3383" s="27" t="n">
        <v>6.8153085691824</v>
      </c>
      <c r="G3383" s="25" t="s">
        <v>310</v>
      </c>
      <c r="H3383" s="25" t="s">
        <v>311</v>
      </c>
      <c r="I3383" s="25" t="n">
        <f aca="false">IFERROR(IF(INDEX(Documents!$C$5:$C$657,MATCH(H3383,Documents!$A$5:$A$657,0))="","",INDEX(Documents!$C$5:$C$657,MATCH(H3383,Documents!$A$5:$A$657,0))),"")</f>
        <v>2019</v>
      </c>
      <c r="J3383" s="25" t="str">
        <f aca="false">IFERROR(IF(INDEX(Documents!$D$5:$D$657,MATCH(H3383,Documents!$A$5:$A$657,0))="","",INDEX(Documents!$D$5:$D$657,MATCH(H3383,Documents!$A$5:$A$657,0))),"")</f>
        <v/>
      </c>
      <c r="K3383" s="25" t="str">
        <f aca="false">IFERROR(IF(INDEX(Documents!$G$5:$G$657,MATCH(H3383,Documents!$A$5:$A$657,0))="","",INDEX(Documents!$G$5:$G$657,MATCH(H3383,Documents!$A$5:$A$657,0))),"")</f>
        <v/>
      </c>
      <c r="L3383" s="25" t="s">
        <v>312</v>
      </c>
    </row>
    <row r="3384" customFormat="false" ht="15" hidden="false" customHeight="false" outlineLevel="0" collapsed="false">
      <c r="A3384" s="25" t="n">
        <v>24857920</v>
      </c>
      <c r="B3384" s="25" t="s">
        <v>7185</v>
      </c>
      <c r="C3384" s="25" t="s">
        <v>7186</v>
      </c>
      <c r="D3384" s="26" t="n">
        <v>0.4</v>
      </c>
      <c r="E3384" s="27" t="n">
        <v>9.39794000867204</v>
      </c>
      <c r="F3384" s="27" t="n">
        <v>9.39794000867204</v>
      </c>
      <c r="G3384" s="25" t="s">
        <v>7187</v>
      </c>
      <c r="H3384" s="25" t="s">
        <v>6046</v>
      </c>
      <c r="I3384" s="25" t="n">
        <f aca="false">IFERROR(IF(INDEX(Documents!$C$5:$C$657,MATCH(H3384,Documents!$A$5:$A$657,0))="","",INDEX(Documents!$C$5:$C$657,MATCH(H3384,Documents!$A$5:$A$657,0))),"")</f>
        <v>2022</v>
      </c>
      <c r="J3384" s="25" t="str">
        <f aca="false">IFERROR(IF(INDEX(Documents!$D$5:$D$657,MATCH(H3384,Documents!$A$5:$A$657,0))="","",INDEX(Documents!$D$5:$D$657,MATCH(H3384,Documents!$A$5:$A$657,0))),"")</f>
        <v>J Med Chem</v>
      </c>
      <c r="K3384" s="25" t="str">
        <f aca="false">IFERROR(IF(INDEX(Documents!$G$5:$G$657,MATCH(H3384,Documents!$A$5:$A$657,0))="","",INDEX(Documents!$G$5:$G$657,MATCH(H3384,Documents!$A$5:$A$657,0))),"")</f>
        <v>10.1021/acs.jmedchem.2c00256</v>
      </c>
      <c r="L3384" s="25" t="s">
        <v>7188</v>
      </c>
    </row>
    <row r="3385" customFormat="false" ht="15" hidden="false" customHeight="false" outlineLevel="0" collapsed="false">
      <c r="A3385" s="25" t="n">
        <v>16289966</v>
      </c>
      <c r="B3385" s="25" t="s">
        <v>7189</v>
      </c>
      <c r="C3385" s="25" t="s">
        <v>7190</v>
      </c>
      <c r="D3385" s="26" t="n">
        <v>30</v>
      </c>
      <c r="E3385" s="27" t="n">
        <v>7.52287874528034</v>
      </c>
      <c r="F3385" s="27" t="n">
        <v>7.52287874528034</v>
      </c>
      <c r="G3385" s="25" t="s">
        <v>273</v>
      </c>
      <c r="H3385" s="25" t="s">
        <v>274</v>
      </c>
      <c r="I3385" s="25" t="n">
        <f aca="false">IFERROR(IF(INDEX(Documents!$C$5:$C$657,MATCH(H3385,Documents!$A$5:$A$657,0))="","",INDEX(Documents!$C$5:$C$657,MATCH(H3385,Documents!$A$5:$A$657,0))),"")</f>
        <v>2014</v>
      </c>
      <c r="J3385" s="25" t="str">
        <f aca="false">IFERROR(IF(INDEX(Documents!$D$5:$D$657,MATCH(H3385,Documents!$A$5:$A$657,0))="","",INDEX(Documents!$D$5:$D$657,MATCH(H3385,Documents!$A$5:$A$657,0))),"")</f>
        <v/>
      </c>
      <c r="K3385" s="25" t="str">
        <f aca="false">IFERROR(IF(INDEX(Documents!$G$5:$G$657,MATCH(H3385,Documents!$A$5:$A$657,0))="","",INDEX(Documents!$G$5:$G$657,MATCH(H3385,Documents!$A$5:$A$657,0))),"")</f>
        <v/>
      </c>
      <c r="L3385" s="25" t="s">
        <v>275</v>
      </c>
    </row>
    <row r="3386" customFormat="false" ht="15" hidden="false" customHeight="false" outlineLevel="0" collapsed="false">
      <c r="A3386" s="25" t="n">
        <v>19180446</v>
      </c>
      <c r="B3386" s="25" t="s">
        <v>7191</v>
      </c>
      <c r="C3386" s="25" t="s">
        <v>7192</v>
      </c>
      <c r="D3386" s="26" t="n">
        <v>3100</v>
      </c>
      <c r="E3386" s="27" t="n">
        <v>5.50863830616573</v>
      </c>
      <c r="F3386" s="27" t="n">
        <v>5.50863830616573</v>
      </c>
      <c r="G3386" s="25" t="s">
        <v>669</v>
      </c>
      <c r="H3386" s="25" t="s">
        <v>670</v>
      </c>
      <c r="I3386" s="25" t="n">
        <f aca="false">IFERROR(IF(INDEX(Documents!$C$5:$C$657,MATCH(H3386,Documents!$A$5:$A$657,0))="","",INDEX(Documents!$C$5:$C$657,MATCH(H3386,Documents!$A$5:$A$657,0))),"")</f>
        <v>2019</v>
      </c>
      <c r="J3386" s="25" t="str">
        <f aca="false">IFERROR(IF(INDEX(Documents!$D$5:$D$657,MATCH(H3386,Documents!$A$5:$A$657,0))="","",INDEX(Documents!$D$5:$D$657,MATCH(H3386,Documents!$A$5:$A$657,0))),"")</f>
        <v>Bioorg Med Chem</v>
      </c>
      <c r="K3386" s="25" t="str">
        <f aca="false">IFERROR(IF(INDEX(Documents!$G$5:$G$657,MATCH(H3386,Documents!$A$5:$A$657,0))="","",INDEX(Documents!$G$5:$G$657,MATCH(H3386,Documents!$A$5:$A$657,0))),"")</f>
        <v>10.1016/j.bmc.2019.07.002</v>
      </c>
      <c r="L3386" s="25" t="s">
        <v>671</v>
      </c>
    </row>
    <row r="3387" customFormat="false" ht="15" hidden="false" customHeight="false" outlineLevel="0" collapsed="false">
      <c r="A3387" s="25" t="n">
        <v>19180456</v>
      </c>
      <c r="B3387" s="25" t="s">
        <v>7193</v>
      </c>
      <c r="C3387" s="25" t="s">
        <v>7194</v>
      </c>
      <c r="D3387" s="26" t="n">
        <v>830</v>
      </c>
      <c r="E3387" s="27" t="n">
        <v>6.08092190762393</v>
      </c>
      <c r="F3387" s="27" t="n">
        <v>6.08092190762393</v>
      </c>
      <c r="G3387" s="25" t="s">
        <v>669</v>
      </c>
      <c r="H3387" s="25" t="s">
        <v>670</v>
      </c>
      <c r="I3387" s="25" t="n">
        <f aca="false">IFERROR(IF(INDEX(Documents!$C$5:$C$657,MATCH(H3387,Documents!$A$5:$A$657,0))="","",INDEX(Documents!$C$5:$C$657,MATCH(H3387,Documents!$A$5:$A$657,0))),"")</f>
        <v>2019</v>
      </c>
      <c r="J3387" s="25" t="str">
        <f aca="false">IFERROR(IF(INDEX(Documents!$D$5:$D$657,MATCH(H3387,Documents!$A$5:$A$657,0))="","",INDEX(Documents!$D$5:$D$657,MATCH(H3387,Documents!$A$5:$A$657,0))),"")</f>
        <v>Bioorg Med Chem</v>
      </c>
      <c r="K3387" s="25" t="str">
        <f aca="false">IFERROR(IF(INDEX(Documents!$G$5:$G$657,MATCH(H3387,Documents!$A$5:$A$657,0))="","",INDEX(Documents!$G$5:$G$657,MATCH(H3387,Documents!$A$5:$A$657,0))),"")</f>
        <v>10.1016/j.bmc.2019.07.002</v>
      </c>
      <c r="L3387" s="25" t="s">
        <v>671</v>
      </c>
    </row>
    <row r="3388" customFormat="false" ht="15" hidden="false" customHeight="false" outlineLevel="0" collapsed="false">
      <c r="A3388" s="25" t="n">
        <v>18588964</v>
      </c>
      <c r="B3388" s="25" t="s">
        <v>7195</v>
      </c>
      <c r="C3388" s="25" t="s">
        <v>7196</v>
      </c>
      <c r="D3388" s="26" t="n">
        <v>110</v>
      </c>
      <c r="E3388" s="27" t="n">
        <v>6.95860731484178</v>
      </c>
      <c r="F3388" s="27" t="n">
        <v>6.95860731484178</v>
      </c>
      <c r="G3388" s="25" t="s">
        <v>1175</v>
      </c>
      <c r="H3388" s="25" t="s">
        <v>1176</v>
      </c>
      <c r="I3388" s="25" t="n">
        <f aca="false">IFERROR(IF(INDEX(Documents!$C$5:$C$657,MATCH(H3388,Documents!$A$5:$A$657,0))="","",INDEX(Documents!$C$5:$C$657,MATCH(H3388,Documents!$A$5:$A$657,0))),"")</f>
        <v>2018</v>
      </c>
      <c r="J3388" s="25" t="str">
        <f aca="false">IFERROR(IF(INDEX(Documents!$D$5:$D$657,MATCH(H3388,Documents!$A$5:$A$657,0))="","",INDEX(Documents!$D$5:$D$657,MATCH(H3388,Documents!$A$5:$A$657,0))),"")</f>
        <v>J Med Chem</v>
      </c>
      <c r="K3388" s="25" t="str">
        <f aca="false">IFERROR(IF(INDEX(Documents!$G$5:$G$657,MATCH(H3388,Documents!$A$5:$A$657,0))="","",INDEX(Documents!$G$5:$G$657,MATCH(H3388,Documents!$A$5:$A$657,0))),"")</f>
        <v>10.1021/acs.jmedchem.7b01820</v>
      </c>
      <c r="L3388" s="25" t="s">
        <v>1177</v>
      </c>
    </row>
    <row r="3389" customFormat="false" ht="15" hidden="false" customHeight="false" outlineLevel="0" collapsed="false">
      <c r="A3389" s="25" t="n">
        <v>18588992</v>
      </c>
      <c r="B3389" s="25" t="s">
        <v>7197</v>
      </c>
      <c r="C3389" s="25" t="s">
        <v>7198</v>
      </c>
      <c r="D3389" s="26" t="n">
        <v>2100</v>
      </c>
      <c r="E3389" s="27" t="n">
        <v>5.67778070526608</v>
      </c>
      <c r="F3389" s="27" t="n">
        <v>5.67778070526608</v>
      </c>
      <c r="G3389" s="25" t="s">
        <v>1175</v>
      </c>
      <c r="H3389" s="25" t="s">
        <v>1176</v>
      </c>
      <c r="I3389" s="25" t="n">
        <f aca="false">IFERROR(IF(INDEX(Documents!$C$5:$C$657,MATCH(H3389,Documents!$A$5:$A$657,0))="","",INDEX(Documents!$C$5:$C$657,MATCH(H3389,Documents!$A$5:$A$657,0))),"")</f>
        <v>2018</v>
      </c>
      <c r="J3389" s="25" t="str">
        <f aca="false">IFERROR(IF(INDEX(Documents!$D$5:$D$657,MATCH(H3389,Documents!$A$5:$A$657,0))="","",INDEX(Documents!$D$5:$D$657,MATCH(H3389,Documents!$A$5:$A$657,0))),"")</f>
        <v>J Med Chem</v>
      </c>
      <c r="K3389" s="25" t="str">
        <f aca="false">IFERROR(IF(INDEX(Documents!$G$5:$G$657,MATCH(H3389,Documents!$A$5:$A$657,0))="","",INDEX(Documents!$G$5:$G$657,MATCH(H3389,Documents!$A$5:$A$657,0))),"")</f>
        <v>10.1021/acs.jmedchem.7b01820</v>
      </c>
      <c r="L3389" s="25" t="s">
        <v>1177</v>
      </c>
    </row>
    <row r="3390" customFormat="false" ht="15" hidden="false" customHeight="false" outlineLevel="0" collapsed="false">
      <c r="A3390" s="25" t="n">
        <v>18588993</v>
      </c>
      <c r="B3390" s="25" t="s">
        <v>7199</v>
      </c>
      <c r="C3390" s="25" t="s">
        <v>7200</v>
      </c>
      <c r="D3390" s="26" t="n">
        <v>630</v>
      </c>
      <c r="E3390" s="27" t="n">
        <v>6.20065945054642</v>
      </c>
      <c r="F3390" s="27" t="n">
        <v>6.20065945054642</v>
      </c>
      <c r="G3390" s="25" t="s">
        <v>1175</v>
      </c>
      <c r="H3390" s="25" t="s">
        <v>1176</v>
      </c>
      <c r="I3390" s="25" t="n">
        <f aca="false">IFERROR(IF(INDEX(Documents!$C$5:$C$657,MATCH(H3390,Documents!$A$5:$A$657,0))="","",INDEX(Documents!$C$5:$C$657,MATCH(H3390,Documents!$A$5:$A$657,0))),"")</f>
        <v>2018</v>
      </c>
      <c r="J3390" s="25" t="str">
        <f aca="false">IFERROR(IF(INDEX(Documents!$D$5:$D$657,MATCH(H3390,Documents!$A$5:$A$657,0))="","",INDEX(Documents!$D$5:$D$657,MATCH(H3390,Documents!$A$5:$A$657,0))),"")</f>
        <v>J Med Chem</v>
      </c>
      <c r="K3390" s="25" t="str">
        <f aca="false">IFERROR(IF(INDEX(Documents!$G$5:$G$657,MATCH(H3390,Documents!$A$5:$A$657,0))="","",INDEX(Documents!$G$5:$G$657,MATCH(H3390,Documents!$A$5:$A$657,0))),"")</f>
        <v>10.1021/acs.jmedchem.7b01820</v>
      </c>
      <c r="L3390" s="25" t="s">
        <v>1177</v>
      </c>
    </row>
    <row r="3391" customFormat="false" ht="15" hidden="false" customHeight="false" outlineLevel="0" collapsed="false">
      <c r="A3391" s="25" t="n">
        <v>18588973</v>
      </c>
      <c r="B3391" s="25" t="s">
        <v>7201</v>
      </c>
      <c r="C3391" s="25" t="s">
        <v>7202</v>
      </c>
      <c r="D3391" s="26" t="n">
        <v>430</v>
      </c>
      <c r="E3391" s="27" t="n">
        <v>6.36653154442041</v>
      </c>
      <c r="F3391" s="27" t="n">
        <v>6.36653154442041</v>
      </c>
      <c r="G3391" s="25" t="s">
        <v>1175</v>
      </c>
      <c r="H3391" s="25" t="s">
        <v>1176</v>
      </c>
      <c r="I3391" s="25" t="n">
        <f aca="false">IFERROR(IF(INDEX(Documents!$C$5:$C$657,MATCH(H3391,Documents!$A$5:$A$657,0))="","",INDEX(Documents!$C$5:$C$657,MATCH(H3391,Documents!$A$5:$A$657,0))),"")</f>
        <v>2018</v>
      </c>
      <c r="J3391" s="25" t="str">
        <f aca="false">IFERROR(IF(INDEX(Documents!$D$5:$D$657,MATCH(H3391,Documents!$A$5:$A$657,0))="","",INDEX(Documents!$D$5:$D$657,MATCH(H3391,Documents!$A$5:$A$657,0))),"")</f>
        <v>J Med Chem</v>
      </c>
      <c r="K3391" s="25" t="str">
        <f aca="false">IFERROR(IF(INDEX(Documents!$G$5:$G$657,MATCH(H3391,Documents!$A$5:$A$657,0))="","",INDEX(Documents!$G$5:$G$657,MATCH(H3391,Documents!$A$5:$A$657,0))),"")</f>
        <v>10.1021/acs.jmedchem.7b01820</v>
      </c>
      <c r="L3391" s="25" t="s">
        <v>1177</v>
      </c>
    </row>
    <row r="3392" customFormat="false" ht="15" hidden="false" customHeight="false" outlineLevel="0" collapsed="false">
      <c r="A3392" s="25" t="n">
        <v>18588976</v>
      </c>
      <c r="B3392" s="25" t="s">
        <v>7203</v>
      </c>
      <c r="C3392" s="25" t="s">
        <v>7204</v>
      </c>
      <c r="D3392" s="26" t="n">
        <v>1700</v>
      </c>
      <c r="E3392" s="27" t="n">
        <v>5.76955107862173</v>
      </c>
      <c r="F3392" s="27" t="n">
        <v>5.76955107862173</v>
      </c>
      <c r="G3392" s="25" t="s">
        <v>1175</v>
      </c>
      <c r="H3392" s="25" t="s">
        <v>1176</v>
      </c>
      <c r="I3392" s="25" t="n">
        <f aca="false">IFERROR(IF(INDEX(Documents!$C$5:$C$657,MATCH(H3392,Documents!$A$5:$A$657,0))="","",INDEX(Documents!$C$5:$C$657,MATCH(H3392,Documents!$A$5:$A$657,0))),"")</f>
        <v>2018</v>
      </c>
      <c r="J3392" s="25" t="str">
        <f aca="false">IFERROR(IF(INDEX(Documents!$D$5:$D$657,MATCH(H3392,Documents!$A$5:$A$657,0))="","",INDEX(Documents!$D$5:$D$657,MATCH(H3392,Documents!$A$5:$A$657,0))),"")</f>
        <v>J Med Chem</v>
      </c>
      <c r="K3392" s="25" t="str">
        <f aca="false">IFERROR(IF(INDEX(Documents!$G$5:$G$657,MATCH(H3392,Documents!$A$5:$A$657,0))="","",INDEX(Documents!$G$5:$G$657,MATCH(H3392,Documents!$A$5:$A$657,0))),"")</f>
        <v>10.1021/acs.jmedchem.7b01820</v>
      </c>
      <c r="L3392" s="25" t="s">
        <v>1177</v>
      </c>
    </row>
    <row r="3393" customFormat="false" ht="15" hidden="false" customHeight="false" outlineLevel="0" collapsed="false">
      <c r="A3393" s="25" t="n">
        <v>18588966</v>
      </c>
      <c r="B3393" s="25" t="s">
        <v>7205</v>
      </c>
      <c r="C3393" s="25" t="s">
        <v>7206</v>
      </c>
      <c r="D3393" s="26" t="n">
        <v>1400</v>
      </c>
      <c r="E3393" s="27" t="n">
        <v>5.85387196432176</v>
      </c>
      <c r="F3393" s="27" t="n">
        <v>5.85387196432176</v>
      </c>
      <c r="G3393" s="25" t="s">
        <v>1175</v>
      </c>
      <c r="H3393" s="25" t="s">
        <v>1176</v>
      </c>
      <c r="I3393" s="25" t="n">
        <f aca="false">IFERROR(IF(INDEX(Documents!$C$5:$C$657,MATCH(H3393,Documents!$A$5:$A$657,0))="","",INDEX(Documents!$C$5:$C$657,MATCH(H3393,Documents!$A$5:$A$657,0))),"")</f>
        <v>2018</v>
      </c>
      <c r="J3393" s="25" t="str">
        <f aca="false">IFERROR(IF(INDEX(Documents!$D$5:$D$657,MATCH(H3393,Documents!$A$5:$A$657,0))="","",INDEX(Documents!$D$5:$D$657,MATCH(H3393,Documents!$A$5:$A$657,0))),"")</f>
        <v>J Med Chem</v>
      </c>
      <c r="K3393" s="25" t="str">
        <f aca="false">IFERROR(IF(INDEX(Documents!$G$5:$G$657,MATCH(H3393,Documents!$A$5:$A$657,0))="","",INDEX(Documents!$G$5:$G$657,MATCH(H3393,Documents!$A$5:$A$657,0))),"")</f>
        <v>10.1021/acs.jmedchem.7b01820</v>
      </c>
      <c r="L3393" s="25" t="s">
        <v>1177</v>
      </c>
    </row>
    <row r="3394" customFormat="false" ht="15" hidden="false" customHeight="false" outlineLevel="0" collapsed="false">
      <c r="A3394" s="25" t="n">
        <v>2275642</v>
      </c>
      <c r="B3394" s="25" t="s">
        <v>7207</v>
      </c>
      <c r="C3394" s="25" t="s">
        <v>7208</v>
      </c>
      <c r="D3394" s="26" t="n">
        <v>2650</v>
      </c>
      <c r="E3394" s="27" t="n">
        <v>5.57675412606319</v>
      </c>
      <c r="F3394" s="27" t="n">
        <v>5.57675412606319</v>
      </c>
      <c r="G3394" s="25" t="s">
        <v>7209</v>
      </c>
      <c r="H3394" s="25" t="s">
        <v>7210</v>
      </c>
      <c r="I3394" s="25" t="n">
        <f aca="false">IFERROR(IF(INDEX(Documents!$C$5:$C$657,MATCH(H3394,Documents!$A$5:$A$657,0))="","",INDEX(Documents!$C$5:$C$657,MATCH(H3394,Documents!$A$5:$A$657,0))),"")</f>
        <v>2009</v>
      </c>
      <c r="J3394" s="25" t="str">
        <f aca="false">IFERROR(IF(INDEX(Documents!$D$5:$D$657,MATCH(H3394,Documents!$A$5:$A$657,0))="","",INDEX(Documents!$D$5:$D$657,MATCH(H3394,Documents!$A$5:$A$657,0))),"")</f>
        <v>Bioorg Med Chem Lett</v>
      </c>
      <c r="K3394" s="25" t="str">
        <f aca="false">IFERROR(IF(INDEX(Documents!$G$5:$G$657,MATCH(H3394,Documents!$A$5:$A$657,0))="","",INDEX(Documents!$G$5:$G$657,MATCH(H3394,Documents!$A$5:$A$657,0))),"")</f>
        <v>10.1016/j.bmcl.2009.02.033</v>
      </c>
      <c r="L3394" s="25" t="s">
        <v>7211</v>
      </c>
    </row>
    <row r="3395" customFormat="false" ht="15" hidden="false" customHeight="false" outlineLevel="0" collapsed="false">
      <c r="A3395" s="25" t="n">
        <v>2275638</v>
      </c>
      <c r="B3395" s="25" t="s">
        <v>7212</v>
      </c>
      <c r="C3395" s="25" t="s">
        <v>7213</v>
      </c>
      <c r="D3395" s="26" t="n">
        <v>312</v>
      </c>
      <c r="E3395" s="27" t="n">
        <v>6.50584540598156</v>
      </c>
      <c r="F3395" s="27" t="n">
        <v>6.74440603334139</v>
      </c>
      <c r="G3395" s="25" t="s">
        <v>7214</v>
      </c>
      <c r="H3395" s="25" t="s">
        <v>7210</v>
      </c>
      <c r="I3395" s="25" t="n">
        <f aca="false">IFERROR(IF(INDEX(Documents!$C$5:$C$657,MATCH(H3395,Documents!$A$5:$A$657,0))="","",INDEX(Documents!$C$5:$C$657,MATCH(H3395,Documents!$A$5:$A$657,0))),"")</f>
        <v>2009</v>
      </c>
      <c r="J3395" s="25" t="str">
        <f aca="false">IFERROR(IF(INDEX(Documents!$D$5:$D$657,MATCH(H3395,Documents!$A$5:$A$657,0))="","",INDEX(Documents!$D$5:$D$657,MATCH(H3395,Documents!$A$5:$A$657,0))),"")</f>
        <v>Bioorg Med Chem Lett</v>
      </c>
      <c r="K3395" s="25" t="str">
        <f aca="false">IFERROR(IF(INDEX(Documents!$G$5:$G$657,MATCH(H3395,Documents!$A$5:$A$657,0))="","",INDEX(Documents!$G$5:$G$657,MATCH(H3395,Documents!$A$5:$A$657,0))),"")</f>
        <v>10.1016/j.bmcl.2009.02.033</v>
      </c>
      <c r="L3395" s="25" t="s">
        <v>7215</v>
      </c>
    </row>
    <row r="3396" customFormat="false" ht="15" hidden="false" customHeight="false" outlineLevel="0" collapsed="false">
      <c r="A3396" s="25" t="n">
        <v>2275641</v>
      </c>
      <c r="B3396" s="25" t="s">
        <v>7212</v>
      </c>
      <c r="C3396" s="25" t="s">
        <v>7213</v>
      </c>
      <c r="D3396" s="26" t="n">
        <v>104</v>
      </c>
      <c r="E3396" s="27" t="n">
        <v>6.98296666070122</v>
      </c>
      <c r="F3396" s="27" t="n">
        <v>6.74440603334139</v>
      </c>
      <c r="G3396" s="25" t="s">
        <v>7209</v>
      </c>
      <c r="H3396" s="25" t="s">
        <v>7210</v>
      </c>
      <c r="I3396" s="25" t="n">
        <f aca="false">IFERROR(IF(INDEX(Documents!$C$5:$C$657,MATCH(H3396,Documents!$A$5:$A$657,0))="","",INDEX(Documents!$C$5:$C$657,MATCH(H3396,Documents!$A$5:$A$657,0))),"")</f>
        <v>2009</v>
      </c>
      <c r="J3396" s="25" t="str">
        <f aca="false">IFERROR(IF(INDEX(Documents!$D$5:$D$657,MATCH(H3396,Documents!$A$5:$A$657,0))="","",INDEX(Documents!$D$5:$D$657,MATCH(H3396,Documents!$A$5:$A$657,0))),"")</f>
        <v>Bioorg Med Chem Lett</v>
      </c>
      <c r="K3396" s="25" t="str">
        <f aca="false">IFERROR(IF(INDEX(Documents!$G$5:$G$657,MATCH(H3396,Documents!$A$5:$A$657,0))="","",INDEX(Documents!$G$5:$G$657,MATCH(H3396,Documents!$A$5:$A$657,0))),"")</f>
        <v>10.1016/j.bmcl.2009.02.033</v>
      </c>
      <c r="L3396" s="25" t="s">
        <v>7211</v>
      </c>
    </row>
    <row r="3397" customFormat="false" ht="15" hidden="false" customHeight="false" outlineLevel="0" collapsed="false">
      <c r="A3397" s="25" t="n">
        <v>25843656</v>
      </c>
      <c r="B3397" s="25" t="s">
        <v>7216</v>
      </c>
      <c r="C3397" s="25" t="s">
        <v>7217</v>
      </c>
      <c r="D3397" s="26" t="n">
        <v>481</v>
      </c>
      <c r="E3397" s="27" t="n">
        <v>6.31785492362617</v>
      </c>
      <c r="F3397" s="27" t="n">
        <v>6.31785492362617</v>
      </c>
      <c r="G3397" s="25" t="s">
        <v>1152</v>
      </c>
      <c r="H3397" s="25" t="s">
        <v>1153</v>
      </c>
      <c r="I3397" s="25" t="n">
        <f aca="false">IFERROR(IF(INDEX(Documents!$C$5:$C$657,MATCH(H3397,Documents!$A$5:$A$657,0))="","",INDEX(Documents!$C$5:$C$657,MATCH(H3397,Documents!$A$5:$A$657,0))),"")</f>
        <v>2024</v>
      </c>
      <c r="J3397" s="25" t="str">
        <f aca="false">IFERROR(IF(INDEX(Documents!$D$5:$D$657,MATCH(H3397,Documents!$A$5:$A$657,0))="","",INDEX(Documents!$D$5:$D$657,MATCH(H3397,Documents!$A$5:$A$657,0))),"")</f>
        <v>J Med Chem</v>
      </c>
      <c r="K3397" s="25" t="str">
        <f aca="false">IFERROR(IF(INDEX(Documents!$G$5:$G$657,MATCH(H3397,Documents!$A$5:$A$657,0))="","",INDEX(Documents!$G$5:$G$657,MATCH(H3397,Documents!$A$5:$A$657,0))),"")</f>
        <v>10.1021/acs.jmedchem.3c02423</v>
      </c>
      <c r="L3397" s="25" t="s">
        <v>1154</v>
      </c>
    </row>
    <row r="3398" customFormat="false" ht="15" hidden="false" customHeight="false" outlineLevel="0" collapsed="false">
      <c r="A3398" s="25" t="n">
        <v>25843653</v>
      </c>
      <c r="B3398" s="25" t="s">
        <v>7218</v>
      </c>
      <c r="C3398" s="25" t="s">
        <v>7219</v>
      </c>
      <c r="D3398" s="26" t="n">
        <v>344</v>
      </c>
      <c r="E3398" s="27" t="n">
        <v>6.46344155742847</v>
      </c>
      <c r="F3398" s="27" t="n">
        <v>6.46344155742847</v>
      </c>
      <c r="G3398" s="25" t="s">
        <v>1152</v>
      </c>
      <c r="H3398" s="25" t="s">
        <v>1153</v>
      </c>
      <c r="I3398" s="25" t="n">
        <f aca="false">IFERROR(IF(INDEX(Documents!$C$5:$C$657,MATCH(H3398,Documents!$A$5:$A$657,0))="","",INDEX(Documents!$C$5:$C$657,MATCH(H3398,Documents!$A$5:$A$657,0))),"")</f>
        <v>2024</v>
      </c>
      <c r="J3398" s="25" t="str">
        <f aca="false">IFERROR(IF(INDEX(Documents!$D$5:$D$657,MATCH(H3398,Documents!$A$5:$A$657,0))="","",INDEX(Documents!$D$5:$D$657,MATCH(H3398,Documents!$A$5:$A$657,0))),"")</f>
        <v>J Med Chem</v>
      </c>
      <c r="K3398" s="25" t="str">
        <f aca="false">IFERROR(IF(INDEX(Documents!$G$5:$G$657,MATCH(H3398,Documents!$A$5:$A$657,0))="","",INDEX(Documents!$G$5:$G$657,MATCH(H3398,Documents!$A$5:$A$657,0))),"")</f>
        <v>10.1021/acs.jmedchem.3c02423</v>
      </c>
      <c r="L3398" s="25" t="s">
        <v>1154</v>
      </c>
    </row>
    <row r="3399" customFormat="false" ht="15" hidden="false" customHeight="false" outlineLevel="0" collapsed="false">
      <c r="A3399" s="25" t="n">
        <v>25843652</v>
      </c>
      <c r="B3399" s="25" t="s">
        <v>7220</v>
      </c>
      <c r="C3399" s="25" t="s">
        <v>7221</v>
      </c>
      <c r="D3399" s="26" t="n">
        <v>896</v>
      </c>
      <c r="E3399" s="27" t="n">
        <v>6.04769199033787</v>
      </c>
      <c r="F3399" s="27" t="n">
        <v>6.04769199033787</v>
      </c>
      <c r="G3399" s="25" t="s">
        <v>1152</v>
      </c>
      <c r="H3399" s="25" t="s">
        <v>1153</v>
      </c>
      <c r="I3399" s="25" t="n">
        <f aca="false">IFERROR(IF(INDEX(Documents!$C$5:$C$657,MATCH(H3399,Documents!$A$5:$A$657,0))="","",INDEX(Documents!$C$5:$C$657,MATCH(H3399,Documents!$A$5:$A$657,0))),"")</f>
        <v>2024</v>
      </c>
      <c r="J3399" s="25" t="str">
        <f aca="false">IFERROR(IF(INDEX(Documents!$D$5:$D$657,MATCH(H3399,Documents!$A$5:$A$657,0))="","",INDEX(Documents!$D$5:$D$657,MATCH(H3399,Documents!$A$5:$A$657,0))),"")</f>
        <v>J Med Chem</v>
      </c>
      <c r="K3399" s="25" t="str">
        <f aca="false">IFERROR(IF(INDEX(Documents!$G$5:$G$657,MATCH(H3399,Documents!$A$5:$A$657,0))="","",INDEX(Documents!$G$5:$G$657,MATCH(H3399,Documents!$A$5:$A$657,0))),"")</f>
        <v>10.1021/acs.jmedchem.3c02423</v>
      </c>
      <c r="L3399" s="25" t="s">
        <v>1154</v>
      </c>
    </row>
    <row r="3400" customFormat="false" ht="15" hidden="false" customHeight="false" outlineLevel="0" collapsed="false">
      <c r="A3400" s="25" t="n">
        <v>25843651</v>
      </c>
      <c r="B3400" s="25" t="s">
        <v>7222</v>
      </c>
      <c r="C3400" s="25" t="s">
        <v>7223</v>
      </c>
      <c r="D3400" s="26" t="n">
        <v>1690</v>
      </c>
      <c r="E3400" s="27" t="n">
        <v>5.77211329538633</v>
      </c>
      <c r="F3400" s="27" t="n">
        <v>5.77211329538633</v>
      </c>
      <c r="G3400" s="25" t="s">
        <v>1152</v>
      </c>
      <c r="H3400" s="25" t="s">
        <v>1153</v>
      </c>
      <c r="I3400" s="25" t="n">
        <f aca="false">IFERROR(IF(INDEX(Documents!$C$5:$C$657,MATCH(H3400,Documents!$A$5:$A$657,0))="","",INDEX(Documents!$C$5:$C$657,MATCH(H3400,Documents!$A$5:$A$657,0))),"")</f>
        <v>2024</v>
      </c>
      <c r="J3400" s="25" t="str">
        <f aca="false">IFERROR(IF(INDEX(Documents!$D$5:$D$657,MATCH(H3400,Documents!$A$5:$A$657,0))="","",INDEX(Documents!$D$5:$D$657,MATCH(H3400,Documents!$A$5:$A$657,0))),"")</f>
        <v>J Med Chem</v>
      </c>
      <c r="K3400" s="25" t="str">
        <f aca="false">IFERROR(IF(INDEX(Documents!$G$5:$G$657,MATCH(H3400,Documents!$A$5:$A$657,0))="","",INDEX(Documents!$G$5:$G$657,MATCH(H3400,Documents!$A$5:$A$657,0))),"")</f>
        <v>10.1021/acs.jmedchem.3c02423</v>
      </c>
      <c r="L3400" s="25" t="s">
        <v>1154</v>
      </c>
    </row>
    <row r="3401" customFormat="false" ht="15" hidden="false" customHeight="false" outlineLevel="0" collapsed="false">
      <c r="A3401" s="25" t="n">
        <v>17651692</v>
      </c>
      <c r="B3401" s="25" t="s">
        <v>7224</v>
      </c>
      <c r="C3401" s="25" t="s">
        <v>7225</v>
      </c>
      <c r="D3401" s="26" t="n">
        <v>54</v>
      </c>
      <c r="E3401" s="27" t="n">
        <v>7.26760624017703</v>
      </c>
      <c r="F3401" s="27" t="n">
        <v>7.26760624017703</v>
      </c>
      <c r="G3401" s="25" t="s">
        <v>730</v>
      </c>
      <c r="H3401" s="25" t="s">
        <v>731</v>
      </c>
      <c r="I3401" s="25" t="n">
        <f aca="false">IFERROR(IF(INDEX(Documents!$C$5:$C$657,MATCH(H3401,Documents!$A$5:$A$657,0))="","",INDEX(Documents!$C$5:$C$657,MATCH(H3401,Documents!$A$5:$A$657,0))),"")</f>
        <v>2014</v>
      </c>
      <c r="J3401" s="25" t="str">
        <f aca="false">IFERROR(IF(INDEX(Documents!$D$5:$D$657,MATCH(H3401,Documents!$A$5:$A$657,0))="","",INDEX(Documents!$D$5:$D$657,MATCH(H3401,Documents!$A$5:$A$657,0))),"")</f>
        <v/>
      </c>
      <c r="K3401" s="25" t="str">
        <f aca="false">IFERROR(IF(INDEX(Documents!$G$5:$G$657,MATCH(H3401,Documents!$A$5:$A$657,0))="","",INDEX(Documents!$G$5:$G$657,MATCH(H3401,Documents!$A$5:$A$657,0))),"")</f>
        <v/>
      </c>
      <c r="L3401" s="25" t="s">
        <v>732</v>
      </c>
    </row>
    <row r="3402" customFormat="false" ht="15" hidden="false" customHeight="false" outlineLevel="0" collapsed="false">
      <c r="A3402" s="25" t="n">
        <v>17651701</v>
      </c>
      <c r="B3402" s="25" t="s">
        <v>7226</v>
      </c>
      <c r="C3402" s="25" t="s">
        <v>7227</v>
      </c>
      <c r="D3402" s="26" t="n">
        <v>27</v>
      </c>
      <c r="E3402" s="27" t="n">
        <v>7.56863623584101</v>
      </c>
      <c r="F3402" s="27" t="n">
        <v>7.56863623584101</v>
      </c>
      <c r="G3402" s="25" t="s">
        <v>730</v>
      </c>
      <c r="H3402" s="25" t="s">
        <v>731</v>
      </c>
      <c r="I3402" s="25" t="n">
        <f aca="false">IFERROR(IF(INDEX(Documents!$C$5:$C$657,MATCH(H3402,Documents!$A$5:$A$657,0))="","",INDEX(Documents!$C$5:$C$657,MATCH(H3402,Documents!$A$5:$A$657,0))),"")</f>
        <v>2014</v>
      </c>
      <c r="J3402" s="25" t="str">
        <f aca="false">IFERROR(IF(INDEX(Documents!$D$5:$D$657,MATCH(H3402,Documents!$A$5:$A$657,0))="","",INDEX(Documents!$D$5:$D$657,MATCH(H3402,Documents!$A$5:$A$657,0))),"")</f>
        <v/>
      </c>
      <c r="K3402" s="25" t="str">
        <f aca="false">IFERROR(IF(INDEX(Documents!$G$5:$G$657,MATCH(H3402,Documents!$A$5:$A$657,0))="","",INDEX(Documents!$G$5:$G$657,MATCH(H3402,Documents!$A$5:$A$657,0))),"")</f>
        <v/>
      </c>
      <c r="L3402" s="25" t="s">
        <v>732</v>
      </c>
    </row>
    <row r="3403" customFormat="false" ht="15" hidden="false" customHeight="false" outlineLevel="0" collapsed="false">
      <c r="A3403" s="25" t="n">
        <v>17651702</v>
      </c>
      <c r="B3403" s="25" t="s">
        <v>7228</v>
      </c>
      <c r="C3403" s="25" t="s">
        <v>7229</v>
      </c>
      <c r="D3403" s="26" t="n">
        <v>68</v>
      </c>
      <c r="E3403" s="27" t="n">
        <v>7.16749108729376</v>
      </c>
      <c r="F3403" s="27" t="n">
        <v>7.16749108729376</v>
      </c>
      <c r="G3403" s="25" t="s">
        <v>730</v>
      </c>
      <c r="H3403" s="25" t="s">
        <v>731</v>
      </c>
      <c r="I3403" s="25" t="n">
        <f aca="false">IFERROR(IF(INDEX(Documents!$C$5:$C$657,MATCH(H3403,Documents!$A$5:$A$657,0))="","",INDEX(Documents!$C$5:$C$657,MATCH(H3403,Documents!$A$5:$A$657,0))),"")</f>
        <v>2014</v>
      </c>
      <c r="J3403" s="25" t="str">
        <f aca="false">IFERROR(IF(INDEX(Documents!$D$5:$D$657,MATCH(H3403,Documents!$A$5:$A$657,0))="","",INDEX(Documents!$D$5:$D$657,MATCH(H3403,Documents!$A$5:$A$657,0))),"")</f>
        <v/>
      </c>
      <c r="K3403" s="25" t="str">
        <f aca="false">IFERROR(IF(INDEX(Documents!$G$5:$G$657,MATCH(H3403,Documents!$A$5:$A$657,0))="","",INDEX(Documents!$G$5:$G$657,MATCH(H3403,Documents!$A$5:$A$657,0))),"")</f>
        <v/>
      </c>
      <c r="L3403" s="25" t="s">
        <v>732</v>
      </c>
    </row>
    <row r="3404" customFormat="false" ht="15" hidden="false" customHeight="false" outlineLevel="0" collapsed="false">
      <c r="A3404" s="25" t="n">
        <v>17651689</v>
      </c>
      <c r="B3404" s="25" t="s">
        <v>7230</v>
      </c>
      <c r="C3404" s="25" t="s">
        <v>7231</v>
      </c>
      <c r="D3404" s="26" t="n">
        <v>24</v>
      </c>
      <c r="E3404" s="27" t="n">
        <v>7.61978875828839</v>
      </c>
      <c r="F3404" s="27" t="n">
        <v>7.61978875828839</v>
      </c>
      <c r="G3404" s="25" t="s">
        <v>730</v>
      </c>
      <c r="H3404" s="25" t="s">
        <v>731</v>
      </c>
      <c r="I3404" s="25" t="n">
        <f aca="false">IFERROR(IF(INDEX(Documents!$C$5:$C$657,MATCH(H3404,Documents!$A$5:$A$657,0))="","",INDEX(Documents!$C$5:$C$657,MATCH(H3404,Documents!$A$5:$A$657,0))),"")</f>
        <v>2014</v>
      </c>
      <c r="J3404" s="25" t="str">
        <f aca="false">IFERROR(IF(INDEX(Documents!$D$5:$D$657,MATCH(H3404,Documents!$A$5:$A$657,0))="","",INDEX(Documents!$D$5:$D$657,MATCH(H3404,Documents!$A$5:$A$657,0))),"")</f>
        <v/>
      </c>
      <c r="K3404" s="25" t="str">
        <f aca="false">IFERROR(IF(INDEX(Documents!$G$5:$G$657,MATCH(H3404,Documents!$A$5:$A$657,0))="","",INDEX(Documents!$G$5:$G$657,MATCH(H3404,Documents!$A$5:$A$657,0))),"")</f>
        <v/>
      </c>
      <c r="L3404" s="25" t="s">
        <v>732</v>
      </c>
    </row>
    <row r="3405" customFormat="false" ht="15" hidden="false" customHeight="false" outlineLevel="0" collapsed="false">
      <c r="A3405" s="25" t="n">
        <v>17651707</v>
      </c>
      <c r="B3405" s="25" t="s">
        <v>7232</v>
      </c>
      <c r="C3405" s="25" t="s">
        <v>7233</v>
      </c>
      <c r="D3405" s="26" t="n">
        <v>209</v>
      </c>
      <c r="E3405" s="27" t="n">
        <v>6.67985371388895</v>
      </c>
      <c r="F3405" s="27" t="n">
        <v>6.67985371388895</v>
      </c>
      <c r="G3405" s="25" t="s">
        <v>730</v>
      </c>
      <c r="H3405" s="25" t="s">
        <v>731</v>
      </c>
      <c r="I3405" s="25" t="n">
        <f aca="false">IFERROR(IF(INDEX(Documents!$C$5:$C$657,MATCH(H3405,Documents!$A$5:$A$657,0))="","",INDEX(Documents!$C$5:$C$657,MATCH(H3405,Documents!$A$5:$A$657,0))),"")</f>
        <v>2014</v>
      </c>
      <c r="J3405" s="25" t="str">
        <f aca="false">IFERROR(IF(INDEX(Documents!$D$5:$D$657,MATCH(H3405,Documents!$A$5:$A$657,0))="","",INDEX(Documents!$D$5:$D$657,MATCH(H3405,Documents!$A$5:$A$657,0))),"")</f>
        <v/>
      </c>
      <c r="K3405" s="25" t="str">
        <f aca="false">IFERROR(IF(INDEX(Documents!$G$5:$G$657,MATCH(H3405,Documents!$A$5:$A$657,0))="","",INDEX(Documents!$G$5:$G$657,MATCH(H3405,Documents!$A$5:$A$657,0))),"")</f>
        <v/>
      </c>
      <c r="L3405" s="25" t="s">
        <v>732</v>
      </c>
    </row>
    <row r="3406" customFormat="false" ht="15" hidden="false" customHeight="false" outlineLevel="0" collapsed="false">
      <c r="A3406" s="25" t="n">
        <v>22916884</v>
      </c>
      <c r="B3406" s="25" t="s">
        <v>7234</v>
      </c>
      <c r="C3406" s="25" t="s">
        <v>7235</v>
      </c>
      <c r="D3406" s="26" t="n">
        <v>5.9</v>
      </c>
      <c r="E3406" s="27" t="n">
        <v>8.22914798835786</v>
      </c>
      <c r="F3406" s="27" t="n">
        <v>8.22914798835786</v>
      </c>
      <c r="G3406" s="25" t="s">
        <v>987</v>
      </c>
      <c r="H3406" s="25" t="s">
        <v>988</v>
      </c>
      <c r="I3406" s="25" t="n">
        <f aca="false">IFERROR(IF(INDEX(Documents!$C$5:$C$657,MATCH(H3406,Documents!$A$5:$A$657,0))="","",INDEX(Documents!$C$5:$C$657,MATCH(H3406,Documents!$A$5:$A$657,0))),"")</f>
        <v>2021</v>
      </c>
      <c r="J3406" s="25" t="str">
        <f aca="false">IFERROR(IF(INDEX(Documents!$D$5:$D$657,MATCH(H3406,Documents!$A$5:$A$657,0))="","",INDEX(Documents!$D$5:$D$657,MATCH(H3406,Documents!$A$5:$A$657,0))),"")</f>
        <v>Eur J Med Chem</v>
      </c>
      <c r="K3406" s="25" t="str">
        <f aca="false">IFERROR(IF(INDEX(Documents!$G$5:$G$657,MATCH(H3406,Documents!$A$5:$A$657,0))="","",INDEX(Documents!$G$5:$G$657,MATCH(H3406,Documents!$A$5:$A$657,0))),"")</f>
        <v>10.1016/j.ejmech.2020.113087</v>
      </c>
      <c r="L3406" s="25" t="s">
        <v>989</v>
      </c>
    </row>
    <row r="3407" customFormat="false" ht="15" hidden="false" customHeight="false" outlineLevel="0" collapsed="false">
      <c r="A3407" s="25" t="n">
        <v>17651714</v>
      </c>
      <c r="B3407" s="25" t="s">
        <v>7236</v>
      </c>
      <c r="C3407" s="25" t="s">
        <v>7237</v>
      </c>
      <c r="D3407" s="26" t="n">
        <v>52</v>
      </c>
      <c r="E3407" s="27" t="n">
        <v>7.2839966563652</v>
      </c>
      <c r="F3407" s="27" t="n">
        <v>7.2839966563652</v>
      </c>
      <c r="G3407" s="25" t="s">
        <v>730</v>
      </c>
      <c r="H3407" s="25" t="s">
        <v>731</v>
      </c>
      <c r="I3407" s="25" t="n">
        <f aca="false">IFERROR(IF(INDEX(Documents!$C$5:$C$657,MATCH(H3407,Documents!$A$5:$A$657,0))="","",INDEX(Documents!$C$5:$C$657,MATCH(H3407,Documents!$A$5:$A$657,0))),"")</f>
        <v>2014</v>
      </c>
      <c r="J3407" s="25" t="str">
        <f aca="false">IFERROR(IF(INDEX(Documents!$D$5:$D$657,MATCH(H3407,Documents!$A$5:$A$657,0))="","",INDEX(Documents!$D$5:$D$657,MATCH(H3407,Documents!$A$5:$A$657,0))),"")</f>
        <v/>
      </c>
      <c r="K3407" s="25" t="str">
        <f aca="false">IFERROR(IF(INDEX(Documents!$G$5:$G$657,MATCH(H3407,Documents!$A$5:$A$657,0))="","",INDEX(Documents!$G$5:$G$657,MATCH(H3407,Documents!$A$5:$A$657,0))),"")</f>
        <v/>
      </c>
      <c r="L3407" s="25" t="s">
        <v>732</v>
      </c>
    </row>
    <row r="3408" customFormat="false" ht="15" hidden="false" customHeight="false" outlineLevel="0" collapsed="false">
      <c r="A3408" s="25" t="n">
        <v>12052738</v>
      </c>
      <c r="B3408" s="25" t="s">
        <v>7238</v>
      </c>
      <c r="C3408" s="25" t="s">
        <v>7239</v>
      </c>
      <c r="D3408" s="26" t="n">
        <v>93.9</v>
      </c>
      <c r="E3408" s="27" t="n">
        <v>7.02733440773389</v>
      </c>
      <c r="F3408" s="27" t="n">
        <v>7.02733440773389</v>
      </c>
      <c r="G3408" s="25" t="s">
        <v>587</v>
      </c>
      <c r="H3408" s="25" t="s">
        <v>588</v>
      </c>
      <c r="I3408" s="25" t="n">
        <f aca="false">IFERROR(IF(INDEX(Documents!$C$5:$C$657,MATCH(H3408,Documents!$A$5:$A$657,0))="","",INDEX(Documents!$C$5:$C$657,MATCH(H3408,Documents!$A$5:$A$657,0))),"")</f>
        <v>2012</v>
      </c>
      <c r="J3408" s="25" t="str">
        <f aca="false">IFERROR(IF(INDEX(Documents!$D$5:$D$657,MATCH(H3408,Documents!$A$5:$A$657,0))="","",INDEX(Documents!$D$5:$D$657,MATCH(H3408,Documents!$A$5:$A$657,0))),"")</f>
        <v>Eur J Med Chem</v>
      </c>
      <c r="K3408" s="25" t="str">
        <f aca="false">IFERROR(IF(INDEX(Documents!$G$5:$G$657,MATCH(H3408,Documents!$A$5:$A$657,0))="","",INDEX(Documents!$G$5:$G$657,MATCH(H3408,Documents!$A$5:$A$657,0))),"")</f>
        <v>10.1016/j.ejmech.2012.09.035</v>
      </c>
      <c r="L3408" s="25" t="s">
        <v>589</v>
      </c>
    </row>
    <row r="3409" customFormat="false" ht="15" hidden="false" customHeight="false" outlineLevel="0" collapsed="false">
      <c r="A3409" s="25" t="n">
        <v>12052748</v>
      </c>
      <c r="B3409" s="25" t="s">
        <v>7240</v>
      </c>
      <c r="C3409" s="25" t="s">
        <v>7241</v>
      </c>
      <c r="D3409" s="26" t="n">
        <v>16</v>
      </c>
      <c r="E3409" s="27" t="n">
        <v>7.79588001734408</v>
      </c>
      <c r="F3409" s="27" t="n">
        <v>7.79588001734408</v>
      </c>
      <c r="G3409" s="25" t="s">
        <v>587</v>
      </c>
      <c r="H3409" s="25" t="s">
        <v>588</v>
      </c>
      <c r="I3409" s="25" t="n">
        <f aca="false">IFERROR(IF(INDEX(Documents!$C$5:$C$657,MATCH(H3409,Documents!$A$5:$A$657,0))="","",INDEX(Documents!$C$5:$C$657,MATCH(H3409,Documents!$A$5:$A$657,0))),"")</f>
        <v>2012</v>
      </c>
      <c r="J3409" s="25" t="str">
        <f aca="false">IFERROR(IF(INDEX(Documents!$D$5:$D$657,MATCH(H3409,Documents!$A$5:$A$657,0))="","",INDEX(Documents!$D$5:$D$657,MATCH(H3409,Documents!$A$5:$A$657,0))),"")</f>
        <v>Eur J Med Chem</v>
      </c>
      <c r="K3409" s="25" t="str">
        <f aca="false">IFERROR(IF(INDEX(Documents!$G$5:$G$657,MATCH(H3409,Documents!$A$5:$A$657,0))="","",INDEX(Documents!$G$5:$G$657,MATCH(H3409,Documents!$A$5:$A$657,0))),"")</f>
        <v>10.1016/j.ejmech.2012.09.035</v>
      </c>
      <c r="L3409" s="25" t="s">
        <v>589</v>
      </c>
    </row>
    <row r="3410" customFormat="false" ht="15" hidden="false" customHeight="false" outlineLevel="0" collapsed="false">
      <c r="A3410" s="25" t="n">
        <v>10981839</v>
      </c>
      <c r="B3410" s="25" t="s">
        <v>7242</v>
      </c>
      <c r="C3410" s="25" t="s">
        <v>7243</v>
      </c>
      <c r="D3410" s="26" t="n">
        <v>3006</v>
      </c>
      <c r="E3410" s="27" t="n">
        <v>5.52201102374911</v>
      </c>
      <c r="F3410" s="27" t="n">
        <v>5.52201102374911</v>
      </c>
      <c r="G3410" s="25" t="s">
        <v>1377</v>
      </c>
      <c r="H3410" s="25" t="s">
        <v>1378</v>
      </c>
      <c r="I3410" s="25" t="n">
        <f aca="false">IFERROR(IF(INDEX(Documents!$C$5:$C$657,MATCH(H3410,Documents!$A$5:$A$657,0))="","",INDEX(Documents!$C$5:$C$657,MATCH(H3410,Documents!$A$5:$A$657,0))),"")</f>
        <v>2012</v>
      </c>
      <c r="J3410" s="25" t="str">
        <f aca="false">IFERROR(IF(INDEX(Documents!$D$5:$D$657,MATCH(H3410,Documents!$A$5:$A$657,0))="","",INDEX(Documents!$D$5:$D$657,MATCH(H3410,Documents!$A$5:$A$657,0))),"")</f>
        <v>Bioorg Med Chem Lett</v>
      </c>
      <c r="K3410" s="25" t="str">
        <f aca="false">IFERROR(IF(INDEX(Documents!$G$5:$G$657,MATCH(H3410,Documents!$A$5:$A$657,0))="","",INDEX(Documents!$G$5:$G$657,MATCH(H3410,Documents!$A$5:$A$657,0))),"")</f>
        <v>10.1016/j.bmcl.2012.06.013</v>
      </c>
      <c r="L3410" s="25" t="s">
        <v>1379</v>
      </c>
    </row>
    <row r="3411" customFormat="false" ht="15" hidden="false" customHeight="false" outlineLevel="0" collapsed="false">
      <c r="A3411" s="25" t="n">
        <v>11019968</v>
      </c>
      <c r="B3411" s="25" t="s">
        <v>7244</v>
      </c>
      <c r="C3411" s="25" t="s">
        <v>7245</v>
      </c>
      <c r="D3411" s="26" t="n">
        <v>98</v>
      </c>
      <c r="E3411" s="27" t="n">
        <v>7.00877392430751</v>
      </c>
      <c r="F3411" s="27" t="n">
        <v>7.00877392430751</v>
      </c>
      <c r="G3411" s="25" t="s">
        <v>496</v>
      </c>
      <c r="H3411" s="25" t="s">
        <v>497</v>
      </c>
      <c r="I3411" s="25" t="n">
        <f aca="false">IFERROR(IF(INDEX(Documents!$C$5:$C$657,MATCH(H3411,Documents!$A$5:$A$657,0))="","",INDEX(Documents!$C$5:$C$657,MATCH(H3411,Documents!$A$5:$A$657,0))),"")</f>
        <v>2012</v>
      </c>
      <c r="J3411" s="25" t="str">
        <f aca="false">IFERROR(IF(INDEX(Documents!$D$5:$D$657,MATCH(H3411,Documents!$A$5:$A$657,0))="","",INDEX(Documents!$D$5:$D$657,MATCH(H3411,Documents!$A$5:$A$657,0))),"")</f>
        <v>J Med Chem</v>
      </c>
      <c r="K3411" s="25" t="str">
        <f aca="false">IFERROR(IF(INDEX(Documents!$G$5:$G$657,MATCH(H3411,Documents!$A$5:$A$657,0))="","",INDEX(Documents!$G$5:$G$657,MATCH(H3411,Documents!$A$5:$A$657,0))),"")</f>
        <v>10.1021/jm3003334</v>
      </c>
      <c r="L3411" s="25" t="s">
        <v>498</v>
      </c>
    </row>
    <row r="3412" customFormat="false" ht="15" hidden="false" customHeight="false" outlineLevel="0" collapsed="false">
      <c r="A3412" s="25" t="n">
        <v>20662650</v>
      </c>
      <c r="B3412" s="25" t="s">
        <v>7246</v>
      </c>
      <c r="C3412" s="25" t="s">
        <v>7247</v>
      </c>
      <c r="D3412" s="26" t="n">
        <v>2.1</v>
      </c>
      <c r="E3412" s="27" t="n">
        <v>8.67778070526608</v>
      </c>
      <c r="F3412" s="27" t="n">
        <v>8.67778070526608</v>
      </c>
      <c r="G3412" s="25" t="s">
        <v>643</v>
      </c>
      <c r="H3412" s="25" t="s">
        <v>644</v>
      </c>
      <c r="I3412" s="25" t="n">
        <f aca="false">IFERROR(IF(INDEX(Documents!$C$5:$C$657,MATCH(H3412,Documents!$A$5:$A$657,0))="","",INDEX(Documents!$C$5:$C$657,MATCH(H3412,Documents!$A$5:$A$657,0))),"")</f>
        <v>2020</v>
      </c>
      <c r="J3412" s="25" t="str">
        <f aca="false">IFERROR(IF(INDEX(Documents!$D$5:$D$657,MATCH(H3412,Documents!$A$5:$A$657,0))="","",INDEX(Documents!$D$5:$D$657,MATCH(H3412,Documents!$A$5:$A$657,0))),"")</f>
        <v>J Med Chem</v>
      </c>
      <c r="K3412" s="25" t="str">
        <f aca="false">IFERROR(IF(INDEX(Documents!$G$5:$G$657,MATCH(H3412,Documents!$A$5:$A$657,0))="","",INDEX(Documents!$G$5:$G$657,MATCH(H3412,Documents!$A$5:$A$657,0))),"")</f>
        <v>10.1021/acs.jmedchem.0c00595</v>
      </c>
      <c r="L3412" s="25" t="s">
        <v>645</v>
      </c>
    </row>
    <row r="3413" customFormat="false" ht="15" hidden="false" customHeight="false" outlineLevel="0" collapsed="false">
      <c r="A3413" s="25" t="n">
        <v>20662664</v>
      </c>
      <c r="B3413" s="25" t="s">
        <v>7248</v>
      </c>
      <c r="C3413" s="25" t="s">
        <v>7249</v>
      </c>
      <c r="D3413" s="26" t="n">
        <v>14.3</v>
      </c>
      <c r="E3413" s="27" t="n">
        <v>7.84466396253494</v>
      </c>
      <c r="F3413" s="27" t="n">
        <v>7.84466396253494</v>
      </c>
      <c r="G3413" s="25" t="s">
        <v>643</v>
      </c>
      <c r="H3413" s="25" t="s">
        <v>644</v>
      </c>
      <c r="I3413" s="25" t="n">
        <f aca="false">IFERROR(IF(INDEX(Documents!$C$5:$C$657,MATCH(H3413,Documents!$A$5:$A$657,0))="","",INDEX(Documents!$C$5:$C$657,MATCH(H3413,Documents!$A$5:$A$657,0))),"")</f>
        <v>2020</v>
      </c>
      <c r="J3413" s="25" t="str">
        <f aca="false">IFERROR(IF(INDEX(Documents!$D$5:$D$657,MATCH(H3413,Documents!$A$5:$A$657,0))="","",INDEX(Documents!$D$5:$D$657,MATCH(H3413,Documents!$A$5:$A$657,0))),"")</f>
        <v>J Med Chem</v>
      </c>
      <c r="K3413" s="25" t="str">
        <f aca="false">IFERROR(IF(INDEX(Documents!$G$5:$G$657,MATCH(H3413,Documents!$A$5:$A$657,0))="","",INDEX(Documents!$G$5:$G$657,MATCH(H3413,Documents!$A$5:$A$657,0))),"")</f>
        <v>10.1021/acs.jmedchem.0c00595</v>
      </c>
      <c r="L3413" s="25" t="s">
        <v>645</v>
      </c>
    </row>
    <row r="3414" customFormat="false" ht="15" hidden="false" customHeight="false" outlineLevel="0" collapsed="false">
      <c r="A3414" s="25" t="n">
        <v>20662651</v>
      </c>
      <c r="B3414" s="25" t="s">
        <v>7250</v>
      </c>
      <c r="C3414" s="25" t="s">
        <v>7251</v>
      </c>
      <c r="D3414" s="26" t="n">
        <v>6.2</v>
      </c>
      <c r="E3414" s="27" t="n">
        <v>8.20760831050175</v>
      </c>
      <c r="F3414" s="27" t="n">
        <v>8.20760831050175</v>
      </c>
      <c r="G3414" s="25" t="s">
        <v>643</v>
      </c>
      <c r="H3414" s="25" t="s">
        <v>644</v>
      </c>
      <c r="I3414" s="25" t="n">
        <f aca="false">IFERROR(IF(INDEX(Documents!$C$5:$C$657,MATCH(H3414,Documents!$A$5:$A$657,0))="","",INDEX(Documents!$C$5:$C$657,MATCH(H3414,Documents!$A$5:$A$657,0))),"")</f>
        <v>2020</v>
      </c>
      <c r="J3414" s="25" t="str">
        <f aca="false">IFERROR(IF(INDEX(Documents!$D$5:$D$657,MATCH(H3414,Documents!$A$5:$A$657,0))="","",INDEX(Documents!$D$5:$D$657,MATCH(H3414,Documents!$A$5:$A$657,0))),"")</f>
        <v>J Med Chem</v>
      </c>
      <c r="K3414" s="25" t="str">
        <f aca="false">IFERROR(IF(INDEX(Documents!$G$5:$G$657,MATCH(H3414,Documents!$A$5:$A$657,0))="","",INDEX(Documents!$G$5:$G$657,MATCH(H3414,Documents!$A$5:$A$657,0))),"")</f>
        <v>10.1021/acs.jmedchem.0c00595</v>
      </c>
      <c r="L3414" s="25" t="s">
        <v>645</v>
      </c>
    </row>
    <row r="3415" customFormat="false" ht="15" hidden="false" customHeight="false" outlineLevel="0" collapsed="false">
      <c r="A3415" s="25" t="n">
        <v>2980477</v>
      </c>
      <c r="B3415" s="25" t="s">
        <v>7252</v>
      </c>
      <c r="C3415" s="25" t="s">
        <v>7253</v>
      </c>
      <c r="D3415" s="26" t="n">
        <v>160</v>
      </c>
      <c r="E3415" s="27" t="n">
        <v>6.79588001734408</v>
      </c>
      <c r="F3415" s="27" t="n">
        <v>6.80294233868988</v>
      </c>
      <c r="G3415" s="25" t="s">
        <v>599</v>
      </c>
      <c r="H3415" s="25" t="s">
        <v>600</v>
      </c>
      <c r="I3415" s="25" t="n">
        <f aca="false">IFERROR(IF(INDEX(Documents!$C$5:$C$657,MATCH(H3415,Documents!$A$5:$A$657,0))="","",INDEX(Documents!$C$5:$C$657,MATCH(H3415,Documents!$A$5:$A$657,0))),"")</f>
        <v>2010</v>
      </c>
      <c r="J3415" s="25" t="str">
        <f aca="false">IFERROR(IF(INDEX(Documents!$D$5:$D$657,MATCH(H3415,Documents!$A$5:$A$657,0))="","",INDEX(Documents!$D$5:$D$657,MATCH(H3415,Documents!$A$5:$A$657,0))),"")</f>
        <v>J Med Chem</v>
      </c>
      <c r="K3415" s="25" t="str">
        <f aca="false">IFERROR(IF(INDEX(Documents!$G$5:$G$657,MATCH(H3415,Documents!$A$5:$A$657,0))="","",INDEX(Documents!$G$5:$G$657,MATCH(H3415,Documents!$A$5:$A$657,0))),"")</f>
        <v>10.1021/jm901214q</v>
      </c>
      <c r="L3415" s="25" t="s">
        <v>601</v>
      </c>
    </row>
    <row r="3416" customFormat="false" ht="15" hidden="false" customHeight="false" outlineLevel="0" collapsed="false">
      <c r="A3416" s="25" t="n">
        <v>2980600</v>
      </c>
      <c r="B3416" s="25" t="s">
        <v>7252</v>
      </c>
      <c r="C3416" s="25" t="s">
        <v>7253</v>
      </c>
      <c r="D3416" s="26" t="n">
        <v>154.88</v>
      </c>
      <c r="E3416" s="27" t="n">
        <v>6.81000466003568</v>
      </c>
      <c r="F3416" s="27" t="n">
        <v>6.80294233868988</v>
      </c>
      <c r="G3416" s="25" t="s">
        <v>599</v>
      </c>
      <c r="H3416" s="25" t="s">
        <v>600</v>
      </c>
      <c r="I3416" s="25" t="n">
        <f aca="false">IFERROR(IF(INDEX(Documents!$C$5:$C$657,MATCH(H3416,Documents!$A$5:$A$657,0))="","",INDEX(Documents!$C$5:$C$657,MATCH(H3416,Documents!$A$5:$A$657,0))),"")</f>
        <v>2010</v>
      </c>
      <c r="J3416" s="25" t="str">
        <f aca="false">IFERROR(IF(INDEX(Documents!$D$5:$D$657,MATCH(H3416,Documents!$A$5:$A$657,0))="","",INDEX(Documents!$D$5:$D$657,MATCH(H3416,Documents!$A$5:$A$657,0))),"")</f>
        <v>J Med Chem</v>
      </c>
      <c r="K3416" s="25" t="str">
        <f aca="false">IFERROR(IF(INDEX(Documents!$G$5:$G$657,MATCH(H3416,Documents!$A$5:$A$657,0))="","",INDEX(Documents!$G$5:$G$657,MATCH(H3416,Documents!$A$5:$A$657,0))),"")</f>
        <v>10.1021/jm901214q</v>
      </c>
      <c r="L3416" s="25" t="s">
        <v>601</v>
      </c>
    </row>
    <row r="3417" customFormat="false" ht="15" hidden="false" customHeight="false" outlineLevel="0" collapsed="false">
      <c r="A3417" s="25" t="n">
        <v>16271176</v>
      </c>
      <c r="B3417" s="25" t="s">
        <v>7254</v>
      </c>
      <c r="C3417" s="25" t="s">
        <v>7255</v>
      </c>
      <c r="D3417" s="26" t="n">
        <v>53</v>
      </c>
      <c r="E3417" s="27" t="n">
        <v>7.27572413039921</v>
      </c>
      <c r="F3417" s="27" t="n">
        <v>7.27572413039921</v>
      </c>
      <c r="G3417" s="25" t="s">
        <v>326</v>
      </c>
      <c r="H3417" s="25" t="s">
        <v>327</v>
      </c>
      <c r="I3417" s="25" t="n">
        <f aca="false">IFERROR(IF(INDEX(Documents!$C$5:$C$657,MATCH(H3417,Documents!$A$5:$A$657,0))="","",INDEX(Documents!$C$5:$C$657,MATCH(H3417,Documents!$A$5:$A$657,0))),"")</f>
        <v>2014</v>
      </c>
      <c r="J3417" s="25" t="str">
        <f aca="false">IFERROR(IF(INDEX(Documents!$D$5:$D$657,MATCH(H3417,Documents!$A$5:$A$657,0))="","",INDEX(Documents!$D$5:$D$657,MATCH(H3417,Documents!$A$5:$A$657,0))),"")</f>
        <v/>
      </c>
      <c r="K3417" s="25" t="str">
        <f aca="false">IFERROR(IF(INDEX(Documents!$G$5:$G$657,MATCH(H3417,Documents!$A$5:$A$657,0))="","",INDEX(Documents!$G$5:$G$657,MATCH(H3417,Documents!$A$5:$A$657,0))),"")</f>
        <v/>
      </c>
      <c r="L3417" s="25" t="s">
        <v>328</v>
      </c>
    </row>
    <row r="3418" customFormat="false" ht="15" hidden="false" customHeight="false" outlineLevel="0" collapsed="false">
      <c r="A3418" s="25" t="n">
        <v>16302651</v>
      </c>
      <c r="B3418" s="25" t="s">
        <v>7256</v>
      </c>
      <c r="C3418" s="25" t="s">
        <v>7257</v>
      </c>
      <c r="D3418" s="26" t="n">
        <v>115</v>
      </c>
      <c r="E3418" s="27" t="n">
        <v>6.93930215964639</v>
      </c>
      <c r="F3418" s="27" t="n">
        <v>6.93930215964639</v>
      </c>
      <c r="G3418" s="25" t="s">
        <v>326</v>
      </c>
      <c r="H3418" s="25" t="s">
        <v>327</v>
      </c>
      <c r="I3418" s="25" t="n">
        <f aca="false">IFERROR(IF(INDEX(Documents!$C$5:$C$657,MATCH(H3418,Documents!$A$5:$A$657,0))="","",INDEX(Documents!$C$5:$C$657,MATCH(H3418,Documents!$A$5:$A$657,0))),"")</f>
        <v>2014</v>
      </c>
      <c r="J3418" s="25" t="str">
        <f aca="false">IFERROR(IF(INDEX(Documents!$D$5:$D$657,MATCH(H3418,Documents!$A$5:$A$657,0))="","",INDEX(Documents!$D$5:$D$657,MATCH(H3418,Documents!$A$5:$A$657,0))),"")</f>
        <v/>
      </c>
      <c r="K3418" s="25" t="str">
        <f aca="false">IFERROR(IF(INDEX(Documents!$G$5:$G$657,MATCH(H3418,Documents!$A$5:$A$657,0))="","",INDEX(Documents!$G$5:$G$657,MATCH(H3418,Documents!$A$5:$A$657,0))),"")</f>
        <v/>
      </c>
      <c r="L3418" s="25" t="s">
        <v>328</v>
      </c>
    </row>
    <row r="3419" customFormat="false" ht="15" hidden="false" customHeight="false" outlineLevel="0" collapsed="false">
      <c r="A3419" s="25" t="n">
        <v>22894753</v>
      </c>
      <c r="B3419" s="25" t="s">
        <v>7258</v>
      </c>
      <c r="C3419" s="25" t="s">
        <v>7259</v>
      </c>
      <c r="D3419" s="26" t="n">
        <v>1200</v>
      </c>
      <c r="E3419" s="27" t="n">
        <v>5.92081875395238</v>
      </c>
      <c r="F3419" s="27" t="n">
        <v>5.92081875395238</v>
      </c>
      <c r="G3419" s="25" t="s">
        <v>4690</v>
      </c>
      <c r="H3419" s="25" t="s">
        <v>4691</v>
      </c>
      <c r="I3419" s="25" t="n">
        <f aca="false">IFERROR(IF(INDEX(Documents!$C$5:$C$657,MATCH(H3419,Documents!$A$5:$A$657,0))="","",INDEX(Documents!$C$5:$C$657,MATCH(H3419,Documents!$A$5:$A$657,0))),"")</f>
        <v>2020</v>
      </c>
      <c r="J3419" s="25" t="str">
        <f aca="false">IFERROR(IF(INDEX(Documents!$D$5:$D$657,MATCH(H3419,Documents!$A$5:$A$657,0))="","",INDEX(Documents!$D$5:$D$657,MATCH(H3419,Documents!$A$5:$A$657,0))),"")</f>
        <v>Bioorg Med Chem</v>
      </c>
      <c r="K3419" s="25" t="str">
        <f aca="false">IFERROR(IF(INDEX(Documents!$G$5:$G$657,MATCH(H3419,Documents!$A$5:$A$657,0))="","",INDEX(Documents!$G$5:$G$657,MATCH(H3419,Documents!$A$5:$A$657,0))),"")</f>
        <v>10.1016/j.bmc.2020.115672</v>
      </c>
      <c r="L3419" s="25" t="s">
        <v>4692</v>
      </c>
    </row>
    <row r="3420" customFormat="false" ht="15" hidden="false" customHeight="false" outlineLevel="0" collapsed="false">
      <c r="A3420" s="25" t="n">
        <v>22894754</v>
      </c>
      <c r="B3420" s="25" t="s">
        <v>7260</v>
      </c>
      <c r="C3420" s="25" t="s">
        <v>7261</v>
      </c>
      <c r="D3420" s="26" t="n">
        <v>3500</v>
      </c>
      <c r="E3420" s="27" t="n">
        <v>5.45593195564972</v>
      </c>
      <c r="F3420" s="27" t="n">
        <v>5.45593195564972</v>
      </c>
      <c r="G3420" s="25" t="s">
        <v>4690</v>
      </c>
      <c r="H3420" s="25" t="s">
        <v>4691</v>
      </c>
      <c r="I3420" s="25" t="n">
        <f aca="false">IFERROR(IF(INDEX(Documents!$C$5:$C$657,MATCH(H3420,Documents!$A$5:$A$657,0))="","",INDEX(Documents!$C$5:$C$657,MATCH(H3420,Documents!$A$5:$A$657,0))),"")</f>
        <v>2020</v>
      </c>
      <c r="J3420" s="25" t="str">
        <f aca="false">IFERROR(IF(INDEX(Documents!$D$5:$D$657,MATCH(H3420,Documents!$A$5:$A$657,0))="","",INDEX(Documents!$D$5:$D$657,MATCH(H3420,Documents!$A$5:$A$657,0))),"")</f>
        <v>Bioorg Med Chem</v>
      </c>
      <c r="K3420" s="25" t="str">
        <f aca="false">IFERROR(IF(INDEX(Documents!$G$5:$G$657,MATCH(H3420,Documents!$A$5:$A$657,0))="","",INDEX(Documents!$G$5:$G$657,MATCH(H3420,Documents!$A$5:$A$657,0))),"")</f>
        <v>10.1016/j.bmc.2020.115672</v>
      </c>
      <c r="L3420" s="25" t="s">
        <v>4692</v>
      </c>
    </row>
    <row r="3421" customFormat="false" ht="15" hidden="false" customHeight="false" outlineLevel="0" collapsed="false">
      <c r="A3421" s="25" t="n">
        <v>22894746</v>
      </c>
      <c r="B3421" s="25" t="s">
        <v>7262</v>
      </c>
      <c r="C3421" s="25" t="s">
        <v>7263</v>
      </c>
      <c r="D3421" s="26" t="n">
        <v>10100</v>
      </c>
      <c r="E3421" s="27" t="n">
        <v>4.99567862621736</v>
      </c>
      <c r="F3421" s="27" t="n">
        <v>4.99567862621736</v>
      </c>
      <c r="G3421" s="25" t="s">
        <v>4690</v>
      </c>
      <c r="H3421" s="25" t="s">
        <v>4691</v>
      </c>
      <c r="I3421" s="25" t="n">
        <f aca="false">IFERROR(IF(INDEX(Documents!$C$5:$C$657,MATCH(H3421,Documents!$A$5:$A$657,0))="","",INDEX(Documents!$C$5:$C$657,MATCH(H3421,Documents!$A$5:$A$657,0))),"")</f>
        <v>2020</v>
      </c>
      <c r="J3421" s="25" t="str">
        <f aca="false">IFERROR(IF(INDEX(Documents!$D$5:$D$657,MATCH(H3421,Documents!$A$5:$A$657,0))="","",INDEX(Documents!$D$5:$D$657,MATCH(H3421,Documents!$A$5:$A$657,0))),"")</f>
        <v>Bioorg Med Chem</v>
      </c>
      <c r="K3421" s="25" t="str">
        <f aca="false">IFERROR(IF(INDEX(Documents!$G$5:$G$657,MATCH(H3421,Documents!$A$5:$A$657,0))="","",INDEX(Documents!$G$5:$G$657,MATCH(H3421,Documents!$A$5:$A$657,0))),"")</f>
        <v>10.1016/j.bmc.2020.115672</v>
      </c>
      <c r="L3421" s="25" t="s">
        <v>4692</v>
      </c>
    </row>
    <row r="3422" customFormat="false" ht="15" hidden="false" customHeight="false" outlineLevel="0" collapsed="false">
      <c r="A3422" s="25" t="n">
        <v>22894755</v>
      </c>
      <c r="B3422" s="25" t="s">
        <v>7264</v>
      </c>
      <c r="C3422" s="25" t="s">
        <v>7265</v>
      </c>
      <c r="D3422" s="26" t="n">
        <v>250</v>
      </c>
      <c r="E3422" s="27" t="n">
        <v>6.60205999132796</v>
      </c>
      <c r="F3422" s="27" t="n">
        <v>6.60205999132796</v>
      </c>
      <c r="G3422" s="25" t="s">
        <v>4690</v>
      </c>
      <c r="H3422" s="25" t="s">
        <v>4691</v>
      </c>
      <c r="I3422" s="25" t="n">
        <f aca="false">IFERROR(IF(INDEX(Documents!$C$5:$C$657,MATCH(H3422,Documents!$A$5:$A$657,0))="","",INDEX(Documents!$C$5:$C$657,MATCH(H3422,Documents!$A$5:$A$657,0))),"")</f>
        <v>2020</v>
      </c>
      <c r="J3422" s="25" t="str">
        <f aca="false">IFERROR(IF(INDEX(Documents!$D$5:$D$657,MATCH(H3422,Documents!$A$5:$A$657,0))="","",INDEX(Documents!$D$5:$D$657,MATCH(H3422,Documents!$A$5:$A$657,0))),"")</f>
        <v>Bioorg Med Chem</v>
      </c>
      <c r="K3422" s="25" t="str">
        <f aca="false">IFERROR(IF(INDEX(Documents!$G$5:$G$657,MATCH(H3422,Documents!$A$5:$A$657,0))="","",INDEX(Documents!$G$5:$G$657,MATCH(H3422,Documents!$A$5:$A$657,0))),"")</f>
        <v>10.1016/j.bmc.2020.115672</v>
      </c>
      <c r="L3422" s="25" t="s">
        <v>4692</v>
      </c>
    </row>
    <row r="3423" customFormat="false" ht="15" hidden="false" customHeight="false" outlineLevel="0" collapsed="false">
      <c r="A3423" s="25" t="n">
        <v>2355483</v>
      </c>
      <c r="B3423" s="25" t="s">
        <v>7266</v>
      </c>
      <c r="C3423" s="25" t="s">
        <v>7267</v>
      </c>
      <c r="D3423" s="26" t="n">
        <v>5</v>
      </c>
      <c r="E3423" s="27" t="n">
        <v>8.30102999566398</v>
      </c>
      <c r="F3423" s="27" t="n">
        <v>8.30102999566398</v>
      </c>
      <c r="G3423" s="25" t="s">
        <v>773</v>
      </c>
      <c r="H3423" s="25" t="s">
        <v>774</v>
      </c>
      <c r="I3423" s="25" t="n">
        <f aca="false">IFERROR(IF(INDEX(Documents!$C$5:$C$657,MATCH(H3423,Documents!$A$5:$A$657,0))="","",INDEX(Documents!$C$5:$C$657,MATCH(H3423,Documents!$A$5:$A$657,0))),"")</f>
        <v>2008</v>
      </c>
      <c r="J3423" s="25" t="str">
        <f aca="false">IFERROR(IF(INDEX(Documents!$D$5:$D$657,MATCH(H3423,Documents!$A$5:$A$657,0))="","",INDEX(Documents!$D$5:$D$657,MATCH(H3423,Documents!$A$5:$A$657,0))),"")</f>
        <v>Bioorg Med Chem Lett</v>
      </c>
      <c r="K3423" s="25" t="str">
        <f aca="false">IFERROR(IF(INDEX(Documents!$G$5:$G$657,MATCH(H3423,Documents!$A$5:$A$657,0))="","",INDEX(Documents!$G$5:$G$657,MATCH(H3423,Documents!$A$5:$A$657,0))),"")</f>
        <v>10.1016/j.bmcl.2008.04.032</v>
      </c>
      <c r="L3423" s="25" t="s">
        <v>775</v>
      </c>
    </row>
    <row r="3424" customFormat="false" ht="15" hidden="false" customHeight="false" outlineLevel="0" collapsed="false">
      <c r="A3424" s="25" t="n">
        <v>5121334</v>
      </c>
      <c r="B3424" s="25" t="s">
        <v>7268</v>
      </c>
      <c r="C3424" s="25" t="s">
        <v>7269</v>
      </c>
      <c r="D3424" s="26" t="n">
        <v>42</v>
      </c>
      <c r="E3424" s="27" t="n">
        <v>7.3767507096021</v>
      </c>
      <c r="F3424" s="27" t="n">
        <v>7.3767507096021</v>
      </c>
      <c r="G3424" s="25" t="s">
        <v>7270</v>
      </c>
      <c r="H3424" s="25" t="s">
        <v>7271</v>
      </c>
      <c r="I3424" s="25" t="n">
        <f aca="false">IFERROR(IF(INDEX(Documents!$C$5:$C$657,MATCH(H3424,Documents!$A$5:$A$657,0))="","",INDEX(Documents!$C$5:$C$657,MATCH(H3424,Documents!$A$5:$A$657,0))),"")</f>
        <v>2011</v>
      </c>
      <c r="J3424" s="25" t="str">
        <f aca="false">IFERROR(IF(INDEX(Documents!$D$5:$D$657,MATCH(H3424,Documents!$A$5:$A$657,0))="","",INDEX(Documents!$D$5:$D$657,MATCH(H3424,Documents!$A$5:$A$657,0))),"")</f>
        <v>Bioorg Med Chem Lett</v>
      </c>
      <c r="K3424" s="25" t="str">
        <f aca="false">IFERROR(IF(INDEX(Documents!$G$5:$G$657,MATCH(H3424,Documents!$A$5:$A$657,0))="","",INDEX(Documents!$G$5:$G$657,MATCH(H3424,Documents!$A$5:$A$657,0))),"")</f>
        <v>10.1016/j.bmcl.2010.11.044</v>
      </c>
      <c r="L3424" s="25" t="s">
        <v>7272</v>
      </c>
    </row>
    <row r="3425" customFormat="false" ht="15" hidden="false" customHeight="false" outlineLevel="0" collapsed="false">
      <c r="A3425" s="25" t="n">
        <v>27788036</v>
      </c>
      <c r="B3425" s="25" t="s">
        <v>7273</v>
      </c>
      <c r="C3425" s="25" t="s">
        <v>7274</v>
      </c>
      <c r="D3425" s="26" t="n">
        <v>0.8</v>
      </c>
      <c r="E3425" s="27" t="n">
        <v>9.09691001300806</v>
      </c>
      <c r="F3425" s="27" t="n">
        <v>9.09691001300806</v>
      </c>
      <c r="G3425" s="25" t="s">
        <v>255</v>
      </c>
      <c r="H3425" s="25" t="s">
        <v>256</v>
      </c>
      <c r="I3425" s="25" t="n">
        <f aca="false">IFERROR(IF(INDEX(Documents!$C$5:$C$657,MATCH(H3425,Documents!$A$5:$A$657,0))="","",INDEX(Documents!$C$5:$C$657,MATCH(H3425,Documents!$A$5:$A$657,0))),"")</f>
        <v>2019</v>
      </c>
      <c r="J3425" s="25" t="str">
        <f aca="false">IFERROR(IF(INDEX(Documents!$D$5:$D$657,MATCH(H3425,Documents!$A$5:$A$657,0))="","",INDEX(Documents!$D$5:$D$657,MATCH(H3425,Documents!$A$5:$A$657,0))),"")</f>
        <v/>
      </c>
      <c r="K3425" s="25" t="str">
        <f aca="false">IFERROR(IF(INDEX(Documents!$G$5:$G$657,MATCH(H3425,Documents!$A$5:$A$657,0))="","",INDEX(Documents!$G$5:$G$657,MATCH(H3425,Documents!$A$5:$A$657,0))),"")</f>
        <v/>
      </c>
      <c r="L3425" s="25" t="s">
        <v>250</v>
      </c>
    </row>
    <row r="3426" customFormat="false" ht="15" hidden="false" customHeight="false" outlineLevel="0" collapsed="false">
      <c r="A3426" s="25" t="n">
        <v>27788204</v>
      </c>
      <c r="B3426" s="25" t="s">
        <v>7275</v>
      </c>
      <c r="C3426" s="25" t="s">
        <v>7276</v>
      </c>
      <c r="D3426" s="26" t="n">
        <v>1239</v>
      </c>
      <c r="E3426" s="27" t="n">
        <v>5.90692869362394</v>
      </c>
      <c r="F3426" s="27" t="n">
        <v>5.90692869362394</v>
      </c>
      <c r="G3426" s="25" t="s">
        <v>310</v>
      </c>
      <c r="H3426" s="25" t="s">
        <v>311</v>
      </c>
      <c r="I3426" s="25" t="n">
        <f aca="false">IFERROR(IF(INDEX(Documents!$C$5:$C$657,MATCH(H3426,Documents!$A$5:$A$657,0))="","",INDEX(Documents!$C$5:$C$657,MATCH(H3426,Documents!$A$5:$A$657,0))),"")</f>
        <v>2019</v>
      </c>
      <c r="J3426" s="25" t="str">
        <f aca="false">IFERROR(IF(INDEX(Documents!$D$5:$D$657,MATCH(H3426,Documents!$A$5:$A$657,0))="","",INDEX(Documents!$D$5:$D$657,MATCH(H3426,Documents!$A$5:$A$657,0))),"")</f>
        <v/>
      </c>
      <c r="K3426" s="25" t="str">
        <f aca="false">IFERROR(IF(INDEX(Documents!$G$5:$G$657,MATCH(H3426,Documents!$A$5:$A$657,0))="","",INDEX(Documents!$G$5:$G$657,MATCH(H3426,Documents!$A$5:$A$657,0))),"")</f>
        <v/>
      </c>
      <c r="L3426" s="25" t="s">
        <v>312</v>
      </c>
    </row>
    <row r="3427" customFormat="false" ht="15" hidden="false" customHeight="false" outlineLevel="0" collapsed="false">
      <c r="A3427" s="25" t="n">
        <v>27788048</v>
      </c>
      <c r="B3427" s="25" t="s">
        <v>7277</v>
      </c>
      <c r="C3427" s="25" t="s">
        <v>7278</v>
      </c>
      <c r="D3427" s="26" t="n">
        <v>9.9</v>
      </c>
      <c r="E3427" s="27" t="n">
        <v>8.00436480540245</v>
      </c>
      <c r="F3427" s="27" t="n">
        <v>8.00436480540245</v>
      </c>
      <c r="G3427" s="25" t="s">
        <v>255</v>
      </c>
      <c r="H3427" s="25" t="s">
        <v>256</v>
      </c>
      <c r="I3427" s="25" t="n">
        <f aca="false">IFERROR(IF(INDEX(Documents!$C$5:$C$657,MATCH(H3427,Documents!$A$5:$A$657,0))="","",INDEX(Documents!$C$5:$C$657,MATCH(H3427,Documents!$A$5:$A$657,0))),"")</f>
        <v>2019</v>
      </c>
      <c r="J3427" s="25" t="str">
        <f aca="false">IFERROR(IF(INDEX(Documents!$D$5:$D$657,MATCH(H3427,Documents!$A$5:$A$657,0))="","",INDEX(Documents!$D$5:$D$657,MATCH(H3427,Documents!$A$5:$A$657,0))),"")</f>
        <v/>
      </c>
      <c r="K3427" s="25" t="str">
        <f aca="false">IFERROR(IF(INDEX(Documents!$G$5:$G$657,MATCH(H3427,Documents!$A$5:$A$657,0))="","",INDEX(Documents!$G$5:$G$657,MATCH(H3427,Documents!$A$5:$A$657,0))),"")</f>
        <v/>
      </c>
      <c r="L3427" s="25" t="s">
        <v>250</v>
      </c>
    </row>
    <row r="3428" customFormat="false" ht="15" hidden="false" customHeight="false" outlineLevel="0" collapsed="false">
      <c r="A3428" s="25" t="n">
        <v>27788234</v>
      </c>
      <c r="B3428" s="25" t="s">
        <v>7279</v>
      </c>
      <c r="C3428" s="25" t="s">
        <v>7280</v>
      </c>
      <c r="D3428" s="26" t="n">
        <v>262</v>
      </c>
      <c r="E3428" s="27" t="n">
        <v>6.58169870868026</v>
      </c>
      <c r="F3428" s="27" t="n">
        <v>6.58169870868026</v>
      </c>
      <c r="G3428" s="25" t="s">
        <v>310</v>
      </c>
      <c r="H3428" s="25" t="s">
        <v>311</v>
      </c>
      <c r="I3428" s="25" t="n">
        <f aca="false">IFERROR(IF(INDEX(Documents!$C$5:$C$657,MATCH(H3428,Documents!$A$5:$A$657,0))="","",INDEX(Documents!$C$5:$C$657,MATCH(H3428,Documents!$A$5:$A$657,0))),"")</f>
        <v>2019</v>
      </c>
      <c r="J3428" s="25" t="str">
        <f aca="false">IFERROR(IF(INDEX(Documents!$D$5:$D$657,MATCH(H3428,Documents!$A$5:$A$657,0))="","",INDEX(Documents!$D$5:$D$657,MATCH(H3428,Documents!$A$5:$A$657,0))),"")</f>
        <v/>
      </c>
      <c r="K3428" s="25" t="str">
        <f aca="false">IFERROR(IF(INDEX(Documents!$G$5:$G$657,MATCH(H3428,Documents!$A$5:$A$657,0))="","",INDEX(Documents!$G$5:$G$657,MATCH(H3428,Documents!$A$5:$A$657,0))),"")</f>
        <v/>
      </c>
      <c r="L3428" s="25" t="s">
        <v>312</v>
      </c>
    </row>
    <row r="3429" customFormat="false" ht="15" hidden="false" customHeight="false" outlineLevel="0" collapsed="false">
      <c r="A3429" s="25" t="n">
        <v>18588970</v>
      </c>
      <c r="B3429" s="25" t="s">
        <v>7281</v>
      </c>
      <c r="C3429" s="25" t="s">
        <v>7282</v>
      </c>
      <c r="D3429" s="26" t="n">
        <v>5100</v>
      </c>
      <c r="E3429" s="27" t="n">
        <v>5.29242982390206</v>
      </c>
      <c r="F3429" s="27" t="n">
        <v>5.29242982390206</v>
      </c>
      <c r="G3429" s="25" t="s">
        <v>1175</v>
      </c>
      <c r="H3429" s="25" t="s">
        <v>1176</v>
      </c>
      <c r="I3429" s="25" t="n">
        <f aca="false">IFERROR(IF(INDEX(Documents!$C$5:$C$657,MATCH(H3429,Documents!$A$5:$A$657,0))="","",INDEX(Documents!$C$5:$C$657,MATCH(H3429,Documents!$A$5:$A$657,0))),"")</f>
        <v>2018</v>
      </c>
      <c r="J3429" s="25" t="str">
        <f aca="false">IFERROR(IF(INDEX(Documents!$D$5:$D$657,MATCH(H3429,Documents!$A$5:$A$657,0))="","",INDEX(Documents!$D$5:$D$657,MATCH(H3429,Documents!$A$5:$A$657,0))),"")</f>
        <v>J Med Chem</v>
      </c>
      <c r="K3429" s="25" t="str">
        <f aca="false">IFERROR(IF(INDEX(Documents!$G$5:$G$657,MATCH(H3429,Documents!$A$5:$A$657,0))="","",INDEX(Documents!$G$5:$G$657,MATCH(H3429,Documents!$A$5:$A$657,0))),"")</f>
        <v>10.1021/acs.jmedchem.7b01820</v>
      </c>
      <c r="L3429" s="25" t="s">
        <v>1177</v>
      </c>
    </row>
    <row r="3430" customFormat="false" ht="15" hidden="false" customHeight="false" outlineLevel="0" collapsed="false">
      <c r="A3430" s="25" t="n">
        <v>18588978</v>
      </c>
      <c r="B3430" s="25" t="s">
        <v>7283</v>
      </c>
      <c r="C3430" s="25" t="s">
        <v>7284</v>
      </c>
      <c r="D3430" s="26" t="n">
        <v>2300</v>
      </c>
      <c r="E3430" s="27" t="n">
        <v>5.63827216398241</v>
      </c>
      <c r="F3430" s="27" t="n">
        <v>5.63827216398241</v>
      </c>
      <c r="G3430" s="25" t="s">
        <v>1175</v>
      </c>
      <c r="H3430" s="25" t="s">
        <v>1176</v>
      </c>
      <c r="I3430" s="25" t="n">
        <f aca="false">IFERROR(IF(INDEX(Documents!$C$5:$C$657,MATCH(H3430,Documents!$A$5:$A$657,0))="","",INDEX(Documents!$C$5:$C$657,MATCH(H3430,Documents!$A$5:$A$657,0))),"")</f>
        <v>2018</v>
      </c>
      <c r="J3430" s="25" t="str">
        <f aca="false">IFERROR(IF(INDEX(Documents!$D$5:$D$657,MATCH(H3430,Documents!$A$5:$A$657,0))="","",INDEX(Documents!$D$5:$D$657,MATCH(H3430,Documents!$A$5:$A$657,0))),"")</f>
        <v>J Med Chem</v>
      </c>
      <c r="K3430" s="25" t="str">
        <f aca="false">IFERROR(IF(INDEX(Documents!$G$5:$G$657,MATCH(H3430,Documents!$A$5:$A$657,0))="","",INDEX(Documents!$G$5:$G$657,MATCH(H3430,Documents!$A$5:$A$657,0))),"")</f>
        <v>10.1021/acs.jmedchem.7b01820</v>
      </c>
      <c r="L3430" s="25" t="s">
        <v>1177</v>
      </c>
    </row>
    <row r="3431" customFormat="false" ht="15" hidden="false" customHeight="false" outlineLevel="0" collapsed="false">
      <c r="A3431" s="25" t="n">
        <v>14980488</v>
      </c>
      <c r="B3431" s="25" t="s">
        <v>7285</v>
      </c>
      <c r="C3431" s="25" t="s">
        <v>7286</v>
      </c>
      <c r="D3431" s="26" t="n">
        <v>215</v>
      </c>
      <c r="E3431" s="27" t="n">
        <v>6.66756154008439</v>
      </c>
      <c r="F3431" s="27" t="n">
        <v>6.66756154008439</v>
      </c>
      <c r="G3431" s="25" t="s">
        <v>5562</v>
      </c>
      <c r="H3431" s="25" t="s">
        <v>5563</v>
      </c>
      <c r="I3431" s="25" t="n">
        <f aca="false">IFERROR(IF(INDEX(Documents!$C$5:$C$657,MATCH(H3431,Documents!$A$5:$A$657,0))="","",INDEX(Documents!$C$5:$C$657,MATCH(H3431,Documents!$A$5:$A$657,0))),"")</f>
        <v>2015</v>
      </c>
      <c r="J3431" s="25" t="str">
        <f aca="false">IFERROR(IF(INDEX(Documents!$D$5:$D$657,MATCH(H3431,Documents!$A$5:$A$657,0))="","",INDEX(Documents!$D$5:$D$657,MATCH(H3431,Documents!$A$5:$A$657,0))),"")</f>
        <v>Bioorg Med Chem</v>
      </c>
      <c r="K3431" s="25" t="str">
        <f aca="false">IFERROR(IF(INDEX(Documents!$G$5:$G$657,MATCH(H3431,Documents!$A$5:$A$657,0))="","",INDEX(Documents!$G$5:$G$657,MATCH(H3431,Documents!$A$5:$A$657,0))),"")</f>
        <v>10.1016/j.bmc.2014.11.002</v>
      </c>
      <c r="L3431" s="25" t="s">
        <v>5564</v>
      </c>
    </row>
    <row r="3432" customFormat="false" ht="15" hidden="false" customHeight="false" outlineLevel="0" collapsed="false">
      <c r="A3432" s="25" t="n">
        <v>6381682</v>
      </c>
      <c r="B3432" s="25" t="s">
        <v>7287</v>
      </c>
      <c r="C3432" s="25" t="s">
        <v>7288</v>
      </c>
      <c r="D3432" s="26" t="n">
        <v>7.586</v>
      </c>
      <c r="E3432" s="27" t="n">
        <v>8.11998716163323</v>
      </c>
      <c r="F3432" s="27" t="n">
        <v>8.12246294912076</v>
      </c>
      <c r="G3432" s="25" t="s">
        <v>1192</v>
      </c>
      <c r="H3432" s="25" t="s">
        <v>1193</v>
      </c>
      <c r="I3432" s="25" t="n">
        <f aca="false">IFERROR(IF(INDEX(Documents!$C$5:$C$657,MATCH(H3432,Documents!$A$5:$A$657,0))="","",INDEX(Documents!$C$5:$C$657,MATCH(H3432,Documents!$A$5:$A$657,0))),"")</f>
        <v>2011</v>
      </c>
      <c r="J3432" s="25" t="str">
        <f aca="false">IFERROR(IF(INDEX(Documents!$D$5:$D$657,MATCH(H3432,Documents!$A$5:$A$657,0))="","",INDEX(Documents!$D$5:$D$657,MATCH(H3432,Documents!$A$5:$A$657,0))),"")</f>
        <v>Eur J Med Chem</v>
      </c>
      <c r="K3432" s="25" t="str">
        <f aca="false">IFERROR(IF(INDEX(Documents!$G$5:$G$657,MATCH(H3432,Documents!$A$5:$A$657,0))="","",INDEX(Documents!$G$5:$G$657,MATCH(H3432,Documents!$A$5:$A$657,0))),"")</f>
        <v>10.1016/j.ejmech.2011.07.023</v>
      </c>
      <c r="L3432" s="25" t="s">
        <v>1194</v>
      </c>
    </row>
    <row r="3433" customFormat="false" ht="15" hidden="false" customHeight="false" outlineLevel="0" collapsed="false">
      <c r="A3433" s="25" t="n">
        <v>6381678</v>
      </c>
      <c r="B3433" s="25" t="s">
        <v>7287</v>
      </c>
      <c r="C3433" s="25" t="s">
        <v>7288</v>
      </c>
      <c r="D3433" s="26" t="n">
        <v>7.5</v>
      </c>
      <c r="E3433" s="27" t="n">
        <v>8.1249387366083</v>
      </c>
      <c r="F3433" s="27" t="n">
        <v>8.12246294912076</v>
      </c>
      <c r="G3433" s="25" t="s">
        <v>1192</v>
      </c>
      <c r="H3433" s="25" t="s">
        <v>1193</v>
      </c>
      <c r="I3433" s="25" t="n">
        <f aca="false">IFERROR(IF(INDEX(Documents!$C$5:$C$657,MATCH(H3433,Documents!$A$5:$A$657,0))="","",INDEX(Documents!$C$5:$C$657,MATCH(H3433,Documents!$A$5:$A$657,0))),"")</f>
        <v>2011</v>
      </c>
      <c r="J3433" s="25" t="str">
        <f aca="false">IFERROR(IF(INDEX(Documents!$D$5:$D$657,MATCH(H3433,Documents!$A$5:$A$657,0))="","",INDEX(Documents!$D$5:$D$657,MATCH(H3433,Documents!$A$5:$A$657,0))),"")</f>
        <v>Eur J Med Chem</v>
      </c>
      <c r="K3433" s="25" t="str">
        <f aca="false">IFERROR(IF(INDEX(Documents!$G$5:$G$657,MATCH(H3433,Documents!$A$5:$A$657,0))="","",INDEX(Documents!$G$5:$G$657,MATCH(H3433,Documents!$A$5:$A$657,0))),"")</f>
        <v>10.1016/j.ejmech.2011.07.023</v>
      </c>
      <c r="L3433" s="25" t="s">
        <v>1194</v>
      </c>
    </row>
    <row r="3434" customFormat="false" ht="15" hidden="false" customHeight="false" outlineLevel="0" collapsed="false">
      <c r="A3434" s="25" t="n">
        <v>6381684</v>
      </c>
      <c r="B3434" s="25" t="s">
        <v>7289</v>
      </c>
      <c r="C3434" s="25" t="s">
        <v>7290</v>
      </c>
      <c r="D3434" s="26" t="n">
        <v>10.23</v>
      </c>
      <c r="E3434" s="27" t="n">
        <v>7.99012436628784</v>
      </c>
      <c r="F3434" s="27" t="n">
        <v>7.99076209726296</v>
      </c>
      <c r="G3434" s="25" t="s">
        <v>1192</v>
      </c>
      <c r="H3434" s="25" t="s">
        <v>1193</v>
      </c>
      <c r="I3434" s="25" t="n">
        <f aca="false">IFERROR(IF(INDEX(Documents!$C$5:$C$657,MATCH(H3434,Documents!$A$5:$A$657,0))="","",INDEX(Documents!$C$5:$C$657,MATCH(H3434,Documents!$A$5:$A$657,0))),"")</f>
        <v>2011</v>
      </c>
      <c r="J3434" s="25" t="str">
        <f aca="false">IFERROR(IF(INDEX(Documents!$D$5:$D$657,MATCH(H3434,Documents!$A$5:$A$657,0))="","",INDEX(Documents!$D$5:$D$657,MATCH(H3434,Documents!$A$5:$A$657,0))),"")</f>
        <v>Eur J Med Chem</v>
      </c>
      <c r="K3434" s="25" t="str">
        <f aca="false">IFERROR(IF(INDEX(Documents!$G$5:$G$657,MATCH(H3434,Documents!$A$5:$A$657,0))="","",INDEX(Documents!$G$5:$G$657,MATCH(H3434,Documents!$A$5:$A$657,0))),"")</f>
        <v>10.1016/j.ejmech.2011.07.023</v>
      </c>
      <c r="L3434" s="25" t="s">
        <v>1194</v>
      </c>
    </row>
    <row r="3435" customFormat="false" ht="15" hidden="false" customHeight="false" outlineLevel="0" collapsed="false">
      <c r="A3435" s="25" t="n">
        <v>6381680</v>
      </c>
      <c r="B3435" s="25" t="s">
        <v>7289</v>
      </c>
      <c r="C3435" s="25" t="s">
        <v>7290</v>
      </c>
      <c r="D3435" s="26" t="n">
        <v>10.2</v>
      </c>
      <c r="E3435" s="27" t="n">
        <v>7.99139982823808</v>
      </c>
      <c r="F3435" s="27" t="n">
        <v>7.99076209726296</v>
      </c>
      <c r="G3435" s="25" t="s">
        <v>1192</v>
      </c>
      <c r="H3435" s="25" t="s">
        <v>1193</v>
      </c>
      <c r="I3435" s="25" t="n">
        <f aca="false">IFERROR(IF(INDEX(Documents!$C$5:$C$657,MATCH(H3435,Documents!$A$5:$A$657,0))="","",INDEX(Documents!$C$5:$C$657,MATCH(H3435,Documents!$A$5:$A$657,0))),"")</f>
        <v>2011</v>
      </c>
      <c r="J3435" s="25" t="str">
        <f aca="false">IFERROR(IF(INDEX(Documents!$D$5:$D$657,MATCH(H3435,Documents!$A$5:$A$657,0))="","",INDEX(Documents!$D$5:$D$657,MATCH(H3435,Documents!$A$5:$A$657,0))),"")</f>
        <v>Eur J Med Chem</v>
      </c>
      <c r="K3435" s="25" t="str">
        <f aca="false">IFERROR(IF(INDEX(Documents!$G$5:$G$657,MATCH(H3435,Documents!$A$5:$A$657,0))="","",INDEX(Documents!$G$5:$G$657,MATCH(H3435,Documents!$A$5:$A$657,0))),"")</f>
        <v>10.1016/j.ejmech.2011.07.023</v>
      </c>
      <c r="L3435" s="25" t="s">
        <v>1194</v>
      </c>
    </row>
    <row r="3436" customFormat="false" ht="15" hidden="false" customHeight="false" outlineLevel="0" collapsed="false">
      <c r="A3436" s="25" t="n">
        <v>18588975</v>
      </c>
      <c r="B3436" s="25" t="s">
        <v>7291</v>
      </c>
      <c r="C3436" s="25" t="s">
        <v>7292</v>
      </c>
      <c r="D3436" s="26" t="n">
        <v>460</v>
      </c>
      <c r="E3436" s="27" t="n">
        <v>6.33724216831843</v>
      </c>
      <c r="F3436" s="27" t="n">
        <v>6.33724216831843</v>
      </c>
      <c r="G3436" s="25" t="s">
        <v>1175</v>
      </c>
      <c r="H3436" s="25" t="s">
        <v>1176</v>
      </c>
      <c r="I3436" s="25" t="n">
        <f aca="false">IFERROR(IF(INDEX(Documents!$C$5:$C$657,MATCH(H3436,Documents!$A$5:$A$657,0))="","",INDEX(Documents!$C$5:$C$657,MATCH(H3436,Documents!$A$5:$A$657,0))),"")</f>
        <v>2018</v>
      </c>
      <c r="J3436" s="25" t="str">
        <f aca="false">IFERROR(IF(INDEX(Documents!$D$5:$D$657,MATCH(H3436,Documents!$A$5:$A$657,0))="","",INDEX(Documents!$D$5:$D$657,MATCH(H3436,Documents!$A$5:$A$657,0))),"")</f>
        <v>J Med Chem</v>
      </c>
      <c r="K3436" s="25" t="str">
        <f aca="false">IFERROR(IF(INDEX(Documents!$G$5:$G$657,MATCH(H3436,Documents!$A$5:$A$657,0))="","",INDEX(Documents!$G$5:$G$657,MATCH(H3436,Documents!$A$5:$A$657,0))),"")</f>
        <v>10.1021/acs.jmedchem.7b01820</v>
      </c>
      <c r="L3436" s="25" t="s">
        <v>1177</v>
      </c>
    </row>
    <row r="3437" customFormat="false" ht="15" hidden="false" customHeight="false" outlineLevel="0" collapsed="false">
      <c r="A3437" s="25" t="n">
        <v>10979884</v>
      </c>
      <c r="B3437" s="25" t="s">
        <v>7293</v>
      </c>
      <c r="C3437" s="25" t="s">
        <v>7294</v>
      </c>
      <c r="D3437" s="26" t="n">
        <v>21200</v>
      </c>
      <c r="E3437" s="27" t="n">
        <v>4.67366413907125</v>
      </c>
      <c r="F3437" s="27" t="n">
        <v>4.67366413907125</v>
      </c>
      <c r="G3437" s="25" t="s">
        <v>631</v>
      </c>
      <c r="H3437" s="25" t="s">
        <v>632</v>
      </c>
      <c r="I3437" s="25" t="n">
        <f aca="false">IFERROR(IF(INDEX(Documents!$C$5:$C$657,MATCH(H3437,Documents!$A$5:$A$657,0))="","",INDEX(Documents!$C$5:$C$657,MATCH(H3437,Documents!$A$5:$A$657,0))),"")</f>
        <v>2012</v>
      </c>
      <c r="J3437" s="25" t="str">
        <f aca="false">IFERROR(IF(INDEX(Documents!$D$5:$D$657,MATCH(H3437,Documents!$A$5:$A$657,0))="","",INDEX(Documents!$D$5:$D$657,MATCH(H3437,Documents!$A$5:$A$657,0))),"")</f>
        <v>ACS Med Chem Lett</v>
      </c>
      <c r="K3437" s="25" t="str">
        <f aca="false">IFERROR(IF(INDEX(Documents!$G$5:$G$657,MATCH(H3437,Documents!$A$5:$A$657,0))="","",INDEX(Documents!$G$5:$G$657,MATCH(H3437,Documents!$A$5:$A$657,0))),"")</f>
        <v>10.1021/ml3000325</v>
      </c>
      <c r="L3437" s="25" t="s">
        <v>633</v>
      </c>
    </row>
    <row r="3438" customFormat="false" ht="15" hidden="false" customHeight="false" outlineLevel="0" collapsed="false">
      <c r="A3438" s="25" t="n">
        <v>3089233</v>
      </c>
      <c r="B3438" s="25" t="s">
        <v>7295</v>
      </c>
      <c r="C3438" s="25" t="s">
        <v>7296</v>
      </c>
      <c r="D3438" s="26" t="n">
        <v>37.5</v>
      </c>
      <c r="E3438" s="27" t="n">
        <v>7.42596873227228</v>
      </c>
      <c r="F3438" s="27" t="n">
        <v>7.42596873227228</v>
      </c>
      <c r="G3438" s="25" t="s">
        <v>534</v>
      </c>
      <c r="H3438" s="25" t="s">
        <v>535</v>
      </c>
      <c r="I3438" s="25" t="n">
        <f aca="false">IFERROR(IF(INDEX(Documents!$C$5:$C$657,MATCH(H3438,Documents!$A$5:$A$657,0))="","",INDEX(Documents!$C$5:$C$657,MATCH(H3438,Documents!$A$5:$A$657,0))),"")</f>
        <v>2010</v>
      </c>
      <c r="J3438" s="25" t="str">
        <f aca="false">IFERROR(IF(INDEX(Documents!$D$5:$D$657,MATCH(H3438,Documents!$A$5:$A$657,0))="","",INDEX(Documents!$D$5:$D$657,MATCH(H3438,Documents!$A$5:$A$657,0))),"")</f>
        <v>Bioorg Med Chem Lett</v>
      </c>
      <c r="K3438" s="25" t="str">
        <f aca="false">IFERROR(IF(INDEX(Documents!$G$5:$G$657,MATCH(H3438,Documents!$A$5:$A$657,0))="","",INDEX(Documents!$G$5:$G$657,MATCH(H3438,Documents!$A$5:$A$657,0))),"")</f>
        <v>10.1016/j.bmcl.2009.11.084</v>
      </c>
      <c r="L3438" s="25" t="s">
        <v>515</v>
      </c>
    </row>
    <row r="3439" customFormat="false" ht="15" hidden="false" customHeight="false" outlineLevel="0" collapsed="false">
      <c r="A3439" s="25" t="n">
        <v>2167084</v>
      </c>
      <c r="B3439" s="25" t="s">
        <v>7297</v>
      </c>
      <c r="C3439" s="25" t="s">
        <v>7298</v>
      </c>
      <c r="D3439" s="26" t="n">
        <v>6200</v>
      </c>
      <c r="E3439" s="27" t="n">
        <v>5.20760831050175</v>
      </c>
      <c r="F3439" s="27" t="n">
        <v>5.20760831050175</v>
      </c>
      <c r="G3439" s="25" t="s">
        <v>604</v>
      </c>
      <c r="H3439" s="25" t="s">
        <v>605</v>
      </c>
      <c r="I3439" s="25" t="n">
        <f aca="false">IFERROR(IF(INDEX(Documents!$C$5:$C$657,MATCH(H3439,Documents!$A$5:$A$657,0))="","",INDEX(Documents!$C$5:$C$657,MATCH(H3439,Documents!$A$5:$A$657,0))),"")</f>
        <v>2008</v>
      </c>
      <c r="J3439" s="25" t="str">
        <f aca="false">IFERROR(IF(INDEX(Documents!$D$5:$D$657,MATCH(H3439,Documents!$A$5:$A$657,0))="","",INDEX(Documents!$D$5:$D$657,MATCH(H3439,Documents!$A$5:$A$657,0))),"")</f>
        <v>Bioorg Med Chem Lett</v>
      </c>
      <c r="K3439" s="25" t="str">
        <f aca="false">IFERROR(IF(INDEX(Documents!$G$5:$G$657,MATCH(H3439,Documents!$A$5:$A$657,0))="","",INDEX(Documents!$G$5:$G$657,MATCH(H3439,Documents!$A$5:$A$657,0))),"")</f>
        <v>10.1016/j.bmcl.2008.04.003</v>
      </c>
      <c r="L3439" s="25" t="s">
        <v>606</v>
      </c>
    </row>
    <row r="3440" customFormat="false" ht="15" hidden="false" customHeight="false" outlineLevel="0" collapsed="false">
      <c r="A3440" s="25" t="n">
        <v>2115141</v>
      </c>
      <c r="B3440" s="25" t="s">
        <v>7299</v>
      </c>
      <c r="C3440" s="25" t="s">
        <v>7300</v>
      </c>
      <c r="D3440" s="26" t="n">
        <v>3940</v>
      </c>
      <c r="E3440" s="27" t="n">
        <v>5.40450377817443</v>
      </c>
      <c r="F3440" s="27" t="n">
        <v>5.40450377817443</v>
      </c>
      <c r="G3440" s="25" t="s">
        <v>6459</v>
      </c>
      <c r="H3440" s="25" t="s">
        <v>6460</v>
      </c>
      <c r="I3440" s="25" t="n">
        <f aca="false">IFERROR(IF(INDEX(Documents!$C$5:$C$657,MATCH(H3440,Documents!$A$5:$A$657,0))="","",INDEX(Documents!$C$5:$C$657,MATCH(H3440,Documents!$A$5:$A$657,0))),"")</f>
        <v>2008</v>
      </c>
      <c r="J3440" s="25" t="str">
        <f aca="false">IFERROR(IF(INDEX(Documents!$D$5:$D$657,MATCH(H3440,Documents!$A$5:$A$657,0))="","",INDEX(Documents!$D$5:$D$657,MATCH(H3440,Documents!$A$5:$A$657,0))),"")</f>
        <v>J Med Chem</v>
      </c>
      <c r="K3440" s="25" t="str">
        <f aca="false">IFERROR(IF(INDEX(Documents!$G$5:$G$657,MATCH(H3440,Documents!$A$5:$A$657,0))="","",INDEX(Documents!$G$5:$G$657,MATCH(H3440,Documents!$A$5:$A$657,0))),"")</f>
        <v>10.1021/jm070566z</v>
      </c>
      <c r="L3440" s="25" t="s">
        <v>676</v>
      </c>
    </row>
    <row r="3441" customFormat="false" ht="15" hidden="false" customHeight="false" outlineLevel="0" collapsed="false">
      <c r="A3441" s="25" t="n">
        <v>1400526</v>
      </c>
      <c r="B3441" s="25" t="s">
        <v>7301</v>
      </c>
      <c r="C3441" s="25" t="s">
        <v>7302</v>
      </c>
      <c r="D3441" s="26" t="n">
        <v>1590</v>
      </c>
      <c r="E3441" s="27" t="n">
        <v>5.79860287567955</v>
      </c>
      <c r="F3441" s="27" t="n">
        <v>5.79860287567955</v>
      </c>
      <c r="G3441" s="25" t="s">
        <v>4723</v>
      </c>
      <c r="H3441" s="25" t="s">
        <v>4724</v>
      </c>
      <c r="I3441" s="25" t="n">
        <f aca="false">IFERROR(IF(INDEX(Documents!$C$5:$C$657,MATCH(H3441,Documents!$A$5:$A$657,0))="","",INDEX(Documents!$C$5:$C$657,MATCH(H3441,Documents!$A$5:$A$657,0))),"")</f>
        <v>2005</v>
      </c>
      <c r="J3441" s="25" t="str">
        <f aca="false">IFERROR(IF(INDEX(Documents!$D$5:$D$657,MATCH(H3441,Documents!$A$5:$A$657,0))="","",INDEX(Documents!$D$5:$D$657,MATCH(H3441,Documents!$A$5:$A$657,0))),"")</f>
        <v>J Med Chem</v>
      </c>
      <c r="K3441" s="25" t="str">
        <f aca="false">IFERROR(IF(INDEX(Documents!$G$5:$G$657,MATCH(H3441,Documents!$A$5:$A$657,0))="","",INDEX(Documents!$G$5:$G$657,MATCH(H3441,Documents!$A$5:$A$657,0))),"")</f>
        <v>10.1021/jm040843r</v>
      </c>
      <c r="L3441" s="25" t="s">
        <v>4725</v>
      </c>
    </row>
    <row r="3442" customFormat="false" ht="15" hidden="false" customHeight="false" outlineLevel="0" collapsed="false">
      <c r="A3442" s="25" t="n">
        <v>6390696</v>
      </c>
      <c r="B3442" s="25" t="s">
        <v>7303</v>
      </c>
      <c r="C3442" s="25" t="s">
        <v>7304</v>
      </c>
      <c r="D3442" s="26" t="n">
        <v>1160</v>
      </c>
      <c r="E3442" s="27" t="n">
        <v>5.93554201077308</v>
      </c>
      <c r="F3442" s="27" t="n">
        <v>5.93554201077308</v>
      </c>
      <c r="G3442" s="25" t="s">
        <v>7305</v>
      </c>
      <c r="H3442" s="25" t="s">
        <v>7306</v>
      </c>
      <c r="I3442" s="25" t="n">
        <f aca="false">IFERROR(IF(INDEX(Documents!$C$5:$C$657,MATCH(H3442,Documents!$A$5:$A$657,0))="","",INDEX(Documents!$C$5:$C$657,MATCH(H3442,Documents!$A$5:$A$657,0))),"")</f>
        <v>2011</v>
      </c>
      <c r="J3442" s="25" t="str">
        <f aca="false">IFERROR(IF(INDEX(Documents!$D$5:$D$657,MATCH(H3442,Documents!$A$5:$A$657,0))="","",INDEX(Documents!$D$5:$D$657,MATCH(H3442,Documents!$A$5:$A$657,0))),"")</f>
        <v>Bioorg Med Chem Lett</v>
      </c>
      <c r="K3442" s="25" t="str">
        <f aca="false">IFERROR(IF(INDEX(Documents!$G$5:$G$657,MATCH(H3442,Documents!$A$5:$A$657,0))="","",INDEX(Documents!$G$5:$G$657,MATCH(H3442,Documents!$A$5:$A$657,0))),"")</f>
        <v>10.1016/j.bmcl.2011.07.017</v>
      </c>
      <c r="L3442" s="25" t="s">
        <v>7307</v>
      </c>
    </row>
    <row r="3443" customFormat="false" ht="15" hidden="false" customHeight="false" outlineLevel="0" collapsed="false">
      <c r="A3443" s="25" t="n">
        <v>6390695</v>
      </c>
      <c r="B3443" s="25" t="s">
        <v>7308</v>
      </c>
      <c r="C3443" s="25" t="s">
        <v>7309</v>
      </c>
      <c r="D3443" s="26" t="n">
        <v>253</v>
      </c>
      <c r="E3443" s="27" t="n">
        <v>6.59687947882418</v>
      </c>
      <c r="F3443" s="27" t="n">
        <v>6.59687947882418</v>
      </c>
      <c r="G3443" s="25" t="s">
        <v>7305</v>
      </c>
      <c r="H3443" s="25" t="s">
        <v>7306</v>
      </c>
      <c r="I3443" s="25" t="n">
        <f aca="false">IFERROR(IF(INDEX(Documents!$C$5:$C$657,MATCH(H3443,Documents!$A$5:$A$657,0))="","",INDEX(Documents!$C$5:$C$657,MATCH(H3443,Documents!$A$5:$A$657,0))),"")</f>
        <v>2011</v>
      </c>
      <c r="J3443" s="25" t="str">
        <f aca="false">IFERROR(IF(INDEX(Documents!$D$5:$D$657,MATCH(H3443,Documents!$A$5:$A$657,0))="","",INDEX(Documents!$D$5:$D$657,MATCH(H3443,Documents!$A$5:$A$657,0))),"")</f>
        <v>Bioorg Med Chem Lett</v>
      </c>
      <c r="K3443" s="25" t="str">
        <f aca="false">IFERROR(IF(INDEX(Documents!$G$5:$G$657,MATCH(H3443,Documents!$A$5:$A$657,0))="","",INDEX(Documents!$G$5:$G$657,MATCH(H3443,Documents!$A$5:$A$657,0))),"")</f>
        <v>10.1016/j.bmcl.2011.07.017</v>
      </c>
      <c r="L3443" s="25" t="s">
        <v>7307</v>
      </c>
    </row>
    <row r="3444" customFormat="false" ht="15" hidden="false" customHeight="false" outlineLevel="0" collapsed="false">
      <c r="A3444" s="25" t="n">
        <v>6390694</v>
      </c>
      <c r="B3444" s="25" t="s">
        <v>7310</v>
      </c>
      <c r="C3444" s="25" t="s">
        <v>7311</v>
      </c>
      <c r="D3444" s="26" t="n">
        <v>317</v>
      </c>
      <c r="E3444" s="27" t="n">
        <v>6.49894073778225</v>
      </c>
      <c r="F3444" s="27" t="n">
        <v>6.49894073778225</v>
      </c>
      <c r="G3444" s="25" t="s">
        <v>7305</v>
      </c>
      <c r="H3444" s="25" t="s">
        <v>7306</v>
      </c>
      <c r="I3444" s="25" t="n">
        <f aca="false">IFERROR(IF(INDEX(Documents!$C$5:$C$657,MATCH(H3444,Documents!$A$5:$A$657,0))="","",INDEX(Documents!$C$5:$C$657,MATCH(H3444,Documents!$A$5:$A$657,0))),"")</f>
        <v>2011</v>
      </c>
      <c r="J3444" s="25" t="str">
        <f aca="false">IFERROR(IF(INDEX(Documents!$D$5:$D$657,MATCH(H3444,Documents!$A$5:$A$657,0))="","",INDEX(Documents!$D$5:$D$657,MATCH(H3444,Documents!$A$5:$A$657,0))),"")</f>
        <v>Bioorg Med Chem Lett</v>
      </c>
      <c r="K3444" s="25" t="str">
        <f aca="false">IFERROR(IF(INDEX(Documents!$G$5:$G$657,MATCH(H3444,Documents!$A$5:$A$657,0))="","",INDEX(Documents!$G$5:$G$657,MATCH(H3444,Documents!$A$5:$A$657,0))),"")</f>
        <v>10.1016/j.bmcl.2011.07.017</v>
      </c>
      <c r="L3444" s="25" t="s">
        <v>7307</v>
      </c>
    </row>
    <row r="3445" customFormat="false" ht="15" hidden="false" customHeight="false" outlineLevel="0" collapsed="false">
      <c r="A3445" s="25" t="n">
        <v>6390693</v>
      </c>
      <c r="B3445" s="25" t="s">
        <v>7312</v>
      </c>
      <c r="C3445" s="25" t="s">
        <v>7313</v>
      </c>
      <c r="D3445" s="26" t="n">
        <v>3290</v>
      </c>
      <c r="E3445" s="27" t="n">
        <v>5.48280410205003</v>
      </c>
      <c r="F3445" s="27" t="n">
        <v>5.48280410205003</v>
      </c>
      <c r="G3445" s="25" t="s">
        <v>7305</v>
      </c>
      <c r="H3445" s="25" t="s">
        <v>7306</v>
      </c>
      <c r="I3445" s="25" t="n">
        <f aca="false">IFERROR(IF(INDEX(Documents!$C$5:$C$657,MATCH(H3445,Documents!$A$5:$A$657,0))="","",INDEX(Documents!$C$5:$C$657,MATCH(H3445,Documents!$A$5:$A$657,0))),"")</f>
        <v>2011</v>
      </c>
      <c r="J3445" s="25" t="str">
        <f aca="false">IFERROR(IF(INDEX(Documents!$D$5:$D$657,MATCH(H3445,Documents!$A$5:$A$657,0))="","",INDEX(Documents!$D$5:$D$657,MATCH(H3445,Documents!$A$5:$A$657,0))),"")</f>
        <v>Bioorg Med Chem Lett</v>
      </c>
      <c r="K3445" s="25" t="str">
        <f aca="false">IFERROR(IF(INDEX(Documents!$G$5:$G$657,MATCH(H3445,Documents!$A$5:$A$657,0))="","",INDEX(Documents!$G$5:$G$657,MATCH(H3445,Documents!$A$5:$A$657,0))),"")</f>
        <v>10.1016/j.bmcl.2011.07.017</v>
      </c>
      <c r="L3445" s="25" t="s">
        <v>7307</v>
      </c>
    </row>
    <row r="3446" customFormat="false" ht="15" hidden="false" customHeight="false" outlineLevel="0" collapsed="false">
      <c r="A3446" s="25" t="n">
        <v>6390692</v>
      </c>
      <c r="B3446" s="25" t="s">
        <v>7314</v>
      </c>
      <c r="C3446" s="25" t="s">
        <v>7315</v>
      </c>
      <c r="D3446" s="26" t="n">
        <v>1805</v>
      </c>
      <c r="E3446" s="27" t="n">
        <v>5.74352279375832</v>
      </c>
      <c r="F3446" s="27" t="n">
        <v>5.74352279375832</v>
      </c>
      <c r="G3446" s="25" t="s">
        <v>7305</v>
      </c>
      <c r="H3446" s="25" t="s">
        <v>7306</v>
      </c>
      <c r="I3446" s="25" t="n">
        <f aca="false">IFERROR(IF(INDEX(Documents!$C$5:$C$657,MATCH(H3446,Documents!$A$5:$A$657,0))="","",INDEX(Documents!$C$5:$C$657,MATCH(H3446,Documents!$A$5:$A$657,0))),"")</f>
        <v>2011</v>
      </c>
      <c r="J3446" s="25" t="str">
        <f aca="false">IFERROR(IF(INDEX(Documents!$D$5:$D$657,MATCH(H3446,Documents!$A$5:$A$657,0))="","",INDEX(Documents!$D$5:$D$657,MATCH(H3446,Documents!$A$5:$A$657,0))),"")</f>
        <v>Bioorg Med Chem Lett</v>
      </c>
      <c r="K3446" s="25" t="str">
        <f aca="false">IFERROR(IF(INDEX(Documents!$G$5:$G$657,MATCH(H3446,Documents!$A$5:$A$657,0))="","",INDEX(Documents!$G$5:$G$657,MATCH(H3446,Documents!$A$5:$A$657,0))),"")</f>
        <v>10.1016/j.bmcl.2011.07.017</v>
      </c>
      <c r="L3446" s="25" t="s">
        <v>7307</v>
      </c>
    </row>
    <row r="3447" customFormat="false" ht="15" hidden="false" customHeight="false" outlineLevel="0" collapsed="false">
      <c r="A3447" s="25" t="n">
        <v>6390679</v>
      </c>
      <c r="B3447" s="25" t="s">
        <v>7316</v>
      </c>
      <c r="C3447" s="25" t="s">
        <v>7317</v>
      </c>
      <c r="D3447" s="26" t="n">
        <v>45.5</v>
      </c>
      <c r="E3447" s="27" t="n">
        <v>7.34198860334289</v>
      </c>
      <c r="F3447" s="27" t="n">
        <v>7.34198860334289</v>
      </c>
      <c r="G3447" s="25" t="s">
        <v>7318</v>
      </c>
      <c r="H3447" s="25" t="s">
        <v>7306</v>
      </c>
      <c r="I3447" s="25" t="n">
        <f aca="false">IFERROR(IF(INDEX(Documents!$C$5:$C$657,MATCH(H3447,Documents!$A$5:$A$657,0))="","",INDEX(Documents!$C$5:$C$657,MATCH(H3447,Documents!$A$5:$A$657,0))),"")</f>
        <v>2011</v>
      </c>
      <c r="J3447" s="25" t="str">
        <f aca="false">IFERROR(IF(INDEX(Documents!$D$5:$D$657,MATCH(H3447,Documents!$A$5:$A$657,0))="","",INDEX(Documents!$D$5:$D$657,MATCH(H3447,Documents!$A$5:$A$657,0))),"")</f>
        <v>Bioorg Med Chem Lett</v>
      </c>
      <c r="K3447" s="25" t="str">
        <f aca="false">IFERROR(IF(INDEX(Documents!$G$5:$G$657,MATCH(H3447,Documents!$A$5:$A$657,0))="","",INDEX(Documents!$G$5:$G$657,MATCH(H3447,Documents!$A$5:$A$657,0))),"")</f>
        <v>10.1016/j.bmcl.2011.07.017</v>
      </c>
      <c r="L3447" s="25" t="s">
        <v>7319</v>
      </c>
    </row>
    <row r="3448" customFormat="false" ht="15" hidden="false" customHeight="false" outlineLevel="0" collapsed="false">
      <c r="A3448" s="25" t="n">
        <v>6390691</v>
      </c>
      <c r="B3448" s="25" t="s">
        <v>7316</v>
      </c>
      <c r="C3448" s="25" t="s">
        <v>7317</v>
      </c>
      <c r="D3448" s="26" t="n">
        <v>45.5</v>
      </c>
      <c r="E3448" s="27" t="n">
        <v>7.34198860334289</v>
      </c>
      <c r="F3448" s="27" t="n">
        <v>7.34198860334289</v>
      </c>
      <c r="G3448" s="25" t="s">
        <v>7305</v>
      </c>
      <c r="H3448" s="25" t="s">
        <v>7306</v>
      </c>
      <c r="I3448" s="25" t="n">
        <f aca="false">IFERROR(IF(INDEX(Documents!$C$5:$C$657,MATCH(H3448,Documents!$A$5:$A$657,0))="","",INDEX(Documents!$C$5:$C$657,MATCH(H3448,Documents!$A$5:$A$657,0))),"")</f>
        <v>2011</v>
      </c>
      <c r="J3448" s="25" t="str">
        <f aca="false">IFERROR(IF(INDEX(Documents!$D$5:$D$657,MATCH(H3448,Documents!$A$5:$A$657,0))="","",INDEX(Documents!$D$5:$D$657,MATCH(H3448,Documents!$A$5:$A$657,0))),"")</f>
        <v>Bioorg Med Chem Lett</v>
      </c>
      <c r="K3448" s="25" t="str">
        <f aca="false">IFERROR(IF(INDEX(Documents!$G$5:$G$657,MATCH(H3448,Documents!$A$5:$A$657,0))="","",INDEX(Documents!$G$5:$G$657,MATCH(H3448,Documents!$A$5:$A$657,0))),"")</f>
        <v>10.1016/j.bmcl.2011.07.017</v>
      </c>
      <c r="L3448" s="25" t="s">
        <v>7307</v>
      </c>
    </row>
    <row r="3449" customFormat="false" ht="15" hidden="false" customHeight="false" outlineLevel="0" collapsed="false">
      <c r="A3449" s="25" t="n">
        <v>22856260</v>
      </c>
      <c r="B3449" s="25" t="s">
        <v>7320</v>
      </c>
      <c r="C3449" s="25" t="s">
        <v>7321</v>
      </c>
      <c r="D3449" s="26" t="n">
        <v>1839</v>
      </c>
      <c r="E3449" s="27" t="n">
        <v>5.73541827076192</v>
      </c>
      <c r="F3449" s="27" t="n">
        <v>5.73541827076192</v>
      </c>
      <c r="G3449" s="25" t="s">
        <v>7078</v>
      </c>
      <c r="H3449" s="25" t="s">
        <v>7079</v>
      </c>
      <c r="I3449" s="25" t="n">
        <f aca="false">IFERROR(IF(INDEX(Documents!$C$5:$C$657,MATCH(H3449,Documents!$A$5:$A$657,0))="","",INDEX(Documents!$C$5:$C$657,MATCH(H3449,Documents!$A$5:$A$657,0))),"")</f>
        <v>2021</v>
      </c>
      <c r="J3449" s="25" t="str">
        <f aca="false">IFERROR(IF(INDEX(Documents!$D$5:$D$657,MATCH(H3449,Documents!$A$5:$A$657,0))="","",INDEX(Documents!$D$5:$D$657,MATCH(H3449,Documents!$A$5:$A$657,0))),"")</f>
        <v>Bioorg Med Chem</v>
      </c>
      <c r="K3449" s="25" t="str">
        <f aca="false">IFERROR(IF(INDEX(Documents!$G$5:$G$657,MATCH(H3449,Documents!$A$5:$A$657,0))="","",INDEX(Documents!$G$5:$G$657,MATCH(H3449,Documents!$A$5:$A$657,0))),"")</f>
        <v>10.1016/j.bmc.2021.116035</v>
      </c>
      <c r="L3449" s="25" t="s">
        <v>7080</v>
      </c>
    </row>
    <row r="3450" customFormat="false" ht="15" hidden="false" customHeight="false" outlineLevel="0" collapsed="false">
      <c r="A3450" s="25" t="n">
        <v>18746594</v>
      </c>
      <c r="B3450" s="25" t="s">
        <v>7322</v>
      </c>
      <c r="C3450" s="25" t="s">
        <v>7323</v>
      </c>
      <c r="D3450" s="26" t="n">
        <v>219</v>
      </c>
      <c r="E3450" s="27" t="n">
        <v>6.65955588515988</v>
      </c>
      <c r="F3450" s="27" t="n">
        <v>6.65955588515988</v>
      </c>
      <c r="G3450" s="25" t="s">
        <v>7324</v>
      </c>
      <c r="H3450" s="25" t="s">
        <v>7325</v>
      </c>
      <c r="I3450" s="25" t="n">
        <f aca="false">IFERROR(IF(INDEX(Documents!$C$5:$C$657,MATCH(H3450,Documents!$A$5:$A$657,0))="","",INDEX(Documents!$C$5:$C$657,MATCH(H3450,Documents!$A$5:$A$657,0))),"")</f>
        <v>2017</v>
      </c>
      <c r="J3450" s="25" t="str">
        <f aca="false">IFERROR(IF(INDEX(Documents!$D$5:$D$657,MATCH(H3450,Documents!$A$5:$A$657,0))="","",INDEX(Documents!$D$5:$D$657,MATCH(H3450,Documents!$A$5:$A$657,0))),"")</f>
        <v>Medchemcomm</v>
      </c>
      <c r="K3450" s="25" t="str">
        <f aca="false">IFERROR(IF(INDEX(Documents!$G$5:$G$657,MATCH(H3450,Documents!$A$5:$A$657,0))="","",INDEX(Documents!$G$5:$G$657,MATCH(H3450,Documents!$A$5:$A$657,0))),"")</f>
        <v>10.1039/C7MD00296C</v>
      </c>
      <c r="L3450" s="25" t="s">
        <v>7326</v>
      </c>
    </row>
    <row r="3451" customFormat="false" ht="15" hidden="false" customHeight="false" outlineLevel="0" collapsed="false">
      <c r="A3451" s="25" t="n">
        <v>13850277</v>
      </c>
      <c r="B3451" s="25" t="s">
        <v>7327</v>
      </c>
      <c r="C3451" s="25" t="s">
        <v>7328</v>
      </c>
      <c r="D3451" s="26" t="n">
        <v>858</v>
      </c>
      <c r="E3451" s="27" t="n">
        <v>6.0665127121513</v>
      </c>
      <c r="F3451" s="27" t="n">
        <v>6.0665127121513</v>
      </c>
      <c r="G3451" s="25" t="s">
        <v>5354</v>
      </c>
      <c r="H3451" s="25" t="s">
        <v>4134</v>
      </c>
      <c r="I3451" s="25" t="n">
        <f aca="false">IFERROR(IF(INDEX(Documents!$C$5:$C$657,MATCH(H3451,Documents!$A$5:$A$657,0))="","",INDEX(Documents!$C$5:$C$657,MATCH(H3451,Documents!$A$5:$A$657,0))),"")</f>
        <v>2013</v>
      </c>
      <c r="J3451" s="25" t="str">
        <f aca="false">IFERROR(IF(INDEX(Documents!$D$5:$D$657,MATCH(H3451,Documents!$A$5:$A$657,0))="","",INDEX(Documents!$D$5:$D$657,MATCH(H3451,Documents!$A$5:$A$657,0))),"")</f>
        <v>Bioorg Med Chem</v>
      </c>
      <c r="K3451" s="25" t="str">
        <f aca="false">IFERROR(IF(INDEX(Documents!$G$5:$G$657,MATCH(H3451,Documents!$A$5:$A$657,0))="","",INDEX(Documents!$G$5:$G$657,MATCH(H3451,Documents!$A$5:$A$657,0))),"")</f>
        <v>10.1016/j.bmc.2013.09.040</v>
      </c>
      <c r="L3451" s="25" t="s">
        <v>5355</v>
      </c>
    </row>
    <row r="3452" customFormat="false" ht="15" hidden="false" customHeight="false" outlineLevel="0" collapsed="false">
      <c r="A3452" s="25" t="n">
        <v>13850287</v>
      </c>
      <c r="B3452" s="25" t="s">
        <v>7329</v>
      </c>
      <c r="C3452" s="25" t="s">
        <v>7330</v>
      </c>
      <c r="D3452" s="26" t="n">
        <v>486</v>
      </c>
      <c r="E3452" s="27" t="n">
        <v>6.31336373073771</v>
      </c>
      <c r="F3452" s="27" t="n">
        <v>6.31336373073771</v>
      </c>
      <c r="G3452" s="25" t="s">
        <v>5354</v>
      </c>
      <c r="H3452" s="25" t="s">
        <v>4134</v>
      </c>
      <c r="I3452" s="25" t="n">
        <f aca="false">IFERROR(IF(INDEX(Documents!$C$5:$C$657,MATCH(H3452,Documents!$A$5:$A$657,0))="","",INDEX(Documents!$C$5:$C$657,MATCH(H3452,Documents!$A$5:$A$657,0))),"")</f>
        <v>2013</v>
      </c>
      <c r="J3452" s="25" t="str">
        <f aca="false">IFERROR(IF(INDEX(Documents!$D$5:$D$657,MATCH(H3452,Documents!$A$5:$A$657,0))="","",INDEX(Documents!$D$5:$D$657,MATCH(H3452,Documents!$A$5:$A$657,0))),"")</f>
        <v>Bioorg Med Chem</v>
      </c>
      <c r="K3452" s="25" t="str">
        <f aca="false">IFERROR(IF(INDEX(Documents!$G$5:$G$657,MATCH(H3452,Documents!$A$5:$A$657,0))="","",INDEX(Documents!$G$5:$G$657,MATCH(H3452,Documents!$A$5:$A$657,0))),"")</f>
        <v>10.1016/j.bmc.2013.09.040</v>
      </c>
      <c r="L3452" s="25" t="s">
        <v>5355</v>
      </c>
    </row>
    <row r="3453" customFormat="false" ht="15" hidden="false" customHeight="false" outlineLevel="0" collapsed="false">
      <c r="A3453" s="25" t="n">
        <v>3111453</v>
      </c>
      <c r="B3453" s="25" t="s">
        <v>7331</v>
      </c>
      <c r="C3453" s="25" t="s">
        <v>7332</v>
      </c>
      <c r="D3453" s="26" t="n">
        <v>1407</v>
      </c>
      <c r="E3453" s="27" t="n">
        <v>5.85170590256526</v>
      </c>
      <c r="F3453" s="27" t="n">
        <v>5.85170590256526</v>
      </c>
      <c r="G3453" s="25" t="s">
        <v>1040</v>
      </c>
      <c r="H3453" s="25" t="s">
        <v>1041</v>
      </c>
      <c r="I3453" s="25" t="n">
        <f aca="false">IFERROR(IF(INDEX(Documents!$C$5:$C$657,MATCH(H3453,Documents!$A$5:$A$657,0))="","",INDEX(Documents!$C$5:$C$657,MATCH(H3453,Documents!$A$5:$A$657,0))),"")</f>
        <v>2010</v>
      </c>
      <c r="J3453" s="25" t="str">
        <f aca="false">IFERROR(IF(INDEX(Documents!$D$5:$D$657,MATCH(H3453,Documents!$A$5:$A$657,0))="","",INDEX(Documents!$D$5:$D$657,MATCH(H3453,Documents!$A$5:$A$657,0))),"")</f>
        <v>Bioorg Med Chem Lett</v>
      </c>
      <c r="K3453" s="25" t="str">
        <f aca="false">IFERROR(IF(INDEX(Documents!$G$5:$G$657,MATCH(H3453,Documents!$A$5:$A$657,0))="","",INDEX(Documents!$G$5:$G$657,MATCH(H3453,Documents!$A$5:$A$657,0))),"")</f>
        <v>10.1016/j.bmcl.2009.11.075</v>
      </c>
      <c r="L3453" s="25" t="s">
        <v>515</v>
      </c>
    </row>
    <row r="3454" customFormat="false" ht="15" hidden="false" customHeight="false" outlineLevel="0" collapsed="false">
      <c r="A3454" s="25" t="n">
        <v>10857014</v>
      </c>
      <c r="B3454" s="25" t="s">
        <v>7333</v>
      </c>
      <c r="C3454" s="25" t="s">
        <v>7334</v>
      </c>
      <c r="D3454" s="26" t="n">
        <v>144</v>
      </c>
      <c r="E3454" s="27" t="n">
        <v>6.84163750790475</v>
      </c>
      <c r="F3454" s="27" t="n">
        <v>6.84163750790475</v>
      </c>
      <c r="G3454" s="25" t="s">
        <v>4291</v>
      </c>
      <c r="H3454" s="25" t="s">
        <v>4292</v>
      </c>
      <c r="I3454" s="25" t="n">
        <f aca="false">IFERROR(IF(INDEX(Documents!$C$5:$C$657,MATCH(H3454,Documents!$A$5:$A$657,0))="","",INDEX(Documents!$C$5:$C$657,MATCH(H3454,Documents!$A$5:$A$657,0))),"")</f>
        <v>2012</v>
      </c>
      <c r="J3454" s="25" t="str">
        <f aca="false">IFERROR(IF(INDEX(Documents!$D$5:$D$657,MATCH(H3454,Documents!$A$5:$A$657,0))="","",INDEX(Documents!$D$5:$D$657,MATCH(H3454,Documents!$A$5:$A$657,0))),"")</f>
        <v>Bioorg Med Chem Lett</v>
      </c>
      <c r="K3454" s="25" t="str">
        <f aca="false">IFERROR(IF(INDEX(Documents!$G$5:$G$657,MATCH(H3454,Documents!$A$5:$A$657,0))="","",INDEX(Documents!$G$5:$G$657,MATCH(H3454,Documents!$A$5:$A$657,0))),"")</f>
        <v>10.1016/j.bmcl.2012.02.072</v>
      </c>
      <c r="L3454" s="25" t="s">
        <v>4293</v>
      </c>
    </row>
    <row r="3455" customFormat="false" ht="15" hidden="false" customHeight="false" outlineLevel="0" collapsed="false">
      <c r="A3455" s="25" t="n">
        <v>12720259</v>
      </c>
      <c r="B3455" s="25" t="s">
        <v>7335</v>
      </c>
      <c r="C3455" s="25" t="s">
        <v>7336</v>
      </c>
      <c r="D3455" s="26" t="n">
        <v>114</v>
      </c>
      <c r="E3455" s="27" t="n">
        <v>6.94309514866353</v>
      </c>
      <c r="F3455" s="27" t="n">
        <v>6.94309514866353</v>
      </c>
      <c r="G3455" s="25" t="s">
        <v>5620</v>
      </c>
      <c r="H3455" s="25" t="s">
        <v>5621</v>
      </c>
      <c r="I3455" s="25" t="n">
        <f aca="false">IFERROR(IF(INDEX(Documents!$C$5:$C$657,MATCH(H3455,Documents!$A$5:$A$657,0))="","",INDEX(Documents!$C$5:$C$657,MATCH(H3455,Documents!$A$5:$A$657,0))),"")</f>
        <v>2013</v>
      </c>
      <c r="J3455" s="25" t="str">
        <f aca="false">IFERROR(IF(INDEX(Documents!$D$5:$D$657,MATCH(H3455,Documents!$A$5:$A$657,0))="","",INDEX(Documents!$D$5:$D$657,MATCH(H3455,Documents!$A$5:$A$657,0))),"")</f>
        <v>Bioorg Med Chem Lett</v>
      </c>
      <c r="K3455" s="25" t="str">
        <f aca="false">IFERROR(IF(INDEX(Documents!$G$5:$G$657,MATCH(H3455,Documents!$A$5:$A$657,0))="","",INDEX(Documents!$G$5:$G$657,MATCH(H3455,Documents!$A$5:$A$657,0))),"")</f>
        <v>10.1016/j.bmcl.2013.02.025</v>
      </c>
      <c r="L3455" s="25" t="s">
        <v>5622</v>
      </c>
    </row>
    <row r="3456" customFormat="false" ht="15" hidden="false" customHeight="false" outlineLevel="0" collapsed="false">
      <c r="A3456" s="25" t="n">
        <v>14980480</v>
      </c>
      <c r="B3456" s="25" t="s">
        <v>7337</v>
      </c>
      <c r="C3456" s="25" t="s">
        <v>7338</v>
      </c>
      <c r="D3456" s="26" t="n">
        <v>22.5</v>
      </c>
      <c r="E3456" s="27" t="n">
        <v>7.64781748188864</v>
      </c>
      <c r="F3456" s="27" t="n">
        <v>7.64781748188864</v>
      </c>
      <c r="G3456" s="25" t="s">
        <v>5562</v>
      </c>
      <c r="H3456" s="25" t="s">
        <v>5563</v>
      </c>
      <c r="I3456" s="25" t="n">
        <f aca="false">IFERROR(IF(INDEX(Documents!$C$5:$C$657,MATCH(H3456,Documents!$A$5:$A$657,0))="","",INDEX(Documents!$C$5:$C$657,MATCH(H3456,Documents!$A$5:$A$657,0))),"")</f>
        <v>2015</v>
      </c>
      <c r="J3456" s="25" t="str">
        <f aca="false">IFERROR(IF(INDEX(Documents!$D$5:$D$657,MATCH(H3456,Documents!$A$5:$A$657,0))="","",INDEX(Documents!$D$5:$D$657,MATCH(H3456,Documents!$A$5:$A$657,0))),"")</f>
        <v>Bioorg Med Chem</v>
      </c>
      <c r="K3456" s="25" t="str">
        <f aca="false">IFERROR(IF(INDEX(Documents!$G$5:$G$657,MATCH(H3456,Documents!$A$5:$A$657,0))="","",INDEX(Documents!$G$5:$G$657,MATCH(H3456,Documents!$A$5:$A$657,0))),"")</f>
        <v>10.1016/j.bmc.2014.11.002</v>
      </c>
      <c r="L3456" s="25" t="s">
        <v>5564</v>
      </c>
    </row>
    <row r="3457" customFormat="false" ht="15" hidden="false" customHeight="false" outlineLevel="0" collapsed="false">
      <c r="A3457" s="25" t="n">
        <v>14980460</v>
      </c>
      <c r="B3457" s="25" t="s">
        <v>7339</v>
      </c>
      <c r="C3457" s="25" t="s">
        <v>7340</v>
      </c>
      <c r="D3457" s="26" t="n">
        <v>355</v>
      </c>
      <c r="E3457" s="27" t="n">
        <v>6.44977164694491</v>
      </c>
      <c r="F3457" s="27" t="n">
        <v>6.44977164694491</v>
      </c>
      <c r="G3457" s="25" t="s">
        <v>5562</v>
      </c>
      <c r="H3457" s="25" t="s">
        <v>5563</v>
      </c>
      <c r="I3457" s="25" t="n">
        <f aca="false">IFERROR(IF(INDEX(Documents!$C$5:$C$657,MATCH(H3457,Documents!$A$5:$A$657,0))="","",INDEX(Documents!$C$5:$C$657,MATCH(H3457,Documents!$A$5:$A$657,0))),"")</f>
        <v>2015</v>
      </c>
      <c r="J3457" s="25" t="str">
        <f aca="false">IFERROR(IF(INDEX(Documents!$D$5:$D$657,MATCH(H3457,Documents!$A$5:$A$657,0))="","",INDEX(Documents!$D$5:$D$657,MATCH(H3457,Documents!$A$5:$A$657,0))),"")</f>
        <v>Bioorg Med Chem</v>
      </c>
      <c r="K3457" s="25" t="str">
        <f aca="false">IFERROR(IF(INDEX(Documents!$G$5:$G$657,MATCH(H3457,Documents!$A$5:$A$657,0))="","",INDEX(Documents!$G$5:$G$657,MATCH(H3457,Documents!$A$5:$A$657,0))),"")</f>
        <v>10.1016/j.bmc.2014.11.002</v>
      </c>
      <c r="L3457" s="25" t="s">
        <v>5564</v>
      </c>
    </row>
    <row r="3458" customFormat="false" ht="15" hidden="false" customHeight="false" outlineLevel="0" collapsed="false">
      <c r="A3458" s="25" t="n">
        <v>14980496</v>
      </c>
      <c r="B3458" s="25" t="s">
        <v>7341</v>
      </c>
      <c r="C3458" s="25" t="s">
        <v>7342</v>
      </c>
      <c r="D3458" s="26" t="n">
        <v>320</v>
      </c>
      <c r="E3458" s="27" t="n">
        <v>6.49485002168009</v>
      </c>
      <c r="F3458" s="27" t="n">
        <v>6.49485002168009</v>
      </c>
      <c r="G3458" s="25" t="s">
        <v>5562</v>
      </c>
      <c r="H3458" s="25" t="s">
        <v>5563</v>
      </c>
      <c r="I3458" s="25" t="n">
        <f aca="false">IFERROR(IF(INDEX(Documents!$C$5:$C$657,MATCH(H3458,Documents!$A$5:$A$657,0))="","",INDEX(Documents!$C$5:$C$657,MATCH(H3458,Documents!$A$5:$A$657,0))),"")</f>
        <v>2015</v>
      </c>
      <c r="J3458" s="25" t="str">
        <f aca="false">IFERROR(IF(INDEX(Documents!$D$5:$D$657,MATCH(H3458,Documents!$A$5:$A$657,0))="","",INDEX(Documents!$D$5:$D$657,MATCH(H3458,Documents!$A$5:$A$657,0))),"")</f>
        <v>Bioorg Med Chem</v>
      </c>
      <c r="K3458" s="25" t="str">
        <f aca="false">IFERROR(IF(INDEX(Documents!$G$5:$G$657,MATCH(H3458,Documents!$A$5:$A$657,0))="","",INDEX(Documents!$G$5:$G$657,MATCH(H3458,Documents!$A$5:$A$657,0))),"")</f>
        <v>10.1016/j.bmc.2014.11.002</v>
      </c>
      <c r="L3458" s="25" t="s">
        <v>5564</v>
      </c>
    </row>
    <row r="3459" customFormat="false" ht="15" hidden="false" customHeight="false" outlineLevel="0" collapsed="false">
      <c r="A3459" s="25" t="n">
        <v>14980497</v>
      </c>
      <c r="B3459" s="25" t="s">
        <v>7343</v>
      </c>
      <c r="C3459" s="25" t="s">
        <v>7344</v>
      </c>
      <c r="D3459" s="26" t="n">
        <v>30</v>
      </c>
      <c r="E3459" s="27" t="n">
        <v>7.52287874528034</v>
      </c>
      <c r="F3459" s="27" t="n">
        <v>7.52287874528034</v>
      </c>
      <c r="G3459" s="25" t="s">
        <v>5562</v>
      </c>
      <c r="H3459" s="25" t="s">
        <v>5563</v>
      </c>
      <c r="I3459" s="25" t="n">
        <f aca="false">IFERROR(IF(INDEX(Documents!$C$5:$C$657,MATCH(H3459,Documents!$A$5:$A$657,0))="","",INDEX(Documents!$C$5:$C$657,MATCH(H3459,Documents!$A$5:$A$657,0))),"")</f>
        <v>2015</v>
      </c>
      <c r="J3459" s="25" t="str">
        <f aca="false">IFERROR(IF(INDEX(Documents!$D$5:$D$657,MATCH(H3459,Documents!$A$5:$A$657,0))="","",INDEX(Documents!$D$5:$D$657,MATCH(H3459,Documents!$A$5:$A$657,0))),"")</f>
        <v>Bioorg Med Chem</v>
      </c>
      <c r="K3459" s="25" t="str">
        <f aca="false">IFERROR(IF(INDEX(Documents!$G$5:$G$657,MATCH(H3459,Documents!$A$5:$A$657,0))="","",INDEX(Documents!$G$5:$G$657,MATCH(H3459,Documents!$A$5:$A$657,0))),"")</f>
        <v>10.1016/j.bmc.2014.11.002</v>
      </c>
      <c r="L3459" s="25" t="s">
        <v>5564</v>
      </c>
    </row>
    <row r="3460" customFormat="false" ht="15" hidden="false" customHeight="false" outlineLevel="0" collapsed="false">
      <c r="A3460" s="25" t="n">
        <v>14980505</v>
      </c>
      <c r="B3460" s="25" t="s">
        <v>7345</v>
      </c>
      <c r="C3460" s="25" t="s">
        <v>7346</v>
      </c>
      <c r="D3460" s="26" t="n">
        <v>380</v>
      </c>
      <c r="E3460" s="27" t="n">
        <v>6.42021640338319</v>
      </c>
      <c r="F3460" s="27" t="n">
        <v>6.42021640338319</v>
      </c>
      <c r="G3460" s="25" t="s">
        <v>5562</v>
      </c>
      <c r="H3460" s="25" t="s">
        <v>5563</v>
      </c>
      <c r="I3460" s="25" t="n">
        <f aca="false">IFERROR(IF(INDEX(Documents!$C$5:$C$657,MATCH(H3460,Documents!$A$5:$A$657,0))="","",INDEX(Documents!$C$5:$C$657,MATCH(H3460,Documents!$A$5:$A$657,0))),"")</f>
        <v>2015</v>
      </c>
      <c r="J3460" s="25" t="str">
        <f aca="false">IFERROR(IF(INDEX(Documents!$D$5:$D$657,MATCH(H3460,Documents!$A$5:$A$657,0))="","",INDEX(Documents!$D$5:$D$657,MATCH(H3460,Documents!$A$5:$A$657,0))),"")</f>
        <v>Bioorg Med Chem</v>
      </c>
      <c r="K3460" s="25" t="str">
        <f aca="false">IFERROR(IF(INDEX(Documents!$G$5:$G$657,MATCH(H3460,Documents!$A$5:$A$657,0))="","",INDEX(Documents!$G$5:$G$657,MATCH(H3460,Documents!$A$5:$A$657,0))),"")</f>
        <v>10.1016/j.bmc.2014.11.002</v>
      </c>
      <c r="L3460" s="25" t="s">
        <v>5564</v>
      </c>
    </row>
    <row r="3461" customFormat="false" ht="15" hidden="false" customHeight="false" outlineLevel="0" collapsed="false">
      <c r="A3461" s="25" t="n">
        <v>14980500</v>
      </c>
      <c r="B3461" s="25" t="s">
        <v>7347</v>
      </c>
      <c r="C3461" s="25" t="s">
        <v>7348</v>
      </c>
      <c r="D3461" s="26" t="n">
        <v>300</v>
      </c>
      <c r="E3461" s="27" t="n">
        <v>6.52287874528034</v>
      </c>
      <c r="F3461" s="27" t="n">
        <v>6.52287874528034</v>
      </c>
      <c r="G3461" s="25" t="s">
        <v>5562</v>
      </c>
      <c r="H3461" s="25" t="s">
        <v>5563</v>
      </c>
      <c r="I3461" s="25" t="n">
        <f aca="false">IFERROR(IF(INDEX(Documents!$C$5:$C$657,MATCH(H3461,Documents!$A$5:$A$657,0))="","",INDEX(Documents!$C$5:$C$657,MATCH(H3461,Documents!$A$5:$A$657,0))),"")</f>
        <v>2015</v>
      </c>
      <c r="J3461" s="25" t="str">
        <f aca="false">IFERROR(IF(INDEX(Documents!$D$5:$D$657,MATCH(H3461,Documents!$A$5:$A$657,0))="","",INDEX(Documents!$D$5:$D$657,MATCH(H3461,Documents!$A$5:$A$657,0))),"")</f>
        <v>Bioorg Med Chem</v>
      </c>
      <c r="K3461" s="25" t="str">
        <f aca="false">IFERROR(IF(INDEX(Documents!$G$5:$G$657,MATCH(H3461,Documents!$A$5:$A$657,0))="","",INDEX(Documents!$G$5:$G$657,MATCH(H3461,Documents!$A$5:$A$657,0))),"")</f>
        <v>10.1016/j.bmc.2014.11.002</v>
      </c>
      <c r="L3461" s="25" t="s">
        <v>5564</v>
      </c>
    </row>
    <row r="3462" customFormat="false" ht="15" hidden="false" customHeight="false" outlineLevel="0" collapsed="false">
      <c r="A3462" s="25" t="n">
        <v>14980508</v>
      </c>
      <c r="B3462" s="25" t="s">
        <v>7349</v>
      </c>
      <c r="C3462" s="25" t="s">
        <v>7350</v>
      </c>
      <c r="D3462" s="26" t="n">
        <v>490</v>
      </c>
      <c r="E3462" s="27" t="n">
        <v>6.30980391997149</v>
      </c>
      <c r="F3462" s="27" t="n">
        <v>6.30980391997149</v>
      </c>
      <c r="G3462" s="25" t="s">
        <v>5562</v>
      </c>
      <c r="H3462" s="25" t="s">
        <v>5563</v>
      </c>
      <c r="I3462" s="25" t="n">
        <f aca="false">IFERROR(IF(INDEX(Documents!$C$5:$C$657,MATCH(H3462,Documents!$A$5:$A$657,0))="","",INDEX(Documents!$C$5:$C$657,MATCH(H3462,Documents!$A$5:$A$657,0))),"")</f>
        <v>2015</v>
      </c>
      <c r="J3462" s="25" t="str">
        <f aca="false">IFERROR(IF(INDEX(Documents!$D$5:$D$657,MATCH(H3462,Documents!$A$5:$A$657,0))="","",INDEX(Documents!$D$5:$D$657,MATCH(H3462,Documents!$A$5:$A$657,0))),"")</f>
        <v>Bioorg Med Chem</v>
      </c>
      <c r="K3462" s="25" t="str">
        <f aca="false">IFERROR(IF(INDEX(Documents!$G$5:$G$657,MATCH(H3462,Documents!$A$5:$A$657,0))="","",INDEX(Documents!$G$5:$G$657,MATCH(H3462,Documents!$A$5:$A$657,0))),"")</f>
        <v>10.1016/j.bmc.2014.11.002</v>
      </c>
      <c r="L3462" s="25" t="s">
        <v>5564</v>
      </c>
    </row>
    <row r="3463" customFormat="false" ht="15" hidden="false" customHeight="false" outlineLevel="0" collapsed="false">
      <c r="A3463" s="25" t="n">
        <v>14980509</v>
      </c>
      <c r="B3463" s="25" t="s">
        <v>7351</v>
      </c>
      <c r="C3463" s="25" t="s">
        <v>7352</v>
      </c>
      <c r="D3463" s="26" t="n">
        <v>450</v>
      </c>
      <c r="E3463" s="27" t="n">
        <v>6.34678748622466</v>
      </c>
      <c r="F3463" s="27" t="n">
        <v>6.34678748622466</v>
      </c>
      <c r="G3463" s="25" t="s">
        <v>5562</v>
      </c>
      <c r="H3463" s="25" t="s">
        <v>5563</v>
      </c>
      <c r="I3463" s="25" t="n">
        <f aca="false">IFERROR(IF(INDEX(Documents!$C$5:$C$657,MATCH(H3463,Documents!$A$5:$A$657,0))="","",INDEX(Documents!$C$5:$C$657,MATCH(H3463,Documents!$A$5:$A$657,0))),"")</f>
        <v>2015</v>
      </c>
      <c r="J3463" s="25" t="str">
        <f aca="false">IFERROR(IF(INDEX(Documents!$D$5:$D$657,MATCH(H3463,Documents!$A$5:$A$657,0))="","",INDEX(Documents!$D$5:$D$657,MATCH(H3463,Documents!$A$5:$A$657,0))),"")</f>
        <v>Bioorg Med Chem</v>
      </c>
      <c r="K3463" s="25" t="str">
        <f aca="false">IFERROR(IF(INDEX(Documents!$G$5:$G$657,MATCH(H3463,Documents!$A$5:$A$657,0))="","",INDEX(Documents!$G$5:$G$657,MATCH(H3463,Documents!$A$5:$A$657,0))),"")</f>
        <v>10.1016/j.bmc.2014.11.002</v>
      </c>
      <c r="L3463" s="25" t="s">
        <v>5564</v>
      </c>
    </row>
    <row r="3464" customFormat="false" ht="15" hidden="false" customHeight="false" outlineLevel="0" collapsed="false">
      <c r="A3464" s="25" t="n">
        <v>14980487</v>
      </c>
      <c r="B3464" s="25" t="s">
        <v>7353</v>
      </c>
      <c r="C3464" s="25" t="s">
        <v>7354</v>
      </c>
      <c r="D3464" s="26" t="n">
        <v>11</v>
      </c>
      <c r="E3464" s="27" t="n">
        <v>7.95860731484178</v>
      </c>
      <c r="F3464" s="27" t="n">
        <v>7.95860731484178</v>
      </c>
      <c r="G3464" s="25" t="s">
        <v>5562</v>
      </c>
      <c r="H3464" s="25" t="s">
        <v>5563</v>
      </c>
      <c r="I3464" s="25" t="n">
        <f aca="false">IFERROR(IF(INDEX(Documents!$C$5:$C$657,MATCH(H3464,Documents!$A$5:$A$657,0))="","",INDEX(Documents!$C$5:$C$657,MATCH(H3464,Documents!$A$5:$A$657,0))),"")</f>
        <v>2015</v>
      </c>
      <c r="J3464" s="25" t="str">
        <f aca="false">IFERROR(IF(INDEX(Documents!$D$5:$D$657,MATCH(H3464,Documents!$A$5:$A$657,0))="","",INDEX(Documents!$D$5:$D$657,MATCH(H3464,Documents!$A$5:$A$657,0))),"")</f>
        <v>Bioorg Med Chem</v>
      </c>
      <c r="K3464" s="25" t="str">
        <f aca="false">IFERROR(IF(INDEX(Documents!$G$5:$G$657,MATCH(H3464,Documents!$A$5:$A$657,0))="","",INDEX(Documents!$G$5:$G$657,MATCH(H3464,Documents!$A$5:$A$657,0))),"")</f>
        <v>10.1016/j.bmc.2014.11.002</v>
      </c>
      <c r="L3464" s="25" t="s">
        <v>5564</v>
      </c>
    </row>
    <row r="3465" customFormat="false" ht="15" hidden="false" customHeight="false" outlineLevel="0" collapsed="false">
      <c r="A3465" s="25" t="n">
        <v>14980489</v>
      </c>
      <c r="B3465" s="25" t="s">
        <v>7355</v>
      </c>
      <c r="C3465" s="25" t="s">
        <v>7356</v>
      </c>
      <c r="D3465" s="26" t="n">
        <v>290</v>
      </c>
      <c r="E3465" s="27" t="n">
        <v>6.53760200210104</v>
      </c>
      <c r="F3465" s="27" t="n">
        <v>6.53760200210104</v>
      </c>
      <c r="G3465" s="25" t="s">
        <v>5562</v>
      </c>
      <c r="H3465" s="25" t="s">
        <v>5563</v>
      </c>
      <c r="I3465" s="25" t="n">
        <f aca="false">IFERROR(IF(INDEX(Documents!$C$5:$C$657,MATCH(H3465,Documents!$A$5:$A$657,0))="","",INDEX(Documents!$C$5:$C$657,MATCH(H3465,Documents!$A$5:$A$657,0))),"")</f>
        <v>2015</v>
      </c>
      <c r="J3465" s="25" t="str">
        <f aca="false">IFERROR(IF(INDEX(Documents!$D$5:$D$657,MATCH(H3465,Documents!$A$5:$A$657,0))="","",INDEX(Documents!$D$5:$D$657,MATCH(H3465,Documents!$A$5:$A$657,0))),"")</f>
        <v>Bioorg Med Chem</v>
      </c>
      <c r="K3465" s="25" t="str">
        <f aca="false">IFERROR(IF(INDEX(Documents!$G$5:$G$657,MATCH(H3465,Documents!$A$5:$A$657,0))="","",INDEX(Documents!$G$5:$G$657,MATCH(H3465,Documents!$A$5:$A$657,0))),"")</f>
        <v>10.1016/j.bmc.2014.11.002</v>
      </c>
      <c r="L3465" s="25" t="s">
        <v>5564</v>
      </c>
    </row>
    <row r="3466" customFormat="false" ht="15" hidden="false" customHeight="false" outlineLevel="0" collapsed="false">
      <c r="A3466" s="25" t="n">
        <v>24419774</v>
      </c>
      <c r="B3466" s="25" t="s">
        <v>7357</v>
      </c>
      <c r="C3466" s="25" t="s">
        <v>7358</v>
      </c>
      <c r="D3466" s="26" t="n">
        <v>17</v>
      </c>
      <c r="E3466" s="27" t="n">
        <v>7.76955107862173</v>
      </c>
      <c r="F3466" s="27" t="n">
        <v>7.76955107862173</v>
      </c>
      <c r="G3466" s="25" t="s">
        <v>335</v>
      </c>
      <c r="H3466" s="25" t="s">
        <v>336</v>
      </c>
      <c r="I3466" s="25" t="n">
        <f aca="false">IFERROR(IF(INDEX(Documents!$C$5:$C$657,MATCH(H3466,Documents!$A$5:$A$657,0))="","",INDEX(Documents!$C$5:$C$657,MATCH(H3466,Documents!$A$5:$A$657,0))),"")</f>
        <v>2022</v>
      </c>
      <c r="J3466" s="25" t="str">
        <f aca="false">IFERROR(IF(INDEX(Documents!$D$5:$D$657,MATCH(H3466,Documents!$A$5:$A$657,0))="","",INDEX(Documents!$D$5:$D$657,MATCH(H3466,Documents!$A$5:$A$657,0))),"")</f>
        <v>J Med Chem</v>
      </c>
      <c r="K3466" s="25" t="str">
        <f aca="false">IFERROR(IF(INDEX(Documents!$G$5:$G$657,MATCH(H3466,Documents!$A$5:$A$657,0))="","",INDEX(Documents!$G$5:$G$657,MATCH(H3466,Documents!$A$5:$A$657,0))),"")</f>
        <v>10.1021/acs.jmedchem.1c01836</v>
      </c>
      <c r="L3466" s="25" t="s">
        <v>337</v>
      </c>
    </row>
    <row r="3467" customFormat="false" ht="15" hidden="false" customHeight="false" outlineLevel="0" collapsed="false">
      <c r="A3467" s="25" t="n">
        <v>24419773</v>
      </c>
      <c r="B3467" s="25" t="s">
        <v>7359</v>
      </c>
      <c r="C3467" s="25" t="s">
        <v>7360</v>
      </c>
      <c r="D3467" s="26" t="n">
        <v>36</v>
      </c>
      <c r="E3467" s="27" t="n">
        <v>7.44369749923271</v>
      </c>
      <c r="F3467" s="27" t="n">
        <v>7.44369749923271</v>
      </c>
      <c r="G3467" s="25" t="s">
        <v>335</v>
      </c>
      <c r="H3467" s="25" t="s">
        <v>336</v>
      </c>
      <c r="I3467" s="25" t="n">
        <f aca="false">IFERROR(IF(INDEX(Documents!$C$5:$C$657,MATCH(H3467,Documents!$A$5:$A$657,0))="","",INDEX(Documents!$C$5:$C$657,MATCH(H3467,Documents!$A$5:$A$657,0))),"")</f>
        <v>2022</v>
      </c>
      <c r="J3467" s="25" t="str">
        <f aca="false">IFERROR(IF(INDEX(Documents!$D$5:$D$657,MATCH(H3467,Documents!$A$5:$A$657,0))="","",INDEX(Documents!$D$5:$D$657,MATCH(H3467,Documents!$A$5:$A$657,0))),"")</f>
        <v>J Med Chem</v>
      </c>
      <c r="K3467" s="25" t="str">
        <f aca="false">IFERROR(IF(INDEX(Documents!$G$5:$G$657,MATCH(H3467,Documents!$A$5:$A$657,0))="","",INDEX(Documents!$G$5:$G$657,MATCH(H3467,Documents!$A$5:$A$657,0))),"")</f>
        <v>10.1021/acs.jmedchem.1c01836</v>
      </c>
      <c r="L3467" s="25" t="s">
        <v>337</v>
      </c>
    </row>
    <row r="3468" customFormat="false" ht="15" hidden="false" customHeight="false" outlineLevel="0" collapsed="false">
      <c r="A3468" s="25" t="n">
        <v>24419805</v>
      </c>
      <c r="B3468" s="25" t="s">
        <v>7361</v>
      </c>
      <c r="C3468" s="25" t="s">
        <v>7362</v>
      </c>
      <c r="D3468" s="26" t="n">
        <v>20</v>
      </c>
      <c r="E3468" s="27" t="n">
        <v>7.69897000433602</v>
      </c>
      <c r="F3468" s="27" t="n">
        <v>7.69897000433602</v>
      </c>
      <c r="G3468" s="25" t="s">
        <v>335</v>
      </c>
      <c r="H3468" s="25" t="s">
        <v>336</v>
      </c>
      <c r="I3468" s="25" t="n">
        <f aca="false">IFERROR(IF(INDEX(Documents!$C$5:$C$657,MATCH(H3468,Documents!$A$5:$A$657,0))="","",INDEX(Documents!$C$5:$C$657,MATCH(H3468,Documents!$A$5:$A$657,0))),"")</f>
        <v>2022</v>
      </c>
      <c r="J3468" s="25" t="str">
        <f aca="false">IFERROR(IF(INDEX(Documents!$D$5:$D$657,MATCH(H3468,Documents!$A$5:$A$657,0))="","",INDEX(Documents!$D$5:$D$657,MATCH(H3468,Documents!$A$5:$A$657,0))),"")</f>
        <v>J Med Chem</v>
      </c>
      <c r="K3468" s="25" t="str">
        <f aca="false">IFERROR(IF(INDEX(Documents!$G$5:$G$657,MATCH(H3468,Documents!$A$5:$A$657,0))="","",INDEX(Documents!$G$5:$G$657,MATCH(H3468,Documents!$A$5:$A$657,0))),"")</f>
        <v>10.1021/acs.jmedchem.1c01836</v>
      </c>
      <c r="L3468" s="25" t="s">
        <v>337</v>
      </c>
    </row>
    <row r="3469" customFormat="false" ht="15" hidden="false" customHeight="false" outlineLevel="0" collapsed="false">
      <c r="A3469" s="25" t="n">
        <v>24419783</v>
      </c>
      <c r="B3469" s="25" t="s">
        <v>7363</v>
      </c>
      <c r="C3469" s="25" t="s">
        <v>7364</v>
      </c>
      <c r="D3469" s="26" t="n">
        <v>14</v>
      </c>
      <c r="E3469" s="27" t="n">
        <v>7.85387196432176</v>
      </c>
      <c r="F3469" s="27" t="n">
        <v>7.85387196432176</v>
      </c>
      <c r="G3469" s="25" t="s">
        <v>335</v>
      </c>
      <c r="H3469" s="25" t="s">
        <v>336</v>
      </c>
      <c r="I3469" s="25" t="n">
        <f aca="false">IFERROR(IF(INDEX(Documents!$C$5:$C$657,MATCH(H3469,Documents!$A$5:$A$657,0))="","",INDEX(Documents!$C$5:$C$657,MATCH(H3469,Documents!$A$5:$A$657,0))),"")</f>
        <v>2022</v>
      </c>
      <c r="J3469" s="25" t="str">
        <f aca="false">IFERROR(IF(INDEX(Documents!$D$5:$D$657,MATCH(H3469,Documents!$A$5:$A$657,0))="","",INDEX(Documents!$D$5:$D$657,MATCH(H3469,Documents!$A$5:$A$657,0))),"")</f>
        <v>J Med Chem</v>
      </c>
      <c r="K3469" s="25" t="str">
        <f aca="false">IFERROR(IF(INDEX(Documents!$G$5:$G$657,MATCH(H3469,Documents!$A$5:$A$657,0))="","",INDEX(Documents!$G$5:$G$657,MATCH(H3469,Documents!$A$5:$A$657,0))),"")</f>
        <v>10.1021/acs.jmedchem.1c01836</v>
      </c>
      <c r="L3469" s="25" t="s">
        <v>337</v>
      </c>
    </row>
    <row r="3470" customFormat="false" ht="15" hidden="false" customHeight="false" outlineLevel="0" collapsed="false">
      <c r="A3470" s="25" t="n">
        <v>24419778</v>
      </c>
      <c r="B3470" s="25" t="s">
        <v>7365</v>
      </c>
      <c r="C3470" s="25" t="s">
        <v>7366</v>
      </c>
      <c r="D3470" s="26" t="n">
        <v>28</v>
      </c>
      <c r="E3470" s="27" t="n">
        <v>7.55284196865778</v>
      </c>
      <c r="F3470" s="27" t="n">
        <v>7.55284196865778</v>
      </c>
      <c r="G3470" s="25" t="s">
        <v>335</v>
      </c>
      <c r="H3470" s="25" t="s">
        <v>336</v>
      </c>
      <c r="I3470" s="25" t="n">
        <f aca="false">IFERROR(IF(INDEX(Documents!$C$5:$C$657,MATCH(H3470,Documents!$A$5:$A$657,0))="","",INDEX(Documents!$C$5:$C$657,MATCH(H3470,Documents!$A$5:$A$657,0))),"")</f>
        <v>2022</v>
      </c>
      <c r="J3470" s="25" t="str">
        <f aca="false">IFERROR(IF(INDEX(Documents!$D$5:$D$657,MATCH(H3470,Documents!$A$5:$A$657,0))="","",INDEX(Documents!$D$5:$D$657,MATCH(H3470,Documents!$A$5:$A$657,0))),"")</f>
        <v>J Med Chem</v>
      </c>
      <c r="K3470" s="25" t="str">
        <f aca="false">IFERROR(IF(INDEX(Documents!$G$5:$G$657,MATCH(H3470,Documents!$A$5:$A$657,0))="","",INDEX(Documents!$G$5:$G$657,MATCH(H3470,Documents!$A$5:$A$657,0))),"")</f>
        <v>10.1021/acs.jmedchem.1c01836</v>
      </c>
      <c r="L3470" s="25" t="s">
        <v>337</v>
      </c>
    </row>
    <row r="3471" customFormat="false" ht="15" hidden="false" customHeight="false" outlineLevel="0" collapsed="false">
      <c r="A3471" s="25" t="n">
        <v>12136198</v>
      </c>
      <c r="B3471" s="25" t="s">
        <v>7367</v>
      </c>
      <c r="C3471" s="25" t="s">
        <v>7368</v>
      </c>
      <c r="D3471" s="26" t="n">
        <v>5507</v>
      </c>
      <c r="E3471" s="27" t="n">
        <v>5.25908492351872</v>
      </c>
      <c r="F3471" s="27" t="n">
        <v>5.25908492351872</v>
      </c>
      <c r="G3471" s="25" t="s">
        <v>718</v>
      </c>
      <c r="H3471" s="25" t="s">
        <v>719</v>
      </c>
      <c r="I3471" s="25" t="n">
        <f aca="false">IFERROR(IF(INDEX(Documents!$C$5:$C$657,MATCH(H3471,Documents!$A$5:$A$657,0))="","",INDEX(Documents!$C$5:$C$657,MATCH(H3471,Documents!$A$5:$A$657,0))),"")</f>
        <v>2012</v>
      </c>
      <c r="J3471" s="25" t="str">
        <f aca="false">IFERROR(IF(INDEX(Documents!$D$5:$D$657,MATCH(H3471,Documents!$A$5:$A$657,0))="","",INDEX(Documents!$D$5:$D$657,MATCH(H3471,Documents!$A$5:$A$657,0))),"")</f>
        <v>J Med Chem</v>
      </c>
      <c r="K3471" s="25" t="str">
        <f aca="false">IFERROR(IF(INDEX(Documents!$G$5:$G$657,MATCH(H3471,Documents!$A$5:$A$657,0))="","",INDEX(Documents!$G$5:$G$657,MATCH(H3471,Documents!$A$5:$A$657,0))),"")</f>
        <v>10.1021/jm301181r</v>
      </c>
      <c r="L3471" s="25" t="s">
        <v>720</v>
      </c>
    </row>
    <row r="3472" customFormat="false" ht="15" hidden="false" customHeight="false" outlineLevel="0" collapsed="false">
      <c r="A3472" s="25" t="n">
        <v>10848314</v>
      </c>
      <c r="B3472" s="25" t="s">
        <v>7369</v>
      </c>
      <c r="C3472" s="25" t="s">
        <v>7370</v>
      </c>
      <c r="D3472" s="26" t="n">
        <v>50.12</v>
      </c>
      <c r="E3472" s="27" t="n">
        <v>7.29998893767789</v>
      </c>
      <c r="F3472" s="27" t="n">
        <v>7.29998893767789</v>
      </c>
      <c r="G3472" s="25" t="s">
        <v>6036</v>
      </c>
      <c r="H3472" s="25" t="s">
        <v>6037</v>
      </c>
      <c r="I3472" s="25" t="n">
        <f aca="false">IFERROR(IF(INDEX(Documents!$C$5:$C$657,MATCH(H3472,Documents!$A$5:$A$657,0))="","",INDEX(Documents!$C$5:$C$657,MATCH(H3472,Documents!$A$5:$A$657,0))),"")</f>
        <v>2012</v>
      </c>
      <c r="J3472" s="25" t="str">
        <f aca="false">IFERROR(IF(INDEX(Documents!$D$5:$D$657,MATCH(H3472,Documents!$A$5:$A$657,0))="","",INDEX(Documents!$D$5:$D$657,MATCH(H3472,Documents!$A$5:$A$657,0))),"")</f>
        <v>Bioorg Med Chem Lett</v>
      </c>
      <c r="K3472" s="25" t="str">
        <f aca="false">IFERROR(IF(INDEX(Documents!$G$5:$G$657,MATCH(H3472,Documents!$A$5:$A$657,0))="","",INDEX(Documents!$G$5:$G$657,MATCH(H3472,Documents!$A$5:$A$657,0))),"")</f>
        <v>10.1016/j.bmcl.2012.02.048</v>
      </c>
      <c r="L3472" s="25" t="s">
        <v>6038</v>
      </c>
    </row>
    <row r="3473" customFormat="false" ht="15" hidden="false" customHeight="false" outlineLevel="0" collapsed="false">
      <c r="A3473" s="25" t="n">
        <v>12136196</v>
      </c>
      <c r="B3473" s="25" t="s">
        <v>7371</v>
      </c>
      <c r="C3473" s="25" t="s">
        <v>7372</v>
      </c>
      <c r="D3473" s="26" t="n">
        <v>1657</v>
      </c>
      <c r="E3473" s="27" t="n">
        <v>5.78067749158066</v>
      </c>
      <c r="F3473" s="27" t="n">
        <v>5.78067749158066</v>
      </c>
      <c r="G3473" s="25" t="s">
        <v>718</v>
      </c>
      <c r="H3473" s="25" t="s">
        <v>719</v>
      </c>
      <c r="I3473" s="25" t="n">
        <f aca="false">IFERROR(IF(INDEX(Documents!$C$5:$C$657,MATCH(H3473,Documents!$A$5:$A$657,0))="","",INDEX(Documents!$C$5:$C$657,MATCH(H3473,Documents!$A$5:$A$657,0))),"")</f>
        <v>2012</v>
      </c>
      <c r="J3473" s="25" t="str">
        <f aca="false">IFERROR(IF(INDEX(Documents!$D$5:$D$657,MATCH(H3473,Documents!$A$5:$A$657,0))="","",INDEX(Documents!$D$5:$D$657,MATCH(H3473,Documents!$A$5:$A$657,0))),"")</f>
        <v>J Med Chem</v>
      </c>
      <c r="K3473" s="25" t="str">
        <f aca="false">IFERROR(IF(INDEX(Documents!$G$5:$G$657,MATCH(H3473,Documents!$A$5:$A$657,0))="","",INDEX(Documents!$G$5:$G$657,MATCH(H3473,Documents!$A$5:$A$657,0))),"")</f>
        <v>10.1021/jm301181r</v>
      </c>
      <c r="L3473" s="25" t="s">
        <v>720</v>
      </c>
    </row>
    <row r="3474" customFormat="false" ht="15" hidden="false" customHeight="false" outlineLevel="0" collapsed="false">
      <c r="A3474" s="25" t="n">
        <v>3089235</v>
      </c>
      <c r="B3474" s="25" t="s">
        <v>7373</v>
      </c>
      <c r="C3474" s="25" t="s">
        <v>7374</v>
      </c>
      <c r="D3474" s="26" t="n">
        <v>202.5</v>
      </c>
      <c r="E3474" s="27" t="n">
        <v>6.69357497244931</v>
      </c>
      <c r="F3474" s="27" t="n">
        <v>6.69357497244931</v>
      </c>
      <c r="G3474" s="25" t="s">
        <v>534</v>
      </c>
      <c r="H3474" s="25" t="s">
        <v>535</v>
      </c>
      <c r="I3474" s="25" t="n">
        <f aca="false">IFERROR(IF(INDEX(Documents!$C$5:$C$657,MATCH(H3474,Documents!$A$5:$A$657,0))="","",INDEX(Documents!$C$5:$C$657,MATCH(H3474,Documents!$A$5:$A$657,0))),"")</f>
        <v>2010</v>
      </c>
      <c r="J3474" s="25" t="str">
        <f aca="false">IFERROR(IF(INDEX(Documents!$D$5:$D$657,MATCH(H3474,Documents!$A$5:$A$657,0))="","",INDEX(Documents!$D$5:$D$657,MATCH(H3474,Documents!$A$5:$A$657,0))),"")</f>
        <v>Bioorg Med Chem Lett</v>
      </c>
      <c r="K3474" s="25" t="str">
        <f aca="false">IFERROR(IF(INDEX(Documents!$G$5:$G$657,MATCH(H3474,Documents!$A$5:$A$657,0))="","",INDEX(Documents!$G$5:$G$657,MATCH(H3474,Documents!$A$5:$A$657,0))),"")</f>
        <v>10.1016/j.bmcl.2009.11.084</v>
      </c>
      <c r="L3474" s="25" t="s">
        <v>515</v>
      </c>
    </row>
    <row r="3475" customFormat="false" ht="15" hidden="false" customHeight="false" outlineLevel="0" collapsed="false">
      <c r="A3475" s="25" t="n">
        <v>25531999</v>
      </c>
      <c r="B3475" s="25" t="s">
        <v>7375</v>
      </c>
      <c r="C3475" s="25" t="s">
        <v>7376</v>
      </c>
      <c r="D3475" s="26" t="n">
        <v>20</v>
      </c>
      <c r="E3475" s="27" t="n">
        <v>7.69897000433602</v>
      </c>
      <c r="F3475" s="27" t="n">
        <v>7.69897000433602</v>
      </c>
      <c r="G3475" s="25" t="s">
        <v>762</v>
      </c>
      <c r="H3475" s="25" t="s">
        <v>763</v>
      </c>
      <c r="I3475" s="25" t="n">
        <f aca="false">IFERROR(IF(INDEX(Documents!$C$5:$C$657,MATCH(H3475,Documents!$A$5:$A$657,0))="","",INDEX(Documents!$C$5:$C$657,MATCH(H3475,Documents!$A$5:$A$657,0))),"")</f>
        <v>2023</v>
      </c>
      <c r="J3475" s="25" t="str">
        <f aca="false">IFERROR(IF(INDEX(Documents!$D$5:$D$657,MATCH(H3475,Documents!$A$5:$A$657,0))="","",INDEX(Documents!$D$5:$D$657,MATCH(H3475,Documents!$A$5:$A$657,0))),"")</f>
        <v>J Med Chem</v>
      </c>
      <c r="K3475" s="25" t="str">
        <f aca="false">IFERROR(IF(INDEX(Documents!$G$5:$G$657,MATCH(H3475,Documents!$A$5:$A$657,0))="","",INDEX(Documents!$G$5:$G$657,MATCH(H3475,Documents!$A$5:$A$657,0))),"")</f>
        <v>10.1021/acs.jmedchem.3c00541</v>
      </c>
      <c r="L3475" s="25" t="s">
        <v>764</v>
      </c>
    </row>
    <row r="3476" customFormat="false" ht="15" hidden="false" customHeight="false" outlineLevel="0" collapsed="false">
      <c r="A3476" s="25" t="n">
        <v>27788276</v>
      </c>
      <c r="B3476" s="25" t="s">
        <v>7377</v>
      </c>
      <c r="C3476" s="25" t="s">
        <v>7378</v>
      </c>
      <c r="D3476" s="26" t="n">
        <v>177</v>
      </c>
      <c r="E3476" s="27" t="n">
        <v>6.75202673363819</v>
      </c>
      <c r="F3476" s="27" t="n">
        <v>6.75202673363819</v>
      </c>
      <c r="G3476" s="25" t="s">
        <v>310</v>
      </c>
      <c r="H3476" s="25" t="s">
        <v>311</v>
      </c>
      <c r="I3476" s="25" t="n">
        <f aca="false">IFERROR(IF(INDEX(Documents!$C$5:$C$657,MATCH(H3476,Documents!$A$5:$A$657,0))="","",INDEX(Documents!$C$5:$C$657,MATCH(H3476,Documents!$A$5:$A$657,0))),"")</f>
        <v>2019</v>
      </c>
      <c r="J3476" s="25" t="str">
        <f aca="false">IFERROR(IF(INDEX(Documents!$D$5:$D$657,MATCH(H3476,Documents!$A$5:$A$657,0))="","",INDEX(Documents!$D$5:$D$657,MATCH(H3476,Documents!$A$5:$A$657,0))),"")</f>
        <v/>
      </c>
      <c r="K3476" s="25" t="str">
        <f aca="false">IFERROR(IF(INDEX(Documents!$G$5:$G$657,MATCH(H3476,Documents!$A$5:$A$657,0))="","",INDEX(Documents!$G$5:$G$657,MATCH(H3476,Documents!$A$5:$A$657,0))),"")</f>
        <v/>
      </c>
      <c r="L3476" s="25" t="s">
        <v>312</v>
      </c>
    </row>
    <row r="3477" customFormat="false" ht="15" hidden="false" customHeight="false" outlineLevel="0" collapsed="false">
      <c r="A3477" s="25" t="n">
        <v>2573116</v>
      </c>
      <c r="B3477" s="25" t="s">
        <v>7379</v>
      </c>
      <c r="C3477" s="25" t="s">
        <v>7380</v>
      </c>
      <c r="D3477" s="26" t="n">
        <v>1200</v>
      </c>
      <c r="E3477" s="27" t="n">
        <v>5.92081875395238</v>
      </c>
      <c r="F3477" s="27" t="n">
        <v>5.92081875395238</v>
      </c>
      <c r="G3477" s="25" t="s">
        <v>674</v>
      </c>
      <c r="H3477" s="25" t="s">
        <v>675</v>
      </c>
      <c r="I3477" s="25" t="n">
        <f aca="false">IFERROR(IF(INDEX(Documents!$C$5:$C$657,MATCH(H3477,Documents!$A$5:$A$657,0))="","",INDEX(Documents!$C$5:$C$657,MATCH(H3477,Documents!$A$5:$A$657,0))),"")</f>
        <v>2008</v>
      </c>
      <c r="J3477" s="25" t="str">
        <f aca="false">IFERROR(IF(INDEX(Documents!$D$5:$D$657,MATCH(H3477,Documents!$A$5:$A$657,0))="","",INDEX(Documents!$D$5:$D$657,MATCH(H3477,Documents!$A$5:$A$657,0))),"")</f>
        <v>Bioorg Med Chem</v>
      </c>
      <c r="K3477" s="25" t="str">
        <f aca="false">IFERROR(IF(INDEX(Documents!$G$5:$G$657,MATCH(H3477,Documents!$A$5:$A$657,0))="","",INDEX(Documents!$G$5:$G$657,MATCH(H3477,Documents!$A$5:$A$657,0))),"")</f>
        <v>10.1016/j.bmc.2008.06.001</v>
      </c>
      <c r="L3477" s="25" t="s">
        <v>676</v>
      </c>
    </row>
    <row r="3478" customFormat="false" ht="15" hidden="false" customHeight="false" outlineLevel="0" collapsed="false">
      <c r="A3478" s="25" t="n">
        <v>12146300</v>
      </c>
      <c r="B3478" s="25" t="s">
        <v>7381</v>
      </c>
      <c r="C3478" s="25" t="s">
        <v>7382</v>
      </c>
      <c r="D3478" s="26" t="n">
        <v>12550.01</v>
      </c>
      <c r="E3478" s="27" t="n">
        <v>4.9013559281317</v>
      </c>
      <c r="F3478" s="27" t="n">
        <v>4.90135610115732</v>
      </c>
      <c r="G3478" s="25" t="s">
        <v>1126</v>
      </c>
      <c r="H3478" s="25" t="s">
        <v>1127</v>
      </c>
      <c r="I3478" s="25" t="n">
        <f aca="false">IFERROR(IF(INDEX(Documents!$C$5:$C$657,MATCH(H3478,Documents!$A$5:$A$657,0))="","",INDEX(Documents!$C$5:$C$657,MATCH(H3478,Documents!$A$5:$A$657,0))),"")</f>
        <v>2012</v>
      </c>
      <c r="J3478" s="25" t="str">
        <f aca="false">IFERROR(IF(INDEX(Documents!$D$5:$D$657,MATCH(H3478,Documents!$A$5:$A$657,0))="","",INDEX(Documents!$D$5:$D$657,MATCH(H3478,Documents!$A$5:$A$657,0))),"")</f>
        <v>J Med Chem</v>
      </c>
      <c r="K3478" s="25" t="str">
        <f aca="false">IFERROR(IF(INDEX(Documents!$G$5:$G$657,MATCH(H3478,Documents!$A$5:$A$657,0))="","",INDEX(Documents!$G$5:$G$657,MATCH(H3478,Documents!$A$5:$A$657,0))),"")</f>
        <v>10.1021/jm301212u</v>
      </c>
      <c r="L3478" s="25" t="s">
        <v>1128</v>
      </c>
    </row>
    <row r="3479" customFormat="false" ht="15" hidden="false" customHeight="false" outlineLevel="0" collapsed="false">
      <c r="A3479" s="25" t="n">
        <v>12146218</v>
      </c>
      <c r="B3479" s="25" t="s">
        <v>7381</v>
      </c>
      <c r="C3479" s="25" t="s">
        <v>7382</v>
      </c>
      <c r="D3479" s="26" t="n">
        <v>12550</v>
      </c>
      <c r="E3479" s="27" t="n">
        <v>4.90135627418294</v>
      </c>
      <c r="F3479" s="27" t="n">
        <v>4.90135610115732</v>
      </c>
      <c r="G3479" s="25" t="s">
        <v>1126</v>
      </c>
      <c r="H3479" s="25" t="s">
        <v>1127</v>
      </c>
      <c r="I3479" s="25" t="n">
        <f aca="false">IFERROR(IF(INDEX(Documents!$C$5:$C$657,MATCH(H3479,Documents!$A$5:$A$657,0))="","",INDEX(Documents!$C$5:$C$657,MATCH(H3479,Documents!$A$5:$A$657,0))),"")</f>
        <v>2012</v>
      </c>
      <c r="J3479" s="25" t="str">
        <f aca="false">IFERROR(IF(INDEX(Documents!$D$5:$D$657,MATCH(H3479,Documents!$A$5:$A$657,0))="","",INDEX(Documents!$D$5:$D$657,MATCH(H3479,Documents!$A$5:$A$657,0))),"")</f>
        <v>J Med Chem</v>
      </c>
      <c r="K3479" s="25" t="str">
        <f aca="false">IFERROR(IF(INDEX(Documents!$G$5:$G$657,MATCH(H3479,Documents!$A$5:$A$657,0))="","",INDEX(Documents!$G$5:$G$657,MATCH(H3479,Documents!$A$5:$A$657,0))),"")</f>
        <v>10.1021/jm301212u</v>
      </c>
      <c r="L3479" s="25" t="s">
        <v>1128</v>
      </c>
    </row>
    <row r="3480" customFormat="false" ht="15" hidden="false" customHeight="false" outlineLevel="0" collapsed="false">
      <c r="A3480" s="25" t="n">
        <v>2052314</v>
      </c>
      <c r="B3480" s="25" t="s">
        <v>7383</v>
      </c>
      <c r="C3480" s="25" t="s">
        <v>7384</v>
      </c>
      <c r="D3480" s="26" t="n">
        <v>7900</v>
      </c>
      <c r="E3480" s="27" t="n">
        <v>5.10237290870956</v>
      </c>
      <c r="F3480" s="27" t="n">
        <v>5.10237290870956</v>
      </c>
      <c r="G3480" s="25" t="s">
        <v>2025</v>
      </c>
      <c r="H3480" s="25" t="s">
        <v>2026</v>
      </c>
      <c r="I3480" s="25" t="n">
        <f aca="false">IFERROR(IF(INDEX(Documents!$C$5:$C$657,MATCH(H3480,Documents!$A$5:$A$657,0))="","",INDEX(Documents!$C$5:$C$657,MATCH(H3480,Documents!$A$5:$A$657,0))),"")</f>
        <v>2007</v>
      </c>
      <c r="J3480" s="25" t="str">
        <f aca="false">IFERROR(IF(INDEX(Documents!$D$5:$D$657,MATCH(H3480,Documents!$A$5:$A$657,0))="","",INDEX(Documents!$D$5:$D$657,MATCH(H3480,Documents!$A$5:$A$657,0))),"")</f>
        <v>Bioorg Med Chem Lett</v>
      </c>
      <c r="K3480" s="25" t="str">
        <f aca="false">IFERROR(IF(INDEX(Documents!$G$5:$G$657,MATCH(H3480,Documents!$A$5:$A$657,0))="","",INDEX(Documents!$G$5:$G$657,MATCH(H3480,Documents!$A$5:$A$657,0))),"")</f>
        <v>10.1016/j.bmcl.2007.09.089</v>
      </c>
      <c r="L3480" s="25" t="s">
        <v>601</v>
      </c>
    </row>
    <row r="3481" customFormat="false" ht="15" hidden="false" customHeight="false" outlineLevel="0" collapsed="false">
      <c r="A3481" s="25" t="n">
        <v>13922849</v>
      </c>
      <c r="B3481" s="25" t="s">
        <v>7385</v>
      </c>
      <c r="C3481" s="25" t="s">
        <v>7386</v>
      </c>
      <c r="D3481" s="26" t="n">
        <v>2000</v>
      </c>
      <c r="E3481" s="27" t="n">
        <v>5.69897000433602</v>
      </c>
      <c r="F3481" s="27" t="n">
        <v>5.69897000433602</v>
      </c>
      <c r="G3481" s="25" t="s">
        <v>243</v>
      </c>
      <c r="H3481" s="25" t="s">
        <v>244</v>
      </c>
      <c r="I3481" s="25" t="n">
        <f aca="false">IFERROR(IF(INDEX(Documents!$C$5:$C$657,MATCH(H3481,Documents!$A$5:$A$657,0))="","",INDEX(Documents!$C$5:$C$657,MATCH(H3481,Documents!$A$5:$A$657,0))),"")</f>
        <v>2014</v>
      </c>
      <c r="J3481" s="25" t="str">
        <f aca="false">IFERROR(IF(INDEX(Documents!$D$5:$D$657,MATCH(H3481,Documents!$A$5:$A$657,0))="","",INDEX(Documents!$D$5:$D$657,MATCH(H3481,Documents!$A$5:$A$657,0))),"")</f>
        <v>Eur J Med Chem</v>
      </c>
      <c r="K3481" s="25" t="str">
        <f aca="false">IFERROR(IF(INDEX(Documents!$G$5:$G$657,MATCH(H3481,Documents!$A$5:$A$657,0))="","",INDEX(Documents!$G$5:$G$657,MATCH(H3481,Documents!$A$5:$A$657,0))),"")</f>
        <v>10.1016/j.ejmech.2013.11.026</v>
      </c>
      <c r="L3481" s="25" t="s">
        <v>245</v>
      </c>
    </row>
    <row r="3482" customFormat="false" ht="15" hidden="false" customHeight="false" outlineLevel="0" collapsed="false">
      <c r="A3482" s="25" t="n">
        <v>13922850</v>
      </c>
      <c r="B3482" s="25" t="s">
        <v>7387</v>
      </c>
      <c r="C3482" s="25" t="s">
        <v>7388</v>
      </c>
      <c r="D3482" s="26" t="n">
        <v>5000</v>
      </c>
      <c r="E3482" s="27" t="n">
        <v>5.30102999566398</v>
      </c>
      <c r="F3482" s="27" t="n">
        <v>5.30102999566398</v>
      </c>
      <c r="G3482" s="25" t="s">
        <v>243</v>
      </c>
      <c r="H3482" s="25" t="s">
        <v>244</v>
      </c>
      <c r="I3482" s="25" t="n">
        <f aca="false">IFERROR(IF(INDEX(Documents!$C$5:$C$657,MATCH(H3482,Documents!$A$5:$A$657,0))="","",INDEX(Documents!$C$5:$C$657,MATCH(H3482,Documents!$A$5:$A$657,0))),"")</f>
        <v>2014</v>
      </c>
      <c r="J3482" s="25" t="str">
        <f aca="false">IFERROR(IF(INDEX(Documents!$D$5:$D$657,MATCH(H3482,Documents!$A$5:$A$657,0))="","",INDEX(Documents!$D$5:$D$657,MATCH(H3482,Documents!$A$5:$A$657,0))),"")</f>
        <v>Eur J Med Chem</v>
      </c>
      <c r="K3482" s="25" t="str">
        <f aca="false">IFERROR(IF(INDEX(Documents!$G$5:$G$657,MATCH(H3482,Documents!$A$5:$A$657,0))="","",INDEX(Documents!$G$5:$G$657,MATCH(H3482,Documents!$A$5:$A$657,0))),"")</f>
        <v>10.1016/j.ejmech.2013.11.026</v>
      </c>
      <c r="L3482" s="25" t="s">
        <v>245</v>
      </c>
    </row>
    <row r="3483" customFormat="false" ht="15" hidden="false" customHeight="false" outlineLevel="0" collapsed="false">
      <c r="A3483" s="25" t="n">
        <v>13922851</v>
      </c>
      <c r="B3483" s="25" t="s">
        <v>7389</v>
      </c>
      <c r="C3483" s="25" t="s">
        <v>7390</v>
      </c>
      <c r="D3483" s="26" t="n">
        <v>1600</v>
      </c>
      <c r="E3483" s="27" t="n">
        <v>5.79588001734408</v>
      </c>
      <c r="F3483" s="27" t="n">
        <v>5.79588001734408</v>
      </c>
      <c r="G3483" s="25" t="s">
        <v>243</v>
      </c>
      <c r="H3483" s="25" t="s">
        <v>244</v>
      </c>
      <c r="I3483" s="25" t="n">
        <f aca="false">IFERROR(IF(INDEX(Documents!$C$5:$C$657,MATCH(H3483,Documents!$A$5:$A$657,0))="","",INDEX(Documents!$C$5:$C$657,MATCH(H3483,Documents!$A$5:$A$657,0))),"")</f>
        <v>2014</v>
      </c>
      <c r="J3483" s="25" t="str">
        <f aca="false">IFERROR(IF(INDEX(Documents!$D$5:$D$657,MATCH(H3483,Documents!$A$5:$A$657,0))="","",INDEX(Documents!$D$5:$D$657,MATCH(H3483,Documents!$A$5:$A$657,0))),"")</f>
        <v>Eur J Med Chem</v>
      </c>
      <c r="K3483" s="25" t="str">
        <f aca="false">IFERROR(IF(INDEX(Documents!$G$5:$G$657,MATCH(H3483,Documents!$A$5:$A$657,0))="","",INDEX(Documents!$G$5:$G$657,MATCH(H3483,Documents!$A$5:$A$657,0))),"")</f>
        <v>10.1016/j.ejmech.2013.11.026</v>
      </c>
      <c r="L3483" s="25" t="s">
        <v>245</v>
      </c>
    </row>
    <row r="3484" customFormat="false" ht="15" hidden="false" customHeight="false" outlineLevel="0" collapsed="false">
      <c r="A3484" s="25" t="n">
        <v>12720253</v>
      </c>
      <c r="B3484" s="25" t="s">
        <v>7391</v>
      </c>
      <c r="C3484" s="25" t="s">
        <v>7392</v>
      </c>
      <c r="D3484" s="26" t="n">
        <v>107</v>
      </c>
      <c r="E3484" s="27" t="n">
        <v>6.97061622231479</v>
      </c>
      <c r="F3484" s="27" t="n">
        <v>6.97061622231479</v>
      </c>
      <c r="G3484" s="25" t="s">
        <v>5620</v>
      </c>
      <c r="H3484" s="25" t="s">
        <v>5621</v>
      </c>
      <c r="I3484" s="25" t="n">
        <f aca="false">IFERROR(IF(INDEX(Documents!$C$5:$C$657,MATCH(H3484,Documents!$A$5:$A$657,0))="","",INDEX(Documents!$C$5:$C$657,MATCH(H3484,Documents!$A$5:$A$657,0))),"")</f>
        <v>2013</v>
      </c>
      <c r="J3484" s="25" t="str">
        <f aca="false">IFERROR(IF(INDEX(Documents!$D$5:$D$657,MATCH(H3484,Documents!$A$5:$A$657,0))="","",INDEX(Documents!$D$5:$D$657,MATCH(H3484,Documents!$A$5:$A$657,0))),"")</f>
        <v>Bioorg Med Chem Lett</v>
      </c>
      <c r="K3484" s="25" t="str">
        <f aca="false">IFERROR(IF(INDEX(Documents!$G$5:$G$657,MATCH(H3484,Documents!$A$5:$A$657,0))="","",INDEX(Documents!$G$5:$G$657,MATCH(H3484,Documents!$A$5:$A$657,0))),"")</f>
        <v>10.1016/j.bmcl.2013.02.025</v>
      </c>
      <c r="L3484" s="25" t="s">
        <v>5622</v>
      </c>
    </row>
    <row r="3485" customFormat="false" ht="15" hidden="false" customHeight="false" outlineLevel="0" collapsed="false">
      <c r="A3485" s="25" t="n">
        <v>12720254</v>
      </c>
      <c r="B3485" s="25" t="s">
        <v>7393</v>
      </c>
      <c r="C3485" s="25" t="s">
        <v>7394</v>
      </c>
      <c r="D3485" s="26" t="n">
        <v>68.6</v>
      </c>
      <c r="E3485" s="27" t="n">
        <v>7.16367588429325</v>
      </c>
      <c r="F3485" s="27" t="n">
        <v>7.16367588429325</v>
      </c>
      <c r="G3485" s="25" t="s">
        <v>5620</v>
      </c>
      <c r="H3485" s="25" t="s">
        <v>5621</v>
      </c>
      <c r="I3485" s="25" t="n">
        <f aca="false">IFERROR(IF(INDEX(Documents!$C$5:$C$657,MATCH(H3485,Documents!$A$5:$A$657,0))="","",INDEX(Documents!$C$5:$C$657,MATCH(H3485,Documents!$A$5:$A$657,0))),"")</f>
        <v>2013</v>
      </c>
      <c r="J3485" s="25" t="str">
        <f aca="false">IFERROR(IF(INDEX(Documents!$D$5:$D$657,MATCH(H3485,Documents!$A$5:$A$657,0))="","",INDEX(Documents!$D$5:$D$657,MATCH(H3485,Documents!$A$5:$A$657,0))),"")</f>
        <v>Bioorg Med Chem Lett</v>
      </c>
      <c r="K3485" s="25" t="str">
        <f aca="false">IFERROR(IF(INDEX(Documents!$G$5:$G$657,MATCH(H3485,Documents!$A$5:$A$657,0))="","",INDEX(Documents!$G$5:$G$657,MATCH(H3485,Documents!$A$5:$A$657,0))),"")</f>
        <v>10.1016/j.bmcl.2013.02.025</v>
      </c>
      <c r="L3485" s="25" t="s">
        <v>5622</v>
      </c>
    </row>
    <row r="3486" customFormat="false" ht="15" hidden="false" customHeight="false" outlineLevel="0" collapsed="false">
      <c r="A3486" s="25" t="n">
        <v>15654686</v>
      </c>
      <c r="B3486" s="25" t="s">
        <v>7395</v>
      </c>
      <c r="C3486" s="25" t="s">
        <v>7396</v>
      </c>
      <c r="D3486" s="26" t="n">
        <v>810</v>
      </c>
      <c r="E3486" s="27" t="n">
        <v>6.09151498112135</v>
      </c>
      <c r="F3486" s="27" t="n">
        <v>6.09151498112135</v>
      </c>
      <c r="G3486" s="25" t="s">
        <v>4938</v>
      </c>
      <c r="H3486" s="25" t="s">
        <v>4939</v>
      </c>
      <c r="I3486" s="25" t="n">
        <f aca="false">IFERROR(IF(INDEX(Documents!$C$5:$C$657,MATCH(H3486,Documents!$A$5:$A$657,0))="","",INDEX(Documents!$C$5:$C$657,MATCH(H3486,Documents!$A$5:$A$657,0))),"")</f>
        <v>2014</v>
      </c>
      <c r="J3486" s="25" t="str">
        <f aca="false">IFERROR(IF(INDEX(Documents!$D$5:$D$657,MATCH(H3486,Documents!$A$5:$A$657,0))="","",INDEX(Documents!$D$5:$D$657,MATCH(H3486,Documents!$A$5:$A$657,0))),"")</f>
        <v>Medchemcomm</v>
      </c>
      <c r="K3486" s="25" t="str">
        <f aca="false">IFERROR(IF(INDEX(Documents!$G$5:$G$657,MATCH(H3486,Documents!$A$5:$A$657,0))="","",INDEX(Documents!$G$5:$G$657,MATCH(H3486,Documents!$A$5:$A$657,0))),"")</f>
        <v>10.1039/C4MD00232F</v>
      </c>
      <c r="L3486" s="25" t="s">
        <v>4940</v>
      </c>
    </row>
    <row r="3487" customFormat="false" ht="15" hidden="false" customHeight="false" outlineLevel="0" collapsed="false">
      <c r="A3487" s="25" t="n">
        <v>15654685</v>
      </c>
      <c r="B3487" s="25" t="s">
        <v>7397</v>
      </c>
      <c r="C3487" s="25" t="s">
        <v>7398</v>
      </c>
      <c r="D3487" s="26" t="n">
        <v>1270</v>
      </c>
      <c r="E3487" s="27" t="n">
        <v>5.89619627904404</v>
      </c>
      <c r="F3487" s="27" t="n">
        <v>5.89619627904404</v>
      </c>
      <c r="G3487" s="25" t="s">
        <v>4938</v>
      </c>
      <c r="H3487" s="25" t="s">
        <v>4939</v>
      </c>
      <c r="I3487" s="25" t="n">
        <f aca="false">IFERROR(IF(INDEX(Documents!$C$5:$C$657,MATCH(H3487,Documents!$A$5:$A$657,0))="","",INDEX(Documents!$C$5:$C$657,MATCH(H3487,Documents!$A$5:$A$657,0))),"")</f>
        <v>2014</v>
      </c>
      <c r="J3487" s="25" t="str">
        <f aca="false">IFERROR(IF(INDEX(Documents!$D$5:$D$657,MATCH(H3487,Documents!$A$5:$A$657,0))="","",INDEX(Documents!$D$5:$D$657,MATCH(H3487,Documents!$A$5:$A$657,0))),"")</f>
        <v>Medchemcomm</v>
      </c>
      <c r="K3487" s="25" t="str">
        <f aca="false">IFERROR(IF(INDEX(Documents!$G$5:$G$657,MATCH(H3487,Documents!$A$5:$A$657,0))="","",INDEX(Documents!$G$5:$G$657,MATCH(H3487,Documents!$A$5:$A$657,0))),"")</f>
        <v>10.1039/C4MD00232F</v>
      </c>
      <c r="L3487" s="25" t="s">
        <v>4940</v>
      </c>
    </row>
    <row r="3488" customFormat="false" ht="15" hidden="false" customHeight="false" outlineLevel="0" collapsed="false">
      <c r="A3488" s="25" t="n">
        <v>3604738</v>
      </c>
      <c r="B3488" s="25" t="s">
        <v>7399</v>
      </c>
      <c r="C3488" s="25" t="s">
        <v>7400</v>
      </c>
      <c r="D3488" s="26" t="n">
        <v>1030</v>
      </c>
      <c r="E3488" s="27" t="n">
        <v>5.98716277529483</v>
      </c>
      <c r="F3488" s="27" t="n">
        <v>5.98716277529483</v>
      </c>
      <c r="G3488" s="25" t="s">
        <v>5006</v>
      </c>
      <c r="H3488" s="25" t="s">
        <v>5007</v>
      </c>
      <c r="I3488" s="25" t="n">
        <f aca="false">IFERROR(IF(INDEX(Documents!$C$5:$C$657,MATCH(H3488,Documents!$A$5:$A$657,0))="","",INDEX(Documents!$C$5:$C$657,MATCH(H3488,Documents!$A$5:$A$657,0))),"")</f>
        <v>2010</v>
      </c>
      <c r="J3488" s="25" t="str">
        <f aca="false">IFERROR(IF(INDEX(Documents!$D$5:$D$657,MATCH(H3488,Documents!$A$5:$A$657,0))="","",INDEX(Documents!$D$5:$D$657,MATCH(H3488,Documents!$A$5:$A$657,0))),"")</f>
        <v>Bioorg Med Chem</v>
      </c>
      <c r="K3488" s="25" t="str">
        <f aca="false">IFERROR(IF(INDEX(Documents!$G$5:$G$657,MATCH(H3488,Documents!$A$5:$A$657,0))="","",INDEX(Documents!$G$5:$G$657,MATCH(H3488,Documents!$A$5:$A$657,0))),"")</f>
        <v>10.1016/j.bmc.2010.10.050</v>
      </c>
      <c r="L3488" s="25" t="s">
        <v>5008</v>
      </c>
    </row>
    <row r="3489" customFormat="false" ht="15" hidden="false" customHeight="false" outlineLevel="0" collapsed="false">
      <c r="A3489" s="25" t="n">
        <v>3604746</v>
      </c>
      <c r="B3489" s="25" t="s">
        <v>7401</v>
      </c>
      <c r="C3489" s="25" t="s">
        <v>7402</v>
      </c>
      <c r="D3489" s="26" t="n">
        <v>2040</v>
      </c>
      <c r="E3489" s="27" t="n">
        <v>5.6903698325741</v>
      </c>
      <c r="F3489" s="27" t="n">
        <v>5.6903698325741</v>
      </c>
      <c r="G3489" s="25" t="s">
        <v>5006</v>
      </c>
      <c r="H3489" s="25" t="s">
        <v>5007</v>
      </c>
      <c r="I3489" s="25" t="n">
        <f aca="false">IFERROR(IF(INDEX(Documents!$C$5:$C$657,MATCH(H3489,Documents!$A$5:$A$657,0))="","",INDEX(Documents!$C$5:$C$657,MATCH(H3489,Documents!$A$5:$A$657,0))),"")</f>
        <v>2010</v>
      </c>
      <c r="J3489" s="25" t="str">
        <f aca="false">IFERROR(IF(INDEX(Documents!$D$5:$D$657,MATCH(H3489,Documents!$A$5:$A$657,0))="","",INDEX(Documents!$D$5:$D$657,MATCH(H3489,Documents!$A$5:$A$657,0))),"")</f>
        <v>Bioorg Med Chem</v>
      </c>
      <c r="K3489" s="25" t="str">
        <f aca="false">IFERROR(IF(INDEX(Documents!$G$5:$G$657,MATCH(H3489,Documents!$A$5:$A$657,0))="","",INDEX(Documents!$G$5:$G$657,MATCH(H3489,Documents!$A$5:$A$657,0))),"")</f>
        <v>10.1016/j.bmc.2010.10.050</v>
      </c>
      <c r="L3489" s="25" t="s">
        <v>5008</v>
      </c>
    </row>
    <row r="3490" customFormat="false" ht="15" hidden="false" customHeight="false" outlineLevel="0" collapsed="false">
      <c r="A3490" s="25" t="n">
        <v>3604745</v>
      </c>
      <c r="B3490" s="25" t="s">
        <v>7403</v>
      </c>
      <c r="C3490" s="25" t="s">
        <v>7404</v>
      </c>
      <c r="D3490" s="26" t="n">
        <v>1030</v>
      </c>
      <c r="E3490" s="27" t="n">
        <v>5.98716277529483</v>
      </c>
      <c r="F3490" s="27" t="n">
        <v>5.98716277529483</v>
      </c>
      <c r="G3490" s="25" t="s">
        <v>5006</v>
      </c>
      <c r="H3490" s="25" t="s">
        <v>5007</v>
      </c>
      <c r="I3490" s="25" t="n">
        <f aca="false">IFERROR(IF(INDEX(Documents!$C$5:$C$657,MATCH(H3490,Documents!$A$5:$A$657,0))="","",INDEX(Documents!$C$5:$C$657,MATCH(H3490,Documents!$A$5:$A$657,0))),"")</f>
        <v>2010</v>
      </c>
      <c r="J3490" s="25" t="str">
        <f aca="false">IFERROR(IF(INDEX(Documents!$D$5:$D$657,MATCH(H3490,Documents!$A$5:$A$657,0))="","",INDEX(Documents!$D$5:$D$657,MATCH(H3490,Documents!$A$5:$A$657,0))),"")</f>
        <v>Bioorg Med Chem</v>
      </c>
      <c r="K3490" s="25" t="str">
        <f aca="false">IFERROR(IF(INDEX(Documents!$G$5:$G$657,MATCH(H3490,Documents!$A$5:$A$657,0))="","",INDEX(Documents!$G$5:$G$657,MATCH(H3490,Documents!$A$5:$A$657,0))),"")</f>
        <v>10.1016/j.bmc.2010.10.050</v>
      </c>
      <c r="L3490" s="25" t="s">
        <v>5008</v>
      </c>
    </row>
    <row r="3491" customFormat="false" ht="15" hidden="false" customHeight="false" outlineLevel="0" collapsed="false">
      <c r="A3491" s="25" t="n">
        <v>12666608</v>
      </c>
      <c r="B3491" s="25" t="s">
        <v>7405</v>
      </c>
      <c r="C3491" s="25" t="s">
        <v>7406</v>
      </c>
      <c r="D3491" s="26" t="n">
        <v>320</v>
      </c>
      <c r="E3491" s="27" t="n">
        <v>6.49485002168009</v>
      </c>
      <c r="F3491" s="27" t="n">
        <v>6.49485002168009</v>
      </c>
      <c r="G3491" s="25" t="s">
        <v>1351</v>
      </c>
      <c r="H3491" s="25" t="s">
        <v>1352</v>
      </c>
      <c r="I3491" s="25" t="n">
        <f aca="false">IFERROR(IF(INDEX(Documents!$C$5:$C$657,MATCH(H3491,Documents!$A$5:$A$657,0))="","",INDEX(Documents!$C$5:$C$657,MATCH(H3491,Documents!$A$5:$A$657,0))),"")</f>
        <v>2013</v>
      </c>
      <c r="J3491" s="25" t="str">
        <f aca="false">IFERROR(IF(INDEX(Documents!$D$5:$D$657,MATCH(H3491,Documents!$A$5:$A$657,0))="","",INDEX(Documents!$D$5:$D$657,MATCH(H3491,Documents!$A$5:$A$657,0))),"")</f>
        <v>Bioorg Med Chem Lett</v>
      </c>
      <c r="K3491" s="25" t="str">
        <f aca="false">IFERROR(IF(INDEX(Documents!$G$5:$G$657,MATCH(H3491,Documents!$A$5:$A$657,0))="","",INDEX(Documents!$G$5:$G$657,MATCH(H3491,Documents!$A$5:$A$657,0))),"")</f>
        <v>10.1016/j.bmcl.2013.01.044</v>
      </c>
      <c r="L3491" s="25" t="s">
        <v>515</v>
      </c>
    </row>
    <row r="3492" customFormat="false" ht="15" hidden="false" customHeight="false" outlineLevel="0" collapsed="false">
      <c r="A3492" s="25" t="n">
        <v>3198526</v>
      </c>
      <c r="B3492" s="25" t="s">
        <v>7407</v>
      </c>
      <c r="C3492" s="25" t="s">
        <v>7408</v>
      </c>
      <c r="D3492" s="26" t="n">
        <v>2116</v>
      </c>
      <c r="E3492" s="27" t="n">
        <v>5.67448433663685</v>
      </c>
      <c r="F3492" s="27" t="n">
        <v>5.67448433663685</v>
      </c>
      <c r="G3492" s="25" t="s">
        <v>4040</v>
      </c>
      <c r="H3492" s="25" t="s">
        <v>4041</v>
      </c>
      <c r="I3492" s="25" t="n">
        <f aca="false">IFERROR(IF(INDEX(Documents!$C$5:$C$657,MATCH(H3492,Documents!$A$5:$A$657,0))="","",INDEX(Documents!$C$5:$C$657,MATCH(H3492,Documents!$A$5:$A$657,0))),"")</f>
        <v>2010</v>
      </c>
      <c r="J3492" s="25" t="str">
        <f aca="false">IFERROR(IF(INDEX(Documents!$D$5:$D$657,MATCH(H3492,Documents!$A$5:$A$657,0))="","",INDEX(Documents!$D$5:$D$657,MATCH(H3492,Documents!$A$5:$A$657,0))),"")</f>
        <v>Eur J Med Chem</v>
      </c>
      <c r="K3492" s="25" t="str">
        <f aca="false">IFERROR(IF(INDEX(Documents!$G$5:$G$657,MATCH(H3492,Documents!$A$5:$A$657,0))="","",INDEX(Documents!$G$5:$G$657,MATCH(H3492,Documents!$A$5:$A$657,0))),"")</f>
        <v>10.1016/j.ejmech.2009.12.018</v>
      </c>
      <c r="L3492" s="25" t="s">
        <v>4042</v>
      </c>
    </row>
    <row r="3493" customFormat="false" ht="15" hidden="false" customHeight="false" outlineLevel="0" collapsed="false">
      <c r="A3493" s="25" t="n">
        <v>3198527</v>
      </c>
      <c r="B3493" s="25" t="s">
        <v>7409</v>
      </c>
      <c r="C3493" s="25" t="s">
        <v>7410</v>
      </c>
      <c r="D3493" s="26" t="n">
        <v>4885</v>
      </c>
      <c r="E3493" s="27" t="n">
        <v>5.31113543194521</v>
      </c>
      <c r="F3493" s="27" t="n">
        <v>5.31113543194521</v>
      </c>
      <c r="G3493" s="25" t="s">
        <v>4040</v>
      </c>
      <c r="H3493" s="25" t="s">
        <v>4041</v>
      </c>
      <c r="I3493" s="25" t="n">
        <f aca="false">IFERROR(IF(INDEX(Documents!$C$5:$C$657,MATCH(H3493,Documents!$A$5:$A$657,0))="","",INDEX(Documents!$C$5:$C$657,MATCH(H3493,Documents!$A$5:$A$657,0))),"")</f>
        <v>2010</v>
      </c>
      <c r="J3493" s="25" t="str">
        <f aca="false">IFERROR(IF(INDEX(Documents!$D$5:$D$657,MATCH(H3493,Documents!$A$5:$A$657,0))="","",INDEX(Documents!$D$5:$D$657,MATCH(H3493,Documents!$A$5:$A$657,0))),"")</f>
        <v>Eur J Med Chem</v>
      </c>
      <c r="K3493" s="25" t="str">
        <f aca="false">IFERROR(IF(INDEX(Documents!$G$5:$G$657,MATCH(H3493,Documents!$A$5:$A$657,0))="","",INDEX(Documents!$G$5:$G$657,MATCH(H3493,Documents!$A$5:$A$657,0))),"")</f>
        <v>10.1016/j.ejmech.2009.12.018</v>
      </c>
      <c r="L3493" s="25" t="s">
        <v>4042</v>
      </c>
    </row>
    <row r="3494" customFormat="false" ht="15" hidden="false" customHeight="false" outlineLevel="0" collapsed="false">
      <c r="A3494" s="25" t="n">
        <v>3198528</v>
      </c>
      <c r="B3494" s="25" t="s">
        <v>7411</v>
      </c>
      <c r="C3494" s="25" t="s">
        <v>7412</v>
      </c>
      <c r="D3494" s="26" t="n">
        <v>2928</v>
      </c>
      <c r="E3494" s="27" t="n">
        <v>5.53342892761365</v>
      </c>
      <c r="F3494" s="27" t="n">
        <v>5.53342892761365</v>
      </c>
      <c r="G3494" s="25" t="s">
        <v>4040</v>
      </c>
      <c r="H3494" s="25" t="s">
        <v>4041</v>
      </c>
      <c r="I3494" s="25" t="n">
        <f aca="false">IFERROR(IF(INDEX(Documents!$C$5:$C$657,MATCH(H3494,Documents!$A$5:$A$657,0))="","",INDEX(Documents!$C$5:$C$657,MATCH(H3494,Documents!$A$5:$A$657,0))),"")</f>
        <v>2010</v>
      </c>
      <c r="J3494" s="25" t="str">
        <f aca="false">IFERROR(IF(INDEX(Documents!$D$5:$D$657,MATCH(H3494,Documents!$A$5:$A$657,0))="","",INDEX(Documents!$D$5:$D$657,MATCH(H3494,Documents!$A$5:$A$657,0))),"")</f>
        <v>Eur J Med Chem</v>
      </c>
      <c r="K3494" s="25" t="str">
        <f aca="false">IFERROR(IF(INDEX(Documents!$G$5:$G$657,MATCH(H3494,Documents!$A$5:$A$657,0))="","",INDEX(Documents!$G$5:$G$657,MATCH(H3494,Documents!$A$5:$A$657,0))),"")</f>
        <v>10.1016/j.ejmech.2009.12.018</v>
      </c>
      <c r="L3494" s="25" t="s">
        <v>4042</v>
      </c>
    </row>
    <row r="3495" customFormat="false" ht="15" hidden="false" customHeight="false" outlineLevel="0" collapsed="false">
      <c r="A3495" s="25" t="n">
        <v>3198515</v>
      </c>
      <c r="B3495" s="25" t="s">
        <v>7413</v>
      </c>
      <c r="C3495" s="25" t="s">
        <v>7414</v>
      </c>
      <c r="D3495" s="26" t="n">
        <v>3050</v>
      </c>
      <c r="E3495" s="27" t="n">
        <v>5.51570016065321</v>
      </c>
      <c r="F3495" s="27" t="n">
        <v>5.51570016065321</v>
      </c>
      <c r="G3495" s="25" t="s">
        <v>4040</v>
      </c>
      <c r="H3495" s="25" t="s">
        <v>4041</v>
      </c>
      <c r="I3495" s="25" t="n">
        <f aca="false">IFERROR(IF(INDEX(Documents!$C$5:$C$657,MATCH(H3495,Documents!$A$5:$A$657,0))="","",INDEX(Documents!$C$5:$C$657,MATCH(H3495,Documents!$A$5:$A$657,0))),"")</f>
        <v>2010</v>
      </c>
      <c r="J3495" s="25" t="str">
        <f aca="false">IFERROR(IF(INDEX(Documents!$D$5:$D$657,MATCH(H3495,Documents!$A$5:$A$657,0))="","",INDEX(Documents!$D$5:$D$657,MATCH(H3495,Documents!$A$5:$A$657,0))),"")</f>
        <v>Eur J Med Chem</v>
      </c>
      <c r="K3495" s="25" t="str">
        <f aca="false">IFERROR(IF(INDEX(Documents!$G$5:$G$657,MATCH(H3495,Documents!$A$5:$A$657,0))="","",INDEX(Documents!$G$5:$G$657,MATCH(H3495,Documents!$A$5:$A$657,0))),"")</f>
        <v>10.1016/j.ejmech.2009.12.018</v>
      </c>
      <c r="L3495" s="25" t="s">
        <v>4042</v>
      </c>
    </row>
    <row r="3496" customFormat="false" ht="15" hidden="false" customHeight="false" outlineLevel="0" collapsed="false">
      <c r="A3496" s="25" t="n">
        <v>18673913</v>
      </c>
      <c r="B3496" s="25" t="s">
        <v>7415</v>
      </c>
      <c r="C3496" s="25" t="s">
        <v>7416</v>
      </c>
      <c r="D3496" s="26" t="n">
        <v>530</v>
      </c>
      <c r="E3496" s="27" t="n">
        <v>6.27572413039921</v>
      </c>
      <c r="F3496" s="27" t="n">
        <v>6.27572413039921</v>
      </c>
      <c r="G3496" s="25" t="s">
        <v>664</v>
      </c>
      <c r="H3496" s="25" t="s">
        <v>665</v>
      </c>
      <c r="I3496" s="25" t="n">
        <f aca="false">IFERROR(IF(INDEX(Documents!$C$5:$C$657,MATCH(H3496,Documents!$A$5:$A$657,0))="","",INDEX(Documents!$C$5:$C$657,MATCH(H3496,Documents!$A$5:$A$657,0))),"")</f>
        <v>2018</v>
      </c>
      <c r="J3496" s="25" t="str">
        <f aca="false">IFERROR(IF(INDEX(Documents!$D$5:$D$657,MATCH(H3496,Documents!$A$5:$A$657,0))="","",INDEX(Documents!$D$5:$D$657,MATCH(H3496,Documents!$A$5:$A$657,0))),"")</f>
        <v>Bioorg Med Chem</v>
      </c>
      <c r="K3496" s="25" t="str">
        <f aca="false">IFERROR(IF(INDEX(Documents!$G$5:$G$657,MATCH(H3496,Documents!$A$5:$A$657,0))="","",INDEX(Documents!$G$5:$G$657,MATCH(H3496,Documents!$A$5:$A$657,0))),"")</f>
        <v>10.1016/j.bmc.2018.07.043</v>
      </c>
      <c r="L3496" s="25" t="s">
        <v>666</v>
      </c>
    </row>
    <row r="3497" customFormat="false" ht="15" hidden="false" customHeight="false" outlineLevel="0" collapsed="false">
      <c r="A3497" s="25" t="n">
        <v>18673914</v>
      </c>
      <c r="B3497" s="25" t="s">
        <v>7417</v>
      </c>
      <c r="C3497" s="25" t="s">
        <v>7418</v>
      </c>
      <c r="D3497" s="26" t="n">
        <v>610</v>
      </c>
      <c r="E3497" s="27" t="n">
        <v>6.21467016498923</v>
      </c>
      <c r="F3497" s="27" t="n">
        <v>6.21467016498923</v>
      </c>
      <c r="G3497" s="25" t="s">
        <v>664</v>
      </c>
      <c r="H3497" s="25" t="s">
        <v>665</v>
      </c>
      <c r="I3497" s="25" t="n">
        <f aca="false">IFERROR(IF(INDEX(Documents!$C$5:$C$657,MATCH(H3497,Documents!$A$5:$A$657,0))="","",INDEX(Documents!$C$5:$C$657,MATCH(H3497,Documents!$A$5:$A$657,0))),"")</f>
        <v>2018</v>
      </c>
      <c r="J3497" s="25" t="str">
        <f aca="false">IFERROR(IF(INDEX(Documents!$D$5:$D$657,MATCH(H3497,Documents!$A$5:$A$657,0))="","",INDEX(Documents!$D$5:$D$657,MATCH(H3497,Documents!$A$5:$A$657,0))),"")</f>
        <v>Bioorg Med Chem</v>
      </c>
      <c r="K3497" s="25" t="str">
        <f aca="false">IFERROR(IF(INDEX(Documents!$G$5:$G$657,MATCH(H3497,Documents!$A$5:$A$657,0))="","",INDEX(Documents!$G$5:$G$657,MATCH(H3497,Documents!$A$5:$A$657,0))),"")</f>
        <v>10.1016/j.bmc.2018.07.043</v>
      </c>
      <c r="L3497" s="25" t="s">
        <v>666</v>
      </c>
    </row>
    <row r="3498" customFormat="false" ht="15" hidden="false" customHeight="false" outlineLevel="0" collapsed="false">
      <c r="A3498" s="25" t="n">
        <v>13474012</v>
      </c>
      <c r="B3498" s="25" t="s">
        <v>7419</v>
      </c>
      <c r="C3498" s="25" t="s">
        <v>7420</v>
      </c>
      <c r="D3498" s="26" t="n">
        <v>569</v>
      </c>
      <c r="E3498" s="27" t="n">
        <v>6.24488773360493</v>
      </c>
      <c r="F3498" s="27" t="n">
        <v>6.24488773360493</v>
      </c>
      <c r="G3498" s="25" t="s">
        <v>1033</v>
      </c>
      <c r="H3498" s="25" t="s">
        <v>1034</v>
      </c>
      <c r="I3498" s="25" t="n">
        <f aca="false">IFERROR(IF(INDEX(Documents!$C$5:$C$657,MATCH(H3498,Documents!$A$5:$A$657,0))="","",INDEX(Documents!$C$5:$C$657,MATCH(H3498,Documents!$A$5:$A$657,0))),"")</f>
        <v>2013</v>
      </c>
      <c r="J3498" s="25" t="str">
        <f aca="false">IFERROR(IF(INDEX(Documents!$D$5:$D$657,MATCH(H3498,Documents!$A$5:$A$657,0))="","",INDEX(Documents!$D$5:$D$657,MATCH(H3498,Documents!$A$5:$A$657,0))),"")</f>
        <v>J Med Chem</v>
      </c>
      <c r="K3498" s="25" t="str">
        <f aca="false">IFERROR(IF(INDEX(Documents!$G$5:$G$657,MATCH(H3498,Documents!$A$5:$A$657,0))="","",INDEX(Documents!$G$5:$G$657,MATCH(H3498,Documents!$A$5:$A$657,0))),"")</f>
        <v>10.1021/jm401129n</v>
      </c>
      <c r="L3498" s="25" t="s">
        <v>1035</v>
      </c>
    </row>
    <row r="3499" customFormat="false" ht="15" hidden="false" customHeight="false" outlineLevel="0" collapsed="false">
      <c r="A3499" s="25" t="n">
        <v>13474016</v>
      </c>
      <c r="B3499" s="25" t="s">
        <v>7421</v>
      </c>
      <c r="C3499" s="25" t="s">
        <v>7422</v>
      </c>
      <c r="D3499" s="26" t="n">
        <v>2360</v>
      </c>
      <c r="E3499" s="27" t="n">
        <v>5.62708799702989</v>
      </c>
      <c r="F3499" s="27" t="n">
        <v>5.62708799702989</v>
      </c>
      <c r="G3499" s="25" t="s">
        <v>1033</v>
      </c>
      <c r="H3499" s="25" t="s">
        <v>1034</v>
      </c>
      <c r="I3499" s="25" t="n">
        <f aca="false">IFERROR(IF(INDEX(Documents!$C$5:$C$657,MATCH(H3499,Documents!$A$5:$A$657,0))="","",INDEX(Documents!$C$5:$C$657,MATCH(H3499,Documents!$A$5:$A$657,0))),"")</f>
        <v>2013</v>
      </c>
      <c r="J3499" s="25" t="str">
        <f aca="false">IFERROR(IF(INDEX(Documents!$D$5:$D$657,MATCH(H3499,Documents!$A$5:$A$657,0))="","",INDEX(Documents!$D$5:$D$657,MATCH(H3499,Documents!$A$5:$A$657,0))),"")</f>
        <v>J Med Chem</v>
      </c>
      <c r="K3499" s="25" t="str">
        <f aca="false">IFERROR(IF(INDEX(Documents!$G$5:$G$657,MATCH(H3499,Documents!$A$5:$A$657,0))="","",INDEX(Documents!$G$5:$G$657,MATCH(H3499,Documents!$A$5:$A$657,0))),"")</f>
        <v>10.1021/jm401129n</v>
      </c>
      <c r="L3499" s="25" t="s">
        <v>1035</v>
      </c>
    </row>
    <row r="3500" customFormat="false" ht="15" hidden="false" customHeight="false" outlineLevel="0" collapsed="false">
      <c r="A3500" s="25" t="n">
        <v>16741333</v>
      </c>
      <c r="B3500" s="25" t="s">
        <v>7423</v>
      </c>
      <c r="C3500" s="25" t="s">
        <v>7424</v>
      </c>
      <c r="D3500" s="26" t="n">
        <v>325</v>
      </c>
      <c r="E3500" s="27" t="n">
        <v>6.48811663902113</v>
      </c>
      <c r="F3500" s="27" t="n">
        <v>6.48811663902113</v>
      </c>
      <c r="G3500" s="25" t="s">
        <v>1324</v>
      </c>
      <c r="H3500" s="25" t="s">
        <v>1325</v>
      </c>
      <c r="I3500" s="25" t="n">
        <f aca="false">IFERROR(IF(INDEX(Documents!$C$5:$C$657,MATCH(H3500,Documents!$A$5:$A$657,0))="","",INDEX(Documents!$C$5:$C$657,MATCH(H3500,Documents!$A$5:$A$657,0))),"")</f>
        <v>2016</v>
      </c>
      <c r="J3500" s="25" t="str">
        <f aca="false">IFERROR(IF(INDEX(Documents!$D$5:$D$657,MATCH(H3500,Documents!$A$5:$A$657,0))="","",INDEX(Documents!$D$5:$D$657,MATCH(H3500,Documents!$A$5:$A$657,0))),"")</f>
        <v>Eur J Med Chem</v>
      </c>
      <c r="K3500" s="25" t="str">
        <f aca="false">IFERROR(IF(INDEX(Documents!$G$5:$G$657,MATCH(H3500,Documents!$A$5:$A$657,0))="","",INDEX(Documents!$G$5:$G$657,MATCH(H3500,Documents!$A$5:$A$657,0))),"")</f>
        <v>10.1016/j.ejmech.2016.05.011</v>
      </c>
      <c r="L3500" s="25" t="s">
        <v>1326</v>
      </c>
    </row>
    <row r="3501" customFormat="false" ht="15" hidden="false" customHeight="false" outlineLevel="0" collapsed="false">
      <c r="A3501" s="25" t="n">
        <v>18673916</v>
      </c>
      <c r="B3501" s="25" t="s">
        <v>7425</v>
      </c>
      <c r="C3501" s="25" t="s">
        <v>7426</v>
      </c>
      <c r="D3501" s="26" t="n">
        <v>3000</v>
      </c>
      <c r="E3501" s="27" t="n">
        <v>5.52287874528034</v>
      </c>
      <c r="F3501" s="27" t="n">
        <v>5.52287874528034</v>
      </c>
      <c r="G3501" s="25" t="s">
        <v>664</v>
      </c>
      <c r="H3501" s="25" t="s">
        <v>665</v>
      </c>
      <c r="I3501" s="25" t="n">
        <f aca="false">IFERROR(IF(INDEX(Documents!$C$5:$C$657,MATCH(H3501,Documents!$A$5:$A$657,0))="","",INDEX(Documents!$C$5:$C$657,MATCH(H3501,Documents!$A$5:$A$657,0))),"")</f>
        <v>2018</v>
      </c>
      <c r="J3501" s="25" t="str">
        <f aca="false">IFERROR(IF(INDEX(Documents!$D$5:$D$657,MATCH(H3501,Documents!$A$5:$A$657,0))="","",INDEX(Documents!$D$5:$D$657,MATCH(H3501,Documents!$A$5:$A$657,0))),"")</f>
        <v>Bioorg Med Chem</v>
      </c>
      <c r="K3501" s="25" t="str">
        <f aca="false">IFERROR(IF(INDEX(Documents!$G$5:$G$657,MATCH(H3501,Documents!$A$5:$A$657,0))="","",INDEX(Documents!$G$5:$G$657,MATCH(H3501,Documents!$A$5:$A$657,0))),"")</f>
        <v>10.1016/j.bmc.2018.07.043</v>
      </c>
      <c r="L3501" s="25" t="s">
        <v>666</v>
      </c>
    </row>
    <row r="3502" customFormat="false" ht="15" hidden="false" customHeight="false" outlineLevel="0" collapsed="false">
      <c r="A3502" s="25" t="n">
        <v>3604750</v>
      </c>
      <c r="B3502" s="25" t="s">
        <v>7427</v>
      </c>
      <c r="C3502" s="25" t="s">
        <v>7428</v>
      </c>
      <c r="D3502" s="26" t="n">
        <v>2250</v>
      </c>
      <c r="E3502" s="27" t="n">
        <v>5.64781748188864</v>
      </c>
      <c r="F3502" s="27" t="n">
        <v>5.64781748188864</v>
      </c>
      <c r="G3502" s="25" t="s">
        <v>5006</v>
      </c>
      <c r="H3502" s="25" t="s">
        <v>5007</v>
      </c>
      <c r="I3502" s="25" t="n">
        <f aca="false">IFERROR(IF(INDEX(Documents!$C$5:$C$657,MATCH(H3502,Documents!$A$5:$A$657,0))="","",INDEX(Documents!$C$5:$C$657,MATCH(H3502,Documents!$A$5:$A$657,0))),"")</f>
        <v>2010</v>
      </c>
      <c r="J3502" s="25" t="str">
        <f aca="false">IFERROR(IF(INDEX(Documents!$D$5:$D$657,MATCH(H3502,Documents!$A$5:$A$657,0))="","",INDEX(Documents!$D$5:$D$657,MATCH(H3502,Documents!$A$5:$A$657,0))),"")</f>
        <v>Bioorg Med Chem</v>
      </c>
      <c r="K3502" s="25" t="str">
        <f aca="false">IFERROR(IF(INDEX(Documents!$G$5:$G$657,MATCH(H3502,Documents!$A$5:$A$657,0))="","",INDEX(Documents!$G$5:$G$657,MATCH(H3502,Documents!$A$5:$A$657,0))),"")</f>
        <v>10.1016/j.bmc.2010.10.050</v>
      </c>
      <c r="L3502" s="25" t="s">
        <v>5008</v>
      </c>
    </row>
    <row r="3503" customFormat="false" ht="15" hidden="false" customHeight="false" outlineLevel="0" collapsed="false">
      <c r="A3503" s="25" t="n">
        <v>1846074</v>
      </c>
      <c r="B3503" s="25" t="s">
        <v>7429</v>
      </c>
      <c r="C3503" s="25" t="s">
        <v>7430</v>
      </c>
      <c r="D3503" s="26" t="n">
        <v>10000</v>
      </c>
      <c r="E3503" s="27" t="n">
        <v>5</v>
      </c>
      <c r="F3503" s="27" t="n">
        <v>5</v>
      </c>
      <c r="G3503" s="25" t="s">
        <v>2249</v>
      </c>
      <c r="H3503" s="25" t="s">
        <v>2250</v>
      </c>
      <c r="I3503" s="25" t="n">
        <f aca="false">IFERROR(IF(INDEX(Documents!$C$5:$C$657,MATCH(H3503,Documents!$A$5:$A$657,0))="","",INDEX(Documents!$C$5:$C$657,MATCH(H3503,Documents!$A$5:$A$657,0))),"")</f>
        <v>2005</v>
      </c>
      <c r="J3503" s="25" t="str">
        <f aca="false">IFERROR(IF(INDEX(Documents!$D$5:$D$657,MATCH(H3503,Documents!$A$5:$A$657,0))="","",INDEX(Documents!$D$5:$D$657,MATCH(H3503,Documents!$A$5:$A$657,0))),"")</f>
        <v>J Med Chem</v>
      </c>
      <c r="K3503" s="25" t="str">
        <f aca="false">IFERROR(IF(INDEX(Documents!$G$5:$G$657,MATCH(H3503,Documents!$A$5:$A$657,0))="","",INDEX(Documents!$G$5:$G$657,MATCH(H3503,Documents!$A$5:$A$657,0))),"")</f>
        <v>10.1021/jm0501533</v>
      </c>
      <c r="L3503" s="25" t="s">
        <v>2251</v>
      </c>
    </row>
    <row r="3504" customFormat="false" ht="15" hidden="false" customHeight="false" outlineLevel="0" collapsed="false">
      <c r="A3504" s="25" t="n">
        <v>2422698</v>
      </c>
      <c r="B3504" s="25" t="s">
        <v>7431</v>
      </c>
      <c r="C3504" s="25" t="s">
        <v>7432</v>
      </c>
      <c r="D3504" s="26" t="n">
        <v>10000</v>
      </c>
      <c r="E3504" s="27" t="n">
        <v>5</v>
      </c>
      <c r="F3504" s="27" t="n">
        <v>5</v>
      </c>
      <c r="G3504" s="25" t="s">
        <v>1044</v>
      </c>
      <c r="H3504" s="25" t="s">
        <v>1045</v>
      </c>
      <c r="I3504" s="25" t="n">
        <f aca="false">IFERROR(IF(INDEX(Documents!$C$5:$C$657,MATCH(H3504,Documents!$A$5:$A$657,0))="","",INDEX(Documents!$C$5:$C$657,MATCH(H3504,Documents!$A$5:$A$657,0))),"")</f>
        <v>2009</v>
      </c>
      <c r="J3504" s="25" t="str">
        <f aca="false">IFERROR(IF(INDEX(Documents!$D$5:$D$657,MATCH(H3504,Documents!$A$5:$A$657,0))="","",INDEX(Documents!$D$5:$D$657,MATCH(H3504,Documents!$A$5:$A$657,0))),"")</f>
        <v>J Med Chem</v>
      </c>
      <c r="K3504" s="25" t="str">
        <f aca="false">IFERROR(IF(INDEX(Documents!$G$5:$G$657,MATCH(H3504,Documents!$A$5:$A$657,0))="","",INDEX(Documents!$G$5:$G$657,MATCH(H3504,Documents!$A$5:$A$657,0))),"")</f>
        <v>10.1021/jm8016255</v>
      </c>
      <c r="L3504" s="25" t="s">
        <v>1046</v>
      </c>
    </row>
    <row r="3505" customFormat="false" ht="15" hidden="false" customHeight="false" outlineLevel="0" collapsed="false">
      <c r="A3505" s="25" t="n">
        <v>2422712</v>
      </c>
      <c r="B3505" s="25" t="s">
        <v>7433</v>
      </c>
      <c r="C3505" s="25" t="s">
        <v>7434</v>
      </c>
      <c r="D3505" s="26" t="n">
        <v>10000</v>
      </c>
      <c r="E3505" s="27" t="n">
        <v>5</v>
      </c>
      <c r="F3505" s="27" t="n">
        <v>5</v>
      </c>
      <c r="G3505" s="25" t="s">
        <v>1044</v>
      </c>
      <c r="H3505" s="25" t="s">
        <v>1045</v>
      </c>
      <c r="I3505" s="25" t="n">
        <f aca="false">IFERROR(IF(INDEX(Documents!$C$5:$C$657,MATCH(H3505,Documents!$A$5:$A$657,0))="","",INDEX(Documents!$C$5:$C$657,MATCH(H3505,Documents!$A$5:$A$657,0))),"")</f>
        <v>2009</v>
      </c>
      <c r="J3505" s="25" t="str">
        <f aca="false">IFERROR(IF(INDEX(Documents!$D$5:$D$657,MATCH(H3505,Documents!$A$5:$A$657,0))="","",INDEX(Documents!$D$5:$D$657,MATCH(H3505,Documents!$A$5:$A$657,0))),"")</f>
        <v>J Med Chem</v>
      </c>
      <c r="K3505" s="25" t="str">
        <f aca="false">IFERROR(IF(INDEX(Documents!$G$5:$G$657,MATCH(H3505,Documents!$A$5:$A$657,0))="","",INDEX(Documents!$G$5:$G$657,MATCH(H3505,Documents!$A$5:$A$657,0))),"")</f>
        <v>10.1021/jm8016255</v>
      </c>
      <c r="L3505" s="25" t="s">
        <v>1046</v>
      </c>
    </row>
    <row r="3506" customFormat="false" ht="15" hidden="false" customHeight="false" outlineLevel="0" collapsed="false">
      <c r="A3506" s="25" t="n">
        <v>2422684</v>
      </c>
      <c r="B3506" s="25" t="s">
        <v>7435</v>
      </c>
      <c r="C3506" s="25" t="s">
        <v>7436</v>
      </c>
      <c r="D3506" s="26" t="n">
        <v>10000</v>
      </c>
      <c r="E3506" s="27" t="n">
        <v>5</v>
      </c>
      <c r="F3506" s="27" t="n">
        <v>5</v>
      </c>
      <c r="G3506" s="25" t="s">
        <v>1044</v>
      </c>
      <c r="H3506" s="25" t="s">
        <v>1045</v>
      </c>
      <c r="I3506" s="25" t="n">
        <f aca="false">IFERROR(IF(INDEX(Documents!$C$5:$C$657,MATCH(H3506,Documents!$A$5:$A$657,0))="","",INDEX(Documents!$C$5:$C$657,MATCH(H3506,Documents!$A$5:$A$657,0))),"")</f>
        <v>2009</v>
      </c>
      <c r="J3506" s="25" t="str">
        <f aca="false">IFERROR(IF(INDEX(Documents!$D$5:$D$657,MATCH(H3506,Documents!$A$5:$A$657,0))="","",INDEX(Documents!$D$5:$D$657,MATCH(H3506,Documents!$A$5:$A$657,0))),"")</f>
        <v>J Med Chem</v>
      </c>
      <c r="K3506" s="25" t="str">
        <f aca="false">IFERROR(IF(INDEX(Documents!$G$5:$G$657,MATCH(H3506,Documents!$A$5:$A$657,0))="","",INDEX(Documents!$G$5:$G$657,MATCH(H3506,Documents!$A$5:$A$657,0))),"")</f>
        <v>10.1021/jm8016255</v>
      </c>
      <c r="L3506" s="25" t="s">
        <v>1046</v>
      </c>
    </row>
    <row r="3507" customFormat="false" ht="15" hidden="false" customHeight="false" outlineLevel="0" collapsed="false">
      <c r="A3507" s="25" t="n">
        <v>1846075</v>
      </c>
      <c r="B3507" s="25" t="s">
        <v>7437</v>
      </c>
      <c r="C3507" s="25" t="s">
        <v>7438</v>
      </c>
      <c r="D3507" s="26" t="n">
        <v>5400</v>
      </c>
      <c r="E3507" s="27" t="n">
        <v>5.26760624017703</v>
      </c>
      <c r="F3507" s="27" t="n">
        <v>5.26760624017703</v>
      </c>
      <c r="G3507" s="25" t="s">
        <v>2249</v>
      </c>
      <c r="H3507" s="25" t="s">
        <v>2250</v>
      </c>
      <c r="I3507" s="25" t="n">
        <f aca="false">IFERROR(IF(INDEX(Documents!$C$5:$C$657,MATCH(H3507,Documents!$A$5:$A$657,0))="","",INDEX(Documents!$C$5:$C$657,MATCH(H3507,Documents!$A$5:$A$657,0))),"")</f>
        <v>2005</v>
      </c>
      <c r="J3507" s="25" t="str">
        <f aca="false">IFERROR(IF(INDEX(Documents!$D$5:$D$657,MATCH(H3507,Documents!$A$5:$A$657,0))="","",INDEX(Documents!$D$5:$D$657,MATCH(H3507,Documents!$A$5:$A$657,0))),"")</f>
        <v>J Med Chem</v>
      </c>
      <c r="K3507" s="25" t="str">
        <f aca="false">IFERROR(IF(INDEX(Documents!$G$5:$G$657,MATCH(H3507,Documents!$A$5:$A$657,0))="","",INDEX(Documents!$G$5:$G$657,MATCH(H3507,Documents!$A$5:$A$657,0))),"")</f>
        <v>10.1021/jm0501533</v>
      </c>
      <c r="L3507" s="25" t="s">
        <v>2251</v>
      </c>
    </row>
    <row r="3508" customFormat="false" ht="15" hidden="false" customHeight="false" outlineLevel="0" collapsed="false">
      <c r="A3508" s="25" t="n">
        <v>16277859</v>
      </c>
      <c r="B3508" s="25" t="s">
        <v>7439</v>
      </c>
      <c r="C3508" s="25" t="s">
        <v>7440</v>
      </c>
      <c r="D3508" s="26" t="n">
        <v>3.6</v>
      </c>
      <c r="E3508" s="27" t="n">
        <v>8.44369749923271</v>
      </c>
      <c r="F3508" s="27" t="n">
        <v>8.44369749923271</v>
      </c>
      <c r="G3508" s="25" t="s">
        <v>326</v>
      </c>
      <c r="H3508" s="25" t="s">
        <v>327</v>
      </c>
      <c r="I3508" s="25" t="n">
        <f aca="false">IFERROR(IF(INDEX(Documents!$C$5:$C$657,MATCH(H3508,Documents!$A$5:$A$657,0))="","",INDEX(Documents!$C$5:$C$657,MATCH(H3508,Documents!$A$5:$A$657,0))),"")</f>
        <v>2014</v>
      </c>
      <c r="J3508" s="25" t="str">
        <f aca="false">IFERROR(IF(INDEX(Documents!$D$5:$D$657,MATCH(H3508,Documents!$A$5:$A$657,0))="","",INDEX(Documents!$D$5:$D$657,MATCH(H3508,Documents!$A$5:$A$657,0))),"")</f>
        <v/>
      </c>
      <c r="K3508" s="25" t="str">
        <f aca="false">IFERROR(IF(INDEX(Documents!$G$5:$G$657,MATCH(H3508,Documents!$A$5:$A$657,0))="","",INDEX(Documents!$G$5:$G$657,MATCH(H3508,Documents!$A$5:$A$657,0))),"")</f>
        <v/>
      </c>
      <c r="L3508" s="25" t="s">
        <v>328</v>
      </c>
    </row>
    <row r="3509" customFormat="false" ht="15" hidden="false" customHeight="false" outlineLevel="0" collapsed="false">
      <c r="A3509" s="25" t="n">
        <v>13850283</v>
      </c>
      <c r="B3509" s="25" t="s">
        <v>7441</v>
      </c>
      <c r="C3509" s="25" t="s">
        <v>7442</v>
      </c>
      <c r="D3509" s="26" t="n">
        <v>584</v>
      </c>
      <c r="E3509" s="27" t="n">
        <v>6.2335871528876</v>
      </c>
      <c r="F3509" s="27" t="n">
        <v>6.2335871528876</v>
      </c>
      <c r="G3509" s="25" t="s">
        <v>5354</v>
      </c>
      <c r="H3509" s="25" t="s">
        <v>4134</v>
      </c>
      <c r="I3509" s="25" t="n">
        <f aca="false">IFERROR(IF(INDEX(Documents!$C$5:$C$657,MATCH(H3509,Documents!$A$5:$A$657,0))="","",INDEX(Documents!$C$5:$C$657,MATCH(H3509,Documents!$A$5:$A$657,0))),"")</f>
        <v>2013</v>
      </c>
      <c r="J3509" s="25" t="str">
        <f aca="false">IFERROR(IF(INDEX(Documents!$D$5:$D$657,MATCH(H3509,Documents!$A$5:$A$657,0))="","",INDEX(Documents!$D$5:$D$657,MATCH(H3509,Documents!$A$5:$A$657,0))),"")</f>
        <v>Bioorg Med Chem</v>
      </c>
      <c r="K3509" s="25" t="str">
        <f aca="false">IFERROR(IF(INDEX(Documents!$G$5:$G$657,MATCH(H3509,Documents!$A$5:$A$657,0))="","",INDEX(Documents!$G$5:$G$657,MATCH(H3509,Documents!$A$5:$A$657,0))),"")</f>
        <v>10.1016/j.bmc.2013.09.040</v>
      </c>
      <c r="L3509" s="25" t="s">
        <v>5355</v>
      </c>
    </row>
    <row r="3510" customFormat="false" ht="15" hidden="false" customHeight="false" outlineLevel="0" collapsed="false">
      <c r="A3510" s="25" t="n">
        <v>13850275</v>
      </c>
      <c r="B3510" s="25" t="s">
        <v>7443</v>
      </c>
      <c r="C3510" s="25" t="s">
        <v>7444</v>
      </c>
      <c r="D3510" s="26" t="n">
        <v>559</v>
      </c>
      <c r="E3510" s="27" t="n">
        <v>6.25258819211358</v>
      </c>
      <c r="F3510" s="27" t="n">
        <v>6.25258819211358</v>
      </c>
      <c r="G3510" s="25" t="s">
        <v>5354</v>
      </c>
      <c r="H3510" s="25" t="s">
        <v>4134</v>
      </c>
      <c r="I3510" s="25" t="n">
        <f aca="false">IFERROR(IF(INDEX(Documents!$C$5:$C$657,MATCH(H3510,Documents!$A$5:$A$657,0))="","",INDEX(Documents!$C$5:$C$657,MATCH(H3510,Documents!$A$5:$A$657,0))),"")</f>
        <v>2013</v>
      </c>
      <c r="J3510" s="25" t="str">
        <f aca="false">IFERROR(IF(INDEX(Documents!$D$5:$D$657,MATCH(H3510,Documents!$A$5:$A$657,0))="","",INDEX(Documents!$D$5:$D$657,MATCH(H3510,Documents!$A$5:$A$657,0))),"")</f>
        <v>Bioorg Med Chem</v>
      </c>
      <c r="K3510" s="25" t="str">
        <f aca="false">IFERROR(IF(INDEX(Documents!$G$5:$G$657,MATCH(H3510,Documents!$A$5:$A$657,0))="","",INDEX(Documents!$G$5:$G$657,MATCH(H3510,Documents!$A$5:$A$657,0))),"")</f>
        <v>10.1016/j.bmc.2013.09.040</v>
      </c>
      <c r="L3510" s="25" t="s">
        <v>5355</v>
      </c>
    </row>
    <row r="3511" customFormat="false" ht="15" hidden="false" customHeight="false" outlineLevel="0" collapsed="false">
      <c r="A3511" s="25" t="n">
        <v>13850278</v>
      </c>
      <c r="B3511" s="25" t="s">
        <v>7445</v>
      </c>
      <c r="C3511" s="25" t="s">
        <v>7446</v>
      </c>
      <c r="D3511" s="26" t="n">
        <v>476</v>
      </c>
      <c r="E3511" s="27" t="n">
        <v>6.32239304727951</v>
      </c>
      <c r="F3511" s="27" t="n">
        <v>6.32239304727951</v>
      </c>
      <c r="G3511" s="25" t="s">
        <v>5354</v>
      </c>
      <c r="H3511" s="25" t="s">
        <v>4134</v>
      </c>
      <c r="I3511" s="25" t="n">
        <f aca="false">IFERROR(IF(INDEX(Documents!$C$5:$C$657,MATCH(H3511,Documents!$A$5:$A$657,0))="","",INDEX(Documents!$C$5:$C$657,MATCH(H3511,Documents!$A$5:$A$657,0))),"")</f>
        <v>2013</v>
      </c>
      <c r="J3511" s="25" t="str">
        <f aca="false">IFERROR(IF(INDEX(Documents!$D$5:$D$657,MATCH(H3511,Documents!$A$5:$A$657,0))="","",INDEX(Documents!$D$5:$D$657,MATCH(H3511,Documents!$A$5:$A$657,0))),"")</f>
        <v>Bioorg Med Chem</v>
      </c>
      <c r="K3511" s="25" t="str">
        <f aca="false">IFERROR(IF(INDEX(Documents!$G$5:$G$657,MATCH(H3511,Documents!$A$5:$A$657,0))="","",INDEX(Documents!$G$5:$G$657,MATCH(H3511,Documents!$A$5:$A$657,0))),"")</f>
        <v>10.1016/j.bmc.2013.09.040</v>
      </c>
      <c r="L3511" s="25" t="s">
        <v>5355</v>
      </c>
    </row>
    <row r="3512" customFormat="false" ht="15" hidden="false" customHeight="false" outlineLevel="0" collapsed="false">
      <c r="A3512" s="25" t="n">
        <v>13850280</v>
      </c>
      <c r="B3512" s="25" t="s">
        <v>7447</v>
      </c>
      <c r="C3512" s="25" t="s">
        <v>7448</v>
      </c>
      <c r="D3512" s="26" t="n">
        <v>291</v>
      </c>
      <c r="E3512" s="27" t="n">
        <v>6.53610701101409</v>
      </c>
      <c r="F3512" s="27" t="n">
        <v>6.53610701101409</v>
      </c>
      <c r="G3512" s="25" t="s">
        <v>5354</v>
      </c>
      <c r="H3512" s="25" t="s">
        <v>4134</v>
      </c>
      <c r="I3512" s="25" t="n">
        <f aca="false">IFERROR(IF(INDEX(Documents!$C$5:$C$657,MATCH(H3512,Documents!$A$5:$A$657,0))="","",INDEX(Documents!$C$5:$C$657,MATCH(H3512,Documents!$A$5:$A$657,0))),"")</f>
        <v>2013</v>
      </c>
      <c r="J3512" s="25" t="str">
        <f aca="false">IFERROR(IF(INDEX(Documents!$D$5:$D$657,MATCH(H3512,Documents!$A$5:$A$657,0))="","",INDEX(Documents!$D$5:$D$657,MATCH(H3512,Documents!$A$5:$A$657,0))),"")</f>
        <v>Bioorg Med Chem</v>
      </c>
      <c r="K3512" s="25" t="str">
        <f aca="false">IFERROR(IF(INDEX(Documents!$G$5:$G$657,MATCH(H3512,Documents!$A$5:$A$657,0))="","",INDEX(Documents!$G$5:$G$657,MATCH(H3512,Documents!$A$5:$A$657,0))),"")</f>
        <v>10.1016/j.bmc.2013.09.040</v>
      </c>
      <c r="L3512" s="25" t="s">
        <v>5355</v>
      </c>
    </row>
    <row r="3513" customFormat="false" ht="15" hidden="false" customHeight="false" outlineLevel="0" collapsed="false">
      <c r="A3513" s="25" t="n">
        <v>13850288</v>
      </c>
      <c r="B3513" s="25" t="s">
        <v>7449</v>
      </c>
      <c r="C3513" s="25" t="s">
        <v>7450</v>
      </c>
      <c r="D3513" s="26" t="n">
        <v>990</v>
      </c>
      <c r="E3513" s="27" t="n">
        <v>6.00436480540245</v>
      </c>
      <c r="F3513" s="27" t="n">
        <v>6.00436480540245</v>
      </c>
      <c r="G3513" s="25" t="s">
        <v>5354</v>
      </c>
      <c r="H3513" s="25" t="s">
        <v>4134</v>
      </c>
      <c r="I3513" s="25" t="n">
        <f aca="false">IFERROR(IF(INDEX(Documents!$C$5:$C$657,MATCH(H3513,Documents!$A$5:$A$657,0))="","",INDEX(Documents!$C$5:$C$657,MATCH(H3513,Documents!$A$5:$A$657,0))),"")</f>
        <v>2013</v>
      </c>
      <c r="J3513" s="25" t="str">
        <f aca="false">IFERROR(IF(INDEX(Documents!$D$5:$D$657,MATCH(H3513,Documents!$A$5:$A$657,0))="","",INDEX(Documents!$D$5:$D$657,MATCH(H3513,Documents!$A$5:$A$657,0))),"")</f>
        <v>Bioorg Med Chem</v>
      </c>
      <c r="K3513" s="25" t="str">
        <f aca="false">IFERROR(IF(INDEX(Documents!$G$5:$G$657,MATCH(H3513,Documents!$A$5:$A$657,0))="","",INDEX(Documents!$G$5:$G$657,MATCH(H3513,Documents!$A$5:$A$657,0))),"")</f>
        <v>10.1016/j.bmc.2013.09.040</v>
      </c>
      <c r="L3513" s="25" t="s">
        <v>5355</v>
      </c>
    </row>
    <row r="3514" customFormat="false" ht="15" hidden="false" customHeight="false" outlineLevel="0" collapsed="false">
      <c r="A3514" s="25" t="n">
        <v>13850285</v>
      </c>
      <c r="B3514" s="25" t="s">
        <v>7451</v>
      </c>
      <c r="C3514" s="25" t="s">
        <v>7452</v>
      </c>
      <c r="D3514" s="26" t="n">
        <v>195</v>
      </c>
      <c r="E3514" s="27" t="n">
        <v>6.70996538863748</v>
      </c>
      <c r="F3514" s="27" t="n">
        <v>6.70996538863748</v>
      </c>
      <c r="G3514" s="25" t="s">
        <v>5354</v>
      </c>
      <c r="H3514" s="25" t="s">
        <v>4134</v>
      </c>
      <c r="I3514" s="25" t="n">
        <f aca="false">IFERROR(IF(INDEX(Documents!$C$5:$C$657,MATCH(H3514,Documents!$A$5:$A$657,0))="","",INDEX(Documents!$C$5:$C$657,MATCH(H3514,Documents!$A$5:$A$657,0))),"")</f>
        <v>2013</v>
      </c>
      <c r="J3514" s="25" t="str">
        <f aca="false">IFERROR(IF(INDEX(Documents!$D$5:$D$657,MATCH(H3514,Documents!$A$5:$A$657,0))="","",INDEX(Documents!$D$5:$D$657,MATCH(H3514,Documents!$A$5:$A$657,0))),"")</f>
        <v>Bioorg Med Chem</v>
      </c>
      <c r="K3514" s="25" t="str">
        <f aca="false">IFERROR(IF(INDEX(Documents!$G$5:$G$657,MATCH(H3514,Documents!$A$5:$A$657,0))="","",INDEX(Documents!$G$5:$G$657,MATCH(H3514,Documents!$A$5:$A$657,0))),"")</f>
        <v>10.1016/j.bmc.2013.09.040</v>
      </c>
      <c r="L3514" s="25" t="s">
        <v>5355</v>
      </c>
    </row>
    <row r="3515" customFormat="false" ht="15" hidden="false" customHeight="false" outlineLevel="0" collapsed="false">
      <c r="A3515" s="25" t="n">
        <v>13850281</v>
      </c>
      <c r="B3515" s="25" t="s">
        <v>7453</v>
      </c>
      <c r="C3515" s="25" t="s">
        <v>7454</v>
      </c>
      <c r="D3515" s="26" t="n">
        <v>41</v>
      </c>
      <c r="E3515" s="27" t="n">
        <v>7.38721614328026</v>
      </c>
      <c r="F3515" s="27" t="n">
        <v>7.38721614328026</v>
      </c>
      <c r="G3515" s="25" t="s">
        <v>5354</v>
      </c>
      <c r="H3515" s="25" t="s">
        <v>4134</v>
      </c>
      <c r="I3515" s="25" t="n">
        <f aca="false">IFERROR(IF(INDEX(Documents!$C$5:$C$657,MATCH(H3515,Documents!$A$5:$A$657,0))="","",INDEX(Documents!$C$5:$C$657,MATCH(H3515,Documents!$A$5:$A$657,0))),"")</f>
        <v>2013</v>
      </c>
      <c r="J3515" s="25" t="str">
        <f aca="false">IFERROR(IF(INDEX(Documents!$D$5:$D$657,MATCH(H3515,Documents!$A$5:$A$657,0))="","",INDEX(Documents!$D$5:$D$657,MATCH(H3515,Documents!$A$5:$A$657,0))),"")</f>
        <v>Bioorg Med Chem</v>
      </c>
      <c r="K3515" s="25" t="str">
        <f aca="false">IFERROR(IF(INDEX(Documents!$G$5:$G$657,MATCH(H3515,Documents!$A$5:$A$657,0))="","",INDEX(Documents!$G$5:$G$657,MATCH(H3515,Documents!$A$5:$A$657,0))),"")</f>
        <v>10.1016/j.bmc.2013.09.040</v>
      </c>
      <c r="L3515" s="25" t="s">
        <v>5355</v>
      </c>
    </row>
    <row r="3516" customFormat="false" ht="15" hidden="false" customHeight="false" outlineLevel="0" collapsed="false">
      <c r="A3516" s="25" t="n">
        <v>13850289</v>
      </c>
      <c r="B3516" s="25" t="s">
        <v>7455</v>
      </c>
      <c r="C3516" s="25" t="s">
        <v>7456</v>
      </c>
      <c r="D3516" s="26" t="n">
        <v>1100</v>
      </c>
      <c r="E3516" s="27" t="n">
        <v>5.95860731484178</v>
      </c>
      <c r="F3516" s="27" t="n">
        <v>5.95860731484178</v>
      </c>
      <c r="G3516" s="25" t="s">
        <v>5354</v>
      </c>
      <c r="H3516" s="25" t="s">
        <v>4134</v>
      </c>
      <c r="I3516" s="25" t="n">
        <f aca="false">IFERROR(IF(INDEX(Documents!$C$5:$C$657,MATCH(H3516,Documents!$A$5:$A$657,0))="","",INDEX(Documents!$C$5:$C$657,MATCH(H3516,Documents!$A$5:$A$657,0))),"")</f>
        <v>2013</v>
      </c>
      <c r="J3516" s="25" t="str">
        <f aca="false">IFERROR(IF(INDEX(Documents!$D$5:$D$657,MATCH(H3516,Documents!$A$5:$A$657,0))="","",INDEX(Documents!$D$5:$D$657,MATCH(H3516,Documents!$A$5:$A$657,0))),"")</f>
        <v>Bioorg Med Chem</v>
      </c>
      <c r="K3516" s="25" t="str">
        <f aca="false">IFERROR(IF(INDEX(Documents!$G$5:$G$657,MATCH(H3516,Documents!$A$5:$A$657,0))="","",INDEX(Documents!$G$5:$G$657,MATCH(H3516,Documents!$A$5:$A$657,0))),"")</f>
        <v>10.1016/j.bmc.2013.09.040</v>
      </c>
      <c r="L3516" s="25" t="s">
        <v>5355</v>
      </c>
    </row>
    <row r="3517" customFormat="false" ht="15" hidden="false" customHeight="false" outlineLevel="0" collapsed="false">
      <c r="A3517" s="25" t="n">
        <v>13850284</v>
      </c>
      <c r="B3517" s="25" t="s">
        <v>7457</v>
      </c>
      <c r="C3517" s="25" t="s">
        <v>7458</v>
      </c>
      <c r="D3517" s="26" t="n">
        <v>96</v>
      </c>
      <c r="E3517" s="27" t="n">
        <v>7.01772876696043</v>
      </c>
      <c r="F3517" s="27" t="n">
        <v>7.01772876696043</v>
      </c>
      <c r="G3517" s="25" t="s">
        <v>5354</v>
      </c>
      <c r="H3517" s="25" t="s">
        <v>4134</v>
      </c>
      <c r="I3517" s="25" t="n">
        <f aca="false">IFERROR(IF(INDEX(Documents!$C$5:$C$657,MATCH(H3517,Documents!$A$5:$A$657,0))="","",INDEX(Documents!$C$5:$C$657,MATCH(H3517,Documents!$A$5:$A$657,0))),"")</f>
        <v>2013</v>
      </c>
      <c r="J3517" s="25" t="str">
        <f aca="false">IFERROR(IF(INDEX(Documents!$D$5:$D$657,MATCH(H3517,Documents!$A$5:$A$657,0))="","",INDEX(Documents!$D$5:$D$657,MATCH(H3517,Documents!$A$5:$A$657,0))),"")</f>
        <v>Bioorg Med Chem</v>
      </c>
      <c r="K3517" s="25" t="str">
        <f aca="false">IFERROR(IF(INDEX(Documents!$G$5:$G$657,MATCH(H3517,Documents!$A$5:$A$657,0))="","",INDEX(Documents!$G$5:$G$657,MATCH(H3517,Documents!$A$5:$A$657,0))),"")</f>
        <v>10.1016/j.bmc.2013.09.040</v>
      </c>
      <c r="L3517" s="25" t="s">
        <v>5355</v>
      </c>
    </row>
    <row r="3518" customFormat="false" ht="15" hidden="false" customHeight="false" outlineLevel="0" collapsed="false">
      <c r="A3518" s="25" t="n">
        <v>13850276</v>
      </c>
      <c r="B3518" s="25" t="s">
        <v>7459</v>
      </c>
      <c r="C3518" s="25" t="s">
        <v>7460</v>
      </c>
      <c r="D3518" s="26" t="n">
        <v>1800</v>
      </c>
      <c r="E3518" s="27" t="n">
        <v>5.74472749489669</v>
      </c>
      <c r="F3518" s="27" t="n">
        <v>5.74472749489669</v>
      </c>
      <c r="G3518" s="25" t="s">
        <v>5354</v>
      </c>
      <c r="H3518" s="25" t="s">
        <v>4134</v>
      </c>
      <c r="I3518" s="25" t="n">
        <f aca="false">IFERROR(IF(INDEX(Documents!$C$5:$C$657,MATCH(H3518,Documents!$A$5:$A$657,0))="","",INDEX(Documents!$C$5:$C$657,MATCH(H3518,Documents!$A$5:$A$657,0))),"")</f>
        <v>2013</v>
      </c>
      <c r="J3518" s="25" t="str">
        <f aca="false">IFERROR(IF(INDEX(Documents!$D$5:$D$657,MATCH(H3518,Documents!$A$5:$A$657,0))="","",INDEX(Documents!$D$5:$D$657,MATCH(H3518,Documents!$A$5:$A$657,0))),"")</f>
        <v>Bioorg Med Chem</v>
      </c>
      <c r="K3518" s="25" t="str">
        <f aca="false">IFERROR(IF(INDEX(Documents!$G$5:$G$657,MATCH(H3518,Documents!$A$5:$A$657,0))="","",INDEX(Documents!$G$5:$G$657,MATCH(H3518,Documents!$A$5:$A$657,0))),"")</f>
        <v>10.1016/j.bmc.2013.09.040</v>
      </c>
      <c r="L3518" s="25" t="s">
        <v>5355</v>
      </c>
    </row>
    <row r="3519" customFormat="false" ht="15" hidden="false" customHeight="false" outlineLevel="0" collapsed="false">
      <c r="A3519" s="25" t="n">
        <v>13850286</v>
      </c>
      <c r="B3519" s="25" t="s">
        <v>7461</v>
      </c>
      <c r="C3519" s="25" t="s">
        <v>7462</v>
      </c>
      <c r="D3519" s="26" t="n">
        <v>33</v>
      </c>
      <c r="E3519" s="27" t="n">
        <v>7.48148606012211</v>
      </c>
      <c r="F3519" s="27" t="n">
        <v>7.48148606012211</v>
      </c>
      <c r="G3519" s="25" t="s">
        <v>5354</v>
      </c>
      <c r="H3519" s="25" t="s">
        <v>4134</v>
      </c>
      <c r="I3519" s="25" t="n">
        <f aca="false">IFERROR(IF(INDEX(Documents!$C$5:$C$657,MATCH(H3519,Documents!$A$5:$A$657,0))="","",INDEX(Documents!$C$5:$C$657,MATCH(H3519,Documents!$A$5:$A$657,0))),"")</f>
        <v>2013</v>
      </c>
      <c r="J3519" s="25" t="str">
        <f aca="false">IFERROR(IF(INDEX(Documents!$D$5:$D$657,MATCH(H3519,Documents!$A$5:$A$657,0))="","",INDEX(Documents!$D$5:$D$657,MATCH(H3519,Documents!$A$5:$A$657,0))),"")</f>
        <v>Bioorg Med Chem</v>
      </c>
      <c r="K3519" s="25" t="str">
        <f aca="false">IFERROR(IF(INDEX(Documents!$G$5:$G$657,MATCH(H3519,Documents!$A$5:$A$657,0))="","",INDEX(Documents!$G$5:$G$657,MATCH(H3519,Documents!$A$5:$A$657,0))),"")</f>
        <v>10.1016/j.bmc.2013.09.040</v>
      </c>
      <c r="L3519" s="25" t="s">
        <v>5355</v>
      </c>
    </row>
    <row r="3520" customFormat="false" ht="15" hidden="false" customHeight="false" outlineLevel="0" collapsed="false">
      <c r="A3520" s="25" t="n">
        <v>13850282</v>
      </c>
      <c r="B3520" s="25" t="s">
        <v>7463</v>
      </c>
      <c r="C3520" s="25" t="s">
        <v>7464</v>
      </c>
      <c r="D3520" s="26" t="n">
        <v>5.8</v>
      </c>
      <c r="E3520" s="27" t="n">
        <v>8.23657200643706</v>
      </c>
      <c r="F3520" s="27" t="n">
        <v>8.23657200643706</v>
      </c>
      <c r="G3520" s="25" t="s">
        <v>5354</v>
      </c>
      <c r="H3520" s="25" t="s">
        <v>4134</v>
      </c>
      <c r="I3520" s="25" t="n">
        <f aca="false">IFERROR(IF(INDEX(Documents!$C$5:$C$657,MATCH(H3520,Documents!$A$5:$A$657,0))="","",INDEX(Documents!$C$5:$C$657,MATCH(H3520,Documents!$A$5:$A$657,0))),"")</f>
        <v>2013</v>
      </c>
      <c r="J3520" s="25" t="str">
        <f aca="false">IFERROR(IF(INDEX(Documents!$D$5:$D$657,MATCH(H3520,Documents!$A$5:$A$657,0))="","",INDEX(Documents!$D$5:$D$657,MATCH(H3520,Documents!$A$5:$A$657,0))),"")</f>
        <v>Bioorg Med Chem</v>
      </c>
      <c r="K3520" s="25" t="str">
        <f aca="false">IFERROR(IF(INDEX(Documents!$G$5:$G$657,MATCH(H3520,Documents!$A$5:$A$657,0))="","",INDEX(Documents!$G$5:$G$657,MATCH(H3520,Documents!$A$5:$A$657,0))),"")</f>
        <v>10.1016/j.bmc.2013.09.040</v>
      </c>
      <c r="L3520" s="25" t="s">
        <v>5355</v>
      </c>
    </row>
    <row r="3521" customFormat="false" ht="15" hidden="false" customHeight="false" outlineLevel="0" collapsed="false">
      <c r="A3521" s="25" t="n">
        <v>13850290</v>
      </c>
      <c r="B3521" s="25" t="s">
        <v>7465</v>
      </c>
      <c r="C3521" s="25" t="s">
        <v>7466</v>
      </c>
      <c r="D3521" s="26" t="n">
        <v>367</v>
      </c>
      <c r="E3521" s="27" t="n">
        <v>6.43533393574791</v>
      </c>
      <c r="F3521" s="27" t="n">
        <v>6.43533393574791</v>
      </c>
      <c r="G3521" s="25" t="s">
        <v>5354</v>
      </c>
      <c r="H3521" s="25" t="s">
        <v>4134</v>
      </c>
      <c r="I3521" s="25" t="n">
        <f aca="false">IFERROR(IF(INDEX(Documents!$C$5:$C$657,MATCH(H3521,Documents!$A$5:$A$657,0))="","",INDEX(Documents!$C$5:$C$657,MATCH(H3521,Documents!$A$5:$A$657,0))),"")</f>
        <v>2013</v>
      </c>
      <c r="J3521" s="25" t="str">
        <f aca="false">IFERROR(IF(INDEX(Documents!$D$5:$D$657,MATCH(H3521,Documents!$A$5:$A$657,0))="","",INDEX(Documents!$D$5:$D$657,MATCH(H3521,Documents!$A$5:$A$657,0))),"")</f>
        <v>Bioorg Med Chem</v>
      </c>
      <c r="K3521" s="25" t="str">
        <f aca="false">IFERROR(IF(INDEX(Documents!$G$5:$G$657,MATCH(H3521,Documents!$A$5:$A$657,0))="","",INDEX(Documents!$G$5:$G$657,MATCH(H3521,Documents!$A$5:$A$657,0))),"")</f>
        <v>10.1016/j.bmc.2013.09.040</v>
      </c>
      <c r="L3521" s="25" t="s">
        <v>5355</v>
      </c>
    </row>
    <row r="3522" customFormat="false" ht="15" hidden="false" customHeight="false" outlineLevel="0" collapsed="false">
      <c r="A3522" s="25" t="n">
        <v>18746593</v>
      </c>
      <c r="B3522" s="25" t="s">
        <v>7467</v>
      </c>
      <c r="C3522" s="25" t="s">
        <v>7468</v>
      </c>
      <c r="D3522" s="26" t="n">
        <v>318</v>
      </c>
      <c r="E3522" s="27" t="n">
        <v>6.49757288001557</v>
      </c>
      <c r="F3522" s="27" t="n">
        <v>6.49757288001557</v>
      </c>
      <c r="G3522" s="25" t="s">
        <v>7324</v>
      </c>
      <c r="H3522" s="25" t="s">
        <v>7325</v>
      </c>
      <c r="I3522" s="25" t="n">
        <f aca="false">IFERROR(IF(INDEX(Documents!$C$5:$C$657,MATCH(H3522,Documents!$A$5:$A$657,0))="","",INDEX(Documents!$C$5:$C$657,MATCH(H3522,Documents!$A$5:$A$657,0))),"")</f>
        <v>2017</v>
      </c>
      <c r="J3522" s="25" t="str">
        <f aca="false">IFERROR(IF(INDEX(Documents!$D$5:$D$657,MATCH(H3522,Documents!$A$5:$A$657,0))="","",INDEX(Documents!$D$5:$D$657,MATCH(H3522,Documents!$A$5:$A$657,0))),"")</f>
        <v>Medchemcomm</v>
      </c>
      <c r="K3522" s="25" t="str">
        <f aca="false">IFERROR(IF(INDEX(Documents!$G$5:$G$657,MATCH(H3522,Documents!$A$5:$A$657,0))="","",INDEX(Documents!$G$5:$G$657,MATCH(H3522,Documents!$A$5:$A$657,0))),"")</f>
        <v>10.1039/C7MD00296C</v>
      </c>
      <c r="L3522" s="25" t="s">
        <v>7326</v>
      </c>
    </row>
    <row r="3523" customFormat="false" ht="15" hidden="false" customHeight="false" outlineLevel="0" collapsed="false">
      <c r="A3523" s="25" t="n">
        <v>18746592</v>
      </c>
      <c r="B3523" s="25" t="s">
        <v>7469</v>
      </c>
      <c r="C3523" s="25" t="s">
        <v>7470</v>
      </c>
      <c r="D3523" s="26" t="n">
        <v>25</v>
      </c>
      <c r="E3523" s="27" t="n">
        <v>7.60205999132796</v>
      </c>
      <c r="F3523" s="27" t="n">
        <v>7.60205999132796</v>
      </c>
      <c r="G3523" s="25" t="s">
        <v>7324</v>
      </c>
      <c r="H3523" s="25" t="s">
        <v>7325</v>
      </c>
      <c r="I3523" s="25" t="n">
        <f aca="false">IFERROR(IF(INDEX(Documents!$C$5:$C$657,MATCH(H3523,Documents!$A$5:$A$657,0))="","",INDEX(Documents!$C$5:$C$657,MATCH(H3523,Documents!$A$5:$A$657,0))),"")</f>
        <v>2017</v>
      </c>
      <c r="J3523" s="25" t="str">
        <f aca="false">IFERROR(IF(INDEX(Documents!$D$5:$D$657,MATCH(H3523,Documents!$A$5:$A$657,0))="","",INDEX(Documents!$D$5:$D$657,MATCH(H3523,Documents!$A$5:$A$657,0))),"")</f>
        <v>Medchemcomm</v>
      </c>
      <c r="K3523" s="25" t="str">
        <f aca="false">IFERROR(IF(INDEX(Documents!$G$5:$G$657,MATCH(H3523,Documents!$A$5:$A$657,0))="","",INDEX(Documents!$G$5:$G$657,MATCH(H3523,Documents!$A$5:$A$657,0))),"")</f>
        <v>10.1039/C7MD00296C</v>
      </c>
      <c r="L3523" s="25" t="s">
        <v>7326</v>
      </c>
    </row>
    <row r="3524" customFormat="false" ht="15" hidden="false" customHeight="false" outlineLevel="0" collapsed="false">
      <c r="A3524" s="25" t="n">
        <v>18673917</v>
      </c>
      <c r="B3524" s="25" t="s">
        <v>7471</v>
      </c>
      <c r="C3524" s="25" t="s">
        <v>7472</v>
      </c>
      <c r="D3524" s="26" t="n">
        <v>5000</v>
      </c>
      <c r="E3524" s="27" t="n">
        <v>5.30102999566398</v>
      </c>
      <c r="F3524" s="27" t="n">
        <v>5.30102999566398</v>
      </c>
      <c r="G3524" s="25" t="s">
        <v>664</v>
      </c>
      <c r="H3524" s="25" t="s">
        <v>665</v>
      </c>
      <c r="I3524" s="25" t="n">
        <f aca="false">IFERROR(IF(INDEX(Documents!$C$5:$C$657,MATCH(H3524,Documents!$A$5:$A$657,0))="","",INDEX(Documents!$C$5:$C$657,MATCH(H3524,Documents!$A$5:$A$657,0))),"")</f>
        <v>2018</v>
      </c>
      <c r="J3524" s="25" t="str">
        <f aca="false">IFERROR(IF(INDEX(Documents!$D$5:$D$657,MATCH(H3524,Documents!$A$5:$A$657,0))="","",INDEX(Documents!$D$5:$D$657,MATCH(H3524,Documents!$A$5:$A$657,0))),"")</f>
        <v>Bioorg Med Chem</v>
      </c>
      <c r="K3524" s="25" t="str">
        <f aca="false">IFERROR(IF(INDEX(Documents!$G$5:$G$657,MATCH(H3524,Documents!$A$5:$A$657,0))="","",INDEX(Documents!$G$5:$G$657,MATCH(H3524,Documents!$A$5:$A$657,0))),"")</f>
        <v>10.1016/j.bmc.2018.07.043</v>
      </c>
      <c r="L3524" s="25" t="s">
        <v>666</v>
      </c>
    </row>
    <row r="3525" customFormat="false" ht="15" hidden="false" customHeight="false" outlineLevel="0" collapsed="false">
      <c r="A3525" s="25" t="n">
        <v>11019990</v>
      </c>
      <c r="B3525" s="25" t="s">
        <v>7473</v>
      </c>
      <c r="C3525" s="25" t="s">
        <v>7474</v>
      </c>
      <c r="D3525" s="26" t="n">
        <v>70.8</v>
      </c>
      <c r="E3525" s="27" t="n">
        <v>7.14996674231023</v>
      </c>
      <c r="F3525" s="27" t="n">
        <v>7.14996674231023</v>
      </c>
      <c r="G3525" s="25" t="s">
        <v>496</v>
      </c>
      <c r="H3525" s="25" t="s">
        <v>497</v>
      </c>
      <c r="I3525" s="25" t="n">
        <f aca="false">IFERROR(IF(INDEX(Documents!$C$5:$C$657,MATCH(H3525,Documents!$A$5:$A$657,0))="","",INDEX(Documents!$C$5:$C$657,MATCH(H3525,Documents!$A$5:$A$657,0))),"")</f>
        <v>2012</v>
      </c>
      <c r="J3525" s="25" t="str">
        <f aca="false">IFERROR(IF(INDEX(Documents!$D$5:$D$657,MATCH(H3525,Documents!$A$5:$A$657,0))="","",INDEX(Documents!$D$5:$D$657,MATCH(H3525,Documents!$A$5:$A$657,0))),"")</f>
        <v>J Med Chem</v>
      </c>
      <c r="K3525" s="25" t="str">
        <f aca="false">IFERROR(IF(INDEX(Documents!$G$5:$G$657,MATCH(H3525,Documents!$A$5:$A$657,0))="","",INDEX(Documents!$G$5:$G$657,MATCH(H3525,Documents!$A$5:$A$657,0))),"")</f>
        <v>10.1021/jm3003334</v>
      </c>
      <c r="L3525" s="25" t="s">
        <v>498</v>
      </c>
    </row>
    <row r="3526" customFormat="false" ht="15" hidden="false" customHeight="false" outlineLevel="0" collapsed="false">
      <c r="A3526" s="25" t="n">
        <v>2573110</v>
      </c>
      <c r="B3526" s="25" t="s">
        <v>7475</v>
      </c>
      <c r="C3526" s="25" t="s">
        <v>7476</v>
      </c>
      <c r="D3526" s="26" t="n">
        <v>1300</v>
      </c>
      <c r="E3526" s="27" t="n">
        <v>5.88605664769316</v>
      </c>
      <c r="F3526" s="27" t="n">
        <v>5.88605664769316</v>
      </c>
      <c r="G3526" s="25" t="s">
        <v>674</v>
      </c>
      <c r="H3526" s="25" t="s">
        <v>675</v>
      </c>
      <c r="I3526" s="25" t="n">
        <f aca="false">IFERROR(IF(INDEX(Documents!$C$5:$C$657,MATCH(H3526,Documents!$A$5:$A$657,0))="","",INDEX(Documents!$C$5:$C$657,MATCH(H3526,Documents!$A$5:$A$657,0))),"")</f>
        <v>2008</v>
      </c>
      <c r="J3526" s="25" t="str">
        <f aca="false">IFERROR(IF(INDEX(Documents!$D$5:$D$657,MATCH(H3526,Documents!$A$5:$A$657,0))="","",INDEX(Documents!$D$5:$D$657,MATCH(H3526,Documents!$A$5:$A$657,0))),"")</f>
        <v>Bioorg Med Chem</v>
      </c>
      <c r="K3526" s="25" t="str">
        <f aca="false">IFERROR(IF(INDEX(Documents!$G$5:$G$657,MATCH(H3526,Documents!$A$5:$A$657,0))="","",INDEX(Documents!$G$5:$G$657,MATCH(H3526,Documents!$A$5:$A$657,0))),"")</f>
        <v>10.1016/j.bmc.2008.06.001</v>
      </c>
      <c r="L3526" s="25" t="s">
        <v>676</v>
      </c>
    </row>
    <row r="3527" customFormat="false" ht="15" hidden="false" customHeight="false" outlineLevel="0" collapsed="false">
      <c r="A3527" s="25" t="n">
        <v>12146250</v>
      </c>
      <c r="B3527" s="25" t="s">
        <v>7477</v>
      </c>
      <c r="C3527" s="25" t="s">
        <v>7478</v>
      </c>
      <c r="D3527" s="26" t="n">
        <v>101</v>
      </c>
      <c r="E3527" s="27" t="n">
        <v>6.99567862621736</v>
      </c>
      <c r="F3527" s="27" t="n">
        <v>6.99567862621736</v>
      </c>
      <c r="G3527" s="25" t="s">
        <v>1126</v>
      </c>
      <c r="H3527" s="25" t="s">
        <v>1127</v>
      </c>
      <c r="I3527" s="25" t="n">
        <f aca="false">IFERROR(IF(INDEX(Documents!$C$5:$C$657,MATCH(H3527,Documents!$A$5:$A$657,0))="","",INDEX(Documents!$C$5:$C$657,MATCH(H3527,Documents!$A$5:$A$657,0))),"")</f>
        <v>2012</v>
      </c>
      <c r="J3527" s="25" t="str">
        <f aca="false">IFERROR(IF(INDEX(Documents!$D$5:$D$657,MATCH(H3527,Documents!$A$5:$A$657,0))="","",INDEX(Documents!$D$5:$D$657,MATCH(H3527,Documents!$A$5:$A$657,0))),"")</f>
        <v>J Med Chem</v>
      </c>
      <c r="K3527" s="25" t="str">
        <f aca="false">IFERROR(IF(INDEX(Documents!$G$5:$G$657,MATCH(H3527,Documents!$A$5:$A$657,0))="","",INDEX(Documents!$G$5:$G$657,MATCH(H3527,Documents!$A$5:$A$657,0))),"")</f>
        <v>10.1021/jm301212u</v>
      </c>
      <c r="L3527" s="25" t="s">
        <v>1128</v>
      </c>
    </row>
    <row r="3528" customFormat="false" ht="15" hidden="false" customHeight="false" outlineLevel="0" collapsed="false">
      <c r="A3528" s="25" t="n">
        <v>12146269</v>
      </c>
      <c r="B3528" s="25" t="s">
        <v>7477</v>
      </c>
      <c r="C3528" s="25" t="s">
        <v>7478</v>
      </c>
      <c r="D3528" s="26" t="n">
        <v>101</v>
      </c>
      <c r="E3528" s="27" t="n">
        <v>6.99567862621736</v>
      </c>
      <c r="F3528" s="27" t="n">
        <v>6.99567862621736</v>
      </c>
      <c r="G3528" s="25" t="s">
        <v>1126</v>
      </c>
      <c r="H3528" s="25" t="s">
        <v>1127</v>
      </c>
      <c r="I3528" s="25" t="n">
        <f aca="false">IFERROR(IF(INDEX(Documents!$C$5:$C$657,MATCH(H3528,Documents!$A$5:$A$657,0))="","",INDEX(Documents!$C$5:$C$657,MATCH(H3528,Documents!$A$5:$A$657,0))),"")</f>
        <v>2012</v>
      </c>
      <c r="J3528" s="25" t="str">
        <f aca="false">IFERROR(IF(INDEX(Documents!$D$5:$D$657,MATCH(H3528,Documents!$A$5:$A$657,0))="","",INDEX(Documents!$D$5:$D$657,MATCH(H3528,Documents!$A$5:$A$657,0))),"")</f>
        <v>J Med Chem</v>
      </c>
      <c r="K3528" s="25" t="str">
        <f aca="false">IFERROR(IF(INDEX(Documents!$G$5:$G$657,MATCH(H3528,Documents!$A$5:$A$657,0))="","",INDEX(Documents!$G$5:$G$657,MATCH(H3528,Documents!$A$5:$A$657,0))),"")</f>
        <v>10.1021/jm301212u</v>
      </c>
      <c r="L3528" s="25" t="s">
        <v>1128</v>
      </c>
    </row>
    <row r="3529" customFormat="false" ht="15" hidden="false" customHeight="false" outlineLevel="0" collapsed="false">
      <c r="A3529" s="25" t="n">
        <v>12146247</v>
      </c>
      <c r="B3529" s="25" t="s">
        <v>7479</v>
      </c>
      <c r="C3529" s="25" t="s">
        <v>7480</v>
      </c>
      <c r="D3529" s="26" t="n">
        <v>154</v>
      </c>
      <c r="E3529" s="27" t="n">
        <v>6.81247927916354</v>
      </c>
      <c r="F3529" s="27" t="n">
        <v>6.81247927916354</v>
      </c>
      <c r="G3529" s="25" t="s">
        <v>1126</v>
      </c>
      <c r="H3529" s="25" t="s">
        <v>1127</v>
      </c>
      <c r="I3529" s="25" t="n">
        <f aca="false">IFERROR(IF(INDEX(Documents!$C$5:$C$657,MATCH(H3529,Documents!$A$5:$A$657,0))="","",INDEX(Documents!$C$5:$C$657,MATCH(H3529,Documents!$A$5:$A$657,0))),"")</f>
        <v>2012</v>
      </c>
      <c r="J3529" s="25" t="str">
        <f aca="false">IFERROR(IF(INDEX(Documents!$D$5:$D$657,MATCH(H3529,Documents!$A$5:$A$657,0))="","",INDEX(Documents!$D$5:$D$657,MATCH(H3529,Documents!$A$5:$A$657,0))),"")</f>
        <v>J Med Chem</v>
      </c>
      <c r="K3529" s="25" t="str">
        <f aca="false">IFERROR(IF(INDEX(Documents!$G$5:$G$657,MATCH(H3529,Documents!$A$5:$A$657,0))="","",INDEX(Documents!$G$5:$G$657,MATCH(H3529,Documents!$A$5:$A$657,0))),"")</f>
        <v>10.1021/jm301212u</v>
      </c>
      <c r="L3529" s="25" t="s">
        <v>1128</v>
      </c>
    </row>
    <row r="3530" customFormat="false" ht="15" hidden="false" customHeight="false" outlineLevel="0" collapsed="false">
      <c r="A3530" s="25" t="n">
        <v>12146271</v>
      </c>
      <c r="B3530" s="25" t="s">
        <v>7479</v>
      </c>
      <c r="C3530" s="25" t="s">
        <v>7480</v>
      </c>
      <c r="D3530" s="26" t="n">
        <v>154</v>
      </c>
      <c r="E3530" s="27" t="n">
        <v>6.81247927916354</v>
      </c>
      <c r="F3530" s="27" t="n">
        <v>6.81247927916354</v>
      </c>
      <c r="G3530" s="25" t="s">
        <v>1126</v>
      </c>
      <c r="H3530" s="25" t="s">
        <v>1127</v>
      </c>
      <c r="I3530" s="25" t="n">
        <f aca="false">IFERROR(IF(INDEX(Documents!$C$5:$C$657,MATCH(H3530,Documents!$A$5:$A$657,0))="","",INDEX(Documents!$C$5:$C$657,MATCH(H3530,Documents!$A$5:$A$657,0))),"")</f>
        <v>2012</v>
      </c>
      <c r="J3530" s="25" t="str">
        <f aca="false">IFERROR(IF(INDEX(Documents!$D$5:$D$657,MATCH(H3530,Documents!$A$5:$A$657,0))="","",INDEX(Documents!$D$5:$D$657,MATCH(H3530,Documents!$A$5:$A$657,0))),"")</f>
        <v>J Med Chem</v>
      </c>
      <c r="K3530" s="25" t="str">
        <f aca="false">IFERROR(IF(INDEX(Documents!$G$5:$G$657,MATCH(H3530,Documents!$A$5:$A$657,0))="","",INDEX(Documents!$G$5:$G$657,MATCH(H3530,Documents!$A$5:$A$657,0))),"")</f>
        <v>10.1021/jm301212u</v>
      </c>
      <c r="L3530" s="25" t="s">
        <v>1128</v>
      </c>
    </row>
    <row r="3531" customFormat="false" ht="15" hidden="false" customHeight="false" outlineLevel="0" collapsed="false">
      <c r="A3531" s="25" t="n">
        <v>12146246</v>
      </c>
      <c r="B3531" s="25" t="s">
        <v>7481</v>
      </c>
      <c r="C3531" s="25" t="s">
        <v>7482</v>
      </c>
      <c r="D3531" s="26" t="n">
        <v>158</v>
      </c>
      <c r="E3531" s="27" t="n">
        <v>6.80134291304558</v>
      </c>
      <c r="F3531" s="27" t="n">
        <v>6.80134291304558</v>
      </c>
      <c r="G3531" s="25" t="s">
        <v>1126</v>
      </c>
      <c r="H3531" s="25" t="s">
        <v>1127</v>
      </c>
      <c r="I3531" s="25" t="n">
        <f aca="false">IFERROR(IF(INDEX(Documents!$C$5:$C$657,MATCH(H3531,Documents!$A$5:$A$657,0))="","",INDEX(Documents!$C$5:$C$657,MATCH(H3531,Documents!$A$5:$A$657,0))),"")</f>
        <v>2012</v>
      </c>
      <c r="J3531" s="25" t="str">
        <f aca="false">IFERROR(IF(INDEX(Documents!$D$5:$D$657,MATCH(H3531,Documents!$A$5:$A$657,0))="","",INDEX(Documents!$D$5:$D$657,MATCH(H3531,Documents!$A$5:$A$657,0))),"")</f>
        <v>J Med Chem</v>
      </c>
      <c r="K3531" s="25" t="str">
        <f aca="false">IFERROR(IF(INDEX(Documents!$G$5:$G$657,MATCH(H3531,Documents!$A$5:$A$657,0))="","",INDEX(Documents!$G$5:$G$657,MATCH(H3531,Documents!$A$5:$A$657,0))),"")</f>
        <v>10.1021/jm301212u</v>
      </c>
      <c r="L3531" s="25" t="s">
        <v>1128</v>
      </c>
    </row>
    <row r="3532" customFormat="false" ht="15" hidden="false" customHeight="false" outlineLevel="0" collapsed="false">
      <c r="A3532" s="25" t="n">
        <v>12146272</v>
      </c>
      <c r="B3532" s="25" t="s">
        <v>7481</v>
      </c>
      <c r="C3532" s="25" t="s">
        <v>7482</v>
      </c>
      <c r="D3532" s="26" t="n">
        <v>158</v>
      </c>
      <c r="E3532" s="27" t="n">
        <v>6.80134291304558</v>
      </c>
      <c r="F3532" s="27" t="n">
        <v>6.80134291304558</v>
      </c>
      <c r="G3532" s="25" t="s">
        <v>1126</v>
      </c>
      <c r="H3532" s="25" t="s">
        <v>1127</v>
      </c>
      <c r="I3532" s="25" t="n">
        <f aca="false">IFERROR(IF(INDEX(Documents!$C$5:$C$657,MATCH(H3532,Documents!$A$5:$A$657,0))="","",INDEX(Documents!$C$5:$C$657,MATCH(H3532,Documents!$A$5:$A$657,0))),"")</f>
        <v>2012</v>
      </c>
      <c r="J3532" s="25" t="str">
        <f aca="false">IFERROR(IF(INDEX(Documents!$D$5:$D$657,MATCH(H3532,Documents!$A$5:$A$657,0))="","",INDEX(Documents!$D$5:$D$657,MATCH(H3532,Documents!$A$5:$A$657,0))),"")</f>
        <v>J Med Chem</v>
      </c>
      <c r="K3532" s="25" t="str">
        <f aca="false">IFERROR(IF(INDEX(Documents!$G$5:$G$657,MATCH(H3532,Documents!$A$5:$A$657,0))="","",INDEX(Documents!$G$5:$G$657,MATCH(H3532,Documents!$A$5:$A$657,0))),"")</f>
        <v>10.1021/jm301212u</v>
      </c>
      <c r="L3532" s="25" t="s">
        <v>1128</v>
      </c>
    </row>
    <row r="3533" customFormat="false" ht="15" hidden="false" customHeight="false" outlineLevel="0" collapsed="false">
      <c r="A3533" s="25" t="n">
        <v>12146297</v>
      </c>
      <c r="B3533" s="25" t="s">
        <v>7483</v>
      </c>
      <c r="C3533" s="25" t="s">
        <v>7484</v>
      </c>
      <c r="D3533" s="26" t="n">
        <v>10850.01</v>
      </c>
      <c r="E3533" s="27" t="n">
        <v>4.96456986154422</v>
      </c>
      <c r="F3533" s="27" t="n">
        <v>4.96457006167984</v>
      </c>
      <c r="G3533" s="25" t="s">
        <v>1126</v>
      </c>
      <c r="H3533" s="25" t="s">
        <v>1127</v>
      </c>
      <c r="I3533" s="25" t="n">
        <f aca="false">IFERROR(IF(INDEX(Documents!$C$5:$C$657,MATCH(H3533,Documents!$A$5:$A$657,0))="","",INDEX(Documents!$C$5:$C$657,MATCH(H3533,Documents!$A$5:$A$657,0))),"")</f>
        <v>2012</v>
      </c>
      <c r="J3533" s="25" t="str">
        <f aca="false">IFERROR(IF(INDEX(Documents!$D$5:$D$657,MATCH(H3533,Documents!$A$5:$A$657,0))="","",INDEX(Documents!$D$5:$D$657,MATCH(H3533,Documents!$A$5:$A$657,0))),"")</f>
        <v>J Med Chem</v>
      </c>
      <c r="K3533" s="25" t="str">
        <f aca="false">IFERROR(IF(INDEX(Documents!$G$5:$G$657,MATCH(H3533,Documents!$A$5:$A$657,0))="","",INDEX(Documents!$G$5:$G$657,MATCH(H3533,Documents!$A$5:$A$657,0))),"")</f>
        <v>10.1021/jm301212u</v>
      </c>
      <c r="L3533" s="25" t="s">
        <v>1128</v>
      </c>
    </row>
    <row r="3534" customFormat="false" ht="15" hidden="false" customHeight="false" outlineLevel="0" collapsed="false">
      <c r="A3534" s="25" t="n">
        <v>12146221</v>
      </c>
      <c r="B3534" s="25" t="s">
        <v>7483</v>
      </c>
      <c r="C3534" s="25" t="s">
        <v>7484</v>
      </c>
      <c r="D3534" s="26" t="n">
        <v>10850</v>
      </c>
      <c r="E3534" s="27" t="n">
        <v>4.96457026181545</v>
      </c>
      <c r="F3534" s="27" t="n">
        <v>4.96457006167984</v>
      </c>
      <c r="G3534" s="25" t="s">
        <v>1126</v>
      </c>
      <c r="H3534" s="25" t="s">
        <v>1127</v>
      </c>
      <c r="I3534" s="25" t="n">
        <f aca="false">IFERROR(IF(INDEX(Documents!$C$5:$C$657,MATCH(H3534,Documents!$A$5:$A$657,0))="","",INDEX(Documents!$C$5:$C$657,MATCH(H3534,Documents!$A$5:$A$657,0))),"")</f>
        <v>2012</v>
      </c>
      <c r="J3534" s="25" t="str">
        <f aca="false">IFERROR(IF(INDEX(Documents!$D$5:$D$657,MATCH(H3534,Documents!$A$5:$A$657,0))="","",INDEX(Documents!$D$5:$D$657,MATCH(H3534,Documents!$A$5:$A$657,0))),"")</f>
        <v>J Med Chem</v>
      </c>
      <c r="K3534" s="25" t="str">
        <f aca="false">IFERROR(IF(INDEX(Documents!$G$5:$G$657,MATCH(H3534,Documents!$A$5:$A$657,0))="","",INDEX(Documents!$G$5:$G$657,MATCH(H3534,Documents!$A$5:$A$657,0))),"")</f>
        <v>10.1021/jm301212u</v>
      </c>
      <c r="L3534" s="25" t="s">
        <v>1128</v>
      </c>
    </row>
    <row r="3535" customFormat="false" ht="15" hidden="false" customHeight="false" outlineLevel="0" collapsed="false">
      <c r="A3535" s="25" t="n">
        <v>2573111</v>
      </c>
      <c r="B3535" s="25" t="s">
        <v>7485</v>
      </c>
      <c r="C3535" s="25" t="s">
        <v>7486</v>
      </c>
      <c r="D3535" s="26" t="n">
        <v>2400</v>
      </c>
      <c r="E3535" s="27" t="n">
        <v>5.61978875828839</v>
      </c>
      <c r="F3535" s="27" t="n">
        <v>5.61978875828839</v>
      </c>
      <c r="G3535" s="25" t="s">
        <v>674</v>
      </c>
      <c r="H3535" s="25" t="s">
        <v>675</v>
      </c>
      <c r="I3535" s="25" t="n">
        <f aca="false">IFERROR(IF(INDEX(Documents!$C$5:$C$657,MATCH(H3535,Documents!$A$5:$A$657,0))="","",INDEX(Documents!$C$5:$C$657,MATCH(H3535,Documents!$A$5:$A$657,0))),"")</f>
        <v>2008</v>
      </c>
      <c r="J3535" s="25" t="str">
        <f aca="false">IFERROR(IF(INDEX(Documents!$D$5:$D$657,MATCH(H3535,Documents!$A$5:$A$657,0))="","",INDEX(Documents!$D$5:$D$657,MATCH(H3535,Documents!$A$5:$A$657,0))),"")</f>
        <v>Bioorg Med Chem</v>
      </c>
      <c r="K3535" s="25" t="str">
        <f aca="false">IFERROR(IF(INDEX(Documents!$G$5:$G$657,MATCH(H3535,Documents!$A$5:$A$657,0))="","",INDEX(Documents!$G$5:$G$657,MATCH(H3535,Documents!$A$5:$A$657,0))),"")</f>
        <v>10.1016/j.bmc.2008.06.001</v>
      </c>
      <c r="L3535" s="25" t="s">
        <v>676</v>
      </c>
    </row>
    <row r="3536" customFormat="false" ht="15" hidden="false" customHeight="false" outlineLevel="0" collapsed="false">
      <c r="A3536" s="25" t="n">
        <v>12146224</v>
      </c>
      <c r="B3536" s="25" t="s">
        <v>7487</v>
      </c>
      <c r="C3536" s="25" t="s">
        <v>7488</v>
      </c>
      <c r="D3536" s="26" t="n">
        <v>5683</v>
      </c>
      <c r="E3536" s="27" t="n">
        <v>5.24542234395527</v>
      </c>
      <c r="F3536" s="27" t="n">
        <v>5.24542234395527</v>
      </c>
      <c r="G3536" s="25" t="s">
        <v>1126</v>
      </c>
      <c r="H3536" s="25" t="s">
        <v>1127</v>
      </c>
      <c r="I3536" s="25" t="n">
        <f aca="false">IFERROR(IF(INDEX(Documents!$C$5:$C$657,MATCH(H3536,Documents!$A$5:$A$657,0))="","",INDEX(Documents!$C$5:$C$657,MATCH(H3536,Documents!$A$5:$A$657,0))),"")</f>
        <v>2012</v>
      </c>
      <c r="J3536" s="25" t="str">
        <f aca="false">IFERROR(IF(INDEX(Documents!$D$5:$D$657,MATCH(H3536,Documents!$A$5:$A$657,0))="","",INDEX(Documents!$D$5:$D$657,MATCH(H3536,Documents!$A$5:$A$657,0))),"")</f>
        <v>J Med Chem</v>
      </c>
      <c r="K3536" s="25" t="str">
        <f aca="false">IFERROR(IF(INDEX(Documents!$G$5:$G$657,MATCH(H3536,Documents!$A$5:$A$657,0))="","",INDEX(Documents!$G$5:$G$657,MATCH(H3536,Documents!$A$5:$A$657,0))),"")</f>
        <v>10.1021/jm301212u</v>
      </c>
      <c r="L3536" s="25" t="s">
        <v>1128</v>
      </c>
    </row>
    <row r="3537" customFormat="false" ht="15" hidden="false" customHeight="false" outlineLevel="0" collapsed="false">
      <c r="A3537" s="25" t="n">
        <v>12146294</v>
      </c>
      <c r="B3537" s="25" t="s">
        <v>7487</v>
      </c>
      <c r="C3537" s="25" t="s">
        <v>7488</v>
      </c>
      <c r="D3537" s="26" t="n">
        <v>5683</v>
      </c>
      <c r="E3537" s="27" t="n">
        <v>5.24542234395527</v>
      </c>
      <c r="F3537" s="27" t="n">
        <v>5.24542234395527</v>
      </c>
      <c r="G3537" s="25" t="s">
        <v>1126</v>
      </c>
      <c r="H3537" s="25" t="s">
        <v>1127</v>
      </c>
      <c r="I3537" s="25" t="n">
        <f aca="false">IFERROR(IF(INDEX(Documents!$C$5:$C$657,MATCH(H3537,Documents!$A$5:$A$657,0))="","",INDEX(Documents!$C$5:$C$657,MATCH(H3537,Documents!$A$5:$A$657,0))),"")</f>
        <v>2012</v>
      </c>
      <c r="J3537" s="25" t="str">
        <f aca="false">IFERROR(IF(INDEX(Documents!$D$5:$D$657,MATCH(H3537,Documents!$A$5:$A$657,0))="","",INDEX(Documents!$D$5:$D$657,MATCH(H3537,Documents!$A$5:$A$657,0))),"")</f>
        <v>J Med Chem</v>
      </c>
      <c r="K3537" s="25" t="str">
        <f aca="false">IFERROR(IF(INDEX(Documents!$G$5:$G$657,MATCH(H3537,Documents!$A$5:$A$657,0))="","",INDEX(Documents!$G$5:$G$657,MATCH(H3537,Documents!$A$5:$A$657,0))),"")</f>
        <v>10.1021/jm301212u</v>
      </c>
      <c r="L3537" s="25" t="s">
        <v>1128</v>
      </c>
    </row>
    <row r="3538" customFormat="false" ht="15" hidden="false" customHeight="false" outlineLevel="0" collapsed="false">
      <c r="A3538" s="25" t="n">
        <v>12146223</v>
      </c>
      <c r="B3538" s="25" t="s">
        <v>7489</v>
      </c>
      <c r="C3538" s="25" t="s">
        <v>7490</v>
      </c>
      <c r="D3538" s="26" t="n">
        <v>9319</v>
      </c>
      <c r="E3538" s="27" t="n">
        <v>5.03063068826647</v>
      </c>
      <c r="F3538" s="27" t="n">
        <v>5.0306309212822</v>
      </c>
      <c r="G3538" s="25" t="s">
        <v>1126</v>
      </c>
      <c r="H3538" s="25" t="s">
        <v>1127</v>
      </c>
      <c r="I3538" s="25" t="n">
        <f aca="false">IFERROR(IF(INDEX(Documents!$C$5:$C$657,MATCH(H3538,Documents!$A$5:$A$657,0))="","",INDEX(Documents!$C$5:$C$657,MATCH(H3538,Documents!$A$5:$A$657,0))),"")</f>
        <v>2012</v>
      </c>
      <c r="J3538" s="25" t="str">
        <f aca="false">IFERROR(IF(INDEX(Documents!$D$5:$D$657,MATCH(H3538,Documents!$A$5:$A$657,0))="","",INDEX(Documents!$D$5:$D$657,MATCH(H3538,Documents!$A$5:$A$657,0))),"")</f>
        <v>J Med Chem</v>
      </c>
      <c r="K3538" s="25" t="str">
        <f aca="false">IFERROR(IF(INDEX(Documents!$G$5:$G$657,MATCH(H3538,Documents!$A$5:$A$657,0))="","",INDEX(Documents!$G$5:$G$657,MATCH(H3538,Documents!$A$5:$A$657,0))),"")</f>
        <v>10.1021/jm301212u</v>
      </c>
      <c r="L3538" s="25" t="s">
        <v>1128</v>
      </c>
    </row>
    <row r="3539" customFormat="false" ht="15" hidden="false" customHeight="false" outlineLevel="0" collapsed="false">
      <c r="A3539" s="25" t="n">
        <v>12146295</v>
      </c>
      <c r="B3539" s="25" t="s">
        <v>7489</v>
      </c>
      <c r="C3539" s="25" t="s">
        <v>7490</v>
      </c>
      <c r="D3539" s="26" t="n">
        <v>9318.99</v>
      </c>
      <c r="E3539" s="27" t="n">
        <v>5.03063115429793</v>
      </c>
      <c r="F3539" s="27" t="n">
        <v>5.0306309212822</v>
      </c>
      <c r="G3539" s="25" t="s">
        <v>1126</v>
      </c>
      <c r="H3539" s="25" t="s">
        <v>1127</v>
      </c>
      <c r="I3539" s="25" t="n">
        <f aca="false">IFERROR(IF(INDEX(Documents!$C$5:$C$657,MATCH(H3539,Documents!$A$5:$A$657,0))="","",INDEX(Documents!$C$5:$C$657,MATCH(H3539,Documents!$A$5:$A$657,0))),"")</f>
        <v>2012</v>
      </c>
      <c r="J3539" s="25" t="str">
        <f aca="false">IFERROR(IF(INDEX(Documents!$D$5:$D$657,MATCH(H3539,Documents!$A$5:$A$657,0))="","",INDEX(Documents!$D$5:$D$657,MATCH(H3539,Documents!$A$5:$A$657,0))),"")</f>
        <v>J Med Chem</v>
      </c>
      <c r="K3539" s="25" t="str">
        <f aca="false">IFERROR(IF(INDEX(Documents!$G$5:$G$657,MATCH(H3539,Documents!$A$5:$A$657,0))="","",INDEX(Documents!$G$5:$G$657,MATCH(H3539,Documents!$A$5:$A$657,0))),"")</f>
        <v>10.1021/jm301212u</v>
      </c>
      <c r="L3539" s="25" t="s">
        <v>1128</v>
      </c>
    </row>
    <row r="3540" customFormat="false" ht="15" hidden="false" customHeight="false" outlineLevel="0" collapsed="false">
      <c r="A3540" s="25" t="n">
        <v>12146228</v>
      </c>
      <c r="B3540" s="25" t="s">
        <v>7491</v>
      </c>
      <c r="C3540" s="25" t="s">
        <v>7492</v>
      </c>
      <c r="D3540" s="26" t="n">
        <v>2226</v>
      </c>
      <c r="E3540" s="27" t="n">
        <v>5.65247484000131</v>
      </c>
      <c r="F3540" s="27" t="n">
        <v>5.65247484000131</v>
      </c>
      <c r="G3540" s="25" t="s">
        <v>1126</v>
      </c>
      <c r="H3540" s="25" t="s">
        <v>1127</v>
      </c>
      <c r="I3540" s="25" t="n">
        <f aca="false">IFERROR(IF(INDEX(Documents!$C$5:$C$657,MATCH(H3540,Documents!$A$5:$A$657,0))="","",INDEX(Documents!$C$5:$C$657,MATCH(H3540,Documents!$A$5:$A$657,0))),"")</f>
        <v>2012</v>
      </c>
      <c r="J3540" s="25" t="str">
        <f aca="false">IFERROR(IF(INDEX(Documents!$D$5:$D$657,MATCH(H3540,Documents!$A$5:$A$657,0))="","",INDEX(Documents!$D$5:$D$657,MATCH(H3540,Documents!$A$5:$A$657,0))),"")</f>
        <v>J Med Chem</v>
      </c>
      <c r="K3540" s="25" t="str">
        <f aca="false">IFERROR(IF(INDEX(Documents!$G$5:$G$657,MATCH(H3540,Documents!$A$5:$A$657,0))="","",INDEX(Documents!$G$5:$G$657,MATCH(H3540,Documents!$A$5:$A$657,0))),"")</f>
        <v>10.1021/jm301212u</v>
      </c>
      <c r="L3540" s="25" t="s">
        <v>1128</v>
      </c>
    </row>
    <row r="3541" customFormat="false" ht="15" hidden="false" customHeight="false" outlineLevel="0" collapsed="false">
      <c r="A3541" s="25" t="n">
        <v>12146290</v>
      </c>
      <c r="B3541" s="25" t="s">
        <v>7491</v>
      </c>
      <c r="C3541" s="25" t="s">
        <v>7492</v>
      </c>
      <c r="D3541" s="26" t="n">
        <v>2226</v>
      </c>
      <c r="E3541" s="27" t="n">
        <v>5.65247484000131</v>
      </c>
      <c r="F3541" s="27" t="n">
        <v>5.65247484000131</v>
      </c>
      <c r="G3541" s="25" t="s">
        <v>1126</v>
      </c>
      <c r="H3541" s="25" t="s">
        <v>1127</v>
      </c>
      <c r="I3541" s="25" t="n">
        <f aca="false">IFERROR(IF(INDEX(Documents!$C$5:$C$657,MATCH(H3541,Documents!$A$5:$A$657,0))="","",INDEX(Documents!$C$5:$C$657,MATCH(H3541,Documents!$A$5:$A$657,0))),"")</f>
        <v>2012</v>
      </c>
      <c r="J3541" s="25" t="str">
        <f aca="false">IFERROR(IF(INDEX(Documents!$D$5:$D$657,MATCH(H3541,Documents!$A$5:$A$657,0))="","",INDEX(Documents!$D$5:$D$657,MATCH(H3541,Documents!$A$5:$A$657,0))),"")</f>
        <v>J Med Chem</v>
      </c>
      <c r="K3541" s="25" t="str">
        <f aca="false">IFERROR(IF(INDEX(Documents!$G$5:$G$657,MATCH(H3541,Documents!$A$5:$A$657,0))="","",INDEX(Documents!$G$5:$G$657,MATCH(H3541,Documents!$A$5:$A$657,0))),"")</f>
        <v>10.1021/jm301212u</v>
      </c>
      <c r="L3541" s="25" t="s">
        <v>1128</v>
      </c>
    </row>
    <row r="3542" customFormat="false" ht="15" hidden="false" customHeight="false" outlineLevel="0" collapsed="false">
      <c r="A3542" s="25" t="n">
        <v>12146233</v>
      </c>
      <c r="B3542" s="25" t="s">
        <v>7493</v>
      </c>
      <c r="C3542" s="25" t="s">
        <v>7494</v>
      </c>
      <c r="D3542" s="26" t="n">
        <v>596</v>
      </c>
      <c r="E3542" s="27" t="n">
        <v>6.22475374025976</v>
      </c>
      <c r="F3542" s="27" t="n">
        <v>6.22475374025976</v>
      </c>
      <c r="G3542" s="25" t="s">
        <v>1126</v>
      </c>
      <c r="H3542" s="25" t="s">
        <v>1127</v>
      </c>
      <c r="I3542" s="25" t="n">
        <f aca="false">IFERROR(IF(INDEX(Documents!$C$5:$C$657,MATCH(H3542,Documents!$A$5:$A$657,0))="","",INDEX(Documents!$C$5:$C$657,MATCH(H3542,Documents!$A$5:$A$657,0))),"")</f>
        <v>2012</v>
      </c>
      <c r="J3542" s="25" t="str">
        <f aca="false">IFERROR(IF(INDEX(Documents!$D$5:$D$657,MATCH(H3542,Documents!$A$5:$A$657,0))="","",INDEX(Documents!$D$5:$D$657,MATCH(H3542,Documents!$A$5:$A$657,0))),"")</f>
        <v>J Med Chem</v>
      </c>
      <c r="K3542" s="25" t="str">
        <f aca="false">IFERROR(IF(INDEX(Documents!$G$5:$G$657,MATCH(H3542,Documents!$A$5:$A$657,0))="","",INDEX(Documents!$G$5:$G$657,MATCH(H3542,Documents!$A$5:$A$657,0))),"")</f>
        <v>10.1021/jm301212u</v>
      </c>
      <c r="L3542" s="25" t="s">
        <v>1128</v>
      </c>
    </row>
    <row r="3543" customFormat="false" ht="15" hidden="false" customHeight="false" outlineLevel="0" collapsed="false">
      <c r="A3543" s="25" t="n">
        <v>12146284</v>
      </c>
      <c r="B3543" s="25" t="s">
        <v>7493</v>
      </c>
      <c r="C3543" s="25" t="s">
        <v>7494</v>
      </c>
      <c r="D3543" s="26" t="n">
        <v>596</v>
      </c>
      <c r="E3543" s="27" t="n">
        <v>6.22475374025976</v>
      </c>
      <c r="F3543" s="27" t="n">
        <v>6.22475374025976</v>
      </c>
      <c r="G3543" s="25" t="s">
        <v>1126</v>
      </c>
      <c r="H3543" s="25" t="s">
        <v>1127</v>
      </c>
      <c r="I3543" s="25" t="n">
        <f aca="false">IFERROR(IF(INDEX(Documents!$C$5:$C$657,MATCH(H3543,Documents!$A$5:$A$657,0))="","",INDEX(Documents!$C$5:$C$657,MATCH(H3543,Documents!$A$5:$A$657,0))),"")</f>
        <v>2012</v>
      </c>
      <c r="J3543" s="25" t="str">
        <f aca="false">IFERROR(IF(INDEX(Documents!$D$5:$D$657,MATCH(H3543,Documents!$A$5:$A$657,0))="","",INDEX(Documents!$D$5:$D$657,MATCH(H3543,Documents!$A$5:$A$657,0))),"")</f>
        <v>J Med Chem</v>
      </c>
      <c r="K3543" s="25" t="str">
        <f aca="false">IFERROR(IF(INDEX(Documents!$G$5:$G$657,MATCH(H3543,Documents!$A$5:$A$657,0))="","",INDEX(Documents!$G$5:$G$657,MATCH(H3543,Documents!$A$5:$A$657,0))),"")</f>
        <v>10.1021/jm301212u</v>
      </c>
      <c r="L3543" s="25" t="s">
        <v>1128</v>
      </c>
    </row>
    <row r="3544" customFormat="false" ht="15" hidden="false" customHeight="false" outlineLevel="0" collapsed="false">
      <c r="A3544" s="25" t="n">
        <v>12146226</v>
      </c>
      <c r="B3544" s="25" t="s">
        <v>7495</v>
      </c>
      <c r="C3544" s="25" t="s">
        <v>7496</v>
      </c>
      <c r="D3544" s="26" t="n">
        <v>3081</v>
      </c>
      <c r="E3544" s="27" t="n">
        <v>5.51130830168306</v>
      </c>
      <c r="F3544" s="27" t="n">
        <v>5.51130830168306</v>
      </c>
      <c r="G3544" s="25" t="s">
        <v>1126</v>
      </c>
      <c r="H3544" s="25" t="s">
        <v>1127</v>
      </c>
      <c r="I3544" s="25" t="n">
        <f aca="false">IFERROR(IF(INDEX(Documents!$C$5:$C$657,MATCH(H3544,Documents!$A$5:$A$657,0))="","",INDEX(Documents!$C$5:$C$657,MATCH(H3544,Documents!$A$5:$A$657,0))),"")</f>
        <v>2012</v>
      </c>
      <c r="J3544" s="25" t="str">
        <f aca="false">IFERROR(IF(INDEX(Documents!$D$5:$D$657,MATCH(H3544,Documents!$A$5:$A$657,0))="","",INDEX(Documents!$D$5:$D$657,MATCH(H3544,Documents!$A$5:$A$657,0))),"")</f>
        <v>J Med Chem</v>
      </c>
      <c r="K3544" s="25" t="str">
        <f aca="false">IFERROR(IF(INDEX(Documents!$G$5:$G$657,MATCH(H3544,Documents!$A$5:$A$657,0))="","",INDEX(Documents!$G$5:$G$657,MATCH(H3544,Documents!$A$5:$A$657,0))),"")</f>
        <v>10.1021/jm301212u</v>
      </c>
      <c r="L3544" s="25" t="s">
        <v>1128</v>
      </c>
    </row>
    <row r="3545" customFormat="false" ht="15" hidden="false" customHeight="false" outlineLevel="0" collapsed="false">
      <c r="A3545" s="25" t="n">
        <v>12146292</v>
      </c>
      <c r="B3545" s="25" t="s">
        <v>7495</v>
      </c>
      <c r="C3545" s="25" t="s">
        <v>7496</v>
      </c>
      <c r="D3545" s="26" t="n">
        <v>3081</v>
      </c>
      <c r="E3545" s="27" t="n">
        <v>5.51130830168306</v>
      </c>
      <c r="F3545" s="27" t="n">
        <v>5.51130830168306</v>
      </c>
      <c r="G3545" s="25" t="s">
        <v>1126</v>
      </c>
      <c r="H3545" s="25" t="s">
        <v>1127</v>
      </c>
      <c r="I3545" s="25" t="n">
        <f aca="false">IFERROR(IF(INDEX(Documents!$C$5:$C$657,MATCH(H3545,Documents!$A$5:$A$657,0))="","",INDEX(Documents!$C$5:$C$657,MATCH(H3545,Documents!$A$5:$A$657,0))),"")</f>
        <v>2012</v>
      </c>
      <c r="J3545" s="25" t="str">
        <f aca="false">IFERROR(IF(INDEX(Documents!$D$5:$D$657,MATCH(H3545,Documents!$A$5:$A$657,0))="","",INDEX(Documents!$D$5:$D$657,MATCH(H3545,Documents!$A$5:$A$657,0))),"")</f>
        <v>J Med Chem</v>
      </c>
      <c r="K3545" s="25" t="str">
        <f aca="false">IFERROR(IF(INDEX(Documents!$G$5:$G$657,MATCH(H3545,Documents!$A$5:$A$657,0))="","",INDEX(Documents!$G$5:$G$657,MATCH(H3545,Documents!$A$5:$A$657,0))),"")</f>
        <v>10.1021/jm301212u</v>
      </c>
      <c r="L3545" s="25" t="s">
        <v>1128</v>
      </c>
    </row>
    <row r="3546" customFormat="false" ht="15" hidden="false" customHeight="false" outlineLevel="0" collapsed="false">
      <c r="A3546" s="25" t="n">
        <v>12146220</v>
      </c>
      <c r="B3546" s="25" t="s">
        <v>7497</v>
      </c>
      <c r="C3546" s="25" t="s">
        <v>7498</v>
      </c>
      <c r="D3546" s="26" t="n">
        <v>10900</v>
      </c>
      <c r="E3546" s="27" t="n">
        <v>4.96257350205938</v>
      </c>
      <c r="F3546" s="27" t="n">
        <v>4.96257370127712</v>
      </c>
      <c r="G3546" s="25" t="s">
        <v>1126</v>
      </c>
      <c r="H3546" s="25" t="s">
        <v>1127</v>
      </c>
      <c r="I3546" s="25" t="n">
        <f aca="false">IFERROR(IF(INDEX(Documents!$C$5:$C$657,MATCH(H3546,Documents!$A$5:$A$657,0))="","",INDEX(Documents!$C$5:$C$657,MATCH(H3546,Documents!$A$5:$A$657,0))),"")</f>
        <v>2012</v>
      </c>
      <c r="J3546" s="25" t="str">
        <f aca="false">IFERROR(IF(INDEX(Documents!$D$5:$D$657,MATCH(H3546,Documents!$A$5:$A$657,0))="","",INDEX(Documents!$D$5:$D$657,MATCH(H3546,Documents!$A$5:$A$657,0))),"")</f>
        <v>J Med Chem</v>
      </c>
      <c r="K3546" s="25" t="str">
        <f aca="false">IFERROR(IF(INDEX(Documents!$G$5:$G$657,MATCH(H3546,Documents!$A$5:$A$657,0))="","",INDEX(Documents!$G$5:$G$657,MATCH(H3546,Documents!$A$5:$A$657,0))),"")</f>
        <v>10.1021/jm301212u</v>
      </c>
      <c r="L3546" s="25" t="s">
        <v>1128</v>
      </c>
    </row>
    <row r="3547" customFormat="false" ht="15" hidden="false" customHeight="false" outlineLevel="0" collapsed="false">
      <c r="A3547" s="25" t="n">
        <v>12146298</v>
      </c>
      <c r="B3547" s="25" t="s">
        <v>7497</v>
      </c>
      <c r="C3547" s="25" t="s">
        <v>7498</v>
      </c>
      <c r="D3547" s="26" t="n">
        <v>10899.99</v>
      </c>
      <c r="E3547" s="27" t="n">
        <v>4.96257390049486</v>
      </c>
      <c r="F3547" s="27" t="n">
        <v>4.96257370127712</v>
      </c>
      <c r="G3547" s="25" t="s">
        <v>1126</v>
      </c>
      <c r="H3547" s="25" t="s">
        <v>1127</v>
      </c>
      <c r="I3547" s="25" t="n">
        <f aca="false">IFERROR(IF(INDEX(Documents!$C$5:$C$657,MATCH(H3547,Documents!$A$5:$A$657,0))="","",INDEX(Documents!$C$5:$C$657,MATCH(H3547,Documents!$A$5:$A$657,0))),"")</f>
        <v>2012</v>
      </c>
      <c r="J3547" s="25" t="str">
        <f aca="false">IFERROR(IF(INDEX(Documents!$D$5:$D$657,MATCH(H3547,Documents!$A$5:$A$657,0))="","",INDEX(Documents!$D$5:$D$657,MATCH(H3547,Documents!$A$5:$A$657,0))),"")</f>
        <v>J Med Chem</v>
      </c>
      <c r="K3547" s="25" t="str">
        <f aca="false">IFERROR(IF(INDEX(Documents!$G$5:$G$657,MATCH(H3547,Documents!$A$5:$A$657,0))="","",INDEX(Documents!$G$5:$G$657,MATCH(H3547,Documents!$A$5:$A$657,0))),"")</f>
        <v>10.1021/jm301212u</v>
      </c>
      <c r="L3547" s="25" t="s">
        <v>1128</v>
      </c>
    </row>
    <row r="3548" customFormat="false" ht="15" hidden="false" customHeight="false" outlineLevel="0" collapsed="false">
      <c r="A3548" s="25" t="n">
        <v>12146241</v>
      </c>
      <c r="B3548" s="25" t="s">
        <v>7499</v>
      </c>
      <c r="C3548" s="25" t="s">
        <v>7500</v>
      </c>
      <c r="D3548" s="26" t="n">
        <v>203</v>
      </c>
      <c r="E3548" s="27" t="n">
        <v>6.69250396208679</v>
      </c>
      <c r="F3548" s="27" t="n">
        <v>6.69250396208679</v>
      </c>
      <c r="G3548" s="25" t="s">
        <v>1126</v>
      </c>
      <c r="H3548" s="25" t="s">
        <v>1127</v>
      </c>
      <c r="I3548" s="25" t="n">
        <f aca="false">IFERROR(IF(INDEX(Documents!$C$5:$C$657,MATCH(H3548,Documents!$A$5:$A$657,0))="","",INDEX(Documents!$C$5:$C$657,MATCH(H3548,Documents!$A$5:$A$657,0))),"")</f>
        <v>2012</v>
      </c>
      <c r="J3548" s="25" t="str">
        <f aca="false">IFERROR(IF(INDEX(Documents!$D$5:$D$657,MATCH(H3548,Documents!$A$5:$A$657,0))="","",INDEX(Documents!$D$5:$D$657,MATCH(H3548,Documents!$A$5:$A$657,0))),"")</f>
        <v>J Med Chem</v>
      </c>
      <c r="K3548" s="25" t="str">
        <f aca="false">IFERROR(IF(INDEX(Documents!$G$5:$G$657,MATCH(H3548,Documents!$A$5:$A$657,0))="","",INDEX(Documents!$G$5:$G$657,MATCH(H3548,Documents!$A$5:$A$657,0))),"")</f>
        <v>10.1021/jm301212u</v>
      </c>
      <c r="L3548" s="25" t="s">
        <v>1128</v>
      </c>
    </row>
    <row r="3549" customFormat="false" ht="15" hidden="false" customHeight="false" outlineLevel="0" collapsed="false">
      <c r="A3549" s="25" t="n">
        <v>12146276</v>
      </c>
      <c r="B3549" s="25" t="s">
        <v>7499</v>
      </c>
      <c r="C3549" s="25" t="s">
        <v>7500</v>
      </c>
      <c r="D3549" s="26" t="n">
        <v>203</v>
      </c>
      <c r="E3549" s="27" t="n">
        <v>6.69250396208679</v>
      </c>
      <c r="F3549" s="27" t="n">
        <v>6.69250396208679</v>
      </c>
      <c r="G3549" s="25" t="s">
        <v>1126</v>
      </c>
      <c r="H3549" s="25" t="s">
        <v>1127</v>
      </c>
      <c r="I3549" s="25" t="n">
        <f aca="false">IFERROR(IF(INDEX(Documents!$C$5:$C$657,MATCH(H3549,Documents!$A$5:$A$657,0))="","",INDEX(Documents!$C$5:$C$657,MATCH(H3549,Documents!$A$5:$A$657,0))),"")</f>
        <v>2012</v>
      </c>
      <c r="J3549" s="25" t="str">
        <f aca="false">IFERROR(IF(INDEX(Documents!$D$5:$D$657,MATCH(H3549,Documents!$A$5:$A$657,0))="","",INDEX(Documents!$D$5:$D$657,MATCH(H3549,Documents!$A$5:$A$657,0))),"")</f>
        <v>J Med Chem</v>
      </c>
      <c r="K3549" s="25" t="str">
        <f aca="false">IFERROR(IF(INDEX(Documents!$G$5:$G$657,MATCH(H3549,Documents!$A$5:$A$657,0))="","",INDEX(Documents!$G$5:$G$657,MATCH(H3549,Documents!$A$5:$A$657,0))),"")</f>
        <v>10.1021/jm301212u</v>
      </c>
      <c r="L3549" s="25" t="s">
        <v>1128</v>
      </c>
    </row>
    <row r="3550" customFormat="false" ht="15" hidden="false" customHeight="false" outlineLevel="0" collapsed="false">
      <c r="A3550" s="25" t="n">
        <v>12146255</v>
      </c>
      <c r="B3550" s="25" t="s">
        <v>7501</v>
      </c>
      <c r="C3550" s="25" t="s">
        <v>7502</v>
      </c>
      <c r="D3550" s="26" t="n">
        <v>71</v>
      </c>
      <c r="E3550" s="27" t="n">
        <v>7.14874165128093</v>
      </c>
      <c r="F3550" s="27" t="n">
        <v>7.14874165128093</v>
      </c>
      <c r="G3550" s="25" t="s">
        <v>1126</v>
      </c>
      <c r="H3550" s="25" t="s">
        <v>1127</v>
      </c>
      <c r="I3550" s="25" t="n">
        <f aca="false">IFERROR(IF(INDEX(Documents!$C$5:$C$657,MATCH(H3550,Documents!$A$5:$A$657,0))="","",INDEX(Documents!$C$5:$C$657,MATCH(H3550,Documents!$A$5:$A$657,0))),"")</f>
        <v>2012</v>
      </c>
      <c r="J3550" s="25" t="str">
        <f aca="false">IFERROR(IF(INDEX(Documents!$D$5:$D$657,MATCH(H3550,Documents!$A$5:$A$657,0))="","",INDEX(Documents!$D$5:$D$657,MATCH(H3550,Documents!$A$5:$A$657,0))),"")</f>
        <v>J Med Chem</v>
      </c>
      <c r="K3550" s="25" t="str">
        <f aca="false">IFERROR(IF(INDEX(Documents!$G$5:$G$657,MATCH(H3550,Documents!$A$5:$A$657,0))="","",INDEX(Documents!$G$5:$G$657,MATCH(H3550,Documents!$A$5:$A$657,0))),"")</f>
        <v>10.1021/jm301212u</v>
      </c>
      <c r="L3550" s="25" t="s">
        <v>1128</v>
      </c>
    </row>
    <row r="3551" customFormat="false" ht="15" hidden="false" customHeight="false" outlineLevel="0" collapsed="false">
      <c r="A3551" s="25" t="n">
        <v>12146267</v>
      </c>
      <c r="B3551" s="25" t="s">
        <v>7501</v>
      </c>
      <c r="C3551" s="25" t="s">
        <v>7502</v>
      </c>
      <c r="D3551" s="26" t="n">
        <v>71</v>
      </c>
      <c r="E3551" s="27" t="n">
        <v>7.14874165128093</v>
      </c>
      <c r="F3551" s="27" t="n">
        <v>7.14874165128093</v>
      </c>
      <c r="G3551" s="25" t="s">
        <v>1126</v>
      </c>
      <c r="H3551" s="25" t="s">
        <v>1127</v>
      </c>
      <c r="I3551" s="25" t="n">
        <f aca="false">IFERROR(IF(INDEX(Documents!$C$5:$C$657,MATCH(H3551,Documents!$A$5:$A$657,0))="","",INDEX(Documents!$C$5:$C$657,MATCH(H3551,Documents!$A$5:$A$657,0))),"")</f>
        <v>2012</v>
      </c>
      <c r="J3551" s="25" t="str">
        <f aca="false">IFERROR(IF(INDEX(Documents!$D$5:$D$657,MATCH(H3551,Documents!$A$5:$A$657,0))="","",INDEX(Documents!$D$5:$D$657,MATCH(H3551,Documents!$A$5:$A$657,0))),"")</f>
        <v>J Med Chem</v>
      </c>
      <c r="K3551" s="25" t="str">
        <f aca="false">IFERROR(IF(INDEX(Documents!$G$5:$G$657,MATCH(H3551,Documents!$A$5:$A$657,0))="","",INDEX(Documents!$G$5:$G$657,MATCH(H3551,Documents!$A$5:$A$657,0))),"")</f>
        <v>10.1021/jm301212u</v>
      </c>
      <c r="L3551" s="25" t="s">
        <v>1128</v>
      </c>
    </row>
    <row r="3552" customFormat="false" ht="15" hidden="false" customHeight="false" outlineLevel="0" collapsed="false">
      <c r="A3552" s="25" t="n">
        <v>12146234</v>
      </c>
      <c r="B3552" s="25" t="s">
        <v>7503</v>
      </c>
      <c r="C3552" s="25" t="s">
        <v>7504</v>
      </c>
      <c r="D3552" s="26" t="n">
        <v>595</v>
      </c>
      <c r="E3552" s="27" t="n">
        <v>6.22548303427145</v>
      </c>
      <c r="F3552" s="27" t="n">
        <v>6.22548303427145</v>
      </c>
      <c r="G3552" s="25" t="s">
        <v>1126</v>
      </c>
      <c r="H3552" s="25" t="s">
        <v>1127</v>
      </c>
      <c r="I3552" s="25" t="n">
        <f aca="false">IFERROR(IF(INDEX(Documents!$C$5:$C$657,MATCH(H3552,Documents!$A$5:$A$657,0))="","",INDEX(Documents!$C$5:$C$657,MATCH(H3552,Documents!$A$5:$A$657,0))),"")</f>
        <v>2012</v>
      </c>
      <c r="J3552" s="25" t="str">
        <f aca="false">IFERROR(IF(INDEX(Documents!$D$5:$D$657,MATCH(H3552,Documents!$A$5:$A$657,0))="","",INDEX(Documents!$D$5:$D$657,MATCH(H3552,Documents!$A$5:$A$657,0))),"")</f>
        <v>J Med Chem</v>
      </c>
      <c r="K3552" s="25" t="str">
        <f aca="false">IFERROR(IF(INDEX(Documents!$G$5:$G$657,MATCH(H3552,Documents!$A$5:$A$657,0))="","",INDEX(Documents!$G$5:$G$657,MATCH(H3552,Documents!$A$5:$A$657,0))),"")</f>
        <v>10.1021/jm301212u</v>
      </c>
      <c r="L3552" s="25" t="s">
        <v>1128</v>
      </c>
    </row>
    <row r="3553" customFormat="false" ht="15" hidden="false" customHeight="false" outlineLevel="0" collapsed="false">
      <c r="A3553" s="25" t="n">
        <v>12146283</v>
      </c>
      <c r="B3553" s="25" t="s">
        <v>7503</v>
      </c>
      <c r="C3553" s="25" t="s">
        <v>7504</v>
      </c>
      <c r="D3553" s="26" t="n">
        <v>595</v>
      </c>
      <c r="E3553" s="27" t="n">
        <v>6.22548303427145</v>
      </c>
      <c r="F3553" s="27" t="n">
        <v>6.22548303427145</v>
      </c>
      <c r="G3553" s="25" t="s">
        <v>1126</v>
      </c>
      <c r="H3553" s="25" t="s">
        <v>1127</v>
      </c>
      <c r="I3553" s="25" t="n">
        <f aca="false">IFERROR(IF(INDEX(Documents!$C$5:$C$657,MATCH(H3553,Documents!$A$5:$A$657,0))="","",INDEX(Documents!$C$5:$C$657,MATCH(H3553,Documents!$A$5:$A$657,0))),"")</f>
        <v>2012</v>
      </c>
      <c r="J3553" s="25" t="str">
        <f aca="false">IFERROR(IF(INDEX(Documents!$D$5:$D$657,MATCH(H3553,Documents!$A$5:$A$657,0))="","",INDEX(Documents!$D$5:$D$657,MATCH(H3553,Documents!$A$5:$A$657,0))),"")</f>
        <v>J Med Chem</v>
      </c>
      <c r="K3553" s="25" t="str">
        <f aca="false">IFERROR(IF(INDEX(Documents!$G$5:$G$657,MATCH(H3553,Documents!$A$5:$A$657,0))="","",INDEX(Documents!$G$5:$G$657,MATCH(H3553,Documents!$A$5:$A$657,0))),"")</f>
        <v>10.1021/jm301212u</v>
      </c>
      <c r="L3553" s="25" t="s">
        <v>1128</v>
      </c>
    </row>
    <row r="3554" customFormat="false" ht="15" hidden="false" customHeight="false" outlineLevel="0" collapsed="false">
      <c r="A3554" s="25" t="n">
        <v>12146301</v>
      </c>
      <c r="B3554" s="25" t="s">
        <v>7505</v>
      </c>
      <c r="C3554" s="25" t="s">
        <v>7506</v>
      </c>
      <c r="D3554" s="26" t="n">
        <v>12670.01</v>
      </c>
      <c r="E3554" s="27" t="n">
        <v>4.89722304234283</v>
      </c>
      <c r="F3554" s="27" t="n">
        <v>4.8972232137297</v>
      </c>
      <c r="G3554" s="25" t="s">
        <v>1126</v>
      </c>
      <c r="H3554" s="25" t="s">
        <v>1127</v>
      </c>
      <c r="I3554" s="25" t="n">
        <f aca="false">IFERROR(IF(INDEX(Documents!$C$5:$C$657,MATCH(H3554,Documents!$A$5:$A$657,0))="","",INDEX(Documents!$C$5:$C$657,MATCH(H3554,Documents!$A$5:$A$657,0))),"")</f>
        <v>2012</v>
      </c>
      <c r="J3554" s="25" t="str">
        <f aca="false">IFERROR(IF(INDEX(Documents!$D$5:$D$657,MATCH(H3554,Documents!$A$5:$A$657,0))="","",INDEX(Documents!$D$5:$D$657,MATCH(H3554,Documents!$A$5:$A$657,0))),"")</f>
        <v>J Med Chem</v>
      </c>
      <c r="K3554" s="25" t="str">
        <f aca="false">IFERROR(IF(INDEX(Documents!$G$5:$G$657,MATCH(H3554,Documents!$A$5:$A$657,0))="","",INDEX(Documents!$G$5:$G$657,MATCH(H3554,Documents!$A$5:$A$657,0))),"")</f>
        <v>10.1021/jm301212u</v>
      </c>
      <c r="L3554" s="25" t="s">
        <v>1128</v>
      </c>
    </row>
    <row r="3555" customFormat="false" ht="15" hidden="false" customHeight="false" outlineLevel="0" collapsed="false">
      <c r="A3555" s="25" t="n">
        <v>12146217</v>
      </c>
      <c r="B3555" s="25" t="s">
        <v>7505</v>
      </c>
      <c r="C3555" s="25" t="s">
        <v>7506</v>
      </c>
      <c r="D3555" s="26" t="n">
        <v>12670</v>
      </c>
      <c r="E3555" s="27" t="n">
        <v>4.89722338511656</v>
      </c>
      <c r="F3555" s="27" t="n">
        <v>4.8972232137297</v>
      </c>
      <c r="G3555" s="25" t="s">
        <v>1126</v>
      </c>
      <c r="H3555" s="25" t="s">
        <v>1127</v>
      </c>
      <c r="I3555" s="25" t="n">
        <f aca="false">IFERROR(IF(INDEX(Documents!$C$5:$C$657,MATCH(H3555,Documents!$A$5:$A$657,0))="","",INDEX(Documents!$C$5:$C$657,MATCH(H3555,Documents!$A$5:$A$657,0))),"")</f>
        <v>2012</v>
      </c>
      <c r="J3555" s="25" t="str">
        <f aca="false">IFERROR(IF(INDEX(Documents!$D$5:$D$657,MATCH(H3555,Documents!$A$5:$A$657,0))="","",INDEX(Documents!$D$5:$D$657,MATCH(H3555,Documents!$A$5:$A$657,0))),"")</f>
        <v>J Med Chem</v>
      </c>
      <c r="K3555" s="25" t="str">
        <f aca="false">IFERROR(IF(INDEX(Documents!$G$5:$G$657,MATCH(H3555,Documents!$A$5:$A$657,0))="","",INDEX(Documents!$G$5:$G$657,MATCH(H3555,Documents!$A$5:$A$657,0))),"")</f>
        <v>10.1021/jm301212u</v>
      </c>
      <c r="L3555" s="25" t="s">
        <v>1128</v>
      </c>
    </row>
    <row r="3556" customFormat="false" ht="15" hidden="false" customHeight="false" outlineLevel="0" collapsed="false">
      <c r="A3556" s="25" t="n">
        <v>12146222</v>
      </c>
      <c r="B3556" s="25" t="s">
        <v>7507</v>
      </c>
      <c r="C3556" s="25" t="s">
        <v>7508</v>
      </c>
      <c r="D3556" s="26" t="n">
        <v>9930</v>
      </c>
      <c r="E3556" s="27" t="n">
        <v>5.00305075150462</v>
      </c>
      <c r="F3556" s="27" t="n">
        <v>5.00305097018272</v>
      </c>
      <c r="G3556" s="25" t="s">
        <v>1126</v>
      </c>
      <c r="H3556" s="25" t="s">
        <v>1127</v>
      </c>
      <c r="I3556" s="25" t="n">
        <f aca="false">IFERROR(IF(INDEX(Documents!$C$5:$C$657,MATCH(H3556,Documents!$A$5:$A$657,0))="","",INDEX(Documents!$C$5:$C$657,MATCH(H3556,Documents!$A$5:$A$657,0))),"")</f>
        <v>2012</v>
      </c>
      <c r="J3556" s="25" t="str">
        <f aca="false">IFERROR(IF(INDEX(Documents!$D$5:$D$657,MATCH(H3556,Documents!$A$5:$A$657,0))="","",INDEX(Documents!$D$5:$D$657,MATCH(H3556,Documents!$A$5:$A$657,0))),"")</f>
        <v>J Med Chem</v>
      </c>
      <c r="K3556" s="25" t="str">
        <f aca="false">IFERROR(IF(INDEX(Documents!$G$5:$G$657,MATCH(H3556,Documents!$A$5:$A$657,0))="","",INDEX(Documents!$G$5:$G$657,MATCH(H3556,Documents!$A$5:$A$657,0))),"")</f>
        <v>10.1021/jm301212u</v>
      </c>
      <c r="L3556" s="25" t="s">
        <v>1128</v>
      </c>
    </row>
    <row r="3557" customFormat="false" ht="15" hidden="false" customHeight="false" outlineLevel="0" collapsed="false">
      <c r="A3557" s="25" t="n">
        <v>12146296</v>
      </c>
      <c r="B3557" s="25" t="s">
        <v>7507</v>
      </c>
      <c r="C3557" s="25" t="s">
        <v>7508</v>
      </c>
      <c r="D3557" s="26" t="n">
        <v>9929.99</v>
      </c>
      <c r="E3557" s="27" t="n">
        <v>5.00305118886081</v>
      </c>
      <c r="F3557" s="27" t="n">
        <v>5.00305097018272</v>
      </c>
      <c r="G3557" s="25" t="s">
        <v>1126</v>
      </c>
      <c r="H3557" s="25" t="s">
        <v>1127</v>
      </c>
      <c r="I3557" s="25" t="n">
        <f aca="false">IFERROR(IF(INDEX(Documents!$C$5:$C$657,MATCH(H3557,Documents!$A$5:$A$657,0))="","",INDEX(Documents!$C$5:$C$657,MATCH(H3557,Documents!$A$5:$A$657,0))),"")</f>
        <v>2012</v>
      </c>
      <c r="J3557" s="25" t="str">
        <f aca="false">IFERROR(IF(INDEX(Documents!$D$5:$D$657,MATCH(H3557,Documents!$A$5:$A$657,0))="","",INDEX(Documents!$D$5:$D$657,MATCH(H3557,Documents!$A$5:$A$657,0))),"")</f>
        <v>J Med Chem</v>
      </c>
      <c r="K3557" s="25" t="str">
        <f aca="false">IFERROR(IF(INDEX(Documents!$G$5:$G$657,MATCH(H3557,Documents!$A$5:$A$657,0))="","",INDEX(Documents!$G$5:$G$657,MATCH(H3557,Documents!$A$5:$A$657,0))),"")</f>
        <v>10.1021/jm301212u</v>
      </c>
      <c r="L3557" s="25" t="s">
        <v>1128</v>
      </c>
    </row>
    <row r="3558" customFormat="false" ht="15" hidden="false" customHeight="false" outlineLevel="0" collapsed="false">
      <c r="A3558" s="25" t="n">
        <v>12146219</v>
      </c>
      <c r="B3558" s="25" t="s">
        <v>7509</v>
      </c>
      <c r="C3558" s="25" t="s">
        <v>7510</v>
      </c>
      <c r="D3558" s="26" t="n">
        <v>11780</v>
      </c>
      <c r="E3558" s="27" t="n">
        <v>4.92885470954892</v>
      </c>
      <c r="F3558" s="27" t="n">
        <v>4.92885489388451</v>
      </c>
      <c r="G3558" s="25" t="s">
        <v>1126</v>
      </c>
      <c r="H3558" s="25" t="s">
        <v>1127</v>
      </c>
      <c r="I3558" s="25" t="n">
        <f aca="false">IFERROR(IF(INDEX(Documents!$C$5:$C$657,MATCH(H3558,Documents!$A$5:$A$657,0))="","",INDEX(Documents!$C$5:$C$657,MATCH(H3558,Documents!$A$5:$A$657,0))),"")</f>
        <v>2012</v>
      </c>
      <c r="J3558" s="25" t="str">
        <f aca="false">IFERROR(IF(INDEX(Documents!$D$5:$D$657,MATCH(H3558,Documents!$A$5:$A$657,0))="","",INDEX(Documents!$D$5:$D$657,MATCH(H3558,Documents!$A$5:$A$657,0))),"")</f>
        <v>J Med Chem</v>
      </c>
      <c r="K3558" s="25" t="str">
        <f aca="false">IFERROR(IF(INDEX(Documents!$G$5:$G$657,MATCH(H3558,Documents!$A$5:$A$657,0))="","",INDEX(Documents!$G$5:$G$657,MATCH(H3558,Documents!$A$5:$A$657,0))),"")</f>
        <v>10.1021/jm301212u</v>
      </c>
      <c r="L3558" s="25" t="s">
        <v>1128</v>
      </c>
    </row>
    <row r="3559" customFormat="false" ht="15" hidden="false" customHeight="false" outlineLevel="0" collapsed="false">
      <c r="A3559" s="25" t="n">
        <v>12146299</v>
      </c>
      <c r="B3559" s="25" t="s">
        <v>7509</v>
      </c>
      <c r="C3559" s="25" t="s">
        <v>7510</v>
      </c>
      <c r="D3559" s="26" t="n">
        <v>11779.99</v>
      </c>
      <c r="E3559" s="27" t="n">
        <v>4.92885507822011</v>
      </c>
      <c r="F3559" s="27" t="n">
        <v>4.92885489388451</v>
      </c>
      <c r="G3559" s="25" t="s">
        <v>1126</v>
      </c>
      <c r="H3559" s="25" t="s">
        <v>1127</v>
      </c>
      <c r="I3559" s="25" t="n">
        <f aca="false">IFERROR(IF(INDEX(Documents!$C$5:$C$657,MATCH(H3559,Documents!$A$5:$A$657,0))="","",INDEX(Documents!$C$5:$C$657,MATCH(H3559,Documents!$A$5:$A$657,0))),"")</f>
        <v>2012</v>
      </c>
      <c r="J3559" s="25" t="str">
        <f aca="false">IFERROR(IF(INDEX(Documents!$D$5:$D$657,MATCH(H3559,Documents!$A$5:$A$657,0))="","",INDEX(Documents!$D$5:$D$657,MATCH(H3559,Documents!$A$5:$A$657,0))),"")</f>
        <v>J Med Chem</v>
      </c>
      <c r="K3559" s="25" t="str">
        <f aca="false">IFERROR(IF(INDEX(Documents!$G$5:$G$657,MATCH(H3559,Documents!$A$5:$A$657,0))="","",INDEX(Documents!$G$5:$G$657,MATCH(H3559,Documents!$A$5:$A$657,0))),"")</f>
        <v>10.1021/jm301212u</v>
      </c>
      <c r="L3559" s="25" t="s">
        <v>1128</v>
      </c>
    </row>
    <row r="3560" customFormat="false" ht="15" hidden="false" customHeight="false" outlineLevel="0" collapsed="false">
      <c r="A3560" s="25" t="n">
        <v>12146303</v>
      </c>
      <c r="B3560" s="25" t="s">
        <v>7511</v>
      </c>
      <c r="C3560" s="25" t="s">
        <v>7512</v>
      </c>
      <c r="D3560" s="26" t="n">
        <v>35330.03</v>
      </c>
      <c r="E3560" s="27" t="n">
        <v>4.45185599378992</v>
      </c>
      <c r="F3560" s="27" t="n">
        <v>4.45185617817754</v>
      </c>
      <c r="G3560" s="25" t="s">
        <v>1126</v>
      </c>
      <c r="H3560" s="25" t="s">
        <v>1127</v>
      </c>
      <c r="I3560" s="25" t="n">
        <f aca="false">IFERROR(IF(INDEX(Documents!$C$5:$C$657,MATCH(H3560,Documents!$A$5:$A$657,0))="","",INDEX(Documents!$C$5:$C$657,MATCH(H3560,Documents!$A$5:$A$657,0))),"")</f>
        <v>2012</v>
      </c>
      <c r="J3560" s="25" t="str">
        <f aca="false">IFERROR(IF(INDEX(Documents!$D$5:$D$657,MATCH(H3560,Documents!$A$5:$A$657,0))="","",INDEX(Documents!$D$5:$D$657,MATCH(H3560,Documents!$A$5:$A$657,0))),"")</f>
        <v>J Med Chem</v>
      </c>
      <c r="K3560" s="25" t="str">
        <f aca="false">IFERROR(IF(INDEX(Documents!$G$5:$G$657,MATCH(H3560,Documents!$A$5:$A$657,0))="","",INDEX(Documents!$G$5:$G$657,MATCH(H3560,Documents!$A$5:$A$657,0))),"")</f>
        <v>10.1021/jm301212u</v>
      </c>
      <c r="L3560" s="25" t="s">
        <v>1128</v>
      </c>
    </row>
    <row r="3561" customFormat="false" ht="15" hidden="false" customHeight="false" outlineLevel="0" collapsed="false">
      <c r="A3561" s="25" t="n">
        <v>12146215</v>
      </c>
      <c r="B3561" s="25" t="s">
        <v>7511</v>
      </c>
      <c r="C3561" s="25" t="s">
        <v>7512</v>
      </c>
      <c r="D3561" s="26" t="n">
        <v>35330</v>
      </c>
      <c r="E3561" s="27" t="n">
        <v>4.45185636256515</v>
      </c>
      <c r="F3561" s="27" t="n">
        <v>4.45185617817754</v>
      </c>
      <c r="G3561" s="25" t="s">
        <v>1126</v>
      </c>
      <c r="H3561" s="25" t="s">
        <v>1127</v>
      </c>
      <c r="I3561" s="25" t="n">
        <f aca="false">IFERROR(IF(INDEX(Documents!$C$5:$C$657,MATCH(H3561,Documents!$A$5:$A$657,0))="","",INDEX(Documents!$C$5:$C$657,MATCH(H3561,Documents!$A$5:$A$657,0))),"")</f>
        <v>2012</v>
      </c>
      <c r="J3561" s="25" t="str">
        <f aca="false">IFERROR(IF(INDEX(Documents!$D$5:$D$657,MATCH(H3561,Documents!$A$5:$A$657,0))="","",INDEX(Documents!$D$5:$D$657,MATCH(H3561,Documents!$A$5:$A$657,0))),"")</f>
        <v>J Med Chem</v>
      </c>
      <c r="K3561" s="25" t="str">
        <f aca="false">IFERROR(IF(INDEX(Documents!$G$5:$G$657,MATCH(H3561,Documents!$A$5:$A$657,0))="","",INDEX(Documents!$G$5:$G$657,MATCH(H3561,Documents!$A$5:$A$657,0))),"")</f>
        <v>10.1021/jm301212u</v>
      </c>
      <c r="L3561" s="25" t="s">
        <v>1128</v>
      </c>
    </row>
    <row r="3562" customFormat="false" ht="15" hidden="false" customHeight="false" outlineLevel="0" collapsed="false">
      <c r="A3562" s="25" t="n">
        <v>11019975</v>
      </c>
      <c r="B3562" s="25" t="s">
        <v>7513</v>
      </c>
      <c r="C3562" s="25" t="s">
        <v>7514</v>
      </c>
      <c r="D3562" s="26" t="n">
        <v>189</v>
      </c>
      <c r="E3562" s="27" t="n">
        <v>6.72353819582676</v>
      </c>
      <c r="F3562" s="27" t="n">
        <v>6.72353819582676</v>
      </c>
      <c r="G3562" s="25" t="s">
        <v>496</v>
      </c>
      <c r="H3562" s="25" t="s">
        <v>497</v>
      </c>
      <c r="I3562" s="25" t="n">
        <f aca="false">IFERROR(IF(INDEX(Documents!$C$5:$C$657,MATCH(H3562,Documents!$A$5:$A$657,0))="","",INDEX(Documents!$C$5:$C$657,MATCH(H3562,Documents!$A$5:$A$657,0))),"")</f>
        <v>2012</v>
      </c>
      <c r="J3562" s="25" t="str">
        <f aca="false">IFERROR(IF(INDEX(Documents!$D$5:$D$657,MATCH(H3562,Documents!$A$5:$A$657,0))="","",INDEX(Documents!$D$5:$D$657,MATCH(H3562,Documents!$A$5:$A$657,0))),"")</f>
        <v>J Med Chem</v>
      </c>
      <c r="K3562" s="25" t="str">
        <f aca="false">IFERROR(IF(INDEX(Documents!$G$5:$G$657,MATCH(H3562,Documents!$A$5:$A$657,0))="","",INDEX(Documents!$G$5:$G$657,MATCH(H3562,Documents!$A$5:$A$657,0))),"")</f>
        <v>10.1021/jm3003334</v>
      </c>
      <c r="L3562" s="25" t="s">
        <v>498</v>
      </c>
    </row>
    <row r="3563" customFormat="false" ht="15" hidden="false" customHeight="false" outlineLevel="0" collapsed="false">
      <c r="A3563" s="25" t="n">
        <v>2224636</v>
      </c>
      <c r="B3563" s="25" t="s">
        <v>7515</v>
      </c>
      <c r="C3563" s="25" t="s">
        <v>7516</v>
      </c>
      <c r="D3563" s="26" t="n">
        <v>58.8</v>
      </c>
      <c r="E3563" s="27" t="n">
        <v>7.23062267392386</v>
      </c>
      <c r="F3563" s="27" t="n">
        <v>7.23062267392386</v>
      </c>
      <c r="G3563" s="25" t="s">
        <v>2657</v>
      </c>
      <c r="H3563" s="25" t="s">
        <v>2658</v>
      </c>
      <c r="I3563" s="25" t="n">
        <f aca="false">IFERROR(IF(INDEX(Documents!$C$5:$C$657,MATCH(H3563,Documents!$A$5:$A$657,0))="","",INDEX(Documents!$C$5:$C$657,MATCH(H3563,Documents!$A$5:$A$657,0))),"")</f>
        <v>2008</v>
      </c>
      <c r="J3563" s="25" t="str">
        <f aca="false">IFERROR(IF(INDEX(Documents!$D$5:$D$657,MATCH(H3563,Documents!$A$5:$A$657,0))="","",INDEX(Documents!$D$5:$D$657,MATCH(H3563,Documents!$A$5:$A$657,0))),"")</f>
        <v>J Med Chem</v>
      </c>
      <c r="K3563" s="25" t="str">
        <f aca="false">IFERROR(IF(INDEX(Documents!$G$5:$G$657,MATCH(H3563,Documents!$A$5:$A$657,0))="","",INDEX(Documents!$G$5:$G$657,MATCH(H3563,Documents!$A$5:$A$657,0))),"")</f>
        <v>10.1021/jm8002203</v>
      </c>
      <c r="L3563" s="25" t="s">
        <v>2659</v>
      </c>
    </row>
    <row r="3564" customFormat="false" ht="15" hidden="false" customHeight="false" outlineLevel="0" collapsed="false">
      <c r="A3564" s="25" t="n">
        <v>2224632</v>
      </c>
      <c r="B3564" s="25" t="s">
        <v>7517</v>
      </c>
      <c r="C3564" s="25" t="s">
        <v>7518</v>
      </c>
      <c r="D3564" s="26" t="n">
        <v>18.5</v>
      </c>
      <c r="E3564" s="27" t="n">
        <v>7.73282827159699</v>
      </c>
      <c r="F3564" s="27" t="n">
        <v>7.73282827159699</v>
      </c>
      <c r="G3564" s="25" t="s">
        <v>2657</v>
      </c>
      <c r="H3564" s="25" t="s">
        <v>2658</v>
      </c>
      <c r="I3564" s="25" t="n">
        <f aca="false">IFERROR(IF(INDEX(Documents!$C$5:$C$657,MATCH(H3564,Documents!$A$5:$A$657,0))="","",INDEX(Documents!$C$5:$C$657,MATCH(H3564,Documents!$A$5:$A$657,0))),"")</f>
        <v>2008</v>
      </c>
      <c r="J3564" s="25" t="str">
        <f aca="false">IFERROR(IF(INDEX(Documents!$D$5:$D$657,MATCH(H3564,Documents!$A$5:$A$657,0))="","",INDEX(Documents!$D$5:$D$657,MATCH(H3564,Documents!$A$5:$A$657,0))),"")</f>
        <v>J Med Chem</v>
      </c>
      <c r="K3564" s="25" t="str">
        <f aca="false">IFERROR(IF(INDEX(Documents!$G$5:$G$657,MATCH(H3564,Documents!$A$5:$A$657,0))="","",INDEX(Documents!$G$5:$G$657,MATCH(H3564,Documents!$A$5:$A$657,0))),"")</f>
        <v>10.1021/jm8002203</v>
      </c>
      <c r="L3564" s="25" t="s">
        <v>2659</v>
      </c>
    </row>
    <row r="3565" customFormat="false" ht="15" hidden="false" customHeight="false" outlineLevel="0" collapsed="false">
      <c r="A3565" s="25" t="n">
        <v>2706768</v>
      </c>
      <c r="B3565" s="25" t="s">
        <v>7519</v>
      </c>
      <c r="C3565" s="25" t="s">
        <v>7520</v>
      </c>
      <c r="D3565" s="26" t="n">
        <v>7190</v>
      </c>
      <c r="E3565" s="27" t="n">
        <v>5.14327110961712</v>
      </c>
      <c r="F3565" s="27" t="n">
        <v>5.14327110961712</v>
      </c>
      <c r="G3565" s="25" t="s">
        <v>7521</v>
      </c>
      <c r="H3565" s="25" t="s">
        <v>7522</v>
      </c>
      <c r="I3565" s="25" t="n">
        <f aca="false">IFERROR(IF(INDEX(Documents!$C$5:$C$657,MATCH(H3565,Documents!$A$5:$A$657,0))="","",INDEX(Documents!$C$5:$C$657,MATCH(H3565,Documents!$A$5:$A$657,0))),"")</f>
        <v>2009</v>
      </c>
      <c r="J3565" s="25" t="str">
        <f aca="false">IFERROR(IF(INDEX(Documents!$D$5:$D$657,MATCH(H3565,Documents!$A$5:$A$657,0))="","",INDEX(Documents!$D$5:$D$657,MATCH(H3565,Documents!$A$5:$A$657,0))),"")</f>
        <v>Bioorg Med Chem Lett</v>
      </c>
      <c r="K3565" s="25" t="str">
        <f aca="false">IFERROR(IF(INDEX(Documents!$G$5:$G$657,MATCH(H3565,Documents!$A$5:$A$657,0))="","",INDEX(Documents!$G$5:$G$657,MATCH(H3565,Documents!$A$5:$A$657,0))),"")</f>
        <v>10.1016/j.bmcl.2009.05.097</v>
      </c>
      <c r="L3565" s="25" t="s">
        <v>775</v>
      </c>
    </row>
    <row r="3566" customFormat="false" ht="15" hidden="false" customHeight="false" outlineLevel="0" collapsed="false">
      <c r="A3566" s="25" t="n">
        <v>2706774</v>
      </c>
      <c r="B3566" s="25" t="s">
        <v>7523</v>
      </c>
      <c r="C3566" s="25" t="s">
        <v>7524</v>
      </c>
      <c r="D3566" s="26" t="n">
        <v>10900</v>
      </c>
      <c r="E3566" s="27" t="n">
        <v>4.96257350205938</v>
      </c>
      <c r="F3566" s="27" t="n">
        <v>4.96257350205938</v>
      </c>
      <c r="G3566" s="25" t="s">
        <v>7521</v>
      </c>
      <c r="H3566" s="25" t="s">
        <v>7522</v>
      </c>
      <c r="I3566" s="25" t="n">
        <f aca="false">IFERROR(IF(INDEX(Documents!$C$5:$C$657,MATCH(H3566,Documents!$A$5:$A$657,0))="","",INDEX(Documents!$C$5:$C$657,MATCH(H3566,Documents!$A$5:$A$657,0))),"")</f>
        <v>2009</v>
      </c>
      <c r="J3566" s="25" t="str">
        <f aca="false">IFERROR(IF(INDEX(Documents!$D$5:$D$657,MATCH(H3566,Documents!$A$5:$A$657,0))="","",INDEX(Documents!$D$5:$D$657,MATCH(H3566,Documents!$A$5:$A$657,0))),"")</f>
        <v>Bioorg Med Chem Lett</v>
      </c>
      <c r="K3566" s="25" t="str">
        <f aca="false">IFERROR(IF(INDEX(Documents!$G$5:$G$657,MATCH(H3566,Documents!$A$5:$A$657,0))="","",INDEX(Documents!$G$5:$G$657,MATCH(H3566,Documents!$A$5:$A$657,0))),"")</f>
        <v>10.1016/j.bmcl.2009.05.097</v>
      </c>
      <c r="L3566" s="25" t="s">
        <v>775</v>
      </c>
    </row>
    <row r="3567" customFormat="false" ht="15" hidden="false" customHeight="false" outlineLevel="0" collapsed="false">
      <c r="A3567" s="25" t="n">
        <v>3198530</v>
      </c>
      <c r="B3567" s="25" t="s">
        <v>7525</v>
      </c>
      <c r="C3567" s="25" t="s">
        <v>7526</v>
      </c>
      <c r="D3567" s="26" t="n">
        <v>987</v>
      </c>
      <c r="E3567" s="27" t="n">
        <v>6.00568284733036</v>
      </c>
      <c r="F3567" s="27" t="n">
        <v>6.00568284733036</v>
      </c>
      <c r="G3567" s="25" t="s">
        <v>4040</v>
      </c>
      <c r="H3567" s="25" t="s">
        <v>4041</v>
      </c>
      <c r="I3567" s="25" t="n">
        <f aca="false">IFERROR(IF(INDEX(Documents!$C$5:$C$657,MATCH(H3567,Documents!$A$5:$A$657,0))="","",INDEX(Documents!$C$5:$C$657,MATCH(H3567,Documents!$A$5:$A$657,0))),"")</f>
        <v>2010</v>
      </c>
      <c r="J3567" s="25" t="str">
        <f aca="false">IFERROR(IF(INDEX(Documents!$D$5:$D$657,MATCH(H3567,Documents!$A$5:$A$657,0))="","",INDEX(Documents!$D$5:$D$657,MATCH(H3567,Documents!$A$5:$A$657,0))),"")</f>
        <v>Eur J Med Chem</v>
      </c>
      <c r="K3567" s="25" t="str">
        <f aca="false">IFERROR(IF(INDEX(Documents!$G$5:$G$657,MATCH(H3567,Documents!$A$5:$A$657,0))="","",INDEX(Documents!$G$5:$G$657,MATCH(H3567,Documents!$A$5:$A$657,0))),"")</f>
        <v>10.1016/j.ejmech.2009.12.018</v>
      </c>
      <c r="L3567" s="25" t="s">
        <v>4042</v>
      </c>
    </row>
    <row r="3568" customFormat="false" ht="15" hidden="false" customHeight="false" outlineLevel="0" collapsed="false">
      <c r="A3568" s="25" t="n">
        <v>12666621</v>
      </c>
      <c r="B3568" s="25" t="s">
        <v>7527</v>
      </c>
      <c r="C3568" s="25" t="s">
        <v>7528</v>
      </c>
      <c r="D3568" s="26" t="n">
        <v>790</v>
      </c>
      <c r="E3568" s="27" t="n">
        <v>6.10237290870956</v>
      </c>
      <c r="F3568" s="27" t="n">
        <v>6.10237290870956</v>
      </c>
      <c r="G3568" s="25" t="s">
        <v>1351</v>
      </c>
      <c r="H3568" s="25" t="s">
        <v>1352</v>
      </c>
      <c r="I3568" s="25" t="n">
        <f aca="false">IFERROR(IF(INDEX(Documents!$C$5:$C$657,MATCH(H3568,Documents!$A$5:$A$657,0))="","",INDEX(Documents!$C$5:$C$657,MATCH(H3568,Documents!$A$5:$A$657,0))),"")</f>
        <v>2013</v>
      </c>
      <c r="J3568" s="25" t="str">
        <f aca="false">IFERROR(IF(INDEX(Documents!$D$5:$D$657,MATCH(H3568,Documents!$A$5:$A$657,0))="","",INDEX(Documents!$D$5:$D$657,MATCH(H3568,Documents!$A$5:$A$657,0))),"")</f>
        <v>Bioorg Med Chem Lett</v>
      </c>
      <c r="K3568" s="25" t="str">
        <f aca="false">IFERROR(IF(INDEX(Documents!$G$5:$G$657,MATCH(H3568,Documents!$A$5:$A$657,0))="","",INDEX(Documents!$G$5:$G$657,MATCH(H3568,Documents!$A$5:$A$657,0))),"")</f>
        <v>10.1016/j.bmcl.2013.01.044</v>
      </c>
      <c r="L3568" s="25" t="s">
        <v>515</v>
      </c>
    </row>
    <row r="3569" customFormat="false" ht="15" hidden="false" customHeight="false" outlineLevel="0" collapsed="false">
      <c r="A3569" s="25" t="n">
        <v>3198529</v>
      </c>
      <c r="B3569" s="25" t="s">
        <v>7529</v>
      </c>
      <c r="C3569" s="25" t="s">
        <v>7530</v>
      </c>
      <c r="D3569" s="26" t="n">
        <v>25</v>
      </c>
      <c r="E3569" s="27" t="n">
        <v>7.60205999132796</v>
      </c>
      <c r="F3569" s="27" t="n">
        <v>7.60205999132796</v>
      </c>
      <c r="G3569" s="25" t="s">
        <v>4040</v>
      </c>
      <c r="H3569" s="25" t="s">
        <v>4041</v>
      </c>
      <c r="I3569" s="25" t="n">
        <f aca="false">IFERROR(IF(INDEX(Documents!$C$5:$C$657,MATCH(H3569,Documents!$A$5:$A$657,0))="","",INDEX(Documents!$C$5:$C$657,MATCH(H3569,Documents!$A$5:$A$657,0))),"")</f>
        <v>2010</v>
      </c>
      <c r="J3569" s="25" t="str">
        <f aca="false">IFERROR(IF(INDEX(Documents!$D$5:$D$657,MATCH(H3569,Documents!$A$5:$A$657,0))="","",INDEX(Documents!$D$5:$D$657,MATCH(H3569,Documents!$A$5:$A$657,0))),"")</f>
        <v>Eur J Med Chem</v>
      </c>
      <c r="K3569" s="25" t="str">
        <f aca="false">IFERROR(IF(INDEX(Documents!$G$5:$G$657,MATCH(H3569,Documents!$A$5:$A$657,0))="","",INDEX(Documents!$G$5:$G$657,MATCH(H3569,Documents!$A$5:$A$657,0))),"")</f>
        <v>10.1016/j.ejmech.2009.12.018</v>
      </c>
      <c r="L3569" s="25" t="s">
        <v>4042</v>
      </c>
    </row>
    <row r="3570" customFormat="false" ht="15" hidden="false" customHeight="false" outlineLevel="0" collapsed="false">
      <c r="A3570" s="25" t="n">
        <v>18673909</v>
      </c>
      <c r="B3570" s="25" t="s">
        <v>7531</v>
      </c>
      <c r="C3570" s="25" t="s">
        <v>7532</v>
      </c>
      <c r="D3570" s="26" t="n">
        <v>130</v>
      </c>
      <c r="E3570" s="27" t="n">
        <v>6.88605664769316</v>
      </c>
      <c r="F3570" s="27" t="n">
        <v>6.88605664769316</v>
      </c>
      <c r="G3570" s="25" t="s">
        <v>664</v>
      </c>
      <c r="H3570" s="25" t="s">
        <v>665</v>
      </c>
      <c r="I3570" s="25" t="n">
        <f aca="false">IFERROR(IF(INDEX(Documents!$C$5:$C$657,MATCH(H3570,Documents!$A$5:$A$657,0))="","",INDEX(Documents!$C$5:$C$657,MATCH(H3570,Documents!$A$5:$A$657,0))),"")</f>
        <v>2018</v>
      </c>
      <c r="J3570" s="25" t="str">
        <f aca="false">IFERROR(IF(INDEX(Documents!$D$5:$D$657,MATCH(H3570,Documents!$A$5:$A$657,0))="","",INDEX(Documents!$D$5:$D$657,MATCH(H3570,Documents!$A$5:$A$657,0))),"")</f>
        <v>Bioorg Med Chem</v>
      </c>
      <c r="K3570" s="25" t="str">
        <f aca="false">IFERROR(IF(INDEX(Documents!$G$5:$G$657,MATCH(H3570,Documents!$A$5:$A$657,0))="","",INDEX(Documents!$G$5:$G$657,MATCH(H3570,Documents!$A$5:$A$657,0))),"")</f>
        <v>10.1016/j.bmc.2018.07.043</v>
      </c>
      <c r="L3570" s="25" t="s">
        <v>666</v>
      </c>
    </row>
    <row r="3571" customFormat="false" ht="15" hidden="false" customHeight="false" outlineLevel="0" collapsed="false">
      <c r="A3571" s="25" t="n">
        <v>3198531</v>
      </c>
      <c r="B3571" s="25" t="s">
        <v>7533</v>
      </c>
      <c r="C3571" s="25" t="s">
        <v>7534</v>
      </c>
      <c r="D3571" s="26" t="n">
        <v>618</v>
      </c>
      <c r="E3571" s="27" t="n">
        <v>6.20901152491118</v>
      </c>
      <c r="F3571" s="27" t="n">
        <v>6.20901152491118</v>
      </c>
      <c r="G3571" s="25" t="s">
        <v>4040</v>
      </c>
      <c r="H3571" s="25" t="s">
        <v>4041</v>
      </c>
      <c r="I3571" s="25" t="n">
        <f aca="false">IFERROR(IF(INDEX(Documents!$C$5:$C$657,MATCH(H3571,Documents!$A$5:$A$657,0))="","",INDEX(Documents!$C$5:$C$657,MATCH(H3571,Documents!$A$5:$A$657,0))),"")</f>
        <v>2010</v>
      </c>
      <c r="J3571" s="25" t="str">
        <f aca="false">IFERROR(IF(INDEX(Documents!$D$5:$D$657,MATCH(H3571,Documents!$A$5:$A$657,0))="","",INDEX(Documents!$D$5:$D$657,MATCH(H3571,Documents!$A$5:$A$657,0))),"")</f>
        <v>Eur J Med Chem</v>
      </c>
      <c r="K3571" s="25" t="str">
        <f aca="false">IFERROR(IF(INDEX(Documents!$G$5:$G$657,MATCH(H3571,Documents!$A$5:$A$657,0))="","",INDEX(Documents!$G$5:$G$657,MATCH(H3571,Documents!$A$5:$A$657,0))),"")</f>
        <v>10.1016/j.ejmech.2009.12.018</v>
      </c>
      <c r="L3571" s="25" t="s">
        <v>4042</v>
      </c>
    </row>
    <row r="3572" customFormat="false" ht="15" hidden="false" customHeight="false" outlineLevel="0" collapsed="false">
      <c r="A3572" s="25" t="n">
        <v>12666613</v>
      </c>
      <c r="B3572" s="25" t="s">
        <v>7535</v>
      </c>
      <c r="C3572" s="25" t="s">
        <v>7536</v>
      </c>
      <c r="D3572" s="26" t="n">
        <v>200</v>
      </c>
      <c r="E3572" s="27" t="n">
        <v>6.69897000433602</v>
      </c>
      <c r="F3572" s="27" t="n">
        <v>6.69897000433602</v>
      </c>
      <c r="G3572" s="25" t="s">
        <v>1351</v>
      </c>
      <c r="H3572" s="25" t="s">
        <v>1352</v>
      </c>
      <c r="I3572" s="25" t="n">
        <f aca="false">IFERROR(IF(INDEX(Documents!$C$5:$C$657,MATCH(H3572,Documents!$A$5:$A$657,0))="","",INDEX(Documents!$C$5:$C$657,MATCH(H3572,Documents!$A$5:$A$657,0))),"")</f>
        <v>2013</v>
      </c>
      <c r="J3572" s="25" t="str">
        <f aca="false">IFERROR(IF(INDEX(Documents!$D$5:$D$657,MATCH(H3572,Documents!$A$5:$A$657,0))="","",INDEX(Documents!$D$5:$D$657,MATCH(H3572,Documents!$A$5:$A$657,0))),"")</f>
        <v>Bioorg Med Chem Lett</v>
      </c>
      <c r="K3572" s="25" t="str">
        <f aca="false">IFERROR(IF(INDEX(Documents!$G$5:$G$657,MATCH(H3572,Documents!$A$5:$A$657,0))="","",INDEX(Documents!$G$5:$G$657,MATCH(H3572,Documents!$A$5:$A$657,0))),"")</f>
        <v>10.1016/j.bmcl.2013.01.044</v>
      </c>
      <c r="L3572" s="25" t="s">
        <v>515</v>
      </c>
    </row>
    <row r="3573" customFormat="false" ht="15" hidden="false" customHeight="false" outlineLevel="0" collapsed="false">
      <c r="A3573" s="25" t="n">
        <v>12666612</v>
      </c>
      <c r="B3573" s="25" t="s">
        <v>7537</v>
      </c>
      <c r="C3573" s="25" t="s">
        <v>7538</v>
      </c>
      <c r="D3573" s="26" t="n">
        <v>2500</v>
      </c>
      <c r="E3573" s="27" t="n">
        <v>5.60205999132796</v>
      </c>
      <c r="F3573" s="27" t="n">
        <v>5.60205999132796</v>
      </c>
      <c r="G3573" s="25" t="s">
        <v>1351</v>
      </c>
      <c r="H3573" s="25" t="s">
        <v>1352</v>
      </c>
      <c r="I3573" s="25" t="n">
        <f aca="false">IFERROR(IF(INDEX(Documents!$C$5:$C$657,MATCH(H3573,Documents!$A$5:$A$657,0))="","",INDEX(Documents!$C$5:$C$657,MATCH(H3573,Documents!$A$5:$A$657,0))),"")</f>
        <v>2013</v>
      </c>
      <c r="J3573" s="25" t="str">
        <f aca="false">IFERROR(IF(INDEX(Documents!$D$5:$D$657,MATCH(H3573,Documents!$A$5:$A$657,0))="","",INDEX(Documents!$D$5:$D$657,MATCH(H3573,Documents!$A$5:$A$657,0))),"")</f>
        <v>Bioorg Med Chem Lett</v>
      </c>
      <c r="K3573" s="25" t="str">
        <f aca="false">IFERROR(IF(INDEX(Documents!$G$5:$G$657,MATCH(H3573,Documents!$A$5:$A$657,0))="","",INDEX(Documents!$G$5:$G$657,MATCH(H3573,Documents!$A$5:$A$657,0))),"")</f>
        <v>10.1016/j.bmcl.2013.01.044</v>
      </c>
      <c r="L3573" s="25" t="s">
        <v>515</v>
      </c>
    </row>
    <row r="3574" customFormat="false" ht="15" hidden="false" customHeight="false" outlineLevel="0" collapsed="false">
      <c r="A3574" s="25" t="n">
        <v>12666617</v>
      </c>
      <c r="B3574" s="25" t="s">
        <v>7539</v>
      </c>
      <c r="C3574" s="25" t="s">
        <v>7540</v>
      </c>
      <c r="D3574" s="26" t="n">
        <v>460</v>
      </c>
      <c r="E3574" s="27" t="n">
        <v>6.33724216831843</v>
      </c>
      <c r="F3574" s="27" t="n">
        <v>6.33724216831843</v>
      </c>
      <c r="G3574" s="25" t="s">
        <v>1351</v>
      </c>
      <c r="H3574" s="25" t="s">
        <v>1352</v>
      </c>
      <c r="I3574" s="25" t="n">
        <f aca="false">IFERROR(IF(INDEX(Documents!$C$5:$C$657,MATCH(H3574,Documents!$A$5:$A$657,0))="","",INDEX(Documents!$C$5:$C$657,MATCH(H3574,Documents!$A$5:$A$657,0))),"")</f>
        <v>2013</v>
      </c>
      <c r="J3574" s="25" t="str">
        <f aca="false">IFERROR(IF(INDEX(Documents!$D$5:$D$657,MATCH(H3574,Documents!$A$5:$A$657,0))="","",INDEX(Documents!$D$5:$D$657,MATCH(H3574,Documents!$A$5:$A$657,0))),"")</f>
        <v>Bioorg Med Chem Lett</v>
      </c>
      <c r="K3574" s="25" t="str">
        <f aca="false">IFERROR(IF(INDEX(Documents!$G$5:$G$657,MATCH(H3574,Documents!$A$5:$A$657,0))="","",INDEX(Documents!$G$5:$G$657,MATCH(H3574,Documents!$A$5:$A$657,0))),"")</f>
        <v>10.1016/j.bmcl.2013.01.044</v>
      </c>
      <c r="L3574" s="25" t="s">
        <v>515</v>
      </c>
    </row>
    <row r="3575" customFormat="false" ht="15" hidden="false" customHeight="false" outlineLevel="0" collapsed="false">
      <c r="A3575" s="25" t="n">
        <v>12666609</v>
      </c>
      <c r="B3575" s="25" t="s">
        <v>7541</v>
      </c>
      <c r="C3575" s="25" t="s">
        <v>7542</v>
      </c>
      <c r="D3575" s="26" t="n">
        <v>500</v>
      </c>
      <c r="E3575" s="27" t="n">
        <v>6.30102999566398</v>
      </c>
      <c r="F3575" s="27" t="n">
        <v>6.30102999566398</v>
      </c>
      <c r="G3575" s="25" t="s">
        <v>1351</v>
      </c>
      <c r="H3575" s="25" t="s">
        <v>1352</v>
      </c>
      <c r="I3575" s="25" t="n">
        <f aca="false">IFERROR(IF(INDEX(Documents!$C$5:$C$657,MATCH(H3575,Documents!$A$5:$A$657,0))="","",INDEX(Documents!$C$5:$C$657,MATCH(H3575,Documents!$A$5:$A$657,0))),"")</f>
        <v>2013</v>
      </c>
      <c r="J3575" s="25" t="str">
        <f aca="false">IFERROR(IF(INDEX(Documents!$D$5:$D$657,MATCH(H3575,Documents!$A$5:$A$657,0))="","",INDEX(Documents!$D$5:$D$657,MATCH(H3575,Documents!$A$5:$A$657,0))),"")</f>
        <v>Bioorg Med Chem Lett</v>
      </c>
      <c r="K3575" s="25" t="str">
        <f aca="false">IFERROR(IF(INDEX(Documents!$G$5:$G$657,MATCH(H3575,Documents!$A$5:$A$657,0))="","",INDEX(Documents!$G$5:$G$657,MATCH(H3575,Documents!$A$5:$A$657,0))),"")</f>
        <v>10.1016/j.bmcl.2013.01.044</v>
      </c>
      <c r="L3575" s="25" t="s">
        <v>515</v>
      </c>
    </row>
    <row r="3576" customFormat="false" ht="15" hidden="false" customHeight="false" outlineLevel="0" collapsed="false">
      <c r="A3576" s="25" t="n">
        <v>12666616</v>
      </c>
      <c r="B3576" s="25" t="s">
        <v>7543</v>
      </c>
      <c r="C3576" s="25" t="s">
        <v>7544</v>
      </c>
      <c r="D3576" s="26" t="n">
        <v>500</v>
      </c>
      <c r="E3576" s="27" t="n">
        <v>6.30102999566398</v>
      </c>
      <c r="F3576" s="27" t="n">
        <v>6.30102999566398</v>
      </c>
      <c r="G3576" s="25" t="s">
        <v>1351</v>
      </c>
      <c r="H3576" s="25" t="s">
        <v>1352</v>
      </c>
      <c r="I3576" s="25" t="n">
        <f aca="false">IFERROR(IF(INDEX(Documents!$C$5:$C$657,MATCH(H3576,Documents!$A$5:$A$657,0))="","",INDEX(Documents!$C$5:$C$657,MATCH(H3576,Documents!$A$5:$A$657,0))),"")</f>
        <v>2013</v>
      </c>
      <c r="J3576" s="25" t="str">
        <f aca="false">IFERROR(IF(INDEX(Documents!$D$5:$D$657,MATCH(H3576,Documents!$A$5:$A$657,0))="","",INDEX(Documents!$D$5:$D$657,MATCH(H3576,Documents!$A$5:$A$657,0))),"")</f>
        <v>Bioorg Med Chem Lett</v>
      </c>
      <c r="K3576" s="25" t="str">
        <f aca="false">IFERROR(IF(INDEX(Documents!$G$5:$G$657,MATCH(H3576,Documents!$A$5:$A$657,0))="","",INDEX(Documents!$G$5:$G$657,MATCH(H3576,Documents!$A$5:$A$657,0))),"")</f>
        <v>10.1016/j.bmcl.2013.01.044</v>
      </c>
      <c r="L3576" s="25" t="s">
        <v>515</v>
      </c>
    </row>
    <row r="3577" customFormat="false" ht="15" hidden="false" customHeight="false" outlineLevel="0" collapsed="false">
      <c r="A3577" s="25" t="n">
        <v>10857006</v>
      </c>
      <c r="B3577" s="25" t="s">
        <v>7545</v>
      </c>
      <c r="C3577" s="25" t="s">
        <v>7546</v>
      </c>
      <c r="D3577" s="26" t="n">
        <v>56</v>
      </c>
      <c r="E3577" s="27" t="n">
        <v>7.2518119729938</v>
      </c>
      <c r="F3577" s="27" t="n">
        <v>7.2518119729938</v>
      </c>
      <c r="G3577" s="25" t="s">
        <v>4291</v>
      </c>
      <c r="H3577" s="25" t="s">
        <v>4292</v>
      </c>
      <c r="I3577" s="25" t="n">
        <f aca="false">IFERROR(IF(INDEX(Documents!$C$5:$C$657,MATCH(H3577,Documents!$A$5:$A$657,0))="","",INDEX(Documents!$C$5:$C$657,MATCH(H3577,Documents!$A$5:$A$657,0))),"")</f>
        <v>2012</v>
      </c>
      <c r="J3577" s="25" t="str">
        <f aca="false">IFERROR(IF(INDEX(Documents!$D$5:$D$657,MATCH(H3577,Documents!$A$5:$A$657,0))="","",INDEX(Documents!$D$5:$D$657,MATCH(H3577,Documents!$A$5:$A$657,0))),"")</f>
        <v>Bioorg Med Chem Lett</v>
      </c>
      <c r="K3577" s="25" t="str">
        <f aca="false">IFERROR(IF(INDEX(Documents!$G$5:$G$657,MATCH(H3577,Documents!$A$5:$A$657,0))="","",INDEX(Documents!$G$5:$G$657,MATCH(H3577,Documents!$A$5:$A$657,0))),"")</f>
        <v>10.1016/j.bmcl.2012.02.072</v>
      </c>
      <c r="L3577" s="25" t="s">
        <v>4293</v>
      </c>
    </row>
    <row r="3578" customFormat="false" ht="15" hidden="false" customHeight="false" outlineLevel="0" collapsed="false">
      <c r="A3578" s="25" t="n">
        <v>10857007</v>
      </c>
      <c r="B3578" s="25" t="s">
        <v>7547</v>
      </c>
      <c r="C3578" s="25" t="s">
        <v>7548</v>
      </c>
      <c r="D3578" s="26" t="n">
        <v>6.7</v>
      </c>
      <c r="E3578" s="27" t="n">
        <v>8.17392519729917</v>
      </c>
      <c r="F3578" s="27" t="n">
        <v>8.17392519729917</v>
      </c>
      <c r="G3578" s="25" t="s">
        <v>4291</v>
      </c>
      <c r="H3578" s="25" t="s">
        <v>4292</v>
      </c>
      <c r="I3578" s="25" t="n">
        <f aca="false">IFERROR(IF(INDEX(Documents!$C$5:$C$657,MATCH(H3578,Documents!$A$5:$A$657,0))="","",INDEX(Documents!$C$5:$C$657,MATCH(H3578,Documents!$A$5:$A$657,0))),"")</f>
        <v>2012</v>
      </c>
      <c r="J3578" s="25" t="str">
        <f aca="false">IFERROR(IF(INDEX(Documents!$D$5:$D$657,MATCH(H3578,Documents!$A$5:$A$657,0))="","",INDEX(Documents!$D$5:$D$657,MATCH(H3578,Documents!$A$5:$A$657,0))),"")</f>
        <v>Bioorg Med Chem Lett</v>
      </c>
      <c r="K3578" s="25" t="str">
        <f aca="false">IFERROR(IF(INDEX(Documents!$G$5:$G$657,MATCH(H3578,Documents!$A$5:$A$657,0))="","",INDEX(Documents!$G$5:$G$657,MATCH(H3578,Documents!$A$5:$A$657,0))),"")</f>
        <v>10.1016/j.bmcl.2012.02.072</v>
      </c>
      <c r="L3578" s="25" t="s">
        <v>4293</v>
      </c>
    </row>
    <row r="3579" customFormat="false" ht="15" hidden="false" customHeight="false" outlineLevel="0" collapsed="false">
      <c r="A3579" s="25" t="n">
        <v>10857011</v>
      </c>
      <c r="B3579" s="25" t="s">
        <v>7549</v>
      </c>
      <c r="C3579" s="25" t="s">
        <v>7550</v>
      </c>
      <c r="D3579" s="26" t="n">
        <v>247</v>
      </c>
      <c r="E3579" s="27" t="n">
        <v>6.60730304674033</v>
      </c>
      <c r="F3579" s="27" t="n">
        <v>6.60730304674033</v>
      </c>
      <c r="G3579" s="25" t="s">
        <v>4291</v>
      </c>
      <c r="H3579" s="25" t="s">
        <v>4292</v>
      </c>
      <c r="I3579" s="25" t="n">
        <f aca="false">IFERROR(IF(INDEX(Documents!$C$5:$C$657,MATCH(H3579,Documents!$A$5:$A$657,0))="","",INDEX(Documents!$C$5:$C$657,MATCH(H3579,Documents!$A$5:$A$657,0))),"")</f>
        <v>2012</v>
      </c>
      <c r="J3579" s="25" t="str">
        <f aca="false">IFERROR(IF(INDEX(Documents!$D$5:$D$657,MATCH(H3579,Documents!$A$5:$A$657,0))="","",INDEX(Documents!$D$5:$D$657,MATCH(H3579,Documents!$A$5:$A$657,0))),"")</f>
        <v>Bioorg Med Chem Lett</v>
      </c>
      <c r="K3579" s="25" t="str">
        <f aca="false">IFERROR(IF(INDEX(Documents!$G$5:$G$657,MATCH(H3579,Documents!$A$5:$A$657,0))="","",INDEX(Documents!$G$5:$G$657,MATCH(H3579,Documents!$A$5:$A$657,0))),"")</f>
        <v>10.1016/j.bmcl.2012.02.072</v>
      </c>
      <c r="L3579" s="25" t="s">
        <v>4293</v>
      </c>
    </row>
    <row r="3580" customFormat="false" ht="15" hidden="false" customHeight="false" outlineLevel="0" collapsed="false">
      <c r="A3580" s="25" t="n">
        <v>10857013</v>
      </c>
      <c r="B3580" s="25" t="s">
        <v>7551</v>
      </c>
      <c r="C3580" s="25" t="s">
        <v>7552</v>
      </c>
      <c r="D3580" s="26" t="n">
        <v>16</v>
      </c>
      <c r="E3580" s="27" t="n">
        <v>7.79588001734408</v>
      </c>
      <c r="F3580" s="27" t="n">
        <v>7.79588001734408</v>
      </c>
      <c r="G3580" s="25" t="s">
        <v>4291</v>
      </c>
      <c r="H3580" s="25" t="s">
        <v>4292</v>
      </c>
      <c r="I3580" s="25" t="n">
        <f aca="false">IFERROR(IF(INDEX(Documents!$C$5:$C$657,MATCH(H3580,Documents!$A$5:$A$657,0))="","",INDEX(Documents!$C$5:$C$657,MATCH(H3580,Documents!$A$5:$A$657,0))),"")</f>
        <v>2012</v>
      </c>
      <c r="J3580" s="25" t="str">
        <f aca="false">IFERROR(IF(INDEX(Documents!$D$5:$D$657,MATCH(H3580,Documents!$A$5:$A$657,0))="","",INDEX(Documents!$D$5:$D$657,MATCH(H3580,Documents!$A$5:$A$657,0))),"")</f>
        <v>Bioorg Med Chem Lett</v>
      </c>
      <c r="K3580" s="25" t="str">
        <f aca="false">IFERROR(IF(INDEX(Documents!$G$5:$G$657,MATCH(H3580,Documents!$A$5:$A$657,0))="","",INDEX(Documents!$G$5:$G$657,MATCH(H3580,Documents!$A$5:$A$657,0))),"")</f>
        <v>10.1016/j.bmcl.2012.02.072</v>
      </c>
      <c r="L3580" s="25" t="s">
        <v>4293</v>
      </c>
    </row>
    <row r="3581" customFormat="false" ht="15" hidden="false" customHeight="false" outlineLevel="0" collapsed="false">
      <c r="A3581" s="25" t="n">
        <v>10857003</v>
      </c>
      <c r="B3581" s="25" t="s">
        <v>7553</v>
      </c>
      <c r="C3581" s="25" t="s">
        <v>7554</v>
      </c>
      <c r="D3581" s="26" t="n">
        <v>6.2</v>
      </c>
      <c r="E3581" s="27" t="n">
        <v>8.20760831050175</v>
      </c>
      <c r="F3581" s="27" t="n">
        <v>8.20760831050175</v>
      </c>
      <c r="G3581" s="25" t="s">
        <v>4291</v>
      </c>
      <c r="H3581" s="25" t="s">
        <v>4292</v>
      </c>
      <c r="I3581" s="25" t="n">
        <f aca="false">IFERROR(IF(INDEX(Documents!$C$5:$C$657,MATCH(H3581,Documents!$A$5:$A$657,0))="","",INDEX(Documents!$C$5:$C$657,MATCH(H3581,Documents!$A$5:$A$657,0))),"")</f>
        <v>2012</v>
      </c>
      <c r="J3581" s="25" t="str">
        <f aca="false">IFERROR(IF(INDEX(Documents!$D$5:$D$657,MATCH(H3581,Documents!$A$5:$A$657,0))="","",INDEX(Documents!$D$5:$D$657,MATCH(H3581,Documents!$A$5:$A$657,0))),"")</f>
        <v>Bioorg Med Chem Lett</v>
      </c>
      <c r="K3581" s="25" t="str">
        <f aca="false">IFERROR(IF(INDEX(Documents!$G$5:$G$657,MATCH(H3581,Documents!$A$5:$A$657,0))="","",INDEX(Documents!$G$5:$G$657,MATCH(H3581,Documents!$A$5:$A$657,0))),"")</f>
        <v>10.1016/j.bmcl.2012.02.072</v>
      </c>
      <c r="L3581" s="25" t="s">
        <v>4293</v>
      </c>
    </row>
    <row r="3582" customFormat="false" ht="15" hidden="false" customHeight="false" outlineLevel="0" collapsed="false">
      <c r="A3582" s="25" t="n">
        <v>18673920</v>
      </c>
      <c r="B3582" s="25" t="s">
        <v>7555</v>
      </c>
      <c r="C3582" s="25" t="s">
        <v>7556</v>
      </c>
      <c r="D3582" s="26" t="n">
        <v>1300</v>
      </c>
      <c r="E3582" s="27" t="n">
        <v>5.88605664769316</v>
      </c>
      <c r="F3582" s="27" t="n">
        <v>5.88605664769316</v>
      </c>
      <c r="G3582" s="25" t="s">
        <v>664</v>
      </c>
      <c r="H3582" s="25" t="s">
        <v>665</v>
      </c>
      <c r="I3582" s="25" t="n">
        <f aca="false">IFERROR(IF(INDEX(Documents!$C$5:$C$657,MATCH(H3582,Documents!$A$5:$A$657,0))="","",INDEX(Documents!$C$5:$C$657,MATCH(H3582,Documents!$A$5:$A$657,0))),"")</f>
        <v>2018</v>
      </c>
      <c r="J3582" s="25" t="str">
        <f aca="false">IFERROR(IF(INDEX(Documents!$D$5:$D$657,MATCH(H3582,Documents!$A$5:$A$657,0))="","",INDEX(Documents!$D$5:$D$657,MATCH(H3582,Documents!$A$5:$A$657,0))),"")</f>
        <v>Bioorg Med Chem</v>
      </c>
      <c r="K3582" s="25" t="str">
        <f aca="false">IFERROR(IF(INDEX(Documents!$G$5:$G$657,MATCH(H3582,Documents!$A$5:$A$657,0))="","",INDEX(Documents!$G$5:$G$657,MATCH(H3582,Documents!$A$5:$A$657,0))),"")</f>
        <v>10.1016/j.bmc.2018.07.043</v>
      </c>
      <c r="L3582" s="25" t="s">
        <v>666</v>
      </c>
    </row>
    <row r="3583" customFormat="false" ht="15" hidden="false" customHeight="false" outlineLevel="0" collapsed="false">
      <c r="A3583" s="25" t="n">
        <v>28585814</v>
      </c>
      <c r="B3583" s="25" t="s">
        <v>7557</v>
      </c>
      <c r="C3583" s="25" t="s">
        <v>7558</v>
      </c>
      <c r="D3583" s="26" t="n">
        <v>207</v>
      </c>
      <c r="E3583" s="27" t="n">
        <v>6.68402965454308</v>
      </c>
      <c r="F3583" s="27" t="n">
        <v>6.8472899184382</v>
      </c>
      <c r="G3583" s="25" t="s">
        <v>785</v>
      </c>
      <c r="H3583" s="25" t="s">
        <v>786</v>
      </c>
      <c r="I3583" s="25" t="n">
        <f aca="false">IFERROR(IF(INDEX(Documents!$C$5:$C$657,MATCH(H3583,Documents!$A$5:$A$657,0))="","",INDEX(Documents!$C$5:$C$657,MATCH(H3583,Documents!$A$5:$A$657,0))),"")</f>
        <v>2022</v>
      </c>
      <c r="J3583" s="25" t="str">
        <f aca="false">IFERROR(IF(INDEX(Documents!$D$5:$D$657,MATCH(H3583,Documents!$A$5:$A$657,0))="","",INDEX(Documents!$D$5:$D$657,MATCH(H3583,Documents!$A$5:$A$657,0))),"")</f>
        <v/>
      </c>
      <c r="K3583" s="25" t="str">
        <f aca="false">IFERROR(IF(INDEX(Documents!$G$5:$G$657,MATCH(H3583,Documents!$A$5:$A$657,0))="","",INDEX(Documents!$G$5:$G$657,MATCH(H3583,Documents!$A$5:$A$657,0))),"")</f>
        <v/>
      </c>
      <c r="L3583" s="25" t="s">
        <v>787</v>
      </c>
    </row>
    <row r="3584" customFormat="false" ht="15" hidden="false" customHeight="false" outlineLevel="0" collapsed="false">
      <c r="A3584" s="25" t="n">
        <v>27600476</v>
      </c>
      <c r="B3584" s="25" t="s">
        <v>7557</v>
      </c>
      <c r="C3584" s="25" t="s">
        <v>7558</v>
      </c>
      <c r="D3584" s="26" t="n">
        <v>97.6</v>
      </c>
      <c r="E3584" s="27" t="n">
        <v>7.01055018233331</v>
      </c>
      <c r="F3584" s="27" t="n">
        <v>6.8472899184382</v>
      </c>
      <c r="G3584" s="25" t="s">
        <v>778</v>
      </c>
      <c r="H3584" s="25" t="s">
        <v>779</v>
      </c>
      <c r="I3584" s="25" t="n">
        <f aca="false">IFERROR(IF(INDEX(Documents!$C$5:$C$657,MATCH(H3584,Documents!$A$5:$A$657,0))="","",INDEX(Documents!$C$5:$C$657,MATCH(H3584,Documents!$A$5:$A$657,0))),"")</f>
        <v>2018</v>
      </c>
      <c r="J3584" s="25" t="str">
        <f aca="false">IFERROR(IF(INDEX(Documents!$D$5:$D$657,MATCH(H3584,Documents!$A$5:$A$657,0))="","",INDEX(Documents!$D$5:$D$657,MATCH(H3584,Documents!$A$5:$A$657,0))),"")</f>
        <v/>
      </c>
      <c r="K3584" s="25" t="str">
        <f aca="false">IFERROR(IF(INDEX(Documents!$G$5:$G$657,MATCH(H3584,Documents!$A$5:$A$657,0))="","",INDEX(Documents!$G$5:$G$657,MATCH(H3584,Documents!$A$5:$A$657,0))),"")</f>
        <v/>
      </c>
      <c r="L3584" s="25" t="s">
        <v>780</v>
      </c>
    </row>
    <row r="3585" customFormat="false" ht="15" hidden="false" customHeight="false" outlineLevel="0" collapsed="false">
      <c r="A3585" s="25" t="n">
        <v>28585829</v>
      </c>
      <c r="B3585" s="25" t="s">
        <v>7559</v>
      </c>
      <c r="C3585" s="25" t="s">
        <v>7560</v>
      </c>
      <c r="D3585" s="26" t="n">
        <v>568</v>
      </c>
      <c r="E3585" s="27" t="n">
        <v>6.24565166428898</v>
      </c>
      <c r="F3585" s="27" t="n">
        <v>6.73850678152068</v>
      </c>
      <c r="G3585" s="25" t="s">
        <v>785</v>
      </c>
      <c r="H3585" s="25" t="s">
        <v>786</v>
      </c>
      <c r="I3585" s="25" t="n">
        <f aca="false">IFERROR(IF(INDEX(Documents!$C$5:$C$657,MATCH(H3585,Documents!$A$5:$A$657,0))="","",INDEX(Documents!$C$5:$C$657,MATCH(H3585,Documents!$A$5:$A$657,0))),"")</f>
        <v>2022</v>
      </c>
      <c r="J3585" s="25" t="str">
        <f aca="false">IFERROR(IF(INDEX(Documents!$D$5:$D$657,MATCH(H3585,Documents!$A$5:$A$657,0))="","",INDEX(Documents!$D$5:$D$657,MATCH(H3585,Documents!$A$5:$A$657,0))),"")</f>
        <v/>
      </c>
      <c r="K3585" s="25" t="str">
        <f aca="false">IFERROR(IF(INDEX(Documents!$G$5:$G$657,MATCH(H3585,Documents!$A$5:$A$657,0))="","",INDEX(Documents!$G$5:$G$657,MATCH(H3585,Documents!$A$5:$A$657,0))),"")</f>
        <v/>
      </c>
      <c r="L3585" s="25" t="s">
        <v>787</v>
      </c>
    </row>
    <row r="3586" customFormat="false" ht="15" hidden="false" customHeight="false" outlineLevel="0" collapsed="false">
      <c r="A3586" s="25" t="n">
        <v>27600491</v>
      </c>
      <c r="B3586" s="25" t="s">
        <v>7559</v>
      </c>
      <c r="C3586" s="25" t="s">
        <v>7560</v>
      </c>
      <c r="D3586" s="26" t="n">
        <v>58.7</v>
      </c>
      <c r="E3586" s="27" t="n">
        <v>7.23136189875239</v>
      </c>
      <c r="F3586" s="27" t="n">
        <v>6.73850678152068</v>
      </c>
      <c r="G3586" s="25" t="s">
        <v>778</v>
      </c>
      <c r="H3586" s="25" t="s">
        <v>779</v>
      </c>
      <c r="I3586" s="25" t="n">
        <f aca="false">IFERROR(IF(INDEX(Documents!$C$5:$C$657,MATCH(H3586,Documents!$A$5:$A$657,0))="","",INDEX(Documents!$C$5:$C$657,MATCH(H3586,Documents!$A$5:$A$657,0))),"")</f>
        <v>2018</v>
      </c>
      <c r="J3586" s="25" t="str">
        <f aca="false">IFERROR(IF(INDEX(Documents!$D$5:$D$657,MATCH(H3586,Documents!$A$5:$A$657,0))="","",INDEX(Documents!$D$5:$D$657,MATCH(H3586,Documents!$A$5:$A$657,0))),"")</f>
        <v/>
      </c>
      <c r="K3586" s="25" t="str">
        <f aca="false">IFERROR(IF(INDEX(Documents!$G$5:$G$657,MATCH(H3586,Documents!$A$5:$A$657,0))="","",INDEX(Documents!$G$5:$G$657,MATCH(H3586,Documents!$A$5:$A$657,0))),"")</f>
        <v/>
      </c>
      <c r="L3586" s="25" t="s">
        <v>780</v>
      </c>
    </row>
    <row r="3587" customFormat="false" ht="15" hidden="false" customHeight="false" outlineLevel="0" collapsed="false">
      <c r="A3587" s="25" t="n">
        <v>12666610</v>
      </c>
      <c r="B3587" s="25" t="s">
        <v>7561</v>
      </c>
      <c r="C3587" s="25" t="s">
        <v>7562</v>
      </c>
      <c r="D3587" s="26" t="n">
        <v>270</v>
      </c>
      <c r="E3587" s="27" t="n">
        <v>6.56863623584101</v>
      </c>
      <c r="F3587" s="27" t="n">
        <v>6.56863623584101</v>
      </c>
      <c r="G3587" s="25" t="s">
        <v>1351</v>
      </c>
      <c r="H3587" s="25" t="s">
        <v>1352</v>
      </c>
      <c r="I3587" s="25" t="n">
        <f aca="false">IFERROR(IF(INDEX(Documents!$C$5:$C$657,MATCH(H3587,Documents!$A$5:$A$657,0))="","",INDEX(Documents!$C$5:$C$657,MATCH(H3587,Documents!$A$5:$A$657,0))),"")</f>
        <v>2013</v>
      </c>
      <c r="J3587" s="25" t="str">
        <f aca="false">IFERROR(IF(INDEX(Documents!$D$5:$D$657,MATCH(H3587,Documents!$A$5:$A$657,0))="","",INDEX(Documents!$D$5:$D$657,MATCH(H3587,Documents!$A$5:$A$657,0))),"")</f>
        <v>Bioorg Med Chem Lett</v>
      </c>
      <c r="K3587" s="25" t="str">
        <f aca="false">IFERROR(IF(INDEX(Documents!$G$5:$G$657,MATCH(H3587,Documents!$A$5:$A$657,0))="","",INDEX(Documents!$G$5:$G$657,MATCH(H3587,Documents!$A$5:$A$657,0))),"")</f>
        <v>10.1016/j.bmcl.2013.01.044</v>
      </c>
      <c r="L3587" s="25" t="s">
        <v>515</v>
      </c>
    </row>
    <row r="3588" customFormat="false" ht="15" hidden="false" customHeight="false" outlineLevel="0" collapsed="false">
      <c r="A3588" s="25" t="n">
        <v>6309536</v>
      </c>
      <c r="B3588" s="25" t="s">
        <v>7563</v>
      </c>
      <c r="C3588" s="25" t="s">
        <v>7564</v>
      </c>
      <c r="D3588" s="26" t="n">
        <v>220</v>
      </c>
      <c r="E3588" s="27" t="n">
        <v>6.65757731917779</v>
      </c>
      <c r="F3588" s="27" t="n">
        <v>6.65757731917779</v>
      </c>
      <c r="G3588" s="25" t="s">
        <v>1917</v>
      </c>
      <c r="H3588" s="25" t="s">
        <v>1918</v>
      </c>
      <c r="I3588" s="25" t="n">
        <f aca="false">IFERROR(IF(INDEX(Documents!$C$5:$C$657,MATCH(H3588,Documents!$A$5:$A$657,0))="","",INDEX(Documents!$C$5:$C$657,MATCH(H3588,Documents!$A$5:$A$657,0))),"")</f>
        <v>2011</v>
      </c>
      <c r="J3588" s="25" t="str">
        <f aca="false">IFERROR(IF(INDEX(Documents!$D$5:$D$657,MATCH(H3588,Documents!$A$5:$A$657,0))="","",INDEX(Documents!$D$5:$D$657,MATCH(H3588,Documents!$A$5:$A$657,0))),"")</f>
        <v>J Med Chem</v>
      </c>
      <c r="K3588" s="25" t="str">
        <f aca="false">IFERROR(IF(INDEX(Documents!$G$5:$G$657,MATCH(H3588,Documents!$A$5:$A$657,0))="","",INDEX(Documents!$G$5:$G$657,MATCH(H3588,Documents!$A$5:$A$657,0))),"")</f>
        <v>10.1021/jm200476p</v>
      </c>
      <c r="L3588" s="25" t="s">
        <v>676</v>
      </c>
    </row>
    <row r="3589" customFormat="false" ht="15" hidden="false" customHeight="false" outlineLevel="0" collapsed="false">
      <c r="A3589" s="25" t="n">
        <v>17981834</v>
      </c>
      <c r="B3589" s="25" t="s">
        <v>7565</v>
      </c>
      <c r="C3589" s="25" t="s">
        <v>7566</v>
      </c>
      <c r="D3589" s="26" t="n">
        <v>4.4</v>
      </c>
      <c r="E3589" s="27" t="n">
        <v>8.35654732351381</v>
      </c>
      <c r="F3589" s="27" t="n">
        <v>8.35654732351381</v>
      </c>
      <c r="G3589" s="25" t="s">
        <v>6347</v>
      </c>
      <c r="H3589" s="25" t="s">
        <v>6348</v>
      </c>
      <c r="I3589" s="25" t="n">
        <f aca="false">IFERROR(IF(INDEX(Documents!$C$5:$C$657,MATCH(H3589,Documents!$A$5:$A$657,0))="","",INDEX(Documents!$C$5:$C$657,MATCH(H3589,Documents!$A$5:$A$657,0))),"")</f>
        <v>2017</v>
      </c>
      <c r="J3589" s="25" t="str">
        <f aca="false">IFERROR(IF(INDEX(Documents!$D$5:$D$657,MATCH(H3589,Documents!$A$5:$A$657,0))="","",INDEX(Documents!$D$5:$D$657,MATCH(H3589,Documents!$A$5:$A$657,0))),"")</f>
        <v>Eur J Med Chem</v>
      </c>
      <c r="K3589" s="25" t="str">
        <f aca="false">IFERROR(IF(INDEX(Documents!$G$5:$G$657,MATCH(H3589,Documents!$A$5:$A$657,0))="","",INDEX(Documents!$G$5:$G$657,MATCH(H3589,Documents!$A$5:$A$657,0))),"")</f>
        <v>10.1016/j.ejmech.2017.01.002</v>
      </c>
      <c r="L3589" s="25" t="s">
        <v>6349</v>
      </c>
    </row>
    <row r="3590" customFormat="false" ht="15" hidden="false" customHeight="false" outlineLevel="0" collapsed="false">
      <c r="A3590" s="25" t="n">
        <v>25443267</v>
      </c>
      <c r="B3590" s="25" t="s">
        <v>7567</v>
      </c>
      <c r="C3590" s="25" t="s">
        <v>7568</v>
      </c>
      <c r="D3590" s="26" t="n">
        <v>1060</v>
      </c>
      <c r="E3590" s="27" t="n">
        <v>5.97469413473523</v>
      </c>
      <c r="F3590" s="27" t="n">
        <v>5.97469413473523</v>
      </c>
      <c r="G3590" s="25" t="s">
        <v>2956</v>
      </c>
      <c r="H3590" s="25" t="s">
        <v>2957</v>
      </c>
      <c r="I3590" s="25" t="n">
        <f aca="false">IFERROR(IF(INDEX(Documents!$C$5:$C$657,MATCH(H3590,Documents!$A$5:$A$657,0))="","",INDEX(Documents!$C$5:$C$657,MATCH(H3590,Documents!$A$5:$A$657,0))),"")</f>
        <v>2023</v>
      </c>
      <c r="J3590" s="25" t="str">
        <f aca="false">IFERROR(IF(INDEX(Documents!$D$5:$D$657,MATCH(H3590,Documents!$A$5:$A$657,0))="","",INDEX(Documents!$D$5:$D$657,MATCH(H3590,Documents!$A$5:$A$657,0))),"")</f>
        <v>J Med Chem</v>
      </c>
      <c r="K3590" s="25" t="str">
        <f aca="false">IFERROR(IF(INDEX(Documents!$G$5:$G$657,MATCH(H3590,Documents!$A$5:$A$657,0))="","",INDEX(Documents!$G$5:$G$657,MATCH(H3590,Documents!$A$5:$A$657,0))),"")</f>
        <v>10.1021/acs.jmedchem.2c01084</v>
      </c>
      <c r="L3590" s="25" t="s">
        <v>2958</v>
      </c>
    </row>
    <row r="3591" customFormat="false" ht="15" hidden="false" customHeight="false" outlineLevel="0" collapsed="false">
      <c r="A3591" s="25" t="n">
        <v>25443265</v>
      </c>
      <c r="B3591" s="25" t="s">
        <v>7569</v>
      </c>
      <c r="C3591" s="25" t="s">
        <v>7570</v>
      </c>
      <c r="D3591" s="26" t="n">
        <v>3850</v>
      </c>
      <c r="E3591" s="27" t="n">
        <v>5.4145392704915</v>
      </c>
      <c r="F3591" s="27" t="n">
        <v>5.4145392704915</v>
      </c>
      <c r="G3591" s="25" t="s">
        <v>2956</v>
      </c>
      <c r="H3591" s="25" t="s">
        <v>2957</v>
      </c>
      <c r="I3591" s="25" t="n">
        <f aca="false">IFERROR(IF(INDEX(Documents!$C$5:$C$657,MATCH(H3591,Documents!$A$5:$A$657,0))="","",INDEX(Documents!$C$5:$C$657,MATCH(H3591,Documents!$A$5:$A$657,0))),"")</f>
        <v>2023</v>
      </c>
      <c r="J3591" s="25" t="str">
        <f aca="false">IFERROR(IF(INDEX(Documents!$D$5:$D$657,MATCH(H3591,Documents!$A$5:$A$657,0))="","",INDEX(Documents!$D$5:$D$657,MATCH(H3591,Documents!$A$5:$A$657,0))),"")</f>
        <v>J Med Chem</v>
      </c>
      <c r="K3591" s="25" t="str">
        <f aca="false">IFERROR(IF(INDEX(Documents!$G$5:$G$657,MATCH(H3591,Documents!$A$5:$A$657,0))="","",INDEX(Documents!$G$5:$G$657,MATCH(H3591,Documents!$A$5:$A$657,0))),"")</f>
        <v>10.1021/acs.jmedchem.2c01084</v>
      </c>
      <c r="L3591" s="25" t="s">
        <v>2958</v>
      </c>
    </row>
    <row r="3592" customFormat="false" ht="15" hidden="false" customHeight="false" outlineLevel="0" collapsed="false">
      <c r="A3592" s="25" t="n">
        <v>25443264</v>
      </c>
      <c r="B3592" s="25" t="s">
        <v>7571</v>
      </c>
      <c r="C3592" s="25" t="s">
        <v>7572</v>
      </c>
      <c r="D3592" s="26" t="n">
        <v>313</v>
      </c>
      <c r="E3592" s="27" t="n">
        <v>6.50445566245355</v>
      </c>
      <c r="F3592" s="27" t="n">
        <v>6.50445566245355</v>
      </c>
      <c r="G3592" s="25" t="s">
        <v>2956</v>
      </c>
      <c r="H3592" s="25" t="s">
        <v>2957</v>
      </c>
      <c r="I3592" s="25" t="n">
        <f aca="false">IFERROR(IF(INDEX(Documents!$C$5:$C$657,MATCH(H3592,Documents!$A$5:$A$657,0))="","",INDEX(Documents!$C$5:$C$657,MATCH(H3592,Documents!$A$5:$A$657,0))),"")</f>
        <v>2023</v>
      </c>
      <c r="J3592" s="25" t="str">
        <f aca="false">IFERROR(IF(INDEX(Documents!$D$5:$D$657,MATCH(H3592,Documents!$A$5:$A$657,0))="","",INDEX(Documents!$D$5:$D$657,MATCH(H3592,Documents!$A$5:$A$657,0))),"")</f>
        <v>J Med Chem</v>
      </c>
      <c r="K3592" s="25" t="str">
        <f aca="false">IFERROR(IF(INDEX(Documents!$G$5:$G$657,MATCH(H3592,Documents!$A$5:$A$657,0))="","",INDEX(Documents!$G$5:$G$657,MATCH(H3592,Documents!$A$5:$A$657,0))),"")</f>
        <v>10.1021/acs.jmedchem.2c01084</v>
      </c>
      <c r="L3592" s="25" t="s">
        <v>2958</v>
      </c>
    </row>
    <row r="3593" customFormat="false" ht="15" hidden="false" customHeight="false" outlineLevel="0" collapsed="false">
      <c r="A3593" s="25" t="n">
        <v>25443273</v>
      </c>
      <c r="B3593" s="25" t="s">
        <v>7573</v>
      </c>
      <c r="C3593" s="25" t="s">
        <v>7574</v>
      </c>
      <c r="D3593" s="26" t="n">
        <v>20.1</v>
      </c>
      <c r="E3593" s="27" t="n">
        <v>7.69680394257951</v>
      </c>
      <c r="F3593" s="27" t="n">
        <v>7.69680394257951</v>
      </c>
      <c r="G3593" s="25" t="s">
        <v>2956</v>
      </c>
      <c r="H3593" s="25" t="s">
        <v>2957</v>
      </c>
      <c r="I3593" s="25" t="n">
        <f aca="false">IFERROR(IF(INDEX(Documents!$C$5:$C$657,MATCH(H3593,Documents!$A$5:$A$657,0))="","",INDEX(Documents!$C$5:$C$657,MATCH(H3593,Documents!$A$5:$A$657,0))),"")</f>
        <v>2023</v>
      </c>
      <c r="J3593" s="25" t="str">
        <f aca="false">IFERROR(IF(INDEX(Documents!$D$5:$D$657,MATCH(H3593,Documents!$A$5:$A$657,0))="","",INDEX(Documents!$D$5:$D$657,MATCH(H3593,Documents!$A$5:$A$657,0))),"")</f>
        <v>J Med Chem</v>
      </c>
      <c r="K3593" s="25" t="str">
        <f aca="false">IFERROR(IF(INDEX(Documents!$G$5:$G$657,MATCH(H3593,Documents!$A$5:$A$657,0))="","",INDEX(Documents!$G$5:$G$657,MATCH(H3593,Documents!$A$5:$A$657,0))),"")</f>
        <v>10.1021/acs.jmedchem.2c01084</v>
      </c>
      <c r="L3593" s="25" t="s">
        <v>2958</v>
      </c>
    </row>
    <row r="3594" customFormat="false" ht="15" hidden="false" customHeight="false" outlineLevel="0" collapsed="false">
      <c r="A3594" s="25" t="n">
        <v>25443263</v>
      </c>
      <c r="B3594" s="25" t="s">
        <v>7575</v>
      </c>
      <c r="C3594" s="25" t="s">
        <v>7576</v>
      </c>
      <c r="D3594" s="26" t="n">
        <v>14.8</v>
      </c>
      <c r="E3594" s="27" t="n">
        <v>7.82973828460504</v>
      </c>
      <c r="F3594" s="27" t="n">
        <v>7.82973828460504</v>
      </c>
      <c r="G3594" s="25" t="s">
        <v>2956</v>
      </c>
      <c r="H3594" s="25" t="s">
        <v>2957</v>
      </c>
      <c r="I3594" s="25" t="n">
        <f aca="false">IFERROR(IF(INDEX(Documents!$C$5:$C$657,MATCH(H3594,Documents!$A$5:$A$657,0))="","",INDEX(Documents!$C$5:$C$657,MATCH(H3594,Documents!$A$5:$A$657,0))),"")</f>
        <v>2023</v>
      </c>
      <c r="J3594" s="25" t="str">
        <f aca="false">IFERROR(IF(INDEX(Documents!$D$5:$D$657,MATCH(H3594,Documents!$A$5:$A$657,0))="","",INDEX(Documents!$D$5:$D$657,MATCH(H3594,Documents!$A$5:$A$657,0))),"")</f>
        <v>J Med Chem</v>
      </c>
      <c r="K3594" s="25" t="str">
        <f aca="false">IFERROR(IF(INDEX(Documents!$G$5:$G$657,MATCH(H3594,Documents!$A$5:$A$657,0))="","",INDEX(Documents!$G$5:$G$657,MATCH(H3594,Documents!$A$5:$A$657,0))),"")</f>
        <v>10.1021/acs.jmedchem.2c01084</v>
      </c>
      <c r="L3594" s="25" t="s">
        <v>2958</v>
      </c>
    </row>
    <row r="3595" customFormat="false" ht="15" hidden="false" customHeight="false" outlineLevel="0" collapsed="false">
      <c r="A3595" s="25" t="n">
        <v>25876202</v>
      </c>
      <c r="B3595" s="25" t="s">
        <v>7577</v>
      </c>
      <c r="C3595" s="25" t="s">
        <v>7578</v>
      </c>
      <c r="D3595" s="26" t="n">
        <v>10</v>
      </c>
      <c r="E3595" s="27" t="n">
        <v>8</v>
      </c>
      <c r="F3595" s="27" t="n">
        <v>8</v>
      </c>
      <c r="G3595" s="25" t="s">
        <v>648</v>
      </c>
      <c r="H3595" s="25" t="s">
        <v>649</v>
      </c>
      <c r="I3595" s="25" t="n">
        <f aca="false">IFERROR(IF(INDEX(Documents!$C$5:$C$657,MATCH(H3595,Documents!$A$5:$A$657,0))="","",INDEX(Documents!$C$5:$C$657,MATCH(H3595,Documents!$A$5:$A$657,0))),"")</f>
        <v>2024</v>
      </c>
      <c r="J3595" s="25" t="str">
        <f aca="false">IFERROR(IF(INDEX(Documents!$D$5:$D$657,MATCH(H3595,Documents!$A$5:$A$657,0))="","",INDEX(Documents!$D$5:$D$657,MATCH(H3595,Documents!$A$5:$A$657,0))),"")</f>
        <v>Eur J Med Chem</v>
      </c>
      <c r="K3595" s="25" t="str">
        <f aca="false">IFERROR(IF(INDEX(Documents!$G$5:$G$657,MATCH(H3595,Documents!$A$5:$A$657,0))="","",INDEX(Documents!$G$5:$G$657,MATCH(H3595,Documents!$A$5:$A$657,0))),"")</f>
        <v>10.1016/j.ejmech.2024.116298</v>
      </c>
      <c r="L3595" s="25" t="s">
        <v>650</v>
      </c>
    </row>
    <row r="3596" customFormat="false" ht="15" hidden="false" customHeight="false" outlineLevel="0" collapsed="false">
      <c r="A3596" s="25" t="n">
        <v>1993866</v>
      </c>
      <c r="B3596" s="25" t="s">
        <v>7579</v>
      </c>
      <c r="C3596" s="25" t="s">
        <v>7580</v>
      </c>
      <c r="D3596" s="26" t="n">
        <v>152</v>
      </c>
      <c r="E3596" s="27" t="n">
        <v>6.81815641205523</v>
      </c>
      <c r="F3596" s="27" t="n">
        <v>6.81815641205523</v>
      </c>
      <c r="G3596" s="25" t="s">
        <v>1527</v>
      </c>
      <c r="H3596" s="25" t="s">
        <v>1528</v>
      </c>
      <c r="I3596" s="25" t="n">
        <f aca="false">IFERROR(IF(INDEX(Documents!$C$5:$C$657,MATCH(H3596,Documents!$A$5:$A$657,0))="","",INDEX(Documents!$C$5:$C$657,MATCH(H3596,Documents!$A$5:$A$657,0))),"")</f>
        <v>2007</v>
      </c>
      <c r="J3596" s="25" t="str">
        <f aca="false">IFERROR(IF(INDEX(Documents!$D$5:$D$657,MATCH(H3596,Documents!$A$5:$A$657,0))="","",INDEX(Documents!$D$5:$D$657,MATCH(H3596,Documents!$A$5:$A$657,0))),"")</f>
        <v>J Med Chem</v>
      </c>
      <c r="K3596" s="25" t="str">
        <f aca="false">IFERROR(IF(INDEX(Documents!$G$5:$G$657,MATCH(H3596,Documents!$A$5:$A$657,0))="","",INDEX(Documents!$G$5:$G$657,MATCH(H3596,Documents!$A$5:$A$657,0))),"")</f>
        <v>10.1021/jm070387h</v>
      </c>
      <c r="L3596" s="25" t="s">
        <v>1529</v>
      </c>
    </row>
    <row r="3597" customFormat="false" ht="15" hidden="false" customHeight="false" outlineLevel="0" collapsed="false">
      <c r="A3597" s="25" t="n">
        <v>12089867</v>
      </c>
      <c r="B3597" s="25" t="s">
        <v>7581</v>
      </c>
      <c r="C3597" s="25" t="s">
        <v>7582</v>
      </c>
      <c r="D3597" s="26" t="n">
        <v>8.92</v>
      </c>
      <c r="E3597" s="27" t="n">
        <v>8.04963514562388</v>
      </c>
      <c r="F3597" s="27" t="n">
        <v>8.04963514562388</v>
      </c>
      <c r="G3597" s="25" t="s">
        <v>1028</v>
      </c>
      <c r="H3597" s="25" t="s">
        <v>1029</v>
      </c>
      <c r="I3597" s="25" t="n">
        <f aca="false">IFERROR(IF(INDEX(Documents!$C$5:$C$657,MATCH(H3597,Documents!$A$5:$A$657,0))="","",INDEX(Documents!$C$5:$C$657,MATCH(H3597,Documents!$A$5:$A$657,0))),"")</f>
        <v>2012</v>
      </c>
      <c r="J3597" s="25" t="str">
        <f aca="false">IFERROR(IF(INDEX(Documents!$D$5:$D$657,MATCH(H3597,Documents!$A$5:$A$657,0))="","",INDEX(Documents!$D$5:$D$657,MATCH(H3597,Documents!$A$5:$A$657,0))),"")</f>
        <v>J Med Chem</v>
      </c>
      <c r="K3597" s="25" t="str">
        <f aca="false">IFERROR(IF(INDEX(Documents!$G$5:$G$657,MATCH(H3597,Documents!$A$5:$A$657,0))="","",INDEX(Documents!$G$5:$G$657,MATCH(H3597,Documents!$A$5:$A$657,0))),"")</f>
        <v>10.1021/jm300763w</v>
      </c>
      <c r="L3597" s="25" t="s">
        <v>1030</v>
      </c>
    </row>
    <row r="3598" customFormat="false" ht="15" hidden="false" customHeight="false" outlineLevel="0" collapsed="false">
      <c r="A3598" s="25" t="n">
        <v>12089895</v>
      </c>
      <c r="B3598" s="25" t="s">
        <v>7583</v>
      </c>
      <c r="C3598" s="25" t="s">
        <v>7584</v>
      </c>
      <c r="D3598" s="26" t="n">
        <v>14.2</v>
      </c>
      <c r="E3598" s="27" t="n">
        <v>7.84771165561694</v>
      </c>
      <c r="F3598" s="27" t="n">
        <v>7.84771165561694</v>
      </c>
      <c r="G3598" s="25" t="s">
        <v>1028</v>
      </c>
      <c r="H3598" s="25" t="s">
        <v>1029</v>
      </c>
      <c r="I3598" s="25" t="n">
        <f aca="false">IFERROR(IF(INDEX(Documents!$C$5:$C$657,MATCH(H3598,Documents!$A$5:$A$657,0))="","",INDEX(Documents!$C$5:$C$657,MATCH(H3598,Documents!$A$5:$A$657,0))),"")</f>
        <v>2012</v>
      </c>
      <c r="J3598" s="25" t="str">
        <f aca="false">IFERROR(IF(INDEX(Documents!$D$5:$D$657,MATCH(H3598,Documents!$A$5:$A$657,0))="","",INDEX(Documents!$D$5:$D$657,MATCH(H3598,Documents!$A$5:$A$657,0))),"")</f>
        <v>J Med Chem</v>
      </c>
      <c r="K3598" s="25" t="str">
        <f aca="false">IFERROR(IF(INDEX(Documents!$G$5:$G$657,MATCH(H3598,Documents!$A$5:$A$657,0))="","",INDEX(Documents!$G$5:$G$657,MATCH(H3598,Documents!$A$5:$A$657,0))),"")</f>
        <v>10.1021/jm300763w</v>
      </c>
      <c r="L3598" s="25" t="s">
        <v>1030</v>
      </c>
    </row>
    <row r="3599" customFormat="false" ht="15" hidden="false" customHeight="false" outlineLevel="0" collapsed="false">
      <c r="A3599" s="25" t="n">
        <v>12089848</v>
      </c>
      <c r="B3599" s="25" t="s">
        <v>7585</v>
      </c>
      <c r="C3599" s="25" t="s">
        <v>7586</v>
      </c>
      <c r="D3599" s="26" t="n">
        <v>3.72</v>
      </c>
      <c r="E3599" s="27" t="n">
        <v>8.4294570601181</v>
      </c>
      <c r="F3599" s="27" t="n">
        <v>8.4294570601181</v>
      </c>
      <c r="G3599" s="25" t="s">
        <v>1028</v>
      </c>
      <c r="H3599" s="25" t="s">
        <v>1029</v>
      </c>
      <c r="I3599" s="25" t="n">
        <f aca="false">IFERROR(IF(INDEX(Documents!$C$5:$C$657,MATCH(H3599,Documents!$A$5:$A$657,0))="","",INDEX(Documents!$C$5:$C$657,MATCH(H3599,Documents!$A$5:$A$657,0))),"")</f>
        <v>2012</v>
      </c>
      <c r="J3599" s="25" t="str">
        <f aca="false">IFERROR(IF(INDEX(Documents!$D$5:$D$657,MATCH(H3599,Documents!$A$5:$A$657,0))="","",INDEX(Documents!$D$5:$D$657,MATCH(H3599,Documents!$A$5:$A$657,0))),"")</f>
        <v>J Med Chem</v>
      </c>
      <c r="K3599" s="25" t="str">
        <f aca="false">IFERROR(IF(INDEX(Documents!$G$5:$G$657,MATCH(H3599,Documents!$A$5:$A$657,0))="","",INDEX(Documents!$G$5:$G$657,MATCH(H3599,Documents!$A$5:$A$657,0))),"")</f>
        <v>10.1021/jm300763w</v>
      </c>
      <c r="L3599" s="25" t="s">
        <v>1030</v>
      </c>
    </row>
    <row r="3600" customFormat="false" ht="15" hidden="false" customHeight="false" outlineLevel="0" collapsed="false">
      <c r="A3600" s="25" t="n">
        <v>3102068</v>
      </c>
      <c r="B3600" s="25" t="s">
        <v>7587</v>
      </c>
      <c r="C3600" s="25" t="s">
        <v>7588</v>
      </c>
      <c r="D3600" s="26" t="n">
        <v>50</v>
      </c>
      <c r="E3600" s="27" t="n">
        <v>7.30102999566398</v>
      </c>
      <c r="F3600" s="27" t="n">
        <v>7.30102999566398</v>
      </c>
      <c r="G3600" s="25" t="s">
        <v>4178</v>
      </c>
      <c r="H3600" s="25" t="s">
        <v>4179</v>
      </c>
      <c r="I3600" s="25" t="n">
        <f aca="false">IFERROR(IF(INDEX(Documents!$C$5:$C$657,MATCH(H3600,Documents!$A$5:$A$657,0))="","",INDEX(Documents!$C$5:$C$657,MATCH(H3600,Documents!$A$5:$A$657,0))),"")</f>
        <v>2010</v>
      </c>
      <c r="J3600" s="25" t="str">
        <f aca="false">IFERROR(IF(INDEX(Documents!$D$5:$D$657,MATCH(H3600,Documents!$A$5:$A$657,0))="","",INDEX(Documents!$D$5:$D$657,MATCH(H3600,Documents!$A$5:$A$657,0))),"")</f>
        <v>Bioorg Med Chem Lett</v>
      </c>
      <c r="K3600" s="25" t="str">
        <f aca="false">IFERROR(IF(INDEX(Documents!$G$5:$G$657,MATCH(H3600,Documents!$A$5:$A$657,0))="","",INDEX(Documents!$G$5:$G$657,MATCH(H3600,Documents!$A$5:$A$657,0))),"")</f>
        <v>10.1016/j.bmcl.2009.12.032</v>
      </c>
      <c r="L3600" s="25" t="s">
        <v>659</v>
      </c>
    </row>
    <row r="3601" customFormat="false" ht="15" hidden="false" customHeight="false" outlineLevel="0" collapsed="false">
      <c r="A3601" s="25" t="n">
        <v>16511735</v>
      </c>
      <c r="B3601" s="25" t="s">
        <v>7589</v>
      </c>
      <c r="C3601" s="25" t="s">
        <v>7590</v>
      </c>
      <c r="D3601" s="26" t="n">
        <v>4</v>
      </c>
      <c r="E3601" s="27" t="n">
        <v>8.39794000867204</v>
      </c>
      <c r="F3601" s="27" t="n">
        <v>8.39794000867204</v>
      </c>
      <c r="G3601" s="25" t="s">
        <v>1336</v>
      </c>
      <c r="H3601" s="25" t="s">
        <v>1337</v>
      </c>
      <c r="I3601" s="25" t="n">
        <f aca="false">IFERROR(IF(INDEX(Documents!$C$5:$C$657,MATCH(H3601,Documents!$A$5:$A$657,0))="","",INDEX(Documents!$C$5:$C$657,MATCH(H3601,Documents!$A$5:$A$657,0))),"")</f>
        <v>2016</v>
      </c>
      <c r="J3601" s="25" t="str">
        <f aca="false">IFERROR(IF(INDEX(Documents!$D$5:$D$657,MATCH(H3601,Documents!$A$5:$A$657,0))="","",INDEX(Documents!$D$5:$D$657,MATCH(H3601,Documents!$A$5:$A$657,0))),"")</f>
        <v>Eur J Med Chem</v>
      </c>
      <c r="K3601" s="25" t="str">
        <f aca="false">IFERROR(IF(INDEX(Documents!$G$5:$G$657,MATCH(H3601,Documents!$A$5:$A$657,0))="","",INDEX(Documents!$G$5:$G$657,MATCH(H3601,Documents!$A$5:$A$657,0))),"")</f>
        <v>10.1016/j.ejmech.2016.02.005</v>
      </c>
      <c r="L3601" s="25" t="s">
        <v>1338</v>
      </c>
    </row>
    <row r="3602" customFormat="false" ht="15" hidden="false" customHeight="false" outlineLevel="0" collapsed="false">
      <c r="A3602" s="25" t="n">
        <v>12666515</v>
      </c>
      <c r="B3602" s="25" t="s">
        <v>7591</v>
      </c>
      <c r="C3602" s="25" t="s">
        <v>7592</v>
      </c>
      <c r="D3602" s="26" t="n">
        <v>0.15</v>
      </c>
      <c r="E3602" s="27" t="n">
        <v>9.82390874094432</v>
      </c>
      <c r="F3602" s="27" t="n">
        <v>9.82390874094432</v>
      </c>
      <c r="G3602" s="25" t="s">
        <v>7593</v>
      </c>
      <c r="H3602" s="25" t="s">
        <v>1352</v>
      </c>
      <c r="I3602" s="25" t="n">
        <f aca="false">IFERROR(IF(INDEX(Documents!$C$5:$C$657,MATCH(H3602,Documents!$A$5:$A$657,0))="","",INDEX(Documents!$C$5:$C$657,MATCH(H3602,Documents!$A$5:$A$657,0))),"")</f>
        <v>2013</v>
      </c>
      <c r="J3602" s="25" t="str">
        <f aca="false">IFERROR(IF(INDEX(Documents!$D$5:$D$657,MATCH(H3602,Documents!$A$5:$A$657,0))="","",INDEX(Documents!$D$5:$D$657,MATCH(H3602,Documents!$A$5:$A$657,0))),"")</f>
        <v>Bioorg Med Chem Lett</v>
      </c>
      <c r="K3602" s="25" t="str">
        <f aca="false">IFERROR(IF(INDEX(Documents!$G$5:$G$657,MATCH(H3602,Documents!$A$5:$A$657,0))="","",INDEX(Documents!$G$5:$G$657,MATCH(H3602,Documents!$A$5:$A$657,0))),"")</f>
        <v>10.1016/j.bmcl.2013.01.044</v>
      </c>
      <c r="L3602" s="25" t="s">
        <v>1359</v>
      </c>
    </row>
    <row r="3603" customFormat="false" ht="15" hidden="false" customHeight="false" outlineLevel="0" collapsed="false">
      <c r="A3603" s="25" t="n">
        <v>2504957</v>
      </c>
      <c r="B3603" s="25" t="s">
        <v>7594</v>
      </c>
      <c r="C3603" s="25" t="s">
        <v>7595</v>
      </c>
      <c r="D3603" s="26" t="n">
        <v>21000</v>
      </c>
      <c r="E3603" s="27" t="n">
        <v>4.67778070526608</v>
      </c>
      <c r="F3603" s="27" t="n">
        <v>4.67778070526608</v>
      </c>
      <c r="G3603" s="25" t="s">
        <v>5515</v>
      </c>
      <c r="H3603" s="25" t="s">
        <v>5516</v>
      </c>
      <c r="I3603" s="25" t="n">
        <f aca="false">IFERROR(IF(INDEX(Documents!$C$5:$C$657,MATCH(H3603,Documents!$A$5:$A$657,0))="","",INDEX(Documents!$C$5:$C$657,MATCH(H3603,Documents!$A$5:$A$657,0))),"")</f>
        <v>2008</v>
      </c>
      <c r="J3603" s="25" t="str">
        <f aca="false">IFERROR(IF(INDEX(Documents!$D$5:$D$657,MATCH(H3603,Documents!$A$5:$A$657,0))="","",INDEX(Documents!$D$5:$D$657,MATCH(H3603,Documents!$A$5:$A$657,0))),"")</f>
        <v>Eur J Med Chem</v>
      </c>
      <c r="K3603" s="25" t="str">
        <f aca="false">IFERROR(IF(INDEX(Documents!$G$5:$G$657,MATCH(H3603,Documents!$A$5:$A$657,0))="","",INDEX(Documents!$G$5:$G$657,MATCH(H3603,Documents!$A$5:$A$657,0))),"")</f>
        <v>10.1016/j.ejmech.2008.01.043</v>
      </c>
      <c r="L3603" s="25" t="s">
        <v>5517</v>
      </c>
    </row>
    <row r="3604" customFormat="false" ht="15" hidden="false" customHeight="false" outlineLevel="0" collapsed="false">
      <c r="A3604" s="25" t="n">
        <v>3111434</v>
      </c>
      <c r="B3604" s="25" t="s">
        <v>7596</v>
      </c>
      <c r="C3604" s="25" t="s">
        <v>7597</v>
      </c>
      <c r="D3604" s="26" t="n">
        <v>1384</v>
      </c>
      <c r="E3604" s="27" t="n">
        <v>5.85886390987926</v>
      </c>
      <c r="F3604" s="27" t="n">
        <v>5.85886390987926</v>
      </c>
      <c r="G3604" s="25" t="s">
        <v>1040</v>
      </c>
      <c r="H3604" s="25" t="s">
        <v>1041</v>
      </c>
      <c r="I3604" s="25" t="n">
        <f aca="false">IFERROR(IF(INDEX(Documents!$C$5:$C$657,MATCH(H3604,Documents!$A$5:$A$657,0))="","",INDEX(Documents!$C$5:$C$657,MATCH(H3604,Documents!$A$5:$A$657,0))),"")</f>
        <v>2010</v>
      </c>
      <c r="J3604" s="25" t="str">
        <f aca="false">IFERROR(IF(INDEX(Documents!$D$5:$D$657,MATCH(H3604,Documents!$A$5:$A$657,0))="","",INDEX(Documents!$D$5:$D$657,MATCH(H3604,Documents!$A$5:$A$657,0))),"")</f>
        <v>Bioorg Med Chem Lett</v>
      </c>
      <c r="K3604" s="25" t="str">
        <f aca="false">IFERROR(IF(INDEX(Documents!$G$5:$G$657,MATCH(H3604,Documents!$A$5:$A$657,0))="","",INDEX(Documents!$G$5:$G$657,MATCH(H3604,Documents!$A$5:$A$657,0))),"")</f>
        <v>10.1016/j.bmcl.2009.11.075</v>
      </c>
      <c r="L3604" s="25" t="s">
        <v>515</v>
      </c>
    </row>
    <row r="3605" customFormat="false" ht="15" hidden="false" customHeight="false" outlineLevel="0" collapsed="false">
      <c r="A3605" s="25" t="n">
        <v>18673919</v>
      </c>
      <c r="B3605" s="25" t="s">
        <v>7598</v>
      </c>
      <c r="C3605" s="25" t="s">
        <v>7599</v>
      </c>
      <c r="D3605" s="26" t="n">
        <v>740</v>
      </c>
      <c r="E3605" s="27" t="n">
        <v>6.13076828026902</v>
      </c>
      <c r="F3605" s="27" t="n">
        <v>6.13076828026902</v>
      </c>
      <c r="G3605" s="25" t="s">
        <v>664</v>
      </c>
      <c r="H3605" s="25" t="s">
        <v>665</v>
      </c>
      <c r="I3605" s="25" t="n">
        <f aca="false">IFERROR(IF(INDEX(Documents!$C$5:$C$657,MATCH(H3605,Documents!$A$5:$A$657,0))="","",INDEX(Documents!$C$5:$C$657,MATCH(H3605,Documents!$A$5:$A$657,0))),"")</f>
        <v>2018</v>
      </c>
      <c r="J3605" s="25" t="str">
        <f aca="false">IFERROR(IF(INDEX(Documents!$D$5:$D$657,MATCH(H3605,Documents!$A$5:$A$657,0))="","",INDEX(Documents!$D$5:$D$657,MATCH(H3605,Documents!$A$5:$A$657,0))),"")</f>
        <v>Bioorg Med Chem</v>
      </c>
      <c r="K3605" s="25" t="str">
        <f aca="false">IFERROR(IF(INDEX(Documents!$G$5:$G$657,MATCH(H3605,Documents!$A$5:$A$657,0))="","",INDEX(Documents!$G$5:$G$657,MATCH(H3605,Documents!$A$5:$A$657,0))),"")</f>
        <v>10.1016/j.bmc.2018.07.043</v>
      </c>
      <c r="L3605" s="25" t="s">
        <v>666</v>
      </c>
    </row>
    <row r="3606" customFormat="false" ht="15" hidden="false" customHeight="false" outlineLevel="0" collapsed="false">
      <c r="A3606" s="25" t="n">
        <v>12089898</v>
      </c>
      <c r="B3606" s="25" t="s">
        <v>7600</v>
      </c>
      <c r="C3606" s="25" t="s">
        <v>7601</v>
      </c>
      <c r="D3606" s="26" t="n">
        <v>98</v>
      </c>
      <c r="E3606" s="27" t="n">
        <v>7.00877392430751</v>
      </c>
      <c r="F3606" s="27" t="n">
        <v>7.00877392430751</v>
      </c>
      <c r="G3606" s="25" t="s">
        <v>1028</v>
      </c>
      <c r="H3606" s="25" t="s">
        <v>1029</v>
      </c>
      <c r="I3606" s="25" t="n">
        <f aca="false">IFERROR(IF(INDEX(Documents!$C$5:$C$657,MATCH(H3606,Documents!$A$5:$A$657,0))="","",INDEX(Documents!$C$5:$C$657,MATCH(H3606,Documents!$A$5:$A$657,0))),"")</f>
        <v>2012</v>
      </c>
      <c r="J3606" s="25" t="str">
        <f aca="false">IFERROR(IF(INDEX(Documents!$D$5:$D$657,MATCH(H3606,Documents!$A$5:$A$657,0))="","",INDEX(Documents!$D$5:$D$657,MATCH(H3606,Documents!$A$5:$A$657,0))),"")</f>
        <v>J Med Chem</v>
      </c>
      <c r="K3606" s="25" t="str">
        <f aca="false">IFERROR(IF(INDEX(Documents!$G$5:$G$657,MATCH(H3606,Documents!$A$5:$A$657,0))="","",INDEX(Documents!$G$5:$G$657,MATCH(H3606,Documents!$A$5:$A$657,0))),"")</f>
        <v>10.1021/jm300763w</v>
      </c>
      <c r="L3606" s="25" t="s">
        <v>1030</v>
      </c>
    </row>
    <row r="3607" customFormat="false" ht="15" hidden="false" customHeight="false" outlineLevel="0" collapsed="false">
      <c r="A3607" s="25" t="n">
        <v>12063609</v>
      </c>
      <c r="B3607" s="25" t="s">
        <v>7602</v>
      </c>
      <c r="C3607" s="25" t="s">
        <v>7603</v>
      </c>
      <c r="D3607" s="26" t="n">
        <v>504</v>
      </c>
      <c r="E3607" s="27" t="n">
        <v>6.29756946355447</v>
      </c>
      <c r="F3607" s="27" t="n">
        <v>6.29756946355447</v>
      </c>
      <c r="G3607" s="25" t="s">
        <v>6785</v>
      </c>
      <c r="H3607" s="25" t="s">
        <v>6786</v>
      </c>
      <c r="I3607" s="25" t="n">
        <f aca="false">IFERROR(IF(INDEX(Documents!$C$5:$C$657,MATCH(H3607,Documents!$A$5:$A$657,0))="","",INDEX(Documents!$C$5:$C$657,MATCH(H3607,Documents!$A$5:$A$657,0))),"")</f>
        <v>2012</v>
      </c>
      <c r="J3607" s="25" t="str">
        <f aca="false">IFERROR(IF(INDEX(Documents!$D$5:$D$657,MATCH(H3607,Documents!$A$5:$A$657,0))="","",INDEX(Documents!$D$5:$D$657,MATCH(H3607,Documents!$A$5:$A$657,0))),"")</f>
        <v>Eur J Med Chem</v>
      </c>
      <c r="K3607" s="25" t="str">
        <f aca="false">IFERROR(IF(INDEX(Documents!$G$5:$G$657,MATCH(H3607,Documents!$A$5:$A$657,0))="","",INDEX(Documents!$G$5:$G$657,MATCH(H3607,Documents!$A$5:$A$657,0))),"")</f>
        <v>10.1016/j.ejmech.2012.10.031</v>
      </c>
      <c r="L3607" s="25" t="s">
        <v>6787</v>
      </c>
    </row>
    <row r="3608" customFormat="false" ht="15" hidden="false" customHeight="false" outlineLevel="0" collapsed="false">
      <c r="A3608" s="25" t="n">
        <v>3198570</v>
      </c>
      <c r="B3608" s="25" t="s">
        <v>7604</v>
      </c>
      <c r="C3608" s="25" t="s">
        <v>7605</v>
      </c>
      <c r="D3608" s="26" t="n">
        <v>274</v>
      </c>
      <c r="E3608" s="27" t="n">
        <v>6.56224943717961</v>
      </c>
      <c r="F3608" s="27" t="n">
        <v>6.56224943717961</v>
      </c>
      <c r="G3608" s="25" t="s">
        <v>4040</v>
      </c>
      <c r="H3608" s="25" t="s">
        <v>4041</v>
      </c>
      <c r="I3608" s="25" t="n">
        <f aca="false">IFERROR(IF(INDEX(Documents!$C$5:$C$657,MATCH(H3608,Documents!$A$5:$A$657,0))="","",INDEX(Documents!$C$5:$C$657,MATCH(H3608,Documents!$A$5:$A$657,0))),"")</f>
        <v>2010</v>
      </c>
      <c r="J3608" s="25" t="str">
        <f aca="false">IFERROR(IF(INDEX(Documents!$D$5:$D$657,MATCH(H3608,Documents!$A$5:$A$657,0))="","",INDEX(Documents!$D$5:$D$657,MATCH(H3608,Documents!$A$5:$A$657,0))),"")</f>
        <v>Eur J Med Chem</v>
      </c>
      <c r="K3608" s="25" t="str">
        <f aca="false">IFERROR(IF(INDEX(Documents!$G$5:$G$657,MATCH(H3608,Documents!$A$5:$A$657,0))="","",INDEX(Documents!$G$5:$G$657,MATCH(H3608,Documents!$A$5:$A$657,0))),"")</f>
        <v>10.1016/j.ejmech.2009.12.018</v>
      </c>
      <c r="L3608" s="25" t="s">
        <v>4042</v>
      </c>
    </row>
    <row r="3609" customFormat="false" ht="15" hidden="false" customHeight="false" outlineLevel="0" collapsed="false">
      <c r="A3609" s="25" t="n">
        <v>3198565</v>
      </c>
      <c r="B3609" s="25" t="s">
        <v>7606</v>
      </c>
      <c r="C3609" s="25" t="s">
        <v>7607</v>
      </c>
      <c r="D3609" s="26" t="n">
        <v>26</v>
      </c>
      <c r="E3609" s="27" t="n">
        <v>7.58502665202918</v>
      </c>
      <c r="F3609" s="27" t="n">
        <v>7.58502665202918</v>
      </c>
      <c r="G3609" s="25" t="s">
        <v>4040</v>
      </c>
      <c r="H3609" s="25" t="s">
        <v>4041</v>
      </c>
      <c r="I3609" s="25" t="n">
        <f aca="false">IFERROR(IF(INDEX(Documents!$C$5:$C$657,MATCH(H3609,Documents!$A$5:$A$657,0))="","",INDEX(Documents!$C$5:$C$657,MATCH(H3609,Documents!$A$5:$A$657,0))),"")</f>
        <v>2010</v>
      </c>
      <c r="J3609" s="25" t="str">
        <f aca="false">IFERROR(IF(INDEX(Documents!$D$5:$D$657,MATCH(H3609,Documents!$A$5:$A$657,0))="","",INDEX(Documents!$D$5:$D$657,MATCH(H3609,Documents!$A$5:$A$657,0))),"")</f>
        <v>Eur J Med Chem</v>
      </c>
      <c r="K3609" s="25" t="str">
        <f aca="false">IFERROR(IF(INDEX(Documents!$G$5:$G$657,MATCH(H3609,Documents!$A$5:$A$657,0))="","",INDEX(Documents!$G$5:$G$657,MATCH(H3609,Documents!$A$5:$A$657,0))),"")</f>
        <v>10.1016/j.ejmech.2009.12.018</v>
      </c>
      <c r="L3609" s="25" t="s">
        <v>4042</v>
      </c>
    </row>
    <row r="3610" customFormat="false" ht="15" hidden="false" customHeight="false" outlineLevel="0" collapsed="false">
      <c r="A3610" s="25" t="n">
        <v>3198571</v>
      </c>
      <c r="B3610" s="25" t="s">
        <v>7608</v>
      </c>
      <c r="C3610" s="25" t="s">
        <v>7609</v>
      </c>
      <c r="D3610" s="26" t="n">
        <v>159</v>
      </c>
      <c r="E3610" s="27" t="n">
        <v>6.79860287567955</v>
      </c>
      <c r="F3610" s="27" t="n">
        <v>6.79860287567955</v>
      </c>
      <c r="G3610" s="25" t="s">
        <v>4040</v>
      </c>
      <c r="H3610" s="25" t="s">
        <v>4041</v>
      </c>
      <c r="I3610" s="25" t="n">
        <f aca="false">IFERROR(IF(INDEX(Documents!$C$5:$C$657,MATCH(H3610,Documents!$A$5:$A$657,0))="","",INDEX(Documents!$C$5:$C$657,MATCH(H3610,Documents!$A$5:$A$657,0))),"")</f>
        <v>2010</v>
      </c>
      <c r="J3610" s="25" t="str">
        <f aca="false">IFERROR(IF(INDEX(Documents!$D$5:$D$657,MATCH(H3610,Documents!$A$5:$A$657,0))="","",INDEX(Documents!$D$5:$D$657,MATCH(H3610,Documents!$A$5:$A$657,0))),"")</f>
        <v>Eur J Med Chem</v>
      </c>
      <c r="K3610" s="25" t="str">
        <f aca="false">IFERROR(IF(INDEX(Documents!$G$5:$G$657,MATCH(H3610,Documents!$A$5:$A$657,0))="","",INDEX(Documents!$G$5:$G$657,MATCH(H3610,Documents!$A$5:$A$657,0))),"")</f>
        <v>10.1016/j.ejmech.2009.12.018</v>
      </c>
      <c r="L3610" s="25" t="s">
        <v>4042</v>
      </c>
    </row>
    <row r="3611" customFormat="false" ht="15" hidden="false" customHeight="false" outlineLevel="0" collapsed="false">
      <c r="A3611" s="25" t="n">
        <v>3198569</v>
      </c>
      <c r="B3611" s="25" t="s">
        <v>7610</v>
      </c>
      <c r="C3611" s="25" t="s">
        <v>7611</v>
      </c>
      <c r="D3611" s="26" t="n">
        <v>52</v>
      </c>
      <c r="E3611" s="27" t="n">
        <v>7.2839966563652</v>
      </c>
      <c r="F3611" s="27" t="n">
        <v>7.2839966563652</v>
      </c>
      <c r="G3611" s="25" t="s">
        <v>4040</v>
      </c>
      <c r="H3611" s="25" t="s">
        <v>4041</v>
      </c>
      <c r="I3611" s="25" t="n">
        <f aca="false">IFERROR(IF(INDEX(Documents!$C$5:$C$657,MATCH(H3611,Documents!$A$5:$A$657,0))="","",INDEX(Documents!$C$5:$C$657,MATCH(H3611,Documents!$A$5:$A$657,0))),"")</f>
        <v>2010</v>
      </c>
      <c r="J3611" s="25" t="str">
        <f aca="false">IFERROR(IF(INDEX(Documents!$D$5:$D$657,MATCH(H3611,Documents!$A$5:$A$657,0))="","",INDEX(Documents!$D$5:$D$657,MATCH(H3611,Documents!$A$5:$A$657,0))),"")</f>
        <v>Eur J Med Chem</v>
      </c>
      <c r="K3611" s="25" t="str">
        <f aca="false">IFERROR(IF(INDEX(Documents!$G$5:$G$657,MATCH(H3611,Documents!$A$5:$A$657,0))="","",INDEX(Documents!$G$5:$G$657,MATCH(H3611,Documents!$A$5:$A$657,0))),"")</f>
        <v>10.1016/j.ejmech.2009.12.018</v>
      </c>
      <c r="L3611" s="25" t="s">
        <v>4042</v>
      </c>
    </row>
    <row r="3612" customFormat="false" ht="15" hidden="false" customHeight="false" outlineLevel="0" collapsed="false">
      <c r="A3612" s="25" t="n">
        <v>3198564</v>
      </c>
      <c r="B3612" s="25" t="s">
        <v>7612</v>
      </c>
      <c r="C3612" s="25" t="s">
        <v>7613</v>
      </c>
      <c r="D3612" s="26" t="n">
        <v>407</v>
      </c>
      <c r="E3612" s="27" t="n">
        <v>6.39040559077478</v>
      </c>
      <c r="F3612" s="27" t="n">
        <v>6.39040559077478</v>
      </c>
      <c r="G3612" s="25" t="s">
        <v>4040</v>
      </c>
      <c r="H3612" s="25" t="s">
        <v>4041</v>
      </c>
      <c r="I3612" s="25" t="n">
        <f aca="false">IFERROR(IF(INDEX(Documents!$C$5:$C$657,MATCH(H3612,Documents!$A$5:$A$657,0))="","",INDEX(Documents!$C$5:$C$657,MATCH(H3612,Documents!$A$5:$A$657,0))),"")</f>
        <v>2010</v>
      </c>
      <c r="J3612" s="25" t="str">
        <f aca="false">IFERROR(IF(INDEX(Documents!$D$5:$D$657,MATCH(H3612,Documents!$A$5:$A$657,0))="","",INDEX(Documents!$D$5:$D$657,MATCH(H3612,Documents!$A$5:$A$657,0))),"")</f>
        <v>Eur J Med Chem</v>
      </c>
      <c r="K3612" s="25" t="str">
        <f aca="false">IFERROR(IF(INDEX(Documents!$G$5:$G$657,MATCH(H3612,Documents!$A$5:$A$657,0))="","",INDEX(Documents!$G$5:$G$657,MATCH(H3612,Documents!$A$5:$A$657,0))),"")</f>
        <v>10.1016/j.ejmech.2009.12.018</v>
      </c>
      <c r="L3612" s="25" t="s">
        <v>4042</v>
      </c>
    </row>
    <row r="3613" customFormat="false" ht="15" hidden="false" customHeight="false" outlineLevel="0" collapsed="false">
      <c r="A3613" s="25" t="n">
        <v>3198522</v>
      </c>
      <c r="B3613" s="25" t="s">
        <v>7614</v>
      </c>
      <c r="C3613" s="25" t="s">
        <v>7615</v>
      </c>
      <c r="D3613" s="26" t="n">
        <v>831</v>
      </c>
      <c r="E3613" s="27" t="n">
        <v>6.08039897621589</v>
      </c>
      <c r="F3613" s="27" t="n">
        <v>6.08039897621589</v>
      </c>
      <c r="G3613" s="25" t="s">
        <v>4040</v>
      </c>
      <c r="H3613" s="25" t="s">
        <v>4041</v>
      </c>
      <c r="I3613" s="25" t="n">
        <f aca="false">IFERROR(IF(INDEX(Documents!$C$5:$C$657,MATCH(H3613,Documents!$A$5:$A$657,0))="","",INDEX(Documents!$C$5:$C$657,MATCH(H3613,Documents!$A$5:$A$657,0))),"")</f>
        <v>2010</v>
      </c>
      <c r="J3613" s="25" t="str">
        <f aca="false">IFERROR(IF(INDEX(Documents!$D$5:$D$657,MATCH(H3613,Documents!$A$5:$A$657,0))="","",INDEX(Documents!$D$5:$D$657,MATCH(H3613,Documents!$A$5:$A$657,0))),"")</f>
        <v>Eur J Med Chem</v>
      </c>
      <c r="K3613" s="25" t="str">
        <f aca="false">IFERROR(IF(INDEX(Documents!$G$5:$G$657,MATCH(H3613,Documents!$A$5:$A$657,0))="","",INDEX(Documents!$G$5:$G$657,MATCH(H3613,Documents!$A$5:$A$657,0))),"")</f>
        <v>10.1016/j.ejmech.2009.12.018</v>
      </c>
      <c r="L3613" s="25" t="s">
        <v>4042</v>
      </c>
    </row>
    <row r="3614" customFormat="false" ht="15" hidden="false" customHeight="false" outlineLevel="0" collapsed="false">
      <c r="A3614" s="25" t="n">
        <v>3198521</v>
      </c>
      <c r="B3614" s="25" t="s">
        <v>7616</v>
      </c>
      <c r="C3614" s="25" t="s">
        <v>7617</v>
      </c>
      <c r="D3614" s="26" t="n">
        <v>899</v>
      </c>
      <c r="E3614" s="27" t="n">
        <v>6.04624030826677</v>
      </c>
      <c r="F3614" s="27" t="n">
        <v>6.04624030826677</v>
      </c>
      <c r="G3614" s="25" t="s">
        <v>4040</v>
      </c>
      <c r="H3614" s="25" t="s">
        <v>4041</v>
      </c>
      <c r="I3614" s="25" t="n">
        <f aca="false">IFERROR(IF(INDEX(Documents!$C$5:$C$657,MATCH(H3614,Documents!$A$5:$A$657,0))="","",INDEX(Documents!$C$5:$C$657,MATCH(H3614,Documents!$A$5:$A$657,0))),"")</f>
        <v>2010</v>
      </c>
      <c r="J3614" s="25" t="str">
        <f aca="false">IFERROR(IF(INDEX(Documents!$D$5:$D$657,MATCH(H3614,Documents!$A$5:$A$657,0))="","",INDEX(Documents!$D$5:$D$657,MATCH(H3614,Documents!$A$5:$A$657,0))),"")</f>
        <v>Eur J Med Chem</v>
      </c>
      <c r="K3614" s="25" t="str">
        <f aca="false">IFERROR(IF(INDEX(Documents!$G$5:$G$657,MATCH(H3614,Documents!$A$5:$A$657,0))="","",INDEX(Documents!$G$5:$G$657,MATCH(H3614,Documents!$A$5:$A$657,0))),"")</f>
        <v>10.1016/j.ejmech.2009.12.018</v>
      </c>
      <c r="L3614" s="25" t="s">
        <v>4042</v>
      </c>
    </row>
    <row r="3615" customFormat="false" ht="15" hidden="false" customHeight="false" outlineLevel="0" collapsed="false">
      <c r="A3615" s="25" t="n">
        <v>3198523</v>
      </c>
      <c r="B3615" s="25" t="s">
        <v>7618</v>
      </c>
      <c r="C3615" s="25" t="s">
        <v>7619</v>
      </c>
      <c r="D3615" s="26" t="n">
        <v>322</v>
      </c>
      <c r="E3615" s="27" t="n">
        <v>6.49214412830417</v>
      </c>
      <c r="F3615" s="27" t="n">
        <v>6.49214412830417</v>
      </c>
      <c r="G3615" s="25" t="s">
        <v>4040</v>
      </c>
      <c r="H3615" s="25" t="s">
        <v>4041</v>
      </c>
      <c r="I3615" s="25" t="n">
        <f aca="false">IFERROR(IF(INDEX(Documents!$C$5:$C$657,MATCH(H3615,Documents!$A$5:$A$657,0))="","",INDEX(Documents!$C$5:$C$657,MATCH(H3615,Documents!$A$5:$A$657,0))),"")</f>
        <v>2010</v>
      </c>
      <c r="J3615" s="25" t="str">
        <f aca="false">IFERROR(IF(INDEX(Documents!$D$5:$D$657,MATCH(H3615,Documents!$A$5:$A$657,0))="","",INDEX(Documents!$D$5:$D$657,MATCH(H3615,Documents!$A$5:$A$657,0))),"")</f>
        <v>Eur J Med Chem</v>
      </c>
      <c r="K3615" s="25" t="str">
        <f aca="false">IFERROR(IF(INDEX(Documents!$G$5:$G$657,MATCH(H3615,Documents!$A$5:$A$657,0))="","",INDEX(Documents!$G$5:$G$657,MATCH(H3615,Documents!$A$5:$A$657,0))),"")</f>
        <v>10.1016/j.ejmech.2009.12.018</v>
      </c>
      <c r="L3615" s="25" t="s">
        <v>4042</v>
      </c>
    </row>
    <row r="3616" customFormat="false" ht="15" hidden="false" customHeight="false" outlineLevel="0" collapsed="false">
      <c r="A3616" s="25" t="n">
        <v>3198520</v>
      </c>
      <c r="B3616" s="25" t="s">
        <v>7620</v>
      </c>
      <c r="C3616" s="25" t="s">
        <v>7621</v>
      </c>
      <c r="D3616" s="26" t="n">
        <v>356</v>
      </c>
      <c r="E3616" s="27" t="n">
        <v>6.44855000202712</v>
      </c>
      <c r="F3616" s="27" t="n">
        <v>6.44855000202712</v>
      </c>
      <c r="G3616" s="25" t="s">
        <v>4040</v>
      </c>
      <c r="H3616" s="25" t="s">
        <v>4041</v>
      </c>
      <c r="I3616" s="25" t="n">
        <f aca="false">IFERROR(IF(INDEX(Documents!$C$5:$C$657,MATCH(H3616,Documents!$A$5:$A$657,0))="","",INDEX(Documents!$C$5:$C$657,MATCH(H3616,Documents!$A$5:$A$657,0))),"")</f>
        <v>2010</v>
      </c>
      <c r="J3616" s="25" t="str">
        <f aca="false">IFERROR(IF(INDEX(Documents!$D$5:$D$657,MATCH(H3616,Documents!$A$5:$A$657,0))="","",INDEX(Documents!$D$5:$D$657,MATCH(H3616,Documents!$A$5:$A$657,0))),"")</f>
        <v>Eur J Med Chem</v>
      </c>
      <c r="K3616" s="25" t="str">
        <f aca="false">IFERROR(IF(INDEX(Documents!$G$5:$G$657,MATCH(H3616,Documents!$A$5:$A$657,0))="","",INDEX(Documents!$G$5:$G$657,MATCH(H3616,Documents!$A$5:$A$657,0))),"")</f>
        <v>10.1016/j.ejmech.2009.12.018</v>
      </c>
      <c r="L3616" s="25" t="s">
        <v>4042</v>
      </c>
    </row>
    <row r="3617" customFormat="false" ht="15" hidden="false" customHeight="false" outlineLevel="0" collapsed="false">
      <c r="A3617" s="25" t="n">
        <v>3198519</v>
      </c>
      <c r="B3617" s="25" t="s">
        <v>7622</v>
      </c>
      <c r="C3617" s="25" t="s">
        <v>7623</v>
      </c>
      <c r="D3617" s="26" t="n">
        <v>432</v>
      </c>
      <c r="E3617" s="27" t="n">
        <v>6.36451625318509</v>
      </c>
      <c r="F3617" s="27" t="n">
        <v>6.36451625318509</v>
      </c>
      <c r="G3617" s="25" t="s">
        <v>4040</v>
      </c>
      <c r="H3617" s="25" t="s">
        <v>4041</v>
      </c>
      <c r="I3617" s="25" t="n">
        <f aca="false">IFERROR(IF(INDEX(Documents!$C$5:$C$657,MATCH(H3617,Documents!$A$5:$A$657,0))="","",INDEX(Documents!$C$5:$C$657,MATCH(H3617,Documents!$A$5:$A$657,0))),"")</f>
        <v>2010</v>
      </c>
      <c r="J3617" s="25" t="str">
        <f aca="false">IFERROR(IF(INDEX(Documents!$D$5:$D$657,MATCH(H3617,Documents!$A$5:$A$657,0))="","",INDEX(Documents!$D$5:$D$657,MATCH(H3617,Documents!$A$5:$A$657,0))),"")</f>
        <v>Eur J Med Chem</v>
      </c>
      <c r="K3617" s="25" t="str">
        <f aca="false">IFERROR(IF(INDEX(Documents!$G$5:$G$657,MATCH(H3617,Documents!$A$5:$A$657,0))="","",INDEX(Documents!$G$5:$G$657,MATCH(H3617,Documents!$A$5:$A$657,0))),"")</f>
        <v>10.1016/j.ejmech.2009.12.018</v>
      </c>
      <c r="L3617" s="25" t="s">
        <v>4042</v>
      </c>
    </row>
    <row r="3618" customFormat="false" ht="15" hidden="false" customHeight="false" outlineLevel="0" collapsed="false">
      <c r="A3618" s="25" t="n">
        <v>3198525</v>
      </c>
      <c r="B3618" s="25" t="s">
        <v>7624</v>
      </c>
      <c r="C3618" s="25" t="s">
        <v>7625</v>
      </c>
      <c r="D3618" s="26" t="n">
        <v>526</v>
      </c>
      <c r="E3618" s="27" t="n">
        <v>6.27901425584626</v>
      </c>
      <c r="F3618" s="27" t="n">
        <v>6.27901425584626</v>
      </c>
      <c r="G3618" s="25" t="s">
        <v>4040</v>
      </c>
      <c r="H3618" s="25" t="s">
        <v>4041</v>
      </c>
      <c r="I3618" s="25" t="n">
        <f aca="false">IFERROR(IF(INDEX(Documents!$C$5:$C$657,MATCH(H3618,Documents!$A$5:$A$657,0))="","",INDEX(Documents!$C$5:$C$657,MATCH(H3618,Documents!$A$5:$A$657,0))),"")</f>
        <v>2010</v>
      </c>
      <c r="J3618" s="25" t="str">
        <f aca="false">IFERROR(IF(INDEX(Documents!$D$5:$D$657,MATCH(H3618,Documents!$A$5:$A$657,0))="","",INDEX(Documents!$D$5:$D$657,MATCH(H3618,Documents!$A$5:$A$657,0))),"")</f>
        <v>Eur J Med Chem</v>
      </c>
      <c r="K3618" s="25" t="str">
        <f aca="false">IFERROR(IF(INDEX(Documents!$G$5:$G$657,MATCH(H3618,Documents!$A$5:$A$657,0))="","",INDEX(Documents!$G$5:$G$657,MATCH(H3618,Documents!$A$5:$A$657,0))),"")</f>
        <v>10.1016/j.ejmech.2009.12.018</v>
      </c>
      <c r="L3618" s="25" t="s">
        <v>4042</v>
      </c>
    </row>
    <row r="3619" customFormat="false" ht="15" hidden="false" customHeight="false" outlineLevel="0" collapsed="false">
      <c r="A3619" s="25" t="n">
        <v>3198524</v>
      </c>
      <c r="B3619" s="25" t="s">
        <v>7626</v>
      </c>
      <c r="C3619" s="25" t="s">
        <v>7627</v>
      </c>
      <c r="D3619" s="26" t="n">
        <v>1300</v>
      </c>
      <c r="E3619" s="27" t="n">
        <v>5.88605664769316</v>
      </c>
      <c r="F3619" s="27" t="n">
        <v>5.88605664769316</v>
      </c>
      <c r="G3619" s="25" t="s">
        <v>4040</v>
      </c>
      <c r="H3619" s="25" t="s">
        <v>4041</v>
      </c>
      <c r="I3619" s="25" t="n">
        <f aca="false">IFERROR(IF(INDEX(Documents!$C$5:$C$657,MATCH(H3619,Documents!$A$5:$A$657,0))="","",INDEX(Documents!$C$5:$C$657,MATCH(H3619,Documents!$A$5:$A$657,0))),"")</f>
        <v>2010</v>
      </c>
      <c r="J3619" s="25" t="str">
        <f aca="false">IFERROR(IF(INDEX(Documents!$D$5:$D$657,MATCH(H3619,Documents!$A$5:$A$657,0))="","",INDEX(Documents!$D$5:$D$657,MATCH(H3619,Documents!$A$5:$A$657,0))),"")</f>
        <v>Eur J Med Chem</v>
      </c>
      <c r="K3619" s="25" t="str">
        <f aca="false">IFERROR(IF(INDEX(Documents!$G$5:$G$657,MATCH(H3619,Documents!$A$5:$A$657,0))="","",INDEX(Documents!$G$5:$G$657,MATCH(H3619,Documents!$A$5:$A$657,0))),"")</f>
        <v>10.1016/j.ejmech.2009.12.018</v>
      </c>
      <c r="L3619" s="25" t="s">
        <v>4042</v>
      </c>
    </row>
    <row r="3620" customFormat="false" ht="15" hidden="false" customHeight="false" outlineLevel="0" collapsed="false">
      <c r="A3620" s="25" t="n">
        <v>3198516</v>
      </c>
      <c r="B3620" s="25" t="s">
        <v>7628</v>
      </c>
      <c r="C3620" s="25" t="s">
        <v>7629</v>
      </c>
      <c r="D3620" s="26" t="n">
        <v>2407</v>
      </c>
      <c r="E3620" s="27" t="n">
        <v>5.61852390972497</v>
      </c>
      <c r="F3620" s="27" t="n">
        <v>5.61852390972497</v>
      </c>
      <c r="G3620" s="25" t="s">
        <v>4040</v>
      </c>
      <c r="H3620" s="25" t="s">
        <v>4041</v>
      </c>
      <c r="I3620" s="25" t="n">
        <f aca="false">IFERROR(IF(INDEX(Documents!$C$5:$C$657,MATCH(H3620,Documents!$A$5:$A$657,0))="","",INDEX(Documents!$C$5:$C$657,MATCH(H3620,Documents!$A$5:$A$657,0))),"")</f>
        <v>2010</v>
      </c>
      <c r="J3620" s="25" t="str">
        <f aca="false">IFERROR(IF(INDEX(Documents!$D$5:$D$657,MATCH(H3620,Documents!$A$5:$A$657,0))="","",INDEX(Documents!$D$5:$D$657,MATCH(H3620,Documents!$A$5:$A$657,0))),"")</f>
        <v>Eur J Med Chem</v>
      </c>
      <c r="K3620" s="25" t="str">
        <f aca="false">IFERROR(IF(INDEX(Documents!$G$5:$G$657,MATCH(H3620,Documents!$A$5:$A$657,0))="","",INDEX(Documents!$G$5:$G$657,MATCH(H3620,Documents!$A$5:$A$657,0))),"")</f>
        <v>10.1016/j.ejmech.2009.12.018</v>
      </c>
      <c r="L3620" s="25" t="s">
        <v>4042</v>
      </c>
    </row>
    <row r="3621" customFormat="false" ht="15" hidden="false" customHeight="false" outlineLevel="0" collapsed="false">
      <c r="A3621" s="25" t="n">
        <v>18673921</v>
      </c>
      <c r="B3621" s="25" t="s">
        <v>7630</v>
      </c>
      <c r="C3621" s="25" t="s">
        <v>7631</v>
      </c>
      <c r="D3621" s="26" t="n">
        <v>620</v>
      </c>
      <c r="E3621" s="27" t="n">
        <v>6.20760831050175</v>
      </c>
      <c r="F3621" s="27" t="n">
        <v>6.20760831050175</v>
      </c>
      <c r="G3621" s="25" t="s">
        <v>664</v>
      </c>
      <c r="H3621" s="25" t="s">
        <v>665</v>
      </c>
      <c r="I3621" s="25" t="n">
        <f aca="false">IFERROR(IF(INDEX(Documents!$C$5:$C$657,MATCH(H3621,Documents!$A$5:$A$657,0))="","",INDEX(Documents!$C$5:$C$657,MATCH(H3621,Documents!$A$5:$A$657,0))),"")</f>
        <v>2018</v>
      </c>
      <c r="J3621" s="25" t="str">
        <f aca="false">IFERROR(IF(INDEX(Documents!$D$5:$D$657,MATCH(H3621,Documents!$A$5:$A$657,0))="","",INDEX(Documents!$D$5:$D$657,MATCH(H3621,Documents!$A$5:$A$657,0))),"")</f>
        <v>Bioorg Med Chem</v>
      </c>
      <c r="K3621" s="25" t="str">
        <f aca="false">IFERROR(IF(INDEX(Documents!$G$5:$G$657,MATCH(H3621,Documents!$A$5:$A$657,0))="","",INDEX(Documents!$G$5:$G$657,MATCH(H3621,Documents!$A$5:$A$657,0))),"")</f>
        <v>10.1016/j.bmc.2018.07.043</v>
      </c>
      <c r="L3621" s="25" t="s">
        <v>666</v>
      </c>
    </row>
    <row r="3622" customFormat="false" ht="15" hidden="false" customHeight="false" outlineLevel="0" collapsed="false">
      <c r="A3622" s="25" t="n">
        <v>3111436</v>
      </c>
      <c r="B3622" s="25" t="s">
        <v>7632</v>
      </c>
      <c r="C3622" s="25" t="s">
        <v>7633</v>
      </c>
      <c r="D3622" s="26" t="n">
        <v>368</v>
      </c>
      <c r="E3622" s="27" t="n">
        <v>6.43415218132648</v>
      </c>
      <c r="F3622" s="27" t="n">
        <v>6.43415218132648</v>
      </c>
      <c r="G3622" s="25" t="s">
        <v>1040</v>
      </c>
      <c r="H3622" s="25" t="s">
        <v>1041</v>
      </c>
      <c r="I3622" s="25" t="n">
        <f aca="false">IFERROR(IF(INDEX(Documents!$C$5:$C$657,MATCH(H3622,Documents!$A$5:$A$657,0))="","",INDEX(Documents!$C$5:$C$657,MATCH(H3622,Documents!$A$5:$A$657,0))),"")</f>
        <v>2010</v>
      </c>
      <c r="J3622" s="25" t="str">
        <f aca="false">IFERROR(IF(INDEX(Documents!$D$5:$D$657,MATCH(H3622,Documents!$A$5:$A$657,0))="","",INDEX(Documents!$D$5:$D$657,MATCH(H3622,Documents!$A$5:$A$657,0))),"")</f>
        <v>Bioorg Med Chem Lett</v>
      </c>
      <c r="K3622" s="25" t="str">
        <f aca="false">IFERROR(IF(INDEX(Documents!$G$5:$G$657,MATCH(H3622,Documents!$A$5:$A$657,0))="","",INDEX(Documents!$G$5:$G$657,MATCH(H3622,Documents!$A$5:$A$657,0))),"")</f>
        <v>10.1016/j.bmcl.2009.11.075</v>
      </c>
      <c r="L3622" s="25" t="s">
        <v>515</v>
      </c>
    </row>
    <row r="3623" customFormat="false" ht="15" hidden="false" customHeight="false" outlineLevel="0" collapsed="false">
      <c r="A3623" s="25" t="n">
        <v>10866729</v>
      </c>
      <c r="B3623" s="25" t="s">
        <v>7634</v>
      </c>
      <c r="C3623" s="25" t="s">
        <v>7635</v>
      </c>
      <c r="D3623" s="26" t="n">
        <v>2.4</v>
      </c>
      <c r="E3623" s="27" t="n">
        <v>8.61978875828839</v>
      </c>
      <c r="F3623" s="27" t="n">
        <v>8.61978875828839</v>
      </c>
      <c r="G3623" s="25" t="s">
        <v>7636</v>
      </c>
      <c r="H3623" s="25" t="s">
        <v>7637</v>
      </c>
      <c r="I3623" s="25" t="n">
        <f aca="false">IFERROR(IF(INDEX(Documents!$C$5:$C$657,MATCH(H3623,Documents!$A$5:$A$657,0))="","",INDEX(Documents!$C$5:$C$657,MATCH(H3623,Documents!$A$5:$A$657,0))),"")</f>
        <v>2012</v>
      </c>
      <c r="J3623" s="25" t="str">
        <f aca="false">IFERROR(IF(INDEX(Documents!$D$5:$D$657,MATCH(H3623,Documents!$A$5:$A$657,0))="","",INDEX(Documents!$D$5:$D$657,MATCH(H3623,Documents!$A$5:$A$657,0))),"")</f>
        <v>Eur J Med Chem</v>
      </c>
      <c r="K3623" s="25" t="str">
        <f aca="false">IFERROR(IF(INDEX(Documents!$G$5:$G$657,MATCH(H3623,Documents!$A$5:$A$657,0))="","",INDEX(Documents!$G$5:$G$657,MATCH(H3623,Documents!$A$5:$A$657,0))),"")</f>
        <v>10.1016/j.ejmech.2012.03.031</v>
      </c>
      <c r="L3623" s="25" t="s">
        <v>7638</v>
      </c>
    </row>
    <row r="3624" customFormat="false" ht="15" hidden="false" customHeight="false" outlineLevel="0" collapsed="false">
      <c r="A3624" s="25" t="n">
        <v>10866731</v>
      </c>
      <c r="B3624" s="25" t="s">
        <v>7639</v>
      </c>
      <c r="C3624" s="25" t="s">
        <v>7640</v>
      </c>
      <c r="D3624" s="26" t="n">
        <v>79</v>
      </c>
      <c r="E3624" s="27" t="n">
        <v>7.10237290870956</v>
      </c>
      <c r="F3624" s="27" t="n">
        <v>7.10237290870956</v>
      </c>
      <c r="G3624" s="25" t="s">
        <v>7636</v>
      </c>
      <c r="H3624" s="25" t="s">
        <v>7637</v>
      </c>
      <c r="I3624" s="25" t="n">
        <f aca="false">IFERROR(IF(INDEX(Documents!$C$5:$C$657,MATCH(H3624,Documents!$A$5:$A$657,0))="","",INDEX(Documents!$C$5:$C$657,MATCH(H3624,Documents!$A$5:$A$657,0))),"")</f>
        <v>2012</v>
      </c>
      <c r="J3624" s="25" t="str">
        <f aca="false">IFERROR(IF(INDEX(Documents!$D$5:$D$657,MATCH(H3624,Documents!$A$5:$A$657,0))="","",INDEX(Documents!$D$5:$D$657,MATCH(H3624,Documents!$A$5:$A$657,0))),"")</f>
        <v>Eur J Med Chem</v>
      </c>
      <c r="K3624" s="25" t="str">
        <f aca="false">IFERROR(IF(INDEX(Documents!$G$5:$G$657,MATCH(H3624,Documents!$A$5:$A$657,0))="","",INDEX(Documents!$G$5:$G$657,MATCH(H3624,Documents!$A$5:$A$657,0))),"")</f>
        <v>10.1016/j.ejmech.2012.03.031</v>
      </c>
      <c r="L3624" s="25" t="s">
        <v>7638</v>
      </c>
    </row>
    <row r="3625" customFormat="false" ht="15" hidden="false" customHeight="false" outlineLevel="0" collapsed="false">
      <c r="A3625" s="25" t="n">
        <v>17981840</v>
      </c>
      <c r="B3625" s="25" t="s">
        <v>7641</v>
      </c>
      <c r="C3625" s="25" t="s">
        <v>7642</v>
      </c>
      <c r="D3625" s="26" t="n">
        <v>44</v>
      </c>
      <c r="E3625" s="27" t="n">
        <v>7.35654732351381</v>
      </c>
      <c r="F3625" s="27" t="n">
        <v>7.35654732351381</v>
      </c>
      <c r="G3625" s="25" t="s">
        <v>6347</v>
      </c>
      <c r="H3625" s="25" t="s">
        <v>6348</v>
      </c>
      <c r="I3625" s="25" t="n">
        <f aca="false">IFERROR(IF(INDEX(Documents!$C$5:$C$657,MATCH(H3625,Documents!$A$5:$A$657,0))="","",INDEX(Documents!$C$5:$C$657,MATCH(H3625,Documents!$A$5:$A$657,0))),"")</f>
        <v>2017</v>
      </c>
      <c r="J3625" s="25" t="str">
        <f aca="false">IFERROR(IF(INDEX(Documents!$D$5:$D$657,MATCH(H3625,Documents!$A$5:$A$657,0))="","",INDEX(Documents!$D$5:$D$657,MATCH(H3625,Documents!$A$5:$A$657,0))),"")</f>
        <v>Eur J Med Chem</v>
      </c>
      <c r="K3625" s="25" t="str">
        <f aca="false">IFERROR(IF(INDEX(Documents!$G$5:$G$657,MATCH(H3625,Documents!$A$5:$A$657,0))="","",INDEX(Documents!$G$5:$G$657,MATCH(H3625,Documents!$A$5:$A$657,0))),"")</f>
        <v>10.1016/j.ejmech.2017.01.002</v>
      </c>
      <c r="L3625" s="25" t="s">
        <v>6349</v>
      </c>
    </row>
    <row r="3626" customFormat="false" ht="15" hidden="false" customHeight="false" outlineLevel="0" collapsed="false">
      <c r="A3626" s="25" t="n">
        <v>2115187</v>
      </c>
      <c r="B3626" s="25" t="s">
        <v>7643</v>
      </c>
      <c r="C3626" s="25" t="s">
        <v>7644</v>
      </c>
      <c r="D3626" s="26" t="n">
        <v>1750</v>
      </c>
      <c r="E3626" s="27" t="n">
        <v>5.75696195131371</v>
      </c>
      <c r="F3626" s="27" t="n">
        <v>5.75696195131371</v>
      </c>
      <c r="G3626" s="25" t="s">
        <v>6459</v>
      </c>
      <c r="H3626" s="25" t="s">
        <v>6460</v>
      </c>
      <c r="I3626" s="25" t="n">
        <f aca="false">IFERROR(IF(INDEX(Documents!$C$5:$C$657,MATCH(H3626,Documents!$A$5:$A$657,0))="","",INDEX(Documents!$C$5:$C$657,MATCH(H3626,Documents!$A$5:$A$657,0))),"")</f>
        <v>2008</v>
      </c>
      <c r="J3626" s="25" t="str">
        <f aca="false">IFERROR(IF(INDEX(Documents!$D$5:$D$657,MATCH(H3626,Documents!$A$5:$A$657,0))="","",INDEX(Documents!$D$5:$D$657,MATCH(H3626,Documents!$A$5:$A$657,0))),"")</f>
        <v>J Med Chem</v>
      </c>
      <c r="K3626" s="25" t="str">
        <f aca="false">IFERROR(IF(INDEX(Documents!$G$5:$G$657,MATCH(H3626,Documents!$A$5:$A$657,0))="","",INDEX(Documents!$G$5:$G$657,MATCH(H3626,Documents!$A$5:$A$657,0))),"")</f>
        <v>10.1021/jm070566z</v>
      </c>
      <c r="L3626" s="25" t="s">
        <v>676</v>
      </c>
    </row>
    <row r="3627" customFormat="false" ht="15" hidden="false" customHeight="false" outlineLevel="0" collapsed="false">
      <c r="A3627" s="25" t="n">
        <v>10866734</v>
      </c>
      <c r="B3627" s="25" t="s">
        <v>7645</v>
      </c>
      <c r="C3627" s="25" t="s">
        <v>7646</v>
      </c>
      <c r="D3627" s="26" t="n">
        <v>9</v>
      </c>
      <c r="E3627" s="27" t="n">
        <v>8.04575749056068</v>
      </c>
      <c r="F3627" s="27" t="n">
        <v>8.04575749056068</v>
      </c>
      <c r="G3627" s="25" t="s">
        <v>7636</v>
      </c>
      <c r="H3627" s="25" t="s">
        <v>7637</v>
      </c>
      <c r="I3627" s="25" t="n">
        <f aca="false">IFERROR(IF(INDEX(Documents!$C$5:$C$657,MATCH(H3627,Documents!$A$5:$A$657,0))="","",INDEX(Documents!$C$5:$C$657,MATCH(H3627,Documents!$A$5:$A$657,0))),"")</f>
        <v>2012</v>
      </c>
      <c r="J3627" s="25" t="str">
        <f aca="false">IFERROR(IF(INDEX(Documents!$D$5:$D$657,MATCH(H3627,Documents!$A$5:$A$657,0))="","",INDEX(Documents!$D$5:$D$657,MATCH(H3627,Documents!$A$5:$A$657,0))),"")</f>
        <v>Eur J Med Chem</v>
      </c>
      <c r="K3627" s="25" t="str">
        <f aca="false">IFERROR(IF(INDEX(Documents!$G$5:$G$657,MATCH(H3627,Documents!$A$5:$A$657,0))="","",INDEX(Documents!$G$5:$G$657,MATCH(H3627,Documents!$A$5:$A$657,0))),"")</f>
        <v>10.1016/j.ejmech.2012.03.031</v>
      </c>
      <c r="L3627" s="25" t="s">
        <v>7638</v>
      </c>
    </row>
    <row r="3628" customFormat="false" ht="15" hidden="false" customHeight="false" outlineLevel="0" collapsed="false">
      <c r="A3628" s="25" t="n">
        <v>10866735</v>
      </c>
      <c r="B3628" s="25" t="s">
        <v>7647</v>
      </c>
      <c r="C3628" s="25" t="s">
        <v>7648</v>
      </c>
      <c r="D3628" s="26" t="n">
        <v>2.9</v>
      </c>
      <c r="E3628" s="27" t="n">
        <v>8.53760200210104</v>
      </c>
      <c r="F3628" s="27" t="n">
        <v>8.53760200210104</v>
      </c>
      <c r="G3628" s="25" t="s">
        <v>7636</v>
      </c>
      <c r="H3628" s="25" t="s">
        <v>7637</v>
      </c>
      <c r="I3628" s="25" t="n">
        <f aca="false">IFERROR(IF(INDEX(Documents!$C$5:$C$657,MATCH(H3628,Documents!$A$5:$A$657,0))="","",INDEX(Documents!$C$5:$C$657,MATCH(H3628,Documents!$A$5:$A$657,0))),"")</f>
        <v>2012</v>
      </c>
      <c r="J3628" s="25" t="str">
        <f aca="false">IFERROR(IF(INDEX(Documents!$D$5:$D$657,MATCH(H3628,Documents!$A$5:$A$657,0))="","",INDEX(Documents!$D$5:$D$657,MATCH(H3628,Documents!$A$5:$A$657,0))),"")</f>
        <v>Eur J Med Chem</v>
      </c>
      <c r="K3628" s="25" t="str">
        <f aca="false">IFERROR(IF(INDEX(Documents!$G$5:$G$657,MATCH(H3628,Documents!$A$5:$A$657,0))="","",INDEX(Documents!$G$5:$G$657,MATCH(H3628,Documents!$A$5:$A$657,0))),"")</f>
        <v>10.1016/j.ejmech.2012.03.031</v>
      </c>
      <c r="L3628" s="25" t="s">
        <v>7638</v>
      </c>
    </row>
    <row r="3629" customFormat="false" ht="15" hidden="false" customHeight="false" outlineLevel="0" collapsed="false">
      <c r="A3629" s="25" t="n">
        <v>10866736</v>
      </c>
      <c r="B3629" s="25" t="s">
        <v>7649</v>
      </c>
      <c r="C3629" s="25" t="s">
        <v>7650</v>
      </c>
      <c r="D3629" s="26" t="n">
        <v>16</v>
      </c>
      <c r="E3629" s="27" t="n">
        <v>7.79588001734408</v>
      </c>
      <c r="F3629" s="27" t="n">
        <v>7.79588001734408</v>
      </c>
      <c r="G3629" s="25" t="s">
        <v>7636</v>
      </c>
      <c r="H3629" s="25" t="s">
        <v>7637</v>
      </c>
      <c r="I3629" s="25" t="n">
        <f aca="false">IFERROR(IF(INDEX(Documents!$C$5:$C$657,MATCH(H3629,Documents!$A$5:$A$657,0))="","",INDEX(Documents!$C$5:$C$657,MATCH(H3629,Documents!$A$5:$A$657,0))),"")</f>
        <v>2012</v>
      </c>
      <c r="J3629" s="25" t="str">
        <f aca="false">IFERROR(IF(INDEX(Documents!$D$5:$D$657,MATCH(H3629,Documents!$A$5:$A$657,0))="","",INDEX(Documents!$D$5:$D$657,MATCH(H3629,Documents!$A$5:$A$657,0))),"")</f>
        <v>Eur J Med Chem</v>
      </c>
      <c r="K3629" s="25" t="str">
        <f aca="false">IFERROR(IF(INDEX(Documents!$G$5:$G$657,MATCH(H3629,Documents!$A$5:$A$657,0))="","",INDEX(Documents!$G$5:$G$657,MATCH(H3629,Documents!$A$5:$A$657,0))),"")</f>
        <v>10.1016/j.ejmech.2012.03.031</v>
      </c>
      <c r="L3629" s="25" t="s">
        <v>7638</v>
      </c>
    </row>
    <row r="3630" customFormat="false" ht="15" hidden="false" customHeight="false" outlineLevel="0" collapsed="false">
      <c r="A3630" s="25" t="n">
        <v>10866721</v>
      </c>
      <c r="B3630" s="25" t="s">
        <v>7651</v>
      </c>
      <c r="C3630" s="25" t="s">
        <v>7652</v>
      </c>
      <c r="D3630" s="26" t="n">
        <v>130</v>
      </c>
      <c r="E3630" s="27" t="n">
        <v>6.88605664769316</v>
      </c>
      <c r="F3630" s="27" t="n">
        <v>6.88605664769316</v>
      </c>
      <c r="G3630" s="25" t="s">
        <v>7636</v>
      </c>
      <c r="H3630" s="25" t="s">
        <v>7637</v>
      </c>
      <c r="I3630" s="25" t="n">
        <f aca="false">IFERROR(IF(INDEX(Documents!$C$5:$C$657,MATCH(H3630,Documents!$A$5:$A$657,0))="","",INDEX(Documents!$C$5:$C$657,MATCH(H3630,Documents!$A$5:$A$657,0))),"")</f>
        <v>2012</v>
      </c>
      <c r="J3630" s="25" t="str">
        <f aca="false">IFERROR(IF(INDEX(Documents!$D$5:$D$657,MATCH(H3630,Documents!$A$5:$A$657,0))="","",INDEX(Documents!$D$5:$D$657,MATCH(H3630,Documents!$A$5:$A$657,0))),"")</f>
        <v>Eur J Med Chem</v>
      </c>
      <c r="K3630" s="25" t="str">
        <f aca="false">IFERROR(IF(INDEX(Documents!$G$5:$G$657,MATCH(H3630,Documents!$A$5:$A$657,0))="","",INDEX(Documents!$G$5:$G$657,MATCH(H3630,Documents!$A$5:$A$657,0))),"")</f>
        <v>10.1016/j.ejmech.2012.03.031</v>
      </c>
      <c r="L3630" s="25" t="s">
        <v>7638</v>
      </c>
    </row>
    <row r="3631" customFormat="false" ht="15" hidden="false" customHeight="false" outlineLevel="0" collapsed="false">
      <c r="A3631" s="25" t="n">
        <v>2622736</v>
      </c>
      <c r="B3631" s="25" t="s">
        <v>7653</v>
      </c>
      <c r="C3631" s="25" t="s">
        <v>7654</v>
      </c>
      <c r="D3631" s="26" t="n">
        <v>7.9</v>
      </c>
      <c r="E3631" s="27" t="n">
        <v>8.10237290870956</v>
      </c>
      <c r="F3631" s="27" t="n">
        <v>8.10237290870956</v>
      </c>
      <c r="G3631" s="25" t="s">
        <v>1707</v>
      </c>
      <c r="H3631" s="25" t="s">
        <v>1708</v>
      </c>
      <c r="I3631" s="25" t="n">
        <f aca="false">IFERROR(IF(INDEX(Documents!$C$5:$C$657,MATCH(H3631,Documents!$A$5:$A$657,0))="","",INDEX(Documents!$C$5:$C$657,MATCH(H3631,Documents!$A$5:$A$657,0))),"")</f>
        <v>2009</v>
      </c>
      <c r="J3631" s="25" t="str">
        <f aca="false">IFERROR(IF(INDEX(Documents!$D$5:$D$657,MATCH(H3631,Documents!$A$5:$A$657,0))="","",INDEX(Documents!$D$5:$D$657,MATCH(H3631,Documents!$A$5:$A$657,0))),"")</f>
        <v>J Med Chem</v>
      </c>
      <c r="K3631" s="25" t="str">
        <f aca="false">IFERROR(IF(INDEX(Documents!$G$5:$G$657,MATCH(H3631,Documents!$A$5:$A$657,0))="","",INDEX(Documents!$G$5:$G$657,MATCH(H3631,Documents!$A$5:$A$657,0))),"")</f>
        <v>10.1021/jm801563d</v>
      </c>
      <c r="L3631" s="25" t="s">
        <v>601</v>
      </c>
    </row>
    <row r="3632" customFormat="false" ht="15" hidden="false" customHeight="false" outlineLevel="0" collapsed="false">
      <c r="A3632" s="25" t="n">
        <v>2622729</v>
      </c>
      <c r="B3632" s="25" t="s">
        <v>7655</v>
      </c>
      <c r="C3632" s="25" t="s">
        <v>7656</v>
      </c>
      <c r="D3632" s="26" t="n">
        <v>2.2</v>
      </c>
      <c r="E3632" s="27" t="n">
        <v>8.65757731917779</v>
      </c>
      <c r="F3632" s="27" t="n">
        <v>8.65757731917779</v>
      </c>
      <c r="G3632" s="25" t="s">
        <v>1707</v>
      </c>
      <c r="H3632" s="25" t="s">
        <v>1708</v>
      </c>
      <c r="I3632" s="25" t="n">
        <f aca="false">IFERROR(IF(INDEX(Documents!$C$5:$C$657,MATCH(H3632,Documents!$A$5:$A$657,0))="","",INDEX(Documents!$C$5:$C$657,MATCH(H3632,Documents!$A$5:$A$657,0))),"")</f>
        <v>2009</v>
      </c>
      <c r="J3632" s="25" t="str">
        <f aca="false">IFERROR(IF(INDEX(Documents!$D$5:$D$657,MATCH(H3632,Documents!$A$5:$A$657,0))="","",INDEX(Documents!$D$5:$D$657,MATCH(H3632,Documents!$A$5:$A$657,0))),"")</f>
        <v>J Med Chem</v>
      </c>
      <c r="K3632" s="25" t="str">
        <f aca="false">IFERROR(IF(INDEX(Documents!$G$5:$G$657,MATCH(H3632,Documents!$A$5:$A$657,0))="","",INDEX(Documents!$G$5:$G$657,MATCH(H3632,Documents!$A$5:$A$657,0))),"")</f>
        <v>10.1021/jm801563d</v>
      </c>
      <c r="L3632" s="25" t="s">
        <v>601</v>
      </c>
    </row>
    <row r="3633" customFormat="false" ht="15" hidden="false" customHeight="false" outlineLevel="0" collapsed="false">
      <c r="A3633" s="25" t="n">
        <v>2622745</v>
      </c>
      <c r="B3633" s="25" t="s">
        <v>7657</v>
      </c>
      <c r="C3633" s="25" t="s">
        <v>7658</v>
      </c>
      <c r="D3633" s="26" t="n">
        <v>31</v>
      </c>
      <c r="E3633" s="27" t="n">
        <v>7.50863830616573</v>
      </c>
      <c r="F3633" s="27" t="n">
        <v>7.50863830616573</v>
      </c>
      <c r="G3633" s="25" t="s">
        <v>1707</v>
      </c>
      <c r="H3633" s="25" t="s">
        <v>1708</v>
      </c>
      <c r="I3633" s="25" t="n">
        <f aca="false">IFERROR(IF(INDEX(Documents!$C$5:$C$657,MATCH(H3633,Documents!$A$5:$A$657,0))="","",INDEX(Documents!$C$5:$C$657,MATCH(H3633,Documents!$A$5:$A$657,0))),"")</f>
        <v>2009</v>
      </c>
      <c r="J3633" s="25" t="str">
        <f aca="false">IFERROR(IF(INDEX(Documents!$D$5:$D$657,MATCH(H3633,Documents!$A$5:$A$657,0))="","",INDEX(Documents!$D$5:$D$657,MATCH(H3633,Documents!$A$5:$A$657,0))),"")</f>
        <v>J Med Chem</v>
      </c>
      <c r="K3633" s="25" t="str">
        <f aca="false">IFERROR(IF(INDEX(Documents!$G$5:$G$657,MATCH(H3633,Documents!$A$5:$A$657,0))="","",INDEX(Documents!$G$5:$G$657,MATCH(H3633,Documents!$A$5:$A$657,0))),"")</f>
        <v>10.1021/jm801563d</v>
      </c>
      <c r="L3633" s="25" t="s">
        <v>601</v>
      </c>
    </row>
    <row r="3634" customFormat="false" ht="15" hidden="false" customHeight="false" outlineLevel="0" collapsed="false">
      <c r="A3634" s="25" t="n">
        <v>10866724</v>
      </c>
      <c r="B3634" s="25" t="s">
        <v>7659</v>
      </c>
      <c r="C3634" s="25" t="s">
        <v>7660</v>
      </c>
      <c r="D3634" s="26" t="n">
        <v>7900</v>
      </c>
      <c r="E3634" s="27" t="n">
        <v>5.10237290870956</v>
      </c>
      <c r="F3634" s="27" t="n">
        <v>5.10237290870956</v>
      </c>
      <c r="G3634" s="25" t="s">
        <v>7636</v>
      </c>
      <c r="H3634" s="25" t="s">
        <v>7637</v>
      </c>
      <c r="I3634" s="25" t="n">
        <f aca="false">IFERROR(IF(INDEX(Documents!$C$5:$C$657,MATCH(H3634,Documents!$A$5:$A$657,0))="","",INDEX(Documents!$C$5:$C$657,MATCH(H3634,Documents!$A$5:$A$657,0))),"")</f>
        <v>2012</v>
      </c>
      <c r="J3634" s="25" t="str">
        <f aca="false">IFERROR(IF(INDEX(Documents!$D$5:$D$657,MATCH(H3634,Documents!$A$5:$A$657,0))="","",INDEX(Documents!$D$5:$D$657,MATCH(H3634,Documents!$A$5:$A$657,0))),"")</f>
        <v>Eur J Med Chem</v>
      </c>
      <c r="K3634" s="25" t="str">
        <f aca="false">IFERROR(IF(INDEX(Documents!$G$5:$G$657,MATCH(H3634,Documents!$A$5:$A$657,0))="","",INDEX(Documents!$G$5:$G$657,MATCH(H3634,Documents!$A$5:$A$657,0))),"")</f>
        <v>10.1016/j.ejmech.2012.03.031</v>
      </c>
      <c r="L3634" s="25" t="s">
        <v>7638</v>
      </c>
    </row>
    <row r="3635" customFormat="false" ht="15" hidden="false" customHeight="false" outlineLevel="0" collapsed="false">
      <c r="A3635" s="25" t="n">
        <v>10866725</v>
      </c>
      <c r="B3635" s="25" t="s">
        <v>7661</v>
      </c>
      <c r="C3635" s="25" t="s">
        <v>7662</v>
      </c>
      <c r="D3635" s="26" t="n">
        <v>20</v>
      </c>
      <c r="E3635" s="27" t="n">
        <v>7.69897000433602</v>
      </c>
      <c r="F3635" s="27" t="n">
        <v>7.69897000433602</v>
      </c>
      <c r="G3635" s="25" t="s">
        <v>7636</v>
      </c>
      <c r="H3635" s="25" t="s">
        <v>7637</v>
      </c>
      <c r="I3635" s="25" t="n">
        <f aca="false">IFERROR(IF(INDEX(Documents!$C$5:$C$657,MATCH(H3635,Documents!$A$5:$A$657,0))="","",INDEX(Documents!$C$5:$C$657,MATCH(H3635,Documents!$A$5:$A$657,0))),"")</f>
        <v>2012</v>
      </c>
      <c r="J3635" s="25" t="str">
        <f aca="false">IFERROR(IF(INDEX(Documents!$D$5:$D$657,MATCH(H3635,Documents!$A$5:$A$657,0))="","",INDEX(Documents!$D$5:$D$657,MATCH(H3635,Documents!$A$5:$A$657,0))),"")</f>
        <v>Eur J Med Chem</v>
      </c>
      <c r="K3635" s="25" t="str">
        <f aca="false">IFERROR(IF(INDEX(Documents!$G$5:$G$657,MATCH(H3635,Documents!$A$5:$A$657,0))="","",INDEX(Documents!$G$5:$G$657,MATCH(H3635,Documents!$A$5:$A$657,0))),"")</f>
        <v>10.1016/j.ejmech.2012.03.031</v>
      </c>
      <c r="L3635" s="25" t="s">
        <v>7638</v>
      </c>
    </row>
    <row r="3636" customFormat="false" ht="15" hidden="false" customHeight="false" outlineLevel="0" collapsed="false">
      <c r="A3636" s="25" t="n">
        <v>10866726</v>
      </c>
      <c r="B3636" s="25" t="s">
        <v>7663</v>
      </c>
      <c r="C3636" s="25" t="s">
        <v>7664</v>
      </c>
      <c r="D3636" s="26" t="n">
        <v>200</v>
      </c>
      <c r="E3636" s="27" t="n">
        <v>6.69897000433602</v>
      </c>
      <c r="F3636" s="27" t="n">
        <v>6.69897000433602</v>
      </c>
      <c r="G3636" s="25" t="s">
        <v>7636</v>
      </c>
      <c r="H3636" s="25" t="s">
        <v>7637</v>
      </c>
      <c r="I3636" s="25" t="n">
        <f aca="false">IFERROR(IF(INDEX(Documents!$C$5:$C$657,MATCH(H3636,Documents!$A$5:$A$657,0))="","",INDEX(Documents!$C$5:$C$657,MATCH(H3636,Documents!$A$5:$A$657,0))),"")</f>
        <v>2012</v>
      </c>
      <c r="J3636" s="25" t="str">
        <f aca="false">IFERROR(IF(INDEX(Documents!$D$5:$D$657,MATCH(H3636,Documents!$A$5:$A$657,0))="","",INDEX(Documents!$D$5:$D$657,MATCH(H3636,Documents!$A$5:$A$657,0))),"")</f>
        <v>Eur J Med Chem</v>
      </c>
      <c r="K3636" s="25" t="str">
        <f aca="false">IFERROR(IF(INDEX(Documents!$G$5:$G$657,MATCH(H3636,Documents!$A$5:$A$657,0))="","",INDEX(Documents!$G$5:$G$657,MATCH(H3636,Documents!$A$5:$A$657,0))),"")</f>
        <v>10.1016/j.ejmech.2012.03.031</v>
      </c>
      <c r="L3636" s="25" t="s">
        <v>7638</v>
      </c>
    </row>
    <row r="3637" customFormat="false" ht="15" hidden="false" customHeight="false" outlineLevel="0" collapsed="false">
      <c r="A3637" s="25" t="n">
        <v>10866719</v>
      </c>
      <c r="B3637" s="25" t="s">
        <v>7665</v>
      </c>
      <c r="C3637" s="25" t="s">
        <v>7666</v>
      </c>
      <c r="D3637" s="26" t="n">
        <v>250</v>
      </c>
      <c r="E3637" s="27" t="n">
        <v>6.60205999132796</v>
      </c>
      <c r="F3637" s="27" t="n">
        <v>6.60205999132796</v>
      </c>
      <c r="G3637" s="25" t="s">
        <v>7636</v>
      </c>
      <c r="H3637" s="25" t="s">
        <v>7637</v>
      </c>
      <c r="I3637" s="25" t="n">
        <f aca="false">IFERROR(IF(INDEX(Documents!$C$5:$C$657,MATCH(H3637,Documents!$A$5:$A$657,0))="","",INDEX(Documents!$C$5:$C$657,MATCH(H3637,Documents!$A$5:$A$657,0))),"")</f>
        <v>2012</v>
      </c>
      <c r="J3637" s="25" t="str">
        <f aca="false">IFERROR(IF(INDEX(Documents!$D$5:$D$657,MATCH(H3637,Documents!$A$5:$A$657,0))="","",INDEX(Documents!$D$5:$D$657,MATCH(H3637,Documents!$A$5:$A$657,0))),"")</f>
        <v>Eur J Med Chem</v>
      </c>
      <c r="K3637" s="25" t="str">
        <f aca="false">IFERROR(IF(INDEX(Documents!$G$5:$G$657,MATCH(H3637,Documents!$A$5:$A$657,0))="","",INDEX(Documents!$G$5:$G$657,MATCH(H3637,Documents!$A$5:$A$657,0))),"")</f>
        <v>10.1016/j.ejmech.2012.03.031</v>
      </c>
      <c r="L3637" s="25" t="s">
        <v>7638</v>
      </c>
    </row>
    <row r="3638" customFormat="false" ht="15" hidden="false" customHeight="false" outlineLevel="0" collapsed="false">
      <c r="A3638" s="25" t="n">
        <v>10866720</v>
      </c>
      <c r="B3638" s="25" t="s">
        <v>7667</v>
      </c>
      <c r="C3638" s="25" t="s">
        <v>7668</v>
      </c>
      <c r="D3638" s="26" t="n">
        <v>916</v>
      </c>
      <c r="E3638" s="27" t="n">
        <v>6.03810452633215</v>
      </c>
      <c r="F3638" s="27" t="n">
        <v>6.03810452633215</v>
      </c>
      <c r="G3638" s="25" t="s">
        <v>7636</v>
      </c>
      <c r="H3638" s="25" t="s">
        <v>7637</v>
      </c>
      <c r="I3638" s="25" t="n">
        <f aca="false">IFERROR(IF(INDEX(Documents!$C$5:$C$657,MATCH(H3638,Documents!$A$5:$A$657,0))="","",INDEX(Documents!$C$5:$C$657,MATCH(H3638,Documents!$A$5:$A$657,0))),"")</f>
        <v>2012</v>
      </c>
      <c r="J3638" s="25" t="str">
        <f aca="false">IFERROR(IF(INDEX(Documents!$D$5:$D$657,MATCH(H3638,Documents!$A$5:$A$657,0))="","",INDEX(Documents!$D$5:$D$657,MATCH(H3638,Documents!$A$5:$A$657,0))),"")</f>
        <v>Eur J Med Chem</v>
      </c>
      <c r="K3638" s="25" t="str">
        <f aca="false">IFERROR(IF(INDEX(Documents!$G$5:$G$657,MATCH(H3638,Documents!$A$5:$A$657,0))="","",INDEX(Documents!$G$5:$G$657,MATCH(H3638,Documents!$A$5:$A$657,0))),"")</f>
        <v>10.1016/j.ejmech.2012.03.031</v>
      </c>
      <c r="L3638" s="25" t="s">
        <v>7638</v>
      </c>
    </row>
    <row r="3639" customFormat="false" ht="15" hidden="false" customHeight="false" outlineLevel="0" collapsed="false">
      <c r="A3639" s="25" t="n">
        <v>1898138</v>
      </c>
      <c r="B3639" s="25" t="s">
        <v>7669</v>
      </c>
      <c r="C3639" s="25" t="s">
        <v>7670</v>
      </c>
      <c r="D3639" s="26" t="n">
        <v>240</v>
      </c>
      <c r="E3639" s="27" t="n">
        <v>6.61978875828839</v>
      </c>
      <c r="F3639" s="27" t="n">
        <v>6.61978875828839</v>
      </c>
      <c r="G3639" s="25" t="s">
        <v>4539</v>
      </c>
      <c r="H3639" s="25" t="s">
        <v>4540</v>
      </c>
      <c r="I3639" s="25" t="n">
        <f aca="false">IFERROR(IF(INDEX(Documents!$C$5:$C$657,MATCH(H3639,Documents!$A$5:$A$657,0))="","",INDEX(Documents!$C$5:$C$657,MATCH(H3639,Documents!$A$5:$A$657,0))),"")</f>
        <v>2007</v>
      </c>
      <c r="J3639" s="25" t="str">
        <f aca="false">IFERROR(IF(INDEX(Documents!$D$5:$D$657,MATCH(H3639,Documents!$A$5:$A$657,0))="","",INDEX(Documents!$D$5:$D$657,MATCH(H3639,Documents!$A$5:$A$657,0))),"")</f>
        <v>Bioorg Med Chem Lett</v>
      </c>
      <c r="K3639" s="25" t="str">
        <f aca="false">IFERROR(IF(INDEX(Documents!$G$5:$G$657,MATCH(H3639,Documents!$A$5:$A$657,0))="","",INDEX(Documents!$G$5:$G$657,MATCH(H3639,Documents!$A$5:$A$657,0))),"")</f>
        <v>10.1016/j.bmcl.2007.03.011</v>
      </c>
      <c r="L3639" s="25" t="s">
        <v>4541</v>
      </c>
    </row>
    <row r="3640" customFormat="false" ht="15" hidden="false" customHeight="false" outlineLevel="0" collapsed="false">
      <c r="A3640" s="25" t="n">
        <v>1898179</v>
      </c>
      <c r="B3640" s="25" t="s">
        <v>7671</v>
      </c>
      <c r="C3640" s="25" t="s">
        <v>7672</v>
      </c>
      <c r="D3640" s="26" t="n">
        <v>2300</v>
      </c>
      <c r="E3640" s="27" t="n">
        <v>5.63827216398241</v>
      </c>
      <c r="F3640" s="27" t="n">
        <v>5.63827216398241</v>
      </c>
      <c r="G3640" s="25" t="s">
        <v>4539</v>
      </c>
      <c r="H3640" s="25" t="s">
        <v>4540</v>
      </c>
      <c r="I3640" s="25" t="n">
        <f aca="false">IFERROR(IF(INDEX(Documents!$C$5:$C$657,MATCH(H3640,Documents!$A$5:$A$657,0))="","",INDEX(Documents!$C$5:$C$657,MATCH(H3640,Documents!$A$5:$A$657,0))),"")</f>
        <v>2007</v>
      </c>
      <c r="J3640" s="25" t="str">
        <f aca="false">IFERROR(IF(INDEX(Documents!$D$5:$D$657,MATCH(H3640,Documents!$A$5:$A$657,0))="","",INDEX(Documents!$D$5:$D$657,MATCH(H3640,Documents!$A$5:$A$657,0))),"")</f>
        <v>Bioorg Med Chem Lett</v>
      </c>
      <c r="K3640" s="25" t="str">
        <f aca="false">IFERROR(IF(INDEX(Documents!$G$5:$G$657,MATCH(H3640,Documents!$A$5:$A$657,0))="","",INDEX(Documents!$G$5:$G$657,MATCH(H3640,Documents!$A$5:$A$657,0))),"")</f>
        <v>10.1016/j.bmcl.2007.03.011</v>
      </c>
      <c r="L3640" s="25" t="s">
        <v>4541</v>
      </c>
    </row>
    <row r="3641" customFormat="false" ht="15" hidden="false" customHeight="false" outlineLevel="0" collapsed="false">
      <c r="A3641" s="25" t="n">
        <v>12089869</v>
      </c>
      <c r="B3641" s="25" t="s">
        <v>7673</v>
      </c>
      <c r="C3641" s="25" t="s">
        <v>7674</v>
      </c>
      <c r="D3641" s="26" t="n">
        <v>15.3</v>
      </c>
      <c r="E3641" s="27" t="n">
        <v>7.8153085691824</v>
      </c>
      <c r="F3641" s="27" t="n">
        <v>7.8153085691824</v>
      </c>
      <c r="G3641" s="25" t="s">
        <v>1028</v>
      </c>
      <c r="H3641" s="25" t="s">
        <v>1029</v>
      </c>
      <c r="I3641" s="25" t="n">
        <f aca="false">IFERROR(IF(INDEX(Documents!$C$5:$C$657,MATCH(H3641,Documents!$A$5:$A$657,0))="","",INDEX(Documents!$C$5:$C$657,MATCH(H3641,Documents!$A$5:$A$657,0))),"")</f>
        <v>2012</v>
      </c>
      <c r="J3641" s="25" t="str">
        <f aca="false">IFERROR(IF(INDEX(Documents!$D$5:$D$657,MATCH(H3641,Documents!$A$5:$A$657,0))="","",INDEX(Documents!$D$5:$D$657,MATCH(H3641,Documents!$A$5:$A$657,0))),"")</f>
        <v>J Med Chem</v>
      </c>
      <c r="K3641" s="25" t="str">
        <f aca="false">IFERROR(IF(INDEX(Documents!$G$5:$G$657,MATCH(H3641,Documents!$A$5:$A$657,0))="","",INDEX(Documents!$G$5:$G$657,MATCH(H3641,Documents!$A$5:$A$657,0))),"")</f>
        <v>10.1021/jm300763w</v>
      </c>
      <c r="L3641" s="25" t="s">
        <v>1030</v>
      </c>
    </row>
    <row r="3642" customFormat="false" ht="15" hidden="false" customHeight="false" outlineLevel="0" collapsed="false">
      <c r="A3642" s="25" t="n">
        <v>12089897</v>
      </c>
      <c r="B3642" s="25" t="s">
        <v>7675</v>
      </c>
      <c r="C3642" s="25" t="s">
        <v>7676</v>
      </c>
      <c r="D3642" s="26" t="n">
        <v>2.52</v>
      </c>
      <c r="E3642" s="27" t="n">
        <v>8.59859945921846</v>
      </c>
      <c r="F3642" s="27" t="n">
        <v>8.59859945921846</v>
      </c>
      <c r="G3642" s="25" t="s">
        <v>1028</v>
      </c>
      <c r="H3642" s="25" t="s">
        <v>1029</v>
      </c>
      <c r="I3642" s="25" t="n">
        <f aca="false">IFERROR(IF(INDEX(Documents!$C$5:$C$657,MATCH(H3642,Documents!$A$5:$A$657,0))="","",INDEX(Documents!$C$5:$C$657,MATCH(H3642,Documents!$A$5:$A$657,0))),"")</f>
        <v>2012</v>
      </c>
      <c r="J3642" s="25" t="str">
        <f aca="false">IFERROR(IF(INDEX(Documents!$D$5:$D$657,MATCH(H3642,Documents!$A$5:$A$657,0))="","",INDEX(Documents!$D$5:$D$657,MATCH(H3642,Documents!$A$5:$A$657,0))),"")</f>
        <v>J Med Chem</v>
      </c>
      <c r="K3642" s="25" t="str">
        <f aca="false">IFERROR(IF(INDEX(Documents!$G$5:$G$657,MATCH(H3642,Documents!$A$5:$A$657,0))="","",INDEX(Documents!$G$5:$G$657,MATCH(H3642,Documents!$A$5:$A$657,0))),"")</f>
        <v>10.1021/jm300763w</v>
      </c>
      <c r="L3642" s="25" t="s">
        <v>1030</v>
      </c>
    </row>
    <row r="3643" customFormat="false" ht="15" hidden="false" customHeight="false" outlineLevel="0" collapsed="false">
      <c r="A3643" s="25" t="n">
        <v>16741263</v>
      </c>
      <c r="B3643" s="25" t="s">
        <v>7677</v>
      </c>
      <c r="C3643" s="25" t="s">
        <v>7678</v>
      </c>
      <c r="D3643" s="26" t="n">
        <v>17.9</v>
      </c>
      <c r="E3643" s="27" t="n">
        <v>7.74714696902011</v>
      </c>
      <c r="F3643" s="27" t="n">
        <v>7.74714696902011</v>
      </c>
      <c r="G3643" s="25" t="s">
        <v>1324</v>
      </c>
      <c r="H3643" s="25" t="s">
        <v>1325</v>
      </c>
      <c r="I3643" s="25" t="n">
        <f aca="false">IFERROR(IF(INDEX(Documents!$C$5:$C$657,MATCH(H3643,Documents!$A$5:$A$657,0))="","",INDEX(Documents!$C$5:$C$657,MATCH(H3643,Documents!$A$5:$A$657,0))),"")</f>
        <v>2016</v>
      </c>
      <c r="J3643" s="25" t="str">
        <f aca="false">IFERROR(IF(INDEX(Documents!$D$5:$D$657,MATCH(H3643,Documents!$A$5:$A$657,0))="","",INDEX(Documents!$D$5:$D$657,MATCH(H3643,Documents!$A$5:$A$657,0))),"")</f>
        <v>Eur J Med Chem</v>
      </c>
      <c r="K3643" s="25" t="str">
        <f aca="false">IFERROR(IF(INDEX(Documents!$G$5:$G$657,MATCH(H3643,Documents!$A$5:$A$657,0))="","",INDEX(Documents!$G$5:$G$657,MATCH(H3643,Documents!$A$5:$A$657,0))),"")</f>
        <v>10.1016/j.ejmech.2016.05.011</v>
      </c>
      <c r="L3643" s="25" t="s">
        <v>1326</v>
      </c>
    </row>
    <row r="3644" customFormat="false" ht="15" hidden="false" customHeight="false" outlineLevel="0" collapsed="false">
      <c r="A3644" s="25" t="n">
        <v>2355497</v>
      </c>
      <c r="B3644" s="25" t="s">
        <v>7679</v>
      </c>
      <c r="C3644" s="25" t="s">
        <v>7680</v>
      </c>
      <c r="D3644" s="26" t="n">
        <v>60</v>
      </c>
      <c r="E3644" s="27" t="n">
        <v>7.22184874961636</v>
      </c>
      <c r="F3644" s="27" t="n">
        <v>7.22184874961636</v>
      </c>
      <c r="G3644" s="25" t="s">
        <v>773</v>
      </c>
      <c r="H3644" s="25" t="s">
        <v>774</v>
      </c>
      <c r="I3644" s="25" t="n">
        <f aca="false">IFERROR(IF(INDEX(Documents!$C$5:$C$657,MATCH(H3644,Documents!$A$5:$A$657,0))="","",INDEX(Documents!$C$5:$C$657,MATCH(H3644,Documents!$A$5:$A$657,0))),"")</f>
        <v>2008</v>
      </c>
      <c r="J3644" s="25" t="str">
        <f aca="false">IFERROR(IF(INDEX(Documents!$D$5:$D$657,MATCH(H3644,Documents!$A$5:$A$657,0))="","",INDEX(Documents!$D$5:$D$657,MATCH(H3644,Documents!$A$5:$A$657,0))),"")</f>
        <v>Bioorg Med Chem Lett</v>
      </c>
      <c r="K3644" s="25" t="str">
        <f aca="false">IFERROR(IF(INDEX(Documents!$G$5:$G$657,MATCH(H3644,Documents!$A$5:$A$657,0))="","",INDEX(Documents!$G$5:$G$657,MATCH(H3644,Documents!$A$5:$A$657,0))),"")</f>
        <v>10.1016/j.bmcl.2008.04.032</v>
      </c>
      <c r="L3644" s="25" t="s">
        <v>775</v>
      </c>
    </row>
    <row r="3645" customFormat="false" ht="15" hidden="false" customHeight="false" outlineLevel="0" collapsed="false">
      <c r="A3645" s="25" t="n">
        <v>1898183</v>
      </c>
      <c r="B3645" s="25" t="s">
        <v>7681</v>
      </c>
      <c r="C3645" s="25" t="s">
        <v>7682</v>
      </c>
      <c r="D3645" s="26" t="n">
        <v>1100</v>
      </c>
      <c r="E3645" s="27" t="n">
        <v>5.95860731484178</v>
      </c>
      <c r="F3645" s="27" t="n">
        <v>5.95860731484178</v>
      </c>
      <c r="G3645" s="25" t="s">
        <v>4539</v>
      </c>
      <c r="H3645" s="25" t="s">
        <v>4540</v>
      </c>
      <c r="I3645" s="25" t="n">
        <f aca="false">IFERROR(IF(INDEX(Documents!$C$5:$C$657,MATCH(H3645,Documents!$A$5:$A$657,0))="","",INDEX(Documents!$C$5:$C$657,MATCH(H3645,Documents!$A$5:$A$657,0))),"")</f>
        <v>2007</v>
      </c>
      <c r="J3645" s="25" t="str">
        <f aca="false">IFERROR(IF(INDEX(Documents!$D$5:$D$657,MATCH(H3645,Documents!$A$5:$A$657,0))="","",INDEX(Documents!$D$5:$D$657,MATCH(H3645,Documents!$A$5:$A$657,0))),"")</f>
        <v>Bioorg Med Chem Lett</v>
      </c>
      <c r="K3645" s="25" t="str">
        <f aca="false">IFERROR(IF(INDEX(Documents!$G$5:$G$657,MATCH(H3645,Documents!$A$5:$A$657,0))="","",INDEX(Documents!$G$5:$G$657,MATCH(H3645,Documents!$A$5:$A$657,0))),"")</f>
        <v>10.1016/j.bmcl.2007.03.011</v>
      </c>
      <c r="L3645" s="25" t="s">
        <v>4541</v>
      </c>
    </row>
    <row r="3646" customFormat="false" ht="15" hidden="false" customHeight="false" outlineLevel="0" collapsed="false">
      <c r="A3646" s="25" t="n">
        <v>18428385</v>
      </c>
      <c r="B3646" s="25" t="s">
        <v>7683</v>
      </c>
      <c r="C3646" s="25" t="s">
        <v>7684</v>
      </c>
      <c r="D3646" s="26" t="n">
        <v>437</v>
      </c>
      <c r="E3646" s="27" t="n">
        <v>6.35951856302958</v>
      </c>
      <c r="F3646" s="27" t="n">
        <v>6.35951856302958</v>
      </c>
      <c r="G3646" s="25" t="s">
        <v>5818</v>
      </c>
      <c r="H3646" s="25" t="s">
        <v>5819</v>
      </c>
      <c r="I3646" s="25" t="n">
        <f aca="false">IFERROR(IF(INDEX(Documents!$C$5:$C$657,MATCH(H3646,Documents!$A$5:$A$657,0))="","",INDEX(Documents!$C$5:$C$657,MATCH(H3646,Documents!$A$5:$A$657,0))),"")</f>
        <v>2018</v>
      </c>
      <c r="J3646" s="25" t="str">
        <f aca="false">IFERROR(IF(INDEX(Documents!$D$5:$D$657,MATCH(H3646,Documents!$A$5:$A$657,0))="","",INDEX(Documents!$D$5:$D$657,MATCH(H3646,Documents!$A$5:$A$657,0))),"")</f>
        <v>Eur J Med Chem</v>
      </c>
      <c r="K3646" s="25" t="str">
        <f aca="false">IFERROR(IF(INDEX(Documents!$G$5:$G$657,MATCH(H3646,Documents!$A$5:$A$657,0))="","",INDEX(Documents!$G$5:$G$657,MATCH(H3646,Documents!$A$5:$A$657,0))),"")</f>
        <v>10.1016/j.ejmech.2018.05.019</v>
      </c>
      <c r="L3646" s="25" t="s">
        <v>5820</v>
      </c>
    </row>
    <row r="3647" customFormat="false" ht="15" hidden="false" customHeight="false" outlineLevel="0" collapsed="false">
      <c r="A3647" s="25" t="n">
        <v>18428383</v>
      </c>
      <c r="B3647" s="25" t="s">
        <v>7685</v>
      </c>
      <c r="C3647" s="25" t="s">
        <v>7686</v>
      </c>
      <c r="D3647" s="26" t="n">
        <v>187</v>
      </c>
      <c r="E3647" s="27" t="n">
        <v>6.7281583934635</v>
      </c>
      <c r="F3647" s="27" t="n">
        <v>6.7281583934635</v>
      </c>
      <c r="G3647" s="25" t="s">
        <v>5818</v>
      </c>
      <c r="H3647" s="25" t="s">
        <v>5819</v>
      </c>
      <c r="I3647" s="25" t="n">
        <f aca="false">IFERROR(IF(INDEX(Documents!$C$5:$C$657,MATCH(H3647,Documents!$A$5:$A$657,0))="","",INDEX(Documents!$C$5:$C$657,MATCH(H3647,Documents!$A$5:$A$657,0))),"")</f>
        <v>2018</v>
      </c>
      <c r="J3647" s="25" t="str">
        <f aca="false">IFERROR(IF(INDEX(Documents!$D$5:$D$657,MATCH(H3647,Documents!$A$5:$A$657,0))="","",INDEX(Documents!$D$5:$D$657,MATCH(H3647,Documents!$A$5:$A$657,0))),"")</f>
        <v>Eur J Med Chem</v>
      </c>
      <c r="K3647" s="25" t="str">
        <f aca="false">IFERROR(IF(INDEX(Documents!$G$5:$G$657,MATCH(H3647,Documents!$A$5:$A$657,0))="","",INDEX(Documents!$G$5:$G$657,MATCH(H3647,Documents!$A$5:$A$657,0))),"")</f>
        <v>10.1016/j.ejmech.2018.05.019</v>
      </c>
      <c r="L3647" s="25" t="s">
        <v>5820</v>
      </c>
    </row>
    <row r="3648" customFormat="false" ht="15" hidden="false" customHeight="false" outlineLevel="0" collapsed="false">
      <c r="A3648" s="25" t="n">
        <v>10866727</v>
      </c>
      <c r="B3648" s="25" t="s">
        <v>7687</v>
      </c>
      <c r="C3648" s="25" t="s">
        <v>7688</v>
      </c>
      <c r="D3648" s="26" t="n">
        <v>1.8</v>
      </c>
      <c r="E3648" s="27" t="n">
        <v>8.74472749489669</v>
      </c>
      <c r="F3648" s="27" t="n">
        <v>8.74472749489669</v>
      </c>
      <c r="G3648" s="25" t="s">
        <v>7636</v>
      </c>
      <c r="H3648" s="25" t="s">
        <v>7637</v>
      </c>
      <c r="I3648" s="25" t="n">
        <f aca="false">IFERROR(IF(INDEX(Documents!$C$5:$C$657,MATCH(H3648,Documents!$A$5:$A$657,0))="","",INDEX(Documents!$C$5:$C$657,MATCH(H3648,Documents!$A$5:$A$657,0))),"")</f>
        <v>2012</v>
      </c>
      <c r="J3648" s="25" t="str">
        <f aca="false">IFERROR(IF(INDEX(Documents!$D$5:$D$657,MATCH(H3648,Documents!$A$5:$A$657,0))="","",INDEX(Documents!$D$5:$D$657,MATCH(H3648,Documents!$A$5:$A$657,0))),"")</f>
        <v>Eur J Med Chem</v>
      </c>
      <c r="K3648" s="25" t="str">
        <f aca="false">IFERROR(IF(INDEX(Documents!$G$5:$G$657,MATCH(H3648,Documents!$A$5:$A$657,0))="","",INDEX(Documents!$G$5:$G$657,MATCH(H3648,Documents!$A$5:$A$657,0))),"")</f>
        <v>10.1016/j.ejmech.2012.03.031</v>
      </c>
      <c r="L3648" s="25" t="s">
        <v>7638</v>
      </c>
    </row>
    <row r="3649" customFormat="false" ht="15" hidden="false" customHeight="false" outlineLevel="0" collapsed="false">
      <c r="A3649" s="25" t="n">
        <v>13912575</v>
      </c>
      <c r="B3649" s="25" t="s">
        <v>7689</v>
      </c>
      <c r="C3649" s="25" t="s">
        <v>7690</v>
      </c>
      <c r="D3649" s="26" t="n">
        <v>63</v>
      </c>
      <c r="E3649" s="27" t="n">
        <v>7.20065945054642</v>
      </c>
      <c r="F3649" s="27" t="n">
        <v>7.20065945054642</v>
      </c>
      <c r="G3649" s="25" t="s">
        <v>1717</v>
      </c>
      <c r="H3649" s="25" t="s">
        <v>1718</v>
      </c>
      <c r="I3649" s="25" t="n">
        <f aca="false">IFERROR(IF(INDEX(Documents!$C$5:$C$657,MATCH(H3649,Documents!$A$5:$A$657,0))="","",INDEX(Documents!$C$5:$C$657,MATCH(H3649,Documents!$A$5:$A$657,0))),"")</f>
        <v>2014</v>
      </c>
      <c r="J3649" s="25" t="str">
        <f aca="false">IFERROR(IF(INDEX(Documents!$D$5:$D$657,MATCH(H3649,Documents!$A$5:$A$657,0))="","",INDEX(Documents!$D$5:$D$657,MATCH(H3649,Documents!$A$5:$A$657,0))),"")</f>
        <v>Eur J Med Chem</v>
      </c>
      <c r="K3649" s="25" t="str">
        <f aca="false">IFERROR(IF(INDEX(Documents!$G$5:$G$657,MATCH(H3649,Documents!$A$5:$A$657,0))="","",INDEX(Documents!$G$5:$G$657,MATCH(H3649,Documents!$A$5:$A$657,0))),"")</f>
        <v>10.1016/j.ejmech.2013.10.070</v>
      </c>
      <c r="L3649" s="25" t="s">
        <v>1719</v>
      </c>
    </row>
    <row r="3650" customFormat="false" ht="15" hidden="false" customHeight="false" outlineLevel="0" collapsed="false">
      <c r="A3650" s="25" t="n">
        <v>13912576</v>
      </c>
      <c r="B3650" s="25" t="s">
        <v>7691</v>
      </c>
      <c r="C3650" s="25" t="s">
        <v>7692</v>
      </c>
      <c r="D3650" s="26" t="n">
        <v>2.8</v>
      </c>
      <c r="E3650" s="27" t="n">
        <v>8.55284196865778</v>
      </c>
      <c r="F3650" s="27" t="n">
        <v>8.55284196865778</v>
      </c>
      <c r="G3650" s="25" t="s">
        <v>1717</v>
      </c>
      <c r="H3650" s="25" t="s">
        <v>1718</v>
      </c>
      <c r="I3650" s="25" t="n">
        <f aca="false">IFERROR(IF(INDEX(Documents!$C$5:$C$657,MATCH(H3650,Documents!$A$5:$A$657,0))="","",INDEX(Documents!$C$5:$C$657,MATCH(H3650,Documents!$A$5:$A$657,0))),"")</f>
        <v>2014</v>
      </c>
      <c r="J3650" s="25" t="str">
        <f aca="false">IFERROR(IF(INDEX(Documents!$D$5:$D$657,MATCH(H3650,Documents!$A$5:$A$657,0))="","",INDEX(Documents!$D$5:$D$657,MATCH(H3650,Documents!$A$5:$A$657,0))),"")</f>
        <v>Eur J Med Chem</v>
      </c>
      <c r="K3650" s="25" t="str">
        <f aca="false">IFERROR(IF(INDEX(Documents!$G$5:$G$657,MATCH(H3650,Documents!$A$5:$A$657,0))="","",INDEX(Documents!$G$5:$G$657,MATCH(H3650,Documents!$A$5:$A$657,0))),"")</f>
        <v>10.1016/j.ejmech.2013.10.070</v>
      </c>
      <c r="L3650" s="25" t="s">
        <v>1719</v>
      </c>
    </row>
    <row r="3651" customFormat="false" ht="15" hidden="false" customHeight="false" outlineLevel="0" collapsed="false">
      <c r="A3651" s="25" t="n">
        <v>13912577</v>
      </c>
      <c r="B3651" s="25" t="s">
        <v>7693</v>
      </c>
      <c r="C3651" s="25" t="s">
        <v>7694</v>
      </c>
      <c r="D3651" s="26" t="n">
        <v>1.2</v>
      </c>
      <c r="E3651" s="27" t="n">
        <v>8.92081875395238</v>
      </c>
      <c r="F3651" s="27" t="n">
        <v>8.92081875395238</v>
      </c>
      <c r="G3651" s="25" t="s">
        <v>1717</v>
      </c>
      <c r="H3651" s="25" t="s">
        <v>1718</v>
      </c>
      <c r="I3651" s="25" t="n">
        <f aca="false">IFERROR(IF(INDEX(Documents!$C$5:$C$657,MATCH(H3651,Documents!$A$5:$A$657,0))="","",INDEX(Documents!$C$5:$C$657,MATCH(H3651,Documents!$A$5:$A$657,0))),"")</f>
        <v>2014</v>
      </c>
      <c r="J3651" s="25" t="str">
        <f aca="false">IFERROR(IF(INDEX(Documents!$D$5:$D$657,MATCH(H3651,Documents!$A$5:$A$657,0))="","",INDEX(Documents!$D$5:$D$657,MATCH(H3651,Documents!$A$5:$A$657,0))),"")</f>
        <v>Eur J Med Chem</v>
      </c>
      <c r="K3651" s="25" t="str">
        <f aca="false">IFERROR(IF(INDEX(Documents!$G$5:$G$657,MATCH(H3651,Documents!$A$5:$A$657,0))="","",INDEX(Documents!$G$5:$G$657,MATCH(H3651,Documents!$A$5:$A$657,0))),"")</f>
        <v>10.1016/j.ejmech.2013.10.070</v>
      </c>
      <c r="L3651" s="25" t="s">
        <v>1719</v>
      </c>
    </row>
    <row r="3652" customFormat="false" ht="15" hidden="false" customHeight="false" outlineLevel="0" collapsed="false">
      <c r="A3652" s="25" t="n">
        <v>17981833</v>
      </c>
      <c r="B3652" s="25" t="s">
        <v>7695</v>
      </c>
      <c r="C3652" s="25" t="s">
        <v>7696</v>
      </c>
      <c r="D3652" s="26" t="n">
        <v>13</v>
      </c>
      <c r="E3652" s="27" t="n">
        <v>7.88605664769316</v>
      </c>
      <c r="F3652" s="27" t="n">
        <v>7.88605664769316</v>
      </c>
      <c r="G3652" s="25" t="s">
        <v>6347</v>
      </c>
      <c r="H3652" s="25" t="s">
        <v>6348</v>
      </c>
      <c r="I3652" s="25" t="n">
        <f aca="false">IFERROR(IF(INDEX(Documents!$C$5:$C$657,MATCH(H3652,Documents!$A$5:$A$657,0))="","",INDEX(Documents!$C$5:$C$657,MATCH(H3652,Documents!$A$5:$A$657,0))),"")</f>
        <v>2017</v>
      </c>
      <c r="J3652" s="25" t="str">
        <f aca="false">IFERROR(IF(INDEX(Documents!$D$5:$D$657,MATCH(H3652,Documents!$A$5:$A$657,0))="","",INDEX(Documents!$D$5:$D$657,MATCH(H3652,Documents!$A$5:$A$657,0))),"")</f>
        <v>Eur J Med Chem</v>
      </c>
      <c r="K3652" s="25" t="str">
        <f aca="false">IFERROR(IF(INDEX(Documents!$G$5:$G$657,MATCH(H3652,Documents!$A$5:$A$657,0))="","",INDEX(Documents!$G$5:$G$657,MATCH(H3652,Documents!$A$5:$A$657,0))),"")</f>
        <v>10.1016/j.ejmech.2017.01.002</v>
      </c>
      <c r="L3652" s="25" t="s">
        <v>6349</v>
      </c>
    </row>
    <row r="3653" customFormat="false" ht="15" hidden="false" customHeight="false" outlineLevel="0" collapsed="false">
      <c r="A3653" s="25" t="n">
        <v>17981839</v>
      </c>
      <c r="B3653" s="25" t="s">
        <v>7697</v>
      </c>
      <c r="C3653" s="25" t="s">
        <v>7698</v>
      </c>
      <c r="D3653" s="26" t="n">
        <v>16</v>
      </c>
      <c r="E3653" s="27" t="n">
        <v>7.79588001734408</v>
      </c>
      <c r="F3653" s="27" t="n">
        <v>7.79588001734408</v>
      </c>
      <c r="G3653" s="25" t="s">
        <v>6347</v>
      </c>
      <c r="H3653" s="25" t="s">
        <v>6348</v>
      </c>
      <c r="I3653" s="25" t="n">
        <f aca="false">IFERROR(IF(INDEX(Documents!$C$5:$C$657,MATCH(H3653,Documents!$A$5:$A$657,0))="","",INDEX(Documents!$C$5:$C$657,MATCH(H3653,Documents!$A$5:$A$657,0))),"")</f>
        <v>2017</v>
      </c>
      <c r="J3653" s="25" t="str">
        <f aca="false">IFERROR(IF(INDEX(Documents!$D$5:$D$657,MATCH(H3653,Documents!$A$5:$A$657,0))="","",INDEX(Documents!$D$5:$D$657,MATCH(H3653,Documents!$A$5:$A$657,0))),"")</f>
        <v>Eur J Med Chem</v>
      </c>
      <c r="K3653" s="25" t="str">
        <f aca="false">IFERROR(IF(INDEX(Documents!$G$5:$G$657,MATCH(H3653,Documents!$A$5:$A$657,0))="","",INDEX(Documents!$G$5:$G$657,MATCH(H3653,Documents!$A$5:$A$657,0))),"")</f>
        <v>10.1016/j.ejmech.2017.01.002</v>
      </c>
      <c r="L3653" s="25" t="s">
        <v>6349</v>
      </c>
    </row>
    <row r="3654" customFormat="false" ht="15" hidden="false" customHeight="false" outlineLevel="0" collapsed="false">
      <c r="A3654" s="25" t="n">
        <v>13912574</v>
      </c>
      <c r="B3654" s="25" t="s">
        <v>7699</v>
      </c>
      <c r="C3654" s="25" t="s">
        <v>7700</v>
      </c>
      <c r="D3654" s="26" t="n">
        <v>7.9</v>
      </c>
      <c r="E3654" s="27" t="n">
        <v>8.10237290870956</v>
      </c>
      <c r="F3654" s="27" t="n">
        <v>8.10237290870956</v>
      </c>
      <c r="G3654" s="25" t="s">
        <v>1717</v>
      </c>
      <c r="H3654" s="25" t="s">
        <v>1718</v>
      </c>
      <c r="I3654" s="25" t="n">
        <f aca="false">IFERROR(IF(INDEX(Documents!$C$5:$C$657,MATCH(H3654,Documents!$A$5:$A$657,0))="","",INDEX(Documents!$C$5:$C$657,MATCH(H3654,Documents!$A$5:$A$657,0))),"")</f>
        <v>2014</v>
      </c>
      <c r="J3654" s="25" t="str">
        <f aca="false">IFERROR(IF(INDEX(Documents!$D$5:$D$657,MATCH(H3654,Documents!$A$5:$A$657,0))="","",INDEX(Documents!$D$5:$D$657,MATCH(H3654,Documents!$A$5:$A$657,0))),"")</f>
        <v>Eur J Med Chem</v>
      </c>
      <c r="K3654" s="25" t="str">
        <f aca="false">IFERROR(IF(INDEX(Documents!$G$5:$G$657,MATCH(H3654,Documents!$A$5:$A$657,0))="","",INDEX(Documents!$G$5:$G$657,MATCH(H3654,Documents!$A$5:$A$657,0))),"")</f>
        <v>10.1016/j.ejmech.2013.10.070</v>
      </c>
      <c r="L3654" s="25" t="s">
        <v>1719</v>
      </c>
    </row>
    <row r="3655" customFormat="false" ht="15" hidden="false" customHeight="false" outlineLevel="0" collapsed="false">
      <c r="A3655" s="25" t="n">
        <v>13912580</v>
      </c>
      <c r="B3655" s="25" t="s">
        <v>7701</v>
      </c>
      <c r="C3655" s="25" t="s">
        <v>7702</v>
      </c>
      <c r="D3655" s="26" t="n">
        <v>65</v>
      </c>
      <c r="E3655" s="27" t="n">
        <v>7.18708664335714</v>
      </c>
      <c r="F3655" s="27" t="n">
        <v>7.18708664335714</v>
      </c>
      <c r="G3655" s="25" t="s">
        <v>1717</v>
      </c>
      <c r="H3655" s="25" t="s">
        <v>1718</v>
      </c>
      <c r="I3655" s="25" t="n">
        <f aca="false">IFERROR(IF(INDEX(Documents!$C$5:$C$657,MATCH(H3655,Documents!$A$5:$A$657,0))="","",INDEX(Documents!$C$5:$C$657,MATCH(H3655,Documents!$A$5:$A$657,0))),"")</f>
        <v>2014</v>
      </c>
      <c r="J3655" s="25" t="str">
        <f aca="false">IFERROR(IF(INDEX(Documents!$D$5:$D$657,MATCH(H3655,Documents!$A$5:$A$657,0))="","",INDEX(Documents!$D$5:$D$657,MATCH(H3655,Documents!$A$5:$A$657,0))),"")</f>
        <v>Eur J Med Chem</v>
      </c>
      <c r="K3655" s="25" t="str">
        <f aca="false">IFERROR(IF(INDEX(Documents!$G$5:$G$657,MATCH(H3655,Documents!$A$5:$A$657,0))="","",INDEX(Documents!$G$5:$G$657,MATCH(H3655,Documents!$A$5:$A$657,0))),"")</f>
        <v>10.1016/j.ejmech.2013.10.070</v>
      </c>
      <c r="L3655" s="25" t="s">
        <v>1719</v>
      </c>
    </row>
    <row r="3656" customFormat="false" ht="15" hidden="false" customHeight="false" outlineLevel="0" collapsed="false">
      <c r="A3656" s="25" t="n">
        <v>13912581</v>
      </c>
      <c r="B3656" s="25" t="s">
        <v>7703</v>
      </c>
      <c r="C3656" s="25" t="s">
        <v>7704</v>
      </c>
      <c r="D3656" s="26" t="n">
        <v>2.2</v>
      </c>
      <c r="E3656" s="27" t="n">
        <v>8.65757731917779</v>
      </c>
      <c r="F3656" s="27" t="n">
        <v>8.65757731917779</v>
      </c>
      <c r="G3656" s="25" t="s">
        <v>1717</v>
      </c>
      <c r="H3656" s="25" t="s">
        <v>1718</v>
      </c>
      <c r="I3656" s="25" t="n">
        <f aca="false">IFERROR(IF(INDEX(Documents!$C$5:$C$657,MATCH(H3656,Documents!$A$5:$A$657,0))="","",INDEX(Documents!$C$5:$C$657,MATCH(H3656,Documents!$A$5:$A$657,0))),"")</f>
        <v>2014</v>
      </c>
      <c r="J3656" s="25" t="str">
        <f aca="false">IFERROR(IF(INDEX(Documents!$D$5:$D$657,MATCH(H3656,Documents!$A$5:$A$657,0))="","",INDEX(Documents!$D$5:$D$657,MATCH(H3656,Documents!$A$5:$A$657,0))),"")</f>
        <v>Eur J Med Chem</v>
      </c>
      <c r="K3656" s="25" t="str">
        <f aca="false">IFERROR(IF(INDEX(Documents!$G$5:$G$657,MATCH(H3656,Documents!$A$5:$A$657,0))="","",INDEX(Documents!$G$5:$G$657,MATCH(H3656,Documents!$A$5:$A$657,0))),"")</f>
        <v>10.1016/j.ejmech.2013.10.070</v>
      </c>
      <c r="L3656" s="25" t="s">
        <v>1719</v>
      </c>
    </row>
    <row r="3657" customFormat="false" ht="15" hidden="false" customHeight="false" outlineLevel="0" collapsed="false">
      <c r="A3657" s="25" t="n">
        <v>10866732</v>
      </c>
      <c r="B3657" s="25" t="s">
        <v>7705</v>
      </c>
      <c r="C3657" s="25" t="s">
        <v>7706</v>
      </c>
      <c r="D3657" s="26" t="n">
        <v>2</v>
      </c>
      <c r="E3657" s="27" t="n">
        <v>8.69897000433602</v>
      </c>
      <c r="F3657" s="27" t="n">
        <v>8.69897000433602</v>
      </c>
      <c r="G3657" s="25" t="s">
        <v>7636</v>
      </c>
      <c r="H3657" s="25" t="s">
        <v>7637</v>
      </c>
      <c r="I3657" s="25" t="n">
        <f aca="false">IFERROR(IF(INDEX(Documents!$C$5:$C$657,MATCH(H3657,Documents!$A$5:$A$657,0))="","",INDEX(Documents!$C$5:$C$657,MATCH(H3657,Documents!$A$5:$A$657,0))),"")</f>
        <v>2012</v>
      </c>
      <c r="J3657" s="25" t="str">
        <f aca="false">IFERROR(IF(INDEX(Documents!$D$5:$D$657,MATCH(H3657,Documents!$A$5:$A$657,0))="","",INDEX(Documents!$D$5:$D$657,MATCH(H3657,Documents!$A$5:$A$657,0))),"")</f>
        <v>Eur J Med Chem</v>
      </c>
      <c r="K3657" s="25" t="str">
        <f aca="false">IFERROR(IF(INDEX(Documents!$G$5:$G$657,MATCH(H3657,Documents!$A$5:$A$657,0))="","",INDEX(Documents!$G$5:$G$657,MATCH(H3657,Documents!$A$5:$A$657,0))),"")</f>
        <v>10.1016/j.ejmech.2012.03.031</v>
      </c>
      <c r="L3657" s="25" t="s">
        <v>7638</v>
      </c>
    </row>
    <row r="3658" customFormat="false" ht="15" hidden="false" customHeight="false" outlineLevel="0" collapsed="false">
      <c r="A3658" s="25" t="n">
        <v>10866733</v>
      </c>
      <c r="B3658" s="25" t="s">
        <v>7707</v>
      </c>
      <c r="C3658" s="25" t="s">
        <v>7708</v>
      </c>
      <c r="D3658" s="26" t="n">
        <v>0.25</v>
      </c>
      <c r="E3658" s="27" t="n">
        <v>9.60205999132796</v>
      </c>
      <c r="F3658" s="27" t="n">
        <v>9.60205999132796</v>
      </c>
      <c r="G3658" s="25" t="s">
        <v>7636</v>
      </c>
      <c r="H3658" s="25" t="s">
        <v>7637</v>
      </c>
      <c r="I3658" s="25" t="n">
        <f aca="false">IFERROR(IF(INDEX(Documents!$C$5:$C$657,MATCH(H3658,Documents!$A$5:$A$657,0))="","",INDEX(Documents!$C$5:$C$657,MATCH(H3658,Documents!$A$5:$A$657,0))),"")</f>
        <v>2012</v>
      </c>
      <c r="J3658" s="25" t="str">
        <f aca="false">IFERROR(IF(INDEX(Documents!$D$5:$D$657,MATCH(H3658,Documents!$A$5:$A$657,0))="","",INDEX(Documents!$D$5:$D$657,MATCH(H3658,Documents!$A$5:$A$657,0))),"")</f>
        <v>Eur J Med Chem</v>
      </c>
      <c r="K3658" s="25" t="str">
        <f aca="false">IFERROR(IF(INDEX(Documents!$G$5:$G$657,MATCH(H3658,Documents!$A$5:$A$657,0))="","",INDEX(Documents!$G$5:$G$657,MATCH(H3658,Documents!$A$5:$A$657,0))),"")</f>
        <v>10.1016/j.ejmech.2012.03.031</v>
      </c>
      <c r="L3658" s="25" t="s">
        <v>7638</v>
      </c>
    </row>
    <row r="3659" customFormat="false" ht="15" hidden="false" customHeight="false" outlineLevel="0" collapsed="false">
      <c r="A3659" s="25" t="n">
        <v>2622730</v>
      </c>
      <c r="B3659" s="25" t="s">
        <v>7709</v>
      </c>
      <c r="C3659" s="25" t="s">
        <v>7710</v>
      </c>
      <c r="D3659" s="26" t="n">
        <v>3</v>
      </c>
      <c r="E3659" s="27" t="n">
        <v>8.52287874528034</v>
      </c>
      <c r="F3659" s="27" t="n">
        <v>8.52287874528034</v>
      </c>
      <c r="G3659" s="25" t="s">
        <v>1707</v>
      </c>
      <c r="H3659" s="25" t="s">
        <v>1708</v>
      </c>
      <c r="I3659" s="25" t="n">
        <f aca="false">IFERROR(IF(INDEX(Documents!$C$5:$C$657,MATCH(H3659,Documents!$A$5:$A$657,0))="","",INDEX(Documents!$C$5:$C$657,MATCH(H3659,Documents!$A$5:$A$657,0))),"")</f>
        <v>2009</v>
      </c>
      <c r="J3659" s="25" t="str">
        <f aca="false">IFERROR(IF(INDEX(Documents!$D$5:$D$657,MATCH(H3659,Documents!$A$5:$A$657,0))="","",INDEX(Documents!$D$5:$D$657,MATCH(H3659,Documents!$A$5:$A$657,0))),"")</f>
        <v>J Med Chem</v>
      </c>
      <c r="K3659" s="25" t="str">
        <f aca="false">IFERROR(IF(INDEX(Documents!$G$5:$G$657,MATCH(H3659,Documents!$A$5:$A$657,0))="","",INDEX(Documents!$G$5:$G$657,MATCH(H3659,Documents!$A$5:$A$657,0))),"")</f>
        <v>10.1021/jm801563d</v>
      </c>
      <c r="L3659" s="25" t="s">
        <v>601</v>
      </c>
    </row>
    <row r="3660" customFormat="false" ht="15" hidden="false" customHeight="false" outlineLevel="0" collapsed="false">
      <c r="A3660" s="25" t="n">
        <v>2622725</v>
      </c>
      <c r="B3660" s="25" t="s">
        <v>7711</v>
      </c>
      <c r="C3660" s="25" t="s">
        <v>7712</v>
      </c>
      <c r="D3660" s="26" t="n">
        <v>0.7</v>
      </c>
      <c r="E3660" s="27" t="n">
        <v>9.15490195998575</v>
      </c>
      <c r="F3660" s="27" t="n">
        <v>9.15490195998575</v>
      </c>
      <c r="G3660" s="25" t="s">
        <v>1707</v>
      </c>
      <c r="H3660" s="25" t="s">
        <v>1708</v>
      </c>
      <c r="I3660" s="25" t="n">
        <f aca="false">IFERROR(IF(INDEX(Documents!$C$5:$C$657,MATCH(H3660,Documents!$A$5:$A$657,0))="","",INDEX(Documents!$C$5:$C$657,MATCH(H3660,Documents!$A$5:$A$657,0))),"")</f>
        <v>2009</v>
      </c>
      <c r="J3660" s="25" t="str">
        <f aca="false">IFERROR(IF(INDEX(Documents!$D$5:$D$657,MATCH(H3660,Documents!$A$5:$A$657,0))="","",INDEX(Documents!$D$5:$D$657,MATCH(H3660,Documents!$A$5:$A$657,0))),"")</f>
        <v>J Med Chem</v>
      </c>
      <c r="K3660" s="25" t="str">
        <f aca="false">IFERROR(IF(INDEX(Documents!$G$5:$G$657,MATCH(H3660,Documents!$A$5:$A$657,0))="","",INDEX(Documents!$G$5:$G$657,MATCH(H3660,Documents!$A$5:$A$657,0))),"")</f>
        <v>10.1021/jm801563d</v>
      </c>
      <c r="L3660" s="25" t="s">
        <v>601</v>
      </c>
    </row>
    <row r="3661" customFormat="false" ht="15" hidden="false" customHeight="false" outlineLevel="0" collapsed="false">
      <c r="A3661" s="25" t="n">
        <v>2622743</v>
      </c>
      <c r="B3661" s="25" t="s">
        <v>7713</v>
      </c>
      <c r="C3661" s="25" t="s">
        <v>7714</v>
      </c>
      <c r="D3661" s="26" t="n">
        <v>22</v>
      </c>
      <c r="E3661" s="27" t="n">
        <v>7.65757731917779</v>
      </c>
      <c r="F3661" s="27" t="n">
        <v>7.65757731917779</v>
      </c>
      <c r="G3661" s="25" t="s">
        <v>1707</v>
      </c>
      <c r="H3661" s="25" t="s">
        <v>1708</v>
      </c>
      <c r="I3661" s="25" t="n">
        <f aca="false">IFERROR(IF(INDEX(Documents!$C$5:$C$657,MATCH(H3661,Documents!$A$5:$A$657,0))="","",INDEX(Documents!$C$5:$C$657,MATCH(H3661,Documents!$A$5:$A$657,0))),"")</f>
        <v>2009</v>
      </c>
      <c r="J3661" s="25" t="str">
        <f aca="false">IFERROR(IF(INDEX(Documents!$D$5:$D$657,MATCH(H3661,Documents!$A$5:$A$657,0))="","",INDEX(Documents!$D$5:$D$657,MATCH(H3661,Documents!$A$5:$A$657,0))),"")</f>
        <v>J Med Chem</v>
      </c>
      <c r="K3661" s="25" t="str">
        <f aca="false">IFERROR(IF(INDEX(Documents!$G$5:$G$657,MATCH(H3661,Documents!$A$5:$A$657,0))="","",INDEX(Documents!$G$5:$G$657,MATCH(H3661,Documents!$A$5:$A$657,0))),"")</f>
        <v>10.1021/jm801563d</v>
      </c>
      <c r="L3661" s="25" t="s">
        <v>601</v>
      </c>
    </row>
    <row r="3662" customFormat="false" ht="15" hidden="false" customHeight="false" outlineLevel="0" collapsed="false">
      <c r="A3662" s="25" t="n">
        <v>10866722</v>
      </c>
      <c r="B3662" s="25" t="s">
        <v>7715</v>
      </c>
      <c r="C3662" s="25" t="s">
        <v>7716</v>
      </c>
      <c r="D3662" s="26" t="n">
        <v>790</v>
      </c>
      <c r="E3662" s="27" t="n">
        <v>6.10237290870956</v>
      </c>
      <c r="F3662" s="27" t="n">
        <v>6.10237290870956</v>
      </c>
      <c r="G3662" s="25" t="s">
        <v>7636</v>
      </c>
      <c r="H3662" s="25" t="s">
        <v>7637</v>
      </c>
      <c r="I3662" s="25" t="n">
        <f aca="false">IFERROR(IF(INDEX(Documents!$C$5:$C$657,MATCH(H3662,Documents!$A$5:$A$657,0))="","",INDEX(Documents!$C$5:$C$657,MATCH(H3662,Documents!$A$5:$A$657,0))),"")</f>
        <v>2012</v>
      </c>
      <c r="J3662" s="25" t="str">
        <f aca="false">IFERROR(IF(INDEX(Documents!$D$5:$D$657,MATCH(H3662,Documents!$A$5:$A$657,0))="","",INDEX(Documents!$D$5:$D$657,MATCH(H3662,Documents!$A$5:$A$657,0))),"")</f>
        <v>Eur J Med Chem</v>
      </c>
      <c r="K3662" s="25" t="str">
        <f aca="false">IFERROR(IF(INDEX(Documents!$G$5:$G$657,MATCH(H3662,Documents!$A$5:$A$657,0))="","",INDEX(Documents!$G$5:$G$657,MATCH(H3662,Documents!$A$5:$A$657,0))),"")</f>
        <v>10.1016/j.ejmech.2012.03.031</v>
      </c>
      <c r="L3662" s="25" t="s">
        <v>7638</v>
      </c>
    </row>
    <row r="3663" customFormat="false" ht="15" hidden="false" customHeight="false" outlineLevel="0" collapsed="false">
      <c r="A3663" s="25" t="n">
        <v>13912592</v>
      </c>
      <c r="B3663" s="25" t="s">
        <v>7717</v>
      </c>
      <c r="C3663" s="25" t="s">
        <v>7718</v>
      </c>
      <c r="D3663" s="26" t="n">
        <v>4.2</v>
      </c>
      <c r="E3663" s="27" t="n">
        <v>8.3767507096021</v>
      </c>
      <c r="F3663" s="27" t="n">
        <v>8.3767507096021</v>
      </c>
      <c r="G3663" s="25" t="s">
        <v>1717</v>
      </c>
      <c r="H3663" s="25" t="s">
        <v>1718</v>
      </c>
      <c r="I3663" s="25" t="n">
        <f aca="false">IFERROR(IF(INDEX(Documents!$C$5:$C$657,MATCH(H3663,Documents!$A$5:$A$657,0))="","",INDEX(Documents!$C$5:$C$657,MATCH(H3663,Documents!$A$5:$A$657,0))),"")</f>
        <v>2014</v>
      </c>
      <c r="J3663" s="25" t="str">
        <f aca="false">IFERROR(IF(INDEX(Documents!$D$5:$D$657,MATCH(H3663,Documents!$A$5:$A$657,0))="","",INDEX(Documents!$D$5:$D$657,MATCH(H3663,Documents!$A$5:$A$657,0))),"")</f>
        <v>Eur J Med Chem</v>
      </c>
      <c r="K3663" s="25" t="str">
        <f aca="false">IFERROR(IF(INDEX(Documents!$G$5:$G$657,MATCH(H3663,Documents!$A$5:$A$657,0))="","",INDEX(Documents!$G$5:$G$657,MATCH(H3663,Documents!$A$5:$A$657,0))),"")</f>
        <v>10.1016/j.ejmech.2013.10.070</v>
      </c>
      <c r="L3663" s="25" t="s">
        <v>1719</v>
      </c>
    </row>
    <row r="3664" customFormat="false" ht="15" hidden="false" customHeight="false" outlineLevel="0" collapsed="false">
      <c r="A3664" s="25" t="n">
        <v>10866723</v>
      </c>
      <c r="B3664" s="25" t="s">
        <v>7719</v>
      </c>
      <c r="C3664" s="25" t="s">
        <v>7720</v>
      </c>
      <c r="D3664" s="26" t="n">
        <v>7.8</v>
      </c>
      <c r="E3664" s="27" t="n">
        <v>8.10790539730952</v>
      </c>
      <c r="F3664" s="27" t="n">
        <v>8.10790539730952</v>
      </c>
      <c r="G3664" s="25" t="s">
        <v>7636</v>
      </c>
      <c r="H3664" s="25" t="s">
        <v>7637</v>
      </c>
      <c r="I3664" s="25" t="n">
        <f aca="false">IFERROR(IF(INDEX(Documents!$C$5:$C$657,MATCH(H3664,Documents!$A$5:$A$657,0))="","",INDEX(Documents!$C$5:$C$657,MATCH(H3664,Documents!$A$5:$A$657,0))),"")</f>
        <v>2012</v>
      </c>
      <c r="J3664" s="25" t="str">
        <f aca="false">IFERROR(IF(INDEX(Documents!$D$5:$D$657,MATCH(H3664,Documents!$A$5:$A$657,0))="","",INDEX(Documents!$D$5:$D$657,MATCH(H3664,Documents!$A$5:$A$657,0))),"")</f>
        <v>Eur J Med Chem</v>
      </c>
      <c r="K3664" s="25" t="str">
        <f aca="false">IFERROR(IF(INDEX(Documents!$G$5:$G$657,MATCH(H3664,Documents!$A$5:$A$657,0))="","",INDEX(Documents!$G$5:$G$657,MATCH(H3664,Documents!$A$5:$A$657,0))),"")</f>
        <v>10.1016/j.ejmech.2012.03.031</v>
      </c>
      <c r="L3664" s="25" t="s">
        <v>7638</v>
      </c>
    </row>
    <row r="3665" customFormat="false" ht="15" hidden="false" customHeight="false" outlineLevel="0" collapsed="false">
      <c r="A3665" s="25" t="n">
        <v>13912591</v>
      </c>
      <c r="B3665" s="25" t="s">
        <v>7721</v>
      </c>
      <c r="C3665" s="25" t="s">
        <v>7722</v>
      </c>
      <c r="D3665" s="26" t="n">
        <v>187</v>
      </c>
      <c r="E3665" s="27" t="n">
        <v>6.7281583934635</v>
      </c>
      <c r="F3665" s="27" t="n">
        <v>6.7281583934635</v>
      </c>
      <c r="G3665" s="25" t="s">
        <v>1717</v>
      </c>
      <c r="H3665" s="25" t="s">
        <v>1718</v>
      </c>
      <c r="I3665" s="25" t="n">
        <f aca="false">IFERROR(IF(INDEX(Documents!$C$5:$C$657,MATCH(H3665,Documents!$A$5:$A$657,0))="","",INDEX(Documents!$C$5:$C$657,MATCH(H3665,Documents!$A$5:$A$657,0))),"")</f>
        <v>2014</v>
      </c>
      <c r="J3665" s="25" t="str">
        <f aca="false">IFERROR(IF(INDEX(Documents!$D$5:$D$657,MATCH(H3665,Documents!$A$5:$A$657,0))="","",INDEX(Documents!$D$5:$D$657,MATCH(H3665,Documents!$A$5:$A$657,0))),"")</f>
        <v>Eur J Med Chem</v>
      </c>
      <c r="K3665" s="25" t="str">
        <f aca="false">IFERROR(IF(INDEX(Documents!$G$5:$G$657,MATCH(H3665,Documents!$A$5:$A$657,0))="","",INDEX(Documents!$G$5:$G$657,MATCH(H3665,Documents!$A$5:$A$657,0))),"")</f>
        <v>10.1016/j.ejmech.2013.10.070</v>
      </c>
      <c r="L3665" s="25" t="s">
        <v>1719</v>
      </c>
    </row>
    <row r="3666" customFormat="false" ht="15" hidden="false" customHeight="false" outlineLevel="0" collapsed="false">
      <c r="A3666" s="25" t="n">
        <v>13912590</v>
      </c>
      <c r="B3666" s="25" t="s">
        <v>7723</v>
      </c>
      <c r="C3666" s="25" t="s">
        <v>7724</v>
      </c>
      <c r="D3666" s="26" t="n">
        <v>397</v>
      </c>
      <c r="E3666" s="27" t="n">
        <v>6.40120949323689</v>
      </c>
      <c r="F3666" s="27" t="n">
        <v>6.40120949323689</v>
      </c>
      <c r="G3666" s="25" t="s">
        <v>1717</v>
      </c>
      <c r="H3666" s="25" t="s">
        <v>1718</v>
      </c>
      <c r="I3666" s="25" t="n">
        <f aca="false">IFERROR(IF(INDEX(Documents!$C$5:$C$657,MATCH(H3666,Documents!$A$5:$A$657,0))="","",INDEX(Documents!$C$5:$C$657,MATCH(H3666,Documents!$A$5:$A$657,0))),"")</f>
        <v>2014</v>
      </c>
      <c r="J3666" s="25" t="str">
        <f aca="false">IFERROR(IF(INDEX(Documents!$D$5:$D$657,MATCH(H3666,Documents!$A$5:$A$657,0))="","",INDEX(Documents!$D$5:$D$657,MATCH(H3666,Documents!$A$5:$A$657,0))),"")</f>
        <v>Eur J Med Chem</v>
      </c>
      <c r="K3666" s="25" t="str">
        <f aca="false">IFERROR(IF(INDEX(Documents!$G$5:$G$657,MATCH(H3666,Documents!$A$5:$A$657,0))="","",INDEX(Documents!$G$5:$G$657,MATCH(H3666,Documents!$A$5:$A$657,0))),"")</f>
        <v>10.1016/j.ejmech.2013.10.070</v>
      </c>
      <c r="L3666" s="25" t="s">
        <v>1719</v>
      </c>
    </row>
    <row r="3667" customFormat="false" ht="15" hidden="false" customHeight="false" outlineLevel="0" collapsed="false">
      <c r="A3667" s="25" t="n">
        <v>13912593</v>
      </c>
      <c r="B3667" s="25" t="s">
        <v>7725</v>
      </c>
      <c r="C3667" s="25" t="s">
        <v>7726</v>
      </c>
      <c r="D3667" s="26" t="n">
        <v>8</v>
      </c>
      <c r="E3667" s="27" t="n">
        <v>8.09691001300806</v>
      </c>
      <c r="F3667" s="27" t="n">
        <v>8.09691001300806</v>
      </c>
      <c r="G3667" s="25" t="s">
        <v>1717</v>
      </c>
      <c r="H3667" s="25" t="s">
        <v>1718</v>
      </c>
      <c r="I3667" s="25" t="n">
        <f aca="false">IFERROR(IF(INDEX(Documents!$C$5:$C$657,MATCH(H3667,Documents!$A$5:$A$657,0))="","",INDEX(Documents!$C$5:$C$657,MATCH(H3667,Documents!$A$5:$A$657,0))),"")</f>
        <v>2014</v>
      </c>
      <c r="J3667" s="25" t="str">
        <f aca="false">IFERROR(IF(INDEX(Documents!$D$5:$D$657,MATCH(H3667,Documents!$A$5:$A$657,0))="","",INDEX(Documents!$D$5:$D$657,MATCH(H3667,Documents!$A$5:$A$657,0))),"")</f>
        <v>Eur J Med Chem</v>
      </c>
      <c r="K3667" s="25" t="str">
        <f aca="false">IFERROR(IF(INDEX(Documents!$G$5:$G$657,MATCH(H3667,Documents!$A$5:$A$657,0))="","",INDEX(Documents!$G$5:$G$657,MATCH(H3667,Documents!$A$5:$A$657,0))),"")</f>
        <v>10.1016/j.ejmech.2013.10.070</v>
      </c>
      <c r="L3667" s="25" t="s">
        <v>1719</v>
      </c>
    </row>
    <row r="3668" customFormat="false" ht="15" hidden="false" customHeight="false" outlineLevel="0" collapsed="false">
      <c r="A3668" s="25" t="n">
        <v>10866718</v>
      </c>
      <c r="B3668" s="25" t="s">
        <v>7727</v>
      </c>
      <c r="C3668" s="25" t="s">
        <v>7728</v>
      </c>
      <c r="D3668" s="26" t="n">
        <v>25</v>
      </c>
      <c r="E3668" s="27" t="n">
        <v>7.60205999132796</v>
      </c>
      <c r="F3668" s="27" t="n">
        <v>7.60205999132796</v>
      </c>
      <c r="G3668" s="25" t="s">
        <v>7636</v>
      </c>
      <c r="H3668" s="25" t="s">
        <v>7637</v>
      </c>
      <c r="I3668" s="25" t="n">
        <f aca="false">IFERROR(IF(INDEX(Documents!$C$5:$C$657,MATCH(H3668,Documents!$A$5:$A$657,0))="","",INDEX(Documents!$C$5:$C$657,MATCH(H3668,Documents!$A$5:$A$657,0))),"")</f>
        <v>2012</v>
      </c>
      <c r="J3668" s="25" t="str">
        <f aca="false">IFERROR(IF(INDEX(Documents!$D$5:$D$657,MATCH(H3668,Documents!$A$5:$A$657,0))="","",INDEX(Documents!$D$5:$D$657,MATCH(H3668,Documents!$A$5:$A$657,0))),"")</f>
        <v>Eur J Med Chem</v>
      </c>
      <c r="K3668" s="25" t="str">
        <f aca="false">IFERROR(IF(INDEX(Documents!$G$5:$G$657,MATCH(H3668,Documents!$A$5:$A$657,0))="","",INDEX(Documents!$G$5:$G$657,MATCH(H3668,Documents!$A$5:$A$657,0))),"")</f>
        <v>10.1016/j.ejmech.2012.03.031</v>
      </c>
      <c r="L3668" s="25" t="s">
        <v>7638</v>
      </c>
    </row>
    <row r="3669" customFormat="false" ht="15" hidden="false" customHeight="false" outlineLevel="0" collapsed="false">
      <c r="A3669" s="25" t="n">
        <v>13912572</v>
      </c>
      <c r="B3669" s="25" t="s">
        <v>7729</v>
      </c>
      <c r="C3669" s="25" t="s">
        <v>7730</v>
      </c>
      <c r="D3669" s="26" t="n">
        <v>481</v>
      </c>
      <c r="E3669" s="27" t="n">
        <v>6.31785492362617</v>
      </c>
      <c r="F3669" s="27" t="n">
        <v>6.31785492362617</v>
      </c>
      <c r="G3669" s="25" t="s">
        <v>1717</v>
      </c>
      <c r="H3669" s="25" t="s">
        <v>1718</v>
      </c>
      <c r="I3669" s="25" t="n">
        <f aca="false">IFERROR(IF(INDEX(Documents!$C$5:$C$657,MATCH(H3669,Documents!$A$5:$A$657,0))="","",INDEX(Documents!$C$5:$C$657,MATCH(H3669,Documents!$A$5:$A$657,0))),"")</f>
        <v>2014</v>
      </c>
      <c r="J3669" s="25" t="str">
        <f aca="false">IFERROR(IF(INDEX(Documents!$D$5:$D$657,MATCH(H3669,Documents!$A$5:$A$657,0))="","",INDEX(Documents!$D$5:$D$657,MATCH(H3669,Documents!$A$5:$A$657,0))),"")</f>
        <v>Eur J Med Chem</v>
      </c>
      <c r="K3669" s="25" t="str">
        <f aca="false">IFERROR(IF(INDEX(Documents!$G$5:$G$657,MATCH(H3669,Documents!$A$5:$A$657,0))="","",INDEX(Documents!$G$5:$G$657,MATCH(H3669,Documents!$A$5:$A$657,0))),"")</f>
        <v>10.1016/j.ejmech.2013.10.070</v>
      </c>
      <c r="L3669" s="25" t="s">
        <v>1719</v>
      </c>
    </row>
    <row r="3670" customFormat="false" ht="15" hidden="false" customHeight="false" outlineLevel="0" collapsed="false">
      <c r="A3670" s="25" t="n">
        <v>2052316</v>
      </c>
      <c r="B3670" s="25" t="s">
        <v>7731</v>
      </c>
      <c r="C3670" s="25" t="s">
        <v>7732</v>
      </c>
      <c r="D3670" s="26" t="n">
        <v>28</v>
      </c>
      <c r="E3670" s="27" t="n">
        <v>7.55284196865778</v>
      </c>
      <c r="F3670" s="27" t="n">
        <v>7.55284196865778</v>
      </c>
      <c r="G3670" s="25" t="s">
        <v>2025</v>
      </c>
      <c r="H3670" s="25" t="s">
        <v>2026</v>
      </c>
      <c r="I3670" s="25" t="n">
        <f aca="false">IFERROR(IF(INDEX(Documents!$C$5:$C$657,MATCH(H3670,Documents!$A$5:$A$657,0))="","",INDEX(Documents!$C$5:$C$657,MATCH(H3670,Documents!$A$5:$A$657,0))),"")</f>
        <v>2007</v>
      </c>
      <c r="J3670" s="25" t="str">
        <f aca="false">IFERROR(IF(INDEX(Documents!$D$5:$D$657,MATCH(H3670,Documents!$A$5:$A$657,0))="","",INDEX(Documents!$D$5:$D$657,MATCH(H3670,Documents!$A$5:$A$657,0))),"")</f>
        <v>Bioorg Med Chem Lett</v>
      </c>
      <c r="K3670" s="25" t="str">
        <f aca="false">IFERROR(IF(INDEX(Documents!$G$5:$G$657,MATCH(H3670,Documents!$A$5:$A$657,0))="","",INDEX(Documents!$G$5:$G$657,MATCH(H3670,Documents!$A$5:$A$657,0))),"")</f>
        <v>10.1016/j.bmcl.2007.09.089</v>
      </c>
      <c r="L3670" s="25" t="s">
        <v>601</v>
      </c>
    </row>
    <row r="3671" customFormat="false" ht="15" hidden="false" customHeight="false" outlineLevel="0" collapsed="false">
      <c r="A3671" s="25" t="n">
        <v>2052317</v>
      </c>
      <c r="B3671" s="25" t="s">
        <v>7733</v>
      </c>
      <c r="C3671" s="25" t="s">
        <v>7734</v>
      </c>
      <c r="D3671" s="26" t="n">
        <v>6.4</v>
      </c>
      <c r="E3671" s="27" t="n">
        <v>8.19382002601611</v>
      </c>
      <c r="F3671" s="27" t="n">
        <v>8.19382002601611</v>
      </c>
      <c r="G3671" s="25" t="s">
        <v>2025</v>
      </c>
      <c r="H3671" s="25" t="s">
        <v>2026</v>
      </c>
      <c r="I3671" s="25" t="n">
        <f aca="false">IFERROR(IF(INDEX(Documents!$C$5:$C$657,MATCH(H3671,Documents!$A$5:$A$657,0))="","",INDEX(Documents!$C$5:$C$657,MATCH(H3671,Documents!$A$5:$A$657,0))),"")</f>
        <v>2007</v>
      </c>
      <c r="J3671" s="25" t="str">
        <f aca="false">IFERROR(IF(INDEX(Documents!$D$5:$D$657,MATCH(H3671,Documents!$A$5:$A$657,0))="","",INDEX(Documents!$D$5:$D$657,MATCH(H3671,Documents!$A$5:$A$657,0))),"")</f>
        <v>Bioorg Med Chem Lett</v>
      </c>
      <c r="K3671" s="25" t="str">
        <f aca="false">IFERROR(IF(INDEX(Documents!$G$5:$G$657,MATCH(H3671,Documents!$A$5:$A$657,0))="","",INDEX(Documents!$G$5:$G$657,MATCH(H3671,Documents!$A$5:$A$657,0))),"")</f>
        <v>10.1016/j.bmcl.2007.09.089</v>
      </c>
      <c r="L3671" s="25" t="s">
        <v>601</v>
      </c>
    </row>
    <row r="3672" customFormat="false" ht="15" hidden="false" customHeight="false" outlineLevel="0" collapsed="false">
      <c r="A3672" s="25" t="n">
        <v>12089868</v>
      </c>
      <c r="B3672" s="25" t="s">
        <v>7735</v>
      </c>
      <c r="C3672" s="25" t="s">
        <v>7736</v>
      </c>
      <c r="D3672" s="26" t="n">
        <v>3.12</v>
      </c>
      <c r="E3672" s="27" t="n">
        <v>8.50584540598156</v>
      </c>
      <c r="F3672" s="27" t="n">
        <v>8.50584540598156</v>
      </c>
      <c r="G3672" s="25" t="s">
        <v>1028</v>
      </c>
      <c r="H3672" s="25" t="s">
        <v>1029</v>
      </c>
      <c r="I3672" s="25" t="n">
        <f aca="false">IFERROR(IF(INDEX(Documents!$C$5:$C$657,MATCH(H3672,Documents!$A$5:$A$657,0))="","",INDEX(Documents!$C$5:$C$657,MATCH(H3672,Documents!$A$5:$A$657,0))),"")</f>
        <v>2012</v>
      </c>
      <c r="J3672" s="25" t="str">
        <f aca="false">IFERROR(IF(INDEX(Documents!$D$5:$D$657,MATCH(H3672,Documents!$A$5:$A$657,0))="","",INDEX(Documents!$D$5:$D$657,MATCH(H3672,Documents!$A$5:$A$657,0))),"")</f>
        <v>J Med Chem</v>
      </c>
      <c r="K3672" s="25" t="str">
        <f aca="false">IFERROR(IF(INDEX(Documents!$G$5:$G$657,MATCH(H3672,Documents!$A$5:$A$657,0))="","",INDEX(Documents!$G$5:$G$657,MATCH(H3672,Documents!$A$5:$A$657,0))),"")</f>
        <v>10.1021/jm300763w</v>
      </c>
      <c r="L3672" s="25" t="s">
        <v>1030</v>
      </c>
    </row>
    <row r="3673" customFormat="false" ht="15" hidden="false" customHeight="false" outlineLevel="0" collapsed="false">
      <c r="A3673" s="25" t="n">
        <v>12089896</v>
      </c>
      <c r="B3673" s="25" t="s">
        <v>7737</v>
      </c>
      <c r="C3673" s="25" t="s">
        <v>7738</v>
      </c>
      <c r="D3673" s="26" t="n">
        <v>0.81</v>
      </c>
      <c r="E3673" s="27" t="n">
        <v>9.09151498112135</v>
      </c>
      <c r="F3673" s="27" t="n">
        <v>9.09151498112135</v>
      </c>
      <c r="G3673" s="25" t="s">
        <v>1028</v>
      </c>
      <c r="H3673" s="25" t="s">
        <v>1029</v>
      </c>
      <c r="I3673" s="25" t="n">
        <f aca="false">IFERROR(IF(INDEX(Documents!$C$5:$C$657,MATCH(H3673,Documents!$A$5:$A$657,0))="","",INDEX(Documents!$C$5:$C$657,MATCH(H3673,Documents!$A$5:$A$657,0))),"")</f>
        <v>2012</v>
      </c>
      <c r="J3673" s="25" t="str">
        <f aca="false">IFERROR(IF(INDEX(Documents!$D$5:$D$657,MATCH(H3673,Documents!$A$5:$A$657,0))="","",INDEX(Documents!$D$5:$D$657,MATCH(H3673,Documents!$A$5:$A$657,0))),"")</f>
        <v>J Med Chem</v>
      </c>
      <c r="K3673" s="25" t="str">
        <f aca="false">IFERROR(IF(INDEX(Documents!$G$5:$G$657,MATCH(H3673,Documents!$A$5:$A$657,0))="","",INDEX(Documents!$G$5:$G$657,MATCH(H3673,Documents!$A$5:$A$657,0))),"")</f>
        <v>10.1021/jm300763w</v>
      </c>
      <c r="L3673" s="25" t="s">
        <v>1030</v>
      </c>
    </row>
    <row r="3674" customFormat="false" ht="15" hidden="false" customHeight="false" outlineLevel="0" collapsed="false">
      <c r="A3674" s="25" t="n">
        <v>10979877</v>
      </c>
      <c r="B3674" s="25" t="s">
        <v>7739</v>
      </c>
      <c r="C3674" s="25" t="s">
        <v>7740</v>
      </c>
      <c r="D3674" s="26" t="n">
        <v>953</v>
      </c>
      <c r="E3674" s="27" t="n">
        <v>6.02090709936167</v>
      </c>
      <c r="F3674" s="27" t="n">
        <v>6.02090709936167</v>
      </c>
      <c r="G3674" s="25" t="s">
        <v>631</v>
      </c>
      <c r="H3674" s="25" t="s">
        <v>632</v>
      </c>
      <c r="I3674" s="25" t="n">
        <f aca="false">IFERROR(IF(INDEX(Documents!$C$5:$C$657,MATCH(H3674,Documents!$A$5:$A$657,0))="","",INDEX(Documents!$C$5:$C$657,MATCH(H3674,Documents!$A$5:$A$657,0))),"")</f>
        <v>2012</v>
      </c>
      <c r="J3674" s="25" t="str">
        <f aca="false">IFERROR(IF(INDEX(Documents!$D$5:$D$657,MATCH(H3674,Documents!$A$5:$A$657,0))="","",INDEX(Documents!$D$5:$D$657,MATCH(H3674,Documents!$A$5:$A$657,0))),"")</f>
        <v>ACS Med Chem Lett</v>
      </c>
      <c r="K3674" s="25" t="str">
        <f aca="false">IFERROR(IF(INDEX(Documents!$G$5:$G$657,MATCH(H3674,Documents!$A$5:$A$657,0))="","",INDEX(Documents!$G$5:$G$657,MATCH(H3674,Documents!$A$5:$A$657,0))),"")</f>
        <v>10.1021/ml3000325</v>
      </c>
      <c r="L3674" s="25" t="s">
        <v>633</v>
      </c>
    </row>
    <row r="3675" customFormat="false" ht="15" hidden="false" customHeight="false" outlineLevel="0" collapsed="false">
      <c r="A3675" s="25" t="n">
        <v>10979878</v>
      </c>
      <c r="B3675" s="25" t="s">
        <v>7741</v>
      </c>
      <c r="C3675" s="25" t="s">
        <v>7742</v>
      </c>
      <c r="D3675" s="26" t="n">
        <v>15200</v>
      </c>
      <c r="E3675" s="27" t="n">
        <v>4.81815641205523</v>
      </c>
      <c r="F3675" s="27" t="n">
        <v>4.81815641205523</v>
      </c>
      <c r="G3675" s="25" t="s">
        <v>631</v>
      </c>
      <c r="H3675" s="25" t="s">
        <v>632</v>
      </c>
      <c r="I3675" s="25" t="n">
        <f aca="false">IFERROR(IF(INDEX(Documents!$C$5:$C$657,MATCH(H3675,Documents!$A$5:$A$657,0))="","",INDEX(Documents!$C$5:$C$657,MATCH(H3675,Documents!$A$5:$A$657,0))),"")</f>
        <v>2012</v>
      </c>
      <c r="J3675" s="25" t="str">
        <f aca="false">IFERROR(IF(INDEX(Documents!$D$5:$D$657,MATCH(H3675,Documents!$A$5:$A$657,0))="","",INDEX(Documents!$D$5:$D$657,MATCH(H3675,Documents!$A$5:$A$657,0))),"")</f>
        <v>ACS Med Chem Lett</v>
      </c>
      <c r="K3675" s="25" t="str">
        <f aca="false">IFERROR(IF(INDEX(Documents!$G$5:$G$657,MATCH(H3675,Documents!$A$5:$A$657,0))="","",INDEX(Documents!$G$5:$G$657,MATCH(H3675,Documents!$A$5:$A$657,0))),"")</f>
        <v>10.1021/ml3000325</v>
      </c>
      <c r="L3675" s="25" t="s">
        <v>633</v>
      </c>
    </row>
    <row r="3676" customFormat="false" ht="15" hidden="false" customHeight="false" outlineLevel="0" collapsed="false">
      <c r="A3676" s="25" t="n">
        <v>10979886</v>
      </c>
      <c r="B3676" s="25" t="s">
        <v>7743</v>
      </c>
      <c r="C3676" s="25" t="s">
        <v>7744</v>
      </c>
      <c r="D3676" s="26" t="n">
        <v>12100</v>
      </c>
      <c r="E3676" s="27" t="n">
        <v>4.91721462968355</v>
      </c>
      <c r="F3676" s="27" t="n">
        <v>4.91721462968355</v>
      </c>
      <c r="G3676" s="25" t="s">
        <v>631</v>
      </c>
      <c r="H3676" s="25" t="s">
        <v>632</v>
      </c>
      <c r="I3676" s="25" t="n">
        <f aca="false">IFERROR(IF(INDEX(Documents!$C$5:$C$657,MATCH(H3676,Documents!$A$5:$A$657,0))="","",INDEX(Documents!$C$5:$C$657,MATCH(H3676,Documents!$A$5:$A$657,0))),"")</f>
        <v>2012</v>
      </c>
      <c r="J3676" s="25" t="str">
        <f aca="false">IFERROR(IF(INDEX(Documents!$D$5:$D$657,MATCH(H3676,Documents!$A$5:$A$657,0))="","",INDEX(Documents!$D$5:$D$657,MATCH(H3676,Documents!$A$5:$A$657,0))),"")</f>
        <v>ACS Med Chem Lett</v>
      </c>
      <c r="K3676" s="25" t="str">
        <f aca="false">IFERROR(IF(INDEX(Documents!$G$5:$G$657,MATCH(H3676,Documents!$A$5:$A$657,0))="","",INDEX(Documents!$G$5:$G$657,MATCH(H3676,Documents!$A$5:$A$657,0))),"")</f>
        <v>10.1021/ml3000325</v>
      </c>
      <c r="L3676" s="25" t="s">
        <v>633</v>
      </c>
    </row>
    <row r="3677" customFormat="false" ht="15" hidden="false" customHeight="false" outlineLevel="0" collapsed="false">
      <c r="A3677" s="25" t="n">
        <v>10979885</v>
      </c>
      <c r="B3677" s="25" t="s">
        <v>7745</v>
      </c>
      <c r="C3677" s="25" t="s">
        <v>7746</v>
      </c>
      <c r="D3677" s="26" t="n">
        <v>16900</v>
      </c>
      <c r="E3677" s="27" t="n">
        <v>4.77211329538633</v>
      </c>
      <c r="F3677" s="27" t="n">
        <v>4.77211329538633</v>
      </c>
      <c r="G3677" s="25" t="s">
        <v>631</v>
      </c>
      <c r="H3677" s="25" t="s">
        <v>632</v>
      </c>
      <c r="I3677" s="25" t="n">
        <f aca="false">IFERROR(IF(INDEX(Documents!$C$5:$C$657,MATCH(H3677,Documents!$A$5:$A$657,0))="","",INDEX(Documents!$C$5:$C$657,MATCH(H3677,Documents!$A$5:$A$657,0))),"")</f>
        <v>2012</v>
      </c>
      <c r="J3677" s="25" t="str">
        <f aca="false">IFERROR(IF(INDEX(Documents!$D$5:$D$657,MATCH(H3677,Documents!$A$5:$A$657,0))="","",INDEX(Documents!$D$5:$D$657,MATCH(H3677,Documents!$A$5:$A$657,0))),"")</f>
        <v>ACS Med Chem Lett</v>
      </c>
      <c r="K3677" s="25" t="str">
        <f aca="false">IFERROR(IF(INDEX(Documents!$G$5:$G$657,MATCH(H3677,Documents!$A$5:$A$657,0))="","",INDEX(Documents!$G$5:$G$657,MATCH(H3677,Documents!$A$5:$A$657,0))),"")</f>
        <v>10.1021/ml3000325</v>
      </c>
      <c r="L3677" s="25" t="s">
        <v>633</v>
      </c>
    </row>
    <row r="3678" customFormat="false" ht="15" hidden="false" customHeight="false" outlineLevel="0" collapsed="false">
      <c r="A3678" s="25" t="n">
        <v>19097533</v>
      </c>
      <c r="B3678" s="25" t="s">
        <v>7747</v>
      </c>
      <c r="C3678" s="25" t="s">
        <v>7748</v>
      </c>
      <c r="D3678" s="26" t="n">
        <v>1060</v>
      </c>
      <c r="E3678" s="27" t="n">
        <v>5.97469413473523</v>
      </c>
      <c r="F3678" s="27" t="n">
        <v>5.97469413473523</v>
      </c>
      <c r="G3678" s="25" t="s">
        <v>3171</v>
      </c>
      <c r="H3678" s="25" t="s">
        <v>3172</v>
      </c>
      <c r="I3678" s="25" t="n">
        <f aca="false">IFERROR(IF(INDEX(Documents!$C$5:$C$657,MATCH(H3678,Documents!$A$5:$A$657,0))="","",INDEX(Documents!$C$5:$C$657,MATCH(H3678,Documents!$A$5:$A$657,0))),"")</f>
        <v>2019</v>
      </c>
      <c r="J3678" s="25" t="str">
        <f aca="false">IFERROR(IF(INDEX(Documents!$D$5:$D$657,MATCH(H3678,Documents!$A$5:$A$657,0))="","",INDEX(Documents!$D$5:$D$657,MATCH(H3678,Documents!$A$5:$A$657,0))),"")</f>
        <v>Eur J Med Chem</v>
      </c>
      <c r="K3678" s="25" t="str">
        <f aca="false">IFERROR(IF(INDEX(Documents!$G$5:$G$657,MATCH(H3678,Documents!$A$5:$A$657,0))="","",INDEX(Documents!$G$5:$G$657,MATCH(H3678,Documents!$A$5:$A$657,0))),"")</f>
        <v>10.1016/j.ejmech.2019.07.002</v>
      </c>
      <c r="L3678" s="25" t="s">
        <v>3173</v>
      </c>
    </row>
    <row r="3679" customFormat="false" ht="15" hidden="false" customHeight="false" outlineLevel="0" collapsed="false">
      <c r="A3679" s="25" t="n">
        <v>19180474</v>
      </c>
      <c r="B3679" s="25" t="s">
        <v>7749</v>
      </c>
      <c r="C3679" s="25" t="s">
        <v>7750</v>
      </c>
      <c r="D3679" s="26" t="n">
        <v>740</v>
      </c>
      <c r="E3679" s="27" t="n">
        <v>6.13076828026902</v>
      </c>
      <c r="F3679" s="27" t="n">
        <v>6.13076828026902</v>
      </c>
      <c r="G3679" s="25" t="s">
        <v>669</v>
      </c>
      <c r="H3679" s="25" t="s">
        <v>670</v>
      </c>
      <c r="I3679" s="25" t="n">
        <f aca="false">IFERROR(IF(INDEX(Documents!$C$5:$C$657,MATCH(H3679,Documents!$A$5:$A$657,0))="","",INDEX(Documents!$C$5:$C$657,MATCH(H3679,Documents!$A$5:$A$657,0))),"")</f>
        <v>2019</v>
      </c>
      <c r="J3679" s="25" t="str">
        <f aca="false">IFERROR(IF(INDEX(Documents!$D$5:$D$657,MATCH(H3679,Documents!$A$5:$A$657,0))="","",INDEX(Documents!$D$5:$D$657,MATCH(H3679,Documents!$A$5:$A$657,0))),"")</f>
        <v>Bioorg Med Chem</v>
      </c>
      <c r="K3679" s="25" t="str">
        <f aca="false">IFERROR(IF(INDEX(Documents!$G$5:$G$657,MATCH(H3679,Documents!$A$5:$A$657,0))="","",INDEX(Documents!$G$5:$G$657,MATCH(H3679,Documents!$A$5:$A$657,0))),"")</f>
        <v>10.1016/j.bmc.2019.07.002</v>
      </c>
      <c r="L3679" s="25" t="s">
        <v>671</v>
      </c>
    </row>
    <row r="3680" customFormat="false" ht="15" hidden="false" customHeight="false" outlineLevel="0" collapsed="false">
      <c r="A3680" s="25" t="n">
        <v>13474014</v>
      </c>
      <c r="B3680" s="25" t="s">
        <v>7751</v>
      </c>
      <c r="C3680" s="25" t="s">
        <v>7752</v>
      </c>
      <c r="D3680" s="26" t="n">
        <v>60.2</v>
      </c>
      <c r="E3680" s="27" t="n">
        <v>7.22040350874218</v>
      </c>
      <c r="F3680" s="27" t="n">
        <v>7.22040350874218</v>
      </c>
      <c r="G3680" s="25" t="s">
        <v>1033</v>
      </c>
      <c r="H3680" s="25" t="s">
        <v>1034</v>
      </c>
      <c r="I3680" s="25" t="n">
        <f aca="false">IFERROR(IF(INDEX(Documents!$C$5:$C$657,MATCH(H3680,Documents!$A$5:$A$657,0))="","",INDEX(Documents!$C$5:$C$657,MATCH(H3680,Documents!$A$5:$A$657,0))),"")</f>
        <v>2013</v>
      </c>
      <c r="J3680" s="25" t="str">
        <f aca="false">IFERROR(IF(INDEX(Documents!$D$5:$D$657,MATCH(H3680,Documents!$A$5:$A$657,0))="","",INDEX(Documents!$D$5:$D$657,MATCH(H3680,Documents!$A$5:$A$657,0))),"")</f>
        <v>J Med Chem</v>
      </c>
      <c r="K3680" s="25" t="str">
        <f aca="false">IFERROR(IF(INDEX(Documents!$G$5:$G$657,MATCH(H3680,Documents!$A$5:$A$657,0))="","",INDEX(Documents!$G$5:$G$657,MATCH(H3680,Documents!$A$5:$A$657,0))),"")</f>
        <v>10.1021/jm401129n</v>
      </c>
      <c r="L3680" s="25" t="s">
        <v>1035</v>
      </c>
    </row>
    <row r="3681" customFormat="false" ht="15" hidden="false" customHeight="false" outlineLevel="0" collapsed="false">
      <c r="A3681" s="25" t="n">
        <v>13474018</v>
      </c>
      <c r="B3681" s="25" t="s">
        <v>7753</v>
      </c>
      <c r="C3681" s="25" t="s">
        <v>7754</v>
      </c>
      <c r="D3681" s="26" t="n">
        <v>835</v>
      </c>
      <c r="E3681" s="27" t="n">
        <v>6.0783135245164</v>
      </c>
      <c r="F3681" s="27" t="n">
        <v>6.0783135245164</v>
      </c>
      <c r="G3681" s="25" t="s">
        <v>1033</v>
      </c>
      <c r="H3681" s="25" t="s">
        <v>1034</v>
      </c>
      <c r="I3681" s="25" t="n">
        <f aca="false">IFERROR(IF(INDEX(Documents!$C$5:$C$657,MATCH(H3681,Documents!$A$5:$A$657,0))="","",INDEX(Documents!$C$5:$C$657,MATCH(H3681,Documents!$A$5:$A$657,0))),"")</f>
        <v>2013</v>
      </c>
      <c r="J3681" s="25" t="str">
        <f aca="false">IFERROR(IF(INDEX(Documents!$D$5:$D$657,MATCH(H3681,Documents!$A$5:$A$657,0))="","",INDEX(Documents!$D$5:$D$657,MATCH(H3681,Documents!$A$5:$A$657,0))),"")</f>
        <v>J Med Chem</v>
      </c>
      <c r="K3681" s="25" t="str">
        <f aca="false">IFERROR(IF(INDEX(Documents!$G$5:$G$657,MATCH(H3681,Documents!$A$5:$A$657,0))="","",INDEX(Documents!$G$5:$G$657,MATCH(H3681,Documents!$A$5:$A$657,0))),"")</f>
        <v>10.1021/jm401129n</v>
      </c>
      <c r="L3681" s="25" t="s">
        <v>1035</v>
      </c>
    </row>
    <row r="3682" customFormat="false" ht="15" hidden="false" customHeight="false" outlineLevel="0" collapsed="false">
      <c r="A3682" s="25" t="n">
        <v>19180468</v>
      </c>
      <c r="B3682" s="25" t="s">
        <v>7755</v>
      </c>
      <c r="C3682" s="25" t="s">
        <v>7756</v>
      </c>
      <c r="D3682" s="26" t="n">
        <v>1900</v>
      </c>
      <c r="E3682" s="27" t="n">
        <v>5.72124639904717</v>
      </c>
      <c r="F3682" s="27" t="n">
        <v>5.72124639904717</v>
      </c>
      <c r="G3682" s="25" t="s">
        <v>669</v>
      </c>
      <c r="H3682" s="25" t="s">
        <v>670</v>
      </c>
      <c r="I3682" s="25" t="n">
        <f aca="false">IFERROR(IF(INDEX(Documents!$C$5:$C$657,MATCH(H3682,Documents!$A$5:$A$657,0))="","",INDEX(Documents!$C$5:$C$657,MATCH(H3682,Documents!$A$5:$A$657,0))),"")</f>
        <v>2019</v>
      </c>
      <c r="J3682" s="25" t="str">
        <f aca="false">IFERROR(IF(INDEX(Documents!$D$5:$D$657,MATCH(H3682,Documents!$A$5:$A$657,0))="","",INDEX(Documents!$D$5:$D$657,MATCH(H3682,Documents!$A$5:$A$657,0))),"")</f>
        <v>Bioorg Med Chem</v>
      </c>
      <c r="K3682" s="25" t="str">
        <f aca="false">IFERROR(IF(INDEX(Documents!$G$5:$G$657,MATCH(H3682,Documents!$A$5:$A$657,0))="","",INDEX(Documents!$G$5:$G$657,MATCH(H3682,Documents!$A$5:$A$657,0))),"")</f>
        <v>10.1016/j.bmc.2019.07.002</v>
      </c>
      <c r="L3682" s="25" t="s">
        <v>671</v>
      </c>
    </row>
    <row r="3683" customFormat="false" ht="15" hidden="false" customHeight="false" outlineLevel="0" collapsed="false">
      <c r="A3683" s="25" t="n">
        <v>19180483</v>
      </c>
      <c r="B3683" s="25" t="s">
        <v>7757</v>
      </c>
      <c r="C3683" s="25" t="s">
        <v>7758</v>
      </c>
      <c r="D3683" s="26" t="n">
        <v>1050</v>
      </c>
      <c r="E3683" s="27" t="n">
        <v>5.97881070093006</v>
      </c>
      <c r="F3683" s="27" t="n">
        <v>5.97881070093006</v>
      </c>
      <c r="G3683" s="25" t="s">
        <v>669</v>
      </c>
      <c r="H3683" s="25" t="s">
        <v>670</v>
      </c>
      <c r="I3683" s="25" t="n">
        <f aca="false">IFERROR(IF(INDEX(Documents!$C$5:$C$657,MATCH(H3683,Documents!$A$5:$A$657,0))="","",INDEX(Documents!$C$5:$C$657,MATCH(H3683,Documents!$A$5:$A$657,0))),"")</f>
        <v>2019</v>
      </c>
      <c r="J3683" s="25" t="str">
        <f aca="false">IFERROR(IF(INDEX(Documents!$D$5:$D$657,MATCH(H3683,Documents!$A$5:$A$657,0))="","",INDEX(Documents!$D$5:$D$657,MATCH(H3683,Documents!$A$5:$A$657,0))),"")</f>
        <v>Bioorg Med Chem</v>
      </c>
      <c r="K3683" s="25" t="str">
        <f aca="false">IFERROR(IF(INDEX(Documents!$G$5:$G$657,MATCH(H3683,Documents!$A$5:$A$657,0))="","",INDEX(Documents!$G$5:$G$657,MATCH(H3683,Documents!$A$5:$A$657,0))),"")</f>
        <v>10.1016/j.bmc.2019.07.002</v>
      </c>
      <c r="L3683" s="25" t="s">
        <v>671</v>
      </c>
    </row>
    <row r="3684" customFormat="false" ht="15" hidden="false" customHeight="false" outlineLevel="0" collapsed="false">
      <c r="A3684" s="25" t="n">
        <v>19180488</v>
      </c>
      <c r="B3684" s="25" t="s">
        <v>7759</v>
      </c>
      <c r="C3684" s="25" t="s">
        <v>7760</v>
      </c>
      <c r="D3684" s="26" t="n">
        <v>710</v>
      </c>
      <c r="E3684" s="27" t="n">
        <v>6.14874165128093</v>
      </c>
      <c r="F3684" s="27" t="n">
        <v>6.14874165128093</v>
      </c>
      <c r="G3684" s="25" t="s">
        <v>669</v>
      </c>
      <c r="H3684" s="25" t="s">
        <v>670</v>
      </c>
      <c r="I3684" s="25" t="n">
        <f aca="false">IFERROR(IF(INDEX(Documents!$C$5:$C$657,MATCH(H3684,Documents!$A$5:$A$657,0))="","",INDEX(Documents!$C$5:$C$657,MATCH(H3684,Documents!$A$5:$A$657,0))),"")</f>
        <v>2019</v>
      </c>
      <c r="J3684" s="25" t="str">
        <f aca="false">IFERROR(IF(INDEX(Documents!$D$5:$D$657,MATCH(H3684,Documents!$A$5:$A$657,0))="","",INDEX(Documents!$D$5:$D$657,MATCH(H3684,Documents!$A$5:$A$657,0))),"")</f>
        <v>Bioorg Med Chem</v>
      </c>
      <c r="K3684" s="25" t="str">
        <f aca="false">IFERROR(IF(INDEX(Documents!$G$5:$G$657,MATCH(H3684,Documents!$A$5:$A$657,0))="","",INDEX(Documents!$G$5:$G$657,MATCH(H3684,Documents!$A$5:$A$657,0))),"")</f>
        <v>10.1016/j.bmc.2019.07.002</v>
      </c>
      <c r="L3684" s="25" t="s">
        <v>671</v>
      </c>
    </row>
    <row r="3685" customFormat="false" ht="15" hidden="false" customHeight="false" outlineLevel="0" collapsed="false">
      <c r="A3685" s="25" t="n">
        <v>13474019</v>
      </c>
      <c r="B3685" s="25" t="s">
        <v>7761</v>
      </c>
      <c r="C3685" s="25" t="s">
        <v>7762</v>
      </c>
      <c r="D3685" s="26" t="n">
        <v>10649</v>
      </c>
      <c r="E3685" s="27" t="n">
        <v>4.97269117296445</v>
      </c>
      <c r="F3685" s="27" t="n">
        <v>4.97269117296445</v>
      </c>
      <c r="G3685" s="25" t="s">
        <v>1033</v>
      </c>
      <c r="H3685" s="25" t="s">
        <v>1034</v>
      </c>
      <c r="I3685" s="25" t="n">
        <f aca="false">IFERROR(IF(INDEX(Documents!$C$5:$C$657,MATCH(H3685,Documents!$A$5:$A$657,0))="","",INDEX(Documents!$C$5:$C$657,MATCH(H3685,Documents!$A$5:$A$657,0))),"")</f>
        <v>2013</v>
      </c>
      <c r="J3685" s="25" t="str">
        <f aca="false">IFERROR(IF(INDEX(Documents!$D$5:$D$657,MATCH(H3685,Documents!$A$5:$A$657,0))="","",INDEX(Documents!$D$5:$D$657,MATCH(H3685,Documents!$A$5:$A$657,0))),"")</f>
        <v>J Med Chem</v>
      </c>
      <c r="K3685" s="25" t="str">
        <f aca="false">IFERROR(IF(INDEX(Documents!$G$5:$G$657,MATCH(H3685,Documents!$A$5:$A$657,0))="","",INDEX(Documents!$G$5:$G$657,MATCH(H3685,Documents!$A$5:$A$657,0))),"")</f>
        <v>10.1021/jm401129n</v>
      </c>
      <c r="L3685" s="25" t="s">
        <v>1035</v>
      </c>
    </row>
    <row r="3686" customFormat="false" ht="15" hidden="false" customHeight="false" outlineLevel="0" collapsed="false">
      <c r="A3686" s="25" t="n">
        <v>19180479</v>
      </c>
      <c r="B3686" s="25" t="s">
        <v>7763</v>
      </c>
      <c r="C3686" s="25" t="s">
        <v>7764</v>
      </c>
      <c r="D3686" s="26" t="n">
        <v>5900</v>
      </c>
      <c r="E3686" s="27" t="n">
        <v>5.22914798835786</v>
      </c>
      <c r="F3686" s="27" t="n">
        <v>5.22914798835786</v>
      </c>
      <c r="G3686" s="25" t="s">
        <v>669</v>
      </c>
      <c r="H3686" s="25" t="s">
        <v>670</v>
      </c>
      <c r="I3686" s="25" t="n">
        <f aca="false">IFERROR(IF(INDEX(Documents!$C$5:$C$657,MATCH(H3686,Documents!$A$5:$A$657,0))="","",INDEX(Documents!$C$5:$C$657,MATCH(H3686,Documents!$A$5:$A$657,0))),"")</f>
        <v>2019</v>
      </c>
      <c r="J3686" s="25" t="str">
        <f aca="false">IFERROR(IF(INDEX(Documents!$D$5:$D$657,MATCH(H3686,Documents!$A$5:$A$657,0))="","",INDEX(Documents!$D$5:$D$657,MATCH(H3686,Documents!$A$5:$A$657,0))),"")</f>
        <v>Bioorg Med Chem</v>
      </c>
      <c r="K3686" s="25" t="str">
        <f aca="false">IFERROR(IF(INDEX(Documents!$G$5:$G$657,MATCH(H3686,Documents!$A$5:$A$657,0))="","",INDEX(Documents!$G$5:$G$657,MATCH(H3686,Documents!$A$5:$A$657,0))),"")</f>
        <v>10.1016/j.bmc.2019.07.002</v>
      </c>
      <c r="L3686" s="25" t="s">
        <v>671</v>
      </c>
    </row>
    <row r="3687" customFormat="false" ht="15" hidden="false" customHeight="false" outlineLevel="0" collapsed="false">
      <c r="A3687" s="25" t="n">
        <v>19180477</v>
      </c>
      <c r="B3687" s="25" t="s">
        <v>7765</v>
      </c>
      <c r="C3687" s="25" t="s">
        <v>7766</v>
      </c>
      <c r="D3687" s="26" t="n">
        <v>10000</v>
      </c>
      <c r="E3687" s="27" t="n">
        <v>5</v>
      </c>
      <c r="F3687" s="27" t="n">
        <v>5</v>
      </c>
      <c r="G3687" s="25" t="s">
        <v>669</v>
      </c>
      <c r="H3687" s="25" t="s">
        <v>670</v>
      </c>
      <c r="I3687" s="25" t="n">
        <f aca="false">IFERROR(IF(INDEX(Documents!$C$5:$C$657,MATCH(H3687,Documents!$A$5:$A$657,0))="","",INDEX(Documents!$C$5:$C$657,MATCH(H3687,Documents!$A$5:$A$657,0))),"")</f>
        <v>2019</v>
      </c>
      <c r="J3687" s="25" t="str">
        <f aca="false">IFERROR(IF(INDEX(Documents!$D$5:$D$657,MATCH(H3687,Documents!$A$5:$A$657,0))="","",INDEX(Documents!$D$5:$D$657,MATCH(H3687,Documents!$A$5:$A$657,0))),"")</f>
        <v>Bioorg Med Chem</v>
      </c>
      <c r="K3687" s="25" t="str">
        <f aca="false">IFERROR(IF(INDEX(Documents!$G$5:$G$657,MATCH(H3687,Documents!$A$5:$A$657,0))="","",INDEX(Documents!$G$5:$G$657,MATCH(H3687,Documents!$A$5:$A$657,0))),"")</f>
        <v>10.1016/j.bmc.2019.07.002</v>
      </c>
      <c r="L3687" s="25" t="s">
        <v>671</v>
      </c>
    </row>
    <row r="3688" customFormat="false" ht="15" hidden="false" customHeight="false" outlineLevel="0" collapsed="false">
      <c r="A3688" s="25" t="n">
        <v>19180476</v>
      </c>
      <c r="B3688" s="25" t="s">
        <v>7767</v>
      </c>
      <c r="C3688" s="25" t="s">
        <v>7768</v>
      </c>
      <c r="D3688" s="26" t="n">
        <v>6000</v>
      </c>
      <c r="E3688" s="27" t="n">
        <v>5.22184874961636</v>
      </c>
      <c r="F3688" s="27" t="n">
        <v>5.22184874961636</v>
      </c>
      <c r="G3688" s="25" t="s">
        <v>669</v>
      </c>
      <c r="H3688" s="25" t="s">
        <v>670</v>
      </c>
      <c r="I3688" s="25" t="n">
        <f aca="false">IFERROR(IF(INDEX(Documents!$C$5:$C$657,MATCH(H3688,Documents!$A$5:$A$657,0))="","",INDEX(Documents!$C$5:$C$657,MATCH(H3688,Documents!$A$5:$A$657,0))),"")</f>
        <v>2019</v>
      </c>
      <c r="J3688" s="25" t="str">
        <f aca="false">IFERROR(IF(INDEX(Documents!$D$5:$D$657,MATCH(H3688,Documents!$A$5:$A$657,0))="","",INDEX(Documents!$D$5:$D$657,MATCH(H3688,Documents!$A$5:$A$657,0))),"")</f>
        <v>Bioorg Med Chem</v>
      </c>
      <c r="K3688" s="25" t="str">
        <f aca="false">IFERROR(IF(INDEX(Documents!$G$5:$G$657,MATCH(H3688,Documents!$A$5:$A$657,0))="","",INDEX(Documents!$G$5:$G$657,MATCH(H3688,Documents!$A$5:$A$657,0))),"")</f>
        <v>10.1016/j.bmc.2019.07.002</v>
      </c>
      <c r="L3688" s="25" t="s">
        <v>671</v>
      </c>
    </row>
    <row r="3689" customFormat="false" ht="15" hidden="false" customHeight="false" outlineLevel="0" collapsed="false">
      <c r="A3689" s="25" t="n">
        <v>2355494</v>
      </c>
      <c r="B3689" s="25" t="s">
        <v>7769</v>
      </c>
      <c r="C3689" s="25" t="s">
        <v>7770</v>
      </c>
      <c r="D3689" s="26" t="n">
        <v>74</v>
      </c>
      <c r="E3689" s="27" t="n">
        <v>7.13076828026902</v>
      </c>
      <c r="F3689" s="27" t="n">
        <v>7.13076828026902</v>
      </c>
      <c r="G3689" s="25" t="s">
        <v>773</v>
      </c>
      <c r="H3689" s="25" t="s">
        <v>774</v>
      </c>
      <c r="I3689" s="25" t="n">
        <f aca="false">IFERROR(IF(INDEX(Documents!$C$5:$C$657,MATCH(H3689,Documents!$A$5:$A$657,0))="","",INDEX(Documents!$C$5:$C$657,MATCH(H3689,Documents!$A$5:$A$657,0))),"")</f>
        <v>2008</v>
      </c>
      <c r="J3689" s="25" t="str">
        <f aca="false">IFERROR(IF(INDEX(Documents!$D$5:$D$657,MATCH(H3689,Documents!$A$5:$A$657,0))="","",INDEX(Documents!$D$5:$D$657,MATCH(H3689,Documents!$A$5:$A$657,0))),"")</f>
        <v>Bioorg Med Chem Lett</v>
      </c>
      <c r="K3689" s="25" t="str">
        <f aca="false">IFERROR(IF(INDEX(Documents!$G$5:$G$657,MATCH(H3689,Documents!$A$5:$A$657,0))="","",INDEX(Documents!$G$5:$G$657,MATCH(H3689,Documents!$A$5:$A$657,0))),"")</f>
        <v>10.1016/j.bmcl.2008.04.032</v>
      </c>
      <c r="L3689" s="25" t="s">
        <v>775</v>
      </c>
    </row>
    <row r="3690" customFormat="false" ht="15" hidden="false" customHeight="false" outlineLevel="0" collapsed="false">
      <c r="A3690" s="25" t="n">
        <v>2355493</v>
      </c>
      <c r="B3690" s="25" t="s">
        <v>7771</v>
      </c>
      <c r="C3690" s="25" t="s">
        <v>7772</v>
      </c>
      <c r="D3690" s="26" t="n">
        <v>51</v>
      </c>
      <c r="E3690" s="27" t="n">
        <v>7.29242982390206</v>
      </c>
      <c r="F3690" s="27" t="n">
        <v>7.29242982390206</v>
      </c>
      <c r="G3690" s="25" t="s">
        <v>773</v>
      </c>
      <c r="H3690" s="25" t="s">
        <v>774</v>
      </c>
      <c r="I3690" s="25" t="n">
        <f aca="false">IFERROR(IF(INDEX(Documents!$C$5:$C$657,MATCH(H3690,Documents!$A$5:$A$657,0))="","",INDEX(Documents!$C$5:$C$657,MATCH(H3690,Documents!$A$5:$A$657,0))),"")</f>
        <v>2008</v>
      </c>
      <c r="J3690" s="25" t="str">
        <f aca="false">IFERROR(IF(INDEX(Documents!$D$5:$D$657,MATCH(H3690,Documents!$A$5:$A$657,0))="","",INDEX(Documents!$D$5:$D$657,MATCH(H3690,Documents!$A$5:$A$657,0))),"")</f>
        <v>Bioorg Med Chem Lett</v>
      </c>
      <c r="K3690" s="25" t="str">
        <f aca="false">IFERROR(IF(INDEX(Documents!$G$5:$G$657,MATCH(H3690,Documents!$A$5:$A$657,0))="","",INDEX(Documents!$G$5:$G$657,MATCH(H3690,Documents!$A$5:$A$657,0))),"")</f>
        <v>10.1016/j.bmcl.2008.04.032</v>
      </c>
      <c r="L3690" s="25" t="s">
        <v>775</v>
      </c>
    </row>
    <row r="3691" customFormat="false" ht="15" hidden="false" customHeight="false" outlineLevel="0" collapsed="false">
      <c r="A3691" s="25" t="n">
        <v>16741261</v>
      </c>
      <c r="B3691" s="25" t="s">
        <v>7773</v>
      </c>
      <c r="C3691" s="25" t="s">
        <v>7774</v>
      </c>
      <c r="D3691" s="26" t="n">
        <v>13.3</v>
      </c>
      <c r="E3691" s="27" t="n">
        <v>7.87614835903291</v>
      </c>
      <c r="F3691" s="27" t="n">
        <v>7.87614835903291</v>
      </c>
      <c r="G3691" s="25" t="s">
        <v>1324</v>
      </c>
      <c r="H3691" s="25" t="s">
        <v>1325</v>
      </c>
      <c r="I3691" s="25" t="n">
        <f aca="false">IFERROR(IF(INDEX(Documents!$C$5:$C$657,MATCH(H3691,Documents!$A$5:$A$657,0))="","",INDEX(Documents!$C$5:$C$657,MATCH(H3691,Documents!$A$5:$A$657,0))),"")</f>
        <v>2016</v>
      </c>
      <c r="J3691" s="25" t="str">
        <f aca="false">IFERROR(IF(INDEX(Documents!$D$5:$D$657,MATCH(H3691,Documents!$A$5:$A$657,0))="","",INDEX(Documents!$D$5:$D$657,MATCH(H3691,Documents!$A$5:$A$657,0))),"")</f>
        <v>Eur J Med Chem</v>
      </c>
      <c r="K3691" s="25" t="str">
        <f aca="false">IFERROR(IF(INDEX(Documents!$G$5:$G$657,MATCH(H3691,Documents!$A$5:$A$657,0))="","",INDEX(Documents!$G$5:$G$657,MATCH(H3691,Documents!$A$5:$A$657,0))),"")</f>
        <v>10.1016/j.ejmech.2016.05.011</v>
      </c>
      <c r="L3691" s="25" t="s">
        <v>1326</v>
      </c>
    </row>
    <row r="3692" customFormat="false" ht="15" hidden="false" customHeight="false" outlineLevel="0" collapsed="false">
      <c r="A3692" s="25" t="n">
        <v>18673922</v>
      </c>
      <c r="B3692" s="25" t="s">
        <v>7775</v>
      </c>
      <c r="C3692" s="25" t="s">
        <v>7776</v>
      </c>
      <c r="D3692" s="26" t="n">
        <v>740</v>
      </c>
      <c r="E3692" s="27" t="n">
        <v>6.13076828026902</v>
      </c>
      <c r="F3692" s="27" t="n">
        <v>6.13076828026902</v>
      </c>
      <c r="G3692" s="25" t="s">
        <v>664</v>
      </c>
      <c r="H3692" s="25" t="s">
        <v>665</v>
      </c>
      <c r="I3692" s="25" t="n">
        <f aca="false">IFERROR(IF(INDEX(Documents!$C$5:$C$657,MATCH(H3692,Documents!$A$5:$A$657,0))="","",INDEX(Documents!$C$5:$C$657,MATCH(H3692,Documents!$A$5:$A$657,0))),"")</f>
        <v>2018</v>
      </c>
      <c r="J3692" s="25" t="str">
        <f aca="false">IFERROR(IF(INDEX(Documents!$D$5:$D$657,MATCH(H3692,Documents!$A$5:$A$657,0))="","",INDEX(Documents!$D$5:$D$657,MATCH(H3692,Documents!$A$5:$A$657,0))),"")</f>
        <v>Bioorg Med Chem</v>
      </c>
      <c r="K3692" s="25" t="str">
        <f aca="false">IFERROR(IF(INDEX(Documents!$G$5:$G$657,MATCH(H3692,Documents!$A$5:$A$657,0))="","",INDEX(Documents!$G$5:$G$657,MATCH(H3692,Documents!$A$5:$A$657,0))),"")</f>
        <v>10.1016/j.bmc.2018.07.043</v>
      </c>
      <c r="L3692" s="25" t="s">
        <v>666</v>
      </c>
    </row>
    <row r="3693" customFormat="false" ht="15" hidden="false" customHeight="false" outlineLevel="0" collapsed="false">
      <c r="A3693" s="25" t="n">
        <v>16741262</v>
      </c>
      <c r="B3693" s="25" t="s">
        <v>7777</v>
      </c>
      <c r="C3693" s="25" t="s">
        <v>7778</v>
      </c>
      <c r="D3693" s="26" t="n">
        <v>31.8</v>
      </c>
      <c r="E3693" s="27" t="n">
        <v>7.49757288001557</v>
      </c>
      <c r="F3693" s="27" t="n">
        <v>7.49757288001557</v>
      </c>
      <c r="G3693" s="25" t="s">
        <v>1324</v>
      </c>
      <c r="H3693" s="25" t="s">
        <v>1325</v>
      </c>
      <c r="I3693" s="25" t="n">
        <f aca="false">IFERROR(IF(INDEX(Documents!$C$5:$C$657,MATCH(H3693,Documents!$A$5:$A$657,0))="","",INDEX(Documents!$C$5:$C$657,MATCH(H3693,Documents!$A$5:$A$657,0))),"")</f>
        <v>2016</v>
      </c>
      <c r="J3693" s="25" t="str">
        <f aca="false">IFERROR(IF(INDEX(Documents!$D$5:$D$657,MATCH(H3693,Documents!$A$5:$A$657,0))="","",INDEX(Documents!$D$5:$D$657,MATCH(H3693,Documents!$A$5:$A$657,0))),"")</f>
        <v>Eur J Med Chem</v>
      </c>
      <c r="K3693" s="25" t="str">
        <f aca="false">IFERROR(IF(INDEX(Documents!$G$5:$G$657,MATCH(H3693,Documents!$A$5:$A$657,0))="","",INDEX(Documents!$G$5:$G$657,MATCH(H3693,Documents!$A$5:$A$657,0))),"")</f>
        <v>10.1016/j.ejmech.2016.05.011</v>
      </c>
      <c r="L3693" s="25" t="s">
        <v>1326</v>
      </c>
    </row>
    <row r="3694" customFormat="false" ht="15" hidden="false" customHeight="false" outlineLevel="0" collapsed="false">
      <c r="A3694" s="25" t="n">
        <v>2573087</v>
      </c>
      <c r="B3694" s="25" t="s">
        <v>7779</v>
      </c>
      <c r="C3694" s="25" t="s">
        <v>7780</v>
      </c>
      <c r="D3694" s="26" t="n">
        <v>1400</v>
      </c>
      <c r="E3694" s="27" t="n">
        <v>5.85387196432176</v>
      </c>
      <c r="F3694" s="27" t="n">
        <v>5.85387196432176</v>
      </c>
      <c r="G3694" s="25" t="s">
        <v>674</v>
      </c>
      <c r="H3694" s="25" t="s">
        <v>675</v>
      </c>
      <c r="I3694" s="25" t="n">
        <f aca="false">IFERROR(IF(INDEX(Documents!$C$5:$C$657,MATCH(H3694,Documents!$A$5:$A$657,0))="","",INDEX(Documents!$C$5:$C$657,MATCH(H3694,Documents!$A$5:$A$657,0))),"")</f>
        <v>2008</v>
      </c>
      <c r="J3694" s="25" t="str">
        <f aca="false">IFERROR(IF(INDEX(Documents!$D$5:$D$657,MATCH(H3694,Documents!$A$5:$A$657,0))="","",INDEX(Documents!$D$5:$D$657,MATCH(H3694,Documents!$A$5:$A$657,0))),"")</f>
        <v>Bioorg Med Chem</v>
      </c>
      <c r="K3694" s="25" t="str">
        <f aca="false">IFERROR(IF(INDEX(Documents!$G$5:$G$657,MATCH(H3694,Documents!$A$5:$A$657,0))="","",INDEX(Documents!$G$5:$G$657,MATCH(H3694,Documents!$A$5:$A$657,0))),"")</f>
        <v>10.1016/j.bmc.2008.06.001</v>
      </c>
      <c r="L3694" s="25" t="s">
        <v>676</v>
      </c>
    </row>
    <row r="3695" customFormat="false" ht="15" hidden="false" customHeight="false" outlineLevel="0" collapsed="false">
      <c r="A3695" s="25" t="n">
        <v>2573123</v>
      </c>
      <c r="B3695" s="25" t="s">
        <v>7781</v>
      </c>
      <c r="C3695" s="25" t="s">
        <v>7782</v>
      </c>
      <c r="D3695" s="26" t="n">
        <v>2300</v>
      </c>
      <c r="E3695" s="27" t="n">
        <v>5.63827216398241</v>
      </c>
      <c r="F3695" s="27" t="n">
        <v>5.63827216398241</v>
      </c>
      <c r="G3695" s="25" t="s">
        <v>674</v>
      </c>
      <c r="H3695" s="25" t="s">
        <v>675</v>
      </c>
      <c r="I3695" s="25" t="n">
        <f aca="false">IFERROR(IF(INDEX(Documents!$C$5:$C$657,MATCH(H3695,Documents!$A$5:$A$657,0))="","",INDEX(Documents!$C$5:$C$657,MATCH(H3695,Documents!$A$5:$A$657,0))),"")</f>
        <v>2008</v>
      </c>
      <c r="J3695" s="25" t="str">
        <f aca="false">IFERROR(IF(INDEX(Documents!$D$5:$D$657,MATCH(H3695,Documents!$A$5:$A$657,0))="","",INDEX(Documents!$D$5:$D$657,MATCH(H3695,Documents!$A$5:$A$657,0))),"")</f>
        <v>Bioorg Med Chem</v>
      </c>
      <c r="K3695" s="25" t="str">
        <f aca="false">IFERROR(IF(INDEX(Documents!$G$5:$G$657,MATCH(H3695,Documents!$A$5:$A$657,0))="","",INDEX(Documents!$G$5:$G$657,MATCH(H3695,Documents!$A$5:$A$657,0))),"")</f>
        <v>10.1016/j.bmc.2008.06.001</v>
      </c>
      <c r="L3695" s="25" t="s">
        <v>676</v>
      </c>
    </row>
    <row r="3696" customFormat="false" ht="15" hidden="false" customHeight="false" outlineLevel="0" collapsed="false">
      <c r="A3696" s="25" t="n">
        <v>2573117</v>
      </c>
      <c r="B3696" s="25" t="s">
        <v>7783</v>
      </c>
      <c r="C3696" s="25" t="s">
        <v>7784</v>
      </c>
      <c r="D3696" s="26" t="n">
        <v>1100</v>
      </c>
      <c r="E3696" s="27" t="n">
        <v>5.95860731484178</v>
      </c>
      <c r="F3696" s="27" t="n">
        <v>5.95860731484178</v>
      </c>
      <c r="G3696" s="25" t="s">
        <v>674</v>
      </c>
      <c r="H3696" s="25" t="s">
        <v>675</v>
      </c>
      <c r="I3696" s="25" t="n">
        <f aca="false">IFERROR(IF(INDEX(Documents!$C$5:$C$657,MATCH(H3696,Documents!$A$5:$A$657,0))="","",INDEX(Documents!$C$5:$C$657,MATCH(H3696,Documents!$A$5:$A$657,0))),"")</f>
        <v>2008</v>
      </c>
      <c r="J3696" s="25" t="str">
        <f aca="false">IFERROR(IF(INDEX(Documents!$D$5:$D$657,MATCH(H3696,Documents!$A$5:$A$657,0))="","",INDEX(Documents!$D$5:$D$657,MATCH(H3696,Documents!$A$5:$A$657,0))),"")</f>
        <v>Bioorg Med Chem</v>
      </c>
      <c r="K3696" s="25" t="str">
        <f aca="false">IFERROR(IF(INDEX(Documents!$G$5:$G$657,MATCH(H3696,Documents!$A$5:$A$657,0))="","",INDEX(Documents!$G$5:$G$657,MATCH(H3696,Documents!$A$5:$A$657,0))),"")</f>
        <v>10.1016/j.bmc.2008.06.001</v>
      </c>
      <c r="L3696" s="25" t="s">
        <v>676</v>
      </c>
    </row>
    <row r="3697" customFormat="false" ht="15" hidden="false" customHeight="false" outlineLevel="0" collapsed="false">
      <c r="A3697" s="25" t="n">
        <v>2573118</v>
      </c>
      <c r="B3697" s="25" t="s">
        <v>7785</v>
      </c>
      <c r="C3697" s="25" t="s">
        <v>7786</v>
      </c>
      <c r="D3697" s="26" t="n">
        <v>790</v>
      </c>
      <c r="E3697" s="27" t="n">
        <v>6.10237290870956</v>
      </c>
      <c r="F3697" s="27" t="n">
        <v>6.10237290870956</v>
      </c>
      <c r="G3697" s="25" t="s">
        <v>674</v>
      </c>
      <c r="H3697" s="25" t="s">
        <v>675</v>
      </c>
      <c r="I3697" s="25" t="n">
        <f aca="false">IFERROR(IF(INDEX(Documents!$C$5:$C$657,MATCH(H3697,Documents!$A$5:$A$657,0))="","",INDEX(Documents!$C$5:$C$657,MATCH(H3697,Documents!$A$5:$A$657,0))),"")</f>
        <v>2008</v>
      </c>
      <c r="J3697" s="25" t="str">
        <f aca="false">IFERROR(IF(INDEX(Documents!$D$5:$D$657,MATCH(H3697,Documents!$A$5:$A$657,0))="","",INDEX(Documents!$D$5:$D$657,MATCH(H3697,Documents!$A$5:$A$657,0))),"")</f>
        <v>Bioorg Med Chem</v>
      </c>
      <c r="K3697" s="25" t="str">
        <f aca="false">IFERROR(IF(INDEX(Documents!$G$5:$G$657,MATCH(H3697,Documents!$A$5:$A$657,0))="","",INDEX(Documents!$G$5:$G$657,MATCH(H3697,Documents!$A$5:$A$657,0))),"")</f>
        <v>10.1016/j.bmc.2008.06.001</v>
      </c>
      <c r="L3697" s="25" t="s">
        <v>676</v>
      </c>
    </row>
    <row r="3698" customFormat="false" ht="15" hidden="false" customHeight="false" outlineLevel="0" collapsed="false">
      <c r="A3698" s="25" t="n">
        <v>2573125</v>
      </c>
      <c r="B3698" s="25" t="s">
        <v>7787</v>
      </c>
      <c r="C3698" s="25" t="s">
        <v>7788</v>
      </c>
      <c r="D3698" s="26" t="n">
        <v>7900</v>
      </c>
      <c r="E3698" s="27" t="n">
        <v>5.10237290870956</v>
      </c>
      <c r="F3698" s="27" t="n">
        <v>5.10237290870956</v>
      </c>
      <c r="G3698" s="25" t="s">
        <v>674</v>
      </c>
      <c r="H3698" s="25" t="s">
        <v>675</v>
      </c>
      <c r="I3698" s="25" t="n">
        <f aca="false">IFERROR(IF(INDEX(Documents!$C$5:$C$657,MATCH(H3698,Documents!$A$5:$A$657,0))="","",INDEX(Documents!$C$5:$C$657,MATCH(H3698,Documents!$A$5:$A$657,0))),"")</f>
        <v>2008</v>
      </c>
      <c r="J3698" s="25" t="str">
        <f aca="false">IFERROR(IF(INDEX(Documents!$D$5:$D$657,MATCH(H3698,Documents!$A$5:$A$657,0))="","",INDEX(Documents!$D$5:$D$657,MATCH(H3698,Documents!$A$5:$A$657,0))),"")</f>
        <v>Bioorg Med Chem</v>
      </c>
      <c r="K3698" s="25" t="str">
        <f aca="false">IFERROR(IF(INDEX(Documents!$G$5:$G$657,MATCH(H3698,Documents!$A$5:$A$657,0))="","",INDEX(Documents!$G$5:$G$657,MATCH(H3698,Documents!$A$5:$A$657,0))),"")</f>
        <v>10.1016/j.bmc.2008.06.001</v>
      </c>
      <c r="L3698" s="25" t="s">
        <v>676</v>
      </c>
    </row>
    <row r="3699" customFormat="false" ht="15" hidden="false" customHeight="false" outlineLevel="0" collapsed="false">
      <c r="A3699" s="25" t="n">
        <v>2573113</v>
      </c>
      <c r="B3699" s="25" t="s">
        <v>7789</v>
      </c>
      <c r="C3699" s="25" t="s">
        <v>7790</v>
      </c>
      <c r="D3699" s="26" t="n">
        <v>1800</v>
      </c>
      <c r="E3699" s="27" t="n">
        <v>5.74472749489669</v>
      </c>
      <c r="F3699" s="27" t="n">
        <v>5.74472749489669</v>
      </c>
      <c r="G3699" s="25" t="s">
        <v>674</v>
      </c>
      <c r="H3699" s="25" t="s">
        <v>675</v>
      </c>
      <c r="I3699" s="25" t="n">
        <f aca="false">IFERROR(IF(INDEX(Documents!$C$5:$C$657,MATCH(H3699,Documents!$A$5:$A$657,0))="","",INDEX(Documents!$C$5:$C$657,MATCH(H3699,Documents!$A$5:$A$657,0))),"")</f>
        <v>2008</v>
      </c>
      <c r="J3699" s="25" t="str">
        <f aca="false">IFERROR(IF(INDEX(Documents!$D$5:$D$657,MATCH(H3699,Documents!$A$5:$A$657,0))="","",INDEX(Documents!$D$5:$D$657,MATCH(H3699,Documents!$A$5:$A$657,0))),"")</f>
        <v>Bioorg Med Chem</v>
      </c>
      <c r="K3699" s="25" t="str">
        <f aca="false">IFERROR(IF(INDEX(Documents!$G$5:$G$657,MATCH(H3699,Documents!$A$5:$A$657,0))="","",INDEX(Documents!$G$5:$G$657,MATCH(H3699,Documents!$A$5:$A$657,0))),"")</f>
        <v>10.1016/j.bmc.2008.06.001</v>
      </c>
      <c r="L3699" s="25" t="s">
        <v>676</v>
      </c>
    </row>
    <row r="3700" customFormat="false" ht="15" hidden="false" customHeight="false" outlineLevel="0" collapsed="false">
      <c r="A3700" s="25" t="n">
        <v>2573114</v>
      </c>
      <c r="B3700" s="25" t="s">
        <v>7791</v>
      </c>
      <c r="C3700" s="25" t="s">
        <v>7792</v>
      </c>
      <c r="D3700" s="26" t="n">
        <v>2400</v>
      </c>
      <c r="E3700" s="27" t="n">
        <v>5.61978875828839</v>
      </c>
      <c r="F3700" s="27" t="n">
        <v>5.61978875828839</v>
      </c>
      <c r="G3700" s="25" t="s">
        <v>674</v>
      </c>
      <c r="H3700" s="25" t="s">
        <v>675</v>
      </c>
      <c r="I3700" s="25" t="n">
        <f aca="false">IFERROR(IF(INDEX(Documents!$C$5:$C$657,MATCH(H3700,Documents!$A$5:$A$657,0))="","",INDEX(Documents!$C$5:$C$657,MATCH(H3700,Documents!$A$5:$A$657,0))),"")</f>
        <v>2008</v>
      </c>
      <c r="J3700" s="25" t="str">
        <f aca="false">IFERROR(IF(INDEX(Documents!$D$5:$D$657,MATCH(H3700,Documents!$A$5:$A$657,0))="","",INDEX(Documents!$D$5:$D$657,MATCH(H3700,Documents!$A$5:$A$657,0))),"")</f>
        <v>Bioorg Med Chem</v>
      </c>
      <c r="K3700" s="25" t="str">
        <f aca="false">IFERROR(IF(INDEX(Documents!$G$5:$G$657,MATCH(H3700,Documents!$A$5:$A$657,0))="","",INDEX(Documents!$G$5:$G$657,MATCH(H3700,Documents!$A$5:$A$657,0))),"")</f>
        <v>10.1016/j.bmc.2008.06.001</v>
      </c>
      <c r="L3700" s="25" t="s">
        <v>676</v>
      </c>
    </row>
    <row r="3701" customFormat="false" ht="15" hidden="false" customHeight="false" outlineLevel="0" collapsed="false">
      <c r="A3701" s="25" t="n">
        <v>10848315</v>
      </c>
      <c r="B3701" s="25" t="s">
        <v>7793</v>
      </c>
      <c r="C3701" s="25" t="s">
        <v>7794</v>
      </c>
      <c r="D3701" s="26" t="n">
        <v>19.95</v>
      </c>
      <c r="E3701" s="27" t="n">
        <v>7.70005709997723</v>
      </c>
      <c r="F3701" s="27" t="n">
        <v>7.70005709997723</v>
      </c>
      <c r="G3701" s="25" t="s">
        <v>6036</v>
      </c>
      <c r="H3701" s="25" t="s">
        <v>6037</v>
      </c>
      <c r="I3701" s="25" t="n">
        <f aca="false">IFERROR(IF(INDEX(Documents!$C$5:$C$657,MATCH(H3701,Documents!$A$5:$A$657,0))="","",INDEX(Documents!$C$5:$C$657,MATCH(H3701,Documents!$A$5:$A$657,0))),"")</f>
        <v>2012</v>
      </c>
      <c r="J3701" s="25" t="str">
        <f aca="false">IFERROR(IF(INDEX(Documents!$D$5:$D$657,MATCH(H3701,Documents!$A$5:$A$657,0))="","",INDEX(Documents!$D$5:$D$657,MATCH(H3701,Documents!$A$5:$A$657,0))),"")</f>
        <v>Bioorg Med Chem Lett</v>
      </c>
      <c r="K3701" s="25" t="str">
        <f aca="false">IFERROR(IF(INDEX(Documents!$G$5:$G$657,MATCH(H3701,Documents!$A$5:$A$657,0))="","",INDEX(Documents!$G$5:$G$657,MATCH(H3701,Documents!$A$5:$A$657,0))),"")</f>
        <v>10.1016/j.bmcl.2012.02.048</v>
      </c>
      <c r="L3701" s="25" t="s">
        <v>6038</v>
      </c>
    </row>
    <row r="3702" customFormat="false" ht="15" hidden="false" customHeight="false" outlineLevel="0" collapsed="false">
      <c r="A3702" s="25" t="n">
        <v>10848313</v>
      </c>
      <c r="B3702" s="25" t="s">
        <v>7795</v>
      </c>
      <c r="C3702" s="25" t="s">
        <v>7796</v>
      </c>
      <c r="D3702" s="26" t="n">
        <v>19.95</v>
      </c>
      <c r="E3702" s="27" t="n">
        <v>7.70005709997723</v>
      </c>
      <c r="F3702" s="27" t="n">
        <v>7.70005709997723</v>
      </c>
      <c r="G3702" s="25" t="s">
        <v>6036</v>
      </c>
      <c r="H3702" s="25" t="s">
        <v>6037</v>
      </c>
      <c r="I3702" s="25" t="n">
        <f aca="false">IFERROR(IF(INDEX(Documents!$C$5:$C$657,MATCH(H3702,Documents!$A$5:$A$657,0))="","",INDEX(Documents!$C$5:$C$657,MATCH(H3702,Documents!$A$5:$A$657,0))),"")</f>
        <v>2012</v>
      </c>
      <c r="J3702" s="25" t="str">
        <f aca="false">IFERROR(IF(INDEX(Documents!$D$5:$D$657,MATCH(H3702,Documents!$A$5:$A$657,0))="","",INDEX(Documents!$D$5:$D$657,MATCH(H3702,Documents!$A$5:$A$657,0))),"")</f>
        <v>Bioorg Med Chem Lett</v>
      </c>
      <c r="K3702" s="25" t="str">
        <f aca="false">IFERROR(IF(INDEX(Documents!$G$5:$G$657,MATCH(H3702,Documents!$A$5:$A$657,0))="","",INDEX(Documents!$G$5:$G$657,MATCH(H3702,Documents!$A$5:$A$657,0))),"")</f>
        <v>10.1016/j.bmcl.2012.02.048</v>
      </c>
      <c r="L3702" s="25" t="s">
        <v>6038</v>
      </c>
    </row>
    <row r="3703" customFormat="false" ht="15" hidden="false" customHeight="false" outlineLevel="0" collapsed="false">
      <c r="A3703" s="25" t="n">
        <v>2622750</v>
      </c>
      <c r="B3703" s="25" t="s">
        <v>7797</v>
      </c>
      <c r="C3703" s="25" t="s">
        <v>7798</v>
      </c>
      <c r="D3703" s="26" t="n">
        <v>69.8</v>
      </c>
      <c r="E3703" s="27" t="n">
        <v>7.15614457737684</v>
      </c>
      <c r="F3703" s="27" t="n">
        <v>7.15614457737684</v>
      </c>
      <c r="G3703" s="25" t="s">
        <v>1707</v>
      </c>
      <c r="H3703" s="25" t="s">
        <v>1708</v>
      </c>
      <c r="I3703" s="25" t="n">
        <f aca="false">IFERROR(IF(INDEX(Documents!$C$5:$C$657,MATCH(H3703,Documents!$A$5:$A$657,0))="","",INDEX(Documents!$C$5:$C$657,MATCH(H3703,Documents!$A$5:$A$657,0))),"")</f>
        <v>2009</v>
      </c>
      <c r="J3703" s="25" t="str">
        <f aca="false">IFERROR(IF(INDEX(Documents!$D$5:$D$657,MATCH(H3703,Documents!$A$5:$A$657,0))="","",INDEX(Documents!$D$5:$D$657,MATCH(H3703,Documents!$A$5:$A$657,0))),"")</f>
        <v>J Med Chem</v>
      </c>
      <c r="K3703" s="25" t="str">
        <f aca="false">IFERROR(IF(INDEX(Documents!$G$5:$G$657,MATCH(H3703,Documents!$A$5:$A$657,0))="","",INDEX(Documents!$G$5:$G$657,MATCH(H3703,Documents!$A$5:$A$657,0))),"")</f>
        <v>10.1021/jm801563d</v>
      </c>
      <c r="L3703" s="25" t="s">
        <v>601</v>
      </c>
    </row>
    <row r="3704" customFormat="false" ht="15" hidden="false" customHeight="false" outlineLevel="0" collapsed="false">
      <c r="A3704" s="25" t="n">
        <v>16741338</v>
      </c>
      <c r="B3704" s="25" t="s">
        <v>7799</v>
      </c>
      <c r="C3704" s="25" t="s">
        <v>7800</v>
      </c>
      <c r="D3704" s="26" t="n">
        <v>52.1</v>
      </c>
      <c r="E3704" s="27" t="n">
        <v>7.28316227670048</v>
      </c>
      <c r="F3704" s="27" t="n">
        <v>7.28316227670048</v>
      </c>
      <c r="G3704" s="25" t="s">
        <v>1324</v>
      </c>
      <c r="H3704" s="25" t="s">
        <v>1325</v>
      </c>
      <c r="I3704" s="25" t="n">
        <f aca="false">IFERROR(IF(INDEX(Documents!$C$5:$C$657,MATCH(H3704,Documents!$A$5:$A$657,0))="","",INDEX(Documents!$C$5:$C$657,MATCH(H3704,Documents!$A$5:$A$657,0))),"")</f>
        <v>2016</v>
      </c>
      <c r="J3704" s="25" t="str">
        <f aca="false">IFERROR(IF(INDEX(Documents!$D$5:$D$657,MATCH(H3704,Documents!$A$5:$A$657,0))="","",INDEX(Documents!$D$5:$D$657,MATCH(H3704,Documents!$A$5:$A$657,0))),"")</f>
        <v>Eur J Med Chem</v>
      </c>
      <c r="K3704" s="25" t="str">
        <f aca="false">IFERROR(IF(INDEX(Documents!$G$5:$G$657,MATCH(H3704,Documents!$A$5:$A$657,0))="","",INDEX(Documents!$G$5:$G$657,MATCH(H3704,Documents!$A$5:$A$657,0))),"")</f>
        <v>10.1016/j.ejmech.2016.05.011</v>
      </c>
      <c r="L3704" s="25" t="s">
        <v>1326</v>
      </c>
    </row>
    <row r="3705" customFormat="false" ht="15" hidden="false" customHeight="false" outlineLevel="0" collapsed="false">
      <c r="A3705" s="25" t="n">
        <v>3111435</v>
      </c>
      <c r="B3705" s="25" t="s">
        <v>7801</v>
      </c>
      <c r="C3705" s="25" t="s">
        <v>7802</v>
      </c>
      <c r="D3705" s="26" t="n">
        <v>1846</v>
      </c>
      <c r="E3705" s="27" t="n">
        <v>5.73376830331011</v>
      </c>
      <c r="F3705" s="27" t="n">
        <v>5.73376830331011</v>
      </c>
      <c r="G3705" s="25" t="s">
        <v>1040</v>
      </c>
      <c r="H3705" s="25" t="s">
        <v>1041</v>
      </c>
      <c r="I3705" s="25" t="n">
        <f aca="false">IFERROR(IF(INDEX(Documents!$C$5:$C$657,MATCH(H3705,Documents!$A$5:$A$657,0))="","",INDEX(Documents!$C$5:$C$657,MATCH(H3705,Documents!$A$5:$A$657,0))),"")</f>
        <v>2010</v>
      </c>
      <c r="J3705" s="25" t="str">
        <f aca="false">IFERROR(IF(INDEX(Documents!$D$5:$D$657,MATCH(H3705,Documents!$A$5:$A$657,0))="","",INDEX(Documents!$D$5:$D$657,MATCH(H3705,Documents!$A$5:$A$657,0))),"")</f>
        <v>Bioorg Med Chem Lett</v>
      </c>
      <c r="K3705" s="25" t="str">
        <f aca="false">IFERROR(IF(INDEX(Documents!$G$5:$G$657,MATCH(H3705,Documents!$A$5:$A$657,0))="","",INDEX(Documents!$G$5:$G$657,MATCH(H3705,Documents!$A$5:$A$657,0))),"")</f>
        <v>10.1016/j.bmcl.2009.11.075</v>
      </c>
      <c r="L3705" s="25" t="s">
        <v>515</v>
      </c>
    </row>
    <row r="3706" customFormat="false" ht="15" hidden="false" customHeight="false" outlineLevel="0" collapsed="false">
      <c r="A3706" s="25" t="n">
        <v>2525269</v>
      </c>
      <c r="B3706" s="25" t="s">
        <v>7803</v>
      </c>
      <c r="C3706" s="25" t="s">
        <v>7804</v>
      </c>
      <c r="D3706" s="26" t="n">
        <v>1258.93</v>
      </c>
      <c r="E3706" s="27" t="n">
        <v>5.89999841719865</v>
      </c>
      <c r="F3706" s="27" t="n">
        <v>5.89999841719865</v>
      </c>
      <c r="G3706" s="25" t="s">
        <v>4049</v>
      </c>
      <c r="H3706" s="25" t="s">
        <v>4050</v>
      </c>
      <c r="I3706" s="25" t="n">
        <f aca="false">IFERROR(IF(INDEX(Documents!$C$5:$C$657,MATCH(H3706,Documents!$A$5:$A$657,0))="","",INDEX(Documents!$C$5:$C$657,MATCH(H3706,Documents!$A$5:$A$657,0))),"")</f>
        <v>2009</v>
      </c>
      <c r="J3706" s="25" t="str">
        <f aca="false">IFERROR(IF(INDEX(Documents!$D$5:$D$657,MATCH(H3706,Documents!$A$5:$A$657,0))="","",INDEX(Documents!$D$5:$D$657,MATCH(H3706,Documents!$A$5:$A$657,0))),"")</f>
        <v>J Med Chem</v>
      </c>
      <c r="K3706" s="25" t="str">
        <f aca="false">IFERROR(IF(INDEX(Documents!$G$5:$G$657,MATCH(H3706,Documents!$A$5:$A$657,0))="","",INDEX(Documents!$G$5:$G$657,MATCH(H3706,Documents!$A$5:$A$657,0))),"")</f>
        <v>10.1021/jm801534c</v>
      </c>
      <c r="L3706" s="25" t="s">
        <v>4051</v>
      </c>
    </row>
    <row r="3707" customFormat="false" ht="15" hidden="false" customHeight="false" outlineLevel="0" collapsed="false">
      <c r="A3707" s="25" t="n">
        <v>13330405</v>
      </c>
      <c r="B3707" s="25" t="s">
        <v>7805</v>
      </c>
      <c r="C3707" s="25" t="s">
        <v>7806</v>
      </c>
      <c r="D3707" s="26" t="n">
        <v>209</v>
      </c>
      <c r="E3707" s="27" t="n">
        <v>6.67985371388895</v>
      </c>
      <c r="F3707" s="27" t="n">
        <v>6.67985371388895</v>
      </c>
      <c r="G3707" s="25" t="s">
        <v>1055</v>
      </c>
      <c r="H3707" s="25" t="s">
        <v>1056</v>
      </c>
      <c r="I3707" s="25" t="n">
        <f aca="false">IFERROR(IF(INDEX(Documents!$C$5:$C$657,MATCH(H3707,Documents!$A$5:$A$657,0))="","",INDEX(Documents!$C$5:$C$657,MATCH(H3707,Documents!$A$5:$A$657,0))),"")</f>
        <v>2013</v>
      </c>
      <c r="J3707" s="25" t="str">
        <f aca="false">IFERROR(IF(INDEX(Documents!$D$5:$D$657,MATCH(H3707,Documents!$A$5:$A$657,0))="","",INDEX(Documents!$D$5:$D$657,MATCH(H3707,Documents!$A$5:$A$657,0))),"")</f>
        <v>Bioorg Med Chem</v>
      </c>
      <c r="K3707" s="25" t="str">
        <f aca="false">IFERROR(IF(INDEX(Documents!$G$5:$G$657,MATCH(H3707,Documents!$A$5:$A$657,0))="","",INDEX(Documents!$G$5:$G$657,MATCH(H3707,Documents!$A$5:$A$657,0))),"")</f>
        <v>10.1016/j.bmc.2013.03.030</v>
      </c>
      <c r="L3707" s="25" t="s">
        <v>1057</v>
      </c>
    </row>
    <row r="3708" customFormat="false" ht="15" hidden="false" customHeight="false" outlineLevel="0" collapsed="false">
      <c r="A3708" s="25" t="n">
        <v>2167479</v>
      </c>
      <c r="B3708" s="25" t="s">
        <v>7807</v>
      </c>
      <c r="C3708" s="25" t="s">
        <v>7808</v>
      </c>
      <c r="D3708" s="26" t="n">
        <v>360</v>
      </c>
      <c r="E3708" s="27" t="n">
        <v>6.44369749923271</v>
      </c>
      <c r="F3708" s="27" t="n">
        <v>6.44369749923271</v>
      </c>
      <c r="G3708" s="25" t="s">
        <v>707</v>
      </c>
      <c r="H3708" s="25" t="s">
        <v>708</v>
      </c>
      <c r="I3708" s="25" t="n">
        <f aca="false">IFERROR(IF(INDEX(Documents!$C$5:$C$657,MATCH(H3708,Documents!$A$5:$A$657,0))="","",INDEX(Documents!$C$5:$C$657,MATCH(H3708,Documents!$A$5:$A$657,0))),"")</f>
        <v>2008</v>
      </c>
      <c r="J3708" s="25" t="str">
        <f aca="false">IFERROR(IF(INDEX(Documents!$D$5:$D$657,MATCH(H3708,Documents!$A$5:$A$657,0))="","",INDEX(Documents!$D$5:$D$657,MATCH(H3708,Documents!$A$5:$A$657,0))),"")</f>
        <v>Bioorg Med Chem Lett</v>
      </c>
      <c r="K3708" s="25" t="str">
        <f aca="false">IFERROR(IF(INDEX(Documents!$G$5:$G$657,MATCH(H3708,Documents!$A$5:$A$657,0))="","",INDEX(Documents!$G$5:$G$657,MATCH(H3708,Documents!$A$5:$A$657,0))),"")</f>
        <v>10.1016/j.bmcl.2008.04.006</v>
      </c>
      <c r="L3708" s="25" t="s">
        <v>709</v>
      </c>
    </row>
    <row r="3709" customFormat="false" ht="15" hidden="false" customHeight="false" outlineLevel="0" collapsed="false">
      <c r="A3709" s="25" t="n">
        <v>2601295</v>
      </c>
      <c r="B3709" s="25" t="s">
        <v>7809</v>
      </c>
      <c r="C3709" s="25" t="s">
        <v>7810</v>
      </c>
      <c r="D3709" s="26" t="n">
        <v>800</v>
      </c>
      <c r="E3709" s="27" t="n">
        <v>6.09691001300806</v>
      </c>
      <c r="F3709" s="27" t="n">
        <v>6.09691001300806</v>
      </c>
      <c r="G3709" s="25" t="s">
        <v>6822</v>
      </c>
      <c r="H3709" s="25" t="s">
        <v>6823</v>
      </c>
      <c r="I3709" s="25" t="n">
        <f aca="false">IFERROR(IF(INDEX(Documents!$C$5:$C$657,MATCH(H3709,Documents!$A$5:$A$657,0))="","",INDEX(Documents!$C$5:$C$657,MATCH(H3709,Documents!$A$5:$A$657,0))),"")</f>
        <v>2009</v>
      </c>
      <c r="J3709" s="25" t="str">
        <f aca="false">IFERROR(IF(INDEX(Documents!$D$5:$D$657,MATCH(H3709,Documents!$A$5:$A$657,0))="","",INDEX(Documents!$D$5:$D$657,MATCH(H3709,Documents!$A$5:$A$657,0))),"")</f>
        <v>Bioorg Med Chem Lett</v>
      </c>
      <c r="K3709" s="25" t="str">
        <f aca="false">IFERROR(IF(INDEX(Documents!$G$5:$G$657,MATCH(H3709,Documents!$A$5:$A$657,0))="","",INDEX(Documents!$G$5:$G$657,MATCH(H3709,Documents!$A$5:$A$657,0))),"")</f>
        <v>10.1016/j.bmcl.2008.11.091</v>
      </c>
      <c r="L3709" s="25" t="s">
        <v>6824</v>
      </c>
    </row>
    <row r="3710" customFormat="false" ht="15" hidden="false" customHeight="false" outlineLevel="0" collapsed="false">
      <c r="A3710" s="25" t="n">
        <v>25876189</v>
      </c>
      <c r="B3710" s="25" t="s">
        <v>7811</v>
      </c>
      <c r="C3710" s="25" t="s">
        <v>7812</v>
      </c>
      <c r="D3710" s="26" t="n">
        <v>706</v>
      </c>
      <c r="E3710" s="27" t="n">
        <v>6.1511952989482</v>
      </c>
      <c r="F3710" s="27" t="n">
        <v>6.1511952989482</v>
      </c>
      <c r="G3710" s="25" t="s">
        <v>648</v>
      </c>
      <c r="H3710" s="25" t="s">
        <v>649</v>
      </c>
      <c r="I3710" s="25" t="n">
        <f aca="false">IFERROR(IF(INDEX(Documents!$C$5:$C$657,MATCH(H3710,Documents!$A$5:$A$657,0))="","",INDEX(Documents!$C$5:$C$657,MATCH(H3710,Documents!$A$5:$A$657,0))),"")</f>
        <v>2024</v>
      </c>
      <c r="J3710" s="25" t="str">
        <f aca="false">IFERROR(IF(INDEX(Documents!$D$5:$D$657,MATCH(H3710,Documents!$A$5:$A$657,0))="","",INDEX(Documents!$D$5:$D$657,MATCH(H3710,Documents!$A$5:$A$657,0))),"")</f>
        <v>Eur J Med Chem</v>
      </c>
      <c r="K3710" s="25" t="str">
        <f aca="false">IFERROR(IF(INDEX(Documents!$G$5:$G$657,MATCH(H3710,Documents!$A$5:$A$657,0))="","",INDEX(Documents!$G$5:$G$657,MATCH(H3710,Documents!$A$5:$A$657,0))),"")</f>
        <v>10.1016/j.ejmech.2024.116298</v>
      </c>
      <c r="L3710" s="25" t="s">
        <v>650</v>
      </c>
    </row>
    <row r="3711" customFormat="false" ht="15" hidden="false" customHeight="false" outlineLevel="0" collapsed="false">
      <c r="A3711" s="25" t="n">
        <v>2167480</v>
      </c>
      <c r="B3711" s="25" t="s">
        <v>7813</v>
      </c>
      <c r="C3711" s="25" t="s">
        <v>7814</v>
      </c>
      <c r="D3711" s="26" t="n">
        <v>320</v>
      </c>
      <c r="E3711" s="27" t="n">
        <v>6.49485002168009</v>
      </c>
      <c r="F3711" s="27" t="n">
        <v>6.49485002168009</v>
      </c>
      <c r="G3711" s="25" t="s">
        <v>707</v>
      </c>
      <c r="H3711" s="25" t="s">
        <v>708</v>
      </c>
      <c r="I3711" s="25" t="n">
        <f aca="false">IFERROR(IF(INDEX(Documents!$C$5:$C$657,MATCH(H3711,Documents!$A$5:$A$657,0))="","",INDEX(Documents!$C$5:$C$657,MATCH(H3711,Documents!$A$5:$A$657,0))),"")</f>
        <v>2008</v>
      </c>
      <c r="J3711" s="25" t="str">
        <f aca="false">IFERROR(IF(INDEX(Documents!$D$5:$D$657,MATCH(H3711,Documents!$A$5:$A$657,0))="","",INDEX(Documents!$D$5:$D$657,MATCH(H3711,Documents!$A$5:$A$657,0))),"")</f>
        <v>Bioorg Med Chem Lett</v>
      </c>
      <c r="K3711" s="25" t="str">
        <f aca="false">IFERROR(IF(INDEX(Documents!$G$5:$G$657,MATCH(H3711,Documents!$A$5:$A$657,0))="","",INDEX(Documents!$G$5:$G$657,MATCH(H3711,Documents!$A$5:$A$657,0))),"")</f>
        <v>10.1016/j.bmcl.2008.04.006</v>
      </c>
      <c r="L3711" s="25" t="s">
        <v>709</v>
      </c>
    </row>
    <row r="3712" customFormat="false" ht="15" hidden="false" customHeight="false" outlineLevel="0" collapsed="false">
      <c r="A3712" s="25" t="n">
        <v>25876203</v>
      </c>
      <c r="B3712" s="25" t="s">
        <v>7815</v>
      </c>
      <c r="C3712" s="25" t="s">
        <v>7816</v>
      </c>
      <c r="D3712" s="26" t="n">
        <v>230</v>
      </c>
      <c r="E3712" s="27" t="n">
        <v>6.63827216398241</v>
      </c>
      <c r="F3712" s="27" t="n">
        <v>6.63827216398241</v>
      </c>
      <c r="G3712" s="25" t="s">
        <v>648</v>
      </c>
      <c r="H3712" s="25" t="s">
        <v>649</v>
      </c>
      <c r="I3712" s="25" t="n">
        <f aca="false">IFERROR(IF(INDEX(Documents!$C$5:$C$657,MATCH(H3712,Documents!$A$5:$A$657,0))="","",INDEX(Documents!$C$5:$C$657,MATCH(H3712,Documents!$A$5:$A$657,0))),"")</f>
        <v>2024</v>
      </c>
      <c r="J3712" s="25" t="str">
        <f aca="false">IFERROR(IF(INDEX(Documents!$D$5:$D$657,MATCH(H3712,Documents!$A$5:$A$657,0))="","",INDEX(Documents!$D$5:$D$657,MATCH(H3712,Documents!$A$5:$A$657,0))),"")</f>
        <v>Eur J Med Chem</v>
      </c>
      <c r="K3712" s="25" t="str">
        <f aca="false">IFERROR(IF(INDEX(Documents!$G$5:$G$657,MATCH(H3712,Documents!$A$5:$A$657,0))="","",INDEX(Documents!$G$5:$G$657,MATCH(H3712,Documents!$A$5:$A$657,0))),"")</f>
        <v>10.1016/j.ejmech.2024.116298</v>
      </c>
      <c r="L3712" s="25" t="s">
        <v>650</v>
      </c>
    </row>
    <row r="3713" customFormat="false" ht="15" hidden="false" customHeight="false" outlineLevel="0" collapsed="false">
      <c r="A3713" s="25" t="n">
        <v>16741265</v>
      </c>
      <c r="B3713" s="25" t="s">
        <v>7817</v>
      </c>
      <c r="C3713" s="25" t="s">
        <v>7818</v>
      </c>
      <c r="D3713" s="26" t="n">
        <v>182</v>
      </c>
      <c r="E3713" s="27" t="n">
        <v>6.73992861201493</v>
      </c>
      <c r="F3713" s="27" t="n">
        <v>6.73992861201493</v>
      </c>
      <c r="G3713" s="25" t="s">
        <v>1324</v>
      </c>
      <c r="H3713" s="25" t="s">
        <v>1325</v>
      </c>
      <c r="I3713" s="25" t="n">
        <f aca="false">IFERROR(IF(INDEX(Documents!$C$5:$C$657,MATCH(H3713,Documents!$A$5:$A$657,0))="","",INDEX(Documents!$C$5:$C$657,MATCH(H3713,Documents!$A$5:$A$657,0))),"")</f>
        <v>2016</v>
      </c>
      <c r="J3713" s="25" t="str">
        <f aca="false">IFERROR(IF(INDEX(Documents!$D$5:$D$657,MATCH(H3713,Documents!$A$5:$A$657,0))="","",INDEX(Documents!$D$5:$D$657,MATCH(H3713,Documents!$A$5:$A$657,0))),"")</f>
        <v>Eur J Med Chem</v>
      </c>
      <c r="K3713" s="25" t="str">
        <f aca="false">IFERROR(IF(INDEX(Documents!$G$5:$G$657,MATCH(H3713,Documents!$A$5:$A$657,0))="","",INDEX(Documents!$G$5:$G$657,MATCH(H3713,Documents!$A$5:$A$657,0))),"")</f>
        <v>10.1016/j.ejmech.2016.05.011</v>
      </c>
      <c r="L3713" s="25" t="s">
        <v>1326</v>
      </c>
    </row>
    <row r="3714" customFormat="false" ht="15" hidden="false" customHeight="false" outlineLevel="0" collapsed="false">
      <c r="A3714" s="25" t="n">
        <v>16511734</v>
      </c>
      <c r="B3714" s="25" t="s">
        <v>7819</v>
      </c>
      <c r="C3714" s="25" t="s">
        <v>7820</v>
      </c>
      <c r="D3714" s="26" t="n">
        <v>152</v>
      </c>
      <c r="E3714" s="27" t="n">
        <v>6.81815641205523</v>
      </c>
      <c r="F3714" s="27" t="n">
        <v>6.81815641205523</v>
      </c>
      <c r="G3714" s="25" t="s">
        <v>1336</v>
      </c>
      <c r="H3714" s="25" t="s">
        <v>1337</v>
      </c>
      <c r="I3714" s="25" t="n">
        <f aca="false">IFERROR(IF(INDEX(Documents!$C$5:$C$657,MATCH(H3714,Documents!$A$5:$A$657,0))="","",INDEX(Documents!$C$5:$C$657,MATCH(H3714,Documents!$A$5:$A$657,0))),"")</f>
        <v>2016</v>
      </c>
      <c r="J3714" s="25" t="str">
        <f aca="false">IFERROR(IF(INDEX(Documents!$D$5:$D$657,MATCH(H3714,Documents!$A$5:$A$657,0))="","",INDEX(Documents!$D$5:$D$657,MATCH(H3714,Documents!$A$5:$A$657,0))),"")</f>
        <v>Eur J Med Chem</v>
      </c>
      <c r="K3714" s="25" t="str">
        <f aca="false">IFERROR(IF(INDEX(Documents!$G$5:$G$657,MATCH(H3714,Documents!$A$5:$A$657,0))="","",INDEX(Documents!$G$5:$G$657,MATCH(H3714,Documents!$A$5:$A$657,0))),"")</f>
        <v>10.1016/j.ejmech.2016.02.005</v>
      </c>
      <c r="L3714" s="25" t="s">
        <v>1338</v>
      </c>
    </row>
    <row r="3715" customFormat="false" ht="15" hidden="false" customHeight="false" outlineLevel="0" collapsed="false">
      <c r="A3715" s="25" t="n">
        <v>16511728</v>
      </c>
      <c r="B3715" s="25" t="s">
        <v>7821</v>
      </c>
      <c r="C3715" s="25" t="s">
        <v>7822</v>
      </c>
      <c r="D3715" s="26" t="n">
        <v>515</v>
      </c>
      <c r="E3715" s="27" t="n">
        <v>6.28819277095881</v>
      </c>
      <c r="F3715" s="27" t="n">
        <v>6.28819277095881</v>
      </c>
      <c r="G3715" s="25" t="s">
        <v>1336</v>
      </c>
      <c r="H3715" s="25" t="s">
        <v>1337</v>
      </c>
      <c r="I3715" s="25" t="n">
        <f aca="false">IFERROR(IF(INDEX(Documents!$C$5:$C$657,MATCH(H3715,Documents!$A$5:$A$657,0))="","",INDEX(Documents!$C$5:$C$657,MATCH(H3715,Documents!$A$5:$A$657,0))),"")</f>
        <v>2016</v>
      </c>
      <c r="J3715" s="25" t="str">
        <f aca="false">IFERROR(IF(INDEX(Documents!$D$5:$D$657,MATCH(H3715,Documents!$A$5:$A$657,0))="","",INDEX(Documents!$D$5:$D$657,MATCH(H3715,Documents!$A$5:$A$657,0))),"")</f>
        <v>Eur J Med Chem</v>
      </c>
      <c r="K3715" s="25" t="str">
        <f aca="false">IFERROR(IF(INDEX(Documents!$G$5:$G$657,MATCH(H3715,Documents!$A$5:$A$657,0))="","",INDEX(Documents!$G$5:$G$657,MATCH(H3715,Documents!$A$5:$A$657,0))),"")</f>
        <v>10.1016/j.ejmech.2016.02.005</v>
      </c>
      <c r="L3715" s="25" t="s">
        <v>1338</v>
      </c>
    </row>
    <row r="3716" customFormat="false" ht="15" hidden="false" customHeight="false" outlineLevel="0" collapsed="false">
      <c r="A3716" s="25" t="n">
        <v>3198533</v>
      </c>
      <c r="B3716" s="25" t="s">
        <v>7823</v>
      </c>
      <c r="C3716" s="25" t="s">
        <v>7824</v>
      </c>
      <c r="D3716" s="26" t="n">
        <v>1043</v>
      </c>
      <c r="E3716" s="27" t="n">
        <v>5.98171569157347</v>
      </c>
      <c r="F3716" s="27" t="n">
        <v>5.98171569157347</v>
      </c>
      <c r="G3716" s="25" t="s">
        <v>4040</v>
      </c>
      <c r="H3716" s="25" t="s">
        <v>4041</v>
      </c>
      <c r="I3716" s="25" t="n">
        <f aca="false">IFERROR(IF(INDEX(Documents!$C$5:$C$657,MATCH(H3716,Documents!$A$5:$A$657,0))="","",INDEX(Documents!$C$5:$C$657,MATCH(H3716,Documents!$A$5:$A$657,0))),"")</f>
        <v>2010</v>
      </c>
      <c r="J3716" s="25" t="str">
        <f aca="false">IFERROR(IF(INDEX(Documents!$D$5:$D$657,MATCH(H3716,Documents!$A$5:$A$657,0))="","",INDEX(Documents!$D$5:$D$657,MATCH(H3716,Documents!$A$5:$A$657,0))),"")</f>
        <v>Eur J Med Chem</v>
      </c>
      <c r="K3716" s="25" t="str">
        <f aca="false">IFERROR(IF(INDEX(Documents!$G$5:$G$657,MATCH(H3716,Documents!$A$5:$A$657,0))="","",INDEX(Documents!$G$5:$G$657,MATCH(H3716,Documents!$A$5:$A$657,0))),"")</f>
        <v>10.1016/j.ejmech.2009.12.018</v>
      </c>
      <c r="L3716" s="25" t="s">
        <v>4042</v>
      </c>
    </row>
    <row r="3717" customFormat="false" ht="15" hidden="false" customHeight="false" outlineLevel="0" collapsed="false">
      <c r="A3717" s="25" t="n">
        <v>12718750</v>
      </c>
      <c r="B3717" s="25" t="s">
        <v>7825</v>
      </c>
      <c r="C3717" s="25" t="s">
        <v>7826</v>
      </c>
      <c r="D3717" s="26" t="n">
        <v>27870</v>
      </c>
      <c r="E3717" s="27" t="n">
        <v>4.5548630312867</v>
      </c>
      <c r="F3717" s="27" t="n">
        <v>4.5548630312867</v>
      </c>
      <c r="G3717" s="25" t="s">
        <v>2789</v>
      </c>
      <c r="H3717" s="25" t="s">
        <v>2790</v>
      </c>
      <c r="I3717" s="25" t="n">
        <f aca="false">IFERROR(IF(INDEX(Documents!$C$5:$C$657,MATCH(H3717,Documents!$A$5:$A$657,0))="","",INDEX(Documents!$C$5:$C$657,MATCH(H3717,Documents!$A$5:$A$657,0))),"")</f>
        <v>2013</v>
      </c>
      <c r="J3717" s="25" t="str">
        <f aca="false">IFERROR(IF(INDEX(Documents!$D$5:$D$657,MATCH(H3717,Documents!$A$5:$A$657,0))="","",INDEX(Documents!$D$5:$D$657,MATCH(H3717,Documents!$A$5:$A$657,0))),"")</f>
        <v>Bioorg Med Chem</v>
      </c>
      <c r="K3717" s="25" t="str">
        <f aca="false">IFERROR(IF(INDEX(Documents!$G$5:$G$657,MATCH(H3717,Documents!$A$5:$A$657,0))="","",INDEX(Documents!$G$5:$G$657,MATCH(H3717,Documents!$A$5:$A$657,0))),"")</f>
        <v>10.1016/j.bmc.2013.01.055</v>
      </c>
      <c r="L3717" s="25" t="s">
        <v>2791</v>
      </c>
    </row>
    <row r="3718" customFormat="false" ht="15" hidden="false" customHeight="false" outlineLevel="0" collapsed="false">
      <c r="A3718" s="25" t="n">
        <v>1400590</v>
      </c>
      <c r="B3718" s="25" t="s">
        <v>7827</v>
      </c>
      <c r="C3718" s="25" t="s">
        <v>7828</v>
      </c>
      <c r="D3718" s="26" t="n">
        <v>542</v>
      </c>
      <c r="E3718" s="27" t="n">
        <v>6.26600071346161</v>
      </c>
      <c r="F3718" s="27" t="n">
        <v>6.26600071346161</v>
      </c>
      <c r="G3718" s="25" t="s">
        <v>4723</v>
      </c>
      <c r="H3718" s="25" t="s">
        <v>4724</v>
      </c>
      <c r="I3718" s="25" t="n">
        <f aca="false">IFERROR(IF(INDEX(Documents!$C$5:$C$657,MATCH(H3718,Documents!$A$5:$A$657,0))="","",INDEX(Documents!$C$5:$C$657,MATCH(H3718,Documents!$A$5:$A$657,0))),"")</f>
        <v>2005</v>
      </c>
      <c r="J3718" s="25" t="str">
        <f aca="false">IFERROR(IF(INDEX(Documents!$D$5:$D$657,MATCH(H3718,Documents!$A$5:$A$657,0))="","",INDEX(Documents!$D$5:$D$657,MATCH(H3718,Documents!$A$5:$A$657,0))),"")</f>
        <v>J Med Chem</v>
      </c>
      <c r="K3718" s="25" t="str">
        <f aca="false">IFERROR(IF(INDEX(Documents!$G$5:$G$657,MATCH(H3718,Documents!$A$5:$A$657,0))="","",INDEX(Documents!$G$5:$G$657,MATCH(H3718,Documents!$A$5:$A$657,0))),"")</f>
        <v>10.1021/jm040843r</v>
      </c>
      <c r="L3718" s="25" t="s">
        <v>4725</v>
      </c>
    </row>
    <row r="3719" customFormat="false" ht="15" hidden="false" customHeight="false" outlineLevel="0" collapsed="false">
      <c r="A3719" s="25" t="n">
        <v>20597813</v>
      </c>
      <c r="B3719" s="25" t="s">
        <v>7829</v>
      </c>
      <c r="C3719" s="25" t="s">
        <v>7830</v>
      </c>
      <c r="D3719" s="26" t="n">
        <v>21</v>
      </c>
      <c r="E3719" s="27" t="n">
        <v>7.67778070526608</v>
      </c>
      <c r="F3719" s="27" t="n">
        <v>7.67778070526608</v>
      </c>
      <c r="G3719" s="25" t="s">
        <v>7831</v>
      </c>
      <c r="H3719" s="25" t="s">
        <v>7832</v>
      </c>
      <c r="I3719" s="25" t="n">
        <f aca="false">IFERROR(IF(INDEX(Documents!$C$5:$C$657,MATCH(H3719,Documents!$A$5:$A$657,0))="","",INDEX(Documents!$C$5:$C$657,MATCH(H3719,Documents!$A$5:$A$657,0))),"")</f>
        <v>2019</v>
      </c>
      <c r="J3719" s="25" t="str">
        <f aca="false">IFERROR(IF(INDEX(Documents!$D$5:$D$657,MATCH(H3719,Documents!$A$5:$A$657,0))="","",INDEX(Documents!$D$5:$D$657,MATCH(H3719,Documents!$A$5:$A$657,0))),"")</f>
        <v>Eur J Med Chem</v>
      </c>
      <c r="K3719" s="25" t="str">
        <f aca="false">IFERROR(IF(INDEX(Documents!$G$5:$G$657,MATCH(H3719,Documents!$A$5:$A$657,0))="","",INDEX(Documents!$G$5:$G$657,MATCH(H3719,Documents!$A$5:$A$657,0))),"")</f>
        <v>10.1016/j.ejmech.2018.11.017</v>
      </c>
      <c r="L3719" s="25" t="s">
        <v>7833</v>
      </c>
    </row>
    <row r="3720" customFormat="false" ht="15" hidden="false" customHeight="false" outlineLevel="0" collapsed="false">
      <c r="A3720" s="25" t="n">
        <v>2504963</v>
      </c>
      <c r="B3720" s="25" t="s">
        <v>7834</v>
      </c>
      <c r="C3720" s="25" t="s">
        <v>7835</v>
      </c>
      <c r="D3720" s="26" t="n">
        <v>1900</v>
      </c>
      <c r="E3720" s="27" t="n">
        <v>5.72124639904717</v>
      </c>
      <c r="F3720" s="27" t="n">
        <v>5.72124639904717</v>
      </c>
      <c r="G3720" s="25" t="s">
        <v>5515</v>
      </c>
      <c r="H3720" s="25" t="s">
        <v>5516</v>
      </c>
      <c r="I3720" s="25" t="n">
        <f aca="false">IFERROR(IF(INDEX(Documents!$C$5:$C$657,MATCH(H3720,Documents!$A$5:$A$657,0))="","",INDEX(Documents!$C$5:$C$657,MATCH(H3720,Documents!$A$5:$A$657,0))),"")</f>
        <v>2008</v>
      </c>
      <c r="J3720" s="25" t="str">
        <f aca="false">IFERROR(IF(INDEX(Documents!$D$5:$D$657,MATCH(H3720,Documents!$A$5:$A$657,0))="","",INDEX(Documents!$D$5:$D$657,MATCH(H3720,Documents!$A$5:$A$657,0))),"")</f>
        <v>Eur J Med Chem</v>
      </c>
      <c r="K3720" s="25" t="str">
        <f aca="false">IFERROR(IF(INDEX(Documents!$G$5:$G$657,MATCH(H3720,Documents!$A$5:$A$657,0))="","",INDEX(Documents!$G$5:$G$657,MATCH(H3720,Documents!$A$5:$A$657,0))),"")</f>
        <v>10.1016/j.ejmech.2008.01.043</v>
      </c>
      <c r="L3720" s="25" t="s">
        <v>5517</v>
      </c>
    </row>
    <row r="3721" customFormat="false" ht="15" hidden="false" customHeight="false" outlineLevel="0" collapsed="false">
      <c r="A3721" s="25" t="n">
        <v>1400277</v>
      </c>
      <c r="B3721" s="25" t="s">
        <v>7836</v>
      </c>
      <c r="C3721" s="25" t="s">
        <v>7837</v>
      </c>
      <c r="D3721" s="26" t="n">
        <v>4668</v>
      </c>
      <c r="E3721" s="27" t="n">
        <v>5.33086915262667</v>
      </c>
      <c r="F3721" s="27" t="n">
        <v>5.33086915262667</v>
      </c>
      <c r="G3721" s="25" t="s">
        <v>4723</v>
      </c>
      <c r="H3721" s="25" t="s">
        <v>4724</v>
      </c>
      <c r="I3721" s="25" t="n">
        <f aca="false">IFERROR(IF(INDEX(Documents!$C$5:$C$657,MATCH(H3721,Documents!$A$5:$A$657,0))="","",INDEX(Documents!$C$5:$C$657,MATCH(H3721,Documents!$A$5:$A$657,0))),"")</f>
        <v>2005</v>
      </c>
      <c r="J3721" s="25" t="str">
        <f aca="false">IFERROR(IF(INDEX(Documents!$D$5:$D$657,MATCH(H3721,Documents!$A$5:$A$657,0))="","",INDEX(Documents!$D$5:$D$657,MATCH(H3721,Documents!$A$5:$A$657,0))),"")</f>
        <v>J Med Chem</v>
      </c>
      <c r="K3721" s="25" t="str">
        <f aca="false">IFERROR(IF(INDEX(Documents!$G$5:$G$657,MATCH(H3721,Documents!$A$5:$A$657,0))="","",INDEX(Documents!$G$5:$G$657,MATCH(H3721,Documents!$A$5:$A$657,0))),"")</f>
        <v>10.1021/jm040843r</v>
      </c>
      <c r="L3721" s="25" t="s">
        <v>4725</v>
      </c>
    </row>
    <row r="3722" customFormat="false" ht="15" hidden="false" customHeight="false" outlineLevel="0" collapsed="false">
      <c r="A3722" s="25" t="n">
        <v>1400587</v>
      </c>
      <c r="B3722" s="25" t="s">
        <v>7838</v>
      </c>
      <c r="C3722" s="25" t="s">
        <v>7839</v>
      </c>
      <c r="D3722" s="26" t="n">
        <v>5444</v>
      </c>
      <c r="E3722" s="27" t="n">
        <v>5.2640818834687</v>
      </c>
      <c r="F3722" s="27" t="n">
        <v>5.2640818834687</v>
      </c>
      <c r="G3722" s="25" t="s">
        <v>4723</v>
      </c>
      <c r="H3722" s="25" t="s">
        <v>4724</v>
      </c>
      <c r="I3722" s="25" t="n">
        <f aca="false">IFERROR(IF(INDEX(Documents!$C$5:$C$657,MATCH(H3722,Documents!$A$5:$A$657,0))="","",INDEX(Documents!$C$5:$C$657,MATCH(H3722,Documents!$A$5:$A$657,0))),"")</f>
        <v>2005</v>
      </c>
      <c r="J3722" s="25" t="str">
        <f aca="false">IFERROR(IF(INDEX(Documents!$D$5:$D$657,MATCH(H3722,Documents!$A$5:$A$657,0))="","",INDEX(Documents!$D$5:$D$657,MATCH(H3722,Documents!$A$5:$A$657,0))),"")</f>
        <v>J Med Chem</v>
      </c>
      <c r="K3722" s="25" t="str">
        <f aca="false">IFERROR(IF(INDEX(Documents!$G$5:$G$657,MATCH(H3722,Documents!$A$5:$A$657,0))="","",INDEX(Documents!$G$5:$G$657,MATCH(H3722,Documents!$A$5:$A$657,0))),"")</f>
        <v>10.1021/jm040843r</v>
      </c>
      <c r="L3722" s="25" t="s">
        <v>4725</v>
      </c>
    </row>
    <row r="3723" customFormat="false" ht="15" hidden="false" customHeight="false" outlineLevel="0" collapsed="false">
      <c r="A3723" s="25" t="n">
        <v>1400270</v>
      </c>
      <c r="B3723" s="25" t="s">
        <v>7840</v>
      </c>
      <c r="C3723" s="25" t="s">
        <v>7841</v>
      </c>
      <c r="D3723" s="26" t="n">
        <v>5841</v>
      </c>
      <c r="E3723" s="27" t="n">
        <v>5.23351279376031</v>
      </c>
      <c r="F3723" s="27" t="n">
        <v>5.23351279376031</v>
      </c>
      <c r="G3723" s="25" t="s">
        <v>4723</v>
      </c>
      <c r="H3723" s="25" t="s">
        <v>4724</v>
      </c>
      <c r="I3723" s="25" t="n">
        <f aca="false">IFERROR(IF(INDEX(Documents!$C$5:$C$657,MATCH(H3723,Documents!$A$5:$A$657,0))="","",INDEX(Documents!$C$5:$C$657,MATCH(H3723,Documents!$A$5:$A$657,0))),"")</f>
        <v>2005</v>
      </c>
      <c r="J3723" s="25" t="str">
        <f aca="false">IFERROR(IF(INDEX(Documents!$D$5:$D$657,MATCH(H3723,Documents!$A$5:$A$657,0))="","",INDEX(Documents!$D$5:$D$657,MATCH(H3723,Documents!$A$5:$A$657,0))),"")</f>
        <v>J Med Chem</v>
      </c>
      <c r="K3723" s="25" t="str">
        <f aca="false">IFERROR(IF(INDEX(Documents!$G$5:$G$657,MATCH(H3723,Documents!$A$5:$A$657,0))="","",INDEX(Documents!$G$5:$G$657,MATCH(H3723,Documents!$A$5:$A$657,0))),"")</f>
        <v>10.1021/jm040843r</v>
      </c>
      <c r="L3723" s="25" t="s">
        <v>4725</v>
      </c>
    </row>
    <row r="3724" customFormat="false" ht="15" hidden="false" customHeight="false" outlineLevel="0" collapsed="false">
      <c r="A3724" s="25" t="n">
        <v>1400523</v>
      </c>
      <c r="B3724" s="25" t="s">
        <v>7842</v>
      </c>
      <c r="C3724" s="25" t="s">
        <v>7843</v>
      </c>
      <c r="D3724" s="26" t="n">
        <v>746</v>
      </c>
      <c r="E3724" s="27" t="n">
        <v>6.12726117252733</v>
      </c>
      <c r="F3724" s="27" t="n">
        <v>6.12726117252733</v>
      </c>
      <c r="G3724" s="25" t="s">
        <v>4723</v>
      </c>
      <c r="H3724" s="25" t="s">
        <v>4724</v>
      </c>
      <c r="I3724" s="25" t="n">
        <f aca="false">IFERROR(IF(INDEX(Documents!$C$5:$C$657,MATCH(H3724,Documents!$A$5:$A$657,0))="","",INDEX(Documents!$C$5:$C$657,MATCH(H3724,Documents!$A$5:$A$657,0))),"")</f>
        <v>2005</v>
      </c>
      <c r="J3724" s="25" t="str">
        <f aca="false">IFERROR(IF(INDEX(Documents!$D$5:$D$657,MATCH(H3724,Documents!$A$5:$A$657,0))="","",INDEX(Documents!$D$5:$D$657,MATCH(H3724,Documents!$A$5:$A$657,0))),"")</f>
        <v>J Med Chem</v>
      </c>
      <c r="K3724" s="25" t="str">
        <f aca="false">IFERROR(IF(INDEX(Documents!$G$5:$G$657,MATCH(H3724,Documents!$A$5:$A$657,0))="","",INDEX(Documents!$G$5:$G$657,MATCH(H3724,Documents!$A$5:$A$657,0))),"")</f>
        <v>10.1021/jm040843r</v>
      </c>
      <c r="L3724" s="25" t="s">
        <v>4725</v>
      </c>
    </row>
    <row r="3725" customFormat="false" ht="15" hidden="false" customHeight="false" outlineLevel="0" collapsed="false">
      <c r="A3725" s="25" t="n">
        <v>1400529</v>
      </c>
      <c r="B3725" s="25" t="s">
        <v>7844</v>
      </c>
      <c r="C3725" s="25" t="s">
        <v>7845</v>
      </c>
      <c r="D3725" s="26" t="n">
        <v>906</v>
      </c>
      <c r="E3725" s="27" t="n">
        <v>6.04287180232319</v>
      </c>
      <c r="F3725" s="27" t="n">
        <v>6.04287180232319</v>
      </c>
      <c r="G3725" s="25" t="s">
        <v>4723</v>
      </c>
      <c r="H3725" s="25" t="s">
        <v>4724</v>
      </c>
      <c r="I3725" s="25" t="n">
        <f aca="false">IFERROR(IF(INDEX(Documents!$C$5:$C$657,MATCH(H3725,Documents!$A$5:$A$657,0))="","",INDEX(Documents!$C$5:$C$657,MATCH(H3725,Documents!$A$5:$A$657,0))),"")</f>
        <v>2005</v>
      </c>
      <c r="J3725" s="25" t="str">
        <f aca="false">IFERROR(IF(INDEX(Documents!$D$5:$D$657,MATCH(H3725,Documents!$A$5:$A$657,0))="","",INDEX(Documents!$D$5:$D$657,MATCH(H3725,Documents!$A$5:$A$657,0))),"")</f>
        <v>J Med Chem</v>
      </c>
      <c r="K3725" s="25" t="str">
        <f aca="false">IFERROR(IF(INDEX(Documents!$G$5:$G$657,MATCH(H3725,Documents!$A$5:$A$657,0))="","",INDEX(Documents!$G$5:$G$657,MATCH(H3725,Documents!$A$5:$A$657,0))),"")</f>
        <v>10.1021/jm040843r</v>
      </c>
      <c r="L3725" s="25" t="s">
        <v>4725</v>
      </c>
    </row>
    <row r="3726" customFormat="false" ht="15" hidden="false" customHeight="false" outlineLevel="0" collapsed="false">
      <c r="A3726" s="25" t="n">
        <v>3278144</v>
      </c>
      <c r="B3726" s="25" t="s">
        <v>7846</v>
      </c>
      <c r="C3726" s="25" t="s">
        <v>7847</v>
      </c>
      <c r="D3726" s="26" t="n">
        <v>7504</v>
      </c>
      <c r="E3726" s="27" t="n">
        <v>5.12470717462899</v>
      </c>
      <c r="F3726" s="27" t="n">
        <v>5.12470717462899</v>
      </c>
      <c r="G3726" s="25" t="s">
        <v>6247</v>
      </c>
      <c r="H3726" s="25" t="s">
        <v>6248</v>
      </c>
      <c r="I3726" s="25" t="n">
        <f aca="false">IFERROR(IF(INDEX(Documents!$C$5:$C$657,MATCH(H3726,Documents!$A$5:$A$657,0))="","",INDEX(Documents!$C$5:$C$657,MATCH(H3726,Documents!$A$5:$A$657,0))),"")</f>
        <v>2010</v>
      </c>
      <c r="J3726" s="25" t="str">
        <f aca="false">IFERROR(IF(INDEX(Documents!$D$5:$D$657,MATCH(H3726,Documents!$A$5:$A$657,0))="","",INDEX(Documents!$D$5:$D$657,MATCH(H3726,Documents!$A$5:$A$657,0))),"")</f>
        <v>Bioorg Med Chem Lett</v>
      </c>
      <c r="K3726" s="25" t="str">
        <f aca="false">IFERROR(IF(INDEX(Documents!$G$5:$G$657,MATCH(H3726,Documents!$A$5:$A$657,0))="","",INDEX(Documents!$G$5:$G$657,MATCH(H3726,Documents!$A$5:$A$657,0))),"")</f>
        <v>10.1016/j.bmcl.2010.03.068</v>
      </c>
      <c r="L3726" s="25" t="s">
        <v>659</v>
      </c>
    </row>
    <row r="3727" customFormat="false" ht="15" hidden="false" customHeight="false" outlineLevel="0" collapsed="false">
      <c r="A3727" s="25" t="n">
        <v>1400520</v>
      </c>
      <c r="B3727" s="25" t="s">
        <v>7848</v>
      </c>
      <c r="C3727" s="25" t="s">
        <v>7849</v>
      </c>
      <c r="D3727" s="26" t="n">
        <v>823</v>
      </c>
      <c r="E3727" s="27" t="n">
        <v>6.08460016478773</v>
      </c>
      <c r="F3727" s="27" t="n">
        <v>6.08460016478773</v>
      </c>
      <c r="G3727" s="25" t="s">
        <v>4723</v>
      </c>
      <c r="H3727" s="25" t="s">
        <v>4724</v>
      </c>
      <c r="I3727" s="25" t="n">
        <f aca="false">IFERROR(IF(INDEX(Documents!$C$5:$C$657,MATCH(H3727,Documents!$A$5:$A$657,0))="","",INDEX(Documents!$C$5:$C$657,MATCH(H3727,Documents!$A$5:$A$657,0))),"")</f>
        <v>2005</v>
      </c>
      <c r="J3727" s="25" t="str">
        <f aca="false">IFERROR(IF(INDEX(Documents!$D$5:$D$657,MATCH(H3727,Documents!$A$5:$A$657,0))="","",INDEX(Documents!$D$5:$D$657,MATCH(H3727,Documents!$A$5:$A$657,0))),"")</f>
        <v>J Med Chem</v>
      </c>
      <c r="K3727" s="25" t="str">
        <f aca="false">IFERROR(IF(INDEX(Documents!$G$5:$G$657,MATCH(H3727,Documents!$A$5:$A$657,0))="","",INDEX(Documents!$G$5:$G$657,MATCH(H3727,Documents!$A$5:$A$657,0))),"")</f>
        <v>10.1021/jm040843r</v>
      </c>
      <c r="L3727" s="25" t="s">
        <v>4725</v>
      </c>
    </row>
    <row r="3728" customFormat="false" ht="15" hidden="false" customHeight="false" outlineLevel="0" collapsed="false">
      <c r="A3728" s="25" t="n">
        <v>3278140</v>
      </c>
      <c r="B3728" s="25" t="s">
        <v>7850</v>
      </c>
      <c r="C3728" s="25" t="s">
        <v>7851</v>
      </c>
      <c r="D3728" s="26" t="n">
        <v>1811</v>
      </c>
      <c r="E3728" s="27" t="n">
        <v>5.74208154968594</v>
      </c>
      <c r="F3728" s="27" t="n">
        <v>5.74208154968594</v>
      </c>
      <c r="G3728" s="25" t="s">
        <v>6247</v>
      </c>
      <c r="H3728" s="25" t="s">
        <v>6248</v>
      </c>
      <c r="I3728" s="25" t="n">
        <f aca="false">IFERROR(IF(INDEX(Documents!$C$5:$C$657,MATCH(H3728,Documents!$A$5:$A$657,0))="","",INDEX(Documents!$C$5:$C$657,MATCH(H3728,Documents!$A$5:$A$657,0))),"")</f>
        <v>2010</v>
      </c>
      <c r="J3728" s="25" t="str">
        <f aca="false">IFERROR(IF(INDEX(Documents!$D$5:$D$657,MATCH(H3728,Documents!$A$5:$A$657,0))="","",INDEX(Documents!$D$5:$D$657,MATCH(H3728,Documents!$A$5:$A$657,0))),"")</f>
        <v>Bioorg Med Chem Lett</v>
      </c>
      <c r="K3728" s="25" t="str">
        <f aca="false">IFERROR(IF(INDEX(Documents!$G$5:$G$657,MATCH(H3728,Documents!$A$5:$A$657,0))="","",INDEX(Documents!$G$5:$G$657,MATCH(H3728,Documents!$A$5:$A$657,0))),"")</f>
        <v>10.1016/j.bmcl.2010.03.068</v>
      </c>
      <c r="L3728" s="25" t="s">
        <v>659</v>
      </c>
    </row>
    <row r="3729" customFormat="false" ht="15" hidden="false" customHeight="false" outlineLevel="0" collapsed="false">
      <c r="A3729" s="25" t="n">
        <v>1400280</v>
      </c>
      <c r="B3729" s="25" t="s">
        <v>7852</v>
      </c>
      <c r="C3729" s="25" t="s">
        <v>7853</v>
      </c>
      <c r="D3729" s="26" t="n">
        <v>3562</v>
      </c>
      <c r="E3729" s="27" t="n">
        <v>5.44830608487278</v>
      </c>
      <c r="F3729" s="27" t="n">
        <v>5.44830608487278</v>
      </c>
      <c r="G3729" s="25" t="s">
        <v>4723</v>
      </c>
      <c r="H3729" s="25" t="s">
        <v>4724</v>
      </c>
      <c r="I3729" s="25" t="n">
        <f aca="false">IFERROR(IF(INDEX(Documents!$C$5:$C$657,MATCH(H3729,Documents!$A$5:$A$657,0))="","",INDEX(Documents!$C$5:$C$657,MATCH(H3729,Documents!$A$5:$A$657,0))),"")</f>
        <v>2005</v>
      </c>
      <c r="J3729" s="25" t="str">
        <f aca="false">IFERROR(IF(INDEX(Documents!$D$5:$D$657,MATCH(H3729,Documents!$A$5:$A$657,0))="","",INDEX(Documents!$D$5:$D$657,MATCH(H3729,Documents!$A$5:$A$657,0))),"")</f>
        <v>J Med Chem</v>
      </c>
      <c r="K3729" s="25" t="str">
        <f aca="false">IFERROR(IF(INDEX(Documents!$G$5:$G$657,MATCH(H3729,Documents!$A$5:$A$657,0))="","",INDEX(Documents!$G$5:$G$657,MATCH(H3729,Documents!$A$5:$A$657,0))),"")</f>
        <v>10.1021/jm040843r</v>
      </c>
      <c r="L3729" s="25" t="s">
        <v>4725</v>
      </c>
    </row>
    <row r="3730" customFormat="false" ht="15" hidden="false" customHeight="false" outlineLevel="0" collapsed="false">
      <c r="A3730" s="25" t="n">
        <v>25861562</v>
      </c>
      <c r="B3730" s="25" t="s">
        <v>7854</v>
      </c>
      <c r="C3730" s="25" t="s">
        <v>7853</v>
      </c>
      <c r="D3730" s="26" t="n">
        <v>3562</v>
      </c>
      <c r="E3730" s="27" t="n">
        <v>5.44830608487278</v>
      </c>
      <c r="F3730" s="27" t="n">
        <v>5.44830608487278</v>
      </c>
      <c r="G3730" s="25" t="s">
        <v>7855</v>
      </c>
      <c r="H3730" s="25" t="s">
        <v>7856</v>
      </c>
      <c r="I3730" s="25" t="n">
        <f aca="false">IFERROR(IF(INDEX(Documents!$C$5:$C$657,MATCH(H3730,Documents!$A$5:$A$657,0))="","",INDEX(Documents!$C$5:$C$657,MATCH(H3730,Documents!$A$5:$A$657,0))),"")</f>
        <v>2024</v>
      </c>
      <c r="J3730" s="25" t="str">
        <f aca="false">IFERROR(IF(INDEX(Documents!$D$5:$D$657,MATCH(H3730,Documents!$A$5:$A$657,0))="","",INDEX(Documents!$D$5:$D$657,MATCH(H3730,Documents!$A$5:$A$657,0))),"")</f>
        <v>J Med Chem</v>
      </c>
      <c r="K3730" s="25" t="str">
        <f aca="false">IFERROR(IF(INDEX(Documents!$G$5:$G$657,MATCH(H3730,Documents!$A$5:$A$657,0))="","",INDEX(Documents!$G$5:$G$657,MATCH(H3730,Documents!$A$5:$A$657,0))),"")</f>
        <v>10.1021/acs.jmedchem.4c00652</v>
      </c>
      <c r="L3730" s="25" t="s">
        <v>7857</v>
      </c>
    </row>
    <row r="3731" customFormat="false" ht="15" hidden="false" customHeight="false" outlineLevel="0" collapsed="false">
      <c r="A3731" s="25" t="n">
        <v>2349969</v>
      </c>
      <c r="B3731" s="25" t="s">
        <v>7858</v>
      </c>
      <c r="C3731" s="25" t="s">
        <v>7859</v>
      </c>
      <c r="D3731" s="26" t="n">
        <v>492</v>
      </c>
      <c r="E3731" s="27" t="n">
        <v>6.30803489723264</v>
      </c>
      <c r="F3731" s="27" t="n">
        <v>6.30803489723264</v>
      </c>
      <c r="G3731" s="25" t="s">
        <v>6647</v>
      </c>
      <c r="H3731" s="25" t="s">
        <v>6648</v>
      </c>
      <c r="I3731" s="25" t="n">
        <f aca="false">IFERROR(IF(INDEX(Documents!$C$5:$C$657,MATCH(H3731,Documents!$A$5:$A$657,0))="","",INDEX(Documents!$C$5:$C$657,MATCH(H3731,Documents!$A$5:$A$657,0))),"")</f>
        <v>2008</v>
      </c>
      <c r="J3731" s="25" t="str">
        <f aca="false">IFERROR(IF(INDEX(Documents!$D$5:$D$657,MATCH(H3731,Documents!$A$5:$A$657,0))="","",INDEX(Documents!$D$5:$D$657,MATCH(H3731,Documents!$A$5:$A$657,0))),"")</f>
        <v>J Med Chem</v>
      </c>
      <c r="K3731" s="25" t="str">
        <f aca="false">IFERROR(IF(INDEX(Documents!$G$5:$G$657,MATCH(H3731,Documents!$A$5:$A$657,0))="","",INDEX(Documents!$G$5:$G$657,MATCH(H3731,Documents!$A$5:$A$657,0))),"")</f>
        <v>10.1021/jm8000778</v>
      </c>
      <c r="L3731" s="25" t="s">
        <v>1573</v>
      </c>
    </row>
    <row r="3732" customFormat="false" ht="15" hidden="false" customHeight="false" outlineLevel="0" collapsed="false">
      <c r="A3732" s="25" t="n">
        <v>16741329</v>
      </c>
      <c r="B3732" s="25" t="s">
        <v>7860</v>
      </c>
      <c r="C3732" s="25" t="s">
        <v>7861</v>
      </c>
      <c r="D3732" s="26" t="n">
        <v>85.2</v>
      </c>
      <c r="E3732" s="27" t="n">
        <v>7.0695604052333</v>
      </c>
      <c r="F3732" s="27" t="n">
        <v>7.16185260502979</v>
      </c>
      <c r="G3732" s="25" t="s">
        <v>1324</v>
      </c>
      <c r="H3732" s="25" t="s">
        <v>1325</v>
      </c>
      <c r="I3732" s="25" t="n">
        <f aca="false">IFERROR(IF(INDEX(Documents!$C$5:$C$657,MATCH(H3732,Documents!$A$5:$A$657,0))="","",INDEX(Documents!$C$5:$C$657,MATCH(H3732,Documents!$A$5:$A$657,0))),"")</f>
        <v>2016</v>
      </c>
      <c r="J3732" s="25" t="str">
        <f aca="false">IFERROR(IF(INDEX(Documents!$D$5:$D$657,MATCH(H3732,Documents!$A$5:$A$657,0))="","",INDEX(Documents!$D$5:$D$657,MATCH(H3732,Documents!$A$5:$A$657,0))),"")</f>
        <v>Eur J Med Chem</v>
      </c>
      <c r="K3732" s="25" t="str">
        <f aca="false">IFERROR(IF(INDEX(Documents!$G$5:$G$657,MATCH(H3732,Documents!$A$5:$A$657,0))="","",INDEX(Documents!$G$5:$G$657,MATCH(H3732,Documents!$A$5:$A$657,0))),"")</f>
        <v>10.1016/j.ejmech.2016.05.011</v>
      </c>
      <c r="L3732" s="25" t="s">
        <v>1326</v>
      </c>
    </row>
    <row r="3733" customFormat="false" ht="15" hidden="false" customHeight="false" outlineLevel="0" collapsed="false">
      <c r="A3733" s="25" t="n">
        <v>16741266</v>
      </c>
      <c r="B3733" s="25" t="s">
        <v>7860</v>
      </c>
      <c r="C3733" s="25" t="s">
        <v>7861</v>
      </c>
      <c r="D3733" s="26" t="n">
        <v>55.7</v>
      </c>
      <c r="E3733" s="27" t="n">
        <v>7.25414480482627</v>
      </c>
      <c r="F3733" s="27" t="n">
        <v>7.16185260502979</v>
      </c>
      <c r="G3733" s="25" t="s">
        <v>1324</v>
      </c>
      <c r="H3733" s="25" t="s">
        <v>1325</v>
      </c>
      <c r="I3733" s="25" t="n">
        <f aca="false">IFERROR(IF(INDEX(Documents!$C$5:$C$657,MATCH(H3733,Documents!$A$5:$A$657,0))="","",INDEX(Documents!$C$5:$C$657,MATCH(H3733,Documents!$A$5:$A$657,0))),"")</f>
        <v>2016</v>
      </c>
      <c r="J3733" s="25" t="str">
        <f aca="false">IFERROR(IF(INDEX(Documents!$D$5:$D$657,MATCH(H3733,Documents!$A$5:$A$657,0))="","",INDEX(Documents!$D$5:$D$657,MATCH(H3733,Documents!$A$5:$A$657,0))),"")</f>
        <v>Eur J Med Chem</v>
      </c>
      <c r="K3733" s="25" t="str">
        <f aca="false">IFERROR(IF(INDEX(Documents!$G$5:$G$657,MATCH(H3733,Documents!$A$5:$A$657,0))="","",INDEX(Documents!$G$5:$G$657,MATCH(H3733,Documents!$A$5:$A$657,0))),"")</f>
        <v>10.1016/j.ejmech.2016.05.011</v>
      </c>
      <c r="L3733" s="25" t="s">
        <v>1326</v>
      </c>
    </row>
    <row r="3734" customFormat="false" ht="15" hidden="false" customHeight="false" outlineLevel="0" collapsed="false">
      <c r="A3734" s="25" t="n">
        <v>16511743</v>
      </c>
      <c r="B3734" s="25" t="s">
        <v>7862</v>
      </c>
      <c r="C3734" s="25" t="s">
        <v>7863</v>
      </c>
      <c r="D3734" s="26" t="n">
        <v>143</v>
      </c>
      <c r="E3734" s="27" t="n">
        <v>6.84466396253494</v>
      </c>
      <c r="F3734" s="27" t="n">
        <v>6.84466396253494</v>
      </c>
      <c r="G3734" s="25" t="s">
        <v>1336</v>
      </c>
      <c r="H3734" s="25" t="s">
        <v>1337</v>
      </c>
      <c r="I3734" s="25" t="n">
        <f aca="false">IFERROR(IF(INDEX(Documents!$C$5:$C$657,MATCH(H3734,Documents!$A$5:$A$657,0))="","",INDEX(Documents!$C$5:$C$657,MATCH(H3734,Documents!$A$5:$A$657,0))),"")</f>
        <v>2016</v>
      </c>
      <c r="J3734" s="25" t="str">
        <f aca="false">IFERROR(IF(INDEX(Documents!$D$5:$D$657,MATCH(H3734,Documents!$A$5:$A$657,0))="","",INDEX(Documents!$D$5:$D$657,MATCH(H3734,Documents!$A$5:$A$657,0))),"")</f>
        <v>Eur J Med Chem</v>
      </c>
      <c r="K3734" s="25" t="str">
        <f aca="false">IFERROR(IF(INDEX(Documents!$G$5:$G$657,MATCH(H3734,Documents!$A$5:$A$657,0))="","",INDEX(Documents!$G$5:$G$657,MATCH(H3734,Documents!$A$5:$A$657,0))),"")</f>
        <v>10.1016/j.ejmech.2016.02.005</v>
      </c>
      <c r="L3734" s="25" t="s">
        <v>1338</v>
      </c>
    </row>
    <row r="3735" customFormat="false" ht="15" hidden="false" customHeight="false" outlineLevel="0" collapsed="false">
      <c r="A3735" s="25" t="n">
        <v>16511744</v>
      </c>
      <c r="B3735" s="25" t="s">
        <v>7864</v>
      </c>
      <c r="C3735" s="25" t="s">
        <v>7865</v>
      </c>
      <c r="D3735" s="26" t="n">
        <v>69.43</v>
      </c>
      <c r="E3735" s="27" t="n">
        <v>7.15845283474345</v>
      </c>
      <c r="F3735" s="27" t="n">
        <v>7.15845283474345</v>
      </c>
      <c r="G3735" s="25" t="s">
        <v>1336</v>
      </c>
      <c r="H3735" s="25" t="s">
        <v>1337</v>
      </c>
      <c r="I3735" s="25" t="n">
        <f aca="false">IFERROR(IF(INDEX(Documents!$C$5:$C$657,MATCH(H3735,Documents!$A$5:$A$657,0))="","",INDEX(Documents!$C$5:$C$657,MATCH(H3735,Documents!$A$5:$A$657,0))),"")</f>
        <v>2016</v>
      </c>
      <c r="J3735" s="25" t="str">
        <f aca="false">IFERROR(IF(INDEX(Documents!$D$5:$D$657,MATCH(H3735,Documents!$A$5:$A$657,0))="","",INDEX(Documents!$D$5:$D$657,MATCH(H3735,Documents!$A$5:$A$657,0))),"")</f>
        <v>Eur J Med Chem</v>
      </c>
      <c r="K3735" s="25" t="str">
        <f aca="false">IFERROR(IF(INDEX(Documents!$G$5:$G$657,MATCH(H3735,Documents!$A$5:$A$657,0))="","",INDEX(Documents!$G$5:$G$657,MATCH(H3735,Documents!$A$5:$A$657,0))),"")</f>
        <v>10.1016/j.ejmech.2016.02.005</v>
      </c>
      <c r="L3735" s="25" t="s">
        <v>1338</v>
      </c>
    </row>
    <row r="3736" customFormat="false" ht="15" hidden="false" customHeight="false" outlineLevel="0" collapsed="false">
      <c r="A3736" s="25" t="n">
        <v>16511741</v>
      </c>
      <c r="B3736" s="25" t="s">
        <v>7866</v>
      </c>
      <c r="C3736" s="25" t="s">
        <v>7867</v>
      </c>
      <c r="D3736" s="26" t="n">
        <v>509</v>
      </c>
      <c r="E3736" s="27" t="n">
        <v>6.29328221766324</v>
      </c>
      <c r="F3736" s="27" t="n">
        <v>6.29328221766324</v>
      </c>
      <c r="G3736" s="25" t="s">
        <v>1336</v>
      </c>
      <c r="H3736" s="25" t="s">
        <v>1337</v>
      </c>
      <c r="I3736" s="25" t="n">
        <f aca="false">IFERROR(IF(INDEX(Documents!$C$5:$C$657,MATCH(H3736,Documents!$A$5:$A$657,0))="","",INDEX(Documents!$C$5:$C$657,MATCH(H3736,Documents!$A$5:$A$657,0))),"")</f>
        <v>2016</v>
      </c>
      <c r="J3736" s="25" t="str">
        <f aca="false">IFERROR(IF(INDEX(Documents!$D$5:$D$657,MATCH(H3736,Documents!$A$5:$A$657,0))="","",INDEX(Documents!$D$5:$D$657,MATCH(H3736,Documents!$A$5:$A$657,0))),"")</f>
        <v>Eur J Med Chem</v>
      </c>
      <c r="K3736" s="25" t="str">
        <f aca="false">IFERROR(IF(INDEX(Documents!$G$5:$G$657,MATCH(H3736,Documents!$A$5:$A$657,0))="","",INDEX(Documents!$G$5:$G$657,MATCH(H3736,Documents!$A$5:$A$657,0))),"")</f>
        <v>10.1016/j.ejmech.2016.02.005</v>
      </c>
      <c r="L3736" s="25" t="s">
        <v>1338</v>
      </c>
    </row>
    <row r="3737" customFormat="false" ht="15" hidden="false" customHeight="false" outlineLevel="0" collapsed="false">
      <c r="A3737" s="25" t="n">
        <v>16511742</v>
      </c>
      <c r="B3737" s="25" t="s">
        <v>7868</v>
      </c>
      <c r="C3737" s="25" t="s">
        <v>7869</v>
      </c>
      <c r="D3737" s="26" t="n">
        <v>825</v>
      </c>
      <c r="E3737" s="27" t="n">
        <v>6.08354605145008</v>
      </c>
      <c r="F3737" s="27" t="n">
        <v>6.08354605145008</v>
      </c>
      <c r="G3737" s="25" t="s">
        <v>1336</v>
      </c>
      <c r="H3737" s="25" t="s">
        <v>1337</v>
      </c>
      <c r="I3737" s="25" t="n">
        <f aca="false">IFERROR(IF(INDEX(Documents!$C$5:$C$657,MATCH(H3737,Documents!$A$5:$A$657,0))="","",INDEX(Documents!$C$5:$C$657,MATCH(H3737,Documents!$A$5:$A$657,0))),"")</f>
        <v>2016</v>
      </c>
      <c r="J3737" s="25" t="str">
        <f aca="false">IFERROR(IF(INDEX(Documents!$D$5:$D$657,MATCH(H3737,Documents!$A$5:$A$657,0))="","",INDEX(Documents!$D$5:$D$657,MATCH(H3737,Documents!$A$5:$A$657,0))),"")</f>
        <v>Eur J Med Chem</v>
      </c>
      <c r="K3737" s="25" t="str">
        <f aca="false">IFERROR(IF(INDEX(Documents!$G$5:$G$657,MATCH(H3737,Documents!$A$5:$A$657,0))="","",INDEX(Documents!$G$5:$G$657,MATCH(H3737,Documents!$A$5:$A$657,0))),"")</f>
        <v>10.1016/j.ejmech.2016.02.005</v>
      </c>
      <c r="L3737" s="25" t="s">
        <v>1338</v>
      </c>
    </row>
    <row r="3738" customFormat="false" ht="15" hidden="false" customHeight="false" outlineLevel="0" collapsed="false">
      <c r="A3738" s="25" t="n">
        <v>16741264</v>
      </c>
      <c r="B3738" s="25" t="s">
        <v>7870</v>
      </c>
      <c r="C3738" s="25" t="s">
        <v>7871</v>
      </c>
      <c r="D3738" s="26" t="n">
        <v>28.1</v>
      </c>
      <c r="E3738" s="27" t="n">
        <v>7.55129368009492</v>
      </c>
      <c r="F3738" s="27" t="n">
        <v>7.55129368009492</v>
      </c>
      <c r="G3738" s="25" t="s">
        <v>1324</v>
      </c>
      <c r="H3738" s="25" t="s">
        <v>1325</v>
      </c>
      <c r="I3738" s="25" t="n">
        <f aca="false">IFERROR(IF(INDEX(Documents!$C$5:$C$657,MATCH(H3738,Documents!$A$5:$A$657,0))="","",INDEX(Documents!$C$5:$C$657,MATCH(H3738,Documents!$A$5:$A$657,0))),"")</f>
        <v>2016</v>
      </c>
      <c r="J3738" s="25" t="str">
        <f aca="false">IFERROR(IF(INDEX(Documents!$D$5:$D$657,MATCH(H3738,Documents!$A$5:$A$657,0))="","",INDEX(Documents!$D$5:$D$657,MATCH(H3738,Documents!$A$5:$A$657,0))),"")</f>
        <v>Eur J Med Chem</v>
      </c>
      <c r="K3738" s="25" t="str">
        <f aca="false">IFERROR(IF(INDEX(Documents!$G$5:$G$657,MATCH(H3738,Documents!$A$5:$A$657,0))="","",INDEX(Documents!$G$5:$G$657,MATCH(H3738,Documents!$A$5:$A$657,0))),"")</f>
        <v>10.1016/j.ejmech.2016.05.011</v>
      </c>
      <c r="L3738" s="25" t="s">
        <v>1326</v>
      </c>
    </row>
    <row r="3739" customFormat="false" ht="15" hidden="false" customHeight="false" outlineLevel="0" collapsed="false">
      <c r="A3739" s="25" t="n">
        <v>2005038</v>
      </c>
      <c r="B3739" s="25" t="s">
        <v>7872</v>
      </c>
      <c r="C3739" s="25" t="s">
        <v>7873</v>
      </c>
      <c r="D3739" s="26" t="n">
        <v>26400</v>
      </c>
      <c r="E3739" s="27" t="n">
        <v>4.57839607313017</v>
      </c>
      <c r="F3739" s="27" t="n">
        <v>4.61083391563547</v>
      </c>
      <c r="G3739" s="25" t="s">
        <v>7874</v>
      </c>
      <c r="H3739" s="25" t="s">
        <v>7875</v>
      </c>
      <c r="I3739" s="25" t="n">
        <f aca="false">IFERROR(IF(INDEX(Documents!$C$5:$C$657,MATCH(H3739,Documents!$A$5:$A$657,0))="","",INDEX(Documents!$C$5:$C$657,MATCH(H3739,Documents!$A$5:$A$657,0))),"")</f>
        <v>2007</v>
      </c>
      <c r="J3739" s="25" t="str">
        <f aca="false">IFERROR(IF(INDEX(Documents!$D$5:$D$657,MATCH(H3739,Documents!$A$5:$A$657,0))="","",INDEX(Documents!$D$5:$D$657,MATCH(H3739,Documents!$A$5:$A$657,0))),"")</f>
        <v>J Med Chem</v>
      </c>
      <c r="K3739" s="25" t="str">
        <f aca="false">IFERROR(IF(INDEX(Documents!$G$5:$G$657,MATCH(H3739,Documents!$A$5:$A$657,0))="","",INDEX(Documents!$G$5:$G$657,MATCH(H3739,Documents!$A$5:$A$657,0))),"")</f>
        <v>10.1021/jm061490u</v>
      </c>
      <c r="L3739" s="25" t="s">
        <v>7876</v>
      </c>
    </row>
    <row r="3740" customFormat="false" ht="15" hidden="false" customHeight="false" outlineLevel="0" collapsed="false">
      <c r="A3740" s="25" t="n">
        <v>2005085</v>
      </c>
      <c r="B3740" s="25" t="s">
        <v>7872</v>
      </c>
      <c r="C3740" s="25" t="s">
        <v>7873</v>
      </c>
      <c r="D3740" s="26" t="n">
        <v>24500</v>
      </c>
      <c r="E3740" s="27" t="n">
        <v>4.61083391563547</v>
      </c>
      <c r="F3740" s="27" t="n">
        <v>4.61083391563547</v>
      </c>
      <c r="G3740" s="25" t="s">
        <v>7874</v>
      </c>
      <c r="H3740" s="25" t="s">
        <v>7875</v>
      </c>
      <c r="I3740" s="25" t="n">
        <f aca="false">IFERROR(IF(INDEX(Documents!$C$5:$C$657,MATCH(H3740,Documents!$A$5:$A$657,0))="","",INDEX(Documents!$C$5:$C$657,MATCH(H3740,Documents!$A$5:$A$657,0))),"")</f>
        <v>2007</v>
      </c>
      <c r="J3740" s="25" t="str">
        <f aca="false">IFERROR(IF(INDEX(Documents!$D$5:$D$657,MATCH(H3740,Documents!$A$5:$A$657,0))="","",INDEX(Documents!$D$5:$D$657,MATCH(H3740,Documents!$A$5:$A$657,0))),"")</f>
        <v>J Med Chem</v>
      </c>
      <c r="K3740" s="25" t="str">
        <f aca="false">IFERROR(IF(INDEX(Documents!$G$5:$G$657,MATCH(H3740,Documents!$A$5:$A$657,0))="","",INDEX(Documents!$G$5:$G$657,MATCH(H3740,Documents!$A$5:$A$657,0))),"")</f>
        <v>10.1021/jm061490u</v>
      </c>
      <c r="L3740" s="25" t="s">
        <v>7876</v>
      </c>
    </row>
    <row r="3741" customFormat="false" ht="15" hidden="false" customHeight="false" outlineLevel="0" collapsed="false">
      <c r="A3741" s="25" t="n">
        <v>2005088</v>
      </c>
      <c r="B3741" s="25" t="s">
        <v>7872</v>
      </c>
      <c r="C3741" s="25" t="s">
        <v>7873</v>
      </c>
      <c r="D3741" s="26" t="n">
        <v>21700</v>
      </c>
      <c r="E3741" s="27" t="n">
        <v>4.66354026615147</v>
      </c>
      <c r="F3741" s="27" t="n">
        <v>4.61083391563547</v>
      </c>
      <c r="G3741" s="25" t="s">
        <v>7874</v>
      </c>
      <c r="H3741" s="25" t="s">
        <v>7875</v>
      </c>
      <c r="I3741" s="25" t="n">
        <f aca="false">IFERROR(IF(INDEX(Documents!$C$5:$C$657,MATCH(H3741,Documents!$A$5:$A$657,0))="","",INDEX(Documents!$C$5:$C$657,MATCH(H3741,Documents!$A$5:$A$657,0))),"")</f>
        <v>2007</v>
      </c>
      <c r="J3741" s="25" t="str">
        <f aca="false">IFERROR(IF(INDEX(Documents!$D$5:$D$657,MATCH(H3741,Documents!$A$5:$A$657,0))="","",INDEX(Documents!$D$5:$D$657,MATCH(H3741,Documents!$A$5:$A$657,0))),"")</f>
        <v>J Med Chem</v>
      </c>
      <c r="K3741" s="25" t="str">
        <f aca="false">IFERROR(IF(INDEX(Documents!$G$5:$G$657,MATCH(H3741,Documents!$A$5:$A$657,0))="","",INDEX(Documents!$G$5:$G$657,MATCH(H3741,Documents!$A$5:$A$657,0))),"")</f>
        <v>10.1021/jm061490u</v>
      </c>
      <c r="L3741" s="25" t="s">
        <v>7876</v>
      </c>
    </row>
    <row r="3742" customFormat="false" ht="15" hidden="false" customHeight="false" outlineLevel="0" collapsed="false">
      <c r="A3742" s="25" t="n">
        <v>16511733</v>
      </c>
      <c r="B3742" s="25" t="s">
        <v>7877</v>
      </c>
      <c r="C3742" s="25" t="s">
        <v>7878</v>
      </c>
      <c r="D3742" s="26" t="n">
        <v>198</v>
      </c>
      <c r="E3742" s="27" t="n">
        <v>6.70333480973847</v>
      </c>
      <c r="F3742" s="27" t="n">
        <v>6.70333480973847</v>
      </c>
      <c r="G3742" s="25" t="s">
        <v>1336</v>
      </c>
      <c r="H3742" s="25" t="s">
        <v>1337</v>
      </c>
      <c r="I3742" s="25" t="n">
        <f aca="false">IFERROR(IF(INDEX(Documents!$C$5:$C$657,MATCH(H3742,Documents!$A$5:$A$657,0))="","",INDEX(Documents!$C$5:$C$657,MATCH(H3742,Documents!$A$5:$A$657,0))),"")</f>
        <v>2016</v>
      </c>
      <c r="J3742" s="25" t="str">
        <f aca="false">IFERROR(IF(INDEX(Documents!$D$5:$D$657,MATCH(H3742,Documents!$A$5:$A$657,0))="","",INDEX(Documents!$D$5:$D$657,MATCH(H3742,Documents!$A$5:$A$657,0))),"")</f>
        <v>Eur J Med Chem</v>
      </c>
      <c r="K3742" s="25" t="str">
        <f aca="false">IFERROR(IF(INDEX(Documents!$G$5:$G$657,MATCH(H3742,Documents!$A$5:$A$657,0))="","",INDEX(Documents!$G$5:$G$657,MATCH(H3742,Documents!$A$5:$A$657,0))),"")</f>
        <v>10.1016/j.ejmech.2016.02.005</v>
      </c>
      <c r="L3742" s="25" t="s">
        <v>1338</v>
      </c>
    </row>
    <row r="3743" customFormat="false" ht="15" hidden="false" customHeight="false" outlineLevel="0" collapsed="false">
      <c r="A3743" s="25" t="n">
        <v>10869153</v>
      </c>
      <c r="B3743" s="25" t="s">
        <v>7879</v>
      </c>
      <c r="C3743" s="25" t="s">
        <v>7880</v>
      </c>
      <c r="D3743" s="26" t="n">
        <v>3</v>
      </c>
      <c r="E3743" s="27" t="n">
        <v>8.52287874528034</v>
      </c>
      <c r="F3743" s="27" t="n">
        <v>8.52287874528034</v>
      </c>
      <c r="G3743" s="25" t="s">
        <v>1139</v>
      </c>
      <c r="H3743" s="25" t="s">
        <v>1140</v>
      </c>
      <c r="I3743" s="25" t="n">
        <f aca="false">IFERROR(IF(INDEX(Documents!$C$5:$C$657,MATCH(H3743,Documents!$A$5:$A$657,0))="","",INDEX(Documents!$C$5:$C$657,MATCH(H3743,Documents!$A$5:$A$657,0))),"")</f>
        <v>2012</v>
      </c>
      <c r="J3743" s="25" t="str">
        <f aca="false">IFERROR(IF(INDEX(Documents!$D$5:$D$657,MATCH(H3743,Documents!$A$5:$A$657,0))="","",INDEX(Documents!$D$5:$D$657,MATCH(H3743,Documents!$A$5:$A$657,0))),"")</f>
        <v>Bioorg Med Chem Lett</v>
      </c>
      <c r="K3743" s="25" t="str">
        <f aca="false">IFERROR(IF(INDEX(Documents!$G$5:$G$657,MATCH(H3743,Documents!$A$5:$A$657,0))="","",INDEX(Documents!$G$5:$G$657,MATCH(H3743,Documents!$A$5:$A$657,0))),"")</f>
        <v>10.1016/j.bmcl.2012.02.050</v>
      </c>
      <c r="L3743" s="25" t="s">
        <v>1141</v>
      </c>
    </row>
    <row r="3744" customFormat="false" ht="15" hidden="false" customHeight="false" outlineLevel="0" collapsed="false">
      <c r="A3744" s="25" t="n">
        <v>10869154</v>
      </c>
      <c r="B3744" s="25" t="s">
        <v>7881</v>
      </c>
      <c r="C3744" s="25" t="s">
        <v>7882</v>
      </c>
      <c r="D3744" s="26" t="n">
        <v>33</v>
      </c>
      <c r="E3744" s="27" t="n">
        <v>7.48148606012211</v>
      </c>
      <c r="F3744" s="27" t="n">
        <v>7.48148606012211</v>
      </c>
      <c r="G3744" s="25" t="s">
        <v>1139</v>
      </c>
      <c r="H3744" s="25" t="s">
        <v>1140</v>
      </c>
      <c r="I3744" s="25" t="n">
        <f aca="false">IFERROR(IF(INDEX(Documents!$C$5:$C$657,MATCH(H3744,Documents!$A$5:$A$657,0))="","",INDEX(Documents!$C$5:$C$657,MATCH(H3744,Documents!$A$5:$A$657,0))),"")</f>
        <v>2012</v>
      </c>
      <c r="J3744" s="25" t="str">
        <f aca="false">IFERROR(IF(INDEX(Documents!$D$5:$D$657,MATCH(H3744,Documents!$A$5:$A$657,0))="","",INDEX(Documents!$D$5:$D$657,MATCH(H3744,Documents!$A$5:$A$657,0))),"")</f>
        <v>Bioorg Med Chem Lett</v>
      </c>
      <c r="K3744" s="25" t="str">
        <f aca="false">IFERROR(IF(INDEX(Documents!$G$5:$G$657,MATCH(H3744,Documents!$A$5:$A$657,0))="","",INDEX(Documents!$G$5:$G$657,MATCH(H3744,Documents!$A$5:$A$657,0))),"")</f>
        <v>10.1016/j.bmcl.2012.02.050</v>
      </c>
      <c r="L3744" s="25" t="s">
        <v>1141</v>
      </c>
    </row>
    <row r="3745" customFormat="false" ht="15" hidden="false" customHeight="false" outlineLevel="0" collapsed="false">
      <c r="A3745" s="25" t="n">
        <v>13893564</v>
      </c>
      <c r="B3745" s="25" t="s">
        <v>7883</v>
      </c>
      <c r="C3745" s="25" t="s">
        <v>7884</v>
      </c>
      <c r="D3745" s="26" t="n">
        <v>1526</v>
      </c>
      <c r="E3745" s="27" t="n">
        <v>5.81644546638114</v>
      </c>
      <c r="F3745" s="27" t="n">
        <v>5.81644546638114</v>
      </c>
      <c r="G3745" s="25" t="s">
        <v>7885</v>
      </c>
      <c r="H3745" s="25" t="s">
        <v>7886</v>
      </c>
      <c r="I3745" s="25" t="n">
        <f aca="false">IFERROR(IF(INDEX(Documents!$C$5:$C$657,MATCH(H3745,Documents!$A$5:$A$657,0))="","",INDEX(Documents!$C$5:$C$657,MATCH(H3745,Documents!$A$5:$A$657,0))),"")</f>
        <v>2013</v>
      </c>
      <c r="J3745" s="25" t="str">
        <f aca="false">IFERROR(IF(INDEX(Documents!$D$5:$D$657,MATCH(H3745,Documents!$A$5:$A$657,0))="","",INDEX(Documents!$D$5:$D$657,MATCH(H3745,Documents!$A$5:$A$657,0))),"")</f>
        <v>J Med Chem</v>
      </c>
      <c r="K3745" s="25" t="str">
        <f aca="false">IFERROR(IF(INDEX(Documents!$G$5:$G$657,MATCH(H3745,Documents!$A$5:$A$657,0))="","",INDEX(Documents!$G$5:$G$657,MATCH(H3745,Documents!$A$5:$A$657,0))),"")</f>
        <v>10.1021/jm4010708</v>
      </c>
      <c r="L3745" s="25" t="s">
        <v>7887</v>
      </c>
    </row>
    <row r="3746" customFormat="false" ht="15" hidden="false" customHeight="false" outlineLevel="0" collapsed="false">
      <c r="A3746" s="25" t="n">
        <v>13893563</v>
      </c>
      <c r="B3746" s="25" t="s">
        <v>7888</v>
      </c>
      <c r="C3746" s="25" t="s">
        <v>7889</v>
      </c>
      <c r="D3746" s="26" t="n">
        <v>863</v>
      </c>
      <c r="E3746" s="27" t="n">
        <v>6.06398920428479</v>
      </c>
      <c r="F3746" s="27" t="n">
        <v>6.06398920428479</v>
      </c>
      <c r="G3746" s="25" t="s">
        <v>7885</v>
      </c>
      <c r="H3746" s="25" t="s">
        <v>7886</v>
      </c>
      <c r="I3746" s="25" t="n">
        <f aca="false">IFERROR(IF(INDEX(Documents!$C$5:$C$657,MATCH(H3746,Documents!$A$5:$A$657,0))="","",INDEX(Documents!$C$5:$C$657,MATCH(H3746,Documents!$A$5:$A$657,0))),"")</f>
        <v>2013</v>
      </c>
      <c r="J3746" s="25" t="str">
        <f aca="false">IFERROR(IF(INDEX(Documents!$D$5:$D$657,MATCH(H3746,Documents!$A$5:$A$657,0))="","",INDEX(Documents!$D$5:$D$657,MATCH(H3746,Documents!$A$5:$A$657,0))),"")</f>
        <v>J Med Chem</v>
      </c>
      <c r="K3746" s="25" t="str">
        <f aca="false">IFERROR(IF(INDEX(Documents!$G$5:$G$657,MATCH(H3746,Documents!$A$5:$A$657,0))="","",INDEX(Documents!$G$5:$G$657,MATCH(H3746,Documents!$A$5:$A$657,0))),"")</f>
        <v>10.1021/jm4010708</v>
      </c>
      <c r="L3746" s="25" t="s">
        <v>7887</v>
      </c>
    </row>
    <row r="3747" customFormat="false" ht="15" hidden="false" customHeight="false" outlineLevel="0" collapsed="false">
      <c r="A3747" s="25" t="n">
        <v>13893886</v>
      </c>
      <c r="B3747" s="25" t="s">
        <v>7890</v>
      </c>
      <c r="C3747" s="25" t="s">
        <v>7891</v>
      </c>
      <c r="D3747" s="26" t="n">
        <v>2080</v>
      </c>
      <c r="E3747" s="27" t="n">
        <v>5.68193666503724</v>
      </c>
      <c r="F3747" s="27" t="n">
        <v>5.68193666503724</v>
      </c>
      <c r="G3747" s="25" t="s">
        <v>7885</v>
      </c>
      <c r="H3747" s="25" t="s">
        <v>7886</v>
      </c>
      <c r="I3747" s="25" t="n">
        <f aca="false">IFERROR(IF(INDEX(Documents!$C$5:$C$657,MATCH(H3747,Documents!$A$5:$A$657,0))="","",INDEX(Documents!$C$5:$C$657,MATCH(H3747,Documents!$A$5:$A$657,0))),"")</f>
        <v>2013</v>
      </c>
      <c r="J3747" s="25" t="str">
        <f aca="false">IFERROR(IF(INDEX(Documents!$D$5:$D$657,MATCH(H3747,Documents!$A$5:$A$657,0))="","",INDEX(Documents!$D$5:$D$657,MATCH(H3747,Documents!$A$5:$A$657,0))),"")</f>
        <v>J Med Chem</v>
      </c>
      <c r="K3747" s="25" t="str">
        <f aca="false">IFERROR(IF(INDEX(Documents!$G$5:$G$657,MATCH(H3747,Documents!$A$5:$A$657,0))="","",INDEX(Documents!$G$5:$G$657,MATCH(H3747,Documents!$A$5:$A$657,0))),"")</f>
        <v>10.1021/jm4010708</v>
      </c>
      <c r="L3747" s="25" t="s">
        <v>7887</v>
      </c>
    </row>
    <row r="3748" customFormat="false" ht="15" hidden="false" customHeight="false" outlineLevel="0" collapsed="false">
      <c r="A3748" s="25" t="n">
        <v>13893888</v>
      </c>
      <c r="B3748" s="25" t="s">
        <v>7892</v>
      </c>
      <c r="C3748" s="25" t="s">
        <v>7893</v>
      </c>
      <c r="D3748" s="26" t="n">
        <v>1260</v>
      </c>
      <c r="E3748" s="27" t="n">
        <v>5.89962945488244</v>
      </c>
      <c r="F3748" s="27" t="n">
        <v>5.89962945488244</v>
      </c>
      <c r="G3748" s="25" t="s">
        <v>7885</v>
      </c>
      <c r="H3748" s="25" t="s">
        <v>7886</v>
      </c>
      <c r="I3748" s="25" t="n">
        <f aca="false">IFERROR(IF(INDEX(Documents!$C$5:$C$657,MATCH(H3748,Documents!$A$5:$A$657,0))="","",INDEX(Documents!$C$5:$C$657,MATCH(H3748,Documents!$A$5:$A$657,0))),"")</f>
        <v>2013</v>
      </c>
      <c r="J3748" s="25" t="str">
        <f aca="false">IFERROR(IF(INDEX(Documents!$D$5:$D$657,MATCH(H3748,Documents!$A$5:$A$657,0))="","",INDEX(Documents!$D$5:$D$657,MATCH(H3748,Documents!$A$5:$A$657,0))),"")</f>
        <v>J Med Chem</v>
      </c>
      <c r="K3748" s="25" t="str">
        <f aca="false">IFERROR(IF(INDEX(Documents!$G$5:$G$657,MATCH(H3748,Documents!$A$5:$A$657,0))="","",INDEX(Documents!$G$5:$G$657,MATCH(H3748,Documents!$A$5:$A$657,0))),"")</f>
        <v>10.1021/jm4010708</v>
      </c>
      <c r="L3748" s="25" t="s">
        <v>7887</v>
      </c>
    </row>
    <row r="3749" customFormat="false" ht="15" hidden="false" customHeight="false" outlineLevel="0" collapsed="false">
      <c r="A3749" s="25" t="n">
        <v>13893562</v>
      </c>
      <c r="B3749" s="25" t="s">
        <v>7894</v>
      </c>
      <c r="C3749" s="25" t="s">
        <v>7895</v>
      </c>
      <c r="D3749" s="26" t="n">
        <v>801</v>
      </c>
      <c r="E3749" s="27" t="n">
        <v>6.09636748391576</v>
      </c>
      <c r="F3749" s="27" t="n">
        <v>6.09636748391576</v>
      </c>
      <c r="G3749" s="25" t="s">
        <v>7885</v>
      </c>
      <c r="H3749" s="25" t="s">
        <v>7886</v>
      </c>
      <c r="I3749" s="25" t="n">
        <f aca="false">IFERROR(IF(INDEX(Documents!$C$5:$C$657,MATCH(H3749,Documents!$A$5:$A$657,0))="","",INDEX(Documents!$C$5:$C$657,MATCH(H3749,Documents!$A$5:$A$657,0))),"")</f>
        <v>2013</v>
      </c>
      <c r="J3749" s="25" t="str">
        <f aca="false">IFERROR(IF(INDEX(Documents!$D$5:$D$657,MATCH(H3749,Documents!$A$5:$A$657,0))="","",INDEX(Documents!$D$5:$D$657,MATCH(H3749,Documents!$A$5:$A$657,0))),"")</f>
        <v>J Med Chem</v>
      </c>
      <c r="K3749" s="25" t="str">
        <f aca="false">IFERROR(IF(INDEX(Documents!$G$5:$G$657,MATCH(H3749,Documents!$A$5:$A$657,0))="","",INDEX(Documents!$G$5:$G$657,MATCH(H3749,Documents!$A$5:$A$657,0))),"")</f>
        <v>10.1021/jm4010708</v>
      </c>
      <c r="L3749" s="25" t="s">
        <v>7887</v>
      </c>
    </row>
    <row r="3750" customFormat="false" ht="15" hidden="false" customHeight="false" outlineLevel="0" collapsed="false">
      <c r="A3750" s="25" t="n">
        <v>2355498</v>
      </c>
      <c r="B3750" s="25" t="s">
        <v>7896</v>
      </c>
      <c r="C3750" s="25" t="s">
        <v>7897</v>
      </c>
      <c r="D3750" s="26" t="n">
        <v>9</v>
      </c>
      <c r="E3750" s="27" t="n">
        <v>8.04575749056068</v>
      </c>
      <c r="F3750" s="27" t="n">
        <v>8.04575749056068</v>
      </c>
      <c r="G3750" s="25" t="s">
        <v>773</v>
      </c>
      <c r="H3750" s="25" t="s">
        <v>774</v>
      </c>
      <c r="I3750" s="25" t="n">
        <f aca="false">IFERROR(IF(INDEX(Documents!$C$5:$C$657,MATCH(H3750,Documents!$A$5:$A$657,0))="","",INDEX(Documents!$C$5:$C$657,MATCH(H3750,Documents!$A$5:$A$657,0))),"")</f>
        <v>2008</v>
      </c>
      <c r="J3750" s="25" t="str">
        <f aca="false">IFERROR(IF(INDEX(Documents!$D$5:$D$657,MATCH(H3750,Documents!$A$5:$A$657,0))="","",INDEX(Documents!$D$5:$D$657,MATCH(H3750,Documents!$A$5:$A$657,0))),"")</f>
        <v>Bioorg Med Chem Lett</v>
      </c>
      <c r="K3750" s="25" t="str">
        <f aca="false">IFERROR(IF(INDEX(Documents!$G$5:$G$657,MATCH(H3750,Documents!$A$5:$A$657,0))="","",INDEX(Documents!$G$5:$G$657,MATCH(H3750,Documents!$A$5:$A$657,0))),"")</f>
        <v>10.1016/j.bmcl.2008.04.032</v>
      </c>
      <c r="L3750" s="25" t="s">
        <v>775</v>
      </c>
    </row>
    <row r="3751" customFormat="false" ht="15" hidden="false" customHeight="false" outlineLevel="0" collapsed="false">
      <c r="A3751" s="25" t="n">
        <v>2355500</v>
      </c>
      <c r="B3751" s="25" t="s">
        <v>7898</v>
      </c>
      <c r="C3751" s="25" t="s">
        <v>7899</v>
      </c>
      <c r="D3751" s="26" t="n">
        <v>7</v>
      </c>
      <c r="E3751" s="27" t="n">
        <v>8.15490195998574</v>
      </c>
      <c r="F3751" s="27" t="n">
        <v>8.15490195998574</v>
      </c>
      <c r="G3751" s="25" t="s">
        <v>773</v>
      </c>
      <c r="H3751" s="25" t="s">
        <v>774</v>
      </c>
      <c r="I3751" s="25" t="n">
        <f aca="false">IFERROR(IF(INDEX(Documents!$C$5:$C$657,MATCH(H3751,Documents!$A$5:$A$657,0))="","",INDEX(Documents!$C$5:$C$657,MATCH(H3751,Documents!$A$5:$A$657,0))),"")</f>
        <v>2008</v>
      </c>
      <c r="J3751" s="25" t="str">
        <f aca="false">IFERROR(IF(INDEX(Documents!$D$5:$D$657,MATCH(H3751,Documents!$A$5:$A$657,0))="","",INDEX(Documents!$D$5:$D$657,MATCH(H3751,Documents!$A$5:$A$657,0))),"")</f>
        <v>Bioorg Med Chem Lett</v>
      </c>
      <c r="K3751" s="25" t="str">
        <f aca="false">IFERROR(IF(INDEX(Documents!$G$5:$G$657,MATCH(H3751,Documents!$A$5:$A$657,0))="","",INDEX(Documents!$G$5:$G$657,MATCH(H3751,Documents!$A$5:$A$657,0))),"")</f>
        <v>10.1016/j.bmcl.2008.04.032</v>
      </c>
      <c r="L3751" s="25" t="s">
        <v>775</v>
      </c>
    </row>
    <row r="3752" customFormat="false" ht="15" hidden="false" customHeight="false" outlineLevel="0" collapsed="false">
      <c r="A3752" s="25" t="n">
        <v>1898192</v>
      </c>
      <c r="B3752" s="25" t="s">
        <v>7900</v>
      </c>
      <c r="C3752" s="25" t="s">
        <v>7901</v>
      </c>
      <c r="D3752" s="26" t="n">
        <v>5100</v>
      </c>
      <c r="E3752" s="27" t="n">
        <v>5.29242982390206</v>
      </c>
      <c r="F3752" s="27" t="n">
        <v>5.29242982390206</v>
      </c>
      <c r="G3752" s="25" t="s">
        <v>4539</v>
      </c>
      <c r="H3752" s="25" t="s">
        <v>4540</v>
      </c>
      <c r="I3752" s="25" t="n">
        <f aca="false">IFERROR(IF(INDEX(Documents!$C$5:$C$657,MATCH(H3752,Documents!$A$5:$A$657,0))="","",INDEX(Documents!$C$5:$C$657,MATCH(H3752,Documents!$A$5:$A$657,0))),"")</f>
        <v>2007</v>
      </c>
      <c r="J3752" s="25" t="str">
        <f aca="false">IFERROR(IF(INDEX(Documents!$D$5:$D$657,MATCH(H3752,Documents!$A$5:$A$657,0))="","",INDEX(Documents!$D$5:$D$657,MATCH(H3752,Documents!$A$5:$A$657,0))),"")</f>
        <v>Bioorg Med Chem Lett</v>
      </c>
      <c r="K3752" s="25" t="str">
        <f aca="false">IFERROR(IF(INDEX(Documents!$G$5:$G$657,MATCH(H3752,Documents!$A$5:$A$657,0))="","",INDEX(Documents!$G$5:$G$657,MATCH(H3752,Documents!$A$5:$A$657,0))),"")</f>
        <v>10.1016/j.bmcl.2007.03.011</v>
      </c>
      <c r="L3752" s="25" t="s">
        <v>4541</v>
      </c>
    </row>
    <row r="3753" customFormat="false" ht="15" hidden="false" customHeight="false" outlineLevel="0" collapsed="false">
      <c r="A3753" s="25" t="n">
        <v>10869151</v>
      </c>
      <c r="B3753" s="25" t="s">
        <v>7902</v>
      </c>
      <c r="C3753" s="25" t="s">
        <v>7903</v>
      </c>
      <c r="D3753" s="26" t="n">
        <v>111</v>
      </c>
      <c r="E3753" s="27" t="n">
        <v>6.95467702121334</v>
      </c>
      <c r="F3753" s="27" t="n">
        <v>6.95467702121334</v>
      </c>
      <c r="G3753" s="25" t="s">
        <v>1139</v>
      </c>
      <c r="H3753" s="25" t="s">
        <v>1140</v>
      </c>
      <c r="I3753" s="25" t="n">
        <f aca="false">IFERROR(IF(INDEX(Documents!$C$5:$C$657,MATCH(H3753,Documents!$A$5:$A$657,0))="","",INDEX(Documents!$C$5:$C$657,MATCH(H3753,Documents!$A$5:$A$657,0))),"")</f>
        <v>2012</v>
      </c>
      <c r="J3753" s="25" t="str">
        <f aca="false">IFERROR(IF(INDEX(Documents!$D$5:$D$657,MATCH(H3753,Documents!$A$5:$A$657,0))="","",INDEX(Documents!$D$5:$D$657,MATCH(H3753,Documents!$A$5:$A$657,0))),"")</f>
        <v>Bioorg Med Chem Lett</v>
      </c>
      <c r="K3753" s="25" t="str">
        <f aca="false">IFERROR(IF(INDEX(Documents!$G$5:$G$657,MATCH(H3753,Documents!$A$5:$A$657,0))="","",INDEX(Documents!$G$5:$G$657,MATCH(H3753,Documents!$A$5:$A$657,0))),"")</f>
        <v>10.1016/j.bmcl.2012.02.050</v>
      </c>
      <c r="L3753" s="25" t="s">
        <v>1141</v>
      </c>
    </row>
    <row r="3754" customFormat="false" ht="15" hidden="false" customHeight="false" outlineLevel="0" collapsed="false">
      <c r="A3754" s="25" t="n">
        <v>10869152</v>
      </c>
      <c r="B3754" s="25" t="s">
        <v>7904</v>
      </c>
      <c r="C3754" s="25" t="s">
        <v>7905</v>
      </c>
      <c r="D3754" s="26" t="n">
        <v>1.2</v>
      </c>
      <c r="E3754" s="27" t="n">
        <v>8.92081875395238</v>
      </c>
      <c r="F3754" s="27" t="n">
        <v>8.92081875395238</v>
      </c>
      <c r="G3754" s="25" t="s">
        <v>1139</v>
      </c>
      <c r="H3754" s="25" t="s">
        <v>1140</v>
      </c>
      <c r="I3754" s="25" t="n">
        <f aca="false">IFERROR(IF(INDEX(Documents!$C$5:$C$657,MATCH(H3754,Documents!$A$5:$A$657,0))="","",INDEX(Documents!$C$5:$C$657,MATCH(H3754,Documents!$A$5:$A$657,0))),"")</f>
        <v>2012</v>
      </c>
      <c r="J3754" s="25" t="str">
        <f aca="false">IFERROR(IF(INDEX(Documents!$D$5:$D$657,MATCH(H3754,Documents!$A$5:$A$657,0))="","",INDEX(Documents!$D$5:$D$657,MATCH(H3754,Documents!$A$5:$A$657,0))),"")</f>
        <v>Bioorg Med Chem Lett</v>
      </c>
      <c r="K3754" s="25" t="str">
        <f aca="false">IFERROR(IF(INDEX(Documents!$G$5:$G$657,MATCH(H3754,Documents!$A$5:$A$657,0))="","",INDEX(Documents!$G$5:$G$657,MATCH(H3754,Documents!$A$5:$A$657,0))),"")</f>
        <v>10.1016/j.bmcl.2012.02.050</v>
      </c>
      <c r="L3754" s="25" t="s">
        <v>1141</v>
      </c>
    </row>
    <row r="3755" customFormat="false" ht="15" hidden="false" customHeight="false" outlineLevel="0" collapsed="false">
      <c r="A3755" s="25" t="n">
        <v>1898185</v>
      </c>
      <c r="B3755" s="25" t="s">
        <v>7906</v>
      </c>
      <c r="C3755" s="25" t="s">
        <v>7907</v>
      </c>
      <c r="D3755" s="26" t="n">
        <v>5300</v>
      </c>
      <c r="E3755" s="27" t="n">
        <v>5.27572413039921</v>
      </c>
      <c r="F3755" s="27" t="n">
        <v>5.27572413039921</v>
      </c>
      <c r="G3755" s="25" t="s">
        <v>4539</v>
      </c>
      <c r="H3755" s="25" t="s">
        <v>4540</v>
      </c>
      <c r="I3755" s="25" t="n">
        <f aca="false">IFERROR(IF(INDEX(Documents!$C$5:$C$657,MATCH(H3755,Documents!$A$5:$A$657,0))="","",INDEX(Documents!$C$5:$C$657,MATCH(H3755,Documents!$A$5:$A$657,0))),"")</f>
        <v>2007</v>
      </c>
      <c r="J3755" s="25" t="str">
        <f aca="false">IFERROR(IF(INDEX(Documents!$D$5:$D$657,MATCH(H3755,Documents!$A$5:$A$657,0))="","",INDEX(Documents!$D$5:$D$657,MATCH(H3755,Documents!$A$5:$A$657,0))),"")</f>
        <v>Bioorg Med Chem Lett</v>
      </c>
      <c r="K3755" s="25" t="str">
        <f aca="false">IFERROR(IF(INDEX(Documents!$G$5:$G$657,MATCH(H3755,Documents!$A$5:$A$657,0))="","",INDEX(Documents!$G$5:$G$657,MATCH(H3755,Documents!$A$5:$A$657,0))),"")</f>
        <v>10.1016/j.bmcl.2007.03.011</v>
      </c>
      <c r="L3755" s="25" t="s">
        <v>4541</v>
      </c>
    </row>
    <row r="3756" customFormat="false" ht="15" hidden="false" customHeight="false" outlineLevel="0" collapsed="false">
      <c r="A3756" s="25" t="n">
        <v>13893567</v>
      </c>
      <c r="B3756" s="25" t="s">
        <v>7908</v>
      </c>
      <c r="C3756" s="25" t="s">
        <v>7909</v>
      </c>
      <c r="D3756" s="26" t="n">
        <v>2637</v>
      </c>
      <c r="E3756" s="27" t="n">
        <v>5.57888987020657</v>
      </c>
      <c r="F3756" s="27" t="n">
        <v>5.57888987020657</v>
      </c>
      <c r="G3756" s="25" t="s">
        <v>7885</v>
      </c>
      <c r="H3756" s="25" t="s">
        <v>7886</v>
      </c>
      <c r="I3756" s="25" t="n">
        <f aca="false">IFERROR(IF(INDEX(Documents!$C$5:$C$657,MATCH(H3756,Documents!$A$5:$A$657,0))="","",INDEX(Documents!$C$5:$C$657,MATCH(H3756,Documents!$A$5:$A$657,0))),"")</f>
        <v>2013</v>
      </c>
      <c r="J3756" s="25" t="str">
        <f aca="false">IFERROR(IF(INDEX(Documents!$D$5:$D$657,MATCH(H3756,Documents!$A$5:$A$657,0))="","",INDEX(Documents!$D$5:$D$657,MATCH(H3756,Documents!$A$5:$A$657,0))),"")</f>
        <v>J Med Chem</v>
      </c>
      <c r="K3756" s="25" t="str">
        <f aca="false">IFERROR(IF(INDEX(Documents!$G$5:$G$657,MATCH(H3756,Documents!$A$5:$A$657,0))="","",INDEX(Documents!$G$5:$G$657,MATCH(H3756,Documents!$A$5:$A$657,0))),"")</f>
        <v>10.1021/jm4010708</v>
      </c>
      <c r="L3756" s="25" t="s">
        <v>7887</v>
      </c>
    </row>
    <row r="3757" customFormat="false" ht="15" hidden="false" customHeight="false" outlineLevel="0" collapsed="false">
      <c r="A3757" s="25" t="n">
        <v>2355492</v>
      </c>
      <c r="B3757" s="25" t="s">
        <v>7910</v>
      </c>
      <c r="C3757" s="25" t="s">
        <v>7911</v>
      </c>
      <c r="D3757" s="26" t="n">
        <v>484</v>
      </c>
      <c r="E3757" s="27" t="n">
        <v>6.31515463835559</v>
      </c>
      <c r="F3757" s="27" t="n">
        <v>6.31515463835559</v>
      </c>
      <c r="G3757" s="25" t="s">
        <v>773</v>
      </c>
      <c r="H3757" s="25" t="s">
        <v>774</v>
      </c>
      <c r="I3757" s="25" t="n">
        <f aca="false">IFERROR(IF(INDEX(Documents!$C$5:$C$657,MATCH(H3757,Documents!$A$5:$A$657,0))="","",INDEX(Documents!$C$5:$C$657,MATCH(H3757,Documents!$A$5:$A$657,0))),"")</f>
        <v>2008</v>
      </c>
      <c r="J3757" s="25" t="str">
        <f aca="false">IFERROR(IF(INDEX(Documents!$D$5:$D$657,MATCH(H3757,Documents!$A$5:$A$657,0))="","",INDEX(Documents!$D$5:$D$657,MATCH(H3757,Documents!$A$5:$A$657,0))),"")</f>
        <v>Bioorg Med Chem Lett</v>
      </c>
      <c r="K3757" s="25" t="str">
        <f aca="false">IFERROR(IF(INDEX(Documents!$G$5:$G$657,MATCH(H3757,Documents!$A$5:$A$657,0))="","",INDEX(Documents!$G$5:$G$657,MATCH(H3757,Documents!$A$5:$A$657,0))),"")</f>
        <v>10.1016/j.bmcl.2008.04.032</v>
      </c>
      <c r="L3757" s="25" t="s">
        <v>775</v>
      </c>
    </row>
    <row r="3758" customFormat="false" ht="15" hidden="false" customHeight="false" outlineLevel="0" collapsed="false">
      <c r="A3758" s="25" t="n">
        <v>1898188</v>
      </c>
      <c r="B3758" s="25" t="s">
        <v>7912</v>
      </c>
      <c r="C3758" s="25" t="s">
        <v>7913</v>
      </c>
      <c r="D3758" s="26" t="n">
        <v>6300</v>
      </c>
      <c r="E3758" s="27" t="n">
        <v>5.20065945054642</v>
      </c>
      <c r="F3758" s="27" t="n">
        <v>5.20065945054642</v>
      </c>
      <c r="G3758" s="25" t="s">
        <v>4539</v>
      </c>
      <c r="H3758" s="25" t="s">
        <v>4540</v>
      </c>
      <c r="I3758" s="25" t="n">
        <f aca="false">IFERROR(IF(INDEX(Documents!$C$5:$C$657,MATCH(H3758,Documents!$A$5:$A$657,0))="","",INDEX(Documents!$C$5:$C$657,MATCH(H3758,Documents!$A$5:$A$657,0))),"")</f>
        <v>2007</v>
      </c>
      <c r="J3758" s="25" t="str">
        <f aca="false">IFERROR(IF(INDEX(Documents!$D$5:$D$657,MATCH(H3758,Documents!$A$5:$A$657,0))="","",INDEX(Documents!$D$5:$D$657,MATCH(H3758,Documents!$A$5:$A$657,0))),"")</f>
        <v>Bioorg Med Chem Lett</v>
      </c>
      <c r="K3758" s="25" t="str">
        <f aca="false">IFERROR(IF(INDEX(Documents!$G$5:$G$657,MATCH(H3758,Documents!$A$5:$A$657,0))="","",INDEX(Documents!$G$5:$G$657,MATCH(H3758,Documents!$A$5:$A$657,0))),"")</f>
        <v>10.1016/j.bmcl.2007.03.011</v>
      </c>
      <c r="L3758" s="25" t="s">
        <v>4541</v>
      </c>
    </row>
    <row r="3759" customFormat="false" ht="15" hidden="false" customHeight="false" outlineLevel="0" collapsed="false">
      <c r="A3759" s="25" t="n">
        <v>1898190</v>
      </c>
      <c r="B3759" s="25" t="s">
        <v>7914</v>
      </c>
      <c r="C3759" s="25" t="s">
        <v>7915</v>
      </c>
      <c r="D3759" s="26" t="n">
        <v>1200</v>
      </c>
      <c r="E3759" s="27" t="n">
        <v>5.92081875395238</v>
      </c>
      <c r="F3759" s="27" t="n">
        <v>5.92081875395238</v>
      </c>
      <c r="G3759" s="25" t="s">
        <v>4539</v>
      </c>
      <c r="H3759" s="25" t="s">
        <v>4540</v>
      </c>
      <c r="I3759" s="25" t="n">
        <f aca="false">IFERROR(IF(INDEX(Documents!$C$5:$C$657,MATCH(H3759,Documents!$A$5:$A$657,0))="","",INDEX(Documents!$C$5:$C$657,MATCH(H3759,Documents!$A$5:$A$657,0))),"")</f>
        <v>2007</v>
      </c>
      <c r="J3759" s="25" t="str">
        <f aca="false">IFERROR(IF(INDEX(Documents!$D$5:$D$657,MATCH(H3759,Documents!$A$5:$A$657,0))="","",INDEX(Documents!$D$5:$D$657,MATCH(H3759,Documents!$A$5:$A$657,0))),"")</f>
        <v>Bioorg Med Chem Lett</v>
      </c>
      <c r="K3759" s="25" t="str">
        <f aca="false">IFERROR(IF(INDEX(Documents!$G$5:$G$657,MATCH(H3759,Documents!$A$5:$A$657,0))="","",INDEX(Documents!$G$5:$G$657,MATCH(H3759,Documents!$A$5:$A$657,0))),"")</f>
        <v>10.1016/j.bmcl.2007.03.011</v>
      </c>
      <c r="L3759" s="25" t="s">
        <v>4541</v>
      </c>
    </row>
    <row r="3760" customFormat="false" ht="15" hidden="false" customHeight="false" outlineLevel="0" collapsed="false">
      <c r="A3760" s="25" t="n">
        <v>18461267</v>
      </c>
      <c r="B3760" s="25" t="s">
        <v>7916</v>
      </c>
      <c r="C3760" s="25" t="s">
        <v>7917</v>
      </c>
      <c r="D3760" s="26" t="n">
        <v>49800</v>
      </c>
      <c r="E3760" s="27" t="n">
        <v>4.30277065724028</v>
      </c>
      <c r="F3760" s="27" t="n">
        <v>4.30277065724028</v>
      </c>
      <c r="G3760" s="25" t="s">
        <v>7918</v>
      </c>
      <c r="H3760" s="25" t="s">
        <v>7919</v>
      </c>
      <c r="I3760" s="25" t="n">
        <f aca="false">IFERROR(IF(INDEX(Documents!$C$5:$C$657,MATCH(H3760,Documents!$A$5:$A$657,0))="","",INDEX(Documents!$C$5:$C$657,MATCH(H3760,Documents!$A$5:$A$657,0))),"")</f>
        <v>2017</v>
      </c>
      <c r="J3760" s="25" t="str">
        <f aca="false">IFERROR(IF(INDEX(Documents!$D$5:$D$657,MATCH(H3760,Documents!$A$5:$A$657,0))="","",INDEX(Documents!$D$5:$D$657,MATCH(H3760,Documents!$A$5:$A$657,0))),"")</f>
        <v>Bioorg Med Chem</v>
      </c>
      <c r="K3760" s="25" t="str">
        <f aca="false">IFERROR(IF(INDEX(Documents!$G$5:$G$657,MATCH(H3760,Documents!$A$5:$A$657,0))="","",INDEX(Documents!$G$5:$G$657,MATCH(H3760,Documents!$A$5:$A$657,0))),"")</f>
        <v>10.1016/j.bmc.2017.10.015</v>
      </c>
      <c r="L3760" s="25" t="s">
        <v>7920</v>
      </c>
    </row>
    <row r="3761" customFormat="false" ht="15" hidden="false" customHeight="false" outlineLevel="0" collapsed="false">
      <c r="A3761" s="25" t="n">
        <v>18461268</v>
      </c>
      <c r="B3761" s="25" t="s">
        <v>7921</v>
      </c>
      <c r="C3761" s="25" t="s">
        <v>7922</v>
      </c>
      <c r="D3761" s="26" t="n">
        <v>52600</v>
      </c>
      <c r="E3761" s="27" t="n">
        <v>4.27901425584626</v>
      </c>
      <c r="F3761" s="27" t="n">
        <v>4.27901425584626</v>
      </c>
      <c r="G3761" s="25" t="s">
        <v>7918</v>
      </c>
      <c r="H3761" s="25" t="s">
        <v>7919</v>
      </c>
      <c r="I3761" s="25" t="n">
        <f aca="false">IFERROR(IF(INDEX(Documents!$C$5:$C$657,MATCH(H3761,Documents!$A$5:$A$657,0))="","",INDEX(Documents!$C$5:$C$657,MATCH(H3761,Documents!$A$5:$A$657,0))),"")</f>
        <v>2017</v>
      </c>
      <c r="J3761" s="25" t="str">
        <f aca="false">IFERROR(IF(INDEX(Documents!$D$5:$D$657,MATCH(H3761,Documents!$A$5:$A$657,0))="","",INDEX(Documents!$D$5:$D$657,MATCH(H3761,Documents!$A$5:$A$657,0))),"")</f>
        <v>Bioorg Med Chem</v>
      </c>
      <c r="K3761" s="25" t="str">
        <f aca="false">IFERROR(IF(INDEX(Documents!$G$5:$G$657,MATCH(H3761,Documents!$A$5:$A$657,0))="","",INDEX(Documents!$G$5:$G$657,MATCH(H3761,Documents!$A$5:$A$657,0))),"")</f>
        <v>10.1016/j.bmc.2017.10.015</v>
      </c>
      <c r="L3761" s="25" t="s">
        <v>7920</v>
      </c>
    </row>
    <row r="3762" customFormat="false" ht="15" hidden="false" customHeight="false" outlineLevel="0" collapsed="false">
      <c r="A3762" s="25" t="n">
        <v>18673927</v>
      </c>
      <c r="B3762" s="25" t="s">
        <v>7923</v>
      </c>
      <c r="C3762" s="25" t="s">
        <v>7924</v>
      </c>
      <c r="D3762" s="26" t="n">
        <v>4200</v>
      </c>
      <c r="E3762" s="27" t="n">
        <v>5.3767507096021</v>
      </c>
      <c r="F3762" s="27" t="n">
        <v>5.3767507096021</v>
      </c>
      <c r="G3762" s="25" t="s">
        <v>664</v>
      </c>
      <c r="H3762" s="25" t="s">
        <v>665</v>
      </c>
      <c r="I3762" s="25" t="n">
        <f aca="false">IFERROR(IF(INDEX(Documents!$C$5:$C$657,MATCH(H3762,Documents!$A$5:$A$657,0))="","",INDEX(Documents!$C$5:$C$657,MATCH(H3762,Documents!$A$5:$A$657,0))),"")</f>
        <v>2018</v>
      </c>
      <c r="J3762" s="25" t="str">
        <f aca="false">IFERROR(IF(INDEX(Documents!$D$5:$D$657,MATCH(H3762,Documents!$A$5:$A$657,0))="","",INDEX(Documents!$D$5:$D$657,MATCH(H3762,Documents!$A$5:$A$657,0))),"")</f>
        <v>Bioorg Med Chem</v>
      </c>
      <c r="K3762" s="25" t="str">
        <f aca="false">IFERROR(IF(INDEX(Documents!$G$5:$G$657,MATCH(H3762,Documents!$A$5:$A$657,0))="","",INDEX(Documents!$G$5:$G$657,MATCH(H3762,Documents!$A$5:$A$657,0))),"")</f>
        <v>10.1016/j.bmc.2018.07.043</v>
      </c>
      <c r="L3762" s="25" t="s">
        <v>666</v>
      </c>
    </row>
    <row r="3763" customFormat="false" ht="15" hidden="false" customHeight="false" outlineLevel="0" collapsed="false">
      <c r="A3763" s="25" t="n">
        <v>18673928</v>
      </c>
      <c r="B3763" s="25" t="s">
        <v>7925</v>
      </c>
      <c r="C3763" s="25" t="s">
        <v>7926</v>
      </c>
      <c r="D3763" s="26" t="n">
        <v>2000</v>
      </c>
      <c r="E3763" s="27" t="n">
        <v>5.69897000433602</v>
      </c>
      <c r="F3763" s="27" t="n">
        <v>5.69897000433602</v>
      </c>
      <c r="G3763" s="25" t="s">
        <v>664</v>
      </c>
      <c r="H3763" s="25" t="s">
        <v>665</v>
      </c>
      <c r="I3763" s="25" t="n">
        <f aca="false">IFERROR(IF(INDEX(Documents!$C$5:$C$657,MATCH(H3763,Documents!$A$5:$A$657,0))="","",INDEX(Documents!$C$5:$C$657,MATCH(H3763,Documents!$A$5:$A$657,0))),"")</f>
        <v>2018</v>
      </c>
      <c r="J3763" s="25" t="str">
        <f aca="false">IFERROR(IF(INDEX(Documents!$D$5:$D$657,MATCH(H3763,Documents!$A$5:$A$657,0))="","",INDEX(Documents!$D$5:$D$657,MATCH(H3763,Documents!$A$5:$A$657,0))),"")</f>
        <v>Bioorg Med Chem</v>
      </c>
      <c r="K3763" s="25" t="str">
        <f aca="false">IFERROR(IF(INDEX(Documents!$G$5:$G$657,MATCH(H3763,Documents!$A$5:$A$657,0))="","",INDEX(Documents!$G$5:$G$657,MATCH(H3763,Documents!$A$5:$A$657,0))),"")</f>
        <v>10.1016/j.bmc.2018.07.043</v>
      </c>
      <c r="L3763" s="25" t="s">
        <v>666</v>
      </c>
    </row>
    <row r="3764" customFormat="false" ht="15" hidden="false" customHeight="false" outlineLevel="0" collapsed="false">
      <c r="A3764" s="25" t="n">
        <v>18673926</v>
      </c>
      <c r="B3764" s="25" t="s">
        <v>7927</v>
      </c>
      <c r="C3764" s="25" t="s">
        <v>7928</v>
      </c>
      <c r="D3764" s="26" t="n">
        <v>3200</v>
      </c>
      <c r="E3764" s="27" t="n">
        <v>5.49485002168009</v>
      </c>
      <c r="F3764" s="27" t="n">
        <v>5.49485002168009</v>
      </c>
      <c r="G3764" s="25" t="s">
        <v>664</v>
      </c>
      <c r="H3764" s="25" t="s">
        <v>665</v>
      </c>
      <c r="I3764" s="25" t="n">
        <f aca="false">IFERROR(IF(INDEX(Documents!$C$5:$C$657,MATCH(H3764,Documents!$A$5:$A$657,0))="","",INDEX(Documents!$C$5:$C$657,MATCH(H3764,Documents!$A$5:$A$657,0))),"")</f>
        <v>2018</v>
      </c>
      <c r="J3764" s="25" t="str">
        <f aca="false">IFERROR(IF(INDEX(Documents!$D$5:$D$657,MATCH(H3764,Documents!$A$5:$A$657,0))="","",INDEX(Documents!$D$5:$D$657,MATCH(H3764,Documents!$A$5:$A$657,0))),"")</f>
        <v>Bioorg Med Chem</v>
      </c>
      <c r="K3764" s="25" t="str">
        <f aca="false">IFERROR(IF(INDEX(Documents!$G$5:$G$657,MATCH(H3764,Documents!$A$5:$A$657,0))="","",INDEX(Documents!$G$5:$G$657,MATCH(H3764,Documents!$A$5:$A$657,0))),"")</f>
        <v>10.1016/j.bmc.2018.07.043</v>
      </c>
      <c r="L3764" s="25" t="s">
        <v>666</v>
      </c>
    </row>
    <row r="3765" customFormat="false" ht="15" hidden="false" customHeight="false" outlineLevel="0" collapsed="false">
      <c r="A3765" s="25" t="n">
        <v>25876204</v>
      </c>
      <c r="B3765" s="25" t="s">
        <v>7929</v>
      </c>
      <c r="C3765" s="25" t="s">
        <v>7930</v>
      </c>
      <c r="D3765" s="26" t="n">
        <v>140</v>
      </c>
      <c r="E3765" s="27" t="n">
        <v>6.85387196432176</v>
      </c>
      <c r="F3765" s="27" t="n">
        <v>6.85387196432176</v>
      </c>
      <c r="G3765" s="25" t="s">
        <v>648</v>
      </c>
      <c r="H3765" s="25" t="s">
        <v>649</v>
      </c>
      <c r="I3765" s="25" t="n">
        <f aca="false">IFERROR(IF(INDEX(Documents!$C$5:$C$657,MATCH(H3765,Documents!$A$5:$A$657,0))="","",INDEX(Documents!$C$5:$C$657,MATCH(H3765,Documents!$A$5:$A$657,0))),"")</f>
        <v>2024</v>
      </c>
      <c r="J3765" s="25" t="str">
        <f aca="false">IFERROR(IF(INDEX(Documents!$D$5:$D$657,MATCH(H3765,Documents!$A$5:$A$657,0))="","",INDEX(Documents!$D$5:$D$657,MATCH(H3765,Documents!$A$5:$A$657,0))),"")</f>
        <v>Eur J Med Chem</v>
      </c>
      <c r="K3765" s="25" t="str">
        <f aca="false">IFERROR(IF(INDEX(Documents!$G$5:$G$657,MATCH(H3765,Documents!$A$5:$A$657,0))="","",INDEX(Documents!$G$5:$G$657,MATCH(H3765,Documents!$A$5:$A$657,0))),"")</f>
        <v>10.1016/j.ejmech.2024.116298</v>
      </c>
      <c r="L3765" s="25" t="s">
        <v>650</v>
      </c>
    </row>
    <row r="3766" customFormat="false" ht="15" hidden="false" customHeight="false" outlineLevel="0" collapsed="false">
      <c r="A3766" s="25" t="n">
        <v>25876201</v>
      </c>
      <c r="B3766" s="25" t="s">
        <v>7931</v>
      </c>
      <c r="C3766" s="25" t="s">
        <v>7932</v>
      </c>
      <c r="D3766" s="26" t="n">
        <v>250</v>
      </c>
      <c r="E3766" s="27" t="n">
        <v>6.60205999132796</v>
      </c>
      <c r="F3766" s="27" t="n">
        <v>6.60205999132796</v>
      </c>
      <c r="G3766" s="25" t="s">
        <v>648</v>
      </c>
      <c r="H3766" s="25" t="s">
        <v>649</v>
      </c>
      <c r="I3766" s="25" t="n">
        <f aca="false">IFERROR(IF(INDEX(Documents!$C$5:$C$657,MATCH(H3766,Documents!$A$5:$A$657,0))="","",INDEX(Documents!$C$5:$C$657,MATCH(H3766,Documents!$A$5:$A$657,0))),"")</f>
        <v>2024</v>
      </c>
      <c r="J3766" s="25" t="str">
        <f aca="false">IFERROR(IF(INDEX(Documents!$D$5:$D$657,MATCH(H3766,Documents!$A$5:$A$657,0))="","",INDEX(Documents!$D$5:$D$657,MATCH(H3766,Documents!$A$5:$A$657,0))),"")</f>
        <v>Eur J Med Chem</v>
      </c>
      <c r="K3766" s="25" t="str">
        <f aca="false">IFERROR(IF(INDEX(Documents!$G$5:$G$657,MATCH(H3766,Documents!$A$5:$A$657,0))="","",INDEX(Documents!$G$5:$G$657,MATCH(H3766,Documents!$A$5:$A$657,0))),"")</f>
        <v>10.1016/j.ejmech.2024.116298</v>
      </c>
      <c r="L3766" s="25" t="s">
        <v>650</v>
      </c>
    </row>
    <row r="3767" customFormat="false" ht="15" hidden="false" customHeight="false" outlineLevel="0" collapsed="false">
      <c r="A3767" s="25" t="n">
        <v>2355499</v>
      </c>
      <c r="B3767" s="25" t="s">
        <v>7933</v>
      </c>
      <c r="C3767" s="25" t="s">
        <v>7934</v>
      </c>
      <c r="D3767" s="26" t="n">
        <v>41</v>
      </c>
      <c r="E3767" s="27" t="n">
        <v>7.38721614328026</v>
      </c>
      <c r="F3767" s="27" t="n">
        <v>7.38721614328026</v>
      </c>
      <c r="G3767" s="25" t="s">
        <v>773</v>
      </c>
      <c r="H3767" s="25" t="s">
        <v>774</v>
      </c>
      <c r="I3767" s="25" t="n">
        <f aca="false">IFERROR(IF(INDEX(Documents!$C$5:$C$657,MATCH(H3767,Documents!$A$5:$A$657,0))="","",INDEX(Documents!$C$5:$C$657,MATCH(H3767,Documents!$A$5:$A$657,0))),"")</f>
        <v>2008</v>
      </c>
      <c r="J3767" s="25" t="str">
        <f aca="false">IFERROR(IF(INDEX(Documents!$D$5:$D$657,MATCH(H3767,Documents!$A$5:$A$657,0))="","",INDEX(Documents!$D$5:$D$657,MATCH(H3767,Documents!$A$5:$A$657,0))),"")</f>
        <v>Bioorg Med Chem Lett</v>
      </c>
      <c r="K3767" s="25" t="str">
        <f aca="false">IFERROR(IF(INDEX(Documents!$G$5:$G$657,MATCH(H3767,Documents!$A$5:$A$657,0))="","",INDEX(Documents!$G$5:$G$657,MATCH(H3767,Documents!$A$5:$A$657,0))),"")</f>
        <v>10.1016/j.bmcl.2008.04.032</v>
      </c>
      <c r="L3767" s="25" t="s">
        <v>775</v>
      </c>
    </row>
    <row r="3768" customFormat="false" ht="15" hidden="false" customHeight="false" outlineLevel="0" collapsed="false">
      <c r="A3768" s="25" t="n">
        <v>25876199</v>
      </c>
      <c r="B3768" s="25" t="s">
        <v>7935</v>
      </c>
      <c r="C3768" s="25" t="s">
        <v>7936</v>
      </c>
      <c r="D3768" s="26" t="n">
        <v>60</v>
      </c>
      <c r="E3768" s="27" t="n">
        <v>7.22184874961636</v>
      </c>
      <c r="F3768" s="27" t="n">
        <v>7.22184874961636</v>
      </c>
      <c r="G3768" s="25" t="s">
        <v>648</v>
      </c>
      <c r="H3768" s="25" t="s">
        <v>649</v>
      </c>
      <c r="I3768" s="25" t="n">
        <f aca="false">IFERROR(IF(INDEX(Documents!$C$5:$C$657,MATCH(H3768,Documents!$A$5:$A$657,0))="","",INDEX(Documents!$C$5:$C$657,MATCH(H3768,Documents!$A$5:$A$657,0))),"")</f>
        <v>2024</v>
      </c>
      <c r="J3768" s="25" t="str">
        <f aca="false">IFERROR(IF(INDEX(Documents!$D$5:$D$657,MATCH(H3768,Documents!$A$5:$A$657,0))="","",INDEX(Documents!$D$5:$D$657,MATCH(H3768,Documents!$A$5:$A$657,0))),"")</f>
        <v>Eur J Med Chem</v>
      </c>
      <c r="K3768" s="25" t="str">
        <f aca="false">IFERROR(IF(INDEX(Documents!$G$5:$G$657,MATCH(H3768,Documents!$A$5:$A$657,0))="","",INDEX(Documents!$G$5:$G$657,MATCH(H3768,Documents!$A$5:$A$657,0))),"")</f>
        <v>10.1016/j.ejmech.2024.116298</v>
      </c>
      <c r="L3768" s="25" t="s">
        <v>650</v>
      </c>
    </row>
    <row r="3769" customFormat="false" ht="15" hidden="false" customHeight="false" outlineLevel="0" collapsed="false">
      <c r="A3769" s="25" t="n">
        <v>2355468</v>
      </c>
      <c r="B3769" s="25" t="s">
        <v>7937</v>
      </c>
      <c r="C3769" s="25" t="s">
        <v>7938</v>
      </c>
      <c r="D3769" s="26" t="n">
        <v>8</v>
      </c>
      <c r="E3769" s="27" t="n">
        <v>8.09691001300806</v>
      </c>
      <c r="F3769" s="27" t="n">
        <v>8.09691001300806</v>
      </c>
      <c r="G3769" s="25" t="s">
        <v>773</v>
      </c>
      <c r="H3769" s="25" t="s">
        <v>774</v>
      </c>
      <c r="I3769" s="25" t="n">
        <f aca="false">IFERROR(IF(INDEX(Documents!$C$5:$C$657,MATCH(H3769,Documents!$A$5:$A$657,0))="","",INDEX(Documents!$C$5:$C$657,MATCH(H3769,Documents!$A$5:$A$657,0))),"")</f>
        <v>2008</v>
      </c>
      <c r="J3769" s="25" t="str">
        <f aca="false">IFERROR(IF(INDEX(Documents!$D$5:$D$657,MATCH(H3769,Documents!$A$5:$A$657,0))="","",INDEX(Documents!$D$5:$D$657,MATCH(H3769,Documents!$A$5:$A$657,0))),"")</f>
        <v>Bioorg Med Chem Lett</v>
      </c>
      <c r="K3769" s="25" t="str">
        <f aca="false">IFERROR(IF(INDEX(Documents!$G$5:$G$657,MATCH(H3769,Documents!$A$5:$A$657,0))="","",INDEX(Documents!$G$5:$G$657,MATCH(H3769,Documents!$A$5:$A$657,0))),"")</f>
        <v>10.1016/j.bmcl.2008.04.032</v>
      </c>
      <c r="L3769" s="25" t="s">
        <v>775</v>
      </c>
    </row>
    <row r="3770" customFormat="false" ht="15" hidden="false" customHeight="false" outlineLevel="0" collapsed="false">
      <c r="A3770" s="25" t="n">
        <v>18673923</v>
      </c>
      <c r="B3770" s="25" t="s">
        <v>7939</v>
      </c>
      <c r="C3770" s="25" t="s">
        <v>7940</v>
      </c>
      <c r="D3770" s="26" t="n">
        <v>2400</v>
      </c>
      <c r="E3770" s="27" t="n">
        <v>5.61978875828839</v>
      </c>
      <c r="F3770" s="27" t="n">
        <v>5.61978875828839</v>
      </c>
      <c r="G3770" s="25" t="s">
        <v>664</v>
      </c>
      <c r="H3770" s="25" t="s">
        <v>665</v>
      </c>
      <c r="I3770" s="25" t="n">
        <f aca="false">IFERROR(IF(INDEX(Documents!$C$5:$C$657,MATCH(H3770,Documents!$A$5:$A$657,0))="","",INDEX(Documents!$C$5:$C$657,MATCH(H3770,Documents!$A$5:$A$657,0))),"")</f>
        <v>2018</v>
      </c>
      <c r="J3770" s="25" t="str">
        <f aca="false">IFERROR(IF(INDEX(Documents!$D$5:$D$657,MATCH(H3770,Documents!$A$5:$A$657,0))="","",INDEX(Documents!$D$5:$D$657,MATCH(H3770,Documents!$A$5:$A$657,0))),"")</f>
        <v>Bioorg Med Chem</v>
      </c>
      <c r="K3770" s="25" t="str">
        <f aca="false">IFERROR(IF(INDEX(Documents!$G$5:$G$657,MATCH(H3770,Documents!$A$5:$A$657,0))="","",INDEX(Documents!$G$5:$G$657,MATCH(H3770,Documents!$A$5:$A$657,0))),"")</f>
        <v>10.1016/j.bmc.2018.07.043</v>
      </c>
      <c r="L3770" s="25" t="s">
        <v>666</v>
      </c>
    </row>
    <row r="3771" customFormat="false" ht="15" hidden="false" customHeight="false" outlineLevel="0" collapsed="false">
      <c r="A3771" s="25" t="n">
        <v>18673925</v>
      </c>
      <c r="B3771" s="25" t="s">
        <v>7941</v>
      </c>
      <c r="C3771" s="25" t="s">
        <v>7942</v>
      </c>
      <c r="D3771" s="26" t="n">
        <v>1300</v>
      </c>
      <c r="E3771" s="27" t="n">
        <v>5.88605664769316</v>
      </c>
      <c r="F3771" s="27" t="n">
        <v>5.88605664769316</v>
      </c>
      <c r="G3771" s="25" t="s">
        <v>664</v>
      </c>
      <c r="H3771" s="25" t="s">
        <v>665</v>
      </c>
      <c r="I3771" s="25" t="n">
        <f aca="false">IFERROR(IF(INDEX(Documents!$C$5:$C$657,MATCH(H3771,Documents!$A$5:$A$657,0))="","",INDEX(Documents!$C$5:$C$657,MATCH(H3771,Documents!$A$5:$A$657,0))),"")</f>
        <v>2018</v>
      </c>
      <c r="J3771" s="25" t="str">
        <f aca="false">IFERROR(IF(INDEX(Documents!$D$5:$D$657,MATCH(H3771,Documents!$A$5:$A$657,0))="","",INDEX(Documents!$D$5:$D$657,MATCH(H3771,Documents!$A$5:$A$657,0))),"")</f>
        <v>Bioorg Med Chem</v>
      </c>
      <c r="K3771" s="25" t="str">
        <f aca="false">IFERROR(IF(INDEX(Documents!$G$5:$G$657,MATCH(H3771,Documents!$A$5:$A$657,0))="","",INDEX(Documents!$G$5:$G$657,MATCH(H3771,Documents!$A$5:$A$657,0))),"")</f>
        <v>10.1016/j.bmc.2018.07.043</v>
      </c>
      <c r="L3771" s="25" t="s">
        <v>666</v>
      </c>
    </row>
    <row r="3772" customFormat="false" ht="15" hidden="false" customHeight="false" outlineLevel="0" collapsed="false">
      <c r="A3772" s="25" t="n">
        <v>2691000</v>
      </c>
      <c r="B3772" s="25" t="s">
        <v>7943</v>
      </c>
      <c r="C3772" s="25" t="s">
        <v>7944</v>
      </c>
      <c r="D3772" s="26" t="n">
        <v>10000</v>
      </c>
      <c r="E3772" s="27" t="n">
        <v>5</v>
      </c>
      <c r="F3772" s="27" t="n">
        <v>5</v>
      </c>
      <c r="G3772" s="25" t="s">
        <v>1648</v>
      </c>
      <c r="H3772" s="25" t="s">
        <v>1649</v>
      </c>
      <c r="I3772" s="25" t="n">
        <f aca="false">IFERROR(IF(INDEX(Documents!$C$5:$C$657,MATCH(H3772,Documents!$A$5:$A$657,0))="","",INDEX(Documents!$C$5:$C$657,MATCH(H3772,Documents!$A$5:$A$657,0))),"")</f>
        <v>2009</v>
      </c>
      <c r="J3772" s="25" t="str">
        <f aca="false">IFERROR(IF(INDEX(Documents!$D$5:$D$657,MATCH(H3772,Documents!$A$5:$A$657,0))="","",INDEX(Documents!$D$5:$D$657,MATCH(H3772,Documents!$A$5:$A$657,0))),"")</f>
        <v>Bioorg Med Chem Lett</v>
      </c>
      <c r="K3772" s="25" t="str">
        <f aca="false">IFERROR(IF(INDEX(Documents!$G$5:$G$657,MATCH(H3772,Documents!$A$5:$A$657,0))="","",INDEX(Documents!$G$5:$G$657,MATCH(H3772,Documents!$A$5:$A$657,0))),"")</f>
        <v>10.1016/j.bmcl.2009.05.114</v>
      </c>
      <c r="L3772" s="25" t="s">
        <v>1650</v>
      </c>
    </row>
    <row r="3773" customFormat="false" ht="15" hidden="false" customHeight="false" outlineLevel="0" collapsed="false">
      <c r="A3773" s="25" t="n">
        <v>18673924</v>
      </c>
      <c r="B3773" s="25" t="s">
        <v>7945</v>
      </c>
      <c r="C3773" s="25" t="s">
        <v>7946</v>
      </c>
      <c r="D3773" s="26" t="n">
        <v>7100</v>
      </c>
      <c r="E3773" s="27" t="n">
        <v>5.14874165128093</v>
      </c>
      <c r="F3773" s="27" t="n">
        <v>5.14874165128093</v>
      </c>
      <c r="G3773" s="25" t="s">
        <v>664</v>
      </c>
      <c r="H3773" s="25" t="s">
        <v>665</v>
      </c>
      <c r="I3773" s="25" t="n">
        <f aca="false">IFERROR(IF(INDEX(Documents!$C$5:$C$657,MATCH(H3773,Documents!$A$5:$A$657,0))="","",INDEX(Documents!$C$5:$C$657,MATCH(H3773,Documents!$A$5:$A$657,0))),"")</f>
        <v>2018</v>
      </c>
      <c r="J3773" s="25" t="str">
        <f aca="false">IFERROR(IF(INDEX(Documents!$D$5:$D$657,MATCH(H3773,Documents!$A$5:$A$657,0))="","",INDEX(Documents!$D$5:$D$657,MATCH(H3773,Documents!$A$5:$A$657,0))),"")</f>
        <v>Bioorg Med Chem</v>
      </c>
      <c r="K3773" s="25" t="str">
        <f aca="false">IFERROR(IF(INDEX(Documents!$G$5:$G$657,MATCH(H3773,Documents!$A$5:$A$657,0))="","",INDEX(Documents!$G$5:$G$657,MATCH(H3773,Documents!$A$5:$A$657,0))),"")</f>
        <v>10.1016/j.bmc.2018.07.043</v>
      </c>
      <c r="L3773" s="25" t="s">
        <v>666</v>
      </c>
    </row>
    <row r="3774" customFormat="false" ht="15" hidden="false" customHeight="false" outlineLevel="0" collapsed="false">
      <c r="A3774" s="25" t="n">
        <v>23357710</v>
      </c>
      <c r="B3774" s="25" t="s">
        <v>7947</v>
      </c>
      <c r="C3774" s="25" t="s">
        <v>7948</v>
      </c>
      <c r="D3774" s="26" t="n">
        <v>5100</v>
      </c>
      <c r="E3774" s="27" t="n">
        <v>5.29242982390206</v>
      </c>
      <c r="F3774" s="27" t="n">
        <v>5.29242982390206</v>
      </c>
      <c r="G3774" s="25" t="s">
        <v>7949</v>
      </c>
      <c r="H3774" s="25" t="s">
        <v>7950</v>
      </c>
      <c r="I3774" s="25" t="n">
        <f aca="false">IFERROR(IF(INDEX(Documents!$C$5:$C$657,MATCH(H3774,Documents!$A$5:$A$657,0))="","",INDEX(Documents!$C$5:$C$657,MATCH(H3774,Documents!$A$5:$A$657,0))),"")</f>
        <v>2021</v>
      </c>
      <c r="J3774" s="25" t="str">
        <f aca="false">IFERROR(IF(INDEX(Documents!$D$5:$D$657,MATCH(H3774,Documents!$A$5:$A$657,0))="","",INDEX(Documents!$D$5:$D$657,MATCH(H3774,Documents!$A$5:$A$657,0))),"")</f>
        <v/>
      </c>
      <c r="K3774" s="25" t="str">
        <f aca="false">IFERROR(IF(INDEX(Documents!$G$5:$G$657,MATCH(H3774,Documents!$A$5:$A$657,0))="","",INDEX(Documents!$G$5:$G$657,MATCH(H3774,Documents!$A$5:$A$657,0))),"")</f>
        <v>10.6019/CHEMBL4507297</v>
      </c>
      <c r="L3774" s="25" t="s">
        <v>7951</v>
      </c>
    </row>
    <row r="3775" customFormat="false" ht="15" hidden="false" customHeight="false" outlineLevel="0" collapsed="false">
      <c r="A3775" s="25" t="n">
        <v>12193211</v>
      </c>
      <c r="B3775" s="25" t="s">
        <v>7952</v>
      </c>
      <c r="C3775" s="25" t="s">
        <v>7953</v>
      </c>
      <c r="D3775" s="26" t="n">
        <v>444</v>
      </c>
      <c r="E3775" s="27" t="n">
        <v>6.35261702988538</v>
      </c>
      <c r="F3775" s="27" t="n">
        <v>6.35261702988538</v>
      </c>
      <c r="G3775" s="25" t="s">
        <v>5639</v>
      </c>
      <c r="H3775" s="25" t="s">
        <v>5640</v>
      </c>
      <c r="I3775" s="25" t="n">
        <f aca="false">IFERROR(IF(INDEX(Documents!$C$5:$C$657,MATCH(H3775,Documents!$A$5:$A$657,0))="","",INDEX(Documents!$C$5:$C$657,MATCH(H3775,Documents!$A$5:$A$657,0))),"")</f>
        <v>2012</v>
      </c>
      <c r="J3775" s="25" t="str">
        <f aca="false">IFERROR(IF(INDEX(Documents!$D$5:$D$657,MATCH(H3775,Documents!$A$5:$A$657,0))="","",INDEX(Documents!$D$5:$D$657,MATCH(H3775,Documents!$A$5:$A$657,0))),"")</f>
        <v>Bioorg Med Chem Lett</v>
      </c>
      <c r="K3775" s="25" t="str">
        <f aca="false">IFERROR(IF(INDEX(Documents!$G$5:$G$657,MATCH(H3775,Documents!$A$5:$A$657,0))="","",INDEX(Documents!$G$5:$G$657,MATCH(H3775,Documents!$A$5:$A$657,0))),"")</f>
        <v>10.1016/j.bmcl.2012.10.087</v>
      </c>
      <c r="L3775" s="25" t="s">
        <v>5641</v>
      </c>
    </row>
    <row r="3776" customFormat="false" ht="15" hidden="false" customHeight="false" outlineLevel="0" collapsed="false">
      <c r="A3776" s="25" t="n">
        <v>12193213</v>
      </c>
      <c r="B3776" s="25" t="s">
        <v>7954</v>
      </c>
      <c r="C3776" s="25" t="s">
        <v>7955</v>
      </c>
      <c r="D3776" s="26" t="n">
        <v>81.5</v>
      </c>
      <c r="E3776" s="27" t="n">
        <v>7.08884239126002</v>
      </c>
      <c r="F3776" s="27" t="n">
        <v>7.08884239126002</v>
      </c>
      <c r="G3776" s="25" t="s">
        <v>5639</v>
      </c>
      <c r="H3776" s="25" t="s">
        <v>5640</v>
      </c>
      <c r="I3776" s="25" t="n">
        <f aca="false">IFERROR(IF(INDEX(Documents!$C$5:$C$657,MATCH(H3776,Documents!$A$5:$A$657,0))="","",INDEX(Documents!$C$5:$C$657,MATCH(H3776,Documents!$A$5:$A$657,0))),"")</f>
        <v>2012</v>
      </c>
      <c r="J3776" s="25" t="str">
        <f aca="false">IFERROR(IF(INDEX(Documents!$D$5:$D$657,MATCH(H3776,Documents!$A$5:$A$657,0))="","",INDEX(Documents!$D$5:$D$657,MATCH(H3776,Documents!$A$5:$A$657,0))),"")</f>
        <v>Bioorg Med Chem Lett</v>
      </c>
      <c r="K3776" s="25" t="str">
        <f aca="false">IFERROR(IF(INDEX(Documents!$G$5:$G$657,MATCH(H3776,Documents!$A$5:$A$657,0))="","",INDEX(Documents!$G$5:$G$657,MATCH(H3776,Documents!$A$5:$A$657,0))),"")</f>
        <v>10.1016/j.bmcl.2012.10.087</v>
      </c>
      <c r="L3776" s="25" t="s">
        <v>5641</v>
      </c>
    </row>
    <row r="3777" customFormat="false" ht="15" hidden="false" customHeight="false" outlineLevel="0" collapsed="false">
      <c r="A3777" s="25" t="n">
        <v>12193212</v>
      </c>
      <c r="B3777" s="25" t="s">
        <v>7956</v>
      </c>
      <c r="C3777" s="25" t="s">
        <v>7957</v>
      </c>
      <c r="D3777" s="26" t="n">
        <v>240</v>
      </c>
      <c r="E3777" s="27" t="n">
        <v>6.61978875828839</v>
      </c>
      <c r="F3777" s="27" t="n">
        <v>6.61978875828839</v>
      </c>
      <c r="G3777" s="25" t="s">
        <v>5639</v>
      </c>
      <c r="H3777" s="25" t="s">
        <v>5640</v>
      </c>
      <c r="I3777" s="25" t="n">
        <f aca="false">IFERROR(IF(INDEX(Documents!$C$5:$C$657,MATCH(H3777,Documents!$A$5:$A$657,0))="","",INDEX(Documents!$C$5:$C$657,MATCH(H3777,Documents!$A$5:$A$657,0))),"")</f>
        <v>2012</v>
      </c>
      <c r="J3777" s="25" t="str">
        <f aca="false">IFERROR(IF(INDEX(Documents!$D$5:$D$657,MATCH(H3777,Documents!$A$5:$A$657,0))="","",INDEX(Documents!$D$5:$D$657,MATCH(H3777,Documents!$A$5:$A$657,0))),"")</f>
        <v>Bioorg Med Chem Lett</v>
      </c>
      <c r="K3777" s="25" t="str">
        <f aca="false">IFERROR(IF(INDEX(Documents!$G$5:$G$657,MATCH(H3777,Documents!$A$5:$A$657,0))="","",INDEX(Documents!$G$5:$G$657,MATCH(H3777,Documents!$A$5:$A$657,0))),"")</f>
        <v>10.1016/j.bmcl.2012.10.087</v>
      </c>
      <c r="L3777" s="25" t="s">
        <v>5641</v>
      </c>
    </row>
    <row r="3778" customFormat="false" ht="15" hidden="false" customHeight="false" outlineLevel="0" collapsed="false">
      <c r="A3778" s="25" t="n">
        <v>12193218</v>
      </c>
      <c r="B3778" s="25" t="s">
        <v>7958</v>
      </c>
      <c r="C3778" s="25" t="s">
        <v>7959</v>
      </c>
      <c r="D3778" s="26" t="n">
        <v>241</v>
      </c>
      <c r="E3778" s="27" t="n">
        <v>6.61798295742513</v>
      </c>
      <c r="F3778" s="27" t="n">
        <v>6.61798295742513</v>
      </c>
      <c r="G3778" s="25" t="s">
        <v>5639</v>
      </c>
      <c r="H3778" s="25" t="s">
        <v>5640</v>
      </c>
      <c r="I3778" s="25" t="n">
        <f aca="false">IFERROR(IF(INDEX(Documents!$C$5:$C$657,MATCH(H3778,Documents!$A$5:$A$657,0))="","",INDEX(Documents!$C$5:$C$657,MATCH(H3778,Documents!$A$5:$A$657,0))),"")</f>
        <v>2012</v>
      </c>
      <c r="J3778" s="25" t="str">
        <f aca="false">IFERROR(IF(INDEX(Documents!$D$5:$D$657,MATCH(H3778,Documents!$A$5:$A$657,0))="","",INDEX(Documents!$D$5:$D$657,MATCH(H3778,Documents!$A$5:$A$657,0))),"")</f>
        <v>Bioorg Med Chem Lett</v>
      </c>
      <c r="K3778" s="25" t="str">
        <f aca="false">IFERROR(IF(INDEX(Documents!$G$5:$G$657,MATCH(H3778,Documents!$A$5:$A$657,0))="","",INDEX(Documents!$G$5:$G$657,MATCH(H3778,Documents!$A$5:$A$657,0))),"")</f>
        <v>10.1016/j.bmcl.2012.10.087</v>
      </c>
      <c r="L3778" s="25" t="s">
        <v>5641</v>
      </c>
    </row>
    <row r="3779" customFormat="false" ht="15" hidden="false" customHeight="false" outlineLevel="0" collapsed="false">
      <c r="A3779" s="25" t="n">
        <v>12193217</v>
      </c>
      <c r="B3779" s="25" t="s">
        <v>7960</v>
      </c>
      <c r="C3779" s="25" t="s">
        <v>7961</v>
      </c>
      <c r="D3779" s="26" t="n">
        <v>347</v>
      </c>
      <c r="E3779" s="27" t="n">
        <v>6.45967052520913</v>
      </c>
      <c r="F3779" s="27" t="n">
        <v>6.45967052520913</v>
      </c>
      <c r="G3779" s="25" t="s">
        <v>5639</v>
      </c>
      <c r="H3779" s="25" t="s">
        <v>5640</v>
      </c>
      <c r="I3779" s="25" t="n">
        <f aca="false">IFERROR(IF(INDEX(Documents!$C$5:$C$657,MATCH(H3779,Documents!$A$5:$A$657,0))="","",INDEX(Documents!$C$5:$C$657,MATCH(H3779,Documents!$A$5:$A$657,0))),"")</f>
        <v>2012</v>
      </c>
      <c r="J3779" s="25" t="str">
        <f aca="false">IFERROR(IF(INDEX(Documents!$D$5:$D$657,MATCH(H3779,Documents!$A$5:$A$657,0))="","",INDEX(Documents!$D$5:$D$657,MATCH(H3779,Documents!$A$5:$A$657,0))),"")</f>
        <v>Bioorg Med Chem Lett</v>
      </c>
      <c r="K3779" s="25" t="str">
        <f aca="false">IFERROR(IF(INDEX(Documents!$G$5:$G$657,MATCH(H3779,Documents!$A$5:$A$657,0))="","",INDEX(Documents!$G$5:$G$657,MATCH(H3779,Documents!$A$5:$A$657,0))),"")</f>
        <v>10.1016/j.bmcl.2012.10.087</v>
      </c>
      <c r="L3779" s="25" t="s">
        <v>5641</v>
      </c>
    </row>
    <row r="3780" customFormat="false" ht="15" hidden="false" customHeight="false" outlineLevel="0" collapsed="false">
      <c r="A3780" s="25" t="n">
        <v>10869166</v>
      </c>
      <c r="B3780" s="25" t="s">
        <v>7962</v>
      </c>
      <c r="C3780" s="25" t="s">
        <v>7963</v>
      </c>
      <c r="D3780" s="26" t="n">
        <v>18</v>
      </c>
      <c r="E3780" s="27" t="n">
        <v>7.74472749489669</v>
      </c>
      <c r="F3780" s="27" t="n">
        <v>7.74472749489669</v>
      </c>
      <c r="G3780" s="25" t="s">
        <v>1139</v>
      </c>
      <c r="H3780" s="25" t="s">
        <v>1140</v>
      </c>
      <c r="I3780" s="25" t="n">
        <f aca="false">IFERROR(IF(INDEX(Documents!$C$5:$C$657,MATCH(H3780,Documents!$A$5:$A$657,0))="","",INDEX(Documents!$C$5:$C$657,MATCH(H3780,Documents!$A$5:$A$657,0))),"")</f>
        <v>2012</v>
      </c>
      <c r="J3780" s="25" t="str">
        <f aca="false">IFERROR(IF(INDEX(Documents!$D$5:$D$657,MATCH(H3780,Documents!$A$5:$A$657,0))="","",INDEX(Documents!$D$5:$D$657,MATCH(H3780,Documents!$A$5:$A$657,0))),"")</f>
        <v>Bioorg Med Chem Lett</v>
      </c>
      <c r="K3780" s="25" t="str">
        <f aca="false">IFERROR(IF(INDEX(Documents!$G$5:$G$657,MATCH(H3780,Documents!$A$5:$A$657,0))="","",INDEX(Documents!$G$5:$G$657,MATCH(H3780,Documents!$A$5:$A$657,0))),"")</f>
        <v>10.1016/j.bmcl.2012.02.050</v>
      </c>
      <c r="L3780" s="25" t="s">
        <v>1141</v>
      </c>
    </row>
    <row r="3781" customFormat="false" ht="15" hidden="false" customHeight="false" outlineLevel="0" collapsed="false">
      <c r="A3781" s="25" t="n">
        <v>10857004</v>
      </c>
      <c r="B3781" s="25" t="s">
        <v>7964</v>
      </c>
      <c r="C3781" s="25" t="s">
        <v>7965</v>
      </c>
      <c r="D3781" s="26" t="n">
        <v>177</v>
      </c>
      <c r="E3781" s="27" t="n">
        <v>6.75202673363819</v>
      </c>
      <c r="F3781" s="27" t="n">
        <v>6.75202673363819</v>
      </c>
      <c r="G3781" s="25" t="s">
        <v>4291</v>
      </c>
      <c r="H3781" s="25" t="s">
        <v>4292</v>
      </c>
      <c r="I3781" s="25" t="n">
        <f aca="false">IFERROR(IF(INDEX(Documents!$C$5:$C$657,MATCH(H3781,Documents!$A$5:$A$657,0))="","",INDEX(Documents!$C$5:$C$657,MATCH(H3781,Documents!$A$5:$A$657,0))),"")</f>
        <v>2012</v>
      </c>
      <c r="J3781" s="25" t="str">
        <f aca="false">IFERROR(IF(INDEX(Documents!$D$5:$D$657,MATCH(H3781,Documents!$A$5:$A$657,0))="","",INDEX(Documents!$D$5:$D$657,MATCH(H3781,Documents!$A$5:$A$657,0))),"")</f>
        <v>Bioorg Med Chem Lett</v>
      </c>
      <c r="K3781" s="25" t="str">
        <f aca="false">IFERROR(IF(INDEX(Documents!$G$5:$G$657,MATCH(H3781,Documents!$A$5:$A$657,0))="","",INDEX(Documents!$G$5:$G$657,MATCH(H3781,Documents!$A$5:$A$657,0))),"")</f>
        <v>10.1016/j.bmcl.2012.02.072</v>
      </c>
      <c r="L3781" s="25" t="s">
        <v>4293</v>
      </c>
    </row>
    <row r="3782" customFormat="false" ht="15" hidden="false" customHeight="false" outlineLevel="0" collapsed="false">
      <c r="A3782" s="25" t="n">
        <v>10869160</v>
      </c>
      <c r="B3782" s="25" t="s">
        <v>7966</v>
      </c>
      <c r="C3782" s="25" t="s">
        <v>7967</v>
      </c>
      <c r="D3782" s="26" t="n">
        <v>74</v>
      </c>
      <c r="E3782" s="27" t="n">
        <v>7.13076828026902</v>
      </c>
      <c r="F3782" s="27" t="n">
        <v>7.13076828026902</v>
      </c>
      <c r="G3782" s="25" t="s">
        <v>1139</v>
      </c>
      <c r="H3782" s="25" t="s">
        <v>1140</v>
      </c>
      <c r="I3782" s="25" t="n">
        <f aca="false">IFERROR(IF(INDEX(Documents!$C$5:$C$657,MATCH(H3782,Documents!$A$5:$A$657,0))="","",INDEX(Documents!$C$5:$C$657,MATCH(H3782,Documents!$A$5:$A$657,0))),"")</f>
        <v>2012</v>
      </c>
      <c r="J3782" s="25" t="str">
        <f aca="false">IFERROR(IF(INDEX(Documents!$D$5:$D$657,MATCH(H3782,Documents!$A$5:$A$657,0))="","",INDEX(Documents!$D$5:$D$657,MATCH(H3782,Documents!$A$5:$A$657,0))),"")</f>
        <v>Bioorg Med Chem Lett</v>
      </c>
      <c r="K3782" s="25" t="str">
        <f aca="false">IFERROR(IF(INDEX(Documents!$G$5:$G$657,MATCH(H3782,Documents!$A$5:$A$657,0))="","",INDEX(Documents!$G$5:$G$657,MATCH(H3782,Documents!$A$5:$A$657,0))),"")</f>
        <v>10.1016/j.bmcl.2012.02.050</v>
      </c>
      <c r="L3782" s="25" t="s">
        <v>1141</v>
      </c>
    </row>
    <row r="3783" customFormat="false" ht="15" hidden="false" customHeight="false" outlineLevel="0" collapsed="false">
      <c r="A3783" s="25" t="n">
        <v>10869159</v>
      </c>
      <c r="B3783" s="25" t="s">
        <v>7968</v>
      </c>
      <c r="C3783" s="25" t="s">
        <v>7969</v>
      </c>
      <c r="D3783" s="26" t="n">
        <v>120</v>
      </c>
      <c r="E3783" s="27" t="n">
        <v>6.92081875395238</v>
      </c>
      <c r="F3783" s="27" t="n">
        <v>6.92081875395238</v>
      </c>
      <c r="G3783" s="25" t="s">
        <v>1139</v>
      </c>
      <c r="H3783" s="25" t="s">
        <v>1140</v>
      </c>
      <c r="I3783" s="25" t="n">
        <f aca="false">IFERROR(IF(INDEX(Documents!$C$5:$C$657,MATCH(H3783,Documents!$A$5:$A$657,0))="","",INDEX(Documents!$C$5:$C$657,MATCH(H3783,Documents!$A$5:$A$657,0))),"")</f>
        <v>2012</v>
      </c>
      <c r="J3783" s="25" t="str">
        <f aca="false">IFERROR(IF(INDEX(Documents!$D$5:$D$657,MATCH(H3783,Documents!$A$5:$A$657,0))="","",INDEX(Documents!$D$5:$D$657,MATCH(H3783,Documents!$A$5:$A$657,0))),"")</f>
        <v>Bioorg Med Chem Lett</v>
      </c>
      <c r="K3783" s="25" t="str">
        <f aca="false">IFERROR(IF(INDEX(Documents!$G$5:$G$657,MATCH(H3783,Documents!$A$5:$A$657,0))="","",INDEX(Documents!$G$5:$G$657,MATCH(H3783,Documents!$A$5:$A$657,0))),"")</f>
        <v>10.1016/j.bmcl.2012.02.050</v>
      </c>
      <c r="L3783" s="25" t="s">
        <v>1141</v>
      </c>
    </row>
    <row r="3784" customFormat="false" ht="15" hidden="false" customHeight="false" outlineLevel="0" collapsed="false">
      <c r="A3784" s="25" t="n">
        <v>10869158</v>
      </c>
      <c r="B3784" s="25" t="s">
        <v>7970</v>
      </c>
      <c r="C3784" s="25" t="s">
        <v>7971</v>
      </c>
      <c r="D3784" s="26" t="n">
        <v>46</v>
      </c>
      <c r="E3784" s="27" t="n">
        <v>7.33724216831843</v>
      </c>
      <c r="F3784" s="27" t="n">
        <v>7.33724216831843</v>
      </c>
      <c r="G3784" s="25" t="s">
        <v>1139</v>
      </c>
      <c r="H3784" s="25" t="s">
        <v>1140</v>
      </c>
      <c r="I3784" s="25" t="n">
        <f aca="false">IFERROR(IF(INDEX(Documents!$C$5:$C$657,MATCH(H3784,Documents!$A$5:$A$657,0))="","",INDEX(Documents!$C$5:$C$657,MATCH(H3784,Documents!$A$5:$A$657,0))),"")</f>
        <v>2012</v>
      </c>
      <c r="J3784" s="25" t="str">
        <f aca="false">IFERROR(IF(INDEX(Documents!$D$5:$D$657,MATCH(H3784,Documents!$A$5:$A$657,0))="","",INDEX(Documents!$D$5:$D$657,MATCH(H3784,Documents!$A$5:$A$657,0))),"")</f>
        <v>Bioorg Med Chem Lett</v>
      </c>
      <c r="K3784" s="25" t="str">
        <f aca="false">IFERROR(IF(INDEX(Documents!$G$5:$G$657,MATCH(H3784,Documents!$A$5:$A$657,0))="","",INDEX(Documents!$G$5:$G$657,MATCH(H3784,Documents!$A$5:$A$657,0))),"")</f>
        <v>10.1016/j.bmcl.2012.02.050</v>
      </c>
      <c r="L3784" s="25" t="s">
        <v>1141</v>
      </c>
    </row>
    <row r="3785" customFormat="false" ht="15" hidden="false" customHeight="false" outlineLevel="0" collapsed="false">
      <c r="A3785" s="25" t="n">
        <v>10869165</v>
      </c>
      <c r="B3785" s="25" t="s">
        <v>7972</v>
      </c>
      <c r="C3785" s="25" t="s">
        <v>7973</v>
      </c>
      <c r="D3785" s="26" t="n">
        <v>4.6</v>
      </c>
      <c r="E3785" s="27" t="n">
        <v>8.33724216831843</v>
      </c>
      <c r="F3785" s="27" t="n">
        <v>8.33724216831843</v>
      </c>
      <c r="G3785" s="25" t="s">
        <v>1139</v>
      </c>
      <c r="H3785" s="25" t="s">
        <v>1140</v>
      </c>
      <c r="I3785" s="25" t="n">
        <f aca="false">IFERROR(IF(INDEX(Documents!$C$5:$C$657,MATCH(H3785,Documents!$A$5:$A$657,0))="","",INDEX(Documents!$C$5:$C$657,MATCH(H3785,Documents!$A$5:$A$657,0))),"")</f>
        <v>2012</v>
      </c>
      <c r="J3785" s="25" t="str">
        <f aca="false">IFERROR(IF(INDEX(Documents!$D$5:$D$657,MATCH(H3785,Documents!$A$5:$A$657,0))="","",INDEX(Documents!$D$5:$D$657,MATCH(H3785,Documents!$A$5:$A$657,0))),"")</f>
        <v>Bioorg Med Chem Lett</v>
      </c>
      <c r="K3785" s="25" t="str">
        <f aca="false">IFERROR(IF(INDEX(Documents!$G$5:$G$657,MATCH(H3785,Documents!$A$5:$A$657,0))="","",INDEX(Documents!$G$5:$G$657,MATCH(H3785,Documents!$A$5:$A$657,0))),"")</f>
        <v>10.1016/j.bmcl.2012.02.050</v>
      </c>
      <c r="L3785" s="25" t="s">
        <v>1141</v>
      </c>
    </row>
    <row r="3786" customFormat="false" ht="15" hidden="false" customHeight="false" outlineLevel="0" collapsed="false">
      <c r="A3786" s="25" t="n">
        <v>10869164</v>
      </c>
      <c r="B3786" s="25" t="s">
        <v>7974</v>
      </c>
      <c r="C3786" s="25" t="s">
        <v>7975</v>
      </c>
      <c r="D3786" s="26" t="n">
        <v>22</v>
      </c>
      <c r="E3786" s="27" t="n">
        <v>7.65757731917779</v>
      </c>
      <c r="F3786" s="27" t="n">
        <v>7.65757731917779</v>
      </c>
      <c r="G3786" s="25" t="s">
        <v>1139</v>
      </c>
      <c r="H3786" s="25" t="s">
        <v>1140</v>
      </c>
      <c r="I3786" s="25" t="n">
        <f aca="false">IFERROR(IF(INDEX(Documents!$C$5:$C$657,MATCH(H3786,Documents!$A$5:$A$657,0))="","",INDEX(Documents!$C$5:$C$657,MATCH(H3786,Documents!$A$5:$A$657,0))),"")</f>
        <v>2012</v>
      </c>
      <c r="J3786" s="25" t="str">
        <f aca="false">IFERROR(IF(INDEX(Documents!$D$5:$D$657,MATCH(H3786,Documents!$A$5:$A$657,0))="","",INDEX(Documents!$D$5:$D$657,MATCH(H3786,Documents!$A$5:$A$657,0))),"")</f>
        <v>Bioorg Med Chem Lett</v>
      </c>
      <c r="K3786" s="25" t="str">
        <f aca="false">IFERROR(IF(INDEX(Documents!$G$5:$G$657,MATCH(H3786,Documents!$A$5:$A$657,0))="","",INDEX(Documents!$G$5:$G$657,MATCH(H3786,Documents!$A$5:$A$657,0))),"")</f>
        <v>10.1016/j.bmcl.2012.02.050</v>
      </c>
      <c r="L3786" s="25" t="s">
        <v>1141</v>
      </c>
    </row>
    <row r="3787" customFormat="false" ht="15" hidden="false" customHeight="false" outlineLevel="0" collapsed="false">
      <c r="A3787" s="25" t="n">
        <v>10869161</v>
      </c>
      <c r="B3787" s="25" t="s">
        <v>7976</v>
      </c>
      <c r="C3787" s="25" t="s">
        <v>7977</v>
      </c>
      <c r="D3787" s="26" t="n">
        <v>923</v>
      </c>
      <c r="E3787" s="27" t="n">
        <v>6.03479829897409</v>
      </c>
      <c r="F3787" s="27" t="n">
        <v>6.03479829897409</v>
      </c>
      <c r="G3787" s="25" t="s">
        <v>1139</v>
      </c>
      <c r="H3787" s="25" t="s">
        <v>1140</v>
      </c>
      <c r="I3787" s="25" t="n">
        <f aca="false">IFERROR(IF(INDEX(Documents!$C$5:$C$657,MATCH(H3787,Documents!$A$5:$A$657,0))="","",INDEX(Documents!$C$5:$C$657,MATCH(H3787,Documents!$A$5:$A$657,0))),"")</f>
        <v>2012</v>
      </c>
      <c r="J3787" s="25" t="str">
        <f aca="false">IFERROR(IF(INDEX(Documents!$D$5:$D$657,MATCH(H3787,Documents!$A$5:$A$657,0))="","",INDEX(Documents!$D$5:$D$657,MATCH(H3787,Documents!$A$5:$A$657,0))),"")</f>
        <v>Bioorg Med Chem Lett</v>
      </c>
      <c r="K3787" s="25" t="str">
        <f aca="false">IFERROR(IF(INDEX(Documents!$G$5:$G$657,MATCH(H3787,Documents!$A$5:$A$657,0))="","",INDEX(Documents!$G$5:$G$657,MATCH(H3787,Documents!$A$5:$A$657,0))),"")</f>
        <v>10.1016/j.bmcl.2012.02.050</v>
      </c>
      <c r="L3787" s="25" t="s">
        <v>1141</v>
      </c>
    </row>
    <row r="3788" customFormat="false" ht="15" hidden="false" customHeight="false" outlineLevel="0" collapsed="false">
      <c r="A3788" s="25" t="n">
        <v>10869157</v>
      </c>
      <c r="B3788" s="25" t="s">
        <v>7978</v>
      </c>
      <c r="C3788" s="25" t="s">
        <v>7979</v>
      </c>
      <c r="D3788" s="26" t="n">
        <v>107</v>
      </c>
      <c r="E3788" s="27" t="n">
        <v>6.97061622231479</v>
      </c>
      <c r="F3788" s="27" t="n">
        <v>6.97061622231479</v>
      </c>
      <c r="G3788" s="25" t="s">
        <v>1139</v>
      </c>
      <c r="H3788" s="25" t="s">
        <v>1140</v>
      </c>
      <c r="I3788" s="25" t="n">
        <f aca="false">IFERROR(IF(INDEX(Documents!$C$5:$C$657,MATCH(H3788,Documents!$A$5:$A$657,0))="","",INDEX(Documents!$C$5:$C$657,MATCH(H3788,Documents!$A$5:$A$657,0))),"")</f>
        <v>2012</v>
      </c>
      <c r="J3788" s="25" t="str">
        <f aca="false">IFERROR(IF(INDEX(Documents!$D$5:$D$657,MATCH(H3788,Documents!$A$5:$A$657,0))="","",INDEX(Documents!$D$5:$D$657,MATCH(H3788,Documents!$A$5:$A$657,0))),"")</f>
        <v>Bioorg Med Chem Lett</v>
      </c>
      <c r="K3788" s="25" t="str">
        <f aca="false">IFERROR(IF(INDEX(Documents!$G$5:$G$657,MATCH(H3788,Documents!$A$5:$A$657,0))="","",INDEX(Documents!$G$5:$G$657,MATCH(H3788,Documents!$A$5:$A$657,0))),"")</f>
        <v>10.1016/j.bmcl.2012.02.050</v>
      </c>
      <c r="L3788" s="25" t="s">
        <v>1141</v>
      </c>
    </row>
    <row r="3789" customFormat="false" ht="15" hidden="false" customHeight="false" outlineLevel="0" collapsed="false">
      <c r="A3789" s="25" t="n">
        <v>10869156</v>
      </c>
      <c r="B3789" s="25" t="s">
        <v>7980</v>
      </c>
      <c r="C3789" s="25" t="s">
        <v>7981</v>
      </c>
      <c r="D3789" s="26" t="n">
        <v>614</v>
      </c>
      <c r="E3789" s="27" t="n">
        <v>6.21183162885883</v>
      </c>
      <c r="F3789" s="27" t="n">
        <v>6.21183162885883</v>
      </c>
      <c r="G3789" s="25" t="s">
        <v>1139</v>
      </c>
      <c r="H3789" s="25" t="s">
        <v>1140</v>
      </c>
      <c r="I3789" s="25" t="n">
        <f aca="false">IFERROR(IF(INDEX(Documents!$C$5:$C$657,MATCH(H3789,Documents!$A$5:$A$657,0))="","",INDEX(Documents!$C$5:$C$657,MATCH(H3789,Documents!$A$5:$A$657,0))),"")</f>
        <v>2012</v>
      </c>
      <c r="J3789" s="25" t="str">
        <f aca="false">IFERROR(IF(INDEX(Documents!$D$5:$D$657,MATCH(H3789,Documents!$A$5:$A$657,0))="","",INDEX(Documents!$D$5:$D$657,MATCH(H3789,Documents!$A$5:$A$657,0))),"")</f>
        <v>Bioorg Med Chem Lett</v>
      </c>
      <c r="K3789" s="25" t="str">
        <f aca="false">IFERROR(IF(INDEX(Documents!$G$5:$G$657,MATCH(H3789,Documents!$A$5:$A$657,0))="","",INDEX(Documents!$G$5:$G$657,MATCH(H3789,Documents!$A$5:$A$657,0))),"")</f>
        <v>10.1016/j.bmcl.2012.02.050</v>
      </c>
      <c r="L3789" s="25" t="s">
        <v>1141</v>
      </c>
    </row>
    <row r="3790" customFormat="false" ht="15" hidden="false" customHeight="false" outlineLevel="0" collapsed="false">
      <c r="A3790" s="25" t="n">
        <v>10869155</v>
      </c>
      <c r="B3790" s="25" t="s">
        <v>7982</v>
      </c>
      <c r="C3790" s="25" t="s">
        <v>7983</v>
      </c>
      <c r="D3790" s="26" t="n">
        <v>181</v>
      </c>
      <c r="E3790" s="27" t="n">
        <v>6.74232142513082</v>
      </c>
      <c r="F3790" s="27" t="n">
        <v>6.74232142513082</v>
      </c>
      <c r="G3790" s="25" t="s">
        <v>1139</v>
      </c>
      <c r="H3790" s="25" t="s">
        <v>1140</v>
      </c>
      <c r="I3790" s="25" t="n">
        <f aca="false">IFERROR(IF(INDEX(Documents!$C$5:$C$657,MATCH(H3790,Documents!$A$5:$A$657,0))="","",INDEX(Documents!$C$5:$C$657,MATCH(H3790,Documents!$A$5:$A$657,0))),"")</f>
        <v>2012</v>
      </c>
      <c r="J3790" s="25" t="str">
        <f aca="false">IFERROR(IF(INDEX(Documents!$D$5:$D$657,MATCH(H3790,Documents!$A$5:$A$657,0))="","",INDEX(Documents!$D$5:$D$657,MATCH(H3790,Documents!$A$5:$A$657,0))),"")</f>
        <v>Bioorg Med Chem Lett</v>
      </c>
      <c r="K3790" s="25" t="str">
        <f aca="false">IFERROR(IF(INDEX(Documents!$G$5:$G$657,MATCH(H3790,Documents!$A$5:$A$657,0))="","",INDEX(Documents!$G$5:$G$657,MATCH(H3790,Documents!$A$5:$A$657,0))),"")</f>
        <v>10.1016/j.bmcl.2012.02.050</v>
      </c>
      <c r="L3790" s="25" t="s">
        <v>1141</v>
      </c>
    </row>
    <row r="3791" customFormat="false" ht="15" hidden="false" customHeight="false" outlineLevel="0" collapsed="false">
      <c r="A3791" s="25" t="n">
        <v>10869163</v>
      </c>
      <c r="B3791" s="25" t="s">
        <v>7984</v>
      </c>
      <c r="C3791" s="25" t="s">
        <v>7985</v>
      </c>
      <c r="D3791" s="26" t="n">
        <v>885</v>
      </c>
      <c r="E3791" s="27" t="n">
        <v>6.05305672930217</v>
      </c>
      <c r="F3791" s="27" t="n">
        <v>6.05305672930217</v>
      </c>
      <c r="G3791" s="25" t="s">
        <v>1139</v>
      </c>
      <c r="H3791" s="25" t="s">
        <v>1140</v>
      </c>
      <c r="I3791" s="25" t="n">
        <f aca="false">IFERROR(IF(INDEX(Documents!$C$5:$C$657,MATCH(H3791,Documents!$A$5:$A$657,0))="","",INDEX(Documents!$C$5:$C$657,MATCH(H3791,Documents!$A$5:$A$657,0))),"")</f>
        <v>2012</v>
      </c>
      <c r="J3791" s="25" t="str">
        <f aca="false">IFERROR(IF(INDEX(Documents!$D$5:$D$657,MATCH(H3791,Documents!$A$5:$A$657,0))="","",INDEX(Documents!$D$5:$D$657,MATCH(H3791,Documents!$A$5:$A$657,0))),"")</f>
        <v>Bioorg Med Chem Lett</v>
      </c>
      <c r="K3791" s="25" t="str">
        <f aca="false">IFERROR(IF(INDEX(Documents!$G$5:$G$657,MATCH(H3791,Documents!$A$5:$A$657,0))="","",INDEX(Documents!$G$5:$G$657,MATCH(H3791,Documents!$A$5:$A$657,0))),"")</f>
        <v>10.1016/j.bmcl.2012.02.050</v>
      </c>
      <c r="L3791" s="25" t="s">
        <v>1141</v>
      </c>
    </row>
    <row r="3792" customFormat="false" ht="15" hidden="false" customHeight="false" outlineLevel="0" collapsed="false">
      <c r="A3792" s="25" t="n">
        <v>18673907</v>
      </c>
      <c r="B3792" s="25" t="s">
        <v>7986</v>
      </c>
      <c r="C3792" s="25" t="s">
        <v>7987</v>
      </c>
      <c r="D3792" s="26" t="n">
        <v>3400</v>
      </c>
      <c r="E3792" s="27" t="n">
        <v>5.46852108295775</v>
      </c>
      <c r="F3792" s="27" t="n">
        <v>5.46852108295775</v>
      </c>
      <c r="G3792" s="25" t="s">
        <v>664</v>
      </c>
      <c r="H3792" s="25" t="s">
        <v>665</v>
      </c>
      <c r="I3792" s="25" t="n">
        <f aca="false">IFERROR(IF(INDEX(Documents!$C$5:$C$657,MATCH(H3792,Documents!$A$5:$A$657,0))="","",INDEX(Documents!$C$5:$C$657,MATCH(H3792,Documents!$A$5:$A$657,0))),"")</f>
        <v>2018</v>
      </c>
      <c r="J3792" s="25" t="str">
        <f aca="false">IFERROR(IF(INDEX(Documents!$D$5:$D$657,MATCH(H3792,Documents!$A$5:$A$657,0))="","",INDEX(Documents!$D$5:$D$657,MATCH(H3792,Documents!$A$5:$A$657,0))),"")</f>
        <v>Bioorg Med Chem</v>
      </c>
      <c r="K3792" s="25" t="str">
        <f aca="false">IFERROR(IF(INDEX(Documents!$G$5:$G$657,MATCH(H3792,Documents!$A$5:$A$657,0))="","",INDEX(Documents!$G$5:$G$657,MATCH(H3792,Documents!$A$5:$A$657,0))),"")</f>
        <v>10.1016/j.bmc.2018.07.043</v>
      </c>
      <c r="L3792" s="25" t="s">
        <v>666</v>
      </c>
    </row>
    <row r="3793" customFormat="false" ht="15" hidden="false" customHeight="false" outlineLevel="0" collapsed="false">
      <c r="A3793" s="25" t="n">
        <v>18673908</v>
      </c>
      <c r="B3793" s="25" t="s">
        <v>7988</v>
      </c>
      <c r="C3793" s="25" t="s">
        <v>7989</v>
      </c>
      <c r="D3793" s="26" t="n">
        <v>4600</v>
      </c>
      <c r="E3793" s="27" t="n">
        <v>5.33724216831843</v>
      </c>
      <c r="F3793" s="27" t="n">
        <v>5.33724216831843</v>
      </c>
      <c r="G3793" s="25" t="s">
        <v>664</v>
      </c>
      <c r="H3793" s="25" t="s">
        <v>665</v>
      </c>
      <c r="I3793" s="25" t="n">
        <f aca="false">IFERROR(IF(INDEX(Documents!$C$5:$C$657,MATCH(H3793,Documents!$A$5:$A$657,0))="","",INDEX(Documents!$C$5:$C$657,MATCH(H3793,Documents!$A$5:$A$657,0))),"")</f>
        <v>2018</v>
      </c>
      <c r="J3793" s="25" t="str">
        <f aca="false">IFERROR(IF(INDEX(Documents!$D$5:$D$657,MATCH(H3793,Documents!$A$5:$A$657,0))="","",INDEX(Documents!$D$5:$D$657,MATCH(H3793,Documents!$A$5:$A$657,0))),"")</f>
        <v>Bioorg Med Chem</v>
      </c>
      <c r="K3793" s="25" t="str">
        <f aca="false">IFERROR(IF(INDEX(Documents!$G$5:$G$657,MATCH(H3793,Documents!$A$5:$A$657,0))="","",INDEX(Documents!$G$5:$G$657,MATCH(H3793,Documents!$A$5:$A$657,0))),"")</f>
        <v>10.1016/j.bmc.2018.07.043</v>
      </c>
      <c r="L3793" s="25" t="s">
        <v>666</v>
      </c>
    </row>
    <row r="3794" customFormat="false" ht="15" hidden="false" customHeight="false" outlineLevel="0" collapsed="false">
      <c r="A3794" s="25" t="n">
        <v>13499110</v>
      </c>
      <c r="B3794" s="25" t="s">
        <v>7990</v>
      </c>
      <c r="C3794" s="25" t="s">
        <v>7991</v>
      </c>
      <c r="D3794" s="26" t="n">
        <v>73</v>
      </c>
      <c r="E3794" s="27" t="n">
        <v>7.13667713987954</v>
      </c>
      <c r="F3794" s="27" t="n">
        <v>7.13667713987954</v>
      </c>
      <c r="G3794" s="25" t="s">
        <v>757</v>
      </c>
      <c r="H3794" s="25" t="s">
        <v>758</v>
      </c>
      <c r="I3794" s="25" t="n">
        <f aca="false">IFERROR(IF(INDEX(Documents!$C$5:$C$657,MATCH(H3794,Documents!$A$5:$A$657,0))="","",INDEX(Documents!$C$5:$C$657,MATCH(H3794,Documents!$A$5:$A$657,0))),"")</f>
        <v>2013</v>
      </c>
      <c r="J3794" s="25" t="str">
        <f aca="false">IFERROR(IF(INDEX(Documents!$D$5:$D$657,MATCH(H3794,Documents!$A$5:$A$657,0))="","",INDEX(Documents!$D$5:$D$657,MATCH(H3794,Documents!$A$5:$A$657,0))),"")</f>
        <v>Eur J Med Chem</v>
      </c>
      <c r="K3794" s="25" t="str">
        <f aca="false">IFERROR(IF(INDEX(Documents!$G$5:$G$657,MATCH(H3794,Documents!$A$5:$A$657,0))="","",INDEX(Documents!$G$5:$G$657,MATCH(H3794,Documents!$A$5:$A$657,0))),"")</f>
        <v>10.1016/j.ejmech.2013.09.038</v>
      </c>
      <c r="L3794" s="25" t="s">
        <v>759</v>
      </c>
    </row>
    <row r="3795" customFormat="false" ht="15" hidden="false" customHeight="false" outlineLevel="0" collapsed="false">
      <c r="A3795" s="25" t="n">
        <v>19371552</v>
      </c>
      <c r="B3795" s="25" t="s">
        <v>7992</v>
      </c>
      <c r="C3795" s="25" t="s">
        <v>7993</v>
      </c>
      <c r="D3795" s="26" t="n">
        <v>42800</v>
      </c>
      <c r="E3795" s="27" t="n">
        <v>4.36855623098683</v>
      </c>
      <c r="F3795" s="27" t="n">
        <v>4.36855623098683</v>
      </c>
      <c r="G3795" s="25" t="s">
        <v>7994</v>
      </c>
      <c r="H3795" s="25" t="s">
        <v>341</v>
      </c>
      <c r="I3795" s="25" t="n">
        <f aca="false">IFERROR(IF(INDEX(Documents!$C$5:$C$657,MATCH(H3795,Documents!$A$5:$A$657,0))="","",INDEX(Documents!$C$5:$C$657,MATCH(H3795,Documents!$A$5:$A$657,0))),"")</f>
        <v>2019</v>
      </c>
      <c r="J3795" s="25" t="str">
        <f aca="false">IFERROR(IF(INDEX(Documents!$D$5:$D$657,MATCH(H3795,Documents!$A$5:$A$657,0))="","",INDEX(Documents!$D$5:$D$657,MATCH(H3795,Documents!$A$5:$A$657,0))),"")</f>
        <v>J Nat Prod</v>
      </c>
      <c r="K3795" s="25" t="str">
        <f aca="false">IFERROR(IF(INDEX(Documents!$G$5:$G$657,MATCH(H3795,Documents!$A$5:$A$657,0))="","",INDEX(Documents!$G$5:$G$657,MATCH(H3795,Documents!$A$5:$A$657,0))),"")</f>
        <v>10.1021/acs.jnatprod.8b00874</v>
      </c>
      <c r="L3795" s="25" t="s">
        <v>7995</v>
      </c>
    </row>
    <row r="3796" customFormat="false" ht="15" hidden="false" customHeight="false" outlineLevel="0" collapsed="false">
      <c r="A3796" s="25" t="n">
        <v>19371554</v>
      </c>
      <c r="B3796" s="25" t="s">
        <v>7996</v>
      </c>
      <c r="C3796" s="25" t="s">
        <v>7997</v>
      </c>
      <c r="D3796" s="26" t="n">
        <v>95600</v>
      </c>
      <c r="E3796" s="27" t="n">
        <v>4.0195421077239</v>
      </c>
      <c r="F3796" s="27" t="n">
        <v>4.0195421077239</v>
      </c>
      <c r="G3796" s="25" t="s">
        <v>7994</v>
      </c>
      <c r="H3796" s="25" t="s">
        <v>341</v>
      </c>
      <c r="I3796" s="25" t="n">
        <f aca="false">IFERROR(IF(INDEX(Documents!$C$5:$C$657,MATCH(H3796,Documents!$A$5:$A$657,0))="","",INDEX(Documents!$C$5:$C$657,MATCH(H3796,Documents!$A$5:$A$657,0))),"")</f>
        <v>2019</v>
      </c>
      <c r="J3796" s="25" t="str">
        <f aca="false">IFERROR(IF(INDEX(Documents!$D$5:$D$657,MATCH(H3796,Documents!$A$5:$A$657,0))="","",INDEX(Documents!$D$5:$D$657,MATCH(H3796,Documents!$A$5:$A$657,0))),"")</f>
        <v>J Nat Prod</v>
      </c>
      <c r="K3796" s="25" t="str">
        <f aca="false">IFERROR(IF(INDEX(Documents!$G$5:$G$657,MATCH(H3796,Documents!$A$5:$A$657,0))="","",INDEX(Documents!$G$5:$G$657,MATCH(H3796,Documents!$A$5:$A$657,0))),"")</f>
        <v>10.1021/acs.jnatprod.8b00874</v>
      </c>
      <c r="L3796" s="25" t="s">
        <v>7995</v>
      </c>
    </row>
    <row r="3797" customFormat="false" ht="15" hidden="false" customHeight="false" outlineLevel="0" collapsed="false">
      <c r="A3797" s="25" t="n">
        <v>10845116</v>
      </c>
      <c r="B3797" s="25" t="s">
        <v>7998</v>
      </c>
      <c r="C3797" s="25" t="s">
        <v>7999</v>
      </c>
      <c r="D3797" s="26" t="n">
        <v>5.623</v>
      </c>
      <c r="E3797" s="27" t="n">
        <v>8.2500319164906</v>
      </c>
      <c r="F3797" s="27" t="n">
        <v>8.2500319164906</v>
      </c>
      <c r="G3797" s="25" t="s">
        <v>4495</v>
      </c>
      <c r="H3797" s="25" t="s">
        <v>4496</v>
      </c>
      <c r="I3797" s="25" t="n">
        <f aca="false">IFERROR(IF(INDEX(Documents!$C$5:$C$657,MATCH(H3797,Documents!$A$5:$A$657,0))="","",INDEX(Documents!$C$5:$C$657,MATCH(H3797,Documents!$A$5:$A$657,0))),"")</f>
        <v>2012</v>
      </c>
      <c r="J3797" s="25" t="str">
        <f aca="false">IFERROR(IF(INDEX(Documents!$D$5:$D$657,MATCH(H3797,Documents!$A$5:$A$657,0))="","",INDEX(Documents!$D$5:$D$657,MATCH(H3797,Documents!$A$5:$A$657,0))),"")</f>
        <v>Bioorg Med Chem Lett</v>
      </c>
      <c r="K3797" s="25" t="str">
        <f aca="false">IFERROR(IF(INDEX(Documents!$G$5:$G$657,MATCH(H3797,Documents!$A$5:$A$657,0))="","",INDEX(Documents!$G$5:$G$657,MATCH(H3797,Documents!$A$5:$A$657,0))),"")</f>
        <v>10.1016/j.bmcl.2012.01.121</v>
      </c>
      <c r="L3797" s="25" t="s">
        <v>4497</v>
      </c>
    </row>
    <row r="3798" customFormat="false" ht="15" hidden="false" customHeight="false" outlineLevel="0" collapsed="false">
      <c r="A3798" s="25" t="n">
        <v>10845115</v>
      </c>
      <c r="B3798" s="25" t="s">
        <v>8000</v>
      </c>
      <c r="C3798" s="25" t="s">
        <v>8001</v>
      </c>
      <c r="D3798" s="26" t="n">
        <v>91.2</v>
      </c>
      <c r="E3798" s="27" t="n">
        <v>7.04000516167158</v>
      </c>
      <c r="F3798" s="27" t="n">
        <v>7.04000516167158</v>
      </c>
      <c r="G3798" s="25" t="s">
        <v>4495</v>
      </c>
      <c r="H3798" s="25" t="s">
        <v>4496</v>
      </c>
      <c r="I3798" s="25" t="n">
        <f aca="false">IFERROR(IF(INDEX(Documents!$C$5:$C$657,MATCH(H3798,Documents!$A$5:$A$657,0))="","",INDEX(Documents!$C$5:$C$657,MATCH(H3798,Documents!$A$5:$A$657,0))),"")</f>
        <v>2012</v>
      </c>
      <c r="J3798" s="25" t="str">
        <f aca="false">IFERROR(IF(INDEX(Documents!$D$5:$D$657,MATCH(H3798,Documents!$A$5:$A$657,0))="","",INDEX(Documents!$D$5:$D$657,MATCH(H3798,Documents!$A$5:$A$657,0))),"")</f>
        <v>Bioorg Med Chem Lett</v>
      </c>
      <c r="K3798" s="25" t="str">
        <f aca="false">IFERROR(IF(INDEX(Documents!$G$5:$G$657,MATCH(H3798,Documents!$A$5:$A$657,0))="","",INDEX(Documents!$G$5:$G$657,MATCH(H3798,Documents!$A$5:$A$657,0))),"")</f>
        <v>10.1016/j.bmcl.2012.01.121</v>
      </c>
      <c r="L3798" s="25" t="s">
        <v>4497</v>
      </c>
    </row>
    <row r="3799" customFormat="false" ht="15" hidden="false" customHeight="false" outlineLevel="0" collapsed="false">
      <c r="A3799" s="25" t="n">
        <v>22856252</v>
      </c>
      <c r="B3799" s="25" t="s">
        <v>8002</v>
      </c>
      <c r="C3799" s="25" t="s">
        <v>8003</v>
      </c>
      <c r="D3799" s="26" t="n">
        <v>187</v>
      </c>
      <c r="E3799" s="27" t="n">
        <v>6.7281583934635</v>
      </c>
      <c r="F3799" s="27" t="n">
        <v>6.7281583934635</v>
      </c>
      <c r="G3799" s="25" t="s">
        <v>7078</v>
      </c>
      <c r="H3799" s="25" t="s">
        <v>7079</v>
      </c>
      <c r="I3799" s="25" t="n">
        <f aca="false">IFERROR(IF(INDEX(Documents!$C$5:$C$657,MATCH(H3799,Documents!$A$5:$A$657,0))="","",INDEX(Documents!$C$5:$C$657,MATCH(H3799,Documents!$A$5:$A$657,0))),"")</f>
        <v>2021</v>
      </c>
      <c r="J3799" s="25" t="str">
        <f aca="false">IFERROR(IF(INDEX(Documents!$D$5:$D$657,MATCH(H3799,Documents!$A$5:$A$657,0))="","",INDEX(Documents!$D$5:$D$657,MATCH(H3799,Documents!$A$5:$A$657,0))),"")</f>
        <v>Bioorg Med Chem</v>
      </c>
      <c r="K3799" s="25" t="str">
        <f aca="false">IFERROR(IF(INDEX(Documents!$G$5:$G$657,MATCH(H3799,Documents!$A$5:$A$657,0))="","",INDEX(Documents!$G$5:$G$657,MATCH(H3799,Documents!$A$5:$A$657,0))),"")</f>
        <v>10.1016/j.bmc.2021.116035</v>
      </c>
      <c r="L3799" s="25" t="s">
        <v>7080</v>
      </c>
    </row>
    <row r="3800" customFormat="false" ht="15" hidden="false" customHeight="false" outlineLevel="0" collapsed="false">
      <c r="A3800" s="25" t="n">
        <v>15685995</v>
      </c>
      <c r="B3800" s="25" t="s">
        <v>8004</v>
      </c>
      <c r="C3800" s="25" t="s">
        <v>8005</v>
      </c>
      <c r="D3800" s="26" t="n">
        <v>1589</v>
      </c>
      <c r="E3800" s="27" t="n">
        <v>5.79887610279262</v>
      </c>
      <c r="F3800" s="27" t="n">
        <v>5.79887610279262</v>
      </c>
      <c r="G3800" s="25" t="s">
        <v>817</v>
      </c>
      <c r="H3800" s="25" t="s">
        <v>818</v>
      </c>
      <c r="I3800" s="25" t="n">
        <f aca="false">IFERROR(IF(INDEX(Documents!$C$5:$C$657,MATCH(H3800,Documents!$A$5:$A$657,0))="","",INDEX(Documents!$C$5:$C$657,MATCH(H3800,Documents!$A$5:$A$657,0))),"")</f>
        <v>2015</v>
      </c>
      <c r="J3800" s="25" t="str">
        <f aca="false">IFERROR(IF(INDEX(Documents!$D$5:$D$657,MATCH(H3800,Documents!$A$5:$A$657,0))="","",INDEX(Documents!$D$5:$D$657,MATCH(H3800,Documents!$A$5:$A$657,0))),"")</f>
        <v>Bioorg Med Chem</v>
      </c>
      <c r="K3800" s="25" t="str">
        <f aca="false">IFERROR(IF(INDEX(Documents!$G$5:$G$657,MATCH(H3800,Documents!$A$5:$A$657,0))="","",INDEX(Documents!$G$5:$G$657,MATCH(H3800,Documents!$A$5:$A$657,0))),"")</f>
        <v>10.1016/j.bmc.2015.07.057</v>
      </c>
      <c r="L3800" s="25" t="s">
        <v>819</v>
      </c>
    </row>
    <row r="3801" customFormat="false" ht="15" hidden="false" customHeight="false" outlineLevel="0" collapsed="false">
      <c r="A3801" s="25" t="n">
        <v>22856251</v>
      </c>
      <c r="B3801" s="25" t="s">
        <v>8006</v>
      </c>
      <c r="C3801" s="25" t="s">
        <v>8007</v>
      </c>
      <c r="D3801" s="26" t="n">
        <v>447</v>
      </c>
      <c r="E3801" s="27" t="n">
        <v>6.34969247686806</v>
      </c>
      <c r="F3801" s="27" t="n">
        <v>6.34969247686806</v>
      </c>
      <c r="G3801" s="25" t="s">
        <v>7078</v>
      </c>
      <c r="H3801" s="25" t="s">
        <v>7079</v>
      </c>
      <c r="I3801" s="25" t="n">
        <f aca="false">IFERROR(IF(INDEX(Documents!$C$5:$C$657,MATCH(H3801,Documents!$A$5:$A$657,0))="","",INDEX(Documents!$C$5:$C$657,MATCH(H3801,Documents!$A$5:$A$657,0))),"")</f>
        <v>2021</v>
      </c>
      <c r="J3801" s="25" t="str">
        <f aca="false">IFERROR(IF(INDEX(Documents!$D$5:$D$657,MATCH(H3801,Documents!$A$5:$A$657,0))="","",INDEX(Documents!$D$5:$D$657,MATCH(H3801,Documents!$A$5:$A$657,0))),"")</f>
        <v>Bioorg Med Chem</v>
      </c>
      <c r="K3801" s="25" t="str">
        <f aca="false">IFERROR(IF(INDEX(Documents!$G$5:$G$657,MATCH(H3801,Documents!$A$5:$A$657,0))="","",INDEX(Documents!$G$5:$G$657,MATCH(H3801,Documents!$A$5:$A$657,0))),"")</f>
        <v>10.1016/j.bmc.2021.116035</v>
      </c>
      <c r="L3801" s="25" t="s">
        <v>7080</v>
      </c>
    </row>
    <row r="3802" customFormat="false" ht="15" hidden="false" customHeight="false" outlineLevel="0" collapsed="false">
      <c r="A3802" s="25" t="n">
        <v>22856254</v>
      </c>
      <c r="B3802" s="25" t="s">
        <v>8008</v>
      </c>
      <c r="C3802" s="25" t="s">
        <v>8009</v>
      </c>
      <c r="D3802" s="26" t="n">
        <v>154</v>
      </c>
      <c r="E3802" s="27" t="n">
        <v>6.81247927916354</v>
      </c>
      <c r="F3802" s="27" t="n">
        <v>6.81247927916354</v>
      </c>
      <c r="G3802" s="25" t="s">
        <v>7078</v>
      </c>
      <c r="H3802" s="25" t="s">
        <v>7079</v>
      </c>
      <c r="I3802" s="25" t="n">
        <f aca="false">IFERROR(IF(INDEX(Documents!$C$5:$C$657,MATCH(H3802,Documents!$A$5:$A$657,0))="","",INDEX(Documents!$C$5:$C$657,MATCH(H3802,Documents!$A$5:$A$657,0))),"")</f>
        <v>2021</v>
      </c>
      <c r="J3802" s="25" t="str">
        <f aca="false">IFERROR(IF(INDEX(Documents!$D$5:$D$657,MATCH(H3802,Documents!$A$5:$A$657,0))="","",INDEX(Documents!$D$5:$D$657,MATCH(H3802,Documents!$A$5:$A$657,0))),"")</f>
        <v>Bioorg Med Chem</v>
      </c>
      <c r="K3802" s="25" t="str">
        <f aca="false">IFERROR(IF(INDEX(Documents!$G$5:$G$657,MATCH(H3802,Documents!$A$5:$A$657,0))="","",INDEX(Documents!$G$5:$G$657,MATCH(H3802,Documents!$A$5:$A$657,0))),"")</f>
        <v>10.1016/j.bmc.2021.116035</v>
      </c>
      <c r="L3802" s="25" t="s">
        <v>7080</v>
      </c>
    </row>
    <row r="3803" customFormat="false" ht="15" hidden="false" customHeight="false" outlineLevel="0" collapsed="false">
      <c r="A3803" s="25" t="n">
        <v>22856250</v>
      </c>
      <c r="B3803" s="25" t="s">
        <v>8010</v>
      </c>
      <c r="C3803" s="25" t="s">
        <v>8011</v>
      </c>
      <c r="D3803" s="26" t="n">
        <v>8383</v>
      </c>
      <c r="E3803" s="27" t="n">
        <v>5.07660053384128</v>
      </c>
      <c r="F3803" s="27" t="n">
        <v>5.07660053384128</v>
      </c>
      <c r="G3803" s="25" t="s">
        <v>7078</v>
      </c>
      <c r="H3803" s="25" t="s">
        <v>7079</v>
      </c>
      <c r="I3803" s="25" t="n">
        <f aca="false">IFERROR(IF(INDEX(Documents!$C$5:$C$657,MATCH(H3803,Documents!$A$5:$A$657,0))="","",INDEX(Documents!$C$5:$C$657,MATCH(H3803,Documents!$A$5:$A$657,0))),"")</f>
        <v>2021</v>
      </c>
      <c r="J3803" s="25" t="str">
        <f aca="false">IFERROR(IF(INDEX(Documents!$D$5:$D$657,MATCH(H3803,Documents!$A$5:$A$657,0))="","",INDEX(Documents!$D$5:$D$657,MATCH(H3803,Documents!$A$5:$A$657,0))),"")</f>
        <v>Bioorg Med Chem</v>
      </c>
      <c r="K3803" s="25" t="str">
        <f aca="false">IFERROR(IF(INDEX(Documents!$G$5:$G$657,MATCH(H3803,Documents!$A$5:$A$657,0))="","",INDEX(Documents!$G$5:$G$657,MATCH(H3803,Documents!$A$5:$A$657,0))),"")</f>
        <v>10.1016/j.bmc.2021.116035</v>
      </c>
      <c r="L3803" s="25" t="s">
        <v>7080</v>
      </c>
    </row>
    <row r="3804" customFormat="false" ht="15" hidden="false" customHeight="false" outlineLevel="0" collapsed="false">
      <c r="A3804" s="25" t="n">
        <v>16823056</v>
      </c>
      <c r="B3804" s="25" t="s">
        <v>8012</v>
      </c>
      <c r="C3804" s="25" t="s">
        <v>8013</v>
      </c>
      <c r="D3804" s="26" t="n">
        <v>1000</v>
      </c>
      <c r="E3804" s="27" t="n">
        <v>6</v>
      </c>
      <c r="F3804" s="27" t="n">
        <v>6</v>
      </c>
      <c r="G3804" s="25" t="s">
        <v>934</v>
      </c>
      <c r="H3804" s="25" t="s">
        <v>935</v>
      </c>
      <c r="I3804" s="25" t="n">
        <f aca="false">IFERROR(IF(INDEX(Documents!$C$5:$C$657,MATCH(H3804,Documents!$A$5:$A$657,0))="","",INDEX(Documents!$C$5:$C$657,MATCH(H3804,Documents!$A$5:$A$657,0))),"")</f>
        <v>2016</v>
      </c>
      <c r="J3804" s="25" t="str">
        <f aca="false">IFERROR(IF(INDEX(Documents!$D$5:$D$657,MATCH(H3804,Documents!$A$5:$A$657,0))="","",INDEX(Documents!$D$5:$D$657,MATCH(H3804,Documents!$A$5:$A$657,0))),"")</f>
        <v>Eur J Med Chem</v>
      </c>
      <c r="K3804" s="25" t="str">
        <f aca="false">IFERROR(IF(INDEX(Documents!$G$5:$G$657,MATCH(H3804,Documents!$A$5:$A$657,0))="","",INDEX(Documents!$G$5:$G$657,MATCH(H3804,Documents!$A$5:$A$657,0))),"")</f>
        <v>10.1016/j.ejmech.2016.08.005</v>
      </c>
      <c r="L3804" s="25" t="s">
        <v>936</v>
      </c>
    </row>
    <row r="3805" customFormat="false" ht="15" hidden="false" customHeight="false" outlineLevel="0" collapsed="false">
      <c r="A3805" s="25" t="n">
        <v>15686008</v>
      </c>
      <c r="B3805" s="25" t="s">
        <v>8014</v>
      </c>
      <c r="C3805" s="25" t="s">
        <v>8015</v>
      </c>
      <c r="D3805" s="26" t="n">
        <v>120.7</v>
      </c>
      <c r="E3805" s="27" t="n">
        <v>6.91829272990265</v>
      </c>
      <c r="F3805" s="27" t="n">
        <v>6.91829272990265</v>
      </c>
      <c r="G3805" s="25" t="s">
        <v>817</v>
      </c>
      <c r="H3805" s="25" t="s">
        <v>818</v>
      </c>
      <c r="I3805" s="25" t="n">
        <f aca="false">IFERROR(IF(INDEX(Documents!$C$5:$C$657,MATCH(H3805,Documents!$A$5:$A$657,0))="","",INDEX(Documents!$C$5:$C$657,MATCH(H3805,Documents!$A$5:$A$657,0))),"")</f>
        <v>2015</v>
      </c>
      <c r="J3805" s="25" t="str">
        <f aca="false">IFERROR(IF(INDEX(Documents!$D$5:$D$657,MATCH(H3805,Documents!$A$5:$A$657,0))="","",INDEX(Documents!$D$5:$D$657,MATCH(H3805,Documents!$A$5:$A$657,0))),"")</f>
        <v>Bioorg Med Chem</v>
      </c>
      <c r="K3805" s="25" t="str">
        <f aca="false">IFERROR(IF(INDEX(Documents!$G$5:$G$657,MATCH(H3805,Documents!$A$5:$A$657,0))="","",INDEX(Documents!$G$5:$G$657,MATCH(H3805,Documents!$A$5:$A$657,0))),"")</f>
        <v>10.1016/j.bmc.2015.07.057</v>
      </c>
      <c r="L3805" s="25" t="s">
        <v>819</v>
      </c>
    </row>
    <row r="3806" customFormat="false" ht="15" hidden="false" customHeight="false" outlineLevel="0" collapsed="false">
      <c r="A3806" s="25" t="n">
        <v>13499106</v>
      </c>
      <c r="B3806" s="25" t="s">
        <v>8016</v>
      </c>
      <c r="C3806" s="25" t="s">
        <v>8017</v>
      </c>
      <c r="D3806" s="26" t="n">
        <v>20</v>
      </c>
      <c r="E3806" s="27" t="n">
        <v>7.69897000433602</v>
      </c>
      <c r="F3806" s="27" t="n">
        <v>7.69897000433602</v>
      </c>
      <c r="G3806" s="25" t="s">
        <v>757</v>
      </c>
      <c r="H3806" s="25" t="s">
        <v>758</v>
      </c>
      <c r="I3806" s="25" t="n">
        <f aca="false">IFERROR(IF(INDEX(Documents!$C$5:$C$657,MATCH(H3806,Documents!$A$5:$A$657,0))="","",INDEX(Documents!$C$5:$C$657,MATCH(H3806,Documents!$A$5:$A$657,0))),"")</f>
        <v>2013</v>
      </c>
      <c r="J3806" s="25" t="str">
        <f aca="false">IFERROR(IF(INDEX(Documents!$D$5:$D$657,MATCH(H3806,Documents!$A$5:$A$657,0))="","",INDEX(Documents!$D$5:$D$657,MATCH(H3806,Documents!$A$5:$A$657,0))),"")</f>
        <v>Eur J Med Chem</v>
      </c>
      <c r="K3806" s="25" t="str">
        <f aca="false">IFERROR(IF(INDEX(Documents!$G$5:$G$657,MATCH(H3806,Documents!$A$5:$A$657,0))="","",INDEX(Documents!$G$5:$G$657,MATCH(H3806,Documents!$A$5:$A$657,0))),"")</f>
        <v>10.1016/j.ejmech.2013.09.038</v>
      </c>
      <c r="L3806" s="25" t="s">
        <v>759</v>
      </c>
    </row>
    <row r="3807" customFormat="false" ht="15" hidden="false" customHeight="false" outlineLevel="0" collapsed="false">
      <c r="A3807" s="25" t="n">
        <v>13499114</v>
      </c>
      <c r="B3807" s="25" t="s">
        <v>8018</v>
      </c>
      <c r="C3807" s="25" t="s">
        <v>8019</v>
      </c>
      <c r="D3807" s="26" t="n">
        <v>88</v>
      </c>
      <c r="E3807" s="27" t="n">
        <v>7.05551732784983</v>
      </c>
      <c r="F3807" s="27" t="n">
        <v>7.05551732784983</v>
      </c>
      <c r="G3807" s="25" t="s">
        <v>757</v>
      </c>
      <c r="H3807" s="25" t="s">
        <v>758</v>
      </c>
      <c r="I3807" s="25" t="n">
        <f aca="false">IFERROR(IF(INDEX(Documents!$C$5:$C$657,MATCH(H3807,Documents!$A$5:$A$657,0))="","",INDEX(Documents!$C$5:$C$657,MATCH(H3807,Documents!$A$5:$A$657,0))),"")</f>
        <v>2013</v>
      </c>
      <c r="J3807" s="25" t="str">
        <f aca="false">IFERROR(IF(INDEX(Documents!$D$5:$D$657,MATCH(H3807,Documents!$A$5:$A$657,0))="","",INDEX(Documents!$D$5:$D$657,MATCH(H3807,Documents!$A$5:$A$657,0))),"")</f>
        <v>Eur J Med Chem</v>
      </c>
      <c r="K3807" s="25" t="str">
        <f aca="false">IFERROR(IF(INDEX(Documents!$G$5:$G$657,MATCH(H3807,Documents!$A$5:$A$657,0))="","",INDEX(Documents!$G$5:$G$657,MATCH(H3807,Documents!$A$5:$A$657,0))),"")</f>
        <v>10.1016/j.ejmech.2013.09.038</v>
      </c>
      <c r="L3807" s="25" t="s">
        <v>759</v>
      </c>
    </row>
    <row r="3808" customFormat="false" ht="15" hidden="false" customHeight="false" outlineLevel="0" collapsed="false">
      <c r="A3808" s="25" t="n">
        <v>13499112</v>
      </c>
      <c r="B3808" s="25" t="s">
        <v>8020</v>
      </c>
      <c r="C3808" s="25" t="s">
        <v>8021</v>
      </c>
      <c r="D3808" s="26" t="n">
        <v>2169</v>
      </c>
      <c r="E3808" s="27" t="n">
        <v>5.66374044798581</v>
      </c>
      <c r="F3808" s="27" t="n">
        <v>5.66374044798581</v>
      </c>
      <c r="G3808" s="25" t="s">
        <v>757</v>
      </c>
      <c r="H3808" s="25" t="s">
        <v>758</v>
      </c>
      <c r="I3808" s="25" t="n">
        <f aca="false">IFERROR(IF(INDEX(Documents!$C$5:$C$657,MATCH(H3808,Documents!$A$5:$A$657,0))="","",INDEX(Documents!$C$5:$C$657,MATCH(H3808,Documents!$A$5:$A$657,0))),"")</f>
        <v>2013</v>
      </c>
      <c r="J3808" s="25" t="str">
        <f aca="false">IFERROR(IF(INDEX(Documents!$D$5:$D$657,MATCH(H3808,Documents!$A$5:$A$657,0))="","",INDEX(Documents!$D$5:$D$657,MATCH(H3808,Documents!$A$5:$A$657,0))),"")</f>
        <v>Eur J Med Chem</v>
      </c>
      <c r="K3808" s="25" t="str">
        <f aca="false">IFERROR(IF(INDEX(Documents!$G$5:$G$657,MATCH(H3808,Documents!$A$5:$A$657,0))="","",INDEX(Documents!$G$5:$G$657,MATCH(H3808,Documents!$A$5:$A$657,0))),"")</f>
        <v>10.1016/j.ejmech.2013.09.038</v>
      </c>
      <c r="L3808" s="25" t="s">
        <v>759</v>
      </c>
    </row>
    <row r="3809" customFormat="false" ht="15" hidden="false" customHeight="false" outlineLevel="0" collapsed="false">
      <c r="A3809" s="25" t="n">
        <v>13499111</v>
      </c>
      <c r="B3809" s="25" t="s">
        <v>8022</v>
      </c>
      <c r="C3809" s="25" t="s">
        <v>8023</v>
      </c>
      <c r="D3809" s="26" t="n">
        <v>249</v>
      </c>
      <c r="E3809" s="27" t="n">
        <v>6.60380065290426</v>
      </c>
      <c r="F3809" s="27" t="n">
        <v>6.60380065290426</v>
      </c>
      <c r="G3809" s="25" t="s">
        <v>757</v>
      </c>
      <c r="H3809" s="25" t="s">
        <v>758</v>
      </c>
      <c r="I3809" s="25" t="n">
        <f aca="false">IFERROR(IF(INDEX(Documents!$C$5:$C$657,MATCH(H3809,Documents!$A$5:$A$657,0))="","",INDEX(Documents!$C$5:$C$657,MATCH(H3809,Documents!$A$5:$A$657,0))),"")</f>
        <v>2013</v>
      </c>
      <c r="J3809" s="25" t="str">
        <f aca="false">IFERROR(IF(INDEX(Documents!$D$5:$D$657,MATCH(H3809,Documents!$A$5:$A$657,0))="","",INDEX(Documents!$D$5:$D$657,MATCH(H3809,Documents!$A$5:$A$657,0))),"")</f>
        <v>Eur J Med Chem</v>
      </c>
      <c r="K3809" s="25" t="str">
        <f aca="false">IFERROR(IF(INDEX(Documents!$G$5:$G$657,MATCH(H3809,Documents!$A$5:$A$657,0))="","",INDEX(Documents!$G$5:$G$657,MATCH(H3809,Documents!$A$5:$A$657,0))),"")</f>
        <v>10.1016/j.ejmech.2013.09.038</v>
      </c>
      <c r="L3809" s="25" t="s">
        <v>759</v>
      </c>
    </row>
    <row r="3810" customFormat="false" ht="15" hidden="false" customHeight="false" outlineLevel="0" collapsed="false">
      <c r="A3810" s="25" t="n">
        <v>13499115</v>
      </c>
      <c r="B3810" s="25" t="s">
        <v>8024</v>
      </c>
      <c r="C3810" s="25" t="s">
        <v>8025</v>
      </c>
      <c r="D3810" s="26" t="n">
        <v>519</v>
      </c>
      <c r="E3810" s="27" t="n">
        <v>6.28483264215154</v>
      </c>
      <c r="F3810" s="27" t="n">
        <v>6.28483264215154</v>
      </c>
      <c r="G3810" s="25" t="s">
        <v>757</v>
      </c>
      <c r="H3810" s="25" t="s">
        <v>758</v>
      </c>
      <c r="I3810" s="25" t="n">
        <f aca="false">IFERROR(IF(INDEX(Documents!$C$5:$C$657,MATCH(H3810,Documents!$A$5:$A$657,0))="","",INDEX(Documents!$C$5:$C$657,MATCH(H3810,Documents!$A$5:$A$657,0))),"")</f>
        <v>2013</v>
      </c>
      <c r="J3810" s="25" t="str">
        <f aca="false">IFERROR(IF(INDEX(Documents!$D$5:$D$657,MATCH(H3810,Documents!$A$5:$A$657,0))="","",INDEX(Documents!$D$5:$D$657,MATCH(H3810,Documents!$A$5:$A$657,0))),"")</f>
        <v>Eur J Med Chem</v>
      </c>
      <c r="K3810" s="25" t="str">
        <f aca="false">IFERROR(IF(INDEX(Documents!$G$5:$G$657,MATCH(H3810,Documents!$A$5:$A$657,0))="","",INDEX(Documents!$G$5:$G$657,MATCH(H3810,Documents!$A$5:$A$657,0))),"")</f>
        <v>10.1016/j.ejmech.2013.09.038</v>
      </c>
      <c r="L3810" s="25" t="s">
        <v>759</v>
      </c>
    </row>
    <row r="3811" customFormat="false" ht="15" hidden="false" customHeight="false" outlineLevel="0" collapsed="false">
      <c r="A3811" s="25" t="n">
        <v>13498202</v>
      </c>
      <c r="B3811" s="25" t="s">
        <v>8026</v>
      </c>
      <c r="C3811" s="25" t="s">
        <v>8027</v>
      </c>
      <c r="D3811" s="26" t="n">
        <v>215</v>
      </c>
      <c r="E3811" s="27" t="n">
        <v>6.66756154008439</v>
      </c>
      <c r="F3811" s="27" t="n">
        <v>6.66756154008439</v>
      </c>
      <c r="G3811" s="25" t="s">
        <v>757</v>
      </c>
      <c r="H3811" s="25" t="s">
        <v>758</v>
      </c>
      <c r="I3811" s="25" t="n">
        <f aca="false">IFERROR(IF(INDEX(Documents!$C$5:$C$657,MATCH(H3811,Documents!$A$5:$A$657,0))="","",INDEX(Documents!$C$5:$C$657,MATCH(H3811,Documents!$A$5:$A$657,0))),"")</f>
        <v>2013</v>
      </c>
      <c r="J3811" s="25" t="str">
        <f aca="false">IFERROR(IF(INDEX(Documents!$D$5:$D$657,MATCH(H3811,Documents!$A$5:$A$657,0))="","",INDEX(Documents!$D$5:$D$657,MATCH(H3811,Documents!$A$5:$A$657,0))),"")</f>
        <v>Eur J Med Chem</v>
      </c>
      <c r="K3811" s="25" t="str">
        <f aca="false">IFERROR(IF(INDEX(Documents!$G$5:$G$657,MATCH(H3811,Documents!$A$5:$A$657,0))="","",INDEX(Documents!$G$5:$G$657,MATCH(H3811,Documents!$A$5:$A$657,0))),"")</f>
        <v>10.1016/j.ejmech.2013.09.038</v>
      </c>
      <c r="L3811" s="25" t="s">
        <v>759</v>
      </c>
    </row>
    <row r="3812" customFormat="false" ht="15" hidden="false" customHeight="false" outlineLevel="0" collapsed="false">
      <c r="A3812" s="25" t="n">
        <v>13498203</v>
      </c>
      <c r="B3812" s="25" t="s">
        <v>8028</v>
      </c>
      <c r="C3812" s="25" t="s">
        <v>8029</v>
      </c>
      <c r="D3812" s="26" t="n">
        <v>600</v>
      </c>
      <c r="E3812" s="27" t="n">
        <v>6.22184874961636</v>
      </c>
      <c r="F3812" s="27" t="n">
        <v>6.22184874961636</v>
      </c>
      <c r="G3812" s="25" t="s">
        <v>757</v>
      </c>
      <c r="H3812" s="25" t="s">
        <v>758</v>
      </c>
      <c r="I3812" s="25" t="n">
        <f aca="false">IFERROR(IF(INDEX(Documents!$C$5:$C$657,MATCH(H3812,Documents!$A$5:$A$657,0))="","",INDEX(Documents!$C$5:$C$657,MATCH(H3812,Documents!$A$5:$A$657,0))),"")</f>
        <v>2013</v>
      </c>
      <c r="J3812" s="25" t="str">
        <f aca="false">IFERROR(IF(INDEX(Documents!$D$5:$D$657,MATCH(H3812,Documents!$A$5:$A$657,0))="","",INDEX(Documents!$D$5:$D$657,MATCH(H3812,Documents!$A$5:$A$657,0))),"")</f>
        <v>Eur J Med Chem</v>
      </c>
      <c r="K3812" s="25" t="str">
        <f aca="false">IFERROR(IF(INDEX(Documents!$G$5:$G$657,MATCH(H3812,Documents!$A$5:$A$657,0))="","",INDEX(Documents!$G$5:$G$657,MATCH(H3812,Documents!$A$5:$A$657,0))),"")</f>
        <v>10.1016/j.ejmech.2013.09.038</v>
      </c>
      <c r="L3812" s="25" t="s">
        <v>759</v>
      </c>
    </row>
    <row r="3813" customFormat="false" ht="15" hidden="false" customHeight="false" outlineLevel="0" collapsed="false">
      <c r="A3813" s="25" t="n">
        <v>13498204</v>
      </c>
      <c r="B3813" s="25" t="s">
        <v>8030</v>
      </c>
      <c r="C3813" s="25" t="s">
        <v>8031</v>
      </c>
      <c r="D3813" s="26" t="n">
        <v>91</v>
      </c>
      <c r="E3813" s="27" t="n">
        <v>7.04095860767891</v>
      </c>
      <c r="F3813" s="27" t="n">
        <v>7.04095860767891</v>
      </c>
      <c r="G3813" s="25" t="s">
        <v>757</v>
      </c>
      <c r="H3813" s="25" t="s">
        <v>758</v>
      </c>
      <c r="I3813" s="25" t="n">
        <f aca="false">IFERROR(IF(INDEX(Documents!$C$5:$C$657,MATCH(H3813,Documents!$A$5:$A$657,0))="","",INDEX(Documents!$C$5:$C$657,MATCH(H3813,Documents!$A$5:$A$657,0))),"")</f>
        <v>2013</v>
      </c>
      <c r="J3813" s="25" t="str">
        <f aca="false">IFERROR(IF(INDEX(Documents!$D$5:$D$657,MATCH(H3813,Documents!$A$5:$A$657,0))="","",INDEX(Documents!$D$5:$D$657,MATCH(H3813,Documents!$A$5:$A$657,0))),"")</f>
        <v>Eur J Med Chem</v>
      </c>
      <c r="K3813" s="25" t="str">
        <f aca="false">IFERROR(IF(INDEX(Documents!$G$5:$G$657,MATCH(H3813,Documents!$A$5:$A$657,0))="","",INDEX(Documents!$G$5:$G$657,MATCH(H3813,Documents!$A$5:$A$657,0))),"")</f>
        <v>10.1016/j.ejmech.2013.09.038</v>
      </c>
      <c r="L3813" s="25" t="s">
        <v>759</v>
      </c>
    </row>
    <row r="3814" customFormat="false" ht="15" hidden="false" customHeight="false" outlineLevel="0" collapsed="false">
      <c r="A3814" s="25" t="n">
        <v>24996437</v>
      </c>
      <c r="B3814" s="25" t="s">
        <v>8032</v>
      </c>
      <c r="C3814" s="25" t="s">
        <v>8033</v>
      </c>
      <c r="D3814" s="26" t="n">
        <v>3.3</v>
      </c>
      <c r="E3814" s="27" t="n">
        <v>8.48148606012211</v>
      </c>
      <c r="F3814" s="27" t="n">
        <v>8.48148606012211</v>
      </c>
      <c r="G3814" s="25" t="s">
        <v>8034</v>
      </c>
      <c r="H3814" s="25" t="s">
        <v>1827</v>
      </c>
      <c r="I3814" s="25" t="n">
        <f aca="false">IFERROR(IF(INDEX(Documents!$C$5:$C$657,MATCH(H3814,Documents!$A$5:$A$657,0))="","",INDEX(Documents!$C$5:$C$657,MATCH(H3814,Documents!$A$5:$A$657,0))),"")</f>
        <v>2020</v>
      </c>
      <c r="J3814" s="25" t="str">
        <f aca="false">IFERROR(IF(INDEX(Documents!$D$5:$D$657,MATCH(H3814,Documents!$A$5:$A$657,0))="","",INDEX(Documents!$D$5:$D$657,MATCH(H3814,Documents!$A$5:$A$657,0))),"")</f>
        <v>J Med Chem</v>
      </c>
      <c r="K3814" s="25" t="str">
        <f aca="false">IFERROR(IF(INDEX(Documents!$G$5:$G$657,MATCH(H3814,Documents!$A$5:$A$657,0))="","",INDEX(Documents!$G$5:$G$657,MATCH(H3814,Documents!$A$5:$A$657,0))),"")</f>
        <v>10.1021/acs.jmedchem.0c01357</v>
      </c>
      <c r="L3814" s="25" t="s">
        <v>5428</v>
      </c>
    </row>
    <row r="3815" customFormat="false" ht="15" hidden="false" customHeight="false" outlineLevel="0" collapsed="false">
      <c r="A3815" s="25" t="n">
        <v>18703170</v>
      </c>
      <c r="B3815" s="25" t="s">
        <v>8035</v>
      </c>
      <c r="C3815" s="25" t="s">
        <v>8036</v>
      </c>
      <c r="D3815" s="26" t="n">
        <v>275.4</v>
      </c>
      <c r="E3815" s="27" t="n">
        <v>6.5600360640791</v>
      </c>
      <c r="F3815" s="27" t="n">
        <v>6.5600360640791</v>
      </c>
      <c r="G3815" s="25" t="s">
        <v>4522</v>
      </c>
      <c r="H3815" s="25" t="s">
        <v>4523</v>
      </c>
      <c r="I3815" s="25" t="n">
        <f aca="false">IFERROR(IF(INDEX(Documents!$C$5:$C$657,MATCH(H3815,Documents!$A$5:$A$657,0))="","",INDEX(Documents!$C$5:$C$657,MATCH(H3815,Documents!$A$5:$A$657,0))),"")</f>
        <v>2018</v>
      </c>
      <c r="J3815" s="25" t="str">
        <f aca="false">IFERROR(IF(INDEX(Documents!$D$5:$D$657,MATCH(H3815,Documents!$A$5:$A$657,0))="","",INDEX(Documents!$D$5:$D$657,MATCH(H3815,Documents!$A$5:$A$657,0))),"")</f>
        <v>Eur J Med Chem</v>
      </c>
      <c r="K3815" s="25" t="str">
        <f aca="false">IFERROR(IF(INDEX(Documents!$G$5:$G$657,MATCH(H3815,Documents!$A$5:$A$657,0))="","",INDEX(Documents!$G$5:$G$657,MATCH(H3815,Documents!$A$5:$A$657,0))),"")</f>
        <v>10.1016/j.ejmech.2017.11.076</v>
      </c>
      <c r="L3815" s="25" t="s">
        <v>4524</v>
      </c>
    </row>
    <row r="3816" customFormat="false" ht="15" hidden="false" customHeight="false" outlineLevel="0" collapsed="false">
      <c r="A3816" s="25" t="n">
        <v>18703166</v>
      </c>
      <c r="B3816" s="25" t="s">
        <v>8037</v>
      </c>
      <c r="C3816" s="25" t="s">
        <v>8038</v>
      </c>
      <c r="D3816" s="26" t="n">
        <v>169</v>
      </c>
      <c r="E3816" s="27" t="n">
        <v>6.77211329538633</v>
      </c>
      <c r="F3816" s="27" t="n">
        <v>6.77211329538633</v>
      </c>
      <c r="G3816" s="25" t="s">
        <v>4522</v>
      </c>
      <c r="H3816" s="25" t="s">
        <v>4523</v>
      </c>
      <c r="I3816" s="25" t="n">
        <f aca="false">IFERROR(IF(INDEX(Documents!$C$5:$C$657,MATCH(H3816,Documents!$A$5:$A$657,0))="","",INDEX(Documents!$C$5:$C$657,MATCH(H3816,Documents!$A$5:$A$657,0))),"")</f>
        <v>2018</v>
      </c>
      <c r="J3816" s="25" t="str">
        <f aca="false">IFERROR(IF(INDEX(Documents!$D$5:$D$657,MATCH(H3816,Documents!$A$5:$A$657,0))="","",INDEX(Documents!$D$5:$D$657,MATCH(H3816,Documents!$A$5:$A$657,0))),"")</f>
        <v>Eur J Med Chem</v>
      </c>
      <c r="K3816" s="25" t="str">
        <f aca="false">IFERROR(IF(INDEX(Documents!$G$5:$G$657,MATCH(H3816,Documents!$A$5:$A$657,0))="","",INDEX(Documents!$G$5:$G$657,MATCH(H3816,Documents!$A$5:$A$657,0))),"")</f>
        <v>10.1016/j.ejmech.2017.11.076</v>
      </c>
      <c r="L3816" s="25" t="s">
        <v>4524</v>
      </c>
    </row>
    <row r="3817" customFormat="false" ht="15" hidden="false" customHeight="false" outlineLevel="0" collapsed="false">
      <c r="A3817" s="25" t="n">
        <v>16823055</v>
      </c>
      <c r="B3817" s="25" t="s">
        <v>8039</v>
      </c>
      <c r="C3817" s="25" t="s">
        <v>8040</v>
      </c>
      <c r="D3817" s="26" t="n">
        <v>200</v>
      </c>
      <c r="E3817" s="27" t="n">
        <v>6.69897000433602</v>
      </c>
      <c r="F3817" s="27" t="n">
        <v>6.69897000433602</v>
      </c>
      <c r="G3817" s="25" t="s">
        <v>934</v>
      </c>
      <c r="H3817" s="25" t="s">
        <v>935</v>
      </c>
      <c r="I3817" s="25" t="n">
        <f aca="false">IFERROR(IF(INDEX(Documents!$C$5:$C$657,MATCH(H3817,Documents!$A$5:$A$657,0))="","",INDEX(Documents!$C$5:$C$657,MATCH(H3817,Documents!$A$5:$A$657,0))),"")</f>
        <v>2016</v>
      </c>
      <c r="J3817" s="25" t="str">
        <f aca="false">IFERROR(IF(INDEX(Documents!$D$5:$D$657,MATCH(H3817,Documents!$A$5:$A$657,0))="","",INDEX(Documents!$D$5:$D$657,MATCH(H3817,Documents!$A$5:$A$657,0))),"")</f>
        <v>Eur J Med Chem</v>
      </c>
      <c r="K3817" s="25" t="str">
        <f aca="false">IFERROR(IF(INDEX(Documents!$G$5:$G$657,MATCH(H3817,Documents!$A$5:$A$657,0))="","",INDEX(Documents!$G$5:$G$657,MATCH(H3817,Documents!$A$5:$A$657,0))),"")</f>
        <v>10.1016/j.ejmech.2016.08.005</v>
      </c>
      <c r="L3817" s="25" t="s">
        <v>936</v>
      </c>
    </row>
    <row r="3818" customFormat="false" ht="15" hidden="false" customHeight="false" outlineLevel="0" collapsed="false">
      <c r="A3818" s="25" t="n">
        <v>16823036</v>
      </c>
      <c r="B3818" s="25" t="s">
        <v>8041</v>
      </c>
      <c r="C3818" s="25" t="s">
        <v>8042</v>
      </c>
      <c r="D3818" s="26" t="n">
        <v>1400</v>
      </c>
      <c r="E3818" s="27" t="n">
        <v>5.85387196432176</v>
      </c>
      <c r="F3818" s="27" t="n">
        <v>5.85387196432176</v>
      </c>
      <c r="G3818" s="25" t="s">
        <v>934</v>
      </c>
      <c r="H3818" s="25" t="s">
        <v>935</v>
      </c>
      <c r="I3818" s="25" t="n">
        <f aca="false">IFERROR(IF(INDEX(Documents!$C$5:$C$657,MATCH(H3818,Documents!$A$5:$A$657,0))="","",INDEX(Documents!$C$5:$C$657,MATCH(H3818,Documents!$A$5:$A$657,0))),"")</f>
        <v>2016</v>
      </c>
      <c r="J3818" s="25" t="str">
        <f aca="false">IFERROR(IF(INDEX(Documents!$D$5:$D$657,MATCH(H3818,Documents!$A$5:$A$657,0))="","",INDEX(Documents!$D$5:$D$657,MATCH(H3818,Documents!$A$5:$A$657,0))),"")</f>
        <v>Eur J Med Chem</v>
      </c>
      <c r="K3818" s="25" t="str">
        <f aca="false">IFERROR(IF(INDEX(Documents!$G$5:$G$657,MATCH(H3818,Documents!$A$5:$A$657,0))="","",INDEX(Documents!$G$5:$G$657,MATCH(H3818,Documents!$A$5:$A$657,0))),"")</f>
        <v>10.1016/j.ejmech.2016.08.005</v>
      </c>
      <c r="L3818" s="25" t="s">
        <v>936</v>
      </c>
    </row>
    <row r="3819" customFormat="false" ht="15" hidden="false" customHeight="false" outlineLevel="0" collapsed="false">
      <c r="A3819" s="25" t="n">
        <v>16823034</v>
      </c>
      <c r="B3819" s="25" t="s">
        <v>8043</v>
      </c>
      <c r="C3819" s="25" t="s">
        <v>8044</v>
      </c>
      <c r="D3819" s="26" t="n">
        <v>700</v>
      </c>
      <c r="E3819" s="27" t="n">
        <v>6.15490195998574</v>
      </c>
      <c r="F3819" s="27" t="n">
        <v>6.15490195998574</v>
      </c>
      <c r="G3819" s="25" t="s">
        <v>934</v>
      </c>
      <c r="H3819" s="25" t="s">
        <v>935</v>
      </c>
      <c r="I3819" s="25" t="n">
        <f aca="false">IFERROR(IF(INDEX(Documents!$C$5:$C$657,MATCH(H3819,Documents!$A$5:$A$657,0))="","",INDEX(Documents!$C$5:$C$657,MATCH(H3819,Documents!$A$5:$A$657,0))),"")</f>
        <v>2016</v>
      </c>
      <c r="J3819" s="25" t="str">
        <f aca="false">IFERROR(IF(INDEX(Documents!$D$5:$D$657,MATCH(H3819,Documents!$A$5:$A$657,0))="","",INDEX(Documents!$D$5:$D$657,MATCH(H3819,Documents!$A$5:$A$657,0))),"")</f>
        <v>Eur J Med Chem</v>
      </c>
      <c r="K3819" s="25" t="str">
        <f aca="false">IFERROR(IF(INDEX(Documents!$G$5:$G$657,MATCH(H3819,Documents!$A$5:$A$657,0))="","",INDEX(Documents!$G$5:$G$657,MATCH(H3819,Documents!$A$5:$A$657,0))),"")</f>
        <v>10.1016/j.ejmech.2016.08.005</v>
      </c>
      <c r="L3819" s="25" t="s">
        <v>936</v>
      </c>
    </row>
    <row r="3820" customFormat="false" ht="15" hidden="false" customHeight="false" outlineLevel="0" collapsed="false">
      <c r="A3820" s="25" t="n">
        <v>16823033</v>
      </c>
      <c r="B3820" s="25" t="s">
        <v>8045</v>
      </c>
      <c r="C3820" s="25" t="s">
        <v>8046</v>
      </c>
      <c r="D3820" s="26" t="n">
        <v>400</v>
      </c>
      <c r="E3820" s="27" t="n">
        <v>6.39794000867204</v>
      </c>
      <c r="F3820" s="27" t="n">
        <v>6.39794000867204</v>
      </c>
      <c r="G3820" s="25" t="s">
        <v>934</v>
      </c>
      <c r="H3820" s="25" t="s">
        <v>935</v>
      </c>
      <c r="I3820" s="25" t="n">
        <f aca="false">IFERROR(IF(INDEX(Documents!$C$5:$C$657,MATCH(H3820,Documents!$A$5:$A$657,0))="","",INDEX(Documents!$C$5:$C$657,MATCH(H3820,Documents!$A$5:$A$657,0))),"")</f>
        <v>2016</v>
      </c>
      <c r="J3820" s="25" t="str">
        <f aca="false">IFERROR(IF(INDEX(Documents!$D$5:$D$657,MATCH(H3820,Documents!$A$5:$A$657,0))="","",INDEX(Documents!$D$5:$D$657,MATCH(H3820,Documents!$A$5:$A$657,0))),"")</f>
        <v>Eur J Med Chem</v>
      </c>
      <c r="K3820" s="25" t="str">
        <f aca="false">IFERROR(IF(INDEX(Documents!$G$5:$G$657,MATCH(H3820,Documents!$A$5:$A$657,0))="","",INDEX(Documents!$G$5:$G$657,MATCH(H3820,Documents!$A$5:$A$657,0))),"")</f>
        <v>10.1016/j.ejmech.2016.08.005</v>
      </c>
      <c r="L3820" s="25" t="s">
        <v>936</v>
      </c>
    </row>
    <row r="3821" customFormat="false" ht="15" hidden="false" customHeight="false" outlineLevel="0" collapsed="false">
      <c r="A3821" s="25" t="n">
        <v>22856265</v>
      </c>
      <c r="B3821" s="25" t="s">
        <v>8047</v>
      </c>
      <c r="C3821" s="25" t="s">
        <v>8048</v>
      </c>
      <c r="D3821" s="26" t="n">
        <v>215</v>
      </c>
      <c r="E3821" s="27" t="n">
        <v>6.66756154008439</v>
      </c>
      <c r="F3821" s="27" t="n">
        <v>6.66756154008439</v>
      </c>
      <c r="G3821" s="25" t="s">
        <v>7078</v>
      </c>
      <c r="H3821" s="25" t="s">
        <v>7079</v>
      </c>
      <c r="I3821" s="25" t="n">
        <f aca="false">IFERROR(IF(INDEX(Documents!$C$5:$C$657,MATCH(H3821,Documents!$A$5:$A$657,0))="","",INDEX(Documents!$C$5:$C$657,MATCH(H3821,Documents!$A$5:$A$657,0))),"")</f>
        <v>2021</v>
      </c>
      <c r="J3821" s="25" t="str">
        <f aca="false">IFERROR(IF(INDEX(Documents!$D$5:$D$657,MATCH(H3821,Documents!$A$5:$A$657,0))="","",INDEX(Documents!$D$5:$D$657,MATCH(H3821,Documents!$A$5:$A$657,0))),"")</f>
        <v>Bioorg Med Chem</v>
      </c>
      <c r="K3821" s="25" t="str">
        <f aca="false">IFERROR(IF(INDEX(Documents!$G$5:$G$657,MATCH(H3821,Documents!$A$5:$A$657,0))="","",INDEX(Documents!$G$5:$G$657,MATCH(H3821,Documents!$A$5:$A$657,0))),"")</f>
        <v>10.1016/j.bmc.2021.116035</v>
      </c>
      <c r="L3821" s="25" t="s">
        <v>7080</v>
      </c>
    </row>
    <row r="3822" customFormat="false" ht="15" hidden="false" customHeight="false" outlineLevel="0" collapsed="false">
      <c r="A3822" s="25" t="n">
        <v>22856266</v>
      </c>
      <c r="B3822" s="25" t="s">
        <v>8049</v>
      </c>
      <c r="C3822" s="25" t="s">
        <v>8050</v>
      </c>
      <c r="D3822" s="26" t="n">
        <v>233</v>
      </c>
      <c r="E3822" s="27" t="n">
        <v>6.63264407897398</v>
      </c>
      <c r="F3822" s="27" t="n">
        <v>6.63264407897398</v>
      </c>
      <c r="G3822" s="25" t="s">
        <v>7078</v>
      </c>
      <c r="H3822" s="25" t="s">
        <v>7079</v>
      </c>
      <c r="I3822" s="25" t="n">
        <f aca="false">IFERROR(IF(INDEX(Documents!$C$5:$C$657,MATCH(H3822,Documents!$A$5:$A$657,0))="","",INDEX(Documents!$C$5:$C$657,MATCH(H3822,Documents!$A$5:$A$657,0))),"")</f>
        <v>2021</v>
      </c>
      <c r="J3822" s="25" t="str">
        <f aca="false">IFERROR(IF(INDEX(Documents!$D$5:$D$657,MATCH(H3822,Documents!$A$5:$A$657,0))="","",INDEX(Documents!$D$5:$D$657,MATCH(H3822,Documents!$A$5:$A$657,0))),"")</f>
        <v>Bioorg Med Chem</v>
      </c>
      <c r="K3822" s="25" t="str">
        <f aca="false">IFERROR(IF(INDEX(Documents!$G$5:$G$657,MATCH(H3822,Documents!$A$5:$A$657,0))="","",INDEX(Documents!$G$5:$G$657,MATCH(H3822,Documents!$A$5:$A$657,0))),"")</f>
        <v>10.1016/j.bmc.2021.116035</v>
      </c>
      <c r="L3822" s="25" t="s">
        <v>7080</v>
      </c>
    </row>
    <row r="3823" customFormat="false" ht="15" hidden="false" customHeight="false" outlineLevel="0" collapsed="false">
      <c r="A3823" s="25" t="n">
        <v>22856267</v>
      </c>
      <c r="B3823" s="25" t="s">
        <v>8051</v>
      </c>
      <c r="C3823" s="25" t="s">
        <v>8052</v>
      </c>
      <c r="D3823" s="26" t="n">
        <v>1634</v>
      </c>
      <c r="E3823" s="27" t="n">
        <v>5.7867479478036</v>
      </c>
      <c r="F3823" s="27" t="n">
        <v>5.7867479478036</v>
      </c>
      <c r="G3823" s="25" t="s">
        <v>7078</v>
      </c>
      <c r="H3823" s="25" t="s">
        <v>7079</v>
      </c>
      <c r="I3823" s="25" t="n">
        <f aca="false">IFERROR(IF(INDEX(Documents!$C$5:$C$657,MATCH(H3823,Documents!$A$5:$A$657,0))="","",INDEX(Documents!$C$5:$C$657,MATCH(H3823,Documents!$A$5:$A$657,0))),"")</f>
        <v>2021</v>
      </c>
      <c r="J3823" s="25" t="str">
        <f aca="false">IFERROR(IF(INDEX(Documents!$D$5:$D$657,MATCH(H3823,Documents!$A$5:$A$657,0))="","",INDEX(Documents!$D$5:$D$657,MATCH(H3823,Documents!$A$5:$A$657,0))),"")</f>
        <v>Bioorg Med Chem</v>
      </c>
      <c r="K3823" s="25" t="str">
        <f aca="false">IFERROR(IF(INDEX(Documents!$G$5:$G$657,MATCH(H3823,Documents!$A$5:$A$657,0))="","",INDEX(Documents!$G$5:$G$657,MATCH(H3823,Documents!$A$5:$A$657,0))),"")</f>
        <v>10.1016/j.bmc.2021.116035</v>
      </c>
      <c r="L3823" s="25" t="s">
        <v>7080</v>
      </c>
    </row>
    <row r="3824" customFormat="false" ht="15" hidden="false" customHeight="false" outlineLevel="0" collapsed="false">
      <c r="A3824" s="25" t="n">
        <v>22856262</v>
      </c>
      <c r="B3824" s="25" t="s">
        <v>8053</v>
      </c>
      <c r="C3824" s="25" t="s">
        <v>8054</v>
      </c>
      <c r="D3824" s="26" t="n">
        <v>4740</v>
      </c>
      <c r="E3824" s="27" t="n">
        <v>5.32422165832591</v>
      </c>
      <c r="F3824" s="27" t="n">
        <v>5.32422165832591</v>
      </c>
      <c r="G3824" s="25" t="s">
        <v>7078</v>
      </c>
      <c r="H3824" s="25" t="s">
        <v>7079</v>
      </c>
      <c r="I3824" s="25" t="n">
        <f aca="false">IFERROR(IF(INDEX(Documents!$C$5:$C$657,MATCH(H3824,Documents!$A$5:$A$657,0))="","",INDEX(Documents!$C$5:$C$657,MATCH(H3824,Documents!$A$5:$A$657,0))),"")</f>
        <v>2021</v>
      </c>
      <c r="J3824" s="25" t="str">
        <f aca="false">IFERROR(IF(INDEX(Documents!$D$5:$D$657,MATCH(H3824,Documents!$A$5:$A$657,0))="","",INDEX(Documents!$D$5:$D$657,MATCH(H3824,Documents!$A$5:$A$657,0))),"")</f>
        <v>Bioorg Med Chem</v>
      </c>
      <c r="K3824" s="25" t="str">
        <f aca="false">IFERROR(IF(INDEX(Documents!$G$5:$G$657,MATCH(H3824,Documents!$A$5:$A$657,0))="","",INDEX(Documents!$G$5:$G$657,MATCH(H3824,Documents!$A$5:$A$657,0))),"")</f>
        <v>10.1016/j.bmc.2021.116035</v>
      </c>
      <c r="L3824" s="25" t="s">
        <v>7080</v>
      </c>
    </row>
    <row r="3825" customFormat="false" ht="15" hidden="false" customHeight="false" outlineLevel="0" collapsed="false">
      <c r="A3825" s="25" t="n">
        <v>22856268</v>
      </c>
      <c r="B3825" s="25" t="s">
        <v>8055</v>
      </c>
      <c r="C3825" s="25" t="s">
        <v>8056</v>
      </c>
      <c r="D3825" s="26" t="n">
        <v>204</v>
      </c>
      <c r="E3825" s="27" t="n">
        <v>6.6903698325741</v>
      </c>
      <c r="F3825" s="27" t="n">
        <v>6.6903698325741</v>
      </c>
      <c r="G3825" s="25" t="s">
        <v>7078</v>
      </c>
      <c r="H3825" s="25" t="s">
        <v>7079</v>
      </c>
      <c r="I3825" s="25" t="n">
        <f aca="false">IFERROR(IF(INDEX(Documents!$C$5:$C$657,MATCH(H3825,Documents!$A$5:$A$657,0))="","",INDEX(Documents!$C$5:$C$657,MATCH(H3825,Documents!$A$5:$A$657,0))),"")</f>
        <v>2021</v>
      </c>
      <c r="J3825" s="25" t="str">
        <f aca="false">IFERROR(IF(INDEX(Documents!$D$5:$D$657,MATCH(H3825,Documents!$A$5:$A$657,0))="","",INDEX(Documents!$D$5:$D$657,MATCH(H3825,Documents!$A$5:$A$657,0))),"")</f>
        <v>Bioorg Med Chem</v>
      </c>
      <c r="K3825" s="25" t="str">
        <f aca="false">IFERROR(IF(INDEX(Documents!$G$5:$G$657,MATCH(H3825,Documents!$A$5:$A$657,0))="","",INDEX(Documents!$G$5:$G$657,MATCH(H3825,Documents!$A$5:$A$657,0))),"")</f>
        <v>10.1016/j.bmc.2021.116035</v>
      </c>
      <c r="L3825" s="25" t="s">
        <v>7080</v>
      </c>
    </row>
    <row r="3826" customFormat="false" ht="15" hidden="false" customHeight="false" outlineLevel="0" collapsed="false">
      <c r="A3826" s="25" t="n">
        <v>22856261</v>
      </c>
      <c r="B3826" s="25" t="s">
        <v>8057</v>
      </c>
      <c r="C3826" s="25" t="s">
        <v>8058</v>
      </c>
      <c r="D3826" s="26" t="n">
        <v>2494</v>
      </c>
      <c r="E3826" s="27" t="n">
        <v>5.60310355085748</v>
      </c>
      <c r="F3826" s="27" t="n">
        <v>5.60310355085748</v>
      </c>
      <c r="G3826" s="25" t="s">
        <v>7078</v>
      </c>
      <c r="H3826" s="25" t="s">
        <v>7079</v>
      </c>
      <c r="I3826" s="25" t="n">
        <f aca="false">IFERROR(IF(INDEX(Documents!$C$5:$C$657,MATCH(H3826,Documents!$A$5:$A$657,0))="","",INDEX(Documents!$C$5:$C$657,MATCH(H3826,Documents!$A$5:$A$657,0))),"")</f>
        <v>2021</v>
      </c>
      <c r="J3826" s="25" t="str">
        <f aca="false">IFERROR(IF(INDEX(Documents!$D$5:$D$657,MATCH(H3826,Documents!$A$5:$A$657,0))="","",INDEX(Documents!$D$5:$D$657,MATCH(H3826,Documents!$A$5:$A$657,0))),"")</f>
        <v>Bioorg Med Chem</v>
      </c>
      <c r="K3826" s="25" t="str">
        <f aca="false">IFERROR(IF(INDEX(Documents!$G$5:$G$657,MATCH(H3826,Documents!$A$5:$A$657,0))="","",INDEX(Documents!$G$5:$G$657,MATCH(H3826,Documents!$A$5:$A$657,0))),"")</f>
        <v>10.1016/j.bmc.2021.116035</v>
      </c>
      <c r="L3826" s="25" t="s">
        <v>7080</v>
      </c>
    </row>
    <row r="3827" customFormat="false" ht="15" hidden="false" customHeight="false" outlineLevel="0" collapsed="false">
      <c r="A3827" s="25" t="n">
        <v>22856255</v>
      </c>
      <c r="B3827" s="25" t="s">
        <v>8059</v>
      </c>
      <c r="C3827" s="25" t="s">
        <v>8060</v>
      </c>
      <c r="D3827" s="26" t="n">
        <v>1328</v>
      </c>
      <c r="E3827" s="27" t="n">
        <v>5.876801924968</v>
      </c>
      <c r="F3827" s="27" t="n">
        <v>5.876801924968</v>
      </c>
      <c r="G3827" s="25" t="s">
        <v>7078</v>
      </c>
      <c r="H3827" s="25" t="s">
        <v>7079</v>
      </c>
      <c r="I3827" s="25" t="n">
        <f aca="false">IFERROR(IF(INDEX(Documents!$C$5:$C$657,MATCH(H3827,Documents!$A$5:$A$657,0))="","",INDEX(Documents!$C$5:$C$657,MATCH(H3827,Documents!$A$5:$A$657,0))),"")</f>
        <v>2021</v>
      </c>
      <c r="J3827" s="25" t="str">
        <f aca="false">IFERROR(IF(INDEX(Documents!$D$5:$D$657,MATCH(H3827,Documents!$A$5:$A$657,0))="","",INDEX(Documents!$D$5:$D$657,MATCH(H3827,Documents!$A$5:$A$657,0))),"")</f>
        <v>Bioorg Med Chem</v>
      </c>
      <c r="K3827" s="25" t="str">
        <f aca="false">IFERROR(IF(INDEX(Documents!$G$5:$G$657,MATCH(H3827,Documents!$A$5:$A$657,0))="","",INDEX(Documents!$G$5:$G$657,MATCH(H3827,Documents!$A$5:$A$657,0))),"")</f>
        <v>10.1016/j.bmc.2021.116035</v>
      </c>
      <c r="L3827" s="25" t="s">
        <v>7080</v>
      </c>
    </row>
    <row r="3828" customFormat="false" ht="15" hidden="false" customHeight="false" outlineLevel="0" collapsed="false">
      <c r="A3828" s="25" t="n">
        <v>14980501</v>
      </c>
      <c r="B3828" s="25" t="s">
        <v>8061</v>
      </c>
      <c r="C3828" s="25" t="s">
        <v>8062</v>
      </c>
      <c r="D3828" s="26" t="n">
        <v>235</v>
      </c>
      <c r="E3828" s="27" t="n">
        <v>6.62893213772826</v>
      </c>
      <c r="F3828" s="27" t="n">
        <v>6.62893213772826</v>
      </c>
      <c r="G3828" s="25" t="s">
        <v>5562</v>
      </c>
      <c r="H3828" s="25" t="s">
        <v>5563</v>
      </c>
      <c r="I3828" s="25" t="n">
        <f aca="false">IFERROR(IF(INDEX(Documents!$C$5:$C$657,MATCH(H3828,Documents!$A$5:$A$657,0))="","",INDEX(Documents!$C$5:$C$657,MATCH(H3828,Documents!$A$5:$A$657,0))),"")</f>
        <v>2015</v>
      </c>
      <c r="J3828" s="25" t="str">
        <f aca="false">IFERROR(IF(INDEX(Documents!$D$5:$D$657,MATCH(H3828,Documents!$A$5:$A$657,0))="","",INDEX(Documents!$D$5:$D$657,MATCH(H3828,Documents!$A$5:$A$657,0))),"")</f>
        <v>Bioorg Med Chem</v>
      </c>
      <c r="K3828" s="25" t="str">
        <f aca="false">IFERROR(IF(INDEX(Documents!$G$5:$G$657,MATCH(H3828,Documents!$A$5:$A$657,0))="","",INDEX(Documents!$G$5:$G$657,MATCH(H3828,Documents!$A$5:$A$657,0))),"")</f>
        <v>10.1016/j.bmc.2014.11.002</v>
      </c>
      <c r="L3828" s="25" t="s">
        <v>5564</v>
      </c>
    </row>
    <row r="3829" customFormat="false" ht="15" hidden="false" customHeight="false" outlineLevel="0" collapsed="false">
      <c r="A3829" s="25" t="n">
        <v>25876212</v>
      </c>
      <c r="B3829" s="25" t="s">
        <v>8063</v>
      </c>
      <c r="C3829" s="25" t="s">
        <v>8064</v>
      </c>
      <c r="D3829" s="26" t="n">
        <v>670</v>
      </c>
      <c r="E3829" s="27" t="n">
        <v>6.17392519729917</v>
      </c>
      <c r="F3829" s="27" t="n">
        <v>6.17392519729917</v>
      </c>
      <c r="G3829" s="25" t="s">
        <v>648</v>
      </c>
      <c r="H3829" s="25" t="s">
        <v>649</v>
      </c>
      <c r="I3829" s="25" t="n">
        <f aca="false">IFERROR(IF(INDEX(Documents!$C$5:$C$657,MATCH(H3829,Documents!$A$5:$A$657,0))="","",INDEX(Documents!$C$5:$C$657,MATCH(H3829,Documents!$A$5:$A$657,0))),"")</f>
        <v>2024</v>
      </c>
      <c r="J3829" s="25" t="str">
        <f aca="false">IFERROR(IF(INDEX(Documents!$D$5:$D$657,MATCH(H3829,Documents!$A$5:$A$657,0))="","",INDEX(Documents!$D$5:$D$657,MATCH(H3829,Documents!$A$5:$A$657,0))),"")</f>
        <v>Eur J Med Chem</v>
      </c>
      <c r="K3829" s="25" t="str">
        <f aca="false">IFERROR(IF(INDEX(Documents!$G$5:$G$657,MATCH(H3829,Documents!$A$5:$A$657,0))="","",INDEX(Documents!$G$5:$G$657,MATCH(H3829,Documents!$A$5:$A$657,0))),"")</f>
        <v>10.1016/j.ejmech.2024.116298</v>
      </c>
      <c r="L3829" s="25" t="s">
        <v>650</v>
      </c>
    </row>
    <row r="3830" customFormat="false" ht="15" hidden="false" customHeight="false" outlineLevel="0" collapsed="false">
      <c r="A3830" s="25" t="n">
        <v>2980521</v>
      </c>
      <c r="B3830" s="25" t="s">
        <v>8065</v>
      </c>
      <c r="C3830" s="25" t="s">
        <v>8066</v>
      </c>
      <c r="D3830" s="26" t="n">
        <v>5.9</v>
      </c>
      <c r="E3830" s="27" t="n">
        <v>8.22914798835786</v>
      </c>
      <c r="F3830" s="27" t="n">
        <v>8.22959009351421</v>
      </c>
      <c r="G3830" s="25" t="s">
        <v>599</v>
      </c>
      <c r="H3830" s="25" t="s">
        <v>600</v>
      </c>
      <c r="I3830" s="25" t="n">
        <f aca="false">IFERROR(IF(INDEX(Documents!$C$5:$C$657,MATCH(H3830,Documents!$A$5:$A$657,0))="","",INDEX(Documents!$C$5:$C$657,MATCH(H3830,Documents!$A$5:$A$657,0))),"")</f>
        <v>2010</v>
      </c>
      <c r="J3830" s="25" t="str">
        <f aca="false">IFERROR(IF(INDEX(Documents!$D$5:$D$657,MATCH(H3830,Documents!$A$5:$A$657,0))="","",INDEX(Documents!$D$5:$D$657,MATCH(H3830,Documents!$A$5:$A$657,0))),"")</f>
        <v>J Med Chem</v>
      </c>
      <c r="K3830" s="25" t="str">
        <f aca="false">IFERROR(IF(INDEX(Documents!$G$5:$G$657,MATCH(H3830,Documents!$A$5:$A$657,0))="","",INDEX(Documents!$G$5:$G$657,MATCH(H3830,Documents!$A$5:$A$657,0))),"")</f>
        <v>10.1021/jm901214q</v>
      </c>
      <c r="L3830" s="25" t="s">
        <v>601</v>
      </c>
    </row>
    <row r="3831" customFormat="false" ht="15" hidden="false" customHeight="false" outlineLevel="0" collapsed="false">
      <c r="A3831" s="25" t="n">
        <v>2980556</v>
      </c>
      <c r="B3831" s="25" t="s">
        <v>8065</v>
      </c>
      <c r="C3831" s="25" t="s">
        <v>8066</v>
      </c>
      <c r="D3831" s="26" t="n">
        <v>5.888</v>
      </c>
      <c r="E3831" s="27" t="n">
        <v>8.23003219867056</v>
      </c>
      <c r="F3831" s="27" t="n">
        <v>8.22959009351421</v>
      </c>
      <c r="G3831" s="25" t="s">
        <v>599</v>
      </c>
      <c r="H3831" s="25" t="s">
        <v>600</v>
      </c>
      <c r="I3831" s="25" t="n">
        <f aca="false">IFERROR(IF(INDEX(Documents!$C$5:$C$657,MATCH(H3831,Documents!$A$5:$A$657,0))="","",INDEX(Documents!$C$5:$C$657,MATCH(H3831,Documents!$A$5:$A$657,0))),"")</f>
        <v>2010</v>
      </c>
      <c r="J3831" s="25" t="str">
        <f aca="false">IFERROR(IF(INDEX(Documents!$D$5:$D$657,MATCH(H3831,Documents!$A$5:$A$657,0))="","",INDEX(Documents!$D$5:$D$657,MATCH(H3831,Documents!$A$5:$A$657,0))),"")</f>
        <v>J Med Chem</v>
      </c>
      <c r="K3831" s="25" t="str">
        <f aca="false">IFERROR(IF(INDEX(Documents!$G$5:$G$657,MATCH(H3831,Documents!$A$5:$A$657,0))="","",INDEX(Documents!$G$5:$G$657,MATCH(H3831,Documents!$A$5:$A$657,0))),"")</f>
        <v>10.1021/jm901214q</v>
      </c>
      <c r="L3831" s="25" t="s">
        <v>601</v>
      </c>
    </row>
    <row r="3832" customFormat="false" ht="15" hidden="false" customHeight="false" outlineLevel="0" collapsed="false">
      <c r="A3832" s="25" t="n">
        <v>2980554</v>
      </c>
      <c r="B3832" s="25" t="s">
        <v>8067</v>
      </c>
      <c r="C3832" s="25" t="s">
        <v>8068</v>
      </c>
      <c r="D3832" s="26" t="n">
        <v>2.138</v>
      </c>
      <c r="E3832" s="27" t="n">
        <v>8.66999229912724</v>
      </c>
      <c r="F3832" s="27" t="n">
        <v>8.67388650219666</v>
      </c>
      <c r="G3832" s="25" t="s">
        <v>599</v>
      </c>
      <c r="H3832" s="25" t="s">
        <v>600</v>
      </c>
      <c r="I3832" s="25" t="n">
        <f aca="false">IFERROR(IF(INDEX(Documents!$C$5:$C$657,MATCH(H3832,Documents!$A$5:$A$657,0))="","",INDEX(Documents!$C$5:$C$657,MATCH(H3832,Documents!$A$5:$A$657,0))),"")</f>
        <v>2010</v>
      </c>
      <c r="J3832" s="25" t="str">
        <f aca="false">IFERROR(IF(INDEX(Documents!$D$5:$D$657,MATCH(H3832,Documents!$A$5:$A$657,0))="","",INDEX(Documents!$D$5:$D$657,MATCH(H3832,Documents!$A$5:$A$657,0))),"")</f>
        <v>J Med Chem</v>
      </c>
      <c r="K3832" s="25" t="str">
        <f aca="false">IFERROR(IF(INDEX(Documents!$G$5:$G$657,MATCH(H3832,Documents!$A$5:$A$657,0))="","",INDEX(Documents!$G$5:$G$657,MATCH(H3832,Documents!$A$5:$A$657,0))),"")</f>
        <v>10.1021/jm901214q</v>
      </c>
      <c r="L3832" s="25" t="s">
        <v>601</v>
      </c>
    </row>
    <row r="3833" customFormat="false" ht="15" hidden="false" customHeight="false" outlineLevel="0" collapsed="false">
      <c r="A3833" s="25" t="n">
        <v>2980523</v>
      </c>
      <c r="B3833" s="25" t="s">
        <v>8067</v>
      </c>
      <c r="C3833" s="25" t="s">
        <v>8068</v>
      </c>
      <c r="D3833" s="26" t="n">
        <v>2.1</v>
      </c>
      <c r="E3833" s="27" t="n">
        <v>8.67778070526608</v>
      </c>
      <c r="F3833" s="27" t="n">
        <v>8.67388650219666</v>
      </c>
      <c r="G3833" s="25" t="s">
        <v>599</v>
      </c>
      <c r="H3833" s="25" t="s">
        <v>600</v>
      </c>
      <c r="I3833" s="25" t="n">
        <f aca="false">IFERROR(IF(INDEX(Documents!$C$5:$C$657,MATCH(H3833,Documents!$A$5:$A$657,0))="","",INDEX(Documents!$C$5:$C$657,MATCH(H3833,Documents!$A$5:$A$657,0))),"")</f>
        <v>2010</v>
      </c>
      <c r="J3833" s="25" t="str">
        <f aca="false">IFERROR(IF(INDEX(Documents!$D$5:$D$657,MATCH(H3833,Documents!$A$5:$A$657,0))="","",INDEX(Documents!$D$5:$D$657,MATCH(H3833,Documents!$A$5:$A$657,0))),"")</f>
        <v>J Med Chem</v>
      </c>
      <c r="K3833" s="25" t="str">
        <f aca="false">IFERROR(IF(INDEX(Documents!$G$5:$G$657,MATCH(H3833,Documents!$A$5:$A$657,0))="","",INDEX(Documents!$G$5:$G$657,MATCH(H3833,Documents!$A$5:$A$657,0))),"")</f>
        <v>10.1021/jm901214q</v>
      </c>
      <c r="L3833" s="25" t="s">
        <v>601</v>
      </c>
    </row>
    <row r="3834" customFormat="false" ht="15" hidden="false" customHeight="false" outlineLevel="0" collapsed="false">
      <c r="A3834" s="25" t="n">
        <v>2980527</v>
      </c>
      <c r="B3834" s="25" t="s">
        <v>8069</v>
      </c>
      <c r="C3834" s="25" t="s">
        <v>8070</v>
      </c>
      <c r="D3834" s="26" t="n">
        <v>11</v>
      </c>
      <c r="E3834" s="27" t="n">
        <v>7.95860731484178</v>
      </c>
      <c r="F3834" s="27" t="n">
        <v>7.95939838034671</v>
      </c>
      <c r="G3834" s="25" t="s">
        <v>599</v>
      </c>
      <c r="H3834" s="25" t="s">
        <v>600</v>
      </c>
      <c r="I3834" s="25" t="n">
        <f aca="false">IFERROR(IF(INDEX(Documents!$C$5:$C$657,MATCH(H3834,Documents!$A$5:$A$657,0))="","",INDEX(Documents!$C$5:$C$657,MATCH(H3834,Documents!$A$5:$A$657,0))),"")</f>
        <v>2010</v>
      </c>
      <c r="J3834" s="25" t="str">
        <f aca="false">IFERROR(IF(INDEX(Documents!$D$5:$D$657,MATCH(H3834,Documents!$A$5:$A$657,0))="","",INDEX(Documents!$D$5:$D$657,MATCH(H3834,Documents!$A$5:$A$657,0))),"")</f>
        <v>J Med Chem</v>
      </c>
      <c r="K3834" s="25" t="str">
        <f aca="false">IFERROR(IF(INDEX(Documents!$G$5:$G$657,MATCH(H3834,Documents!$A$5:$A$657,0))="","",INDEX(Documents!$G$5:$G$657,MATCH(H3834,Documents!$A$5:$A$657,0))),"")</f>
        <v>10.1021/jm901214q</v>
      </c>
      <c r="L3834" s="25" t="s">
        <v>601</v>
      </c>
    </row>
    <row r="3835" customFormat="false" ht="15" hidden="false" customHeight="false" outlineLevel="0" collapsed="false">
      <c r="A3835" s="25" t="n">
        <v>2980551</v>
      </c>
      <c r="B3835" s="25" t="s">
        <v>8069</v>
      </c>
      <c r="C3835" s="25" t="s">
        <v>8070</v>
      </c>
      <c r="D3835" s="26" t="n">
        <v>10.96</v>
      </c>
      <c r="E3835" s="27" t="n">
        <v>7.96018944585165</v>
      </c>
      <c r="F3835" s="27" t="n">
        <v>7.95939838034671</v>
      </c>
      <c r="G3835" s="25" t="s">
        <v>599</v>
      </c>
      <c r="H3835" s="25" t="s">
        <v>600</v>
      </c>
      <c r="I3835" s="25" t="n">
        <f aca="false">IFERROR(IF(INDEX(Documents!$C$5:$C$657,MATCH(H3835,Documents!$A$5:$A$657,0))="","",INDEX(Documents!$C$5:$C$657,MATCH(H3835,Documents!$A$5:$A$657,0))),"")</f>
        <v>2010</v>
      </c>
      <c r="J3835" s="25" t="str">
        <f aca="false">IFERROR(IF(INDEX(Documents!$D$5:$D$657,MATCH(H3835,Documents!$A$5:$A$657,0))="","",INDEX(Documents!$D$5:$D$657,MATCH(H3835,Documents!$A$5:$A$657,0))),"")</f>
        <v>J Med Chem</v>
      </c>
      <c r="K3835" s="25" t="str">
        <f aca="false">IFERROR(IF(INDEX(Documents!$G$5:$G$657,MATCH(H3835,Documents!$A$5:$A$657,0))="","",INDEX(Documents!$G$5:$G$657,MATCH(H3835,Documents!$A$5:$A$657,0))),"")</f>
        <v>10.1021/jm901214q</v>
      </c>
      <c r="L3835" s="25" t="s">
        <v>601</v>
      </c>
    </row>
    <row r="3836" customFormat="false" ht="15" hidden="false" customHeight="false" outlineLevel="0" collapsed="false">
      <c r="A3836" s="25" t="n">
        <v>2980522</v>
      </c>
      <c r="B3836" s="25" t="s">
        <v>8071</v>
      </c>
      <c r="C3836" s="25" t="s">
        <v>8072</v>
      </c>
      <c r="D3836" s="26" t="n">
        <v>2.6</v>
      </c>
      <c r="E3836" s="27" t="n">
        <v>8.58502665202918</v>
      </c>
      <c r="F3836" s="27" t="n">
        <v>8.58754676434894</v>
      </c>
      <c r="G3836" s="25" t="s">
        <v>599</v>
      </c>
      <c r="H3836" s="25" t="s">
        <v>600</v>
      </c>
      <c r="I3836" s="25" t="n">
        <f aca="false">IFERROR(IF(INDEX(Documents!$C$5:$C$657,MATCH(H3836,Documents!$A$5:$A$657,0))="","",INDEX(Documents!$C$5:$C$657,MATCH(H3836,Documents!$A$5:$A$657,0))),"")</f>
        <v>2010</v>
      </c>
      <c r="J3836" s="25" t="str">
        <f aca="false">IFERROR(IF(INDEX(Documents!$D$5:$D$657,MATCH(H3836,Documents!$A$5:$A$657,0))="","",INDEX(Documents!$D$5:$D$657,MATCH(H3836,Documents!$A$5:$A$657,0))),"")</f>
        <v>J Med Chem</v>
      </c>
      <c r="K3836" s="25" t="str">
        <f aca="false">IFERROR(IF(INDEX(Documents!$G$5:$G$657,MATCH(H3836,Documents!$A$5:$A$657,0))="","",INDEX(Documents!$G$5:$G$657,MATCH(H3836,Documents!$A$5:$A$657,0))),"")</f>
        <v>10.1021/jm901214q</v>
      </c>
      <c r="L3836" s="25" t="s">
        <v>601</v>
      </c>
    </row>
    <row r="3837" customFormat="false" ht="15" hidden="false" customHeight="false" outlineLevel="0" collapsed="false">
      <c r="A3837" s="25" t="n">
        <v>2980555</v>
      </c>
      <c r="B3837" s="25" t="s">
        <v>8071</v>
      </c>
      <c r="C3837" s="25" t="s">
        <v>8072</v>
      </c>
      <c r="D3837" s="26" t="n">
        <v>2.57</v>
      </c>
      <c r="E3837" s="27" t="n">
        <v>8.59006687666871</v>
      </c>
      <c r="F3837" s="27" t="n">
        <v>8.58754676434894</v>
      </c>
      <c r="G3837" s="25" t="s">
        <v>599</v>
      </c>
      <c r="H3837" s="25" t="s">
        <v>600</v>
      </c>
      <c r="I3837" s="25" t="n">
        <f aca="false">IFERROR(IF(INDEX(Documents!$C$5:$C$657,MATCH(H3837,Documents!$A$5:$A$657,0))="","",INDEX(Documents!$C$5:$C$657,MATCH(H3837,Documents!$A$5:$A$657,0))),"")</f>
        <v>2010</v>
      </c>
      <c r="J3837" s="25" t="str">
        <f aca="false">IFERROR(IF(INDEX(Documents!$D$5:$D$657,MATCH(H3837,Documents!$A$5:$A$657,0))="","",INDEX(Documents!$D$5:$D$657,MATCH(H3837,Documents!$A$5:$A$657,0))),"")</f>
        <v>J Med Chem</v>
      </c>
      <c r="K3837" s="25" t="str">
        <f aca="false">IFERROR(IF(INDEX(Documents!$G$5:$G$657,MATCH(H3837,Documents!$A$5:$A$657,0))="","",INDEX(Documents!$G$5:$G$657,MATCH(H3837,Documents!$A$5:$A$657,0))),"")</f>
        <v>10.1021/jm901214q</v>
      </c>
      <c r="L3837" s="25" t="s">
        <v>601</v>
      </c>
    </row>
    <row r="3838" customFormat="false" ht="15" hidden="false" customHeight="false" outlineLevel="0" collapsed="false">
      <c r="A3838" s="25" t="n">
        <v>1993823</v>
      </c>
      <c r="B3838" s="25" t="s">
        <v>8073</v>
      </c>
      <c r="C3838" s="25" t="s">
        <v>8074</v>
      </c>
      <c r="D3838" s="26" t="n">
        <v>1670</v>
      </c>
      <c r="E3838" s="27" t="n">
        <v>5.77728352885242</v>
      </c>
      <c r="F3838" s="27" t="n">
        <v>5.77728352885242</v>
      </c>
      <c r="G3838" s="25" t="s">
        <v>1527</v>
      </c>
      <c r="H3838" s="25" t="s">
        <v>1528</v>
      </c>
      <c r="I3838" s="25" t="n">
        <f aca="false">IFERROR(IF(INDEX(Documents!$C$5:$C$657,MATCH(H3838,Documents!$A$5:$A$657,0))="","",INDEX(Documents!$C$5:$C$657,MATCH(H3838,Documents!$A$5:$A$657,0))),"")</f>
        <v>2007</v>
      </c>
      <c r="J3838" s="25" t="str">
        <f aca="false">IFERROR(IF(INDEX(Documents!$D$5:$D$657,MATCH(H3838,Documents!$A$5:$A$657,0))="","",INDEX(Documents!$D$5:$D$657,MATCH(H3838,Documents!$A$5:$A$657,0))),"")</f>
        <v>J Med Chem</v>
      </c>
      <c r="K3838" s="25" t="str">
        <f aca="false">IFERROR(IF(INDEX(Documents!$G$5:$G$657,MATCH(H3838,Documents!$A$5:$A$657,0))="","",INDEX(Documents!$G$5:$G$657,MATCH(H3838,Documents!$A$5:$A$657,0))),"")</f>
        <v>10.1021/jm070387h</v>
      </c>
      <c r="L3838" s="25" t="s">
        <v>1529</v>
      </c>
    </row>
    <row r="3839" customFormat="false" ht="15" hidden="false" customHeight="false" outlineLevel="0" collapsed="false">
      <c r="A3839" s="25" t="n">
        <v>18703167</v>
      </c>
      <c r="B3839" s="25" t="s">
        <v>8075</v>
      </c>
      <c r="C3839" s="25" t="s">
        <v>8076</v>
      </c>
      <c r="D3839" s="26" t="n">
        <v>895.3</v>
      </c>
      <c r="E3839" s="27" t="n">
        <v>6.04803141550709</v>
      </c>
      <c r="F3839" s="27" t="n">
        <v>6.04803141550709</v>
      </c>
      <c r="G3839" s="25" t="s">
        <v>4522</v>
      </c>
      <c r="H3839" s="25" t="s">
        <v>4523</v>
      </c>
      <c r="I3839" s="25" t="n">
        <f aca="false">IFERROR(IF(INDEX(Documents!$C$5:$C$657,MATCH(H3839,Documents!$A$5:$A$657,0))="","",INDEX(Documents!$C$5:$C$657,MATCH(H3839,Documents!$A$5:$A$657,0))),"")</f>
        <v>2018</v>
      </c>
      <c r="J3839" s="25" t="str">
        <f aca="false">IFERROR(IF(INDEX(Documents!$D$5:$D$657,MATCH(H3839,Documents!$A$5:$A$657,0))="","",INDEX(Documents!$D$5:$D$657,MATCH(H3839,Documents!$A$5:$A$657,0))),"")</f>
        <v>Eur J Med Chem</v>
      </c>
      <c r="K3839" s="25" t="str">
        <f aca="false">IFERROR(IF(INDEX(Documents!$G$5:$G$657,MATCH(H3839,Documents!$A$5:$A$657,0))="","",INDEX(Documents!$G$5:$G$657,MATCH(H3839,Documents!$A$5:$A$657,0))),"")</f>
        <v>10.1016/j.ejmech.2017.11.076</v>
      </c>
      <c r="L3839" s="25" t="s">
        <v>4524</v>
      </c>
    </row>
    <row r="3840" customFormat="false" ht="15" hidden="false" customHeight="false" outlineLevel="0" collapsed="false">
      <c r="A3840" s="25" t="n">
        <v>2980528</v>
      </c>
      <c r="B3840" s="25" t="s">
        <v>8077</v>
      </c>
      <c r="C3840" s="25" t="s">
        <v>8078</v>
      </c>
      <c r="D3840" s="26" t="n">
        <v>23</v>
      </c>
      <c r="E3840" s="27" t="n">
        <v>7.63827216398241</v>
      </c>
      <c r="F3840" s="27" t="n">
        <v>7.64410903520169</v>
      </c>
      <c r="G3840" s="25" t="s">
        <v>599</v>
      </c>
      <c r="H3840" s="25" t="s">
        <v>600</v>
      </c>
      <c r="I3840" s="25" t="n">
        <f aca="false">IFERROR(IF(INDEX(Documents!$C$5:$C$657,MATCH(H3840,Documents!$A$5:$A$657,0))="","",INDEX(Documents!$C$5:$C$657,MATCH(H3840,Documents!$A$5:$A$657,0))),"")</f>
        <v>2010</v>
      </c>
      <c r="J3840" s="25" t="str">
        <f aca="false">IFERROR(IF(INDEX(Documents!$D$5:$D$657,MATCH(H3840,Documents!$A$5:$A$657,0))="","",INDEX(Documents!$D$5:$D$657,MATCH(H3840,Documents!$A$5:$A$657,0))),"")</f>
        <v>J Med Chem</v>
      </c>
      <c r="K3840" s="25" t="str">
        <f aca="false">IFERROR(IF(INDEX(Documents!$G$5:$G$657,MATCH(H3840,Documents!$A$5:$A$657,0))="","",INDEX(Documents!$G$5:$G$657,MATCH(H3840,Documents!$A$5:$A$657,0))),"")</f>
        <v>10.1021/jm901214q</v>
      </c>
      <c r="L3840" s="25" t="s">
        <v>601</v>
      </c>
    </row>
    <row r="3841" customFormat="false" ht="15" hidden="false" customHeight="false" outlineLevel="0" collapsed="false">
      <c r="A3841" s="25" t="n">
        <v>2980549</v>
      </c>
      <c r="B3841" s="25" t="s">
        <v>8077</v>
      </c>
      <c r="C3841" s="25" t="s">
        <v>8078</v>
      </c>
      <c r="D3841" s="26" t="n">
        <v>22.39</v>
      </c>
      <c r="E3841" s="27" t="n">
        <v>7.64994590642097</v>
      </c>
      <c r="F3841" s="27" t="n">
        <v>7.64410903520169</v>
      </c>
      <c r="G3841" s="25" t="s">
        <v>599</v>
      </c>
      <c r="H3841" s="25" t="s">
        <v>600</v>
      </c>
      <c r="I3841" s="25" t="n">
        <f aca="false">IFERROR(IF(INDEX(Documents!$C$5:$C$657,MATCH(H3841,Documents!$A$5:$A$657,0))="","",INDEX(Documents!$C$5:$C$657,MATCH(H3841,Documents!$A$5:$A$657,0))),"")</f>
        <v>2010</v>
      </c>
      <c r="J3841" s="25" t="str">
        <f aca="false">IFERROR(IF(INDEX(Documents!$D$5:$D$657,MATCH(H3841,Documents!$A$5:$A$657,0))="","",INDEX(Documents!$D$5:$D$657,MATCH(H3841,Documents!$A$5:$A$657,0))),"")</f>
        <v>J Med Chem</v>
      </c>
      <c r="K3841" s="25" t="str">
        <f aca="false">IFERROR(IF(INDEX(Documents!$G$5:$G$657,MATCH(H3841,Documents!$A$5:$A$657,0))="","",INDEX(Documents!$G$5:$G$657,MATCH(H3841,Documents!$A$5:$A$657,0))),"")</f>
        <v>10.1021/jm901214q</v>
      </c>
      <c r="L3841" s="25" t="s">
        <v>601</v>
      </c>
    </row>
    <row r="3842" customFormat="false" ht="15" hidden="false" customHeight="false" outlineLevel="0" collapsed="false">
      <c r="A3842" s="25" t="n">
        <v>2980542</v>
      </c>
      <c r="B3842" s="25" t="s">
        <v>8079</v>
      </c>
      <c r="C3842" s="25" t="s">
        <v>8080</v>
      </c>
      <c r="D3842" s="26" t="n">
        <v>138.04</v>
      </c>
      <c r="E3842" s="27" t="n">
        <v>6.85999504938055</v>
      </c>
      <c r="F3842" s="27" t="n">
        <v>6.86005798148966</v>
      </c>
      <c r="G3842" s="25" t="s">
        <v>599</v>
      </c>
      <c r="H3842" s="25" t="s">
        <v>600</v>
      </c>
      <c r="I3842" s="25" t="n">
        <f aca="false">IFERROR(IF(INDEX(Documents!$C$5:$C$657,MATCH(H3842,Documents!$A$5:$A$657,0))="","",INDEX(Documents!$C$5:$C$657,MATCH(H3842,Documents!$A$5:$A$657,0))),"")</f>
        <v>2010</v>
      </c>
      <c r="J3842" s="25" t="str">
        <f aca="false">IFERROR(IF(INDEX(Documents!$D$5:$D$657,MATCH(H3842,Documents!$A$5:$A$657,0))="","",INDEX(Documents!$D$5:$D$657,MATCH(H3842,Documents!$A$5:$A$657,0))),"")</f>
        <v>J Med Chem</v>
      </c>
      <c r="K3842" s="25" t="str">
        <f aca="false">IFERROR(IF(INDEX(Documents!$G$5:$G$657,MATCH(H3842,Documents!$A$5:$A$657,0))="","",INDEX(Documents!$G$5:$G$657,MATCH(H3842,Documents!$A$5:$A$657,0))),"")</f>
        <v>10.1021/jm901214q</v>
      </c>
      <c r="L3842" s="25" t="s">
        <v>601</v>
      </c>
    </row>
    <row r="3843" customFormat="false" ht="15" hidden="false" customHeight="false" outlineLevel="0" collapsed="false">
      <c r="A3843" s="25" t="n">
        <v>2980536</v>
      </c>
      <c r="B3843" s="25" t="s">
        <v>8079</v>
      </c>
      <c r="C3843" s="25" t="s">
        <v>8080</v>
      </c>
      <c r="D3843" s="26" t="n">
        <v>138</v>
      </c>
      <c r="E3843" s="27" t="n">
        <v>6.86012091359876</v>
      </c>
      <c r="F3843" s="27" t="n">
        <v>6.86005798148966</v>
      </c>
      <c r="G3843" s="25" t="s">
        <v>599</v>
      </c>
      <c r="H3843" s="25" t="s">
        <v>600</v>
      </c>
      <c r="I3843" s="25" t="n">
        <f aca="false">IFERROR(IF(INDEX(Documents!$C$5:$C$657,MATCH(H3843,Documents!$A$5:$A$657,0))="","",INDEX(Documents!$C$5:$C$657,MATCH(H3843,Documents!$A$5:$A$657,0))),"")</f>
        <v>2010</v>
      </c>
      <c r="J3843" s="25" t="str">
        <f aca="false">IFERROR(IF(INDEX(Documents!$D$5:$D$657,MATCH(H3843,Documents!$A$5:$A$657,0))="","",INDEX(Documents!$D$5:$D$657,MATCH(H3843,Documents!$A$5:$A$657,0))),"")</f>
        <v>J Med Chem</v>
      </c>
      <c r="K3843" s="25" t="str">
        <f aca="false">IFERROR(IF(INDEX(Documents!$G$5:$G$657,MATCH(H3843,Documents!$A$5:$A$657,0))="","",INDEX(Documents!$G$5:$G$657,MATCH(H3843,Documents!$A$5:$A$657,0))),"")</f>
        <v>10.1021/jm901214q</v>
      </c>
      <c r="L3843" s="25" t="s">
        <v>601</v>
      </c>
    </row>
    <row r="3844" customFormat="false" ht="15" hidden="false" customHeight="false" outlineLevel="0" collapsed="false">
      <c r="A3844" s="25" t="n">
        <v>2980543</v>
      </c>
      <c r="B3844" s="25" t="s">
        <v>8081</v>
      </c>
      <c r="C3844" s="25" t="s">
        <v>8082</v>
      </c>
      <c r="D3844" s="26" t="n">
        <v>11.22</v>
      </c>
      <c r="E3844" s="27" t="n">
        <v>7.95000714307986</v>
      </c>
      <c r="F3844" s="27" t="n">
        <v>7.95430722896082</v>
      </c>
      <c r="G3844" s="25" t="s">
        <v>599</v>
      </c>
      <c r="H3844" s="25" t="s">
        <v>600</v>
      </c>
      <c r="I3844" s="25" t="n">
        <f aca="false">IFERROR(IF(INDEX(Documents!$C$5:$C$657,MATCH(H3844,Documents!$A$5:$A$657,0))="","",INDEX(Documents!$C$5:$C$657,MATCH(H3844,Documents!$A$5:$A$657,0))),"")</f>
        <v>2010</v>
      </c>
      <c r="J3844" s="25" t="str">
        <f aca="false">IFERROR(IF(INDEX(Documents!$D$5:$D$657,MATCH(H3844,Documents!$A$5:$A$657,0))="","",INDEX(Documents!$D$5:$D$657,MATCH(H3844,Documents!$A$5:$A$657,0))),"")</f>
        <v>J Med Chem</v>
      </c>
      <c r="K3844" s="25" t="str">
        <f aca="false">IFERROR(IF(INDEX(Documents!$G$5:$G$657,MATCH(H3844,Documents!$A$5:$A$657,0))="","",INDEX(Documents!$G$5:$G$657,MATCH(H3844,Documents!$A$5:$A$657,0))),"")</f>
        <v>10.1021/jm901214q</v>
      </c>
      <c r="L3844" s="25" t="s">
        <v>601</v>
      </c>
    </row>
    <row r="3845" customFormat="false" ht="15" hidden="false" customHeight="false" outlineLevel="0" collapsed="false">
      <c r="A3845" s="25" t="n">
        <v>2980533</v>
      </c>
      <c r="B3845" s="25" t="s">
        <v>8081</v>
      </c>
      <c r="C3845" s="25" t="s">
        <v>8082</v>
      </c>
      <c r="D3845" s="26" t="n">
        <v>11</v>
      </c>
      <c r="E3845" s="27" t="n">
        <v>7.95860731484178</v>
      </c>
      <c r="F3845" s="27" t="n">
        <v>7.95430722896082</v>
      </c>
      <c r="G3845" s="25" t="s">
        <v>599</v>
      </c>
      <c r="H3845" s="25" t="s">
        <v>600</v>
      </c>
      <c r="I3845" s="25" t="n">
        <f aca="false">IFERROR(IF(INDEX(Documents!$C$5:$C$657,MATCH(H3845,Documents!$A$5:$A$657,0))="","",INDEX(Documents!$C$5:$C$657,MATCH(H3845,Documents!$A$5:$A$657,0))),"")</f>
        <v>2010</v>
      </c>
      <c r="J3845" s="25" t="str">
        <f aca="false">IFERROR(IF(INDEX(Documents!$D$5:$D$657,MATCH(H3845,Documents!$A$5:$A$657,0))="","",INDEX(Documents!$D$5:$D$657,MATCH(H3845,Documents!$A$5:$A$657,0))),"")</f>
        <v>J Med Chem</v>
      </c>
      <c r="K3845" s="25" t="str">
        <f aca="false">IFERROR(IF(INDEX(Documents!$G$5:$G$657,MATCH(H3845,Documents!$A$5:$A$657,0))="","",INDEX(Documents!$G$5:$G$657,MATCH(H3845,Documents!$A$5:$A$657,0))),"")</f>
        <v>10.1021/jm901214q</v>
      </c>
      <c r="L3845" s="25" t="s">
        <v>601</v>
      </c>
    </row>
    <row r="3846" customFormat="false" ht="15" hidden="false" customHeight="false" outlineLevel="0" collapsed="false">
      <c r="A3846" s="25" t="n">
        <v>2980529</v>
      </c>
      <c r="B3846" s="25" t="s">
        <v>8083</v>
      </c>
      <c r="C3846" s="25" t="s">
        <v>8084</v>
      </c>
      <c r="D3846" s="26" t="n">
        <v>35</v>
      </c>
      <c r="E3846" s="27" t="n">
        <v>7.45593195564972</v>
      </c>
      <c r="F3846" s="27" t="n">
        <v>7.45798905699666</v>
      </c>
      <c r="G3846" s="25" t="s">
        <v>599</v>
      </c>
      <c r="H3846" s="25" t="s">
        <v>600</v>
      </c>
      <c r="I3846" s="25" t="n">
        <f aca="false">IFERROR(IF(INDEX(Documents!$C$5:$C$657,MATCH(H3846,Documents!$A$5:$A$657,0))="","",INDEX(Documents!$C$5:$C$657,MATCH(H3846,Documents!$A$5:$A$657,0))),"")</f>
        <v>2010</v>
      </c>
      <c r="J3846" s="25" t="str">
        <f aca="false">IFERROR(IF(INDEX(Documents!$D$5:$D$657,MATCH(H3846,Documents!$A$5:$A$657,0))="","",INDEX(Documents!$D$5:$D$657,MATCH(H3846,Documents!$A$5:$A$657,0))),"")</f>
        <v>J Med Chem</v>
      </c>
      <c r="K3846" s="25" t="str">
        <f aca="false">IFERROR(IF(INDEX(Documents!$G$5:$G$657,MATCH(H3846,Documents!$A$5:$A$657,0))="","",INDEX(Documents!$G$5:$G$657,MATCH(H3846,Documents!$A$5:$A$657,0))),"")</f>
        <v>10.1021/jm901214q</v>
      </c>
      <c r="L3846" s="25" t="s">
        <v>601</v>
      </c>
    </row>
    <row r="3847" customFormat="false" ht="15" hidden="false" customHeight="false" outlineLevel="0" collapsed="false">
      <c r="A3847" s="25" t="n">
        <v>2980548</v>
      </c>
      <c r="B3847" s="25" t="s">
        <v>8083</v>
      </c>
      <c r="C3847" s="25" t="s">
        <v>8084</v>
      </c>
      <c r="D3847" s="26" t="n">
        <v>34.67</v>
      </c>
      <c r="E3847" s="27" t="n">
        <v>7.4600461583436</v>
      </c>
      <c r="F3847" s="27" t="n">
        <v>7.45798905699666</v>
      </c>
      <c r="G3847" s="25" t="s">
        <v>599</v>
      </c>
      <c r="H3847" s="25" t="s">
        <v>600</v>
      </c>
      <c r="I3847" s="25" t="n">
        <f aca="false">IFERROR(IF(INDEX(Documents!$C$5:$C$657,MATCH(H3847,Documents!$A$5:$A$657,0))="","",INDEX(Documents!$C$5:$C$657,MATCH(H3847,Documents!$A$5:$A$657,0))),"")</f>
        <v>2010</v>
      </c>
      <c r="J3847" s="25" t="str">
        <f aca="false">IFERROR(IF(INDEX(Documents!$D$5:$D$657,MATCH(H3847,Documents!$A$5:$A$657,0))="","",INDEX(Documents!$D$5:$D$657,MATCH(H3847,Documents!$A$5:$A$657,0))),"")</f>
        <v>J Med Chem</v>
      </c>
      <c r="K3847" s="25" t="str">
        <f aca="false">IFERROR(IF(INDEX(Documents!$G$5:$G$657,MATCH(H3847,Documents!$A$5:$A$657,0))="","",INDEX(Documents!$G$5:$G$657,MATCH(H3847,Documents!$A$5:$A$657,0))),"")</f>
        <v>10.1021/jm901214q</v>
      </c>
      <c r="L3847" s="25" t="s">
        <v>601</v>
      </c>
    </row>
    <row r="3848" customFormat="false" ht="15" hidden="false" customHeight="false" outlineLevel="0" collapsed="false">
      <c r="A3848" s="25" t="n">
        <v>1993825</v>
      </c>
      <c r="B3848" s="25" t="s">
        <v>8085</v>
      </c>
      <c r="C3848" s="25" t="s">
        <v>8086</v>
      </c>
      <c r="D3848" s="26" t="n">
        <v>966</v>
      </c>
      <c r="E3848" s="27" t="n">
        <v>6.01502287358451</v>
      </c>
      <c r="F3848" s="27" t="n">
        <v>6.01502287358451</v>
      </c>
      <c r="G3848" s="25" t="s">
        <v>1527</v>
      </c>
      <c r="H3848" s="25" t="s">
        <v>1528</v>
      </c>
      <c r="I3848" s="25" t="n">
        <f aca="false">IFERROR(IF(INDEX(Documents!$C$5:$C$657,MATCH(H3848,Documents!$A$5:$A$657,0))="","",INDEX(Documents!$C$5:$C$657,MATCH(H3848,Documents!$A$5:$A$657,0))),"")</f>
        <v>2007</v>
      </c>
      <c r="J3848" s="25" t="str">
        <f aca="false">IFERROR(IF(INDEX(Documents!$D$5:$D$657,MATCH(H3848,Documents!$A$5:$A$657,0))="","",INDEX(Documents!$D$5:$D$657,MATCH(H3848,Documents!$A$5:$A$657,0))),"")</f>
        <v>J Med Chem</v>
      </c>
      <c r="K3848" s="25" t="str">
        <f aca="false">IFERROR(IF(INDEX(Documents!$G$5:$G$657,MATCH(H3848,Documents!$A$5:$A$657,0))="","",INDEX(Documents!$G$5:$G$657,MATCH(H3848,Documents!$A$5:$A$657,0))),"")</f>
        <v>10.1021/jm070387h</v>
      </c>
      <c r="L3848" s="25" t="s">
        <v>1529</v>
      </c>
    </row>
    <row r="3849" customFormat="false" ht="15" hidden="false" customHeight="false" outlineLevel="0" collapsed="false">
      <c r="A3849" s="25" t="n">
        <v>1993826</v>
      </c>
      <c r="B3849" s="25" t="s">
        <v>8087</v>
      </c>
      <c r="C3849" s="25" t="s">
        <v>8088</v>
      </c>
      <c r="D3849" s="26" t="n">
        <v>1120</v>
      </c>
      <c r="E3849" s="27" t="n">
        <v>5.95078197732982</v>
      </c>
      <c r="F3849" s="27" t="n">
        <v>5.95078197732982</v>
      </c>
      <c r="G3849" s="25" t="s">
        <v>1527</v>
      </c>
      <c r="H3849" s="25" t="s">
        <v>1528</v>
      </c>
      <c r="I3849" s="25" t="n">
        <f aca="false">IFERROR(IF(INDEX(Documents!$C$5:$C$657,MATCH(H3849,Documents!$A$5:$A$657,0))="","",INDEX(Documents!$C$5:$C$657,MATCH(H3849,Documents!$A$5:$A$657,0))),"")</f>
        <v>2007</v>
      </c>
      <c r="J3849" s="25" t="str">
        <f aca="false">IFERROR(IF(INDEX(Documents!$D$5:$D$657,MATCH(H3849,Documents!$A$5:$A$657,0))="","",INDEX(Documents!$D$5:$D$657,MATCH(H3849,Documents!$A$5:$A$657,0))),"")</f>
        <v>J Med Chem</v>
      </c>
      <c r="K3849" s="25" t="str">
        <f aca="false">IFERROR(IF(INDEX(Documents!$G$5:$G$657,MATCH(H3849,Documents!$A$5:$A$657,0))="","",INDEX(Documents!$G$5:$G$657,MATCH(H3849,Documents!$A$5:$A$657,0))),"")</f>
        <v>10.1021/jm070387h</v>
      </c>
      <c r="L3849" s="25" t="s">
        <v>1529</v>
      </c>
    </row>
    <row r="3850" customFormat="false" ht="15" hidden="false" customHeight="false" outlineLevel="0" collapsed="false">
      <c r="A3850" s="25" t="n">
        <v>1993827</v>
      </c>
      <c r="B3850" s="25" t="s">
        <v>8089</v>
      </c>
      <c r="C3850" s="25" t="s">
        <v>8090</v>
      </c>
      <c r="D3850" s="26" t="n">
        <v>225</v>
      </c>
      <c r="E3850" s="27" t="n">
        <v>6.64781748188864</v>
      </c>
      <c r="F3850" s="27" t="n">
        <v>6.64781748188864</v>
      </c>
      <c r="G3850" s="25" t="s">
        <v>1527</v>
      </c>
      <c r="H3850" s="25" t="s">
        <v>1528</v>
      </c>
      <c r="I3850" s="25" t="n">
        <f aca="false">IFERROR(IF(INDEX(Documents!$C$5:$C$657,MATCH(H3850,Documents!$A$5:$A$657,0))="","",INDEX(Documents!$C$5:$C$657,MATCH(H3850,Documents!$A$5:$A$657,0))),"")</f>
        <v>2007</v>
      </c>
      <c r="J3850" s="25" t="str">
        <f aca="false">IFERROR(IF(INDEX(Documents!$D$5:$D$657,MATCH(H3850,Documents!$A$5:$A$657,0))="","",INDEX(Documents!$D$5:$D$657,MATCH(H3850,Documents!$A$5:$A$657,0))),"")</f>
        <v>J Med Chem</v>
      </c>
      <c r="K3850" s="25" t="str">
        <f aca="false">IFERROR(IF(INDEX(Documents!$G$5:$G$657,MATCH(H3850,Documents!$A$5:$A$657,0))="","",INDEX(Documents!$G$5:$G$657,MATCH(H3850,Documents!$A$5:$A$657,0))),"")</f>
        <v>10.1021/jm070387h</v>
      </c>
      <c r="L3850" s="25" t="s">
        <v>1529</v>
      </c>
    </row>
    <row r="3851" customFormat="false" ht="15" hidden="false" customHeight="false" outlineLevel="0" collapsed="false">
      <c r="A3851" s="25" t="n">
        <v>1993828</v>
      </c>
      <c r="B3851" s="25" t="s">
        <v>8091</v>
      </c>
      <c r="C3851" s="25" t="s">
        <v>8092</v>
      </c>
      <c r="D3851" s="26" t="n">
        <v>656</v>
      </c>
      <c r="E3851" s="27" t="n">
        <v>6.18309616062434</v>
      </c>
      <c r="F3851" s="27" t="n">
        <v>6.18309616062434</v>
      </c>
      <c r="G3851" s="25" t="s">
        <v>1527</v>
      </c>
      <c r="H3851" s="25" t="s">
        <v>1528</v>
      </c>
      <c r="I3851" s="25" t="n">
        <f aca="false">IFERROR(IF(INDEX(Documents!$C$5:$C$657,MATCH(H3851,Documents!$A$5:$A$657,0))="","",INDEX(Documents!$C$5:$C$657,MATCH(H3851,Documents!$A$5:$A$657,0))),"")</f>
        <v>2007</v>
      </c>
      <c r="J3851" s="25" t="str">
        <f aca="false">IFERROR(IF(INDEX(Documents!$D$5:$D$657,MATCH(H3851,Documents!$A$5:$A$657,0))="","",INDEX(Documents!$D$5:$D$657,MATCH(H3851,Documents!$A$5:$A$657,0))),"")</f>
        <v>J Med Chem</v>
      </c>
      <c r="K3851" s="25" t="str">
        <f aca="false">IFERROR(IF(INDEX(Documents!$G$5:$G$657,MATCH(H3851,Documents!$A$5:$A$657,0))="","",INDEX(Documents!$G$5:$G$657,MATCH(H3851,Documents!$A$5:$A$657,0))),"")</f>
        <v>10.1021/jm070387h</v>
      </c>
      <c r="L3851" s="25" t="s">
        <v>1529</v>
      </c>
    </row>
    <row r="3852" customFormat="false" ht="15" hidden="false" customHeight="false" outlineLevel="0" collapsed="false">
      <c r="A3852" s="25" t="n">
        <v>3604318</v>
      </c>
      <c r="B3852" s="25" t="s">
        <v>8093</v>
      </c>
      <c r="C3852" s="25" t="s">
        <v>8094</v>
      </c>
      <c r="D3852" s="26" t="n">
        <v>0.3981</v>
      </c>
      <c r="E3852" s="27" t="n">
        <v>9.4000078224159</v>
      </c>
      <c r="F3852" s="27" t="n">
        <v>9.4000078224159</v>
      </c>
      <c r="G3852" s="25" t="s">
        <v>6061</v>
      </c>
      <c r="H3852" s="25" t="s">
        <v>6062</v>
      </c>
      <c r="I3852" s="25" t="n">
        <f aca="false">IFERROR(IF(INDEX(Documents!$C$5:$C$657,MATCH(H3852,Documents!$A$5:$A$657,0))="","",INDEX(Documents!$C$5:$C$657,MATCH(H3852,Documents!$A$5:$A$657,0))),"")</f>
        <v>2010</v>
      </c>
      <c r="J3852" s="25" t="str">
        <f aca="false">IFERROR(IF(INDEX(Documents!$D$5:$D$657,MATCH(H3852,Documents!$A$5:$A$657,0))="","",INDEX(Documents!$D$5:$D$657,MATCH(H3852,Documents!$A$5:$A$657,0))),"")</f>
        <v>Bioorg Med Chem Lett</v>
      </c>
      <c r="K3852" s="25" t="str">
        <f aca="false">IFERROR(IF(INDEX(Documents!$G$5:$G$657,MATCH(H3852,Documents!$A$5:$A$657,0))="","",INDEX(Documents!$G$5:$G$657,MATCH(H3852,Documents!$A$5:$A$657,0))),"")</f>
        <v>10.1016/j.bmcl.2010.10.061</v>
      </c>
      <c r="L3852" s="25" t="s">
        <v>6063</v>
      </c>
    </row>
    <row r="3853" customFormat="false" ht="15" hidden="false" customHeight="false" outlineLevel="0" collapsed="false">
      <c r="A3853" s="25" t="n">
        <v>16511732</v>
      </c>
      <c r="B3853" s="25" t="s">
        <v>8095</v>
      </c>
      <c r="C3853" s="25" t="s">
        <v>8096</v>
      </c>
      <c r="D3853" s="26" t="n">
        <v>414</v>
      </c>
      <c r="E3853" s="27" t="n">
        <v>6.3829996588791</v>
      </c>
      <c r="F3853" s="27" t="n">
        <v>6.3829996588791</v>
      </c>
      <c r="G3853" s="25" t="s">
        <v>1336</v>
      </c>
      <c r="H3853" s="25" t="s">
        <v>1337</v>
      </c>
      <c r="I3853" s="25" t="n">
        <f aca="false">IFERROR(IF(INDEX(Documents!$C$5:$C$657,MATCH(H3853,Documents!$A$5:$A$657,0))="","",INDEX(Documents!$C$5:$C$657,MATCH(H3853,Documents!$A$5:$A$657,0))),"")</f>
        <v>2016</v>
      </c>
      <c r="J3853" s="25" t="str">
        <f aca="false">IFERROR(IF(INDEX(Documents!$D$5:$D$657,MATCH(H3853,Documents!$A$5:$A$657,0))="","",INDEX(Documents!$D$5:$D$657,MATCH(H3853,Documents!$A$5:$A$657,0))),"")</f>
        <v>Eur J Med Chem</v>
      </c>
      <c r="K3853" s="25" t="str">
        <f aca="false">IFERROR(IF(INDEX(Documents!$G$5:$G$657,MATCH(H3853,Documents!$A$5:$A$657,0))="","",INDEX(Documents!$G$5:$G$657,MATCH(H3853,Documents!$A$5:$A$657,0))),"")</f>
        <v>10.1016/j.ejmech.2016.02.005</v>
      </c>
      <c r="L3853" s="25" t="s">
        <v>1338</v>
      </c>
    </row>
    <row r="3854" customFormat="false" ht="15" hidden="false" customHeight="false" outlineLevel="0" collapsed="false">
      <c r="A3854" s="25" t="n">
        <v>14534711</v>
      </c>
      <c r="B3854" s="25" t="s">
        <v>8097</v>
      </c>
      <c r="C3854" s="25" t="s">
        <v>8098</v>
      </c>
      <c r="D3854" s="26" t="n">
        <v>5430</v>
      </c>
      <c r="E3854" s="27" t="n">
        <v>5.26520017041115</v>
      </c>
      <c r="F3854" s="27" t="n">
        <v>5.26520017041115</v>
      </c>
      <c r="G3854" s="25" t="s">
        <v>5398</v>
      </c>
      <c r="H3854" s="25" t="s">
        <v>5399</v>
      </c>
      <c r="I3854" s="25" t="n">
        <f aca="false">IFERROR(IF(INDEX(Documents!$C$5:$C$657,MATCH(H3854,Documents!$A$5:$A$657,0))="","",INDEX(Documents!$C$5:$C$657,MATCH(H3854,Documents!$A$5:$A$657,0))),"")</f>
        <v>2014</v>
      </c>
      <c r="J3854" s="25" t="str">
        <f aca="false">IFERROR(IF(INDEX(Documents!$D$5:$D$657,MATCH(H3854,Documents!$A$5:$A$657,0))="","",INDEX(Documents!$D$5:$D$657,MATCH(H3854,Documents!$A$5:$A$657,0))),"")</f>
        <v>Medchemcomm</v>
      </c>
      <c r="K3854" s="25" t="str">
        <f aca="false">IFERROR(IF(INDEX(Documents!$G$5:$G$657,MATCH(H3854,Documents!$A$5:$A$657,0))="","",INDEX(Documents!$G$5:$G$657,MATCH(H3854,Documents!$A$5:$A$657,0))),"")</f>
        <v>10.1039/C3MD00394A</v>
      </c>
      <c r="L3854" s="25" t="s">
        <v>5400</v>
      </c>
    </row>
    <row r="3855" customFormat="false" ht="15" hidden="false" customHeight="false" outlineLevel="0" collapsed="false">
      <c r="A3855" s="25" t="n">
        <v>14534708</v>
      </c>
      <c r="B3855" s="25" t="s">
        <v>8099</v>
      </c>
      <c r="C3855" s="25" t="s">
        <v>8100</v>
      </c>
      <c r="D3855" s="26" t="n">
        <v>4150</v>
      </c>
      <c r="E3855" s="27" t="n">
        <v>5.38195190328791</v>
      </c>
      <c r="F3855" s="27" t="n">
        <v>5.38195190328791</v>
      </c>
      <c r="G3855" s="25" t="s">
        <v>5398</v>
      </c>
      <c r="H3855" s="25" t="s">
        <v>5399</v>
      </c>
      <c r="I3855" s="25" t="n">
        <f aca="false">IFERROR(IF(INDEX(Documents!$C$5:$C$657,MATCH(H3855,Documents!$A$5:$A$657,0))="","",INDEX(Documents!$C$5:$C$657,MATCH(H3855,Documents!$A$5:$A$657,0))),"")</f>
        <v>2014</v>
      </c>
      <c r="J3855" s="25" t="str">
        <f aca="false">IFERROR(IF(INDEX(Documents!$D$5:$D$657,MATCH(H3855,Documents!$A$5:$A$657,0))="","",INDEX(Documents!$D$5:$D$657,MATCH(H3855,Documents!$A$5:$A$657,0))),"")</f>
        <v>Medchemcomm</v>
      </c>
      <c r="K3855" s="25" t="str">
        <f aca="false">IFERROR(IF(INDEX(Documents!$G$5:$G$657,MATCH(H3855,Documents!$A$5:$A$657,0))="","",INDEX(Documents!$G$5:$G$657,MATCH(H3855,Documents!$A$5:$A$657,0))),"")</f>
        <v>10.1039/C3MD00394A</v>
      </c>
      <c r="L3855" s="25" t="s">
        <v>5400</v>
      </c>
    </row>
    <row r="3856" customFormat="false" ht="15" hidden="false" customHeight="false" outlineLevel="0" collapsed="false">
      <c r="A3856" s="25" t="n">
        <v>14534719</v>
      </c>
      <c r="B3856" s="25" t="s">
        <v>8101</v>
      </c>
      <c r="C3856" s="25" t="s">
        <v>8102</v>
      </c>
      <c r="D3856" s="26" t="n">
        <v>4030</v>
      </c>
      <c r="E3856" s="27" t="n">
        <v>5.39469495385889</v>
      </c>
      <c r="F3856" s="27" t="n">
        <v>5.39469495385889</v>
      </c>
      <c r="G3856" s="25" t="s">
        <v>5398</v>
      </c>
      <c r="H3856" s="25" t="s">
        <v>5399</v>
      </c>
      <c r="I3856" s="25" t="n">
        <f aca="false">IFERROR(IF(INDEX(Documents!$C$5:$C$657,MATCH(H3856,Documents!$A$5:$A$657,0))="","",INDEX(Documents!$C$5:$C$657,MATCH(H3856,Documents!$A$5:$A$657,0))),"")</f>
        <v>2014</v>
      </c>
      <c r="J3856" s="25" t="str">
        <f aca="false">IFERROR(IF(INDEX(Documents!$D$5:$D$657,MATCH(H3856,Documents!$A$5:$A$657,0))="","",INDEX(Documents!$D$5:$D$657,MATCH(H3856,Documents!$A$5:$A$657,0))),"")</f>
        <v>Medchemcomm</v>
      </c>
      <c r="K3856" s="25" t="str">
        <f aca="false">IFERROR(IF(INDEX(Documents!$G$5:$G$657,MATCH(H3856,Documents!$A$5:$A$657,0))="","",INDEX(Documents!$G$5:$G$657,MATCH(H3856,Documents!$A$5:$A$657,0))),"")</f>
        <v>10.1039/C3MD00394A</v>
      </c>
      <c r="L3856" s="25" t="s">
        <v>5400</v>
      </c>
    </row>
    <row r="3857" customFormat="false" ht="15" hidden="false" customHeight="false" outlineLevel="0" collapsed="false">
      <c r="A3857" s="25" t="n">
        <v>14534705</v>
      </c>
      <c r="B3857" s="25" t="s">
        <v>8103</v>
      </c>
      <c r="C3857" s="25" t="s">
        <v>8104</v>
      </c>
      <c r="D3857" s="26" t="n">
        <v>1650</v>
      </c>
      <c r="E3857" s="27" t="n">
        <v>5.78251605578609</v>
      </c>
      <c r="F3857" s="27" t="n">
        <v>5.78251605578609</v>
      </c>
      <c r="G3857" s="25" t="s">
        <v>5398</v>
      </c>
      <c r="H3857" s="25" t="s">
        <v>5399</v>
      </c>
      <c r="I3857" s="25" t="n">
        <f aca="false">IFERROR(IF(INDEX(Documents!$C$5:$C$657,MATCH(H3857,Documents!$A$5:$A$657,0))="","",INDEX(Documents!$C$5:$C$657,MATCH(H3857,Documents!$A$5:$A$657,0))),"")</f>
        <v>2014</v>
      </c>
      <c r="J3857" s="25" t="str">
        <f aca="false">IFERROR(IF(INDEX(Documents!$D$5:$D$657,MATCH(H3857,Documents!$A$5:$A$657,0))="","",INDEX(Documents!$D$5:$D$657,MATCH(H3857,Documents!$A$5:$A$657,0))),"")</f>
        <v>Medchemcomm</v>
      </c>
      <c r="K3857" s="25" t="str">
        <f aca="false">IFERROR(IF(INDEX(Documents!$G$5:$G$657,MATCH(H3857,Documents!$A$5:$A$657,0))="","",INDEX(Documents!$G$5:$G$657,MATCH(H3857,Documents!$A$5:$A$657,0))),"")</f>
        <v>10.1039/C3MD00394A</v>
      </c>
      <c r="L3857" s="25" t="s">
        <v>5400</v>
      </c>
    </row>
    <row r="3858" customFormat="false" ht="15" hidden="false" customHeight="false" outlineLevel="0" collapsed="false">
      <c r="A3858" s="25" t="n">
        <v>14534717</v>
      </c>
      <c r="B3858" s="25" t="s">
        <v>8105</v>
      </c>
      <c r="C3858" s="25" t="s">
        <v>8106</v>
      </c>
      <c r="D3858" s="26" t="n">
        <v>950</v>
      </c>
      <c r="E3858" s="27" t="n">
        <v>6.02227639471115</v>
      </c>
      <c r="F3858" s="27" t="n">
        <v>6.02227639471115</v>
      </c>
      <c r="G3858" s="25" t="s">
        <v>5398</v>
      </c>
      <c r="H3858" s="25" t="s">
        <v>5399</v>
      </c>
      <c r="I3858" s="25" t="n">
        <f aca="false">IFERROR(IF(INDEX(Documents!$C$5:$C$657,MATCH(H3858,Documents!$A$5:$A$657,0))="","",INDEX(Documents!$C$5:$C$657,MATCH(H3858,Documents!$A$5:$A$657,0))),"")</f>
        <v>2014</v>
      </c>
      <c r="J3858" s="25" t="str">
        <f aca="false">IFERROR(IF(INDEX(Documents!$D$5:$D$657,MATCH(H3858,Documents!$A$5:$A$657,0))="","",INDEX(Documents!$D$5:$D$657,MATCH(H3858,Documents!$A$5:$A$657,0))),"")</f>
        <v>Medchemcomm</v>
      </c>
      <c r="K3858" s="25" t="str">
        <f aca="false">IFERROR(IF(INDEX(Documents!$G$5:$G$657,MATCH(H3858,Documents!$A$5:$A$657,0))="","",INDEX(Documents!$G$5:$G$657,MATCH(H3858,Documents!$A$5:$A$657,0))),"")</f>
        <v>10.1039/C3MD00394A</v>
      </c>
      <c r="L3858" s="25" t="s">
        <v>5400</v>
      </c>
    </row>
    <row r="3859" customFormat="false" ht="15" hidden="false" customHeight="false" outlineLevel="0" collapsed="false">
      <c r="A3859" s="25" t="n">
        <v>14534704</v>
      </c>
      <c r="B3859" s="25" t="s">
        <v>8107</v>
      </c>
      <c r="C3859" s="25" t="s">
        <v>8108</v>
      </c>
      <c r="D3859" s="26" t="n">
        <v>1560</v>
      </c>
      <c r="E3859" s="27" t="n">
        <v>5.80687540164554</v>
      </c>
      <c r="F3859" s="27" t="n">
        <v>5.80687540164554</v>
      </c>
      <c r="G3859" s="25" t="s">
        <v>5398</v>
      </c>
      <c r="H3859" s="25" t="s">
        <v>5399</v>
      </c>
      <c r="I3859" s="25" t="n">
        <f aca="false">IFERROR(IF(INDEX(Documents!$C$5:$C$657,MATCH(H3859,Documents!$A$5:$A$657,0))="","",INDEX(Documents!$C$5:$C$657,MATCH(H3859,Documents!$A$5:$A$657,0))),"")</f>
        <v>2014</v>
      </c>
      <c r="J3859" s="25" t="str">
        <f aca="false">IFERROR(IF(INDEX(Documents!$D$5:$D$657,MATCH(H3859,Documents!$A$5:$A$657,0))="","",INDEX(Documents!$D$5:$D$657,MATCH(H3859,Documents!$A$5:$A$657,0))),"")</f>
        <v>Medchemcomm</v>
      </c>
      <c r="K3859" s="25" t="str">
        <f aca="false">IFERROR(IF(INDEX(Documents!$G$5:$G$657,MATCH(H3859,Documents!$A$5:$A$657,0))="","",INDEX(Documents!$G$5:$G$657,MATCH(H3859,Documents!$A$5:$A$657,0))),"")</f>
        <v>10.1039/C3MD00394A</v>
      </c>
      <c r="L3859" s="25" t="s">
        <v>5400</v>
      </c>
    </row>
    <row r="3860" customFormat="false" ht="15" hidden="false" customHeight="false" outlineLevel="0" collapsed="false">
      <c r="A3860" s="25" t="n">
        <v>14534709</v>
      </c>
      <c r="B3860" s="25" t="s">
        <v>8109</v>
      </c>
      <c r="C3860" s="25" t="s">
        <v>8110</v>
      </c>
      <c r="D3860" s="26" t="n">
        <v>1810</v>
      </c>
      <c r="E3860" s="27" t="n">
        <v>5.74232142513082</v>
      </c>
      <c r="F3860" s="27" t="n">
        <v>5.74232142513082</v>
      </c>
      <c r="G3860" s="25" t="s">
        <v>5398</v>
      </c>
      <c r="H3860" s="25" t="s">
        <v>5399</v>
      </c>
      <c r="I3860" s="25" t="n">
        <f aca="false">IFERROR(IF(INDEX(Documents!$C$5:$C$657,MATCH(H3860,Documents!$A$5:$A$657,0))="","",INDEX(Documents!$C$5:$C$657,MATCH(H3860,Documents!$A$5:$A$657,0))),"")</f>
        <v>2014</v>
      </c>
      <c r="J3860" s="25" t="str">
        <f aca="false">IFERROR(IF(INDEX(Documents!$D$5:$D$657,MATCH(H3860,Documents!$A$5:$A$657,0))="","",INDEX(Documents!$D$5:$D$657,MATCH(H3860,Documents!$A$5:$A$657,0))),"")</f>
        <v>Medchemcomm</v>
      </c>
      <c r="K3860" s="25" t="str">
        <f aca="false">IFERROR(IF(INDEX(Documents!$G$5:$G$657,MATCH(H3860,Documents!$A$5:$A$657,0))="","",INDEX(Documents!$G$5:$G$657,MATCH(H3860,Documents!$A$5:$A$657,0))),"")</f>
        <v>10.1039/C3MD00394A</v>
      </c>
      <c r="L3860" s="25" t="s">
        <v>5400</v>
      </c>
    </row>
    <row r="3861" customFormat="false" ht="15" hidden="false" customHeight="false" outlineLevel="0" collapsed="false">
      <c r="A3861" s="25" t="n">
        <v>14534720</v>
      </c>
      <c r="B3861" s="25" t="s">
        <v>8111</v>
      </c>
      <c r="C3861" s="25" t="s">
        <v>8112</v>
      </c>
      <c r="D3861" s="26" t="n">
        <v>1110</v>
      </c>
      <c r="E3861" s="27" t="n">
        <v>5.95467702121334</v>
      </c>
      <c r="F3861" s="27" t="n">
        <v>5.95467702121334</v>
      </c>
      <c r="G3861" s="25" t="s">
        <v>5398</v>
      </c>
      <c r="H3861" s="25" t="s">
        <v>5399</v>
      </c>
      <c r="I3861" s="25" t="n">
        <f aca="false">IFERROR(IF(INDEX(Documents!$C$5:$C$657,MATCH(H3861,Documents!$A$5:$A$657,0))="","",INDEX(Documents!$C$5:$C$657,MATCH(H3861,Documents!$A$5:$A$657,0))),"")</f>
        <v>2014</v>
      </c>
      <c r="J3861" s="25" t="str">
        <f aca="false">IFERROR(IF(INDEX(Documents!$D$5:$D$657,MATCH(H3861,Documents!$A$5:$A$657,0))="","",INDEX(Documents!$D$5:$D$657,MATCH(H3861,Documents!$A$5:$A$657,0))),"")</f>
        <v>Medchemcomm</v>
      </c>
      <c r="K3861" s="25" t="str">
        <f aca="false">IFERROR(IF(INDEX(Documents!$G$5:$G$657,MATCH(H3861,Documents!$A$5:$A$657,0))="","",INDEX(Documents!$G$5:$G$657,MATCH(H3861,Documents!$A$5:$A$657,0))),"")</f>
        <v>10.1039/C3MD00394A</v>
      </c>
      <c r="L3861" s="25" t="s">
        <v>5400</v>
      </c>
    </row>
    <row r="3862" customFormat="false" ht="15" hidden="false" customHeight="false" outlineLevel="0" collapsed="false">
      <c r="A3862" s="25" t="n">
        <v>14534706</v>
      </c>
      <c r="B3862" s="25" t="s">
        <v>8113</v>
      </c>
      <c r="C3862" s="25" t="s">
        <v>8114</v>
      </c>
      <c r="D3862" s="26" t="n">
        <v>980</v>
      </c>
      <c r="E3862" s="27" t="n">
        <v>6.00877392430751</v>
      </c>
      <c r="F3862" s="27" t="n">
        <v>6.00877392430751</v>
      </c>
      <c r="G3862" s="25" t="s">
        <v>5398</v>
      </c>
      <c r="H3862" s="25" t="s">
        <v>5399</v>
      </c>
      <c r="I3862" s="25" t="n">
        <f aca="false">IFERROR(IF(INDEX(Documents!$C$5:$C$657,MATCH(H3862,Documents!$A$5:$A$657,0))="","",INDEX(Documents!$C$5:$C$657,MATCH(H3862,Documents!$A$5:$A$657,0))),"")</f>
        <v>2014</v>
      </c>
      <c r="J3862" s="25" t="str">
        <f aca="false">IFERROR(IF(INDEX(Documents!$D$5:$D$657,MATCH(H3862,Documents!$A$5:$A$657,0))="","",INDEX(Documents!$D$5:$D$657,MATCH(H3862,Documents!$A$5:$A$657,0))),"")</f>
        <v>Medchemcomm</v>
      </c>
      <c r="K3862" s="25" t="str">
        <f aca="false">IFERROR(IF(INDEX(Documents!$G$5:$G$657,MATCH(H3862,Documents!$A$5:$A$657,0))="","",INDEX(Documents!$G$5:$G$657,MATCH(H3862,Documents!$A$5:$A$657,0))),"")</f>
        <v>10.1039/C3MD00394A</v>
      </c>
      <c r="L3862" s="25" t="s">
        <v>5400</v>
      </c>
    </row>
    <row r="3863" customFormat="false" ht="15" hidden="false" customHeight="false" outlineLevel="0" collapsed="false">
      <c r="A3863" s="25" t="n">
        <v>22759093</v>
      </c>
      <c r="B3863" s="25" t="s">
        <v>8115</v>
      </c>
      <c r="C3863" s="25" t="s">
        <v>8116</v>
      </c>
      <c r="D3863" s="26" t="n">
        <v>625</v>
      </c>
      <c r="E3863" s="27" t="n">
        <v>6.20411998265593</v>
      </c>
      <c r="F3863" s="27" t="n">
        <v>6.20411998265593</v>
      </c>
      <c r="G3863" s="25" t="s">
        <v>8117</v>
      </c>
      <c r="H3863" s="25" t="s">
        <v>8118</v>
      </c>
      <c r="I3863" s="25" t="n">
        <f aca="false">IFERROR(IF(INDEX(Documents!$C$5:$C$657,MATCH(H3863,Documents!$A$5:$A$657,0))="","",INDEX(Documents!$C$5:$C$657,MATCH(H3863,Documents!$A$5:$A$657,0))),"")</f>
        <v>2020</v>
      </c>
      <c r="J3863" s="25" t="str">
        <f aca="false">IFERROR(IF(INDEX(Documents!$D$5:$D$657,MATCH(H3863,Documents!$A$5:$A$657,0))="","",INDEX(Documents!$D$5:$D$657,MATCH(H3863,Documents!$A$5:$A$657,0))),"")</f>
        <v>Bioorg Med Chem Lett</v>
      </c>
      <c r="K3863" s="25" t="str">
        <f aca="false">IFERROR(IF(INDEX(Documents!$G$5:$G$657,MATCH(H3863,Documents!$A$5:$A$657,0))="","",INDEX(Documents!$G$5:$G$657,MATCH(H3863,Documents!$A$5:$A$657,0))),"")</f>
        <v>10.1016/j.bmcl.2020.127501</v>
      </c>
      <c r="L3863" s="25" t="s">
        <v>8119</v>
      </c>
    </row>
    <row r="3864" customFormat="false" ht="15" hidden="false" customHeight="false" outlineLevel="0" collapsed="false">
      <c r="A3864" s="25" t="n">
        <v>12720261</v>
      </c>
      <c r="B3864" s="25" t="s">
        <v>8120</v>
      </c>
      <c r="C3864" s="25" t="s">
        <v>8121</v>
      </c>
      <c r="D3864" s="26" t="n">
        <v>20.3</v>
      </c>
      <c r="E3864" s="27" t="n">
        <v>7.69250396208679</v>
      </c>
      <c r="F3864" s="27" t="n">
        <v>7.69250396208679</v>
      </c>
      <c r="G3864" s="25" t="s">
        <v>5620</v>
      </c>
      <c r="H3864" s="25" t="s">
        <v>5621</v>
      </c>
      <c r="I3864" s="25" t="n">
        <f aca="false">IFERROR(IF(INDEX(Documents!$C$5:$C$657,MATCH(H3864,Documents!$A$5:$A$657,0))="","",INDEX(Documents!$C$5:$C$657,MATCH(H3864,Documents!$A$5:$A$657,0))),"")</f>
        <v>2013</v>
      </c>
      <c r="J3864" s="25" t="str">
        <f aca="false">IFERROR(IF(INDEX(Documents!$D$5:$D$657,MATCH(H3864,Documents!$A$5:$A$657,0))="","",INDEX(Documents!$D$5:$D$657,MATCH(H3864,Documents!$A$5:$A$657,0))),"")</f>
        <v>Bioorg Med Chem Lett</v>
      </c>
      <c r="K3864" s="25" t="str">
        <f aca="false">IFERROR(IF(INDEX(Documents!$G$5:$G$657,MATCH(H3864,Documents!$A$5:$A$657,0))="","",INDEX(Documents!$G$5:$G$657,MATCH(H3864,Documents!$A$5:$A$657,0))),"")</f>
        <v>10.1016/j.bmcl.2013.02.025</v>
      </c>
      <c r="L3864" s="25" t="s">
        <v>5622</v>
      </c>
    </row>
    <row r="3865" customFormat="false" ht="15" hidden="false" customHeight="false" outlineLevel="0" collapsed="false">
      <c r="A3865" s="25" t="n">
        <v>22759092</v>
      </c>
      <c r="B3865" s="25" t="s">
        <v>8122</v>
      </c>
      <c r="C3865" s="25" t="s">
        <v>8123</v>
      </c>
      <c r="D3865" s="26" t="n">
        <v>115</v>
      </c>
      <c r="E3865" s="27" t="n">
        <v>6.93930215964639</v>
      </c>
      <c r="F3865" s="27" t="n">
        <v>6.93930215964639</v>
      </c>
      <c r="G3865" s="25" t="s">
        <v>8117</v>
      </c>
      <c r="H3865" s="25" t="s">
        <v>8118</v>
      </c>
      <c r="I3865" s="25" t="n">
        <f aca="false">IFERROR(IF(INDEX(Documents!$C$5:$C$657,MATCH(H3865,Documents!$A$5:$A$657,0))="","",INDEX(Documents!$C$5:$C$657,MATCH(H3865,Documents!$A$5:$A$657,0))),"")</f>
        <v>2020</v>
      </c>
      <c r="J3865" s="25" t="str">
        <f aca="false">IFERROR(IF(INDEX(Documents!$D$5:$D$657,MATCH(H3865,Documents!$A$5:$A$657,0))="","",INDEX(Documents!$D$5:$D$657,MATCH(H3865,Documents!$A$5:$A$657,0))),"")</f>
        <v>Bioorg Med Chem Lett</v>
      </c>
      <c r="K3865" s="25" t="str">
        <f aca="false">IFERROR(IF(INDEX(Documents!$G$5:$G$657,MATCH(H3865,Documents!$A$5:$A$657,0))="","",INDEX(Documents!$G$5:$G$657,MATCH(H3865,Documents!$A$5:$A$657,0))),"")</f>
        <v>10.1016/j.bmcl.2020.127501</v>
      </c>
      <c r="L3865" s="25" t="s">
        <v>8119</v>
      </c>
    </row>
    <row r="3866" customFormat="false" ht="15" hidden="false" customHeight="false" outlineLevel="0" collapsed="false">
      <c r="A3866" s="25" t="n">
        <v>12720262</v>
      </c>
      <c r="B3866" s="25" t="s">
        <v>8124</v>
      </c>
      <c r="C3866" s="25" t="s">
        <v>8125</v>
      </c>
      <c r="D3866" s="26" t="n">
        <v>1.33</v>
      </c>
      <c r="E3866" s="27" t="n">
        <v>8.87614835903291</v>
      </c>
      <c r="F3866" s="27" t="n">
        <v>8.87614835903291</v>
      </c>
      <c r="G3866" s="25" t="s">
        <v>5620</v>
      </c>
      <c r="H3866" s="25" t="s">
        <v>5621</v>
      </c>
      <c r="I3866" s="25" t="n">
        <f aca="false">IFERROR(IF(INDEX(Documents!$C$5:$C$657,MATCH(H3866,Documents!$A$5:$A$657,0))="","",INDEX(Documents!$C$5:$C$657,MATCH(H3866,Documents!$A$5:$A$657,0))),"")</f>
        <v>2013</v>
      </c>
      <c r="J3866" s="25" t="str">
        <f aca="false">IFERROR(IF(INDEX(Documents!$D$5:$D$657,MATCH(H3866,Documents!$A$5:$A$657,0))="","",INDEX(Documents!$D$5:$D$657,MATCH(H3866,Documents!$A$5:$A$657,0))),"")</f>
        <v>Bioorg Med Chem Lett</v>
      </c>
      <c r="K3866" s="25" t="str">
        <f aca="false">IFERROR(IF(INDEX(Documents!$G$5:$G$657,MATCH(H3866,Documents!$A$5:$A$657,0))="","",INDEX(Documents!$G$5:$G$657,MATCH(H3866,Documents!$A$5:$A$657,0))),"")</f>
        <v>10.1016/j.bmcl.2013.02.025</v>
      </c>
      <c r="L3866" s="25" t="s">
        <v>5622</v>
      </c>
    </row>
    <row r="3867" customFormat="false" ht="15" hidden="false" customHeight="false" outlineLevel="0" collapsed="false">
      <c r="A3867" s="25" t="n">
        <v>22759094</v>
      </c>
      <c r="B3867" s="25" t="s">
        <v>8126</v>
      </c>
      <c r="C3867" s="25" t="s">
        <v>8127</v>
      </c>
      <c r="D3867" s="26" t="n">
        <v>23.7</v>
      </c>
      <c r="E3867" s="27" t="n">
        <v>7.6252516539899</v>
      </c>
      <c r="F3867" s="27" t="n">
        <v>7.6252516539899</v>
      </c>
      <c r="G3867" s="25" t="s">
        <v>8117</v>
      </c>
      <c r="H3867" s="25" t="s">
        <v>8118</v>
      </c>
      <c r="I3867" s="25" t="n">
        <f aca="false">IFERROR(IF(INDEX(Documents!$C$5:$C$657,MATCH(H3867,Documents!$A$5:$A$657,0))="","",INDEX(Documents!$C$5:$C$657,MATCH(H3867,Documents!$A$5:$A$657,0))),"")</f>
        <v>2020</v>
      </c>
      <c r="J3867" s="25" t="str">
        <f aca="false">IFERROR(IF(INDEX(Documents!$D$5:$D$657,MATCH(H3867,Documents!$A$5:$A$657,0))="","",INDEX(Documents!$D$5:$D$657,MATCH(H3867,Documents!$A$5:$A$657,0))),"")</f>
        <v>Bioorg Med Chem Lett</v>
      </c>
      <c r="K3867" s="25" t="str">
        <f aca="false">IFERROR(IF(INDEX(Documents!$G$5:$G$657,MATCH(H3867,Documents!$A$5:$A$657,0))="","",INDEX(Documents!$G$5:$G$657,MATCH(H3867,Documents!$A$5:$A$657,0))),"")</f>
        <v>10.1016/j.bmcl.2020.127501</v>
      </c>
      <c r="L3867" s="25" t="s">
        <v>8119</v>
      </c>
    </row>
    <row r="3868" customFormat="false" ht="15" hidden="false" customHeight="false" outlineLevel="0" collapsed="false">
      <c r="A3868" s="25" t="n">
        <v>12720263</v>
      </c>
      <c r="B3868" s="25" t="s">
        <v>8128</v>
      </c>
      <c r="C3868" s="25" t="s">
        <v>8129</v>
      </c>
      <c r="D3868" s="26" t="n">
        <v>11.7</v>
      </c>
      <c r="E3868" s="27" t="n">
        <v>7.93181413825384</v>
      </c>
      <c r="F3868" s="27" t="n">
        <v>7.93181413825384</v>
      </c>
      <c r="G3868" s="25" t="s">
        <v>5620</v>
      </c>
      <c r="H3868" s="25" t="s">
        <v>5621</v>
      </c>
      <c r="I3868" s="25" t="n">
        <f aca="false">IFERROR(IF(INDEX(Documents!$C$5:$C$657,MATCH(H3868,Documents!$A$5:$A$657,0))="","",INDEX(Documents!$C$5:$C$657,MATCH(H3868,Documents!$A$5:$A$657,0))),"")</f>
        <v>2013</v>
      </c>
      <c r="J3868" s="25" t="str">
        <f aca="false">IFERROR(IF(INDEX(Documents!$D$5:$D$657,MATCH(H3868,Documents!$A$5:$A$657,0))="","",INDEX(Documents!$D$5:$D$657,MATCH(H3868,Documents!$A$5:$A$657,0))),"")</f>
        <v>Bioorg Med Chem Lett</v>
      </c>
      <c r="K3868" s="25" t="str">
        <f aca="false">IFERROR(IF(INDEX(Documents!$G$5:$G$657,MATCH(H3868,Documents!$A$5:$A$657,0))="","",INDEX(Documents!$G$5:$G$657,MATCH(H3868,Documents!$A$5:$A$657,0))),"")</f>
        <v>10.1016/j.bmcl.2013.02.025</v>
      </c>
      <c r="L3868" s="25" t="s">
        <v>5622</v>
      </c>
    </row>
    <row r="3869" customFormat="false" ht="15" hidden="false" customHeight="false" outlineLevel="0" collapsed="false">
      <c r="A3869" s="25" t="n">
        <v>22759091</v>
      </c>
      <c r="B3869" s="25" t="s">
        <v>8130</v>
      </c>
      <c r="C3869" s="25" t="s">
        <v>8131</v>
      </c>
      <c r="D3869" s="26" t="n">
        <v>110</v>
      </c>
      <c r="E3869" s="27" t="n">
        <v>6.95860731484178</v>
      </c>
      <c r="F3869" s="27" t="n">
        <v>6.95860731484178</v>
      </c>
      <c r="G3869" s="25" t="s">
        <v>8117</v>
      </c>
      <c r="H3869" s="25" t="s">
        <v>8118</v>
      </c>
      <c r="I3869" s="25" t="n">
        <f aca="false">IFERROR(IF(INDEX(Documents!$C$5:$C$657,MATCH(H3869,Documents!$A$5:$A$657,0))="","",INDEX(Documents!$C$5:$C$657,MATCH(H3869,Documents!$A$5:$A$657,0))),"")</f>
        <v>2020</v>
      </c>
      <c r="J3869" s="25" t="str">
        <f aca="false">IFERROR(IF(INDEX(Documents!$D$5:$D$657,MATCH(H3869,Documents!$A$5:$A$657,0))="","",INDEX(Documents!$D$5:$D$657,MATCH(H3869,Documents!$A$5:$A$657,0))),"")</f>
        <v>Bioorg Med Chem Lett</v>
      </c>
      <c r="K3869" s="25" t="str">
        <f aca="false">IFERROR(IF(INDEX(Documents!$G$5:$G$657,MATCH(H3869,Documents!$A$5:$A$657,0))="","",INDEX(Documents!$G$5:$G$657,MATCH(H3869,Documents!$A$5:$A$657,0))),"")</f>
        <v>10.1016/j.bmcl.2020.127501</v>
      </c>
      <c r="L3869" s="25" t="s">
        <v>8119</v>
      </c>
    </row>
    <row r="3870" customFormat="false" ht="15" hidden="false" customHeight="false" outlineLevel="0" collapsed="false">
      <c r="A3870" s="25" t="n">
        <v>12720260</v>
      </c>
      <c r="B3870" s="25" t="s">
        <v>8132</v>
      </c>
      <c r="C3870" s="25" t="s">
        <v>8133</v>
      </c>
      <c r="D3870" s="26" t="n">
        <v>333</v>
      </c>
      <c r="E3870" s="27" t="n">
        <v>6.47755576649368</v>
      </c>
      <c r="F3870" s="27" t="n">
        <v>6.47755576649368</v>
      </c>
      <c r="G3870" s="25" t="s">
        <v>5620</v>
      </c>
      <c r="H3870" s="25" t="s">
        <v>5621</v>
      </c>
      <c r="I3870" s="25" t="n">
        <f aca="false">IFERROR(IF(INDEX(Documents!$C$5:$C$657,MATCH(H3870,Documents!$A$5:$A$657,0))="","",INDEX(Documents!$C$5:$C$657,MATCH(H3870,Documents!$A$5:$A$657,0))),"")</f>
        <v>2013</v>
      </c>
      <c r="J3870" s="25" t="str">
        <f aca="false">IFERROR(IF(INDEX(Documents!$D$5:$D$657,MATCH(H3870,Documents!$A$5:$A$657,0))="","",INDEX(Documents!$D$5:$D$657,MATCH(H3870,Documents!$A$5:$A$657,0))),"")</f>
        <v>Bioorg Med Chem Lett</v>
      </c>
      <c r="K3870" s="25" t="str">
        <f aca="false">IFERROR(IF(INDEX(Documents!$G$5:$G$657,MATCH(H3870,Documents!$A$5:$A$657,0))="","",INDEX(Documents!$G$5:$G$657,MATCH(H3870,Documents!$A$5:$A$657,0))),"")</f>
        <v>10.1016/j.bmcl.2013.02.025</v>
      </c>
      <c r="L3870" s="25" t="s">
        <v>5622</v>
      </c>
    </row>
    <row r="3871" customFormat="false" ht="15" hidden="false" customHeight="false" outlineLevel="0" collapsed="false">
      <c r="A3871" s="25" t="n">
        <v>10979890</v>
      </c>
      <c r="B3871" s="25" t="s">
        <v>8134</v>
      </c>
      <c r="C3871" s="25" t="s">
        <v>8135</v>
      </c>
      <c r="D3871" s="26" t="n">
        <v>75600</v>
      </c>
      <c r="E3871" s="27" t="n">
        <v>4.12147820449879</v>
      </c>
      <c r="F3871" s="27" t="n">
        <v>4.12147820449879</v>
      </c>
      <c r="G3871" s="25" t="s">
        <v>631</v>
      </c>
      <c r="H3871" s="25" t="s">
        <v>632</v>
      </c>
      <c r="I3871" s="25" t="n">
        <f aca="false">IFERROR(IF(INDEX(Documents!$C$5:$C$657,MATCH(H3871,Documents!$A$5:$A$657,0))="","",INDEX(Documents!$C$5:$C$657,MATCH(H3871,Documents!$A$5:$A$657,0))),"")</f>
        <v>2012</v>
      </c>
      <c r="J3871" s="25" t="str">
        <f aca="false">IFERROR(IF(INDEX(Documents!$D$5:$D$657,MATCH(H3871,Documents!$A$5:$A$657,0))="","",INDEX(Documents!$D$5:$D$657,MATCH(H3871,Documents!$A$5:$A$657,0))),"")</f>
        <v>ACS Med Chem Lett</v>
      </c>
      <c r="K3871" s="25" t="str">
        <f aca="false">IFERROR(IF(INDEX(Documents!$G$5:$G$657,MATCH(H3871,Documents!$A$5:$A$657,0))="","",INDEX(Documents!$G$5:$G$657,MATCH(H3871,Documents!$A$5:$A$657,0))),"")</f>
        <v>10.1021/ml3000325</v>
      </c>
      <c r="L3871" s="25" t="s">
        <v>633</v>
      </c>
    </row>
    <row r="3872" customFormat="false" ht="15" hidden="false" customHeight="false" outlineLevel="0" collapsed="false">
      <c r="A3872" s="25" t="n">
        <v>3111463</v>
      </c>
      <c r="B3872" s="25" t="s">
        <v>8136</v>
      </c>
      <c r="C3872" s="25" t="s">
        <v>8137</v>
      </c>
      <c r="D3872" s="26" t="n">
        <v>574</v>
      </c>
      <c r="E3872" s="27" t="n">
        <v>6.24108810760203</v>
      </c>
      <c r="F3872" s="27" t="n">
        <v>6.24108810760203</v>
      </c>
      <c r="G3872" s="25" t="s">
        <v>1040</v>
      </c>
      <c r="H3872" s="25" t="s">
        <v>1041</v>
      </c>
      <c r="I3872" s="25" t="n">
        <f aca="false">IFERROR(IF(INDEX(Documents!$C$5:$C$657,MATCH(H3872,Documents!$A$5:$A$657,0))="","",INDEX(Documents!$C$5:$C$657,MATCH(H3872,Documents!$A$5:$A$657,0))),"")</f>
        <v>2010</v>
      </c>
      <c r="J3872" s="25" t="str">
        <f aca="false">IFERROR(IF(INDEX(Documents!$D$5:$D$657,MATCH(H3872,Documents!$A$5:$A$657,0))="","",INDEX(Documents!$D$5:$D$657,MATCH(H3872,Documents!$A$5:$A$657,0))),"")</f>
        <v>Bioorg Med Chem Lett</v>
      </c>
      <c r="K3872" s="25" t="str">
        <f aca="false">IFERROR(IF(INDEX(Documents!$G$5:$G$657,MATCH(H3872,Documents!$A$5:$A$657,0))="","",INDEX(Documents!$G$5:$G$657,MATCH(H3872,Documents!$A$5:$A$657,0))),"")</f>
        <v>10.1016/j.bmcl.2009.11.075</v>
      </c>
      <c r="L3872" s="25" t="s">
        <v>515</v>
      </c>
    </row>
    <row r="3873" customFormat="false" ht="15" hidden="false" customHeight="false" outlineLevel="0" collapsed="false">
      <c r="A3873" s="25" t="n">
        <v>18673899</v>
      </c>
      <c r="B3873" s="25" t="s">
        <v>8138</v>
      </c>
      <c r="C3873" s="25" t="s">
        <v>8139</v>
      </c>
      <c r="D3873" s="26" t="n">
        <v>2300</v>
      </c>
      <c r="E3873" s="27" t="n">
        <v>5.63827216398241</v>
      </c>
      <c r="F3873" s="27" t="n">
        <v>5.63827216398241</v>
      </c>
      <c r="G3873" s="25" t="s">
        <v>664</v>
      </c>
      <c r="H3873" s="25" t="s">
        <v>665</v>
      </c>
      <c r="I3873" s="25" t="n">
        <f aca="false">IFERROR(IF(INDEX(Documents!$C$5:$C$657,MATCH(H3873,Documents!$A$5:$A$657,0))="","",INDEX(Documents!$C$5:$C$657,MATCH(H3873,Documents!$A$5:$A$657,0))),"")</f>
        <v>2018</v>
      </c>
      <c r="J3873" s="25" t="str">
        <f aca="false">IFERROR(IF(INDEX(Documents!$D$5:$D$657,MATCH(H3873,Documents!$A$5:$A$657,0))="","",INDEX(Documents!$D$5:$D$657,MATCH(H3873,Documents!$A$5:$A$657,0))),"")</f>
        <v>Bioorg Med Chem</v>
      </c>
      <c r="K3873" s="25" t="str">
        <f aca="false">IFERROR(IF(INDEX(Documents!$G$5:$G$657,MATCH(H3873,Documents!$A$5:$A$657,0))="","",INDEX(Documents!$G$5:$G$657,MATCH(H3873,Documents!$A$5:$A$657,0))),"")</f>
        <v>10.1016/j.bmc.2018.07.043</v>
      </c>
      <c r="L3873" s="25" t="s">
        <v>666</v>
      </c>
    </row>
    <row r="3874" customFormat="false" ht="15" hidden="false" customHeight="false" outlineLevel="0" collapsed="false">
      <c r="A3874" s="25" t="n">
        <v>18673904</v>
      </c>
      <c r="B3874" s="25" t="s">
        <v>8140</v>
      </c>
      <c r="C3874" s="25" t="s">
        <v>8141</v>
      </c>
      <c r="D3874" s="26" t="n">
        <v>91</v>
      </c>
      <c r="E3874" s="27" t="n">
        <v>7.04095860767891</v>
      </c>
      <c r="F3874" s="27" t="n">
        <v>7.04095860767891</v>
      </c>
      <c r="G3874" s="25" t="s">
        <v>664</v>
      </c>
      <c r="H3874" s="25" t="s">
        <v>665</v>
      </c>
      <c r="I3874" s="25" t="n">
        <f aca="false">IFERROR(IF(INDEX(Documents!$C$5:$C$657,MATCH(H3874,Documents!$A$5:$A$657,0))="","",INDEX(Documents!$C$5:$C$657,MATCH(H3874,Documents!$A$5:$A$657,0))),"")</f>
        <v>2018</v>
      </c>
      <c r="J3874" s="25" t="str">
        <f aca="false">IFERROR(IF(INDEX(Documents!$D$5:$D$657,MATCH(H3874,Documents!$A$5:$A$657,0))="","",INDEX(Documents!$D$5:$D$657,MATCH(H3874,Documents!$A$5:$A$657,0))),"")</f>
        <v>Bioorg Med Chem</v>
      </c>
      <c r="K3874" s="25" t="str">
        <f aca="false">IFERROR(IF(INDEX(Documents!$G$5:$G$657,MATCH(H3874,Documents!$A$5:$A$657,0))="","",INDEX(Documents!$G$5:$G$657,MATCH(H3874,Documents!$A$5:$A$657,0))),"")</f>
        <v>10.1016/j.bmc.2018.07.043</v>
      </c>
      <c r="L3874" s="25" t="s">
        <v>666</v>
      </c>
    </row>
    <row r="3875" customFormat="false" ht="15" hidden="false" customHeight="false" outlineLevel="0" collapsed="false">
      <c r="A3875" s="25" t="n">
        <v>18673905</v>
      </c>
      <c r="B3875" s="25" t="s">
        <v>8142</v>
      </c>
      <c r="C3875" s="25" t="s">
        <v>8143</v>
      </c>
      <c r="D3875" s="26" t="n">
        <v>3000</v>
      </c>
      <c r="E3875" s="27" t="n">
        <v>5.52287874528034</v>
      </c>
      <c r="F3875" s="27" t="n">
        <v>5.52287874528034</v>
      </c>
      <c r="G3875" s="25" t="s">
        <v>664</v>
      </c>
      <c r="H3875" s="25" t="s">
        <v>665</v>
      </c>
      <c r="I3875" s="25" t="n">
        <f aca="false">IFERROR(IF(INDEX(Documents!$C$5:$C$657,MATCH(H3875,Documents!$A$5:$A$657,0))="","",INDEX(Documents!$C$5:$C$657,MATCH(H3875,Documents!$A$5:$A$657,0))),"")</f>
        <v>2018</v>
      </c>
      <c r="J3875" s="25" t="str">
        <f aca="false">IFERROR(IF(INDEX(Documents!$D$5:$D$657,MATCH(H3875,Documents!$A$5:$A$657,0))="","",INDEX(Documents!$D$5:$D$657,MATCH(H3875,Documents!$A$5:$A$657,0))),"")</f>
        <v>Bioorg Med Chem</v>
      </c>
      <c r="K3875" s="25" t="str">
        <f aca="false">IFERROR(IF(INDEX(Documents!$G$5:$G$657,MATCH(H3875,Documents!$A$5:$A$657,0))="","",INDEX(Documents!$G$5:$G$657,MATCH(H3875,Documents!$A$5:$A$657,0))),"")</f>
        <v>10.1016/j.bmc.2018.07.043</v>
      </c>
      <c r="L3875" s="25" t="s">
        <v>666</v>
      </c>
    </row>
    <row r="3876" customFormat="false" ht="15" hidden="false" customHeight="false" outlineLevel="0" collapsed="false">
      <c r="A3876" s="25" t="n">
        <v>18673901</v>
      </c>
      <c r="B3876" s="25" t="s">
        <v>8144</v>
      </c>
      <c r="C3876" s="25" t="s">
        <v>8145</v>
      </c>
      <c r="D3876" s="26" t="n">
        <v>500</v>
      </c>
      <c r="E3876" s="27" t="n">
        <v>6.30102999566398</v>
      </c>
      <c r="F3876" s="27" t="n">
        <v>6.30102999566398</v>
      </c>
      <c r="G3876" s="25" t="s">
        <v>664</v>
      </c>
      <c r="H3876" s="25" t="s">
        <v>665</v>
      </c>
      <c r="I3876" s="25" t="n">
        <f aca="false">IFERROR(IF(INDEX(Documents!$C$5:$C$657,MATCH(H3876,Documents!$A$5:$A$657,0))="","",INDEX(Documents!$C$5:$C$657,MATCH(H3876,Documents!$A$5:$A$657,0))),"")</f>
        <v>2018</v>
      </c>
      <c r="J3876" s="25" t="str">
        <f aca="false">IFERROR(IF(INDEX(Documents!$D$5:$D$657,MATCH(H3876,Documents!$A$5:$A$657,0))="","",INDEX(Documents!$D$5:$D$657,MATCH(H3876,Documents!$A$5:$A$657,0))),"")</f>
        <v>Bioorg Med Chem</v>
      </c>
      <c r="K3876" s="25" t="str">
        <f aca="false">IFERROR(IF(INDEX(Documents!$G$5:$G$657,MATCH(H3876,Documents!$A$5:$A$657,0))="","",INDEX(Documents!$G$5:$G$657,MATCH(H3876,Documents!$A$5:$A$657,0))),"")</f>
        <v>10.1016/j.bmc.2018.07.043</v>
      </c>
      <c r="L3876" s="25" t="s">
        <v>666</v>
      </c>
    </row>
    <row r="3877" customFormat="false" ht="15" hidden="false" customHeight="false" outlineLevel="0" collapsed="false">
      <c r="A3877" s="25" t="n">
        <v>19180489</v>
      </c>
      <c r="B3877" s="25" t="s">
        <v>8146</v>
      </c>
      <c r="C3877" s="25" t="s">
        <v>8147</v>
      </c>
      <c r="D3877" s="26" t="n">
        <v>420</v>
      </c>
      <c r="E3877" s="27" t="n">
        <v>6.3767507096021</v>
      </c>
      <c r="F3877" s="27" t="n">
        <v>6.3767507096021</v>
      </c>
      <c r="G3877" s="25" t="s">
        <v>669</v>
      </c>
      <c r="H3877" s="25" t="s">
        <v>670</v>
      </c>
      <c r="I3877" s="25" t="n">
        <f aca="false">IFERROR(IF(INDEX(Documents!$C$5:$C$657,MATCH(H3877,Documents!$A$5:$A$657,0))="","",INDEX(Documents!$C$5:$C$657,MATCH(H3877,Documents!$A$5:$A$657,0))),"")</f>
        <v>2019</v>
      </c>
      <c r="J3877" s="25" t="str">
        <f aca="false">IFERROR(IF(INDEX(Documents!$D$5:$D$657,MATCH(H3877,Documents!$A$5:$A$657,0))="","",INDEX(Documents!$D$5:$D$657,MATCH(H3877,Documents!$A$5:$A$657,0))),"")</f>
        <v>Bioorg Med Chem</v>
      </c>
      <c r="K3877" s="25" t="str">
        <f aca="false">IFERROR(IF(INDEX(Documents!$G$5:$G$657,MATCH(H3877,Documents!$A$5:$A$657,0))="","",INDEX(Documents!$G$5:$G$657,MATCH(H3877,Documents!$A$5:$A$657,0))),"")</f>
        <v>10.1016/j.bmc.2019.07.002</v>
      </c>
      <c r="L3877" s="25" t="s">
        <v>671</v>
      </c>
    </row>
    <row r="3878" customFormat="false" ht="15" hidden="false" customHeight="false" outlineLevel="0" collapsed="false">
      <c r="A3878" s="25" t="n">
        <v>5205790</v>
      </c>
      <c r="B3878" s="25" t="s">
        <v>8148</v>
      </c>
      <c r="C3878" s="25" t="s">
        <v>8149</v>
      </c>
      <c r="D3878" s="26" t="n">
        <v>4.266</v>
      </c>
      <c r="E3878" s="27" t="n">
        <v>8.36997914888659</v>
      </c>
      <c r="F3878" s="27" t="n">
        <v>8.36997914888659</v>
      </c>
      <c r="G3878" s="25" t="s">
        <v>461</v>
      </c>
      <c r="H3878" s="25" t="s">
        <v>462</v>
      </c>
      <c r="I3878" s="25" t="n">
        <f aca="false">IFERROR(IF(INDEX(Documents!$C$5:$C$657,MATCH(H3878,Documents!$A$5:$A$657,0))="","",INDEX(Documents!$C$5:$C$657,MATCH(H3878,Documents!$A$5:$A$657,0))),"")</f>
        <v>2011</v>
      </c>
      <c r="J3878" s="25" t="str">
        <f aca="false">IFERROR(IF(INDEX(Documents!$D$5:$D$657,MATCH(H3878,Documents!$A$5:$A$657,0))="","",INDEX(Documents!$D$5:$D$657,MATCH(H3878,Documents!$A$5:$A$657,0))),"")</f>
        <v>Eur J Med Chem</v>
      </c>
      <c r="K3878" s="25" t="str">
        <f aca="false">IFERROR(IF(INDEX(Documents!$G$5:$G$657,MATCH(H3878,Documents!$A$5:$A$657,0))="","",INDEX(Documents!$G$5:$G$657,MATCH(H3878,Documents!$A$5:$A$657,0))),"")</f>
        <v>10.1016/j.ejmech.2010.11.034</v>
      </c>
      <c r="L3878" s="25" t="s">
        <v>463</v>
      </c>
    </row>
    <row r="3879" customFormat="false" ht="15" hidden="false" customHeight="false" outlineLevel="0" collapsed="false">
      <c r="A3879" s="25" t="n">
        <v>27788228</v>
      </c>
      <c r="B3879" s="25" t="s">
        <v>8150</v>
      </c>
      <c r="C3879" s="25" t="s">
        <v>8151</v>
      </c>
      <c r="D3879" s="26" t="n">
        <v>630</v>
      </c>
      <c r="E3879" s="27" t="n">
        <v>6.20065945054642</v>
      </c>
      <c r="F3879" s="27" t="n">
        <v>6.20065945054642</v>
      </c>
      <c r="G3879" s="25" t="s">
        <v>310</v>
      </c>
      <c r="H3879" s="25" t="s">
        <v>311</v>
      </c>
      <c r="I3879" s="25" t="n">
        <f aca="false">IFERROR(IF(INDEX(Documents!$C$5:$C$657,MATCH(H3879,Documents!$A$5:$A$657,0))="","",INDEX(Documents!$C$5:$C$657,MATCH(H3879,Documents!$A$5:$A$657,0))),"")</f>
        <v>2019</v>
      </c>
      <c r="J3879" s="25" t="str">
        <f aca="false">IFERROR(IF(INDEX(Documents!$D$5:$D$657,MATCH(H3879,Documents!$A$5:$A$657,0))="","",INDEX(Documents!$D$5:$D$657,MATCH(H3879,Documents!$A$5:$A$657,0))),"")</f>
        <v/>
      </c>
      <c r="K3879" s="25" t="str">
        <f aca="false">IFERROR(IF(INDEX(Documents!$G$5:$G$657,MATCH(H3879,Documents!$A$5:$A$657,0))="","",INDEX(Documents!$G$5:$G$657,MATCH(H3879,Documents!$A$5:$A$657,0))),"")</f>
        <v/>
      </c>
      <c r="L3879" s="25" t="s">
        <v>312</v>
      </c>
    </row>
    <row r="3880" customFormat="false" ht="15" hidden="false" customHeight="false" outlineLevel="0" collapsed="false">
      <c r="A3880" s="25" t="n">
        <v>27788216</v>
      </c>
      <c r="B3880" s="25" t="s">
        <v>8152</v>
      </c>
      <c r="C3880" s="25" t="s">
        <v>8153</v>
      </c>
      <c r="D3880" s="26" t="n">
        <v>1127</v>
      </c>
      <c r="E3880" s="27" t="n">
        <v>5.94807608395389</v>
      </c>
      <c r="F3880" s="27" t="n">
        <v>5.94807608395389</v>
      </c>
      <c r="G3880" s="25" t="s">
        <v>310</v>
      </c>
      <c r="H3880" s="25" t="s">
        <v>311</v>
      </c>
      <c r="I3880" s="25" t="n">
        <f aca="false">IFERROR(IF(INDEX(Documents!$C$5:$C$657,MATCH(H3880,Documents!$A$5:$A$657,0))="","",INDEX(Documents!$C$5:$C$657,MATCH(H3880,Documents!$A$5:$A$657,0))),"")</f>
        <v>2019</v>
      </c>
      <c r="J3880" s="25" t="str">
        <f aca="false">IFERROR(IF(INDEX(Documents!$D$5:$D$657,MATCH(H3880,Documents!$A$5:$A$657,0))="","",INDEX(Documents!$D$5:$D$657,MATCH(H3880,Documents!$A$5:$A$657,0))),"")</f>
        <v/>
      </c>
      <c r="K3880" s="25" t="str">
        <f aca="false">IFERROR(IF(INDEX(Documents!$G$5:$G$657,MATCH(H3880,Documents!$A$5:$A$657,0))="","",INDEX(Documents!$G$5:$G$657,MATCH(H3880,Documents!$A$5:$A$657,0))),"")</f>
        <v/>
      </c>
      <c r="L3880" s="25" t="s">
        <v>312</v>
      </c>
    </row>
    <row r="3881" customFormat="false" ht="15" hidden="false" customHeight="false" outlineLevel="0" collapsed="false">
      <c r="A3881" s="25" t="n">
        <v>19180492</v>
      </c>
      <c r="B3881" s="25" t="s">
        <v>8154</v>
      </c>
      <c r="C3881" s="25" t="s">
        <v>8155</v>
      </c>
      <c r="D3881" s="26" t="n">
        <v>330</v>
      </c>
      <c r="E3881" s="27" t="n">
        <v>6.48148606012211</v>
      </c>
      <c r="F3881" s="27" t="n">
        <v>6.48148606012211</v>
      </c>
      <c r="G3881" s="25" t="s">
        <v>669</v>
      </c>
      <c r="H3881" s="25" t="s">
        <v>670</v>
      </c>
      <c r="I3881" s="25" t="n">
        <f aca="false">IFERROR(IF(INDEX(Documents!$C$5:$C$657,MATCH(H3881,Documents!$A$5:$A$657,0))="","",INDEX(Documents!$C$5:$C$657,MATCH(H3881,Documents!$A$5:$A$657,0))),"")</f>
        <v>2019</v>
      </c>
      <c r="J3881" s="25" t="str">
        <f aca="false">IFERROR(IF(INDEX(Documents!$D$5:$D$657,MATCH(H3881,Documents!$A$5:$A$657,0))="","",INDEX(Documents!$D$5:$D$657,MATCH(H3881,Documents!$A$5:$A$657,0))),"")</f>
        <v>Bioorg Med Chem</v>
      </c>
      <c r="K3881" s="25" t="str">
        <f aca="false">IFERROR(IF(INDEX(Documents!$G$5:$G$657,MATCH(H3881,Documents!$A$5:$A$657,0))="","",INDEX(Documents!$G$5:$G$657,MATCH(H3881,Documents!$A$5:$A$657,0))),"")</f>
        <v>10.1016/j.bmc.2019.07.002</v>
      </c>
      <c r="L3881" s="25" t="s">
        <v>671</v>
      </c>
    </row>
    <row r="3882" customFormat="false" ht="15" hidden="false" customHeight="false" outlineLevel="0" collapsed="false">
      <c r="A3882" s="25" t="n">
        <v>3111432</v>
      </c>
      <c r="B3882" s="25" t="s">
        <v>8156</v>
      </c>
      <c r="C3882" s="25" t="s">
        <v>8157</v>
      </c>
      <c r="D3882" s="26" t="n">
        <v>368</v>
      </c>
      <c r="E3882" s="27" t="n">
        <v>6.43415218132648</v>
      </c>
      <c r="F3882" s="27" t="n">
        <v>6.43415218132648</v>
      </c>
      <c r="G3882" s="25" t="s">
        <v>1040</v>
      </c>
      <c r="H3882" s="25" t="s">
        <v>1041</v>
      </c>
      <c r="I3882" s="25" t="n">
        <f aca="false">IFERROR(IF(INDEX(Documents!$C$5:$C$657,MATCH(H3882,Documents!$A$5:$A$657,0))="","",INDEX(Documents!$C$5:$C$657,MATCH(H3882,Documents!$A$5:$A$657,0))),"")</f>
        <v>2010</v>
      </c>
      <c r="J3882" s="25" t="str">
        <f aca="false">IFERROR(IF(INDEX(Documents!$D$5:$D$657,MATCH(H3882,Documents!$A$5:$A$657,0))="","",INDEX(Documents!$D$5:$D$657,MATCH(H3882,Documents!$A$5:$A$657,0))),"")</f>
        <v>Bioorg Med Chem Lett</v>
      </c>
      <c r="K3882" s="25" t="str">
        <f aca="false">IFERROR(IF(INDEX(Documents!$G$5:$G$657,MATCH(H3882,Documents!$A$5:$A$657,0))="","",INDEX(Documents!$G$5:$G$657,MATCH(H3882,Documents!$A$5:$A$657,0))),"")</f>
        <v>10.1016/j.bmcl.2009.11.075</v>
      </c>
      <c r="L3882" s="25" t="s">
        <v>515</v>
      </c>
    </row>
    <row r="3883" customFormat="false" ht="15" hidden="false" customHeight="false" outlineLevel="0" collapsed="false">
      <c r="A3883" s="25" t="n">
        <v>19180495</v>
      </c>
      <c r="B3883" s="25" t="s">
        <v>8158</v>
      </c>
      <c r="C3883" s="25" t="s">
        <v>8159</v>
      </c>
      <c r="D3883" s="26" t="n">
        <v>400</v>
      </c>
      <c r="E3883" s="27" t="n">
        <v>6.39794000867204</v>
      </c>
      <c r="F3883" s="27" t="n">
        <v>6.39794000867204</v>
      </c>
      <c r="G3883" s="25" t="s">
        <v>669</v>
      </c>
      <c r="H3883" s="25" t="s">
        <v>670</v>
      </c>
      <c r="I3883" s="25" t="n">
        <f aca="false">IFERROR(IF(INDEX(Documents!$C$5:$C$657,MATCH(H3883,Documents!$A$5:$A$657,0))="","",INDEX(Documents!$C$5:$C$657,MATCH(H3883,Documents!$A$5:$A$657,0))),"")</f>
        <v>2019</v>
      </c>
      <c r="J3883" s="25" t="str">
        <f aca="false">IFERROR(IF(INDEX(Documents!$D$5:$D$657,MATCH(H3883,Documents!$A$5:$A$657,0))="","",INDEX(Documents!$D$5:$D$657,MATCH(H3883,Documents!$A$5:$A$657,0))),"")</f>
        <v>Bioorg Med Chem</v>
      </c>
      <c r="K3883" s="25" t="str">
        <f aca="false">IFERROR(IF(INDEX(Documents!$G$5:$G$657,MATCH(H3883,Documents!$A$5:$A$657,0))="","",INDEX(Documents!$G$5:$G$657,MATCH(H3883,Documents!$A$5:$A$657,0))),"")</f>
        <v>10.1016/j.bmc.2019.07.002</v>
      </c>
      <c r="L3883" s="25" t="s">
        <v>671</v>
      </c>
    </row>
    <row r="3884" customFormat="false" ht="15" hidden="false" customHeight="false" outlineLevel="0" collapsed="false">
      <c r="A3884" s="25" t="n">
        <v>13474011</v>
      </c>
      <c r="B3884" s="25" t="s">
        <v>8160</v>
      </c>
      <c r="C3884" s="25" t="s">
        <v>8161</v>
      </c>
      <c r="D3884" s="26" t="n">
        <v>4501</v>
      </c>
      <c r="E3884" s="27" t="n">
        <v>5.34669098706152</v>
      </c>
      <c r="F3884" s="27" t="n">
        <v>5.34669098706152</v>
      </c>
      <c r="G3884" s="25" t="s">
        <v>1033</v>
      </c>
      <c r="H3884" s="25" t="s">
        <v>1034</v>
      </c>
      <c r="I3884" s="25" t="n">
        <f aca="false">IFERROR(IF(INDEX(Documents!$C$5:$C$657,MATCH(H3884,Documents!$A$5:$A$657,0))="","",INDEX(Documents!$C$5:$C$657,MATCH(H3884,Documents!$A$5:$A$657,0))),"")</f>
        <v>2013</v>
      </c>
      <c r="J3884" s="25" t="str">
        <f aca="false">IFERROR(IF(INDEX(Documents!$D$5:$D$657,MATCH(H3884,Documents!$A$5:$A$657,0))="","",INDEX(Documents!$D$5:$D$657,MATCH(H3884,Documents!$A$5:$A$657,0))),"")</f>
        <v>J Med Chem</v>
      </c>
      <c r="K3884" s="25" t="str">
        <f aca="false">IFERROR(IF(INDEX(Documents!$G$5:$G$657,MATCH(H3884,Documents!$A$5:$A$657,0))="","",INDEX(Documents!$G$5:$G$657,MATCH(H3884,Documents!$A$5:$A$657,0))),"")</f>
        <v>10.1021/jm401129n</v>
      </c>
      <c r="L3884" s="25" t="s">
        <v>1035</v>
      </c>
    </row>
    <row r="3885" customFormat="false" ht="15" hidden="false" customHeight="false" outlineLevel="0" collapsed="false">
      <c r="A3885" s="25" t="n">
        <v>19180497</v>
      </c>
      <c r="B3885" s="25" t="s">
        <v>8162</v>
      </c>
      <c r="C3885" s="25" t="s">
        <v>8163</v>
      </c>
      <c r="D3885" s="26" t="n">
        <v>9000</v>
      </c>
      <c r="E3885" s="27" t="n">
        <v>5.04575749056068</v>
      </c>
      <c r="F3885" s="27" t="n">
        <v>5.04575749056068</v>
      </c>
      <c r="G3885" s="25" t="s">
        <v>669</v>
      </c>
      <c r="H3885" s="25" t="s">
        <v>670</v>
      </c>
      <c r="I3885" s="25" t="n">
        <f aca="false">IFERROR(IF(INDEX(Documents!$C$5:$C$657,MATCH(H3885,Documents!$A$5:$A$657,0))="","",INDEX(Documents!$C$5:$C$657,MATCH(H3885,Documents!$A$5:$A$657,0))),"")</f>
        <v>2019</v>
      </c>
      <c r="J3885" s="25" t="str">
        <f aca="false">IFERROR(IF(INDEX(Documents!$D$5:$D$657,MATCH(H3885,Documents!$A$5:$A$657,0))="","",INDEX(Documents!$D$5:$D$657,MATCH(H3885,Documents!$A$5:$A$657,0))),"")</f>
        <v>Bioorg Med Chem</v>
      </c>
      <c r="K3885" s="25" t="str">
        <f aca="false">IFERROR(IF(INDEX(Documents!$G$5:$G$657,MATCH(H3885,Documents!$A$5:$A$657,0))="","",INDEX(Documents!$G$5:$G$657,MATCH(H3885,Documents!$A$5:$A$657,0))),"")</f>
        <v>10.1016/j.bmc.2019.07.002</v>
      </c>
      <c r="L3885" s="25" t="s">
        <v>671</v>
      </c>
    </row>
    <row r="3886" customFormat="false" ht="15" hidden="false" customHeight="false" outlineLevel="0" collapsed="false">
      <c r="A3886" s="25" t="n">
        <v>12136182</v>
      </c>
      <c r="B3886" s="25" t="s">
        <v>8164</v>
      </c>
      <c r="C3886" s="25" t="s">
        <v>8165</v>
      </c>
      <c r="D3886" s="26" t="n">
        <v>5865</v>
      </c>
      <c r="E3886" s="27" t="n">
        <v>5.23173198354845</v>
      </c>
      <c r="F3886" s="27" t="n">
        <v>5.23173198354845</v>
      </c>
      <c r="G3886" s="25" t="s">
        <v>718</v>
      </c>
      <c r="H3886" s="25" t="s">
        <v>719</v>
      </c>
      <c r="I3886" s="25" t="n">
        <f aca="false">IFERROR(IF(INDEX(Documents!$C$5:$C$657,MATCH(H3886,Documents!$A$5:$A$657,0))="","",INDEX(Documents!$C$5:$C$657,MATCH(H3886,Documents!$A$5:$A$657,0))),"")</f>
        <v>2012</v>
      </c>
      <c r="J3886" s="25" t="str">
        <f aca="false">IFERROR(IF(INDEX(Documents!$D$5:$D$657,MATCH(H3886,Documents!$A$5:$A$657,0))="","",INDEX(Documents!$D$5:$D$657,MATCH(H3886,Documents!$A$5:$A$657,0))),"")</f>
        <v>J Med Chem</v>
      </c>
      <c r="K3886" s="25" t="str">
        <f aca="false">IFERROR(IF(INDEX(Documents!$G$5:$G$657,MATCH(H3886,Documents!$A$5:$A$657,0))="","",INDEX(Documents!$G$5:$G$657,MATCH(H3886,Documents!$A$5:$A$657,0))),"")</f>
        <v>10.1021/jm301181r</v>
      </c>
      <c r="L3886" s="25" t="s">
        <v>720</v>
      </c>
    </row>
    <row r="3887" customFormat="false" ht="15" hidden="false" customHeight="false" outlineLevel="0" collapsed="false">
      <c r="A3887" s="25" t="n">
        <v>19180493</v>
      </c>
      <c r="B3887" s="25" t="s">
        <v>8166</v>
      </c>
      <c r="C3887" s="25" t="s">
        <v>8167</v>
      </c>
      <c r="D3887" s="26" t="n">
        <v>8500</v>
      </c>
      <c r="E3887" s="27" t="n">
        <v>5.07058107428571</v>
      </c>
      <c r="F3887" s="27" t="n">
        <v>5.07058107428571</v>
      </c>
      <c r="G3887" s="25" t="s">
        <v>669</v>
      </c>
      <c r="H3887" s="25" t="s">
        <v>670</v>
      </c>
      <c r="I3887" s="25" t="n">
        <f aca="false">IFERROR(IF(INDEX(Documents!$C$5:$C$657,MATCH(H3887,Documents!$A$5:$A$657,0))="","",INDEX(Documents!$C$5:$C$657,MATCH(H3887,Documents!$A$5:$A$657,0))),"")</f>
        <v>2019</v>
      </c>
      <c r="J3887" s="25" t="str">
        <f aca="false">IFERROR(IF(INDEX(Documents!$D$5:$D$657,MATCH(H3887,Documents!$A$5:$A$657,0))="","",INDEX(Documents!$D$5:$D$657,MATCH(H3887,Documents!$A$5:$A$657,0))),"")</f>
        <v>Bioorg Med Chem</v>
      </c>
      <c r="K3887" s="25" t="str">
        <f aca="false">IFERROR(IF(INDEX(Documents!$G$5:$G$657,MATCH(H3887,Documents!$A$5:$A$657,0))="","",INDEX(Documents!$G$5:$G$657,MATCH(H3887,Documents!$A$5:$A$657,0))),"")</f>
        <v>10.1016/j.bmc.2019.07.002</v>
      </c>
      <c r="L3887" s="25" t="s">
        <v>671</v>
      </c>
    </row>
    <row r="3888" customFormat="false" ht="15" hidden="false" customHeight="false" outlineLevel="0" collapsed="false">
      <c r="A3888" s="25" t="n">
        <v>19180501</v>
      </c>
      <c r="B3888" s="25" t="s">
        <v>8168</v>
      </c>
      <c r="C3888" s="25" t="s">
        <v>8169</v>
      </c>
      <c r="D3888" s="26" t="n">
        <v>860</v>
      </c>
      <c r="E3888" s="27" t="n">
        <v>6.06550154875643</v>
      </c>
      <c r="F3888" s="27" t="n">
        <v>6.06550154875643</v>
      </c>
      <c r="G3888" s="25" t="s">
        <v>669</v>
      </c>
      <c r="H3888" s="25" t="s">
        <v>670</v>
      </c>
      <c r="I3888" s="25" t="n">
        <f aca="false">IFERROR(IF(INDEX(Documents!$C$5:$C$657,MATCH(H3888,Documents!$A$5:$A$657,0))="","",INDEX(Documents!$C$5:$C$657,MATCH(H3888,Documents!$A$5:$A$657,0))),"")</f>
        <v>2019</v>
      </c>
      <c r="J3888" s="25" t="str">
        <f aca="false">IFERROR(IF(INDEX(Documents!$D$5:$D$657,MATCH(H3888,Documents!$A$5:$A$657,0))="","",INDEX(Documents!$D$5:$D$657,MATCH(H3888,Documents!$A$5:$A$657,0))),"")</f>
        <v>Bioorg Med Chem</v>
      </c>
      <c r="K3888" s="25" t="str">
        <f aca="false">IFERROR(IF(INDEX(Documents!$G$5:$G$657,MATCH(H3888,Documents!$A$5:$A$657,0))="","",INDEX(Documents!$G$5:$G$657,MATCH(H3888,Documents!$A$5:$A$657,0))),"")</f>
        <v>10.1016/j.bmc.2019.07.002</v>
      </c>
      <c r="L3888" s="25" t="s">
        <v>671</v>
      </c>
    </row>
    <row r="3889" customFormat="false" ht="15" hidden="false" customHeight="false" outlineLevel="0" collapsed="false">
      <c r="A3889" s="25" t="n">
        <v>19180496</v>
      </c>
      <c r="B3889" s="25" t="s">
        <v>8170</v>
      </c>
      <c r="C3889" s="25" t="s">
        <v>8171</v>
      </c>
      <c r="D3889" s="26" t="n">
        <v>190</v>
      </c>
      <c r="E3889" s="27" t="n">
        <v>6.72124639904717</v>
      </c>
      <c r="F3889" s="27" t="n">
        <v>6.72124639904717</v>
      </c>
      <c r="G3889" s="25" t="s">
        <v>669</v>
      </c>
      <c r="H3889" s="25" t="s">
        <v>670</v>
      </c>
      <c r="I3889" s="25" t="n">
        <f aca="false">IFERROR(IF(INDEX(Documents!$C$5:$C$657,MATCH(H3889,Documents!$A$5:$A$657,0))="","",INDEX(Documents!$C$5:$C$657,MATCH(H3889,Documents!$A$5:$A$657,0))),"")</f>
        <v>2019</v>
      </c>
      <c r="J3889" s="25" t="str">
        <f aca="false">IFERROR(IF(INDEX(Documents!$D$5:$D$657,MATCH(H3889,Documents!$A$5:$A$657,0))="","",INDEX(Documents!$D$5:$D$657,MATCH(H3889,Documents!$A$5:$A$657,0))),"")</f>
        <v>Bioorg Med Chem</v>
      </c>
      <c r="K3889" s="25" t="str">
        <f aca="false">IFERROR(IF(INDEX(Documents!$G$5:$G$657,MATCH(H3889,Documents!$A$5:$A$657,0))="","",INDEX(Documents!$G$5:$G$657,MATCH(H3889,Documents!$A$5:$A$657,0))),"")</f>
        <v>10.1016/j.bmc.2019.07.002</v>
      </c>
      <c r="L3889" s="25" t="s">
        <v>671</v>
      </c>
    </row>
    <row r="3890" customFormat="false" ht="15" hidden="false" customHeight="false" outlineLevel="0" collapsed="false">
      <c r="A3890" s="25" t="n">
        <v>3089211</v>
      </c>
      <c r="B3890" s="25" t="s">
        <v>8172</v>
      </c>
      <c r="C3890" s="25" t="s">
        <v>8173</v>
      </c>
      <c r="D3890" s="26" t="n">
        <v>180</v>
      </c>
      <c r="E3890" s="27" t="n">
        <v>6.74472749489669</v>
      </c>
      <c r="F3890" s="27" t="n">
        <v>6.74472749489669</v>
      </c>
      <c r="G3890" s="25" t="s">
        <v>534</v>
      </c>
      <c r="H3890" s="25" t="s">
        <v>535</v>
      </c>
      <c r="I3890" s="25" t="n">
        <f aca="false">IFERROR(IF(INDEX(Documents!$C$5:$C$657,MATCH(H3890,Documents!$A$5:$A$657,0))="","",INDEX(Documents!$C$5:$C$657,MATCH(H3890,Documents!$A$5:$A$657,0))),"")</f>
        <v>2010</v>
      </c>
      <c r="J3890" s="25" t="str">
        <f aca="false">IFERROR(IF(INDEX(Documents!$D$5:$D$657,MATCH(H3890,Documents!$A$5:$A$657,0))="","",INDEX(Documents!$D$5:$D$657,MATCH(H3890,Documents!$A$5:$A$657,0))),"")</f>
        <v>Bioorg Med Chem Lett</v>
      </c>
      <c r="K3890" s="25" t="str">
        <f aca="false">IFERROR(IF(INDEX(Documents!$G$5:$G$657,MATCH(H3890,Documents!$A$5:$A$657,0))="","",INDEX(Documents!$G$5:$G$657,MATCH(H3890,Documents!$A$5:$A$657,0))),"")</f>
        <v>10.1016/j.bmcl.2009.11.084</v>
      </c>
      <c r="L3890" s="25" t="s">
        <v>515</v>
      </c>
    </row>
    <row r="3891" customFormat="false" ht="15" hidden="false" customHeight="false" outlineLevel="0" collapsed="false">
      <c r="A3891" s="25" t="n">
        <v>29298871</v>
      </c>
      <c r="B3891" s="25" t="s">
        <v>8174</v>
      </c>
      <c r="C3891" s="25" t="s">
        <v>8175</v>
      </c>
      <c r="D3891" s="26" t="n">
        <v>1930</v>
      </c>
      <c r="E3891" s="27" t="n">
        <v>5.71444269099223</v>
      </c>
      <c r="F3891" s="27" t="n">
        <v>5.71444269099223</v>
      </c>
      <c r="G3891" s="25" t="s">
        <v>5013</v>
      </c>
      <c r="H3891" s="25" t="s">
        <v>5014</v>
      </c>
      <c r="I3891" s="25" t="n">
        <f aca="false">IFERROR(IF(INDEX(Documents!$C$5:$C$657,MATCH(H3891,Documents!$A$5:$A$657,0))="","",INDEX(Documents!$C$5:$C$657,MATCH(H3891,Documents!$A$5:$A$657,0))),"")</f>
        <v>2025</v>
      </c>
      <c r="J3891" s="25" t="str">
        <f aca="false">IFERROR(IF(INDEX(Documents!$D$5:$D$657,MATCH(H3891,Documents!$A$5:$A$657,0))="","",INDEX(Documents!$D$5:$D$657,MATCH(H3891,Documents!$A$5:$A$657,0))),"")</f>
        <v>J Med Chem</v>
      </c>
      <c r="K3891" s="25" t="str">
        <f aca="false">IFERROR(IF(INDEX(Documents!$G$5:$G$657,MATCH(H3891,Documents!$A$5:$A$657,0))="","",INDEX(Documents!$G$5:$G$657,MATCH(H3891,Documents!$A$5:$A$657,0))),"")</f>
        <v>10.1021/acs.jmedchem.4c03132</v>
      </c>
      <c r="L3891" s="25" t="s">
        <v>5015</v>
      </c>
    </row>
    <row r="3892" customFormat="false" ht="15" hidden="false" customHeight="false" outlineLevel="0" collapsed="false">
      <c r="A3892" s="25" t="n">
        <v>3089203</v>
      </c>
      <c r="B3892" s="25" t="s">
        <v>8176</v>
      </c>
      <c r="C3892" s="25" t="s">
        <v>8177</v>
      </c>
      <c r="D3892" s="26" t="n">
        <v>1290</v>
      </c>
      <c r="E3892" s="27" t="n">
        <v>5.88941028970075</v>
      </c>
      <c r="F3892" s="27" t="n">
        <v>5.88941028970075</v>
      </c>
      <c r="G3892" s="25" t="s">
        <v>534</v>
      </c>
      <c r="H3892" s="25" t="s">
        <v>535</v>
      </c>
      <c r="I3892" s="25" t="n">
        <f aca="false">IFERROR(IF(INDEX(Documents!$C$5:$C$657,MATCH(H3892,Documents!$A$5:$A$657,0))="","",INDEX(Documents!$C$5:$C$657,MATCH(H3892,Documents!$A$5:$A$657,0))),"")</f>
        <v>2010</v>
      </c>
      <c r="J3892" s="25" t="str">
        <f aca="false">IFERROR(IF(INDEX(Documents!$D$5:$D$657,MATCH(H3892,Documents!$A$5:$A$657,0))="","",INDEX(Documents!$D$5:$D$657,MATCH(H3892,Documents!$A$5:$A$657,0))),"")</f>
        <v>Bioorg Med Chem Lett</v>
      </c>
      <c r="K3892" s="25" t="str">
        <f aca="false">IFERROR(IF(INDEX(Documents!$G$5:$G$657,MATCH(H3892,Documents!$A$5:$A$657,0))="","",INDEX(Documents!$G$5:$G$657,MATCH(H3892,Documents!$A$5:$A$657,0))),"")</f>
        <v>10.1016/j.bmcl.2009.11.084</v>
      </c>
      <c r="L3892" s="25" t="s">
        <v>515</v>
      </c>
    </row>
    <row r="3893" customFormat="false" ht="15" hidden="false" customHeight="false" outlineLevel="0" collapsed="false">
      <c r="A3893" s="25" t="n">
        <v>3089207</v>
      </c>
      <c r="B3893" s="25" t="s">
        <v>8178</v>
      </c>
      <c r="C3893" s="25" t="s">
        <v>8179</v>
      </c>
      <c r="D3893" s="26" t="n">
        <v>43</v>
      </c>
      <c r="E3893" s="27" t="n">
        <v>7.36653154442041</v>
      </c>
      <c r="F3893" s="27" t="n">
        <v>7.36653154442041</v>
      </c>
      <c r="G3893" s="25" t="s">
        <v>534</v>
      </c>
      <c r="H3893" s="25" t="s">
        <v>535</v>
      </c>
      <c r="I3893" s="25" t="n">
        <f aca="false">IFERROR(IF(INDEX(Documents!$C$5:$C$657,MATCH(H3893,Documents!$A$5:$A$657,0))="","",INDEX(Documents!$C$5:$C$657,MATCH(H3893,Documents!$A$5:$A$657,0))),"")</f>
        <v>2010</v>
      </c>
      <c r="J3893" s="25" t="str">
        <f aca="false">IFERROR(IF(INDEX(Documents!$D$5:$D$657,MATCH(H3893,Documents!$A$5:$A$657,0))="","",INDEX(Documents!$D$5:$D$657,MATCH(H3893,Documents!$A$5:$A$657,0))),"")</f>
        <v>Bioorg Med Chem Lett</v>
      </c>
      <c r="K3893" s="25" t="str">
        <f aca="false">IFERROR(IF(INDEX(Documents!$G$5:$G$657,MATCH(H3893,Documents!$A$5:$A$657,0))="","",INDEX(Documents!$G$5:$G$657,MATCH(H3893,Documents!$A$5:$A$657,0))),"")</f>
        <v>10.1016/j.bmcl.2009.11.084</v>
      </c>
      <c r="L3893" s="25" t="s">
        <v>515</v>
      </c>
    </row>
    <row r="3894" customFormat="false" ht="15" hidden="false" customHeight="false" outlineLevel="0" collapsed="false">
      <c r="A3894" s="25" t="n">
        <v>3089205</v>
      </c>
      <c r="B3894" s="25" t="s">
        <v>8180</v>
      </c>
      <c r="C3894" s="25" t="s">
        <v>8181</v>
      </c>
      <c r="D3894" s="26" t="n">
        <v>234</v>
      </c>
      <c r="E3894" s="27" t="n">
        <v>6.63078414258986</v>
      </c>
      <c r="F3894" s="27" t="n">
        <v>6.63078414258986</v>
      </c>
      <c r="G3894" s="25" t="s">
        <v>534</v>
      </c>
      <c r="H3894" s="25" t="s">
        <v>535</v>
      </c>
      <c r="I3894" s="25" t="n">
        <f aca="false">IFERROR(IF(INDEX(Documents!$C$5:$C$657,MATCH(H3894,Documents!$A$5:$A$657,0))="","",INDEX(Documents!$C$5:$C$657,MATCH(H3894,Documents!$A$5:$A$657,0))),"")</f>
        <v>2010</v>
      </c>
      <c r="J3894" s="25" t="str">
        <f aca="false">IFERROR(IF(INDEX(Documents!$D$5:$D$657,MATCH(H3894,Documents!$A$5:$A$657,0))="","",INDEX(Documents!$D$5:$D$657,MATCH(H3894,Documents!$A$5:$A$657,0))),"")</f>
        <v>Bioorg Med Chem Lett</v>
      </c>
      <c r="K3894" s="25" t="str">
        <f aca="false">IFERROR(IF(INDEX(Documents!$G$5:$G$657,MATCH(H3894,Documents!$A$5:$A$657,0))="","",INDEX(Documents!$G$5:$G$657,MATCH(H3894,Documents!$A$5:$A$657,0))),"")</f>
        <v>10.1016/j.bmcl.2009.11.084</v>
      </c>
      <c r="L3894" s="25" t="s">
        <v>515</v>
      </c>
    </row>
    <row r="3895" customFormat="false" ht="15" hidden="false" customHeight="false" outlineLevel="0" collapsed="false">
      <c r="A3895" s="25" t="n">
        <v>3111431</v>
      </c>
      <c r="B3895" s="25" t="s">
        <v>8182</v>
      </c>
      <c r="C3895" s="25" t="s">
        <v>8183</v>
      </c>
      <c r="D3895" s="26" t="n">
        <v>1846</v>
      </c>
      <c r="E3895" s="27" t="n">
        <v>5.73376830331011</v>
      </c>
      <c r="F3895" s="27" t="n">
        <v>5.73376830331011</v>
      </c>
      <c r="G3895" s="25" t="s">
        <v>1040</v>
      </c>
      <c r="H3895" s="25" t="s">
        <v>1041</v>
      </c>
      <c r="I3895" s="25" t="n">
        <f aca="false">IFERROR(IF(INDEX(Documents!$C$5:$C$657,MATCH(H3895,Documents!$A$5:$A$657,0))="","",INDEX(Documents!$C$5:$C$657,MATCH(H3895,Documents!$A$5:$A$657,0))),"")</f>
        <v>2010</v>
      </c>
      <c r="J3895" s="25" t="str">
        <f aca="false">IFERROR(IF(INDEX(Documents!$D$5:$D$657,MATCH(H3895,Documents!$A$5:$A$657,0))="","",INDEX(Documents!$D$5:$D$657,MATCH(H3895,Documents!$A$5:$A$657,0))),"")</f>
        <v>Bioorg Med Chem Lett</v>
      </c>
      <c r="K3895" s="25" t="str">
        <f aca="false">IFERROR(IF(INDEX(Documents!$G$5:$G$657,MATCH(H3895,Documents!$A$5:$A$657,0))="","",INDEX(Documents!$G$5:$G$657,MATCH(H3895,Documents!$A$5:$A$657,0))),"")</f>
        <v>10.1016/j.bmcl.2009.11.075</v>
      </c>
      <c r="L3895" s="25" t="s">
        <v>515</v>
      </c>
    </row>
    <row r="3896" customFormat="false" ht="15" hidden="false" customHeight="false" outlineLevel="0" collapsed="false">
      <c r="A3896" s="25" t="n">
        <v>12688453</v>
      </c>
      <c r="B3896" s="25" t="s">
        <v>8184</v>
      </c>
      <c r="C3896" s="25" t="s">
        <v>8185</v>
      </c>
      <c r="D3896" s="26" t="n">
        <v>140</v>
      </c>
      <c r="E3896" s="27" t="n">
        <v>6.85387196432176</v>
      </c>
      <c r="F3896" s="27" t="n">
        <v>6.85387196432176</v>
      </c>
      <c r="G3896" s="25" t="s">
        <v>508</v>
      </c>
      <c r="H3896" s="25" t="s">
        <v>509</v>
      </c>
      <c r="I3896" s="25" t="n">
        <f aca="false">IFERROR(IF(INDEX(Documents!$C$5:$C$657,MATCH(H3896,Documents!$A$5:$A$657,0))="","",INDEX(Documents!$C$5:$C$657,MATCH(H3896,Documents!$A$5:$A$657,0))),"")</f>
        <v>2013</v>
      </c>
      <c r="J3896" s="25" t="str">
        <f aca="false">IFERROR(IF(INDEX(Documents!$D$5:$D$657,MATCH(H3896,Documents!$A$5:$A$657,0))="","",INDEX(Documents!$D$5:$D$657,MATCH(H3896,Documents!$A$5:$A$657,0))),"")</f>
        <v>ACS Med Chem Lett</v>
      </c>
      <c r="K3896" s="25" t="str">
        <f aca="false">IFERROR(IF(INDEX(Documents!$G$5:$G$657,MATCH(H3896,Documents!$A$5:$A$657,0))="","",INDEX(Documents!$G$5:$G$657,MATCH(H3896,Documents!$A$5:$A$657,0))),"")</f>
        <v>10.1021/ml3004236</v>
      </c>
      <c r="L3896" s="25" t="s">
        <v>510</v>
      </c>
    </row>
    <row r="3897" customFormat="false" ht="15" hidden="false" customHeight="false" outlineLevel="0" collapsed="false">
      <c r="A3897" s="25" t="n">
        <v>29298876</v>
      </c>
      <c r="B3897" s="25" t="s">
        <v>8186</v>
      </c>
      <c r="C3897" s="25" t="s">
        <v>8187</v>
      </c>
      <c r="D3897" s="26" t="n">
        <v>127</v>
      </c>
      <c r="E3897" s="27" t="n">
        <v>6.89619627904404</v>
      </c>
      <c r="F3897" s="27" t="n">
        <v>6.89619627904404</v>
      </c>
      <c r="G3897" s="25" t="s">
        <v>5013</v>
      </c>
      <c r="H3897" s="25" t="s">
        <v>5014</v>
      </c>
      <c r="I3897" s="25" t="n">
        <f aca="false">IFERROR(IF(INDEX(Documents!$C$5:$C$657,MATCH(H3897,Documents!$A$5:$A$657,0))="","",INDEX(Documents!$C$5:$C$657,MATCH(H3897,Documents!$A$5:$A$657,0))),"")</f>
        <v>2025</v>
      </c>
      <c r="J3897" s="25" t="str">
        <f aca="false">IFERROR(IF(INDEX(Documents!$D$5:$D$657,MATCH(H3897,Documents!$A$5:$A$657,0))="","",INDEX(Documents!$D$5:$D$657,MATCH(H3897,Documents!$A$5:$A$657,0))),"")</f>
        <v>J Med Chem</v>
      </c>
      <c r="K3897" s="25" t="str">
        <f aca="false">IFERROR(IF(INDEX(Documents!$G$5:$G$657,MATCH(H3897,Documents!$A$5:$A$657,0))="","",INDEX(Documents!$G$5:$G$657,MATCH(H3897,Documents!$A$5:$A$657,0))),"")</f>
        <v>10.1021/acs.jmedchem.4c03132</v>
      </c>
      <c r="L3897" s="25" t="s">
        <v>5015</v>
      </c>
    </row>
    <row r="3898" customFormat="false" ht="15" hidden="false" customHeight="false" outlineLevel="0" collapsed="false">
      <c r="A3898" s="25" t="n">
        <v>3089213</v>
      </c>
      <c r="B3898" s="25" t="s">
        <v>8188</v>
      </c>
      <c r="C3898" s="25" t="s">
        <v>8189</v>
      </c>
      <c r="D3898" s="26" t="n">
        <v>92</v>
      </c>
      <c r="E3898" s="27" t="n">
        <v>7.03621217265444</v>
      </c>
      <c r="F3898" s="27" t="n">
        <v>7.03621217265444</v>
      </c>
      <c r="G3898" s="25" t="s">
        <v>534</v>
      </c>
      <c r="H3898" s="25" t="s">
        <v>535</v>
      </c>
      <c r="I3898" s="25" t="n">
        <f aca="false">IFERROR(IF(INDEX(Documents!$C$5:$C$657,MATCH(H3898,Documents!$A$5:$A$657,0))="","",INDEX(Documents!$C$5:$C$657,MATCH(H3898,Documents!$A$5:$A$657,0))),"")</f>
        <v>2010</v>
      </c>
      <c r="J3898" s="25" t="str">
        <f aca="false">IFERROR(IF(INDEX(Documents!$D$5:$D$657,MATCH(H3898,Documents!$A$5:$A$657,0))="","",INDEX(Documents!$D$5:$D$657,MATCH(H3898,Documents!$A$5:$A$657,0))),"")</f>
        <v>Bioorg Med Chem Lett</v>
      </c>
      <c r="K3898" s="25" t="str">
        <f aca="false">IFERROR(IF(INDEX(Documents!$G$5:$G$657,MATCH(H3898,Documents!$A$5:$A$657,0))="","",INDEX(Documents!$G$5:$G$657,MATCH(H3898,Documents!$A$5:$A$657,0))),"")</f>
        <v>10.1016/j.bmcl.2009.11.084</v>
      </c>
      <c r="L3898" s="25" t="s">
        <v>515</v>
      </c>
    </row>
    <row r="3899" customFormat="false" ht="15" hidden="false" customHeight="false" outlineLevel="0" collapsed="false">
      <c r="A3899" s="25" t="n">
        <v>3089236</v>
      </c>
      <c r="B3899" s="25" t="s">
        <v>8190</v>
      </c>
      <c r="C3899" s="25" t="s">
        <v>8191</v>
      </c>
      <c r="D3899" s="26" t="n">
        <v>350</v>
      </c>
      <c r="E3899" s="27" t="n">
        <v>6.45593195564972</v>
      </c>
      <c r="F3899" s="27" t="n">
        <v>6.45593195564972</v>
      </c>
      <c r="G3899" s="25" t="s">
        <v>534</v>
      </c>
      <c r="H3899" s="25" t="s">
        <v>535</v>
      </c>
      <c r="I3899" s="25" t="n">
        <f aca="false">IFERROR(IF(INDEX(Documents!$C$5:$C$657,MATCH(H3899,Documents!$A$5:$A$657,0))="","",INDEX(Documents!$C$5:$C$657,MATCH(H3899,Documents!$A$5:$A$657,0))),"")</f>
        <v>2010</v>
      </c>
      <c r="J3899" s="25" t="str">
        <f aca="false">IFERROR(IF(INDEX(Documents!$D$5:$D$657,MATCH(H3899,Documents!$A$5:$A$657,0))="","",INDEX(Documents!$D$5:$D$657,MATCH(H3899,Documents!$A$5:$A$657,0))),"")</f>
        <v>Bioorg Med Chem Lett</v>
      </c>
      <c r="K3899" s="25" t="str">
        <f aca="false">IFERROR(IF(INDEX(Documents!$G$5:$G$657,MATCH(H3899,Documents!$A$5:$A$657,0))="","",INDEX(Documents!$G$5:$G$657,MATCH(H3899,Documents!$A$5:$A$657,0))),"")</f>
        <v>10.1016/j.bmcl.2009.11.084</v>
      </c>
      <c r="L3899" s="25" t="s">
        <v>515</v>
      </c>
    </row>
    <row r="3900" customFormat="false" ht="15" hidden="false" customHeight="false" outlineLevel="0" collapsed="false">
      <c r="A3900" s="25" t="n">
        <v>3089209</v>
      </c>
      <c r="B3900" s="25" t="s">
        <v>8192</v>
      </c>
      <c r="C3900" s="25" t="s">
        <v>8193</v>
      </c>
      <c r="D3900" s="26" t="n">
        <v>5.5</v>
      </c>
      <c r="E3900" s="27" t="n">
        <v>8.25963731050576</v>
      </c>
      <c r="F3900" s="27" t="n">
        <v>8.25963731050576</v>
      </c>
      <c r="G3900" s="25" t="s">
        <v>534</v>
      </c>
      <c r="H3900" s="25" t="s">
        <v>535</v>
      </c>
      <c r="I3900" s="25" t="n">
        <f aca="false">IFERROR(IF(INDEX(Documents!$C$5:$C$657,MATCH(H3900,Documents!$A$5:$A$657,0))="","",INDEX(Documents!$C$5:$C$657,MATCH(H3900,Documents!$A$5:$A$657,0))),"")</f>
        <v>2010</v>
      </c>
      <c r="J3900" s="25" t="str">
        <f aca="false">IFERROR(IF(INDEX(Documents!$D$5:$D$657,MATCH(H3900,Documents!$A$5:$A$657,0))="","",INDEX(Documents!$D$5:$D$657,MATCH(H3900,Documents!$A$5:$A$657,0))),"")</f>
        <v>Bioorg Med Chem Lett</v>
      </c>
      <c r="K3900" s="25" t="str">
        <f aca="false">IFERROR(IF(INDEX(Documents!$G$5:$G$657,MATCH(H3900,Documents!$A$5:$A$657,0))="","",INDEX(Documents!$G$5:$G$657,MATCH(H3900,Documents!$A$5:$A$657,0))),"")</f>
        <v>10.1016/j.bmcl.2009.11.084</v>
      </c>
      <c r="L3900" s="25" t="s">
        <v>515</v>
      </c>
    </row>
    <row r="3901" customFormat="false" ht="15" hidden="false" customHeight="false" outlineLevel="0" collapsed="false">
      <c r="A3901" s="25" t="n">
        <v>3089230</v>
      </c>
      <c r="B3901" s="25" t="s">
        <v>8194</v>
      </c>
      <c r="C3901" s="25" t="s">
        <v>8195</v>
      </c>
      <c r="D3901" s="26" t="n">
        <v>3</v>
      </c>
      <c r="E3901" s="27" t="n">
        <v>8.52287874528034</v>
      </c>
      <c r="F3901" s="27" t="n">
        <v>8.52287874528034</v>
      </c>
      <c r="G3901" s="25" t="s">
        <v>534</v>
      </c>
      <c r="H3901" s="25" t="s">
        <v>535</v>
      </c>
      <c r="I3901" s="25" t="n">
        <f aca="false">IFERROR(IF(INDEX(Documents!$C$5:$C$657,MATCH(H3901,Documents!$A$5:$A$657,0))="","",INDEX(Documents!$C$5:$C$657,MATCH(H3901,Documents!$A$5:$A$657,0))),"")</f>
        <v>2010</v>
      </c>
      <c r="J3901" s="25" t="str">
        <f aca="false">IFERROR(IF(INDEX(Documents!$D$5:$D$657,MATCH(H3901,Documents!$A$5:$A$657,0))="","",INDEX(Documents!$D$5:$D$657,MATCH(H3901,Documents!$A$5:$A$657,0))),"")</f>
        <v>Bioorg Med Chem Lett</v>
      </c>
      <c r="K3901" s="25" t="str">
        <f aca="false">IFERROR(IF(INDEX(Documents!$G$5:$G$657,MATCH(H3901,Documents!$A$5:$A$657,0))="","",INDEX(Documents!$G$5:$G$657,MATCH(H3901,Documents!$A$5:$A$657,0))),"")</f>
        <v>10.1016/j.bmcl.2009.11.084</v>
      </c>
      <c r="L3901" s="25" t="s">
        <v>515</v>
      </c>
    </row>
    <row r="3902" customFormat="false" ht="15" hidden="false" customHeight="false" outlineLevel="0" collapsed="false">
      <c r="A3902" s="25" t="n">
        <v>3089232</v>
      </c>
      <c r="B3902" s="25" t="s">
        <v>8196</v>
      </c>
      <c r="C3902" s="25" t="s">
        <v>8197</v>
      </c>
      <c r="D3902" s="26" t="n">
        <v>7.6</v>
      </c>
      <c r="E3902" s="27" t="n">
        <v>8.11918640771921</v>
      </c>
      <c r="F3902" s="27" t="n">
        <v>8.11918640771921</v>
      </c>
      <c r="G3902" s="25" t="s">
        <v>534</v>
      </c>
      <c r="H3902" s="25" t="s">
        <v>535</v>
      </c>
      <c r="I3902" s="25" t="n">
        <f aca="false">IFERROR(IF(INDEX(Documents!$C$5:$C$657,MATCH(H3902,Documents!$A$5:$A$657,0))="","",INDEX(Documents!$C$5:$C$657,MATCH(H3902,Documents!$A$5:$A$657,0))),"")</f>
        <v>2010</v>
      </c>
      <c r="J3902" s="25" t="str">
        <f aca="false">IFERROR(IF(INDEX(Documents!$D$5:$D$657,MATCH(H3902,Documents!$A$5:$A$657,0))="","",INDEX(Documents!$D$5:$D$657,MATCH(H3902,Documents!$A$5:$A$657,0))),"")</f>
        <v>Bioorg Med Chem Lett</v>
      </c>
      <c r="K3902" s="25" t="str">
        <f aca="false">IFERROR(IF(INDEX(Documents!$G$5:$G$657,MATCH(H3902,Documents!$A$5:$A$657,0))="","",INDEX(Documents!$G$5:$G$657,MATCH(H3902,Documents!$A$5:$A$657,0))),"")</f>
        <v>10.1016/j.bmcl.2009.11.084</v>
      </c>
      <c r="L3902" s="25" t="s">
        <v>515</v>
      </c>
    </row>
    <row r="3903" customFormat="false" ht="15" hidden="false" customHeight="false" outlineLevel="0" collapsed="false">
      <c r="A3903" s="25" t="n">
        <v>3089201</v>
      </c>
      <c r="B3903" s="25" t="s">
        <v>8198</v>
      </c>
      <c r="C3903" s="25" t="s">
        <v>8199</v>
      </c>
      <c r="D3903" s="26" t="n">
        <v>2950</v>
      </c>
      <c r="E3903" s="27" t="n">
        <v>5.53017798402184</v>
      </c>
      <c r="F3903" s="27" t="n">
        <v>5.53017798402184</v>
      </c>
      <c r="G3903" s="25" t="s">
        <v>534</v>
      </c>
      <c r="H3903" s="25" t="s">
        <v>535</v>
      </c>
      <c r="I3903" s="25" t="n">
        <f aca="false">IFERROR(IF(INDEX(Documents!$C$5:$C$657,MATCH(H3903,Documents!$A$5:$A$657,0))="","",INDEX(Documents!$C$5:$C$657,MATCH(H3903,Documents!$A$5:$A$657,0))),"")</f>
        <v>2010</v>
      </c>
      <c r="J3903" s="25" t="str">
        <f aca="false">IFERROR(IF(INDEX(Documents!$D$5:$D$657,MATCH(H3903,Documents!$A$5:$A$657,0))="","",INDEX(Documents!$D$5:$D$657,MATCH(H3903,Documents!$A$5:$A$657,0))),"")</f>
        <v>Bioorg Med Chem Lett</v>
      </c>
      <c r="K3903" s="25" t="str">
        <f aca="false">IFERROR(IF(INDEX(Documents!$G$5:$G$657,MATCH(H3903,Documents!$A$5:$A$657,0))="","",INDEX(Documents!$G$5:$G$657,MATCH(H3903,Documents!$A$5:$A$657,0))),"")</f>
        <v>10.1016/j.bmcl.2009.11.084</v>
      </c>
      <c r="L3903" s="25" t="s">
        <v>515</v>
      </c>
    </row>
    <row r="3904" customFormat="false" ht="15" hidden="false" customHeight="false" outlineLevel="0" collapsed="false">
      <c r="A3904" s="25" t="n">
        <v>3089217</v>
      </c>
      <c r="B3904" s="25" t="s">
        <v>8200</v>
      </c>
      <c r="C3904" s="25" t="s">
        <v>8201</v>
      </c>
      <c r="D3904" s="26" t="n">
        <v>1.7</v>
      </c>
      <c r="E3904" s="27" t="n">
        <v>8.76955107862173</v>
      </c>
      <c r="F3904" s="27" t="n">
        <v>8.76955107862173</v>
      </c>
      <c r="G3904" s="25" t="s">
        <v>534</v>
      </c>
      <c r="H3904" s="25" t="s">
        <v>535</v>
      </c>
      <c r="I3904" s="25" t="n">
        <f aca="false">IFERROR(IF(INDEX(Documents!$C$5:$C$657,MATCH(H3904,Documents!$A$5:$A$657,0))="","",INDEX(Documents!$C$5:$C$657,MATCH(H3904,Documents!$A$5:$A$657,0))),"")</f>
        <v>2010</v>
      </c>
      <c r="J3904" s="25" t="str">
        <f aca="false">IFERROR(IF(INDEX(Documents!$D$5:$D$657,MATCH(H3904,Documents!$A$5:$A$657,0))="","",INDEX(Documents!$D$5:$D$657,MATCH(H3904,Documents!$A$5:$A$657,0))),"")</f>
        <v>Bioorg Med Chem Lett</v>
      </c>
      <c r="K3904" s="25" t="str">
        <f aca="false">IFERROR(IF(INDEX(Documents!$G$5:$G$657,MATCH(H3904,Documents!$A$5:$A$657,0))="","",INDEX(Documents!$G$5:$G$657,MATCH(H3904,Documents!$A$5:$A$657,0))),"")</f>
        <v>10.1016/j.bmcl.2009.11.084</v>
      </c>
      <c r="L3904" s="25" t="s">
        <v>515</v>
      </c>
    </row>
    <row r="3905" customFormat="false" ht="15" hidden="false" customHeight="false" outlineLevel="0" collapsed="false">
      <c r="A3905" s="25" t="n">
        <v>3089215</v>
      </c>
      <c r="B3905" s="25" t="s">
        <v>8202</v>
      </c>
      <c r="C3905" s="25" t="s">
        <v>8203</v>
      </c>
      <c r="D3905" s="26" t="n">
        <v>750</v>
      </c>
      <c r="E3905" s="27" t="n">
        <v>6.1249387366083</v>
      </c>
      <c r="F3905" s="27" t="n">
        <v>6.1249387366083</v>
      </c>
      <c r="G3905" s="25" t="s">
        <v>534</v>
      </c>
      <c r="H3905" s="25" t="s">
        <v>535</v>
      </c>
      <c r="I3905" s="25" t="n">
        <f aca="false">IFERROR(IF(INDEX(Documents!$C$5:$C$657,MATCH(H3905,Documents!$A$5:$A$657,0))="","",INDEX(Documents!$C$5:$C$657,MATCH(H3905,Documents!$A$5:$A$657,0))),"")</f>
        <v>2010</v>
      </c>
      <c r="J3905" s="25" t="str">
        <f aca="false">IFERROR(IF(INDEX(Documents!$D$5:$D$657,MATCH(H3905,Documents!$A$5:$A$657,0))="","",INDEX(Documents!$D$5:$D$657,MATCH(H3905,Documents!$A$5:$A$657,0))),"")</f>
        <v>Bioorg Med Chem Lett</v>
      </c>
      <c r="K3905" s="25" t="str">
        <f aca="false">IFERROR(IF(INDEX(Documents!$G$5:$G$657,MATCH(H3905,Documents!$A$5:$A$657,0))="","",INDEX(Documents!$G$5:$G$657,MATCH(H3905,Documents!$A$5:$A$657,0))),"")</f>
        <v>10.1016/j.bmcl.2009.11.084</v>
      </c>
      <c r="L3905" s="25" t="s">
        <v>515</v>
      </c>
    </row>
    <row r="3906" customFormat="false" ht="15" hidden="false" customHeight="false" outlineLevel="0" collapsed="false">
      <c r="A3906" s="25" t="n">
        <v>3089219</v>
      </c>
      <c r="B3906" s="25" t="s">
        <v>8204</v>
      </c>
      <c r="C3906" s="25" t="s">
        <v>8205</v>
      </c>
      <c r="D3906" s="26" t="n">
        <v>1.5</v>
      </c>
      <c r="E3906" s="27" t="n">
        <v>8.82390874094432</v>
      </c>
      <c r="F3906" s="27" t="n">
        <v>8.82390874094432</v>
      </c>
      <c r="G3906" s="25" t="s">
        <v>534</v>
      </c>
      <c r="H3906" s="25" t="s">
        <v>535</v>
      </c>
      <c r="I3906" s="25" t="n">
        <f aca="false">IFERROR(IF(INDEX(Documents!$C$5:$C$657,MATCH(H3906,Documents!$A$5:$A$657,0))="","",INDEX(Documents!$C$5:$C$657,MATCH(H3906,Documents!$A$5:$A$657,0))),"")</f>
        <v>2010</v>
      </c>
      <c r="J3906" s="25" t="str">
        <f aca="false">IFERROR(IF(INDEX(Documents!$D$5:$D$657,MATCH(H3906,Documents!$A$5:$A$657,0))="","",INDEX(Documents!$D$5:$D$657,MATCH(H3906,Documents!$A$5:$A$657,0))),"")</f>
        <v>Bioorg Med Chem Lett</v>
      </c>
      <c r="K3906" s="25" t="str">
        <f aca="false">IFERROR(IF(INDEX(Documents!$G$5:$G$657,MATCH(H3906,Documents!$A$5:$A$657,0))="","",INDEX(Documents!$G$5:$G$657,MATCH(H3906,Documents!$A$5:$A$657,0))),"")</f>
        <v>10.1016/j.bmcl.2009.11.084</v>
      </c>
      <c r="L3906" s="25" t="s">
        <v>515</v>
      </c>
    </row>
    <row r="3907" customFormat="false" ht="15" hidden="false" customHeight="false" outlineLevel="0" collapsed="false">
      <c r="A3907" s="25" t="n">
        <v>3089242</v>
      </c>
      <c r="B3907" s="25" t="s">
        <v>8206</v>
      </c>
      <c r="C3907" s="25" t="s">
        <v>8207</v>
      </c>
      <c r="D3907" s="26" t="n">
        <v>2</v>
      </c>
      <c r="E3907" s="27" t="n">
        <v>8.69897000433602</v>
      </c>
      <c r="F3907" s="27" t="n">
        <v>8.69897000433602</v>
      </c>
      <c r="G3907" s="25" t="s">
        <v>534</v>
      </c>
      <c r="H3907" s="25" t="s">
        <v>535</v>
      </c>
      <c r="I3907" s="25" t="n">
        <f aca="false">IFERROR(IF(INDEX(Documents!$C$5:$C$657,MATCH(H3907,Documents!$A$5:$A$657,0))="","",INDEX(Documents!$C$5:$C$657,MATCH(H3907,Documents!$A$5:$A$657,0))),"")</f>
        <v>2010</v>
      </c>
      <c r="J3907" s="25" t="str">
        <f aca="false">IFERROR(IF(INDEX(Documents!$D$5:$D$657,MATCH(H3907,Documents!$A$5:$A$657,0))="","",INDEX(Documents!$D$5:$D$657,MATCH(H3907,Documents!$A$5:$A$657,0))),"")</f>
        <v>Bioorg Med Chem Lett</v>
      </c>
      <c r="K3907" s="25" t="str">
        <f aca="false">IFERROR(IF(INDEX(Documents!$G$5:$G$657,MATCH(H3907,Documents!$A$5:$A$657,0))="","",INDEX(Documents!$G$5:$G$657,MATCH(H3907,Documents!$A$5:$A$657,0))),"")</f>
        <v>10.1016/j.bmcl.2009.11.084</v>
      </c>
      <c r="L3907" s="25" t="s">
        <v>515</v>
      </c>
    </row>
    <row r="3908" customFormat="false" ht="15" hidden="false" customHeight="false" outlineLevel="0" collapsed="false">
      <c r="A3908" s="25" t="n">
        <v>3089244</v>
      </c>
      <c r="B3908" s="25" t="s">
        <v>8208</v>
      </c>
      <c r="C3908" s="25" t="s">
        <v>8209</v>
      </c>
      <c r="D3908" s="26" t="n">
        <v>3</v>
      </c>
      <c r="E3908" s="27" t="n">
        <v>8.52287874528034</v>
      </c>
      <c r="F3908" s="27" t="n">
        <v>8.52287874528034</v>
      </c>
      <c r="G3908" s="25" t="s">
        <v>534</v>
      </c>
      <c r="H3908" s="25" t="s">
        <v>535</v>
      </c>
      <c r="I3908" s="25" t="n">
        <f aca="false">IFERROR(IF(INDEX(Documents!$C$5:$C$657,MATCH(H3908,Documents!$A$5:$A$657,0))="","",INDEX(Documents!$C$5:$C$657,MATCH(H3908,Documents!$A$5:$A$657,0))),"")</f>
        <v>2010</v>
      </c>
      <c r="J3908" s="25" t="str">
        <f aca="false">IFERROR(IF(INDEX(Documents!$D$5:$D$657,MATCH(H3908,Documents!$A$5:$A$657,0))="","",INDEX(Documents!$D$5:$D$657,MATCH(H3908,Documents!$A$5:$A$657,0))),"")</f>
        <v>Bioorg Med Chem Lett</v>
      </c>
      <c r="K3908" s="25" t="str">
        <f aca="false">IFERROR(IF(INDEX(Documents!$G$5:$G$657,MATCH(H3908,Documents!$A$5:$A$657,0))="","",INDEX(Documents!$G$5:$G$657,MATCH(H3908,Documents!$A$5:$A$657,0))),"")</f>
        <v>10.1016/j.bmcl.2009.11.084</v>
      </c>
      <c r="L3908" s="25" t="s">
        <v>515</v>
      </c>
    </row>
    <row r="3909" customFormat="false" ht="15" hidden="false" customHeight="false" outlineLevel="0" collapsed="false">
      <c r="A3909" s="25" t="n">
        <v>3089243</v>
      </c>
      <c r="B3909" s="25" t="s">
        <v>8210</v>
      </c>
      <c r="C3909" s="25" t="s">
        <v>8211</v>
      </c>
      <c r="D3909" s="26" t="n">
        <v>5</v>
      </c>
      <c r="E3909" s="27" t="n">
        <v>8.30102999566398</v>
      </c>
      <c r="F3909" s="27" t="n">
        <v>8.30102999566398</v>
      </c>
      <c r="G3909" s="25" t="s">
        <v>534</v>
      </c>
      <c r="H3909" s="25" t="s">
        <v>535</v>
      </c>
      <c r="I3909" s="25" t="n">
        <f aca="false">IFERROR(IF(INDEX(Documents!$C$5:$C$657,MATCH(H3909,Documents!$A$5:$A$657,0))="","",INDEX(Documents!$C$5:$C$657,MATCH(H3909,Documents!$A$5:$A$657,0))),"")</f>
        <v>2010</v>
      </c>
      <c r="J3909" s="25" t="str">
        <f aca="false">IFERROR(IF(INDEX(Documents!$D$5:$D$657,MATCH(H3909,Documents!$A$5:$A$657,0))="","",INDEX(Documents!$D$5:$D$657,MATCH(H3909,Documents!$A$5:$A$657,0))),"")</f>
        <v>Bioorg Med Chem Lett</v>
      </c>
      <c r="K3909" s="25" t="str">
        <f aca="false">IFERROR(IF(INDEX(Documents!$G$5:$G$657,MATCH(H3909,Documents!$A$5:$A$657,0))="","",INDEX(Documents!$G$5:$G$657,MATCH(H3909,Documents!$A$5:$A$657,0))),"")</f>
        <v>10.1016/j.bmcl.2009.11.084</v>
      </c>
      <c r="L3909" s="25" t="s">
        <v>515</v>
      </c>
    </row>
    <row r="3910" customFormat="false" ht="15" hidden="false" customHeight="false" outlineLevel="0" collapsed="false">
      <c r="A3910" s="25" t="n">
        <v>3089240</v>
      </c>
      <c r="B3910" s="25" t="s">
        <v>8212</v>
      </c>
      <c r="C3910" s="25" t="s">
        <v>8213</v>
      </c>
      <c r="D3910" s="26" t="n">
        <v>1.6</v>
      </c>
      <c r="E3910" s="27" t="n">
        <v>8.79588001734408</v>
      </c>
      <c r="F3910" s="27" t="n">
        <v>8.79588001734408</v>
      </c>
      <c r="G3910" s="25" t="s">
        <v>534</v>
      </c>
      <c r="H3910" s="25" t="s">
        <v>535</v>
      </c>
      <c r="I3910" s="25" t="n">
        <f aca="false">IFERROR(IF(INDEX(Documents!$C$5:$C$657,MATCH(H3910,Documents!$A$5:$A$657,0))="","",INDEX(Documents!$C$5:$C$657,MATCH(H3910,Documents!$A$5:$A$657,0))),"")</f>
        <v>2010</v>
      </c>
      <c r="J3910" s="25" t="str">
        <f aca="false">IFERROR(IF(INDEX(Documents!$D$5:$D$657,MATCH(H3910,Documents!$A$5:$A$657,0))="","",INDEX(Documents!$D$5:$D$657,MATCH(H3910,Documents!$A$5:$A$657,0))),"")</f>
        <v>Bioorg Med Chem Lett</v>
      </c>
      <c r="K3910" s="25" t="str">
        <f aca="false">IFERROR(IF(INDEX(Documents!$G$5:$G$657,MATCH(H3910,Documents!$A$5:$A$657,0))="","",INDEX(Documents!$G$5:$G$657,MATCH(H3910,Documents!$A$5:$A$657,0))),"")</f>
        <v>10.1016/j.bmcl.2009.11.084</v>
      </c>
      <c r="L3910" s="25" t="s">
        <v>515</v>
      </c>
    </row>
    <row r="3911" customFormat="false" ht="15" hidden="false" customHeight="false" outlineLevel="0" collapsed="false">
      <c r="A3911" s="25" t="n">
        <v>3089246</v>
      </c>
      <c r="B3911" s="25" t="s">
        <v>8214</v>
      </c>
      <c r="C3911" s="25" t="s">
        <v>8215</v>
      </c>
      <c r="D3911" s="26" t="n">
        <v>0.9</v>
      </c>
      <c r="E3911" s="27" t="n">
        <v>9.04575749056068</v>
      </c>
      <c r="F3911" s="27" t="n">
        <v>9.04575749056068</v>
      </c>
      <c r="G3911" s="25" t="s">
        <v>534</v>
      </c>
      <c r="H3911" s="25" t="s">
        <v>535</v>
      </c>
      <c r="I3911" s="25" t="n">
        <f aca="false">IFERROR(IF(INDEX(Documents!$C$5:$C$657,MATCH(H3911,Documents!$A$5:$A$657,0))="","",INDEX(Documents!$C$5:$C$657,MATCH(H3911,Documents!$A$5:$A$657,0))),"")</f>
        <v>2010</v>
      </c>
      <c r="J3911" s="25" t="str">
        <f aca="false">IFERROR(IF(INDEX(Documents!$D$5:$D$657,MATCH(H3911,Documents!$A$5:$A$657,0))="","",INDEX(Documents!$D$5:$D$657,MATCH(H3911,Documents!$A$5:$A$657,0))),"")</f>
        <v>Bioorg Med Chem Lett</v>
      </c>
      <c r="K3911" s="25" t="str">
        <f aca="false">IFERROR(IF(INDEX(Documents!$G$5:$G$657,MATCH(H3911,Documents!$A$5:$A$657,0))="","",INDEX(Documents!$G$5:$G$657,MATCH(H3911,Documents!$A$5:$A$657,0))),"")</f>
        <v>10.1016/j.bmcl.2009.11.084</v>
      </c>
      <c r="L3911" s="25" t="s">
        <v>515</v>
      </c>
    </row>
    <row r="3912" customFormat="false" ht="15" hidden="false" customHeight="false" outlineLevel="0" collapsed="false">
      <c r="A3912" s="25" t="n">
        <v>3089239</v>
      </c>
      <c r="B3912" s="25" t="s">
        <v>8216</v>
      </c>
      <c r="C3912" s="25" t="s">
        <v>8217</v>
      </c>
      <c r="D3912" s="26" t="n">
        <v>11</v>
      </c>
      <c r="E3912" s="27" t="n">
        <v>7.95860731484178</v>
      </c>
      <c r="F3912" s="27" t="n">
        <v>7.95860731484178</v>
      </c>
      <c r="G3912" s="25" t="s">
        <v>534</v>
      </c>
      <c r="H3912" s="25" t="s">
        <v>535</v>
      </c>
      <c r="I3912" s="25" t="n">
        <f aca="false">IFERROR(IF(INDEX(Documents!$C$5:$C$657,MATCH(H3912,Documents!$A$5:$A$657,0))="","",INDEX(Documents!$C$5:$C$657,MATCH(H3912,Documents!$A$5:$A$657,0))),"")</f>
        <v>2010</v>
      </c>
      <c r="J3912" s="25" t="str">
        <f aca="false">IFERROR(IF(INDEX(Documents!$D$5:$D$657,MATCH(H3912,Documents!$A$5:$A$657,0))="","",INDEX(Documents!$D$5:$D$657,MATCH(H3912,Documents!$A$5:$A$657,0))),"")</f>
        <v>Bioorg Med Chem Lett</v>
      </c>
      <c r="K3912" s="25" t="str">
        <f aca="false">IFERROR(IF(INDEX(Documents!$G$5:$G$657,MATCH(H3912,Documents!$A$5:$A$657,0))="","",INDEX(Documents!$G$5:$G$657,MATCH(H3912,Documents!$A$5:$A$657,0))),"")</f>
        <v>10.1016/j.bmcl.2009.11.084</v>
      </c>
      <c r="L3912" s="25" t="s">
        <v>515</v>
      </c>
    </row>
    <row r="3913" customFormat="false" ht="15" hidden="false" customHeight="false" outlineLevel="0" collapsed="false">
      <c r="A3913" s="25" t="n">
        <v>2986405</v>
      </c>
      <c r="B3913" s="25" t="s">
        <v>8218</v>
      </c>
      <c r="C3913" s="25" t="s">
        <v>8219</v>
      </c>
      <c r="D3913" s="26" t="n">
        <v>571</v>
      </c>
      <c r="E3913" s="27" t="n">
        <v>6.24336389175415</v>
      </c>
      <c r="F3913" s="27" t="n">
        <v>6.24336389175415</v>
      </c>
      <c r="G3913" s="25" t="s">
        <v>8220</v>
      </c>
      <c r="H3913" s="25" t="s">
        <v>8221</v>
      </c>
      <c r="I3913" s="25" t="n">
        <f aca="false">IFERROR(IF(INDEX(Documents!$C$5:$C$657,MATCH(H3913,Documents!$A$5:$A$657,0))="","",INDEX(Documents!$C$5:$C$657,MATCH(H3913,Documents!$A$5:$A$657,0))),"")</f>
        <v>2010</v>
      </c>
      <c r="J3913" s="25" t="str">
        <f aca="false">IFERROR(IF(INDEX(Documents!$D$5:$D$657,MATCH(H3913,Documents!$A$5:$A$657,0))="","",INDEX(Documents!$D$5:$D$657,MATCH(H3913,Documents!$A$5:$A$657,0))),"")</f>
        <v>J Med Chem</v>
      </c>
      <c r="K3913" s="25" t="str">
        <f aca="false">IFERROR(IF(INDEX(Documents!$G$5:$G$657,MATCH(H3913,Documents!$A$5:$A$657,0))="","",INDEX(Documents!$G$5:$G$657,MATCH(H3913,Documents!$A$5:$A$657,0))),"")</f>
        <v>10.1021/jm901614b</v>
      </c>
      <c r="L3913" s="25" t="s">
        <v>659</v>
      </c>
    </row>
    <row r="3914" customFormat="false" ht="15" hidden="false" customHeight="false" outlineLevel="0" collapsed="false">
      <c r="A3914" s="25" t="n">
        <v>22894752</v>
      </c>
      <c r="B3914" s="25" t="s">
        <v>8222</v>
      </c>
      <c r="C3914" s="25" t="s">
        <v>8223</v>
      </c>
      <c r="D3914" s="26" t="n">
        <v>5000</v>
      </c>
      <c r="E3914" s="27" t="n">
        <v>5.30102999566398</v>
      </c>
      <c r="F3914" s="27" t="n">
        <v>5.30102999566398</v>
      </c>
      <c r="G3914" s="25" t="s">
        <v>4690</v>
      </c>
      <c r="H3914" s="25" t="s">
        <v>4691</v>
      </c>
      <c r="I3914" s="25" t="n">
        <f aca="false">IFERROR(IF(INDEX(Documents!$C$5:$C$657,MATCH(H3914,Documents!$A$5:$A$657,0))="","",INDEX(Documents!$C$5:$C$657,MATCH(H3914,Documents!$A$5:$A$657,0))),"")</f>
        <v>2020</v>
      </c>
      <c r="J3914" s="25" t="str">
        <f aca="false">IFERROR(IF(INDEX(Documents!$D$5:$D$657,MATCH(H3914,Documents!$A$5:$A$657,0))="","",INDEX(Documents!$D$5:$D$657,MATCH(H3914,Documents!$A$5:$A$657,0))),"")</f>
        <v>Bioorg Med Chem</v>
      </c>
      <c r="K3914" s="25" t="str">
        <f aca="false">IFERROR(IF(INDEX(Documents!$G$5:$G$657,MATCH(H3914,Documents!$A$5:$A$657,0))="","",INDEX(Documents!$G$5:$G$657,MATCH(H3914,Documents!$A$5:$A$657,0))),"")</f>
        <v>10.1016/j.bmc.2020.115672</v>
      </c>
      <c r="L3914" s="25" t="s">
        <v>4692</v>
      </c>
    </row>
    <row r="3915" customFormat="false" ht="15" hidden="false" customHeight="false" outlineLevel="0" collapsed="false">
      <c r="A3915" s="25" t="n">
        <v>22894751</v>
      </c>
      <c r="B3915" s="25" t="s">
        <v>8224</v>
      </c>
      <c r="C3915" s="25" t="s">
        <v>8225</v>
      </c>
      <c r="D3915" s="26" t="n">
        <v>900</v>
      </c>
      <c r="E3915" s="27" t="n">
        <v>6.04575749056068</v>
      </c>
      <c r="F3915" s="27" t="n">
        <v>6.04575749056068</v>
      </c>
      <c r="G3915" s="25" t="s">
        <v>4690</v>
      </c>
      <c r="H3915" s="25" t="s">
        <v>4691</v>
      </c>
      <c r="I3915" s="25" t="n">
        <f aca="false">IFERROR(IF(INDEX(Documents!$C$5:$C$657,MATCH(H3915,Documents!$A$5:$A$657,0))="","",INDEX(Documents!$C$5:$C$657,MATCH(H3915,Documents!$A$5:$A$657,0))),"")</f>
        <v>2020</v>
      </c>
      <c r="J3915" s="25" t="str">
        <f aca="false">IFERROR(IF(INDEX(Documents!$D$5:$D$657,MATCH(H3915,Documents!$A$5:$A$657,0))="","",INDEX(Documents!$D$5:$D$657,MATCH(H3915,Documents!$A$5:$A$657,0))),"")</f>
        <v>Bioorg Med Chem</v>
      </c>
      <c r="K3915" s="25" t="str">
        <f aca="false">IFERROR(IF(INDEX(Documents!$G$5:$G$657,MATCH(H3915,Documents!$A$5:$A$657,0))="","",INDEX(Documents!$G$5:$G$657,MATCH(H3915,Documents!$A$5:$A$657,0))),"")</f>
        <v>10.1016/j.bmc.2020.115672</v>
      </c>
      <c r="L3915" s="25" t="s">
        <v>4692</v>
      </c>
    </row>
    <row r="3916" customFormat="false" ht="15" hidden="false" customHeight="false" outlineLevel="0" collapsed="false">
      <c r="A3916" s="25" t="n">
        <v>13922862</v>
      </c>
      <c r="B3916" s="25" t="s">
        <v>8226</v>
      </c>
      <c r="C3916" s="25" t="s">
        <v>8227</v>
      </c>
      <c r="D3916" s="26" t="n">
        <v>90</v>
      </c>
      <c r="E3916" s="27" t="n">
        <v>7.04575749056068</v>
      </c>
      <c r="F3916" s="27" t="n">
        <v>7.04575749056068</v>
      </c>
      <c r="G3916" s="25" t="s">
        <v>243</v>
      </c>
      <c r="H3916" s="25" t="s">
        <v>244</v>
      </c>
      <c r="I3916" s="25" t="n">
        <f aca="false">IFERROR(IF(INDEX(Documents!$C$5:$C$657,MATCH(H3916,Documents!$A$5:$A$657,0))="","",INDEX(Documents!$C$5:$C$657,MATCH(H3916,Documents!$A$5:$A$657,0))),"")</f>
        <v>2014</v>
      </c>
      <c r="J3916" s="25" t="str">
        <f aca="false">IFERROR(IF(INDEX(Documents!$D$5:$D$657,MATCH(H3916,Documents!$A$5:$A$657,0))="","",INDEX(Documents!$D$5:$D$657,MATCH(H3916,Documents!$A$5:$A$657,0))),"")</f>
        <v>Eur J Med Chem</v>
      </c>
      <c r="K3916" s="25" t="str">
        <f aca="false">IFERROR(IF(INDEX(Documents!$G$5:$G$657,MATCH(H3916,Documents!$A$5:$A$657,0))="","",INDEX(Documents!$G$5:$G$657,MATCH(H3916,Documents!$A$5:$A$657,0))),"")</f>
        <v>10.1016/j.ejmech.2013.11.026</v>
      </c>
      <c r="L3916" s="25" t="s">
        <v>245</v>
      </c>
    </row>
    <row r="3917" customFormat="false" ht="15" hidden="false" customHeight="false" outlineLevel="0" collapsed="false">
      <c r="A3917" s="25" t="n">
        <v>13922855</v>
      </c>
      <c r="B3917" s="25" t="s">
        <v>8228</v>
      </c>
      <c r="C3917" s="25" t="s">
        <v>8229</v>
      </c>
      <c r="D3917" s="26" t="n">
        <v>500</v>
      </c>
      <c r="E3917" s="27" t="n">
        <v>6.30102999566398</v>
      </c>
      <c r="F3917" s="27" t="n">
        <v>6.30102999566398</v>
      </c>
      <c r="G3917" s="25" t="s">
        <v>243</v>
      </c>
      <c r="H3917" s="25" t="s">
        <v>244</v>
      </c>
      <c r="I3917" s="25" t="n">
        <f aca="false">IFERROR(IF(INDEX(Documents!$C$5:$C$657,MATCH(H3917,Documents!$A$5:$A$657,0))="","",INDEX(Documents!$C$5:$C$657,MATCH(H3917,Documents!$A$5:$A$657,0))),"")</f>
        <v>2014</v>
      </c>
      <c r="J3917" s="25" t="str">
        <f aca="false">IFERROR(IF(INDEX(Documents!$D$5:$D$657,MATCH(H3917,Documents!$A$5:$A$657,0))="","",INDEX(Documents!$D$5:$D$657,MATCH(H3917,Documents!$A$5:$A$657,0))),"")</f>
        <v>Eur J Med Chem</v>
      </c>
      <c r="K3917" s="25" t="str">
        <f aca="false">IFERROR(IF(INDEX(Documents!$G$5:$G$657,MATCH(H3917,Documents!$A$5:$A$657,0))="","",INDEX(Documents!$G$5:$G$657,MATCH(H3917,Documents!$A$5:$A$657,0))),"")</f>
        <v>10.1016/j.ejmech.2013.11.026</v>
      </c>
      <c r="L3917" s="25" t="s">
        <v>245</v>
      </c>
    </row>
    <row r="3918" customFormat="false" ht="15" hidden="false" customHeight="false" outlineLevel="0" collapsed="false">
      <c r="A3918" s="25" t="n">
        <v>13922854</v>
      </c>
      <c r="B3918" s="25" t="s">
        <v>8230</v>
      </c>
      <c r="C3918" s="25" t="s">
        <v>8231</v>
      </c>
      <c r="D3918" s="26" t="n">
        <v>500</v>
      </c>
      <c r="E3918" s="27" t="n">
        <v>6.30102999566398</v>
      </c>
      <c r="F3918" s="27" t="n">
        <v>6.30102999566398</v>
      </c>
      <c r="G3918" s="25" t="s">
        <v>243</v>
      </c>
      <c r="H3918" s="25" t="s">
        <v>244</v>
      </c>
      <c r="I3918" s="25" t="n">
        <f aca="false">IFERROR(IF(INDEX(Documents!$C$5:$C$657,MATCH(H3918,Documents!$A$5:$A$657,0))="","",INDEX(Documents!$C$5:$C$657,MATCH(H3918,Documents!$A$5:$A$657,0))),"")</f>
        <v>2014</v>
      </c>
      <c r="J3918" s="25" t="str">
        <f aca="false">IFERROR(IF(INDEX(Documents!$D$5:$D$657,MATCH(H3918,Documents!$A$5:$A$657,0))="","",INDEX(Documents!$D$5:$D$657,MATCH(H3918,Documents!$A$5:$A$657,0))),"")</f>
        <v>Eur J Med Chem</v>
      </c>
      <c r="K3918" s="25" t="str">
        <f aca="false">IFERROR(IF(INDEX(Documents!$G$5:$G$657,MATCH(H3918,Documents!$A$5:$A$657,0))="","",INDEX(Documents!$G$5:$G$657,MATCH(H3918,Documents!$A$5:$A$657,0))),"")</f>
        <v>10.1016/j.ejmech.2013.11.026</v>
      </c>
      <c r="L3918" s="25" t="s">
        <v>245</v>
      </c>
    </row>
    <row r="3919" customFormat="false" ht="15" hidden="false" customHeight="false" outlineLevel="0" collapsed="false">
      <c r="A3919" s="25" t="n">
        <v>13922853</v>
      </c>
      <c r="B3919" s="25" t="s">
        <v>8232</v>
      </c>
      <c r="C3919" s="25" t="s">
        <v>8233</v>
      </c>
      <c r="D3919" s="26" t="n">
        <v>400</v>
      </c>
      <c r="E3919" s="27" t="n">
        <v>6.39794000867204</v>
      </c>
      <c r="F3919" s="27" t="n">
        <v>6.39794000867204</v>
      </c>
      <c r="G3919" s="25" t="s">
        <v>243</v>
      </c>
      <c r="H3919" s="25" t="s">
        <v>244</v>
      </c>
      <c r="I3919" s="25" t="n">
        <f aca="false">IFERROR(IF(INDEX(Documents!$C$5:$C$657,MATCH(H3919,Documents!$A$5:$A$657,0))="","",INDEX(Documents!$C$5:$C$657,MATCH(H3919,Documents!$A$5:$A$657,0))),"")</f>
        <v>2014</v>
      </c>
      <c r="J3919" s="25" t="str">
        <f aca="false">IFERROR(IF(INDEX(Documents!$D$5:$D$657,MATCH(H3919,Documents!$A$5:$A$657,0))="","",INDEX(Documents!$D$5:$D$657,MATCH(H3919,Documents!$A$5:$A$657,0))),"")</f>
        <v>Eur J Med Chem</v>
      </c>
      <c r="K3919" s="25" t="str">
        <f aca="false">IFERROR(IF(INDEX(Documents!$G$5:$G$657,MATCH(H3919,Documents!$A$5:$A$657,0))="","",INDEX(Documents!$G$5:$G$657,MATCH(H3919,Documents!$A$5:$A$657,0))),"")</f>
        <v>10.1016/j.ejmech.2013.11.026</v>
      </c>
      <c r="L3919" s="25" t="s">
        <v>245</v>
      </c>
    </row>
    <row r="3920" customFormat="false" ht="15" hidden="false" customHeight="false" outlineLevel="0" collapsed="false">
      <c r="A3920" s="25" t="n">
        <v>13922858</v>
      </c>
      <c r="B3920" s="25" t="s">
        <v>8234</v>
      </c>
      <c r="C3920" s="25" t="s">
        <v>8235</v>
      </c>
      <c r="D3920" s="26" t="n">
        <v>130</v>
      </c>
      <c r="E3920" s="27" t="n">
        <v>6.88605664769316</v>
      </c>
      <c r="F3920" s="27" t="n">
        <v>6.88605664769316</v>
      </c>
      <c r="G3920" s="25" t="s">
        <v>243</v>
      </c>
      <c r="H3920" s="25" t="s">
        <v>244</v>
      </c>
      <c r="I3920" s="25" t="n">
        <f aca="false">IFERROR(IF(INDEX(Documents!$C$5:$C$657,MATCH(H3920,Documents!$A$5:$A$657,0))="","",INDEX(Documents!$C$5:$C$657,MATCH(H3920,Documents!$A$5:$A$657,0))),"")</f>
        <v>2014</v>
      </c>
      <c r="J3920" s="25" t="str">
        <f aca="false">IFERROR(IF(INDEX(Documents!$D$5:$D$657,MATCH(H3920,Documents!$A$5:$A$657,0))="","",INDEX(Documents!$D$5:$D$657,MATCH(H3920,Documents!$A$5:$A$657,0))),"")</f>
        <v>Eur J Med Chem</v>
      </c>
      <c r="K3920" s="25" t="str">
        <f aca="false">IFERROR(IF(INDEX(Documents!$G$5:$G$657,MATCH(H3920,Documents!$A$5:$A$657,0))="","",INDEX(Documents!$G$5:$G$657,MATCH(H3920,Documents!$A$5:$A$657,0))),"")</f>
        <v>10.1016/j.ejmech.2013.11.026</v>
      </c>
      <c r="L3920" s="25" t="s">
        <v>245</v>
      </c>
    </row>
    <row r="3921" customFormat="false" ht="15" hidden="false" customHeight="false" outlineLevel="0" collapsed="false">
      <c r="A3921" s="25" t="n">
        <v>13922857</v>
      </c>
      <c r="B3921" s="25" t="s">
        <v>8236</v>
      </c>
      <c r="C3921" s="25" t="s">
        <v>8237</v>
      </c>
      <c r="D3921" s="26" t="n">
        <v>240</v>
      </c>
      <c r="E3921" s="27" t="n">
        <v>6.61978875828839</v>
      </c>
      <c r="F3921" s="27" t="n">
        <v>6.61978875828839</v>
      </c>
      <c r="G3921" s="25" t="s">
        <v>243</v>
      </c>
      <c r="H3921" s="25" t="s">
        <v>244</v>
      </c>
      <c r="I3921" s="25" t="n">
        <f aca="false">IFERROR(IF(INDEX(Documents!$C$5:$C$657,MATCH(H3921,Documents!$A$5:$A$657,0))="","",INDEX(Documents!$C$5:$C$657,MATCH(H3921,Documents!$A$5:$A$657,0))),"")</f>
        <v>2014</v>
      </c>
      <c r="J3921" s="25" t="str">
        <f aca="false">IFERROR(IF(INDEX(Documents!$D$5:$D$657,MATCH(H3921,Documents!$A$5:$A$657,0))="","",INDEX(Documents!$D$5:$D$657,MATCH(H3921,Documents!$A$5:$A$657,0))),"")</f>
        <v>Eur J Med Chem</v>
      </c>
      <c r="K3921" s="25" t="str">
        <f aca="false">IFERROR(IF(INDEX(Documents!$G$5:$G$657,MATCH(H3921,Documents!$A$5:$A$657,0))="","",INDEX(Documents!$G$5:$G$657,MATCH(H3921,Documents!$A$5:$A$657,0))),"")</f>
        <v>10.1016/j.ejmech.2013.11.026</v>
      </c>
      <c r="L3921" s="25" t="s">
        <v>245</v>
      </c>
    </row>
    <row r="3922" customFormat="false" ht="15" hidden="false" customHeight="false" outlineLevel="0" collapsed="false">
      <c r="A3922" s="25" t="n">
        <v>13922861</v>
      </c>
      <c r="B3922" s="25" t="s">
        <v>8238</v>
      </c>
      <c r="C3922" s="25" t="s">
        <v>8239</v>
      </c>
      <c r="D3922" s="26" t="n">
        <v>400</v>
      </c>
      <c r="E3922" s="27" t="n">
        <v>6.39794000867204</v>
      </c>
      <c r="F3922" s="27" t="n">
        <v>6.39794000867204</v>
      </c>
      <c r="G3922" s="25" t="s">
        <v>243</v>
      </c>
      <c r="H3922" s="25" t="s">
        <v>244</v>
      </c>
      <c r="I3922" s="25" t="n">
        <f aca="false">IFERROR(IF(INDEX(Documents!$C$5:$C$657,MATCH(H3922,Documents!$A$5:$A$657,0))="","",INDEX(Documents!$C$5:$C$657,MATCH(H3922,Documents!$A$5:$A$657,0))),"")</f>
        <v>2014</v>
      </c>
      <c r="J3922" s="25" t="str">
        <f aca="false">IFERROR(IF(INDEX(Documents!$D$5:$D$657,MATCH(H3922,Documents!$A$5:$A$657,0))="","",INDEX(Documents!$D$5:$D$657,MATCH(H3922,Documents!$A$5:$A$657,0))),"")</f>
        <v>Eur J Med Chem</v>
      </c>
      <c r="K3922" s="25" t="str">
        <f aca="false">IFERROR(IF(INDEX(Documents!$G$5:$G$657,MATCH(H3922,Documents!$A$5:$A$657,0))="","",INDEX(Documents!$G$5:$G$657,MATCH(H3922,Documents!$A$5:$A$657,0))),"")</f>
        <v>10.1016/j.ejmech.2013.11.026</v>
      </c>
      <c r="L3922" s="25" t="s">
        <v>245</v>
      </c>
    </row>
    <row r="3923" customFormat="false" ht="15" hidden="false" customHeight="false" outlineLevel="0" collapsed="false">
      <c r="A3923" s="25" t="n">
        <v>14980471</v>
      </c>
      <c r="B3923" s="25" t="s">
        <v>8240</v>
      </c>
      <c r="C3923" s="25" t="s">
        <v>8241</v>
      </c>
      <c r="D3923" s="26" t="n">
        <v>155</v>
      </c>
      <c r="E3923" s="27" t="n">
        <v>6.80966830182971</v>
      </c>
      <c r="F3923" s="27" t="n">
        <v>6.80966830182971</v>
      </c>
      <c r="G3923" s="25" t="s">
        <v>5562</v>
      </c>
      <c r="H3923" s="25" t="s">
        <v>5563</v>
      </c>
      <c r="I3923" s="25" t="n">
        <f aca="false">IFERROR(IF(INDEX(Documents!$C$5:$C$657,MATCH(H3923,Documents!$A$5:$A$657,0))="","",INDEX(Documents!$C$5:$C$657,MATCH(H3923,Documents!$A$5:$A$657,0))),"")</f>
        <v>2015</v>
      </c>
      <c r="J3923" s="25" t="str">
        <f aca="false">IFERROR(IF(INDEX(Documents!$D$5:$D$657,MATCH(H3923,Documents!$A$5:$A$657,0))="","",INDEX(Documents!$D$5:$D$657,MATCH(H3923,Documents!$A$5:$A$657,0))),"")</f>
        <v>Bioorg Med Chem</v>
      </c>
      <c r="K3923" s="25" t="str">
        <f aca="false">IFERROR(IF(INDEX(Documents!$G$5:$G$657,MATCH(H3923,Documents!$A$5:$A$657,0))="","",INDEX(Documents!$G$5:$G$657,MATCH(H3923,Documents!$A$5:$A$657,0))),"")</f>
        <v>10.1016/j.bmc.2014.11.002</v>
      </c>
      <c r="L3923" s="25" t="s">
        <v>5564</v>
      </c>
    </row>
    <row r="3924" customFormat="false" ht="15" hidden="false" customHeight="false" outlineLevel="0" collapsed="false">
      <c r="A3924" s="25" t="n">
        <v>2052310</v>
      </c>
      <c r="B3924" s="25" t="s">
        <v>8242</v>
      </c>
      <c r="C3924" s="25" t="s">
        <v>8243</v>
      </c>
      <c r="D3924" s="26" t="n">
        <v>2280</v>
      </c>
      <c r="E3924" s="27" t="n">
        <v>5.64206515299955</v>
      </c>
      <c r="F3924" s="27" t="n">
        <v>5.64206515299955</v>
      </c>
      <c r="G3924" s="25" t="s">
        <v>2025</v>
      </c>
      <c r="H3924" s="25" t="s">
        <v>2026</v>
      </c>
      <c r="I3924" s="25" t="n">
        <f aca="false">IFERROR(IF(INDEX(Documents!$C$5:$C$657,MATCH(H3924,Documents!$A$5:$A$657,0))="","",INDEX(Documents!$C$5:$C$657,MATCH(H3924,Documents!$A$5:$A$657,0))),"")</f>
        <v>2007</v>
      </c>
      <c r="J3924" s="25" t="str">
        <f aca="false">IFERROR(IF(INDEX(Documents!$D$5:$D$657,MATCH(H3924,Documents!$A$5:$A$657,0))="","",INDEX(Documents!$D$5:$D$657,MATCH(H3924,Documents!$A$5:$A$657,0))),"")</f>
        <v>Bioorg Med Chem Lett</v>
      </c>
      <c r="K3924" s="25" t="str">
        <f aca="false">IFERROR(IF(INDEX(Documents!$G$5:$G$657,MATCH(H3924,Documents!$A$5:$A$657,0))="","",INDEX(Documents!$G$5:$G$657,MATCH(H3924,Documents!$A$5:$A$657,0))),"")</f>
        <v>10.1016/j.bmcl.2007.09.089</v>
      </c>
      <c r="L3924" s="25" t="s">
        <v>601</v>
      </c>
    </row>
    <row r="3925" customFormat="false" ht="15" hidden="false" customHeight="false" outlineLevel="0" collapsed="false">
      <c r="A3925" s="25" t="n">
        <v>2052312</v>
      </c>
      <c r="B3925" s="25" t="s">
        <v>8244</v>
      </c>
      <c r="C3925" s="25" t="s">
        <v>8245</v>
      </c>
      <c r="D3925" s="26" t="n">
        <v>1640</v>
      </c>
      <c r="E3925" s="27" t="n">
        <v>5.7851561519523</v>
      </c>
      <c r="F3925" s="27" t="n">
        <v>5.7851561519523</v>
      </c>
      <c r="G3925" s="25" t="s">
        <v>2025</v>
      </c>
      <c r="H3925" s="25" t="s">
        <v>2026</v>
      </c>
      <c r="I3925" s="25" t="n">
        <f aca="false">IFERROR(IF(INDEX(Documents!$C$5:$C$657,MATCH(H3925,Documents!$A$5:$A$657,0))="","",INDEX(Documents!$C$5:$C$657,MATCH(H3925,Documents!$A$5:$A$657,0))),"")</f>
        <v>2007</v>
      </c>
      <c r="J3925" s="25" t="str">
        <f aca="false">IFERROR(IF(INDEX(Documents!$D$5:$D$657,MATCH(H3925,Documents!$A$5:$A$657,0))="","",INDEX(Documents!$D$5:$D$657,MATCH(H3925,Documents!$A$5:$A$657,0))),"")</f>
        <v>Bioorg Med Chem Lett</v>
      </c>
      <c r="K3925" s="25" t="str">
        <f aca="false">IFERROR(IF(INDEX(Documents!$G$5:$G$657,MATCH(H3925,Documents!$A$5:$A$657,0))="","",INDEX(Documents!$G$5:$G$657,MATCH(H3925,Documents!$A$5:$A$657,0))),"")</f>
        <v>10.1016/j.bmcl.2007.09.089</v>
      </c>
      <c r="L3925" s="25" t="s">
        <v>601</v>
      </c>
    </row>
    <row r="3926" customFormat="false" ht="15" hidden="false" customHeight="false" outlineLevel="0" collapsed="false">
      <c r="A3926" s="25" t="n">
        <v>2052313</v>
      </c>
      <c r="B3926" s="25" t="s">
        <v>8246</v>
      </c>
      <c r="C3926" s="25" t="s">
        <v>8247</v>
      </c>
      <c r="D3926" s="26" t="n">
        <v>790</v>
      </c>
      <c r="E3926" s="27" t="n">
        <v>6.10237290870956</v>
      </c>
      <c r="F3926" s="27" t="n">
        <v>6.10237290870956</v>
      </c>
      <c r="G3926" s="25" t="s">
        <v>2025</v>
      </c>
      <c r="H3926" s="25" t="s">
        <v>2026</v>
      </c>
      <c r="I3926" s="25" t="n">
        <f aca="false">IFERROR(IF(INDEX(Documents!$C$5:$C$657,MATCH(H3926,Documents!$A$5:$A$657,0))="","",INDEX(Documents!$C$5:$C$657,MATCH(H3926,Documents!$A$5:$A$657,0))),"")</f>
        <v>2007</v>
      </c>
      <c r="J3926" s="25" t="str">
        <f aca="false">IFERROR(IF(INDEX(Documents!$D$5:$D$657,MATCH(H3926,Documents!$A$5:$A$657,0))="","",INDEX(Documents!$D$5:$D$657,MATCH(H3926,Documents!$A$5:$A$657,0))),"")</f>
        <v>Bioorg Med Chem Lett</v>
      </c>
      <c r="K3926" s="25" t="str">
        <f aca="false">IFERROR(IF(INDEX(Documents!$G$5:$G$657,MATCH(H3926,Documents!$A$5:$A$657,0))="","",INDEX(Documents!$G$5:$G$657,MATCH(H3926,Documents!$A$5:$A$657,0))),"")</f>
        <v>10.1016/j.bmcl.2007.09.089</v>
      </c>
      <c r="L3926" s="25" t="s">
        <v>601</v>
      </c>
    </row>
    <row r="3927" customFormat="false" ht="15" hidden="false" customHeight="false" outlineLevel="0" collapsed="false">
      <c r="A3927" s="25" t="n">
        <v>16741332</v>
      </c>
      <c r="B3927" s="25" t="s">
        <v>8248</v>
      </c>
      <c r="C3927" s="25" t="s">
        <v>8249</v>
      </c>
      <c r="D3927" s="26" t="n">
        <v>24</v>
      </c>
      <c r="E3927" s="27" t="n">
        <v>7.61978875828839</v>
      </c>
      <c r="F3927" s="27" t="n">
        <v>7.61978875828839</v>
      </c>
      <c r="G3927" s="25" t="s">
        <v>1324</v>
      </c>
      <c r="H3927" s="25" t="s">
        <v>1325</v>
      </c>
      <c r="I3927" s="25" t="n">
        <f aca="false">IFERROR(IF(INDEX(Documents!$C$5:$C$657,MATCH(H3927,Documents!$A$5:$A$657,0))="","",INDEX(Documents!$C$5:$C$657,MATCH(H3927,Documents!$A$5:$A$657,0))),"")</f>
        <v>2016</v>
      </c>
      <c r="J3927" s="25" t="str">
        <f aca="false">IFERROR(IF(INDEX(Documents!$D$5:$D$657,MATCH(H3927,Documents!$A$5:$A$657,0))="","",INDEX(Documents!$D$5:$D$657,MATCH(H3927,Documents!$A$5:$A$657,0))),"")</f>
        <v>Eur J Med Chem</v>
      </c>
      <c r="K3927" s="25" t="str">
        <f aca="false">IFERROR(IF(INDEX(Documents!$G$5:$G$657,MATCH(H3927,Documents!$A$5:$A$657,0))="","",INDEX(Documents!$G$5:$G$657,MATCH(H3927,Documents!$A$5:$A$657,0))),"")</f>
        <v>10.1016/j.ejmech.2016.05.011</v>
      </c>
      <c r="L3927" s="25" t="s">
        <v>1326</v>
      </c>
    </row>
    <row r="3928" customFormat="false" ht="15" hidden="false" customHeight="false" outlineLevel="0" collapsed="false">
      <c r="A3928" s="25" t="n">
        <v>12720255</v>
      </c>
      <c r="B3928" s="25" t="s">
        <v>8250</v>
      </c>
      <c r="C3928" s="25" t="s">
        <v>8251</v>
      </c>
      <c r="D3928" s="26" t="n">
        <v>113</v>
      </c>
      <c r="E3928" s="27" t="n">
        <v>6.94692155651658</v>
      </c>
      <c r="F3928" s="27" t="n">
        <v>6.94692155651658</v>
      </c>
      <c r="G3928" s="25" t="s">
        <v>5620</v>
      </c>
      <c r="H3928" s="25" t="s">
        <v>5621</v>
      </c>
      <c r="I3928" s="25" t="n">
        <f aca="false">IFERROR(IF(INDEX(Documents!$C$5:$C$657,MATCH(H3928,Documents!$A$5:$A$657,0))="","",INDEX(Documents!$C$5:$C$657,MATCH(H3928,Documents!$A$5:$A$657,0))),"")</f>
        <v>2013</v>
      </c>
      <c r="J3928" s="25" t="str">
        <f aca="false">IFERROR(IF(INDEX(Documents!$D$5:$D$657,MATCH(H3928,Documents!$A$5:$A$657,0))="","",INDEX(Documents!$D$5:$D$657,MATCH(H3928,Documents!$A$5:$A$657,0))),"")</f>
        <v>Bioorg Med Chem Lett</v>
      </c>
      <c r="K3928" s="25" t="str">
        <f aca="false">IFERROR(IF(INDEX(Documents!$G$5:$G$657,MATCH(H3928,Documents!$A$5:$A$657,0))="","",INDEX(Documents!$G$5:$G$657,MATCH(H3928,Documents!$A$5:$A$657,0))),"")</f>
        <v>10.1016/j.bmcl.2013.02.025</v>
      </c>
      <c r="L3928" s="25" t="s">
        <v>5622</v>
      </c>
    </row>
    <row r="3929" customFormat="false" ht="15" hidden="false" customHeight="false" outlineLevel="0" collapsed="false">
      <c r="A3929" s="25" t="n">
        <v>12720256</v>
      </c>
      <c r="B3929" s="25" t="s">
        <v>8252</v>
      </c>
      <c r="C3929" s="25" t="s">
        <v>8253</v>
      </c>
      <c r="D3929" s="26" t="n">
        <v>55.3</v>
      </c>
      <c r="E3929" s="27" t="n">
        <v>7.2572748686953</v>
      </c>
      <c r="F3929" s="27" t="n">
        <v>7.2572748686953</v>
      </c>
      <c r="G3929" s="25" t="s">
        <v>5620</v>
      </c>
      <c r="H3929" s="25" t="s">
        <v>5621</v>
      </c>
      <c r="I3929" s="25" t="n">
        <f aca="false">IFERROR(IF(INDEX(Documents!$C$5:$C$657,MATCH(H3929,Documents!$A$5:$A$657,0))="","",INDEX(Documents!$C$5:$C$657,MATCH(H3929,Documents!$A$5:$A$657,0))),"")</f>
        <v>2013</v>
      </c>
      <c r="J3929" s="25" t="str">
        <f aca="false">IFERROR(IF(INDEX(Documents!$D$5:$D$657,MATCH(H3929,Documents!$A$5:$A$657,0))="","",INDEX(Documents!$D$5:$D$657,MATCH(H3929,Documents!$A$5:$A$657,0))),"")</f>
        <v>Bioorg Med Chem Lett</v>
      </c>
      <c r="K3929" s="25" t="str">
        <f aca="false">IFERROR(IF(INDEX(Documents!$G$5:$G$657,MATCH(H3929,Documents!$A$5:$A$657,0))="","",INDEX(Documents!$G$5:$G$657,MATCH(H3929,Documents!$A$5:$A$657,0))),"")</f>
        <v>10.1016/j.bmcl.2013.02.025</v>
      </c>
      <c r="L3929" s="25" t="s">
        <v>5622</v>
      </c>
    </row>
    <row r="3930" customFormat="false" ht="15" hidden="false" customHeight="false" outlineLevel="0" collapsed="false">
      <c r="A3930" s="25" t="n">
        <v>27788240</v>
      </c>
      <c r="B3930" s="25" t="s">
        <v>8254</v>
      </c>
      <c r="C3930" s="25" t="s">
        <v>8255</v>
      </c>
      <c r="D3930" s="26" t="n">
        <v>138</v>
      </c>
      <c r="E3930" s="27" t="n">
        <v>6.86012091359876</v>
      </c>
      <c r="F3930" s="27" t="n">
        <v>6.86012091359876</v>
      </c>
      <c r="G3930" s="25" t="s">
        <v>310</v>
      </c>
      <c r="H3930" s="25" t="s">
        <v>311</v>
      </c>
      <c r="I3930" s="25" t="n">
        <f aca="false">IFERROR(IF(INDEX(Documents!$C$5:$C$657,MATCH(H3930,Documents!$A$5:$A$657,0))="","",INDEX(Documents!$C$5:$C$657,MATCH(H3930,Documents!$A$5:$A$657,0))),"")</f>
        <v>2019</v>
      </c>
      <c r="J3930" s="25" t="str">
        <f aca="false">IFERROR(IF(INDEX(Documents!$D$5:$D$657,MATCH(H3930,Documents!$A$5:$A$657,0))="","",INDEX(Documents!$D$5:$D$657,MATCH(H3930,Documents!$A$5:$A$657,0))),"")</f>
        <v/>
      </c>
      <c r="K3930" s="25" t="str">
        <f aca="false">IFERROR(IF(INDEX(Documents!$G$5:$G$657,MATCH(H3930,Documents!$A$5:$A$657,0))="","",INDEX(Documents!$G$5:$G$657,MATCH(H3930,Documents!$A$5:$A$657,0))),"")</f>
        <v/>
      </c>
      <c r="L3930" s="25" t="s">
        <v>312</v>
      </c>
    </row>
    <row r="3931" customFormat="false" ht="15" hidden="false" customHeight="false" outlineLevel="0" collapsed="false">
      <c r="A3931" s="25" t="n">
        <v>3198534</v>
      </c>
      <c r="B3931" s="25" t="s">
        <v>8256</v>
      </c>
      <c r="C3931" s="25" t="s">
        <v>8257</v>
      </c>
      <c r="D3931" s="26" t="n">
        <v>673</v>
      </c>
      <c r="E3931" s="27" t="n">
        <v>6.17198493577602</v>
      </c>
      <c r="F3931" s="27" t="n">
        <v>6.17198493577602</v>
      </c>
      <c r="G3931" s="25" t="s">
        <v>4040</v>
      </c>
      <c r="H3931" s="25" t="s">
        <v>4041</v>
      </c>
      <c r="I3931" s="25" t="n">
        <f aca="false">IFERROR(IF(INDEX(Documents!$C$5:$C$657,MATCH(H3931,Documents!$A$5:$A$657,0))="","",INDEX(Documents!$C$5:$C$657,MATCH(H3931,Documents!$A$5:$A$657,0))),"")</f>
        <v>2010</v>
      </c>
      <c r="J3931" s="25" t="str">
        <f aca="false">IFERROR(IF(INDEX(Documents!$D$5:$D$657,MATCH(H3931,Documents!$A$5:$A$657,0))="","",INDEX(Documents!$D$5:$D$657,MATCH(H3931,Documents!$A$5:$A$657,0))),"")</f>
        <v>Eur J Med Chem</v>
      </c>
      <c r="K3931" s="25" t="str">
        <f aca="false">IFERROR(IF(INDEX(Documents!$G$5:$G$657,MATCH(H3931,Documents!$A$5:$A$657,0))="","",INDEX(Documents!$G$5:$G$657,MATCH(H3931,Documents!$A$5:$A$657,0))),"")</f>
        <v>10.1016/j.ejmech.2009.12.018</v>
      </c>
      <c r="L3931" s="25" t="s">
        <v>4042</v>
      </c>
    </row>
    <row r="3932" customFormat="false" ht="15" hidden="false" customHeight="false" outlineLevel="0" collapsed="false">
      <c r="A3932" s="25" t="n">
        <v>3198518</v>
      </c>
      <c r="B3932" s="25" t="s">
        <v>8258</v>
      </c>
      <c r="C3932" s="25" t="s">
        <v>8259</v>
      </c>
      <c r="D3932" s="26" t="n">
        <v>1866</v>
      </c>
      <c r="E3932" s="27" t="n">
        <v>5.72908836058952</v>
      </c>
      <c r="F3932" s="27" t="n">
        <v>5.72908836058952</v>
      </c>
      <c r="G3932" s="25" t="s">
        <v>4040</v>
      </c>
      <c r="H3932" s="25" t="s">
        <v>4041</v>
      </c>
      <c r="I3932" s="25" t="n">
        <f aca="false">IFERROR(IF(INDEX(Documents!$C$5:$C$657,MATCH(H3932,Documents!$A$5:$A$657,0))="","",INDEX(Documents!$C$5:$C$657,MATCH(H3932,Documents!$A$5:$A$657,0))),"")</f>
        <v>2010</v>
      </c>
      <c r="J3932" s="25" t="str">
        <f aca="false">IFERROR(IF(INDEX(Documents!$D$5:$D$657,MATCH(H3932,Documents!$A$5:$A$657,0))="","",INDEX(Documents!$D$5:$D$657,MATCH(H3932,Documents!$A$5:$A$657,0))),"")</f>
        <v>Eur J Med Chem</v>
      </c>
      <c r="K3932" s="25" t="str">
        <f aca="false">IFERROR(IF(INDEX(Documents!$G$5:$G$657,MATCH(H3932,Documents!$A$5:$A$657,0))="","",INDEX(Documents!$G$5:$G$657,MATCH(H3932,Documents!$A$5:$A$657,0))),"")</f>
        <v>10.1016/j.ejmech.2009.12.018</v>
      </c>
      <c r="L3932" s="25" t="s">
        <v>4042</v>
      </c>
    </row>
    <row r="3933" customFormat="false" ht="15" hidden="false" customHeight="false" outlineLevel="0" collapsed="false">
      <c r="A3933" s="25" t="n">
        <v>27788198</v>
      </c>
      <c r="B3933" s="25" t="s">
        <v>8260</v>
      </c>
      <c r="C3933" s="25" t="s">
        <v>8261</v>
      </c>
      <c r="D3933" s="26" t="n">
        <v>729</v>
      </c>
      <c r="E3933" s="27" t="n">
        <v>6.13727247168203</v>
      </c>
      <c r="F3933" s="27" t="n">
        <v>6.13727247168203</v>
      </c>
      <c r="G3933" s="25" t="s">
        <v>310</v>
      </c>
      <c r="H3933" s="25" t="s">
        <v>311</v>
      </c>
      <c r="I3933" s="25" t="n">
        <f aca="false">IFERROR(IF(INDEX(Documents!$C$5:$C$657,MATCH(H3933,Documents!$A$5:$A$657,0))="","",INDEX(Documents!$C$5:$C$657,MATCH(H3933,Documents!$A$5:$A$657,0))),"")</f>
        <v>2019</v>
      </c>
      <c r="J3933" s="25" t="str">
        <f aca="false">IFERROR(IF(INDEX(Documents!$D$5:$D$657,MATCH(H3933,Documents!$A$5:$A$657,0))="","",INDEX(Documents!$D$5:$D$657,MATCH(H3933,Documents!$A$5:$A$657,0))),"")</f>
        <v/>
      </c>
      <c r="K3933" s="25" t="str">
        <f aca="false">IFERROR(IF(INDEX(Documents!$G$5:$G$657,MATCH(H3933,Documents!$A$5:$A$657,0))="","",INDEX(Documents!$G$5:$G$657,MATCH(H3933,Documents!$A$5:$A$657,0))),"")</f>
        <v/>
      </c>
      <c r="L3933" s="25" t="s">
        <v>312</v>
      </c>
    </row>
    <row r="3934" customFormat="false" ht="15" hidden="false" customHeight="false" outlineLevel="0" collapsed="false">
      <c r="A3934" s="25" t="n">
        <v>13922871</v>
      </c>
      <c r="B3934" s="25" t="s">
        <v>8262</v>
      </c>
      <c r="C3934" s="25" t="s">
        <v>8263</v>
      </c>
      <c r="D3934" s="26" t="n">
        <v>3510</v>
      </c>
      <c r="E3934" s="27" t="n">
        <v>5.45469288353418</v>
      </c>
      <c r="F3934" s="27" t="n">
        <v>5.45469288353418</v>
      </c>
      <c r="G3934" s="25" t="s">
        <v>243</v>
      </c>
      <c r="H3934" s="25" t="s">
        <v>244</v>
      </c>
      <c r="I3934" s="25" t="n">
        <f aca="false">IFERROR(IF(INDEX(Documents!$C$5:$C$657,MATCH(H3934,Documents!$A$5:$A$657,0))="","",INDEX(Documents!$C$5:$C$657,MATCH(H3934,Documents!$A$5:$A$657,0))),"")</f>
        <v>2014</v>
      </c>
      <c r="J3934" s="25" t="str">
        <f aca="false">IFERROR(IF(INDEX(Documents!$D$5:$D$657,MATCH(H3934,Documents!$A$5:$A$657,0))="","",INDEX(Documents!$D$5:$D$657,MATCH(H3934,Documents!$A$5:$A$657,0))),"")</f>
        <v>Eur J Med Chem</v>
      </c>
      <c r="K3934" s="25" t="str">
        <f aca="false">IFERROR(IF(INDEX(Documents!$G$5:$G$657,MATCH(H3934,Documents!$A$5:$A$657,0))="","",INDEX(Documents!$G$5:$G$657,MATCH(H3934,Documents!$A$5:$A$657,0))),"")</f>
        <v>10.1016/j.ejmech.2013.11.026</v>
      </c>
      <c r="L3934" s="25" t="s">
        <v>245</v>
      </c>
    </row>
    <row r="3935" customFormat="false" ht="15" hidden="false" customHeight="false" outlineLevel="0" collapsed="false">
      <c r="A3935" s="25" t="n">
        <v>22894744</v>
      </c>
      <c r="B3935" s="25" t="s">
        <v>8264</v>
      </c>
      <c r="C3935" s="25" t="s">
        <v>8265</v>
      </c>
      <c r="D3935" s="26" t="n">
        <v>440</v>
      </c>
      <c r="E3935" s="27" t="n">
        <v>6.35654732351381</v>
      </c>
      <c r="F3935" s="27" t="n">
        <v>6.35654732351381</v>
      </c>
      <c r="G3935" s="25" t="s">
        <v>4690</v>
      </c>
      <c r="H3935" s="25" t="s">
        <v>4691</v>
      </c>
      <c r="I3935" s="25" t="n">
        <f aca="false">IFERROR(IF(INDEX(Documents!$C$5:$C$657,MATCH(H3935,Documents!$A$5:$A$657,0))="","",INDEX(Documents!$C$5:$C$657,MATCH(H3935,Documents!$A$5:$A$657,0))),"")</f>
        <v>2020</v>
      </c>
      <c r="J3935" s="25" t="str">
        <f aca="false">IFERROR(IF(INDEX(Documents!$D$5:$D$657,MATCH(H3935,Documents!$A$5:$A$657,0))="","",INDEX(Documents!$D$5:$D$657,MATCH(H3935,Documents!$A$5:$A$657,0))),"")</f>
        <v>Bioorg Med Chem</v>
      </c>
      <c r="K3935" s="25" t="str">
        <f aca="false">IFERROR(IF(INDEX(Documents!$G$5:$G$657,MATCH(H3935,Documents!$A$5:$A$657,0))="","",INDEX(Documents!$G$5:$G$657,MATCH(H3935,Documents!$A$5:$A$657,0))),"")</f>
        <v>10.1016/j.bmc.2020.115672</v>
      </c>
      <c r="L3935" s="25" t="s">
        <v>4692</v>
      </c>
    </row>
    <row r="3936" customFormat="false" ht="15" hidden="false" customHeight="false" outlineLevel="0" collapsed="false">
      <c r="A3936" s="25" t="n">
        <v>13922867</v>
      </c>
      <c r="B3936" s="25" t="s">
        <v>8266</v>
      </c>
      <c r="C3936" s="25" t="s">
        <v>8267</v>
      </c>
      <c r="D3936" s="26" t="n">
        <v>400</v>
      </c>
      <c r="E3936" s="27" t="n">
        <v>6.39794000867204</v>
      </c>
      <c r="F3936" s="27" t="n">
        <v>6.39794000867204</v>
      </c>
      <c r="G3936" s="25" t="s">
        <v>243</v>
      </c>
      <c r="H3936" s="25" t="s">
        <v>244</v>
      </c>
      <c r="I3936" s="25" t="n">
        <f aca="false">IFERROR(IF(INDEX(Documents!$C$5:$C$657,MATCH(H3936,Documents!$A$5:$A$657,0))="","",INDEX(Documents!$C$5:$C$657,MATCH(H3936,Documents!$A$5:$A$657,0))),"")</f>
        <v>2014</v>
      </c>
      <c r="J3936" s="25" t="str">
        <f aca="false">IFERROR(IF(INDEX(Documents!$D$5:$D$657,MATCH(H3936,Documents!$A$5:$A$657,0))="","",INDEX(Documents!$D$5:$D$657,MATCH(H3936,Documents!$A$5:$A$657,0))),"")</f>
        <v>Eur J Med Chem</v>
      </c>
      <c r="K3936" s="25" t="str">
        <f aca="false">IFERROR(IF(INDEX(Documents!$G$5:$G$657,MATCH(H3936,Documents!$A$5:$A$657,0))="","",INDEX(Documents!$G$5:$G$657,MATCH(H3936,Documents!$A$5:$A$657,0))),"")</f>
        <v>10.1016/j.ejmech.2013.11.026</v>
      </c>
      <c r="L3936" s="25" t="s">
        <v>245</v>
      </c>
    </row>
    <row r="3937" customFormat="false" ht="15" hidden="false" customHeight="false" outlineLevel="0" collapsed="false">
      <c r="A3937" s="25" t="n">
        <v>13922866</v>
      </c>
      <c r="B3937" s="25" t="s">
        <v>8268</v>
      </c>
      <c r="C3937" s="25" t="s">
        <v>8269</v>
      </c>
      <c r="D3937" s="26" t="n">
        <v>240</v>
      </c>
      <c r="E3937" s="27" t="n">
        <v>6.61978875828839</v>
      </c>
      <c r="F3937" s="27" t="n">
        <v>6.61978875828839</v>
      </c>
      <c r="G3937" s="25" t="s">
        <v>243</v>
      </c>
      <c r="H3937" s="25" t="s">
        <v>244</v>
      </c>
      <c r="I3937" s="25" t="n">
        <f aca="false">IFERROR(IF(INDEX(Documents!$C$5:$C$657,MATCH(H3937,Documents!$A$5:$A$657,0))="","",INDEX(Documents!$C$5:$C$657,MATCH(H3937,Documents!$A$5:$A$657,0))),"")</f>
        <v>2014</v>
      </c>
      <c r="J3937" s="25" t="str">
        <f aca="false">IFERROR(IF(INDEX(Documents!$D$5:$D$657,MATCH(H3937,Documents!$A$5:$A$657,0))="","",INDEX(Documents!$D$5:$D$657,MATCH(H3937,Documents!$A$5:$A$657,0))),"")</f>
        <v>Eur J Med Chem</v>
      </c>
      <c r="K3937" s="25" t="str">
        <f aca="false">IFERROR(IF(INDEX(Documents!$G$5:$G$657,MATCH(H3937,Documents!$A$5:$A$657,0))="","",INDEX(Documents!$G$5:$G$657,MATCH(H3937,Documents!$A$5:$A$657,0))),"")</f>
        <v>10.1016/j.ejmech.2013.11.026</v>
      </c>
      <c r="L3937" s="25" t="s">
        <v>245</v>
      </c>
    </row>
    <row r="3938" customFormat="false" ht="15" hidden="false" customHeight="false" outlineLevel="0" collapsed="false">
      <c r="A3938" s="25" t="n">
        <v>13922872</v>
      </c>
      <c r="B3938" s="25" t="s">
        <v>8270</v>
      </c>
      <c r="C3938" s="25" t="s">
        <v>8271</v>
      </c>
      <c r="D3938" s="26" t="n">
        <v>1300</v>
      </c>
      <c r="E3938" s="27" t="n">
        <v>5.88605664769316</v>
      </c>
      <c r="F3938" s="27" t="n">
        <v>5.88605664769316</v>
      </c>
      <c r="G3938" s="25" t="s">
        <v>243</v>
      </c>
      <c r="H3938" s="25" t="s">
        <v>244</v>
      </c>
      <c r="I3938" s="25" t="n">
        <f aca="false">IFERROR(IF(INDEX(Documents!$C$5:$C$657,MATCH(H3938,Documents!$A$5:$A$657,0))="","",INDEX(Documents!$C$5:$C$657,MATCH(H3938,Documents!$A$5:$A$657,0))),"")</f>
        <v>2014</v>
      </c>
      <c r="J3938" s="25" t="str">
        <f aca="false">IFERROR(IF(INDEX(Documents!$D$5:$D$657,MATCH(H3938,Documents!$A$5:$A$657,0))="","",INDEX(Documents!$D$5:$D$657,MATCH(H3938,Documents!$A$5:$A$657,0))),"")</f>
        <v>Eur J Med Chem</v>
      </c>
      <c r="K3938" s="25" t="str">
        <f aca="false">IFERROR(IF(INDEX(Documents!$G$5:$G$657,MATCH(H3938,Documents!$A$5:$A$657,0))="","",INDEX(Documents!$G$5:$G$657,MATCH(H3938,Documents!$A$5:$A$657,0))),"")</f>
        <v>10.1016/j.ejmech.2013.11.026</v>
      </c>
      <c r="L3938" s="25" t="s">
        <v>245</v>
      </c>
    </row>
    <row r="3939" customFormat="false" ht="15" hidden="false" customHeight="false" outlineLevel="0" collapsed="false">
      <c r="A3939" s="25" t="n">
        <v>22894745</v>
      </c>
      <c r="B3939" s="25" t="s">
        <v>8272</v>
      </c>
      <c r="C3939" s="25" t="s">
        <v>8273</v>
      </c>
      <c r="D3939" s="26" t="n">
        <v>7000</v>
      </c>
      <c r="E3939" s="27" t="n">
        <v>5.15490195998574</v>
      </c>
      <c r="F3939" s="27" t="n">
        <v>5.15490195998574</v>
      </c>
      <c r="G3939" s="25" t="s">
        <v>4690</v>
      </c>
      <c r="H3939" s="25" t="s">
        <v>4691</v>
      </c>
      <c r="I3939" s="25" t="n">
        <f aca="false">IFERROR(IF(INDEX(Documents!$C$5:$C$657,MATCH(H3939,Documents!$A$5:$A$657,0))="","",INDEX(Documents!$C$5:$C$657,MATCH(H3939,Documents!$A$5:$A$657,0))),"")</f>
        <v>2020</v>
      </c>
      <c r="J3939" s="25" t="str">
        <f aca="false">IFERROR(IF(INDEX(Documents!$D$5:$D$657,MATCH(H3939,Documents!$A$5:$A$657,0))="","",INDEX(Documents!$D$5:$D$657,MATCH(H3939,Documents!$A$5:$A$657,0))),"")</f>
        <v>Bioorg Med Chem</v>
      </c>
      <c r="K3939" s="25" t="str">
        <f aca="false">IFERROR(IF(INDEX(Documents!$G$5:$G$657,MATCH(H3939,Documents!$A$5:$A$657,0))="","",INDEX(Documents!$G$5:$G$657,MATCH(H3939,Documents!$A$5:$A$657,0))),"")</f>
        <v>10.1016/j.bmc.2020.115672</v>
      </c>
      <c r="L3939" s="25" t="s">
        <v>4692</v>
      </c>
    </row>
    <row r="3940" customFormat="false" ht="15" hidden="false" customHeight="false" outlineLevel="0" collapsed="false">
      <c r="A3940" s="25" t="n">
        <v>13922864</v>
      </c>
      <c r="B3940" s="25" t="s">
        <v>8274</v>
      </c>
      <c r="C3940" s="25" t="s">
        <v>8275</v>
      </c>
      <c r="D3940" s="26" t="n">
        <v>2000</v>
      </c>
      <c r="E3940" s="27" t="n">
        <v>5.69897000433602</v>
      </c>
      <c r="F3940" s="27" t="n">
        <v>5.69897000433602</v>
      </c>
      <c r="G3940" s="25" t="s">
        <v>243</v>
      </c>
      <c r="H3940" s="25" t="s">
        <v>244</v>
      </c>
      <c r="I3940" s="25" t="n">
        <f aca="false">IFERROR(IF(INDEX(Documents!$C$5:$C$657,MATCH(H3940,Documents!$A$5:$A$657,0))="","",INDEX(Documents!$C$5:$C$657,MATCH(H3940,Documents!$A$5:$A$657,0))),"")</f>
        <v>2014</v>
      </c>
      <c r="J3940" s="25" t="str">
        <f aca="false">IFERROR(IF(INDEX(Documents!$D$5:$D$657,MATCH(H3940,Documents!$A$5:$A$657,0))="","",INDEX(Documents!$D$5:$D$657,MATCH(H3940,Documents!$A$5:$A$657,0))),"")</f>
        <v>Eur J Med Chem</v>
      </c>
      <c r="K3940" s="25" t="str">
        <f aca="false">IFERROR(IF(INDEX(Documents!$G$5:$G$657,MATCH(H3940,Documents!$A$5:$A$657,0))="","",INDEX(Documents!$G$5:$G$657,MATCH(H3940,Documents!$A$5:$A$657,0))),"")</f>
        <v>10.1016/j.ejmech.2013.11.026</v>
      </c>
      <c r="L3940" s="25" t="s">
        <v>245</v>
      </c>
    </row>
  </sheetData>
  <autoFilter ref="A5:L39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60"/>
    <col collapsed="false" customWidth="true" hidden="false" outlineLevel="0" max="4" min="4" style="0" width="12"/>
    <col collapsed="false" customWidth="true" hidden="false" outlineLevel="0" max="5" min="5" style="0" width="8"/>
    <col collapsed="false" customWidth="true" hidden="false" outlineLevel="0" max="6" min="6" style="0" width="12"/>
    <col collapsed="false" customWidth="true" hidden="false" outlineLevel="0" max="7" min="7" style="0" width="16"/>
    <col collapsed="false" customWidth="true" hidden="false" outlineLevel="0" max="8" min="8" style="0" width="18"/>
    <col collapsed="false" customWidth="true" hidden="false" outlineLevel="0" max="9" min="9" style="0" width="7"/>
    <col collapsed="false" customWidth="true" hidden="false" outlineLevel="0" max="10" min="10" style="0" width="60"/>
    <col collapsed="false" customWidth="true" hidden="false" outlineLevel="0" max="11" min="11" style="0" width="50"/>
  </cols>
  <sheetData>
    <row r="1" customFormat="false" ht="19.7" hidden="false" customHeight="false" outlineLevel="0" collapsed="false">
      <c r="A1" s="1" t="s">
        <v>38</v>
      </c>
    </row>
    <row r="2" customFormat="false" ht="15" hidden="false" customHeight="false" outlineLevel="0" collapsed="false">
      <c r="A2" s="2" t="s">
        <v>8276</v>
      </c>
    </row>
    <row r="3" customFormat="false" ht="15" hidden="false" customHeight="false" outlineLevel="0" collapsed="false">
      <c r="A3" s="12" t="s">
        <v>8277</v>
      </c>
    </row>
    <row r="5" customFormat="false" ht="35.05" hidden="false" customHeight="false" outlineLevel="0" collapsed="false">
      <c r="A5" s="10" t="s">
        <v>229</v>
      </c>
      <c r="B5" s="10" t="s">
        <v>230</v>
      </c>
      <c r="C5" s="10" t="s">
        <v>231</v>
      </c>
      <c r="D5" s="10" t="s">
        <v>232</v>
      </c>
      <c r="E5" s="10" t="s">
        <v>139</v>
      </c>
      <c r="F5" s="10" t="s">
        <v>8278</v>
      </c>
      <c r="G5" s="10" t="s">
        <v>235</v>
      </c>
      <c r="H5" s="10" t="s">
        <v>236</v>
      </c>
      <c r="I5" s="10" t="s">
        <v>237</v>
      </c>
      <c r="J5" s="10" t="s">
        <v>240</v>
      </c>
      <c r="K5" s="10" t="s">
        <v>8279</v>
      </c>
    </row>
    <row r="6" customFormat="false" ht="15" hidden="false" customHeight="false" outlineLevel="0" collapsed="false">
      <c r="A6" s="25" t="n">
        <v>3316536</v>
      </c>
      <c r="B6" s="25" t="s">
        <v>8280</v>
      </c>
      <c r="C6" s="25" t="s">
        <v>8281</v>
      </c>
      <c r="D6" s="26" t="n">
        <v>10000</v>
      </c>
      <c r="E6" s="27" t="n">
        <v>5</v>
      </c>
      <c r="F6" s="27" t="n">
        <f aca="false">_xlfn.MAXIFS($E$6:$E$151,$C$6:$C$151,C6)-_xlfn.MINIFS($E$6:$E$151,$C$6:$C$151,C6)</f>
        <v>1.4294570601181</v>
      </c>
      <c r="G6" s="25" t="s">
        <v>8282</v>
      </c>
      <c r="H6" s="25" t="s">
        <v>8283</v>
      </c>
      <c r="I6" s="25" t="n">
        <v>2010</v>
      </c>
      <c r="J6" s="25" t="s">
        <v>5441</v>
      </c>
      <c r="K6" s="25" t="s">
        <v>8284</v>
      </c>
    </row>
    <row r="7" customFormat="false" ht="15" hidden="false" customHeight="false" outlineLevel="0" collapsed="false">
      <c r="A7" s="25" t="n">
        <v>25917769</v>
      </c>
      <c r="B7" s="25" t="s">
        <v>8280</v>
      </c>
      <c r="C7" s="25" t="s">
        <v>8281</v>
      </c>
      <c r="D7" s="26" t="n">
        <v>4582</v>
      </c>
      <c r="E7" s="27" t="n">
        <v>5.33894491514662</v>
      </c>
      <c r="F7" s="27" t="n">
        <f aca="false">_xlfn.MAXIFS($E$6:$E$151,$C$6:$C$151,C7)-_xlfn.MINIFS($E$6:$E$151,$C$6:$C$151,C7)</f>
        <v>1.4294570601181</v>
      </c>
      <c r="G7" s="25" t="s">
        <v>8285</v>
      </c>
      <c r="H7" s="25" t="s">
        <v>8286</v>
      </c>
      <c r="I7" s="25" t="n">
        <v>2024</v>
      </c>
      <c r="J7" s="25" t="s">
        <v>407</v>
      </c>
      <c r="K7" s="25" t="s">
        <v>8284</v>
      </c>
    </row>
    <row r="8" customFormat="false" ht="15" hidden="false" customHeight="false" outlineLevel="0" collapsed="false">
      <c r="A8" s="25" t="n">
        <v>14574124</v>
      </c>
      <c r="B8" s="25" t="s">
        <v>8280</v>
      </c>
      <c r="C8" s="25" t="s">
        <v>8281</v>
      </c>
      <c r="D8" s="26" t="n">
        <v>2860</v>
      </c>
      <c r="E8" s="27" t="n">
        <v>5.54363396687096</v>
      </c>
      <c r="F8" s="27" t="n">
        <f aca="false">_xlfn.MAXIFS($E$6:$E$151,$C$6:$C$151,C8)-_xlfn.MINIFS($E$6:$E$151,$C$6:$C$151,C8)</f>
        <v>1.4294570601181</v>
      </c>
      <c r="G8" s="25" t="s">
        <v>2081</v>
      </c>
      <c r="H8" s="25" t="s">
        <v>1358</v>
      </c>
      <c r="I8" s="25" t="n">
        <v>2013</v>
      </c>
      <c r="J8" s="25" t="s">
        <v>515</v>
      </c>
      <c r="K8" s="25" t="s">
        <v>8284</v>
      </c>
    </row>
    <row r="9" customFormat="false" ht="15" hidden="false" customHeight="false" outlineLevel="0" collapsed="false">
      <c r="A9" s="25" t="n">
        <v>19371453</v>
      </c>
      <c r="B9" s="25" t="s">
        <v>8280</v>
      </c>
      <c r="C9" s="25" t="s">
        <v>8281</v>
      </c>
      <c r="D9" s="26" t="n">
        <v>372</v>
      </c>
      <c r="E9" s="27" t="n">
        <v>6.4294570601181</v>
      </c>
      <c r="F9" s="27" t="n">
        <f aca="false">_xlfn.MAXIFS($E$6:$E$151,$C$6:$C$151,C9)-_xlfn.MINIFS($E$6:$E$151,$C$6:$C$151,C9)</f>
        <v>1.4294570601181</v>
      </c>
      <c r="G9" s="25" t="s">
        <v>389</v>
      </c>
      <c r="H9" s="25" t="s">
        <v>341</v>
      </c>
      <c r="I9" s="25" t="n">
        <v>2019</v>
      </c>
      <c r="J9" s="25" t="s">
        <v>390</v>
      </c>
      <c r="K9" s="25" t="s">
        <v>8284</v>
      </c>
    </row>
    <row r="10" customFormat="false" ht="15" hidden="false" customHeight="false" outlineLevel="0" collapsed="false">
      <c r="A10" s="25" t="n">
        <v>3017088</v>
      </c>
      <c r="B10" s="25" t="s">
        <v>8287</v>
      </c>
      <c r="C10" s="25" t="s">
        <v>8288</v>
      </c>
      <c r="D10" s="26" t="n">
        <v>120</v>
      </c>
      <c r="E10" s="27" t="n">
        <v>6.92081875395238</v>
      </c>
      <c r="F10" s="27" t="n">
        <f aca="false">_xlfn.MAXIFS($E$6:$E$151,$C$6:$C$151,C10)-_xlfn.MINIFS($E$6:$E$151,$C$6:$C$151,C10)</f>
        <v>1.71745341003003</v>
      </c>
      <c r="G10" s="25" t="s">
        <v>1785</v>
      </c>
      <c r="H10" s="25" t="s">
        <v>1786</v>
      </c>
      <c r="I10" s="25" t="n">
        <v>2009</v>
      </c>
      <c r="J10" s="25" t="s">
        <v>659</v>
      </c>
      <c r="K10" s="25" t="s">
        <v>8284</v>
      </c>
    </row>
    <row r="11" customFormat="false" ht="15" hidden="false" customHeight="false" outlineLevel="0" collapsed="false">
      <c r="A11" s="25" t="n">
        <v>3017086</v>
      </c>
      <c r="B11" s="25" t="s">
        <v>8287</v>
      </c>
      <c r="C11" s="25" t="s">
        <v>8288</v>
      </c>
      <c r="D11" s="26" t="n">
        <v>10</v>
      </c>
      <c r="E11" s="27" t="n">
        <v>8</v>
      </c>
      <c r="F11" s="27" t="n">
        <f aca="false">_xlfn.MAXIFS($E$6:$E$151,$C$6:$C$151,C11)-_xlfn.MINIFS($E$6:$E$151,$C$6:$C$151,C11)</f>
        <v>1.71745341003003</v>
      </c>
      <c r="G11" s="25" t="s">
        <v>1785</v>
      </c>
      <c r="H11" s="25" t="s">
        <v>1786</v>
      </c>
      <c r="I11" s="25" t="n">
        <v>2009</v>
      </c>
      <c r="J11" s="25" t="s">
        <v>659</v>
      </c>
      <c r="K11" s="25" t="s">
        <v>8284</v>
      </c>
    </row>
    <row r="12" customFormat="false" ht="15" hidden="false" customHeight="false" outlineLevel="0" collapsed="false">
      <c r="A12" s="25" t="n">
        <v>3017087</v>
      </c>
      <c r="B12" s="25" t="s">
        <v>8287</v>
      </c>
      <c r="C12" s="25" t="s">
        <v>8288</v>
      </c>
      <c r="D12" s="26" t="n">
        <v>2.3</v>
      </c>
      <c r="E12" s="27" t="n">
        <v>8.63827216398241</v>
      </c>
      <c r="F12" s="27" t="n">
        <f aca="false">_xlfn.MAXIFS($E$6:$E$151,$C$6:$C$151,C12)-_xlfn.MINIFS($E$6:$E$151,$C$6:$C$151,C12)</f>
        <v>1.71745341003003</v>
      </c>
      <c r="G12" s="25" t="s">
        <v>1785</v>
      </c>
      <c r="H12" s="25" t="s">
        <v>1786</v>
      </c>
      <c r="I12" s="25" t="n">
        <v>2009</v>
      </c>
      <c r="J12" s="25" t="s">
        <v>659</v>
      </c>
      <c r="K12" s="25" t="s">
        <v>8284</v>
      </c>
    </row>
    <row r="13" customFormat="false" ht="15" hidden="false" customHeight="false" outlineLevel="0" collapsed="false">
      <c r="A13" s="25" t="n">
        <v>16300765</v>
      </c>
      <c r="B13" s="25" t="s">
        <v>8289</v>
      </c>
      <c r="C13" s="25" t="s">
        <v>8290</v>
      </c>
      <c r="D13" s="26" t="n">
        <v>20</v>
      </c>
      <c r="E13" s="27" t="n">
        <v>7.69897000433602</v>
      </c>
      <c r="F13" s="27" t="n">
        <f aca="false">_xlfn.MAXIFS($E$6:$E$151,$C$6:$C$151,C13)-_xlfn.MINIFS($E$6:$E$151,$C$6:$C$151,C13)</f>
        <v>1.04575749056067</v>
      </c>
      <c r="G13" s="25" t="s">
        <v>326</v>
      </c>
      <c r="H13" s="25" t="s">
        <v>327</v>
      </c>
      <c r="I13" s="25" t="n">
        <v>2014</v>
      </c>
      <c r="J13" s="25" t="s">
        <v>328</v>
      </c>
      <c r="K13" s="25" t="s">
        <v>8284</v>
      </c>
    </row>
    <row r="14" customFormat="false" ht="15" hidden="false" customHeight="false" outlineLevel="0" collapsed="false">
      <c r="A14" s="25" t="n">
        <v>16334184</v>
      </c>
      <c r="B14" s="25" t="s">
        <v>8289</v>
      </c>
      <c r="C14" s="25" t="s">
        <v>8290</v>
      </c>
      <c r="D14" s="26" t="n">
        <v>1.8</v>
      </c>
      <c r="E14" s="27" t="n">
        <v>8.74472749489669</v>
      </c>
      <c r="F14" s="27" t="n">
        <f aca="false">_xlfn.MAXIFS($E$6:$E$151,$C$6:$C$151,C14)-_xlfn.MINIFS($E$6:$E$151,$C$6:$C$151,C14)</f>
        <v>1.04575749056067</v>
      </c>
      <c r="G14" s="25" t="s">
        <v>326</v>
      </c>
      <c r="H14" s="25" t="s">
        <v>327</v>
      </c>
      <c r="I14" s="25" t="n">
        <v>2014</v>
      </c>
      <c r="J14" s="25" t="s">
        <v>328</v>
      </c>
      <c r="K14" s="25" t="s">
        <v>8284</v>
      </c>
    </row>
    <row r="15" customFormat="false" ht="15" hidden="false" customHeight="false" outlineLevel="0" collapsed="false">
      <c r="A15" s="25" t="n">
        <v>29009900</v>
      </c>
      <c r="B15" s="25" t="s">
        <v>8291</v>
      </c>
      <c r="C15" s="25" t="s">
        <v>8292</v>
      </c>
      <c r="D15" s="26" t="n">
        <v>9.7</v>
      </c>
      <c r="E15" s="27" t="n">
        <v>8.01322826573376</v>
      </c>
      <c r="F15" s="27" t="n">
        <f aca="false">_xlfn.MAXIFS($E$6:$E$151,$C$6:$C$151,C15)-_xlfn.MINIFS($E$6:$E$151,$C$6:$C$151,C15)</f>
        <v>1.38471174293828</v>
      </c>
      <c r="G15" s="25" t="s">
        <v>480</v>
      </c>
      <c r="H15" s="25" t="s">
        <v>481</v>
      </c>
      <c r="I15" s="25" t="n">
        <v>2023</v>
      </c>
      <c r="J15" s="25" t="s">
        <v>482</v>
      </c>
      <c r="K15" s="25" t="s">
        <v>8284</v>
      </c>
    </row>
    <row r="16" customFormat="false" ht="15" hidden="false" customHeight="false" outlineLevel="0" collapsed="false">
      <c r="A16" s="25" t="n">
        <v>29009903</v>
      </c>
      <c r="B16" s="25" t="s">
        <v>8291</v>
      </c>
      <c r="C16" s="25" t="s">
        <v>8292</v>
      </c>
      <c r="D16" s="26" t="n">
        <v>0.4</v>
      </c>
      <c r="E16" s="27" t="n">
        <v>9.39794000867204</v>
      </c>
      <c r="F16" s="27" t="n">
        <f aca="false">_xlfn.MAXIFS($E$6:$E$151,$C$6:$C$151,C16)-_xlfn.MINIFS($E$6:$E$151,$C$6:$C$151,C16)</f>
        <v>1.38471174293828</v>
      </c>
      <c r="G16" s="25" t="s">
        <v>480</v>
      </c>
      <c r="H16" s="25" t="s">
        <v>481</v>
      </c>
      <c r="I16" s="25" t="n">
        <v>2023</v>
      </c>
      <c r="J16" s="25" t="s">
        <v>482</v>
      </c>
      <c r="K16" s="25" t="s">
        <v>8284</v>
      </c>
    </row>
    <row r="17" customFormat="false" ht="15" hidden="false" customHeight="false" outlineLevel="0" collapsed="false">
      <c r="A17" s="25" t="n">
        <v>15654709</v>
      </c>
      <c r="B17" s="25" t="s">
        <v>8293</v>
      </c>
      <c r="C17" s="25" t="s">
        <v>8294</v>
      </c>
      <c r="D17" s="26" t="n">
        <v>140</v>
      </c>
      <c r="E17" s="27" t="n">
        <v>6.85387196432176</v>
      </c>
      <c r="F17" s="27" t="n">
        <f aca="false">_xlfn.MAXIFS($E$6:$E$151,$C$6:$C$151,C17)-_xlfn.MINIFS($E$6:$E$151,$C$6:$C$151,C17)</f>
        <v>3.78440019966065</v>
      </c>
      <c r="G17" s="25" t="s">
        <v>4938</v>
      </c>
      <c r="H17" s="25" t="s">
        <v>4939</v>
      </c>
      <c r="I17" s="25" t="n">
        <v>2014</v>
      </c>
      <c r="J17" s="25" t="s">
        <v>4940</v>
      </c>
      <c r="K17" s="25" t="s">
        <v>8284</v>
      </c>
    </row>
    <row r="18" customFormat="false" ht="15" hidden="false" customHeight="false" outlineLevel="0" collapsed="false">
      <c r="A18" s="25" t="n">
        <v>1667514</v>
      </c>
      <c r="B18" s="25" t="s">
        <v>8293</v>
      </c>
      <c r="C18" s="25" t="s">
        <v>8294</v>
      </c>
      <c r="D18" s="26" t="n">
        <v>20.3</v>
      </c>
      <c r="E18" s="27" t="n">
        <v>7.69250396208679</v>
      </c>
      <c r="F18" s="27" t="n">
        <f aca="false">_xlfn.MAXIFS($E$6:$E$151,$C$6:$C$151,C18)-_xlfn.MINIFS($E$6:$E$151,$C$6:$C$151,C18)</f>
        <v>3.78440019966065</v>
      </c>
      <c r="G18" s="25" t="s">
        <v>1538</v>
      </c>
      <c r="H18" s="25" t="s">
        <v>1539</v>
      </c>
      <c r="I18" s="25" t="n">
        <v>2006</v>
      </c>
      <c r="J18" s="25" t="s">
        <v>775</v>
      </c>
      <c r="K18" s="25" t="s">
        <v>8284</v>
      </c>
    </row>
    <row r="19" customFormat="false" ht="15" hidden="false" customHeight="false" outlineLevel="0" collapsed="false">
      <c r="A19" s="25" t="n">
        <v>19482320</v>
      </c>
      <c r="B19" s="25" t="s">
        <v>8293</v>
      </c>
      <c r="C19" s="25" t="s">
        <v>8294</v>
      </c>
      <c r="D19" s="26" t="n">
        <v>8</v>
      </c>
      <c r="E19" s="27" t="n">
        <v>8.09691001300806</v>
      </c>
      <c r="F19" s="27" t="n">
        <f aca="false">_xlfn.MAXIFS($E$6:$E$151,$C$6:$C$151,C19)-_xlfn.MINIFS($E$6:$E$151,$C$6:$C$151,C19)</f>
        <v>3.78440019966065</v>
      </c>
      <c r="G19" s="25" t="s">
        <v>1161</v>
      </c>
      <c r="H19" s="25" t="s">
        <v>724</v>
      </c>
      <c r="I19" s="25" t="n">
        <v>2019</v>
      </c>
      <c r="J19" s="25" t="s">
        <v>1162</v>
      </c>
      <c r="K19" s="25" t="s">
        <v>8284</v>
      </c>
    </row>
    <row r="20" customFormat="false" ht="15" hidden="false" customHeight="false" outlineLevel="0" collapsed="false">
      <c r="A20" s="25" t="n">
        <v>25876172</v>
      </c>
      <c r="B20" s="25" t="s">
        <v>8293</v>
      </c>
      <c r="C20" s="25" t="s">
        <v>8294</v>
      </c>
      <c r="D20" s="26" t="n">
        <v>5</v>
      </c>
      <c r="E20" s="27" t="n">
        <v>8.30102999566398</v>
      </c>
      <c r="F20" s="27" t="n">
        <f aca="false">_xlfn.MAXIFS($E$6:$E$151,$C$6:$C$151,C20)-_xlfn.MINIFS($E$6:$E$151,$C$6:$C$151,C20)</f>
        <v>3.78440019966065</v>
      </c>
      <c r="G20" s="25" t="s">
        <v>648</v>
      </c>
      <c r="H20" s="25" t="s">
        <v>649</v>
      </c>
      <c r="I20" s="25" t="n">
        <v>2024</v>
      </c>
      <c r="J20" s="25" t="s">
        <v>650</v>
      </c>
      <c r="K20" s="25" t="s">
        <v>8284</v>
      </c>
    </row>
    <row r="21" customFormat="false" ht="15" hidden="false" customHeight="false" outlineLevel="0" collapsed="false">
      <c r="A21" s="25" t="n">
        <v>2622731</v>
      </c>
      <c r="B21" s="25" t="s">
        <v>8293</v>
      </c>
      <c r="C21" s="25" t="s">
        <v>8294</v>
      </c>
      <c r="D21" s="26" t="n">
        <v>3</v>
      </c>
      <c r="E21" s="27" t="n">
        <v>8.52287874528034</v>
      </c>
      <c r="F21" s="27" t="n">
        <f aca="false">_xlfn.MAXIFS($E$6:$E$151,$C$6:$C$151,C21)-_xlfn.MINIFS($E$6:$E$151,$C$6:$C$151,C21)</f>
        <v>3.78440019966065</v>
      </c>
      <c r="G21" s="25" t="s">
        <v>1707</v>
      </c>
      <c r="H21" s="25" t="s">
        <v>1708</v>
      </c>
      <c r="I21" s="25" t="n">
        <v>2009</v>
      </c>
      <c r="J21" s="25" t="s">
        <v>601</v>
      </c>
      <c r="K21" s="25" t="s">
        <v>8284</v>
      </c>
    </row>
    <row r="22" customFormat="false" ht="15" hidden="false" customHeight="false" outlineLevel="0" collapsed="false">
      <c r="A22" s="25" t="n">
        <v>10866716</v>
      </c>
      <c r="B22" s="25" t="s">
        <v>8293</v>
      </c>
      <c r="C22" s="25" t="s">
        <v>8294</v>
      </c>
      <c r="D22" s="26" t="n">
        <v>1.82</v>
      </c>
      <c r="E22" s="27" t="n">
        <v>8.73992861201493</v>
      </c>
      <c r="F22" s="27" t="n">
        <f aca="false">_xlfn.MAXIFS($E$6:$E$151,$C$6:$C$151,C22)-_xlfn.MINIFS($E$6:$E$151,$C$6:$C$151,C22)</f>
        <v>3.78440019966065</v>
      </c>
      <c r="G22" s="25" t="s">
        <v>7636</v>
      </c>
      <c r="H22" s="25" t="s">
        <v>7637</v>
      </c>
      <c r="I22" s="25" t="n">
        <v>2012</v>
      </c>
      <c r="J22" s="25" t="s">
        <v>7638</v>
      </c>
      <c r="K22" s="25" t="s">
        <v>8284</v>
      </c>
    </row>
    <row r="23" customFormat="false" ht="15" hidden="false" customHeight="false" outlineLevel="0" collapsed="false">
      <c r="A23" s="25" t="n">
        <v>2251097</v>
      </c>
      <c r="B23" s="25" t="s">
        <v>8293</v>
      </c>
      <c r="C23" s="25" t="s">
        <v>8294</v>
      </c>
      <c r="D23" s="26" t="n">
        <v>0.023</v>
      </c>
      <c r="E23" s="27" t="n">
        <v>10.6382721639824</v>
      </c>
      <c r="F23" s="27" t="n">
        <f aca="false">_xlfn.MAXIFS($E$6:$E$151,$C$6:$C$151,C23)-_xlfn.MINIFS($E$6:$E$151,$C$6:$C$151,C23)</f>
        <v>3.78440019966065</v>
      </c>
      <c r="G23" s="25" t="s">
        <v>2152</v>
      </c>
      <c r="H23" s="25" t="s">
        <v>2153</v>
      </c>
      <c r="I23" s="25" t="n">
        <v>2009</v>
      </c>
      <c r="J23" s="25" t="s">
        <v>2020</v>
      </c>
      <c r="K23" s="25" t="s">
        <v>8284</v>
      </c>
    </row>
    <row r="24" customFormat="false" ht="15" hidden="false" customHeight="false" outlineLevel="0" collapsed="false">
      <c r="A24" s="25" t="n">
        <v>13850272</v>
      </c>
      <c r="B24" s="25" t="s">
        <v>8295</v>
      </c>
      <c r="C24" s="25" t="s">
        <v>8296</v>
      </c>
      <c r="D24" s="26" t="n">
        <v>18</v>
      </c>
      <c r="E24" s="27" t="n">
        <v>7.74472749489669</v>
      </c>
      <c r="F24" s="27" t="n">
        <f aca="false">_xlfn.MAXIFS($E$6:$E$151,$C$6:$C$151,C24)-_xlfn.MINIFS($E$6:$E$151,$C$6:$C$151,C24)</f>
        <v>2.07918124604763</v>
      </c>
      <c r="G24" s="25" t="s">
        <v>5354</v>
      </c>
      <c r="H24" s="25" t="s">
        <v>4134</v>
      </c>
      <c r="I24" s="25" t="n">
        <v>2013</v>
      </c>
      <c r="J24" s="25" t="s">
        <v>5355</v>
      </c>
      <c r="K24" s="25" t="s">
        <v>8284</v>
      </c>
    </row>
    <row r="25" customFormat="false" ht="15" hidden="false" customHeight="false" outlineLevel="0" collapsed="false">
      <c r="A25" s="25" t="n">
        <v>18746597</v>
      </c>
      <c r="B25" s="25" t="s">
        <v>8295</v>
      </c>
      <c r="C25" s="25" t="s">
        <v>8296</v>
      </c>
      <c r="D25" s="26" t="n">
        <v>9.78</v>
      </c>
      <c r="E25" s="27" t="n">
        <v>8.0096611452124</v>
      </c>
      <c r="F25" s="27" t="n">
        <f aca="false">_xlfn.MAXIFS($E$6:$E$151,$C$6:$C$151,C25)-_xlfn.MINIFS($E$6:$E$151,$C$6:$C$151,C25)</f>
        <v>2.07918124604763</v>
      </c>
      <c r="G25" s="25" t="s">
        <v>7324</v>
      </c>
      <c r="H25" s="25" t="s">
        <v>7325</v>
      </c>
      <c r="I25" s="25" t="n">
        <v>2017</v>
      </c>
      <c r="J25" s="25" t="s">
        <v>7326</v>
      </c>
      <c r="K25" s="25" t="s">
        <v>8284</v>
      </c>
    </row>
    <row r="26" customFormat="false" ht="15" hidden="false" customHeight="false" outlineLevel="0" collapsed="false">
      <c r="A26" s="25" t="n">
        <v>1667513</v>
      </c>
      <c r="B26" s="25" t="s">
        <v>8295</v>
      </c>
      <c r="C26" s="25" t="s">
        <v>8296</v>
      </c>
      <c r="D26" s="26" t="n">
        <v>7.3</v>
      </c>
      <c r="E26" s="27" t="n">
        <v>8.13667713987955</v>
      </c>
      <c r="F26" s="27" t="n">
        <f aca="false">_xlfn.MAXIFS($E$6:$E$151,$C$6:$C$151,C26)-_xlfn.MINIFS($E$6:$E$151,$C$6:$C$151,C26)</f>
        <v>2.07918124604763</v>
      </c>
      <c r="G26" s="25" t="s">
        <v>1538</v>
      </c>
      <c r="H26" s="25" t="s">
        <v>1539</v>
      </c>
      <c r="I26" s="25" t="n">
        <v>2006</v>
      </c>
      <c r="J26" s="25" t="s">
        <v>775</v>
      </c>
      <c r="K26" s="25" t="s">
        <v>8284</v>
      </c>
    </row>
    <row r="27" customFormat="false" ht="15" hidden="false" customHeight="false" outlineLevel="0" collapsed="false">
      <c r="A27" s="25" t="n">
        <v>6390511</v>
      </c>
      <c r="B27" s="25" t="s">
        <v>8295</v>
      </c>
      <c r="C27" s="25" t="s">
        <v>8296</v>
      </c>
      <c r="D27" s="26" t="n">
        <v>2.66</v>
      </c>
      <c r="E27" s="27" t="n">
        <v>8.57511836336893</v>
      </c>
      <c r="F27" s="27" t="n">
        <f aca="false">_xlfn.MAXIFS($E$6:$E$151,$C$6:$C$151,C27)-_xlfn.MINIFS($E$6:$E$151,$C$6:$C$151,C27)</f>
        <v>2.07918124604763</v>
      </c>
      <c r="G27" s="25" t="s">
        <v>2823</v>
      </c>
      <c r="H27" s="25" t="s">
        <v>2824</v>
      </c>
      <c r="I27" s="25" t="n">
        <v>2011</v>
      </c>
      <c r="J27" s="25" t="s">
        <v>2825</v>
      </c>
      <c r="K27" s="25" t="s">
        <v>8284</v>
      </c>
    </row>
    <row r="28" customFormat="false" ht="15" hidden="false" customHeight="false" outlineLevel="0" collapsed="false">
      <c r="A28" s="25" t="n">
        <v>19407667</v>
      </c>
      <c r="B28" s="25" t="s">
        <v>8295</v>
      </c>
      <c r="C28" s="25" t="s">
        <v>8296</v>
      </c>
      <c r="D28" s="26" t="n">
        <v>0.5</v>
      </c>
      <c r="E28" s="27" t="n">
        <v>9.30102999566398</v>
      </c>
      <c r="F28" s="27" t="n">
        <f aca="false">_xlfn.MAXIFS($E$6:$E$151,$C$6:$C$151,C28)-_xlfn.MINIFS($E$6:$E$151,$C$6:$C$151,C28)</f>
        <v>2.07918124604763</v>
      </c>
      <c r="G28" s="25" t="s">
        <v>8297</v>
      </c>
      <c r="H28" s="25" t="s">
        <v>4073</v>
      </c>
      <c r="I28" s="25" t="n">
        <v>2016</v>
      </c>
      <c r="J28" s="25" t="s">
        <v>5428</v>
      </c>
      <c r="K28" s="25" t="s">
        <v>8284</v>
      </c>
    </row>
    <row r="29" customFormat="false" ht="15" hidden="false" customHeight="false" outlineLevel="0" collapsed="false">
      <c r="A29" s="25" t="n">
        <v>14573927</v>
      </c>
      <c r="B29" s="25" t="s">
        <v>8295</v>
      </c>
      <c r="C29" s="25" t="s">
        <v>8296</v>
      </c>
      <c r="D29" s="26" t="n">
        <v>0.22</v>
      </c>
      <c r="E29" s="27" t="n">
        <v>9.65757731917779</v>
      </c>
      <c r="F29" s="27" t="n">
        <f aca="false">_xlfn.MAXIFS($E$6:$E$151,$C$6:$C$151,C29)-_xlfn.MINIFS($E$6:$E$151,$C$6:$C$151,C29)</f>
        <v>2.07918124604763</v>
      </c>
      <c r="G29" s="25" t="s">
        <v>2081</v>
      </c>
      <c r="H29" s="25" t="s">
        <v>1358</v>
      </c>
      <c r="I29" s="25" t="n">
        <v>2013</v>
      </c>
      <c r="J29" s="25" t="s">
        <v>515</v>
      </c>
      <c r="K29" s="25" t="s">
        <v>8284</v>
      </c>
    </row>
    <row r="30" customFormat="false" ht="15" hidden="false" customHeight="false" outlineLevel="0" collapsed="false">
      <c r="A30" s="25" t="n">
        <v>2052307</v>
      </c>
      <c r="B30" s="25" t="s">
        <v>8295</v>
      </c>
      <c r="C30" s="25" t="s">
        <v>8296</v>
      </c>
      <c r="D30" s="26" t="n">
        <v>0.15</v>
      </c>
      <c r="E30" s="27" t="n">
        <v>9.82390874094432</v>
      </c>
      <c r="F30" s="27" t="n">
        <f aca="false">_xlfn.MAXIFS($E$6:$E$151,$C$6:$C$151,C30)-_xlfn.MINIFS($E$6:$E$151,$C$6:$C$151,C30)</f>
        <v>2.07918124604763</v>
      </c>
      <c r="G30" s="25" t="s">
        <v>2025</v>
      </c>
      <c r="H30" s="25" t="s">
        <v>2026</v>
      </c>
      <c r="I30" s="25" t="n">
        <v>2007</v>
      </c>
      <c r="J30" s="25" t="s">
        <v>601</v>
      </c>
      <c r="K30" s="25" t="s">
        <v>8284</v>
      </c>
    </row>
    <row r="31" customFormat="false" ht="15" hidden="false" customHeight="false" outlineLevel="0" collapsed="false">
      <c r="A31" s="25" t="n">
        <v>1968452</v>
      </c>
      <c r="B31" s="25" t="s">
        <v>8298</v>
      </c>
      <c r="C31" s="25" t="s">
        <v>8299</v>
      </c>
      <c r="D31" s="26" t="n">
        <v>110</v>
      </c>
      <c r="E31" s="27" t="n">
        <v>6.95860731484178</v>
      </c>
      <c r="F31" s="27" t="n">
        <f aca="false">_xlfn.MAXIFS($E$6:$E$151,$C$6:$C$151,C31)-_xlfn.MINIFS($E$6:$E$151,$C$6:$C$151,C31)</f>
        <v>1.67966484914063</v>
      </c>
      <c r="G31" s="25" t="s">
        <v>2433</v>
      </c>
      <c r="H31" s="25" t="s">
        <v>2434</v>
      </c>
      <c r="I31" s="25" t="n">
        <v>2007</v>
      </c>
      <c r="J31" s="25" t="s">
        <v>2435</v>
      </c>
      <c r="K31" s="25" t="s">
        <v>8284</v>
      </c>
    </row>
    <row r="32" customFormat="false" ht="15" hidden="false" customHeight="false" outlineLevel="0" collapsed="false">
      <c r="A32" s="25" t="n">
        <v>1968456</v>
      </c>
      <c r="B32" s="25" t="s">
        <v>8298</v>
      </c>
      <c r="C32" s="25" t="s">
        <v>8299</v>
      </c>
      <c r="D32" s="26" t="n">
        <v>2.3</v>
      </c>
      <c r="E32" s="27" t="n">
        <v>8.63827216398241</v>
      </c>
      <c r="F32" s="27" t="n">
        <f aca="false">_xlfn.MAXIFS($E$6:$E$151,$C$6:$C$151,C32)-_xlfn.MINIFS($E$6:$E$151,$C$6:$C$151,C32)</f>
        <v>1.67966484914063</v>
      </c>
      <c r="G32" s="25" t="s">
        <v>2433</v>
      </c>
      <c r="H32" s="25" t="s">
        <v>2434</v>
      </c>
      <c r="I32" s="25" t="n">
        <v>2007</v>
      </c>
      <c r="J32" s="25" t="s">
        <v>2435</v>
      </c>
      <c r="K32" s="25" t="s">
        <v>8284</v>
      </c>
    </row>
    <row r="33" customFormat="false" ht="15" hidden="false" customHeight="false" outlineLevel="0" collapsed="false">
      <c r="A33" s="25" t="n">
        <v>24859820</v>
      </c>
      <c r="B33" s="25" t="s">
        <v>8300</v>
      </c>
      <c r="C33" s="25" t="s">
        <v>8301</v>
      </c>
      <c r="D33" s="26" t="n">
        <v>34</v>
      </c>
      <c r="E33" s="27" t="n">
        <v>7.46852108295775</v>
      </c>
      <c r="F33" s="27" t="n">
        <f aca="false">_xlfn.MAXIFS($E$6:$E$151,$C$6:$C$151,C33)-_xlfn.MINIFS($E$6:$E$151,$C$6:$C$151,C33)</f>
        <v>2.03151705144606</v>
      </c>
      <c r="G33" s="25" t="s">
        <v>6395</v>
      </c>
      <c r="H33" s="25" t="s">
        <v>6396</v>
      </c>
      <c r="I33" s="25" t="n">
        <v>2022</v>
      </c>
      <c r="J33" s="25" t="s">
        <v>6397</v>
      </c>
      <c r="K33" s="25" t="s">
        <v>8284</v>
      </c>
    </row>
    <row r="34" customFormat="false" ht="15" hidden="false" customHeight="false" outlineLevel="0" collapsed="false">
      <c r="A34" s="25" t="n">
        <v>13850274</v>
      </c>
      <c r="B34" s="25" t="s">
        <v>8300</v>
      </c>
      <c r="C34" s="25" t="s">
        <v>8301</v>
      </c>
      <c r="D34" s="26" t="n">
        <v>27</v>
      </c>
      <c r="E34" s="27" t="n">
        <v>7.56863623584101</v>
      </c>
      <c r="F34" s="27" t="n">
        <f aca="false">_xlfn.MAXIFS($E$6:$E$151,$C$6:$C$151,C34)-_xlfn.MINIFS($E$6:$E$151,$C$6:$C$151,C34)</f>
        <v>2.03151705144606</v>
      </c>
      <c r="G34" s="25" t="s">
        <v>5354</v>
      </c>
      <c r="H34" s="25" t="s">
        <v>4134</v>
      </c>
      <c r="I34" s="25" t="n">
        <v>2013</v>
      </c>
      <c r="J34" s="25" t="s">
        <v>5355</v>
      </c>
      <c r="K34" s="25" t="s">
        <v>8284</v>
      </c>
    </row>
    <row r="35" customFormat="false" ht="15" hidden="false" customHeight="false" outlineLevel="0" collapsed="false">
      <c r="A35" s="25" t="n">
        <v>1667515</v>
      </c>
      <c r="B35" s="25" t="s">
        <v>8300</v>
      </c>
      <c r="C35" s="25" t="s">
        <v>8301</v>
      </c>
      <c r="D35" s="26" t="n">
        <v>15.4</v>
      </c>
      <c r="E35" s="27" t="n">
        <v>7.81247927916354</v>
      </c>
      <c r="F35" s="27" t="n">
        <f aca="false">_xlfn.MAXIFS($E$6:$E$151,$C$6:$C$151,C35)-_xlfn.MINIFS($E$6:$E$151,$C$6:$C$151,C35)</f>
        <v>2.03151705144606</v>
      </c>
      <c r="G35" s="25" t="s">
        <v>1538</v>
      </c>
      <c r="H35" s="25" t="s">
        <v>1539</v>
      </c>
      <c r="I35" s="25" t="n">
        <v>2006</v>
      </c>
      <c r="J35" s="25" t="s">
        <v>775</v>
      </c>
      <c r="K35" s="25" t="s">
        <v>8284</v>
      </c>
    </row>
    <row r="36" customFormat="false" ht="15" hidden="false" customHeight="false" outlineLevel="0" collapsed="false">
      <c r="A36" s="25" t="n">
        <v>25720176</v>
      </c>
      <c r="B36" s="25" t="s">
        <v>8300</v>
      </c>
      <c r="C36" s="25" t="s">
        <v>8301</v>
      </c>
      <c r="D36" s="26" t="n">
        <v>11</v>
      </c>
      <c r="E36" s="27" t="n">
        <v>7.95860731484178</v>
      </c>
      <c r="F36" s="27" t="n">
        <f aca="false">_xlfn.MAXIFS($E$6:$E$151,$C$6:$C$151,C36)-_xlfn.MINIFS($E$6:$E$151,$C$6:$C$151,C36)</f>
        <v>2.03151705144606</v>
      </c>
      <c r="G36" s="25" t="s">
        <v>319</v>
      </c>
      <c r="H36" s="25" t="s">
        <v>320</v>
      </c>
      <c r="I36" s="25" t="n">
        <v>2023</v>
      </c>
      <c r="J36" s="25" t="s">
        <v>321</v>
      </c>
      <c r="K36" s="25" t="s">
        <v>8284</v>
      </c>
    </row>
    <row r="37" customFormat="false" ht="15" hidden="false" customHeight="false" outlineLevel="0" collapsed="false">
      <c r="A37" s="25" t="n">
        <v>16741331</v>
      </c>
      <c r="B37" s="25" t="s">
        <v>8300</v>
      </c>
      <c r="C37" s="25" t="s">
        <v>8301</v>
      </c>
      <c r="D37" s="26" t="n">
        <v>9.73</v>
      </c>
      <c r="E37" s="27" t="n">
        <v>8.01188715973165</v>
      </c>
      <c r="F37" s="27" t="n">
        <f aca="false">_xlfn.MAXIFS($E$6:$E$151,$C$6:$C$151,C37)-_xlfn.MINIFS($E$6:$E$151,$C$6:$C$151,C37)</f>
        <v>2.03151705144606</v>
      </c>
      <c r="G37" s="25" t="s">
        <v>1324</v>
      </c>
      <c r="H37" s="25" t="s">
        <v>1325</v>
      </c>
      <c r="I37" s="25" t="n">
        <v>2016</v>
      </c>
      <c r="J37" s="25" t="s">
        <v>1326</v>
      </c>
      <c r="K37" s="25" t="s">
        <v>8284</v>
      </c>
    </row>
    <row r="38" customFormat="false" ht="15" hidden="false" customHeight="false" outlineLevel="0" collapsed="false">
      <c r="A38" s="25" t="n">
        <v>18746595</v>
      </c>
      <c r="B38" s="25" t="s">
        <v>8300</v>
      </c>
      <c r="C38" s="25" t="s">
        <v>8301</v>
      </c>
      <c r="D38" s="26" t="n">
        <v>8.44</v>
      </c>
      <c r="E38" s="27" t="n">
        <v>8.07365755337434</v>
      </c>
      <c r="F38" s="27" t="n">
        <f aca="false">_xlfn.MAXIFS($E$6:$E$151,$C$6:$C$151,C38)-_xlfn.MINIFS($E$6:$E$151,$C$6:$C$151,C38)</f>
        <v>2.03151705144606</v>
      </c>
      <c r="G38" s="25" t="s">
        <v>7324</v>
      </c>
      <c r="H38" s="25" t="s">
        <v>7325</v>
      </c>
      <c r="I38" s="25" t="n">
        <v>2017</v>
      </c>
      <c r="J38" s="25" t="s">
        <v>7326</v>
      </c>
      <c r="K38" s="25" t="s">
        <v>8284</v>
      </c>
    </row>
    <row r="39" customFormat="false" ht="15" hidden="false" customHeight="false" outlineLevel="0" collapsed="false">
      <c r="A39" s="25" t="n">
        <v>24706543</v>
      </c>
      <c r="B39" s="25" t="s">
        <v>8300</v>
      </c>
      <c r="C39" s="25" t="s">
        <v>8301</v>
      </c>
      <c r="D39" s="26" t="n">
        <v>1.995</v>
      </c>
      <c r="E39" s="27" t="n">
        <v>8.70005709997723</v>
      </c>
      <c r="F39" s="27" t="n">
        <f aca="false">_xlfn.MAXIFS($E$6:$E$151,$C$6:$C$151,C39)-_xlfn.MINIFS($E$6:$E$151,$C$6:$C$151,C39)</f>
        <v>2.03151705144606</v>
      </c>
      <c r="G39" s="25" t="s">
        <v>3814</v>
      </c>
      <c r="H39" s="25" t="s">
        <v>3815</v>
      </c>
      <c r="I39" s="25" t="n">
        <v>2022</v>
      </c>
      <c r="J39" s="25" t="s">
        <v>3816</v>
      </c>
      <c r="K39" s="25" t="s">
        <v>8284</v>
      </c>
    </row>
    <row r="40" customFormat="false" ht="15" hidden="false" customHeight="false" outlineLevel="0" collapsed="false">
      <c r="A40" s="25" t="n">
        <v>24706557</v>
      </c>
      <c r="B40" s="25" t="s">
        <v>8300</v>
      </c>
      <c r="C40" s="25" t="s">
        <v>8301</v>
      </c>
      <c r="D40" s="26" t="n">
        <v>1.99</v>
      </c>
      <c r="E40" s="27" t="n">
        <v>8.70114692359029</v>
      </c>
      <c r="F40" s="27" t="n">
        <f aca="false">_xlfn.MAXIFS($E$6:$E$151,$C$6:$C$151,C40)-_xlfn.MINIFS($E$6:$E$151,$C$6:$C$151,C40)</f>
        <v>2.03151705144606</v>
      </c>
      <c r="G40" s="25" t="s">
        <v>3814</v>
      </c>
      <c r="H40" s="25" t="s">
        <v>3815</v>
      </c>
      <c r="I40" s="25" t="n">
        <v>2022</v>
      </c>
      <c r="J40" s="25" t="s">
        <v>3816</v>
      </c>
      <c r="K40" s="25" t="s">
        <v>8284</v>
      </c>
    </row>
    <row r="41" customFormat="false" ht="15" hidden="false" customHeight="false" outlineLevel="0" collapsed="false">
      <c r="A41" s="25" t="n">
        <v>2224631</v>
      </c>
      <c r="B41" s="25" t="s">
        <v>8300</v>
      </c>
      <c r="C41" s="25" t="s">
        <v>8301</v>
      </c>
      <c r="D41" s="26" t="n">
        <v>1.8</v>
      </c>
      <c r="E41" s="27" t="n">
        <v>8.74472749489669</v>
      </c>
      <c r="F41" s="27" t="n">
        <f aca="false">_xlfn.MAXIFS($E$6:$E$151,$C$6:$C$151,C41)-_xlfn.MINIFS($E$6:$E$151,$C$6:$C$151,C41)</f>
        <v>2.03151705144606</v>
      </c>
      <c r="G41" s="25" t="s">
        <v>2657</v>
      </c>
      <c r="H41" s="25" t="s">
        <v>2658</v>
      </c>
      <c r="I41" s="25" t="n">
        <v>2008</v>
      </c>
      <c r="J41" s="25" t="s">
        <v>2659</v>
      </c>
      <c r="K41" s="25" t="s">
        <v>8284</v>
      </c>
    </row>
    <row r="42" customFormat="false" ht="15" hidden="false" customHeight="false" outlineLevel="0" collapsed="false">
      <c r="A42" s="25" t="n">
        <v>12137507</v>
      </c>
      <c r="B42" s="25" t="s">
        <v>8300</v>
      </c>
      <c r="C42" s="25" t="s">
        <v>8301</v>
      </c>
      <c r="D42" s="26" t="n">
        <v>1.42</v>
      </c>
      <c r="E42" s="27" t="n">
        <v>8.84771165561694</v>
      </c>
      <c r="F42" s="27" t="n">
        <f aca="false">_xlfn.MAXIFS($E$6:$E$151,$C$6:$C$151,C42)-_xlfn.MINIFS($E$6:$E$151,$C$6:$C$151,C42)</f>
        <v>2.03151705144606</v>
      </c>
      <c r="G42" s="25" t="s">
        <v>2120</v>
      </c>
      <c r="H42" s="25" t="s">
        <v>2121</v>
      </c>
      <c r="I42" s="25" t="n">
        <v>2012</v>
      </c>
      <c r="J42" s="25" t="s">
        <v>2122</v>
      </c>
      <c r="K42" s="25" t="s">
        <v>8284</v>
      </c>
    </row>
    <row r="43" customFormat="false" ht="15" hidden="false" customHeight="false" outlineLevel="0" collapsed="false">
      <c r="A43" s="25" t="n">
        <v>13404991</v>
      </c>
      <c r="B43" s="25" t="s">
        <v>8300</v>
      </c>
      <c r="C43" s="25" t="s">
        <v>8301</v>
      </c>
      <c r="D43" s="26" t="n">
        <v>1.3</v>
      </c>
      <c r="E43" s="27" t="n">
        <v>8.88605664769316</v>
      </c>
      <c r="F43" s="27" t="n">
        <f aca="false">_xlfn.MAXIFS($E$6:$E$151,$C$6:$C$151,C43)-_xlfn.MINIFS($E$6:$E$151,$C$6:$C$151,C43)</f>
        <v>2.03151705144606</v>
      </c>
      <c r="G43" s="25" t="s">
        <v>2934</v>
      </c>
      <c r="H43" s="25" t="s">
        <v>2693</v>
      </c>
      <c r="I43" s="25" t="n">
        <v>2013</v>
      </c>
      <c r="J43" s="25" t="s">
        <v>2935</v>
      </c>
      <c r="K43" s="25" t="s">
        <v>8284</v>
      </c>
    </row>
    <row r="44" customFormat="false" ht="15" hidden="false" customHeight="false" outlineLevel="0" collapsed="false">
      <c r="A44" s="25" t="n">
        <v>14999690</v>
      </c>
      <c r="B44" s="25" t="s">
        <v>8300</v>
      </c>
      <c r="C44" s="25" t="s">
        <v>8301</v>
      </c>
      <c r="D44" s="26" t="n">
        <v>0.89</v>
      </c>
      <c r="E44" s="27" t="n">
        <v>9.05060999335509</v>
      </c>
      <c r="F44" s="27" t="n">
        <f aca="false">_xlfn.MAXIFS($E$6:$E$151,$C$6:$C$151,C44)-_xlfn.MINIFS($E$6:$E$151,$C$6:$C$151,C44)</f>
        <v>2.03151705144606</v>
      </c>
      <c r="G44" s="25" t="s">
        <v>2988</v>
      </c>
      <c r="H44" s="25" t="s">
        <v>2989</v>
      </c>
      <c r="I44" s="25" t="n">
        <v>2014</v>
      </c>
      <c r="J44" s="25" t="s">
        <v>2990</v>
      </c>
      <c r="K44" s="25" t="s">
        <v>8284</v>
      </c>
    </row>
    <row r="45" customFormat="false" ht="15" hidden="false" customHeight="false" outlineLevel="0" collapsed="false">
      <c r="A45" s="25" t="n">
        <v>1663267</v>
      </c>
      <c r="B45" s="25" t="s">
        <v>8300</v>
      </c>
      <c r="C45" s="25" t="s">
        <v>8301</v>
      </c>
      <c r="D45" s="26" t="n">
        <v>0.7</v>
      </c>
      <c r="E45" s="27" t="n">
        <v>9.15490195998575</v>
      </c>
      <c r="F45" s="27" t="n">
        <f aca="false">_xlfn.MAXIFS($E$6:$E$151,$C$6:$C$151,C45)-_xlfn.MINIFS($E$6:$E$151,$C$6:$C$151,C45)</f>
        <v>2.03151705144606</v>
      </c>
      <c r="G45" s="25" t="s">
        <v>2018</v>
      </c>
      <c r="H45" s="25" t="s">
        <v>2019</v>
      </c>
      <c r="I45" s="25" t="n">
        <v>2006</v>
      </c>
      <c r="J45" s="25" t="s">
        <v>2020</v>
      </c>
      <c r="K45" s="25" t="s">
        <v>8284</v>
      </c>
    </row>
    <row r="46" customFormat="false" ht="15" hidden="false" customHeight="false" outlineLevel="0" collapsed="false">
      <c r="A46" s="25" t="n">
        <v>3413904</v>
      </c>
      <c r="B46" s="25" t="s">
        <v>8300</v>
      </c>
      <c r="C46" s="25" t="s">
        <v>8301</v>
      </c>
      <c r="D46" s="26" t="n">
        <v>0.62</v>
      </c>
      <c r="E46" s="27" t="n">
        <v>9.20760831050175</v>
      </c>
      <c r="F46" s="27" t="n">
        <f aca="false">_xlfn.MAXIFS($E$6:$E$151,$C$6:$C$151,C46)-_xlfn.MINIFS($E$6:$E$151,$C$6:$C$151,C46)</f>
        <v>2.03151705144606</v>
      </c>
      <c r="G46" s="25" t="s">
        <v>2133</v>
      </c>
      <c r="H46" s="25" t="s">
        <v>2134</v>
      </c>
      <c r="I46" s="25" t="n">
        <v>2010</v>
      </c>
      <c r="J46" s="25" t="s">
        <v>2135</v>
      </c>
      <c r="K46" s="25" t="s">
        <v>8284</v>
      </c>
    </row>
    <row r="47" customFormat="false" ht="15" hidden="false" customHeight="false" outlineLevel="0" collapsed="false">
      <c r="A47" s="25" t="n">
        <v>6366828</v>
      </c>
      <c r="B47" s="25" t="s">
        <v>8300</v>
      </c>
      <c r="C47" s="25" t="s">
        <v>8301</v>
      </c>
      <c r="D47" s="26" t="n">
        <v>0.5012</v>
      </c>
      <c r="E47" s="27" t="n">
        <v>9.29998893767789</v>
      </c>
      <c r="F47" s="27" t="n">
        <f aca="false">_xlfn.MAXIFS($E$6:$E$151,$C$6:$C$151,C47)-_xlfn.MINIFS($E$6:$E$151,$C$6:$C$151,C47)</f>
        <v>2.03151705144606</v>
      </c>
      <c r="G47" s="25" t="s">
        <v>2229</v>
      </c>
      <c r="H47" s="25" t="s">
        <v>2230</v>
      </c>
      <c r="I47" s="25" t="n">
        <v>2011</v>
      </c>
      <c r="J47" s="25" t="s">
        <v>2231</v>
      </c>
      <c r="K47" s="25" t="s">
        <v>8284</v>
      </c>
    </row>
    <row r="48" customFormat="false" ht="15" hidden="false" customHeight="false" outlineLevel="0" collapsed="false">
      <c r="A48" s="25" t="n">
        <v>2413533</v>
      </c>
      <c r="B48" s="25" t="s">
        <v>8300</v>
      </c>
      <c r="C48" s="25" t="s">
        <v>8301</v>
      </c>
      <c r="D48" s="26" t="n">
        <v>0.439</v>
      </c>
      <c r="E48" s="27" t="n">
        <v>9.35753547975788</v>
      </c>
      <c r="F48" s="27" t="n">
        <f aca="false">_xlfn.MAXIFS($E$6:$E$151,$C$6:$C$151,C48)-_xlfn.MINIFS($E$6:$E$151,$C$6:$C$151,C48)</f>
        <v>2.03151705144606</v>
      </c>
      <c r="G48" s="25" t="s">
        <v>5772</v>
      </c>
      <c r="H48" s="25" t="s">
        <v>5773</v>
      </c>
      <c r="I48" s="25" t="n">
        <v>2009</v>
      </c>
      <c r="J48" s="25" t="s">
        <v>5774</v>
      </c>
      <c r="K48" s="25" t="s">
        <v>8284</v>
      </c>
    </row>
    <row r="49" customFormat="false" ht="15" hidden="false" customHeight="false" outlineLevel="0" collapsed="false">
      <c r="A49" s="25" t="n">
        <v>14926615</v>
      </c>
      <c r="B49" s="25" t="s">
        <v>8300</v>
      </c>
      <c r="C49" s="25" t="s">
        <v>8301</v>
      </c>
      <c r="D49" s="26" t="n">
        <v>0.3162</v>
      </c>
      <c r="E49" s="27" t="n">
        <v>9.50003813440381</v>
      </c>
      <c r="F49" s="27" t="n">
        <f aca="false">_xlfn.MAXIFS($E$6:$E$151,$C$6:$C$151,C49)-_xlfn.MINIFS($E$6:$E$151,$C$6:$C$151,C49)</f>
        <v>2.03151705144606</v>
      </c>
      <c r="G49" s="25" t="s">
        <v>6056</v>
      </c>
      <c r="H49" s="25" t="s">
        <v>6057</v>
      </c>
      <c r="I49" s="25" t="n">
        <v>2010</v>
      </c>
      <c r="J49" s="25" t="s">
        <v>6058</v>
      </c>
      <c r="K49" s="25" t="s">
        <v>8284</v>
      </c>
    </row>
    <row r="50" customFormat="false" ht="15" hidden="false" customHeight="false" outlineLevel="0" collapsed="false">
      <c r="A50" s="25" t="n">
        <v>2528399</v>
      </c>
      <c r="B50" s="25" t="s">
        <v>8302</v>
      </c>
      <c r="C50" s="25" t="s">
        <v>8303</v>
      </c>
      <c r="D50" s="26" t="n">
        <v>4410</v>
      </c>
      <c r="E50" s="27" t="n">
        <v>5.35556141053216</v>
      </c>
      <c r="F50" s="27" t="n">
        <f aca="false">_xlfn.MAXIFS($E$6:$E$151,$C$6:$C$151,C50)-_xlfn.MINIFS($E$6:$E$151,$C$6:$C$151,C50)</f>
        <v>1.06465499285103</v>
      </c>
      <c r="G50" s="25" t="s">
        <v>2031</v>
      </c>
      <c r="H50" s="25" t="s">
        <v>2032</v>
      </c>
      <c r="I50" s="25" t="n">
        <v>2009</v>
      </c>
      <c r="J50" s="25" t="s">
        <v>2033</v>
      </c>
      <c r="K50" s="25" t="s">
        <v>8284</v>
      </c>
    </row>
    <row r="51" customFormat="false" ht="15" hidden="false" customHeight="false" outlineLevel="0" collapsed="false">
      <c r="A51" s="25" t="n">
        <v>2528379</v>
      </c>
      <c r="B51" s="25" t="s">
        <v>8302</v>
      </c>
      <c r="C51" s="25" t="s">
        <v>8303</v>
      </c>
      <c r="D51" s="26" t="n">
        <v>380</v>
      </c>
      <c r="E51" s="27" t="n">
        <v>6.42021640338319</v>
      </c>
      <c r="F51" s="27" t="n">
        <f aca="false">_xlfn.MAXIFS($E$6:$E$151,$C$6:$C$151,C51)-_xlfn.MINIFS($E$6:$E$151,$C$6:$C$151,C51)</f>
        <v>1.06465499285103</v>
      </c>
      <c r="G51" s="25" t="s">
        <v>2031</v>
      </c>
      <c r="H51" s="25" t="s">
        <v>2032</v>
      </c>
      <c r="I51" s="25" t="n">
        <v>2009</v>
      </c>
      <c r="J51" s="25" t="s">
        <v>2033</v>
      </c>
      <c r="K51" s="25" t="s">
        <v>8284</v>
      </c>
    </row>
    <row r="52" customFormat="false" ht="15" hidden="false" customHeight="false" outlineLevel="0" collapsed="false">
      <c r="A52" s="25" t="n">
        <v>3102053</v>
      </c>
      <c r="B52" s="25" t="s">
        <v>8304</v>
      </c>
      <c r="C52" s="25" t="s">
        <v>8305</v>
      </c>
      <c r="D52" s="26" t="n">
        <v>130</v>
      </c>
      <c r="E52" s="27" t="n">
        <v>6.88605664769316</v>
      </c>
      <c r="F52" s="27" t="n">
        <f aca="false">_xlfn.MAXIFS($E$6:$E$151,$C$6:$C$151,C52)-_xlfn.MINIFS($E$6:$E$151,$C$6:$C$151,C52)</f>
        <v>2.53415975569003</v>
      </c>
      <c r="G52" s="25" t="s">
        <v>4178</v>
      </c>
      <c r="H52" s="25" t="s">
        <v>4179</v>
      </c>
      <c r="I52" s="25" t="n">
        <v>2010</v>
      </c>
      <c r="J52" s="25" t="s">
        <v>659</v>
      </c>
      <c r="K52" s="25" t="s">
        <v>8284</v>
      </c>
    </row>
    <row r="53" customFormat="false" ht="15" hidden="false" customHeight="false" outlineLevel="0" collapsed="false">
      <c r="A53" s="25" t="n">
        <v>1430922</v>
      </c>
      <c r="B53" s="25" t="s">
        <v>8304</v>
      </c>
      <c r="C53" s="25" t="s">
        <v>8305</v>
      </c>
      <c r="D53" s="26" t="n">
        <v>35.9</v>
      </c>
      <c r="E53" s="27" t="n">
        <v>7.44490555142168</v>
      </c>
      <c r="F53" s="27" t="n">
        <f aca="false">_xlfn.MAXIFS($E$6:$E$151,$C$6:$C$151,C53)-_xlfn.MINIFS($E$6:$E$151,$C$6:$C$151,C53)</f>
        <v>2.53415975569003</v>
      </c>
      <c r="G53" s="25" t="s">
        <v>8306</v>
      </c>
      <c r="H53" s="25" t="s">
        <v>5870</v>
      </c>
      <c r="I53" s="25" t="n">
        <v>2005</v>
      </c>
      <c r="J53" s="25" t="s">
        <v>8307</v>
      </c>
      <c r="K53" s="25" t="s">
        <v>8284</v>
      </c>
    </row>
    <row r="54" customFormat="false" ht="15" hidden="false" customHeight="false" outlineLevel="0" collapsed="false">
      <c r="A54" s="25" t="n">
        <v>1430924</v>
      </c>
      <c r="B54" s="25" t="s">
        <v>8304</v>
      </c>
      <c r="C54" s="25" t="s">
        <v>8305</v>
      </c>
      <c r="D54" s="26" t="n">
        <v>1.55</v>
      </c>
      <c r="E54" s="27" t="n">
        <v>8.80966830182971</v>
      </c>
      <c r="F54" s="27" t="n">
        <f aca="false">_xlfn.MAXIFS($E$6:$E$151,$C$6:$C$151,C54)-_xlfn.MINIFS($E$6:$E$151,$C$6:$C$151,C54)</f>
        <v>2.53415975569003</v>
      </c>
      <c r="G54" s="25" t="s">
        <v>8306</v>
      </c>
      <c r="H54" s="25" t="s">
        <v>5870</v>
      </c>
      <c r="I54" s="25" t="n">
        <v>2005</v>
      </c>
      <c r="J54" s="25" t="s">
        <v>8307</v>
      </c>
      <c r="K54" s="25" t="s">
        <v>8284</v>
      </c>
    </row>
    <row r="55" customFormat="false" ht="15" hidden="false" customHeight="false" outlineLevel="0" collapsed="false">
      <c r="A55" s="25" t="n">
        <v>1430923</v>
      </c>
      <c r="B55" s="25" t="s">
        <v>8304</v>
      </c>
      <c r="C55" s="25" t="s">
        <v>8305</v>
      </c>
      <c r="D55" s="26" t="n">
        <v>0.38</v>
      </c>
      <c r="E55" s="27" t="n">
        <v>9.42021640338319</v>
      </c>
      <c r="F55" s="27" t="n">
        <f aca="false">_xlfn.MAXIFS($E$6:$E$151,$C$6:$C$151,C55)-_xlfn.MINIFS($E$6:$E$151,$C$6:$C$151,C55)</f>
        <v>2.53415975569003</v>
      </c>
      <c r="G55" s="25" t="s">
        <v>8306</v>
      </c>
      <c r="H55" s="25" t="s">
        <v>5870</v>
      </c>
      <c r="I55" s="25" t="n">
        <v>2005</v>
      </c>
      <c r="J55" s="25" t="s">
        <v>8307</v>
      </c>
      <c r="K55" s="25" t="s">
        <v>8284</v>
      </c>
    </row>
    <row r="56" customFormat="false" ht="15" hidden="false" customHeight="false" outlineLevel="0" collapsed="false">
      <c r="A56" s="25" t="n">
        <v>24661769</v>
      </c>
      <c r="B56" s="25" t="s">
        <v>8308</v>
      </c>
      <c r="C56" s="25" t="s">
        <v>8309</v>
      </c>
      <c r="D56" s="26" t="n">
        <v>2700</v>
      </c>
      <c r="E56" s="27" t="n">
        <v>5.56863623584101</v>
      </c>
      <c r="F56" s="27" t="n">
        <f aca="false">_xlfn.MAXIFS($E$6:$E$151,$C$6:$C$151,C56)-_xlfn.MINIFS($E$6:$E$151,$C$6:$C$151,C56)</f>
        <v>1.43136376415899</v>
      </c>
      <c r="G56" s="25" t="s">
        <v>8310</v>
      </c>
      <c r="H56" s="25" t="s">
        <v>2647</v>
      </c>
      <c r="I56" s="25" t="n">
        <v>2021</v>
      </c>
      <c r="J56" s="25" t="s">
        <v>8311</v>
      </c>
      <c r="K56" s="25" t="s">
        <v>8284</v>
      </c>
    </row>
    <row r="57" customFormat="false" ht="15" hidden="false" customHeight="false" outlineLevel="0" collapsed="false">
      <c r="A57" s="25" t="n">
        <v>24661768</v>
      </c>
      <c r="B57" s="25" t="s">
        <v>8308</v>
      </c>
      <c r="C57" s="25" t="s">
        <v>8309</v>
      </c>
      <c r="D57" s="26" t="n">
        <v>1220</v>
      </c>
      <c r="E57" s="27" t="n">
        <v>5.91364016932525</v>
      </c>
      <c r="F57" s="27" t="n">
        <f aca="false">_xlfn.MAXIFS($E$6:$E$151,$C$6:$C$151,C57)-_xlfn.MINIFS($E$6:$E$151,$C$6:$C$151,C57)</f>
        <v>1.43136376415899</v>
      </c>
      <c r="G57" s="25" t="s">
        <v>8312</v>
      </c>
      <c r="H57" s="25" t="s">
        <v>2647</v>
      </c>
      <c r="I57" s="25" t="n">
        <v>2021</v>
      </c>
      <c r="J57" s="25" t="s">
        <v>8313</v>
      </c>
      <c r="K57" s="25" t="s">
        <v>8284</v>
      </c>
    </row>
    <row r="58" customFormat="false" ht="15" hidden="false" customHeight="false" outlineLevel="0" collapsed="false">
      <c r="A58" s="25" t="n">
        <v>6351835</v>
      </c>
      <c r="B58" s="25" t="s">
        <v>8308</v>
      </c>
      <c r="C58" s="25" t="s">
        <v>8309</v>
      </c>
      <c r="D58" s="26" t="n">
        <v>880</v>
      </c>
      <c r="E58" s="27" t="n">
        <v>6.05551732784983</v>
      </c>
      <c r="F58" s="27" t="n">
        <f aca="false">_xlfn.MAXIFS($E$6:$E$151,$C$6:$C$151,C58)-_xlfn.MINIFS($E$6:$E$151,$C$6:$C$151,C58)</f>
        <v>1.43136376415899</v>
      </c>
      <c r="G58" s="25" t="s">
        <v>2973</v>
      </c>
      <c r="H58" s="25" t="s">
        <v>2974</v>
      </c>
      <c r="I58" s="25" t="n">
        <v>2011</v>
      </c>
      <c r="J58" s="25" t="s">
        <v>2975</v>
      </c>
      <c r="K58" s="25" t="s">
        <v>8284</v>
      </c>
    </row>
    <row r="59" customFormat="false" ht="15" hidden="false" customHeight="false" outlineLevel="0" collapsed="false">
      <c r="A59" s="25" t="n">
        <v>19371450</v>
      </c>
      <c r="B59" s="25" t="s">
        <v>8308</v>
      </c>
      <c r="C59" s="25" t="s">
        <v>8309</v>
      </c>
      <c r="D59" s="26" t="n">
        <v>153</v>
      </c>
      <c r="E59" s="27" t="n">
        <v>6.8153085691824</v>
      </c>
      <c r="F59" s="27" t="n">
        <f aca="false">_xlfn.MAXIFS($E$6:$E$151,$C$6:$C$151,C59)-_xlfn.MINIFS($E$6:$E$151,$C$6:$C$151,C59)</f>
        <v>1.43136376415899</v>
      </c>
      <c r="G59" s="25" t="s">
        <v>389</v>
      </c>
      <c r="H59" s="25" t="s">
        <v>341</v>
      </c>
      <c r="I59" s="25" t="n">
        <v>2019</v>
      </c>
      <c r="J59" s="25" t="s">
        <v>390</v>
      </c>
      <c r="K59" s="25" t="s">
        <v>8284</v>
      </c>
    </row>
    <row r="60" customFormat="false" ht="15" hidden="false" customHeight="false" outlineLevel="0" collapsed="false">
      <c r="A60" s="25" t="n">
        <v>29092157</v>
      </c>
      <c r="B60" s="25" t="s">
        <v>8308</v>
      </c>
      <c r="C60" s="25" t="s">
        <v>8309</v>
      </c>
      <c r="D60" s="26" t="n">
        <v>100</v>
      </c>
      <c r="E60" s="27" t="n">
        <v>7</v>
      </c>
      <c r="F60" s="27" t="n">
        <f aca="false">_xlfn.MAXIFS($E$6:$E$151,$C$6:$C$151,C60)-_xlfn.MINIFS($E$6:$E$151,$C$6:$C$151,C60)</f>
        <v>1.43136376415899</v>
      </c>
      <c r="G60" s="25" t="s">
        <v>8314</v>
      </c>
      <c r="H60" s="25" t="s">
        <v>3021</v>
      </c>
      <c r="I60" s="25" t="n">
        <v>2024</v>
      </c>
      <c r="J60" s="25" t="s">
        <v>8315</v>
      </c>
      <c r="K60" s="25" t="s">
        <v>8284</v>
      </c>
    </row>
    <row r="61" customFormat="false" ht="15" hidden="false" customHeight="false" outlineLevel="0" collapsed="false">
      <c r="A61" s="25" t="n">
        <v>13321888</v>
      </c>
      <c r="B61" s="25" t="s">
        <v>8316</v>
      </c>
      <c r="C61" s="25" t="s">
        <v>8317</v>
      </c>
      <c r="D61" s="26" t="n">
        <v>71.6</v>
      </c>
      <c r="E61" s="27" t="n">
        <v>7.14508697769214</v>
      </c>
      <c r="F61" s="27" t="n">
        <f aca="false">_xlfn.MAXIFS($E$6:$E$151,$C$6:$C$151,C61)-_xlfn.MINIFS($E$6:$E$151,$C$6:$C$151,C61)</f>
        <v>1.33639908242997</v>
      </c>
      <c r="G61" s="25" t="s">
        <v>3101</v>
      </c>
      <c r="H61" s="25" t="s">
        <v>3102</v>
      </c>
      <c r="I61" s="25" t="n">
        <v>2013</v>
      </c>
      <c r="J61" s="25" t="s">
        <v>3103</v>
      </c>
      <c r="K61" s="25" t="s">
        <v>8284</v>
      </c>
    </row>
    <row r="62" customFormat="false" ht="15" hidden="false" customHeight="false" outlineLevel="0" collapsed="false">
      <c r="A62" s="25" t="n">
        <v>14999688</v>
      </c>
      <c r="B62" s="25" t="s">
        <v>8316</v>
      </c>
      <c r="C62" s="25" t="s">
        <v>8317</v>
      </c>
      <c r="D62" s="26" t="n">
        <v>46</v>
      </c>
      <c r="E62" s="27" t="n">
        <v>7.33724216831843</v>
      </c>
      <c r="F62" s="27" t="n">
        <f aca="false">_xlfn.MAXIFS($E$6:$E$151,$C$6:$C$151,C62)-_xlfn.MINIFS($E$6:$E$151,$C$6:$C$151,C62)</f>
        <v>1.33639908242997</v>
      </c>
      <c r="G62" s="25" t="s">
        <v>2988</v>
      </c>
      <c r="H62" s="25" t="s">
        <v>2989</v>
      </c>
      <c r="I62" s="25" t="n">
        <v>2014</v>
      </c>
      <c r="J62" s="25" t="s">
        <v>2990</v>
      </c>
      <c r="K62" s="25" t="s">
        <v>8284</v>
      </c>
    </row>
    <row r="63" customFormat="false" ht="15" hidden="false" customHeight="false" outlineLevel="0" collapsed="false">
      <c r="A63" s="25" t="n">
        <v>2460817</v>
      </c>
      <c r="B63" s="25" t="s">
        <v>8316</v>
      </c>
      <c r="C63" s="25" t="s">
        <v>8317</v>
      </c>
      <c r="D63" s="26" t="n">
        <v>41</v>
      </c>
      <c r="E63" s="27" t="n">
        <v>7.38721614328026</v>
      </c>
      <c r="F63" s="27" t="n">
        <f aca="false">_xlfn.MAXIFS($E$6:$E$151,$C$6:$C$151,C63)-_xlfn.MINIFS($E$6:$E$151,$C$6:$C$151,C63)</f>
        <v>1.33639908242997</v>
      </c>
      <c r="G63" s="25" t="s">
        <v>4479</v>
      </c>
      <c r="H63" s="25" t="s">
        <v>4480</v>
      </c>
      <c r="I63" s="25" t="n">
        <v>2008</v>
      </c>
      <c r="J63" s="25" t="s">
        <v>775</v>
      </c>
      <c r="K63" s="25" t="s">
        <v>8284</v>
      </c>
    </row>
    <row r="64" customFormat="false" ht="15" hidden="false" customHeight="false" outlineLevel="0" collapsed="false">
      <c r="A64" s="25" t="n">
        <v>29092155</v>
      </c>
      <c r="B64" s="25" t="s">
        <v>8316</v>
      </c>
      <c r="C64" s="25" t="s">
        <v>8317</v>
      </c>
      <c r="D64" s="26" t="n">
        <v>30</v>
      </c>
      <c r="E64" s="27" t="n">
        <v>7.52287874528034</v>
      </c>
      <c r="F64" s="27" t="n">
        <f aca="false">_xlfn.MAXIFS($E$6:$E$151,$C$6:$C$151,C64)-_xlfn.MINIFS($E$6:$E$151,$C$6:$C$151,C64)</f>
        <v>1.33639908242997</v>
      </c>
      <c r="G64" s="25" t="s">
        <v>8314</v>
      </c>
      <c r="H64" s="25" t="s">
        <v>3021</v>
      </c>
      <c r="I64" s="25" t="n">
        <v>2024</v>
      </c>
      <c r="J64" s="25" t="s">
        <v>8315</v>
      </c>
      <c r="K64" s="25" t="s">
        <v>8284</v>
      </c>
    </row>
    <row r="65" customFormat="false" ht="15" hidden="false" customHeight="false" outlineLevel="0" collapsed="false">
      <c r="A65" s="25" t="n">
        <v>1969447</v>
      </c>
      <c r="B65" s="25" t="s">
        <v>8316</v>
      </c>
      <c r="C65" s="25" t="s">
        <v>8317</v>
      </c>
      <c r="D65" s="26" t="n">
        <v>3.3</v>
      </c>
      <c r="E65" s="27" t="n">
        <v>8.48148606012211</v>
      </c>
      <c r="F65" s="27" t="n">
        <f aca="false">_xlfn.MAXIFS($E$6:$E$151,$C$6:$C$151,C65)-_xlfn.MINIFS($E$6:$E$151,$C$6:$C$151,C65)</f>
        <v>1.33639908242997</v>
      </c>
      <c r="G65" s="25" t="s">
        <v>1895</v>
      </c>
      <c r="H65" s="25" t="s">
        <v>1896</v>
      </c>
      <c r="I65" s="25" t="n">
        <v>2007</v>
      </c>
      <c r="J65" s="25" t="s">
        <v>515</v>
      </c>
      <c r="K65" s="25" t="s">
        <v>8284</v>
      </c>
    </row>
    <row r="66" customFormat="false" ht="15" hidden="false" customHeight="false" outlineLevel="0" collapsed="false">
      <c r="A66" s="25" t="n">
        <v>24661759</v>
      </c>
      <c r="B66" s="25" t="s">
        <v>8318</v>
      </c>
      <c r="C66" s="25" t="s">
        <v>8319</v>
      </c>
      <c r="D66" s="26" t="n">
        <v>300</v>
      </c>
      <c r="E66" s="27" t="n">
        <v>6.52287874528034</v>
      </c>
      <c r="F66" s="27" t="n">
        <f aca="false">_xlfn.MAXIFS($E$6:$E$151,$C$6:$C$151,C66)-_xlfn.MINIFS($E$6:$E$151,$C$6:$C$151,C66)</f>
        <v>1.27300127206374</v>
      </c>
      <c r="G66" s="25" t="s">
        <v>8320</v>
      </c>
      <c r="H66" s="25" t="s">
        <v>2647</v>
      </c>
      <c r="I66" s="25" t="n">
        <v>2021</v>
      </c>
      <c r="J66" s="25" t="s">
        <v>8321</v>
      </c>
      <c r="K66" s="25" t="s">
        <v>8284</v>
      </c>
    </row>
    <row r="67" customFormat="false" ht="15" hidden="false" customHeight="false" outlineLevel="0" collapsed="false">
      <c r="A67" s="25" t="n">
        <v>24661758</v>
      </c>
      <c r="B67" s="25" t="s">
        <v>8318</v>
      </c>
      <c r="C67" s="25" t="s">
        <v>8319</v>
      </c>
      <c r="D67" s="26" t="n">
        <v>70</v>
      </c>
      <c r="E67" s="27" t="n">
        <v>7.15490195998574</v>
      </c>
      <c r="F67" s="27" t="n">
        <f aca="false">_xlfn.MAXIFS($E$6:$E$151,$C$6:$C$151,C67)-_xlfn.MINIFS($E$6:$E$151,$C$6:$C$151,C67)</f>
        <v>1.27300127206374</v>
      </c>
      <c r="G67" s="25" t="s">
        <v>8322</v>
      </c>
      <c r="H67" s="25" t="s">
        <v>2647</v>
      </c>
      <c r="I67" s="25" t="n">
        <v>2021</v>
      </c>
      <c r="J67" s="25" t="s">
        <v>8323</v>
      </c>
      <c r="K67" s="25" t="s">
        <v>8284</v>
      </c>
    </row>
    <row r="68" customFormat="false" ht="15" hidden="false" customHeight="false" outlineLevel="0" collapsed="false">
      <c r="A68" s="25" t="n">
        <v>19371449</v>
      </c>
      <c r="B68" s="25" t="s">
        <v>8318</v>
      </c>
      <c r="C68" s="25" t="s">
        <v>8319</v>
      </c>
      <c r="D68" s="26" t="n">
        <v>16</v>
      </c>
      <c r="E68" s="27" t="n">
        <v>7.79588001734408</v>
      </c>
      <c r="F68" s="27" t="n">
        <f aca="false">_xlfn.MAXIFS($E$6:$E$151,$C$6:$C$151,C68)-_xlfn.MINIFS($E$6:$E$151,$C$6:$C$151,C68)</f>
        <v>1.27300127206374</v>
      </c>
      <c r="G68" s="25" t="s">
        <v>389</v>
      </c>
      <c r="H68" s="25" t="s">
        <v>341</v>
      </c>
      <c r="I68" s="25" t="n">
        <v>2019</v>
      </c>
      <c r="J68" s="25" t="s">
        <v>390</v>
      </c>
      <c r="K68" s="25" t="s">
        <v>8284</v>
      </c>
    </row>
    <row r="69" customFormat="false" ht="15" hidden="false" customHeight="false" outlineLevel="0" collapsed="false">
      <c r="A69" s="25" t="n">
        <v>1993839</v>
      </c>
      <c r="B69" s="25" t="s">
        <v>8324</v>
      </c>
      <c r="C69" s="25" t="s">
        <v>8325</v>
      </c>
      <c r="D69" s="26" t="n">
        <v>265</v>
      </c>
      <c r="E69" s="27" t="n">
        <v>6.57675412606319</v>
      </c>
      <c r="F69" s="27" t="n">
        <f aca="false">_xlfn.MAXIFS($E$6:$E$151,$C$6:$C$151,C69)-_xlfn.MINIFS($E$6:$E$151,$C$6:$C$151,C69)</f>
        <v>1.00660536659853</v>
      </c>
      <c r="G69" s="25" t="s">
        <v>1527</v>
      </c>
      <c r="H69" s="25" t="s">
        <v>1528</v>
      </c>
      <c r="I69" s="25" t="n">
        <v>2007</v>
      </c>
      <c r="J69" s="25" t="s">
        <v>1529</v>
      </c>
      <c r="K69" s="25" t="s">
        <v>8284</v>
      </c>
    </row>
    <row r="70" customFormat="false" ht="15" hidden="false" customHeight="false" outlineLevel="0" collapsed="false">
      <c r="A70" s="25" t="n">
        <v>1993841</v>
      </c>
      <c r="B70" s="25" t="s">
        <v>8324</v>
      </c>
      <c r="C70" s="25" t="s">
        <v>8325</v>
      </c>
      <c r="D70" s="26" t="n">
        <v>41.1</v>
      </c>
      <c r="E70" s="27" t="n">
        <v>7.38615817812393</v>
      </c>
      <c r="F70" s="27" t="n">
        <f aca="false">_xlfn.MAXIFS($E$6:$E$151,$C$6:$C$151,C70)-_xlfn.MINIFS($E$6:$E$151,$C$6:$C$151,C70)</f>
        <v>1.00660536659853</v>
      </c>
      <c r="G70" s="25" t="s">
        <v>1527</v>
      </c>
      <c r="H70" s="25" t="s">
        <v>1528</v>
      </c>
      <c r="I70" s="25" t="n">
        <v>2007</v>
      </c>
      <c r="J70" s="25" t="s">
        <v>1529</v>
      </c>
      <c r="K70" s="25" t="s">
        <v>8284</v>
      </c>
    </row>
    <row r="71" customFormat="false" ht="15" hidden="false" customHeight="false" outlineLevel="0" collapsed="false">
      <c r="A71" s="25" t="n">
        <v>1993840</v>
      </c>
      <c r="B71" s="25" t="s">
        <v>8324</v>
      </c>
      <c r="C71" s="25" t="s">
        <v>8325</v>
      </c>
      <c r="D71" s="26" t="n">
        <v>26.1</v>
      </c>
      <c r="E71" s="27" t="n">
        <v>7.58335949266172</v>
      </c>
      <c r="F71" s="27" t="n">
        <f aca="false">_xlfn.MAXIFS($E$6:$E$151,$C$6:$C$151,C71)-_xlfn.MINIFS($E$6:$E$151,$C$6:$C$151,C71)</f>
        <v>1.00660536659853</v>
      </c>
      <c r="G71" s="25" t="s">
        <v>1527</v>
      </c>
      <c r="H71" s="25" t="s">
        <v>1528</v>
      </c>
      <c r="I71" s="25" t="n">
        <v>2007</v>
      </c>
      <c r="J71" s="25" t="s">
        <v>1529</v>
      </c>
      <c r="K71" s="25" t="s">
        <v>8284</v>
      </c>
    </row>
    <row r="72" customFormat="false" ht="15" hidden="false" customHeight="false" outlineLevel="0" collapsed="false">
      <c r="A72" s="25" t="n">
        <v>1993862</v>
      </c>
      <c r="B72" s="25" t="s">
        <v>8326</v>
      </c>
      <c r="C72" s="25" t="s">
        <v>8327</v>
      </c>
      <c r="D72" s="26" t="n">
        <v>202</v>
      </c>
      <c r="E72" s="27" t="n">
        <v>6.69464863055338</v>
      </c>
      <c r="F72" s="27" t="n">
        <f aca="false">_xlfn.MAXIFS($E$6:$E$151,$C$6:$C$151,C72)-_xlfn.MINIFS($E$6:$E$151,$C$6:$C$151,C72)</f>
        <v>1.15922333376839</v>
      </c>
      <c r="G72" s="25" t="s">
        <v>1527</v>
      </c>
      <c r="H72" s="25" t="s">
        <v>1528</v>
      </c>
      <c r="I72" s="25" t="n">
        <v>2007</v>
      </c>
      <c r="J72" s="25" t="s">
        <v>1529</v>
      </c>
      <c r="K72" s="25" t="s">
        <v>8284</v>
      </c>
    </row>
    <row r="73" customFormat="false" ht="15" hidden="false" customHeight="false" outlineLevel="0" collapsed="false">
      <c r="A73" s="25" t="n">
        <v>1993864</v>
      </c>
      <c r="B73" s="25" t="s">
        <v>8326</v>
      </c>
      <c r="C73" s="25" t="s">
        <v>8327</v>
      </c>
      <c r="D73" s="26" t="n">
        <v>28.5</v>
      </c>
      <c r="E73" s="27" t="n">
        <v>7.54515513999149</v>
      </c>
      <c r="F73" s="27" t="n">
        <f aca="false">_xlfn.MAXIFS($E$6:$E$151,$C$6:$C$151,C73)-_xlfn.MINIFS($E$6:$E$151,$C$6:$C$151,C73)</f>
        <v>1.15922333376839</v>
      </c>
      <c r="G73" s="25" t="s">
        <v>1527</v>
      </c>
      <c r="H73" s="25" t="s">
        <v>1528</v>
      </c>
      <c r="I73" s="25" t="n">
        <v>2007</v>
      </c>
      <c r="J73" s="25" t="s">
        <v>1529</v>
      </c>
      <c r="K73" s="25" t="s">
        <v>8284</v>
      </c>
    </row>
    <row r="74" customFormat="false" ht="15" hidden="false" customHeight="false" outlineLevel="0" collapsed="false">
      <c r="A74" s="25" t="n">
        <v>1993863</v>
      </c>
      <c r="B74" s="25" t="s">
        <v>8326</v>
      </c>
      <c r="C74" s="25" t="s">
        <v>8327</v>
      </c>
      <c r="D74" s="26" t="n">
        <v>14</v>
      </c>
      <c r="E74" s="27" t="n">
        <v>7.85387196432176</v>
      </c>
      <c r="F74" s="27" t="n">
        <f aca="false">_xlfn.MAXIFS($E$6:$E$151,$C$6:$C$151,C74)-_xlfn.MINIFS($E$6:$E$151,$C$6:$C$151,C74)</f>
        <v>1.15922333376839</v>
      </c>
      <c r="G74" s="25" t="s">
        <v>1527</v>
      </c>
      <c r="H74" s="25" t="s">
        <v>1528</v>
      </c>
      <c r="I74" s="25" t="n">
        <v>2007</v>
      </c>
      <c r="J74" s="25" t="s">
        <v>1529</v>
      </c>
      <c r="K74" s="25" t="s">
        <v>8284</v>
      </c>
    </row>
    <row r="75" customFormat="false" ht="15" hidden="false" customHeight="false" outlineLevel="0" collapsed="false">
      <c r="A75" s="25" t="n">
        <v>1993867</v>
      </c>
      <c r="B75" s="25" t="s">
        <v>8328</v>
      </c>
      <c r="C75" s="25" t="s">
        <v>8329</v>
      </c>
      <c r="D75" s="26" t="n">
        <v>1010</v>
      </c>
      <c r="E75" s="27" t="n">
        <v>5.99567862621736</v>
      </c>
      <c r="F75" s="27" t="n">
        <f aca="false">_xlfn.MAXIFS($E$6:$E$151,$C$6:$C$151,C75)-_xlfn.MINIFS($E$6:$E$151,$C$6:$C$151,C75)</f>
        <v>1.38418531880889</v>
      </c>
      <c r="G75" s="25" t="s">
        <v>1527</v>
      </c>
      <c r="H75" s="25" t="s">
        <v>1528</v>
      </c>
      <c r="I75" s="25" t="n">
        <v>2007</v>
      </c>
      <c r="J75" s="25" t="s">
        <v>1529</v>
      </c>
      <c r="K75" s="25" t="s">
        <v>8284</v>
      </c>
    </row>
    <row r="76" customFormat="false" ht="15" hidden="false" customHeight="false" outlineLevel="0" collapsed="false">
      <c r="A76" s="25" t="n">
        <v>1667518</v>
      </c>
      <c r="B76" s="25" t="s">
        <v>8328</v>
      </c>
      <c r="C76" s="25" t="s">
        <v>8329</v>
      </c>
      <c r="D76" s="26" t="n">
        <v>60.2</v>
      </c>
      <c r="E76" s="27" t="n">
        <v>7.22040350874218</v>
      </c>
      <c r="F76" s="27" t="n">
        <f aca="false">_xlfn.MAXIFS($E$6:$E$151,$C$6:$C$151,C76)-_xlfn.MINIFS($E$6:$E$151,$C$6:$C$151,C76)</f>
        <v>1.38418531880889</v>
      </c>
      <c r="G76" s="25" t="s">
        <v>1538</v>
      </c>
      <c r="H76" s="25" t="s">
        <v>1539</v>
      </c>
      <c r="I76" s="25" t="n">
        <v>2006</v>
      </c>
      <c r="J76" s="25" t="s">
        <v>775</v>
      </c>
      <c r="K76" s="25" t="s">
        <v>8284</v>
      </c>
    </row>
    <row r="77" customFormat="false" ht="15" hidden="false" customHeight="false" outlineLevel="0" collapsed="false">
      <c r="A77" s="25" t="n">
        <v>1993868</v>
      </c>
      <c r="B77" s="25" t="s">
        <v>8328</v>
      </c>
      <c r="C77" s="25" t="s">
        <v>8329</v>
      </c>
      <c r="D77" s="26" t="n">
        <v>41.7</v>
      </c>
      <c r="E77" s="27" t="n">
        <v>7.37986394502624</v>
      </c>
      <c r="F77" s="27" t="n">
        <f aca="false">_xlfn.MAXIFS($E$6:$E$151,$C$6:$C$151,C77)-_xlfn.MINIFS($E$6:$E$151,$C$6:$C$151,C77)</f>
        <v>1.38418531880889</v>
      </c>
      <c r="G77" s="25" t="s">
        <v>1527</v>
      </c>
      <c r="H77" s="25" t="s">
        <v>1528</v>
      </c>
      <c r="I77" s="25" t="n">
        <v>2007</v>
      </c>
      <c r="J77" s="25" t="s">
        <v>1529</v>
      </c>
      <c r="K77" s="25" t="s">
        <v>8284</v>
      </c>
    </row>
    <row r="78" customFormat="false" ht="15" hidden="false" customHeight="false" outlineLevel="0" collapsed="false">
      <c r="A78" s="25" t="n">
        <v>16575988</v>
      </c>
      <c r="B78" s="25" t="s">
        <v>8330</v>
      </c>
      <c r="C78" s="25" t="s">
        <v>8331</v>
      </c>
      <c r="D78" s="26" t="n">
        <v>249</v>
      </c>
      <c r="E78" s="27" t="n">
        <v>6.60380065290426</v>
      </c>
      <c r="F78" s="27" t="n">
        <f aca="false">_xlfn.MAXIFS($E$6:$E$151,$C$6:$C$151,C78)-_xlfn.MINIFS($E$6:$E$151,$C$6:$C$151,C78)</f>
        <v>1.33625745903378</v>
      </c>
      <c r="G78" s="25" t="s">
        <v>548</v>
      </c>
      <c r="H78" s="25" t="s">
        <v>549</v>
      </c>
      <c r="I78" s="25" t="n">
        <v>2016</v>
      </c>
      <c r="J78" s="25" t="s">
        <v>550</v>
      </c>
      <c r="K78" s="25" t="s">
        <v>8284</v>
      </c>
    </row>
    <row r="79" customFormat="false" ht="15" hidden="false" customHeight="false" outlineLevel="0" collapsed="false">
      <c r="A79" s="25" t="n">
        <v>15156853</v>
      </c>
      <c r="B79" s="25" t="s">
        <v>8330</v>
      </c>
      <c r="C79" s="25" t="s">
        <v>8331</v>
      </c>
      <c r="D79" s="26" t="n">
        <v>11.48</v>
      </c>
      <c r="E79" s="27" t="n">
        <v>7.94005811193805</v>
      </c>
      <c r="F79" s="27" t="n">
        <f aca="false">_xlfn.MAXIFS($E$6:$E$151,$C$6:$C$151,C79)-_xlfn.MINIFS($E$6:$E$151,$C$6:$C$151,C79)</f>
        <v>1.33625745903378</v>
      </c>
      <c r="G79" s="25" t="s">
        <v>4188</v>
      </c>
      <c r="H79" s="25" t="s">
        <v>4189</v>
      </c>
      <c r="I79" s="25" t="n">
        <v>2015</v>
      </c>
      <c r="J79" s="25" t="s">
        <v>1719</v>
      </c>
      <c r="K79" s="25" t="s">
        <v>8284</v>
      </c>
    </row>
    <row r="80" customFormat="false" ht="15" hidden="false" customHeight="false" outlineLevel="0" collapsed="false">
      <c r="A80" s="25" t="n">
        <v>12723297</v>
      </c>
      <c r="B80" s="25" t="s">
        <v>8332</v>
      </c>
      <c r="C80" s="25" t="s">
        <v>8333</v>
      </c>
      <c r="D80" s="26" t="n">
        <v>854</v>
      </c>
      <c r="E80" s="27" t="n">
        <v>6.068542129311</v>
      </c>
      <c r="F80" s="27" t="n">
        <f aca="false">_xlfn.MAXIFS($E$6:$E$151,$C$6:$C$151,C80)-_xlfn.MINIFS($E$6:$E$151,$C$6:$C$151,C80)</f>
        <v>1.07412537425774</v>
      </c>
      <c r="G80" s="25" t="s">
        <v>4279</v>
      </c>
      <c r="H80" s="25" t="s">
        <v>2797</v>
      </c>
      <c r="I80" s="25" t="n">
        <v>2013</v>
      </c>
      <c r="J80" s="25" t="s">
        <v>4280</v>
      </c>
      <c r="K80" s="25" t="s">
        <v>8284</v>
      </c>
    </row>
    <row r="81" customFormat="false" ht="15" hidden="false" customHeight="false" outlineLevel="0" collapsed="false">
      <c r="A81" s="25" t="n">
        <v>12723307</v>
      </c>
      <c r="B81" s="25" t="s">
        <v>8332</v>
      </c>
      <c r="C81" s="25" t="s">
        <v>8333</v>
      </c>
      <c r="D81" s="26" t="n">
        <v>72</v>
      </c>
      <c r="E81" s="27" t="n">
        <v>7.14266750356873</v>
      </c>
      <c r="F81" s="27" t="n">
        <f aca="false">_xlfn.MAXIFS($E$6:$E$151,$C$6:$C$151,C81)-_xlfn.MINIFS($E$6:$E$151,$C$6:$C$151,C81)</f>
        <v>1.07412537425774</v>
      </c>
      <c r="G81" s="25" t="s">
        <v>2796</v>
      </c>
      <c r="H81" s="25" t="s">
        <v>2797</v>
      </c>
      <c r="I81" s="25" t="n">
        <v>2013</v>
      </c>
      <c r="J81" s="25" t="s">
        <v>2798</v>
      </c>
      <c r="K81" s="25" t="s">
        <v>8284</v>
      </c>
    </row>
    <row r="82" customFormat="false" ht="15" hidden="false" customHeight="false" outlineLevel="0" collapsed="false">
      <c r="A82" s="25" t="n">
        <v>12723302</v>
      </c>
      <c r="B82" s="25" t="s">
        <v>8334</v>
      </c>
      <c r="C82" s="25" t="s">
        <v>8335</v>
      </c>
      <c r="D82" s="26" t="n">
        <v>1376</v>
      </c>
      <c r="E82" s="27" t="n">
        <v>5.86138156610051</v>
      </c>
      <c r="F82" s="27" t="n">
        <f aca="false">_xlfn.MAXIFS($E$6:$E$151,$C$6:$C$151,C82)-_xlfn.MINIFS($E$6:$E$151,$C$6:$C$151,C82)</f>
        <v>1.18922842725458</v>
      </c>
      <c r="G82" s="25" t="s">
        <v>4279</v>
      </c>
      <c r="H82" s="25" t="s">
        <v>2797</v>
      </c>
      <c r="I82" s="25" t="n">
        <v>2013</v>
      </c>
      <c r="J82" s="25" t="s">
        <v>4280</v>
      </c>
      <c r="K82" s="25" t="s">
        <v>8284</v>
      </c>
    </row>
    <row r="83" customFormat="false" ht="15" hidden="false" customHeight="false" outlineLevel="0" collapsed="false">
      <c r="A83" s="25" t="n">
        <v>12723312</v>
      </c>
      <c r="B83" s="25" t="s">
        <v>8334</v>
      </c>
      <c r="C83" s="25" t="s">
        <v>8335</v>
      </c>
      <c r="D83" s="26" t="n">
        <v>89</v>
      </c>
      <c r="E83" s="27" t="n">
        <v>7.05060999335509</v>
      </c>
      <c r="F83" s="27" t="n">
        <f aca="false">_xlfn.MAXIFS($E$6:$E$151,$C$6:$C$151,C83)-_xlfn.MINIFS($E$6:$E$151,$C$6:$C$151,C83)</f>
        <v>1.18922842725458</v>
      </c>
      <c r="G83" s="25" t="s">
        <v>2796</v>
      </c>
      <c r="H83" s="25" t="s">
        <v>2797</v>
      </c>
      <c r="I83" s="25" t="n">
        <v>2013</v>
      </c>
      <c r="J83" s="25" t="s">
        <v>2798</v>
      </c>
      <c r="K83" s="25" t="s">
        <v>8284</v>
      </c>
    </row>
    <row r="84" customFormat="false" ht="15" hidden="false" customHeight="false" outlineLevel="0" collapsed="false">
      <c r="A84" s="25" t="n">
        <v>12723299</v>
      </c>
      <c r="B84" s="25" t="s">
        <v>8336</v>
      </c>
      <c r="C84" s="25" t="s">
        <v>8337</v>
      </c>
      <c r="D84" s="26" t="n">
        <v>390</v>
      </c>
      <c r="E84" s="27" t="n">
        <v>6.4089353929735</v>
      </c>
      <c r="F84" s="27" t="n">
        <f aca="false">_xlfn.MAXIFS($E$6:$E$151,$C$6:$C$151,C84)-_xlfn.MINIFS($E$6:$E$151,$C$6:$C$151,C84)</f>
        <v>1.44493657134826</v>
      </c>
      <c r="G84" s="25" t="s">
        <v>4279</v>
      </c>
      <c r="H84" s="25" t="s">
        <v>2797</v>
      </c>
      <c r="I84" s="25" t="n">
        <v>2013</v>
      </c>
      <c r="J84" s="25" t="s">
        <v>4280</v>
      </c>
      <c r="K84" s="25" t="s">
        <v>8284</v>
      </c>
    </row>
    <row r="85" customFormat="false" ht="15" hidden="false" customHeight="false" outlineLevel="0" collapsed="false">
      <c r="A85" s="25" t="n">
        <v>12723309</v>
      </c>
      <c r="B85" s="25" t="s">
        <v>8336</v>
      </c>
      <c r="C85" s="25" t="s">
        <v>8337</v>
      </c>
      <c r="D85" s="26" t="n">
        <v>14</v>
      </c>
      <c r="E85" s="27" t="n">
        <v>7.85387196432176</v>
      </c>
      <c r="F85" s="27" t="n">
        <f aca="false">_xlfn.MAXIFS($E$6:$E$151,$C$6:$C$151,C85)-_xlfn.MINIFS($E$6:$E$151,$C$6:$C$151,C85)</f>
        <v>1.44493657134826</v>
      </c>
      <c r="G85" s="25" t="s">
        <v>2796</v>
      </c>
      <c r="H85" s="25" t="s">
        <v>2797</v>
      </c>
      <c r="I85" s="25" t="n">
        <v>2013</v>
      </c>
      <c r="J85" s="25" t="s">
        <v>2798</v>
      </c>
      <c r="K85" s="25" t="s">
        <v>8284</v>
      </c>
    </row>
    <row r="86" customFormat="false" ht="15" hidden="false" customHeight="false" outlineLevel="0" collapsed="false">
      <c r="A86" s="25" t="n">
        <v>12723300</v>
      </c>
      <c r="B86" s="25" t="s">
        <v>8338</v>
      </c>
      <c r="C86" s="25" t="s">
        <v>8339</v>
      </c>
      <c r="D86" s="26" t="n">
        <v>391</v>
      </c>
      <c r="E86" s="27" t="n">
        <v>6.40782324260413</v>
      </c>
      <c r="F86" s="27" t="n">
        <f aca="false">_xlfn.MAXIFS($E$6:$E$151,$C$6:$C$151,C86)-_xlfn.MINIFS($E$6:$E$151,$C$6:$C$151,C86)</f>
        <v>1.38805677473994</v>
      </c>
      <c r="G86" s="25" t="s">
        <v>4279</v>
      </c>
      <c r="H86" s="25" t="s">
        <v>2797</v>
      </c>
      <c r="I86" s="25" t="n">
        <v>2013</v>
      </c>
      <c r="J86" s="25" t="s">
        <v>4280</v>
      </c>
      <c r="K86" s="25" t="s">
        <v>8284</v>
      </c>
    </row>
    <row r="87" customFormat="false" ht="15" hidden="false" customHeight="false" outlineLevel="0" collapsed="false">
      <c r="A87" s="25" t="n">
        <v>12723310</v>
      </c>
      <c r="B87" s="25" t="s">
        <v>8338</v>
      </c>
      <c r="C87" s="25" t="s">
        <v>8339</v>
      </c>
      <c r="D87" s="26" t="n">
        <v>16</v>
      </c>
      <c r="E87" s="27" t="n">
        <v>7.79588001734408</v>
      </c>
      <c r="F87" s="27" t="n">
        <f aca="false">_xlfn.MAXIFS($E$6:$E$151,$C$6:$C$151,C87)-_xlfn.MINIFS($E$6:$E$151,$C$6:$C$151,C87)</f>
        <v>1.38805677473994</v>
      </c>
      <c r="G87" s="25" t="s">
        <v>2796</v>
      </c>
      <c r="H87" s="25" t="s">
        <v>2797</v>
      </c>
      <c r="I87" s="25" t="n">
        <v>2013</v>
      </c>
      <c r="J87" s="25" t="s">
        <v>2798</v>
      </c>
      <c r="K87" s="25" t="s">
        <v>8284</v>
      </c>
    </row>
    <row r="88" customFormat="false" ht="15" hidden="false" customHeight="false" outlineLevel="0" collapsed="false">
      <c r="A88" s="25" t="n">
        <v>19371447</v>
      </c>
      <c r="B88" s="25" t="s">
        <v>8340</v>
      </c>
      <c r="C88" s="25" t="s">
        <v>8341</v>
      </c>
      <c r="D88" s="26" t="n">
        <v>63</v>
      </c>
      <c r="E88" s="27" t="n">
        <v>7.20065945054642</v>
      </c>
      <c r="F88" s="27" t="n">
        <f aca="false">_xlfn.MAXIFS($E$6:$E$151,$C$6:$C$151,C88)-_xlfn.MINIFS($E$6:$E$151,$C$6:$C$151,C88)</f>
        <v>1.35218251811136</v>
      </c>
      <c r="G88" s="25" t="s">
        <v>8342</v>
      </c>
      <c r="H88" s="25" t="s">
        <v>341</v>
      </c>
      <c r="I88" s="25" t="n">
        <v>2019</v>
      </c>
      <c r="J88" s="25" t="s">
        <v>8343</v>
      </c>
      <c r="K88" s="25" t="s">
        <v>8284</v>
      </c>
    </row>
    <row r="89" customFormat="false" ht="15" hidden="false" customHeight="false" outlineLevel="0" collapsed="false">
      <c r="A89" s="25" t="n">
        <v>22397345</v>
      </c>
      <c r="B89" s="25" t="s">
        <v>8340</v>
      </c>
      <c r="C89" s="25" t="s">
        <v>8341</v>
      </c>
      <c r="D89" s="26" t="n">
        <v>2.8</v>
      </c>
      <c r="E89" s="27" t="n">
        <v>8.55284196865778</v>
      </c>
      <c r="F89" s="27" t="n">
        <f aca="false">_xlfn.MAXIFS($E$6:$E$151,$C$6:$C$151,C89)-_xlfn.MINIFS($E$6:$E$151,$C$6:$C$151,C89)</f>
        <v>1.35218251811136</v>
      </c>
      <c r="G89" s="25" t="s">
        <v>4550</v>
      </c>
      <c r="H89" s="25" t="s">
        <v>4551</v>
      </c>
      <c r="I89" s="25" t="n">
        <v>2020</v>
      </c>
      <c r="J89" s="25" t="s">
        <v>4552</v>
      </c>
      <c r="K89" s="25" t="s">
        <v>8284</v>
      </c>
    </row>
    <row r="90" customFormat="false" ht="15" hidden="false" customHeight="false" outlineLevel="0" collapsed="false">
      <c r="A90" s="25" t="n">
        <v>13850297</v>
      </c>
      <c r="B90" s="25" t="s">
        <v>8344</v>
      </c>
      <c r="C90" s="25" t="s">
        <v>8345</v>
      </c>
      <c r="D90" s="26" t="n">
        <v>4.5</v>
      </c>
      <c r="E90" s="27" t="n">
        <v>8.34678748622466</v>
      </c>
      <c r="F90" s="27" t="n">
        <f aca="false">_xlfn.MAXIFS($E$6:$E$151,$C$6:$C$151,C90)-_xlfn.MINIFS($E$6:$E$151,$C$6:$C$151,C90)</f>
        <v>1.05115252244738</v>
      </c>
      <c r="G90" s="25" t="s">
        <v>4133</v>
      </c>
      <c r="H90" s="25" t="s">
        <v>4134</v>
      </c>
      <c r="I90" s="25" t="n">
        <v>2013</v>
      </c>
      <c r="J90" s="25" t="s">
        <v>4135</v>
      </c>
      <c r="K90" s="25" t="s">
        <v>8284</v>
      </c>
    </row>
    <row r="91" customFormat="false" ht="15" hidden="false" customHeight="false" outlineLevel="0" collapsed="false">
      <c r="A91" s="25" t="n">
        <v>1617701</v>
      </c>
      <c r="B91" s="25" t="s">
        <v>8346</v>
      </c>
      <c r="C91" s="25" t="s">
        <v>8345</v>
      </c>
      <c r="D91" s="26" t="n">
        <v>0.4</v>
      </c>
      <c r="E91" s="27" t="n">
        <v>9.39794000867204</v>
      </c>
      <c r="F91" s="27" t="n">
        <f aca="false">_xlfn.MAXIFS($E$6:$E$151,$C$6:$C$151,C91)-_xlfn.MINIFS($E$6:$E$151,$C$6:$C$151,C91)</f>
        <v>1.05115252244738</v>
      </c>
      <c r="G91" s="25" t="s">
        <v>444</v>
      </c>
      <c r="H91" s="25" t="s">
        <v>445</v>
      </c>
      <c r="I91" s="25" t="n">
        <v>2005</v>
      </c>
      <c r="J91" s="25" t="s">
        <v>446</v>
      </c>
      <c r="K91" s="25" t="s">
        <v>8284</v>
      </c>
    </row>
    <row r="92" customFormat="false" ht="15" hidden="false" customHeight="false" outlineLevel="0" collapsed="false">
      <c r="A92" s="25" t="n">
        <v>2118241</v>
      </c>
      <c r="B92" s="25" t="s">
        <v>8347</v>
      </c>
      <c r="C92" s="25" t="s">
        <v>8348</v>
      </c>
      <c r="D92" s="26" t="n">
        <v>1590</v>
      </c>
      <c r="E92" s="27" t="n">
        <v>5.79860287567955</v>
      </c>
      <c r="F92" s="27" t="n">
        <f aca="false">_xlfn.MAXIFS($E$6:$E$151,$C$6:$C$151,C92)-_xlfn.MINIFS($E$6:$E$151,$C$6:$C$151,C92)</f>
        <v>3.00136785776668</v>
      </c>
      <c r="G92" s="25" t="s">
        <v>1199</v>
      </c>
      <c r="H92" s="25" t="s">
        <v>1200</v>
      </c>
      <c r="I92" s="25" t="n">
        <v>2008</v>
      </c>
      <c r="J92" s="25" t="s">
        <v>676</v>
      </c>
      <c r="K92" s="25" t="s">
        <v>8284</v>
      </c>
    </row>
    <row r="93" customFormat="false" ht="15" hidden="false" customHeight="false" outlineLevel="0" collapsed="false">
      <c r="A93" s="25" t="n">
        <v>2118240</v>
      </c>
      <c r="B93" s="25" t="s">
        <v>8347</v>
      </c>
      <c r="C93" s="25" t="s">
        <v>8348</v>
      </c>
      <c r="D93" s="26" t="n">
        <v>1.585</v>
      </c>
      <c r="E93" s="27" t="n">
        <v>8.79997073344623</v>
      </c>
      <c r="F93" s="27" t="n">
        <f aca="false">_xlfn.MAXIFS($E$6:$E$151,$C$6:$C$151,C93)-_xlfn.MINIFS($E$6:$E$151,$C$6:$C$151,C93)</f>
        <v>3.00136785776668</v>
      </c>
      <c r="G93" s="25" t="s">
        <v>1199</v>
      </c>
      <c r="H93" s="25" t="s">
        <v>1200</v>
      </c>
      <c r="I93" s="25" t="n">
        <v>2008</v>
      </c>
      <c r="J93" s="25" t="s">
        <v>676</v>
      </c>
      <c r="K93" s="25" t="s">
        <v>8284</v>
      </c>
    </row>
    <row r="94" customFormat="false" ht="15" hidden="false" customHeight="false" outlineLevel="0" collapsed="false">
      <c r="A94" s="25" t="n">
        <v>3089237</v>
      </c>
      <c r="B94" s="25" t="s">
        <v>8349</v>
      </c>
      <c r="C94" s="25" t="s">
        <v>8350</v>
      </c>
      <c r="D94" s="26" t="n">
        <v>122</v>
      </c>
      <c r="E94" s="27" t="n">
        <v>6.91364016932525</v>
      </c>
      <c r="F94" s="27" t="n">
        <f aca="false">_xlfn.MAXIFS($E$6:$E$151,$C$6:$C$151,C94)-_xlfn.MINIFS($E$6:$E$151,$C$6:$C$151,C94)</f>
        <v>2.04496714551652</v>
      </c>
      <c r="G94" s="25" t="s">
        <v>534</v>
      </c>
      <c r="H94" s="25" t="s">
        <v>535</v>
      </c>
      <c r="I94" s="25" t="n">
        <v>2010</v>
      </c>
      <c r="J94" s="25" t="s">
        <v>515</v>
      </c>
      <c r="K94" s="25" t="s">
        <v>8284</v>
      </c>
    </row>
    <row r="95" customFormat="false" ht="15" hidden="false" customHeight="false" outlineLevel="0" collapsed="false">
      <c r="A95" s="25" t="n">
        <v>3089238</v>
      </c>
      <c r="B95" s="25" t="s">
        <v>8349</v>
      </c>
      <c r="C95" s="25" t="s">
        <v>8350</v>
      </c>
      <c r="D95" s="26" t="n">
        <v>1.1</v>
      </c>
      <c r="E95" s="27" t="n">
        <v>8.95860731484178</v>
      </c>
      <c r="F95" s="27" t="n">
        <f aca="false">_xlfn.MAXIFS($E$6:$E$151,$C$6:$C$151,C95)-_xlfn.MINIFS($E$6:$E$151,$C$6:$C$151,C95)</f>
        <v>2.04496714551652</v>
      </c>
      <c r="G95" s="25" t="s">
        <v>534</v>
      </c>
      <c r="H95" s="25" t="s">
        <v>535</v>
      </c>
      <c r="I95" s="25" t="n">
        <v>2010</v>
      </c>
      <c r="J95" s="25" t="s">
        <v>515</v>
      </c>
      <c r="K95" s="25" t="s">
        <v>8284</v>
      </c>
    </row>
    <row r="96" customFormat="false" ht="15" hidden="false" customHeight="false" outlineLevel="0" collapsed="false">
      <c r="A96" s="25" t="n">
        <v>24857903</v>
      </c>
      <c r="B96" s="25" t="s">
        <v>8351</v>
      </c>
      <c r="C96" s="25" t="s">
        <v>8352</v>
      </c>
      <c r="D96" s="26" t="n">
        <v>915</v>
      </c>
      <c r="E96" s="27" t="n">
        <v>6.03857890593355</v>
      </c>
      <c r="F96" s="27" t="n">
        <f aca="false">_xlfn.MAXIFS($E$6:$E$151,$C$6:$C$151,C96)-_xlfn.MINIFS($E$6:$E$151,$C$6:$C$151,C96)</f>
        <v>3.53005732990746</v>
      </c>
      <c r="G96" s="25" t="s">
        <v>7187</v>
      </c>
      <c r="H96" s="25" t="s">
        <v>6046</v>
      </c>
      <c r="I96" s="25" t="n">
        <v>2022</v>
      </c>
      <c r="J96" s="25" t="s">
        <v>7188</v>
      </c>
      <c r="K96" s="25" t="s">
        <v>8284</v>
      </c>
    </row>
    <row r="97" customFormat="false" ht="15" hidden="false" customHeight="false" outlineLevel="0" collapsed="false">
      <c r="A97" s="25" t="n">
        <v>15078022</v>
      </c>
      <c r="B97" s="25" t="s">
        <v>8351</v>
      </c>
      <c r="C97" s="25" t="s">
        <v>8352</v>
      </c>
      <c r="D97" s="26" t="n">
        <v>0.27</v>
      </c>
      <c r="E97" s="27" t="n">
        <v>9.56863623584101</v>
      </c>
      <c r="F97" s="27" t="n">
        <f aca="false">_xlfn.MAXIFS($E$6:$E$151,$C$6:$C$151,C97)-_xlfn.MINIFS($E$6:$E$151,$C$6:$C$151,C97)</f>
        <v>3.53005732990746</v>
      </c>
      <c r="G97" s="25" t="s">
        <v>1662</v>
      </c>
      <c r="H97" s="25" t="s">
        <v>1663</v>
      </c>
      <c r="I97" s="25" t="n">
        <v>2014</v>
      </c>
      <c r="J97" s="25" t="s">
        <v>1664</v>
      </c>
      <c r="K97" s="25" t="s">
        <v>8284</v>
      </c>
    </row>
    <row r="98" customFormat="false" ht="15" hidden="false" customHeight="false" outlineLevel="0" collapsed="false">
      <c r="A98" s="25" t="n">
        <v>18673995</v>
      </c>
      <c r="B98" s="25" t="s">
        <v>8353</v>
      </c>
      <c r="C98" s="25" t="s">
        <v>8354</v>
      </c>
      <c r="D98" s="26" t="n">
        <v>7700</v>
      </c>
      <c r="E98" s="27" t="n">
        <v>5.11350927482752</v>
      </c>
      <c r="F98" s="27" t="n">
        <f aca="false">_xlfn.MAXIFS($E$6:$E$151,$C$6:$C$151,C98)-_xlfn.MINIFS($E$6:$E$151,$C$6:$C$151,C98)</f>
        <v>3.84509804001426</v>
      </c>
      <c r="G98" s="25" t="s">
        <v>8355</v>
      </c>
      <c r="H98" s="25" t="s">
        <v>665</v>
      </c>
      <c r="I98" s="25" t="n">
        <v>2018</v>
      </c>
      <c r="J98" s="25" t="s">
        <v>8356</v>
      </c>
      <c r="K98" s="25" t="s">
        <v>8284</v>
      </c>
    </row>
    <row r="99" customFormat="false" ht="15" hidden="false" customHeight="false" outlineLevel="0" collapsed="false">
      <c r="A99" s="25" t="n">
        <v>2005089</v>
      </c>
      <c r="B99" s="25" t="s">
        <v>8353</v>
      </c>
      <c r="C99" s="25" t="s">
        <v>8354</v>
      </c>
      <c r="D99" s="26" t="n">
        <v>1990</v>
      </c>
      <c r="E99" s="27" t="n">
        <v>5.70114692359029</v>
      </c>
      <c r="F99" s="27" t="n">
        <f aca="false">_xlfn.MAXIFS($E$6:$E$151,$C$6:$C$151,C99)-_xlfn.MINIFS($E$6:$E$151,$C$6:$C$151,C99)</f>
        <v>3.84509804001426</v>
      </c>
      <c r="G99" s="25" t="s">
        <v>7874</v>
      </c>
      <c r="H99" s="25" t="s">
        <v>7875</v>
      </c>
      <c r="I99" s="25" t="n">
        <v>2007</v>
      </c>
      <c r="J99" s="25" t="s">
        <v>7876</v>
      </c>
      <c r="K99" s="25" t="s">
        <v>8284</v>
      </c>
    </row>
    <row r="100" customFormat="false" ht="15" hidden="false" customHeight="false" outlineLevel="0" collapsed="false">
      <c r="A100" s="25" t="n">
        <v>2986404</v>
      </c>
      <c r="B100" s="25" t="s">
        <v>8357</v>
      </c>
      <c r="C100" s="25" t="s">
        <v>8354</v>
      </c>
      <c r="D100" s="26" t="n">
        <v>1580</v>
      </c>
      <c r="E100" s="27" t="n">
        <v>5.80134291304558</v>
      </c>
      <c r="F100" s="27" t="n">
        <f aca="false">_xlfn.MAXIFS($E$6:$E$151,$C$6:$C$151,C100)-_xlfn.MINIFS($E$6:$E$151,$C$6:$C$151,C100)</f>
        <v>3.84509804001426</v>
      </c>
      <c r="G100" s="25" t="s">
        <v>8220</v>
      </c>
      <c r="H100" s="25" t="s">
        <v>8221</v>
      </c>
      <c r="I100" s="25" t="n">
        <v>2010</v>
      </c>
      <c r="J100" s="25" t="s">
        <v>659</v>
      </c>
      <c r="K100" s="25" t="s">
        <v>8284</v>
      </c>
    </row>
    <row r="101" customFormat="false" ht="15" hidden="false" customHeight="false" outlineLevel="0" collapsed="false">
      <c r="A101" s="25" t="n">
        <v>16741330</v>
      </c>
      <c r="B101" s="25" t="s">
        <v>8353</v>
      </c>
      <c r="C101" s="25" t="s">
        <v>8354</v>
      </c>
      <c r="D101" s="26" t="n">
        <v>1400</v>
      </c>
      <c r="E101" s="27" t="n">
        <v>5.85387196432176</v>
      </c>
      <c r="F101" s="27" t="n">
        <f aca="false">_xlfn.MAXIFS($E$6:$E$151,$C$6:$C$151,C101)-_xlfn.MINIFS($E$6:$E$151,$C$6:$C$151,C101)</f>
        <v>3.84509804001426</v>
      </c>
      <c r="G101" s="25" t="s">
        <v>1324</v>
      </c>
      <c r="H101" s="25" t="s">
        <v>1325</v>
      </c>
      <c r="I101" s="25" t="n">
        <v>2016</v>
      </c>
      <c r="J101" s="25" t="s">
        <v>1326</v>
      </c>
      <c r="K101" s="25" t="s">
        <v>8284</v>
      </c>
    </row>
    <row r="102" customFormat="false" ht="15" hidden="false" customHeight="false" outlineLevel="0" collapsed="false">
      <c r="A102" s="25" t="n">
        <v>6161490</v>
      </c>
      <c r="B102" s="25" t="s">
        <v>8353</v>
      </c>
      <c r="C102" s="25" t="s">
        <v>8354</v>
      </c>
      <c r="D102" s="26" t="n">
        <v>851.14</v>
      </c>
      <c r="E102" s="27" t="n">
        <v>6.06999899899093</v>
      </c>
      <c r="F102" s="27" t="n">
        <f aca="false">_xlfn.MAXIFS($E$6:$E$151,$C$6:$C$151,C102)-_xlfn.MINIFS($E$6:$E$151,$C$6:$C$151,C102)</f>
        <v>3.84509804001426</v>
      </c>
      <c r="G102" s="25" t="s">
        <v>8358</v>
      </c>
      <c r="H102" s="25" t="s">
        <v>8359</v>
      </c>
      <c r="I102" s="25" t="n">
        <v>2011</v>
      </c>
      <c r="J102" s="25" t="s">
        <v>8360</v>
      </c>
      <c r="K102" s="25" t="s">
        <v>8284</v>
      </c>
    </row>
    <row r="103" customFormat="false" ht="15" hidden="false" customHeight="false" outlineLevel="0" collapsed="false">
      <c r="A103" s="25" t="n">
        <v>2096572</v>
      </c>
      <c r="B103" s="25" t="s">
        <v>8353</v>
      </c>
      <c r="C103" s="25" t="s">
        <v>8354</v>
      </c>
      <c r="D103" s="26" t="n">
        <v>554</v>
      </c>
      <c r="E103" s="27" t="n">
        <v>6.25649023527157</v>
      </c>
      <c r="F103" s="27" t="n">
        <f aca="false">_xlfn.MAXIFS($E$6:$E$151,$C$6:$C$151,C103)-_xlfn.MINIFS($E$6:$E$151,$C$6:$C$151,C103)</f>
        <v>3.84509804001426</v>
      </c>
      <c r="G103" s="25" t="s">
        <v>4060</v>
      </c>
      <c r="H103" s="25" t="s">
        <v>4061</v>
      </c>
      <c r="I103" s="25" t="n">
        <v>2008</v>
      </c>
      <c r="J103" s="25" t="s">
        <v>4062</v>
      </c>
      <c r="K103" s="25" t="s">
        <v>8284</v>
      </c>
    </row>
    <row r="104" customFormat="false" ht="15" hidden="false" customHeight="false" outlineLevel="0" collapsed="false">
      <c r="A104" s="25" t="n">
        <v>10979868</v>
      </c>
      <c r="B104" s="25" t="s">
        <v>8353</v>
      </c>
      <c r="C104" s="25" t="s">
        <v>8354</v>
      </c>
      <c r="D104" s="26" t="n">
        <v>522</v>
      </c>
      <c r="E104" s="27" t="n">
        <v>6.28232949699774</v>
      </c>
      <c r="F104" s="27" t="n">
        <f aca="false">_xlfn.MAXIFS($E$6:$E$151,$C$6:$C$151,C104)-_xlfn.MINIFS($E$6:$E$151,$C$6:$C$151,C104)</f>
        <v>3.84509804001426</v>
      </c>
      <c r="G104" s="25" t="s">
        <v>631</v>
      </c>
      <c r="H104" s="25" t="s">
        <v>632</v>
      </c>
      <c r="I104" s="25" t="n">
        <v>2012</v>
      </c>
      <c r="J104" s="25" t="s">
        <v>633</v>
      </c>
      <c r="K104" s="25" t="s">
        <v>8284</v>
      </c>
    </row>
    <row r="105" customFormat="false" ht="15" hidden="false" customHeight="false" outlineLevel="0" collapsed="false">
      <c r="A105" s="25" t="n">
        <v>2525266</v>
      </c>
      <c r="B105" s="25" t="s">
        <v>8353</v>
      </c>
      <c r="C105" s="25" t="s">
        <v>8354</v>
      </c>
      <c r="D105" s="26" t="n">
        <v>398.11</v>
      </c>
      <c r="E105" s="27" t="n">
        <v>6.39999691337226</v>
      </c>
      <c r="F105" s="27" t="n">
        <f aca="false">_xlfn.MAXIFS($E$6:$E$151,$C$6:$C$151,C105)-_xlfn.MINIFS($E$6:$E$151,$C$6:$C$151,C105)</f>
        <v>3.84509804001426</v>
      </c>
      <c r="G105" s="25" t="s">
        <v>4049</v>
      </c>
      <c r="H105" s="25" t="s">
        <v>4050</v>
      </c>
      <c r="I105" s="25" t="n">
        <v>2009</v>
      </c>
      <c r="J105" s="25" t="s">
        <v>4051</v>
      </c>
      <c r="K105" s="25" t="s">
        <v>8284</v>
      </c>
    </row>
    <row r="106" customFormat="false" ht="15" hidden="false" customHeight="false" outlineLevel="0" collapsed="false">
      <c r="A106" s="25" t="n">
        <v>3198572</v>
      </c>
      <c r="B106" s="25" t="s">
        <v>8353</v>
      </c>
      <c r="C106" s="25" t="s">
        <v>8354</v>
      </c>
      <c r="D106" s="26" t="n">
        <v>126</v>
      </c>
      <c r="E106" s="27" t="n">
        <v>6.89962945488244</v>
      </c>
      <c r="F106" s="27" t="n">
        <f aca="false">_xlfn.MAXIFS($E$6:$E$151,$C$6:$C$151,C106)-_xlfn.MINIFS($E$6:$E$151,$C$6:$C$151,C106)</f>
        <v>3.84509804001426</v>
      </c>
      <c r="G106" s="25" t="s">
        <v>4040</v>
      </c>
      <c r="H106" s="25" t="s">
        <v>4041</v>
      </c>
      <c r="I106" s="25" t="n">
        <v>2010</v>
      </c>
      <c r="J106" s="25" t="s">
        <v>4042</v>
      </c>
      <c r="K106" s="25" t="s">
        <v>8284</v>
      </c>
    </row>
    <row r="107" customFormat="false" ht="15" hidden="false" customHeight="false" outlineLevel="0" collapsed="false">
      <c r="A107" s="25" t="n">
        <v>14729940</v>
      </c>
      <c r="B107" s="25" t="s">
        <v>8353</v>
      </c>
      <c r="C107" s="25" t="s">
        <v>8354</v>
      </c>
      <c r="D107" s="26" t="n">
        <v>1.1</v>
      </c>
      <c r="E107" s="27" t="n">
        <v>8.95860731484178</v>
      </c>
      <c r="F107" s="27" t="n">
        <f aca="false">_xlfn.MAXIFS($E$6:$E$151,$C$6:$C$151,C107)-_xlfn.MINIFS($E$6:$E$151,$C$6:$C$151,C107)</f>
        <v>3.84509804001426</v>
      </c>
      <c r="G107" s="25" t="s">
        <v>2340</v>
      </c>
      <c r="H107" s="25" t="s">
        <v>2341</v>
      </c>
      <c r="I107" s="25" t="n">
        <v>2014</v>
      </c>
      <c r="J107" s="25" t="s">
        <v>2342</v>
      </c>
      <c r="K107" s="25" t="s">
        <v>8284</v>
      </c>
    </row>
    <row r="108" customFormat="false" ht="15" hidden="false" customHeight="false" outlineLevel="0" collapsed="false">
      <c r="A108" s="25" t="n">
        <v>13850273</v>
      </c>
      <c r="B108" s="25" t="s">
        <v>8361</v>
      </c>
      <c r="C108" s="25" t="s">
        <v>8362</v>
      </c>
      <c r="D108" s="26" t="n">
        <v>70</v>
      </c>
      <c r="E108" s="27" t="n">
        <v>7.15490195998574</v>
      </c>
      <c r="F108" s="27" t="n">
        <f aca="false">_xlfn.MAXIFS($E$6:$E$151,$C$6:$C$151,C108)-_xlfn.MINIFS($E$6:$E$151,$C$6:$C$151,C108)</f>
        <v>2.19188552623891</v>
      </c>
      <c r="G108" s="25" t="s">
        <v>5354</v>
      </c>
      <c r="H108" s="25" t="s">
        <v>4134</v>
      </c>
      <c r="I108" s="25" t="n">
        <v>2013</v>
      </c>
      <c r="J108" s="25" t="s">
        <v>5355</v>
      </c>
      <c r="K108" s="25" t="s">
        <v>8284</v>
      </c>
    </row>
    <row r="109" customFormat="false" ht="15" hidden="false" customHeight="false" outlineLevel="0" collapsed="false">
      <c r="A109" s="25" t="n">
        <v>2460791</v>
      </c>
      <c r="B109" s="25" t="s">
        <v>8361</v>
      </c>
      <c r="C109" s="25" t="s">
        <v>8362</v>
      </c>
      <c r="D109" s="26" t="n">
        <v>20</v>
      </c>
      <c r="E109" s="27" t="n">
        <v>7.69897000433602</v>
      </c>
      <c r="F109" s="27" t="n">
        <f aca="false">_xlfn.MAXIFS($E$6:$E$151,$C$6:$C$151,C109)-_xlfn.MINIFS($E$6:$E$151,$C$6:$C$151,C109)</f>
        <v>2.19188552623891</v>
      </c>
      <c r="G109" s="25" t="s">
        <v>4479</v>
      </c>
      <c r="H109" s="25" t="s">
        <v>4480</v>
      </c>
      <c r="I109" s="25" t="n">
        <v>2008</v>
      </c>
      <c r="J109" s="25" t="s">
        <v>775</v>
      </c>
      <c r="K109" s="25" t="s">
        <v>8284</v>
      </c>
    </row>
    <row r="110" customFormat="false" ht="15" hidden="false" customHeight="false" outlineLevel="0" collapsed="false">
      <c r="A110" s="25" t="n">
        <v>13404992</v>
      </c>
      <c r="B110" s="25" t="s">
        <v>8361</v>
      </c>
      <c r="C110" s="25" t="s">
        <v>8362</v>
      </c>
      <c r="D110" s="26" t="n">
        <v>16.1</v>
      </c>
      <c r="E110" s="27" t="n">
        <v>7.79317412396815</v>
      </c>
      <c r="F110" s="27" t="n">
        <f aca="false">_xlfn.MAXIFS($E$6:$E$151,$C$6:$C$151,C110)-_xlfn.MINIFS($E$6:$E$151,$C$6:$C$151,C110)</f>
        <v>2.19188552623891</v>
      </c>
      <c r="G110" s="25" t="s">
        <v>2934</v>
      </c>
      <c r="H110" s="25" t="s">
        <v>2693</v>
      </c>
      <c r="I110" s="25" t="n">
        <v>2013</v>
      </c>
      <c r="J110" s="25" t="s">
        <v>2935</v>
      </c>
      <c r="K110" s="25" t="s">
        <v>8284</v>
      </c>
    </row>
    <row r="111" customFormat="false" ht="15" hidden="false" customHeight="false" outlineLevel="0" collapsed="false">
      <c r="A111" s="25" t="n">
        <v>13499147</v>
      </c>
      <c r="B111" s="25" t="s">
        <v>8361</v>
      </c>
      <c r="C111" s="25" t="s">
        <v>8362</v>
      </c>
      <c r="D111" s="26" t="n">
        <v>13</v>
      </c>
      <c r="E111" s="27" t="n">
        <v>7.88605664769316</v>
      </c>
      <c r="F111" s="27" t="n">
        <f aca="false">_xlfn.MAXIFS($E$6:$E$151,$C$6:$C$151,C111)-_xlfn.MINIFS($E$6:$E$151,$C$6:$C$151,C111)</f>
        <v>2.19188552623891</v>
      </c>
      <c r="G111" s="25" t="s">
        <v>757</v>
      </c>
      <c r="H111" s="25" t="s">
        <v>758</v>
      </c>
      <c r="I111" s="25" t="n">
        <v>2013</v>
      </c>
      <c r="J111" s="25" t="s">
        <v>759</v>
      </c>
      <c r="K111" s="25" t="s">
        <v>8284</v>
      </c>
    </row>
    <row r="112" customFormat="false" ht="15" hidden="false" customHeight="false" outlineLevel="0" collapsed="false">
      <c r="A112" s="25" t="n">
        <v>1667516</v>
      </c>
      <c r="B112" s="25" t="s">
        <v>8361</v>
      </c>
      <c r="C112" s="25" t="s">
        <v>8362</v>
      </c>
      <c r="D112" s="26" t="n">
        <v>9.1</v>
      </c>
      <c r="E112" s="27" t="n">
        <v>8.04095860767891</v>
      </c>
      <c r="F112" s="27" t="n">
        <f aca="false">_xlfn.MAXIFS($E$6:$E$151,$C$6:$C$151,C112)-_xlfn.MINIFS($E$6:$E$151,$C$6:$C$151,C112)</f>
        <v>2.19188552623891</v>
      </c>
      <c r="G112" s="25" t="s">
        <v>1538</v>
      </c>
      <c r="H112" s="25" t="s">
        <v>1539</v>
      </c>
      <c r="I112" s="25" t="n">
        <v>2006</v>
      </c>
      <c r="J112" s="25" t="s">
        <v>775</v>
      </c>
      <c r="K112" s="25" t="s">
        <v>8284</v>
      </c>
    </row>
    <row r="113" customFormat="false" ht="15" hidden="false" customHeight="false" outlineLevel="0" collapsed="false">
      <c r="A113" s="25" t="n">
        <v>18746596</v>
      </c>
      <c r="B113" s="25" t="s">
        <v>8361</v>
      </c>
      <c r="C113" s="25" t="s">
        <v>8362</v>
      </c>
      <c r="D113" s="26" t="n">
        <v>8.57</v>
      </c>
      <c r="E113" s="27" t="n">
        <v>8.0670191780768</v>
      </c>
      <c r="F113" s="27" t="n">
        <f aca="false">_xlfn.MAXIFS($E$6:$E$151,$C$6:$C$151,C113)-_xlfn.MINIFS($E$6:$E$151,$C$6:$C$151,C113)</f>
        <v>2.19188552623891</v>
      </c>
      <c r="G113" s="25" t="s">
        <v>7324</v>
      </c>
      <c r="H113" s="25" t="s">
        <v>7325</v>
      </c>
      <c r="I113" s="25" t="n">
        <v>2017</v>
      </c>
      <c r="J113" s="25" t="s">
        <v>7326</v>
      </c>
      <c r="K113" s="25" t="s">
        <v>8284</v>
      </c>
    </row>
    <row r="114" customFormat="false" ht="15" hidden="false" customHeight="false" outlineLevel="0" collapsed="false">
      <c r="A114" s="25" t="n">
        <v>6366829</v>
      </c>
      <c r="B114" s="25" t="s">
        <v>8361</v>
      </c>
      <c r="C114" s="25" t="s">
        <v>8362</v>
      </c>
      <c r="D114" s="26" t="n">
        <v>6.31</v>
      </c>
      <c r="E114" s="27" t="n">
        <v>8.19997064075587</v>
      </c>
      <c r="F114" s="27" t="n">
        <f aca="false">_xlfn.MAXIFS($E$6:$E$151,$C$6:$C$151,C114)-_xlfn.MINIFS($E$6:$E$151,$C$6:$C$151,C114)</f>
        <v>2.19188552623891</v>
      </c>
      <c r="G114" s="25" t="s">
        <v>2229</v>
      </c>
      <c r="H114" s="25" t="s">
        <v>2230</v>
      </c>
      <c r="I114" s="25" t="n">
        <v>2011</v>
      </c>
      <c r="J114" s="25" t="s">
        <v>2231</v>
      </c>
      <c r="K114" s="25" t="s">
        <v>8284</v>
      </c>
    </row>
    <row r="115" customFormat="false" ht="15" hidden="false" customHeight="false" outlineLevel="0" collapsed="false">
      <c r="A115" s="25" t="n">
        <v>12619647</v>
      </c>
      <c r="B115" s="25" t="s">
        <v>8361</v>
      </c>
      <c r="C115" s="25" t="s">
        <v>8362</v>
      </c>
      <c r="D115" s="26" t="n">
        <v>4.95</v>
      </c>
      <c r="E115" s="27" t="n">
        <v>8.30539480106643</v>
      </c>
      <c r="F115" s="27" t="n">
        <f aca="false">_xlfn.MAXIFS($E$6:$E$151,$C$6:$C$151,C115)-_xlfn.MINIFS($E$6:$E$151,$C$6:$C$151,C115)</f>
        <v>2.19188552623891</v>
      </c>
      <c r="G115" s="25" t="s">
        <v>2805</v>
      </c>
      <c r="H115" s="25" t="s">
        <v>2806</v>
      </c>
      <c r="I115" s="25" t="n">
        <v>2013</v>
      </c>
      <c r="J115" s="25" t="s">
        <v>2807</v>
      </c>
      <c r="K115" s="25" t="s">
        <v>8284</v>
      </c>
    </row>
    <row r="116" customFormat="false" ht="15" hidden="false" customHeight="false" outlineLevel="0" collapsed="false">
      <c r="A116" s="25" t="n">
        <v>12089899</v>
      </c>
      <c r="B116" s="25" t="s">
        <v>8361</v>
      </c>
      <c r="C116" s="25" t="s">
        <v>8362</v>
      </c>
      <c r="D116" s="26" t="n">
        <v>4.53</v>
      </c>
      <c r="E116" s="27" t="n">
        <v>8.34390179798717</v>
      </c>
      <c r="F116" s="27" t="n">
        <f aca="false">_xlfn.MAXIFS($E$6:$E$151,$C$6:$C$151,C116)-_xlfn.MINIFS($E$6:$E$151,$C$6:$C$151,C116)</f>
        <v>2.19188552623891</v>
      </c>
      <c r="G116" s="25" t="s">
        <v>1028</v>
      </c>
      <c r="H116" s="25" t="s">
        <v>1029</v>
      </c>
      <c r="I116" s="25" t="n">
        <v>2012</v>
      </c>
      <c r="J116" s="25" t="s">
        <v>1030</v>
      </c>
      <c r="K116" s="25" t="s">
        <v>8284</v>
      </c>
    </row>
    <row r="117" customFormat="false" ht="15" hidden="false" customHeight="false" outlineLevel="0" collapsed="false">
      <c r="A117" s="25" t="n">
        <v>12718757</v>
      </c>
      <c r="B117" s="25" t="s">
        <v>8361</v>
      </c>
      <c r="C117" s="25" t="s">
        <v>8362</v>
      </c>
      <c r="D117" s="26" t="n">
        <v>3.73</v>
      </c>
      <c r="E117" s="27" t="n">
        <v>8.42829116819131</v>
      </c>
      <c r="F117" s="27" t="n">
        <f aca="false">_xlfn.MAXIFS($E$6:$E$151,$C$6:$C$151,C117)-_xlfn.MINIFS($E$6:$E$151,$C$6:$C$151,C117)</f>
        <v>2.19188552623891</v>
      </c>
      <c r="G117" s="25" t="s">
        <v>2789</v>
      </c>
      <c r="H117" s="25" t="s">
        <v>2790</v>
      </c>
      <c r="I117" s="25" t="n">
        <v>2013</v>
      </c>
      <c r="J117" s="25" t="s">
        <v>2791</v>
      </c>
      <c r="K117" s="25" t="s">
        <v>8284</v>
      </c>
    </row>
    <row r="118" customFormat="false" ht="15" hidden="false" customHeight="false" outlineLevel="0" collapsed="false">
      <c r="A118" s="25" t="n">
        <v>12116566</v>
      </c>
      <c r="B118" s="25" t="s">
        <v>8361</v>
      </c>
      <c r="C118" s="25" t="s">
        <v>8362</v>
      </c>
      <c r="D118" s="26" t="n">
        <v>3.1</v>
      </c>
      <c r="E118" s="27" t="n">
        <v>8.50863830616573</v>
      </c>
      <c r="F118" s="27" t="n">
        <f aca="false">_xlfn.MAXIFS($E$6:$E$151,$C$6:$C$151,C118)-_xlfn.MINIFS($E$6:$E$151,$C$6:$C$151,C118)</f>
        <v>2.19188552623891</v>
      </c>
      <c r="G118" s="25" t="s">
        <v>3415</v>
      </c>
      <c r="H118" s="25" t="s">
        <v>3416</v>
      </c>
      <c r="I118" s="25" t="n">
        <v>2012</v>
      </c>
      <c r="J118" s="25" t="s">
        <v>3417</v>
      </c>
      <c r="K118" s="25" t="s">
        <v>8284</v>
      </c>
    </row>
    <row r="119" customFormat="false" ht="15" hidden="false" customHeight="false" outlineLevel="0" collapsed="false">
      <c r="A119" s="25" t="n">
        <v>2048365</v>
      </c>
      <c r="B119" s="25" t="s">
        <v>8361</v>
      </c>
      <c r="C119" s="25" t="s">
        <v>8362</v>
      </c>
      <c r="D119" s="26" t="n">
        <v>2.9</v>
      </c>
      <c r="E119" s="27" t="n">
        <v>8.53760200210104</v>
      </c>
      <c r="F119" s="27" t="n">
        <f aca="false">_xlfn.MAXIFS($E$6:$E$151,$C$6:$C$151,C119)-_xlfn.MINIFS($E$6:$E$151,$C$6:$C$151,C119)</f>
        <v>2.19188552623891</v>
      </c>
      <c r="G119" s="25" t="s">
        <v>513</v>
      </c>
      <c r="H119" s="25" t="s">
        <v>514</v>
      </c>
      <c r="I119" s="25" t="n">
        <v>2007</v>
      </c>
      <c r="J119" s="25" t="s">
        <v>515</v>
      </c>
      <c r="K119" s="25" t="s">
        <v>8284</v>
      </c>
    </row>
    <row r="120" customFormat="false" ht="15" hidden="false" customHeight="false" outlineLevel="0" collapsed="false">
      <c r="A120" s="25" t="n">
        <v>14926614</v>
      </c>
      <c r="B120" s="25" t="s">
        <v>8361</v>
      </c>
      <c r="C120" s="25" t="s">
        <v>8362</v>
      </c>
      <c r="D120" s="26" t="n">
        <v>2.512</v>
      </c>
      <c r="E120" s="27" t="n">
        <v>8.59998036493484</v>
      </c>
      <c r="F120" s="27" t="n">
        <f aca="false">_xlfn.MAXIFS($E$6:$E$151,$C$6:$C$151,C120)-_xlfn.MINIFS($E$6:$E$151,$C$6:$C$151,C120)</f>
        <v>2.19188552623891</v>
      </c>
      <c r="G120" s="25" t="s">
        <v>6056</v>
      </c>
      <c r="H120" s="25" t="s">
        <v>6057</v>
      </c>
      <c r="I120" s="25" t="n">
        <v>2010</v>
      </c>
      <c r="J120" s="25" t="s">
        <v>6058</v>
      </c>
      <c r="K120" s="25" t="s">
        <v>8284</v>
      </c>
    </row>
    <row r="121" customFormat="false" ht="15" hidden="false" customHeight="false" outlineLevel="0" collapsed="false">
      <c r="A121" s="25" t="n">
        <v>2033401</v>
      </c>
      <c r="B121" s="25" t="s">
        <v>8361</v>
      </c>
      <c r="C121" s="25" t="s">
        <v>8362</v>
      </c>
      <c r="D121" s="26" t="n">
        <v>2.2</v>
      </c>
      <c r="E121" s="27" t="n">
        <v>8.65757731917779</v>
      </c>
      <c r="F121" s="27" t="n">
        <f aca="false">_xlfn.MAXIFS($E$6:$E$151,$C$6:$C$151,C121)-_xlfn.MINIFS($E$6:$E$151,$C$6:$C$151,C121)</f>
        <v>2.19188552623891</v>
      </c>
      <c r="G121" s="25" t="s">
        <v>1133</v>
      </c>
      <c r="H121" s="25" t="s">
        <v>1134</v>
      </c>
      <c r="I121" s="25" t="n">
        <v>2007</v>
      </c>
      <c r="J121" s="25" t="s">
        <v>775</v>
      </c>
      <c r="K121" s="25" t="s">
        <v>8284</v>
      </c>
    </row>
    <row r="122" customFormat="false" ht="15" hidden="false" customHeight="false" outlineLevel="0" collapsed="false">
      <c r="A122" s="25" t="n">
        <v>1846062</v>
      </c>
      <c r="B122" s="25" t="s">
        <v>8361</v>
      </c>
      <c r="C122" s="25" t="s">
        <v>8362</v>
      </c>
      <c r="D122" s="26" t="n">
        <v>2.1</v>
      </c>
      <c r="E122" s="27" t="n">
        <v>8.67778070526608</v>
      </c>
      <c r="F122" s="27" t="n">
        <f aca="false">_xlfn.MAXIFS($E$6:$E$151,$C$6:$C$151,C122)-_xlfn.MINIFS($E$6:$E$151,$C$6:$C$151,C122)</f>
        <v>2.19188552623891</v>
      </c>
      <c r="G122" s="25" t="s">
        <v>2249</v>
      </c>
      <c r="H122" s="25" t="s">
        <v>2250</v>
      </c>
      <c r="I122" s="25" t="n">
        <v>2005</v>
      </c>
      <c r="J122" s="25" t="s">
        <v>2251</v>
      </c>
      <c r="K122" s="25" t="s">
        <v>8284</v>
      </c>
    </row>
    <row r="123" customFormat="false" ht="15" hidden="false" customHeight="false" outlineLevel="0" collapsed="false">
      <c r="A123" s="25" t="n">
        <v>16790157</v>
      </c>
      <c r="B123" s="25" t="s">
        <v>8363</v>
      </c>
      <c r="C123" s="25" t="s">
        <v>8362</v>
      </c>
      <c r="D123" s="26" t="n">
        <v>2.1</v>
      </c>
      <c r="E123" s="27" t="n">
        <v>8.67778070526608</v>
      </c>
      <c r="F123" s="27" t="n">
        <f aca="false">_xlfn.MAXIFS($E$6:$E$151,$C$6:$C$151,C123)-_xlfn.MINIFS($E$6:$E$151,$C$6:$C$151,C123)</f>
        <v>2.19188552623891</v>
      </c>
      <c r="G123" s="25" t="s">
        <v>5022</v>
      </c>
      <c r="H123" s="25" t="s">
        <v>5023</v>
      </c>
      <c r="I123" s="25" t="n">
        <v>2016</v>
      </c>
      <c r="J123" s="25" t="s">
        <v>5024</v>
      </c>
      <c r="K123" s="25" t="s">
        <v>8284</v>
      </c>
    </row>
    <row r="124" customFormat="false" ht="15" hidden="false" customHeight="false" outlineLevel="0" collapsed="false">
      <c r="A124" s="25" t="n">
        <v>1663268</v>
      </c>
      <c r="B124" s="25" t="s">
        <v>8361</v>
      </c>
      <c r="C124" s="25" t="s">
        <v>8362</v>
      </c>
      <c r="D124" s="26" t="n">
        <v>2</v>
      </c>
      <c r="E124" s="27" t="n">
        <v>8.69897000433602</v>
      </c>
      <c r="F124" s="27" t="n">
        <f aca="false">_xlfn.MAXIFS($E$6:$E$151,$C$6:$C$151,C124)-_xlfn.MINIFS($E$6:$E$151,$C$6:$C$151,C124)</f>
        <v>2.19188552623891</v>
      </c>
      <c r="G124" s="25" t="s">
        <v>2018</v>
      </c>
      <c r="H124" s="25" t="s">
        <v>2019</v>
      </c>
      <c r="I124" s="25" t="n">
        <v>2006</v>
      </c>
      <c r="J124" s="25" t="s">
        <v>2020</v>
      </c>
      <c r="K124" s="25" t="s">
        <v>8284</v>
      </c>
    </row>
    <row r="125" customFormat="false" ht="15" hidden="false" customHeight="false" outlineLevel="0" collapsed="false">
      <c r="A125" s="25" t="n">
        <v>19004779</v>
      </c>
      <c r="B125" s="25" t="s">
        <v>8361</v>
      </c>
      <c r="C125" s="25" t="s">
        <v>8362</v>
      </c>
      <c r="D125" s="26" t="n">
        <v>1.7</v>
      </c>
      <c r="E125" s="27" t="n">
        <v>8.76955107862173</v>
      </c>
      <c r="F125" s="27" t="n">
        <f aca="false">_xlfn.MAXIFS($E$6:$E$151,$C$6:$C$151,C125)-_xlfn.MINIFS($E$6:$E$151,$C$6:$C$151,C125)</f>
        <v>2.19188552623891</v>
      </c>
      <c r="G125" s="25" t="s">
        <v>4200</v>
      </c>
      <c r="H125" s="25" t="s">
        <v>4201</v>
      </c>
      <c r="I125" s="25" t="n">
        <v>2020</v>
      </c>
      <c r="J125" s="25" t="s">
        <v>4202</v>
      </c>
      <c r="K125" s="25" t="s">
        <v>8284</v>
      </c>
    </row>
    <row r="126" customFormat="false" ht="15" hidden="false" customHeight="false" outlineLevel="0" collapsed="false">
      <c r="A126" s="25" t="n">
        <v>18428391</v>
      </c>
      <c r="B126" s="25" t="s">
        <v>8361</v>
      </c>
      <c r="C126" s="25" t="s">
        <v>8362</v>
      </c>
      <c r="D126" s="26" t="n">
        <v>1.6</v>
      </c>
      <c r="E126" s="27" t="n">
        <v>8.79588001734408</v>
      </c>
      <c r="F126" s="27" t="n">
        <f aca="false">_xlfn.MAXIFS($E$6:$E$151,$C$6:$C$151,C126)-_xlfn.MINIFS($E$6:$E$151,$C$6:$C$151,C126)</f>
        <v>2.19188552623891</v>
      </c>
      <c r="G126" s="25" t="s">
        <v>5818</v>
      </c>
      <c r="H126" s="25" t="s">
        <v>5819</v>
      </c>
      <c r="I126" s="25" t="n">
        <v>2018</v>
      </c>
      <c r="J126" s="25" t="s">
        <v>5820</v>
      </c>
      <c r="K126" s="25" t="s">
        <v>8284</v>
      </c>
    </row>
    <row r="127" customFormat="false" ht="15" hidden="false" customHeight="false" outlineLevel="0" collapsed="false">
      <c r="A127" s="25" t="n">
        <v>2118197</v>
      </c>
      <c r="B127" s="25" t="s">
        <v>8361</v>
      </c>
      <c r="C127" s="25" t="s">
        <v>8362</v>
      </c>
      <c r="D127" s="26" t="n">
        <v>1.3</v>
      </c>
      <c r="E127" s="27" t="n">
        <v>8.88605664769316</v>
      </c>
      <c r="F127" s="27" t="n">
        <f aca="false">_xlfn.MAXIFS($E$6:$E$151,$C$6:$C$151,C127)-_xlfn.MINIFS($E$6:$E$151,$C$6:$C$151,C127)</f>
        <v>2.19188552623891</v>
      </c>
      <c r="G127" s="25" t="s">
        <v>1199</v>
      </c>
      <c r="H127" s="25" t="s">
        <v>1200</v>
      </c>
      <c r="I127" s="25" t="n">
        <v>2008</v>
      </c>
      <c r="J127" s="25" t="s">
        <v>676</v>
      </c>
      <c r="K127" s="25" t="s">
        <v>8284</v>
      </c>
    </row>
    <row r="128" customFormat="false" ht="15" hidden="false" customHeight="false" outlineLevel="0" collapsed="false">
      <c r="A128" s="25" t="n">
        <v>2118196</v>
      </c>
      <c r="B128" s="25" t="s">
        <v>8361</v>
      </c>
      <c r="C128" s="25" t="s">
        <v>8362</v>
      </c>
      <c r="D128" s="26" t="n">
        <v>1.288</v>
      </c>
      <c r="E128" s="27" t="n">
        <v>8.89008413697621</v>
      </c>
      <c r="F128" s="27" t="n">
        <f aca="false">_xlfn.MAXIFS($E$6:$E$151,$C$6:$C$151,C128)-_xlfn.MINIFS($E$6:$E$151,$C$6:$C$151,C128)</f>
        <v>2.19188552623891</v>
      </c>
      <c r="G128" s="25" t="s">
        <v>1199</v>
      </c>
      <c r="H128" s="25" t="s">
        <v>1200</v>
      </c>
      <c r="I128" s="25" t="n">
        <v>2008</v>
      </c>
      <c r="J128" s="25" t="s">
        <v>676</v>
      </c>
      <c r="K128" s="25" t="s">
        <v>8284</v>
      </c>
    </row>
    <row r="129" customFormat="false" ht="15" hidden="false" customHeight="false" outlineLevel="0" collapsed="false">
      <c r="A129" s="25" t="n">
        <v>2413532</v>
      </c>
      <c r="B129" s="25" t="s">
        <v>8361</v>
      </c>
      <c r="C129" s="25" t="s">
        <v>8362</v>
      </c>
      <c r="D129" s="26" t="n">
        <v>1.2</v>
      </c>
      <c r="E129" s="27" t="n">
        <v>8.92081875395238</v>
      </c>
      <c r="F129" s="27" t="n">
        <f aca="false">_xlfn.MAXIFS($E$6:$E$151,$C$6:$C$151,C129)-_xlfn.MINIFS($E$6:$E$151,$C$6:$C$151,C129)</f>
        <v>2.19188552623891</v>
      </c>
      <c r="G129" s="25" t="s">
        <v>5772</v>
      </c>
      <c r="H129" s="25" t="s">
        <v>5773</v>
      </c>
      <c r="I129" s="25" t="n">
        <v>2009</v>
      </c>
      <c r="J129" s="25" t="s">
        <v>5774</v>
      </c>
      <c r="K129" s="25" t="s">
        <v>8284</v>
      </c>
    </row>
    <row r="130" customFormat="false" ht="15" hidden="false" customHeight="false" outlineLevel="0" collapsed="false">
      <c r="A130" s="25" t="n">
        <v>15656089</v>
      </c>
      <c r="B130" s="25" t="s">
        <v>8361</v>
      </c>
      <c r="C130" s="25" t="s">
        <v>8362</v>
      </c>
      <c r="D130" s="26" t="n">
        <v>0.9</v>
      </c>
      <c r="E130" s="27" t="n">
        <v>9.04575749056068</v>
      </c>
      <c r="F130" s="27" t="n">
        <f aca="false">_xlfn.MAXIFS($E$6:$E$151,$C$6:$C$151,C130)-_xlfn.MINIFS($E$6:$E$151,$C$6:$C$151,C130)</f>
        <v>2.19188552623891</v>
      </c>
      <c r="G130" s="25" t="s">
        <v>5711</v>
      </c>
      <c r="H130" s="25" t="s">
        <v>5712</v>
      </c>
      <c r="I130" s="25" t="n">
        <v>2015</v>
      </c>
      <c r="J130" s="25" t="s">
        <v>5713</v>
      </c>
      <c r="K130" s="25" t="s">
        <v>8284</v>
      </c>
    </row>
    <row r="131" customFormat="false" ht="15" hidden="false" customHeight="false" outlineLevel="0" collapsed="false">
      <c r="A131" s="25" t="n">
        <v>14999689</v>
      </c>
      <c r="B131" s="25" t="s">
        <v>8361</v>
      </c>
      <c r="C131" s="25" t="s">
        <v>8362</v>
      </c>
      <c r="D131" s="26" t="n">
        <v>0.45</v>
      </c>
      <c r="E131" s="27" t="n">
        <v>9.34678748622466</v>
      </c>
      <c r="F131" s="27" t="n">
        <f aca="false">_xlfn.MAXIFS($E$6:$E$151,$C$6:$C$151,C131)-_xlfn.MINIFS($E$6:$E$151,$C$6:$C$151,C131)</f>
        <v>2.19188552623891</v>
      </c>
      <c r="G131" s="25" t="s">
        <v>2988</v>
      </c>
      <c r="H131" s="25" t="s">
        <v>2989</v>
      </c>
      <c r="I131" s="25" t="n">
        <v>2014</v>
      </c>
      <c r="J131" s="25" t="s">
        <v>2990</v>
      </c>
      <c r="K131" s="25" t="s">
        <v>8284</v>
      </c>
    </row>
    <row r="132" customFormat="false" ht="15" hidden="false" customHeight="false" outlineLevel="0" collapsed="false">
      <c r="A132" s="25" t="n">
        <v>1667517</v>
      </c>
      <c r="B132" s="25" t="s">
        <v>8364</v>
      </c>
      <c r="C132" s="25" t="s">
        <v>8365</v>
      </c>
      <c r="D132" s="26" t="n">
        <v>51.7</v>
      </c>
      <c r="E132" s="27" t="n">
        <v>7.28650945690606</v>
      </c>
      <c r="F132" s="27" t="n">
        <f aca="false">_xlfn.MAXIFS($E$6:$E$151,$C$6:$C$151,C132)-_xlfn.MINIFS($E$6:$E$151,$C$6:$C$151,C132)</f>
        <v>2.26633251175172</v>
      </c>
      <c r="G132" s="25" t="s">
        <v>1538</v>
      </c>
      <c r="H132" s="25" t="s">
        <v>1539</v>
      </c>
      <c r="I132" s="25" t="n">
        <v>2006</v>
      </c>
      <c r="J132" s="25" t="s">
        <v>775</v>
      </c>
      <c r="K132" s="25" t="s">
        <v>8284</v>
      </c>
    </row>
    <row r="133" customFormat="false" ht="15" hidden="false" customHeight="false" outlineLevel="0" collapsed="false">
      <c r="A133" s="25" t="n">
        <v>3102052</v>
      </c>
      <c r="B133" s="25" t="s">
        <v>8364</v>
      </c>
      <c r="C133" s="25" t="s">
        <v>8365</v>
      </c>
      <c r="D133" s="26" t="n">
        <v>21</v>
      </c>
      <c r="E133" s="27" t="n">
        <v>7.67778070526608</v>
      </c>
      <c r="F133" s="27" t="n">
        <f aca="false">_xlfn.MAXIFS($E$6:$E$151,$C$6:$C$151,C133)-_xlfn.MINIFS($E$6:$E$151,$C$6:$C$151,C133)</f>
        <v>2.26633251175172</v>
      </c>
      <c r="G133" s="25" t="s">
        <v>4178</v>
      </c>
      <c r="H133" s="25" t="s">
        <v>4179</v>
      </c>
      <c r="I133" s="25" t="n">
        <v>2010</v>
      </c>
      <c r="J133" s="25" t="s">
        <v>659</v>
      </c>
      <c r="K133" s="25" t="s">
        <v>8284</v>
      </c>
    </row>
    <row r="134" customFormat="false" ht="15" hidden="false" customHeight="false" outlineLevel="0" collapsed="false">
      <c r="A134" s="25" t="n">
        <v>15686016</v>
      </c>
      <c r="B134" s="25" t="s">
        <v>8364</v>
      </c>
      <c r="C134" s="25" t="s">
        <v>8365</v>
      </c>
      <c r="D134" s="26" t="n">
        <v>18.65</v>
      </c>
      <c r="E134" s="27" t="n">
        <v>7.72932116385529</v>
      </c>
      <c r="F134" s="27" t="n">
        <f aca="false">_xlfn.MAXIFS($E$6:$E$151,$C$6:$C$151,C134)-_xlfn.MINIFS($E$6:$E$151,$C$6:$C$151,C134)</f>
        <v>2.26633251175172</v>
      </c>
      <c r="G134" s="25" t="s">
        <v>817</v>
      </c>
      <c r="H134" s="25" t="s">
        <v>818</v>
      </c>
      <c r="I134" s="25" t="n">
        <v>2015</v>
      </c>
      <c r="J134" s="25" t="s">
        <v>819</v>
      </c>
      <c r="K134" s="25" t="s">
        <v>8284</v>
      </c>
    </row>
    <row r="135" customFormat="false" ht="15" hidden="false" customHeight="false" outlineLevel="0" collapsed="false">
      <c r="A135" s="25" t="n">
        <v>2052303</v>
      </c>
      <c r="B135" s="25" t="s">
        <v>8364</v>
      </c>
      <c r="C135" s="25" t="s">
        <v>8365</v>
      </c>
      <c r="D135" s="26" t="n">
        <v>5.4</v>
      </c>
      <c r="E135" s="27" t="n">
        <v>8.26760624017703</v>
      </c>
      <c r="F135" s="27" t="n">
        <f aca="false">_xlfn.MAXIFS($E$6:$E$151,$C$6:$C$151,C135)-_xlfn.MINIFS($E$6:$E$151,$C$6:$C$151,C135)</f>
        <v>2.26633251175172</v>
      </c>
      <c r="G135" s="25" t="s">
        <v>2025</v>
      </c>
      <c r="H135" s="25" t="s">
        <v>2026</v>
      </c>
      <c r="I135" s="25" t="n">
        <v>2007</v>
      </c>
      <c r="J135" s="25" t="s">
        <v>601</v>
      </c>
      <c r="K135" s="25" t="s">
        <v>8284</v>
      </c>
    </row>
    <row r="136" customFormat="false" ht="15" hidden="false" customHeight="false" outlineLevel="0" collapsed="false">
      <c r="A136" s="25" t="n">
        <v>12146306</v>
      </c>
      <c r="B136" s="25" t="s">
        <v>8364</v>
      </c>
      <c r="C136" s="25" t="s">
        <v>8365</v>
      </c>
      <c r="D136" s="26" t="n">
        <v>2.1</v>
      </c>
      <c r="E136" s="27" t="n">
        <v>8.67778070526608</v>
      </c>
      <c r="F136" s="27" t="n">
        <f aca="false">_xlfn.MAXIFS($E$6:$E$151,$C$6:$C$151,C136)-_xlfn.MINIFS($E$6:$E$151,$C$6:$C$151,C136)</f>
        <v>2.26633251175172</v>
      </c>
      <c r="G136" s="25" t="s">
        <v>1126</v>
      </c>
      <c r="H136" s="25" t="s">
        <v>1127</v>
      </c>
      <c r="I136" s="25" t="n">
        <v>2012</v>
      </c>
      <c r="J136" s="25" t="s">
        <v>1128</v>
      </c>
      <c r="K136" s="25" t="s">
        <v>8284</v>
      </c>
    </row>
    <row r="137" customFormat="false" ht="15" hidden="false" customHeight="false" outlineLevel="0" collapsed="false">
      <c r="A137" s="25" t="n">
        <v>2622724</v>
      </c>
      <c r="B137" s="25" t="s">
        <v>8364</v>
      </c>
      <c r="C137" s="25" t="s">
        <v>8365</v>
      </c>
      <c r="D137" s="26" t="n">
        <v>0.6</v>
      </c>
      <c r="E137" s="27" t="n">
        <v>9.22184874961636</v>
      </c>
      <c r="F137" s="27" t="n">
        <f aca="false">_xlfn.MAXIFS($E$6:$E$151,$C$6:$C$151,C137)-_xlfn.MINIFS($E$6:$E$151,$C$6:$C$151,C137)</f>
        <v>2.26633251175172</v>
      </c>
      <c r="G137" s="25" t="s">
        <v>1707</v>
      </c>
      <c r="H137" s="25" t="s">
        <v>1708</v>
      </c>
      <c r="I137" s="25" t="n">
        <v>2009</v>
      </c>
      <c r="J137" s="25" t="s">
        <v>601</v>
      </c>
      <c r="K137" s="25" t="s">
        <v>8284</v>
      </c>
    </row>
    <row r="138" customFormat="false" ht="15" hidden="false" customHeight="false" outlineLevel="0" collapsed="false">
      <c r="A138" s="25" t="n">
        <v>14732868</v>
      </c>
      <c r="B138" s="25" t="s">
        <v>8364</v>
      </c>
      <c r="C138" s="25" t="s">
        <v>8365</v>
      </c>
      <c r="D138" s="26" t="n">
        <v>0.28</v>
      </c>
      <c r="E138" s="27" t="n">
        <v>9.55284196865778</v>
      </c>
      <c r="F138" s="27" t="n">
        <f aca="false">_xlfn.MAXIFS($E$6:$E$151,$C$6:$C$151,C138)-_xlfn.MINIFS($E$6:$E$151,$C$6:$C$151,C138)</f>
        <v>2.26633251175172</v>
      </c>
      <c r="G138" s="25" t="s">
        <v>8366</v>
      </c>
      <c r="H138" s="25" t="s">
        <v>8367</v>
      </c>
      <c r="I138" s="25" t="n">
        <v>2014</v>
      </c>
      <c r="J138" s="25" t="s">
        <v>8368</v>
      </c>
      <c r="K138" s="25" t="s">
        <v>8284</v>
      </c>
    </row>
    <row r="139" customFormat="false" ht="15" hidden="false" customHeight="false" outlineLevel="0" collapsed="false">
      <c r="A139" s="25" t="n">
        <v>19097543</v>
      </c>
      <c r="B139" s="25" t="s">
        <v>8369</v>
      </c>
      <c r="C139" s="25" t="s">
        <v>8370</v>
      </c>
      <c r="D139" s="26" t="n">
        <v>117</v>
      </c>
      <c r="E139" s="27" t="n">
        <v>6.93181413825384</v>
      </c>
      <c r="F139" s="27" t="n">
        <f aca="false">_xlfn.MAXIFS($E$6:$E$151,$C$6:$C$151,C139)-_xlfn.MINIFS($E$6:$E$151,$C$6:$C$151,C139)</f>
        <v>2.57682416791189</v>
      </c>
      <c r="G139" s="25" t="s">
        <v>3171</v>
      </c>
      <c r="H139" s="25" t="s">
        <v>3172</v>
      </c>
      <c r="I139" s="25" t="n">
        <v>2019</v>
      </c>
      <c r="J139" s="25" t="s">
        <v>3173</v>
      </c>
      <c r="K139" s="25" t="s">
        <v>8284</v>
      </c>
    </row>
    <row r="140" customFormat="false" ht="15" hidden="false" customHeight="false" outlineLevel="0" collapsed="false">
      <c r="A140" s="25" t="n">
        <v>18703191</v>
      </c>
      <c r="B140" s="25" t="s">
        <v>8369</v>
      </c>
      <c r="C140" s="25" t="s">
        <v>8370</v>
      </c>
      <c r="D140" s="26" t="n">
        <v>51</v>
      </c>
      <c r="E140" s="27" t="n">
        <v>7.29242982390206</v>
      </c>
      <c r="F140" s="27" t="n">
        <f aca="false">_xlfn.MAXIFS($E$6:$E$151,$C$6:$C$151,C140)-_xlfn.MINIFS($E$6:$E$151,$C$6:$C$151,C140)</f>
        <v>2.57682416791189</v>
      </c>
      <c r="G140" s="25" t="s">
        <v>4522</v>
      </c>
      <c r="H140" s="25" t="s">
        <v>4523</v>
      </c>
      <c r="I140" s="25" t="n">
        <v>2018</v>
      </c>
      <c r="J140" s="25" t="s">
        <v>4524</v>
      </c>
      <c r="K140" s="25" t="s">
        <v>8284</v>
      </c>
    </row>
    <row r="141" customFormat="false" ht="15" hidden="false" customHeight="false" outlineLevel="0" collapsed="false">
      <c r="A141" s="25" t="n">
        <v>18108829</v>
      </c>
      <c r="B141" s="25" t="s">
        <v>8369</v>
      </c>
      <c r="C141" s="25" t="s">
        <v>8370</v>
      </c>
      <c r="D141" s="26" t="n">
        <v>19.7</v>
      </c>
      <c r="E141" s="27" t="n">
        <v>7.70553377383841</v>
      </c>
      <c r="F141" s="27" t="n">
        <f aca="false">_xlfn.MAXIFS($E$6:$E$151,$C$6:$C$151,C141)-_xlfn.MINIFS($E$6:$E$151,$C$6:$C$151,C141)</f>
        <v>2.57682416791189</v>
      </c>
      <c r="G141" s="25" t="s">
        <v>2673</v>
      </c>
      <c r="H141" s="25" t="s">
        <v>2674</v>
      </c>
      <c r="I141" s="25" t="n">
        <v>2018</v>
      </c>
      <c r="J141" s="25" t="s">
        <v>2675</v>
      </c>
      <c r="K141" s="25" t="s">
        <v>8284</v>
      </c>
    </row>
    <row r="142" customFormat="false" ht="15" hidden="false" customHeight="false" outlineLevel="0" collapsed="false">
      <c r="A142" s="25" t="n">
        <v>18703226</v>
      </c>
      <c r="B142" s="25" t="s">
        <v>8369</v>
      </c>
      <c r="C142" s="25" t="s">
        <v>8370</v>
      </c>
      <c r="D142" s="26" t="n">
        <v>13.2</v>
      </c>
      <c r="E142" s="27" t="n">
        <v>7.87942606879415</v>
      </c>
      <c r="F142" s="27" t="n">
        <f aca="false">_xlfn.MAXIFS($E$6:$E$151,$C$6:$C$151,C142)-_xlfn.MINIFS($E$6:$E$151,$C$6:$C$151,C142)</f>
        <v>2.57682416791189</v>
      </c>
      <c r="G142" s="25" t="s">
        <v>8371</v>
      </c>
      <c r="H142" s="25" t="s">
        <v>4523</v>
      </c>
      <c r="I142" s="25" t="n">
        <v>2018</v>
      </c>
      <c r="J142" s="25" t="s">
        <v>8372</v>
      </c>
      <c r="K142" s="25" t="s">
        <v>8284</v>
      </c>
    </row>
    <row r="143" customFormat="false" ht="15" hidden="false" customHeight="false" outlineLevel="0" collapsed="false">
      <c r="A143" s="25" t="n">
        <v>18703227</v>
      </c>
      <c r="B143" s="25" t="s">
        <v>8369</v>
      </c>
      <c r="C143" s="25" t="s">
        <v>8370</v>
      </c>
      <c r="D143" s="26" t="n">
        <v>13.18</v>
      </c>
      <c r="E143" s="27" t="n">
        <v>7.88008458974201</v>
      </c>
      <c r="F143" s="27" t="n">
        <f aca="false">_xlfn.MAXIFS($E$6:$E$151,$C$6:$C$151,C143)-_xlfn.MINIFS($E$6:$E$151,$C$6:$C$151,C143)</f>
        <v>2.57682416791189</v>
      </c>
      <c r="G143" s="25" t="s">
        <v>8371</v>
      </c>
      <c r="H143" s="25" t="s">
        <v>4523</v>
      </c>
      <c r="I143" s="25" t="n">
        <v>2018</v>
      </c>
      <c r="J143" s="25" t="s">
        <v>8372</v>
      </c>
      <c r="K143" s="25" t="s">
        <v>8284</v>
      </c>
    </row>
    <row r="144" customFormat="false" ht="15" hidden="false" customHeight="false" outlineLevel="0" collapsed="false">
      <c r="A144" s="25" t="n">
        <v>18108842</v>
      </c>
      <c r="B144" s="25" t="s">
        <v>8369</v>
      </c>
      <c r="C144" s="25" t="s">
        <v>8370</v>
      </c>
      <c r="D144" s="26" t="n">
        <v>5.6</v>
      </c>
      <c r="E144" s="27" t="n">
        <v>8.2518119729938</v>
      </c>
      <c r="F144" s="27" t="n">
        <f aca="false">_xlfn.MAXIFS($E$6:$E$151,$C$6:$C$151,C144)-_xlfn.MINIFS($E$6:$E$151,$C$6:$C$151,C144)</f>
        <v>2.57682416791189</v>
      </c>
      <c r="G144" s="25" t="s">
        <v>8373</v>
      </c>
      <c r="H144" s="25" t="s">
        <v>2674</v>
      </c>
      <c r="I144" s="25" t="n">
        <v>2018</v>
      </c>
      <c r="J144" s="25" t="s">
        <v>8374</v>
      </c>
      <c r="K144" s="25" t="s">
        <v>8284</v>
      </c>
    </row>
    <row r="145" customFormat="false" ht="15" hidden="false" customHeight="false" outlineLevel="0" collapsed="false">
      <c r="A145" s="25" t="n">
        <v>10866717</v>
      </c>
      <c r="B145" s="25" t="s">
        <v>8369</v>
      </c>
      <c r="C145" s="25" t="s">
        <v>8370</v>
      </c>
      <c r="D145" s="26" t="n">
        <v>4.35</v>
      </c>
      <c r="E145" s="27" t="n">
        <v>8.36151074304536</v>
      </c>
      <c r="F145" s="27" t="n">
        <f aca="false">_xlfn.MAXIFS($E$6:$E$151,$C$6:$C$151,C145)-_xlfn.MINIFS($E$6:$E$151,$C$6:$C$151,C145)</f>
        <v>2.57682416791189</v>
      </c>
      <c r="G145" s="25" t="s">
        <v>7636</v>
      </c>
      <c r="H145" s="25" t="s">
        <v>7637</v>
      </c>
      <c r="I145" s="25" t="n">
        <v>2012</v>
      </c>
      <c r="J145" s="25" t="s">
        <v>7638</v>
      </c>
      <c r="K145" s="25" t="s">
        <v>8284</v>
      </c>
    </row>
    <row r="146" customFormat="false" ht="15" hidden="false" customHeight="false" outlineLevel="0" collapsed="false">
      <c r="A146" s="25" t="n">
        <v>13424172</v>
      </c>
      <c r="B146" s="25" t="s">
        <v>8369</v>
      </c>
      <c r="C146" s="25" t="s">
        <v>8370</v>
      </c>
      <c r="D146" s="26" t="n">
        <v>2.23</v>
      </c>
      <c r="E146" s="27" t="n">
        <v>8.65169513695184</v>
      </c>
      <c r="F146" s="27" t="n">
        <f aca="false">_xlfn.MAXIFS($E$6:$E$151,$C$6:$C$151,C146)-_xlfn.MINIFS($E$6:$E$151,$C$6:$C$151,C146)</f>
        <v>2.57682416791189</v>
      </c>
      <c r="G146" s="25" t="s">
        <v>6748</v>
      </c>
      <c r="H146" s="25" t="s">
        <v>6749</v>
      </c>
      <c r="I146" s="25" t="n">
        <v>2013</v>
      </c>
      <c r="J146" s="25" t="s">
        <v>6750</v>
      </c>
      <c r="K146" s="25" t="s">
        <v>8284</v>
      </c>
    </row>
    <row r="147" customFormat="false" ht="15" hidden="false" customHeight="false" outlineLevel="0" collapsed="false">
      <c r="A147" s="25" t="n">
        <v>16790062</v>
      </c>
      <c r="B147" s="25" t="s">
        <v>8369</v>
      </c>
      <c r="C147" s="25" t="s">
        <v>8370</v>
      </c>
      <c r="D147" s="26" t="n">
        <v>1.82</v>
      </c>
      <c r="E147" s="27" t="n">
        <v>8.73992861201493</v>
      </c>
      <c r="F147" s="27" t="n">
        <f aca="false">_xlfn.MAXIFS($E$6:$E$151,$C$6:$C$151,C147)-_xlfn.MINIFS($E$6:$E$151,$C$6:$C$151,C147)</f>
        <v>2.57682416791189</v>
      </c>
      <c r="G147" s="25" t="s">
        <v>5022</v>
      </c>
      <c r="H147" s="25" t="s">
        <v>5023</v>
      </c>
      <c r="I147" s="25" t="n">
        <v>2016</v>
      </c>
      <c r="J147" s="25" t="s">
        <v>5024</v>
      </c>
      <c r="K147" s="25" t="s">
        <v>8284</v>
      </c>
    </row>
    <row r="148" customFormat="false" ht="15" hidden="false" customHeight="false" outlineLevel="0" collapsed="false">
      <c r="A148" s="25" t="n">
        <v>13424175</v>
      </c>
      <c r="B148" s="25" t="s">
        <v>8369</v>
      </c>
      <c r="C148" s="25" t="s">
        <v>8370</v>
      </c>
      <c r="D148" s="26" t="n">
        <v>0.6</v>
      </c>
      <c r="E148" s="27" t="n">
        <v>9.22184874961636</v>
      </c>
      <c r="F148" s="27" t="n">
        <f aca="false">_xlfn.MAXIFS($E$6:$E$151,$C$6:$C$151,C148)-_xlfn.MINIFS($E$6:$E$151,$C$6:$C$151,C148)</f>
        <v>2.57682416791189</v>
      </c>
      <c r="G148" s="25" t="s">
        <v>8375</v>
      </c>
      <c r="H148" s="25" t="s">
        <v>6749</v>
      </c>
      <c r="I148" s="25" t="n">
        <v>2013</v>
      </c>
      <c r="J148" s="25" t="s">
        <v>8376</v>
      </c>
      <c r="K148" s="25" t="s">
        <v>8284</v>
      </c>
    </row>
    <row r="149" customFormat="false" ht="15" hidden="false" customHeight="false" outlineLevel="0" collapsed="false">
      <c r="A149" s="25" t="n">
        <v>15702904</v>
      </c>
      <c r="B149" s="25" t="s">
        <v>8369</v>
      </c>
      <c r="C149" s="25" t="s">
        <v>8370</v>
      </c>
      <c r="D149" s="26" t="n">
        <v>0.31</v>
      </c>
      <c r="E149" s="27" t="n">
        <v>9.50863830616573</v>
      </c>
      <c r="F149" s="27" t="n">
        <f aca="false">_xlfn.MAXIFS($E$6:$E$151,$C$6:$C$151,C149)-_xlfn.MINIFS($E$6:$E$151,$C$6:$C$151,C149)</f>
        <v>2.57682416791189</v>
      </c>
      <c r="G149" s="25" t="s">
        <v>2347</v>
      </c>
      <c r="H149" s="25" t="s">
        <v>2348</v>
      </c>
      <c r="I149" s="25" t="n">
        <v>2015</v>
      </c>
      <c r="J149" s="25" t="s">
        <v>2349</v>
      </c>
      <c r="K149" s="25" t="s">
        <v>8284</v>
      </c>
    </row>
    <row r="150" customFormat="false" ht="15" hidden="false" customHeight="false" outlineLevel="0" collapsed="false">
      <c r="A150" s="25" t="n">
        <v>15686015</v>
      </c>
      <c r="B150" s="25" t="s">
        <v>8377</v>
      </c>
      <c r="C150" s="25" t="s">
        <v>8378</v>
      </c>
      <c r="D150" s="26" t="n">
        <v>121.3</v>
      </c>
      <c r="E150" s="27" t="n">
        <v>6.91613919913343</v>
      </c>
      <c r="F150" s="27" t="n">
        <f aca="false">_xlfn.MAXIFS($E$6:$E$151,$C$6:$C$151,C150)-_xlfn.MINIFS($E$6:$E$151,$C$6:$C$151,C150)</f>
        <v>1.61551347045442</v>
      </c>
      <c r="G150" s="25" t="s">
        <v>817</v>
      </c>
      <c r="H150" s="25" t="s">
        <v>818</v>
      </c>
      <c r="I150" s="25" t="n">
        <v>2015</v>
      </c>
      <c r="J150" s="25" t="s">
        <v>819</v>
      </c>
      <c r="K150" s="25" t="s">
        <v>8284</v>
      </c>
    </row>
    <row r="151" customFormat="false" ht="15" hidden="false" customHeight="false" outlineLevel="0" collapsed="false">
      <c r="A151" s="25" t="n">
        <v>2271586</v>
      </c>
      <c r="B151" s="25" t="s">
        <v>8377</v>
      </c>
      <c r="C151" s="25" t="s">
        <v>8378</v>
      </c>
      <c r="D151" s="26" t="n">
        <v>2.94</v>
      </c>
      <c r="E151" s="27" t="n">
        <v>8.53165266958784</v>
      </c>
      <c r="F151" s="27" t="n">
        <f aca="false">_xlfn.MAXIFS($E$6:$E$151,$C$6:$C$151,C151)-_xlfn.MINIFS($E$6:$E$151,$C$6:$C$151,C151)</f>
        <v>1.61551347045442</v>
      </c>
      <c r="G151" s="25" t="s">
        <v>1000</v>
      </c>
      <c r="H151" s="25" t="s">
        <v>1001</v>
      </c>
      <c r="I151" s="25" t="n">
        <v>2009</v>
      </c>
      <c r="J151" s="25" t="s">
        <v>1002</v>
      </c>
      <c r="K151" s="25" t="s">
        <v>8284</v>
      </c>
    </row>
  </sheetData>
  <autoFilter ref="A5:K1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7"/>
    <col collapsed="false" customWidth="true" hidden="false" outlineLevel="0" max="3" min="3" style="0" width="16"/>
    <col collapsed="false" customWidth="true" hidden="false" outlineLevel="0" max="4" min="4" style="0" width="11"/>
    <col collapsed="false" customWidth="true" hidden="false" outlineLevel="0" max="5" min="5" style="0" width="30"/>
    <col collapsed="false" customWidth="true" hidden="false" outlineLevel="0" max="6" min="6" style="0" width="12"/>
    <col collapsed="false" customWidth="true" hidden="false" outlineLevel="0" max="7" min="7" style="0" width="20"/>
    <col collapsed="false" customWidth="true" hidden="false" outlineLevel="0" max="8" min="8" style="0" width="16"/>
    <col collapsed="false" customWidth="true" hidden="false" outlineLevel="0" max="9" min="9" style="0" width="70"/>
    <col collapsed="false" customWidth="true" hidden="false" outlineLevel="0" max="10" min="10" style="0" width="16"/>
    <col collapsed="false" customWidth="true" hidden="false" outlineLevel="0" max="11" min="11" style="0" width="14"/>
    <col collapsed="false" customWidth="true" hidden="false" outlineLevel="0" max="12" min="12" style="0" width="10"/>
  </cols>
  <sheetData>
    <row r="1" customFormat="false" ht="19.7" hidden="false" customHeight="false" outlineLevel="0" collapsed="false">
      <c r="A1" s="1" t="s">
        <v>40</v>
      </c>
    </row>
    <row r="2" customFormat="false" ht="15" hidden="false" customHeight="false" outlineLevel="0" collapsed="false">
      <c r="A2" s="2" t="s">
        <v>8379</v>
      </c>
    </row>
    <row r="3" customFormat="false" ht="15" hidden="false" customHeight="false" outlineLevel="0" collapsed="false">
      <c r="A3" s="12" t="s">
        <v>8380</v>
      </c>
    </row>
    <row r="5" customFormat="false" ht="35.05" hidden="false" customHeight="false" outlineLevel="0" collapsed="false">
      <c r="A5" s="10" t="s">
        <v>235</v>
      </c>
      <c r="B5" s="10" t="s">
        <v>8381</v>
      </c>
      <c r="C5" s="10" t="s">
        <v>8382</v>
      </c>
      <c r="D5" s="10" t="s">
        <v>8383</v>
      </c>
      <c r="E5" s="10" t="s">
        <v>8384</v>
      </c>
      <c r="F5" s="10" t="s">
        <v>8385</v>
      </c>
      <c r="G5" s="10" t="s">
        <v>8386</v>
      </c>
      <c r="H5" s="10" t="s">
        <v>8387</v>
      </c>
      <c r="I5" s="10" t="s">
        <v>8388</v>
      </c>
      <c r="J5" s="10" t="s">
        <v>8389</v>
      </c>
      <c r="K5" s="10" t="s">
        <v>8390</v>
      </c>
      <c r="L5" s="10" t="s">
        <v>8391</v>
      </c>
    </row>
    <row r="6" customFormat="false" ht="15" hidden="false" customHeight="false" outlineLevel="0" collapsed="false">
      <c r="A6" s="25" t="s">
        <v>599</v>
      </c>
      <c r="B6" s="25" t="s">
        <v>8392</v>
      </c>
      <c r="C6" s="25" t="s">
        <v>8393</v>
      </c>
      <c r="D6" s="25" t="n">
        <v>9</v>
      </c>
      <c r="E6" s="25" t="s">
        <v>8394</v>
      </c>
      <c r="F6" s="25" t="s">
        <v>8395</v>
      </c>
      <c r="G6" s="25" t="s">
        <v>8396</v>
      </c>
      <c r="H6" s="25" t="s">
        <v>8397</v>
      </c>
      <c r="I6" s="25" t="s">
        <v>601</v>
      </c>
      <c r="J6" s="25" t="s">
        <v>600</v>
      </c>
      <c r="K6" s="25" t="n">
        <v>103</v>
      </c>
      <c r="L6" s="25" t="str">
        <f aca="false">IF(K6&gt;0,"Yes","No")</f>
        <v>Yes</v>
      </c>
    </row>
    <row r="7" customFormat="false" ht="15" hidden="false" customHeight="false" outlineLevel="0" collapsed="false">
      <c r="A7" s="25" t="s">
        <v>1199</v>
      </c>
      <c r="B7" s="25" t="s">
        <v>8392</v>
      </c>
      <c r="C7" s="25" t="s">
        <v>8393</v>
      </c>
      <c r="D7" s="25" t="n">
        <v>9</v>
      </c>
      <c r="E7" s="25" t="s">
        <v>8394</v>
      </c>
      <c r="F7" s="25" t="s">
        <v>8395</v>
      </c>
      <c r="G7" s="25" t="s">
        <v>8396</v>
      </c>
      <c r="H7" s="25" t="s">
        <v>8397</v>
      </c>
      <c r="I7" s="25" t="s">
        <v>676</v>
      </c>
      <c r="J7" s="25" t="s">
        <v>1200</v>
      </c>
      <c r="K7" s="25" t="n">
        <v>94</v>
      </c>
      <c r="L7" s="25" t="str">
        <f aca="false">IF(K7&gt;0,"Yes","No")</f>
        <v>Yes</v>
      </c>
    </row>
    <row r="8" customFormat="false" ht="15" hidden="false" customHeight="false" outlineLevel="0" collapsed="false">
      <c r="A8" s="25" t="s">
        <v>2531</v>
      </c>
      <c r="B8" s="25" t="s">
        <v>8392</v>
      </c>
      <c r="C8" s="25" t="s">
        <v>8393</v>
      </c>
      <c r="D8" s="25" t="n">
        <v>9</v>
      </c>
      <c r="E8" s="25" t="s">
        <v>8394</v>
      </c>
      <c r="F8" s="25" t="s">
        <v>8395</v>
      </c>
      <c r="G8" s="25" t="s">
        <v>8398</v>
      </c>
      <c r="H8" s="25"/>
      <c r="I8" s="25" t="s">
        <v>2533</v>
      </c>
      <c r="J8" s="25" t="s">
        <v>2532</v>
      </c>
      <c r="K8" s="25" t="n">
        <v>89</v>
      </c>
      <c r="L8" s="25" t="str">
        <f aca="false">IF(K8&gt;0,"Yes","No")</f>
        <v>Yes</v>
      </c>
    </row>
    <row r="9" customFormat="false" ht="15" hidden="false" customHeight="false" outlineLevel="0" collapsed="false">
      <c r="A9" s="25" t="s">
        <v>1126</v>
      </c>
      <c r="B9" s="25" t="s">
        <v>8392</v>
      </c>
      <c r="C9" s="25" t="s">
        <v>8393</v>
      </c>
      <c r="D9" s="25" t="n">
        <v>9</v>
      </c>
      <c r="E9" s="25" t="s">
        <v>8394</v>
      </c>
      <c r="F9" s="25" t="s">
        <v>8395</v>
      </c>
      <c r="G9" s="25" t="s">
        <v>8396</v>
      </c>
      <c r="H9" s="25" t="s">
        <v>8399</v>
      </c>
      <c r="I9" s="25" t="s">
        <v>1128</v>
      </c>
      <c r="J9" s="25" t="s">
        <v>1127</v>
      </c>
      <c r="K9" s="25" t="n">
        <v>80</v>
      </c>
      <c r="L9" s="25" t="str">
        <f aca="false">IF(K9&gt;0,"Yes","No")</f>
        <v>Yes</v>
      </c>
    </row>
    <row r="10" customFormat="false" ht="15" hidden="false" customHeight="false" outlineLevel="0" collapsed="false">
      <c r="A10" s="25" t="s">
        <v>326</v>
      </c>
      <c r="B10" s="25" t="s">
        <v>8392</v>
      </c>
      <c r="C10" s="25" t="s">
        <v>8393</v>
      </c>
      <c r="D10" s="25" t="n">
        <v>9</v>
      </c>
      <c r="E10" s="25" t="s">
        <v>8394</v>
      </c>
      <c r="F10" s="25" t="s">
        <v>8395</v>
      </c>
      <c r="G10" s="25" t="s">
        <v>8396</v>
      </c>
      <c r="H10" s="25" t="s">
        <v>8397</v>
      </c>
      <c r="I10" s="25" t="s">
        <v>328</v>
      </c>
      <c r="J10" s="25" t="s">
        <v>327</v>
      </c>
      <c r="K10" s="25" t="n">
        <v>64</v>
      </c>
      <c r="L10" s="25" t="str">
        <f aca="false">IF(K10&gt;0,"Yes","No")</f>
        <v>Yes</v>
      </c>
    </row>
    <row r="11" customFormat="false" ht="15" hidden="false" customHeight="false" outlineLevel="0" collapsed="false">
      <c r="A11" s="25" t="s">
        <v>2844</v>
      </c>
      <c r="B11" s="25" t="s">
        <v>8392</v>
      </c>
      <c r="C11" s="25" t="s">
        <v>8393</v>
      </c>
      <c r="D11" s="25" t="n">
        <v>9</v>
      </c>
      <c r="E11" s="25" t="s">
        <v>8394</v>
      </c>
      <c r="F11" s="25" t="s">
        <v>8395</v>
      </c>
      <c r="G11" s="25" t="s">
        <v>8398</v>
      </c>
      <c r="H11" s="25"/>
      <c r="I11" s="25" t="s">
        <v>1359</v>
      </c>
      <c r="J11" s="25" t="s">
        <v>2845</v>
      </c>
      <c r="K11" s="25" t="n">
        <v>62</v>
      </c>
      <c r="L11" s="25" t="str">
        <f aca="false">IF(K11&gt;0,"Yes","No")</f>
        <v>Yes</v>
      </c>
    </row>
    <row r="12" customFormat="false" ht="15" hidden="false" customHeight="false" outlineLevel="0" collapsed="false">
      <c r="A12" s="25" t="s">
        <v>730</v>
      </c>
      <c r="B12" s="25" t="s">
        <v>8392</v>
      </c>
      <c r="C12" s="25" t="s">
        <v>8393</v>
      </c>
      <c r="D12" s="25" t="n">
        <v>9</v>
      </c>
      <c r="E12" s="25" t="s">
        <v>8394</v>
      </c>
      <c r="F12" s="25" t="s">
        <v>8395</v>
      </c>
      <c r="G12" s="25" t="s">
        <v>8396</v>
      </c>
      <c r="H12" s="25" t="s">
        <v>8397</v>
      </c>
      <c r="I12" s="25" t="s">
        <v>732</v>
      </c>
      <c r="J12" s="25" t="s">
        <v>731</v>
      </c>
      <c r="K12" s="25" t="n">
        <v>62</v>
      </c>
      <c r="L12" s="25" t="str">
        <f aca="false">IF(K12&gt;0,"Yes","No")</f>
        <v>Yes</v>
      </c>
    </row>
    <row r="13" customFormat="false" ht="15" hidden="false" customHeight="false" outlineLevel="0" collapsed="false">
      <c r="A13" s="25" t="s">
        <v>4479</v>
      </c>
      <c r="B13" s="25" t="s">
        <v>8392</v>
      </c>
      <c r="C13" s="25" t="s">
        <v>8393</v>
      </c>
      <c r="D13" s="25" t="n">
        <v>9</v>
      </c>
      <c r="E13" s="25" t="s">
        <v>8394</v>
      </c>
      <c r="F13" s="25" t="s">
        <v>8395</v>
      </c>
      <c r="G13" s="25" t="s">
        <v>8398</v>
      </c>
      <c r="H13" s="25"/>
      <c r="I13" s="25" t="s">
        <v>775</v>
      </c>
      <c r="J13" s="25" t="s">
        <v>4480</v>
      </c>
      <c r="K13" s="25" t="n">
        <v>49</v>
      </c>
      <c r="L13" s="25" t="str">
        <f aca="false">IF(K13&gt;0,"Yes","No")</f>
        <v>Yes</v>
      </c>
    </row>
    <row r="14" customFormat="false" ht="15" hidden="false" customHeight="false" outlineLevel="0" collapsed="false">
      <c r="A14" s="25" t="s">
        <v>1028</v>
      </c>
      <c r="B14" s="25" t="s">
        <v>8392</v>
      </c>
      <c r="C14" s="25" t="s">
        <v>8393</v>
      </c>
      <c r="D14" s="25" t="n">
        <v>9</v>
      </c>
      <c r="E14" s="25" t="s">
        <v>8394</v>
      </c>
      <c r="F14" s="25" t="s">
        <v>8395</v>
      </c>
      <c r="G14" s="25" t="s">
        <v>8396</v>
      </c>
      <c r="H14" s="25" t="s">
        <v>8399</v>
      </c>
      <c r="I14" s="25" t="s">
        <v>1030</v>
      </c>
      <c r="J14" s="25" t="s">
        <v>1029</v>
      </c>
      <c r="K14" s="25" t="n">
        <v>48</v>
      </c>
      <c r="L14" s="25" t="str">
        <f aca="false">IF(K14&gt;0,"Yes","No")</f>
        <v>Yes</v>
      </c>
    </row>
    <row r="15" customFormat="false" ht="15" hidden="false" customHeight="false" outlineLevel="0" collapsed="false">
      <c r="A15" s="25" t="s">
        <v>508</v>
      </c>
      <c r="B15" s="25" t="s">
        <v>8392</v>
      </c>
      <c r="C15" s="25" t="s">
        <v>8393</v>
      </c>
      <c r="D15" s="25" t="n">
        <v>9</v>
      </c>
      <c r="E15" s="25" t="s">
        <v>8394</v>
      </c>
      <c r="F15" s="25" t="s">
        <v>8395</v>
      </c>
      <c r="G15" s="25" t="s">
        <v>8396</v>
      </c>
      <c r="H15" s="25" t="s">
        <v>8399</v>
      </c>
      <c r="I15" s="25" t="s">
        <v>510</v>
      </c>
      <c r="J15" s="25" t="s">
        <v>509</v>
      </c>
      <c r="K15" s="25" t="n">
        <v>46</v>
      </c>
      <c r="L15" s="25" t="str">
        <f aca="false">IF(K15&gt;0,"Yes","No")</f>
        <v>Yes</v>
      </c>
    </row>
    <row r="16" customFormat="false" ht="15" hidden="false" customHeight="false" outlineLevel="0" collapsed="false">
      <c r="A16" s="25" t="s">
        <v>3265</v>
      </c>
      <c r="B16" s="25" t="s">
        <v>8392</v>
      </c>
      <c r="C16" s="25" t="s">
        <v>8393</v>
      </c>
      <c r="D16" s="25" t="n">
        <v>9</v>
      </c>
      <c r="E16" s="25" t="s">
        <v>8394</v>
      </c>
      <c r="F16" s="25" t="s">
        <v>8395</v>
      </c>
      <c r="G16" s="25" t="s">
        <v>8398</v>
      </c>
      <c r="H16" s="25"/>
      <c r="I16" s="25" t="s">
        <v>3267</v>
      </c>
      <c r="J16" s="25" t="s">
        <v>3266</v>
      </c>
      <c r="K16" s="25" t="n">
        <v>43</v>
      </c>
      <c r="L16" s="25" t="str">
        <f aca="false">IF(K16&gt;0,"Yes","No")</f>
        <v>Yes</v>
      </c>
    </row>
    <row r="17" customFormat="false" ht="15" hidden="false" customHeight="false" outlineLevel="0" collapsed="false">
      <c r="A17" s="25" t="s">
        <v>757</v>
      </c>
      <c r="B17" s="25" t="s">
        <v>8392</v>
      </c>
      <c r="C17" s="25" t="s">
        <v>8393</v>
      </c>
      <c r="D17" s="25" t="n">
        <v>9</v>
      </c>
      <c r="E17" s="25" t="s">
        <v>8394</v>
      </c>
      <c r="F17" s="25" t="s">
        <v>8395</v>
      </c>
      <c r="G17" s="25" t="s">
        <v>8396</v>
      </c>
      <c r="H17" s="25" t="s">
        <v>8397</v>
      </c>
      <c r="I17" s="25" t="s">
        <v>759</v>
      </c>
      <c r="J17" s="25" t="s">
        <v>758</v>
      </c>
      <c r="K17" s="25" t="n">
        <v>43</v>
      </c>
      <c r="L17" s="25" t="str">
        <f aca="false">IF(K17&gt;0,"Yes","No")</f>
        <v>Yes</v>
      </c>
    </row>
    <row r="18" customFormat="false" ht="15" hidden="false" customHeight="false" outlineLevel="0" collapsed="false">
      <c r="A18" s="25" t="s">
        <v>3589</v>
      </c>
      <c r="B18" s="25" t="s">
        <v>8392</v>
      </c>
      <c r="C18" s="25" t="s">
        <v>8393</v>
      </c>
      <c r="D18" s="25" t="n">
        <v>9</v>
      </c>
      <c r="E18" s="25" t="s">
        <v>8394</v>
      </c>
      <c r="F18" s="25" t="s">
        <v>8395</v>
      </c>
      <c r="G18" s="25" t="s">
        <v>8396</v>
      </c>
      <c r="H18" s="25" t="s">
        <v>8399</v>
      </c>
      <c r="I18" s="25" t="s">
        <v>3591</v>
      </c>
      <c r="J18" s="25" t="s">
        <v>3590</v>
      </c>
      <c r="K18" s="25" t="n">
        <v>41</v>
      </c>
      <c r="L18" s="25" t="str">
        <f aca="false">IF(K18&gt;0,"Yes","No")</f>
        <v>Yes</v>
      </c>
    </row>
    <row r="19" customFormat="false" ht="15" hidden="false" customHeight="false" outlineLevel="0" collapsed="false">
      <c r="A19" s="25" t="s">
        <v>444</v>
      </c>
      <c r="B19" s="25" t="s">
        <v>8392</v>
      </c>
      <c r="C19" s="25" t="s">
        <v>8393</v>
      </c>
      <c r="D19" s="25" t="n">
        <v>9</v>
      </c>
      <c r="E19" s="25" t="s">
        <v>8394</v>
      </c>
      <c r="F19" s="25" t="s">
        <v>8395</v>
      </c>
      <c r="G19" s="25" t="s">
        <v>8398</v>
      </c>
      <c r="H19" s="25"/>
      <c r="I19" s="25" t="s">
        <v>446</v>
      </c>
      <c r="J19" s="25" t="s">
        <v>445</v>
      </c>
      <c r="K19" s="25" t="n">
        <v>39</v>
      </c>
      <c r="L19" s="25" t="str">
        <f aca="false">IF(K19&gt;0,"Yes","No")</f>
        <v>Yes</v>
      </c>
    </row>
    <row r="20" customFormat="false" ht="15" hidden="false" customHeight="false" outlineLevel="0" collapsed="false">
      <c r="A20" s="25" t="s">
        <v>461</v>
      </c>
      <c r="B20" s="25" t="s">
        <v>8392</v>
      </c>
      <c r="C20" s="25" t="s">
        <v>8393</v>
      </c>
      <c r="D20" s="25" t="n">
        <v>9</v>
      </c>
      <c r="E20" s="25" t="s">
        <v>8394</v>
      </c>
      <c r="F20" s="25" t="s">
        <v>8395</v>
      </c>
      <c r="G20" s="25" t="s">
        <v>8398</v>
      </c>
      <c r="H20" s="25"/>
      <c r="I20" s="25" t="s">
        <v>463</v>
      </c>
      <c r="J20" s="25" t="s">
        <v>462</v>
      </c>
      <c r="K20" s="25" t="n">
        <v>38</v>
      </c>
      <c r="L20" s="25" t="str">
        <f aca="false">IF(K20&gt;0,"Yes","No")</f>
        <v>Yes</v>
      </c>
    </row>
    <row r="21" customFormat="false" ht="15" hidden="false" customHeight="false" outlineLevel="0" collapsed="false">
      <c r="A21" s="25" t="s">
        <v>273</v>
      </c>
      <c r="B21" s="25" t="s">
        <v>8392</v>
      </c>
      <c r="C21" s="25" t="s">
        <v>8393</v>
      </c>
      <c r="D21" s="25" t="n">
        <v>9</v>
      </c>
      <c r="E21" s="25" t="s">
        <v>8394</v>
      </c>
      <c r="F21" s="25" t="s">
        <v>8395</v>
      </c>
      <c r="G21" s="25" t="s">
        <v>8396</v>
      </c>
      <c r="H21" s="25" t="s">
        <v>8397</v>
      </c>
      <c r="I21" s="25" t="s">
        <v>275</v>
      </c>
      <c r="J21" s="25" t="s">
        <v>274</v>
      </c>
      <c r="K21" s="25" t="n">
        <v>38</v>
      </c>
      <c r="L21" s="25" t="str">
        <f aca="false">IF(K21&gt;0,"Yes","No")</f>
        <v>Yes</v>
      </c>
    </row>
    <row r="22" customFormat="false" ht="15" hidden="false" customHeight="false" outlineLevel="0" collapsed="false">
      <c r="A22" s="25" t="s">
        <v>310</v>
      </c>
      <c r="B22" s="25" t="s">
        <v>8392</v>
      </c>
      <c r="C22" s="25" t="s">
        <v>8393</v>
      </c>
      <c r="D22" s="25" t="n">
        <v>9</v>
      </c>
      <c r="E22" s="25" t="s">
        <v>8394</v>
      </c>
      <c r="F22" s="25" t="s">
        <v>8395</v>
      </c>
      <c r="G22" s="25" t="s">
        <v>8400</v>
      </c>
      <c r="H22" s="25"/>
      <c r="I22" s="25" t="s">
        <v>312</v>
      </c>
      <c r="J22" s="25" t="s">
        <v>311</v>
      </c>
      <c r="K22" s="25" t="n">
        <v>38</v>
      </c>
      <c r="L22" s="25" t="str">
        <f aca="false">IF(K22&gt;0,"Yes","No")</f>
        <v>Yes</v>
      </c>
    </row>
    <row r="23" customFormat="false" ht="15" hidden="false" customHeight="false" outlineLevel="0" collapsed="false">
      <c r="A23" s="25" t="s">
        <v>1527</v>
      </c>
      <c r="B23" s="25" t="s">
        <v>8392</v>
      </c>
      <c r="C23" s="25" t="s">
        <v>8393</v>
      </c>
      <c r="D23" s="25" t="n">
        <v>9</v>
      </c>
      <c r="E23" s="25" t="s">
        <v>8394</v>
      </c>
      <c r="F23" s="25" t="s">
        <v>8395</v>
      </c>
      <c r="G23" s="25" t="s">
        <v>8396</v>
      </c>
      <c r="H23" s="25" t="s">
        <v>8399</v>
      </c>
      <c r="I23" s="25" t="s">
        <v>1529</v>
      </c>
      <c r="J23" s="25" t="s">
        <v>1528</v>
      </c>
      <c r="K23" s="25" t="n">
        <v>38</v>
      </c>
      <c r="L23" s="25" t="str">
        <f aca="false">IF(K23&gt;0,"Yes","No")</f>
        <v>Yes</v>
      </c>
    </row>
    <row r="24" customFormat="false" ht="15" hidden="false" customHeight="false" outlineLevel="0" collapsed="false">
      <c r="A24" s="25" t="s">
        <v>1044</v>
      </c>
      <c r="B24" s="25" t="s">
        <v>8392</v>
      </c>
      <c r="C24" s="25" t="s">
        <v>8393</v>
      </c>
      <c r="D24" s="25" t="n">
        <v>9</v>
      </c>
      <c r="E24" s="25" t="s">
        <v>8394</v>
      </c>
      <c r="F24" s="25" t="s">
        <v>8395</v>
      </c>
      <c r="G24" s="25" t="s">
        <v>8396</v>
      </c>
      <c r="H24" s="25" t="s">
        <v>8401</v>
      </c>
      <c r="I24" s="25" t="s">
        <v>1046</v>
      </c>
      <c r="J24" s="25" t="s">
        <v>1045</v>
      </c>
      <c r="K24" s="25" t="n">
        <v>37</v>
      </c>
      <c r="L24" s="25" t="str">
        <f aca="false">IF(K24&gt;0,"Yes","No")</f>
        <v>Yes</v>
      </c>
    </row>
    <row r="25" customFormat="false" ht="15" hidden="false" customHeight="false" outlineLevel="0" collapsed="false">
      <c r="A25" s="25" t="s">
        <v>6822</v>
      </c>
      <c r="B25" s="25" t="s">
        <v>8392</v>
      </c>
      <c r="C25" s="25" t="s">
        <v>8393</v>
      </c>
      <c r="D25" s="25" t="n">
        <v>9</v>
      </c>
      <c r="E25" s="25" t="s">
        <v>8394</v>
      </c>
      <c r="F25" s="25" t="s">
        <v>8395</v>
      </c>
      <c r="G25" s="25" t="s">
        <v>8398</v>
      </c>
      <c r="H25" s="25"/>
      <c r="I25" s="25" t="s">
        <v>6824</v>
      </c>
      <c r="J25" s="25" t="s">
        <v>6823</v>
      </c>
      <c r="K25" s="25" t="n">
        <v>35</v>
      </c>
      <c r="L25" s="25" t="str">
        <f aca="false">IF(K25&gt;0,"Yes","No")</f>
        <v>Yes</v>
      </c>
    </row>
    <row r="26" customFormat="false" ht="15" hidden="false" customHeight="false" outlineLevel="0" collapsed="false">
      <c r="A26" s="25" t="s">
        <v>679</v>
      </c>
      <c r="B26" s="25" t="s">
        <v>8392</v>
      </c>
      <c r="C26" s="25" t="s">
        <v>8393</v>
      </c>
      <c r="D26" s="25" t="n">
        <v>9</v>
      </c>
      <c r="E26" s="25" t="s">
        <v>8394</v>
      </c>
      <c r="F26" s="25" t="s">
        <v>8395</v>
      </c>
      <c r="G26" s="25" t="s">
        <v>8396</v>
      </c>
      <c r="H26" s="25"/>
      <c r="I26" s="25" t="s">
        <v>681</v>
      </c>
      <c r="J26" s="25" t="s">
        <v>680</v>
      </c>
      <c r="K26" s="25" t="n">
        <v>35</v>
      </c>
      <c r="L26" s="25" t="str">
        <f aca="false">IF(K26&gt;0,"Yes","No")</f>
        <v>Yes</v>
      </c>
    </row>
    <row r="27" customFormat="false" ht="15" hidden="false" customHeight="false" outlineLevel="0" collapsed="false">
      <c r="A27" s="25" t="s">
        <v>5785</v>
      </c>
      <c r="B27" s="25" t="s">
        <v>8392</v>
      </c>
      <c r="C27" s="25" t="s">
        <v>8393</v>
      </c>
      <c r="D27" s="25" t="n">
        <v>9</v>
      </c>
      <c r="E27" s="25" t="s">
        <v>8394</v>
      </c>
      <c r="F27" s="25" t="s">
        <v>8395</v>
      </c>
      <c r="G27" s="25" t="s">
        <v>8396</v>
      </c>
      <c r="H27" s="25" t="s">
        <v>8397</v>
      </c>
      <c r="I27" s="25" t="s">
        <v>676</v>
      </c>
      <c r="J27" s="25" t="s">
        <v>5786</v>
      </c>
      <c r="K27" s="25" t="n">
        <v>34</v>
      </c>
      <c r="L27" s="25" t="str">
        <f aca="false">IF(K27&gt;0,"Yes","No")</f>
        <v>Yes</v>
      </c>
    </row>
    <row r="28" customFormat="false" ht="15" hidden="false" customHeight="false" outlineLevel="0" collapsed="false">
      <c r="A28" s="25" t="s">
        <v>283</v>
      </c>
      <c r="B28" s="25" t="s">
        <v>8392</v>
      </c>
      <c r="C28" s="25" t="s">
        <v>8393</v>
      </c>
      <c r="D28" s="25" t="n">
        <v>9</v>
      </c>
      <c r="E28" s="25" t="s">
        <v>8394</v>
      </c>
      <c r="F28" s="25" t="s">
        <v>8395</v>
      </c>
      <c r="G28" s="25" t="s">
        <v>8396</v>
      </c>
      <c r="H28" s="25" t="s">
        <v>8397</v>
      </c>
      <c r="I28" s="25" t="s">
        <v>285</v>
      </c>
      <c r="J28" s="25" t="s">
        <v>284</v>
      </c>
      <c r="K28" s="25" t="n">
        <v>34</v>
      </c>
      <c r="L28" s="25" t="str">
        <f aca="false">IF(K28&gt;0,"Yes","No")</f>
        <v>Yes</v>
      </c>
    </row>
    <row r="29" customFormat="false" ht="15" hidden="false" customHeight="false" outlineLevel="0" collapsed="false">
      <c r="A29" s="25" t="s">
        <v>2258</v>
      </c>
      <c r="B29" s="25" t="s">
        <v>8392</v>
      </c>
      <c r="C29" s="25" t="s">
        <v>8393</v>
      </c>
      <c r="D29" s="25" t="n">
        <v>9</v>
      </c>
      <c r="E29" s="25" t="s">
        <v>8394</v>
      </c>
      <c r="F29" s="25" t="s">
        <v>8395</v>
      </c>
      <c r="G29" s="25" t="s">
        <v>8396</v>
      </c>
      <c r="H29" s="25" t="s">
        <v>8397</v>
      </c>
      <c r="I29" s="25" t="s">
        <v>2260</v>
      </c>
      <c r="J29" s="25" t="s">
        <v>2259</v>
      </c>
      <c r="K29" s="25" t="n">
        <v>33</v>
      </c>
      <c r="L29" s="25" t="str">
        <f aca="false">IF(K29&gt;0,"Yes","No")</f>
        <v>Yes</v>
      </c>
    </row>
    <row r="30" customFormat="false" ht="15" hidden="false" customHeight="false" outlineLevel="0" collapsed="false">
      <c r="A30" s="25" t="s">
        <v>2805</v>
      </c>
      <c r="B30" s="25" t="s">
        <v>8392</v>
      </c>
      <c r="C30" s="25" t="s">
        <v>8393</v>
      </c>
      <c r="D30" s="25" t="n">
        <v>9</v>
      </c>
      <c r="E30" s="25" t="s">
        <v>8394</v>
      </c>
      <c r="F30" s="25" t="s">
        <v>8395</v>
      </c>
      <c r="G30" s="25" t="s">
        <v>8396</v>
      </c>
      <c r="H30" s="25" t="s">
        <v>8399</v>
      </c>
      <c r="I30" s="25" t="s">
        <v>2807</v>
      </c>
      <c r="J30" s="25" t="s">
        <v>2806</v>
      </c>
      <c r="K30" s="25" t="n">
        <v>32</v>
      </c>
      <c r="L30" s="25" t="str">
        <f aca="false">IF(K30&gt;0,"Yes","No")</f>
        <v>Yes</v>
      </c>
    </row>
    <row r="31" customFormat="false" ht="15" hidden="false" customHeight="false" outlineLevel="0" collapsed="false">
      <c r="A31" s="25" t="s">
        <v>480</v>
      </c>
      <c r="B31" s="25" t="s">
        <v>8392</v>
      </c>
      <c r="C31" s="25" t="s">
        <v>8393</v>
      </c>
      <c r="D31" s="25" t="n">
        <v>9</v>
      </c>
      <c r="E31" s="25" t="s">
        <v>8394</v>
      </c>
      <c r="F31" s="25" t="s">
        <v>8395</v>
      </c>
      <c r="G31" s="25" t="s">
        <v>8400</v>
      </c>
      <c r="H31" s="25"/>
      <c r="I31" s="25" t="s">
        <v>482</v>
      </c>
      <c r="J31" s="25" t="s">
        <v>481</v>
      </c>
      <c r="K31" s="25" t="n">
        <v>32</v>
      </c>
      <c r="L31" s="25" t="str">
        <f aca="false">IF(K31&gt;0,"Yes","No")</f>
        <v>Yes</v>
      </c>
    </row>
    <row r="32" customFormat="false" ht="15" hidden="false" customHeight="false" outlineLevel="0" collapsed="false">
      <c r="A32" s="25" t="s">
        <v>2433</v>
      </c>
      <c r="B32" s="25" t="s">
        <v>8392</v>
      </c>
      <c r="C32" s="25" t="s">
        <v>8393</v>
      </c>
      <c r="D32" s="25" t="n">
        <v>9</v>
      </c>
      <c r="E32" s="25" t="s">
        <v>8394</v>
      </c>
      <c r="F32" s="25" t="s">
        <v>8395</v>
      </c>
      <c r="G32" s="25" t="s">
        <v>8398</v>
      </c>
      <c r="H32" s="25"/>
      <c r="I32" s="25" t="s">
        <v>2435</v>
      </c>
      <c r="J32" s="25" t="s">
        <v>2434</v>
      </c>
      <c r="K32" s="25" t="n">
        <v>32</v>
      </c>
      <c r="L32" s="25" t="str">
        <f aca="false">IF(K32&gt;0,"Yes","No")</f>
        <v>Yes</v>
      </c>
    </row>
    <row r="33" customFormat="false" ht="15" hidden="false" customHeight="false" outlineLevel="0" collapsed="false">
      <c r="A33" s="25" t="s">
        <v>534</v>
      </c>
      <c r="B33" s="25" t="s">
        <v>8392</v>
      </c>
      <c r="C33" s="25" t="s">
        <v>8393</v>
      </c>
      <c r="D33" s="25" t="n">
        <v>9</v>
      </c>
      <c r="E33" s="25" t="s">
        <v>8394</v>
      </c>
      <c r="F33" s="25" t="s">
        <v>8395</v>
      </c>
      <c r="G33" s="25" t="s">
        <v>8398</v>
      </c>
      <c r="H33" s="25"/>
      <c r="I33" s="25" t="s">
        <v>515</v>
      </c>
      <c r="J33" s="25" t="s">
        <v>535</v>
      </c>
      <c r="K33" s="25" t="n">
        <v>31</v>
      </c>
      <c r="L33" s="25" t="str">
        <f aca="false">IF(K33&gt;0,"Yes","No")</f>
        <v>Yes</v>
      </c>
    </row>
    <row r="34" customFormat="false" ht="15" hidden="false" customHeight="false" outlineLevel="0" collapsed="false">
      <c r="A34" s="25" t="s">
        <v>587</v>
      </c>
      <c r="B34" s="25" t="s">
        <v>8392</v>
      </c>
      <c r="C34" s="25" t="s">
        <v>8393</v>
      </c>
      <c r="D34" s="25" t="n">
        <v>9</v>
      </c>
      <c r="E34" s="25" t="s">
        <v>8394</v>
      </c>
      <c r="F34" s="25" t="s">
        <v>8395</v>
      </c>
      <c r="G34" s="25" t="s">
        <v>8396</v>
      </c>
      <c r="H34" s="25" t="s">
        <v>8397</v>
      </c>
      <c r="I34" s="25" t="s">
        <v>589</v>
      </c>
      <c r="J34" s="25" t="s">
        <v>588</v>
      </c>
      <c r="K34" s="25" t="n">
        <v>31</v>
      </c>
      <c r="L34" s="25" t="str">
        <f aca="false">IF(K34&gt;0,"Yes","No")</f>
        <v>Yes</v>
      </c>
    </row>
    <row r="35" customFormat="false" ht="15" hidden="false" customHeight="false" outlineLevel="0" collapsed="false">
      <c r="A35" s="25" t="s">
        <v>1662</v>
      </c>
      <c r="B35" s="25" t="s">
        <v>8392</v>
      </c>
      <c r="C35" s="25" t="s">
        <v>8393</v>
      </c>
      <c r="D35" s="25" t="n">
        <v>9</v>
      </c>
      <c r="E35" s="25" t="s">
        <v>8394</v>
      </c>
      <c r="F35" s="25" t="s">
        <v>8395</v>
      </c>
      <c r="G35" s="25" t="s">
        <v>8398</v>
      </c>
      <c r="H35" s="25" t="s">
        <v>8397</v>
      </c>
      <c r="I35" s="25" t="s">
        <v>1664</v>
      </c>
      <c r="J35" s="25" t="s">
        <v>1663</v>
      </c>
      <c r="K35" s="25" t="n">
        <v>31</v>
      </c>
      <c r="L35" s="25" t="str">
        <f aca="false">IF(K35&gt;0,"Yes","No")</f>
        <v>Yes</v>
      </c>
    </row>
    <row r="36" customFormat="false" ht="15" hidden="false" customHeight="false" outlineLevel="0" collapsed="false">
      <c r="A36" s="25" t="s">
        <v>664</v>
      </c>
      <c r="B36" s="25" t="s">
        <v>8392</v>
      </c>
      <c r="C36" s="25" t="s">
        <v>8393</v>
      </c>
      <c r="D36" s="25" t="n">
        <v>9</v>
      </c>
      <c r="E36" s="25" t="s">
        <v>8394</v>
      </c>
      <c r="F36" s="25" t="s">
        <v>8395</v>
      </c>
      <c r="G36" s="25" t="s">
        <v>8396</v>
      </c>
      <c r="H36" s="25" t="s">
        <v>8397</v>
      </c>
      <c r="I36" s="25" t="s">
        <v>666</v>
      </c>
      <c r="J36" s="25" t="s">
        <v>665</v>
      </c>
      <c r="K36" s="25" t="n">
        <v>31</v>
      </c>
      <c r="L36" s="25" t="str">
        <f aca="false">IF(K36&gt;0,"Yes","No")</f>
        <v>Yes</v>
      </c>
    </row>
    <row r="37" customFormat="false" ht="15" hidden="false" customHeight="false" outlineLevel="0" collapsed="false">
      <c r="A37" s="25" t="s">
        <v>4723</v>
      </c>
      <c r="B37" s="25" t="s">
        <v>8392</v>
      </c>
      <c r="C37" s="25" t="s">
        <v>8393</v>
      </c>
      <c r="D37" s="25" t="n">
        <v>9</v>
      </c>
      <c r="E37" s="25" t="s">
        <v>8394</v>
      </c>
      <c r="F37" s="25" t="s">
        <v>8395</v>
      </c>
      <c r="G37" s="25" t="s">
        <v>8396</v>
      </c>
      <c r="H37" s="25" t="s">
        <v>8399</v>
      </c>
      <c r="I37" s="25" t="s">
        <v>4725</v>
      </c>
      <c r="J37" s="25" t="s">
        <v>4724</v>
      </c>
      <c r="K37" s="25" t="n">
        <v>31</v>
      </c>
      <c r="L37" s="25" t="str">
        <f aca="false">IF(K37&gt;0,"Yes","No")</f>
        <v>Yes</v>
      </c>
    </row>
    <row r="38" customFormat="false" ht="15" hidden="false" customHeight="false" outlineLevel="0" collapsed="false">
      <c r="A38" s="25" t="s">
        <v>513</v>
      </c>
      <c r="B38" s="25" t="s">
        <v>8392</v>
      </c>
      <c r="C38" s="25" t="s">
        <v>8393</v>
      </c>
      <c r="D38" s="25" t="n">
        <v>9</v>
      </c>
      <c r="E38" s="25" t="s">
        <v>8394</v>
      </c>
      <c r="F38" s="25" t="s">
        <v>8395</v>
      </c>
      <c r="G38" s="25" t="s">
        <v>8398</v>
      </c>
      <c r="H38" s="25"/>
      <c r="I38" s="25" t="s">
        <v>515</v>
      </c>
      <c r="J38" s="25" t="s">
        <v>514</v>
      </c>
      <c r="K38" s="25" t="n">
        <v>30</v>
      </c>
      <c r="L38" s="25" t="str">
        <f aca="false">IF(K38&gt;0,"Yes","No")</f>
        <v>Yes</v>
      </c>
    </row>
    <row r="39" customFormat="false" ht="15" hidden="false" customHeight="false" outlineLevel="0" collapsed="false">
      <c r="A39" s="25" t="s">
        <v>934</v>
      </c>
      <c r="B39" s="25" t="s">
        <v>8392</v>
      </c>
      <c r="C39" s="25" t="s">
        <v>8393</v>
      </c>
      <c r="D39" s="25" t="n">
        <v>9</v>
      </c>
      <c r="E39" s="25" t="s">
        <v>8394</v>
      </c>
      <c r="F39" s="25" t="s">
        <v>8395</v>
      </c>
      <c r="G39" s="25" t="s">
        <v>8396</v>
      </c>
      <c r="H39" s="25" t="s">
        <v>8397</v>
      </c>
      <c r="I39" s="25" t="s">
        <v>936</v>
      </c>
      <c r="J39" s="25" t="s">
        <v>935</v>
      </c>
      <c r="K39" s="25" t="n">
        <v>29</v>
      </c>
      <c r="L39" s="25" t="str">
        <f aca="false">IF(K39&gt;0,"Yes","No")</f>
        <v>Yes</v>
      </c>
    </row>
    <row r="40" customFormat="false" ht="15" hidden="false" customHeight="false" outlineLevel="0" collapsed="false">
      <c r="A40" s="25" t="s">
        <v>4040</v>
      </c>
      <c r="B40" s="25" t="s">
        <v>8392</v>
      </c>
      <c r="C40" s="25" t="s">
        <v>8393</v>
      </c>
      <c r="D40" s="25" t="n">
        <v>9</v>
      </c>
      <c r="E40" s="25" t="s">
        <v>8394</v>
      </c>
      <c r="F40" s="25" t="s">
        <v>8395</v>
      </c>
      <c r="G40" s="25" t="s">
        <v>8396</v>
      </c>
      <c r="H40" s="25" t="s">
        <v>8399</v>
      </c>
      <c r="I40" s="25" t="s">
        <v>4042</v>
      </c>
      <c r="J40" s="25" t="s">
        <v>4041</v>
      </c>
      <c r="K40" s="25" t="n">
        <v>28</v>
      </c>
      <c r="L40" s="25" t="str">
        <f aca="false">IF(K40&gt;0,"Yes","No")</f>
        <v>Yes</v>
      </c>
    </row>
    <row r="41" customFormat="false" ht="15" hidden="false" customHeight="false" outlineLevel="0" collapsed="false">
      <c r="A41" s="25" t="s">
        <v>2133</v>
      </c>
      <c r="B41" s="25" t="s">
        <v>8392</v>
      </c>
      <c r="C41" s="25" t="s">
        <v>8393</v>
      </c>
      <c r="D41" s="25" t="n">
        <v>9</v>
      </c>
      <c r="E41" s="25" t="s">
        <v>8394</v>
      </c>
      <c r="F41" s="25" t="s">
        <v>8395</v>
      </c>
      <c r="G41" s="25" t="s">
        <v>8396</v>
      </c>
      <c r="H41" s="25" t="s">
        <v>8399</v>
      </c>
      <c r="I41" s="25" t="s">
        <v>2135</v>
      </c>
      <c r="J41" s="25" t="s">
        <v>2134</v>
      </c>
      <c r="K41" s="25" t="n">
        <v>28</v>
      </c>
      <c r="L41" s="25" t="str">
        <f aca="false">IF(K41&gt;0,"Yes","No")</f>
        <v>Yes</v>
      </c>
    </row>
    <row r="42" customFormat="false" ht="15" hidden="false" customHeight="false" outlineLevel="0" collapsed="false">
      <c r="A42" s="25" t="s">
        <v>3260</v>
      </c>
      <c r="B42" s="25" t="s">
        <v>8392</v>
      </c>
      <c r="C42" s="25" t="s">
        <v>8393</v>
      </c>
      <c r="D42" s="25" t="n">
        <v>9</v>
      </c>
      <c r="E42" s="25" t="s">
        <v>8394</v>
      </c>
      <c r="F42" s="25" t="s">
        <v>8395</v>
      </c>
      <c r="G42" s="25" t="s">
        <v>8396</v>
      </c>
      <c r="H42" s="25" t="s">
        <v>8399</v>
      </c>
      <c r="I42" s="25" t="s">
        <v>3262</v>
      </c>
      <c r="J42" s="25" t="s">
        <v>3261</v>
      </c>
      <c r="K42" s="25" t="n">
        <v>28</v>
      </c>
      <c r="L42" s="25" t="str">
        <f aca="false">IF(K42&gt;0,"Yes","No")</f>
        <v>Yes</v>
      </c>
    </row>
    <row r="43" customFormat="false" ht="15" hidden="false" customHeight="false" outlineLevel="0" collapsed="false">
      <c r="A43" s="25" t="s">
        <v>3223</v>
      </c>
      <c r="B43" s="25" t="s">
        <v>8392</v>
      </c>
      <c r="C43" s="25" t="s">
        <v>8393</v>
      </c>
      <c r="D43" s="25" t="n">
        <v>9</v>
      </c>
      <c r="E43" s="25" t="s">
        <v>8394</v>
      </c>
      <c r="F43" s="25" t="s">
        <v>8395</v>
      </c>
      <c r="G43" s="25" t="s">
        <v>8398</v>
      </c>
      <c r="H43" s="25"/>
      <c r="I43" s="25" t="s">
        <v>3225</v>
      </c>
      <c r="J43" s="25" t="s">
        <v>3224</v>
      </c>
      <c r="K43" s="25" t="n">
        <v>28</v>
      </c>
      <c r="L43" s="25" t="str">
        <f aca="false">IF(K43&gt;0,"Yes","No")</f>
        <v>Yes</v>
      </c>
    </row>
    <row r="44" customFormat="false" ht="15" hidden="false" customHeight="false" outlineLevel="0" collapsed="false">
      <c r="A44" s="25" t="s">
        <v>1133</v>
      </c>
      <c r="B44" s="25" t="s">
        <v>8392</v>
      </c>
      <c r="C44" s="25" t="s">
        <v>8393</v>
      </c>
      <c r="D44" s="25" t="n">
        <v>9</v>
      </c>
      <c r="E44" s="25" t="s">
        <v>8394</v>
      </c>
      <c r="F44" s="25" t="s">
        <v>8395</v>
      </c>
      <c r="G44" s="25" t="s">
        <v>8398</v>
      </c>
      <c r="H44" s="25"/>
      <c r="I44" s="25" t="s">
        <v>775</v>
      </c>
      <c r="J44" s="25" t="s">
        <v>1134</v>
      </c>
      <c r="K44" s="25" t="n">
        <v>28</v>
      </c>
      <c r="L44" s="25" t="str">
        <f aca="false">IF(K44&gt;0,"Yes","No")</f>
        <v>Yes</v>
      </c>
    </row>
    <row r="45" customFormat="false" ht="15" hidden="false" customHeight="false" outlineLevel="0" collapsed="false">
      <c r="A45" s="25" t="s">
        <v>2653</v>
      </c>
      <c r="B45" s="25" t="s">
        <v>8392</v>
      </c>
      <c r="C45" s="25" t="s">
        <v>8393</v>
      </c>
      <c r="D45" s="25" t="n">
        <v>9</v>
      </c>
      <c r="E45" s="25" t="s">
        <v>8394</v>
      </c>
      <c r="F45" s="25" t="s">
        <v>8395</v>
      </c>
      <c r="G45" s="25" t="s">
        <v>8398</v>
      </c>
      <c r="H45" s="25"/>
      <c r="I45" s="25" t="s">
        <v>709</v>
      </c>
      <c r="J45" s="25" t="s">
        <v>2654</v>
      </c>
      <c r="K45" s="25" t="n">
        <v>28</v>
      </c>
      <c r="L45" s="25" t="str">
        <f aca="false">IF(K45&gt;0,"Yes","No")</f>
        <v>Yes</v>
      </c>
    </row>
    <row r="46" customFormat="false" ht="15" hidden="false" customHeight="false" outlineLevel="0" collapsed="false">
      <c r="A46" s="25" t="s">
        <v>496</v>
      </c>
      <c r="B46" s="25" t="s">
        <v>8392</v>
      </c>
      <c r="C46" s="25" t="s">
        <v>8393</v>
      </c>
      <c r="D46" s="25" t="n">
        <v>9</v>
      </c>
      <c r="E46" s="25" t="s">
        <v>8394</v>
      </c>
      <c r="F46" s="25" t="s">
        <v>8395</v>
      </c>
      <c r="G46" s="25" t="s">
        <v>8396</v>
      </c>
      <c r="H46" s="25" t="s">
        <v>8397</v>
      </c>
      <c r="I46" s="25" t="s">
        <v>498</v>
      </c>
      <c r="J46" s="25" t="s">
        <v>497</v>
      </c>
      <c r="K46" s="25" t="n">
        <v>27</v>
      </c>
      <c r="L46" s="25" t="str">
        <f aca="false">IF(K46&gt;0,"Yes","No")</f>
        <v>Yes</v>
      </c>
    </row>
    <row r="47" customFormat="false" ht="15" hidden="false" customHeight="false" outlineLevel="0" collapsed="false">
      <c r="A47" s="25" t="s">
        <v>1996</v>
      </c>
      <c r="B47" s="25" t="s">
        <v>8392</v>
      </c>
      <c r="C47" s="25" t="s">
        <v>8393</v>
      </c>
      <c r="D47" s="25" t="n">
        <v>9</v>
      </c>
      <c r="E47" s="25" t="s">
        <v>8394</v>
      </c>
      <c r="F47" s="25" t="s">
        <v>8395</v>
      </c>
      <c r="G47" s="25" t="s">
        <v>8402</v>
      </c>
      <c r="H47" s="25" t="s">
        <v>8403</v>
      </c>
      <c r="I47" s="25" t="s">
        <v>1998</v>
      </c>
      <c r="J47" s="25" t="s">
        <v>1997</v>
      </c>
      <c r="K47" s="25" t="n">
        <v>27</v>
      </c>
      <c r="L47" s="25" t="str">
        <f aca="false">IF(K47&gt;0,"Yes","No")</f>
        <v>Yes</v>
      </c>
    </row>
    <row r="48" customFormat="false" ht="15" hidden="false" customHeight="false" outlineLevel="0" collapsed="false">
      <c r="A48" s="25" t="s">
        <v>397</v>
      </c>
      <c r="B48" s="25" t="s">
        <v>8392</v>
      </c>
      <c r="C48" s="25" t="s">
        <v>8393</v>
      </c>
      <c r="D48" s="25" t="n">
        <v>9</v>
      </c>
      <c r="E48" s="25" t="s">
        <v>8394</v>
      </c>
      <c r="F48" s="25" t="s">
        <v>8395</v>
      </c>
      <c r="G48" s="25" t="s">
        <v>8396</v>
      </c>
      <c r="H48" s="25" t="s">
        <v>8399</v>
      </c>
      <c r="I48" s="25" t="s">
        <v>399</v>
      </c>
      <c r="J48" s="25" t="s">
        <v>398</v>
      </c>
      <c r="K48" s="25" t="n">
        <v>27</v>
      </c>
      <c r="L48" s="25" t="str">
        <f aca="false">IF(K48&gt;0,"Yes","No")</f>
        <v>Yes</v>
      </c>
    </row>
    <row r="49" customFormat="false" ht="15" hidden="false" customHeight="false" outlineLevel="0" collapsed="false">
      <c r="A49" s="25" t="s">
        <v>1948</v>
      </c>
      <c r="B49" s="25" t="s">
        <v>8392</v>
      </c>
      <c r="C49" s="25" t="s">
        <v>8393</v>
      </c>
      <c r="D49" s="25" t="n">
        <v>9</v>
      </c>
      <c r="E49" s="25" t="s">
        <v>8394</v>
      </c>
      <c r="F49" s="25" t="s">
        <v>8395</v>
      </c>
      <c r="G49" s="25" t="s">
        <v>8396</v>
      </c>
      <c r="H49" s="25" t="s">
        <v>8399</v>
      </c>
      <c r="I49" s="25" t="s">
        <v>1950</v>
      </c>
      <c r="J49" s="25" t="s">
        <v>1949</v>
      </c>
      <c r="K49" s="25" t="n">
        <v>26</v>
      </c>
      <c r="L49" s="25" t="str">
        <f aca="false">IF(K49&gt;0,"Yes","No")</f>
        <v>Yes</v>
      </c>
    </row>
    <row r="50" customFormat="false" ht="15" hidden="false" customHeight="false" outlineLevel="0" collapsed="false">
      <c r="A50" s="25" t="s">
        <v>3814</v>
      </c>
      <c r="B50" s="25" t="s">
        <v>8392</v>
      </c>
      <c r="C50" s="25" t="s">
        <v>8393</v>
      </c>
      <c r="D50" s="25" t="n">
        <v>9</v>
      </c>
      <c r="E50" s="25" t="s">
        <v>8394</v>
      </c>
      <c r="F50" s="25" t="s">
        <v>8395</v>
      </c>
      <c r="G50" s="25" t="s">
        <v>8396</v>
      </c>
      <c r="H50" s="25" t="s">
        <v>8404</v>
      </c>
      <c r="I50" s="25" t="s">
        <v>3816</v>
      </c>
      <c r="J50" s="25" t="s">
        <v>3815</v>
      </c>
      <c r="K50" s="25" t="n">
        <v>26</v>
      </c>
      <c r="L50" s="25" t="str">
        <f aca="false">IF(K50&gt;0,"Yes","No")</f>
        <v>Yes</v>
      </c>
    </row>
    <row r="51" customFormat="false" ht="15" hidden="false" customHeight="false" outlineLevel="0" collapsed="false">
      <c r="A51" s="25" t="s">
        <v>1895</v>
      </c>
      <c r="B51" s="25" t="s">
        <v>8392</v>
      </c>
      <c r="C51" s="25" t="s">
        <v>8393</v>
      </c>
      <c r="D51" s="25" t="n">
        <v>9</v>
      </c>
      <c r="E51" s="25" t="s">
        <v>8394</v>
      </c>
      <c r="F51" s="25" t="s">
        <v>8395</v>
      </c>
      <c r="G51" s="25" t="s">
        <v>8398</v>
      </c>
      <c r="H51" s="25"/>
      <c r="I51" s="25" t="s">
        <v>515</v>
      </c>
      <c r="J51" s="25" t="s">
        <v>1896</v>
      </c>
      <c r="K51" s="25" t="n">
        <v>26</v>
      </c>
      <c r="L51" s="25" t="str">
        <f aca="false">IF(K51&gt;0,"Yes","No")</f>
        <v>Yes</v>
      </c>
    </row>
    <row r="52" customFormat="false" ht="15" hidden="false" customHeight="false" outlineLevel="0" collapsed="false">
      <c r="A52" s="25" t="s">
        <v>773</v>
      </c>
      <c r="B52" s="25" t="s">
        <v>8392</v>
      </c>
      <c r="C52" s="25" t="s">
        <v>8393</v>
      </c>
      <c r="D52" s="25" t="n">
        <v>9</v>
      </c>
      <c r="E52" s="25" t="s">
        <v>8394</v>
      </c>
      <c r="F52" s="25" t="s">
        <v>8395</v>
      </c>
      <c r="G52" s="25" t="s">
        <v>8398</v>
      </c>
      <c r="H52" s="25"/>
      <c r="I52" s="25" t="s">
        <v>775</v>
      </c>
      <c r="J52" s="25" t="s">
        <v>774</v>
      </c>
      <c r="K52" s="25" t="n">
        <v>26</v>
      </c>
      <c r="L52" s="25" t="str">
        <f aca="false">IF(K52&gt;0,"Yes","No")</f>
        <v>Yes</v>
      </c>
    </row>
    <row r="53" customFormat="false" ht="15" hidden="false" customHeight="false" outlineLevel="0" collapsed="false">
      <c r="A53" s="25" t="s">
        <v>2120</v>
      </c>
      <c r="B53" s="25" t="s">
        <v>8392</v>
      </c>
      <c r="C53" s="25" t="s">
        <v>8393</v>
      </c>
      <c r="D53" s="25" t="n">
        <v>9</v>
      </c>
      <c r="E53" s="25" t="s">
        <v>8394</v>
      </c>
      <c r="F53" s="25" t="s">
        <v>8395</v>
      </c>
      <c r="G53" s="25" t="s">
        <v>8396</v>
      </c>
      <c r="H53" s="25" t="s">
        <v>8399</v>
      </c>
      <c r="I53" s="25" t="s">
        <v>2122</v>
      </c>
      <c r="J53" s="25" t="s">
        <v>2121</v>
      </c>
      <c r="K53" s="25" t="n">
        <v>25</v>
      </c>
      <c r="L53" s="25" t="str">
        <f aca="false">IF(K53&gt;0,"Yes","No")</f>
        <v>Yes</v>
      </c>
    </row>
    <row r="54" customFormat="false" ht="15" hidden="false" customHeight="false" outlineLevel="0" collapsed="false">
      <c r="A54" s="25" t="s">
        <v>501</v>
      </c>
      <c r="B54" s="25" t="s">
        <v>8392</v>
      </c>
      <c r="C54" s="25" t="s">
        <v>8393</v>
      </c>
      <c r="D54" s="25" t="n">
        <v>9</v>
      </c>
      <c r="E54" s="25" t="s">
        <v>8394</v>
      </c>
      <c r="F54" s="25" t="s">
        <v>8395</v>
      </c>
      <c r="G54" s="25" t="s">
        <v>8396</v>
      </c>
      <c r="H54" s="25" t="s">
        <v>8399</v>
      </c>
      <c r="I54" s="25" t="s">
        <v>503</v>
      </c>
      <c r="J54" s="25" t="s">
        <v>502</v>
      </c>
      <c r="K54" s="25" t="n">
        <v>25</v>
      </c>
      <c r="L54" s="25" t="str">
        <f aca="false">IF(K54&gt;0,"Yes","No")</f>
        <v>Yes</v>
      </c>
    </row>
    <row r="55" customFormat="false" ht="15" hidden="false" customHeight="false" outlineLevel="0" collapsed="false">
      <c r="A55" s="25" t="s">
        <v>3162</v>
      </c>
      <c r="B55" s="25" t="s">
        <v>8392</v>
      </c>
      <c r="C55" s="25" t="s">
        <v>8393</v>
      </c>
      <c r="D55" s="25" t="n">
        <v>9</v>
      </c>
      <c r="E55" s="25" t="s">
        <v>8394</v>
      </c>
      <c r="F55" s="25" t="s">
        <v>8395</v>
      </c>
      <c r="G55" s="25" t="s">
        <v>8396</v>
      </c>
      <c r="H55" s="25" t="s">
        <v>8397</v>
      </c>
      <c r="I55" s="25" t="s">
        <v>3164</v>
      </c>
      <c r="J55" s="25" t="s">
        <v>3163</v>
      </c>
      <c r="K55" s="25" t="n">
        <v>25</v>
      </c>
      <c r="L55" s="25" t="str">
        <f aca="false">IF(K55&gt;0,"Yes","No")</f>
        <v>Yes</v>
      </c>
    </row>
    <row r="56" customFormat="false" ht="15" hidden="false" customHeight="false" outlineLevel="0" collapsed="false">
      <c r="A56" s="25" t="s">
        <v>1811</v>
      </c>
      <c r="B56" s="25" t="s">
        <v>8392</v>
      </c>
      <c r="C56" s="25" t="s">
        <v>8393</v>
      </c>
      <c r="D56" s="25" t="n">
        <v>9</v>
      </c>
      <c r="E56" s="25" t="s">
        <v>8394</v>
      </c>
      <c r="F56" s="25" t="s">
        <v>8395</v>
      </c>
      <c r="G56" s="25" t="s">
        <v>8396</v>
      </c>
      <c r="H56" s="25" t="s">
        <v>8397</v>
      </c>
      <c r="I56" s="25" t="s">
        <v>1813</v>
      </c>
      <c r="J56" s="25" t="s">
        <v>1812</v>
      </c>
      <c r="K56" s="25" t="n">
        <v>24</v>
      </c>
      <c r="L56" s="25" t="str">
        <f aca="false">IF(K56&gt;0,"Yes","No")</f>
        <v>Yes</v>
      </c>
    </row>
    <row r="57" customFormat="false" ht="15" hidden="false" customHeight="false" outlineLevel="0" collapsed="false">
      <c r="A57" s="25" t="s">
        <v>243</v>
      </c>
      <c r="B57" s="25" t="s">
        <v>8392</v>
      </c>
      <c r="C57" s="25" t="s">
        <v>8393</v>
      </c>
      <c r="D57" s="25" t="n">
        <v>9</v>
      </c>
      <c r="E57" s="25" t="s">
        <v>8394</v>
      </c>
      <c r="F57" s="25" t="s">
        <v>8395</v>
      </c>
      <c r="G57" s="25" t="s">
        <v>8396</v>
      </c>
      <c r="H57" s="25" t="s">
        <v>8405</v>
      </c>
      <c r="I57" s="25" t="s">
        <v>245</v>
      </c>
      <c r="J57" s="25" t="s">
        <v>244</v>
      </c>
      <c r="K57" s="25" t="n">
        <v>24</v>
      </c>
      <c r="L57" s="25" t="str">
        <f aca="false">IF(K57&gt;0,"Yes","No")</f>
        <v>Yes</v>
      </c>
    </row>
    <row r="58" customFormat="false" ht="15" hidden="false" customHeight="false" outlineLevel="0" collapsed="false">
      <c r="A58" s="25" t="s">
        <v>707</v>
      </c>
      <c r="B58" s="25" t="s">
        <v>8392</v>
      </c>
      <c r="C58" s="25" t="s">
        <v>8393</v>
      </c>
      <c r="D58" s="25" t="n">
        <v>9</v>
      </c>
      <c r="E58" s="25" t="s">
        <v>8394</v>
      </c>
      <c r="F58" s="25" t="s">
        <v>8395</v>
      </c>
      <c r="G58" s="25" t="s">
        <v>8398</v>
      </c>
      <c r="H58" s="25"/>
      <c r="I58" s="25" t="s">
        <v>709</v>
      </c>
      <c r="J58" s="25" t="s">
        <v>708</v>
      </c>
      <c r="K58" s="25" t="n">
        <v>24</v>
      </c>
      <c r="L58" s="25" t="str">
        <f aca="false">IF(K58&gt;0,"Yes","No")</f>
        <v>Yes</v>
      </c>
    </row>
    <row r="59" customFormat="false" ht="15" hidden="false" customHeight="false" outlineLevel="0" collapsed="false">
      <c r="A59" s="25" t="s">
        <v>6459</v>
      </c>
      <c r="B59" s="25" t="s">
        <v>8392</v>
      </c>
      <c r="C59" s="25" t="s">
        <v>8393</v>
      </c>
      <c r="D59" s="25" t="n">
        <v>9</v>
      </c>
      <c r="E59" s="25" t="s">
        <v>8394</v>
      </c>
      <c r="F59" s="25" t="s">
        <v>8395</v>
      </c>
      <c r="G59" s="25" t="s">
        <v>8396</v>
      </c>
      <c r="H59" s="25" t="s">
        <v>8397</v>
      </c>
      <c r="I59" s="25" t="s">
        <v>676</v>
      </c>
      <c r="J59" s="25" t="s">
        <v>6460</v>
      </c>
      <c r="K59" s="25" t="n">
        <v>24</v>
      </c>
      <c r="L59" s="25" t="str">
        <f aca="false">IF(K59&gt;0,"Yes","No")</f>
        <v>Yes</v>
      </c>
    </row>
    <row r="60" customFormat="false" ht="15" hidden="false" customHeight="false" outlineLevel="0" collapsed="false">
      <c r="A60" s="25" t="s">
        <v>523</v>
      </c>
      <c r="B60" s="25" t="s">
        <v>8392</v>
      </c>
      <c r="C60" s="25" t="s">
        <v>8393</v>
      </c>
      <c r="D60" s="25" t="n">
        <v>9</v>
      </c>
      <c r="E60" s="25" t="s">
        <v>8394</v>
      </c>
      <c r="F60" s="25" t="s">
        <v>8395</v>
      </c>
      <c r="G60" s="25" t="s">
        <v>8396</v>
      </c>
      <c r="H60" s="25" t="s">
        <v>8397</v>
      </c>
      <c r="I60" s="25" t="s">
        <v>525</v>
      </c>
      <c r="J60" s="25" t="s">
        <v>524</v>
      </c>
      <c r="K60" s="25" t="n">
        <v>23</v>
      </c>
      <c r="L60" s="25" t="str">
        <f aca="false">IF(K60&gt;0,"Yes","No")</f>
        <v>Yes</v>
      </c>
    </row>
    <row r="61" customFormat="false" ht="15" hidden="false" customHeight="false" outlineLevel="0" collapsed="false">
      <c r="A61" s="25" t="s">
        <v>518</v>
      </c>
      <c r="B61" s="25" t="s">
        <v>8392</v>
      </c>
      <c r="C61" s="25" t="s">
        <v>8393</v>
      </c>
      <c r="D61" s="25" t="n">
        <v>9</v>
      </c>
      <c r="E61" s="25" t="s">
        <v>8394</v>
      </c>
      <c r="F61" s="25" t="s">
        <v>8395</v>
      </c>
      <c r="G61" s="25" t="s">
        <v>8396</v>
      </c>
      <c r="H61" s="25"/>
      <c r="I61" s="25" t="s">
        <v>520</v>
      </c>
      <c r="J61" s="25" t="s">
        <v>519</v>
      </c>
      <c r="K61" s="25" t="n">
        <v>23</v>
      </c>
      <c r="L61" s="25" t="str">
        <f aca="false">IF(K61&gt;0,"Yes","No")</f>
        <v>Yes</v>
      </c>
    </row>
    <row r="62" customFormat="false" ht="15" hidden="false" customHeight="false" outlineLevel="0" collapsed="false">
      <c r="A62" s="25" t="s">
        <v>1760</v>
      </c>
      <c r="B62" s="25" t="s">
        <v>8392</v>
      </c>
      <c r="C62" s="25" t="s">
        <v>8393</v>
      </c>
      <c r="D62" s="25" t="n">
        <v>9</v>
      </c>
      <c r="E62" s="25" t="s">
        <v>8394</v>
      </c>
      <c r="F62" s="25" t="s">
        <v>8395</v>
      </c>
      <c r="G62" s="25" t="s">
        <v>8398</v>
      </c>
      <c r="H62" s="25"/>
      <c r="I62" s="25" t="s">
        <v>775</v>
      </c>
      <c r="J62" s="25" t="s">
        <v>1761</v>
      </c>
      <c r="K62" s="25" t="n">
        <v>22</v>
      </c>
      <c r="L62" s="25" t="str">
        <f aca="false">IF(K62&gt;0,"Yes","No")</f>
        <v>Yes</v>
      </c>
    </row>
    <row r="63" customFormat="false" ht="15" hidden="false" customHeight="false" outlineLevel="0" collapsed="false">
      <c r="A63" s="25" t="s">
        <v>2072</v>
      </c>
      <c r="B63" s="25" t="s">
        <v>8392</v>
      </c>
      <c r="C63" s="25" t="s">
        <v>8393</v>
      </c>
      <c r="D63" s="25" t="n">
        <v>9</v>
      </c>
      <c r="E63" s="25" t="s">
        <v>8394</v>
      </c>
      <c r="F63" s="25" t="s">
        <v>8395</v>
      </c>
      <c r="G63" s="25" t="s">
        <v>8396</v>
      </c>
      <c r="H63" s="25" t="s">
        <v>8397</v>
      </c>
      <c r="I63" s="25" t="s">
        <v>2074</v>
      </c>
      <c r="J63" s="25" t="s">
        <v>2073</v>
      </c>
      <c r="K63" s="25" t="n">
        <v>22</v>
      </c>
      <c r="L63" s="25" t="str">
        <f aca="false">IF(K63&gt;0,"Yes","No")</f>
        <v>Yes</v>
      </c>
    </row>
    <row r="64" customFormat="false" ht="15" hidden="false" customHeight="false" outlineLevel="0" collapsed="false">
      <c r="A64" s="25" t="s">
        <v>1717</v>
      </c>
      <c r="B64" s="25" t="s">
        <v>8392</v>
      </c>
      <c r="C64" s="25" t="s">
        <v>8393</v>
      </c>
      <c r="D64" s="25" t="n">
        <v>9</v>
      </c>
      <c r="E64" s="25" t="s">
        <v>8394</v>
      </c>
      <c r="F64" s="25" t="s">
        <v>8395</v>
      </c>
      <c r="G64" s="25" t="s">
        <v>8396</v>
      </c>
      <c r="H64" s="25" t="s">
        <v>8397</v>
      </c>
      <c r="I64" s="25" t="s">
        <v>1719</v>
      </c>
      <c r="J64" s="25" t="s">
        <v>1718</v>
      </c>
      <c r="K64" s="25" t="n">
        <v>22</v>
      </c>
      <c r="L64" s="25" t="str">
        <f aca="false">IF(K64&gt;0,"Yes","No")</f>
        <v>Yes</v>
      </c>
    </row>
    <row r="65" customFormat="false" ht="15" hidden="false" customHeight="false" outlineLevel="0" collapsed="false">
      <c r="A65" s="25" t="s">
        <v>548</v>
      </c>
      <c r="B65" s="25" t="s">
        <v>8392</v>
      </c>
      <c r="C65" s="25" t="s">
        <v>8393</v>
      </c>
      <c r="D65" s="25" t="n">
        <v>9</v>
      </c>
      <c r="E65" s="25" t="s">
        <v>8394</v>
      </c>
      <c r="F65" s="25" t="s">
        <v>8395</v>
      </c>
      <c r="G65" s="25" t="s">
        <v>8396</v>
      </c>
      <c r="H65" s="25" t="s">
        <v>8399</v>
      </c>
      <c r="I65" s="25" t="s">
        <v>550</v>
      </c>
      <c r="J65" s="25" t="s">
        <v>549</v>
      </c>
      <c r="K65" s="25" t="n">
        <v>22</v>
      </c>
      <c r="L65" s="25" t="str">
        <f aca="false">IF(K65&gt;0,"Yes","No")</f>
        <v>Yes</v>
      </c>
    </row>
    <row r="66" customFormat="false" ht="15" hidden="false" customHeight="false" outlineLevel="0" collapsed="false">
      <c r="A66" s="25" t="s">
        <v>669</v>
      </c>
      <c r="B66" s="25" t="s">
        <v>8392</v>
      </c>
      <c r="C66" s="25" t="s">
        <v>8393</v>
      </c>
      <c r="D66" s="25" t="n">
        <v>9</v>
      </c>
      <c r="E66" s="25" t="s">
        <v>8394</v>
      </c>
      <c r="F66" s="25" t="s">
        <v>8395</v>
      </c>
      <c r="G66" s="25" t="s">
        <v>8396</v>
      </c>
      <c r="H66" s="25" t="s">
        <v>8399</v>
      </c>
      <c r="I66" s="25" t="s">
        <v>671</v>
      </c>
      <c r="J66" s="25" t="s">
        <v>670</v>
      </c>
      <c r="K66" s="25" t="n">
        <v>22</v>
      </c>
      <c r="L66" s="25" t="str">
        <f aca="false">IF(K66&gt;0,"Yes","No")</f>
        <v>Yes</v>
      </c>
    </row>
    <row r="67" customFormat="false" ht="15" hidden="false" customHeight="false" outlineLevel="0" collapsed="false">
      <c r="A67" s="25" t="s">
        <v>485</v>
      </c>
      <c r="B67" s="25" t="s">
        <v>8392</v>
      </c>
      <c r="C67" s="25" t="s">
        <v>8393</v>
      </c>
      <c r="D67" s="25" t="n">
        <v>9</v>
      </c>
      <c r="E67" s="25" t="s">
        <v>8394</v>
      </c>
      <c r="F67" s="25" t="s">
        <v>8395</v>
      </c>
      <c r="G67" s="25" t="s">
        <v>8396</v>
      </c>
      <c r="H67" s="25" t="s">
        <v>8397</v>
      </c>
      <c r="I67" s="25" t="s">
        <v>487</v>
      </c>
      <c r="J67" s="25" t="s">
        <v>486</v>
      </c>
      <c r="K67" s="25" t="n">
        <v>21</v>
      </c>
      <c r="L67" s="25" t="str">
        <f aca="false">IF(K67&gt;0,"Yes","No")</f>
        <v>Yes</v>
      </c>
    </row>
    <row r="68" customFormat="false" ht="15" hidden="false" customHeight="false" outlineLevel="0" collapsed="false">
      <c r="A68" s="25" t="s">
        <v>1818</v>
      </c>
      <c r="B68" s="25" t="s">
        <v>8392</v>
      </c>
      <c r="C68" s="25" t="s">
        <v>8393</v>
      </c>
      <c r="D68" s="25" t="n">
        <v>9</v>
      </c>
      <c r="E68" s="25" t="s">
        <v>8394</v>
      </c>
      <c r="F68" s="25" t="s">
        <v>8395</v>
      </c>
      <c r="G68" s="25" t="s">
        <v>8398</v>
      </c>
      <c r="H68" s="25"/>
      <c r="I68" s="25" t="s">
        <v>709</v>
      </c>
      <c r="J68" s="25" t="s">
        <v>1819</v>
      </c>
      <c r="K68" s="25" t="n">
        <v>21</v>
      </c>
      <c r="L68" s="25" t="str">
        <f aca="false">IF(K68&gt;0,"Yes","No")</f>
        <v>Yes</v>
      </c>
    </row>
    <row r="69" customFormat="false" ht="15" hidden="false" customHeight="false" outlineLevel="0" collapsed="false">
      <c r="A69" s="25" t="s">
        <v>698</v>
      </c>
      <c r="B69" s="25" t="s">
        <v>8392</v>
      </c>
      <c r="C69" s="25" t="s">
        <v>8393</v>
      </c>
      <c r="D69" s="25" t="n">
        <v>9</v>
      </c>
      <c r="E69" s="25" t="s">
        <v>8394</v>
      </c>
      <c r="F69" s="25" t="s">
        <v>8395</v>
      </c>
      <c r="G69" s="25" t="s">
        <v>8396</v>
      </c>
      <c r="H69" s="25" t="s">
        <v>8397</v>
      </c>
      <c r="I69" s="25" t="s">
        <v>700</v>
      </c>
      <c r="J69" s="25" t="s">
        <v>699</v>
      </c>
      <c r="K69" s="25" t="n">
        <v>20</v>
      </c>
      <c r="L69" s="25" t="str">
        <f aca="false">IF(K69&gt;0,"Yes","No")</f>
        <v>Yes</v>
      </c>
    </row>
    <row r="70" customFormat="false" ht="15" hidden="false" customHeight="false" outlineLevel="0" collapsed="false">
      <c r="A70" s="25" t="s">
        <v>5276</v>
      </c>
      <c r="B70" s="25" t="s">
        <v>8392</v>
      </c>
      <c r="C70" s="25" t="s">
        <v>8393</v>
      </c>
      <c r="D70" s="25" t="n">
        <v>9</v>
      </c>
      <c r="E70" s="25" t="s">
        <v>8394</v>
      </c>
      <c r="F70" s="25" t="s">
        <v>8395</v>
      </c>
      <c r="G70" s="25" t="s">
        <v>8396</v>
      </c>
      <c r="H70" s="25" t="s">
        <v>8397</v>
      </c>
      <c r="I70" s="25" t="s">
        <v>5278</v>
      </c>
      <c r="J70" s="25" t="s">
        <v>5277</v>
      </c>
      <c r="K70" s="25" t="n">
        <v>19</v>
      </c>
      <c r="L70" s="25" t="str">
        <f aca="false">IF(K70&gt;0,"Yes","No")</f>
        <v>Yes</v>
      </c>
    </row>
    <row r="71" customFormat="false" ht="15" hidden="false" customHeight="false" outlineLevel="0" collapsed="false">
      <c r="A71" s="25" t="s">
        <v>5022</v>
      </c>
      <c r="B71" s="25" t="s">
        <v>8392</v>
      </c>
      <c r="C71" s="25" t="s">
        <v>8393</v>
      </c>
      <c r="D71" s="25" t="n">
        <v>9</v>
      </c>
      <c r="E71" s="25" t="s">
        <v>8394</v>
      </c>
      <c r="F71" s="25" t="s">
        <v>8395</v>
      </c>
      <c r="G71" s="25" t="s">
        <v>8396</v>
      </c>
      <c r="H71" s="25" t="s">
        <v>8397</v>
      </c>
      <c r="I71" s="25" t="s">
        <v>5024</v>
      </c>
      <c r="J71" s="25" t="s">
        <v>5023</v>
      </c>
      <c r="K71" s="25" t="n">
        <v>19</v>
      </c>
      <c r="L71" s="25" t="str">
        <f aca="false">IF(K71&gt;0,"Yes","No")</f>
        <v>Yes</v>
      </c>
    </row>
    <row r="72" customFormat="false" ht="15" hidden="false" customHeight="false" outlineLevel="0" collapsed="false">
      <c r="A72" s="25" t="s">
        <v>1831</v>
      </c>
      <c r="B72" s="25" t="s">
        <v>8392</v>
      </c>
      <c r="C72" s="25" t="s">
        <v>8393</v>
      </c>
      <c r="D72" s="25" t="n">
        <v>9</v>
      </c>
      <c r="E72" s="25" t="s">
        <v>8394</v>
      </c>
      <c r="F72" s="25" t="s">
        <v>8395</v>
      </c>
      <c r="G72" s="25" t="s">
        <v>8398</v>
      </c>
      <c r="H72" s="25"/>
      <c r="I72" s="25" t="s">
        <v>515</v>
      </c>
      <c r="J72" s="25" t="s">
        <v>1832</v>
      </c>
      <c r="K72" s="25" t="n">
        <v>19</v>
      </c>
      <c r="L72" s="25" t="str">
        <f aca="false">IF(K72&gt;0,"Yes","No")</f>
        <v>Yes</v>
      </c>
    </row>
    <row r="73" customFormat="false" ht="15" hidden="false" customHeight="false" outlineLevel="0" collapsed="false">
      <c r="A73" s="25" t="s">
        <v>1785</v>
      </c>
      <c r="B73" s="25" t="s">
        <v>8392</v>
      </c>
      <c r="C73" s="25" t="s">
        <v>8393</v>
      </c>
      <c r="D73" s="25" t="n">
        <v>9</v>
      </c>
      <c r="E73" s="25" t="s">
        <v>8394</v>
      </c>
      <c r="F73" s="25" t="s">
        <v>8395</v>
      </c>
      <c r="G73" s="25" t="s">
        <v>8396</v>
      </c>
      <c r="H73" s="25" t="s">
        <v>8399</v>
      </c>
      <c r="I73" s="25" t="s">
        <v>659</v>
      </c>
      <c r="J73" s="25" t="s">
        <v>1786</v>
      </c>
      <c r="K73" s="25" t="n">
        <v>18</v>
      </c>
      <c r="L73" s="25" t="str">
        <f aca="false">IF(K73&gt;0,"Yes","No")</f>
        <v>Yes</v>
      </c>
    </row>
    <row r="74" customFormat="false" ht="15" hidden="false" customHeight="false" outlineLevel="0" collapsed="false">
      <c r="A74" s="25" t="s">
        <v>948</v>
      </c>
      <c r="B74" s="25" t="s">
        <v>8392</v>
      </c>
      <c r="C74" s="25" t="s">
        <v>8393</v>
      </c>
      <c r="D74" s="25" t="n">
        <v>9</v>
      </c>
      <c r="E74" s="25" t="s">
        <v>8394</v>
      </c>
      <c r="F74" s="25" t="s">
        <v>8395</v>
      </c>
      <c r="G74" s="25" t="s">
        <v>8396</v>
      </c>
      <c r="H74" s="25" t="s">
        <v>8399</v>
      </c>
      <c r="I74" s="25" t="s">
        <v>950</v>
      </c>
      <c r="J74" s="25" t="s">
        <v>949</v>
      </c>
      <c r="K74" s="25" t="n">
        <v>18</v>
      </c>
      <c r="L74" s="25" t="str">
        <f aca="false">IF(K74&gt;0,"Yes","No")</f>
        <v>Yes</v>
      </c>
    </row>
    <row r="75" customFormat="false" ht="15" hidden="false" customHeight="false" outlineLevel="0" collapsed="false">
      <c r="A75" s="25" t="s">
        <v>643</v>
      </c>
      <c r="B75" s="25" t="s">
        <v>8392</v>
      </c>
      <c r="C75" s="25" t="s">
        <v>8393</v>
      </c>
      <c r="D75" s="25" t="n">
        <v>9</v>
      </c>
      <c r="E75" s="25" t="s">
        <v>8394</v>
      </c>
      <c r="F75" s="25" t="s">
        <v>8395</v>
      </c>
      <c r="G75" s="25" t="s">
        <v>8396</v>
      </c>
      <c r="H75" s="25" t="s">
        <v>8397</v>
      </c>
      <c r="I75" s="25" t="s">
        <v>645</v>
      </c>
      <c r="J75" s="25" t="s">
        <v>644</v>
      </c>
      <c r="K75" s="25" t="n">
        <v>18</v>
      </c>
      <c r="L75" s="25" t="str">
        <f aca="false">IF(K75&gt;0,"Yes","No")</f>
        <v>Yes</v>
      </c>
    </row>
    <row r="76" customFormat="false" ht="15" hidden="false" customHeight="false" outlineLevel="0" collapsed="false">
      <c r="A76" s="25" t="s">
        <v>2626</v>
      </c>
      <c r="B76" s="25" t="s">
        <v>8392</v>
      </c>
      <c r="C76" s="25" t="s">
        <v>8393</v>
      </c>
      <c r="D76" s="25" t="n">
        <v>9</v>
      </c>
      <c r="E76" s="25" t="s">
        <v>8394</v>
      </c>
      <c r="F76" s="25" t="s">
        <v>8395</v>
      </c>
      <c r="G76" s="25" t="s">
        <v>8402</v>
      </c>
      <c r="H76" s="25" t="s">
        <v>8397</v>
      </c>
      <c r="I76" s="25" t="s">
        <v>2628</v>
      </c>
      <c r="J76" s="25" t="s">
        <v>2627</v>
      </c>
      <c r="K76" s="25" t="n">
        <v>18</v>
      </c>
      <c r="L76" s="25" t="str">
        <f aca="false">IF(K76&gt;0,"Yes","No")</f>
        <v>Yes</v>
      </c>
    </row>
    <row r="77" customFormat="false" ht="15" hidden="false" customHeight="false" outlineLevel="0" collapsed="false">
      <c r="A77" s="25" t="s">
        <v>2721</v>
      </c>
      <c r="B77" s="25" t="s">
        <v>8392</v>
      </c>
      <c r="C77" s="25" t="s">
        <v>8393</v>
      </c>
      <c r="D77" s="25" t="n">
        <v>9</v>
      </c>
      <c r="E77" s="25" t="s">
        <v>8394</v>
      </c>
      <c r="F77" s="25" t="s">
        <v>8395</v>
      </c>
      <c r="G77" s="25" t="s">
        <v>8396</v>
      </c>
      <c r="H77" s="25" t="s">
        <v>8397</v>
      </c>
      <c r="I77" s="25" t="s">
        <v>285</v>
      </c>
      <c r="J77" s="25" t="s">
        <v>2722</v>
      </c>
      <c r="K77" s="25" t="n">
        <v>18</v>
      </c>
      <c r="L77" s="25" t="str">
        <f aca="false">IF(K77&gt;0,"Yes","No")</f>
        <v>Yes</v>
      </c>
    </row>
    <row r="78" customFormat="false" ht="15" hidden="false" customHeight="false" outlineLevel="0" collapsed="false">
      <c r="A78" s="25" t="s">
        <v>636</v>
      </c>
      <c r="B78" s="25" t="s">
        <v>8392</v>
      </c>
      <c r="C78" s="25" t="s">
        <v>8393</v>
      </c>
      <c r="D78" s="25" t="n">
        <v>9</v>
      </c>
      <c r="E78" s="25" t="s">
        <v>8394</v>
      </c>
      <c r="F78" s="25" t="s">
        <v>8395</v>
      </c>
      <c r="G78" s="25" t="s">
        <v>8398</v>
      </c>
      <c r="H78" s="25"/>
      <c r="I78" s="25" t="s">
        <v>638</v>
      </c>
      <c r="J78" s="25" t="s">
        <v>637</v>
      </c>
      <c r="K78" s="25" t="n">
        <v>17</v>
      </c>
      <c r="L78" s="25" t="str">
        <f aca="false">IF(K78&gt;0,"Yes","No")</f>
        <v>Yes</v>
      </c>
    </row>
    <row r="79" customFormat="false" ht="15" hidden="false" customHeight="false" outlineLevel="0" collapsed="false">
      <c r="A79" s="25" t="s">
        <v>7636</v>
      </c>
      <c r="B79" s="25" t="s">
        <v>8392</v>
      </c>
      <c r="C79" s="25" t="s">
        <v>8393</v>
      </c>
      <c r="D79" s="25" t="n">
        <v>9</v>
      </c>
      <c r="E79" s="25" t="s">
        <v>8394</v>
      </c>
      <c r="F79" s="25" t="s">
        <v>8395</v>
      </c>
      <c r="G79" s="25" t="s">
        <v>8396</v>
      </c>
      <c r="H79" s="25" t="s">
        <v>8397</v>
      </c>
      <c r="I79" s="25" t="s">
        <v>7638</v>
      </c>
      <c r="J79" s="25" t="s">
        <v>7637</v>
      </c>
      <c r="K79" s="25" t="n">
        <v>17</v>
      </c>
      <c r="L79" s="25" t="str">
        <f aca="false">IF(K79&gt;0,"Yes","No")</f>
        <v>Yes</v>
      </c>
    </row>
    <row r="80" customFormat="false" ht="15" hidden="false" customHeight="false" outlineLevel="0" collapsed="false">
      <c r="A80" s="25" t="s">
        <v>3415</v>
      </c>
      <c r="B80" s="25" t="s">
        <v>8392</v>
      </c>
      <c r="C80" s="25" t="s">
        <v>8393</v>
      </c>
      <c r="D80" s="25" t="n">
        <v>9</v>
      </c>
      <c r="E80" s="25" t="s">
        <v>8394</v>
      </c>
      <c r="F80" s="25" t="s">
        <v>8395</v>
      </c>
      <c r="G80" s="25" t="s">
        <v>8396</v>
      </c>
      <c r="H80" s="25" t="s">
        <v>8399</v>
      </c>
      <c r="I80" s="25" t="s">
        <v>3417</v>
      </c>
      <c r="J80" s="25" t="s">
        <v>3416</v>
      </c>
      <c r="K80" s="25" t="n">
        <v>17</v>
      </c>
      <c r="L80" s="25" t="str">
        <f aca="false">IF(K80&gt;0,"Yes","No")</f>
        <v>Yes</v>
      </c>
    </row>
    <row r="81" customFormat="false" ht="15" hidden="false" customHeight="false" outlineLevel="0" collapsed="false">
      <c r="A81" s="25" t="s">
        <v>4912</v>
      </c>
      <c r="B81" s="25" t="s">
        <v>8392</v>
      </c>
      <c r="C81" s="25" t="s">
        <v>8393</v>
      </c>
      <c r="D81" s="25" t="n">
        <v>9</v>
      </c>
      <c r="E81" s="25" t="s">
        <v>8394</v>
      </c>
      <c r="F81" s="25" t="s">
        <v>8395</v>
      </c>
      <c r="G81" s="25" t="s">
        <v>8396</v>
      </c>
      <c r="H81" s="25" t="s">
        <v>8399</v>
      </c>
      <c r="I81" s="25" t="s">
        <v>4914</v>
      </c>
      <c r="J81" s="25" t="s">
        <v>4913</v>
      </c>
      <c r="K81" s="25" t="n">
        <v>17</v>
      </c>
      <c r="L81" s="25" t="str">
        <f aca="false">IF(K81&gt;0,"Yes","No")</f>
        <v>Yes</v>
      </c>
    </row>
    <row r="82" customFormat="false" ht="15" hidden="false" customHeight="false" outlineLevel="0" collapsed="false">
      <c r="A82" s="25" t="s">
        <v>5354</v>
      </c>
      <c r="B82" s="25" t="s">
        <v>8392</v>
      </c>
      <c r="C82" s="25" t="s">
        <v>8393</v>
      </c>
      <c r="D82" s="25" t="n">
        <v>9</v>
      </c>
      <c r="E82" s="25" t="s">
        <v>8394</v>
      </c>
      <c r="F82" s="25" t="s">
        <v>8395</v>
      </c>
      <c r="G82" s="25" t="s">
        <v>8396</v>
      </c>
      <c r="H82" s="25" t="s">
        <v>8399</v>
      </c>
      <c r="I82" s="25" t="s">
        <v>5355</v>
      </c>
      <c r="J82" s="25" t="s">
        <v>4134</v>
      </c>
      <c r="K82" s="25" t="n">
        <v>17</v>
      </c>
      <c r="L82" s="25" t="str">
        <f aca="false">IF(K82&gt;0,"Yes","No")</f>
        <v>Yes</v>
      </c>
    </row>
    <row r="83" customFormat="false" ht="15" hidden="false" customHeight="false" outlineLevel="0" collapsed="false">
      <c r="A83" s="25" t="s">
        <v>1548</v>
      </c>
      <c r="B83" s="25" t="s">
        <v>8392</v>
      </c>
      <c r="C83" s="25" t="s">
        <v>8393</v>
      </c>
      <c r="D83" s="25" t="n">
        <v>9</v>
      </c>
      <c r="E83" s="25" t="s">
        <v>8394</v>
      </c>
      <c r="F83" s="25" t="s">
        <v>8395</v>
      </c>
      <c r="G83" s="25" t="s">
        <v>8396</v>
      </c>
      <c r="H83" s="25" t="s">
        <v>8397</v>
      </c>
      <c r="I83" s="25" t="s">
        <v>1550</v>
      </c>
      <c r="J83" s="25" t="s">
        <v>1549</v>
      </c>
      <c r="K83" s="25" t="n">
        <v>17</v>
      </c>
      <c r="L83" s="25" t="str">
        <f aca="false">IF(K83&gt;0,"Yes","No")</f>
        <v>Yes</v>
      </c>
    </row>
    <row r="84" customFormat="false" ht="15" hidden="false" customHeight="false" outlineLevel="0" collapsed="false">
      <c r="A84" s="25" t="s">
        <v>2673</v>
      </c>
      <c r="B84" s="25" t="s">
        <v>8392</v>
      </c>
      <c r="C84" s="25" t="s">
        <v>8393</v>
      </c>
      <c r="D84" s="25" t="n">
        <v>9</v>
      </c>
      <c r="E84" s="25" t="s">
        <v>8394</v>
      </c>
      <c r="F84" s="25" t="s">
        <v>8395</v>
      </c>
      <c r="G84" s="25" t="s">
        <v>8396</v>
      </c>
      <c r="H84" s="25"/>
      <c r="I84" s="25" t="s">
        <v>2675</v>
      </c>
      <c r="J84" s="25" t="s">
        <v>2674</v>
      </c>
      <c r="K84" s="25" t="n">
        <v>17</v>
      </c>
      <c r="L84" s="25" t="str">
        <f aca="false">IF(K84&gt;0,"Yes","No")</f>
        <v>Yes</v>
      </c>
    </row>
    <row r="85" customFormat="false" ht="15" hidden="false" customHeight="false" outlineLevel="0" collapsed="false">
      <c r="A85" s="25" t="s">
        <v>1571</v>
      </c>
      <c r="B85" s="25" t="s">
        <v>8392</v>
      </c>
      <c r="C85" s="25" t="s">
        <v>8393</v>
      </c>
      <c r="D85" s="25" t="n">
        <v>9</v>
      </c>
      <c r="E85" s="25" t="s">
        <v>8394</v>
      </c>
      <c r="F85" s="25" t="s">
        <v>8395</v>
      </c>
      <c r="G85" s="25" t="s">
        <v>8396</v>
      </c>
      <c r="H85" s="25" t="s">
        <v>8403</v>
      </c>
      <c r="I85" s="25" t="s">
        <v>1573</v>
      </c>
      <c r="J85" s="25" t="s">
        <v>1572</v>
      </c>
      <c r="K85" s="25" t="n">
        <v>17</v>
      </c>
      <c r="L85" s="25" t="str">
        <f aca="false">IF(K85&gt;0,"Yes","No")</f>
        <v>Yes</v>
      </c>
    </row>
    <row r="86" customFormat="false" ht="15" hidden="false" customHeight="false" outlineLevel="0" collapsed="false">
      <c r="A86" s="25" t="s">
        <v>4178</v>
      </c>
      <c r="B86" s="25" t="s">
        <v>8392</v>
      </c>
      <c r="C86" s="25" t="s">
        <v>8393</v>
      </c>
      <c r="D86" s="25" t="n">
        <v>9</v>
      </c>
      <c r="E86" s="25" t="s">
        <v>8394</v>
      </c>
      <c r="F86" s="25" t="s">
        <v>8395</v>
      </c>
      <c r="G86" s="25" t="s">
        <v>8396</v>
      </c>
      <c r="H86" s="25" t="s">
        <v>8399</v>
      </c>
      <c r="I86" s="25" t="s">
        <v>659</v>
      </c>
      <c r="J86" s="25" t="s">
        <v>4179</v>
      </c>
      <c r="K86" s="25" t="n">
        <v>16</v>
      </c>
      <c r="L86" s="25" t="str">
        <f aca="false">IF(K86&gt;0,"Yes","No")</f>
        <v>Yes</v>
      </c>
    </row>
    <row r="87" customFormat="false" ht="15" hidden="false" customHeight="false" outlineLevel="0" collapsed="false">
      <c r="A87" s="25" t="s">
        <v>1362</v>
      </c>
      <c r="B87" s="25" t="s">
        <v>8392</v>
      </c>
      <c r="C87" s="25" t="s">
        <v>8393</v>
      </c>
      <c r="D87" s="25" t="n">
        <v>9</v>
      </c>
      <c r="E87" s="25" t="s">
        <v>8394</v>
      </c>
      <c r="F87" s="25" t="s">
        <v>8395</v>
      </c>
      <c r="G87" s="25" t="s">
        <v>8396</v>
      </c>
      <c r="H87" s="25" t="s">
        <v>8397</v>
      </c>
      <c r="I87" s="25" t="s">
        <v>1364</v>
      </c>
      <c r="J87" s="25" t="s">
        <v>1363</v>
      </c>
      <c r="K87" s="25" t="n">
        <v>16</v>
      </c>
      <c r="L87" s="25" t="str">
        <f aca="false">IF(K87&gt;0,"Yes","No")</f>
        <v>Yes</v>
      </c>
    </row>
    <row r="88" customFormat="false" ht="15" hidden="false" customHeight="false" outlineLevel="0" collapsed="false">
      <c r="A88" s="25" t="s">
        <v>1139</v>
      </c>
      <c r="B88" s="25" t="s">
        <v>8392</v>
      </c>
      <c r="C88" s="25" t="s">
        <v>8393</v>
      </c>
      <c r="D88" s="25" t="n">
        <v>9</v>
      </c>
      <c r="E88" s="25" t="s">
        <v>8394</v>
      </c>
      <c r="F88" s="25" t="s">
        <v>8395</v>
      </c>
      <c r="G88" s="25" t="s">
        <v>8400</v>
      </c>
      <c r="H88" s="25"/>
      <c r="I88" s="25" t="s">
        <v>1141</v>
      </c>
      <c r="J88" s="25" t="s">
        <v>1140</v>
      </c>
      <c r="K88" s="25" t="n">
        <v>16</v>
      </c>
      <c r="L88" s="25" t="str">
        <f aca="false">IF(K88&gt;0,"Yes","No")</f>
        <v>Yes</v>
      </c>
    </row>
    <row r="89" customFormat="false" ht="15" hidden="false" customHeight="false" outlineLevel="0" collapsed="false">
      <c r="A89" s="25" t="s">
        <v>631</v>
      </c>
      <c r="B89" s="25" t="s">
        <v>8392</v>
      </c>
      <c r="C89" s="25" t="s">
        <v>8393</v>
      </c>
      <c r="D89" s="25" t="n">
        <v>9</v>
      </c>
      <c r="E89" s="25" t="s">
        <v>8394</v>
      </c>
      <c r="F89" s="25" t="s">
        <v>8395</v>
      </c>
      <c r="G89" s="25" t="s">
        <v>8396</v>
      </c>
      <c r="H89" s="25" t="s">
        <v>8403</v>
      </c>
      <c r="I89" s="25" t="s">
        <v>633</v>
      </c>
      <c r="J89" s="25" t="s">
        <v>632</v>
      </c>
      <c r="K89" s="25" t="n">
        <v>16</v>
      </c>
      <c r="L89" s="25" t="str">
        <f aca="false">IF(K89&gt;0,"Yes","No")</f>
        <v>Yes</v>
      </c>
    </row>
    <row r="90" customFormat="false" ht="15" hidden="false" customHeight="false" outlineLevel="0" collapsed="false">
      <c r="A90" s="25" t="s">
        <v>718</v>
      </c>
      <c r="B90" s="25" t="s">
        <v>8392</v>
      </c>
      <c r="C90" s="25" t="s">
        <v>8393</v>
      </c>
      <c r="D90" s="25" t="n">
        <v>9</v>
      </c>
      <c r="E90" s="25" t="s">
        <v>8394</v>
      </c>
      <c r="F90" s="25" t="s">
        <v>8395</v>
      </c>
      <c r="G90" s="25" t="s">
        <v>8396</v>
      </c>
      <c r="H90" s="25" t="s">
        <v>8403</v>
      </c>
      <c r="I90" s="25" t="s">
        <v>720</v>
      </c>
      <c r="J90" s="25" t="s">
        <v>719</v>
      </c>
      <c r="K90" s="25" t="n">
        <v>16</v>
      </c>
      <c r="L90" s="25" t="str">
        <f aca="false">IF(K90&gt;0,"Yes","No")</f>
        <v>Yes</v>
      </c>
    </row>
    <row r="91" customFormat="false" ht="15" hidden="false" customHeight="false" outlineLevel="0" collapsed="false">
      <c r="A91" s="25" t="s">
        <v>278</v>
      </c>
      <c r="B91" s="25" t="s">
        <v>8392</v>
      </c>
      <c r="C91" s="25" t="s">
        <v>8393</v>
      </c>
      <c r="D91" s="25" t="n">
        <v>9</v>
      </c>
      <c r="E91" s="25" t="s">
        <v>8394</v>
      </c>
      <c r="F91" s="25" t="s">
        <v>8395</v>
      </c>
      <c r="G91" s="25" t="s">
        <v>8396</v>
      </c>
      <c r="H91" s="25" t="s">
        <v>8397</v>
      </c>
      <c r="I91" s="25" t="s">
        <v>280</v>
      </c>
      <c r="J91" s="25" t="s">
        <v>279</v>
      </c>
      <c r="K91" s="25" t="n">
        <v>16</v>
      </c>
      <c r="L91" s="25" t="str">
        <f aca="false">IF(K91&gt;0,"Yes","No")</f>
        <v>Yes</v>
      </c>
    </row>
    <row r="92" customFormat="false" ht="15" hidden="false" customHeight="false" outlineLevel="0" collapsed="false">
      <c r="A92" s="25" t="s">
        <v>1175</v>
      </c>
      <c r="B92" s="25" t="s">
        <v>8392</v>
      </c>
      <c r="C92" s="25" t="s">
        <v>8393</v>
      </c>
      <c r="D92" s="25" t="n">
        <v>9</v>
      </c>
      <c r="E92" s="25" t="s">
        <v>8394</v>
      </c>
      <c r="F92" s="25" t="s">
        <v>8395</v>
      </c>
      <c r="G92" s="25" t="s">
        <v>8396</v>
      </c>
      <c r="H92" s="25"/>
      <c r="I92" s="25" t="s">
        <v>1177</v>
      </c>
      <c r="J92" s="25" t="s">
        <v>1176</v>
      </c>
      <c r="K92" s="25" t="n">
        <v>16</v>
      </c>
      <c r="L92" s="25" t="str">
        <f aca="false">IF(K92&gt;0,"Yes","No")</f>
        <v>Yes</v>
      </c>
    </row>
    <row r="93" customFormat="false" ht="15" hidden="false" customHeight="false" outlineLevel="0" collapsed="false">
      <c r="A93" s="25" t="s">
        <v>1623</v>
      </c>
      <c r="B93" s="25" t="s">
        <v>8392</v>
      </c>
      <c r="C93" s="25" t="s">
        <v>8393</v>
      </c>
      <c r="D93" s="25" t="n">
        <v>9</v>
      </c>
      <c r="E93" s="25" t="s">
        <v>8394</v>
      </c>
      <c r="F93" s="25" t="s">
        <v>8395</v>
      </c>
      <c r="G93" s="25" t="s">
        <v>8396</v>
      </c>
      <c r="H93" s="25" t="s">
        <v>8397</v>
      </c>
      <c r="I93" s="25" t="s">
        <v>1625</v>
      </c>
      <c r="J93" s="25" t="s">
        <v>1624</v>
      </c>
      <c r="K93" s="25" t="n">
        <v>16</v>
      </c>
      <c r="L93" s="25" t="str">
        <f aca="false">IF(K93&gt;0,"Yes","No")</f>
        <v>Yes</v>
      </c>
    </row>
    <row r="94" customFormat="false" ht="15" hidden="false" customHeight="false" outlineLevel="0" collapsed="false">
      <c r="A94" s="25" t="s">
        <v>1538</v>
      </c>
      <c r="B94" s="25" t="s">
        <v>8392</v>
      </c>
      <c r="C94" s="25" t="s">
        <v>8393</v>
      </c>
      <c r="D94" s="25" t="n">
        <v>9</v>
      </c>
      <c r="E94" s="25" t="s">
        <v>8394</v>
      </c>
      <c r="F94" s="25" t="s">
        <v>8395</v>
      </c>
      <c r="G94" s="25" t="s">
        <v>8398</v>
      </c>
      <c r="H94" s="25"/>
      <c r="I94" s="25" t="s">
        <v>775</v>
      </c>
      <c r="J94" s="25" t="s">
        <v>1539</v>
      </c>
      <c r="K94" s="25" t="n">
        <v>16</v>
      </c>
      <c r="L94" s="25" t="str">
        <f aca="false">IF(K94&gt;0,"Yes","No")</f>
        <v>Yes</v>
      </c>
    </row>
    <row r="95" customFormat="false" ht="15" hidden="false" customHeight="false" outlineLevel="0" collapsed="false">
      <c r="A95" s="25" t="s">
        <v>2249</v>
      </c>
      <c r="B95" s="25" t="s">
        <v>8392</v>
      </c>
      <c r="C95" s="25" t="s">
        <v>8393</v>
      </c>
      <c r="D95" s="25" t="n">
        <v>9</v>
      </c>
      <c r="E95" s="25" t="s">
        <v>8394</v>
      </c>
      <c r="F95" s="25" t="s">
        <v>8395</v>
      </c>
      <c r="G95" s="25" t="s">
        <v>8396</v>
      </c>
      <c r="H95" s="25" t="s">
        <v>8401</v>
      </c>
      <c r="I95" s="25" t="s">
        <v>2251</v>
      </c>
      <c r="J95" s="25" t="s">
        <v>2250</v>
      </c>
      <c r="K95" s="25" t="n">
        <v>16</v>
      </c>
      <c r="L95" s="25" t="str">
        <f aca="false">IF(K95&gt;0,"Yes","No")</f>
        <v>Yes</v>
      </c>
    </row>
    <row r="96" customFormat="false" ht="15" hidden="false" customHeight="false" outlineLevel="0" collapsed="false">
      <c r="A96" s="25" t="s">
        <v>1917</v>
      </c>
      <c r="B96" s="25" t="s">
        <v>8392</v>
      </c>
      <c r="C96" s="25" t="s">
        <v>8393</v>
      </c>
      <c r="D96" s="25" t="n">
        <v>9</v>
      </c>
      <c r="E96" s="25" t="s">
        <v>8394</v>
      </c>
      <c r="F96" s="25" t="s">
        <v>8395</v>
      </c>
      <c r="G96" s="25" t="s">
        <v>8396</v>
      </c>
      <c r="H96" s="25" t="s">
        <v>8397</v>
      </c>
      <c r="I96" s="25" t="s">
        <v>676</v>
      </c>
      <c r="J96" s="25" t="s">
        <v>1918</v>
      </c>
      <c r="K96" s="25" t="n">
        <v>15</v>
      </c>
      <c r="L96" s="25" t="str">
        <f aca="false">IF(K96&gt;0,"Yes","No")</f>
        <v>Yes</v>
      </c>
    </row>
    <row r="97" customFormat="false" ht="15" hidden="false" customHeight="false" outlineLevel="0" collapsed="false">
      <c r="A97" s="25" t="s">
        <v>2229</v>
      </c>
      <c r="B97" s="25" t="s">
        <v>8392</v>
      </c>
      <c r="C97" s="25" t="s">
        <v>8393</v>
      </c>
      <c r="D97" s="25" t="n">
        <v>9</v>
      </c>
      <c r="E97" s="25" t="s">
        <v>8394</v>
      </c>
      <c r="F97" s="25" t="s">
        <v>8395</v>
      </c>
      <c r="G97" s="25" t="s">
        <v>8396</v>
      </c>
      <c r="H97" s="25" t="s">
        <v>8399</v>
      </c>
      <c r="I97" s="25" t="s">
        <v>2231</v>
      </c>
      <c r="J97" s="25" t="s">
        <v>2230</v>
      </c>
      <c r="K97" s="25" t="n">
        <v>15</v>
      </c>
      <c r="L97" s="25" t="str">
        <f aca="false">IF(K97&gt;0,"Yes","No")</f>
        <v>Yes</v>
      </c>
    </row>
    <row r="98" customFormat="false" ht="15" hidden="false" customHeight="false" outlineLevel="0" collapsed="false">
      <c r="A98" s="25" t="s">
        <v>1351</v>
      </c>
      <c r="B98" s="25" t="s">
        <v>8392</v>
      </c>
      <c r="C98" s="25" t="s">
        <v>8393</v>
      </c>
      <c r="D98" s="25" t="n">
        <v>9</v>
      </c>
      <c r="E98" s="25" t="s">
        <v>8394</v>
      </c>
      <c r="F98" s="25" t="s">
        <v>8395</v>
      </c>
      <c r="G98" s="25" t="s">
        <v>8398</v>
      </c>
      <c r="H98" s="25"/>
      <c r="I98" s="25" t="s">
        <v>515</v>
      </c>
      <c r="J98" s="25" t="s">
        <v>1352</v>
      </c>
      <c r="K98" s="25" t="n">
        <v>15</v>
      </c>
      <c r="L98" s="25" t="str">
        <f aca="false">IF(K98&gt;0,"Yes","No")</f>
        <v>Yes</v>
      </c>
    </row>
    <row r="99" customFormat="false" ht="15" hidden="false" customHeight="false" outlineLevel="0" collapsed="false">
      <c r="A99" s="25" t="s">
        <v>2796</v>
      </c>
      <c r="B99" s="25" t="s">
        <v>8392</v>
      </c>
      <c r="C99" s="25" t="s">
        <v>8393</v>
      </c>
      <c r="D99" s="25" t="n">
        <v>9</v>
      </c>
      <c r="E99" s="25" t="s">
        <v>8394</v>
      </c>
      <c r="F99" s="25" t="s">
        <v>8395</v>
      </c>
      <c r="G99" s="25" t="s">
        <v>8396</v>
      </c>
      <c r="H99" s="25" t="s">
        <v>8399</v>
      </c>
      <c r="I99" s="25" t="s">
        <v>2798</v>
      </c>
      <c r="J99" s="25" t="s">
        <v>2797</v>
      </c>
      <c r="K99" s="25" t="n">
        <v>15</v>
      </c>
      <c r="L99" s="25" t="str">
        <f aca="false">IF(K99&gt;0,"Yes","No")</f>
        <v>Yes</v>
      </c>
    </row>
    <row r="100" customFormat="false" ht="15" hidden="false" customHeight="false" outlineLevel="0" collapsed="false">
      <c r="A100" s="25" t="s">
        <v>1055</v>
      </c>
      <c r="B100" s="25" t="s">
        <v>8392</v>
      </c>
      <c r="C100" s="25" t="s">
        <v>8393</v>
      </c>
      <c r="D100" s="25" t="n">
        <v>9</v>
      </c>
      <c r="E100" s="25" t="s">
        <v>8394</v>
      </c>
      <c r="F100" s="25" t="s">
        <v>8395</v>
      </c>
      <c r="G100" s="25" t="s">
        <v>8396</v>
      </c>
      <c r="H100" s="25" t="s">
        <v>8399</v>
      </c>
      <c r="I100" s="25" t="s">
        <v>1057</v>
      </c>
      <c r="J100" s="25" t="s">
        <v>1056</v>
      </c>
      <c r="K100" s="25" t="n">
        <v>15</v>
      </c>
      <c r="L100" s="25" t="str">
        <f aca="false">IF(K100&gt;0,"Yes","No")</f>
        <v>Yes</v>
      </c>
    </row>
    <row r="101" customFormat="false" ht="15" hidden="false" customHeight="false" outlineLevel="0" collapsed="false">
      <c r="A101" s="25" t="s">
        <v>6347</v>
      </c>
      <c r="B101" s="25" t="s">
        <v>8392</v>
      </c>
      <c r="C101" s="25" t="s">
        <v>8393</v>
      </c>
      <c r="D101" s="25" t="n">
        <v>9</v>
      </c>
      <c r="E101" s="25" t="s">
        <v>8394</v>
      </c>
      <c r="F101" s="25" t="s">
        <v>8395</v>
      </c>
      <c r="G101" s="25" t="s">
        <v>8396</v>
      </c>
      <c r="H101" s="25" t="s">
        <v>8397</v>
      </c>
      <c r="I101" s="25" t="s">
        <v>6349</v>
      </c>
      <c r="J101" s="25" t="s">
        <v>6348</v>
      </c>
      <c r="K101" s="25" t="n">
        <v>15</v>
      </c>
      <c r="L101" s="25" t="str">
        <f aca="false">IF(K101&gt;0,"Yes","No")</f>
        <v>Yes</v>
      </c>
    </row>
    <row r="102" customFormat="false" ht="15" hidden="false" customHeight="false" outlineLevel="0" collapsed="false">
      <c r="A102" s="25" t="s">
        <v>2956</v>
      </c>
      <c r="B102" s="25" t="s">
        <v>8392</v>
      </c>
      <c r="C102" s="25" t="s">
        <v>8393</v>
      </c>
      <c r="D102" s="25" t="n">
        <v>9</v>
      </c>
      <c r="E102" s="25" t="s">
        <v>8394</v>
      </c>
      <c r="F102" s="25" t="s">
        <v>8395</v>
      </c>
      <c r="G102" s="25" t="s">
        <v>8402</v>
      </c>
      <c r="H102" s="25" t="s">
        <v>8397</v>
      </c>
      <c r="I102" s="25" t="s">
        <v>2958</v>
      </c>
      <c r="J102" s="25" t="s">
        <v>2957</v>
      </c>
      <c r="K102" s="25" t="n">
        <v>15</v>
      </c>
      <c r="L102" s="25" t="str">
        <f aca="false">IF(K102&gt;0,"Yes","No")</f>
        <v>Yes</v>
      </c>
    </row>
    <row r="103" customFormat="false" ht="15" hidden="false" customHeight="false" outlineLevel="0" collapsed="false">
      <c r="A103" s="25" t="s">
        <v>255</v>
      </c>
      <c r="B103" s="25" t="s">
        <v>8392</v>
      </c>
      <c r="C103" s="25" t="s">
        <v>8393</v>
      </c>
      <c r="D103" s="25" t="n">
        <v>9</v>
      </c>
      <c r="E103" s="25" t="s">
        <v>8394</v>
      </c>
      <c r="F103" s="25" t="s">
        <v>8395</v>
      </c>
      <c r="G103" s="25" t="s">
        <v>8400</v>
      </c>
      <c r="H103" s="25"/>
      <c r="I103" s="25" t="s">
        <v>250</v>
      </c>
      <c r="J103" s="25" t="s">
        <v>256</v>
      </c>
      <c r="K103" s="25" t="n">
        <v>15</v>
      </c>
      <c r="L103" s="25" t="str">
        <f aca="false">IF(K103&gt;0,"Yes","No")</f>
        <v>Yes</v>
      </c>
    </row>
    <row r="104" customFormat="false" ht="15" hidden="false" customHeight="false" outlineLevel="0" collapsed="false">
      <c r="A104" s="25" t="s">
        <v>356</v>
      </c>
      <c r="B104" s="25" t="s">
        <v>8392</v>
      </c>
      <c r="C104" s="25" t="s">
        <v>8393</v>
      </c>
      <c r="D104" s="25" t="n">
        <v>9</v>
      </c>
      <c r="E104" s="25" t="s">
        <v>8394</v>
      </c>
      <c r="F104" s="25" t="s">
        <v>8395</v>
      </c>
      <c r="G104" s="25" t="s">
        <v>8396</v>
      </c>
      <c r="H104" s="25" t="s">
        <v>8399</v>
      </c>
      <c r="I104" s="25" t="s">
        <v>358</v>
      </c>
      <c r="J104" s="25" t="s">
        <v>357</v>
      </c>
      <c r="K104" s="25" t="n">
        <v>15</v>
      </c>
      <c r="L104" s="25" t="str">
        <f aca="false">IF(K104&gt;0,"Yes","No")</f>
        <v>Yes</v>
      </c>
    </row>
    <row r="105" customFormat="false" ht="15" hidden="false" customHeight="false" outlineLevel="0" collapsed="false">
      <c r="A105" s="25" t="s">
        <v>5772</v>
      </c>
      <c r="B105" s="25" t="s">
        <v>8392</v>
      </c>
      <c r="C105" s="25" t="s">
        <v>8393</v>
      </c>
      <c r="D105" s="25" t="n">
        <v>9</v>
      </c>
      <c r="E105" s="25" t="s">
        <v>8394</v>
      </c>
      <c r="F105" s="25" t="s">
        <v>8395</v>
      </c>
      <c r="G105" s="25" t="s">
        <v>8396</v>
      </c>
      <c r="H105" s="25" t="s">
        <v>8397</v>
      </c>
      <c r="I105" s="25" t="s">
        <v>5774</v>
      </c>
      <c r="J105" s="25" t="s">
        <v>5773</v>
      </c>
      <c r="K105" s="25" t="n">
        <v>15</v>
      </c>
      <c r="L105" s="25" t="str">
        <f aca="false">IF(K105&gt;0,"Yes","No")</f>
        <v>Yes</v>
      </c>
    </row>
    <row r="106" customFormat="false" ht="15" hidden="false" customHeight="false" outlineLevel="0" collapsed="false">
      <c r="A106" s="25" t="s">
        <v>1707</v>
      </c>
      <c r="B106" s="25" t="s">
        <v>8392</v>
      </c>
      <c r="C106" s="25" t="s">
        <v>8393</v>
      </c>
      <c r="D106" s="25" t="n">
        <v>9</v>
      </c>
      <c r="E106" s="25" t="s">
        <v>8394</v>
      </c>
      <c r="F106" s="25" t="s">
        <v>8395</v>
      </c>
      <c r="G106" s="25" t="s">
        <v>8396</v>
      </c>
      <c r="H106" s="25" t="s">
        <v>8397</v>
      </c>
      <c r="I106" s="25" t="s">
        <v>601</v>
      </c>
      <c r="J106" s="25" t="s">
        <v>1708</v>
      </c>
      <c r="K106" s="25" t="n">
        <v>15</v>
      </c>
      <c r="L106" s="25" t="str">
        <f aca="false">IF(K106&gt;0,"Yes","No")</f>
        <v>Yes</v>
      </c>
    </row>
    <row r="107" customFormat="false" ht="15" hidden="false" customHeight="false" outlineLevel="0" collapsed="false">
      <c r="A107" s="25" t="s">
        <v>4291</v>
      </c>
      <c r="B107" s="25" t="s">
        <v>8392</v>
      </c>
      <c r="C107" s="25" t="s">
        <v>8393</v>
      </c>
      <c r="D107" s="25" t="n">
        <v>9</v>
      </c>
      <c r="E107" s="25" t="s">
        <v>8394</v>
      </c>
      <c r="F107" s="25" t="s">
        <v>8395</v>
      </c>
      <c r="G107" s="25" t="s">
        <v>8398</v>
      </c>
      <c r="H107" s="25"/>
      <c r="I107" s="25" t="s">
        <v>4293</v>
      </c>
      <c r="J107" s="25" t="s">
        <v>4292</v>
      </c>
      <c r="K107" s="25" t="n">
        <v>14</v>
      </c>
      <c r="L107" s="25" t="str">
        <f aca="false">IF(K107&gt;0,"Yes","No")</f>
        <v>Yes</v>
      </c>
    </row>
    <row r="108" customFormat="false" ht="15" hidden="false" customHeight="false" outlineLevel="0" collapsed="false">
      <c r="A108" s="25" t="s">
        <v>2692</v>
      </c>
      <c r="B108" s="25" t="s">
        <v>8392</v>
      </c>
      <c r="C108" s="25" t="s">
        <v>8393</v>
      </c>
      <c r="D108" s="25" t="n">
        <v>9</v>
      </c>
      <c r="E108" s="25" t="s">
        <v>8394</v>
      </c>
      <c r="F108" s="25" t="s">
        <v>8395</v>
      </c>
      <c r="G108" s="25" t="s">
        <v>8402</v>
      </c>
      <c r="H108" s="25"/>
      <c r="I108" s="25" t="s">
        <v>2694</v>
      </c>
      <c r="J108" s="25" t="s">
        <v>2693</v>
      </c>
      <c r="K108" s="25" t="n">
        <v>14</v>
      </c>
      <c r="L108" s="25" t="str">
        <f aca="false">IF(K108&gt;0,"Yes","No")</f>
        <v>Yes</v>
      </c>
    </row>
    <row r="109" customFormat="false" ht="15" hidden="false" customHeight="false" outlineLevel="0" collapsed="false">
      <c r="A109" s="25" t="s">
        <v>5562</v>
      </c>
      <c r="B109" s="25" t="s">
        <v>8392</v>
      </c>
      <c r="C109" s="25" t="s">
        <v>8393</v>
      </c>
      <c r="D109" s="25" t="n">
        <v>9</v>
      </c>
      <c r="E109" s="25" t="s">
        <v>8394</v>
      </c>
      <c r="F109" s="25" t="s">
        <v>8395</v>
      </c>
      <c r="G109" s="25" t="s">
        <v>8396</v>
      </c>
      <c r="H109" s="25" t="s">
        <v>8399</v>
      </c>
      <c r="I109" s="25" t="s">
        <v>5564</v>
      </c>
      <c r="J109" s="25" t="s">
        <v>5563</v>
      </c>
      <c r="K109" s="25" t="n">
        <v>14</v>
      </c>
      <c r="L109" s="25" t="str">
        <f aca="false">IF(K109&gt;0,"Yes","No")</f>
        <v>Yes</v>
      </c>
    </row>
    <row r="110" customFormat="false" ht="15" hidden="false" customHeight="false" outlineLevel="0" collapsed="false">
      <c r="A110" s="25" t="s">
        <v>1324</v>
      </c>
      <c r="B110" s="25" t="s">
        <v>8392</v>
      </c>
      <c r="C110" s="25" t="s">
        <v>8393</v>
      </c>
      <c r="D110" s="25" t="n">
        <v>9</v>
      </c>
      <c r="E110" s="25" t="s">
        <v>8394</v>
      </c>
      <c r="F110" s="25" t="s">
        <v>8395</v>
      </c>
      <c r="G110" s="25" t="s">
        <v>8396</v>
      </c>
      <c r="H110" s="25" t="s">
        <v>8399</v>
      </c>
      <c r="I110" s="25" t="s">
        <v>1326</v>
      </c>
      <c r="J110" s="25" t="s">
        <v>1325</v>
      </c>
      <c r="K110" s="25" t="n">
        <v>14</v>
      </c>
      <c r="L110" s="25" t="str">
        <f aca="false">IF(K110&gt;0,"Yes","No")</f>
        <v>Yes</v>
      </c>
    </row>
    <row r="111" customFormat="false" ht="15" hidden="false" customHeight="false" outlineLevel="0" collapsed="false">
      <c r="A111" s="25" t="s">
        <v>5096</v>
      </c>
      <c r="B111" s="25" t="s">
        <v>8392</v>
      </c>
      <c r="C111" s="25" t="s">
        <v>8393</v>
      </c>
      <c r="D111" s="25" t="n">
        <v>9</v>
      </c>
      <c r="E111" s="25" t="s">
        <v>8394</v>
      </c>
      <c r="F111" s="25" t="s">
        <v>8395</v>
      </c>
      <c r="G111" s="25" t="s">
        <v>8396</v>
      </c>
      <c r="H111" s="25"/>
      <c r="I111" s="25" t="s">
        <v>5098</v>
      </c>
      <c r="J111" s="25" t="s">
        <v>5097</v>
      </c>
      <c r="K111" s="25" t="n">
        <v>14</v>
      </c>
      <c r="L111" s="25" t="str">
        <f aca="false">IF(K111&gt;0,"Yes","No")</f>
        <v>Yes</v>
      </c>
    </row>
    <row r="112" customFormat="false" ht="15" hidden="false" customHeight="false" outlineLevel="0" collapsed="false">
      <c r="A112" s="25" t="s">
        <v>2633</v>
      </c>
      <c r="B112" s="25" t="s">
        <v>8392</v>
      </c>
      <c r="C112" s="25" t="s">
        <v>8393</v>
      </c>
      <c r="D112" s="25" t="n">
        <v>9</v>
      </c>
      <c r="E112" s="25" t="s">
        <v>8394</v>
      </c>
      <c r="F112" s="25" t="s">
        <v>8395</v>
      </c>
      <c r="G112" s="25" t="s">
        <v>8396</v>
      </c>
      <c r="H112" s="25" t="s">
        <v>8397</v>
      </c>
      <c r="I112" s="25" t="s">
        <v>2635</v>
      </c>
      <c r="J112" s="25" t="s">
        <v>2634</v>
      </c>
      <c r="K112" s="25" t="n">
        <v>14</v>
      </c>
      <c r="L112" s="25" t="str">
        <f aca="false">IF(K112&gt;0,"Yes","No")</f>
        <v>Yes</v>
      </c>
    </row>
    <row r="113" customFormat="false" ht="15" hidden="false" customHeight="false" outlineLevel="0" collapsed="false">
      <c r="A113" s="25" t="s">
        <v>7078</v>
      </c>
      <c r="B113" s="25" t="s">
        <v>8392</v>
      </c>
      <c r="C113" s="25" t="s">
        <v>8393</v>
      </c>
      <c r="D113" s="25" t="n">
        <v>9</v>
      </c>
      <c r="E113" s="25" t="s">
        <v>8394</v>
      </c>
      <c r="F113" s="25" t="s">
        <v>8395</v>
      </c>
      <c r="G113" s="25" t="s">
        <v>8402</v>
      </c>
      <c r="H113" s="25" t="s">
        <v>8406</v>
      </c>
      <c r="I113" s="25" t="s">
        <v>7080</v>
      </c>
      <c r="J113" s="25" t="s">
        <v>7079</v>
      </c>
      <c r="K113" s="25" t="n">
        <v>14</v>
      </c>
      <c r="L113" s="25" t="str">
        <f aca="false">IF(K113&gt;0,"Yes","No")</f>
        <v>Yes</v>
      </c>
    </row>
    <row r="114" customFormat="false" ht="15" hidden="false" customHeight="false" outlineLevel="0" collapsed="false">
      <c r="A114" s="25" t="s">
        <v>939</v>
      </c>
      <c r="B114" s="25" t="s">
        <v>8392</v>
      </c>
      <c r="C114" s="25" t="s">
        <v>8393</v>
      </c>
      <c r="D114" s="25" t="n">
        <v>9</v>
      </c>
      <c r="E114" s="25" t="s">
        <v>8394</v>
      </c>
      <c r="F114" s="25" t="s">
        <v>8395</v>
      </c>
      <c r="G114" s="25" t="s">
        <v>8402</v>
      </c>
      <c r="H114" s="25" t="s">
        <v>8397</v>
      </c>
      <c r="I114" s="25" t="s">
        <v>941</v>
      </c>
      <c r="J114" s="25" t="s">
        <v>940</v>
      </c>
      <c r="K114" s="25" t="n">
        <v>14</v>
      </c>
      <c r="L114" s="25" t="str">
        <f aca="false">IF(K114&gt;0,"Yes","No")</f>
        <v>Yes</v>
      </c>
    </row>
    <row r="115" customFormat="false" ht="15" hidden="false" customHeight="false" outlineLevel="0" collapsed="false">
      <c r="A115" s="25" t="s">
        <v>4060</v>
      </c>
      <c r="B115" s="25" t="s">
        <v>8392</v>
      </c>
      <c r="C115" s="25" t="s">
        <v>8393</v>
      </c>
      <c r="D115" s="25" t="n">
        <v>9</v>
      </c>
      <c r="E115" s="25" t="s">
        <v>8394</v>
      </c>
      <c r="F115" s="25" t="s">
        <v>8395</v>
      </c>
      <c r="G115" s="25" t="s">
        <v>8396</v>
      </c>
      <c r="H115" s="25" t="s">
        <v>8397</v>
      </c>
      <c r="I115" s="25" t="s">
        <v>4062</v>
      </c>
      <c r="J115" s="25" t="s">
        <v>4061</v>
      </c>
      <c r="K115" s="25" t="n">
        <v>14</v>
      </c>
      <c r="L115" s="25" t="str">
        <f aca="false">IF(K115&gt;0,"Yes","No")</f>
        <v>Yes</v>
      </c>
    </row>
    <row r="116" customFormat="false" ht="15" hidden="false" customHeight="false" outlineLevel="0" collapsed="false">
      <c r="A116" s="25" t="s">
        <v>674</v>
      </c>
      <c r="B116" s="25" t="s">
        <v>8392</v>
      </c>
      <c r="C116" s="25" t="s">
        <v>8393</v>
      </c>
      <c r="D116" s="25" t="n">
        <v>9</v>
      </c>
      <c r="E116" s="25" t="s">
        <v>8394</v>
      </c>
      <c r="F116" s="25" t="s">
        <v>8395</v>
      </c>
      <c r="G116" s="25" t="s">
        <v>8396</v>
      </c>
      <c r="H116" s="25" t="s">
        <v>8397</v>
      </c>
      <c r="I116" s="25" t="s">
        <v>676</v>
      </c>
      <c r="J116" s="25" t="s">
        <v>675</v>
      </c>
      <c r="K116" s="25" t="n">
        <v>14</v>
      </c>
      <c r="L116" s="25" t="str">
        <f aca="false">IF(K116&gt;0,"Yes","No")</f>
        <v>Yes</v>
      </c>
    </row>
    <row r="117" customFormat="false" ht="15" hidden="false" customHeight="false" outlineLevel="0" collapsed="false">
      <c r="A117" s="25" t="s">
        <v>1780</v>
      </c>
      <c r="B117" s="25" t="s">
        <v>8392</v>
      </c>
      <c r="C117" s="25" t="s">
        <v>8393</v>
      </c>
      <c r="D117" s="25" t="n">
        <v>9</v>
      </c>
      <c r="E117" s="25" t="s">
        <v>8394</v>
      </c>
      <c r="F117" s="25" t="s">
        <v>8395</v>
      </c>
      <c r="G117" s="25" t="s">
        <v>8398</v>
      </c>
      <c r="H117" s="25"/>
      <c r="I117" s="25" t="s">
        <v>1782</v>
      </c>
      <c r="J117" s="25" t="s">
        <v>1781</v>
      </c>
      <c r="K117" s="25" t="n">
        <v>13</v>
      </c>
      <c r="L117" s="25" t="str">
        <f aca="false">IF(K117&gt;0,"Yes","No")</f>
        <v>Yes</v>
      </c>
    </row>
    <row r="118" customFormat="false" ht="15" hidden="false" customHeight="false" outlineLevel="0" collapsed="false">
      <c r="A118" s="25" t="s">
        <v>2347</v>
      </c>
      <c r="B118" s="25" t="s">
        <v>8392</v>
      </c>
      <c r="C118" s="25" t="s">
        <v>8393</v>
      </c>
      <c r="D118" s="25" t="n">
        <v>9</v>
      </c>
      <c r="E118" s="25" t="s">
        <v>8394</v>
      </c>
      <c r="F118" s="25" t="s">
        <v>8395</v>
      </c>
      <c r="G118" s="25" t="s">
        <v>8396</v>
      </c>
      <c r="H118" s="25" t="s">
        <v>8404</v>
      </c>
      <c r="I118" s="25" t="s">
        <v>2349</v>
      </c>
      <c r="J118" s="25" t="s">
        <v>2348</v>
      </c>
      <c r="K118" s="25" t="n">
        <v>13</v>
      </c>
      <c r="L118" s="25" t="str">
        <f aca="false">IF(K118&gt;0,"Yes","No")</f>
        <v>Yes</v>
      </c>
    </row>
    <row r="119" customFormat="false" ht="15" hidden="false" customHeight="false" outlineLevel="0" collapsed="false">
      <c r="A119" s="25" t="s">
        <v>4522</v>
      </c>
      <c r="B119" s="25" t="s">
        <v>8392</v>
      </c>
      <c r="C119" s="25" t="s">
        <v>8393</v>
      </c>
      <c r="D119" s="25" t="n">
        <v>9</v>
      </c>
      <c r="E119" s="25" t="s">
        <v>8394</v>
      </c>
      <c r="F119" s="25" t="s">
        <v>8395</v>
      </c>
      <c r="G119" s="25" t="s">
        <v>8396</v>
      </c>
      <c r="H119" s="25" t="s">
        <v>8397</v>
      </c>
      <c r="I119" s="25" t="s">
        <v>4524</v>
      </c>
      <c r="J119" s="25" t="s">
        <v>4523</v>
      </c>
      <c r="K119" s="25" t="n">
        <v>13</v>
      </c>
      <c r="L119" s="25" t="str">
        <f aca="false">IF(K119&gt;0,"Yes","No")</f>
        <v>Yes</v>
      </c>
    </row>
    <row r="120" customFormat="false" ht="15" hidden="false" customHeight="false" outlineLevel="0" collapsed="false">
      <c r="A120" s="25" t="s">
        <v>1161</v>
      </c>
      <c r="B120" s="25" t="s">
        <v>8392</v>
      </c>
      <c r="C120" s="25" t="s">
        <v>8393</v>
      </c>
      <c r="D120" s="25" t="n">
        <v>9</v>
      </c>
      <c r="E120" s="25" t="s">
        <v>8394</v>
      </c>
      <c r="F120" s="25" t="s">
        <v>8395</v>
      </c>
      <c r="G120" s="25" t="s">
        <v>8396</v>
      </c>
      <c r="H120" s="25" t="s">
        <v>8399</v>
      </c>
      <c r="I120" s="25" t="s">
        <v>1162</v>
      </c>
      <c r="J120" s="25" t="s">
        <v>724</v>
      </c>
      <c r="K120" s="25" t="n">
        <v>13</v>
      </c>
      <c r="L120" s="25" t="str">
        <f aca="false">IF(K120&gt;0,"Yes","No")</f>
        <v>Yes</v>
      </c>
    </row>
    <row r="121" customFormat="false" ht="15" hidden="false" customHeight="false" outlineLevel="0" collapsed="false">
      <c r="A121" s="25" t="s">
        <v>6532</v>
      </c>
      <c r="B121" s="25" t="s">
        <v>8392</v>
      </c>
      <c r="C121" s="25" t="s">
        <v>8393</v>
      </c>
      <c r="D121" s="25" t="n">
        <v>9</v>
      </c>
      <c r="E121" s="25" t="s">
        <v>8394</v>
      </c>
      <c r="F121" s="25" t="s">
        <v>8395</v>
      </c>
      <c r="G121" s="25" t="s">
        <v>8396</v>
      </c>
      <c r="H121" s="25" t="s">
        <v>8403</v>
      </c>
      <c r="I121" s="25" t="s">
        <v>6534</v>
      </c>
      <c r="J121" s="25" t="s">
        <v>6533</v>
      </c>
      <c r="K121" s="25" t="n">
        <v>12</v>
      </c>
      <c r="L121" s="25" t="str">
        <f aca="false">IF(K121&gt;0,"Yes","No")</f>
        <v>Yes</v>
      </c>
    </row>
    <row r="122" customFormat="false" ht="15" hidden="false" customHeight="false" outlineLevel="0" collapsed="false">
      <c r="A122" s="25" t="s">
        <v>4495</v>
      </c>
      <c r="B122" s="25" t="s">
        <v>8392</v>
      </c>
      <c r="C122" s="25" t="s">
        <v>8393</v>
      </c>
      <c r="D122" s="25" t="n">
        <v>9</v>
      </c>
      <c r="E122" s="25" t="s">
        <v>8394</v>
      </c>
      <c r="F122" s="25" t="s">
        <v>8395</v>
      </c>
      <c r="G122" s="25" t="s">
        <v>8396</v>
      </c>
      <c r="H122" s="25" t="s">
        <v>8397</v>
      </c>
      <c r="I122" s="25" t="s">
        <v>4497</v>
      </c>
      <c r="J122" s="25" t="s">
        <v>4496</v>
      </c>
      <c r="K122" s="25" t="n">
        <v>12</v>
      </c>
      <c r="L122" s="25" t="str">
        <f aca="false">IF(K122&gt;0,"Yes","No")</f>
        <v>Yes</v>
      </c>
    </row>
    <row r="123" customFormat="false" ht="15" hidden="false" customHeight="false" outlineLevel="0" collapsed="false">
      <c r="A123" s="25" t="s">
        <v>5398</v>
      </c>
      <c r="B123" s="25" t="s">
        <v>8392</v>
      </c>
      <c r="C123" s="25" t="s">
        <v>8393</v>
      </c>
      <c r="D123" s="25" t="n">
        <v>9</v>
      </c>
      <c r="E123" s="25" t="s">
        <v>8394</v>
      </c>
      <c r="F123" s="25" t="s">
        <v>8395</v>
      </c>
      <c r="G123" s="25" t="s">
        <v>8396</v>
      </c>
      <c r="H123" s="25" t="s">
        <v>8397</v>
      </c>
      <c r="I123" s="25" t="s">
        <v>5400</v>
      </c>
      <c r="J123" s="25" t="s">
        <v>5399</v>
      </c>
      <c r="K123" s="25" t="n">
        <v>12</v>
      </c>
      <c r="L123" s="25" t="str">
        <f aca="false">IF(K123&gt;0,"Yes","No")</f>
        <v>Yes</v>
      </c>
    </row>
    <row r="124" customFormat="false" ht="15" hidden="false" customHeight="false" outlineLevel="0" collapsed="false">
      <c r="A124" s="25" t="s">
        <v>1336</v>
      </c>
      <c r="B124" s="25" t="s">
        <v>8392</v>
      </c>
      <c r="C124" s="25" t="s">
        <v>8393</v>
      </c>
      <c r="D124" s="25" t="n">
        <v>9</v>
      </c>
      <c r="E124" s="25" t="s">
        <v>8394</v>
      </c>
      <c r="F124" s="25" t="s">
        <v>8395</v>
      </c>
      <c r="G124" s="25" t="s">
        <v>8396</v>
      </c>
      <c r="H124" s="25" t="s">
        <v>8404</v>
      </c>
      <c r="I124" s="25" t="s">
        <v>1338</v>
      </c>
      <c r="J124" s="25" t="s">
        <v>1337</v>
      </c>
      <c r="K124" s="25" t="n">
        <v>12</v>
      </c>
      <c r="L124" s="25" t="str">
        <f aca="false">IF(K124&gt;0,"Yes","No")</f>
        <v>Yes</v>
      </c>
    </row>
    <row r="125" customFormat="false" ht="15" hidden="false" customHeight="false" outlineLevel="0" collapsed="false">
      <c r="A125" s="25" t="s">
        <v>4690</v>
      </c>
      <c r="B125" s="25" t="s">
        <v>8392</v>
      </c>
      <c r="C125" s="25" t="s">
        <v>8393</v>
      </c>
      <c r="D125" s="25" t="n">
        <v>9</v>
      </c>
      <c r="E125" s="25" t="s">
        <v>8394</v>
      </c>
      <c r="F125" s="25" t="s">
        <v>8395</v>
      </c>
      <c r="G125" s="25" t="s">
        <v>8396</v>
      </c>
      <c r="H125" s="25" t="s">
        <v>8404</v>
      </c>
      <c r="I125" s="25" t="s">
        <v>4692</v>
      </c>
      <c r="J125" s="25" t="s">
        <v>4691</v>
      </c>
      <c r="K125" s="25" t="n">
        <v>12</v>
      </c>
      <c r="L125" s="25" t="str">
        <f aca="false">IF(K125&gt;0,"Yes","No")</f>
        <v>Yes</v>
      </c>
    </row>
    <row r="126" customFormat="false" ht="15" hidden="false" customHeight="false" outlineLevel="0" collapsed="false">
      <c r="A126" s="25" t="s">
        <v>2018</v>
      </c>
      <c r="B126" s="25" t="s">
        <v>8392</v>
      </c>
      <c r="C126" s="25" t="s">
        <v>8393</v>
      </c>
      <c r="D126" s="25" t="n">
        <v>9</v>
      </c>
      <c r="E126" s="25" t="s">
        <v>8394</v>
      </c>
      <c r="F126" s="25" t="s">
        <v>8395</v>
      </c>
      <c r="G126" s="25" t="s">
        <v>8398</v>
      </c>
      <c r="H126" s="25"/>
      <c r="I126" s="25" t="s">
        <v>2020</v>
      </c>
      <c r="J126" s="25" t="s">
        <v>2019</v>
      </c>
      <c r="K126" s="25" t="n">
        <v>12</v>
      </c>
      <c r="L126" s="25" t="str">
        <f aca="false">IF(K126&gt;0,"Yes","No")</f>
        <v>Yes</v>
      </c>
    </row>
    <row r="127" customFormat="false" ht="15" hidden="false" customHeight="false" outlineLevel="0" collapsed="false">
      <c r="A127" s="25" t="s">
        <v>2025</v>
      </c>
      <c r="B127" s="25" t="s">
        <v>8392</v>
      </c>
      <c r="C127" s="25" t="s">
        <v>8393</v>
      </c>
      <c r="D127" s="25" t="n">
        <v>9</v>
      </c>
      <c r="E127" s="25" t="s">
        <v>8394</v>
      </c>
      <c r="F127" s="25" t="s">
        <v>8395</v>
      </c>
      <c r="G127" s="25" t="s">
        <v>8396</v>
      </c>
      <c r="H127" s="25" t="s">
        <v>8397</v>
      </c>
      <c r="I127" s="25" t="s">
        <v>601</v>
      </c>
      <c r="J127" s="25" t="s">
        <v>2026</v>
      </c>
      <c r="K127" s="25" t="n">
        <v>12</v>
      </c>
      <c r="L127" s="25" t="str">
        <f aca="false">IF(K127&gt;0,"Yes","No")</f>
        <v>Yes</v>
      </c>
    </row>
    <row r="128" customFormat="false" ht="15" hidden="false" customHeight="false" outlineLevel="0" collapsed="false">
      <c r="A128" s="25" t="s">
        <v>1396</v>
      </c>
      <c r="B128" s="25" t="s">
        <v>8392</v>
      </c>
      <c r="C128" s="25" t="s">
        <v>8393</v>
      </c>
      <c r="D128" s="25" t="n">
        <v>9</v>
      </c>
      <c r="E128" s="25" t="s">
        <v>8394</v>
      </c>
      <c r="F128" s="25" t="s">
        <v>8395</v>
      </c>
      <c r="G128" s="25" t="s">
        <v>8396</v>
      </c>
      <c r="H128" s="25" t="s">
        <v>8397</v>
      </c>
      <c r="I128" s="25" t="s">
        <v>1398</v>
      </c>
      <c r="J128" s="25" t="s">
        <v>1397</v>
      </c>
      <c r="K128" s="25" t="n">
        <v>11</v>
      </c>
      <c r="L128" s="25" t="str">
        <f aca="false">IF(K128&gt;0,"Yes","No")</f>
        <v>Yes</v>
      </c>
    </row>
    <row r="129" customFormat="false" ht="15" hidden="false" customHeight="false" outlineLevel="0" collapsed="false">
      <c r="A129" s="25" t="s">
        <v>5620</v>
      </c>
      <c r="B129" s="25" t="s">
        <v>8392</v>
      </c>
      <c r="C129" s="25" t="s">
        <v>8393</v>
      </c>
      <c r="D129" s="25" t="n">
        <v>9</v>
      </c>
      <c r="E129" s="25" t="s">
        <v>8394</v>
      </c>
      <c r="F129" s="25" t="s">
        <v>8395</v>
      </c>
      <c r="G129" s="25" t="s">
        <v>8396</v>
      </c>
      <c r="H129" s="25" t="s">
        <v>8399</v>
      </c>
      <c r="I129" s="25" t="s">
        <v>5622</v>
      </c>
      <c r="J129" s="25" t="s">
        <v>5621</v>
      </c>
      <c r="K129" s="25" t="n">
        <v>11</v>
      </c>
      <c r="L129" s="25" t="str">
        <f aca="false">IF(K129&gt;0,"Yes","No")</f>
        <v>Yes</v>
      </c>
    </row>
    <row r="130" customFormat="false" ht="15" hidden="false" customHeight="false" outlineLevel="0" collapsed="false">
      <c r="A130" s="25" t="s">
        <v>3101</v>
      </c>
      <c r="B130" s="25" t="s">
        <v>8392</v>
      </c>
      <c r="C130" s="25" t="s">
        <v>8393</v>
      </c>
      <c r="D130" s="25" t="n">
        <v>9</v>
      </c>
      <c r="E130" s="25" t="s">
        <v>8394</v>
      </c>
      <c r="F130" s="25" t="s">
        <v>8395</v>
      </c>
      <c r="G130" s="25" t="s">
        <v>8396</v>
      </c>
      <c r="H130" s="25" t="s">
        <v>8403</v>
      </c>
      <c r="I130" s="25" t="s">
        <v>3103</v>
      </c>
      <c r="J130" s="25" t="s">
        <v>3102</v>
      </c>
      <c r="K130" s="25" t="n">
        <v>11</v>
      </c>
      <c r="L130" s="25" t="str">
        <f aca="false">IF(K130&gt;0,"Yes","No")</f>
        <v>Yes</v>
      </c>
    </row>
    <row r="131" customFormat="false" ht="15" hidden="false" customHeight="false" outlineLevel="0" collapsed="false">
      <c r="A131" s="25" t="s">
        <v>2818</v>
      </c>
      <c r="B131" s="25" t="s">
        <v>8392</v>
      </c>
      <c r="C131" s="25" t="s">
        <v>8393</v>
      </c>
      <c r="D131" s="25" t="n">
        <v>9</v>
      </c>
      <c r="E131" s="25" t="s">
        <v>8394</v>
      </c>
      <c r="F131" s="25" t="s">
        <v>8395</v>
      </c>
      <c r="G131" s="25" t="s">
        <v>8398</v>
      </c>
      <c r="H131" s="25"/>
      <c r="I131" s="25" t="s">
        <v>2820</v>
      </c>
      <c r="J131" s="25" t="s">
        <v>2819</v>
      </c>
      <c r="K131" s="25" t="n">
        <v>11</v>
      </c>
      <c r="L131" s="25" t="str">
        <f aca="false">IF(K131&gt;0,"Yes","No")</f>
        <v>Yes</v>
      </c>
    </row>
    <row r="132" customFormat="false" ht="15" hidden="false" customHeight="false" outlineLevel="0" collapsed="false">
      <c r="A132" s="25" t="s">
        <v>804</v>
      </c>
      <c r="B132" s="25" t="s">
        <v>8392</v>
      </c>
      <c r="C132" s="25" t="s">
        <v>8393</v>
      </c>
      <c r="D132" s="25" t="n">
        <v>9</v>
      </c>
      <c r="E132" s="25" t="s">
        <v>8394</v>
      </c>
      <c r="F132" s="25" t="s">
        <v>8395</v>
      </c>
      <c r="G132" s="25" t="s">
        <v>8396</v>
      </c>
      <c r="H132" s="25" t="s">
        <v>8403</v>
      </c>
      <c r="I132" s="25" t="s">
        <v>806</v>
      </c>
      <c r="J132" s="25" t="s">
        <v>805</v>
      </c>
      <c r="K132" s="25" t="n">
        <v>11</v>
      </c>
      <c r="L132" s="25" t="str">
        <f aca="false">IF(K132&gt;0,"Yes","No")</f>
        <v>Yes</v>
      </c>
    </row>
    <row r="133" customFormat="false" ht="15" hidden="false" customHeight="false" outlineLevel="0" collapsed="false">
      <c r="A133" s="25" t="s">
        <v>5805</v>
      </c>
      <c r="B133" s="25" t="s">
        <v>8392</v>
      </c>
      <c r="C133" s="25" t="s">
        <v>8393</v>
      </c>
      <c r="D133" s="25" t="n">
        <v>9</v>
      </c>
      <c r="E133" s="25" t="s">
        <v>8394</v>
      </c>
      <c r="F133" s="25" t="s">
        <v>8395</v>
      </c>
      <c r="G133" s="25" t="s">
        <v>8402</v>
      </c>
      <c r="H133" s="25" t="s">
        <v>8399</v>
      </c>
      <c r="I133" s="25" t="s">
        <v>5807</v>
      </c>
      <c r="J133" s="25" t="s">
        <v>5806</v>
      </c>
      <c r="K133" s="25" t="n">
        <v>11</v>
      </c>
      <c r="L133" s="25" t="str">
        <f aca="false">IF(K133&gt;0,"Yes","No")</f>
        <v>Yes</v>
      </c>
    </row>
    <row r="134" customFormat="false" ht="15" hidden="false" customHeight="false" outlineLevel="0" collapsed="false">
      <c r="A134" s="25" t="s">
        <v>2031</v>
      </c>
      <c r="B134" s="25" t="s">
        <v>8392</v>
      </c>
      <c r="C134" s="25" t="s">
        <v>8393</v>
      </c>
      <c r="D134" s="25" t="n">
        <v>9</v>
      </c>
      <c r="E134" s="25" t="s">
        <v>8394</v>
      </c>
      <c r="F134" s="25" t="s">
        <v>8395</v>
      </c>
      <c r="G134" s="25" t="s">
        <v>8396</v>
      </c>
      <c r="H134" s="25" t="s">
        <v>8397</v>
      </c>
      <c r="I134" s="25" t="s">
        <v>2033</v>
      </c>
      <c r="J134" s="25" t="s">
        <v>2032</v>
      </c>
      <c r="K134" s="25" t="n">
        <v>11</v>
      </c>
      <c r="L134" s="25" t="str">
        <f aca="false">IF(K134&gt;0,"Yes","No")</f>
        <v>Yes</v>
      </c>
    </row>
    <row r="135" customFormat="false" ht="15" hidden="false" customHeight="false" outlineLevel="0" collapsed="false">
      <c r="A135" s="25" t="s">
        <v>2152</v>
      </c>
      <c r="B135" s="25" t="s">
        <v>8392</v>
      </c>
      <c r="C135" s="25" t="s">
        <v>8393</v>
      </c>
      <c r="D135" s="25" t="n">
        <v>9</v>
      </c>
      <c r="E135" s="25" t="s">
        <v>8394</v>
      </c>
      <c r="F135" s="25" t="s">
        <v>8395</v>
      </c>
      <c r="G135" s="25" t="s">
        <v>8398</v>
      </c>
      <c r="H135" s="25"/>
      <c r="I135" s="25" t="s">
        <v>2020</v>
      </c>
      <c r="J135" s="25" t="s">
        <v>2153</v>
      </c>
      <c r="K135" s="25" t="n">
        <v>10</v>
      </c>
      <c r="L135" s="25" t="str">
        <f aca="false">IF(K135&gt;0,"Yes","No")</f>
        <v>Yes</v>
      </c>
    </row>
    <row r="136" customFormat="false" ht="15" hidden="false" customHeight="false" outlineLevel="0" collapsed="false">
      <c r="A136" s="25" t="s">
        <v>1040</v>
      </c>
      <c r="B136" s="25" t="s">
        <v>8392</v>
      </c>
      <c r="C136" s="25" t="s">
        <v>8393</v>
      </c>
      <c r="D136" s="25" t="n">
        <v>9</v>
      </c>
      <c r="E136" s="25" t="s">
        <v>8394</v>
      </c>
      <c r="F136" s="25" t="s">
        <v>8395</v>
      </c>
      <c r="G136" s="25" t="s">
        <v>8398</v>
      </c>
      <c r="H136" s="25"/>
      <c r="I136" s="25" t="s">
        <v>515</v>
      </c>
      <c r="J136" s="25" t="s">
        <v>1041</v>
      </c>
      <c r="K136" s="25" t="n">
        <v>10</v>
      </c>
      <c r="L136" s="25" t="str">
        <f aca="false">IF(K136&gt;0,"Yes","No")</f>
        <v>Yes</v>
      </c>
    </row>
    <row r="137" customFormat="false" ht="15" hidden="false" customHeight="false" outlineLevel="0" collapsed="false">
      <c r="A137" s="25" t="s">
        <v>4107</v>
      </c>
      <c r="B137" s="25" t="s">
        <v>8392</v>
      </c>
      <c r="C137" s="25" t="s">
        <v>8393</v>
      </c>
      <c r="D137" s="25" t="n">
        <v>9</v>
      </c>
      <c r="E137" s="25" t="s">
        <v>8394</v>
      </c>
      <c r="F137" s="25" t="s">
        <v>8395</v>
      </c>
      <c r="G137" s="25" t="s">
        <v>8396</v>
      </c>
      <c r="H137" s="25" t="s">
        <v>8407</v>
      </c>
      <c r="I137" s="25" t="s">
        <v>4109</v>
      </c>
      <c r="J137" s="25" t="s">
        <v>4108</v>
      </c>
      <c r="K137" s="25" t="n">
        <v>10</v>
      </c>
      <c r="L137" s="25" t="str">
        <f aca="false">IF(K137&gt;0,"Yes","No")</f>
        <v>Yes</v>
      </c>
    </row>
    <row r="138" customFormat="false" ht="15" hidden="false" customHeight="false" outlineLevel="0" collapsed="false">
      <c r="A138" s="25" t="s">
        <v>1192</v>
      </c>
      <c r="B138" s="25" t="s">
        <v>8392</v>
      </c>
      <c r="C138" s="25" t="s">
        <v>8393</v>
      </c>
      <c r="D138" s="25" t="n">
        <v>9</v>
      </c>
      <c r="E138" s="25" t="s">
        <v>8394</v>
      </c>
      <c r="F138" s="25" t="s">
        <v>8395</v>
      </c>
      <c r="G138" s="25" t="s">
        <v>8396</v>
      </c>
      <c r="H138" s="25" t="s">
        <v>8397</v>
      </c>
      <c r="I138" s="25" t="s">
        <v>1194</v>
      </c>
      <c r="J138" s="25" t="s">
        <v>1193</v>
      </c>
      <c r="K138" s="25" t="n">
        <v>10</v>
      </c>
      <c r="L138" s="25" t="str">
        <f aca="false">IF(K138&gt;0,"Yes","No")</f>
        <v>Yes</v>
      </c>
    </row>
    <row r="139" customFormat="false" ht="15" hidden="false" customHeight="false" outlineLevel="0" collapsed="false">
      <c r="A139" s="25" t="s">
        <v>6517</v>
      </c>
      <c r="B139" s="25" t="s">
        <v>8392</v>
      </c>
      <c r="C139" s="25" t="s">
        <v>8393</v>
      </c>
      <c r="D139" s="25" t="n">
        <v>9</v>
      </c>
      <c r="E139" s="25" t="s">
        <v>8394</v>
      </c>
      <c r="F139" s="25" t="s">
        <v>8395</v>
      </c>
      <c r="G139" s="25" t="s">
        <v>8396</v>
      </c>
      <c r="H139" s="25" t="s">
        <v>8403</v>
      </c>
      <c r="I139" s="25" t="s">
        <v>6519</v>
      </c>
      <c r="J139" s="25" t="s">
        <v>6518</v>
      </c>
      <c r="K139" s="25" t="n">
        <v>10</v>
      </c>
      <c r="L139" s="25" t="str">
        <f aca="false">IF(K139&gt;0,"Yes","No")</f>
        <v>Yes</v>
      </c>
    </row>
    <row r="140" customFormat="false" ht="15" hidden="false" customHeight="false" outlineLevel="0" collapsed="false">
      <c r="A140" s="25" t="s">
        <v>1033</v>
      </c>
      <c r="B140" s="25" t="s">
        <v>8392</v>
      </c>
      <c r="C140" s="25" t="s">
        <v>8393</v>
      </c>
      <c r="D140" s="25" t="n">
        <v>9</v>
      </c>
      <c r="E140" s="25" t="s">
        <v>8394</v>
      </c>
      <c r="F140" s="25" t="s">
        <v>8395</v>
      </c>
      <c r="G140" s="25" t="s">
        <v>8396</v>
      </c>
      <c r="H140" s="25" t="s">
        <v>8403</v>
      </c>
      <c r="I140" s="25" t="s">
        <v>1035</v>
      </c>
      <c r="J140" s="25" t="s">
        <v>1034</v>
      </c>
      <c r="K140" s="25" t="n">
        <v>10</v>
      </c>
      <c r="L140" s="25" t="str">
        <f aca="false">IF(K140&gt;0,"Yes","No")</f>
        <v>Yes</v>
      </c>
    </row>
    <row r="141" customFormat="false" ht="15" hidden="false" customHeight="false" outlineLevel="0" collapsed="false">
      <c r="A141" s="25" t="s">
        <v>1653</v>
      </c>
      <c r="B141" s="25" t="s">
        <v>8392</v>
      </c>
      <c r="C141" s="25" t="s">
        <v>8393</v>
      </c>
      <c r="D141" s="25" t="n">
        <v>9</v>
      </c>
      <c r="E141" s="25" t="s">
        <v>8394</v>
      </c>
      <c r="F141" s="25" t="s">
        <v>8395</v>
      </c>
      <c r="G141" s="25" t="s">
        <v>8396</v>
      </c>
      <c r="H141" s="25" t="s">
        <v>8397</v>
      </c>
      <c r="I141" s="25" t="s">
        <v>1655</v>
      </c>
      <c r="J141" s="25" t="s">
        <v>1654</v>
      </c>
      <c r="K141" s="25" t="n">
        <v>10</v>
      </c>
      <c r="L141" s="25" t="str">
        <f aca="false">IF(K141&gt;0,"Yes","No")</f>
        <v>Yes</v>
      </c>
    </row>
    <row r="142" customFormat="false" ht="15" hidden="false" customHeight="false" outlineLevel="0" collapsed="false">
      <c r="A142" s="25" t="s">
        <v>817</v>
      </c>
      <c r="B142" s="25" t="s">
        <v>8392</v>
      </c>
      <c r="C142" s="25" t="s">
        <v>8393</v>
      </c>
      <c r="D142" s="25" t="n">
        <v>9</v>
      </c>
      <c r="E142" s="25" t="s">
        <v>8394</v>
      </c>
      <c r="F142" s="25" t="s">
        <v>8395</v>
      </c>
      <c r="G142" s="25" t="s">
        <v>8396</v>
      </c>
      <c r="H142" s="25" t="s">
        <v>8399</v>
      </c>
      <c r="I142" s="25" t="s">
        <v>819</v>
      </c>
      <c r="J142" s="25" t="s">
        <v>818</v>
      </c>
      <c r="K142" s="25" t="n">
        <v>10</v>
      </c>
      <c r="L142" s="25" t="str">
        <f aca="false">IF(K142&gt;0,"Yes","No")</f>
        <v>Yes</v>
      </c>
    </row>
    <row r="143" customFormat="false" ht="15" hidden="false" customHeight="false" outlineLevel="0" collapsed="false">
      <c r="A143" s="25" t="s">
        <v>1973</v>
      </c>
      <c r="B143" s="25" t="s">
        <v>8392</v>
      </c>
      <c r="C143" s="25" t="s">
        <v>8393</v>
      </c>
      <c r="D143" s="25" t="n">
        <v>9</v>
      </c>
      <c r="E143" s="25" t="s">
        <v>8394</v>
      </c>
      <c r="F143" s="25" t="s">
        <v>8395</v>
      </c>
      <c r="G143" s="25" t="s">
        <v>8396</v>
      </c>
      <c r="H143" s="25" t="s">
        <v>8399</v>
      </c>
      <c r="I143" s="25" t="s">
        <v>1975</v>
      </c>
      <c r="J143" s="25" t="s">
        <v>1974</v>
      </c>
      <c r="K143" s="25" t="n">
        <v>10</v>
      </c>
      <c r="L143" s="25" t="str">
        <f aca="false">IF(K143&gt;0,"Yes","No")</f>
        <v>Yes</v>
      </c>
    </row>
    <row r="144" customFormat="false" ht="15" hidden="false" customHeight="false" outlineLevel="0" collapsed="false">
      <c r="A144" s="25" t="s">
        <v>624</v>
      </c>
      <c r="B144" s="25" t="s">
        <v>8392</v>
      </c>
      <c r="C144" s="25" t="s">
        <v>8393</v>
      </c>
      <c r="D144" s="25" t="n">
        <v>9</v>
      </c>
      <c r="E144" s="25" t="s">
        <v>8394</v>
      </c>
      <c r="F144" s="25" t="s">
        <v>8395</v>
      </c>
      <c r="G144" s="25" t="s">
        <v>8396</v>
      </c>
      <c r="H144" s="25" t="s">
        <v>8399</v>
      </c>
      <c r="I144" s="25" t="s">
        <v>626</v>
      </c>
      <c r="J144" s="25" t="s">
        <v>625</v>
      </c>
      <c r="K144" s="25" t="n">
        <v>10</v>
      </c>
      <c r="L144" s="25" t="str">
        <f aca="false">IF(K144&gt;0,"Yes","No")</f>
        <v>Yes</v>
      </c>
    </row>
    <row r="145" customFormat="false" ht="15" hidden="false" customHeight="false" outlineLevel="0" collapsed="false">
      <c r="A145" s="25" t="s">
        <v>471</v>
      </c>
      <c r="B145" s="25" t="s">
        <v>8392</v>
      </c>
      <c r="C145" s="25" t="s">
        <v>8393</v>
      </c>
      <c r="D145" s="25" t="n">
        <v>9</v>
      </c>
      <c r="E145" s="25" t="s">
        <v>8394</v>
      </c>
      <c r="F145" s="25" t="s">
        <v>8395</v>
      </c>
      <c r="G145" s="25" t="s">
        <v>8396</v>
      </c>
      <c r="H145" s="25" t="s">
        <v>8397</v>
      </c>
      <c r="I145" s="25" t="s">
        <v>473</v>
      </c>
      <c r="J145" s="25" t="s">
        <v>472</v>
      </c>
      <c r="K145" s="25" t="n">
        <v>10</v>
      </c>
      <c r="L145" s="25" t="str">
        <f aca="false">IF(K145&gt;0,"Yes","No")</f>
        <v>Yes</v>
      </c>
    </row>
    <row r="146" customFormat="false" ht="15" hidden="false" customHeight="false" outlineLevel="0" collapsed="false">
      <c r="A146" s="25" t="s">
        <v>1331</v>
      </c>
      <c r="B146" s="25" t="s">
        <v>8392</v>
      </c>
      <c r="C146" s="25" t="s">
        <v>8393</v>
      </c>
      <c r="D146" s="25" t="n">
        <v>9</v>
      </c>
      <c r="E146" s="25" t="s">
        <v>8394</v>
      </c>
      <c r="F146" s="25" t="s">
        <v>8395</v>
      </c>
      <c r="G146" s="25" t="s">
        <v>8396</v>
      </c>
      <c r="H146" s="25" t="s">
        <v>8399</v>
      </c>
      <c r="I146" s="25" t="s">
        <v>1333</v>
      </c>
      <c r="J146" s="25" t="s">
        <v>1332</v>
      </c>
      <c r="K146" s="25" t="n">
        <v>10</v>
      </c>
      <c r="L146" s="25" t="str">
        <f aca="false">IF(K146&gt;0,"Yes","No")</f>
        <v>Yes</v>
      </c>
    </row>
    <row r="147" customFormat="false" ht="15" hidden="false" customHeight="false" outlineLevel="0" collapsed="false">
      <c r="A147" s="25" t="s">
        <v>335</v>
      </c>
      <c r="B147" s="25" t="s">
        <v>8392</v>
      </c>
      <c r="C147" s="25" t="s">
        <v>8393</v>
      </c>
      <c r="D147" s="25" t="n">
        <v>9</v>
      </c>
      <c r="E147" s="25" t="s">
        <v>8394</v>
      </c>
      <c r="F147" s="25" t="s">
        <v>8395</v>
      </c>
      <c r="G147" s="25" t="s">
        <v>8402</v>
      </c>
      <c r="H147" s="25" t="s">
        <v>8403</v>
      </c>
      <c r="I147" s="25" t="s">
        <v>337</v>
      </c>
      <c r="J147" s="25" t="s">
        <v>336</v>
      </c>
      <c r="K147" s="25" t="n">
        <v>10</v>
      </c>
      <c r="L147" s="25" t="str">
        <f aca="false">IF(K147&gt;0,"Yes","No")</f>
        <v>Yes</v>
      </c>
    </row>
    <row r="148" customFormat="false" ht="15" hidden="false" customHeight="false" outlineLevel="0" collapsed="false">
      <c r="A148" s="25" t="s">
        <v>648</v>
      </c>
      <c r="B148" s="25" t="s">
        <v>8392</v>
      </c>
      <c r="C148" s="25" t="s">
        <v>8393</v>
      </c>
      <c r="D148" s="25" t="n">
        <v>9</v>
      </c>
      <c r="E148" s="25" t="s">
        <v>8394</v>
      </c>
      <c r="F148" s="25" t="s">
        <v>8395</v>
      </c>
      <c r="G148" s="25" t="s">
        <v>8402</v>
      </c>
      <c r="H148" s="25" t="s">
        <v>8397</v>
      </c>
      <c r="I148" s="25" t="s">
        <v>650</v>
      </c>
      <c r="J148" s="25" t="s">
        <v>649</v>
      </c>
      <c r="K148" s="25" t="n">
        <v>10</v>
      </c>
      <c r="L148" s="25" t="str">
        <f aca="false">IF(K148&gt;0,"Yes","No")</f>
        <v>Yes</v>
      </c>
    </row>
    <row r="149" customFormat="false" ht="15" hidden="false" customHeight="false" outlineLevel="0" collapsed="false">
      <c r="A149" s="25" t="s">
        <v>4539</v>
      </c>
      <c r="B149" s="25" t="s">
        <v>8392</v>
      </c>
      <c r="C149" s="25" t="s">
        <v>8393</v>
      </c>
      <c r="D149" s="25" t="n">
        <v>9</v>
      </c>
      <c r="E149" s="25" t="s">
        <v>8394</v>
      </c>
      <c r="F149" s="25" t="s">
        <v>8395</v>
      </c>
      <c r="G149" s="25" t="s">
        <v>8396</v>
      </c>
      <c r="H149" s="25" t="s">
        <v>8397</v>
      </c>
      <c r="I149" s="25" t="s">
        <v>4541</v>
      </c>
      <c r="J149" s="25" t="s">
        <v>4540</v>
      </c>
      <c r="K149" s="25" t="n">
        <v>10</v>
      </c>
      <c r="L149" s="25" t="str">
        <f aca="false">IF(K149&gt;0,"Yes","No")</f>
        <v>Yes</v>
      </c>
    </row>
    <row r="150" customFormat="false" ht="15" hidden="false" customHeight="false" outlineLevel="0" collapsed="false">
      <c r="A150" s="25" t="s">
        <v>1648</v>
      </c>
      <c r="B150" s="25" t="s">
        <v>8392</v>
      </c>
      <c r="C150" s="25" t="s">
        <v>8393</v>
      </c>
      <c r="D150" s="25" t="n">
        <v>9</v>
      </c>
      <c r="E150" s="25" t="s">
        <v>8394</v>
      </c>
      <c r="F150" s="25" t="s">
        <v>8395</v>
      </c>
      <c r="G150" s="25" t="s">
        <v>8396</v>
      </c>
      <c r="H150" s="25" t="s">
        <v>8397</v>
      </c>
      <c r="I150" s="25" t="s">
        <v>1650</v>
      </c>
      <c r="J150" s="25" t="s">
        <v>1649</v>
      </c>
      <c r="K150" s="25" t="n">
        <v>9</v>
      </c>
      <c r="L150" s="25" t="str">
        <f aca="false">IF(K150&gt;0,"Yes","No")</f>
        <v>Yes</v>
      </c>
    </row>
    <row r="151" customFormat="false" ht="15" hidden="false" customHeight="false" outlineLevel="0" collapsed="false">
      <c r="A151" s="25" t="s">
        <v>1377</v>
      </c>
      <c r="B151" s="25" t="s">
        <v>8392</v>
      </c>
      <c r="C151" s="25" t="s">
        <v>8393</v>
      </c>
      <c r="D151" s="25" t="n">
        <v>9</v>
      </c>
      <c r="E151" s="25" t="s">
        <v>8394</v>
      </c>
      <c r="F151" s="25" t="s">
        <v>8395</v>
      </c>
      <c r="G151" s="25" t="s">
        <v>8396</v>
      </c>
      <c r="H151" s="25" t="s">
        <v>8397</v>
      </c>
      <c r="I151" s="25" t="s">
        <v>1379</v>
      </c>
      <c r="J151" s="25" t="s">
        <v>1378</v>
      </c>
      <c r="K151" s="25" t="n">
        <v>9</v>
      </c>
      <c r="L151" s="25" t="str">
        <f aca="false">IF(K151&gt;0,"Yes","No")</f>
        <v>Yes</v>
      </c>
    </row>
    <row r="152" customFormat="false" ht="15" hidden="false" customHeight="false" outlineLevel="0" collapsed="false">
      <c r="A152" s="25" t="s">
        <v>3562</v>
      </c>
      <c r="B152" s="25" t="s">
        <v>8392</v>
      </c>
      <c r="C152" s="25" t="s">
        <v>8393</v>
      </c>
      <c r="D152" s="25" t="n">
        <v>9</v>
      </c>
      <c r="E152" s="25" t="s">
        <v>8394</v>
      </c>
      <c r="F152" s="25" t="s">
        <v>8395</v>
      </c>
      <c r="G152" s="25" t="s">
        <v>8396</v>
      </c>
      <c r="H152" s="25" t="s">
        <v>8403</v>
      </c>
      <c r="I152" s="25" t="s">
        <v>3564</v>
      </c>
      <c r="J152" s="25" t="s">
        <v>3563</v>
      </c>
      <c r="K152" s="25" t="n">
        <v>9</v>
      </c>
      <c r="L152" s="25" t="str">
        <f aca="false">IF(K152&gt;0,"Yes","No")</f>
        <v>Yes</v>
      </c>
    </row>
    <row r="153" customFormat="false" ht="15" hidden="false" customHeight="false" outlineLevel="0" collapsed="false">
      <c r="A153" s="25" t="s">
        <v>466</v>
      </c>
      <c r="B153" s="25" t="s">
        <v>8392</v>
      </c>
      <c r="C153" s="25" t="s">
        <v>8393</v>
      </c>
      <c r="D153" s="25" t="n">
        <v>9</v>
      </c>
      <c r="E153" s="25" t="s">
        <v>8394</v>
      </c>
      <c r="F153" s="25" t="s">
        <v>8395</v>
      </c>
      <c r="G153" s="25" t="s">
        <v>8396</v>
      </c>
      <c r="H153" s="25" t="s">
        <v>8397</v>
      </c>
      <c r="I153" s="25" t="s">
        <v>468</v>
      </c>
      <c r="J153" s="25" t="s">
        <v>467</v>
      </c>
      <c r="K153" s="25" t="n">
        <v>9</v>
      </c>
      <c r="L153" s="25" t="str">
        <f aca="false">IF(K153&gt;0,"Yes","No")</f>
        <v>Yes</v>
      </c>
    </row>
    <row r="154" customFormat="false" ht="15" hidden="false" customHeight="false" outlineLevel="0" collapsed="false">
      <c r="A154" s="25" t="s">
        <v>2581</v>
      </c>
      <c r="B154" s="25" t="s">
        <v>8392</v>
      </c>
      <c r="C154" s="25" t="s">
        <v>8393</v>
      </c>
      <c r="D154" s="25" t="n">
        <v>9</v>
      </c>
      <c r="E154" s="25" t="s">
        <v>8394</v>
      </c>
      <c r="F154" s="25" t="s">
        <v>8395</v>
      </c>
      <c r="G154" s="25" t="s">
        <v>8396</v>
      </c>
      <c r="H154" s="25" t="s">
        <v>8397</v>
      </c>
      <c r="I154" s="25" t="s">
        <v>2583</v>
      </c>
      <c r="J154" s="25" t="s">
        <v>2582</v>
      </c>
      <c r="K154" s="25" t="n">
        <v>9</v>
      </c>
      <c r="L154" s="25" t="str">
        <f aca="false">IF(K154&gt;0,"Yes","No")</f>
        <v>Yes</v>
      </c>
    </row>
    <row r="155" customFormat="false" ht="15" hidden="false" customHeight="false" outlineLevel="0" collapsed="false">
      <c r="A155" s="25" t="s">
        <v>373</v>
      </c>
      <c r="B155" s="25" t="s">
        <v>8392</v>
      </c>
      <c r="C155" s="25" t="s">
        <v>8393</v>
      </c>
      <c r="D155" s="25" t="n">
        <v>9</v>
      </c>
      <c r="E155" s="25" t="s">
        <v>8394</v>
      </c>
      <c r="F155" s="25" t="s">
        <v>8395</v>
      </c>
      <c r="G155" s="25" t="s">
        <v>8398</v>
      </c>
      <c r="H155" s="25"/>
      <c r="I155" s="25" t="s">
        <v>375</v>
      </c>
      <c r="J155" s="25" t="s">
        <v>374</v>
      </c>
      <c r="K155" s="25" t="n">
        <v>9</v>
      </c>
      <c r="L155" s="25" t="str">
        <f aca="false">IF(K155&gt;0,"Yes","No")</f>
        <v>Yes</v>
      </c>
    </row>
    <row r="156" customFormat="false" ht="15" hidden="false" customHeight="false" outlineLevel="0" collapsed="false">
      <c r="A156" s="25" t="s">
        <v>5269</v>
      </c>
      <c r="B156" s="25" t="s">
        <v>8392</v>
      </c>
      <c r="C156" s="25" t="s">
        <v>8393</v>
      </c>
      <c r="D156" s="25" t="n">
        <v>9</v>
      </c>
      <c r="E156" s="25" t="s">
        <v>8394</v>
      </c>
      <c r="F156" s="25" t="s">
        <v>8395</v>
      </c>
      <c r="G156" s="25" t="s">
        <v>8396</v>
      </c>
      <c r="H156" s="25" t="s">
        <v>8399</v>
      </c>
      <c r="I156" s="25" t="s">
        <v>5271</v>
      </c>
      <c r="J156" s="25" t="s">
        <v>5270</v>
      </c>
      <c r="K156" s="25" t="n">
        <v>9</v>
      </c>
      <c r="L156" s="25" t="str">
        <f aca="false">IF(K156&gt;0,"Yes","No")</f>
        <v>Yes</v>
      </c>
    </row>
    <row r="157" customFormat="false" ht="15" hidden="false" customHeight="false" outlineLevel="0" collapsed="false">
      <c r="A157" s="25" t="s">
        <v>6247</v>
      </c>
      <c r="B157" s="25" t="s">
        <v>8392</v>
      </c>
      <c r="C157" s="25" t="s">
        <v>8393</v>
      </c>
      <c r="D157" s="25" t="n">
        <v>9</v>
      </c>
      <c r="E157" s="25" t="s">
        <v>8394</v>
      </c>
      <c r="F157" s="25" t="s">
        <v>8395</v>
      </c>
      <c r="G157" s="25" t="s">
        <v>8396</v>
      </c>
      <c r="H157" s="25" t="s">
        <v>8399</v>
      </c>
      <c r="I157" s="25" t="s">
        <v>659</v>
      </c>
      <c r="J157" s="25" t="s">
        <v>6248</v>
      </c>
      <c r="K157" s="25" t="n">
        <v>8</v>
      </c>
      <c r="L157" s="25" t="str">
        <f aca="false">IF(K157&gt;0,"Yes","No")</f>
        <v>Yes</v>
      </c>
    </row>
    <row r="158" customFormat="false" ht="15" hidden="false" customHeight="false" outlineLevel="0" collapsed="false">
      <c r="A158" s="25" t="s">
        <v>5639</v>
      </c>
      <c r="B158" s="25" t="s">
        <v>8392</v>
      </c>
      <c r="C158" s="25" t="s">
        <v>8393</v>
      </c>
      <c r="D158" s="25" t="n">
        <v>9</v>
      </c>
      <c r="E158" s="25" t="s">
        <v>8394</v>
      </c>
      <c r="F158" s="25" t="s">
        <v>8395</v>
      </c>
      <c r="G158" s="25" t="s">
        <v>8398</v>
      </c>
      <c r="H158" s="25"/>
      <c r="I158" s="25" t="s">
        <v>5641</v>
      </c>
      <c r="J158" s="25" t="s">
        <v>5640</v>
      </c>
      <c r="K158" s="25" t="n">
        <v>8</v>
      </c>
      <c r="L158" s="25" t="str">
        <f aca="false">IF(K158&gt;0,"Yes","No")</f>
        <v>Yes</v>
      </c>
    </row>
    <row r="159" customFormat="false" ht="15" hidden="false" customHeight="false" outlineLevel="0" collapsed="false">
      <c r="A159" s="25" t="s">
        <v>2988</v>
      </c>
      <c r="B159" s="25" t="s">
        <v>8392</v>
      </c>
      <c r="C159" s="25" t="s">
        <v>8393</v>
      </c>
      <c r="D159" s="25" t="n">
        <v>9</v>
      </c>
      <c r="E159" s="25" t="s">
        <v>8394</v>
      </c>
      <c r="F159" s="25" t="s">
        <v>8395</v>
      </c>
      <c r="G159" s="25" t="s">
        <v>8396</v>
      </c>
      <c r="H159" s="25" t="s">
        <v>8403</v>
      </c>
      <c r="I159" s="25" t="s">
        <v>2990</v>
      </c>
      <c r="J159" s="25" t="s">
        <v>2989</v>
      </c>
      <c r="K159" s="25" t="n">
        <v>8</v>
      </c>
      <c r="L159" s="25" t="str">
        <f aca="false">IF(K159&gt;0,"Yes","No")</f>
        <v>Yes</v>
      </c>
    </row>
    <row r="160" customFormat="false" ht="15" hidden="false" customHeight="false" outlineLevel="0" collapsed="false">
      <c r="A160" s="25" t="s">
        <v>4188</v>
      </c>
      <c r="B160" s="25" t="s">
        <v>8392</v>
      </c>
      <c r="C160" s="25" t="s">
        <v>8393</v>
      </c>
      <c r="D160" s="25" t="n">
        <v>9</v>
      </c>
      <c r="E160" s="25" t="s">
        <v>8394</v>
      </c>
      <c r="F160" s="25" t="s">
        <v>8395</v>
      </c>
      <c r="G160" s="25" t="s">
        <v>8396</v>
      </c>
      <c r="H160" s="25" t="s">
        <v>8397</v>
      </c>
      <c r="I160" s="25" t="s">
        <v>1719</v>
      </c>
      <c r="J160" s="25" t="s">
        <v>4189</v>
      </c>
      <c r="K160" s="25" t="n">
        <v>8</v>
      </c>
      <c r="L160" s="25" t="str">
        <f aca="false">IF(K160&gt;0,"Yes","No")</f>
        <v>Yes</v>
      </c>
    </row>
    <row r="161" customFormat="false" ht="15" hidden="false" customHeight="false" outlineLevel="0" collapsed="false">
      <c r="A161" s="25" t="s">
        <v>1498</v>
      </c>
      <c r="B161" s="25" t="s">
        <v>8392</v>
      </c>
      <c r="C161" s="25" t="s">
        <v>8393</v>
      </c>
      <c r="D161" s="25" t="n">
        <v>9</v>
      </c>
      <c r="E161" s="25" t="s">
        <v>8394</v>
      </c>
      <c r="F161" s="25" t="s">
        <v>8395</v>
      </c>
      <c r="G161" s="25" t="s">
        <v>8396</v>
      </c>
      <c r="H161" s="25" t="s">
        <v>8397</v>
      </c>
      <c r="I161" s="25" t="s">
        <v>1500</v>
      </c>
      <c r="J161" s="25" t="s">
        <v>1499</v>
      </c>
      <c r="K161" s="25" t="n">
        <v>8</v>
      </c>
      <c r="L161" s="25" t="str">
        <f aca="false">IF(K161&gt;0,"Yes","No")</f>
        <v>Yes</v>
      </c>
    </row>
    <row r="162" customFormat="false" ht="15" hidden="false" customHeight="false" outlineLevel="0" collapsed="false">
      <c r="A162" s="25" t="s">
        <v>5980</v>
      </c>
      <c r="B162" s="25" t="s">
        <v>8392</v>
      </c>
      <c r="C162" s="25" t="s">
        <v>8393</v>
      </c>
      <c r="D162" s="25" t="n">
        <v>9</v>
      </c>
      <c r="E162" s="25" t="s">
        <v>8394</v>
      </c>
      <c r="F162" s="25" t="s">
        <v>8395</v>
      </c>
      <c r="G162" s="25" t="s">
        <v>8396</v>
      </c>
      <c r="H162" s="25" t="s">
        <v>8404</v>
      </c>
      <c r="I162" s="25" t="s">
        <v>5982</v>
      </c>
      <c r="J162" s="25" t="s">
        <v>5981</v>
      </c>
      <c r="K162" s="25" t="n">
        <v>8</v>
      </c>
      <c r="L162" s="25" t="str">
        <f aca="false">IF(K162&gt;0,"Yes","No")</f>
        <v>Yes</v>
      </c>
    </row>
    <row r="163" customFormat="false" ht="15" hidden="false" customHeight="false" outlineLevel="0" collapsed="false">
      <c r="A163" s="25" t="s">
        <v>5818</v>
      </c>
      <c r="B163" s="25" t="s">
        <v>8392</v>
      </c>
      <c r="C163" s="25" t="s">
        <v>8393</v>
      </c>
      <c r="D163" s="25" t="n">
        <v>9</v>
      </c>
      <c r="E163" s="25" t="s">
        <v>8394</v>
      </c>
      <c r="F163" s="25" t="s">
        <v>8395</v>
      </c>
      <c r="G163" s="25" t="s">
        <v>8396</v>
      </c>
      <c r="H163" s="25" t="s">
        <v>8399</v>
      </c>
      <c r="I163" s="25" t="s">
        <v>5820</v>
      </c>
      <c r="J163" s="25" t="s">
        <v>5819</v>
      </c>
      <c r="K163" s="25" t="n">
        <v>8</v>
      </c>
      <c r="L163" s="25" t="str">
        <f aca="false">IF(K163&gt;0,"Yes","No")</f>
        <v>Yes</v>
      </c>
    </row>
    <row r="164" customFormat="false" ht="15" hidden="false" customHeight="false" outlineLevel="0" collapsed="false">
      <c r="A164" s="25" t="s">
        <v>2478</v>
      </c>
      <c r="B164" s="25" t="s">
        <v>8392</v>
      </c>
      <c r="C164" s="25" t="s">
        <v>8393</v>
      </c>
      <c r="D164" s="25" t="n">
        <v>9</v>
      </c>
      <c r="E164" s="25" t="s">
        <v>8394</v>
      </c>
      <c r="F164" s="25" t="s">
        <v>8395</v>
      </c>
      <c r="G164" s="25" t="s">
        <v>8396</v>
      </c>
      <c r="H164" s="25" t="s">
        <v>8399</v>
      </c>
      <c r="I164" s="25" t="s">
        <v>659</v>
      </c>
      <c r="J164" s="25" t="s">
        <v>2479</v>
      </c>
      <c r="K164" s="25" t="n">
        <v>8</v>
      </c>
      <c r="L164" s="25" t="str">
        <f aca="false">IF(K164&gt;0,"Yes","No")</f>
        <v>Yes</v>
      </c>
    </row>
    <row r="165" customFormat="false" ht="15" hidden="false" customHeight="false" outlineLevel="0" collapsed="false">
      <c r="A165" s="25" t="s">
        <v>5439</v>
      </c>
      <c r="B165" s="25" t="s">
        <v>8392</v>
      </c>
      <c r="C165" s="25" t="s">
        <v>8393</v>
      </c>
      <c r="D165" s="25" t="n">
        <v>9</v>
      </c>
      <c r="E165" s="25" t="s">
        <v>8394</v>
      </c>
      <c r="F165" s="25" t="s">
        <v>8395</v>
      </c>
      <c r="G165" s="25" t="s">
        <v>8396</v>
      </c>
      <c r="H165" s="25" t="s">
        <v>8399</v>
      </c>
      <c r="I165" s="25" t="s">
        <v>5441</v>
      </c>
      <c r="J165" s="25" t="s">
        <v>5440</v>
      </c>
      <c r="K165" s="25" t="n">
        <v>7</v>
      </c>
      <c r="L165" s="25" t="str">
        <f aca="false">IF(K165&gt;0,"Yes","No")</f>
        <v>Yes</v>
      </c>
    </row>
    <row r="166" customFormat="false" ht="15" hidden="false" customHeight="false" outlineLevel="0" collapsed="false">
      <c r="A166" s="25" t="s">
        <v>4300</v>
      </c>
      <c r="B166" s="25" t="s">
        <v>8392</v>
      </c>
      <c r="C166" s="25" t="s">
        <v>8393</v>
      </c>
      <c r="D166" s="25" t="n">
        <v>9</v>
      </c>
      <c r="E166" s="25" t="s">
        <v>8394</v>
      </c>
      <c r="F166" s="25" t="s">
        <v>8395</v>
      </c>
      <c r="G166" s="25" t="s">
        <v>8396</v>
      </c>
      <c r="H166" s="25" t="s">
        <v>8397</v>
      </c>
      <c r="I166" s="25" t="s">
        <v>4302</v>
      </c>
      <c r="J166" s="25" t="s">
        <v>4301</v>
      </c>
      <c r="K166" s="25" t="n">
        <v>7</v>
      </c>
      <c r="L166" s="25" t="str">
        <f aca="false">IF(K166&gt;0,"Yes","No")</f>
        <v>Yes</v>
      </c>
    </row>
    <row r="167" customFormat="false" ht="15" hidden="false" customHeight="false" outlineLevel="0" collapsed="false">
      <c r="A167" s="25" t="s">
        <v>1429</v>
      </c>
      <c r="B167" s="25" t="s">
        <v>8392</v>
      </c>
      <c r="C167" s="25" t="s">
        <v>8393</v>
      </c>
      <c r="D167" s="25" t="n">
        <v>9</v>
      </c>
      <c r="E167" s="25" t="s">
        <v>8394</v>
      </c>
      <c r="F167" s="25" t="s">
        <v>8395</v>
      </c>
      <c r="G167" s="25" t="s">
        <v>8402</v>
      </c>
      <c r="H167" s="25" t="s">
        <v>8397</v>
      </c>
      <c r="I167" s="25" t="s">
        <v>1431</v>
      </c>
      <c r="J167" s="25" t="s">
        <v>1430</v>
      </c>
      <c r="K167" s="25" t="n">
        <v>7</v>
      </c>
      <c r="L167" s="25" t="str">
        <f aca="false">IF(K167&gt;0,"Yes","No")</f>
        <v>Yes</v>
      </c>
    </row>
    <row r="168" customFormat="false" ht="15" hidden="false" customHeight="false" outlineLevel="0" collapsed="false">
      <c r="A168" s="25" t="s">
        <v>306</v>
      </c>
      <c r="B168" s="25" t="s">
        <v>8392</v>
      </c>
      <c r="C168" s="25" t="s">
        <v>8393</v>
      </c>
      <c r="D168" s="25" t="n">
        <v>9</v>
      </c>
      <c r="E168" s="25" t="s">
        <v>8394</v>
      </c>
      <c r="F168" s="25" t="s">
        <v>8395</v>
      </c>
      <c r="G168" s="25" t="s">
        <v>8400</v>
      </c>
      <c r="H168" s="25"/>
      <c r="I168" s="25" t="s">
        <v>250</v>
      </c>
      <c r="J168" s="25" t="s">
        <v>307</v>
      </c>
      <c r="K168" s="25" t="n">
        <v>7</v>
      </c>
      <c r="L168" s="25" t="str">
        <f aca="false">IF(K168&gt;0,"Yes","No")</f>
        <v>Yes</v>
      </c>
    </row>
    <row r="169" customFormat="false" ht="15" hidden="false" customHeight="false" outlineLevel="0" collapsed="false">
      <c r="A169" s="25" t="s">
        <v>248</v>
      </c>
      <c r="B169" s="25" t="s">
        <v>8392</v>
      </c>
      <c r="C169" s="25" t="s">
        <v>8393</v>
      </c>
      <c r="D169" s="25" t="n">
        <v>9</v>
      </c>
      <c r="E169" s="25" t="s">
        <v>8394</v>
      </c>
      <c r="F169" s="25" t="s">
        <v>8395</v>
      </c>
      <c r="G169" s="25" t="s">
        <v>8400</v>
      </c>
      <c r="H169" s="25"/>
      <c r="I169" s="25" t="s">
        <v>250</v>
      </c>
      <c r="J169" s="25" t="s">
        <v>249</v>
      </c>
      <c r="K169" s="25" t="n">
        <v>7</v>
      </c>
      <c r="L169" s="25" t="str">
        <f aca="false">IF(K169&gt;0,"Yes","No")</f>
        <v>Yes</v>
      </c>
    </row>
    <row r="170" customFormat="false" ht="15" hidden="false" customHeight="false" outlineLevel="0" collapsed="false">
      <c r="A170" s="25" t="s">
        <v>380</v>
      </c>
      <c r="B170" s="25" t="s">
        <v>8392</v>
      </c>
      <c r="C170" s="25" t="s">
        <v>8393</v>
      </c>
      <c r="D170" s="25" t="n">
        <v>9</v>
      </c>
      <c r="E170" s="25" t="s">
        <v>8394</v>
      </c>
      <c r="F170" s="25" t="s">
        <v>8395</v>
      </c>
      <c r="G170" s="25" t="s">
        <v>8402</v>
      </c>
      <c r="H170" s="25" t="s">
        <v>8397</v>
      </c>
      <c r="I170" s="25" t="s">
        <v>382</v>
      </c>
      <c r="J170" s="25" t="s">
        <v>381</v>
      </c>
      <c r="K170" s="25" t="n">
        <v>7</v>
      </c>
      <c r="L170" s="25" t="str">
        <f aca="false">IF(K170&gt;0,"Yes","No")</f>
        <v>Yes</v>
      </c>
    </row>
    <row r="171" customFormat="false" ht="15" hidden="false" customHeight="false" outlineLevel="0" collapsed="false">
      <c r="A171" s="25" t="s">
        <v>2868</v>
      </c>
      <c r="B171" s="25" t="s">
        <v>8392</v>
      </c>
      <c r="C171" s="25" t="s">
        <v>8393</v>
      </c>
      <c r="D171" s="25" t="n">
        <v>9</v>
      </c>
      <c r="E171" s="25" t="s">
        <v>8394</v>
      </c>
      <c r="F171" s="25" t="s">
        <v>8395</v>
      </c>
      <c r="G171" s="25" t="s">
        <v>8398</v>
      </c>
      <c r="H171" s="25"/>
      <c r="I171" s="25" t="s">
        <v>775</v>
      </c>
      <c r="J171" s="25" t="s">
        <v>2869</v>
      </c>
      <c r="K171" s="25" t="n">
        <v>7</v>
      </c>
      <c r="L171" s="25" t="str">
        <f aca="false">IF(K171&gt;0,"Yes","No")</f>
        <v>Yes</v>
      </c>
    </row>
    <row r="172" customFormat="false" ht="15" hidden="false" customHeight="false" outlineLevel="0" collapsed="false">
      <c r="A172" s="25" t="s">
        <v>7305</v>
      </c>
      <c r="B172" s="25" t="s">
        <v>8392</v>
      </c>
      <c r="C172" s="25" t="s">
        <v>8393</v>
      </c>
      <c r="D172" s="25" t="n">
        <v>9</v>
      </c>
      <c r="E172" s="25" t="s">
        <v>8394</v>
      </c>
      <c r="F172" s="25" t="s">
        <v>8395</v>
      </c>
      <c r="G172" s="25" t="s">
        <v>8398</v>
      </c>
      <c r="H172" s="25"/>
      <c r="I172" s="25" t="s">
        <v>7307</v>
      </c>
      <c r="J172" s="25" t="s">
        <v>7306</v>
      </c>
      <c r="K172" s="25" t="n">
        <v>6</v>
      </c>
      <c r="L172" s="25" t="str">
        <f aca="false">IF(K172&gt;0,"Yes","No")</f>
        <v>Yes</v>
      </c>
    </row>
    <row r="173" customFormat="false" ht="15" hidden="false" customHeight="false" outlineLevel="0" collapsed="false">
      <c r="A173" s="25" t="s">
        <v>2924</v>
      </c>
      <c r="B173" s="25" t="s">
        <v>8392</v>
      </c>
      <c r="C173" s="25" t="s">
        <v>8393</v>
      </c>
      <c r="D173" s="25" t="n">
        <v>9</v>
      </c>
      <c r="E173" s="25" t="s">
        <v>8394</v>
      </c>
      <c r="F173" s="25" t="s">
        <v>8395</v>
      </c>
      <c r="G173" s="25" t="s">
        <v>8398</v>
      </c>
      <c r="H173" s="25"/>
      <c r="I173" s="25" t="s">
        <v>515</v>
      </c>
      <c r="J173" s="25" t="s">
        <v>2925</v>
      </c>
      <c r="K173" s="25" t="n">
        <v>6</v>
      </c>
      <c r="L173" s="25" t="str">
        <f aca="false">IF(K173&gt;0,"Yes","No")</f>
        <v>Yes</v>
      </c>
    </row>
    <row r="174" customFormat="false" ht="15" hidden="false" customHeight="false" outlineLevel="0" collapsed="false">
      <c r="A174" s="25" t="s">
        <v>7885</v>
      </c>
      <c r="B174" s="25" t="s">
        <v>8392</v>
      </c>
      <c r="C174" s="25" t="s">
        <v>8393</v>
      </c>
      <c r="D174" s="25" t="n">
        <v>9</v>
      </c>
      <c r="E174" s="25" t="s">
        <v>8394</v>
      </c>
      <c r="F174" s="25" t="s">
        <v>8395</v>
      </c>
      <c r="G174" s="25" t="s">
        <v>8396</v>
      </c>
      <c r="H174" s="25" t="s">
        <v>8403</v>
      </c>
      <c r="I174" s="25" t="s">
        <v>7887</v>
      </c>
      <c r="J174" s="25" t="s">
        <v>7886</v>
      </c>
      <c r="K174" s="25" t="n">
        <v>6</v>
      </c>
      <c r="L174" s="25" t="str">
        <f aca="false">IF(K174&gt;0,"Yes","No")</f>
        <v>Yes</v>
      </c>
    </row>
    <row r="175" customFormat="false" ht="15" hidden="false" customHeight="false" outlineLevel="0" collapsed="false">
      <c r="A175" s="25" t="s">
        <v>1357</v>
      </c>
      <c r="B175" s="25" t="s">
        <v>8392</v>
      </c>
      <c r="C175" s="25" t="s">
        <v>8393</v>
      </c>
      <c r="D175" s="25" t="n">
        <v>9</v>
      </c>
      <c r="E175" s="25" t="s">
        <v>8394</v>
      </c>
      <c r="F175" s="25" t="s">
        <v>8395</v>
      </c>
      <c r="G175" s="25" t="s">
        <v>8398</v>
      </c>
      <c r="H175" s="25"/>
      <c r="I175" s="25" t="s">
        <v>1359</v>
      </c>
      <c r="J175" s="25" t="s">
        <v>1358</v>
      </c>
      <c r="K175" s="25" t="n">
        <v>6</v>
      </c>
      <c r="L175" s="25" t="str">
        <f aca="false">IF(K175&gt;0,"Yes","No")</f>
        <v>Yes</v>
      </c>
    </row>
    <row r="176" customFormat="false" ht="15" hidden="false" customHeight="false" outlineLevel="0" collapsed="false">
      <c r="A176" s="25" t="s">
        <v>4072</v>
      </c>
      <c r="B176" s="25" t="s">
        <v>8392</v>
      </c>
      <c r="C176" s="25" t="s">
        <v>8393</v>
      </c>
      <c r="D176" s="25" t="n">
        <v>9</v>
      </c>
      <c r="E176" s="25" t="s">
        <v>8394</v>
      </c>
      <c r="F176" s="25" t="s">
        <v>8395</v>
      </c>
      <c r="G176" s="25" t="s">
        <v>8396</v>
      </c>
      <c r="H176" s="25" t="s">
        <v>8397</v>
      </c>
      <c r="I176" s="25" t="s">
        <v>4074</v>
      </c>
      <c r="J176" s="25" t="s">
        <v>4073</v>
      </c>
      <c r="K176" s="25" t="n">
        <v>6</v>
      </c>
      <c r="L176" s="25" t="str">
        <f aca="false">IF(K176&gt;0,"Yes","No")</f>
        <v>Yes</v>
      </c>
    </row>
    <row r="177" customFormat="false" ht="15" hidden="false" customHeight="false" outlineLevel="0" collapsed="false">
      <c r="A177" s="25" t="s">
        <v>266</v>
      </c>
      <c r="B177" s="25" t="s">
        <v>8392</v>
      </c>
      <c r="C177" s="25" t="s">
        <v>8393</v>
      </c>
      <c r="D177" s="25" t="n">
        <v>9</v>
      </c>
      <c r="E177" s="25" t="s">
        <v>8394</v>
      </c>
      <c r="F177" s="25" t="s">
        <v>8395</v>
      </c>
      <c r="G177" s="25" t="s">
        <v>8396</v>
      </c>
      <c r="H177" s="25" t="s">
        <v>8399</v>
      </c>
      <c r="I177" s="25" t="s">
        <v>268</v>
      </c>
      <c r="J177" s="25" t="s">
        <v>267</v>
      </c>
      <c r="K177" s="25" t="n">
        <v>6</v>
      </c>
      <c r="L177" s="25" t="str">
        <f aca="false">IF(K177&gt;0,"Yes","No")</f>
        <v>Yes</v>
      </c>
    </row>
    <row r="178" customFormat="false" ht="15" hidden="false" customHeight="false" outlineLevel="0" collapsed="false">
      <c r="A178" s="25" t="s">
        <v>1152</v>
      </c>
      <c r="B178" s="25" t="s">
        <v>8392</v>
      </c>
      <c r="C178" s="25" t="s">
        <v>8393</v>
      </c>
      <c r="D178" s="25" t="n">
        <v>9</v>
      </c>
      <c r="E178" s="25" t="s">
        <v>8394</v>
      </c>
      <c r="F178" s="25" t="s">
        <v>8395</v>
      </c>
      <c r="G178" s="25" t="s">
        <v>8396</v>
      </c>
      <c r="H178" s="25" t="s">
        <v>8399</v>
      </c>
      <c r="I178" s="25" t="s">
        <v>1154</v>
      </c>
      <c r="J178" s="25" t="s">
        <v>1153</v>
      </c>
      <c r="K178" s="25" t="n">
        <v>6</v>
      </c>
      <c r="L178" s="25" t="str">
        <f aca="false">IF(K178&gt;0,"Yes","No")</f>
        <v>Yes</v>
      </c>
    </row>
    <row r="179" customFormat="false" ht="15" hidden="false" customHeight="false" outlineLevel="0" collapsed="false">
      <c r="A179" s="25" t="s">
        <v>406</v>
      </c>
      <c r="B179" s="25" t="s">
        <v>8392</v>
      </c>
      <c r="C179" s="25" t="s">
        <v>8393</v>
      </c>
      <c r="D179" s="25" t="n">
        <v>9</v>
      </c>
      <c r="E179" s="25" t="s">
        <v>8394</v>
      </c>
      <c r="F179" s="25" t="s">
        <v>8395</v>
      </c>
      <c r="G179" s="25" t="s">
        <v>8398</v>
      </c>
      <c r="H179" s="25"/>
      <c r="I179" s="25" t="s">
        <v>407</v>
      </c>
      <c r="J179" s="25" t="s">
        <v>381</v>
      </c>
      <c r="K179" s="25" t="n">
        <v>6</v>
      </c>
      <c r="L179" s="25" t="str">
        <f aca="false">IF(K179&gt;0,"Yes","No")</f>
        <v>Yes</v>
      </c>
    </row>
    <row r="180" customFormat="false" ht="15" hidden="false" customHeight="false" outlineLevel="0" collapsed="false">
      <c r="A180" s="25" t="s">
        <v>2013</v>
      </c>
      <c r="B180" s="25" t="s">
        <v>8392</v>
      </c>
      <c r="C180" s="25" t="s">
        <v>8393</v>
      </c>
      <c r="D180" s="25" t="n">
        <v>9</v>
      </c>
      <c r="E180" s="25" t="s">
        <v>8394</v>
      </c>
      <c r="F180" s="25" t="s">
        <v>8395</v>
      </c>
      <c r="G180" s="25" t="s">
        <v>8396</v>
      </c>
      <c r="H180" s="25" t="s">
        <v>8401</v>
      </c>
      <c r="I180" s="25" t="s">
        <v>2015</v>
      </c>
      <c r="J180" s="25" t="s">
        <v>2014</v>
      </c>
      <c r="K180" s="25" t="n">
        <v>6</v>
      </c>
      <c r="L180" s="25" t="str">
        <f aca="false">IF(K180&gt;0,"Yes","No")</f>
        <v>Yes</v>
      </c>
    </row>
    <row r="181" customFormat="false" ht="15" hidden="false" customHeight="false" outlineLevel="0" collapsed="false">
      <c r="A181" s="25" t="s">
        <v>6647</v>
      </c>
      <c r="B181" s="25" t="s">
        <v>8392</v>
      </c>
      <c r="C181" s="25" t="s">
        <v>8393</v>
      </c>
      <c r="D181" s="25" t="n">
        <v>9</v>
      </c>
      <c r="E181" s="25" t="s">
        <v>8394</v>
      </c>
      <c r="F181" s="25" t="s">
        <v>8395</v>
      </c>
      <c r="G181" s="25" t="s">
        <v>8396</v>
      </c>
      <c r="H181" s="25" t="s">
        <v>8403</v>
      </c>
      <c r="I181" s="25" t="s">
        <v>1573</v>
      </c>
      <c r="J181" s="25" t="s">
        <v>6648</v>
      </c>
      <c r="K181" s="25" t="n">
        <v>6</v>
      </c>
      <c r="L181" s="25" t="str">
        <f aca="false">IF(K181&gt;0,"Yes","No")</f>
        <v>Yes</v>
      </c>
    </row>
    <row r="182" customFormat="false" ht="15" hidden="false" customHeight="false" outlineLevel="0" collapsed="false">
      <c r="A182" s="25" t="s">
        <v>2657</v>
      </c>
      <c r="B182" s="25" t="s">
        <v>8392</v>
      </c>
      <c r="C182" s="25" t="s">
        <v>8393</v>
      </c>
      <c r="D182" s="25" t="n">
        <v>9</v>
      </c>
      <c r="E182" s="25" t="s">
        <v>8394</v>
      </c>
      <c r="F182" s="25" t="s">
        <v>8395</v>
      </c>
      <c r="G182" s="25" t="s">
        <v>8396</v>
      </c>
      <c r="H182" s="25" t="s">
        <v>8403</v>
      </c>
      <c r="I182" s="25" t="s">
        <v>2659</v>
      </c>
      <c r="J182" s="25" t="s">
        <v>2658</v>
      </c>
      <c r="K182" s="25" t="n">
        <v>5</v>
      </c>
      <c r="L182" s="25" t="str">
        <f aca="false">IF(K182&gt;0,"Yes","No")</f>
        <v>Yes</v>
      </c>
    </row>
    <row r="183" customFormat="false" ht="15" hidden="false" customHeight="false" outlineLevel="0" collapsed="false">
      <c r="A183" s="25" t="s">
        <v>1935</v>
      </c>
      <c r="B183" s="25" t="s">
        <v>8392</v>
      </c>
      <c r="C183" s="25" t="s">
        <v>8393</v>
      </c>
      <c r="D183" s="25" t="n">
        <v>9</v>
      </c>
      <c r="E183" s="25" t="s">
        <v>8394</v>
      </c>
      <c r="F183" s="25" t="s">
        <v>8395</v>
      </c>
      <c r="G183" s="25" t="s">
        <v>8396</v>
      </c>
      <c r="H183" s="25" t="s">
        <v>8399</v>
      </c>
      <c r="I183" s="25" t="s">
        <v>1937</v>
      </c>
      <c r="J183" s="25" t="s">
        <v>1936</v>
      </c>
      <c r="K183" s="25" t="n">
        <v>5</v>
      </c>
      <c r="L183" s="25" t="str">
        <f aca="false">IF(K183&gt;0,"Yes","No")</f>
        <v>Yes</v>
      </c>
    </row>
    <row r="184" customFormat="false" ht="15" hidden="false" customHeight="false" outlineLevel="0" collapsed="false">
      <c r="A184" s="25" t="s">
        <v>5006</v>
      </c>
      <c r="B184" s="25" t="s">
        <v>8392</v>
      </c>
      <c r="C184" s="25" t="s">
        <v>8393</v>
      </c>
      <c r="D184" s="25" t="n">
        <v>9</v>
      </c>
      <c r="E184" s="25" t="s">
        <v>8394</v>
      </c>
      <c r="F184" s="25" t="s">
        <v>8395</v>
      </c>
      <c r="G184" s="25" t="s">
        <v>8396</v>
      </c>
      <c r="H184" s="25" t="s">
        <v>8397</v>
      </c>
      <c r="I184" s="25" t="s">
        <v>5008</v>
      </c>
      <c r="J184" s="25" t="s">
        <v>5007</v>
      </c>
      <c r="K184" s="25" t="n">
        <v>5</v>
      </c>
      <c r="L184" s="25" t="str">
        <f aca="false">IF(K184&gt;0,"Yes","No")</f>
        <v>Yes</v>
      </c>
    </row>
    <row r="185" customFormat="false" ht="15" hidden="false" customHeight="false" outlineLevel="0" collapsed="false">
      <c r="A185" s="25" t="s">
        <v>261</v>
      </c>
      <c r="B185" s="25" t="s">
        <v>8392</v>
      </c>
      <c r="C185" s="25" t="s">
        <v>8393</v>
      </c>
      <c r="D185" s="25" t="n">
        <v>9</v>
      </c>
      <c r="E185" s="25" t="s">
        <v>8394</v>
      </c>
      <c r="F185" s="25" t="s">
        <v>8395</v>
      </c>
      <c r="G185" s="25" t="s">
        <v>8396</v>
      </c>
      <c r="H185" s="25" t="s">
        <v>8405</v>
      </c>
      <c r="I185" s="25" t="s">
        <v>263</v>
      </c>
      <c r="J185" s="25" t="s">
        <v>262</v>
      </c>
      <c r="K185" s="25" t="n">
        <v>5</v>
      </c>
      <c r="L185" s="25" t="str">
        <f aca="false">IF(K185&gt;0,"Yes","No")</f>
        <v>Yes</v>
      </c>
    </row>
    <row r="186" customFormat="false" ht="15" hidden="false" customHeight="false" outlineLevel="0" collapsed="false">
      <c r="A186" s="25" t="s">
        <v>6785</v>
      </c>
      <c r="B186" s="25" t="s">
        <v>8392</v>
      </c>
      <c r="C186" s="25" t="s">
        <v>8393</v>
      </c>
      <c r="D186" s="25" t="n">
        <v>9</v>
      </c>
      <c r="E186" s="25" t="s">
        <v>8394</v>
      </c>
      <c r="F186" s="25" t="s">
        <v>8395</v>
      </c>
      <c r="G186" s="25" t="s">
        <v>8396</v>
      </c>
      <c r="H186" s="25" t="s">
        <v>8399</v>
      </c>
      <c r="I186" s="25" t="s">
        <v>6787</v>
      </c>
      <c r="J186" s="25" t="s">
        <v>6786</v>
      </c>
      <c r="K186" s="25" t="n">
        <v>5</v>
      </c>
      <c r="L186" s="25" t="str">
        <f aca="false">IF(K186&gt;0,"Yes","No")</f>
        <v>Yes</v>
      </c>
    </row>
    <row r="187" customFormat="false" ht="15" hidden="false" customHeight="false" outlineLevel="0" collapsed="false">
      <c r="A187" s="25" t="s">
        <v>4730</v>
      </c>
      <c r="B187" s="25" t="s">
        <v>8392</v>
      </c>
      <c r="C187" s="25" t="s">
        <v>8393</v>
      </c>
      <c r="D187" s="25" t="n">
        <v>9</v>
      </c>
      <c r="E187" s="25" t="s">
        <v>8394</v>
      </c>
      <c r="F187" s="25" t="s">
        <v>8395</v>
      </c>
      <c r="G187" s="25" t="s">
        <v>8396</v>
      </c>
      <c r="H187" s="25" t="s">
        <v>8397</v>
      </c>
      <c r="I187" s="25" t="s">
        <v>4497</v>
      </c>
      <c r="J187" s="25" t="s">
        <v>4731</v>
      </c>
      <c r="K187" s="25" t="n">
        <v>5</v>
      </c>
      <c r="L187" s="25" t="str">
        <f aca="false">IF(K187&gt;0,"Yes","No")</f>
        <v>Yes</v>
      </c>
    </row>
    <row r="188" customFormat="false" ht="15" hidden="false" customHeight="false" outlineLevel="0" collapsed="false">
      <c r="A188" s="25" t="s">
        <v>345</v>
      </c>
      <c r="B188" s="25" t="s">
        <v>8392</v>
      </c>
      <c r="C188" s="25" t="s">
        <v>8393</v>
      </c>
      <c r="D188" s="25" t="n">
        <v>9</v>
      </c>
      <c r="E188" s="25" t="s">
        <v>8394</v>
      </c>
      <c r="F188" s="25" t="s">
        <v>8395</v>
      </c>
      <c r="G188" s="25" t="s">
        <v>8396</v>
      </c>
      <c r="H188" s="25" t="s">
        <v>8399</v>
      </c>
      <c r="I188" s="25" t="s">
        <v>347</v>
      </c>
      <c r="J188" s="25" t="s">
        <v>346</v>
      </c>
      <c r="K188" s="25" t="n">
        <v>5</v>
      </c>
      <c r="L188" s="25" t="str">
        <f aca="false">IF(K188&gt;0,"Yes","No")</f>
        <v>Yes</v>
      </c>
    </row>
    <row r="189" customFormat="false" ht="15" hidden="false" customHeight="false" outlineLevel="0" collapsed="false">
      <c r="A189" s="25" t="s">
        <v>2789</v>
      </c>
      <c r="B189" s="25" t="s">
        <v>8392</v>
      </c>
      <c r="C189" s="25" t="s">
        <v>8393</v>
      </c>
      <c r="D189" s="25" t="n">
        <v>9</v>
      </c>
      <c r="E189" s="25" t="s">
        <v>8394</v>
      </c>
      <c r="F189" s="25" t="s">
        <v>8395</v>
      </c>
      <c r="G189" s="25" t="s">
        <v>8398</v>
      </c>
      <c r="H189" s="25"/>
      <c r="I189" s="25" t="s">
        <v>2791</v>
      </c>
      <c r="J189" s="25" t="s">
        <v>2790</v>
      </c>
      <c r="K189" s="25" t="n">
        <v>5</v>
      </c>
      <c r="L189" s="25" t="str">
        <f aca="false">IF(K189&gt;0,"Yes","No")</f>
        <v>Yes</v>
      </c>
    </row>
    <row r="190" customFormat="false" ht="15" hidden="false" customHeight="false" outlineLevel="0" collapsed="false">
      <c r="A190" s="25" t="s">
        <v>6748</v>
      </c>
      <c r="B190" s="25" t="s">
        <v>8392</v>
      </c>
      <c r="C190" s="25" t="s">
        <v>8393</v>
      </c>
      <c r="D190" s="25" t="n">
        <v>9</v>
      </c>
      <c r="E190" s="25" t="s">
        <v>8394</v>
      </c>
      <c r="F190" s="25" t="s">
        <v>8395</v>
      </c>
      <c r="G190" s="25" t="s">
        <v>8398</v>
      </c>
      <c r="H190" s="25"/>
      <c r="I190" s="25" t="s">
        <v>6750</v>
      </c>
      <c r="J190" s="25" t="s">
        <v>6749</v>
      </c>
      <c r="K190" s="25" t="n">
        <v>5</v>
      </c>
      <c r="L190" s="25" t="str">
        <f aca="false">IF(K190&gt;0,"Yes","No")</f>
        <v>Yes</v>
      </c>
    </row>
    <row r="191" customFormat="false" ht="15" hidden="false" customHeight="false" outlineLevel="0" collapsed="false">
      <c r="A191" s="25" t="s">
        <v>4067</v>
      </c>
      <c r="B191" s="25" t="s">
        <v>8392</v>
      </c>
      <c r="C191" s="25" t="s">
        <v>8393</v>
      </c>
      <c r="D191" s="25" t="n">
        <v>9</v>
      </c>
      <c r="E191" s="25" t="s">
        <v>8394</v>
      </c>
      <c r="F191" s="25" t="s">
        <v>8395</v>
      </c>
      <c r="G191" s="25" t="s">
        <v>8396</v>
      </c>
      <c r="H191" s="25" t="s">
        <v>8397</v>
      </c>
      <c r="I191" s="25" t="s">
        <v>4069</v>
      </c>
      <c r="J191" s="25" t="s">
        <v>4068</v>
      </c>
      <c r="K191" s="25" t="n">
        <v>5</v>
      </c>
      <c r="L191" s="25" t="str">
        <f aca="false">IF(K191&gt;0,"Yes","No")</f>
        <v>Yes</v>
      </c>
    </row>
    <row r="192" customFormat="false" ht="15" hidden="false" customHeight="false" outlineLevel="0" collapsed="false">
      <c r="A192" s="25" t="s">
        <v>2081</v>
      </c>
      <c r="B192" s="25" t="s">
        <v>8392</v>
      </c>
      <c r="C192" s="25" t="s">
        <v>8393</v>
      </c>
      <c r="D192" s="25" t="n">
        <v>9</v>
      </c>
      <c r="E192" s="25" t="s">
        <v>8394</v>
      </c>
      <c r="F192" s="25" t="s">
        <v>8395</v>
      </c>
      <c r="G192" s="25" t="s">
        <v>8398</v>
      </c>
      <c r="H192" s="25"/>
      <c r="I192" s="25" t="s">
        <v>515</v>
      </c>
      <c r="J192" s="25" t="s">
        <v>1358</v>
      </c>
      <c r="K192" s="25" t="n">
        <v>5</v>
      </c>
      <c r="L192" s="25" t="str">
        <f aca="false">IF(K192&gt;0,"Yes","No")</f>
        <v>Yes</v>
      </c>
    </row>
    <row r="193" customFormat="false" ht="15" hidden="false" customHeight="false" outlineLevel="0" collapsed="false">
      <c r="A193" s="25" t="s">
        <v>592</v>
      </c>
      <c r="B193" s="25" t="s">
        <v>8392</v>
      </c>
      <c r="C193" s="25" t="s">
        <v>8393</v>
      </c>
      <c r="D193" s="25" t="n">
        <v>9</v>
      </c>
      <c r="E193" s="25" t="s">
        <v>8394</v>
      </c>
      <c r="F193" s="25" t="s">
        <v>8395</v>
      </c>
      <c r="G193" s="25" t="s">
        <v>8396</v>
      </c>
      <c r="H193" s="25" t="s">
        <v>8403</v>
      </c>
      <c r="I193" s="25" t="s">
        <v>594</v>
      </c>
      <c r="J193" s="25" t="s">
        <v>593</v>
      </c>
      <c r="K193" s="25" t="n">
        <v>5</v>
      </c>
      <c r="L193" s="25" t="str">
        <f aca="false">IF(K193&gt;0,"Yes","No")</f>
        <v>Yes</v>
      </c>
    </row>
    <row r="194" customFormat="false" ht="15" hidden="false" customHeight="false" outlineLevel="0" collapsed="false">
      <c r="A194" s="25" t="s">
        <v>4938</v>
      </c>
      <c r="B194" s="25" t="s">
        <v>8392</v>
      </c>
      <c r="C194" s="25" t="s">
        <v>8393</v>
      </c>
      <c r="D194" s="25" t="n">
        <v>9</v>
      </c>
      <c r="E194" s="25" t="s">
        <v>8394</v>
      </c>
      <c r="F194" s="25" t="s">
        <v>8395</v>
      </c>
      <c r="G194" s="25" t="s">
        <v>8396</v>
      </c>
      <c r="H194" s="25" t="s">
        <v>8397</v>
      </c>
      <c r="I194" s="25" t="s">
        <v>4940</v>
      </c>
      <c r="J194" s="25" t="s">
        <v>4939</v>
      </c>
      <c r="K194" s="25" t="n">
        <v>5</v>
      </c>
      <c r="L194" s="25" t="str">
        <f aca="false">IF(K194&gt;0,"Yes","No")</f>
        <v>Yes</v>
      </c>
    </row>
    <row r="195" customFormat="false" ht="15" hidden="false" customHeight="false" outlineLevel="0" collapsed="false">
      <c r="A195" s="25" t="s">
        <v>609</v>
      </c>
      <c r="B195" s="25" t="s">
        <v>8392</v>
      </c>
      <c r="C195" s="25" t="s">
        <v>8393</v>
      </c>
      <c r="D195" s="25" t="n">
        <v>9</v>
      </c>
      <c r="E195" s="25" t="s">
        <v>8394</v>
      </c>
      <c r="F195" s="25" t="s">
        <v>8395</v>
      </c>
      <c r="G195" s="25" t="s">
        <v>8396</v>
      </c>
      <c r="H195" s="25" t="s">
        <v>8403</v>
      </c>
      <c r="I195" s="25" t="s">
        <v>611</v>
      </c>
      <c r="J195" s="25" t="s">
        <v>610</v>
      </c>
      <c r="K195" s="25" t="n">
        <v>5</v>
      </c>
      <c r="L195" s="25" t="str">
        <f aca="false">IF(K195&gt;0,"Yes","No")</f>
        <v>Yes</v>
      </c>
    </row>
    <row r="196" customFormat="false" ht="15" hidden="false" customHeight="false" outlineLevel="0" collapsed="false">
      <c r="A196" s="25" t="s">
        <v>778</v>
      </c>
      <c r="B196" s="25" t="s">
        <v>8392</v>
      </c>
      <c r="C196" s="25" t="s">
        <v>8393</v>
      </c>
      <c r="D196" s="25" t="n">
        <v>9</v>
      </c>
      <c r="E196" s="25" t="s">
        <v>8394</v>
      </c>
      <c r="F196" s="25" t="s">
        <v>8395</v>
      </c>
      <c r="G196" s="25" t="s">
        <v>8400</v>
      </c>
      <c r="H196" s="25"/>
      <c r="I196" s="25" t="s">
        <v>780</v>
      </c>
      <c r="J196" s="25" t="s">
        <v>779</v>
      </c>
      <c r="K196" s="25" t="n">
        <v>5</v>
      </c>
      <c r="L196" s="25" t="str">
        <f aca="false">IF(K196&gt;0,"Yes","No")</f>
        <v>Yes</v>
      </c>
    </row>
    <row r="197" customFormat="false" ht="15" hidden="false" customHeight="false" outlineLevel="0" collapsed="false">
      <c r="A197" s="25" t="s">
        <v>412</v>
      </c>
      <c r="B197" s="25" t="s">
        <v>8392</v>
      </c>
      <c r="C197" s="25" t="s">
        <v>8393</v>
      </c>
      <c r="D197" s="25" t="n">
        <v>9</v>
      </c>
      <c r="E197" s="25" t="s">
        <v>8394</v>
      </c>
      <c r="F197" s="25" t="s">
        <v>8395</v>
      </c>
      <c r="G197" s="25" t="s">
        <v>8400</v>
      </c>
      <c r="H197" s="25"/>
      <c r="I197" s="25" t="s">
        <v>414</v>
      </c>
      <c r="J197" s="25" t="s">
        <v>413</v>
      </c>
      <c r="K197" s="25" t="n">
        <v>5</v>
      </c>
      <c r="L197" s="25" t="str">
        <f aca="false">IF(K197&gt;0,"Yes","No")</f>
        <v>Yes</v>
      </c>
    </row>
    <row r="198" customFormat="false" ht="15" hidden="false" customHeight="false" outlineLevel="0" collapsed="false">
      <c r="A198" s="25" t="s">
        <v>385</v>
      </c>
      <c r="B198" s="25" t="s">
        <v>8392</v>
      </c>
      <c r="C198" s="25" t="s">
        <v>8393</v>
      </c>
      <c r="D198" s="25" t="n">
        <v>9</v>
      </c>
      <c r="E198" s="25" t="s">
        <v>8394</v>
      </c>
      <c r="F198" s="25" t="s">
        <v>8395</v>
      </c>
      <c r="G198" s="25" t="s">
        <v>8402</v>
      </c>
      <c r="H198" s="25" t="s">
        <v>8408</v>
      </c>
      <c r="I198" s="25" t="s">
        <v>386</v>
      </c>
      <c r="J198" s="25" t="s">
        <v>381</v>
      </c>
      <c r="K198" s="25" t="n">
        <v>5</v>
      </c>
      <c r="L198" s="25" t="str">
        <f aca="false">IF(K198&gt;0,"Yes","No")</f>
        <v>Yes</v>
      </c>
    </row>
    <row r="199" customFormat="false" ht="15" hidden="false" customHeight="false" outlineLevel="0" collapsed="false">
      <c r="A199" s="25" t="s">
        <v>5013</v>
      </c>
      <c r="B199" s="25" t="s">
        <v>8392</v>
      </c>
      <c r="C199" s="25" t="s">
        <v>8393</v>
      </c>
      <c r="D199" s="25" t="n">
        <v>9</v>
      </c>
      <c r="E199" s="25" t="s">
        <v>8394</v>
      </c>
      <c r="F199" s="25" t="s">
        <v>8395</v>
      </c>
      <c r="G199" s="25" t="s">
        <v>8398</v>
      </c>
      <c r="H199" s="25"/>
      <c r="I199" s="25" t="s">
        <v>5015</v>
      </c>
      <c r="J199" s="25" t="s">
        <v>5014</v>
      </c>
      <c r="K199" s="25" t="n">
        <v>5</v>
      </c>
      <c r="L199" s="25" t="str">
        <f aca="false">IF(K199&gt;0,"Yes","No")</f>
        <v>Yes</v>
      </c>
    </row>
    <row r="200" customFormat="false" ht="15" hidden="false" customHeight="false" outlineLevel="0" collapsed="false">
      <c r="A200" s="25" t="s">
        <v>604</v>
      </c>
      <c r="B200" s="25" t="s">
        <v>8392</v>
      </c>
      <c r="C200" s="25" t="s">
        <v>8393</v>
      </c>
      <c r="D200" s="25" t="n">
        <v>9</v>
      </c>
      <c r="E200" s="25" t="s">
        <v>8394</v>
      </c>
      <c r="F200" s="25" t="s">
        <v>8395</v>
      </c>
      <c r="G200" s="25" t="s">
        <v>8396</v>
      </c>
      <c r="H200" s="25" t="s">
        <v>8401</v>
      </c>
      <c r="I200" s="25" t="s">
        <v>606</v>
      </c>
      <c r="J200" s="25" t="s">
        <v>605</v>
      </c>
      <c r="K200" s="25" t="n">
        <v>5</v>
      </c>
      <c r="L200" s="25" t="str">
        <f aca="false">IF(K200&gt;0,"Yes","No")</f>
        <v>Yes</v>
      </c>
    </row>
    <row r="201" customFormat="false" ht="15" hidden="false" customHeight="false" outlineLevel="0" collapsed="false">
      <c r="A201" s="25" t="s">
        <v>4049</v>
      </c>
      <c r="B201" s="25" t="s">
        <v>8392</v>
      </c>
      <c r="C201" s="25" t="s">
        <v>8393</v>
      </c>
      <c r="D201" s="25" t="n">
        <v>9</v>
      </c>
      <c r="E201" s="25" t="s">
        <v>8394</v>
      </c>
      <c r="F201" s="25" t="s">
        <v>8395</v>
      </c>
      <c r="G201" s="25" t="s">
        <v>8396</v>
      </c>
      <c r="H201" s="25" t="s">
        <v>8397</v>
      </c>
      <c r="I201" s="25" t="s">
        <v>4051</v>
      </c>
      <c r="J201" s="25" t="s">
        <v>4050</v>
      </c>
      <c r="K201" s="25" t="n">
        <v>4</v>
      </c>
      <c r="L201" s="25" t="str">
        <f aca="false">IF(K201&gt;0,"Yes","No")</f>
        <v>Yes</v>
      </c>
    </row>
    <row r="202" customFormat="false" ht="15" hidden="false" customHeight="false" outlineLevel="0" collapsed="false">
      <c r="A202" s="25" t="s">
        <v>2040</v>
      </c>
      <c r="B202" s="25" t="s">
        <v>8392</v>
      </c>
      <c r="C202" s="25" t="s">
        <v>8393</v>
      </c>
      <c r="D202" s="25" t="n">
        <v>9</v>
      </c>
      <c r="E202" s="25" t="s">
        <v>8394</v>
      </c>
      <c r="F202" s="25" t="s">
        <v>8395</v>
      </c>
      <c r="G202" s="25" t="s">
        <v>8396</v>
      </c>
      <c r="H202" s="25" t="s">
        <v>8397</v>
      </c>
      <c r="I202" s="25" t="s">
        <v>601</v>
      </c>
      <c r="J202" s="25" t="s">
        <v>2041</v>
      </c>
      <c r="K202" s="25" t="n">
        <v>4</v>
      </c>
      <c r="L202" s="25" t="str">
        <f aca="false">IF(K202&gt;0,"Yes","No")</f>
        <v>Yes</v>
      </c>
    </row>
    <row r="203" customFormat="false" ht="15" hidden="false" customHeight="false" outlineLevel="0" collapsed="false">
      <c r="A203" s="25" t="s">
        <v>5448</v>
      </c>
      <c r="B203" s="25" t="s">
        <v>8392</v>
      </c>
      <c r="C203" s="25" t="s">
        <v>8393</v>
      </c>
      <c r="D203" s="25" t="n">
        <v>9</v>
      </c>
      <c r="E203" s="25" t="s">
        <v>8394</v>
      </c>
      <c r="F203" s="25" t="s">
        <v>8395</v>
      </c>
      <c r="G203" s="25" t="s">
        <v>8396</v>
      </c>
      <c r="H203" s="25" t="s">
        <v>8399</v>
      </c>
      <c r="I203" s="25" t="s">
        <v>659</v>
      </c>
      <c r="J203" s="25" t="s">
        <v>5449</v>
      </c>
      <c r="K203" s="25" t="n">
        <v>4</v>
      </c>
      <c r="L203" s="25" t="str">
        <f aca="false">IF(K203&gt;0,"Yes","No")</f>
        <v>Yes</v>
      </c>
    </row>
    <row r="204" customFormat="false" ht="15" hidden="false" customHeight="false" outlineLevel="0" collapsed="false">
      <c r="A204" s="25" t="s">
        <v>2160</v>
      </c>
      <c r="B204" s="25" t="s">
        <v>8392</v>
      </c>
      <c r="C204" s="25" t="s">
        <v>8393</v>
      </c>
      <c r="D204" s="25" t="n">
        <v>9</v>
      </c>
      <c r="E204" s="25" t="s">
        <v>8394</v>
      </c>
      <c r="F204" s="25" t="s">
        <v>8395</v>
      </c>
      <c r="G204" s="25" t="s">
        <v>8396</v>
      </c>
      <c r="H204" s="25" t="s">
        <v>8399</v>
      </c>
      <c r="I204" s="25" t="s">
        <v>2162</v>
      </c>
      <c r="J204" s="25" t="s">
        <v>2161</v>
      </c>
      <c r="K204" s="25" t="n">
        <v>4</v>
      </c>
      <c r="L204" s="25" t="str">
        <f aca="false">IF(K204&gt;0,"Yes","No")</f>
        <v>Yes</v>
      </c>
    </row>
    <row r="205" customFormat="false" ht="15" hidden="false" customHeight="false" outlineLevel="0" collapsed="false">
      <c r="A205" s="25" t="s">
        <v>6036</v>
      </c>
      <c r="B205" s="25" t="s">
        <v>8392</v>
      </c>
      <c r="C205" s="25" t="s">
        <v>8393</v>
      </c>
      <c r="D205" s="25" t="n">
        <v>9</v>
      </c>
      <c r="E205" s="25" t="s">
        <v>8394</v>
      </c>
      <c r="F205" s="25" t="s">
        <v>8395</v>
      </c>
      <c r="G205" s="25" t="s">
        <v>8402</v>
      </c>
      <c r="H205" s="25" t="s">
        <v>8409</v>
      </c>
      <c r="I205" s="25" t="s">
        <v>6038</v>
      </c>
      <c r="J205" s="25" t="s">
        <v>6037</v>
      </c>
      <c r="K205" s="25" t="n">
        <v>4</v>
      </c>
      <c r="L205" s="25" t="str">
        <f aca="false">IF(K205&gt;0,"Yes","No")</f>
        <v>Yes</v>
      </c>
    </row>
    <row r="206" customFormat="false" ht="15" hidden="false" customHeight="false" outlineLevel="0" collapsed="false">
      <c r="A206" s="25" t="s">
        <v>4579</v>
      </c>
      <c r="B206" s="25" t="s">
        <v>8392</v>
      </c>
      <c r="C206" s="25" t="s">
        <v>8393</v>
      </c>
      <c r="D206" s="25" t="n">
        <v>9</v>
      </c>
      <c r="E206" s="25" t="s">
        <v>8394</v>
      </c>
      <c r="F206" s="25" t="s">
        <v>8395</v>
      </c>
      <c r="G206" s="25" t="s">
        <v>8398</v>
      </c>
      <c r="H206" s="25"/>
      <c r="I206" s="25" t="s">
        <v>1359</v>
      </c>
      <c r="J206" s="25" t="s">
        <v>3360</v>
      </c>
      <c r="K206" s="25" t="n">
        <v>4</v>
      </c>
      <c r="L206" s="25" t="str">
        <f aca="false">IF(K206&gt;0,"Yes","No")</f>
        <v>Yes</v>
      </c>
    </row>
    <row r="207" customFormat="false" ht="15" hidden="false" customHeight="false" outlineLevel="0" collapsed="false">
      <c r="A207" s="25" t="s">
        <v>3171</v>
      </c>
      <c r="B207" s="25" t="s">
        <v>8392</v>
      </c>
      <c r="C207" s="25" t="s">
        <v>8393</v>
      </c>
      <c r="D207" s="25" t="n">
        <v>9</v>
      </c>
      <c r="E207" s="25" t="s">
        <v>8394</v>
      </c>
      <c r="F207" s="25" t="s">
        <v>8395</v>
      </c>
      <c r="G207" s="25" t="s">
        <v>8396</v>
      </c>
      <c r="H207" s="25" t="s">
        <v>8397</v>
      </c>
      <c r="I207" s="25" t="s">
        <v>3173</v>
      </c>
      <c r="J207" s="25" t="s">
        <v>3172</v>
      </c>
      <c r="K207" s="25" t="n">
        <v>4</v>
      </c>
      <c r="L207" s="25" t="str">
        <f aca="false">IF(K207&gt;0,"Yes","No")</f>
        <v>Yes</v>
      </c>
    </row>
    <row r="208" customFormat="false" ht="15" hidden="false" customHeight="false" outlineLevel="0" collapsed="false">
      <c r="A208" s="25" t="s">
        <v>8117</v>
      </c>
      <c r="B208" s="25" t="s">
        <v>8392</v>
      </c>
      <c r="C208" s="25" t="s">
        <v>8393</v>
      </c>
      <c r="D208" s="25" t="n">
        <v>9</v>
      </c>
      <c r="E208" s="25" t="s">
        <v>8394</v>
      </c>
      <c r="F208" s="25" t="s">
        <v>8395</v>
      </c>
      <c r="G208" s="25" t="s">
        <v>8398</v>
      </c>
      <c r="H208" s="25"/>
      <c r="I208" s="25" t="s">
        <v>8119</v>
      </c>
      <c r="J208" s="25" t="s">
        <v>8118</v>
      </c>
      <c r="K208" s="25" t="n">
        <v>4</v>
      </c>
      <c r="L208" s="25" t="str">
        <f aca="false">IF(K208&gt;0,"Yes","No")</f>
        <v>Yes</v>
      </c>
    </row>
    <row r="209" customFormat="false" ht="15" hidden="false" customHeight="false" outlineLevel="0" collapsed="false">
      <c r="A209" s="25" t="s">
        <v>6395</v>
      </c>
      <c r="B209" s="25" t="s">
        <v>8392</v>
      </c>
      <c r="C209" s="25" t="s">
        <v>8393</v>
      </c>
      <c r="D209" s="25" t="n">
        <v>9</v>
      </c>
      <c r="E209" s="25" t="s">
        <v>8394</v>
      </c>
      <c r="F209" s="25" t="s">
        <v>8395</v>
      </c>
      <c r="G209" s="25" t="s">
        <v>8402</v>
      </c>
      <c r="H209" s="25" t="s">
        <v>8403</v>
      </c>
      <c r="I209" s="25" t="s">
        <v>6397</v>
      </c>
      <c r="J209" s="25" t="s">
        <v>6396</v>
      </c>
      <c r="K209" s="25" t="n">
        <v>4</v>
      </c>
      <c r="L209" s="25" t="str">
        <f aca="false">IF(K209&gt;0,"Yes","No")</f>
        <v>Yes</v>
      </c>
    </row>
    <row r="210" customFormat="false" ht="15" hidden="false" customHeight="false" outlineLevel="0" collapsed="false">
      <c r="A210" s="25" t="s">
        <v>762</v>
      </c>
      <c r="B210" s="25" t="s">
        <v>8392</v>
      </c>
      <c r="C210" s="25" t="s">
        <v>8393</v>
      </c>
      <c r="D210" s="25" t="n">
        <v>9</v>
      </c>
      <c r="E210" s="25" t="s">
        <v>8394</v>
      </c>
      <c r="F210" s="25" t="s">
        <v>8395</v>
      </c>
      <c r="G210" s="25" t="s">
        <v>8396</v>
      </c>
      <c r="H210" s="25" t="s">
        <v>8397</v>
      </c>
      <c r="I210" s="25" t="s">
        <v>764</v>
      </c>
      <c r="J210" s="25" t="s">
        <v>763</v>
      </c>
      <c r="K210" s="25" t="n">
        <v>4</v>
      </c>
      <c r="L210" s="25" t="str">
        <f aca="false">IF(K210&gt;0,"Yes","No")</f>
        <v>Yes</v>
      </c>
    </row>
    <row r="211" customFormat="false" ht="15" hidden="false" customHeight="false" outlineLevel="0" collapsed="false">
      <c r="A211" s="25" t="s">
        <v>785</v>
      </c>
      <c r="B211" s="25" t="s">
        <v>8392</v>
      </c>
      <c r="C211" s="25" t="s">
        <v>8393</v>
      </c>
      <c r="D211" s="25" t="n">
        <v>9</v>
      </c>
      <c r="E211" s="25" t="s">
        <v>8394</v>
      </c>
      <c r="F211" s="25" t="s">
        <v>8395</v>
      </c>
      <c r="G211" s="25" t="s">
        <v>8400</v>
      </c>
      <c r="H211" s="25"/>
      <c r="I211" s="25" t="s">
        <v>787</v>
      </c>
      <c r="J211" s="25" t="s">
        <v>786</v>
      </c>
      <c r="K211" s="25" t="n">
        <v>4</v>
      </c>
      <c r="L211" s="25" t="str">
        <f aca="false">IF(K211&gt;0,"Yes","No")</f>
        <v>Yes</v>
      </c>
    </row>
    <row r="212" customFormat="false" ht="15" hidden="false" customHeight="false" outlineLevel="0" collapsed="false">
      <c r="A212" s="25" t="s">
        <v>4592</v>
      </c>
      <c r="B212" s="25" t="s">
        <v>8392</v>
      </c>
      <c r="C212" s="25" t="s">
        <v>8393</v>
      </c>
      <c r="D212" s="25" t="n">
        <v>9</v>
      </c>
      <c r="E212" s="25" t="s">
        <v>8394</v>
      </c>
      <c r="F212" s="25" t="s">
        <v>8395</v>
      </c>
      <c r="G212" s="25" t="s">
        <v>8398</v>
      </c>
      <c r="H212" s="25"/>
      <c r="I212" s="25" t="s">
        <v>4594</v>
      </c>
      <c r="J212" s="25" t="s">
        <v>4593</v>
      </c>
      <c r="K212" s="25" t="n">
        <v>4</v>
      </c>
      <c r="L212" s="25" t="str">
        <f aca="false">IF(K212&gt;0,"Yes","No")</f>
        <v>Yes</v>
      </c>
    </row>
    <row r="213" customFormat="false" ht="15" hidden="false" customHeight="false" outlineLevel="0" collapsed="false">
      <c r="A213" s="25" t="s">
        <v>5799</v>
      </c>
      <c r="B213" s="25" t="s">
        <v>8392</v>
      </c>
      <c r="C213" s="25" t="s">
        <v>8393</v>
      </c>
      <c r="D213" s="25" t="n">
        <v>9</v>
      </c>
      <c r="E213" s="25" t="s">
        <v>8394</v>
      </c>
      <c r="F213" s="25" t="s">
        <v>8395</v>
      </c>
      <c r="G213" s="25" t="s">
        <v>8396</v>
      </c>
      <c r="H213" s="25" t="s">
        <v>8397</v>
      </c>
      <c r="I213" s="25" t="s">
        <v>285</v>
      </c>
      <c r="J213" s="25" t="s">
        <v>5800</v>
      </c>
      <c r="K213" s="25" t="n">
        <v>4</v>
      </c>
      <c r="L213" s="25" t="str">
        <f aca="false">IF(K213&gt;0,"Yes","No")</f>
        <v>Yes</v>
      </c>
    </row>
    <row r="214" customFormat="false" ht="15" hidden="false" customHeight="false" outlineLevel="0" collapsed="false">
      <c r="A214" s="25" t="s">
        <v>657</v>
      </c>
      <c r="B214" s="25" t="s">
        <v>8392</v>
      </c>
      <c r="C214" s="25" t="s">
        <v>8393</v>
      </c>
      <c r="D214" s="25" t="n">
        <v>9</v>
      </c>
      <c r="E214" s="25" t="s">
        <v>8394</v>
      </c>
      <c r="F214" s="25" t="s">
        <v>8395</v>
      </c>
      <c r="G214" s="25" t="s">
        <v>8396</v>
      </c>
      <c r="H214" s="25" t="s">
        <v>8399</v>
      </c>
      <c r="I214" s="25" t="s">
        <v>659</v>
      </c>
      <c r="J214" s="25" t="s">
        <v>658</v>
      </c>
      <c r="K214" s="25" t="n">
        <v>4</v>
      </c>
      <c r="L214" s="25" t="str">
        <f aca="false">IF(K214&gt;0,"Yes","No")</f>
        <v>Yes</v>
      </c>
    </row>
    <row r="215" customFormat="false" ht="15" hidden="false" customHeight="false" outlineLevel="0" collapsed="false">
      <c r="A215" s="25" t="s">
        <v>1000</v>
      </c>
      <c r="B215" s="25" t="s">
        <v>8392</v>
      </c>
      <c r="C215" s="25" t="s">
        <v>8393</v>
      </c>
      <c r="D215" s="25" t="n">
        <v>9</v>
      </c>
      <c r="E215" s="25" t="s">
        <v>8394</v>
      </c>
      <c r="F215" s="25" t="s">
        <v>8395</v>
      </c>
      <c r="G215" s="25" t="s">
        <v>8396</v>
      </c>
      <c r="H215" s="25" t="s">
        <v>8397</v>
      </c>
      <c r="I215" s="25" t="s">
        <v>1002</v>
      </c>
      <c r="J215" s="25" t="s">
        <v>1001</v>
      </c>
      <c r="K215" s="25" t="n">
        <v>3</v>
      </c>
      <c r="L215" s="25" t="str">
        <f aca="false">IF(K215&gt;0,"Yes","No")</f>
        <v>Yes</v>
      </c>
    </row>
    <row r="216" customFormat="false" ht="15" hidden="false" customHeight="false" outlineLevel="0" collapsed="false">
      <c r="A216" s="25" t="s">
        <v>4112</v>
      </c>
      <c r="B216" s="25" t="s">
        <v>8392</v>
      </c>
      <c r="C216" s="25" t="s">
        <v>8393</v>
      </c>
      <c r="D216" s="25" t="n">
        <v>9</v>
      </c>
      <c r="E216" s="25" t="s">
        <v>8394</v>
      </c>
      <c r="F216" s="25" t="s">
        <v>8395</v>
      </c>
      <c r="G216" s="25" t="s">
        <v>8398</v>
      </c>
      <c r="H216" s="25"/>
      <c r="I216" s="25" t="s">
        <v>515</v>
      </c>
      <c r="J216" s="25" t="s">
        <v>4113</v>
      </c>
      <c r="K216" s="25" t="n">
        <v>3</v>
      </c>
      <c r="L216" s="25" t="str">
        <f aca="false">IF(K216&gt;0,"Yes","No")</f>
        <v>Yes</v>
      </c>
    </row>
    <row r="217" customFormat="false" ht="15" hidden="false" customHeight="false" outlineLevel="0" collapsed="false">
      <c r="A217" s="25" t="s">
        <v>4925</v>
      </c>
      <c r="B217" s="25" t="s">
        <v>8392</v>
      </c>
      <c r="C217" s="25" t="s">
        <v>8393</v>
      </c>
      <c r="D217" s="25" t="n">
        <v>9</v>
      </c>
      <c r="E217" s="25" t="s">
        <v>8394</v>
      </c>
      <c r="F217" s="25" t="s">
        <v>8395</v>
      </c>
      <c r="G217" s="25" t="s">
        <v>8396</v>
      </c>
      <c r="H217" s="25" t="s">
        <v>8399</v>
      </c>
      <c r="I217" s="25" t="s">
        <v>4927</v>
      </c>
      <c r="J217" s="25" t="s">
        <v>4926</v>
      </c>
      <c r="K217" s="25" t="n">
        <v>3</v>
      </c>
      <c r="L217" s="25" t="str">
        <f aca="false">IF(K217&gt;0,"Yes","No")</f>
        <v>Yes</v>
      </c>
    </row>
    <row r="218" customFormat="false" ht="15" hidden="false" customHeight="false" outlineLevel="0" collapsed="false">
      <c r="A218" s="25" t="s">
        <v>4279</v>
      </c>
      <c r="B218" s="25" t="s">
        <v>8392</v>
      </c>
      <c r="C218" s="25" t="s">
        <v>8393</v>
      </c>
      <c r="D218" s="25" t="n">
        <v>9</v>
      </c>
      <c r="E218" s="25" t="s">
        <v>8394</v>
      </c>
      <c r="F218" s="25" t="s">
        <v>8395</v>
      </c>
      <c r="G218" s="25" t="s">
        <v>8396</v>
      </c>
      <c r="H218" s="25" t="s">
        <v>8399</v>
      </c>
      <c r="I218" s="25" t="s">
        <v>4280</v>
      </c>
      <c r="J218" s="25" t="s">
        <v>2797</v>
      </c>
      <c r="K218" s="25" t="n">
        <v>3</v>
      </c>
      <c r="L218" s="25" t="str">
        <f aca="false">IF(K218&gt;0,"Yes","No")</f>
        <v>Yes</v>
      </c>
    </row>
    <row r="219" customFormat="false" ht="15" hidden="false" customHeight="false" outlineLevel="0" collapsed="false">
      <c r="A219" s="25" t="s">
        <v>2205</v>
      </c>
      <c r="B219" s="25" t="s">
        <v>8392</v>
      </c>
      <c r="C219" s="25" t="s">
        <v>8393</v>
      </c>
      <c r="D219" s="25" t="n">
        <v>9</v>
      </c>
      <c r="E219" s="25" t="s">
        <v>8394</v>
      </c>
      <c r="F219" s="25" t="s">
        <v>8395</v>
      </c>
      <c r="G219" s="25" t="s">
        <v>8396</v>
      </c>
      <c r="H219" s="25" t="s">
        <v>8404</v>
      </c>
      <c r="I219" s="25" t="s">
        <v>2207</v>
      </c>
      <c r="J219" s="25" t="s">
        <v>2206</v>
      </c>
      <c r="K219" s="25" t="n">
        <v>3</v>
      </c>
      <c r="L219" s="25" t="str">
        <f aca="false">IF(K219&gt;0,"Yes","No")</f>
        <v>Yes</v>
      </c>
    </row>
    <row r="220" customFormat="false" ht="15" hidden="false" customHeight="false" outlineLevel="0" collapsed="false">
      <c r="A220" s="25" t="s">
        <v>4133</v>
      </c>
      <c r="B220" s="25" t="s">
        <v>8392</v>
      </c>
      <c r="C220" s="25" t="s">
        <v>8393</v>
      </c>
      <c r="D220" s="25" t="n">
        <v>9</v>
      </c>
      <c r="E220" s="25" t="s">
        <v>8394</v>
      </c>
      <c r="F220" s="25" t="s">
        <v>8395</v>
      </c>
      <c r="G220" s="25" t="s">
        <v>8398</v>
      </c>
      <c r="H220" s="25"/>
      <c r="I220" s="25" t="s">
        <v>4135</v>
      </c>
      <c r="J220" s="25" t="s">
        <v>4134</v>
      </c>
      <c r="K220" s="25" t="n">
        <v>3</v>
      </c>
      <c r="L220" s="25" t="str">
        <f aca="false">IF(K220&gt;0,"Yes","No")</f>
        <v>Yes</v>
      </c>
    </row>
    <row r="221" customFormat="false" ht="15" hidden="false" customHeight="false" outlineLevel="0" collapsed="false">
      <c r="A221" s="25" t="s">
        <v>1009</v>
      </c>
      <c r="B221" s="25" t="s">
        <v>8392</v>
      </c>
      <c r="C221" s="25" t="s">
        <v>8393</v>
      </c>
      <c r="D221" s="25" t="n">
        <v>9</v>
      </c>
      <c r="E221" s="25" t="s">
        <v>8394</v>
      </c>
      <c r="F221" s="25" t="s">
        <v>8395</v>
      </c>
      <c r="G221" s="25" t="s">
        <v>8396</v>
      </c>
      <c r="H221" s="25" t="s">
        <v>8399</v>
      </c>
      <c r="I221" s="25" t="s">
        <v>1011</v>
      </c>
      <c r="J221" s="25" t="s">
        <v>1010</v>
      </c>
      <c r="K221" s="25" t="n">
        <v>3</v>
      </c>
      <c r="L221" s="25" t="str">
        <f aca="false">IF(K221&gt;0,"Yes","No")</f>
        <v>Yes</v>
      </c>
    </row>
    <row r="222" customFormat="false" ht="15" hidden="false" customHeight="false" outlineLevel="0" collapsed="false">
      <c r="A222" s="25" t="s">
        <v>6543</v>
      </c>
      <c r="B222" s="25" t="s">
        <v>8392</v>
      </c>
      <c r="C222" s="25" t="s">
        <v>8393</v>
      </c>
      <c r="D222" s="25" t="n">
        <v>9</v>
      </c>
      <c r="E222" s="25" t="s">
        <v>8394</v>
      </c>
      <c r="F222" s="25" t="s">
        <v>8395</v>
      </c>
      <c r="G222" s="25" t="s">
        <v>8396</v>
      </c>
      <c r="H222" s="25" t="s">
        <v>8397</v>
      </c>
      <c r="I222" s="25" t="s">
        <v>6545</v>
      </c>
      <c r="J222" s="25" t="s">
        <v>6544</v>
      </c>
      <c r="K222" s="25" t="n">
        <v>3</v>
      </c>
      <c r="L222" s="25" t="str">
        <f aca="false">IF(K222&gt;0,"Yes","No")</f>
        <v>Yes</v>
      </c>
    </row>
    <row r="223" customFormat="false" ht="15" hidden="false" customHeight="false" outlineLevel="0" collapsed="false">
      <c r="A223" s="25" t="s">
        <v>2214</v>
      </c>
      <c r="B223" s="25" t="s">
        <v>8392</v>
      </c>
      <c r="C223" s="25" t="s">
        <v>8393</v>
      </c>
      <c r="D223" s="25" t="n">
        <v>9</v>
      </c>
      <c r="E223" s="25" t="s">
        <v>8394</v>
      </c>
      <c r="F223" s="25" t="s">
        <v>8395</v>
      </c>
      <c r="G223" s="25" t="s">
        <v>8396</v>
      </c>
      <c r="H223" s="25" t="s">
        <v>8397</v>
      </c>
      <c r="I223" s="25" t="s">
        <v>2216</v>
      </c>
      <c r="J223" s="25" t="s">
        <v>2215</v>
      </c>
      <c r="K223" s="25" t="n">
        <v>3</v>
      </c>
      <c r="L223" s="25" t="str">
        <f aca="false">IF(K223&gt;0,"Yes","No")</f>
        <v>Yes</v>
      </c>
    </row>
    <row r="224" customFormat="false" ht="15" hidden="false" customHeight="false" outlineLevel="0" collapsed="false">
      <c r="A224" s="25" t="s">
        <v>7324</v>
      </c>
      <c r="B224" s="25" t="s">
        <v>8392</v>
      </c>
      <c r="C224" s="25" t="s">
        <v>8393</v>
      </c>
      <c r="D224" s="25" t="n">
        <v>9</v>
      </c>
      <c r="E224" s="25" t="s">
        <v>8394</v>
      </c>
      <c r="F224" s="25" t="s">
        <v>8395</v>
      </c>
      <c r="G224" s="25" t="s">
        <v>8396</v>
      </c>
      <c r="H224" s="25"/>
      <c r="I224" s="25" t="s">
        <v>7326</v>
      </c>
      <c r="J224" s="25" t="s">
        <v>7325</v>
      </c>
      <c r="K224" s="25" t="n">
        <v>3</v>
      </c>
      <c r="L224" s="25" t="str">
        <f aca="false">IF(K224&gt;0,"Yes","No")</f>
        <v>Yes</v>
      </c>
    </row>
    <row r="225" customFormat="false" ht="15" hidden="false" customHeight="false" outlineLevel="0" collapsed="false">
      <c r="A225" s="25" t="s">
        <v>389</v>
      </c>
      <c r="B225" s="25" t="s">
        <v>8392</v>
      </c>
      <c r="C225" s="25" t="s">
        <v>8393</v>
      </c>
      <c r="D225" s="25" t="n">
        <v>9</v>
      </c>
      <c r="E225" s="25" t="s">
        <v>8394</v>
      </c>
      <c r="F225" s="25" t="s">
        <v>8395</v>
      </c>
      <c r="G225" s="25" t="s">
        <v>8396</v>
      </c>
      <c r="H225" s="25" t="s">
        <v>8409</v>
      </c>
      <c r="I225" s="25" t="s">
        <v>390</v>
      </c>
      <c r="J225" s="25" t="s">
        <v>341</v>
      </c>
      <c r="K225" s="25" t="n">
        <v>3</v>
      </c>
      <c r="L225" s="25" t="str">
        <f aca="false">IF(K225&gt;0,"Yes","No")</f>
        <v>Yes</v>
      </c>
    </row>
    <row r="226" customFormat="false" ht="15" hidden="false" customHeight="false" outlineLevel="0" collapsed="false">
      <c r="A226" s="25" t="s">
        <v>4550</v>
      </c>
      <c r="B226" s="25" t="s">
        <v>8392</v>
      </c>
      <c r="C226" s="25" t="s">
        <v>8393</v>
      </c>
      <c r="D226" s="25" t="n">
        <v>9</v>
      </c>
      <c r="E226" s="25" t="s">
        <v>8394</v>
      </c>
      <c r="F226" s="25" t="s">
        <v>8395</v>
      </c>
      <c r="G226" s="25" t="s">
        <v>8402</v>
      </c>
      <c r="H226" s="25" t="s">
        <v>8397</v>
      </c>
      <c r="I226" s="25" t="s">
        <v>4552</v>
      </c>
      <c r="J226" s="25" t="s">
        <v>4551</v>
      </c>
      <c r="K226" s="25" t="n">
        <v>3</v>
      </c>
      <c r="L226" s="25" t="str">
        <f aca="false">IF(K226&gt;0,"Yes","No")</f>
        <v>Yes</v>
      </c>
    </row>
    <row r="227" customFormat="false" ht="15" hidden="false" customHeight="false" outlineLevel="0" collapsed="false">
      <c r="A227" s="25" t="s">
        <v>319</v>
      </c>
      <c r="B227" s="25" t="s">
        <v>8392</v>
      </c>
      <c r="C227" s="25" t="s">
        <v>8393</v>
      </c>
      <c r="D227" s="25" t="n">
        <v>9</v>
      </c>
      <c r="E227" s="25" t="s">
        <v>8394</v>
      </c>
      <c r="F227" s="25" t="s">
        <v>8395</v>
      </c>
      <c r="G227" s="25" t="s">
        <v>8402</v>
      </c>
      <c r="H227" s="25" t="s">
        <v>8399</v>
      </c>
      <c r="I227" s="25" t="s">
        <v>321</v>
      </c>
      <c r="J227" s="25" t="s">
        <v>320</v>
      </c>
      <c r="K227" s="25" t="n">
        <v>3</v>
      </c>
      <c r="L227" s="25" t="str">
        <f aca="false">IF(K227&gt;0,"Yes","No")</f>
        <v>Yes</v>
      </c>
    </row>
    <row r="228" customFormat="false" ht="15" hidden="false" customHeight="false" outlineLevel="0" collapsed="false">
      <c r="A228" s="25" t="s">
        <v>7874</v>
      </c>
      <c r="B228" s="25" t="s">
        <v>8392</v>
      </c>
      <c r="C228" s="25" t="s">
        <v>8393</v>
      </c>
      <c r="D228" s="25" t="n">
        <v>9</v>
      </c>
      <c r="E228" s="25" t="s">
        <v>8394</v>
      </c>
      <c r="F228" s="25" t="s">
        <v>8395</v>
      </c>
      <c r="G228" s="25" t="s">
        <v>8396</v>
      </c>
      <c r="H228" s="25" t="s">
        <v>8403</v>
      </c>
      <c r="I228" s="25" t="s">
        <v>7876</v>
      </c>
      <c r="J228" s="25" t="s">
        <v>7875</v>
      </c>
      <c r="K228" s="25" t="n">
        <v>3</v>
      </c>
      <c r="L228" s="25" t="str">
        <f aca="false">IF(K228&gt;0,"Yes","No")</f>
        <v>Yes</v>
      </c>
    </row>
    <row r="229" customFormat="false" ht="15" hidden="false" customHeight="false" outlineLevel="0" collapsed="false">
      <c r="A229" s="25" t="s">
        <v>5515</v>
      </c>
      <c r="B229" s="25" t="s">
        <v>8392</v>
      </c>
      <c r="C229" s="25" t="s">
        <v>8393</v>
      </c>
      <c r="D229" s="25" t="n">
        <v>9</v>
      </c>
      <c r="E229" s="25" t="s">
        <v>8394</v>
      </c>
      <c r="F229" s="25" t="s">
        <v>8395</v>
      </c>
      <c r="G229" s="25" t="s">
        <v>8396</v>
      </c>
      <c r="H229" s="25" t="s">
        <v>8399</v>
      </c>
      <c r="I229" s="25" t="s">
        <v>5517</v>
      </c>
      <c r="J229" s="25" t="s">
        <v>5516</v>
      </c>
      <c r="K229" s="25" t="n">
        <v>3</v>
      </c>
      <c r="L229" s="25" t="str">
        <f aca="false">IF(K229&gt;0,"Yes","No")</f>
        <v>Yes</v>
      </c>
    </row>
    <row r="230" customFormat="false" ht="15" hidden="false" customHeight="false" outlineLevel="0" collapsed="false">
      <c r="A230" s="25" t="s">
        <v>7209</v>
      </c>
      <c r="B230" s="25" t="s">
        <v>8392</v>
      </c>
      <c r="C230" s="25" t="s">
        <v>8393</v>
      </c>
      <c r="D230" s="25" t="n">
        <v>9</v>
      </c>
      <c r="E230" s="25" t="s">
        <v>8394</v>
      </c>
      <c r="F230" s="25" t="s">
        <v>8395</v>
      </c>
      <c r="G230" s="25" t="s">
        <v>8396</v>
      </c>
      <c r="H230" s="25" t="s">
        <v>8397</v>
      </c>
      <c r="I230" s="25" t="s">
        <v>7211</v>
      </c>
      <c r="J230" s="25" t="s">
        <v>7210</v>
      </c>
      <c r="K230" s="25" t="n">
        <v>2</v>
      </c>
      <c r="L230" s="25" t="str">
        <f aca="false">IF(K230&gt;0,"Yes","No")</f>
        <v>Yes</v>
      </c>
    </row>
    <row r="231" customFormat="false" ht="15" hidden="false" customHeight="false" outlineLevel="0" collapsed="false">
      <c r="A231" s="25" t="s">
        <v>7521</v>
      </c>
      <c r="B231" s="25" t="s">
        <v>8392</v>
      </c>
      <c r="C231" s="25" t="s">
        <v>8393</v>
      </c>
      <c r="D231" s="25" t="n">
        <v>9</v>
      </c>
      <c r="E231" s="25" t="s">
        <v>8394</v>
      </c>
      <c r="F231" s="25" t="s">
        <v>8395</v>
      </c>
      <c r="G231" s="25" t="s">
        <v>8398</v>
      </c>
      <c r="H231" s="25"/>
      <c r="I231" s="25" t="s">
        <v>775</v>
      </c>
      <c r="J231" s="25" t="s">
        <v>7522</v>
      </c>
      <c r="K231" s="25" t="n">
        <v>2</v>
      </c>
      <c r="L231" s="25" t="str">
        <f aca="false">IF(K231&gt;0,"Yes","No")</f>
        <v>Yes</v>
      </c>
    </row>
    <row r="232" customFormat="false" ht="15" hidden="false" customHeight="false" outlineLevel="0" collapsed="false">
      <c r="A232" s="25" t="s">
        <v>4906</v>
      </c>
      <c r="B232" s="25" t="s">
        <v>8392</v>
      </c>
      <c r="C232" s="25" t="s">
        <v>8393</v>
      </c>
      <c r="D232" s="25" t="n">
        <v>9</v>
      </c>
      <c r="E232" s="25" t="s">
        <v>8394</v>
      </c>
      <c r="F232" s="25" t="s">
        <v>8395</v>
      </c>
      <c r="G232" s="25" t="s">
        <v>8396</v>
      </c>
      <c r="H232" s="25" t="s">
        <v>8409</v>
      </c>
      <c r="I232" s="25" t="s">
        <v>4908</v>
      </c>
      <c r="J232" s="25" t="s">
        <v>4907</v>
      </c>
      <c r="K232" s="25" t="n">
        <v>2</v>
      </c>
      <c r="L232" s="25" t="str">
        <f aca="false">IF(K232&gt;0,"Yes","No")</f>
        <v>Yes</v>
      </c>
    </row>
    <row r="233" customFormat="false" ht="15" hidden="false" customHeight="false" outlineLevel="0" collapsed="false">
      <c r="A233" s="25" t="s">
        <v>6061</v>
      </c>
      <c r="B233" s="25" t="s">
        <v>8392</v>
      </c>
      <c r="C233" s="25" t="s">
        <v>8393</v>
      </c>
      <c r="D233" s="25" t="n">
        <v>9</v>
      </c>
      <c r="E233" s="25" t="s">
        <v>8394</v>
      </c>
      <c r="F233" s="25" t="s">
        <v>8395</v>
      </c>
      <c r="G233" s="25" t="s">
        <v>8402</v>
      </c>
      <c r="H233" s="25" t="s">
        <v>8409</v>
      </c>
      <c r="I233" s="25" t="s">
        <v>6063</v>
      </c>
      <c r="J233" s="25" t="s">
        <v>6062</v>
      </c>
      <c r="K233" s="25" t="n">
        <v>2</v>
      </c>
      <c r="L233" s="25" t="str">
        <f aca="false">IF(K233&gt;0,"Yes","No")</f>
        <v>Yes</v>
      </c>
    </row>
    <row r="234" customFormat="false" ht="15" hidden="false" customHeight="false" outlineLevel="0" collapsed="false">
      <c r="A234" s="25" t="s">
        <v>5413</v>
      </c>
      <c r="B234" s="25" t="s">
        <v>8392</v>
      </c>
      <c r="C234" s="25" t="s">
        <v>8393</v>
      </c>
      <c r="D234" s="25" t="n">
        <v>9</v>
      </c>
      <c r="E234" s="25" t="s">
        <v>8394</v>
      </c>
      <c r="F234" s="25" t="s">
        <v>8395</v>
      </c>
      <c r="G234" s="25" t="s">
        <v>8396</v>
      </c>
      <c r="H234" s="25" t="s">
        <v>8409</v>
      </c>
      <c r="I234" s="25" t="s">
        <v>5415</v>
      </c>
      <c r="J234" s="25" t="s">
        <v>5414</v>
      </c>
      <c r="K234" s="25" t="n">
        <v>2</v>
      </c>
      <c r="L234" s="25" t="str">
        <f aca="false">IF(K234&gt;0,"Yes","No")</f>
        <v>Yes</v>
      </c>
    </row>
    <row r="235" customFormat="false" ht="15" hidden="false" customHeight="false" outlineLevel="0" collapsed="false">
      <c r="A235" s="25" t="s">
        <v>7061</v>
      </c>
      <c r="B235" s="25" t="s">
        <v>8392</v>
      </c>
      <c r="C235" s="25" t="s">
        <v>8393</v>
      </c>
      <c r="D235" s="25" t="n">
        <v>9</v>
      </c>
      <c r="E235" s="25" t="s">
        <v>8394</v>
      </c>
      <c r="F235" s="25" t="s">
        <v>8395</v>
      </c>
      <c r="G235" s="25" t="s">
        <v>8396</v>
      </c>
      <c r="H235" s="25" t="s">
        <v>8399</v>
      </c>
      <c r="I235" s="25" t="s">
        <v>7063</v>
      </c>
      <c r="J235" s="25" t="s">
        <v>7062</v>
      </c>
      <c r="K235" s="25" t="n">
        <v>2</v>
      </c>
      <c r="L235" s="25" t="str">
        <f aca="false">IF(K235&gt;0,"Yes","No")</f>
        <v>Yes</v>
      </c>
    </row>
    <row r="236" customFormat="false" ht="15" hidden="false" customHeight="false" outlineLevel="0" collapsed="false">
      <c r="A236" s="25" t="s">
        <v>2009</v>
      </c>
      <c r="B236" s="25" t="s">
        <v>8392</v>
      </c>
      <c r="C236" s="25" t="s">
        <v>8393</v>
      </c>
      <c r="D236" s="25" t="n">
        <v>9</v>
      </c>
      <c r="E236" s="25" t="s">
        <v>8394</v>
      </c>
      <c r="F236" s="25" t="s">
        <v>8395</v>
      </c>
      <c r="G236" s="25" t="s">
        <v>8396</v>
      </c>
      <c r="H236" s="25" t="s">
        <v>8397</v>
      </c>
      <c r="I236" s="25" t="s">
        <v>676</v>
      </c>
      <c r="J236" s="25" t="s">
        <v>2010</v>
      </c>
      <c r="K236" s="25" t="n">
        <v>2</v>
      </c>
      <c r="L236" s="25" t="str">
        <f aca="false">IF(K236&gt;0,"Yes","No")</f>
        <v>Yes</v>
      </c>
    </row>
    <row r="237" customFormat="false" ht="15" hidden="false" customHeight="false" outlineLevel="0" collapsed="false">
      <c r="A237" s="25" t="s">
        <v>559</v>
      </c>
      <c r="B237" s="25" t="s">
        <v>8392</v>
      </c>
      <c r="C237" s="25" t="s">
        <v>8393</v>
      </c>
      <c r="D237" s="25" t="n">
        <v>9</v>
      </c>
      <c r="E237" s="25" t="s">
        <v>8394</v>
      </c>
      <c r="F237" s="25" t="s">
        <v>8395</v>
      </c>
      <c r="G237" s="25" t="s">
        <v>8398</v>
      </c>
      <c r="H237" s="25"/>
      <c r="I237" s="25" t="s">
        <v>515</v>
      </c>
      <c r="J237" s="25" t="s">
        <v>560</v>
      </c>
      <c r="K237" s="25" t="n">
        <v>2</v>
      </c>
      <c r="L237" s="25" t="str">
        <f aca="false">IF(K237&gt;0,"Yes","No")</f>
        <v>Yes</v>
      </c>
    </row>
    <row r="238" customFormat="false" ht="15" hidden="false" customHeight="false" outlineLevel="0" collapsed="false">
      <c r="A238" s="25" t="s">
        <v>5426</v>
      </c>
      <c r="B238" s="25" t="s">
        <v>8392</v>
      </c>
      <c r="C238" s="25" t="s">
        <v>8393</v>
      </c>
      <c r="D238" s="25" t="n">
        <v>9</v>
      </c>
      <c r="E238" s="25" t="s">
        <v>8394</v>
      </c>
      <c r="F238" s="25" t="s">
        <v>8395</v>
      </c>
      <c r="G238" s="25" t="s">
        <v>8398</v>
      </c>
      <c r="H238" s="25"/>
      <c r="I238" s="25" t="s">
        <v>5428</v>
      </c>
      <c r="J238" s="25" t="s">
        <v>5427</v>
      </c>
      <c r="K238" s="25" t="n">
        <v>2</v>
      </c>
      <c r="L238" s="25" t="str">
        <f aca="false">IF(K238&gt;0,"Yes","No")</f>
        <v>Yes</v>
      </c>
    </row>
    <row r="239" customFormat="false" ht="15" hidden="false" customHeight="false" outlineLevel="0" collapsed="false">
      <c r="A239" s="25" t="s">
        <v>4417</v>
      </c>
      <c r="B239" s="25" t="s">
        <v>8392</v>
      </c>
      <c r="C239" s="25" t="s">
        <v>8393</v>
      </c>
      <c r="D239" s="25" t="n">
        <v>9</v>
      </c>
      <c r="E239" s="25" t="s">
        <v>8394</v>
      </c>
      <c r="F239" s="25" t="s">
        <v>8395</v>
      </c>
      <c r="G239" s="25" t="s">
        <v>8396</v>
      </c>
      <c r="H239" s="25" t="s">
        <v>8403</v>
      </c>
      <c r="I239" s="25" t="s">
        <v>4418</v>
      </c>
      <c r="J239" s="25" t="s">
        <v>1358</v>
      </c>
      <c r="K239" s="25" t="n">
        <v>2</v>
      </c>
      <c r="L239" s="25" t="str">
        <f aca="false">IF(K239&gt;0,"Yes","No")</f>
        <v>Yes</v>
      </c>
    </row>
    <row r="240" customFormat="false" ht="15" hidden="false" customHeight="false" outlineLevel="0" collapsed="false">
      <c r="A240" s="25" t="s">
        <v>1612</v>
      </c>
      <c r="B240" s="25" t="s">
        <v>8392</v>
      </c>
      <c r="C240" s="25" t="s">
        <v>8393</v>
      </c>
      <c r="D240" s="25" t="n">
        <v>9</v>
      </c>
      <c r="E240" s="25" t="s">
        <v>8394</v>
      </c>
      <c r="F240" s="25" t="s">
        <v>8395</v>
      </c>
      <c r="G240" s="25" t="s">
        <v>8396</v>
      </c>
      <c r="H240" s="25" t="s">
        <v>8399</v>
      </c>
      <c r="I240" s="25" t="s">
        <v>1613</v>
      </c>
      <c r="J240" s="25" t="s">
        <v>1358</v>
      </c>
      <c r="K240" s="25" t="n">
        <v>2</v>
      </c>
      <c r="L240" s="25" t="str">
        <f aca="false">IF(K240&gt;0,"Yes","No")</f>
        <v>Yes</v>
      </c>
    </row>
    <row r="241" customFormat="false" ht="15" hidden="false" customHeight="false" outlineLevel="0" collapsed="false">
      <c r="A241" s="25" t="s">
        <v>2238</v>
      </c>
      <c r="B241" s="25" t="s">
        <v>8392</v>
      </c>
      <c r="C241" s="25" t="s">
        <v>8393</v>
      </c>
      <c r="D241" s="25" t="n">
        <v>9</v>
      </c>
      <c r="E241" s="25" t="s">
        <v>8394</v>
      </c>
      <c r="F241" s="25" t="s">
        <v>8395</v>
      </c>
      <c r="G241" s="25" t="s">
        <v>8396</v>
      </c>
      <c r="H241" s="25" t="s">
        <v>8397</v>
      </c>
      <c r="I241" s="25" t="s">
        <v>2240</v>
      </c>
      <c r="J241" s="25" t="s">
        <v>2239</v>
      </c>
      <c r="K241" s="25" t="n">
        <v>2</v>
      </c>
      <c r="L241" s="25" t="str">
        <f aca="false">IF(K241&gt;0,"Yes","No")</f>
        <v>Yes</v>
      </c>
    </row>
    <row r="242" customFormat="false" ht="15" hidden="false" customHeight="false" outlineLevel="0" collapsed="false">
      <c r="A242" s="25" t="s">
        <v>6056</v>
      </c>
      <c r="B242" s="25" t="s">
        <v>8392</v>
      </c>
      <c r="C242" s="25" t="s">
        <v>8393</v>
      </c>
      <c r="D242" s="25" t="n">
        <v>9</v>
      </c>
      <c r="E242" s="25" t="s">
        <v>8394</v>
      </c>
      <c r="F242" s="25" t="s">
        <v>8395</v>
      </c>
      <c r="G242" s="25" t="s">
        <v>8396</v>
      </c>
      <c r="H242" s="25" t="s">
        <v>8409</v>
      </c>
      <c r="I242" s="25" t="s">
        <v>6058</v>
      </c>
      <c r="J242" s="25" t="s">
        <v>6057</v>
      </c>
      <c r="K242" s="25" t="n">
        <v>2</v>
      </c>
      <c r="L242" s="25" t="str">
        <f aca="false">IF(K242&gt;0,"Yes","No")</f>
        <v>Yes</v>
      </c>
    </row>
    <row r="243" customFormat="false" ht="15" hidden="false" customHeight="false" outlineLevel="0" collapsed="false">
      <c r="A243" s="25" t="s">
        <v>5711</v>
      </c>
      <c r="B243" s="25" t="s">
        <v>8392</v>
      </c>
      <c r="C243" s="25" t="s">
        <v>8393</v>
      </c>
      <c r="D243" s="25" t="n">
        <v>9</v>
      </c>
      <c r="E243" s="25" t="s">
        <v>8394</v>
      </c>
      <c r="F243" s="25" t="s">
        <v>8395</v>
      </c>
      <c r="G243" s="25" t="s">
        <v>8396</v>
      </c>
      <c r="H243" s="25" t="s">
        <v>8397</v>
      </c>
      <c r="I243" s="25" t="s">
        <v>5713</v>
      </c>
      <c r="J243" s="25" t="s">
        <v>5712</v>
      </c>
      <c r="K243" s="25" t="n">
        <v>2</v>
      </c>
      <c r="L243" s="25" t="str">
        <f aca="false">IF(K243&gt;0,"Yes","No")</f>
        <v>Yes</v>
      </c>
    </row>
    <row r="244" customFormat="false" ht="15" hidden="false" customHeight="false" outlineLevel="0" collapsed="false">
      <c r="A244" s="25" t="s">
        <v>5474</v>
      </c>
      <c r="B244" s="25" t="s">
        <v>8392</v>
      </c>
      <c r="C244" s="25" t="s">
        <v>8393</v>
      </c>
      <c r="D244" s="25" t="n">
        <v>9</v>
      </c>
      <c r="E244" s="25" t="s">
        <v>8394</v>
      </c>
      <c r="F244" s="25" t="s">
        <v>8395</v>
      </c>
      <c r="G244" s="25" t="s">
        <v>8396</v>
      </c>
      <c r="H244" s="25" t="s">
        <v>8399</v>
      </c>
      <c r="I244" s="25" t="s">
        <v>5476</v>
      </c>
      <c r="J244" s="25" t="s">
        <v>5475</v>
      </c>
      <c r="K244" s="25" t="n">
        <v>2</v>
      </c>
      <c r="L244" s="25" t="str">
        <f aca="false">IF(K244&gt;0,"Yes","No")</f>
        <v>Yes</v>
      </c>
    </row>
    <row r="245" customFormat="false" ht="15" hidden="false" customHeight="false" outlineLevel="0" collapsed="false">
      <c r="A245" s="25" t="s">
        <v>7918</v>
      </c>
      <c r="B245" s="25" t="s">
        <v>8392</v>
      </c>
      <c r="C245" s="25" t="s">
        <v>8393</v>
      </c>
      <c r="D245" s="25" t="n">
        <v>9</v>
      </c>
      <c r="E245" s="25" t="s">
        <v>8394</v>
      </c>
      <c r="F245" s="25" t="s">
        <v>8395</v>
      </c>
      <c r="G245" s="25" t="s">
        <v>8396</v>
      </c>
      <c r="H245" s="25" t="s">
        <v>8403</v>
      </c>
      <c r="I245" s="25" t="s">
        <v>7920</v>
      </c>
      <c r="J245" s="25" t="s">
        <v>7919</v>
      </c>
      <c r="K245" s="25" t="n">
        <v>2</v>
      </c>
      <c r="L245" s="25" t="str">
        <f aca="false">IF(K245&gt;0,"Yes","No")</f>
        <v>Yes</v>
      </c>
    </row>
    <row r="246" customFormat="false" ht="15" hidden="false" customHeight="false" outlineLevel="0" collapsed="false">
      <c r="A246" s="25" t="s">
        <v>350</v>
      </c>
      <c r="B246" s="25" t="s">
        <v>8392</v>
      </c>
      <c r="C246" s="25" t="s">
        <v>8393</v>
      </c>
      <c r="D246" s="25" t="n">
        <v>9</v>
      </c>
      <c r="E246" s="25" t="s">
        <v>8394</v>
      </c>
      <c r="F246" s="25" t="s">
        <v>8395</v>
      </c>
      <c r="G246" s="25" t="s">
        <v>8396</v>
      </c>
      <c r="H246" s="25" t="s">
        <v>8397</v>
      </c>
      <c r="I246" s="25" t="s">
        <v>351</v>
      </c>
      <c r="J246" s="25" t="s">
        <v>341</v>
      </c>
      <c r="K246" s="25" t="n">
        <v>2</v>
      </c>
      <c r="L246" s="25" t="str">
        <f aca="false">IF(K246&gt;0,"Yes","No")</f>
        <v>Yes</v>
      </c>
    </row>
    <row r="247" customFormat="false" ht="15" hidden="false" customHeight="false" outlineLevel="0" collapsed="false">
      <c r="A247" s="25" t="s">
        <v>340</v>
      </c>
      <c r="B247" s="25" t="s">
        <v>8392</v>
      </c>
      <c r="C247" s="25" t="s">
        <v>8393</v>
      </c>
      <c r="D247" s="25" t="n">
        <v>9</v>
      </c>
      <c r="E247" s="25" t="s">
        <v>8394</v>
      </c>
      <c r="F247" s="25" t="s">
        <v>8395</v>
      </c>
      <c r="G247" s="25" t="s">
        <v>8396</v>
      </c>
      <c r="H247" s="25"/>
      <c r="I247" s="25" t="s">
        <v>342</v>
      </c>
      <c r="J247" s="25" t="s">
        <v>341</v>
      </c>
      <c r="K247" s="25" t="n">
        <v>2</v>
      </c>
      <c r="L247" s="25" t="str">
        <f aca="false">IF(K247&gt;0,"Yes","No")</f>
        <v>Yes</v>
      </c>
    </row>
    <row r="248" customFormat="false" ht="15" hidden="false" customHeight="false" outlineLevel="0" collapsed="false">
      <c r="A248" s="25" t="s">
        <v>7994</v>
      </c>
      <c r="B248" s="25" t="s">
        <v>8392</v>
      </c>
      <c r="C248" s="25" t="s">
        <v>8393</v>
      </c>
      <c r="D248" s="25" t="n">
        <v>9</v>
      </c>
      <c r="E248" s="25" t="s">
        <v>8394</v>
      </c>
      <c r="F248" s="25" t="s">
        <v>8395</v>
      </c>
      <c r="G248" s="25" t="s">
        <v>8398</v>
      </c>
      <c r="H248" s="25"/>
      <c r="I248" s="25" t="s">
        <v>7995</v>
      </c>
      <c r="J248" s="25" t="s">
        <v>341</v>
      </c>
      <c r="K248" s="25" t="n">
        <v>2</v>
      </c>
      <c r="L248" s="25" t="str">
        <f aca="false">IF(K248&gt;0,"Yes","No")</f>
        <v>Yes</v>
      </c>
    </row>
    <row r="249" customFormat="false" ht="15" hidden="false" customHeight="false" outlineLevel="0" collapsed="false">
      <c r="A249" s="25" t="s">
        <v>723</v>
      </c>
      <c r="B249" s="25" t="s">
        <v>8392</v>
      </c>
      <c r="C249" s="25" t="s">
        <v>8393</v>
      </c>
      <c r="D249" s="25" t="n">
        <v>9</v>
      </c>
      <c r="E249" s="25" t="s">
        <v>8394</v>
      </c>
      <c r="F249" s="25" t="s">
        <v>8395</v>
      </c>
      <c r="G249" s="25" t="s">
        <v>8398</v>
      </c>
      <c r="H249" s="25"/>
      <c r="I249" s="25" t="s">
        <v>725</v>
      </c>
      <c r="J249" s="25" t="s">
        <v>724</v>
      </c>
      <c r="K249" s="25" t="n">
        <v>2</v>
      </c>
      <c r="L249" s="25" t="str">
        <f aca="false">IF(K249&gt;0,"Yes","No")</f>
        <v>Yes</v>
      </c>
    </row>
    <row r="250" customFormat="false" ht="15" hidden="false" customHeight="false" outlineLevel="0" collapsed="false">
      <c r="A250" s="25" t="s">
        <v>3364</v>
      </c>
      <c r="B250" s="25" t="s">
        <v>8392</v>
      </c>
      <c r="C250" s="25" t="s">
        <v>8393</v>
      </c>
      <c r="D250" s="25" t="n">
        <v>9</v>
      </c>
      <c r="E250" s="25" t="s">
        <v>8394</v>
      </c>
      <c r="F250" s="25" t="s">
        <v>8395</v>
      </c>
      <c r="G250" s="25" t="s">
        <v>8396</v>
      </c>
      <c r="H250" s="25" t="s">
        <v>8406</v>
      </c>
      <c r="I250" s="25" t="s">
        <v>3366</v>
      </c>
      <c r="J250" s="25" t="s">
        <v>3365</v>
      </c>
      <c r="K250" s="25" t="n">
        <v>2</v>
      </c>
      <c r="L250" s="25" t="str">
        <f aca="false">IF(K250&gt;0,"Yes","No")</f>
        <v>Yes</v>
      </c>
    </row>
    <row r="251" customFormat="false" ht="15" hidden="false" customHeight="false" outlineLevel="0" collapsed="false">
      <c r="A251" s="25" t="s">
        <v>987</v>
      </c>
      <c r="B251" s="25" t="s">
        <v>8392</v>
      </c>
      <c r="C251" s="25" t="s">
        <v>8393</v>
      </c>
      <c r="D251" s="25" t="n">
        <v>9</v>
      </c>
      <c r="E251" s="25" t="s">
        <v>8394</v>
      </c>
      <c r="F251" s="25" t="s">
        <v>8395</v>
      </c>
      <c r="G251" s="25" t="s">
        <v>8402</v>
      </c>
      <c r="H251" s="25" t="s">
        <v>8399</v>
      </c>
      <c r="I251" s="25" t="s">
        <v>989</v>
      </c>
      <c r="J251" s="25" t="s">
        <v>988</v>
      </c>
      <c r="K251" s="25" t="n">
        <v>2</v>
      </c>
      <c r="L251" s="25" t="str">
        <f aca="false">IF(K251&gt;0,"Yes","No")</f>
        <v>Yes</v>
      </c>
    </row>
    <row r="252" customFormat="false" ht="15" hidden="false" customHeight="false" outlineLevel="0" collapsed="false">
      <c r="A252" s="25" t="s">
        <v>3003</v>
      </c>
      <c r="B252" s="25" t="s">
        <v>8392</v>
      </c>
      <c r="C252" s="25" t="s">
        <v>8393</v>
      </c>
      <c r="D252" s="25" t="n">
        <v>9</v>
      </c>
      <c r="E252" s="25" t="s">
        <v>8394</v>
      </c>
      <c r="F252" s="25" t="s">
        <v>8395</v>
      </c>
      <c r="G252" s="25" t="s">
        <v>8396</v>
      </c>
      <c r="H252" s="25" t="s">
        <v>8399</v>
      </c>
      <c r="I252" s="25" t="s">
        <v>3005</v>
      </c>
      <c r="J252" s="25" t="s">
        <v>3004</v>
      </c>
      <c r="K252" s="25" t="n">
        <v>2</v>
      </c>
      <c r="L252" s="25" t="str">
        <f aca="false">IF(K252&gt;0,"Yes","No")</f>
        <v>Yes</v>
      </c>
    </row>
    <row r="253" customFormat="false" ht="15" hidden="false" customHeight="false" outlineLevel="0" collapsed="false">
      <c r="A253" s="25" t="s">
        <v>3188</v>
      </c>
      <c r="B253" s="25" t="s">
        <v>8392</v>
      </c>
      <c r="C253" s="25" t="s">
        <v>8393</v>
      </c>
      <c r="D253" s="25" t="n">
        <v>9</v>
      </c>
      <c r="E253" s="25" t="s">
        <v>8394</v>
      </c>
      <c r="F253" s="25" t="s">
        <v>8395</v>
      </c>
      <c r="G253" s="25" t="s">
        <v>8398</v>
      </c>
      <c r="H253" s="25"/>
      <c r="I253" s="25" t="s">
        <v>3190</v>
      </c>
      <c r="J253" s="25" t="s">
        <v>3189</v>
      </c>
      <c r="K253" s="25" t="n">
        <v>2</v>
      </c>
      <c r="L253" s="25" t="str">
        <f aca="false">IF(K253&gt;0,"Yes","No")</f>
        <v>Yes</v>
      </c>
    </row>
    <row r="254" customFormat="false" ht="15" hidden="false" customHeight="false" outlineLevel="0" collapsed="false">
      <c r="A254" s="25" t="s">
        <v>1826</v>
      </c>
      <c r="B254" s="25" t="s">
        <v>8392</v>
      </c>
      <c r="C254" s="25" t="s">
        <v>8393</v>
      </c>
      <c r="D254" s="25" t="n">
        <v>9</v>
      </c>
      <c r="E254" s="25" t="s">
        <v>8394</v>
      </c>
      <c r="F254" s="25" t="s">
        <v>8395</v>
      </c>
      <c r="G254" s="25" t="s">
        <v>8402</v>
      </c>
      <c r="H254" s="25" t="s">
        <v>8397</v>
      </c>
      <c r="I254" s="25" t="s">
        <v>1828</v>
      </c>
      <c r="J254" s="25" t="s">
        <v>1827</v>
      </c>
      <c r="K254" s="25" t="n">
        <v>2</v>
      </c>
      <c r="L254" s="25" t="str">
        <f aca="false">IF(K254&gt;0,"Yes","No")</f>
        <v>Yes</v>
      </c>
    </row>
    <row r="255" customFormat="false" ht="15" hidden="false" customHeight="false" outlineLevel="0" collapsed="false">
      <c r="A255" s="25" t="s">
        <v>2275</v>
      </c>
      <c r="B255" s="25" t="s">
        <v>8392</v>
      </c>
      <c r="C255" s="25" t="s">
        <v>8393</v>
      </c>
      <c r="D255" s="25" t="n">
        <v>9</v>
      </c>
      <c r="E255" s="25" t="s">
        <v>8394</v>
      </c>
      <c r="F255" s="25" t="s">
        <v>8395</v>
      </c>
      <c r="G255" s="25" t="s">
        <v>8398</v>
      </c>
      <c r="H255" s="25"/>
      <c r="I255" s="25" t="s">
        <v>2277</v>
      </c>
      <c r="J255" s="25" t="s">
        <v>2276</v>
      </c>
      <c r="K255" s="25" t="n">
        <v>2</v>
      </c>
      <c r="L255" s="25" t="str">
        <f aca="false">IF(K255&gt;0,"Yes","No")</f>
        <v>Yes</v>
      </c>
    </row>
    <row r="256" customFormat="false" ht="15" hidden="false" customHeight="false" outlineLevel="0" collapsed="false">
      <c r="A256" s="25" t="s">
        <v>3320</v>
      </c>
      <c r="B256" s="25" t="s">
        <v>8392</v>
      </c>
      <c r="C256" s="25" t="s">
        <v>8393</v>
      </c>
      <c r="D256" s="25" t="n">
        <v>9</v>
      </c>
      <c r="E256" s="25" t="s">
        <v>8394</v>
      </c>
      <c r="F256" s="25" t="s">
        <v>8395</v>
      </c>
      <c r="G256" s="25" t="s">
        <v>8398</v>
      </c>
      <c r="H256" s="25"/>
      <c r="I256" s="25" t="s">
        <v>3322</v>
      </c>
      <c r="J256" s="25" t="s">
        <v>3321</v>
      </c>
      <c r="K256" s="25" t="n">
        <v>2</v>
      </c>
      <c r="L256" s="25" t="str">
        <f aca="false">IF(K256&gt;0,"Yes","No")</f>
        <v>Yes</v>
      </c>
    </row>
    <row r="257" customFormat="false" ht="15" hidden="false" customHeight="false" outlineLevel="0" collapsed="false">
      <c r="A257" s="25" t="s">
        <v>6380</v>
      </c>
      <c r="B257" s="25" t="s">
        <v>8392</v>
      </c>
      <c r="C257" s="25" t="s">
        <v>8393</v>
      </c>
      <c r="D257" s="25" t="n">
        <v>9</v>
      </c>
      <c r="E257" s="25" t="s">
        <v>8394</v>
      </c>
      <c r="F257" s="25" t="s">
        <v>8395</v>
      </c>
      <c r="G257" s="25" t="s">
        <v>8398</v>
      </c>
      <c r="H257" s="25"/>
      <c r="I257" s="25" t="s">
        <v>6382</v>
      </c>
      <c r="J257" s="25" t="s">
        <v>6381</v>
      </c>
      <c r="K257" s="25" t="n">
        <v>2</v>
      </c>
      <c r="L257" s="25" t="str">
        <f aca="false">IF(K257&gt;0,"Yes","No")</f>
        <v>Yes</v>
      </c>
    </row>
    <row r="258" customFormat="false" ht="15" hidden="false" customHeight="false" outlineLevel="0" collapsed="false">
      <c r="A258" s="25" t="s">
        <v>2574</v>
      </c>
      <c r="B258" s="25" t="s">
        <v>8392</v>
      </c>
      <c r="C258" s="25" t="s">
        <v>8393</v>
      </c>
      <c r="D258" s="25" t="n">
        <v>9</v>
      </c>
      <c r="E258" s="25" t="s">
        <v>8394</v>
      </c>
      <c r="F258" s="25" t="s">
        <v>8395</v>
      </c>
      <c r="G258" s="25" t="s">
        <v>8396</v>
      </c>
      <c r="H258" s="25" t="s">
        <v>8397</v>
      </c>
      <c r="I258" s="25" t="s">
        <v>2576</v>
      </c>
      <c r="J258" s="25" t="s">
        <v>2575</v>
      </c>
      <c r="K258" s="25" t="n">
        <v>2</v>
      </c>
      <c r="L258" s="25" t="str">
        <f aca="false">IF(K258&gt;0,"Yes","No")</f>
        <v>Yes</v>
      </c>
    </row>
    <row r="259" customFormat="false" ht="15" hidden="false" customHeight="false" outlineLevel="0" collapsed="false">
      <c r="A259" s="25" t="s">
        <v>2662</v>
      </c>
      <c r="B259" s="25" t="s">
        <v>8392</v>
      </c>
      <c r="C259" s="25" t="s">
        <v>8393</v>
      </c>
      <c r="D259" s="25" t="n">
        <v>9</v>
      </c>
      <c r="E259" s="25" t="s">
        <v>8394</v>
      </c>
      <c r="F259" s="25" t="s">
        <v>8395</v>
      </c>
      <c r="G259" s="25" t="s">
        <v>8396</v>
      </c>
      <c r="H259" s="25" t="s">
        <v>8403</v>
      </c>
      <c r="I259" s="25" t="s">
        <v>2664</v>
      </c>
      <c r="J259" s="25" t="s">
        <v>2663</v>
      </c>
      <c r="K259" s="25" t="n">
        <v>1</v>
      </c>
      <c r="L259" s="25" t="str">
        <f aca="false">IF(K259&gt;0,"Yes","No")</f>
        <v>Yes</v>
      </c>
    </row>
    <row r="260" customFormat="false" ht="15" hidden="false" customHeight="false" outlineLevel="0" collapsed="false">
      <c r="A260" s="25" t="s">
        <v>7214</v>
      </c>
      <c r="B260" s="25" t="s">
        <v>8392</v>
      </c>
      <c r="C260" s="25" t="s">
        <v>8393</v>
      </c>
      <c r="D260" s="25" t="n">
        <v>9</v>
      </c>
      <c r="E260" s="25" t="s">
        <v>8394</v>
      </c>
      <c r="F260" s="25" t="s">
        <v>8395</v>
      </c>
      <c r="G260" s="25" t="s">
        <v>8396</v>
      </c>
      <c r="H260" s="25" t="s">
        <v>8397</v>
      </c>
      <c r="I260" s="25" t="s">
        <v>7215</v>
      </c>
      <c r="J260" s="25" t="s">
        <v>7210</v>
      </c>
      <c r="K260" s="25" t="n">
        <v>1</v>
      </c>
      <c r="L260" s="25" t="str">
        <f aca="false">IF(K260&gt;0,"Yes","No")</f>
        <v>Yes</v>
      </c>
    </row>
    <row r="261" customFormat="false" ht="15" hidden="false" customHeight="false" outlineLevel="0" collapsed="false">
      <c r="A261" s="25" t="s">
        <v>8220</v>
      </c>
      <c r="B261" s="25" t="s">
        <v>8392</v>
      </c>
      <c r="C261" s="25" t="s">
        <v>8393</v>
      </c>
      <c r="D261" s="25" t="n">
        <v>9</v>
      </c>
      <c r="E261" s="25" t="s">
        <v>8394</v>
      </c>
      <c r="F261" s="25" t="s">
        <v>8395</v>
      </c>
      <c r="G261" s="25" t="s">
        <v>8396</v>
      </c>
      <c r="H261" s="25" t="s">
        <v>8399</v>
      </c>
      <c r="I261" s="25" t="s">
        <v>659</v>
      </c>
      <c r="J261" s="25" t="s">
        <v>8221</v>
      </c>
      <c r="K261" s="25" t="n">
        <v>1</v>
      </c>
      <c r="L261" s="25" t="str">
        <f aca="false">IF(K261&gt;0,"Yes","No")</f>
        <v>Yes</v>
      </c>
    </row>
    <row r="262" customFormat="false" ht="15" hidden="false" customHeight="false" outlineLevel="0" collapsed="false">
      <c r="A262" s="25" t="s">
        <v>7270</v>
      </c>
      <c r="B262" s="25" t="s">
        <v>8392</v>
      </c>
      <c r="C262" s="25" t="s">
        <v>8393</v>
      </c>
      <c r="D262" s="25" t="n">
        <v>9</v>
      </c>
      <c r="E262" s="25" t="s">
        <v>8394</v>
      </c>
      <c r="F262" s="25" t="s">
        <v>8395</v>
      </c>
      <c r="G262" s="25" t="s">
        <v>8396</v>
      </c>
      <c r="H262" s="25" t="s">
        <v>8399</v>
      </c>
      <c r="I262" s="25" t="s">
        <v>7272</v>
      </c>
      <c r="J262" s="25" t="s">
        <v>7271</v>
      </c>
      <c r="K262" s="25" t="n">
        <v>1</v>
      </c>
      <c r="L262" s="25" t="str">
        <f aca="false">IF(K262&gt;0,"Yes","No")</f>
        <v>Yes</v>
      </c>
    </row>
    <row r="263" customFormat="false" ht="15" hidden="false" customHeight="false" outlineLevel="0" collapsed="false">
      <c r="A263" s="25" t="s">
        <v>6007</v>
      </c>
      <c r="B263" s="25" t="s">
        <v>8392</v>
      </c>
      <c r="C263" s="25" t="s">
        <v>8393</v>
      </c>
      <c r="D263" s="25" t="n">
        <v>9</v>
      </c>
      <c r="E263" s="25" t="s">
        <v>8394</v>
      </c>
      <c r="F263" s="25" t="s">
        <v>8395</v>
      </c>
      <c r="G263" s="25" t="s">
        <v>8398</v>
      </c>
      <c r="H263" s="25"/>
      <c r="I263" s="25" t="s">
        <v>515</v>
      </c>
      <c r="J263" s="25" t="s">
        <v>6008</v>
      </c>
      <c r="K263" s="25" t="n">
        <v>1</v>
      </c>
      <c r="L263" s="25" t="str">
        <f aca="false">IF(K263&gt;0,"Yes","No")</f>
        <v>Yes</v>
      </c>
    </row>
    <row r="264" customFormat="false" ht="15" hidden="false" customHeight="false" outlineLevel="0" collapsed="false">
      <c r="A264" s="25" t="s">
        <v>6707</v>
      </c>
      <c r="B264" s="25" t="s">
        <v>8392</v>
      </c>
      <c r="C264" s="25" t="s">
        <v>8393</v>
      </c>
      <c r="D264" s="25" t="n">
        <v>9</v>
      </c>
      <c r="E264" s="25" t="s">
        <v>8394</v>
      </c>
      <c r="F264" s="25" t="s">
        <v>8395</v>
      </c>
      <c r="G264" s="25" t="s">
        <v>8396</v>
      </c>
      <c r="H264" s="25" t="s">
        <v>8399</v>
      </c>
      <c r="I264" s="25" t="s">
        <v>6709</v>
      </c>
      <c r="J264" s="25" t="s">
        <v>6708</v>
      </c>
      <c r="K264" s="25" t="n">
        <v>1</v>
      </c>
      <c r="L264" s="25" t="str">
        <f aca="false">IF(K264&gt;0,"Yes","No")</f>
        <v>Yes</v>
      </c>
    </row>
    <row r="265" customFormat="false" ht="15" hidden="false" customHeight="false" outlineLevel="0" collapsed="false">
      <c r="A265" s="25" t="s">
        <v>2973</v>
      </c>
      <c r="B265" s="25" t="s">
        <v>8392</v>
      </c>
      <c r="C265" s="25" t="s">
        <v>8393</v>
      </c>
      <c r="D265" s="25" t="n">
        <v>9</v>
      </c>
      <c r="E265" s="25" t="s">
        <v>8394</v>
      </c>
      <c r="F265" s="25" t="s">
        <v>8395</v>
      </c>
      <c r="G265" s="25" t="s">
        <v>8396</v>
      </c>
      <c r="H265" s="25" t="s">
        <v>8397</v>
      </c>
      <c r="I265" s="25" t="s">
        <v>2975</v>
      </c>
      <c r="J265" s="25" t="s">
        <v>2974</v>
      </c>
      <c r="K265" s="25" t="n">
        <v>1</v>
      </c>
      <c r="L265" s="25" t="str">
        <f aca="false">IF(K265&gt;0,"Yes","No")</f>
        <v>Yes</v>
      </c>
    </row>
    <row r="266" customFormat="false" ht="15" hidden="false" customHeight="false" outlineLevel="0" collapsed="false">
      <c r="A266" s="25" t="s">
        <v>2823</v>
      </c>
      <c r="B266" s="25" t="s">
        <v>8392</v>
      </c>
      <c r="C266" s="25" t="s">
        <v>8393</v>
      </c>
      <c r="D266" s="25" t="n">
        <v>9</v>
      </c>
      <c r="E266" s="25" t="s">
        <v>8394</v>
      </c>
      <c r="F266" s="25" t="s">
        <v>8395</v>
      </c>
      <c r="G266" s="25" t="s">
        <v>8396</v>
      </c>
      <c r="H266" s="25" t="s">
        <v>8403</v>
      </c>
      <c r="I266" s="25" t="s">
        <v>2825</v>
      </c>
      <c r="J266" s="25" t="s">
        <v>2824</v>
      </c>
      <c r="K266" s="25" t="n">
        <v>1</v>
      </c>
      <c r="L266" s="25" t="str">
        <f aca="false">IF(K266&gt;0,"Yes","No")</f>
        <v>Yes</v>
      </c>
    </row>
    <row r="267" customFormat="false" ht="15" hidden="false" customHeight="false" outlineLevel="0" collapsed="false">
      <c r="A267" s="25" t="s">
        <v>7318</v>
      </c>
      <c r="B267" s="25" t="s">
        <v>8392</v>
      </c>
      <c r="C267" s="25" t="s">
        <v>8393</v>
      </c>
      <c r="D267" s="25" t="n">
        <v>9</v>
      </c>
      <c r="E267" s="25" t="s">
        <v>8394</v>
      </c>
      <c r="F267" s="25" t="s">
        <v>8395</v>
      </c>
      <c r="G267" s="25" t="s">
        <v>8396</v>
      </c>
      <c r="H267" s="25" t="s">
        <v>8399</v>
      </c>
      <c r="I267" s="25" t="s">
        <v>7319</v>
      </c>
      <c r="J267" s="25" t="s">
        <v>7306</v>
      </c>
      <c r="K267" s="25" t="n">
        <v>1</v>
      </c>
      <c r="L267" s="25" t="str">
        <f aca="false">IF(K267&gt;0,"Yes","No")</f>
        <v>Yes</v>
      </c>
    </row>
    <row r="268" customFormat="false" ht="15" hidden="false" customHeight="false" outlineLevel="0" collapsed="false">
      <c r="A268" s="25" t="s">
        <v>7042</v>
      </c>
      <c r="B268" s="25" t="s">
        <v>8392</v>
      </c>
      <c r="C268" s="25" t="s">
        <v>8393</v>
      </c>
      <c r="D268" s="25" t="n">
        <v>9</v>
      </c>
      <c r="E268" s="25" t="s">
        <v>8394</v>
      </c>
      <c r="F268" s="25" t="s">
        <v>8395</v>
      </c>
      <c r="G268" s="25" t="s">
        <v>8398</v>
      </c>
      <c r="H268" s="25"/>
      <c r="I268" s="25" t="s">
        <v>1359</v>
      </c>
      <c r="J268" s="25" t="s">
        <v>509</v>
      </c>
      <c r="K268" s="25" t="n">
        <v>1</v>
      </c>
      <c r="L268" s="25" t="str">
        <f aca="false">IF(K268&gt;0,"Yes","No")</f>
        <v>Yes</v>
      </c>
    </row>
    <row r="269" customFormat="false" ht="15" hidden="false" customHeight="false" outlineLevel="0" collapsed="false">
      <c r="A269" s="25" t="s">
        <v>7593</v>
      </c>
      <c r="B269" s="25" t="s">
        <v>8392</v>
      </c>
      <c r="C269" s="25" t="s">
        <v>8393</v>
      </c>
      <c r="D269" s="25" t="n">
        <v>9</v>
      </c>
      <c r="E269" s="25" t="s">
        <v>8394</v>
      </c>
      <c r="F269" s="25" t="s">
        <v>8395</v>
      </c>
      <c r="G269" s="25" t="s">
        <v>8398</v>
      </c>
      <c r="H269" s="25"/>
      <c r="I269" s="25" t="s">
        <v>1359</v>
      </c>
      <c r="J269" s="25" t="s">
        <v>1352</v>
      </c>
      <c r="K269" s="25" t="n">
        <v>1</v>
      </c>
      <c r="L269" s="25" t="str">
        <f aca="false">IF(K269&gt;0,"Yes","No")</f>
        <v>Yes</v>
      </c>
    </row>
    <row r="270" customFormat="false" ht="15" hidden="false" customHeight="false" outlineLevel="0" collapsed="false">
      <c r="A270" s="25" t="s">
        <v>2934</v>
      </c>
      <c r="B270" s="25" t="s">
        <v>8392</v>
      </c>
      <c r="C270" s="25" t="s">
        <v>8393</v>
      </c>
      <c r="D270" s="25" t="n">
        <v>9</v>
      </c>
      <c r="E270" s="25" t="s">
        <v>8394</v>
      </c>
      <c r="F270" s="25" t="s">
        <v>8395</v>
      </c>
      <c r="G270" s="25" t="s">
        <v>8402</v>
      </c>
      <c r="H270" s="25"/>
      <c r="I270" s="25" t="s">
        <v>2935</v>
      </c>
      <c r="J270" s="25" t="s">
        <v>2693</v>
      </c>
      <c r="K270" s="25" t="n">
        <v>1</v>
      </c>
      <c r="L270" s="25" t="str">
        <f aca="false">IF(K270&gt;0,"Yes","No")</f>
        <v>Yes</v>
      </c>
    </row>
    <row r="271" customFormat="false" ht="15" hidden="false" customHeight="false" outlineLevel="0" collapsed="false">
      <c r="A271" s="25" t="s">
        <v>5489</v>
      </c>
      <c r="B271" s="25" t="s">
        <v>8392</v>
      </c>
      <c r="C271" s="25" t="s">
        <v>8393</v>
      </c>
      <c r="D271" s="25" t="n">
        <v>9</v>
      </c>
      <c r="E271" s="25" t="s">
        <v>8394</v>
      </c>
      <c r="F271" s="25" t="s">
        <v>8395</v>
      </c>
      <c r="G271" s="25" t="s">
        <v>8398</v>
      </c>
      <c r="H271" s="25"/>
      <c r="I271" s="25" t="s">
        <v>1359</v>
      </c>
      <c r="J271" s="25" t="s">
        <v>5490</v>
      </c>
      <c r="K271" s="25" t="n">
        <v>1</v>
      </c>
      <c r="L271" s="25" t="str">
        <f aca="false">IF(K271&gt;0,"Yes","No")</f>
        <v>Yes</v>
      </c>
    </row>
    <row r="272" customFormat="false" ht="15" hidden="false" customHeight="false" outlineLevel="0" collapsed="false">
      <c r="A272" s="25" t="s">
        <v>5068</v>
      </c>
      <c r="B272" s="25" t="s">
        <v>8392</v>
      </c>
      <c r="C272" s="25" t="s">
        <v>8393</v>
      </c>
      <c r="D272" s="25" t="n">
        <v>9</v>
      </c>
      <c r="E272" s="25" t="s">
        <v>8394</v>
      </c>
      <c r="F272" s="25" t="s">
        <v>8395</v>
      </c>
      <c r="G272" s="25" t="s">
        <v>8398</v>
      </c>
      <c r="H272" s="25"/>
      <c r="I272" s="25" t="s">
        <v>725</v>
      </c>
      <c r="J272" s="25" t="s">
        <v>5069</v>
      </c>
      <c r="K272" s="25" t="n">
        <v>1</v>
      </c>
      <c r="L272" s="25" t="str">
        <f aca="false">IF(K272&gt;0,"Yes","No")</f>
        <v>Yes</v>
      </c>
    </row>
    <row r="273" customFormat="false" ht="15" hidden="false" customHeight="false" outlineLevel="0" collapsed="false">
      <c r="A273" s="25" t="s">
        <v>5380</v>
      </c>
      <c r="B273" s="25" t="s">
        <v>8392</v>
      </c>
      <c r="C273" s="25" t="s">
        <v>8393</v>
      </c>
      <c r="D273" s="25" t="n">
        <v>9</v>
      </c>
      <c r="E273" s="25" t="s">
        <v>8394</v>
      </c>
      <c r="F273" s="25" t="s">
        <v>8395</v>
      </c>
      <c r="G273" s="25" t="s">
        <v>8396</v>
      </c>
      <c r="H273" s="25" t="s">
        <v>8397</v>
      </c>
      <c r="I273" s="25" t="s">
        <v>5381</v>
      </c>
      <c r="J273" s="25" t="s">
        <v>1358</v>
      </c>
      <c r="K273" s="25" t="n">
        <v>1</v>
      </c>
      <c r="L273" s="25" t="str">
        <f aca="false">IF(K273&gt;0,"Yes","No")</f>
        <v>Yes</v>
      </c>
    </row>
    <row r="274" customFormat="false" ht="15" hidden="false" customHeight="false" outlineLevel="0" collapsed="false">
      <c r="A274" s="25" t="s">
        <v>2029</v>
      </c>
      <c r="B274" s="25" t="s">
        <v>8392</v>
      </c>
      <c r="C274" s="25" t="s">
        <v>8393</v>
      </c>
      <c r="D274" s="25" t="n">
        <v>9</v>
      </c>
      <c r="E274" s="25" t="s">
        <v>8394</v>
      </c>
      <c r="F274" s="25" t="s">
        <v>8395</v>
      </c>
      <c r="G274" s="25" t="s">
        <v>8398</v>
      </c>
      <c r="H274" s="25"/>
      <c r="I274" s="25" t="s">
        <v>2030</v>
      </c>
      <c r="J274" s="25" t="s">
        <v>1358</v>
      </c>
      <c r="K274" s="25" t="n">
        <v>1</v>
      </c>
      <c r="L274" s="25" t="str">
        <f aca="false">IF(K274&gt;0,"Yes","No")</f>
        <v>Yes</v>
      </c>
    </row>
    <row r="275" customFormat="false" ht="15" hidden="false" customHeight="false" outlineLevel="0" collapsed="false">
      <c r="A275" s="25" t="s">
        <v>5976</v>
      </c>
      <c r="B275" s="25" t="s">
        <v>8392</v>
      </c>
      <c r="C275" s="25" t="s">
        <v>8393</v>
      </c>
      <c r="D275" s="25" t="n">
        <v>9</v>
      </c>
      <c r="E275" s="25" t="s">
        <v>8394</v>
      </c>
      <c r="F275" s="25" t="s">
        <v>8395</v>
      </c>
      <c r="G275" s="25" t="s">
        <v>8396</v>
      </c>
      <c r="H275" s="25" t="s">
        <v>8403</v>
      </c>
      <c r="I275" s="25" t="s">
        <v>5977</v>
      </c>
      <c r="J275" s="25" t="s">
        <v>1358</v>
      </c>
      <c r="K275" s="25" t="n">
        <v>1</v>
      </c>
      <c r="L275" s="25" t="str">
        <f aca="false">IF(K275&gt;0,"Yes","No")</f>
        <v>Yes</v>
      </c>
    </row>
    <row r="276" customFormat="false" ht="15" hidden="false" customHeight="false" outlineLevel="0" collapsed="false">
      <c r="A276" s="25" t="s">
        <v>2358</v>
      </c>
      <c r="B276" s="25" t="s">
        <v>8392</v>
      </c>
      <c r="C276" s="25" t="s">
        <v>8393</v>
      </c>
      <c r="D276" s="25" t="n">
        <v>9</v>
      </c>
      <c r="E276" s="25" t="s">
        <v>8394</v>
      </c>
      <c r="F276" s="25" t="s">
        <v>8395</v>
      </c>
      <c r="G276" s="25" t="s">
        <v>8396</v>
      </c>
      <c r="H276" s="25" t="s">
        <v>8399</v>
      </c>
      <c r="I276" s="25" t="s">
        <v>2231</v>
      </c>
      <c r="J276" s="25" t="s">
        <v>1358</v>
      </c>
      <c r="K276" s="25" t="n">
        <v>1</v>
      </c>
      <c r="L276" s="25" t="str">
        <f aca="false">IF(K276&gt;0,"Yes","No")</f>
        <v>Yes</v>
      </c>
    </row>
    <row r="277" customFormat="false" ht="15" hidden="false" customHeight="false" outlineLevel="0" collapsed="false">
      <c r="A277" s="25" t="s">
        <v>2354</v>
      </c>
      <c r="B277" s="25" t="s">
        <v>8392</v>
      </c>
      <c r="C277" s="25" t="s">
        <v>8393</v>
      </c>
      <c r="D277" s="25" t="n">
        <v>9</v>
      </c>
      <c r="E277" s="25" t="s">
        <v>8394</v>
      </c>
      <c r="F277" s="25" t="s">
        <v>8395</v>
      </c>
      <c r="G277" s="25" t="s">
        <v>8398</v>
      </c>
      <c r="H277" s="25"/>
      <c r="I277" s="25" t="s">
        <v>2355</v>
      </c>
      <c r="J277" s="25" t="s">
        <v>1358</v>
      </c>
      <c r="K277" s="25" t="n">
        <v>1</v>
      </c>
      <c r="L277" s="25" t="str">
        <f aca="false">IF(K277&gt;0,"Yes","No")</f>
        <v>Yes</v>
      </c>
    </row>
    <row r="278" customFormat="false" ht="15" hidden="false" customHeight="false" outlineLevel="0" collapsed="false">
      <c r="A278" s="25" t="s">
        <v>5487</v>
      </c>
      <c r="B278" s="25" t="s">
        <v>8392</v>
      </c>
      <c r="C278" s="25" t="s">
        <v>8393</v>
      </c>
      <c r="D278" s="25" t="n">
        <v>9</v>
      </c>
      <c r="E278" s="25" t="s">
        <v>8394</v>
      </c>
      <c r="F278" s="25" t="s">
        <v>8395</v>
      </c>
      <c r="G278" s="25" t="s">
        <v>8396</v>
      </c>
      <c r="H278" s="25" t="s">
        <v>8397</v>
      </c>
      <c r="I278" s="25" t="s">
        <v>5488</v>
      </c>
      <c r="J278" s="25" t="s">
        <v>1358</v>
      </c>
      <c r="K278" s="25" t="n">
        <v>1</v>
      </c>
      <c r="L278" s="25" t="str">
        <f aca="false">IF(K278&gt;0,"Yes","No")</f>
        <v>Yes</v>
      </c>
    </row>
    <row r="279" customFormat="false" ht="15" hidden="false" customHeight="false" outlineLevel="0" collapsed="false">
      <c r="A279" s="25" t="s">
        <v>6009</v>
      </c>
      <c r="B279" s="25" t="s">
        <v>8392</v>
      </c>
      <c r="C279" s="25" t="s">
        <v>8393</v>
      </c>
      <c r="D279" s="25" t="n">
        <v>9</v>
      </c>
      <c r="E279" s="25" t="s">
        <v>8394</v>
      </c>
      <c r="F279" s="25" t="s">
        <v>8395</v>
      </c>
      <c r="G279" s="25" t="s">
        <v>8398</v>
      </c>
      <c r="H279" s="25"/>
      <c r="I279" s="25" t="s">
        <v>725</v>
      </c>
      <c r="J279" s="25" t="s">
        <v>1358</v>
      </c>
      <c r="K279" s="25" t="n">
        <v>1</v>
      </c>
      <c r="L279" s="25" t="str">
        <f aca="false">IF(K279&gt;0,"Yes","No")</f>
        <v>Yes</v>
      </c>
    </row>
    <row r="280" customFormat="false" ht="15" hidden="false" customHeight="false" outlineLevel="0" collapsed="false">
      <c r="A280" s="25" t="s">
        <v>2340</v>
      </c>
      <c r="B280" s="25" t="s">
        <v>8392</v>
      </c>
      <c r="C280" s="25" t="s">
        <v>8393</v>
      </c>
      <c r="D280" s="25" t="n">
        <v>9</v>
      </c>
      <c r="E280" s="25" t="s">
        <v>8394</v>
      </c>
      <c r="F280" s="25" t="s">
        <v>8395</v>
      </c>
      <c r="G280" s="25" t="s">
        <v>8396</v>
      </c>
      <c r="H280" s="25" t="s">
        <v>8410</v>
      </c>
      <c r="I280" s="25" t="s">
        <v>2342</v>
      </c>
      <c r="J280" s="25" t="s">
        <v>2341</v>
      </c>
      <c r="K280" s="25" t="n">
        <v>1</v>
      </c>
      <c r="L280" s="25" t="str">
        <f aca="false">IF(K280&gt;0,"Yes","No")</f>
        <v>Yes</v>
      </c>
    </row>
    <row r="281" customFormat="false" ht="15" hidden="false" customHeight="false" outlineLevel="0" collapsed="false">
      <c r="A281" s="25" t="s">
        <v>456</v>
      </c>
      <c r="B281" s="25" t="s">
        <v>8392</v>
      </c>
      <c r="C281" s="25" t="s">
        <v>8393</v>
      </c>
      <c r="D281" s="25" t="n">
        <v>9</v>
      </c>
      <c r="E281" s="25" t="s">
        <v>8394</v>
      </c>
      <c r="F281" s="25" t="s">
        <v>8395</v>
      </c>
      <c r="G281" s="25" t="s">
        <v>8398</v>
      </c>
      <c r="H281" s="25"/>
      <c r="I281" s="25" t="s">
        <v>458</v>
      </c>
      <c r="J281" s="25" t="s">
        <v>457</v>
      </c>
      <c r="K281" s="25" t="n">
        <v>1</v>
      </c>
      <c r="L281" s="25" t="str">
        <f aca="false">IF(K281&gt;0,"Yes","No")</f>
        <v>Yes</v>
      </c>
    </row>
    <row r="282" customFormat="false" ht="15" hidden="false" customHeight="false" outlineLevel="0" collapsed="false">
      <c r="A282" s="25" t="s">
        <v>7143</v>
      </c>
      <c r="B282" s="25" t="s">
        <v>8392</v>
      </c>
      <c r="C282" s="25" t="s">
        <v>8393</v>
      </c>
      <c r="D282" s="25" t="n">
        <v>9</v>
      </c>
      <c r="E282" s="25" t="s">
        <v>8394</v>
      </c>
      <c r="F282" s="25" t="s">
        <v>8395</v>
      </c>
      <c r="G282" s="25" t="s">
        <v>8398</v>
      </c>
      <c r="H282" s="25"/>
      <c r="I282" s="25" t="s">
        <v>515</v>
      </c>
      <c r="J282" s="25" t="s">
        <v>7144</v>
      </c>
      <c r="K282" s="25" t="n">
        <v>1</v>
      </c>
      <c r="L282" s="25" t="str">
        <f aca="false">IF(K282&gt;0,"Yes","No")</f>
        <v>Yes</v>
      </c>
    </row>
    <row r="283" customFormat="false" ht="15" hidden="false" customHeight="false" outlineLevel="0" collapsed="false">
      <c r="A283" s="25" t="s">
        <v>6003</v>
      </c>
      <c r="B283" s="25" t="s">
        <v>8392</v>
      </c>
      <c r="C283" s="25" t="s">
        <v>8393</v>
      </c>
      <c r="D283" s="25" t="n">
        <v>9</v>
      </c>
      <c r="E283" s="25" t="s">
        <v>8394</v>
      </c>
      <c r="F283" s="25" t="s">
        <v>8395</v>
      </c>
      <c r="G283" s="25" t="s">
        <v>8398</v>
      </c>
      <c r="H283" s="25"/>
      <c r="I283" s="25" t="s">
        <v>515</v>
      </c>
      <c r="J283" s="25" t="s">
        <v>3563</v>
      </c>
      <c r="K283" s="25" t="n">
        <v>1</v>
      </c>
      <c r="L283" s="25" t="str">
        <f aca="false">IF(K283&gt;0,"Yes","No")</f>
        <v>Yes</v>
      </c>
    </row>
    <row r="284" customFormat="false" ht="15" hidden="false" customHeight="false" outlineLevel="0" collapsed="false">
      <c r="A284" s="25" t="s">
        <v>3359</v>
      </c>
      <c r="B284" s="25" t="s">
        <v>8392</v>
      </c>
      <c r="C284" s="25" t="s">
        <v>8393</v>
      </c>
      <c r="D284" s="25" t="n">
        <v>9</v>
      </c>
      <c r="E284" s="25" t="s">
        <v>8394</v>
      </c>
      <c r="F284" s="25" t="s">
        <v>8395</v>
      </c>
      <c r="G284" s="25" t="s">
        <v>8396</v>
      </c>
      <c r="H284" s="25"/>
      <c r="I284" s="25" t="s">
        <v>3361</v>
      </c>
      <c r="J284" s="25" t="s">
        <v>3360</v>
      </c>
      <c r="K284" s="25" t="n">
        <v>1</v>
      </c>
      <c r="L284" s="25" t="str">
        <f aca="false">IF(K284&gt;0,"Yes","No")</f>
        <v>Yes</v>
      </c>
    </row>
    <row r="285" customFormat="false" ht="15" hidden="false" customHeight="false" outlineLevel="0" collapsed="false">
      <c r="A285" s="25" t="s">
        <v>6985</v>
      </c>
      <c r="B285" s="25" t="s">
        <v>8392</v>
      </c>
      <c r="C285" s="25" t="s">
        <v>8393</v>
      </c>
      <c r="D285" s="25" t="n">
        <v>9</v>
      </c>
      <c r="E285" s="25" t="s">
        <v>8394</v>
      </c>
      <c r="F285" s="25" t="s">
        <v>8395</v>
      </c>
      <c r="G285" s="25" t="s">
        <v>8396</v>
      </c>
      <c r="H285" s="25"/>
      <c r="I285" s="25" t="s">
        <v>6987</v>
      </c>
      <c r="J285" s="25" t="s">
        <v>6986</v>
      </c>
      <c r="K285" s="25" t="n">
        <v>1</v>
      </c>
      <c r="L285" s="25" t="str">
        <f aca="false">IF(K285&gt;0,"Yes","No")</f>
        <v>Yes</v>
      </c>
    </row>
    <row r="286" customFormat="false" ht="15" hidden="false" customHeight="false" outlineLevel="0" collapsed="false">
      <c r="A286" s="25" t="s">
        <v>4200</v>
      </c>
      <c r="B286" s="25" t="s">
        <v>8392</v>
      </c>
      <c r="C286" s="25" t="s">
        <v>8393</v>
      </c>
      <c r="D286" s="25" t="n">
        <v>9</v>
      </c>
      <c r="E286" s="25" t="s">
        <v>8394</v>
      </c>
      <c r="F286" s="25" t="s">
        <v>8395</v>
      </c>
      <c r="G286" s="25" t="s">
        <v>8398</v>
      </c>
      <c r="H286" s="25"/>
      <c r="I286" s="25" t="s">
        <v>4202</v>
      </c>
      <c r="J286" s="25" t="s">
        <v>4201</v>
      </c>
      <c r="K286" s="25" t="n">
        <v>1</v>
      </c>
      <c r="L286" s="25" t="str">
        <f aca="false">IF(K286&gt;0,"Yes","No")</f>
        <v>Yes</v>
      </c>
    </row>
    <row r="287" customFormat="false" ht="15" hidden="false" customHeight="false" outlineLevel="0" collapsed="false">
      <c r="A287" s="25" t="s">
        <v>930</v>
      </c>
      <c r="B287" s="25" t="s">
        <v>8392</v>
      </c>
      <c r="C287" s="25" t="s">
        <v>8393</v>
      </c>
      <c r="D287" s="25" t="n">
        <v>9</v>
      </c>
      <c r="E287" s="25" t="s">
        <v>8394</v>
      </c>
      <c r="F287" s="25" t="s">
        <v>8395</v>
      </c>
      <c r="G287" s="25" t="s">
        <v>8398</v>
      </c>
      <c r="H287" s="25"/>
      <c r="I287" s="25" t="s">
        <v>725</v>
      </c>
      <c r="J287" s="25" t="s">
        <v>931</v>
      </c>
      <c r="K287" s="25" t="n">
        <v>1</v>
      </c>
      <c r="L287" s="25" t="str">
        <f aca="false">IF(K287&gt;0,"Yes","No")</f>
        <v>Yes</v>
      </c>
    </row>
    <row r="288" customFormat="false" ht="15" hidden="false" customHeight="false" outlineLevel="0" collapsed="false">
      <c r="A288" s="25" t="s">
        <v>451</v>
      </c>
      <c r="B288" s="25" t="s">
        <v>8392</v>
      </c>
      <c r="C288" s="25" t="s">
        <v>8393</v>
      </c>
      <c r="D288" s="25" t="n">
        <v>9</v>
      </c>
      <c r="E288" s="25" t="s">
        <v>8394</v>
      </c>
      <c r="F288" s="25" t="s">
        <v>8395</v>
      </c>
      <c r="G288" s="25" t="s">
        <v>8396</v>
      </c>
      <c r="H288" s="25"/>
      <c r="I288" s="25" t="s">
        <v>453</v>
      </c>
      <c r="J288" s="25" t="s">
        <v>452</v>
      </c>
      <c r="K288" s="25" t="n">
        <v>1</v>
      </c>
      <c r="L288" s="25" t="str">
        <f aca="false">IF(K288&gt;0,"Yes","No")</f>
        <v>Yes</v>
      </c>
    </row>
    <row r="289" customFormat="false" ht="15" hidden="false" customHeight="false" outlineLevel="0" collapsed="false">
      <c r="A289" s="25" t="s">
        <v>1005</v>
      </c>
      <c r="B289" s="25" t="s">
        <v>8392</v>
      </c>
      <c r="C289" s="25" t="s">
        <v>8393</v>
      </c>
      <c r="D289" s="25" t="n">
        <v>9</v>
      </c>
      <c r="E289" s="25" t="s">
        <v>8394</v>
      </c>
      <c r="F289" s="25" t="s">
        <v>8395</v>
      </c>
      <c r="G289" s="25" t="s">
        <v>8396</v>
      </c>
      <c r="H289" s="25" t="s">
        <v>8397</v>
      </c>
      <c r="I289" s="25" t="s">
        <v>1006</v>
      </c>
      <c r="J289" s="25" t="s">
        <v>341</v>
      </c>
      <c r="K289" s="25" t="n">
        <v>1</v>
      </c>
      <c r="L289" s="25" t="str">
        <f aca="false">IF(K289&gt;0,"Yes","No")</f>
        <v>Yes</v>
      </c>
    </row>
    <row r="290" customFormat="false" ht="15" hidden="false" customHeight="false" outlineLevel="0" collapsed="false">
      <c r="A290" s="25" t="s">
        <v>1060</v>
      </c>
      <c r="B290" s="25" t="s">
        <v>8392</v>
      </c>
      <c r="C290" s="25" t="s">
        <v>8393</v>
      </c>
      <c r="D290" s="25" t="n">
        <v>9</v>
      </c>
      <c r="E290" s="25" t="s">
        <v>8394</v>
      </c>
      <c r="F290" s="25" t="s">
        <v>8395</v>
      </c>
      <c r="G290" s="25" t="s">
        <v>8398</v>
      </c>
      <c r="H290" s="25"/>
      <c r="I290" s="25" t="s">
        <v>1061</v>
      </c>
      <c r="J290" s="25" t="s">
        <v>341</v>
      </c>
      <c r="K290" s="25" t="n">
        <v>1</v>
      </c>
      <c r="L290" s="25" t="str">
        <f aca="false">IF(K290&gt;0,"Yes","No")</f>
        <v>Yes</v>
      </c>
    </row>
    <row r="291" customFormat="false" ht="15" hidden="false" customHeight="false" outlineLevel="0" collapsed="false">
      <c r="A291" s="25" t="s">
        <v>7831</v>
      </c>
      <c r="B291" s="25" t="s">
        <v>8392</v>
      </c>
      <c r="C291" s="25" t="s">
        <v>8393</v>
      </c>
      <c r="D291" s="25" t="n">
        <v>9</v>
      </c>
      <c r="E291" s="25" t="s">
        <v>8394</v>
      </c>
      <c r="F291" s="25" t="s">
        <v>8395</v>
      </c>
      <c r="G291" s="25" t="s">
        <v>8398</v>
      </c>
      <c r="H291" s="25"/>
      <c r="I291" s="25" t="s">
        <v>7833</v>
      </c>
      <c r="J291" s="25" t="s">
        <v>7832</v>
      </c>
      <c r="K291" s="25" t="n">
        <v>1</v>
      </c>
      <c r="L291" s="25" t="str">
        <f aca="false">IF(K291&gt;0,"Yes","No")</f>
        <v>Yes</v>
      </c>
    </row>
    <row r="292" customFormat="false" ht="15" hidden="false" customHeight="false" outlineLevel="0" collapsed="false">
      <c r="A292" s="25" t="s">
        <v>435</v>
      </c>
      <c r="B292" s="25" t="s">
        <v>8392</v>
      </c>
      <c r="C292" s="25" t="s">
        <v>8393</v>
      </c>
      <c r="D292" s="25" t="n">
        <v>9</v>
      </c>
      <c r="E292" s="25" t="s">
        <v>8394</v>
      </c>
      <c r="F292" s="25" t="s">
        <v>8395</v>
      </c>
      <c r="G292" s="25" t="s">
        <v>8402</v>
      </c>
      <c r="H292" s="25" t="s">
        <v>8411</v>
      </c>
      <c r="I292" s="25" t="s">
        <v>437</v>
      </c>
      <c r="J292" s="25" t="s">
        <v>436</v>
      </c>
      <c r="K292" s="25" t="n">
        <v>1</v>
      </c>
      <c r="L292" s="25" t="str">
        <f aca="false">IF(K292&gt;0,"Yes","No")</f>
        <v>Yes</v>
      </c>
    </row>
    <row r="293" customFormat="false" ht="15" hidden="false" customHeight="false" outlineLevel="0" collapsed="false">
      <c r="A293" s="25" t="s">
        <v>7949</v>
      </c>
      <c r="B293" s="25" t="s">
        <v>8392</v>
      </c>
      <c r="C293" s="25" t="s">
        <v>8393</v>
      </c>
      <c r="D293" s="25" t="n">
        <v>9</v>
      </c>
      <c r="E293" s="25" t="s">
        <v>8394</v>
      </c>
      <c r="F293" s="25" t="s">
        <v>8395</v>
      </c>
      <c r="G293" s="25" t="s">
        <v>8398</v>
      </c>
      <c r="H293" s="25"/>
      <c r="I293" s="25" t="s">
        <v>7951</v>
      </c>
      <c r="J293" s="25" t="s">
        <v>7950</v>
      </c>
      <c r="K293" s="25" t="n">
        <v>1</v>
      </c>
      <c r="L293" s="25" t="str">
        <f aca="false">IF(K293&gt;0,"Yes","No")</f>
        <v>Yes</v>
      </c>
    </row>
    <row r="294" customFormat="false" ht="15" hidden="false" customHeight="false" outlineLevel="0" collapsed="false">
      <c r="A294" s="25" t="s">
        <v>2646</v>
      </c>
      <c r="B294" s="25" t="s">
        <v>8392</v>
      </c>
      <c r="C294" s="25" t="s">
        <v>8393</v>
      </c>
      <c r="D294" s="25" t="n">
        <v>9</v>
      </c>
      <c r="E294" s="25" t="s">
        <v>8394</v>
      </c>
      <c r="F294" s="25" t="s">
        <v>8395</v>
      </c>
      <c r="G294" s="25" t="s">
        <v>8398</v>
      </c>
      <c r="H294" s="25"/>
      <c r="I294" s="25" t="s">
        <v>2648</v>
      </c>
      <c r="J294" s="25" t="s">
        <v>2647</v>
      </c>
      <c r="K294" s="25" t="n">
        <v>1</v>
      </c>
      <c r="L294" s="25" t="str">
        <f aca="false">IF(K294&gt;0,"Yes","No")</f>
        <v>Yes</v>
      </c>
    </row>
    <row r="295" customFormat="false" ht="15" hidden="false" customHeight="false" outlineLevel="0" collapsed="false">
      <c r="A295" s="25" t="s">
        <v>7187</v>
      </c>
      <c r="B295" s="25" t="s">
        <v>8392</v>
      </c>
      <c r="C295" s="25" t="s">
        <v>8393</v>
      </c>
      <c r="D295" s="25" t="n">
        <v>9</v>
      </c>
      <c r="E295" s="25" t="s">
        <v>8394</v>
      </c>
      <c r="F295" s="25" t="s">
        <v>8395</v>
      </c>
      <c r="G295" s="25" t="s">
        <v>8402</v>
      </c>
      <c r="H295" s="25" t="s">
        <v>8399</v>
      </c>
      <c r="I295" s="25" t="s">
        <v>7188</v>
      </c>
      <c r="J295" s="25" t="s">
        <v>6046</v>
      </c>
      <c r="K295" s="25" t="n">
        <v>1</v>
      </c>
      <c r="L295" s="25" t="str">
        <f aca="false">IF(K295&gt;0,"Yes","No")</f>
        <v>Yes</v>
      </c>
    </row>
    <row r="296" customFormat="false" ht="15" hidden="false" customHeight="false" outlineLevel="0" collapsed="false">
      <c r="A296" s="25" t="s">
        <v>6045</v>
      </c>
      <c r="B296" s="25" t="s">
        <v>8392</v>
      </c>
      <c r="C296" s="25" t="s">
        <v>8393</v>
      </c>
      <c r="D296" s="25" t="n">
        <v>9</v>
      </c>
      <c r="E296" s="25" t="s">
        <v>8394</v>
      </c>
      <c r="F296" s="25" t="s">
        <v>8395</v>
      </c>
      <c r="G296" s="25" t="s">
        <v>8402</v>
      </c>
      <c r="H296" s="25" t="s">
        <v>8399</v>
      </c>
      <c r="I296" s="25" t="s">
        <v>6047</v>
      </c>
      <c r="J296" s="25" t="s">
        <v>6046</v>
      </c>
      <c r="K296" s="25" t="n">
        <v>1</v>
      </c>
      <c r="L296" s="25" t="str">
        <f aca="false">IF(K296&gt;0,"Yes","No")</f>
        <v>Yes</v>
      </c>
    </row>
    <row r="297" customFormat="false" ht="15" hidden="false" customHeight="false" outlineLevel="0" collapsed="false">
      <c r="A297" s="25" t="s">
        <v>4115</v>
      </c>
      <c r="B297" s="25" t="s">
        <v>8392</v>
      </c>
      <c r="C297" s="25" t="s">
        <v>8393</v>
      </c>
      <c r="D297" s="25" t="n">
        <v>9</v>
      </c>
      <c r="E297" s="25" t="s">
        <v>8394</v>
      </c>
      <c r="F297" s="25" t="s">
        <v>8395</v>
      </c>
      <c r="G297" s="25" t="s">
        <v>8398</v>
      </c>
      <c r="H297" s="25"/>
      <c r="I297" s="25" t="s">
        <v>4117</v>
      </c>
      <c r="J297" s="25" t="s">
        <v>4116</v>
      </c>
      <c r="K297" s="25" t="n">
        <v>1</v>
      </c>
      <c r="L297" s="25" t="str">
        <f aca="false">IF(K297&gt;0,"Yes","No")</f>
        <v>Yes</v>
      </c>
    </row>
    <row r="298" customFormat="false" ht="15" hidden="false" customHeight="false" outlineLevel="0" collapsed="false">
      <c r="A298" s="25" t="s">
        <v>5600</v>
      </c>
      <c r="B298" s="25" t="s">
        <v>8392</v>
      </c>
      <c r="C298" s="25" t="s">
        <v>8393</v>
      </c>
      <c r="D298" s="25" t="n">
        <v>9</v>
      </c>
      <c r="E298" s="25" t="s">
        <v>8394</v>
      </c>
      <c r="F298" s="25" t="s">
        <v>8395</v>
      </c>
      <c r="G298" s="25" t="s">
        <v>8398</v>
      </c>
      <c r="H298" s="25"/>
      <c r="I298" s="25" t="s">
        <v>5601</v>
      </c>
      <c r="J298" s="25" t="s">
        <v>4116</v>
      </c>
      <c r="K298" s="25" t="n">
        <v>1</v>
      </c>
      <c r="L298" s="25" t="str">
        <f aca="false">IF(K298&gt;0,"Yes","No")</f>
        <v>Yes</v>
      </c>
    </row>
    <row r="299" customFormat="false" ht="15" hidden="false" customHeight="false" outlineLevel="0" collapsed="false">
      <c r="A299" s="25" t="s">
        <v>1263</v>
      </c>
      <c r="B299" s="25" t="s">
        <v>8392</v>
      </c>
      <c r="C299" s="25" t="s">
        <v>8393</v>
      </c>
      <c r="D299" s="25" t="n">
        <v>9</v>
      </c>
      <c r="E299" s="25" t="s">
        <v>8394</v>
      </c>
      <c r="F299" s="25" t="s">
        <v>8395</v>
      </c>
      <c r="G299" s="25" t="s">
        <v>8402</v>
      </c>
      <c r="H299" s="25" t="s">
        <v>8399</v>
      </c>
      <c r="I299" s="25" t="s">
        <v>1265</v>
      </c>
      <c r="J299" s="25" t="s">
        <v>1264</v>
      </c>
      <c r="K299" s="25" t="n">
        <v>1</v>
      </c>
      <c r="L299" s="25" t="str">
        <f aca="false">IF(K299&gt;0,"Yes","No")</f>
        <v>Yes</v>
      </c>
    </row>
    <row r="300" customFormat="false" ht="15" hidden="false" customHeight="false" outlineLevel="0" collapsed="false">
      <c r="A300" s="25" t="s">
        <v>4017</v>
      </c>
      <c r="B300" s="25" t="s">
        <v>8392</v>
      </c>
      <c r="C300" s="25" t="s">
        <v>8393</v>
      </c>
      <c r="D300" s="25" t="n">
        <v>9</v>
      </c>
      <c r="E300" s="25" t="s">
        <v>8394</v>
      </c>
      <c r="F300" s="25" t="s">
        <v>8395</v>
      </c>
      <c r="G300" s="25" t="s">
        <v>8396</v>
      </c>
      <c r="H300" s="25" t="s">
        <v>8397</v>
      </c>
      <c r="I300" s="25" t="s">
        <v>4019</v>
      </c>
      <c r="J300" s="25" t="s">
        <v>4018</v>
      </c>
      <c r="K300" s="25" t="n">
        <v>1</v>
      </c>
      <c r="L300" s="25" t="str">
        <f aca="false">IF(K300&gt;0,"Yes","No")</f>
        <v>Yes</v>
      </c>
    </row>
    <row r="301" customFormat="false" ht="15" hidden="false" customHeight="false" outlineLevel="0" collapsed="false">
      <c r="A301" s="25" t="s">
        <v>6435</v>
      </c>
      <c r="B301" s="25" t="s">
        <v>8392</v>
      </c>
      <c r="C301" s="25" t="s">
        <v>8393</v>
      </c>
      <c r="D301" s="25" t="n">
        <v>9</v>
      </c>
      <c r="E301" s="25" t="s">
        <v>8394</v>
      </c>
      <c r="F301" s="25" t="s">
        <v>8395</v>
      </c>
      <c r="G301" s="25" t="s">
        <v>8398</v>
      </c>
      <c r="H301" s="25"/>
      <c r="I301" s="25" t="s">
        <v>6436</v>
      </c>
      <c r="J301" s="25" t="s">
        <v>4018</v>
      </c>
      <c r="K301" s="25" t="n">
        <v>1</v>
      </c>
      <c r="L301" s="25" t="str">
        <f aca="false">IF(K301&gt;0,"Yes","No")</f>
        <v>Yes</v>
      </c>
    </row>
    <row r="302" customFormat="false" ht="15" hidden="false" customHeight="false" outlineLevel="0" collapsed="false">
      <c r="A302" s="25" t="s">
        <v>1992</v>
      </c>
      <c r="B302" s="25" t="s">
        <v>8392</v>
      </c>
      <c r="C302" s="25" t="s">
        <v>8393</v>
      </c>
      <c r="D302" s="25" t="n">
        <v>9</v>
      </c>
      <c r="E302" s="25" t="s">
        <v>8394</v>
      </c>
      <c r="F302" s="25" t="s">
        <v>8395</v>
      </c>
      <c r="G302" s="25" t="s">
        <v>8396</v>
      </c>
      <c r="H302" s="25" t="s">
        <v>8408</v>
      </c>
      <c r="I302" s="25" t="s">
        <v>1993</v>
      </c>
      <c r="J302" s="25" t="s">
        <v>1827</v>
      </c>
      <c r="K302" s="25" t="n">
        <v>1</v>
      </c>
      <c r="L302" s="25" t="str">
        <f aca="false">IF(K302&gt;0,"Yes","No")</f>
        <v>Yes</v>
      </c>
    </row>
    <row r="303" customFormat="false" ht="15" hidden="false" customHeight="false" outlineLevel="0" collapsed="false">
      <c r="A303" s="25" t="s">
        <v>4617</v>
      </c>
      <c r="B303" s="25" t="s">
        <v>8392</v>
      </c>
      <c r="C303" s="25" t="s">
        <v>8393</v>
      </c>
      <c r="D303" s="25" t="n">
        <v>9</v>
      </c>
      <c r="E303" s="25" t="s">
        <v>8394</v>
      </c>
      <c r="F303" s="25" t="s">
        <v>8395</v>
      </c>
      <c r="G303" s="25" t="s">
        <v>8398</v>
      </c>
      <c r="H303" s="25"/>
      <c r="I303" s="25" t="s">
        <v>407</v>
      </c>
      <c r="J303" s="25" t="s">
        <v>1827</v>
      </c>
      <c r="K303" s="25" t="n">
        <v>1</v>
      </c>
      <c r="L303" s="25" t="str">
        <f aca="false">IF(K303&gt;0,"Yes","No")</f>
        <v>Yes</v>
      </c>
    </row>
    <row r="304" customFormat="false" ht="15" hidden="false" customHeight="false" outlineLevel="0" collapsed="false">
      <c r="A304" s="25" t="s">
        <v>8034</v>
      </c>
      <c r="B304" s="25" t="s">
        <v>8392</v>
      </c>
      <c r="C304" s="25" t="s">
        <v>8393</v>
      </c>
      <c r="D304" s="25" t="n">
        <v>9</v>
      </c>
      <c r="E304" s="25" t="s">
        <v>8394</v>
      </c>
      <c r="F304" s="25" t="s">
        <v>8395</v>
      </c>
      <c r="G304" s="25" t="s">
        <v>8398</v>
      </c>
      <c r="H304" s="25"/>
      <c r="I304" s="25" t="s">
        <v>5428</v>
      </c>
      <c r="J304" s="25" t="s">
        <v>1827</v>
      </c>
      <c r="K304" s="25" t="n">
        <v>1</v>
      </c>
      <c r="L304" s="25" t="str">
        <f aca="false">IF(K304&gt;0,"Yes","No")</f>
        <v>Yes</v>
      </c>
    </row>
    <row r="305" customFormat="false" ht="15" hidden="false" customHeight="false" outlineLevel="0" collapsed="false">
      <c r="A305" s="25" t="s">
        <v>7855</v>
      </c>
      <c r="B305" s="25" t="s">
        <v>8392</v>
      </c>
      <c r="C305" s="25" t="s">
        <v>8393</v>
      </c>
      <c r="D305" s="25" t="n">
        <v>9</v>
      </c>
      <c r="E305" s="25" t="s">
        <v>8394</v>
      </c>
      <c r="F305" s="25" t="s">
        <v>8395</v>
      </c>
      <c r="G305" s="25" t="s">
        <v>8398</v>
      </c>
      <c r="H305" s="25"/>
      <c r="I305" s="25" t="s">
        <v>7857</v>
      </c>
      <c r="J305" s="25" t="s">
        <v>7856</v>
      </c>
      <c r="K305" s="25" t="n">
        <v>1</v>
      </c>
      <c r="L305" s="25" t="str">
        <f aca="false">IF(K305&gt;0,"Yes","No")</f>
        <v>Yes</v>
      </c>
    </row>
    <row r="306" customFormat="false" ht="15" hidden="false" customHeight="false" outlineLevel="0" collapsed="false">
      <c r="A306" s="25" t="s">
        <v>2978</v>
      </c>
      <c r="B306" s="25" t="s">
        <v>8392</v>
      </c>
      <c r="C306" s="25" t="s">
        <v>8393</v>
      </c>
      <c r="D306" s="25" t="n">
        <v>9</v>
      </c>
      <c r="E306" s="25" t="s">
        <v>8394</v>
      </c>
      <c r="F306" s="25" t="s">
        <v>8395</v>
      </c>
      <c r="G306" s="25" t="s">
        <v>8402</v>
      </c>
      <c r="H306" s="25" t="s">
        <v>8399</v>
      </c>
      <c r="I306" s="25" t="s">
        <v>2979</v>
      </c>
      <c r="J306" s="25" t="s">
        <v>381</v>
      </c>
      <c r="K306" s="25" t="n">
        <v>1</v>
      </c>
      <c r="L306" s="25" t="str">
        <f aca="false">IF(K306&gt;0,"Yes","No")</f>
        <v>Yes</v>
      </c>
    </row>
    <row r="307" customFormat="false" ht="15" hidden="false" customHeight="false" outlineLevel="0" collapsed="false">
      <c r="A307" s="25" t="s">
        <v>3020</v>
      </c>
      <c r="B307" s="25" t="s">
        <v>8392</v>
      </c>
      <c r="C307" s="25" t="s">
        <v>8393</v>
      </c>
      <c r="D307" s="25" t="n">
        <v>9</v>
      </c>
      <c r="E307" s="25" t="s">
        <v>8394</v>
      </c>
      <c r="F307" s="25" t="s">
        <v>8395</v>
      </c>
      <c r="G307" s="25" t="s">
        <v>8398</v>
      </c>
      <c r="H307" s="25"/>
      <c r="I307" s="25" t="s">
        <v>3022</v>
      </c>
      <c r="J307" s="25" t="s">
        <v>3021</v>
      </c>
      <c r="K307" s="25" t="n">
        <v>1</v>
      </c>
      <c r="L307" s="25" t="str">
        <f aca="false">IF(K307&gt;0,"Yes","No")</f>
        <v>Yes</v>
      </c>
    </row>
    <row r="308" customFormat="false" ht="15" hidden="false" customHeight="false" outlineLevel="0" collapsed="false">
      <c r="A308" s="25" t="s">
        <v>2254</v>
      </c>
      <c r="B308" s="25" t="s">
        <v>8392</v>
      </c>
      <c r="C308" s="25" t="s">
        <v>8393</v>
      </c>
      <c r="D308" s="25" t="n">
        <v>9</v>
      </c>
      <c r="E308" s="25" t="s">
        <v>8394</v>
      </c>
      <c r="F308" s="25" t="s">
        <v>8395</v>
      </c>
      <c r="G308" s="25" t="s">
        <v>8398</v>
      </c>
      <c r="H308" s="25"/>
      <c r="I308" s="25" t="s">
        <v>1359</v>
      </c>
      <c r="J308" s="25" t="s">
        <v>2255</v>
      </c>
      <c r="K308" s="25" t="n">
        <v>1</v>
      </c>
      <c r="L308" s="25" t="str">
        <f aca="false">IF(K308&gt;0,"Yes","No")</f>
        <v>Yes</v>
      </c>
    </row>
    <row r="309" customFormat="false" ht="15" hidden="false" customHeight="false" outlineLevel="0" collapsed="false">
      <c r="A309" s="25" t="s">
        <v>5654</v>
      </c>
      <c r="B309" s="25" t="s">
        <v>8392</v>
      </c>
      <c r="C309" s="25" t="s">
        <v>8393</v>
      </c>
      <c r="D309" s="25" t="n">
        <v>9</v>
      </c>
      <c r="E309" s="25" t="s">
        <v>8394</v>
      </c>
      <c r="F309" s="25" t="s">
        <v>8395</v>
      </c>
      <c r="G309" s="25" t="s">
        <v>8398</v>
      </c>
      <c r="H309" s="25"/>
      <c r="I309" s="25" t="s">
        <v>2648</v>
      </c>
      <c r="J309" s="25" t="s">
        <v>5655</v>
      </c>
      <c r="K309" s="25" t="n">
        <v>1</v>
      </c>
      <c r="L309" s="25" t="str">
        <f aca="false">IF(K309&gt;0,"Yes","No")</f>
        <v>Yes</v>
      </c>
    </row>
    <row r="310" customFormat="false" ht="15" hidden="false" customHeight="false" outlineLevel="0" collapsed="false">
      <c r="A310" s="25" t="s">
        <v>5299</v>
      </c>
      <c r="B310" s="25" t="s">
        <v>8392</v>
      </c>
      <c r="C310" s="25" t="s">
        <v>8393</v>
      </c>
      <c r="D310" s="25" t="n">
        <v>9</v>
      </c>
      <c r="E310" s="25" t="s">
        <v>8394</v>
      </c>
      <c r="F310" s="25" t="s">
        <v>8395</v>
      </c>
      <c r="G310" s="25" t="s">
        <v>8398</v>
      </c>
      <c r="H310" s="25"/>
      <c r="I310" s="25" t="s">
        <v>5301</v>
      </c>
      <c r="J310" s="25" t="s">
        <v>5300</v>
      </c>
      <c r="K310" s="25" t="n">
        <v>1</v>
      </c>
      <c r="L310" s="25" t="str">
        <f aca="false">IF(K310&gt;0,"Yes","No")</f>
        <v>Yes</v>
      </c>
    </row>
    <row r="311" customFormat="false" ht="15" hidden="false" customHeight="false" outlineLevel="0" collapsed="false">
      <c r="A311" s="25" t="s">
        <v>6634</v>
      </c>
      <c r="B311" s="25" t="s">
        <v>8392</v>
      </c>
      <c r="C311" s="25" t="s">
        <v>8393</v>
      </c>
      <c r="D311" s="25" t="n">
        <v>9</v>
      </c>
      <c r="E311" s="25" t="s">
        <v>8394</v>
      </c>
      <c r="F311" s="25" t="s">
        <v>8395</v>
      </c>
      <c r="G311" s="25" t="s">
        <v>8396</v>
      </c>
      <c r="H311" s="25" t="s">
        <v>8399</v>
      </c>
      <c r="I311" s="25" t="s">
        <v>4725</v>
      </c>
      <c r="J311" s="25" t="s">
        <v>4724</v>
      </c>
      <c r="K311" s="25" t="n">
        <v>1</v>
      </c>
      <c r="L311" s="25" t="str">
        <f aca="false">IF(K311&gt;0,"Yes","No")</f>
        <v>Yes</v>
      </c>
    </row>
    <row r="312" customFormat="false" ht="15" hidden="false" customHeight="false" outlineLevel="0" collapsed="false">
      <c r="A312" s="25" t="s">
        <v>5869</v>
      </c>
      <c r="B312" s="25" t="s">
        <v>8392</v>
      </c>
      <c r="C312" s="25" t="s">
        <v>8393</v>
      </c>
      <c r="D312" s="25" t="n">
        <v>9</v>
      </c>
      <c r="E312" s="25" t="s">
        <v>8394</v>
      </c>
      <c r="F312" s="25" t="s">
        <v>8395</v>
      </c>
      <c r="G312" s="25" t="s">
        <v>8398</v>
      </c>
      <c r="H312" s="25"/>
      <c r="I312" s="25" t="s">
        <v>5871</v>
      </c>
      <c r="J312" s="25" t="s">
        <v>5870</v>
      </c>
      <c r="K312" s="25" t="n">
        <v>1</v>
      </c>
      <c r="L312" s="25" t="str">
        <f aca="false">IF(K312&gt;0,"Yes","No")</f>
        <v>Yes</v>
      </c>
    </row>
    <row r="313" customFormat="false" ht="15" hidden="false" customHeight="false" outlineLevel="0" collapsed="false">
      <c r="A313" s="25" t="s">
        <v>6273</v>
      </c>
      <c r="B313" s="25" t="s">
        <v>8392</v>
      </c>
      <c r="C313" s="25" t="s">
        <v>8393</v>
      </c>
      <c r="D313" s="25" t="n">
        <v>9</v>
      </c>
      <c r="E313" s="25" t="s">
        <v>8394</v>
      </c>
      <c r="F313" s="25" t="s">
        <v>8395</v>
      </c>
      <c r="G313" s="25" t="s">
        <v>8396</v>
      </c>
      <c r="H313" s="25" t="s">
        <v>8401</v>
      </c>
      <c r="I313" s="25" t="s">
        <v>6275</v>
      </c>
      <c r="J313" s="25" t="s">
        <v>6274</v>
      </c>
      <c r="K313" s="25" t="n">
        <v>1</v>
      </c>
      <c r="L313" s="25" t="str">
        <f aca="false">IF(K313&gt;0,"Yes","No")</f>
        <v>Yes</v>
      </c>
    </row>
    <row r="314" customFormat="false" ht="15" hidden="false" customHeight="false" outlineLevel="0" collapsed="false">
      <c r="A314" s="25" t="s">
        <v>7107</v>
      </c>
      <c r="B314" s="25" t="s">
        <v>8392</v>
      </c>
      <c r="C314" s="25" t="s">
        <v>8393</v>
      </c>
      <c r="D314" s="25" t="n">
        <v>9</v>
      </c>
      <c r="E314" s="25" t="s">
        <v>8394</v>
      </c>
      <c r="F314" s="25" t="s">
        <v>8395</v>
      </c>
      <c r="G314" s="25" t="s">
        <v>8396</v>
      </c>
      <c r="H314" s="25" t="s">
        <v>8399</v>
      </c>
      <c r="I314" s="25" t="s">
        <v>7109</v>
      </c>
      <c r="J314" s="25" t="s">
        <v>7108</v>
      </c>
      <c r="K314" s="25" t="n">
        <v>1</v>
      </c>
      <c r="L314" s="25" t="str">
        <f aca="false">IF(K314&gt;0,"Yes","No")</f>
        <v>Yes</v>
      </c>
    </row>
    <row r="315" customFormat="false" ht="15" hidden="false" customHeight="false" outlineLevel="0" collapsed="false">
      <c r="A315" s="25" t="s">
        <v>2504</v>
      </c>
      <c r="B315" s="25" t="s">
        <v>8392</v>
      </c>
      <c r="C315" s="25" t="s">
        <v>8393</v>
      </c>
      <c r="D315" s="25" t="n">
        <v>9</v>
      </c>
      <c r="E315" s="25" t="s">
        <v>8394</v>
      </c>
      <c r="F315" s="25" t="s">
        <v>8395</v>
      </c>
      <c r="G315" s="25" t="s">
        <v>8396</v>
      </c>
      <c r="H315" s="25" t="s">
        <v>8397</v>
      </c>
      <c r="I315" s="25" t="s">
        <v>2506</v>
      </c>
      <c r="J315" s="25" t="s">
        <v>2505</v>
      </c>
      <c r="K315" s="25" t="n">
        <v>1</v>
      </c>
      <c r="L315" s="25" t="str">
        <f aca="false">IF(K315&gt;0,"Yes","No")</f>
        <v>Yes</v>
      </c>
    </row>
    <row r="316" customFormat="false" ht="15" hidden="false" customHeight="false" outlineLevel="0" collapsed="false">
      <c r="A316" s="25" t="s">
        <v>6927</v>
      </c>
      <c r="B316" s="25" t="s">
        <v>8392</v>
      </c>
      <c r="C316" s="25" t="s">
        <v>8393</v>
      </c>
      <c r="D316" s="25" t="n">
        <v>9</v>
      </c>
      <c r="E316" s="25" t="s">
        <v>8394</v>
      </c>
      <c r="F316" s="25" t="s">
        <v>8395</v>
      </c>
      <c r="G316" s="25" t="s">
        <v>8396</v>
      </c>
      <c r="H316" s="25" t="s">
        <v>8397</v>
      </c>
      <c r="I316" s="25" t="s">
        <v>285</v>
      </c>
      <c r="J316" s="25" t="s">
        <v>6928</v>
      </c>
      <c r="K316" s="25" t="n">
        <v>1</v>
      </c>
      <c r="L316" s="25" t="str">
        <f aca="false">IF(K316&gt;0,"Yes","No")</f>
        <v>Yes</v>
      </c>
    </row>
    <row r="317" customFormat="false" ht="15" hidden="false" customHeight="false" outlineLevel="0" collapsed="false">
      <c r="A317" s="25" t="s">
        <v>6278</v>
      </c>
      <c r="B317" s="25" t="s">
        <v>8392</v>
      </c>
      <c r="C317" s="25" t="s">
        <v>8393</v>
      </c>
      <c r="D317" s="25" t="n">
        <v>9</v>
      </c>
      <c r="E317" s="25" t="s">
        <v>8394</v>
      </c>
      <c r="F317" s="25" t="s">
        <v>8395</v>
      </c>
      <c r="G317" s="25" t="s">
        <v>8396</v>
      </c>
      <c r="H317" s="25" t="s">
        <v>8401</v>
      </c>
      <c r="I317" s="25" t="s">
        <v>6280</v>
      </c>
      <c r="J317" s="25" t="s">
        <v>6279</v>
      </c>
      <c r="K317" s="25" t="n">
        <v>1</v>
      </c>
      <c r="L317" s="25" t="str">
        <f aca="false">IF(K317&gt;0,"Yes","No")</f>
        <v>Yes</v>
      </c>
    </row>
    <row r="318" customFormat="false" ht="15" hidden="false" customHeight="false" outlineLevel="0" collapsed="false">
      <c r="A318" s="25" t="s">
        <v>8412</v>
      </c>
      <c r="B318" s="25" t="s">
        <v>8392</v>
      </c>
      <c r="C318" s="25" t="s">
        <v>8393</v>
      </c>
      <c r="D318" s="25" t="n">
        <v>9</v>
      </c>
      <c r="E318" s="25" t="s">
        <v>8394</v>
      </c>
      <c r="F318" s="25" t="s">
        <v>8395</v>
      </c>
      <c r="G318" s="25" t="s">
        <v>8396</v>
      </c>
      <c r="H318" s="25" t="s">
        <v>8397</v>
      </c>
      <c r="I318" s="25" t="s">
        <v>8413</v>
      </c>
      <c r="J318" s="25" t="s">
        <v>4050</v>
      </c>
      <c r="K318" s="25" t="n">
        <v>0</v>
      </c>
      <c r="L318" s="25" t="str">
        <f aca="false">IF(K318&gt;0,"Yes","No")</f>
        <v>No</v>
      </c>
    </row>
    <row r="319" customFormat="false" ht="15" hidden="false" customHeight="false" outlineLevel="0" collapsed="false">
      <c r="A319" s="25" t="s">
        <v>8414</v>
      </c>
      <c r="B319" s="25" t="s">
        <v>8392</v>
      </c>
      <c r="C319" s="25" t="s">
        <v>8393</v>
      </c>
      <c r="D319" s="25" t="n">
        <v>9</v>
      </c>
      <c r="E319" s="25" t="s">
        <v>8394</v>
      </c>
      <c r="F319" s="25" t="s">
        <v>8395</v>
      </c>
      <c r="G319" s="25" t="s">
        <v>8396</v>
      </c>
      <c r="H319" s="25" t="s">
        <v>8397</v>
      </c>
      <c r="I319" s="25" t="s">
        <v>487</v>
      </c>
      <c r="J319" s="25" t="s">
        <v>8415</v>
      </c>
      <c r="K319" s="25" t="n">
        <v>0</v>
      </c>
      <c r="L319" s="25" t="str">
        <f aca="false">IF(K319&gt;0,"Yes","No")</f>
        <v>No</v>
      </c>
    </row>
    <row r="320" customFormat="false" ht="15" hidden="false" customHeight="false" outlineLevel="0" collapsed="false">
      <c r="A320" s="25" t="s">
        <v>8416</v>
      </c>
      <c r="B320" s="25" t="s">
        <v>8392</v>
      </c>
      <c r="C320" s="25" t="s">
        <v>8393</v>
      </c>
      <c r="D320" s="25" t="n">
        <v>9</v>
      </c>
      <c r="E320" s="25" t="s">
        <v>8394</v>
      </c>
      <c r="F320" s="25" t="s">
        <v>8395</v>
      </c>
      <c r="G320" s="25" t="s">
        <v>8396</v>
      </c>
      <c r="H320" s="25" t="s">
        <v>8399</v>
      </c>
      <c r="I320" s="25" t="s">
        <v>8417</v>
      </c>
      <c r="J320" s="25" t="s">
        <v>2658</v>
      </c>
      <c r="K320" s="25" t="n">
        <v>0</v>
      </c>
      <c r="L320" s="25" t="str">
        <f aca="false">IF(K320&gt;0,"Yes","No")</f>
        <v>No</v>
      </c>
    </row>
    <row r="321" customFormat="false" ht="15" hidden="false" customHeight="false" outlineLevel="0" collapsed="false">
      <c r="A321" s="25" t="s">
        <v>8418</v>
      </c>
      <c r="B321" s="25" t="s">
        <v>8419</v>
      </c>
      <c r="C321" s="25" t="s">
        <v>8393</v>
      </c>
      <c r="D321" s="25" t="n">
        <v>9</v>
      </c>
      <c r="E321" s="25" t="s">
        <v>8394</v>
      </c>
      <c r="F321" s="25" t="s">
        <v>8395</v>
      </c>
      <c r="G321" s="25" t="s">
        <v>8396</v>
      </c>
      <c r="H321" s="25" t="s">
        <v>8399</v>
      </c>
      <c r="I321" s="25" t="s">
        <v>8420</v>
      </c>
      <c r="J321" s="25" t="s">
        <v>2658</v>
      </c>
      <c r="K321" s="25" t="n">
        <v>0</v>
      </c>
      <c r="L321" s="25" t="str">
        <f aca="false">IF(K321&gt;0,"Yes","No")</f>
        <v>No</v>
      </c>
    </row>
    <row r="322" customFormat="false" ht="15" hidden="false" customHeight="false" outlineLevel="0" collapsed="false">
      <c r="A322" s="25" t="s">
        <v>8421</v>
      </c>
      <c r="B322" s="25" t="s">
        <v>8419</v>
      </c>
      <c r="C322" s="25" t="s">
        <v>8393</v>
      </c>
      <c r="D322" s="25" t="n">
        <v>9</v>
      </c>
      <c r="E322" s="25" t="s">
        <v>8394</v>
      </c>
      <c r="F322" s="25" t="s">
        <v>8395</v>
      </c>
      <c r="G322" s="25" t="s">
        <v>8396</v>
      </c>
      <c r="H322" s="25" t="s">
        <v>8399</v>
      </c>
      <c r="I322" s="25" t="s">
        <v>8422</v>
      </c>
      <c r="J322" s="25" t="s">
        <v>2658</v>
      </c>
      <c r="K322" s="25" t="n">
        <v>0</v>
      </c>
      <c r="L322" s="25" t="str">
        <f aca="false">IF(K322&gt;0,"Yes","No")</f>
        <v>No</v>
      </c>
    </row>
    <row r="323" customFormat="false" ht="15" hidden="false" customHeight="false" outlineLevel="0" collapsed="false">
      <c r="A323" s="25" t="s">
        <v>8423</v>
      </c>
      <c r="B323" s="25" t="s">
        <v>8419</v>
      </c>
      <c r="C323" s="25" t="s">
        <v>8393</v>
      </c>
      <c r="D323" s="25" t="n">
        <v>9</v>
      </c>
      <c r="E323" s="25" t="s">
        <v>8394</v>
      </c>
      <c r="F323" s="25" t="s">
        <v>8395</v>
      </c>
      <c r="G323" s="25" t="s">
        <v>8396</v>
      </c>
      <c r="H323" s="25" t="s">
        <v>8399</v>
      </c>
      <c r="I323" s="25" t="s">
        <v>8424</v>
      </c>
      <c r="J323" s="25" t="s">
        <v>2658</v>
      </c>
      <c r="K323" s="25" t="n">
        <v>0</v>
      </c>
      <c r="L323" s="25" t="str">
        <f aca="false">IF(K323&gt;0,"Yes","No")</f>
        <v>No</v>
      </c>
    </row>
    <row r="324" customFormat="false" ht="15" hidden="false" customHeight="false" outlineLevel="0" collapsed="false">
      <c r="A324" s="25" t="s">
        <v>8425</v>
      </c>
      <c r="B324" s="25" t="s">
        <v>8392</v>
      </c>
      <c r="C324" s="25" t="s">
        <v>8393</v>
      </c>
      <c r="D324" s="25" t="n">
        <v>9</v>
      </c>
      <c r="E324" s="25" t="s">
        <v>8394</v>
      </c>
      <c r="F324" s="25" t="s">
        <v>8395</v>
      </c>
      <c r="G324" s="25" t="s">
        <v>8396</v>
      </c>
      <c r="H324" s="25" t="s">
        <v>8399</v>
      </c>
      <c r="I324" s="25" t="s">
        <v>8426</v>
      </c>
      <c r="J324" s="25" t="s">
        <v>2658</v>
      </c>
      <c r="K324" s="25" t="n">
        <v>0</v>
      </c>
      <c r="L324" s="25" t="str">
        <f aca="false">IF(K324&gt;0,"Yes","No")</f>
        <v>No</v>
      </c>
    </row>
    <row r="325" customFormat="false" ht="15" hidden="false" customHeight="false" outlineLevel="0" collapsed="false">
      <c r="A325" s="25" t="s">
        <v>8427</v>
      </c>
      <c r="B325" s="25" t="s">
        <v>8419</v>
      </c>
      <c r="C325" s="25" t="s">
        <v>8393</v>
      </c>
      <c r="D325" s="25" t="n">
        <v>9</v>
      </c>
      <c r="E325" s="25" t="s">
        <v>8394</v>
      </c>
      <c r="F325" s="25" t="s">
        <v>8395</v>
      </c>
      <c r="G325" s="25" t="s">
        <v>8396</v>
      </c>
      <c r="H325" s="25" t="s">
        <v>8399</v>
      </c>
      <c r="I325" s="25" t="s">
        <v>8428</v>
      </c>
      <c r="J325" s="25" t="s">
        <v>2658</v>
      </c>
      <c r="K325" s="25" t="n">
        <v>0</v>
      </c>
      <c r="L325" s="25" t="str">
        <f aca="false">IF(K325&gt;0,"Yes","No")</f>
        <v>No</v>
      </c>
    </row>
    <row r="326" customFormat="false" ht="15" hidden="false" customHeight="false" outlineLevel="0" collapsed="false">
      <c r="A326" s="25" t="s">
        <v>8429</v>
      </c>
      <c r="B326" s="25" t="s">
        <v>8392</v>
      </c>
      <c r="C326" s="25" t="s">
        <v>8393</v>
      </c>
      <c r="D326" s="25" t="n">
        <v>9</v>
      </c>
      <c r="E326" s="25" t="s">
        <v>8394</v>
      </c>
      <c r="F326" s="25" t="s">
        <v>8395</v>
      </c>
      <c r="G326" s="25" t="s">
        <v>8396</v>
      </c>
      <c r="H326" s="25" t="s">
        <v>8409</v>
      </c>
      <c r="I326" s="25" t="s">
        <v>8430</v>
      </c>
      <c r="J326" s="25" t="s">
        <v>8431</v>
      </c>
      <c r="K326" s="25" t="n">
        <v>0</v>
      </c>
      <c r="L326" s="25" t="str">
        <f aca="false">IF(K326&gt;0,"Yes","No")</f>
        <v>No</v>
      </c>
    </row>
    <row r="327" customFormat="false" ht="15" hidden="false" customHeight="false" outlineLevel="0" collapsed="false">
      <c r="A327" s="25" t="s">
        <v>8432</v>
      </c>
      <c r="B327" s="25" t="s">
        <v>8392</v>
      </c>
      <c r="C327" s="25" t="s">
        <v>8393</v>
      </c>
      <c r="D327" s="25" t="n">
        <v>9</v>
      </c>
      <c r="E327" s="25" t="s">
        <v>8394</v>
      </c>
      <c r="F327" s="25" t="s">
        <v>8395</v>
      </c>
      <c r="G327" s="25" t="s">
        <v>8396</v>
      </c>
      <c r="H327" s="25" t="s">
        <v>8409</v>
      </c>
      <c r="I327" s="25" t="s">
        <v>8433</v>
      </c>
      <c r="J327" s="25" t="s">
        <v>8431</v>
      </c>
      <c r="K327" s="25" t="n">
        <v>0</v>
      </c>
      <c r="L327" s="25" t="str">
        <f aca="false">IF(K327&gt;0,"Yes","No")</f>
        <v>No</v>
      </c>
    </row>
    <row r="328" customFormat="false" ht="15" hidden="false" customHeight="false" outlineLevel="0" collapsed="false">
      <c r="A328" s="25" t="s">
        <v>8434</v>
      </c>
      <c r="B328" s="25" t="s">
        <v>8419</v>
      </c>
      <c r="C328" s="25" t="s">
        <v>8393</v>
      </c>
      <c r="D328" s="25" t="n">
        <v>9</v>
      </c>
      <c r="E328" s="25" t="s">
        <v>8394</v>
      </c>
      <c r="F328" s="25" t="s">
        <v>8395</v>
      </c>
      <c r="G328" s="25" t="s">
        <v>8396</v>
      </c>
      <c r="H328" s="25" t="s">
        <v>8403</v>
      </c>
      <c r="I328" s="25" t="s">
        <v>8435</v>
      </c>
      <c r="J328" s="25" t="s">
        <v>8431</v>
      </c>
      <c r="K328" s="25" t="n">
        <v>0</v>
      </c>
      <c r="L328" s="25" t="str">
        <f aca="false">IF(K328&gt;0,"Yes","No")</f>
        <v>No</v>
      </c>
    </row>
    <row r="329" customFormat="false" ht="15" hidden="false" customHeight="false" outlineLevel="0" collapsed="false">
      <c r="A329" s="25" t="s">
        <v>8436</v>
      </c>
      <c r="B329" s="25" t="s">
        <v>8419</v>
      </c>
      <c r="C329" s="25" t="s">
        <v>8393</v>
      </c>
      <c r="D329" s="25" t="n">
        <v>9</v>
      </c>
      <c r="E329" s="25" t="s">
        <v>8394</v>
      </c>
      <c r="F329" s="25" t="s">
        <v>8395</v>
      </c>
      <c r="G329" s="25" t="s">
        <v>8396</v>
      </c>
      <c r="H329" s="25" t="s">
        <v>8403</v>
      </c>
      <c r="I329" s="25" t="s">
        <v>8437</v>
      </c>
      <c r="J329" s="25" t="s">
        <v>8431</v>
      </c>
      <c r="K329" s="25" t="n">
        <v>0</v>
      </c>
      <c r="L329" s="25" t="str">
        <f aca="false">IF(K329&gt;0,"Yes","No")</f>
        <v>No</v>
      </c>
    </row>
    <row r="330" customFormat="false" ht="15" hidden="false" customHeight="false" outlineLevel="0" collapsed="false">
      <c r="A330" s="25" t="s">
        <v>8438</v>
      </c>
      <c r="B330" s="25" t="s">
        <v>8392</v>
      </c>
      <c r="C330" s="25"/>
      <c r="D330" s="25" t="n">
        <v>8</v>
      </c>
      <c r="E330" s="25" t="s">
        <v>8439</v>
      </c>
      <c r="F330" s="25" t="s">
        <v>8440</v>
      </c>
      <c r="G330" s="25" t="s">
        <v>8398</v>
      </c>
      <c r="H330" s="25"/>
      <c r="I330" s="25" t="s">
        <v>8441</v>
      </c>
      <c r="J330" s="25" t="s">
        <v>8431</v>
      </c>
      <c r="K330" s="25" t="n">
        <v>0</v>
      </c>
      <c r="L330" s="25" t="str">
        <f aca="false">IF(K330&gt;0,"Yes","No")</f>
        <v>No</v>
      </c>
    </row>
    <row r="331" customFormat="false" ht="15" hidden="false" customHeight="false" outlineLevel="0" collapsed="false">
      <c r="A331" s="25" t="s">
        <v>8442</v>
      </c>
      <c r="B331" s="25" t="s">
        <v>8392</v>
      </c>
      <c r="C331" s="25"/>
      <c r="D331" s="25" t="n">
        <v>8</v>
      </c>
      <c r="E331" s="25" t="s">
        <v>8439</v>
      </c>
      <c r="F331" s="25" t="s">
        <v>8440</v>
      </c>
      <c r="G331" s="25" t="s">
        <v>8398</v>
      </c>
      <c r="H331" s="25"/>
      <c r="I331" s="25" t="s">
        <v>8441</v>
      </c>
      <c r="J331" s="25" t="s">
        <v>2153</v>
      </c>
      <c r="K331" s="25" t="n">
        <v>0</v>
      </c>
      <c r="L331" s="25" t="str">
        <f aca="false">IF(K331&gt;0,"Yes","No")</f>
        <v>No</v>
      </c>
    </row>
    <row r="332" customFormat="false" ht="15" hidden="false" customHeight="false" outlineLevel="0" collapsed="false">
      <c r="A332" s="25" t="s">
        <v>8443</v>
      </c>
      <c r="B332" s="25" t="s">
        <v>8419</v>
      </c>
      <c r="C332" s="25" t="s">
        <v>8393</v>
      </c>
      <c r="D332" s="25" t="n">
        <v>9</v>
      </c>
      <c r="E332" s="25" t="s">
        <v>8394</v>
      </c>
      <c r="F332" s="25" t="s">
        <v>8395</v>
      </c>
      <c r="G332" s="25" t="s">
        <v>8396</v>
      </c>
      <c r="H332" s="25" t="s">
        <v>8403</v>
      </c>
      <c r="I332" s="25" t="s">
        <v>8444</v>
      </c>
      <c r="J332" s="25" t="s">
        <v>2153</v>
      </c>
      <c r="K332" s="25" t="n">
        <v>0</v>
      </c>
      <c r="L332" s="25" t="str">
        <f aca="false">IF(K332&gt;0,"Yes","No")</f>
        <v>No</v>
      </c>
    </row>
    <row r="333" customFormat="false" ht="15" hidden="false" customHeight="false" outlineLevel="0" collapsed="false">
      <c r="A333" s="25" t="s">
        <v>8445</v>
      </c>
      <c r="B333" s="25" t="s">
        <v>8419</v>
      </c>
      <c r="C333" s="25" t="s">
        <v>8393</v>
      </c>
      <c r="D333" s="25" t="n">
        <v>9</v>
      </c>
      <c r="E333" s="25" t="s">
        <v>8394</v>
      </c>
      <c r="F333" s="25" t="s">
        <v>8395</v>
      </c>
      <c r="G333" s="25" t="s">
        <v>8396</v>
      </c>
      <c r="H333" s="25" t="s">
        <v>8403</v>
      </c>
      <c r="I333" s="25" t="s">
        <v>8446</v>
      </c>
      <c r="J333" s="25" t="s">
        <v>2153</v>
      </c>
      <c r="K333" s="25" t="n">
        <v>0</v>
      </c>
      <c r="L333" s="25" t="str">
        <f aca="false">IF(K333&gt;0,"Yes","No")</f>
        <v>No</v>
      </c>
    </row>
    <row r="334" customFormat="false" ht="15" hidden="false" customHeight="false" outlineLevel="0" collapsed="false">
      <c r="A334" s="25" t="s">
        <v>8447</v>
      </c>
      <c r="B334" s="25" t="s">
        <v>8419</v>
      </c>
      <c r="C334" s="25" t="s">
        <v>8393</v>
      </c>
      <c r="D334" s="25" t="n">
        <v>9</v>
      </c>
      <c r="E334" s="25" t="s">
        <v>8394</v>
      </c>
      <c r="F334" s="25" t="s">
        <v>8395</v>
      </c>
      <c r="G334" s="25" t="s">
        <v>8396</v>
      </c>
      <c r="H334" s="25" t="s">
        <v>8403</v>
      </c>
      <c r="I334" s="25" t="s">
        <v>8448</v>
      </c>
      <c r="J334" s="25" t="s">
        <v>2153</v>
      </c>
      <c r="K334" s="25" t="n">
        <v>0</v>
      </c>
      <c r="L334" s="25" t="str">
        <f aca="false">IF(K334&gt;0,"Yes","No")</f>
        <v>No</v>
      </c>
    </row>
    <row r="335" customFormat="false" ht="15" hidden="false" customHeight="false" outlineLevel="0" collapsed="false">
      <c r="A335" s="25" t="s">
        <v>8449</v>
      </c>
      <c r="B335" s="25" t="s">
        <v>8392</v>
      </c>
      <c r="C335" s="25" t="s">
        <v>8393</v>
      </c>
      <c r="D335" s="25" t="n">
        <v>9</v>
      </c>
      <c r="E335" s="25" t="s">
        <v>8394</v>
      </c>
      <c r="F335" s="25" t="s">
        <v>8395</v>
      </c>
      <c r="G335" s="25" t="s">
        <v>8396</v>
      </c>
      <c r="H335" s="25" t="s">
        <v>8397</v>
      </c>
      <c r="I335" s="25" t="s">
        <v>8450</v>
      </c>
      <c r="J335" s="25" t="s">
        <v>2041</v>
      </c>
      <c r="K335" s="25" t="n">
        <v>0</v>
      </c>
      <c r="L335" s="25" t="str">
        <f aca="false">IF(K335&gt;0,"Yes","No")</f>
        <v>No</v>
      </c>
    </row>
    <row r="336" customFormat="false" ht="15" hidden="false" customHeight="false" outlineLevel="0" collapsed="false">
      <c r="A336" s="25" t="s">
        <v>8451</v>
      </c>
      <c r="B336" s="25" t="s">
        <v>8392</v>
      </c>
      <c r="C336" s="25" t="s">
        <v>8393</v>
      </c>
      <c r="D336" s="25" t="n">
        <v>9</v>
      </c>
      <c r="E336" s="25" t="s">
        <v>8394</v>
      </c>
      <c r="F336" s="25" t="s">
        <v>8395</v>
      </c>
      <c r="G336" s="25" t="s">
        <v>8396</v>
      </c>
      <c r="H336" s="25" t="s">
        <v>8399</v>
      </c>
      <c r="I336" s="25" t="s">
        <v>8452</v>
      </c>
      <c r="J336" s="25" t="s">
        <v>8453</v>
      </c>
      <c r="K336" s="25" t="n">
        <v>0</v>
      </c>
      <c r="L336" s="25" t="str">
        <f aca="false">IF(K336&gt;0,"Yes","No")</f>
        <v>No</v>
      </c>
    </row>
    <row r="337" customFormat="false" ht="15" hidden="false" customHeight="false" outlineLevel="0" collapsed="false">
      <c r="A337" s="25" t="s">
        <v>8454</v>
      </c>
      <c r="B337" s="25" t="s">
        <v>8419</v>
      </c>
      <c r="C337" s="25" t="s">
        <v>8393</v>
      </c>
      <c r="D337" s="25" t="n">
        <v>9</v>
      </c>
      <c r="E337" s="25" t="s">
        <v>8394</v>
      </c>
      <c r="F337" s="25" t="s">
        <v>8395</v>
      </c>
      <c r="G337" s="25" t="s">
        <v>8396</v>
      </c>
      <c r="H337" s="25"/>
      <c r="I337" s="25" t="s">
        <v>8455</v>
      </c>
      <c r="J337" s="25" t="s">
        <v>8456</v>
      </c>
      <c r="K337" s="25" t="n">
        <v>0</v>
      </c>
      <c r="L337" s="25" t="str">
        <f aca="false">IF(K337&gt;0,"Yes","No")</f>
        <v>No</v>
      </c>
    </row>
    <row r="338" customFormat="false" ht="15" hidden="false" customHeight="false" outlineLevel="0" collapsed="false">
      <c r="A338" s="25" t="s">
        <v>8457</v>
      </c>
      <c r="B338" s="25" t="s">
        <v>8419</v>
      </c>
      <c r="C338" s="25" t="s">
        <v>8393</v>
      </c>
      <c r="D338" s="25" t="n">
        <v>9</v>
      </c>
      <c r="E338" s="25" t="s">
        <v>8394</v>
      </c>
      <c r="F338" s="25" t="s">
        <v>8395</v>
      </c>
      <c r="G338" s="25" t="s">
        <v>8396</v>
      </c>
      <c r="H338" s="25"/>
      <c r="I338" s="25" t="s">
        <v>8458</v>
      </c>
      <c r="J338" s="25" t="s">
        <v>8456</v>
      </c>
      <c r="K338" s="25" t="n">
        <v>0</v>
      </c>
      <c r="L338" s="25" t="str">
        <f aca="false">IF(K338&gt;0,"Yes","No")</f>
        <v>No</v>
      </c>
    </row>
    <row r="339" customFormat="false" ht="15" hidden="false" customHeight="false" outlineLevel="0" collapsed="false">
      <c r="A339" s="25" t="s">
        <v>8459</v>
      </c>
      <c r="B339" s="25" t="s">
        <v>8419</v>
      </c>
      <c r="C339" s="25" t="s">
        <v>8393</v>
      </c>
      <c r="D339" s="25" t="n">
        <v>9</v>
      </c>
      <c r="E339" s="25" t="s">
        <v>8394</v>
      </c>
      <c r="F339" s="25" t="s">
        <v>8395</v>
      </c>
      <c r="G339" s="25" t="s">
        <v>8396</v>
      </c>
      <c r="H339" s="25" t="s">
        <v>8399</v>
      </c>
      <c r="I339" s="25" t="s">
        <v>8460</v>
      </c>
      <c r="J339" s="25" t="s">
        <v>2663</v>
      </c>
      <c r="K339" s="25" t="n">
        <v>0</v>
      </c>
      <c r="L339" s="25" t="str">
        <f aca="false">IF(K339&gt;0,"Yes","No")</f>
        <v>No</v>
      </c>
    </row>
    <row r="340" customFormat="false" ht="15" hidden="false" customHeight="false" outlineLevel="0" collapsed="false">
      <c r="A340" s="25" t="s">
        <v>8461</v>
      </c>
      <c r="B340" s="25" t="s">
        <v>8392</v>
      </c>
      <c r="C340" s="25"/>
      <c r="D340" s="25" t="n">
        <v>8</v>
      </c>
      <c r="E340" s="25" t="s">
        <v>8439</v>
      </c>
      <c r="F340" s="25" t="s">
        <v>8440</v>
      </c>
      <c r="G340" s="25" t="s">
        <v>8398</v>
      </c>
      <c r="H340" s="25"/>
      <c r="I340" s="25" t="s">
        <v>8462</v>
      </c>
      <c r="J340" s="25" t="s">
        <v>8463</v>
      </c>
      <c r="K340" s="25" t="n">
        <v>0</v>
      </c>
      <c r="L340" s="25" t="str">
        <f aca="false">IF(K340&gt;0,"Yes","No")</f>
        <v>No</v>
      </c>
    </row>
    <row r="341" customFormat="false" ht="15" hidden="false" customHeight="false" outlineLevel="0" collapsed="false">
      <c r="A341" s="25" t="s">
        <v>8464</v>
      </c>
      <c r="B341" s="25" t="s">
        <v>8419</v>
      </c>
      <c r="C341" s="25" t="s">
        <v>8393</v>
      </c>
      <c r="D341" s="25" t="n">
        <v>9</v>
      </c>
      <c r="E341" s="25" t="s">
        <v>8394</v>
      </c>
      <c r="F341" s="25" t="s">
        <v>8395</v>
      </c>
      <c r="G341" s="25" t="s">
        <v>8396</v>
      </c>
      <c r="H341" s="25" t="s">
        <v>8399</v>
      </c>
      <c r="I341" s="25" t="s">
        <v>8465</v>
      </c>
      <c r="J341" s="25" t="s">
        <v>2663</v>
      </c>
      <c r="K341" s="25" t="n">
        <v>0</v>
      </c>
      <c r="L341" s="25" t="str">
        <f aca="false">IF(K341&gt;0,"Yes","No")</f>
        <v>No</v>
      </c>
    </row>
    <row r="342" customFormat="false" ht="15" hidden="false" customHeight="false" outlineLevel="0" collapsed="false">
      <c r="A342" s="25" t="s">
        <v>8466</v>
      </c>
      <c r="B342" s="25" t="s">
        <v>8419</v>
      </c>
      <c r="C342" s="25" t="s">
        <v>8393</v>
      </c>
      <c r="D342" s="25" t="n">
        <v>9</v>
      </c>
      <c r="E342" s="25" t="s">
        <v>8394</v>
      </c>
      <c r="F342" s="25" t="s">
        <v>8395</v>
      </c>
      <c r="G342" s="25" t="s">
        <v>8396</v>
      </c>
      <c r="H342" s="25" t="s">
        <v>8399</v>
      </c>
      <c r="I342" s="25" t="s">
        <v>8467</v>
      </c>
      <c r="J342" s="25" t="s">
        <v>2663</v>
      </c>
      <c r="K342" s="25" t="n">
        <v>0</v>
      </c>
      <c r="L342" s="25" t="str">
        <f aca="false">IF(K342&gt;0,"Yes","No")</f>
        <v>No</v>
      </c>
    </row>
    <row r="343" customFormat="false" ht="15" hidden="false" customHeight="false" outlineLevel="0" collapsed="false">
      <c r="A343" s="25" t="s">
        <v>8468</v>
      </c>
      <c r="B343" s="25" t="s">
        <v>8392</v>
      </c>
      <c r="C343" s="25"/>
      <c r="D343" s="25" t="n">
        <v>8</v>
      </c>
      <c r="E343" s="25" t="s">
        <v>8439</v>
      </c>
      <c r="F343" s="25" t="s">
        <v>8440</v>
      </c>
      <c r="G343" s="25" t="s">
        <v>8398</v>
      </c>
      <c r="H343" s="25"/>
      <c r="I343" s="25" t="s">
        <v>8441</v>
      </c>
      <c r="J343" s="25" t="s">
        <v>2663</v>
      </c>
      <c r="K343" s="25" t="n">
        <v>0</v>
      </c>
      <c r="L343" s="25" t="str">
        <f aca="false">IF(K343&gt;0,"Yes","No")</f>
        <v>No</v>
      </c>
    </row>
    <row r="344" customFormat="false" ht="15" hidden="false" customHeight="false" outlineLevel="0" collapsed="false">
      <c r="A344" s="25" t="s">
        <v>8469</v>
      </c>
      <c r="B344" s="25" t="s">
        <v>8419</v>
      </c>
      <c r="C344" s="25"/>
      <c r="D344" s="25" t="n">
        <v>8</v>
      </c>
      <c r="E344" s="25" t="s">
        <v>8439</v>
      </c>
      <c r="F344" s="25" t="s">
        <v>8440</v>
      </c>
      <c r="G344" s="25" t="s">
        <v>8400</v>
      </c>
      <c r="H344" s="25"/>
      <c r="I344" s="25" t="s">
        <v>8470</v>
      </c>
      <c r="J344" s="25" t="s">
        <v>2663</v>
      </c>
      <c r="K344" s="25" t="n">
        <v>0</v>
      </c>
      <c r="L344" s="25" t="str">
        <f aca="false">IF(K344&gt;0,"Yes","No")</f>
        <v>No</v>
      </c>
    </row>
    <row r="345" customFormat="false" ht="15" hidden="false" customHeight="false" outlineLevel="0" collapsed="false">
      <c r="A345" s="25" t="s">
        <v>8471</v>
      </c>
      <c r="B345" s="25" t="s">
        <v>8392</v>
      </c>
      <c r="C345" s="25"/>
      <c r="D345" s="25" t="n">
        <v>8</v>
      </c>
      <c r="E345" s="25" t="s">
        <v>8439</v>
      </c>
      <c r="F345" s="25" t="s">
        <v>8440</v>
      </c>
      <c r="G345" s="25" t="s">
        <v>8398</v>
      </c>
      <c r="H345" s="25"/>
      <c r="I345" s="25" t="s">
        <v>8472</v>
      </c>
      <c r="J345" s="25" t="s">
        <v>2663</v>
      </c>
      <c r="K345" s="25" t="n">
        <v>0</v>
      </c>
      <c r="L345" s="25" t="str">
        <f aca="false">IF(K345&gt;0,"Yes","No")</f>
        <v>No</v>
      </c>
    </row>
    <row r="346" customFormat="false" ht="15" hidden="false" customHeight="false" outlineLevel="0" collapsed="false">
      <c r="A346" s="25" t="s">
        <v>8473</v>
      </c>
      <c r="B346" s="25" t="s">
        <v>8392</v>
      </c>
      <c r="C346" s="25" t="s">
        <v>8393</v>
      </c>
      <c r="D346" s="25" t="n">
        <v>9</v>
      </c>
      <c r="E346" s="25" t="s">
        <v>8394</v>
      </c>
      <c r="F346" s="25" t="s">
        <v>8395</v>
      </c>
      <c r="G346" s="25" t="s">
        <v>8396</v>
      </c>
      <c r="H346" s="25" t="s">
        <v>8397</v>
      </c>
      <c r="I346" s="25" t="s">
        <v>8474</v>
      </c>
      <c r="J346" s="25" t="s">
        <v>8475</v>
      </c>
      <c r="K346" s="25" t="n">
        <v>0</v>
      </c>
      <c r="L346" s="25" t="str">
        <f aca="false">IF(K346&gt;0,"Yes","No")</f>
        <v>No</v>
      </c>
    </row>
    <row r="347" customFormat="false" ht="15" hidden="false" customHeight="false" outlineLevel="0" collapsed="false">
      <c r="A347" s="25" t="s">
        <v>8476</v>
      </c>
      <c r="B347" s="25" t="s">
        <v>8392</v>
      </c>
      <c r="C347" s="25" t="s">
        <v>8393</v>
      </c>
      <c r="D347" s="25" t="n">
        <v>9</v>
      </c>
      <c r="E347" s="25" t="s">
        <v>8394</v>
      </c>
      <c r="F347" s="25" t="s">
        <v>8395</v>
      </c>
      <c r="G347" s="25" t="s">
        <v>8396</v>
      </c>
      <c r="H347" s="25" t="s">
        <v>8409</v>
      </c>
      <c r="I347" s="25" t="s">
        <v>8477</v>
      </c>
      <c r="J347" s="25" t="s">
        <v>8478</v>
      </c>
      <c r="K347" s="25" t="n">
        <v>0</v>
      </c>
      <c r="L347" s="25" t="str">
        <f aca="false">IF(K347&gt;0,"Yes","No")</f>
        <v>No</v>
      </c>
    </row>
    <row r="348" customFormat="false" ht="15" hidden="false" customHeight="false" outlineLevel="0" collapsed="false">
      <c r="A348" s="25" t="s">
        <v>8479</v>
      </c>
      <c r="B348" s="25" t="s">
        <v>8392</v>
      </c>
      <c r="C348" s="25" t="s">
        <v>8393</v>
      </c>
      <c r="D348" s="25" t="n">
        <v>9</v>
      </c>
      <c r="E348" s="25" t="s">
        <v>8394</v>
      </c>
      <c r="F348" s="25" t="s">
        <v>8395</v>
      </c>
      <c r="G348" s="25" t="s">
        <v>8396</v>
      </c>
      <c r="H348" s="25" t="s">
        <v>8409</v>
      </c>
      <c r="I348" s="25" t="s">
        <v>8480</v>
      </c>
      <c r="J348" s="25" t="s">
        <v>8478</v>
      </c>
      <c r="K348" s="25" t="n">
        <v>0</v>
      </c>
      <c r="L348" s="25" t="str">
        <f aca="false">IF(K348&gt;0,"Yes","No")</f>
        <v>No</v>
      </c>
    </row>
    <row r="349" customFormat="false" ht="15" hidden="false" customHeight="false" outlineLevel="0" collapsed="false">
      <c r="A349" s="25" t="s">
        <v>8481</v>
      </c>
      <c r="B349" s="25" t="s">
        <v>8419</v>
      </c>
      <c r="C349" s="25" t="s">
        <v>8393</v>
      </c>
      <c r="D349" s="25" t="n">
        <v>9</v>
      </c>
      <c r="E349" s="25" t="s">
        <v>8394</v>
      </c>
      <c r="F349" s="25" t="s">
        <v>8395</v>
      </c>
      <c r="G349" s="25" t="s">
        <v>8396</v>
      </c>
      <c r="H349" s="25" t="s">
        <v>8399</v>
      </c>
      <c r="I349" s="25" t="s">
        <v>8482</v>
      </c>
      <c r="J349" s="25" t="s">
        <v>8478</v>
      </c>
      <c r="K349" s="25" t="n">
        <v>0</v>
      </c>
      <c r="L349" s="25" t="str">
        <f aca="false">IF(K349&gt;0,"Yes","No")</f>
        <v>No</v>
      </c>
    </row>
    <row r="350" customFormat="false" ht="15" hidden="false" customHeight="false" outlineLevel="0" collapsed="false">
      <c r="A350" s="25" t="s">
        <v>8483</v>
      </c>
      <c r="B350" s="25" t="s">
        <v>8419</v>
      </c>
      <c r="C350" s="25" t="s">
        <v>8393</v>
      </c>
      <c r="D350" s="25" t="n">
        <v>9</v>
      </c>
      <c r="E350" s="25" t="s">
        <v>8394</v>
      </c>
      <c r="F350" s="25" t="s">
        <v>8395</v>
      </c>
      <c r="G350" s="25" t="s">
        <v>8396</v>
      </c>
      <c r="H350" s="25" t="s">
        <v>8399</v>
      </c>
      <c r="I350" s="25" t="s">
        <v>8484</v>
      </c>
      <c r="J350" s="25" t="s">
        <v>8478</v>
      </c>
      <c r="K350" s="25" t="n">
        <v>0</v>
      </c>
      <c r="L350" s="25" t="str">
        <f aca="false">IF(K350&gt;0,"Yes","No")</f>
        <v>No</v>
      </c>
    </row>
    <row r="351" customFormat="false" ht="15" hidden="false" customHeight="false" outlineLevel="0" collapsed="false">
      <c r="A351" s="25" t="s">
        <v>8485</v>
      </c>
      <c r="B351" s="25" t="s">
        <v>8419</v>
      </c>
      <c r="C351" s="25" t="s">
        <v>8393</v>
      </c>
      <c r="D351" s="25" t="n">
        <v>9</v>
      </c>
      <c r="E351" s="25" t="s">
        <v>8394</v>
      </c>
      <c r="F351" s="25" t="s">
        <v>8395</v>
      </c>
      <c r="G351" s="25" t="s">
        <v>8400</v>
      </c>
      <c r="H351" s="25"/>
      <c r="I351" s="25" t="s">
        <v>725</v>
      </c>
      <c r="J351" s="25" t="s">
        <v>8478</v>
      </c>
      <c r="K351" s="25" t="n">
        <v>0</v>
      </c>
      <c r="L351" s="25" t="str">
        <f aca="false">IF(K351&gt;0,"Yes","No")</f>
        <v>No</v>
      </c>
    </row>
    <row r="352" customFormat="false" ht="15" hidden="false" customHeight="false" outlineLevel="0" collapsed="false">
      <c r="A352" s="25" t="s">
        <v>8486</v>
      </c>
      <c r="B352" s="25" t="s">
        <v>8419</v>
      </c>
      <c r="C352" s="25" t="s">
        <v>8393</v>
      </c>
      <c r="D352" s="25" t="n">
        <v>9</v>
      </c>
      <c r="E352" s="25" t="s">
        <v>8394</v>
      </c>
      <c r="F352" s="25" t="s">
        <v>8395</v>
      </c>
      <c r="G352" s="25" t="s">
        <v>8400</v>
      </c>
      <c r="H352" s="25"/>
      <c r="I352" s="25" t="s">
        <v>8487</v>
      </c>
      <c r="J352" s="25" t="s">
        <v>8478</v>
      </c>
      <c r="K352" s="25" t="n">
        <v>0</v>
      </c>
      <c r="L352" s="25" t="str">
        <f aca="false">IF(K352&gt;0,"Yes","No")</f>
        <v>No</v>
      </c>
    </row>
    <row r="353" customFormat="false" ht="15" hidden="false" customHeight="false" outlineLevel="0" collapsed="false">
      <c r="A353" s="25" t="s">
        <v>8488</v>
      </c>
      <c r="B353" s="25" t="s">
        <v>8419</v>
      </c>
      <c r="C353" s="25" t="s">
        <v>8393</v>
      </c>
      <c r="D353" s="25" t="n">
        <v>9</v>
      </c>
      <c r="E353" s="25" t="s">
        <v>8394</v>
      </c>
      <c r="F353" s="25" t="s">
        <v>8395</v>
      </c>
      <c r="G353" s="25" t="s">
        <v>8396</v>
      </c>
      <c r="H353" s="25" t="s">
        <v>8403</v>
      </c>
      <c r="I353" s="25" t="s">
        <v>8489</v>
      </c>
      <c r="J353" s="25" t="s">
        <v>8490</v>
      </c>
      <c r="K353" s="25" t="n">
        <v>0</v>
      </c>
      <c r="L353" s="25" t="str">
        <f aca="false">IF(K353&gt;0,"Yes","No")</f>
        <v>No</v>
      </c>
    </row>
    <row r="354" customFormat="false" ht="15" hidden="false" customHeight="false" outlineLevel="0" collapsed="false">
      <c r="A354" s="25" t="s">
        <v>8491</v>
      </c>
      <c r="B354" s="25" t="s">
        <v>8392</v>
      </c>
      <c r="C354" s="25" t="s">
        <v>8393</v>
      </c>
      <c r="D354" s="25" t="n">
        <v>9</v>
      </c>
      <c r="E354" s="25" t="s">
        <v>8394</v>
      </c>
      <c r="F354" s="25" t="s">
        <v>8395</v>
      </c>
      <c r="G354" s="25" t="s">
        <v>8396</v>
      </c>
      <c r="H354" s="25" t="s">
        <v>8397</v>
      </c>
      <c r="I354" s="25" t="s">
        <v>8492</v>
      </c>
      <c r="J354" s="25" t="s">
        <v>7210</v>
      </c>
      <c r="K354" s="25" t="n">
        <v>0</v>
      </c>
      <c r="L354" s="25" t="str">
        <f aca="false">IF(K354&gt;0,"Yes","No")</f>
        <v>No</v>
      </c>
    </row>
    <row r="355" customFormat="false" ht="15" hidden="false" customHeight="false" outlineLevel="0" collapsed="false">
      <c r="A355" s="25" t="s">
        <v>8493</v>
      </c>
      <c r="B355" s="25" t="s">
        <v>8419</v>
      </c>
      <c r="C355" s="25" t="s">
        <v>8393</v>
      </c>
      <c r="D355" s="25" t="n">
        <v>9</v>
      </c>
      <c r="E355" s="25" t="s">
        <v>8394</v>
      </c>
      <c r="F355" s="25" t="s">
        <v>8395</v>
      </c>
      <c r="G355" s="25" t="s">
        <v>8396</v>
      </c>
      <c r="H355" s="25" t="s">
        <v>8399</v>
      </c>
      <c r="I355" s="25" t="s">
        <v>8494</v>
      </c>
      <c r="J355" s="25" t="s">
        <v>7210</v>
      </c>
      <c r="K355" s="25" t="n">
        <v>0</v>
      </c>
      <c r="L355" s="25" t="str">
        <f aca="false">IF(K355&gt;0,"Yes","No")</f>
        <v>No</v>
      </c>
    </row>
    <row r="356" customFormat="false" ht="15" hidden="false" customHeight="false" outlineLevel="0" collapsed="false">
      <c r="A356" s="25" t="s">
        <v>8495</v>
      </c>
      <c r="B356" s="25" t="s">
        <v>8419</v>
      </c>
      <c r="C356" s="25" t="s">
        <v>8393</v>
      </c>
      <c r="D356" s="25" t="n">
        <v>9</v>
      </c>
      <c r="E356" s="25" t="s">
        <v>8394</v>
      </c>
      <c r="F356" s="25" t="s">
        <v>8395</v>
      </c>
      <c r="G356" s="25" t="s">
        <v>8396</v>
      </c>
      <c r="H356" s="25" t="s">
        <v>8399</v>
      </c>
      <c r="I356" s="25" t="s">
        <v>8496</v>
      </c>
      <c r="J356" s="25" t="s">
        <v>7210</v>
      </c>
      <c r="K356" s="25" t="n">
        <v>0</v>
      </c>
      <c r="L356" s="25" t="str">
        <f aca="false">IF(K356&gt;0,"Yes","No")</f>
        <v>No</v>
      </c>
    </row>
    <row r="357" customFormat="false" ht="15" hidden="false" customHeight="false" outlineLevel="0" collapsed="false">
      <c r="A357" s="25" t="s">
        <v>8497</v>
      </c>
      <c r="B357" s="25" t="s">
        <v>8419</v>
      </c>
      <c r="C357" s="25" t="s">
        <v>8393</v>
      </c>
      <c r="D357" s="25" t="n">
        <v>9</v>
      </c>
      <c r="E357" s="25" t="s">
        <v>8394</v>
      </c>
      <c r="F357" s="25" t="s">
        <v>8395</v>
      </c>
      <c r="G357" s="25" t="s">
        <v>8396</v>
      </c>
      <c r="H357" s="25" t="s">
        <v>8399</v>
      </c>
      <c r="I357" s="25" t="s">
        <v>8498</v>
      </c>
      <c r="J357" s="25" t="s">
        <v>7210</v>
      </c>
      <c r="K357" s="25" t="n">
        <v>0</v>
      </c>
      <c r="L357" s="25" t="str">
        <f aca="false">IF(K357&gt;0,"Yes","No")</f>
        <v>No</v>
      </c>
    </row>
    <row r="358" customFormat="false" ht="15" hidden="false" customHeight="false" outlineLevel="0" collapsed="false">
      <c r="A358" s="25" t="s">
        <v>8499</v>
      </c>
      <c r="B358" s="25" t="s">
        <v>8419</v>
      </c>
      <c r="C358" s="25" t="s">
        <v>8393</v>
      </c>
      <c r="D358" s="25" t="n">
        <v>9</v>
      </c>
      <c r="E358" s="25" t="s">
        <v>8394</v>
      </c>
      <c r="F358" s="25" t="s">
        <v>8395</v>
      </c>
      <c r="G358" s="25" t="s">
        <v>8400</v>
      </c>
      <c r="H358" s="25"/>
      <c r="I358" s="25" t="s">
        <v>8500</v>
      </c>
      <c r="J358" s="25" t="s">
        <v>6823</v>
      </c>
      <c r="K358" s="25" t="n">
        <v>0</v>
      </c>
      <c r="L358" s="25" t="str">
        <f aca="false">IF(K358&gt;0,"Yes","No")</f>
        <v>No</v>
      </c>
    </row>
    <row r="359" customFormat="false" ht="15" hidden="false" customHeight="false" outlineLevel="0" collapsed="false">
      <c r="A359" s="25" t="s">
        <v>8501</v>
      </c>
      <c r="B359" s="25" t="s">
        <v>8419</v>
      </c>
      <c r="C359" s="25" t="s">
        <v>8393</v>
      </c>
      <c r="D359" s="25" t="n">
        <v>9</v>
      </c>
      <c r="E359" s="25" t="s">
        <v>8394</v>
      </c>
      <c r="F359" s="25" t="s">
        <v>8395</v>
      </c>
      <c r="G359" s="25" t="s">
        <v>8400</v>
      </c>
      <c r="H359" s="25"/>
      <c r="I359" s="25" t="s">
        <v>8502</v>
      </c>
      <c r="J359" s="25" t="s">
        <v>6823</v>
      </c>
      <c r="K359" s="25" t="n">
        <v>0</v>
      </c>
      <c r="L359" s="25" t="str">
        <f aca="false">IF(K359&gt;0,"Yes","No")</f>
        <v>No</v>
      </c>
    </row>
    <row r="360" customFormat="false" ht="15" hidden="false" customHeight="false" outlineLevel="0" collapsed="false">
      <c r="A360" s="25" t="s">
        <v>8503</v>
      </c>
      <c r="B360" s="25" t="s">
        <v>8392</v>
      </c>
      <c r="C360" s="25" t="s">
        <v>8393</v>
      </c>
      <c r="D360" s="25" t="n">
        <v>9</v>
      </c>
      <c r="E360" s="25" t="s">
        <v>8394</v>
      </c>
      <c r="F360" s="25" t="s">
        <v>8395</v>
      </c>
      <c r="G360" s="25" t="s">
        <v>8396</v>
      </c>
      <c r="H360" s="25" t="s">
        <v>8399</v>
      </c>
      <c r="I360" s="25" t="s">
        <v>8504</v>
      </c>
      <c r="J360" s="25" t="s">
        <v>8505</v>
      </c>
      <c r="K360" s="25" t="n">
        <v>0</v>
      </c>
      <c r="L360" s="25" t="str">
        <f aca="false">IF(K360&gt;0,"Yes","No")</f>
        <v>No</v>
      </c>
    </row>
    <row r="361" customFormat="false" ht="15" hidden="false" customHeight="false" outlineLevel="0" collapsed="false">
      <c r="A361" s="25" t="s">
        <v>8506</v>
      </c>
      <c r="B361" s="25" t="s">
        <v>8392</v>
      </c>
      <c r="C361" s="25" t="s">
        <v>8393</v>
      </c>
      <c r="D361" s="25" t="n">
        <v>9</v>
      </c>
      <c r="E361" s="25" t="s">
        <v>8394</v>
      </c>
      <c r="F361" s="25" t="s">
        <v>8395</v>
      </c>
      <c r="G361" s="25" t="s">
        <v>8396</v>
      </c>
      <c r="H361" s="25" t="s">
        <v>8397</v>
      </c>
      <c r="I361" s="25" t="s">
        <v>487</v>
      </c>
      <c r="J361" s="25" t="s">
        <v>8507</v>
      </c>
      <c r="K361" s="25" t="n">
        <v>0</v>
      </c>
      <c r="L361" s="25" t="str">
        <f aca="false">IF(K361&gt;0,"Yes","No")</f>
        <v>No</v>
      </c>
    </row>
    <row r="362" customFormat="false" ht="15" hidden="false" customHeight="false" outlineLevel="0" collapsed="false">
      <c r="A362" s="25" t="s">
        <v>8508</v>
      </c>
      <c r="B362" s="25" t="s">
        <v>8392</v>
      </c>
      <c r="C362" s="25" t="s">
        <v>8393</v>
      </c>
      <c r="D362" s="25" t="n">
        <v>9</v>
      </c>
      <c r="E362" s="25" t="s">
        <v>8394</v>
      </c>
      <c r="F362" s="25" t="s">
        <v>8395</v>
      </c>
      <c r="G362" s="25" t="s">
        <v>8396</v>
      </c>
      <c r="H362" s="25" t="s">
        <v>8403</v>
      </c>
      <c r="I362" s="25" t="s">
        <v>8509</v>
      </c>
      <c r="J362" s="25" t="s">
        <v>8510</v>
      </c>
      <c r="K362" s="25" t="n">
        <v>0</v>
      </c>
      <c r="L362" s="25" t="str">
        <f aca="false">IF(K362&gt;0,"Yes","No")</f>
        <v>No</v>
      </c>
    </row>
    <row r="363" customFormat="false" ht="15" hidden="false" customHeight="false" outlineLevel="0" collapsed="false">
      <c r="A363" s="25" t="s">
        <v>8511</v>
      </c>
      <c r="B363" s="25" t="s">
        <v>8392</v>
      </c>
      <c r="C363" s="25" t="s">
        <v>8393</v>
      </c>
      <c r="D363" s="25" t="n">
        <v>9</v>
      </c>
      <c r="E363" s="25" t="s">
        <v>8394</v>
      </c>
      <c r="F363" s="25" t="s">
        <v>8395</v>
      </c>
      <c r="G363" s="25" t="s">
        <v>8396</v>
      </c>
      <c r="H363" s="25" t="s">
        <v>8399</v>
      </c>
      <c r="I363" s="25" t="s">
        <v>8512</v>
      </c>
      <c r="J363" s="25" t="s">
        <v>8510</v>
      </c>
      <c r="K363" s="25" t="n">
        <v>0</v>
      </c>
      <c r="L363" s="25" t="str">
        <f aca="false">IF(K363&gt;0,"Yes","No")</f>
        <v>No</v>
      </c>
    </row>
    <row r="364" customFormat="false" ht="15" hidden="false" customHeight="false" outlineLevel="0" collapsed="false">
      <c r="A364" s="25" t="s">
        <v>8513</v>
      </c>
      <c r="B364" s="25" t="s">
        <v>8419</v>
      </c>
      <c r="C364" s="25" t="s">
        <v>8393</v>
      </c>
      <c r="D364" s="25" t="n">
        <v>9</v>
      </c>
      <c r="E364" s="25" t="s">
        <v>8394</v>
      </c>
      <c r="F364" s="25" t="s">
        <v>8395</v>
      </c>
      <c r="G364" s="25" t="s">
        <v>8396</v>
      </c>
      <c r="H364" s="25" t="s">
        <v>8397</v>
      </c>
      <c r="I364" s="25" t="s">
        <v>8514</v>
      </c>
      <c r="J364" s="25" t="s">
        <v>600</v>
      </c>
      <c r="K364" s="25" t="n">
        <v>0</v>
      </c>
      <c r="L364" s="25" t="str">
        <f aca="false">IF(K364&gt;0,"Yes","No")</f>
        <v>No</v>
      </c>
    </row>
    <row r="365" customFormat="false" ht="15" hidden="false" customHeight="false" outlineLevel="0" collapsed="false">
      <c r="A365" s="25" t="s">
        <v>8515</v>
      </c>
      <c r="B365" s="25" t="s">
        <v>8419</v>
      </c>
      <c r="C365" s="25" t="s">
        <v>8393</v>
      </c>
      <c r="D365" s="25" t="n">
        <v>9</v>
      </c>
      <c r="E365" s="25" t="s">
        <v>8394</v>
      </c>
      <c r="F365" s="25" t="s">
        <v>8395</v>
      </c>
      <c r="G365" s="25" t="s">
        <v>8396</v>
      </c>
      <c r="H365" s="25" t="s">
        <v>8397</v>
      </c>
      <c r="I365" s="25" t="s">
        <v>8516</v>
      </c>
      <c r="J365" s="25" t="s">
        <v>600</v>
      </c>
      <c r="K365" s="25" t="n">
        <v>0</v>
      </c>
      <c r="L365" s="25" t="str">
        <f aca="false">IF(K365&gt;0,"Yes","No")</f>
        <v>No</v>
      </c>
    </row>
    <row r="366" customFormat="false" ht="15" hidden="false" customHeight="false" outlineLevel="0" collapsed="false">
      <c r="A366" s="25" t="s">
        <v>8517</v>
      </c>
      <c r="B366" s="25" t="s">
        <v>8419</v>
      </c>
      <c r="C366" s="25" t="s">
        <v>8393</v>
      </c>
      <c r="D366" s="25" t="n">
        <v>9</v>
      </c>
      <c r="E366" s="25" t="s">
        <v>8394</v>
      </c>
      <c r="F366" s="25" t="s">
        <v>8395</v>
      </c>
      <c r="G366" s="25" t="s">
        <v>8396</v>
      </c>
      <c r="H366" s="25" t="s">
        <v>8397</v>
      </c>
      <c r="I366" s="25" t="s">
        <v>8518</v>
      </c>
      <c r="J366" s="25" t="s">
        <v>600</v>
      </c>
      <c r="K366" s="25" t="n">
        <v>0</v>
      </c>
      <c r="L366" s="25" t="str">
        <f aca="false">IF(K366&gt;0,"Yes","No")</f>
        <v>No</v>
      </c>
    </row>
    <row r="367" customFormat="false" ht="15" hidden="false" customHeight="false" outlineLevel="0" collapsed="false">
      <c r="A367" s="25" t="s">
        <v>8519</v>
      </c>
      <c r="B367" s="25" t="s">
        <v>8419</v>
      </c>
      <c r="C367" s="25" t="s">
        <v>8393</v>
      </c>
      <c r="D367" s="25" t="n">
        <v>9</v>
      </c>
      <c r="E367" s="25" t="s">
        <v>8394</v>
      </c>
      <c r="F367" s="25" t="s">
        <v>8395</v>
      </c>
      <c r="G367" s="25" t="s">
        <v>8396</v>
      </c>
      <c r="H367" s="25" t="s">
        <v>8397</v>
      </c>
      <c r="I367" s="25" t="s">
        <v>8520</v>
      </c>
      <c r="J367" s="25" t="s">
        <v>600</v>
      </c>
      <c r="K367" s="25" t="n">
        <v>0</v>
      </c>
      <c r="L367" s="25" t="str">
        <f aca="false">IF(K367&gt;0,"Yes","No")</f>
        <v>No</v>
      </c>
    </row>
    <row r="368" customFormat="false" ht="15" hidden="false" customHeight="false" outlineLevel="0" collapsed="false">
      <c r="A368" s="25" t="s">
        <v>8521</v>
      </c>
      <c r="B368" s="25" t="s">
        <v>8419</v>
      </c>
      <c r="C368" s="25" t="s">
        <v>8393</v>
      </c>
      <c r="D368" s="25" t="n">
        <v>9</v>
      </c>
      <c r="E368" s="25" t="s">
        <v>8394</v>
      </c>
      <c r="F368" s="25" t="s">
        <v>8395</v>
      </c>
      <c r="G368" s="25" t="s">
        <v>8396</v>
      </c>
      <c r="H368" s="25" t="s">
        <v>8399</v>
      </c>
      <c r="I368" s="25" t="s">
        <v>8522</v>
      </c>
      <c r="J368" s="25" t="s">
        <v>1786</v>
      </c>
      <c r="K368" s="25" t="n">
        <v>0</v>
      </c>
      <c r="L368" s="25" t="str">
        <f aca="false">IF(K368&gt;0,"Yes","No")</f>
        <v>No</v>
      </c>
    </row>
    <row r="369" customFormat="false" ht="15" hidden="false" customHeight="false" outlineLevel="0" collapsed="false">
      <c r="A369" s="25" t="s">
        <v>8523</v>
      </c>
      <c r="B369" s="25" t="s">
        <v>8419</v>
      </c>
      <c r="C369" s="25" t="s">
        <v>8393</v>
      </c>
      <c r="D369" s="25" t="n">
        <v>9</v>
      </c>
      <c r="E369" s="25" t="s">
        <v>8394</v>
      </c>
      <c r="F369" s="25" t="s">
        <v>8395</v>
      </c>
      <c r="G369" s="25" t="s">
        <v>8396</v>
      </c>
      <c r="H369" s="25"/>
      <c r="I369" s="25" t="s">
        <v>8524</v>
      </c>
      <c r="J369" s="25" t="s">
        <v>8525</v>
      </c>
      <c r="K369" s="25" t="n">
        <v>0</v>
      </c>
      <c r="L369" s="25" t="str">
        <f aca="false">IF(K369&gt;0,"Yes","No")</f>
        <v>No</v>
      </c>
    </row>
    <row r="370" customFormat="false" ht="15" hidden="false" customHeight="false" outlineLevel="0" collapsed="false">
      <c r="A370" s="25" t="s">
        <v>8526</v>
      </c>
      <c r="B370" s="25" t="s">
        <v>8419</v>
      </c>
      <c r="C370" s="25" t="s">
        <v>8393</v>
      </c>
      <c r="D370" s="25" t="n">
        <v>9</v>
      </c>
      <c r="E370" s="25" t="s">
        <v>8394</v>
      </c>
      <c r="F370" s="25" t="s">
        <v>8395</v>
      </c>
      <c r="G370" s="25" t="s">
        <v>8396</v>
      </c>
      <c r="H370" s="25"/>
      <c r="I370" s="25" t="s">
        <v>8527</v>
      </c>
      <c r="J370" s="25" t="s">
        <v>8525</v>
      </c>
      <c r="K370" s="25" t="n">
        <v>0</v>
      </c>
      <c r="L370" s="25" t="str">
        <f aca="false">IF(K370&gt;0,"Yes","No")</f>
        <v>No</v>
      </c>
    </row>
    <row r="371" customFormat="false" ht="15" hidden="false" customHeight="false" outlineLevel="0" collapsed="false">
      <c r="A371" s="25" t="s">
        <v>8528</v>
      </c>
      <c r="B371" s="25" t="s">
        <v>8392</v>
      </c>
      <c r="C371" s="25" t="s">
        <v>8393</v>
      </c>
      <c r="D371" s="25" t="n">
        <v>9</v>
      </c>
      <c r="E371" s="25" t="s">
        <v>8394</v>
      </c>
      <c r="F371" s="25" t="s">
        <v>8395</v>
      </c>
      <c r="G371" s="25" t="s">
        <v>8396</v>
      </c>
      <c r="H371" s="25" t="s">
        <v>8399</v>
      </c>
      <c r="I371" s="25" t="s">
        <v>8529</v>
      </c>
      <c r="J371" s="25" t="s">
        <v>8530</v>
      </c>
      <c r="K371" s="25" t="n">
        <v>0</v>
      </c>
      <c r="L371" s="25" t="str">
        <f aca="false">IF(K371&gt;0,"Yes","No")</f>
        <v>No</v>
      </c>
    </row>
    <row r="372" customFormat="false" ht="15" hidden="false" customHeight="false" outlineLevel="0" collapsed="false">
      <c r="A372" s="25" t="s">
        <v>8531</v>
      </c>
      <c r="B372" s="25" t="s">
        <v>8419</v>
      </c>
      <c r="C372" s="25" t="s">
        <v>8393</v>
      </c>
      <c r="D372" s="25" t="n">
        <v>9</v>
      </c>
      <c r="E372" s="25" t="s">
        <v>8394</v>
      </c>
      <c r="F372" s="25" t="s">
        <v>8395</v>
      </c>
      <c r="G372" s="25" t="s">
        <v>8400</v>
      </c>
      <c r="H372" s="25"/>
      <c r="I372" s="25" t="s">
        <v>8532</v>
      </c>
      <c r="J372" s="25" t="s">
        <v>8533</v>
      </c>
      <c r="K372" s="25" t="n">
        <v>0</v>
      </c>
      <c r="L372" s="25" t="str">
        <f aca="false">IF(K372&gt;0,"Yes","No")</f>
        <v>No</v>
      </c>
    </row>
    <row r="373" customFormat="false" ht="15" hidden="false" customHeight="false" outlineLevel="0" collapsed="false">
      <c r="A373" s="25" t="s">
        <v>8534</v>
      </c>
      <c r="B373" s="25" t="s">
        <v>8419</v>
      </c>
      <c r="C373" s="25" t="s">
        <v>8393</v>
      </c>
      <c r="D373" s="25" t="n">
        <v>9</v>
      </c>
      <c r="E373" s="25" t="s">
        <v>8394</v>
      </c>
      <c r="F373" s="25" t="s">
        <v>8395</v>
      </c>
      <c r="G373" s="25" t="s">
        <v>8400</v>
      </c>
      <c r="H373" s="25"/>
      <c r="I373" s="25" t="s">
        <v>8535</v>
      </c>
      <c r="J373" s="25" t="s">
        <v>8533</v>
      </c>
      <c r="K373" s="25" t="n">
        <v>0</v>
      </c>
      <c r="L373" s="25" t="str">
        <f aca="false">IF(K373&gt;0,"Yes","No")</f>
        <v>No</v>
      </c>
    </row>
    <row r="374" customFormat="false" ht="15" hidden="false" customHeight="false" outlineLevel="0" collapsed="false">
      <c r="A374" s="25" t="s">
        <v>8536</v>
      </c>
      <c r="B374" s="25" t="s">
        <v>8419</v>
      </c>
      <c r="C374" s="25" t="s">
        <v>8393</v>
      </c>
      <c r="D374" s="25" t="n">
        <v>9</v>
      </c>
      <c r="E374" s="25" t="s">
        <v>8394</v>
      </c>
      <c r="F374" s="25" t="s">
        <v>8395</v>
      </c>
      <c r="G374" s="25" t="s">
        <v>8396</v>
      </c>
      <c r="H374" s="25" t="s">
        <v>8403</v>
      </c>
      <c r="I374" s="25" t="s">
        <v>8537</v>
      </c>
      <c r="J374" s="25" t="s">
        <v>8533</v>
      </c>
      <c r="K374" s="25" t="n">
        <v>0</v>
      </c>
      <c r="L374" s="25" t="str">
        <f aca="false">IF(K374&gt;0,"Yes","No")</f>
        <v>No</v>
      </c>
    </row>
    <row r="375" customFormat="false" ht="15" hidden="false" customHeight="false" outlineLevel="0" collapsed="false">
      <c r="A375" s="25" t="s">
        <v>8538</v>
      </c>
      <c r="B375" s="25" t="s">
        <v>8419</v>
      </c>
      <c r="C375" s="25" t="s">
        <v>8393</v>
      </c>
      <c r="D375" s="25" t="n">
        <v>9</v>
      </c>
      <c r="E375" s="25" t="s">
        <v>8394</v>
      </c>
      <c r="F375" s="25" t="s">
        <v>8395</v>
      </c>
      <c r="G375" s="25" t="s">
        <v>8396</v>
      </c>
      <c r="H375" s="25" t="s">
        <v>8403</v>
      </c>
      <c r="I375" s="25" t="s">
        <v>8539</v>
      </c>
      <c r="J375" s="25" t="s">
        <v>8533</v>
      </c>
      <c r="K375" s="25" t="n">
        <v>0</v>
      </c>
      <c r="L375" s="25" t="str">
        <f aca="false">IF(K375&gt;0,"Yes","No")</f>
        <v>No</v>
      </c>
    </row>
    <row r="376" customFormat="false" ht="15" hidden="false" customHeight="false" outlineLevel="0" collapsed="false">
      <c r="A376" s="25" t="s">
        <v>8540</v>
      </c>
      <c r="B376" s="25" t="s">
        <v>8392</v>
      </c>
      <c r="C376" s="25" t="s">
        <v>8393</v>
      </c>
      <c r="D376" s="25" t="n">
        <v>9</v>
      </c>
      <c r="E376" s="25" t="s">
        <v>8394</v>
      </c>
      <c r="F376" s="25" t="s">
        <v>8395</v>
      </c>
      <c r="G376" s="25" t="s">
        <v>8398</v>
      </c>
      <c r="H376" s="25"/>
      <c r="I376" s="25" t="s">
        <v>8541</v>
      </c>
      <c r="J376" s="25" t="s">
        <v>1781</v>
      </c>
      <c r="K376" s="25" t="n">
        <v>0</v>
      </c>
      <c r="L376" s="25" t="str">
        <f aca="false">IF(K376&gt;0,"Yes","No")</f>
        <v>No</v>
      </c>
    </row>
    <row r="377" customFormat="false" ht="15" hidden="false" customHeight="false" outlineLevel="0" collapsed="false">
      <c r="A377" s="25" t="s">
        <v>8542</v>
      </c>
      <c r="B377" s="25" t="s">
        <v>8419</v>
      </c>
      <c r="C377" s="25" t="s">
        <v>8393</v>
      </c>
      <c r="D377" s="25" t="n">
        <v>9</v>
      </c>
      <c r="E377" s="25" t="s">
        <v>8394</v>
      </c>
      <c r="F377" s="25" t="s">
        <v>8395</v>
      </c>
      <c r="G377" s="25" t="s">
        <v>8396</v>
      </c>
      <c r="H377" s="25" t="s">
        <v>8399</v>
      </c>
      <c r="I377" s="25" t="s">
        <v>8543</v>
      </c>
      <c r="J377" s="25" t="s">
        <v>8544</v>
      </c>
      <c r="K377" s="25" t="n">
        <v>0</v>
      </c>
      <c r="L377" s="25" t="str">
        <f aca="false">IF(K377&gt;0,"Yes","No")</f>
        <v>No</v>
      </c>
    </row>
    <row r="378" customFormat="false" ht="15" hidden="false" customHeight="false" outlineLevel="0" collapsed="false">
      <c r="A378" s="25" t="s">
        <v>8545</v>
      </c>
      <c r="B378" s="25" t="s">
        <v>8419</v>
      </c>
      <c r="C378" s="25" t="s">
        <v>8393</v>
      </c>
      <c r="D378" s="25" t="n">
        <v>9</v>
      </c>
      <c r="E378" s="25" t="s">
        <v>8394</v>
      </c>
      <c r="F378" s="25" t="s">
        <v>8395</v>
      </c>
      <c r="G378" s="25" t="s">
        <v>8396</v>
      </c>
      <c r="H378" s="25" t="s">
        <v>8399</v>
      </c>
      <c r="I378" s="25" t="s">
        <v>8546</v>
      </c>
      <c r="J378" s="25" t="s">
        <v>8544</v>
      </c>
      <c r="K378" s="25" t="n">
        <v>0</v>
      </c>
      <c r="L378" s="25" t="str">
        <f aca="false">IF(K378&gt;0,"Yes","No")</f>
        <v>No</v>
      </c>
    </row>
    <row r="379" customFormat="false" ht="15" hidden="false" customHeight="false" outlineLevel="0" collapsed="false">
      <c r="A379" s="25" t="s">
        <v>8547</v>
      </c>
      <c r="B379" s="25" t="s">
        <v>8392</v>
      </c>
      <c r="C379" s="25" t="s">
        <v>8393</v>
      </c>
      <c r="D379" s="25" t="n">
        <v>9</v>
      </c>
      <c r="E379" s="25" t="s">
        <v>8394</v>
      </c>
      <c r="F379" s="25" t="s">
        <v>8395</v>
      </c>
      <c r="G379" s="25" t="s">
        <v>8396</v>
      </c>
      <c r="H379" s="25" t="s">
        <v>8403</v>
      </c>
      <c r="I379" s="25" t="s">
        <v>8548</v>
      </c>
      <c r="J379" s="25" t="s">
        <v>8549</v>
      </c>
      <c r="K379" s="25" t="n">
        <v>0</v>
      </c>
      <c r="L379" s="25" t="str">
        <f aca="false">IF(K379&gt;0,"Yes","No")</f>
        <v>No</v>
      </c>
    </row>
    <row r="380" customFormat="false" ht="15" hidden="false" customHeight="false" outlineLevel="0" collapsed="false">
      <c r="A380" s="25" t="s">
        <v>8550</v>
      </c>
      <c r="B380" s="25" t="s">
        <v>8419</v>
      </c>
      <c r="C380" s="25" t="s">
        <v>8393</v>
      </c>
      <c r="D380" s="25" t="n">
        <v>9</v>
      </c>
      <c r="E380" s="25" t="s">
        <v>8394</v>
      </c>
      <c r="F380" s="25" t="s">
        <v>8395</v>
      </c>
      <c r="G380" s="25" t="s">
        <v>8396</v>
      </c>
      <c r="H380" s="25" t="s">
        <v>8399</v>
      </c>
      <c r="I380" s="25" t="s">
        <v>8551</v>
      </c>
      <c r="J380" s="25" t="s">
        <v>8552</v>
      </c>
      <c r="K380" s="25" t="n">
        <v>0</v>
      </c>
      <c r="L380" s="25" t="str">
        <f aca="false">IF(K380&gt;0,"Yes","No")</f>
        <v>No</v>
      </c>
    </row>
    <row r="381" customFormat="false" ht="15" hidden="false" customHeight="false" outlineLevel="0" collapsed="false">
      <c r="A381" s="25" t="s">
        <v>8553</v>
      </c>
      <c r="B381" s="25" t="s">
        <v>8419</v>
      </c>
      <c r="C381" s="25" t="s">
        <v>8393</v>
      </c>
      <c r="D381" s="25" t="n">
        <v>9</v>
      </c>
      <c r="E381" s="25" t="s">
        <v>8394</v>
      </c>
      <c r="F381" s="25" t="s">
        <v>8395</v>
      </c>
      <c r="G381" s="25" t="s">
        <v>8396</v>
      </c>
      <c r="H381" s="25" t="s">
        <v>8399</v>
      </c>
      <c r="I381" s="25" t="s">
        <v>8554</v>
      </c>
      <c r="J381" s="25" t="s">
        <v>8544</v>
      </c>
      <c r="K381" s="25" t="n">
        <v>0</v>
      </c>
      <c r="L381" s="25" t="str">
        <f aca="false">IF(K381&gt;0,"Yes","No")</f>
        <v>No</v>
      </c>
    </row>
    <row r="382" customFormat="false" ht="15" hidden="false" customHeight="false" outlineLevel="0" collapsed="false">
      <c r="A382" s="25" t="s">
        <v>8555</v>
      </c>
      <c r="B382" s="25" t="s">
        <v>8392</v>
      </c>
      <c r="C382" s="25"/>
      <c r="D382" s="25" t="n">
        <v>8</v>
      </c>
      <c r="E382" s="25" t="s">
        <v>8439</v>
      </c>
      <c r="F382" s="25" t="s">
        <v>8440</v>
      </c>
      <c r="G382" s="25" t="s">
        <v>8398</v>
      </c>
      <c r="H382" s="25"/>
      <c r="I382" s="25" t="s">
        <v>8556</v>
      </c>
      <c r="J382" s="25" t="s">
        <v>8557</v>
      </c>
      <c r="K382" s="25" t="n">
        <v>0</v>
      </c>
      <c r="L382" s="25" t="str">
        <f aca="false">IF(K382&gt;0,"Yes","No")</f>
        <v>No</v>
      </c>
    </row>
    <row r="383" customFormat="false" ht="15" hidden="false" customHeight="false" outlineLevel="0" collapsed="false">
      <c r="A383" s="25" t="s">
        <v>8558</v>
      </c>
      <c r="B383" s="25" t="s">
        <v>8392</v>
      </c>
      <c r="C383" s="25" t="s">
        <v>8393</v>
      </c>
      <c r="D383" s="25" t="n">
        <v>9</v>
      </c>
      <c r="E383" s="25" t="s">
        <v>8394</v>
      </c>
      <c r="F383" s="25" t="s">
        <v>8395</v>
      </c>
      <c r="G383" s="25" t="s">
        <v>8396</v>
      </c>
      <c r="H383" s="25" t="s">
        <v>8397</v>
      </c>
      <c r="I383" s="25" t="s">
        <v>8559</v>
      </c>
      <c r="J383" s="25" t="s">
        <v>8560</v>
      </c>
      <c r="K383" s="25" t="n">
        <v>0</v>
      </c>
      <c r="L383" s="25" t="str">
        <f aca="false">IF(K383&gt;0,"Yes","No")</f>
        <v>No</v>
      </c>
    </row>
    <row r="384" customFormat="false" ht="15" hidden="false" customHeight="false" outlineLevel="0" collapsed="false">
      <c r="A384" s="25" t="s">
        <v>8561</v>
      </c>
      <c r="B384" s="25" t="s">
        <v>8392</v>
      </c>
      <c r="C384" s="25" t="s">
        <v>8393</v>
      </c>
      <c r="D384" s="25" t="n">
        <v>9</v>
      </c>
      <c r="E384" s="25" t="s">
        <v>8394</v>
      </c>
      <c r="F384" s="25" t="s">
        <v>8395</v>
      </c>
      <c r="G384" s="25" t="s">
        <v>8396</v>
      </c>
      <c r="H384" s="25" t="s">
        <v>8397</v>
      </c>
      <c r="I384" s="25" t="s">
        <v>4497</v>
      </c>
      <c r="J384" s="25" t="s">
        <v>8560</v>
      </c>
      <c r="K384" s="25" t="n">
        <v>0</v>
      </c>
      <c r="L384" s="25" t="str">
        <f aca="false">IF(K384&gt;0,"Yes","No")</f>
        <v>No</v>
      </c>
    </row>
    <row r="385" customFormat="false" ht="15" hidden="false" customHeight="false" outlineLevel="0" collapsed="false">
      <c r="A385" s="25" t="s">
        <v>8562</v>
      </c>
      <c r="B385" s="25" t="s">
        <v>8392</v>
      </c>
      <c r="C385" s="25"/>
      <c r="D385" s="25" t="n">
        <v>8</v>
      </c>
      <c r="E385" s="25" t="s">
        <v>8439</v>
      </c>
      <c r="F385" s="25" t="s">
        <v>8440</v>
      </c>
      <c r="G385" s="25" t="s">
        <v>8398</v>
      </c>
      <c r="H385" s="25"/>
      <c r="I385" s="25" t="s">
        <v>8462</v>
      </c>
      <c r="J385" s="25" t="s">
        <v>8563</v>
      </c>
      <c r="K385" s="25" t="n">
        <v>0</v>
      </c>
      <c r="L385" s="25" t="str">
        <f aca="false">IF(K385&gt;0,"Yes","No")</f>
        <v>No</v>
      </c>
    </row>
    <row r="386" customFormat="false" ht="15" hidden="false" customHeight="false" outlineLevel="0" collapsed="false">
      <c r="A386" s="25" t="s">
        <v>8564</v>
      </c>
      <c r="B386" s="25" t="s">
        <v>8419</v>
      </c>
      <c r="C386" s="25" t="s">
        <v>8393</v>
      </c>
      <c r="D386" s="25" t="n">
        <v>9</v>
      </c>
      <c r="E386" s="25" t="s">
        <v>8394</v>
      </c>
      <c r="F386" s="25" t="s">
        <v>8395</v>
      </c>
      <c r="G386" s="25" t="s">
        <v>8400</v>
      </c>
      <c r="H386" s="25"/>
      <c r="I386" s="25" t="s">
        <v>8565</v>
      </c>
      <c r="J386" s="25" t="s">
        <v>4179</v>
      </c>
      <c r="K386" s="25" t="n">
        <v>0</v>
      </c>
      <c r="L386" s="25" t="str">
        <f aca="false">IF(K386&gt;0,"Yes","No")</f>
        <v>No</v>
      </c>
    </row>
    <row r="387" customFormat="false" ht="15" hidden="false" customHeight="false" outlineLevel="0" collapsed="false">
      <c r="A387" s="25" t="s">
        <v>8566</v>
      </c>
      <c r="B387" s="25" t="s">
        <v>8419</v>
      </c>
      <c r="C387" s="25" t="s">
        <v>8393</v>
      </c>
      <c r="D387" s="25" t="n">
        <v>9</v>
      </c>
      <c r="E387" s="25" t="s">
        <v>8394</v>
      </c>
      <c r="F387" s="25" t="s">
        <v>8395</v>
      </c>
      <c r="G387" s="25" t="s">
        <v>8400</v>
      </c>
      <c r="H387" s="25"/>
      <c r="I387" s="25" t="s">
        <v>8567</v>
      </c>
      <c r="J387" s="25" t="s">
        <v>4179</v>
      </c>
      <c r="K387" s="25" t="n">
        <v>0</v>
      </c>
      <c r="L387" s="25" t="str">
        <f aca="false">IF(K387&gt;0,"Yes","No")</f>
        <v>No</v>
      </c>
    </row>
    <row r="388" customFormat="false" ht="15" hidden="false" customHeight="false" outlineLevel="0" collapsed="false">
      <c r="A388" s="25" t="s">
        <v>8568</v>
      </c>
      <c r="B388" s="25" t="s">
        <v>8419</v>
      </c>
      <c r="C388" s="25" t="s">
        <v>8393</v>
      </c>
      <c r="D388" s="25" t="n">
        <v>9</v>
      </c>
      <c r="E388" s="25" t="s">
        <v>8394</v>
      </c>
      <c r="F388" s="25" t="s">
        <v>8395</v>
      </c>
      <c r="G388" s="25" t="s">
        <v>8400</v>
      </c>
      <c r="H388" s="25"/>
      <c r="I388" s="25" t="s">
        <v>8569</v>
      </c>
      <c r="J388" s="25" t="s">
        <v>4179</v>
      </c>
      <c r="K388" s="25" t="n">
        <v>0</v>
      </c>
      <c r="L388" s="25" t="str">
        <f aca="false">IF(K388&gt;0,"Yes","No")</f>
        <v>No</v>
      </c>
    </row>
    <row r="389" customFormat="false" ht="15" hidden="false" customHeight="false" outlineLevel="0" collapsed="false">
      <c r="A389" s="25" t="s">
        <v>8570</v>
      </c>
      <c r="B389" s="25" t="s">
        <v>8419</v>
      </c>
      <c r="C389" s="25" t="s">
        <v>8393</v>
      </c>
      <c r="D389" s="25" t="n">
        <v>9</v>
      </c>
      <c r="E389" s="25" t="s">
        <v>8394</v>
      </c>
      <c r="F389" s="25" t="s">
        <v>8395</v>
      </c>
      <c r="G389" s="25" t="s">
        <v>8400</v>
      </c>
      <c r="H389" s="25"/>
      <c r="I389" s="25" t="s">
        <v>725</v>
      </c>
      <c r="J389" s="25" t="s">
        <v>8571</v>
      </c>
      <c r="K389" s="25" t="n">
        <v>0</v>
      </c>
      <c r="L389" s="25" t="str">
        <f aca="false">IF(K389&gt;0,"Yes","No")</f>
        <v>No</v>
      </c>
    </row>
    <row r="390" customFormat="false" ht="15" hidden="false" customHeight="false" outlineLevel="0" collapsed="false">
      <c r="A390" s="25" t="s">
        <v>8572</v>
      </c>
      <c r="B390" s="25" t="s">
        <v>8419</v>
      </c>
      <c r="C390" s="25" t="s">
        <v>8393</v>
      </c>
      <c r="D390" s="25" t="n">
        <v>9</v>
      </c>
      <c r="E390" s="25" t="s">
        <v>8394</v>
      </c>
      <c r="F390" s="25" t="s">
        <v>8395</v>
      </c>
      <c r="G390" s="25" t="s">
        <v>8400</v>
      </c>
      <c r="H390" s="25"/>
      <c r="I390" s="25" t="s">
        <v>8573</v>
      </c>
      <c r="J390" s="25" t="s">
        <v>8571</v>
      </c>
      <c r="K390" s="25" t="n">
        <v>0</v>
      </c>
      <c r="L390" s="25" t="str">
        <f aca="false">IF(K390&gt;0,"Yes","No")</f>
        <v>No</v>
      </c>
    </row>
    <row r="391" customFormat="false" ht="15" hidden="false" customHeight="false" outlineLevel="0" collapsed="false">
      <c r="A391" s="25" t="s">
        <v>8574</v>
      </c>
      <c r="B391" s="25" t="s">
        <v>8392</v>
      </c>
      <c r="C391" s="25" t="s">
        <v>8393</v>
      </c>
      <c r="D391" s="25" t="n">
        <v>9</v>
      </c>
      <c r="E391" s="25" t="s">
        <v>8394</v>
      </c>
      <c r="F391" s="25" t="s">
        <v>8395</v>
      </c>
      <c r="G391" s="25" t="s">
        <v>8398</v>
      </c>
      <c r="H391" s="25"/>
      <c r="I391" s="25" t="s">
        <v>8575</v>
      </c>
      <c r="J391" s="25" t="s">
        <v>1041</v>
      </c>
      <c r="K391" s="25" t="n">
        <v>0</v>
      </c>
      <c r="L391" s="25" t="str">
        <f aca="false">IF(K391&gt;0,"Yes","No")</f>
        <v>No</v>
      </c>
    </row>
    <row r="392" customFormat="false" ht="15" hidden="false" customHeight="false" outlineLevel="0" collapsed="false">
      <c r="A392" s="25" t="s">
        <v>8576</v>
      </c>
      <c r="B392" s="25" t="s">
        <v>8392</v>
      </c>
      <c r="C392" s="25"/>
      <c r="D392" s="25" t="n">
        <v>8</v>
      </c>
      <c r="E392" s="25" t="s">
        <v>8439</v>
      </c>
      <c r="F392" s="25" t="s">
        <v>8440</v>
      </c>
      <c r="G392" s="25" t="s">
        <v>8398</v>
      </c>
      <c r="H392" s="25"/>
      <c r="I392" s="25" t="s">
        <v>8577</v>
      </c>
      <c r="J392" s="25" t="s">
        <v>8578</v>
      </c>
      <c r="K392" s="25" t="n">
        <v>0</v>
      </c>
      <c r="L392" s="25" t="str">
        <f aca="false">IF(K392&gt;0,"Yes","No")</f>
        <v>No</v>
      </c>
    </row>
    <row r="393" customFormat="false" ht="15" hidden="false" customHeight="false" outlineLevel="0" collapsed="false">
      <c r="A393" s="25" t="s">
        <v>8579</v>
      </c>
      <c r="B393" s="25" t="s">
        <v>8392</v>
      </c>
      <c r="C393" s="25"/>
      <c r="D393" s="25" t="n">
        <v>8</v>
      </c>
      <c r="E393" s="25" t="s">
        <v>8439</v>
      </c>
      <c r="F393" s="25" t="s">
        <v>8440</v>
      </c>
      <c r="G393" s="25" t="s">
        <v>8398</v>
      </c>
      <c r="H393" s="25"/>
      <c r="I393" s="25" t="s">
        <v>8556</v>
      </c>
      <c r="J393" s="25" t="s">
        <v>8578</v>
      </c>
      <c r="K393" s="25" t="n">
        <v>0</v>
      </c>
      <c r="L393" s="25" t="str">
        <f aca="false">IF(K393&gt;0,"Yes","No")</f>
        <v>No</v>
      </c>
    </row>
    <row r="394" customFormat="false" ht="15" hidden="false" customHeight="false" outlineLevel="0" collapsed="false">
      <c r="A394" s="25" t="s">
        <v>8580</v>
      </c>
      <c r="B394" s="25" t="s">
        <v>8392</v>
      </c>
      <c r="C394" s="25" t="s">
        <v>8393</v>
      </c>
      <c r="D394" s="25" t="n">
        <v>9</v>
      </c>
      <c r="E394" s="25" t="s">
        <v>8394</v>
      </c>
      <c r="F394" s="25" t="s">
        <v>8395</v>
      </c>
      <c r="G394" s="25" t="s">
        <v>8396</v>
      </c>
      <c r="H394" s="25" t="s">
        <v>8399</v>
      </c>
      <c r="I394" s="25" t="s">
        <v>8581</v>
      </c>
      <c r="J394" s="25" t="s">
        <v>8582</v>
      </c>
      <c r="K394" s="25" t="n">
        <v>0</v>
      </c>
      <c r="L394" s="25" t="str">
        <f aca="false">IF(K394&gt;0,"Yes","No")</f>
        <v>No</v>
      </c>
    </row>
    <row r="395" customFormat="false" ht="15" hidden="false" customHeight="false" outlineLevel="0" collapsed="false">
      <c r="A395" s="25" t="s">
        <v>8583</v>
      </c>
      <c r="B395" s="25" t="s">
        <v>8392</v>
      </c>
      <c r="C395" s="25" t="s">
        <v>8393</v>
      </c>
      <c r="D395" s="25" t="n">
        <v>9</v>
      </c>
      <c r="E395" s="25" t="s">
        <v>8394</v>
      </c>
      <c r="F395" s="25" t="s">
        <v>8395</v>
      </c>
      <c r="G395" s="25" t="s">
        <v>8396</v>
      </c>
      <c r="H395" s="25" t="s">
        <v>8403</v>
      </c>
      <c r="I395" s="25" t="s">
        <v>8584</v>
      </c>
      <c r="J395" s="25" t="s">
        <v>8585</v>
      </c>
      <c r="K395" s="25" t="n">
        <v>0</v>
      </c>
      <c r="L395" s="25" t="str">
        <f aca="false">IF(K395&gt;0,"Yes","No")</f>
        <v>No</v>
      </c>
    </row>
    <row r="396" customFormat="false" ht="15" hidden="false" customHeight="false" outlineLevel="0" collapsed="false">
      <c r="A396" s="25" t="s">
        <v>8586</v>
      </c>
      <c r="B396" s="25" t="s">
        <v>8392</v>
      </c>
      <c r="C396" s="25" t="s">
        <v>8393</v>
      </c>
      <c r="D396" s="25" t="n">
        <v>9</v>
      </c>
      <c r="E396" s="25" t="s">
        <v>8394</v>
      </c>
      <c r="F396" s="25" t="s">
        <v>8395</v>
      </c>
      <c r="G396" s="25" t="s">
        <v>8396</v>
      </c>
      <c r="H396" s="25" t="s">
        <v>8399</v>
      </c>
      <c r="I396" s="25" t="s">
        <v>8587</v>
      </c>
      <c r="J396" s="25" t="s">
        <v>8588</v>
      </c>
      <c r="K396" s="25" t="n">
        <v>0</v>
      </c>
      <c r="L396" s="25" t="str">
        <f aca="false">IF(K396&gt;0,"Yes","No")</f>
        <v>No</v>
      </c>
    </row>
    <row r="397" customFormat="false" ht="15" hidden="false" customHeight="false" outlineLevel="0" collapsed="false">
      <c r="A397" s="25" t="s">
        <v>8589</v>
      </c>
      <c r="B397" s="25" t="s">
        <v>8419</v>
      </c>
      <c r="C397" s="25" t="s">
        <v>8393</v>
      </c>
      <c r="D397" s="25" t="n">
        <v>9</v>
      </c>
      <c r="E397" s="25" t="s">
        <v>8394</v>
      </c>
      <c r="F397" s="25" t="s">
        <v>8395</v>
      </c>
      <c r="G397" s="25" t="s">
        <v>8396</v>
      </c>
      <c r="H397" s="25" t="s">
        <v>8399</v>
      </c>
      <c r="I397" s="25" t="s">
        <v>8590</v>
      </c>
      <c r="J397" s="25" t="s">
        <v>8588</v>
      </c>
      <c r="K397" s="25" t="n">
        <v>0</v>
      </c>
      <c r="L397" s="25" t="str">
        <f aca="false">IF(K397&gt;0,"Yes","No")</f>
        <v>No</v>
      </c>
    </row>
    <row r="398" customFormat="false" ht="15" hidden="false" customHeight="false" outlineLevel="0" collapsed="false">
      <c r="A398" s="25" t="s">
        <v>8591</v>
      </c>
      <c r="B398" s="25" t="s">
        <v>8392</v>
      </c>
      <c r="C398" s="25"/>
      <c r="D398" s="25" t="n">
        <v>8</v>
      </c>
      <c r="E398" s="25" t="s">
        <v>8439</v>
      </c>
      <c r="F398" s="25" t="s">
        <v>8440</v>
      </c>
      <c r="G398" s="25" t="s">
        <v>8398</v>
      </c>
      <c r="H398" s="25"/>
      <c r="I398" s="25" t="s">
        <v>8592</v>
      </c>
      <c r="J398" s="25" t="s">
        <v>8588</v>
      </c>
      <c r="K398" s="25" t="n">
        <v>0</v>
      </c>
      <c r="L398" s="25" t="str">
        <f aca="false">IF(K398&gt;0,"Yes","No")</f>
        <v>No</v>
      </c>
    </row>
    <row r="399" customFormat="false" ht="15" hidden="false" customHeight="false" outlineLevel="0" collapsed="false">
      <c r="A399" s="25" t="s">
        <v>8593</v>
      </c>
      <c r="B399" s="25" t="s">
        <v>8392</v>
      </c>
      <c r="C399" s="25"/>
      <c r="D399" s="25" t="n">
        <v>8</v>
      </c>
      <c r="E399" s="25" t="s">
        <v>8439</v>
      </c>
      <c r="F399" s="25" t="s">
        <v>8440</v>
      </c>
      <c r="G399" s="25" t="s">
        <v>8398</v>
      </c>
      <c r="H399" s="25"/>
      <c r="I399" s="25" t="s">
        <v>8594</v>
      </c>
      <c r="J399" s="25" t="s">
        <v>8595</v>
      </c>
      <c r="K399" s="25" t="n">
        <v>0</v>
      </c>
      <c r="L399" s="25" t="str">
        <f aca="false">IF(K399&gt;0,"Yes","No")</f>
        <v>No</v>
      </c>
    </row>
    <row r="400" customFormat="false" ht="15" hidden="false" customHeight="false" outlineLevel="0" collapsed="false">
      <c r="A400" s="25" t="s">
        <v>8596</v>
      </c>
      <c r="B400" s="25" t="s">
        <v>8392</v>
      </c>
      <c r="C400" s="25" t="s">
        <v>8393</v>
      </c>
      <c r="D400" s="25" t="n">
        <v>9</v>
      </c>
      <c r="E400" s="25" t="s">
        <v>8394</v>
      </c>
      <c r="F400" s="25" t="s">
        <v>8395</v>
      </c>
      <c r="G400" s="25" t="s">
        <v>8398</v>
      </c>
      <c r="H400" s="25"/>
      <c r="I400" s="25" t="s">
        <v>8597</v>
      </c>
      <c r="J400" s="25" t="s">
        <v>8598</v>
      </c>
      <c r="K400" s="25" t="n">
        <v>0</v>
      </c>
      <c r="L400" s="25" t="str">
        <f aca="false">IF(K400&gt;0,"Yes","No")</f>
        <v>No</v>
      </c>
    </row>
    <row r="401" customFormat="false" ht="15" hidden="false" customHeight="false" outlineLevel="0" collapsed="false">
      <c r="A401" s="25" t="s">
        <v>8599</v>
      </c>
      <c r="B401" s="25" t="s">
        <v>8419</v>
      </c>
      <c r="C401" s="25"/>
      <c r="D401" s="25" t="n">
        <v>8</v>
      </c>
      <c r="E401" s="25" t="s">
        <v>8439</v>
      </c>
      <c r="F401" s="25" t="s">
        <v>8440</v>
      </c>
      <c r="G401" s="25" t="s">
        <v>8400</v>
      </c>
      <c r="H401" s="25"/>
      <c r="I401" s="25" t="s">
        <v>8600</v>
      </c>
      <c r="J401" s="25" t="s">
        <v>8283</v>
      </c>
      <c r="K401" s="25" t="n">
        <v>0</v>
      </c>
      <c r="L401" s="25" t="str">
        <f aca="false">IF(K401&gt;0,"Yes","No")</f>
        <v>No</v>
      </c>
    </row>
    <row r="402" customFormat="false" ht="15" hidden="false" customHeight="false" outlineLevel="0" collapsed="false">
      <c r="A402" s="25" t="s">
        <v>8282</v>
      </c>
      <c r="B402" s="25" t="s">
        <v>8392</v>
      </c>
      <c r="C402" s="25" t="s">
        <v>8393</v>
      </c>
      <c r="D402" s="25" t="n">
        <v>9</v>
      </c>
      <c r="E402" s="25" t="s">
        <v>8394</v>
      </c>
      <c r="F402" s="25" t="s">
        <v>8395</v>
      </c>
      <c r="G402" s="25" t="s">
        <v>8396</v>
      </c>
      <c r="H402" s="25" t="s">
        <v>8399</v>
      </c>
      <c r="I402" s="25" t="s">
        <v>5441</v>
      </c>
      <c r="J402" s="25" t="s">
        <v>8283</v>
      </c>
      <c r="K402" s="25" t="n">
        <v>0</v>
      </c>
      <c r="L402" s="25" t="str">
        <f aca="false">IF(K402&gt;0,"Yes","No")</f>
        <v>No</v>
      </c>
    </row>
    <row r="403" customFormat="false" ht="15" hidden="false" customHeight="false" outlineLevel="0" collapsed="false">
      <c r="A403" s="25" t="s">
        <v>8601</v>
      </c>
      <c r="B403" s="25" t="s">
        <v>8392</v>
      </c>
      <c r="C403" s="25"/>
      <c r="D403" s="25" t="n">
        <v>8</v>
      </c>
      <c r="E403" s="25" t="s">
        <v>8439</v>
      </c>
      <c r="F403" s="25" t="s">
        <v>8440</v>
      </c>
      <c r="G403" s="25" t="s">
        <v>8398</v>
      </c>
      <c r="H403" s="25"/>
      <c r="I403" s="25" t="s">
        <v>6382</v>
      </c>
      <c r="J403" s="25" t="s">
        <v>8283</v>
      </c>
      <c r="K403" s="25" t="n">
        <v>0</v>
      </c>
      <c r="L403" s="25" t="str">
        <f aca="false">IF(K403&gt;0,"Yes","No")</f>
        <v>No</v>
      </c>
    </row>
    <row r="404" customFormat="false" ht="15" hidden="false" customHeight="false" outlineLevel="0" collapsed="false">
      <c r="A404" s="25" t="s">
        <v>8602</v>
      </c>
      <c r="B404" s="25" t="s">
        <v>8392</v>
      </c>
      <c r="C404" s="25" t="s">
        <v>8393</v>
      </c>
      <c r="D404" s="25" t="n">
        <v>9</v>
      </c>
      <c r="E404" s="25" t="s">
        <v>8394</v>
      </c>
      <c r="F404" s="25" t="s">
        <v>8395</v>
      </c>
      <c r="G404" s="25" t="s">
        <v>8398</v>
      </c>
      <c r="H404" s="25"/>
      <c r="I404" s="25" t="s">
        <v>515</v>
      </c>
      <c r="J404" s="25" t="s">
        <v>8603</v>
      </c>
      <c r="K404" s="25" t="n">
        <v>0</v>
      </c>
      <c r="L404" s="25" t="str">
        <f aca="false">IF(K404&gt;0,"Yes","No")</f>
        <v>No</v>
      </c>
    </row>
    <row r="405" customFormat="false" ht="15" hidden="false" customHeight="false" outlineLevel="0" collapsed="false">
      <c r="A405" s="25" t="s">
        <v>8604</v>
      </c>
      <c r="B405" s="25" t="s">
        <v>8419</v>
      </c>
      <c r="C405" s="25" t="s">
        <v>8393</v>
      </c>
      <c r="D405" s="25" t="n">
        <v>9</v>
      </c>
      <c r="E405" s="25" t="s">
        <v>8394</v>
      </c>
      <c r="F405" s="25" t="s">
        <v>8395</v>
      </c>
      <c r="G405" s="25" t="s">
        <v>8396</v>
      </c>
      <c r="H405" s="25" t="s">
        <v>8399</v>
      </c>
      <c r="I405" s="25" t="s">
        <v>8605</v>
      </c>
      <c r="J405" s="25" t="s">
        <v>284</v>
      </c>
      <c r="K405" s="25" t="n">
        <v>0</v>
      </c>
      <c r="L405" s="25" t="str">
        <f aca="false">IF(K405&gt;0,"Yes","No")</f>
        <v>No</v>
      </c>
    </row>
    <row r="406" customFormat="false" ht="15" hidden="false" customHeight="false" outlineLevel="0" collapsed="false">
      <c r="A406" s="25" t="s">
        <v>8606</v>
      </c>
      <c r="B406" s="25" t="s">
        <v>8419</v>
      </c>
      <c r="C406" s="25" t="s">
        <v>8393</v>
      </c>
      <c r="D406" s="25" t="n">
        <v>9</v>
      </c>
      <c r="E406" s="25" t="s">
        <v>8394</v>
      </c>
      <c r="F406" s="25" t="s">
        <v>8395</v>
      </c>
      <c r="G406" s="25" t="s">
        <v>8396</v>
      </c>
      <c r="H406" s="25" t="s">
        <v>8399</v>
      </c>
      <c r="I406" s="25" t="s">
        <v>8607</v>
      </c>
      <c r="J406" s="25" t="s">
        <v>284</v>
      </c>
      <c r="K406" s="25" t="n">
        <v>0</v>
      </c>
      <c r="L406" s="25" t="str">
        <f aca="false">IF(K406&gt;0,"Yes","No")</f>
        <v>No</v>
      </c>
    </row>
    <row r="407" customFormat="false" ht="15" hidden="false" customHeight="false" outlineLevel="0" collapsed="false">
      <c r="A407" s="25" t="s">
        <v>8608</v>
      </c>
      <c r="B407" s="25" t="s">
        <v>8419</v>
      </c>
      <c r="C407" s="25" t="s">
        <v>8393</v>
      </c>
      <c r="D407" s="25" t="n">
        <v>9</v>
      </c>
      <c r="E407" s="25" t="s">
        <v>8394</v>
      </c>
      <c r="F407" s="25" t="s">
        <v>8395</v>
      </c>
      <c r="G407" s="25" t="s">
        <v>8396</v>
      </c>
      <c r="H407" s="25" t="s">
        <v>8399</v>
      </c>
      <c r="I407" s="25" t="s">
        <v>8609</v>
      </c>
      <c r="J407" s="25" t="s">
        <v>284</v>
      </c>
      <c r="K407" s="25" t="n">
        <v>0</v>
      </c>
      <c r="L407" s="25" t="str">
        <f aca="false">IF(K407&gt;0,"Yes","No")</f>
        <v>No</v>
      </c>
    </row>
    <row r="408" customFormat="false" ht="15" hidden="false" customHeight="false" outlineLevel="0" collapsed="false">
      <c r="A408" s="25" t="s">
        <v>8610</v>
      </c>
      <c r="B408" s="25" t="s">
        <v>8419</v>
      </c>
      <c r="C408" s="25" t="s">
        <v>8393</v>
      </c>
      <c r="D408" s="25" t="n">
        <v>9</v>
      </c>
      <c r="E408" s="25" t="s">
        <v>8394</v>
      </c>
      <c r="F408" s="25" t="s">
        <v>8395</v>
      </c>
      <c r="G408" s="25" t="s">
        <v>8396</v>
      </c>
      <c r="H408" s="25" t="s">
        <v>8403</v>
      </c>
      <c r="I408" s="25" t="s">
        <v>8611</v>
      </c>
      <c r="J408" s="25" t="s">
        <v>2134</v>
      </c>
      <c r="K408" s="25" t="n">
        <v>0</v>
      </c>
      <c r="L408" s="25" t="str">
        <f aca="false">IF(K408&gt;0,"Yes","No")</f>
        <v>No</v>
      </c>
    </row>
    <row r="409" customFormat="false" ht="15" hidden="false" customHeight="false" outlineLevel="0" collapsed="false">
      <c r="A409" s="25" t="s">
        <v>8612</v>
      </c>
      <c r="B409" s="25" t="s">
        <v>8419</v>
      </c>
      <c r="C409" s="25" t="s">
        <v>8393</v>
      </c>
      <c r="D409" s="25" t="n">
        <v>9</v>
      </c>
      <c r="E409" s="25" t="s">
        <v>8394</v>
      </c>
      <c r="F409" s="25" t="s">
        <v>8395</v>
      </c>
      <c r="G409" s="25" t="s">
        <v>8396</v>
      </c>
      <c r="H409" s="25" t="s">
        <v>8403</v>
      </c>
      <c r="I409" s="25" t="s">
        <v>8613</v>
      </c>
      <c r="J409" s="25" t="s">
        <v>2134</v>
      </c>
      <c r="K409" s="25" t="n">
        <v>0</v>
      </c>
      <c r="L409" s="25" t="str">
        <f aca="false">IF(K409&gt;0,"Yes","No")</f>
        <v>No</v>
      </c>
    </row>
    <row r="410" customFormat="false" ht="15" hidden="false" customHeight="false" outlineLevel="0" collapsed="false">
      <c r="A410" s="25" t="s">
        <v>8614</v>
      </c>
      <c r="B410" s="25" t="s">
        <v>8392</v>
      </c>
      <c r="C410" s="25" t="s">
        <v>8393</v>
      </c>
      <c r="D410" s="25" t="n">
        <v>9</v>
      </c>
      <c r="E410" s="25" t="s">
        <v>8394</v>
      </c>
      <c r="F410" s="25" t="s">
        <v>8395</v>
      </c>
      <c r="G410" s="25" t="s">
        <v>8396</v>
      </c>
      <c r="H410" s="25" t="s">
        <v>8403</v>
      </c>
      <c r="I410" s="25" t="s">
        <v>8615</v>
      </c>
      <c r="J410" s="25" t="s">
        <v>8616</v>
      </c>
      <c r="K410" s="25" t="n">
        <v>0</v>
      </c>
      <c r="L410" s="25" t="str">
        <f aca="false">IF(K410&gt;0,"Yes","No")</f>
        <v>No</v>
      </c>
    </row>
    <row r="411" customFormat="false" ht="15" hidden="false" customHeight="false" outlineLevel="0" collapsed="false">
      <c r="A411" s="25" t="s">
        <v>8617</v>
      </c>
      <c r="B411" s="25" t="s">
        <v>8392</v>
      </c>
      <c r="C411" s="25"/>
      <c r="D411" s="25" t="n">
        <v>8</v>
      </c>
      <c r="E411" s="25" t="s">
        <v>8439</v>
      </c>
      <c r="F411" s="25" t="s">
        <v>8440</v>
      </c>
      <c r="G411" s="25" t="s">
        <v>8396</v>
      </c>
      <c r="H411" s="25" t="s">
        <v>8399</v>
      </c>
      <c r="I411" s="25" t="s">
        <v>8618</v>
      </c>
      <c r="J411" s="25" t="s">
        <v>8619</v>
      </c>
      <c r="K411" s="25" t="n">
        <v>0</v>
      </c>
      <c r="L411" s="25" t="str">
        <f aca="false">IF(K411&gt;0,"Yes","No")</f>
        <v>No</v>
      </c>
    </row>
    <row r="412" customFormat="false" ht="15" hidden="false" customHeight="false" outlineLevel="0" collapsed="false">
      <c r="A412" s="25" t="s">
        <v>8620</v>
      </c>
      <c r="B412" s="25" t="s">
        <v>8419</v>
      </c>
      <c r="C412" s="25"/>
      <c r="D412" s="25" t="n">
        <v>8</v>
      </c>
      <c r="E412" s="25" t="s">
        <v>8439</v>
      </c>
      <c r="F412" s="25" t="s">
        <v>8440</v>
      </c>
      <c r="G412" s="25" t="s">
        <v>8400</v>
      </c>
      <c r="H412" s="25"/>
      <c r="I412" s="25" t="s">
        <v>8621</v>
      </c>
      <c r="J412" s="25" t="s">
        <v>8622</v>
      </c>
      <c r="K412" s="25" t="n">
        <v>0</v>
      </c>
      <c r="L412" s="25" t="str">
        <f aca="false">IF(K412&gt;0,"Yes","No")</f>
        <v>No</v>
      </c>
    </row>
    <row r="413" customFormat="false" ht="15" hidden="false" customHeight="false" outlineLevel="0" collapsed="false">
      <c r="A413" s="25" t="s">
        <v>8623</v>
      </c>
      <c r="B413" s="25" t="s">
        <v>8392</v>
      </c>
      <c r="C413" s="25"/>
      <c r="D413" s="25" t="n">
        <v>8</v>
      </c>
      <c r="E413" s="25" t="s">
        <v>8439</v>
      </c>
      <c r="F413" s="25" t="s">
        <v>8440</v>
      </c>
      <c r="G413" s="25" t="s">
        <v>8398</v>
      </c>
      <c r="H413" s="25"/>
      <c r="I413" s="25" t="s">
        <v>8624</v>
      </c>
      <c r="J413" s="25" t="s">
        <v>8625</v>
      </c>
      <c r="K413" s="25" t="n">
        <v>0</v>
      </c>
      <c r="L413" s="25" t="str">
        <f aca="false">IF(K413&gt;0,"Yes","No")</f>
        <v>No</v>
      </c>
    </row>
    <row r="414" customFormat="false" ht="15" hidden="false" customHeight="false" outlineLevel="0" collapsed="false">
      <c r="A414" s="25" t="s">
        <v>8626</v>
      </c>
      <c r="B414" s="25" t="s">
        <v>8419</v>
      </c>
      <c r="C414" s="25" t="s">
        <v>8393</v>
      </c>
      <c r="D414" s="25" t="n">
        <v>9</v>
      </c>
      <c r="E414" s="25" t="s">
        <v>8394</v>
      </c>
      <c r="F414" s="25" t="s">
        <v>8395</v>
      </c>
      <c r="G414" s="25" t="s">
        <v>8396</v>
      </c>
      <c r="H414" s="25" t="s">
        <v>8399</v>
      </c>
      <c r="I414" s="25" t="s">
        <v>8627</v>
      </c>
      <c r="J414" s="25" t="s">
        <v>1936</v>
      </c>
      <c r="K414" s="25" t="n">
        <v>0</v>
      </c>
      <c r="L414" s="25" t="str">
        <f aca="false">IF(K414&gt;0,"Yes","No")</f>
        <v>No</v>
      </c>
    </row>
    <row r="415" customFormat="false" ht="15" hidden="false" customHeight="false" outlineLevel="0" collapsed="false">
      <c r="A415" s="25" t="s">
        <v>8628</v>
      </c>
      <c r="B415" s="25" t="s">
        <v>8419</v>
      </c>
      <c r="C415" s="25" t="s">
        <v>8393</v>
      </c>
      <c r="D415" s="25" t="n">
        <v>9</v>
      </c>
      <c r="E415" s="25" t="s">
        <v>8394</v>
      </c>
      <c r="F415" s="25" t="s">
        <v>8395</v>
      </c>
      <c r="G415" s="25" t="s">
        <v>8396</v>
      </c>
      <c r="H415" s="25" t="s">
        <v>8399</v>
      </c>
      <c r="I415" s="25" t="s">
        <v>8629</v>
      </c>
      <c r="J415" s="25" t="s">
        <v>1936</v>
      </c>
      <c r="K415" s="25" t="n">
        <v>0</v>
      </c>
      <c r="L415" s="25" t="str">
        <f aca="false">IF(K415&gt;0,"Yes","No")</f>
        <v>No</v>
      </c>
    </row>
    <row r="416" customFormat="false" ht="15" hidden="false" customHeight="false" outlineLevel="0" collapsed="false">
      <c r="A416" s="25" t="s">
        <v>8630</v>
      </c>
      <c r="B416" s="25" t="s">
        <v>8392</v>
      </c>
      <c r="C416" s="25"/>
      <c r="D416" s="25" t="n">
        <v>8</v>
      </c>
      <c r="E416" s="25" t="s">
        <v>8439</v>
      </c>
      <c r="F416" s="25" t="s">
        <v>8440</v>
      </c>
      <c r="G416" s="25" t="s">
        <v>8398</v>
      </c>
      <c r="H416" s="25"/>
      <c r="I416" s="25" t="s">
        <v>8441</v>
      </c>
      <c r="J416" s="25" t="s">
        <v>1936</v>
      </c>
      <c r="K416" s="25" t="n">
        <v>0</v>
      </c>
      <c r="L416" s="25" t="str">
        <f aca="false">IF(K416&gt;0,"Yes","No")</f>
        <v>No</v>
      </c>
    </row>
    <row r="417" customFormat="false" ht="15" hidden="false" customHeight="false" outlineLevel="0" collapsed="false">
      <c r="A417" s="25" t="s">
        <v>8631</v>
      </c>
      <c r="B417" s="25" t="s">
        <v>8392</v>
      </c>
      <c r="C417" s="25" t="s">
        <v>8393</v>
      </c>
      <c r="D417" s="25" t="n">
        <v>9</v>
      </c>
      <c r="E417" s="25" t="s">
        <v>8394</v>
      </c>
      <c r="F417" s="25" t="s">
        <v>8395</v>
      </c>
      <c r="G417" s="25" t="s">
        <v>8396</v>
      </c>
      <c r="H417" s="25" t="s">
        <v>8397</v>
      </c>
      <c r="I417" s="25" t="s">
        <v>8632</v>
      </c>
      <c r="J417" s="25" t="s">
        <v>5007</v>
      </c>
      <c r="K417" s="25" t="n">
        <v>0</v>
      </c>
      <c r="L417" s="25" t="str">
        <f aca="false">IF(K417&gt;0,"Yes","No")</f>
        <v>No</v>
      </c>
    </row>
    <row r="418" customFormat="false" ht="15" hidden="false" customHeight="false" outlineLevel="0" collapsed="false">
      <c r="A418" s="25" t="s">
        <v>8633</v>
      </c>
      <c r="B418" s="25" t="s">
        <v>8419</v>
      </c>
      <c r="C418" s="25" t="s">
        <v>8393</v>
      </c>
      <c r="D418" s="25" t="n">
        <v>9</v>
      </c>
      <c r="E418" s="25" t="s">
        <v>8394</v>
      </c>
      <c r="F418" s="25" t="s">
        <v>8395</v>
      </c>
      <c r="G418" s="25" t="s">
        <v>8396</v>
      </c>
      <c r="H418" s="25" t="s">
        <v>8399</v>
      </c>
      <c r="I418" s="25" t="s">
        <v>8634</v>
      </c>
      <c r="J418" s="25" t="s">
        <v>1949</v>
      </c>
      <c r="K418" s="25" t="n">
        <v>0</v>
      </c>
      <c r="L418" s="25" t="str">
        <f aca="false">IF(K418&gt;0,"Yes","No")</f>
        <v>No</v>
      </c>
    </row>
    <row r="419" customFormat="false" ht="15" hidden="false" customHeight="false" outlineLevel="0" collapsed="false">
      <c r="A419" s="25" t="s">
        <v>8635</v>
      </c>
      <c r="B419" s="25" t="s">
        <v>8419</v>
      </c>
      <c r="C419" s="25" t="s">
        <v>8393</v>
      </c>
      <c r="D419" s="25" t="n">
        <v>9</v>
      </c>
      <c r="E419" s="25" t="s">
        <v>8394</v>
      </c>
      <c r="F419" s="25" t="s">
        <v>8395</v>
      </c>
      <c r="G419" s="25" t="s">
        <v>8396</v>
      </c>
      <c r="H419" s="25" t="s">
        <v>8399</v>
      </c>
      <c r="I419" s="25" t="s">
        <v>8636</v>
      </c>
      <c r="J419" s="25" t="s">
        <v>1949</v>
      </c>
      <c r="K419" s="25" t="n">
        <v>0</v>
      </c>
      <c r="L419" s="25" t="str">
        <f aca="false">IF(K419&gt;0,"Yes","No")</f>
        <v>No</v>
      </c>
    </row>
    <row r="420" customFormat="false" ht="15" hidden="false" customHeight="false" outlineLevel="0" collapsed="false">
      <c r="A420" s="25" t="s">
        <v>8637</v>
      </c>
      <c r="B420" s="25" t="s">
        <v>8419</v>
      </c>
      <c r="C420" s="25" t="s">
        <v>8393</v>
      </c>
      <c r="D420" s="25" t="n">
        <v>9</v>
      </c>
      <c r="E420" s="25" t="s">
        <v>8394</v>
      </c>
      <c r="F420" s="25" t="s">
        <v>8395</v>
      </c>
      <c r="G420" s="25" t="s">
        <v>8396</v>
      </c>
      <c r="H420" s="25" t="s">
        <v>8399</v>
      </c>
      <c r="I420" s="25" t="s">
        <v>8638</v>
      </c>
      <c r="J420" s="25" t="s">
        <v>8639</v>
      </c>
      <c r="K420" s="25" t="n">
        <v>0</v>
      </c>
      <c r="L420" s="25" t="str">
        <f aca="false">IF(K420&gt;0,"Yes","No")</f>
        <v>No</v>
      </c>
    </row>
    <row r="421" customFormat="false" ht="15" hidden="false" customHeight="false" outlineLevel="0" collapsed="false">
      <c r="A421" s="25" t="s">
        <v>8640</v>
      </c>
      <c r="B421" s="25" t="s">
        <v>8419</v>
      </c>
      <c r="C421" s="25" t="s">
        <v>8393</v>
      </c>
      <c r="D421" s="25" t="n">
        <v>9</v>
      </c>
      <c r="E421" s="25" t="s">
        <v>8394</v>
      </c>
      <c r="F421" s="25" t="s">
        <v>8395</v>
      </c>
      <c r="G421" s="25" t="s">
        <v>8396</v>
      </c>
      <c r="H421" s="25" t="s">
        <v>8399</v>
      </c>
      <c r="I421" s="25" t="s">
        <v>8641</v>
      </c>
      <c r="J421" s="25" t="s">
        <v>8639</v>
      </c>
      <c r="K421" s="25" t="n">
        <v>0</v>
      </c>
      <c r="L421" s="25" t="str">
        <f aca="false">IF(K421&gt;0,"Yes","No")</f>
        <v>No</v>
      </c>
    </row>
    <row r="422" customFormat="false" ht="15" hidden="false" customHeight="false" outlineLevel="0" collapsed="false">
      <c r="A422" s="25" t="s">
        <v>8642</v>
      </c>
      <c r="B422" s="25" t="s">
        <v>8419</v>
      </c>
      <c r="C422" s="25" t="s">
        <v>8393</v>
      </c>
      <c r="D422" s="25" t="n">
        <v>9</v>
      </c>
      <c r="E422" s="25" t="s">
        <v>8394</v>
      </c>
      <c r="F422" s="25" t="s">
        <v>8395</v>
      </c>
      <c r="G422" s="25" t="s">
        <v>8396</v>
      </c>
      <c r="H422" s="25" t="s">
        <v>8399</v>
      </c>
      <c r="I422" s="25" t="s">
        <v>8643</v>
      </c>
      <c r="J422" s="25" t="s">
        <v>8639</v>
      </c>
      <c r="K422" s="25" t="n">
        <v>0</v>
      </c>
      <c r="L422" s="25" t="str">
        <f aca="false">IF(K422&gt;0,"Yes","No")</f>
        <v>No</v>
      </c>
    </row>
    <row r="423" customFormat="false" ht="15" hidden="false" customHeight="false" outlineLevel="0" collapsed="false">
      <c r="A423" s="25" t="s">
        <v>8644</v>
      </c>
      <c r="B423" s="25" t="s">
        <v>8419</v>
      </c>
      <c r="C423" s="25" t="s">
        <v>8393</v>
      </c>
      <c r="D423" s="25" t="n">
        <v>9</v>
      </c>
      <c r="E423" s="25" t="s">
        <v>8394</v>
      </c>
      <c r="F423" s="25" t="s">
        <v>8395</v>
      </c>
      <c r="G423" s="25" t="s">
        <v>8396</v>
      </c>
      <c r="H423" s="25" t="s">
        <v>8399</v>
      </c>
      <c r="I423" s="25" t="s">
        <v>8645</v>
      </c>
      <c r="J423" s="25" t="s">
        <v>7271</v>
      </c>
      <c r="K423" s="25" t="n">
        <v>0</v>
      </c>
      <c r="L423" s="25" t="str">
        <f aca="false">IF(K423&gt;0,"Yes","No")</f>
        <v>No</v>
      </c>
    </row>
    <row r="424" customFormat="false" ht="15" hidden="false" customHeight="false" outlineLevel="0" collapsed="false">
      <c r="A424" s="25" t="s">
        <v>8646</v>
      </c>
      <c r="B424" s="25" t="s">
        <v>8419</v>
      </c>
      <c r="C424" s="25" t="s">
        <v>8393</v>
      </c>
      <c r="D424" s="25" t="n">
        <v>9</v>
      </c>
      <c r="E424" s="25" t="s">
        <v>8394</v>
      </c>
      <c r="F424" s="25" t="s">
        <v>8395</v>
      </c>
      <c r="G424" s="25" t="s">
        <v>8396</v>
      </c>
      <c r="H424" s="25" t="s">
        <v>8399</v>
      </c>
      <c r="I424" s="25" t="s">
        <v>8647</v>
      </c>
      <c r="J424" s="25" t="s">
        <v>7271</v>
      </c>
      <c r="K424" s="25" t="n">
        <v>0</v>
      </c>
      <c r="L424" s="25" t="str">
        <f aca="false">IF(K424&gt;0,"Yes","No")</f>
        <v>No</v>
      </c>
    </row>
    <row r="425" customFormat="false" ht="15" hidden="false" customHeight="false" outlineLevel="0" collapsed="false">
      <c r="A425" s="25" t="s">
        <v>8648</v>
      </c>
      <c r="B425" s="25" t="s">
        <v>8419</v>
      </c>
      <c r="C425" s="25" t="s">
        <v>8393</v>
      </c>
      <c r="D425" s="25" t="n">
        <v>9</v>
      </c>
      <c r="E425" s="25" t="s">
        <v>8394</v>
      </c>
      <c r="F425" s="25" t="s">
        <v>8395</v>
      </c>
      <c r="G425" s="25" t="s">
        <v>8400</v>
      </c>
      <c r="H425" s="25"/>
      <c r="I425" s="25" t="s">
        <v>8649</v>
      </c>
      <c r="J425" s="25" t="s">
        <v>8650</v>
      </c>
      <c r="K425" s="25" t="n">
        <v>0</v>
      </c>
      <c r="L425" s="25" t="str">
        <f aca="false">IF(K425&gt;0,"Yes","No")</f>
        <v>No</v>
      </c>
    </row>
    <row r="426" customFormat="false" ht="15" hidden="false" customHeight="false" outlineLevel="0" collapsed="false">
      <c r="A426" s="25" t="s">
        <v>8651</v>
      </c>
      <c r="B426" s="25" t="s">
        <v>8419</v>
      </c>
      <c r="C426" s="25" t="s">
        <v>8393</v>
      </c>
      <c r="D426" s="25" t="n">
        <v>9</v>
      </c>
      <c r="E426" s="25" t="s">
        <v>8394</v>
      </c>
      <c r="F426" s="25" t="s">
        <v>8395</v>
      </c>
      <c r="G426" s="25" t="s">
        <v>8400</v>
      </c>
      <c r="H426" s="25"/>
      <c r="I426" s="25" t="s">
        <v>8652</v>
      </c>
      <c r="J426" s="25" t="s">
        <v>8650</v>
      </c>
      <c r="K426" s="25" t="n">
        <v>0</v>
      </c>
      <c r="L426" s="25" t="str">
        <f aca="false">IF(K426&gt;0,"Yes","No")</f>
        <v>No</v>
      </c>
    </row>
    <row r="427" customFormat="false" ht="15" hidden="false" customHeight="false" outlineLevel="0" collapsed="false">
      <c r="A427" s="25" t="s">
        <v>8653</v>
      </c>
      <c r="B427" s="25" t="s">
        <v>8419</v>
      </c>
      <c r="C427" s="25" t="s">
        <v>8393</v>
      </c>
      <c r="D427" s="25" t="n">
        <v>9</v>
      </c>
      <c r="E427" s="25" t="s">
        <v>8394</v>
      </c>
      <c r="F427" s="25" t="s">
        <v>8395</v>
      </c>
      <c r="G427" s="25" t="s">
        <v>8400</v>
      </c>
      <c r="H427" s="25"/>
      <c r="I427" s="25" t="s">
        <v>8654</v>
      </c>
      <c r="J427" s="25" t="s">
        <v>8650</v>
      </c>
      <c r="K427" s="25" t="n">
        <v>0</v>
      </c>
      <c r="L427" s="25" t="str">
        <f aca="false">IF(K427&gt;0,"Yes","No")</f>
        <v>No</v>
      </c>
    </row>
    <row r="428" customFormat="false" ht="15" hidden="false" customHeight="false" outlineLevel="0" collapsed="false">
      <c r="A428" s="25" t="s">
        <v>8655</v>
      </c>
      <c r="B428" s="25" t="s">
        <v>8419</v>
      </c>
      <c r="C428" s="25" t="s">
        <v>8393</v>
      </c>
      <c r="D428" s="25" t="n">
        <v>9</v>
      </c>
      <c r="E428" s="25" t="s">
        <v>8394</v>
      </c>
      <c r="F428" s="25" t="s">
        <v>8395</v>
      </c>
      <c r="G428" s="25" t="s">
        <v>8400</v>
      </c>
      <c r="H428" s="25"/>
      <c r="I428" s="25" t="s">
        <v>8656</v>
      </c>
      <c r="J428" s="25" t="s">
        <v>8650</v>
      </c>
      <c r="K428" s="25" t="n">
        <v>0</v>
      </c>
      <c r="L428" s="25" t="str">
        <f aca="false">IF(K428&gt;0,"Yes","No")</f>
        <v>No</v>
      </c>
    </row>
    <row r="429" customFormat="false" ht="15" hidden="false" customHeight="false" outlineLevel="0" collapsed="false">
      <c r="A429" s="25" t="s">
        <v>8657</v>
      </c>
      <c r="B429" s="25" t="s">
        <v>8419</v>
      </c>
      <c r="C429" s="25" t="s">
        <v>8393</v>
      </c>
      <c r="D429" s="25" t="n">
        <v>9</v>
      </c>
      <c r="E429" s="25" t="s">
        <v>8394</v>
      </c>
      <c r="F429" s="25" t="s">
        <v>8395</v>
      </c>
      <c r="G429" s="25" t="s">
        <v>8400</v>
      </c>
      <c r="H429" s="25"/>
      <c r="I429" s="25" t="s">
        <v>8658</v>
      </c>
      <c r="J429" s="25" t="s">
        <v>8650</v>
      </c>
      <c r="K429" s="25" t="n">
        <v>0</v>
      </c>
      <c r="L429" s="25" t="str">
        <f aca="false">IF(K429&gt;0,"Yes","No")</f>
        <v>No</v>
      </c>
    </row>
    <row r="430" customFormat="false" ht="15" hidden="false" customHeight="false" outlineLevel="0" collapsed="false">
      <c r="A430" s="25" t="s">
        <v>8659</v>
      </c>
      <c r="B430" s="25" t="s">
        <v>8419</v>
      </c>
      <c r="C430" s="25" t="s">
        <v>8393</v>
      </c>
      <c r="D430" s="25" t="n">
        <v>9</v>
      </c>
      <c r="E430" s="25" t="s">
        <v>8394</v>
      </c>
      <c r="F430" s="25" t="s">
        <v>8395</v>
      </c>
      <c r="G430" s="25" t="s">
        <v>8400</v>
      </c>
      <c r="H430" s="25"/>
      <c r="I430" s="25" t="s">
        <v>8660</v>
      </c>
      <c r="J430" s="25" t="s">
        <v>8650</v>
      </c>
      <c r="K430" s="25" t="n">
        <v>0</v>
      </c>
      <c r="L430" s="25" t="str">
        <f aca="false">IF(K430&gt;0,"Yes","No")</f>
        <v>No</v>
      </c>
    </row>
    <row r="431" customFormat="false" ht="15" hidden="false" customHeight="false" outlineLevel="0" collapsed="false">
      <c r="A431" s="25" t="s">
        <v>8661</v>
      </c>
      <c r="B431" s="25" t="s">
        <v>8419</v>
      </c>
      <c r="C431" s="25" t="s">
        <v>8393</v>
      </c>
      <c r="D431" s="25" t="n">
        <v>9</v>
      </c>
      <c r="E431" s="25" t="s">
        <v>8394</v>
      </c>
      <c r="F431" s="25" t="s">
        <v>8395</v>
      </c>
      <c r="G431" s="25" t="s">
        <v>8396</v>
      </c>
      <c r="H431" s="25" t="s">
        <v>8399</v>
      </c>
      <c r="I431" s="25" t="s">
        <v>8662</v>
      </c>
      <c r="J431" s="25" t="s">
        <v>8663</v>
      </c>
      <c r="K431" s="25" t="n">
        <v>0</v>
      </c>
      <c r="L431" s="25" t="str">
        <f aca="false">IF(K431&gt;0,"Yes","No")</f>
        <v>No</v>
      </c>
    </row>
    <row r="432" customFormat="false" ht="15" hidden="false" customHeight="false" outlineLevel="0" collapsed="false">
      <c r="A432" s="25" t="s">
        <v>8664</v>
      </c>
      <c r="B432" s="25" t="s">
        <v>8419</v>
      </c>
      <c r="C432" s="25" t="s">
        <v>8393</v>
      </c>
      <c r="D432" s="25" t="n">
        <v>9</v>
      </c>
      <c r="E432" s="25" t="s">
        <v>8394</v>
      </c>
      <c r="F432" s="25" t="s">
        <v>8395</v>
      </c>
      <c r="G432" s="25" t="s">
        <v>8396</v>
      </c>
      <c r="H432" s="25" t="s">
        <v>8399</v>
      </c>
      <c r="I432" s="25" t="s">
        <v>8665</v>
      </c>
      <c r="J432" s="25" t="s">
        <v>8663</v>
      </c>
      <c r="K432" s="25" t="n">
        <v>0</v>
      </c>
      <c r="L432" s="25" t="str">
        <f aca="false">IF(K432&gt;0,"Yes","No")</f>
        <v>No</v>
      </c>
    </row>
    <row r="433" customFormat="false" ht="15" hidden="false" customHeight="false" outlineLevel="0" collapsed="false">
      <c r="A433" s="25" t="s">
        <v>8666</v>
      </c>
      <c r="B433" s="25" t="s">
        <v>8392</v>
      </c>
      <c r="C433" s="25" t="s">
        <v>8393</v>
      </c>
      <c r="D433" s="25" t="n">
        <v>9</v>
      </c>
      <c r="E433" s="25" t="s">
        <v>8394</v>
      </c>
      <c r="F433" s="25" t="s">
        <v>8395</v>
      </c>
      <c r="G433" s="25" t="s">
        <v>8396</v>
      </c>
      <c r="H433" s="25" t="s">
        <v>8397</v>
      </c>
      <c r="I433" s="25" t="s">
        <v>8667</v>
      </c>
      <c r="J433" s="25" t="s">
        <v>8663</v>
      </c>
      <c r="K433" s="25" t="n">
        <v>0</v>
      </c>
      <c r="L433" s="25" t="str">
        <f aca="false">IF(K433&gt;0,"Yes","No")</f>
        <v>No</v>
      </c>
    </row>
    <row r="434" customFormat="false" ht="15" hidden="false" customHeight="false" outlineLevel="0" collapsed="false">
      <c r="A434" s="25" t="s">
        <v>8668</v>
      </c>
      <c r="B434" s="25" t="s">
        <v>8419</v>
      </c>
      <c r="C434" s="25" t="s">
        <v>8393</v>
      </c>
      <c r="D434" s="25" t="n">
        <v>9</v>
      </c>
      <c r="E434" s="25" t="s">
        <v>8394</v>
      </c>
      <c r="F434" s="25" t="s">
        <v>8395</v>
      </c>
      <c r="G434" s="25" t="s">
        <v>8396</v>
      </c>
      <c r="H434" s="25" t="s">
        <v>8403</v>
      </c>
      <c r="I434" s="25" t="s">
        <v>8669</v>
      </c>
      <c r="J434" s="25" t="s">
        <v>6008</v>
      </c>
      <c r="K434" s="25" t="n">
        <v>0</v>
      </c>
      <c r="L434" s="25" t="str">
        <f aca="false">IF(K434&gt;0,"Yes","No")</f>
        <v>No</v>
      </c>
    </row>
    <row r="435" customFormat="false" ht="15" hidden="false" customHeight="false" outlineLevel="0" collapsed="false">
      <c r="A435" s="25" t="s">
        <v>8670</v>
      </c>
      <c r="B435" s="25" t="s">
        <v>8419</v>
      </c>
      <c r="C435" s="25" t="s">
        <v>8393</v>
      </c>
      <c r="D435" s="25" t="n">
        <v>9</v>
      </c>
      <c r="E435" s="25" t="s">
        <v>8394</v>
      </c>
      <c r="F435" s="25" t="s">
        <v>8395</v>
      </c>
      <c r="G435" s="25" t="s">
        <v>8396</v>
      </c>
      <c r="H435" s="25" t="s">
        <v>8403</v>
      </c>
      <c r="I435" s="25" t="s">
        <v>8671</v>
      </c>
      <c r="J435" s="25" t="s">
        <v>6008</v>
      </c>
      <c r="K435" s="25" t="n">
        <v>0</v>
      </c>
      <c r="L435" s="25" t="str">
        <f aca="false">IF(K435&gt;0,"Yes","No")</f>
        <v>No</v>
      </c>
    </row>
    <row r="436" customFormat="false" ht="15" hidden="false" customHeight="false" outlineLevel="0" collapsed="false">
      <c r="A436" s="25" t="s">
        <v>8358</v>
      </c>
      <c r="B436" s="25" t="s">
        <v>8392</v>
      </c>
      <c r="C436" s="25" t="s">
        <v>8393</v>
      </c>
      <c r="D436" s="25" t="n">
        <v>9</v>
      </c>
      <c r="E436" s="25" t="s">
        <v>8394</v>
      </c>
      <c r="F436" s="25" t="s">
        <v>8395</v>
      </c>
      <c r="G436" s="25" t="s">
        <v>8396</v>
      </c>
      <c r="H436" s="25" t="s">
        <v>8409</v>
      </c>
      <c r="I436" s="25" t="s">
        <v>8360</v>
      </c>
      <c r="J436" s="25" t="s">
        <v>8359</v>
      </c>
      <c r="K436" s="25" t="n">
        <v>0</v>
      </c>
      <c r="L436" s="25" t="str">
        <f aca="false">IF(K436&gt;0,"Yes","No")</f>
        <v>No</v>
      </c>
    </row>
    <row r="437" customFormat="false" ht="15" hidden="false" customHeight="false" outlineLevel="0" collapsed="false">
      <c r="A437" s="25" t="s">
        <v>8672</v>
      </c>
      <c r="B437" s="25" t="s">
        <v>8392</v>
      </c>
      <c r="C437" s="25"/>
      <c r="D437" s="25" t="n">
        <v>8</v>
      </c>
      <c r="E437" s="25" t="s">
        <v>8439</v>
      </c>
      <c r="F437" s="25" t="s">
        <v>8440</v>
      </c>
      <c r="G437" s="25" t="s">
        <v>8398</v>
      </c>
      <c r="H437" s="25"/>
      <c r="I437" s="25" t="s">
        <v>8673</v>
      </c>
      <c r="J437" s="25" t="s">
        <v>8674</v>
      </c>
      <c r="K437" s="25" t="n">
        <v>0</v>
      </c>
      <c r="L437" s="25" t="str">
        <f aca="false">IF(K437&gt;0,"Yes","No")</f>
        <v>No</v>
      </c>
    </row>
    <row r="438" customFormat="false" ht="15" hidden="false" customHeight="false" outlineLevel="0" collapsed="false">
      <c r="A438" s="25" t="s">
        <v>8675</v>
      </c>
      <c r="B438" s="25" t="s">
        <v>8419</v>
      </c>
      <c r="C438" s="25" t="s">
        <v>8393</v>
      </c>
      <c r="D438" s="25" t="n">
        <v>9</v>
      </c>
      <c r="E438" s="25" t="s">
        <v>8394</v>
      </c>
      <c r="F438" s="25" t="s">
        <v>8395</v>
      </c>
      <c r="G438" s="25" t="s">
        <v>8396</v>
      </c>
      <c r="H438" s="25" t="s">
        <v>8403</v>
      </c>
      <c r="I438" s="25" t="s">
        <v>8676</v>
      </c>
      <c r="J438" s="25" t="s">
        <v>8677</v>
      </c>
      <c r="K438" s="25" t="n">
        <v>0</v>
      </c>
      <c r="L438" s="25" t="str">
        <f aca="false">IF(K438&gt;0,"Yes","No")</f>
        <v>No</v>
      </c>
    </row>
    <row r="439" customFormat="false" ht="15" hidden="false" customHeight="false" outlineLevel="0" collapsed="false">
      <c r="A439" s="25" t="s">
        <v>8678</v>
      </c>
      <c r="B439" s="25" t="s">
        <v>8419</v>
      </c>
      <c r="C439" s="25" t="s">
        <v>8393</v>
      </c>
      <c r="D439" s="25" t="n">
        <v>9</v>
      </c>
      <c r="E439" s="25" t="s">
        <v>8394</v>
      </c>
      <c r="F439" s="25" t="s">
        <v>8395</v>
      </c>
      <c r="G439" s="25" t="s">
        <v>8396</v>
      </c>
      <c r="H439" s="25" t="s">
        <v>8403</v>
      </c>
      <c r="I439" s="25" t="s">
        <v>8679</v>
      </c>
      <c r="J439" s="25" t="s">
        <v>8677</v>
      </c>
      <c r="K439" s="25" t="n">
        <v>0</v>
      </c>
      <c r="L439" s="25" t="str">
        <f aca="false">IF(K439&gt;0,"Yes","No")</f>
        <v>No</v>
      </c>
    </row>
    <row r="440" customFormat="false" ht="15" hidden="false" customHeight="false" outlineLevel="0" collapsed="false">
      <c r="A440" s="25" t="s">
        <v>8680</v>
      </c>
      <c r="B440" s="25" t="s">
        <v>8419</v>
      </c>
      <c r="C440" s="25"/>
      <c r="D440" s="25" t="n">
        <v>8</v>
      </c>
      <c r="E440" s="25" t="s">
        <v>8439</v>
      </c>
      <c r="F440" s="25" t="s">
        <v>8440</v>
      </c>
      <c r="G440" s="25" t="s">
        <v>8400</v>
      </c>
      <c r="H440" s="25"/>
      <c r="I440" s="25" t="s">
        <v>8621</v>
      </c>
      <c r="J440" s="25" t="s">
        <v>8681</v>
      </c>
      <c r="K440" s="25" t="n">
        <v>0</v>
      </c>
      <c r="L440" s="25" t="str">
        <f aca="false">IF(K440&gt;0,"Yes","No")</f>
        <v>No</v>
      </c>
    </row>
    <row r="441" customFormat="false" ht="15" hidden="false" customHeight="false" outlineLevel="0" collapsed="false">
      <c r="A441" s="25" t="s">
        <v>8682</v>
      </c>
      <c r="B441" s="25" t="s">
        <v>8419</v>
      </c>
      <c r="C441" s="25"/>
      <c r="D441" s="25" t="n">
        <v>8</v>
      </c>
      <c r="E441" s="25" t="s">
        <v>8439</v>
      </c>
      <c r="F441" s="25" t="s">
        <v>8440</v>
      </c>
      <c r="G441" s="25" t="s">
        <v>8400</v>
      </c>
      <c r="H441" s="25"/>
      <c r="I441" s="25" t="s">
        <v>8683</v>
      </c>
      <c r="J441" s="25" t="s">
        <v>8681</v>
      </c>
      <c r="K441" s="25" t="n">
        <v>0</v>
      </c>
      <c r="L441" s="25" t="str">
        <f aca="false">IF(K441&gt;0,"Yes","No")</f>
        <v>No</v>
      </c>
    </row>
    <row r="442" customFormat="false" ht="15" hidden="false" customHeight="false" outlineLevel="0" collapsed="false">
      <c r="A442" s="25" t="s">
        <v>8684</v>
      </c>
      <c r="B442" s="25" t="s">
        <v>8392</v>
      </c>
      <c r="C442" s="25"/>
      <c r="D442" s="25" t="n">
        <v>8</v>
      </c>
      <c r="E442" s="25" t="s">
        <v>8439</v>
      </c>
      <c r="F442" s="25" t="s">
        <v>8440</v>
      </c>
      <c r="G442" s="25" t="s">
        <v>8398</v>
      </c>
      <c r="H442" s="25"/>
      <c r="I442" s="25" t="s">
        <v>8685</v>
      </c>
      <c r="J442" s="25" t="s">
        <v>8686</v>
      </c>
      <c r="K442" s="25" t="n">
        <v>0</v>
      </c>
      <c r="L442" s="25" t="str">
        <f aca="false">IF(K442&gt;0,"Yes","No")</f>
        <v>No</v>
      </c>
    </row>
    <row r="443" customFormat="false" ht="15" hidden="false" customHeight="false" outlineLevel="0" collapsed="false">
      <c r="A443" s="25" t="s">
        <v>8687</v>
      </c>
      <c r="B443" s="25" t="s">
        <v>8419</v>
      </c>
      <c r="C443" s="25" t="s">
        <v>8393</v>
      </c>
      <c r="D443" s="25" t="n">
        <v>9</v>
      </c>
      <c r="E443" s="25" t="s">
        <v>8394</v>
      </c>
      <c r="F443" s="25" t="s">
        <v>8395</v>
      </c>
      <c r="G443" s="25" t="s">
        <v>8396</v>
      </c>
      <c r="H443" s="25" t="s">
        <v>8399</v>
      </c>
      <c r="I443" s="25" t="s">
        <v>8551</v>
      </c>
      <c r="J443" s="25" t="s">
        <v>8688</v>
      </c>
      <c r="K443" s="25" t="n">
        <v>0</v>
      </c>
      <c r="L443" s="25" t="str">
        <f aca="false">IF(K443&gt;0,"Yes","No")</f>
        <v>No</v>
      </c>
    </row>
    <row r="444" customFormat="false" ht="15" hidden="false" customHeight="false" outlineLevel="0" collapsed="false">
      <c r="A444" s="25" t="s">
        <v>8689</v>
      </c>
      <c r="B444" s="25" t="s">
        <v>8419</v>
      </c>
      <c r="C444" s="25" t="s">
        <v>8393</v>
      </c>
      <c r="D444" s="25" t="n">
        <v>9</v>
      </c>
      <c r="E444" s="25" t="s">
        <v>8394</v>
      </c>
      <c r="F444" s="25" t="s">
        <v>8395</v>
      </c>
      <c r="G444" s="25" t="s">
        <v>8396</v>
      </c>
      <c r="H444" s="25" t="s">
        <v>8399</v>
      </c>
      <c r="I444" s="25" t="s">
        <v>8690</v>
      </c>
      <c r="J444" s="25" t="s">
        <v>8688</v>
      </c>
      <c r="K444" s="25" t="n">
        <v>0</v>
      </c>
      <c r="L444" s="25" t="str">
        <f aca="false">IF(K444&gt;0,"Yes","No")</f>
        <v>No</v>
      </c>
    </row>
    <row r="445" customFormat="false" ht="15" hidden="false" customHeight="false" outlineLevel="0" collapsed="false">
      <c r="A445" s="25" t="s">
        <v>8691</v>
      </c>
      <c r="B445" s="25" t="s">
        <v>8392</v>
      </c>
      <c r="C445" s="25" t="s">
        <v>8393</v>
      </c>
      <c r="D445" s="25" t="n">
        <v>9</v>
      </c>
      <c r="E445" s="25" t="s">
        <v>8394</v>
      </c>
      <c r="F445" s="25" t="s">
        <v>8395</v>
      </c>
      <c r="G445" s="25" t="s">
        <v>8396</v>
      </c>
      <c r="H445" s="25" t="s">
        <v>8399</v>
      </c>
      <c r="I445" s="25" t="s">
        <v>8692</v>
      </c>
      <c r="J445" s="25" t="s">
        <v>8693</v>
      </c>
      <c r="K445" s="25" t="n">
        <v>0</v>
      </c>
      <c r="L445" s="25" t="str">
        <f aca="false">IF(K445&gt;0,"Yes","No")</f>
        <v>No</v>
      </c>
    </row>
    <row r="446" customFormat="false" ht="15" hidden="false" customHeight="false" outlineLevel="0" collapsed="false">
      <c r="A446" s="25" t="s">
        <v>8694</v>
      </c>
      <c r="B446" s="25" t="s">
        <v>8419</v>
      </c>
      <c r="C446" s="25" t="s">
        <v>8393</v>
      </c>
      <c r="D446" s="25" t="n">
        <v>9</v>
      </c>
      <c r="E446" s="25" t="s">
        <v>8394</v>
      </c>
      <c r="F446" s="25" t="s">
        <v>8395</v>
      </c>
      <c r="G446" s="25" t="s">
        <v>8396</v>
      </c>
      <c r="H446" s="25" t="s">
        <v>8399</v>
      </c>
      <c r="I446" s="25" t="s">
        <v>8695</v>
      </c>
      <c r="J446" s="25" t="s">
        <v>8696</v>
      </c>
      <c r="K446" s="25" t="n">
        <v>0</v>
      </c>
      <c r="L446" s="25" t="str">
        <f aca="false">IF(K446&gt;0,"Yes","No")</f>
        <v>No</v>
      </c>
    </row>
    <row r="447" customFormat="false" ht="15" hidden="false" customHeight="false" outlineLevel="0" collapsed="false">
      <c r="A447" s="25" t="s">
        <v>8697</v>
      </c>
      <c r="B447" s="25" t="s">
        <v>8419</v>
      </c>
      <c r="C447" s="25" t="s">
        <v>8393</v>
      </c>
      <c r="D447" s="25" t="n">
        <v>9</v>
      </c>
      <c r="E447" s="25" t="s">
        <v>8394</v>
      </c>
      <c r="F447" s="25" t="s">
        <v>8395</v>
      </c>
      <c r="G447" s="25" t="s">
        <v>8396</v>
      </c>
      <c r="H447" s="25" t="s">
        <v>8399</v>
      </c>
      <c r="I447" s="25" t="s">
        <v>8698</v>
      </c>
      <c r="J447" s="25" t="s">
        <v>8696</v>
      </c>
      <c r="K447" s="25" t="n">
        <v>0</v>
      </c>
      <c r="L447" s="25" t="str">
        <f aca="false">IF(K447&gt;0,"Yes","No")</f>
        <v>No</v>
      </c>
    </row>
    <row r="448" customFormat="false" ht="15" hidden="false" customHeight="false" outlineLevel="0" collapsed="false">
      <c r="A448" s="25" t="s">
        <v>8699</v>
      </c>
      <c r="B448" s="25" t="s">
        <v>8392</v>
      </c>
      <c r="C448" s="25"/>
      <c r="D448" s="25" t="n">
        <v>8</v>
      </c>
      <c r="E448" s="25" t="s">
        <v>8439</v>
      </c>
      <c r="F448" s="25" t="s">
        <v>8440</v>
      </c>
      <c r="G448" s="25" t="s">
        <v>8398</v>
      </c>
      <c r="H448" s="25"/>
      <c r="I448" s="25" t="s">
        <v>8700</v>
      </c>
      <c r="J448" s="25" t="s">
        <v>8701</v>
      </c>
      <c r="K448" s="25" t="n">
        <v>0</v>
      </c>
      <c r="L448" s="25" t="str">
        <f aca="false">IF(K448&gt;0,"Yes","No")</f>
        <v>No</v>
      </c>
    </row>
    <row r="449" customFormat="false" ht="15" hidden="false" customHeight="false" outlineLevel="0" collapsed="false">
      <c r="A449" s="25" t="s">
        <v>8702</v>
      </c>
      <c r="B449" s="25" t="s">
        <v>8419</v>
      </c>
      <c r="C449" s="25" t="s">
        <v>8393</v>
      </c>
      <c r="D449" s="25" t="n">
        <v>9</v>
      </c>
      <c r="E449" s="25" t="s">
        <v>8394</v>
      </c>
      <c r="F449" s="25" t="s">
        <v>8395</v>
      </c>
      <c r="G449" s="25" t="s">
        <v>8396</v>
      </c>
      <c r="H449" s="25" t="s">
        <v>8399</v>
      </c>
      <c r="I449" s="25" t="s">
        <v>8703</v>
      </c>
      <c r="J449" s="25" t="s">
        <v>6708</v>
      </c>
      <c r="K449" s="25" t="n">
        <v>0</v>
      </c>
      <c r="L449" s="25" t="str">
        <f aca="false">IF(K449&gt;0,"Yes","No")</f>
        <v>No</v>
      </c>
    </row>
    <row r="450" customFormat="false" ht="15" hidden="false" customHeight="false" outlineLevel="0" collapsed="false">
      <c r="A450" s="25" t="s">
        <v>8704</v>
      </c>
      <c r="B450" s="25" t="s">
        <v>8419</v>
      </c>
      <c r="C450" s="25" t="s">
        <v>8393</v>
      </c>
      <c r="D450" s="25" t="n">
        <v>9</v>
      </c>
      <c r="E450" s="25" t="s">
        <v>8394</v>
      </c>
      <c r="F450" s="25" t="s">
        <v>8395</v>
      </c>
      <c r="G450" s="25" t="s">
        <v>8396</v>
      </c>
      <c r="H450" s="25" t="s">
        <v>8399</v>
      </c>
      <c r="I450" s="25" t="s">
        <v>8705</v>
      </c>
      <c r="J450" s="25" t="s">
        <v>6708</v>
      </c>
      <c r="K450" s="25" t="n">
        <v>0</v>
      </c>
      <c r="L450" s="25" t="str">
        <f aca="false">IF(K450&gt;0,"Yes","No")</f>
        <v>No</v>
      </c>
    </row>
    <row r="451" customFormat="false" ht="15" hidden="false" customHeight="false" outlineLevel="0" collapsed="false">
      <c r="A451" s="25" t="s">
        <v>8706</v>
      </c>
      <c r="B451" s="25" t="s">
        <v>8392</v>
      </c>
      <c r="C451" s="25" t="s">
        <v>8393</v>
      </c>
      <c r="D451" s="25" t="n">
        <v>9</v>
      </c>
      <c r="E451" s="25" t="s">
        <v>8394</v>
      </c>
      <c r="F451" s="25" t="s">
        <v>8395</v>
      </c>
      <c r="G451" s="25" t="s">
        <v>8396</v>
      </c>
      <c r="H451" s="25" t="s">
        <v>8403</v>
      </c>
      <c r="I451" s="25" t="s">
        <v>8707</v>
      </c>
      <c r="J451" s="25" t="s">
        <v>8708</v>
      </c>
      <c r="K451" s="25" t="n">
        <v>0</v>
      </c>
      <c r="L451" s="25" t="str">
        <f aca="false">IF(K451&gt;0,"Yes","No")</f>
        <v>No</v>
      </c>
    </row>
    <row r="452" customFormat="false" ht="15" hidden="false" customHeight="false" outlineLevel="0" collapsed="false">
      <c r="A452" s="25" t="s">
        <v>8709</v>
      </c>
      <c r="B452" s="25" t="s">
        <v>8392</v>
      </c>
      <c r="C452" s="25" t="s">
        <v>8393</v>
      </c>
      <c r="D452" s="25" t="n">
        <v>9</v>
      </c>
      <c r="E452" s="25" t="s">
        <v>8394</v>
      </c>
      <c r="F452" s="25" t="s">
        <v>8395</v>
      </c>
      <c r="G452" s="25" t="s">
        <v>8396</v>
      </c>
      <c r="H452" s="25" t="s">
        <v>8403</v>
      </c>
      <c r="I452" s="25" t="s">
        <v>8710</v>
      </c>
      <c r="J452" s="25" t="s">
        <v>8708</v>
      </c>
      <c r="K452" s="25" t="n">
        <v>0</v>
      </c>
      <c r="L452" s="25" t="str">
        <f aca="false">IF(K452&gt;0,"Yes","No")</f>
        <v>No</v>
      </c>
    </row>
    <row r="453" customFormat="false" ht="15" hidden="false" customHeight="false" outlineLevel="0" collapsed="false">
      <c r="A453" s="25" t="s">
        <v>8711</v>
      </c>
      <c r="B453" s="25" t="s">
        <v>8392</v>
      </c>
      <c r="C453" s="25" t="s">
        <v>8393</v>
      </c>
      <c r="D453" s="25" t="n">
        <v>9</v>
      </c>
      <c r="E453" s="25" t="s">
        <v>8394</v>
      </c>
      <c r="F453" s="25" t="s">
        <v>8395</v>
      </c>
      <c r="G453" s="25" t="s">
        <v>8396</v>
      </c>
      <c r="H453" s="25" t="s">
        <v>8399</v>
      </c>
      <c r="I453" s="25" t="s">
        <v>8712</v>
      </c>
      <c r="J453" s="25" t="s">
        <v>8713</v>
      </c>
      <c r="K453" s="25" t="n">
        <v>0</v>
      </c>
      <c r="L453" s="25" t="str">
        <f aca="false">IF(K453&gt;0,"Yes","No")</f>
        <v>No</v>
      </c>
    </row>
    <row r="454" customFormat="false" ht="15" hidden="false" customHeight="false" outlineLevel="0" collapsed="false">
      <c r="A454" s="25" t="s">
        <v>8714</v>
      </c>
      <c r="B454" s="25" t="s">
        <v>8392</v>
      </c>
      <c r="C454" s="25" t="s">
        <v>8393</v>
      </c>
      <c r="D454" s="25" t="n">
        <v>9</v>
      </c>
      <c r="E454" s="25" t="s">
        <v>8394</v>
      </c>
      <c r="F454" s="25" t="s">
        <v>8395</v>
      </c>
      <c r="G454" s="25" t="s">
        <v>8396</v>
      </c>
      <c r="H454" s="25" t="s">
        <v>8399</v>
      </c>
      <c r="I454" s="25" t="s">
        <v>8715</v>
      </c>
      <c r="J454" s="25" t="s">
        <v>8713</v>
      </c>
      <c r="K454" s="25" t="n">
        <v>0</v>
      </c>
      <c r="L454" s="25" t="str">
        <f aca="false">IF(K454&gt;0,"Yes","No")</f>
        <v>No</v>
      </c>
    </row>
    <row r="455" customFormat="false" ht="15" hidden="false" customHeight="false" outlineLevel="0" collapsed="false">
      <c r="A455" s="25" t="s">
        <v>8716</v>
      </c>
      <c r="B455" s="25" t="s">
        <v>8392</v>
      </c>
      <c r="C455" s="25"/>
      <c r="D455" s="25" t="n">
        <v>8</v>
      </c>
      <c r="E455" s="25" t="s">
        <v>8439</v>
      </c>
      <c r="F455" s="25" t="s">
        <v>8440</v>
      </c>
      <c r="G455" s="25" t="s">
        <v>8398</v>
      </c>
      <c r="H455" s="25"/>
      <c r="I455" s="25" t="s">
        <v>8441</v>
      </c>
      <c r="J455" s="25" t="s">
        <v>4108</v>
      </c>
      <c r="K455" s="25" t="n">
        <v>0</v>
      </c>
      <c r="L455" s="25" t="str">
        <f aca="false">IF(K455&gt;0,"Yes","No")</f>
        <v>No</v>
      </c>
    </row>
    <row r="456" customFormat="false" ht="15" hidden="false" customHeight="false" outlineLevel="0" collapsed="false">
      <c r="A456" s="25" t="s">
        <v>8717</v>
      </c>
      <c r="B456" s="25" t="s">
        <v>8392</v>
      </c>
      <c r="C456" s="25"/>
      <c r="D456" s="25" t="n">
        <v>8</v>
      </c>
      <c r="E456" s="25" t="s">
        <v>8439</v>
      </c>
      <c r="F456" s="25" t="s">
        <v>8440</v>
      </c>
      <c r="G456" s="25" t="s">
        <v>8398</v>
      </c>
      <c r="H456" s="25"/>
      <c r="I456" s="25" t="s">
        <v>8718</v>
      </c>
      <c r="J456" s="25" t="s">
        <v>8719</v>
      </c>
      <c r="K456" s="25" t="n">
        <v>0</v>
      </c>
      <c r="L456" s="25" t="str">
        <f aca="false">IF(K456&gt;0,"Yes","No")</f>
        <v>No</v>
      </c>
    </row>
    <row r="457" customFormat="false" ht="15" hidden="false" customHeight="false" outlineLevel="0" collapsed="false">
      <c r="A457" s="25" t="s">
        <v>8720</v>
      </c>
      <c r="B457" s="25" t="s">
        <v>8419</v>
      </c>
      <c r="C457" s="25" t="s">
        <v>8393</v>
      </c>
      <c r="D457" s="25" t="n">
        <v>9</v>
      </c>
      <c r="E457" s="25" t="s">
        <v>8394</v>
      </c>
      <c r="F457" s="25" t="s">
        <v>8395</v>
      </c>
      <c r="G457" s="25" t="s">
        <v>8396</v>
      </c>
      <c r="H457" s="25" t="s">
        <v>8399</v>
      </c>
      <c r="I457" s="25" t="s">
        <v>8721</v>
      </c>
      <c r="J457" s="25" t="s">
        <v>2230</v>
      </c>
      <c r="K457" s="25" t="n">
        <v>0</v>
      </c>
      <c r="L457" s="25" t="str">
        <f aca="false">IF(K457&gt;0,"Yes","No")</f>
        <v>No</v>
      </c>
    </row>
    <row r="458" customFormat="false" ht="15" hidden="false" customHeight="false" outlineLevel="0" collapsed="false">
      <c r="A458" s="25" t="s">
        <v>8722</v>
      </c>
      <c r="B458" s="25" t="s">
        <v>8392</v>
      </c>
      <c r="C458" s="25"/>
      <c r="D458" s="25" t="n">
        <v>8</v>
      </c>
      <c r="E458" s="25" t="s">
        <v>8439</v>
      </c>
      <c r="F458" s="25" t="s">
        <v>8440</v>
      </c>
      <c r="G458" s="25" t="s">
        <v>8398</v>
      </c>
      <c r="H458" s="25"/>
      <c r="I458" s="25" t="s">
        <v>8723</v>
      </c>
      <c r="J458" s="25" t="s">
        <v>8719</v>
      </c>
      <c r="K458" s="25" t="n">
        <v>0</v>
      </c>
      <c r="L458" s="25" t="str">
        <f aca="false">IF(K458&gt;0,"Yes","No")</f>
        <v>No</v>
      </c>
    </row>
    <row r="459" customFormat="false" ht="15" hidden="false" customHeight="false" outlineLevel="0" collapsed="false">
      <c r="A459" s="25" t="s">
        <v>8724</v>
      </c>
      <c r="B459" s="25" t="s">
        <v>8419</v>
      </c>
      <c r="C459" s="25"/>
      <c r="D459" s="25" t="n">
        <v>8</v>
      </c>
      <c r="E459" s="25" t="s">
        <v>8439</v>
      </c>
      <c r="F459" s="25" t="s">
        <v>8440</v>
      </c>
      <c r="G459" s="25" t="s">
        <v>8400</v>
      </c>
      <c r="H459" s="25"/>
      <c r="I459" s="25" t="s">
        <v>8600</v>
      </c>
      <c r="J459" s="25" t="s">
        <v>2824</v>
      </c>
      <c r="K459" s="25" t="n">
        <v>0</v>
      </c>
      <c r="L459" s="25" t="str">
        <f aca="false">IF(K459&gt;0,"Yes","No")</f>
        <v>No</v>
      </c>
    </row>
    <row r="460" customFormat="false" ht="15" hidden="false" customHeight="false" outlineLevel="0" collapsed="false">
      <c r="A460" s="25" t="s">
        <v>8725</v>
      </c>
      <c r="B460" s="25" t="s">
        <v>8419</v>
      </c>
      <c r="C460" s="25" t="s">
        <v>8393</v>
      </c>
      <c r="D460" s="25" t="n">
        <v>9</v>
      </c>
      <c r="E460" s="25" t="s">
        <v>8394</v>
      </c>
      <c r="F460" s="25" t="s">
        <v>8395</v>
      </c>
      <c r="G460" s="25" t="s">
        <v>8396</v>
      </c>
      <c r="H460" s="25" t="s">
        <v>8399</v>
      </c>
      <c r="I460" s="25" t="s">
        <v>8726</v>
      </c>
      <c r="J460" s="25" t="s">
        <v>8727</v>
      </c>
      <c r="K460" s="25" t="n">
        <v>0</v>
      </c>
      <c r="L460" s="25" t="str">
        <f aca="false">IF(K460&gt;0,"Yes","No")</f>
        <v>No</v>
      </c>
    </row>
    <row r="461" customFormat="false" ht="15" hidden="false" customHeight="false" outlineLevel="0" collapsed="false">
      <c r="A461" s="25" t="s">
        <v>8728</v>
      </c>
      <c r="B461" s="25" t="s">
        <v>8392</v>
      </c>
      <c r="C461" s="25" t="s">
        <v>8393</v>
      </c>
      <c r="D461" s="25" t="n">
        <v>9</v>
      </c>
      <c r="E461" s="25" t="s">
        <v>8394</v>
      </c>
      <c r="F461" s="25" t="s">
        <v>8395</v>
      </c>
      <c r="G461" s="25" t="s">
        <v>8396</v>
      </c>
      <c r="H461" s="25" t="s">
        <v>8397</v>
      </c>
      <c r="I461" s="25" t="s">
        <v>8729</v>
      </c>
      <c r="J461" s="25" t="s">
        <v>1193</v>
      </c>
      <c r="K461" s="25" t="n">
        <v>0</v>
      </c>
      <c r="L461" s="25" t="str">
        <f aca="false">IF(K461&gt;0,"Yes","No")</f>
        <v>No</v>
      </c>
    </row>
    <row r="462" customFormat="false" ht="15" hidden="false" customHeight="false" outlineLevel="0" collapsed="false">
      <c r="A462" s="25" t="s">
        <v>8730</v>
      </c>
      <c r="B462" s="25" t="s">
        <v>8392</v>
      </c>
      <c r="C462" s="25" t="s">
        <v>8393</v>
      </c>
      <c r="D462" s="25" t="n">
        <v>9</v>
      </c>
      <c r="E462" s="25" t="s">
        <v>8394</v>
      </c>
      <c r="F462" s="25" t="s">
        <v>8395</v>
      </c>
      <c r="G462" s="25" t="s">
        <v>8396</v>
      </c>
      <c r="H462" s="25" t="s">
        <v>8397</v>
      </c>
      <c r="I462" s="25" t="s">
        <v>8731</v>
      </c>
      <c r="J462" s="25" t="s">
        <v>1193</v>
      </c>
      <c r="K462" s="25" t="n">
        <v>0</v>
      </c>
      <c r="L462" s="25" t="str">
        <f aca="false">IF(K462&gt;0,"Yes","No")</f>
        <v>No</v>
      </c>
    </row>
    <row r="463" customFormat="false" ht="15" hidden="false" customHeight="false" outlineLevel="0" collapsed="false">
      <c r="A463" s="25" t="s">
        <v>8732</v>
      </c>
      <c r="B463" s="25" t="s">
        <v>8392</v>
      </c>
      <c r="C463" s="25" t="s">
        <v>8393</v>
      </c>
      <c r="D463" s="25" t="n">
        <v>9</v>
      </c>
      <c r="E463" s="25" t="s">
        <v>8394</v>
      </c>
      <c r="F463" s="25" t="s">
        <v>8395</v>
      </c>
      <c r="G463" s="25" t="s">
        <v>8398</v>
      </c>
      <c r="H463" s="25"/>
      <c r="I463" s="25" t="s">
        <v>375</v>
      </c>
      <c r="J463" s="25" t="s">
        <v>8733</v>
      </c>
      <c r="K463" s="25" t="n">
        <v>0</v>
      </c>
      <c r="L463" s="25" t="str">
        <f aca="false">IF(K463&gt;0,"Yes","No")</f>
        <v>No</v>
      </c>
    </row>
    <row r="464" customFormat="false" ht="15" hidden="false" customHeight="false" outlineLevel="0" collapsed="false">
      <c r="A464" s="25" t="s">
        <v>8734</v>
      </c>
      <c r="B464" s="25" t="s">
        <v>8392</v>
      </c>
      <c r="C464" s="25" t="s">
        <v>8393</v>
      </c>
      <c r="D464" s="25" t="n">
        <v>9</v>
      </c>
      <c r="E464" s="25" t="s">
        <v>8394</v>
      </c>
      <c r="F464" s="25" t="s">
        <v>8395</v>
      </c>
      <c r="G464" s="25" t="s">
        <v>8396</v>
      </c>
      <c r="H464" s="25" t="s">
        <v>8397</v>
      </c>
      <c r="I464" s="25" t="s">
        <v>8735</v>
      </c>
      <c r="J464" s="25" t="s">
        <v>8736</v>
      </c>
      <c r="K464" s="25" t="n">
        <v>0</v>
      </c>
      <c r="L464" s="25" t="str">
        <f aca="false">IF(K464&gt;0,"Yes","No")</f>
        <v>No</v>
      </c>
    </row>
    <row r="465" customFormat="false" ht="15" hidden="false" customHeight="false" outlineLevel="0" collapsed="false">
      <c r="A465" s="25" t="s">
        <v>8737</v>
      </c>
      <c r="B465" s="25" t="s">
        <v>8419</v>
      </c>
      <c r="C465" s="25" t="s">
        <v>8393</v>
      </c>
      <c r="D465" s="25" t="n">
        <v>9</v>
      </c>
      <c r="E465" s="25" t="s">
        <v>8394</v>
      </c>
      <c r="F465" s="25" t="s">
        <v>8395</v>
      </c>
      <c r="G465" s="25" t="s">
        <v>8400</v>
      </c>
      <c r="H465" s="25"/>
      <c r="I465" s="25" t="s">
        <v>725</v>
      </c>
      <c r="J465" s="25" t="s">
        <v>8738</v>
      </c>
      <c r="K465" s="25" t="n">
        <v>0</v>
      </c>
      <c r="L465" s="25" t="str">
        <f aca="false">IF(K465&gt;0,"Yes","No")</f>
        <v>No</v>
      </c>
    </row>
    <row r="466" customFormat="false" ht="15" hidden="false" customHeight="false" outlineLevel="0" collapsed="false">
      <c r="A466" s="25" t="s">
        <v>8739</v>
      </c>
      <c r="B466" s="25" t="s">
        <v>8419</v>
      </c>
      <c r="C466" s="25" t="s">
        <v>8393</v>
      </c>
      <c r="D466" s="25" t="n">
        <v>9</v>
      </c>
      <c r="E466" s="25" t="s">
        <v>8394</v>
      </c>
      <c r="F466" s="25" t="s">
        <v>8395</v>
      </c>
      <c r="G466" s="25" t="s">
        <v>8396</v>
      </c>
      <c r="H466" s="25" t="s">
        <v>8397</v>
      </c>
      <c r="I466" s="25" t="s">
        <v>8740</v>
      </c>
      <c r="J466" s="25" t="s">
        <v>4496</v>
      </c>
      <c r="K466" s="25" t="n">
        <v>0</v>
      </c>
      <c r="L466" s="25" t="str">
        <f aca="false">IF(K466&gt;0,"Yes","No")</f>
        <v>No</v>
      </c>
    </row>
    <row r="467" customFormat="false" ht="15" hidden="false" customHeight="false" outlineLevel="0" collapsed="false">
      <c r="A467" s="25" t="s">
        <v>8741</v>
      </c>
      <c r="B467" s="25" t="s">
        <v>8419</v>
      </c>
      <c r="C467" s="25" t="s">
        <v>8393</v>
      </c>
      <c r="D467" s="25" t="n">
        <v>9</v>
      </c>
      <c r="E467" s="25" t="s">
        <v>8394</v>
      </c>
      <c r="F467" s="25" t="s">
        <v>8395</v>
      </c>
      <c r="G467" s="25" t="s">
        <v>8396</v>
      </c>
      <c r="H467" s="25" t="s">
        <v>8397</v>
      </c>
      <c r="I467" s="25" t="s">
        <v>8742</v>
      </c>
      <c r="J467" s="25" t="s">
        <v>4496</v>
      </c>
      <c r="K467" s="25" t="n">
        <v>0</v>
      </c>
      <c r="L467" s="25" t="str">
        <f aca="false">IF(K467&gt;0,"Yes","No")</f>
        <v>No</v>
      </c>
    </row>
    <row r="468" customFormat="false" ht="15" hidden="false" customHeight="false" outlineLevel="0" collapsed="false">
      <c r="A468" s="25" t="s">
        <v>8743</v>
      </c>
      <c r="B468" s="25" t="s">
        <v>8419</v>
      </c>
      <c r="C468" s="25" t="s">
        <v>8393</v>
      </c>
      <c r="D468" s="25" t="n">
        <v>9</v>
      </c>
      <c r="E468" s="25" t="s">
        <v>8394</v>
      </c>
      <c r="F468" s="25" t="s">
        <v>8395</v>
      </c>
      <c r="G468" s="25" t="s">
        <v>8396</v>
      </c>
      <c r="H468" s="25" t="s">
        <v>8397</v>
      </c>
      <c r="I468" s="25" t="s">
        <v>8744</v>
      </c>
      <c r="J468" s="25" t="s">
        <v>4496</v>
      </c>
      <c r="K468" s="25" t="n">
        <v>0</v>
      </c>
      <c r="L468" s="25" t="str">
        <f aca="false">IF(K468&gt;0,"Yes","No")</f>
        <v>No</v>
      </c>
    </row>
    <row r="469" customFormat="false" ht="15" hidden="false" customHeight="false" outlineLevel="0" collapsed="false">
      <c r="A469" s="25" t="s">
        <v>8745</v>
      </c>
      <c r="B469" s="25" t="s">
        <v>8419</v>
      </c>
      <c r="C469" s="25" t="s">
        <v>8393</v>
      </c>
      <c r="D469" s="25" t="n">
        <v>9</v>
      </c>
      <c r="E469" s="25" t="s">
        <v>8394</v>
      </c>
      <c r="F469" s="25" t="s">
        <v>8395</v>
      </c>
      <c r="G469" s="25" t="s">
        <v>8396</v>
      </c>
      <c r="H469" s="25" t="s">
        <v>8397</v>
      </c>
      <c r="I469" s="25" t="s">
        <v>8746</v>
      </c>
      <c r="J469" s="25" t="s">
        <v>4496</v>
      </c>
      <c r="K469" s="25" t="n">
        <v>0</v>
      </c>
      <c r="L469" s="25" t="str">
        <f aca="false">IF(K469&gt;0,"Yes","No")</f>
        <v>No</v>
      </c>
    </row>
    <row r="470" customFormat="false" ht="15" hidden="false" customHeight="false" outlineLevel="0" collapsed="false">
      <c r="A470" s="25" t="s">
        <v>8747</v>
      </c>
      <c r="B470" s="25" t="s">
        <v>8419</v>
      </c>
      <c r="C470" s="25" t="s">
        <v>8393</v>
      </c>
      <c r="D470" s="25" t="n">
        <v>9</v>
      </c>
      <c r="E470" s="25" t="s">
        <v>8394</v>
      </c>
      <c r="F470" s="25" t="s">
        <v>8395</v>
      </c>
      <c r="G470" s="25" t="s">
        <v>8396</v>
      </c>
      <c r="H470" s="25" t="s">
        <v>8399</v>
      </c>
      <c r="I470" s="25" t="s">
        <v>8748</v>
      </c>
      <c r="J470" s="25" t="s">
        <v>4292</v>
      </c>
      <c r="K470" s="25" t="n">
        <v>0</v>
      </c>
      <c r="L470" s="25" t="str">
        <f aca="false">IF(K470&gt;0,"Yes","No")</f>
        <v>No</v>
      </c>
    </row>
    <row r="471" customFormat="false" ht="15" hidden="false" customHeight="false" outlineLevel="0" collapsed="false">
      <c r="A471" s="25" t="s">
        <v>8749</v>
      </c>
      <c r="B471" s="25" t="s">
        <v>8392</v>
      </c>
      <c r="C471" s="25" t="s">
        <v>8393</v>
      </c>
      <c r="D471" s="25" t="n">
        <v>9</v>
      </c>
      <c r="E471" s="25" t="s">
        <v>8394</v>
      </c>
      <c r="F471" s="25" t="s">
        <v>8395</v>
      </c>
      <c r="G471" s="25" t="s">
        <v>8398</v>
      </c>
      <c r="H471" s="25"/>
      <c r="I471" s="25" t="s">
        <v>515</v>
      </c>
      <c r="J471" s="25" t="s">
        <v>4292</v>
      </c>
      <c r="K471" s="25" t="n">
        <v>0</v>
      </c>
      <c r="L471" s="25" t="str">
        <f aca="false">IF(K471&gt;0,"Yes","No")</f>
        <v>No</v>
      </c>
    </row>
    <row r="472" customFormat="false" ht="15" hidden="false" customHeight="false" outlineLevel="0" collapsed="false">
      <c r="A472" s="25" t="s">
        <v>8750</v>
      </c>
      <c r="B472" s="25" t="s">
        <v>8419</v>
      </c>
      <c r="C472" s="25" t="s">
        <v>8393</v>
      </c>
      <c r="D472" s="25" t="n">
        <v>9</v>
      </c>
      <c r="E472" s="25" t="s">
        <v>8394</v>
      </c>
      <c r="F472" s="25" t="s">
        <v>8395</v>
      </c>
      <c r="G472" s="25" t="s">
        <v>8396</v>
      </c>
      <c r="H472" s="25" t="s">
        <v>8399</v>
      </c>
      <c r="I472" s="25" t="s">
        <v>8751</v>
      </c>
      <c r="J472" s="25" t="s">
        <v>1140</v>
      </c>
      <c r="K472" s="25" t="n">
        <v>0</v>
      </c>
      <c r="L472" s="25" t="str">
        <f aca="false">IF(K472&gt;0,"Yes","No")</f>
        <v>No</v>
      </c>
    </row>
    <row r="473" customFormat="false" ht="15" hidden="false" customHeight="false" outlineLevel="0" collapsed="false">
      <c r="A473" s="25" t="s">
        <v>8752</v>
      </c>
      <c r="B473" s="25" t="s">
        <v>8419</v>
      </c>
      <c r="C473" s="25" t="s">
        <v>8393</v>
      </c>
      <c r="D473" s="25" t="n">
        <v>9</v>
      </c>
      <c r="E473" s="25" t="s">
        <v>8394</v>
      </c>
      <c r="F473" s="25" t="s">
        <v>8395</v>
      </c>
      <c r="G473" s="25" t="s">
        <v>8396</v>
      </c>
      <c r="H473" s="25" t="s">
        <v>8399</v>
      </c>
      <c r="I473" s="25" t="s">
        <v>8753</v>
      </c>
      <c r="J473" s="25" t="s">
        <v>1140</v>
      </c>
      <c r="K473" s="25" t="n">
        <v>0</v>
      </c>
      <c r="L473" s="25" t="str">
        <f aca="false">IF(K473&gt;0,"Yes","No")</f>
        <v>No</v>
      </c>
    </row>
    <row r="474" customFormat="false" ht="15" hidden="false" customHeight="false" outlineLevel="0" collapsed="false">
      <c r="A474" s="25" t="s">
        <v>8754</v>
      </c>
      <c r="B474" s="25" t="s">
        <v>8392</v>
      </c>
      <c r="C474" s="25"/>
      <c r="D474" s="25" t="n">
        <v>8</v>
      </c>
      <c r="E474" s="25" t="s">
        <v>8439</v>
      </c>
      <c r="F474" s="25" t="s">
        <v>8440</v>
      </c>
      <c r="G474" s="25" t="s">
        <v>8398</v>
      </c>
      <c r="H474" s="25"/>
      <c r="I474" s="25" t="s">
        <v>8755</v>
      </c>
      <c r="J474" s="25" t="s">
        <v>8756</v>
      </c>
      <c r="K474" s="25" t="n">
        <v>0</v>
      </c>
      <c r="L474" s="25" t="str">
        <f aca="false">IF(K474&gt;0,"Yes","No")</f>
        <v>No</v>
      </c>
    </row>
    <row r="475" customFormat="false" ht="15" hidden="false" customHeight="false" outlineLevel="0" collapsed="false">
      <c r="A475" s="25" t="s">
        <v>8757</v>
      </c>
      <c r="B475" s="25" t="s">
        <v>8392</v>
      </c>
      <c r="C475" s="25" t="s">
        <v>8393</v>
      </c>
      <c r="D475" s="25" t="n">
        <v>9</v>
      </c>
      <c r="E475" s="25" t="s">
        <v>8394</v>
      </c>
      <c r="F475" s="25" t="s">
        <v>8395</v>
      </c>
      <c r="G475" s="25" t="s">
        <v>8396</v>
      </c>
      <c r="H475" s="25" t="s">
        <v>8399</v>
      </c>
      <c r="I475" s="25" t="s">
        <v>8758</v>
      </c>
      <c r="J475" s="25" t="s">
        <v>8759</v>
      </c>
      <c r="K475" s="25" t="n">
        <v>0</v>
      </c>
      <c r="L475" s="25" t="str">
        <f aca="false">IF(K475&gt;0,"Yes","No")</f>
        <v>No</v>
      </c>
    </row>
    <row r="476" customFormat="false" ht="15" hidden="false" customHeight="false" outlineLevel="0" collapsed="false">
      <c r="A476" s="25" t="s">
        <v>8760</v>
      </c>
      <c r="B476" s="25" t="s">
        <v>8392</v>
      </c>
      <c r="C476" s="25"/>
      <c r="D476" s="25" t="n">
        <v>8</v>
      </c>
      <c r="E476" s="25" t="s">
        <v>8439</v>
      </c>
      <c r="F476" s="25" t="s">
        <v>8440</v>
      </c>
      <c r="G476" s="25" t="s">
        <v>8398</v>
      </c>
      <c r="H476" s="25"/>
      <c r="I476" s="25" t="s">
        <v>8761</v>
      </c>
      <c r="J476" s="25" t="s">
        <v>8762</v>
      </c>
      <c r="K476" s="25" t="n">
        <v>0</v>
      </c>
      <c r="L476" s="25" t="str">
        <f aca="false">IF(K476&gt;0,"Yes","No")</f>
        <v>No</v>
      </c>
    </row>
    <row r="477" customFormat="false" ht="15" hidden="false" customHeight="false" outlineLevel="0" collapsed="false">
      <c r="A477" s="25" t="s">
        <v>8763</v>
      </c>
      <c r="B477" s="25" t="s">
        <v>8392</v>
      </c>
      <c r="C477" s="25"/>
      <c r="D477" s="25" t="n">
        <v>8</v>
      </c>
      <c r="E477" s="25" t="s">
        <v>8439</v>
      </c>
      <c r="F477" s="25" t="s">
        <v>8440</v>
      </c>
      <c r="G477" s="25" t="s">
        <v>8396</v>
      </c>
      <c r="H477" s="25" t="s">
        <v>8403</v>
      </c>
      <c r="I477" s="25" t="s">
        <v>8764</v>
      </c>
      <c r="J477" s="25" t="s">
        <v>8765</v>
      </c>
      <c r="K477" s="25" t="n">
        <v>0</v>
      </c>
      <c r="L477" s="25" t="str">
        <f aca="false">IF(K477&gt;0,"Yes","No")</f>
        <v>No</v>
      </c>
    </row>
    <row r="478" customFormat="false" ht="15" hidden="false" customHeight="false" outlineLevel="0" collapsed="false">
      <c r="A478" s="25" t="s">
        <v>8766</v>
      </c>
      <c r="B478" s="25" t="s">
        <v>8419</v>
      </c>
      <c r="C478" s="25" t="s">
        <v>8393</v>
      </c>
      <c r="D478" s="25" t="n">
        <v>9</v>
      </c>
      <c r="E478" s="25" t="s">
        <v>8394</v>
      </c>
      <c r="F478" s="25" t="s">
        <v>8395</v>
      </c>
      <c r="G478" s="25" t="s">
        <v>8396</v>
      </c>
      <c r="H478" s="25" t="s">
        <v>8399</v>
      </c>
      <c r="I478" s="25" t="s">
        <v>8767</v>
      </c>
      <c r="J478" s="25" t="s">
        <v>4926</v>
      </c>
      <c r="K478" s="25" t="n">
        <v>0</v>
      </c>
      <c r="L478" s="25" t="str">
        <f aca="false">IF(K478&gt;0,"Yes","No")</f>
        <v>No</v>
      </c>
    </row>
    <row r="479" customFormat="false" ht="15" hidden="false" customHeight="false" outlineLevel="0" collapsed="false">
      <c r="A479" s="25" t="s">
        <v>8768</v>
      </c>
      <c r="B479" s="25" t="s">
        <v>8419</v>
      </c>
      <c r="C479" s="25" t="s">
        <v>8393</v>
      </c>
      <c r="D479" s="25" t="n">
        <v>9</v>
      </c>
      <c r="E479" s="25" t="s">
        <v>8394</v>
      </c>
      <c r="F479" s="25" t="s">
        <v>8395</v>
      </c>
      <c r="G479" s="25" t="s">
        <v>8396</v>
      </c>
      <c r="H479" s="25" t="s">
        <v>8399</v>
      </c>
      <c r="I479" s="25" t="s">
        <v>8769</v>
      </c>
      <c r="J479" s="25" t="s">
        <v>4926</v>
      </c>
      <c r="K479" s="25" t="n">
        <v>0</v>
      </c>
      <c r="L479" s="25" t="str">
        <f aca="false">IF(K479&gt;0,"Yes","No")</f>
        <v>No</v>
      </c>
    </row>
    <row r="480" customFormat="false" ht="15" hidden="false" customHeight="false" outlineLevel="0" collapsed="false">
      <c r="A480" s="25" t="s">
        <v>8770</v>
      </c>
      <c r="B480" s="25" t="s">
        <v>8392</v>
      </c>
      <c r="C480" s="25" t="s">
        <v>8393</v>
      </c>
      <c r="D480" s="25" t="n">
        <v>9</v>
      </c>
      <c r="E480" s="25" t="s">
        <v>8394</v>
      </c>
      <c r="F480" s="25" t="s">
        <v>8395</v>
      </c>
      <c r="G480" s="25" t="s">
        <v>8396</v>
      </c>
      <c r="H480" s="25" t="s">
        <v>8397</v>
      </c>
      <c r="I480" s="25" t="s">
        <v>8771</v>
      </c>
      <c r="J480" s="25" t="s">
        <v>8772</v>
      </c>
      <c r="K480" s="25" t="n">
        <v>0</v>
      </c>
      <c r="L480" s="25" t="str">
        <f aca="false">IF(K480&gt;0,"Yes","No")</f>
        <v>No</v>
      </c>
    </row>
    <row r="481" customFormat="false" ht="15" hidden="false" customHeight="false" outlineLevel="0" collapsed="false">
      <c r="A481" s="25" t="s">
        <v>8773</v>
      </c>
      <c r="B481" s="25" t="s">
        <v>8392</v>
      </c>
      <c r="C481" s="25" t="s">
        <v>8393</v>
      </c>
      <c r="D481" s="25" t="n">
        <v>9</v>
      </c>
      <c r="E481" s="25" t="s">
        <v>8394</v>
      </c>
      <c r="F481" s="25" t="s">
        <v>8395</v>
      </c>
      <c r="G481" s="25" t="s">
        <v>8396</v>
      </c>
      <c r="H481" s="25" t="s">
        <v>8397</v>
      </c>
      <c r="I481" s="25" t="s">
        <v>8774</v>
      </c>
      <c r="J481" s="25" t="s">
        <v>8772</v>
      </c>
      <c r="K481" s="25" t="n">
        <v>0</v>
      </c>
      <c r="L481" s="25" t="str">
        <f aca="false">IF(K481&gt;0,"Yes","No")</f>
        <v>No</v>
      </c>
    </row>
    <row r="482" customFormat="false" ht="15" hidden="false" customHeight="false" outlineLevel="0" collapsed="false">
      <c r="A482" s="25" t="s">
        <v>8775</v>
      </c>
      <c r="B482" s="25" t="s">
        <v>8392</v>
      </c>
      <c r="C482" s="25" t="s">
        <v>8393</v>
      </c>
      <c r="D482" s="25" t="n">
        <v>9</v>
      </c>
      <c r="E482" s="25" t="s">
        <v>8394</v>
      </c>
      <c r="F482" s="25" t="s">
        <v>8395</v>
      </c>
      <c r="G482" s="25" t="s">
        <v>8396</v>
      </c>
      <c r="H482" s="25" t="s">
        <v>8397</v>
      </c>
      <c r="I482" s="25" t="s">
        <v>8776</v>
      </c>
      <c r="J482" s="25" t="s">
        <v>8772</v>
      </c>
      <c r="K482" s="25" t="n">
        <v>0</v>
      </c>
      <c r="L482" s="25" t="str">
        <f aca="false">IF(K482&gt;0,"Yes","No")</f>
        <v>No</v>
      </c>
    </row>
    <row r="483" customFormat="false" ht="15" hidden="false" customHeight="false" outlineLevel="0" collapsed="false">
      <c r="A483" s="25" t="s">
        <v>8777</v>
      </c>
      <c r="B483" s="25" t="s">
        <v>8392</v>
      </c>
      <c r="C483" s="25" t="s">
        <v>8393</v>
      </c>
      <c r="D483" s="25" t="n">
        <v>9</v>
      </c>
      <c r="E483" s="25" t="s">
        <v>8394</v>
      </c>
      <c r="F483" s="25" t="s">
        <v>8395</v>
      </c>
      <c r="G483" s="25" t="s">
        <v>8396</v>
      </c>
      <c r="H483" s="25" t="s">
        <v>8397</v>
      </c>
      <c r="I483" s="25" t="s">
        <v>8778</v>
      </c>
      <c r="J483" s="25" t="s">
        <v>8772</v>
      </c>
      <c r="K483" s="25" t="n">
        <v>0</v>
      </c>
      <c r="L483" s="25" t="str">
        <f aca="false">IF(K483&gt;0,"Yes","No")</f>
        <v>No</v>
      </c>
    </row>
    <row r="484" customFormat="false" ht="15" hidden="false" customHeight="false" outlineLevel="0" collapsed="false">
      <c r="A484" s="25" t="s">
        <v>8779</v>
      </c>
      <c r="B484" s="25" t="s">
        <v>8419</v>
      </c>
      <c r="C484" s="25" t="s">
        <v>8393</v>
      </c>
      <c r="D484" s="25" t="n">
        <v>9</v>
      </c>
      <c r="E484" s="25" t="s">
        <v>8394</v>
      </c>
      <c r="F484" s="25" t="s">
        <v>8395</v>
      </c>
      <c r="G484" s="25" t="s">
        <v>8396</v>
      </c>
      <c r="H484" s="25" t="s">
        <v>8399</v>
      </c>
      <c r="I484" s="25" t="s">
        <v>8780</v>
      </c>
      <c r="J484" s="25" t="s">
        <v>497</v>
      </c>
      <c r="K484" s="25" t="n">
        <v>0</v>
      </c>
      <c r="L484" s="25" t="str">
        <f aca="false">IF(K484&gt;0,"Yes","No")</f>
        <v>No</v>
      </c>
    </row>
    <row r="485" customFormat="false" ht="15" hidden="false" customHeight="false" outlineLevel="0" collapsed="false">
      <c r="A485" s="25" t="s">
        <v>8781</v>
      </c>
      <c r="B485" s="25" t="s">
        <v>8419</v>
      </c>
      <c r="C485" s="25" t="s">
        <v>8393</v>
      </c>
      <c r="D485" s="25" t="n">
        <v>9</v>
      </c>
      <c r="E485" s="25" t="s">
        <v>8394</v>
      </c>
      <c r="F485" s="25" t="s">
        <v>8395</v>
      </c>
      <c r="G485" s="25" t="s">
        <v>8396</v>
      </c>
      <c r="H485" s="25" t="s">
        <v>8399</v>
      </c>
      <c r="I485" s="25" t="s">
        <v>8782</v>
      </c>
      <c r="J485" s="25" t="s">
        <v>497</v>
      </c>
      <c r="K485" s="25" t="n">
        <v>0</v>
      </c>
      <c r="L485" s="25" t="str">
        <f aca="false">IF(K485&gt;0,"Yes","No")</f>
        <v>No</v>
      </c>
    </row>
    <row r="486" customFormat="false" ht="15" hidden="false" customHeight="false" outlineLevel="0" collapsed="false">
      <c r="A486" s="25" t="s">
        <v>8783</v>
      </c>
      <c r="B486" s="25" t="s">
        <v>8419</v>
      </c>
      <c r="C486" s="25" t="s">
        <v>8393</v>
      </c>
      <c r="D486" s="25" t="n">
        <v>9</v>
      </c>
      <c r="E486" s="25" t="s">
        <v>8394</v>
      </c>
      <c r="F486" s="25" t="s">
        <v>8395</v>
      </c>
      <c r="G486" s="25" t="s">
        <v>8396</v>
      </c>
      <c r="H486" s="25" t="s">
        <v>8399</v>
      </c>
      <c r="I486" s="25" t="s">
        <v>8784</v>
      </c>
      <c r="J486" s="25" t="s">
        <v>497</v>
      </c>
      <c r="K486" s="25" t="n">
        <v>0</v>
      </c>
      <c r="L486" s="25" t="str">
        <f aca="false">IF(K486&gt;0,"Yes","No")</f>
        <v>No</v>
      </c>
    </row>
    <row r="487" customFormat="false" ht="15" hidden="false" customHeight="false" outlineLevel="0" collapsed="false">
      <c r="A487" s="25" t="s">
        <v>8785</v>
      </c>
      <c r="B487" s="25" t="s">
        <v>8419</v>
      </c>
      <c r="C487" s="25" t="s">
        <v>8393</v>
      </c>
      <c r="D487" s="25" t="n">
        <v>9</v>
      </c>
      <c r="E487" s="25" t="s">
        <v>8394</v>
      </c>
      <c r="F487" s="25" t="s">
        <v>8395</v>
      </c>
      <c r="G487" s="25" t="s">
        <v>8396</v>
      </c>
      <c r="H487" s="25" t="s">
        <v>8399</v>
      </c>
      <c r="I487" s="25" t="s">
        <v>8786</v>
      </c>
      <c r="J487" s="25" t="s">
        <v>497</v>
      </c>
      <c r="K487" s="25" t="n">
        <v>0</v>
      </c>
      <c r="L487" s="25" t="str">
        <f aca="false">IF(K487&gt;0,"Yes","No")</f>
        <v>No</v>
      </c>
    </row>
    <row r="488" customFormat="false" ht="15" hidden="false" customHeight="false" outlineLevel="0" collapsed="false">
      <c r="A488" s="25" t="s">
        <v>8787</v>
      </c>
      <c r="B488" s="25" t="s">
        <v>8392</v>
      </c>
      <c r="C488" s="25" t="s">
        <v>8393</v>
      </c>
      <c r="D488" s="25" t="n">
        <v>9</v>
      </c>
      <c r="E488" s="25" t="s">
        <v>8394</v>
      </c>
      <c r="F488" s="25" t="s">
        <v>8395</v>
      </c>
      <c r="G488" s="25" t="s">
        <v>8396</v>
      </c>
      <c r="H488" s="25"/>
      <c r="I488" s="25" t="s">
        <v>8788</v>
      </c>
      <c r="J488" s="25" t="s">
        <v>8789</v>
      </c>
      <c r="K488" s="25" t="n">
        <v>0</v>
      </c>
      <c r="L488" s="25" t="str">
        <f aca="false">IF(K488&gt;0,"Yes","No")</f>
        <v>No</v>
      </c>
    </row>
    <row r="489" customFormat="false" ht="15" hidden="false" customHeight="false" outlineLevel="0" collapsed="false">
      <c r="A489" s="25" t="s">
        <v>8790</v>
      </c>
      <c r="B489" s="25" t="s">
        <v>8419</v>
      </c>
      <c r="C489" s="25" t="s">
        <v>8393</v>
      </c>
      <c r="D489" s="25" t="n">
        <v>9</v>
      </c>
      <c r="E489" s="25" t="s">
        <v>8394</v>
      </c>
      <c r="F489" s="25" t="s">
        <v>8395</v>
      </c>
      <c r="G489" s="25" t="s">
        <v>8396</v>
      </c>
      <c r="H489" s="25" t="s">
        <v>8399</v>
      </c>
      <c r="I489" s="25" t="s">
        <v>8791</v>
      </c>
      <c r="J489" s="25" t="s">
        <v>6786</v>
      </c>
      <c r="K489" s="25" t="n">
        <v>0</v>
      </c>
      <c r="L489" s="25" t="str">
        <f aca="false">IF(K489&gt;0,"Yes","No")</f>
        <v>No</v>
      </c>
    </row>
    <row r="490" customFormat="false" ht="15" hidden="false" customHeight="false" outlineLevel="0" collapsed="false">
      <c r="A490" s="25" t="s">
        <v>8792</v>
      </c>
      <c r="B490" s="25" t="s">
        <v>8419</v>
      </c>
      <c r="C490" s="25" t="s">
        <v>8393</v>
      </c>
      <c r="D490" s="25" t="n">
        <v>9</v>
      </c>
      <c r="E490" s="25" t="s">
        <v>8394</v>
      </c>
      <c r="F490" s="25" t="s">
        <v>8395</v>
      </c>
      <c r="G490" s="25" t="s">
        <v>8396</v>
      </c>
      <c r="H490" s="25" t="s">
        <v>8399</v>
      </c>
      <c r="I490" s="25" t="s">
        <v>8793</v>
      </c>
      <c r="J490" s="25" t="s">
        <v>6786</v>
      </c>
      <c r="K490" s="25" t="n">
        <v>0</v>
      </c>
      <c r="L490" s="25" t="str">
        <f aca="false">IF(K490&gt;0,"Yes","No")</f>
        <v>No</v>
      </c>
    </row>
    <row r="491" customFormat="false" ht="15" hidden="false" customHeight="false" outlineLevel="0" collapsed="false">
      <c r="A491" s="25" t="s">
        <v>8794</v>
      </c>
      <c r="B491" s="25" t="s">
        <v>8419</v>
      </c>
      <c r="C491" s="25" t="s">
        <v>8393</v>
      </c>
      <c r="D491" s="25" t="n">
        <v>9</v>
      </c>
      <c r="E491" s="25" t="s">
        <v>8394</v>
      </c>
      <c r="F491" s="25" t="s">
        <v>8395</v>
      </c>
      <c r="G491" s="25" t="s">
        <v>8396</v>
      </c>
      <c r="H491" s="25" t="s">
        <v>8399</v>
      </c>
      <c r="I491" s="25" t="s">
        <v>8795</v>
      </c>
      <c r="J491" s="25" t="s">
        <v>6786</v>
      </c>
      <c r="K491" s="25" t="n">
        <v>0</v>
      </c>
      <c r="L491" s="25" t="str">
        <f aca="false">IF(K491&gt;0,"Yes","No")</f>
        <v>No</v>
      </c>
    </row>
    <row r="492" customFormat="false" ht="15" hidden="false" customHeight="false" outlineLevel="0" collapsed="false">
      <c r="A492" s="25" t="s">
        <v>8796</v>
      </c>
      <c r="B492" s="25" t="s">
        <v>8419</v>
      </c>
      <c r="C492" s="25" t="s">
        <v>8393</v>
      </c>
      <c r="D492" s="25" t="n">
        <v>9</v>
      </c>
      <c r="E492" s="25" t="s">
        <v>8394</v>
      </c>
      <c r="F492" s="25" t="s">
        <v>8395</v>
      </c>
      <c r="G492" s="25" t="s">
        <v>8396</v>
      </c>
      <c r="H492" s="25" t="s">
        <v>8399</v>
      </c>
      <c r="I492" s="25" t="s">
        <v>8797</v>
      </c>
      <c r="J492" s="25" t="s">
        <v>588</v>
      </c>
      <c r="K492" s="25" t="n">
        <v>0</v>
      </c>
      <c r="L492" s="25" t="str">
        <f aca="false">IF(K492&gt;0,"Yes","No")</f>
        <v>No</v>
      </c>
    </row>
    <row r="493" customFormat="false" ht="15" hidden="false" customHeight="false" outlineLevel="0" collapsed="false">
      <c r="A493" s="25" t="s">
        <v>8798</v>
      </c>
      <c r="B493" s="25" t="s">
        <v>8419</v>
      </c>
      <c r="C493" s="25" t="s">
        <v>8393</v>
      </c>
      <c r="D493" s="25" t="n">
        <v>9</v>
      </c>
      <c r="E493" s="25" t="s">
        <v>8394</v>
      </c>
      <c r="F493" s="25" t="s">
        <v>8395</v>
      </c>
      <c r="G493" s="25" t="s">
        <v>8396</v>
      </c>
      <c r="H493" s="25" t="s">
        <v>8399</v>
      </c>
      <c r="I493" s="25" t="s">
        <v>8799</v>
      </c>
      <c r="J493" s="25" t="s">
        <v>588</v>
      </c>
      <c r="K493" s="25" t="n">
        <v>0</v>
      </c>
      <c r="L493" s="25" t="str">
        <f aca="false">IF(K493&gt;0,"Yes","No")</f>
        <v>No</v>
      </c>
    </row>
    <row r="494" customFormat="false" ht="15" hidden="false" customHeight="false" outlineLevel="0" collapsed="false">
      <c r="A494" s="25" t="s">
        <v>8800</v>
      </c>
      <c r="B494" s="25" t="s">
        <v>8392</v>
      </c>
      <c r="C494" s="25" t="s">
        <v>8393</v>
      </c>
      <c r="D494" s="25" t="n">
        <v>9</v>
      </c>
      <c r="E494" s="25" t="s">
        <v>8394</v>
      </c>
      <c r="F494" s="25" t="s">
        <v>8395</v>
      </c>
      <c r="G494" s="25" t="s">
        <v>8398</v>
      </c>
      <c r="H494" s="25"/>
      <c r="I494" s="25" t="s">
        <v>8801</v>
      </c>
      <c r="J494" s="25" t="s">
        <v>8802</v>
      </c>
      <c r="K494" s="25" t="n">
        <v>0</v>
      </c>
      <c r="L494" s="25" t="str">
        <f aca="false">IF(K494&gt;0,"Yes","No")</f>
        <v>No</v>
      </c>
    </row>
    <row r="495" customFormat="false" ht="15" hidden="false" customHeight="false" outlineLevel="0" collapsed="false">
      <c r="A495" s="25" t="s">
        <v>8803</v>
      </c>
      <c r="B495" s="25" t="s">
        <v>8392</v>
      </c>
      <c r="C495" s="25" t="s">
        <v>8393</v>
      </c>
      <c r="D495" s="25" t="n">
        <v>9</v>
      </c>
      <c r="E495" s="25" t="s">
        <v>8394</v>
      </c>
      <c r="F495" s="25" t="s">
        <v>8395</v>
      </c>
      <c r="G495" s="25" t="s">
        <v>8396</v>
      </c>
      <c r="H495" s="25" t="s">
        <v>8397</v>
      </c>
      <c r="I495" s="25" t="s">
        <v>8804</v>
      </c>
      <c r="J495" s="25" t="s">
        <v>4731</v>
      </c>
      <c r="K495" s="25" t="n">
        <v>0</v>
      </c>
      <c r="L495" s="25" t="str">
        <f aca="false">IF(K495&gt;0,"Yes","No")</f>
        <v>No</v>
      </c>
    </row>
    <row r="496" customFormat="false" ht="15" hidden="false" customHeight="false" outlineLevel="0" collapsed="false">
      <c r="A496" s="25" t="s">
        <v>8805</v>
      </c>
      <c r="B496" s="25" t="s">
        <v>8392</v>
      </c>
      <c r="C496" s="25" t="s">
        <v>8393</v>
      </c>
      <c r="D496" s="25" t="n">
        <v>9</v>
      </c>
      <c r="E496" s="25" t="s">
        <v>8394</v>
      </c>
      <c r="F496" s="25" t="s">
        <v>8395</v>
      </c>
      <c r="G496" s="25" t="s">
        <v>8396</v>
      </c>
      <c r="H496" s="25" t="s">
        <v>8397</v>
      </c>
      <c r="I496" s="25" t="s">
        <v>8806</v>
      </c>
      <c r="J496" s="25" t="s">
        <v>4731</v>
      </c>
      <c r="K496" s="25" t="n">
        <v>0</v>
      </c>
      <c r="L496" s="25" t="str">
        <f aca="false">IF(K496&gt;0,"Yes","No")</f>
        <v>No</v>
      </c>
    </row>
    <row r="497" customFormat="false" ht="15" hidden="false" customHeight="false" outlineLevel="0" collapsed="false">
      <c r="A497" s="25" t="s">
        <v>8807</v>
      </c>
      <c r="B497" s="25" t="s">
        <v>8419</v>
      </c>
      <c r="C497" s="25" t="s">
        <v>8393</v>
      </c>
      <c r="D497" s="25" t="n">
        <v>9</v>
      </c>
      <c r="E497" s="25" t="s">
        <v>8394</v>
      </c>
      <c r="F497" s="25" t="s">
        <v>8395</v>
      </c>
      <c r="G497" s="25" t="s">
        <v>8396</v>
      </c>
      <c r="H497" s="25" t="s">
        <v>8399</v>
      </c>
      <c r="I497" s="25" t="s">
        <v>8808</v>
      </c>
      <c r="J497" s="25" t="s">
        <v>1029</v>
      </c>
      <c r="K497" s="25" t="n">
        <v>0</v>
      </c>
      <c r="L497" s="25" t="str">
        <f aca="false">IF(K497&gt;0,"Yes","No")</f>
        <v>No</v>
      </c>
    </row>
    <row r="498" customFormat="false" ht="15" hidden="false" customHeight="false" outlineLevel="0" collapsed="false">
      <c r="A498" s="25" t="s">
        <v>8809</v>
      </c>
      <c r="B498" s="25" t="s">
        <v>8392</v>
      </c>
      <c r="C498" s="25" t="s">
        <v>8393</v>
      </c>
      <c r="D498" s="25" t="n">
        <v>9</v>
      </c>
      <c r="E498" s="25" t="s">
        <v>8394</v>
      </c>
      <c r="F498" s="25" t="s">
        <v>8395</v>
      </c>
      <c r="G498" s="25" t="s">
        <v>8396</v>
      </c>
      <c r="H498" s="25" t="s">
        <v>8399</v>
      </c>
      <c r="I498" s="25" t="s">
        <v>8810</v>
      </c>
      <c r="J498" s="25" t="s">
        <v>3416</v>
      </c>
      <c r="K498" s="25" t="n">
        <v>0</v>
      </c>
      <c r="L498" s="25" t="str">
        <f aca="false">IF(K498&gt;0,"Yes","No")</f>
        <v>No</v>
      </c>
    </row>
    <row r="499" customFormat="false" ht="15" hidden="false" customHeight="false" outlineLevel="0" collapsed="false">
      <c r="A499" s="25" t="s">
        <v>8811</v>
      </c>
      <c r="B499" s="25" t="s">
        <v>8419</v>
      </c>
      <c r="C499" s="25" t="s">
        <v>8393</v>
      </c>
      <c r="D499" s="25" t="n">
        <v>9</v>
      </c>
      <c r="E499" s="25" t="s">
        <v>8394</v>
      </c>
      <c r="F499" s="25" t="s">
        <v>8395</v>
      </c>
      <c r="G499" s="25" t="s">
        <v>8396</v>
      </c>
      <c r="H499" s="25" t="s">
        <v>8399</v>
      </c>
      <c r="I499" s="25" t="s">
        <v>8812</v>
      </c>
      <c r="J499" s="25" t="s">
        <v>3416</v>
      </c>
      <c r="K499" s="25" t="n">
        <v>0</v>
      </c>
      <c r="L499" s="25" t="str">
        <f aca="false">IF(K499&gt;0,"Yes","No")</f>
        <v>No</v>
      </c>
    </row>
    <row r="500" customFormat="false" ht="15" hidden="false" customHeight="false" outlineLevel="0" collapsed="false">
      <c r="A500" s="25" t="s">
        <v>8813</v>
      </c>
      <c r="B500" s="25" t="s">
        <v>8419</v>
      </c>
      <c r="C500" s="25" t="s">
        <v>8393</v>
      </c>
      <c r="D500" s="25" t="n">
        <v>9</v>
      </c>
      <c r="E500" s="25" t="s">
        <v>8394</v>
      </c>
      <c r="F500" s="25" t="s">
        <v>8395</v>
      </c>
      <c r="G500" s="25" t="s">
        <v>8396</v>
      </c>
      <c r="H500" s="25" t="s">
        <v>8399</v>
      </c>
      <c r="I500" s="25" t="s">
        <v>8814</v>
      </c>
      <c r="J500" s="25" t="s">
        <v>3416</v>
      </c>
      <c r="K500" s="25" t="n">
        <v>0</v>
      </c>
      <c r="L500" s="25" t="str">
        <f aca="false">IF(K500&gt;0,"Yes","No")</f>
        <v>No</v>
      </c>
    </row>
    <row r="501" customFormat="false" ht="15" hidden="false" customHeight="false" outlineLevel="0" collapsed="false">
      <c r="A501" s="25" t="s">
        <v>8815</v>
      </c>
      <c r="B501" s="25" t="s">
        <v>8392</v>
      </c>
      <c r="C501" s="25"/>
      <c r="D501" s="25" t="n">
        <v>8</v>
      </c>
      <c r="E501" s="25" t="s">
        <v>8439</v>
      </c>
      <c r="F501" s="25" t="s">
        <v>8440</v>
      </c>
      <c r="G501" s="25" t="s">
        <v>8398</v>
      </c>
      <c r="H501" s="25"/>
      <c r="I501" s="25" t="s">
        <v>8816</v>
      </c>
      <c r="J501" s="25" t="s">
        <v>8817</v>
      </c>
      <c r="K501" s="25" t="n">
        <v>0</v>
      </c>
      <c r="L501" s="25" t="str">
        <f aca="false">IF(K501&gt;0,"Yes","No")</f>
        <v>No</v>
      </c>
    </row>
    <row r="502" customFormat="false" ht="15" hidden="false" customHeight="false" outlineLevel="0" collapsed="false">
      <c r="A502" s="25" t="s">
        <v>8818</v>
      </c>
      <c r="B502" s="25" t="s">
        <v>8392</v>
      </c>
      <c r="C502" s="25" t="s">
        <v>8393</v>
      </c>
      <c r="D502" s="25" t="n">
        <v>9</v>
      </c>
      <c r="E502" s="25" t="s">
        <v>8394</v>
      </c>
      <c r="F502" s="25" t="s">
        <v>8395</v>
      </c>
      <c r="G502" s="25" t="s">
        <v>8396</v>
      </c>
      <c r="H502" s="25" t="s">
        <v>8397</v>
      </c>
      <c r="I502" s="25" t="s">
        <v>1398</v>
      </c>
      <c r="J502" s="25" t="s">
        <v>8819</v>
      </c>
      <c r="K502" s="25" t="n">
        <v>0</v>
      </c>
      <c r="L502" s="25" t="str">
        <f aca="false">IF(K502&gt;0,"Yes","No")</f>
        <v>No</v>
      </c>
    </row>
    <row r="503" customFormat="false" ht="15" hidden="false" customHeight="false" outlineLevel="0" collapsed="false">
      <c r="A503" s="25" t="s">
        <v>8820</v>
      </c>
      <c r="B503" s="25" t="s">
        <v>8419</v>
      </c>
      <c r="C503" s="25" t="s">
        <v>8393</v>
      </c>
      <c r="D503" s="25" t="n">
        <v>9</v>
      </c>
      <c r="E503" s="25" t="s">
        <v>8394</v>
      </c>
      <c r="F503" s="25" t="s">
        <v>8395</v>
      </c>
      <c r="G503" s="25" t="s">
        <v>8396</v>
      </c>
      <c r="H503" s="25" t="s">
        <v>8399</v>
      </c>
      <c r="I503" s="25" t="s">
        <v>8821</v>
      </c>
      <c r="J503" s="25" t="s">
        <v>1127</v>
      </c>
      <c r="K503" s="25" t="n">
        <v>0</v>
      </c>
      <c r="L503" s="25" t="str">
        <f aca="false">IF(K503&gt;0,"Yes","No")</f>
        <v>No</v>
      </c>
    </row>
    <row r="504" customFormat="false" ht="15" hidden="false" customHeight="false" outlineLevel="0" collapsed="false">
      <c r="A504" s="25" t="s">
        <v>8822</v>
      </c>
      <c r="B504" s="25" t="s">
        <v>8419</v>
      </c>
      <c r="C504" s="25" t="s">
        <v>8393</v>
      </c>
      <c r="D504" s="25" t="n">
        <v>9</v>
      </c>
      <c r="E504" s="25" t="s">
        <v>8394</v>
      </c>
      <c r="F504" s="25" t="s">
        <v>8395</v>
      </c>
      <c r="G504" s="25" t="s">
        <v>8396</v>
      </c>
      <c r="H504" s="25" t="s">
        <v>8399</v>
      </c>
      <c r="I504" s="25" t="s">
        <v>8823</v>
      </c>
      <c r="J504" s="25" t="s">
        <v>1127</v>
      </c>
      <c r="K504" s="25" t="n">
        <v>0</v>
      </c>
      <c r="L504" s="25" t="str">
        <f aca="false">IF(K504&gt;0,"Yes","No")</f>
        <v>No</v>
      </c>
    </row>
    <row r="505" customFormat="false" ht="15" hidden="false" customHeight="false" outlineLevel="0" collapsed="false">
      <c r="A505" s="25" t="s">
        <v>8824</v>
      </c>
      <c r="B505" s="25" t="s">
        <v>8419</v>
      </c>
      <c r="C505" s="25" t="s">
        <v>8393</v>
      </c>
      <c r="D505" s="25" t="n">
        <v>9</v>
      </c>
      <c r="E505" s="25" t="s">
        <v>8394</v>
      </c>
      <c r="F505" s="25" t="s">
        <v>8395</v>
      </c>
      <c r="G505" s="25" t="s">
        <v>8396</v>
      </c>
      <c r="H505" s="25" t="s">
        <v>8399</v>
      </c>
      <c r="I505" s="25" t="s">
        <v>8825</v>
      </c>
      <c r="J505" s="25" t="s">
        <v>2121</v>
      </c>
      <c r="K505" s="25" t="n">
        <v>0</v>
      </c>
      <c r="L505" s="25" t="str">
        <f aca="false">IF(K505&gt;0,"Yes","No")</f>
        <v>No</v>
      </c>
    </row>
    <row r="506" customFormat="false" ht="15" hidden="false" customHeight="false" outlineLevel="0" collapsed="false">
      <c r="A506" s="25" t="s">
        <v>8826</v>
      </c>
      <c r="B506" s="25" t="s">
        <v>8392</v>
      </c>
      <c r="C506" s="25" t="s">
        <v>8393</v>
      </c>
      <c r="D506" s="25" t="n">
        <v>9</v>
      </c>
      <c r="E506" s="25" t="s">
        <v>8394</v>
      </c>
      <c r="F506" s="25" t="s">
        <v>8395</v>
      </c>
      <c r="G506" s="25" t="s">
        <v>8396</v>
      </c>
      <c r="H506" s="25" t="s">
        <v>8399</v>
      </c>
      <c r="I506" s="25" t="s">
        <v>8827</v>
      </c>
      <c r="J506" s="25" t="s">
        <v>2121</v>
      </c>
      <c r="K506" s="25" t="n">
        <v>0</v>
      </c>
      <c r="L506" s="25" t="str">
        <f aca="false">IF(K506&gt;0,"Yes","No")</f>
        <v>No</v>
      </c>
    </row>
    <row r="507" customFormat="false" ht="15" hidden="false" customHeight="false" outlineLevel="0" collapsed="false">
      <c r="A507" s="25" t="s">
        <v>8828</v>
      </c>
      <c r="B507" s="25" t="s">
        <v>8419</v>
      </c>
      <c r="C507" s="25" t="s">
        <v>8393</v>
      </c>
      <c r="D507" s="25" t="n">
        <v>9</v>
      </c>
      <c r="E507" s="25" t="s">
        <v>8394</v>
      </c>
      <c r="F507" s="25" t="s">
        <v>8395</v>
      </c>
      <c r="G507" s="25" t="s">
        <v>8396</v>
      </c>
      <c r="H507" s="25" t="s">
        <v>8399</v>
      </c>
      <c r="I507" s="25" t="s">
        <v>8829</v>
      </c>
      <c r="J507" s="25" t="s">
        <v>2121</v>
      </c>
      <c r="K507" s="25" t="n">
        <v>0</v>
      </c>
      <c r="L507" s="25" t="str">
        <f aca="false">IF(K507&gt;0,"Yes","No")</f>
        <v>No</v>
      </c>
    </row>
    <row r="508" customFormat="false" ht="15" hidden="false" customHeight="false" outlineLevel="0" collapsed="false">
      <c r="A508" s="25" t="s">
        <v>8830</v>
      </c>
      <c r="B508" s="25" t="s">
        <v>8392</v>
      </c>
      <c r="C508" s="25" t="s">
        <v>8393</v>
      </c>
      <c r="D508" s="25" t="n">
        <v>9</v>
      </c>
      <c r="E508" s="25" t="s">
        <v>8394</v>
      </c>
      <c r="F508" s="25" t="s">
        <v>8395</v>
      </c>
      <c r="G508" s="25" t="s">
        <v>8398</v>
      </c>
      <c r="H508" s="25"/>
      <c r="I508" s="25" t="s">
        <v>8831</v>
      </c>
      <c r="J508" s="25" t="s">
        <v>3261</v>
      </c>
      <c r="K508" s="25" t="n">
        <v>0</v>
      </c>
      <c r="L508" s="25" t="str">
        <f aca="false">IF(K508&gt;0,"Yes","No")</f>
        <v>No</v>
      </c>
    </row>
    <row r="509" customFormat="false" ht="15" hidden="false" customHeight="false" outlineLevel="0" collapsed="false">
      <c r="A509" s="25" t="s">
        <v>8832</v>
      </c>
      <c r="B509" s="25" t="s">
        <v>8419</v>
      </c>
      <c r="C509" s="25" t="s">
        <v>8393</v>
      </c>
      <c r="D509" s="25" t="n">
        <v>9</v>
      </c>
      <c r="E509" s="25" t="s">
        <v>8394</v>
      </c>
      <c r="F509" s="25" t="s">
        <v>8395</v>
      </c>
      <c r="G509" s="25" t="s">
        <v>8400</v>
      </c>
      <c r="H509" s="25"/>
      <c r="I509" s="25" t="s">
        <v>8833</v>
      </c>
      <c r="J509" s="25" t="s">
        <v>5640</v>
      </c>
      <c r="K509" s="25" t="n">
        <v>0</v>
      </c>
      <c r="L509" s="25" t="str">
        <f aca="false">IF(K509&gt;0,"Yes","No")</f>
        <v>No</v>
      </c>
    </row>
    <row r="510" customFormat="false" ht="15" hidden="false" customHeight="false" outlineLevel="0" collapsed="false">
      <c r="A510" s="25" t="s">
        <v>8834</v>
      </c>
      <c r="B510" s="25" t="s">
        <v>8419</v>
      </c>
      <c r="C510" s="25" t="s">
        <v>8393</v>
      </c>
      <c r="D510" s="25" t="n">
        <v>9</v>
      </c>
      <c r="E510" s="25" t="s">
        <v>8394</v>
      </c>
      <c r="F510" s="25" t="s">
        <v>8395</v>
      </c>
      <c r="G510" s="25" t="s">
        <v>8400</v>
      </c>
      <c r="H510" s="25"/>
      <c r="I510" s="25" t="s">
        <v>8835</v>
      </c>
      <c r="J510" s="25" t="s">
        <v>5640</v>
      </c>
      <c r="K510" s="25" t="n">
        <v>0</v>
      </c>
      <c r="L510" s="25" t="str">
        <f aca="false">IF(K510&gt;0,"Yes","No")</f>
        <v>No</v>
      </c>
    </row>
    <row r="511" customFormat="false" ht="15" hidden="false" customHeight="false" outlineLevel="0" collapsed="false">
      <c r="A511" s="25" t="s">
        <v>8836</v>
      </c>
      <c r="B511" s="25" t="s">
        <v>8392</v>
      </c>
      <c r="C511" s="25" t="s">
        <v>8393</v>
      </c>
      <c r="D511" s="25" t="n">
        <v>9</v>
      </c>
      <c r="E511" s="25" t="s">
        <v>8394</v>
      </c>
      <c r="F511" s="25" t="s">
        <v>8395</v>
      </c>
      <c r="G511" s="25" t="s">
        <v>8398</v>
      </c>
      <c r="H511" s="25"/>
      <c r="I511" s="25" t="s">
        <v>8837</v>
      </c>
      <c r="J511" s="25" t="s">
        <v>8838</v>
      </c>
      <c r="K511" s="25" t="n">
        <v>0</v>
      </c>
      <c r="L511" s="25" t="str">
        <f aca="false">IF(K511&gt;0,"Yes","No")</f>
        <v>No</v>
      </c>
    </row>
    <row r="512" customFormat="false" ht="15" hidden="false" customHeight="false" outlineLevel="0" collapsed="false">
      <c r="A512" s="25" t="s">
        <v>8839</v>
      </c>
      <c r="B512" s="25" t="s">
        <v>8392</v>
      </c>
      <c r="C512" s="25" t="s">
        <v>8393</v>
      </c>
      <c r="D512" s="25" t="n">
        <v>9</v>
      </c>
      <c r="E512" s="25" t="s">
        <v>8394</v>
      </c>
      <c r="F512" s="25" t="s">
        <v>8395</v>
      </c>
      <c r="G512" s="25" t="s">
        <v>8396</v>
      </c>
      <c r="H512" s="25" t="s">
        <v>8409</v>
      </c>
      <c r="I512" s="25" t="s">
        <v>8840</v>
      </c>
      <c r="J512" s="25" t="s">
        <v>8841</v>
      </c>
      <c r="K512" s="25" t="n">
        <v>0</v>
      </c>
      <c r="L512" s="25" t="str">
        <f aca="false">IF(K512&gt;0,"Yes","No")</f>
        <v>No</v>
      </c>
    </row>
    <row r="513" customFormat="false" ht="15" hidden="false" customHeight="false" outlineLevel="0" collapsed="false">
      <c r="A513" s="25" t="s">
        <v>8842</v>
      </c>
      <c r="B513" s="25" t="s">
        <v>8419</v>
      </c>
      <c r="C513" s="25" t="s">
        <v>8393</v>
      </c>
      <c r="D513" s="25" t="n">
        <v>9</v>
      </c>
      <c r="E513" s="25" t="s">
        <v>8394</v>
      </c>
      <c r="F513" s="25" t="s">
        <v>8395</v>
      </c>
      <c r="G513" s="25" t="s">
        <v>8396</v>
      </c>
      <c r="H513" s="25" t="s">
        <v>8399</v>
      </c>
      <c r="I513" s="25" t="s">
        <v>8843</v>
      </c>
      <c r="J513" s="25" t="s">
        <v>2806</v>
      </c>
      <c r="K513" s="25" t="n">
        <v>0</v>
      </c>
      <c r="L513" s="25" t="str">
        <f aca="false">IF(K513&gt;0,"Yes","No")</f>
        <v>No</v>
      </c>
    </row>
    <row r="514" customFormat="false" ht="15" hidden="false" customHeight="false" outlineLevel="0" collapsed="false">
      <c r="A514" s="25" t="s">
        <v>8844</v>
      </c>
      <c r="B514" s="25" t="s">
        <v>8419</v>
      </c>
      <c r="C514" s="25" t="s">
        <v>8393</v>
      </c>
      <c r="D514" s="25" t="n">
        <v>9</v>
      </c>
      <c r="E514" s="25" t="s">
        <v>8394</v>
      </c>
      <c r="F514" s="25" t="s">
        <v>8395</v>
      </c>
      <c r="G514" s="25" t="s">
        <v>8396</v>
      </c>
      <c r="H514" s="25" t="s">
        <v>8399</v>
      </c>
      <c r="I514" s="25" t="s">
        <v>8845</v>
      </c>
      <c r="J514" s="25" t="s">
        <v>2806</v>
      </c>
      <c r="K514" s="25" t="n">
        <v>0</v>
      </c>
      <c r="L514" s="25" t="str">
        <f aca="false">IF(K514&gt;0,"Yes","No")</f>
        <v>No</v>
      </c>
    </row>
    <row r="515" customFormat="false" ht="15" hidden="false" customHeight="false" outlineLevel="0" collapsed="false">
      <c r="A515" s="25" t="s">
        <v>8846</v>
      </c>
      <c r="B515" s="25" t="s">
        <v>8392</v>
      </c>
      <c r="C515" s="25" t="s">
        <v>8393</v>
      </c>
      <c r="D515" s="25" t="n">
        <v>9</v>
      </c>
      <c r="E515" s="25" t="s">
        <v>8394</v>
      </c>
      <c r="F515" s="25" t="s">
        <v>8395</v>
      </c>
      <c r="G515" s="25" t="s">
        <v>8396</v>
      </c>
      <c r="H515" s="25" t="s">
        <v>8399</v>
      </c>
      <c r="I515" s="25" t="s">
        <v>8847</v>
      </c>
      <c r="J515" s="25" t="s">
        <v>2806</v>
      </c>
      <c r="K515" s="25" t="n">
        <v>0</v>
      </c>
      <c r="L515" s="25" t="str">
        <f aca="false">IF(K515&gt;0,"Yes","No")</f>
        <v>No</v>
      </c>
    </row>
    <row r="516" customFormat="false" ht="15" hidden="false" customHeight="false" outlineLevel="0" collapsed="false">
      <c r="A516" s="25" t="s">
        <v>8848</v>
      </c>
      <c r="B516" s="25" t="s">
        <v>8392</v>
      </c>
      <c r="C516" s="25" t="s">
        <v>8393</v>
      </c>
      <c r="D516" s="25" t="n">
        <v>9</v>
      </c>
      <c r="E516" s="25" t="s">
        <v>8394</v>
      </c>
      <c r="F516" s="25" t="s">
        <v>8395</v>
      </c>
      <c r="G516" s="25" t="s">
        <v>8396</v>
      </c>
      <c r="H516" s="25" t="s">
        <v>8403</v>
      </c>
      <c r="I516" s="25" t="s">
        <v>8849</v>
      </c>
      <c r="J516" s="25" t="s">
        <v>8850</v>
      </c>
      <c r="K516" s="25" t="n">
        <v>0</v>
      </c>
      <c r="L516" s="25" t="str">
        <f aca="false">IF(K516&gt;0,"Yes","No")</f>
        <v>No</v>
      </c>
    </row>
    <row r="517" customFormat="false" ht="15" hidden="false" customHeight="false" outlineLevel="0" collapsed="false">
      <c r="A517" s="25" t="s">
        <v>8851</v>
      </c>
      <c r="B517" s="25" t="s">
        <v>8419</v>
      </c>
      <c r="C517" s="25" t="s">
        <v>8393</v>
      </c>
      <c r="D517" s="25" t="n">
        <v>9</v>
      </c>
      <c r="E517" s="25" t="s">
        <v>8394</v>
      </c>
      <c r="F517" s="25" t="s">
        <v>8395</v>
      </c>
      <c r="G517" s="25" t="s">
        <v>8396</v>
      </c>
      <c r="H517" s="25" t="s">
        <v>8399</v>
      </c>
      <c r="I517" s="25" t="s">
        <v>8852</v>
      </c>
      <c r="J517" s="25" t="s">
        <v>2532</v>
      </c>
      <c r="K517" s="25" t="n">
        <v>0</v>
      </c>
      <c r="L517" s="25" t="str">
        <f aca="false">IF(K517&gt;0,"Yes","No")</f>
        <v>No</v>
      </c>
    </row>
    <row r="518" customFormat="false" ht="15" hidden="false" customHeight="false" outlineLevel="0" collapsed="false">
      <c r="A518" s="25" t="s">
        <v>8853</v>
      </c>
      <c r="B518" s="25" t="s">
        <v>8419</v>
      </c>
      <c r="C518" s="25" t="s">
        <v>8393</v>
      </c>
      <c r="D518" s="25" t="n">
        <v>9</v>
      </c>
      <c r="E518" s="25" t="s">
        <v>8394</v>
      </c>
      <c r="F518" s="25" t="s">
        <v>8395</v>
      </c>
      <c r="G518" s="25" t="s">
        <v>8396</v>
      </c>
      <c r="H518" s="25" t="s">
        <v>8399</v>
      </c>
      <c r="I518" s="25" t="s">
        <v>8854</v>
      </c>
      <c r="J518" s="25" t="s">
        <v>346</v>
      </c>
      <c r="K518" s="25" t="n">
        <v>0</v>
      </c>
      <c r="L518" s="25" t="str">
        <f aca="false">IF(K518&gt;0,"Yes","No")</f>
        <v>No</v>
      </c>
    </row>
    <row r="519" customFormat="false" ht="15" hidden="false" customHeight="false" outlineLevel="0" collapsed="false">
      <c r="A519" s="25" t="s">
        <v>8855</v>
      </c>
      <c r="B519" s="25" t="s">
        <v>8419</v>
      </c>
      <c r="C519" s="25" t="s">
        <v>8393</v>
      </c>
      <c r="D519" s="25" t="n">
        <v>9</v>
      </c>
      <c r="E519" s="25" t="s">
        <v>8394</v>
      </c>
      <c r="F519" s="25" t="s">
        <v>8395</v>
      </c>
      <c r="G519" s="25" t="s">
        <v>8396</v>
      </c>
      <c r="H519" s="25" t="s">
        <v>8399</v>
      </c>
      <c r="I519" s="25" t="s">
        <v>8856</v>
      </c>
      <c r="J519" s="25" t="s">
        <v>346</v>
      </c>
      <c r="K519" s="25" t="n">
        <v>0</v>
      </c>
      <c r="L519" s="25" t="str">
        <f aca="false">IF(K519&gt;0,"Yes","No")</f>
        <v>No</v>
      </c>
    </row>
    <row r="520" customFormat="false" ht="15" hidden="false" customHeight="false" outlineLevel="0" collapsed="false">
      <c r="A520" s="25" t="s">
        <v>8857</v>
      </c>
      <c r="B520" s="25" t="s">
        <v>8419</v>
      </c>
      <c r="C520" s="25" t="s">
        <v>8393</v>
      </c>
      <c r="D520" s="25" t="n">
        <v>9</v>
      </c>
      <c r="E520" s="25" t="s">
        <v>8394</v>
      </c>
      <c r="F520" s="25" t="s">
        <v>8395</v>
      </c>
      <c r="G520" s="25" t="s">
        <v>8396</v>
      </c>
      <c r="H520" s="25" t="s">
        <v>8399</v>
      </c>
      <c r="I520" s="25" t="s">
        <v>8858</v>
      </c>
      <c r="J520" s="25" t="s">
        <v>346</v>
      </c>
      <c r="K520" s="25" t="n">
        <v>0</v>
      </c>
      <c r="L520" s="25" t="str">
        <f aca="false">IF(K520&gt;0,"Yes","No")</f>
        <v>No</v>
      </c>
    </row>
    <row r="521" customFormat="false" ht="15" hidden="false" customHeight="false" outlineLevel="0" collapsed="false">
      <c r="A521" s="25" t="s">
        <v>8859</v>
      </c>
      <c r="B521" s="25" t="s">
        <v>8419</v>
      </c>
      <c r="C521" s="25" t="s">
        <v>8393</v>
      </c>
      <c r="D521" s="25" t="n">
        <v>9</v>
      </c>
      <c r="E521" s="25" t="s">
        <v>8394</v>
      </c>
      <c r="F521" s="25" t="s">
        <v>8395</v>
      </c>
      <c r="G521" s="25" t="s">
        <v>8396</v>
      </c>
      <c r="H521" s="25" t="s">
        <v>8399</v>
      </c>
      <c r="I521" s="25" t="s">
        <v>8860</v>
      </c>
      <c r="J521" s="25" t="s">
        <v>346</v>
      </c>
      <c r="K521" s="25" t="n">
        <v>0</v>
      </c>
      <c r="L521" s="25" t="str">
        <f aca="false">IF(K521&gt;0,"Yes","No")</f>
        <v>No</v>
      </c>
    </row>
    <row r="522" customFormat="false" ht="15" hidden="false" customHeight="false" outlineLevel="0" collapsed="false">
      <c r="A522" s="25" t="s">
        <v>8861</v>
      </c>
      <c r="B522" s="25" t="s">
        <v>8419</v>
      </c>
      <c r="C522" s="25" t="s">
        <v>8393</v>
      </c>
      <c r="D522" s="25" t="n">
        <v>9</v>
      </c>
      <c r="E522" s="25" t="s">
        <v>8394</v>
      </c>
      <c r="F522" s="25" t="s">
        <v>8395</v>
      </c>
      <c r="G522" s="25" t="s">
        <v>8396</v>
      </c>
      <c r="H522" s="25" t="s">
        <v>8399</v>
      </c>
      <c r="I522" s="25" t="s">
        <v>8862</v>
      </c>
      <c r="J522" s="25" t="s">
        <v>346</v>
      </c>
      <c r="K522" s="25" t="n">
        <v>0</v>
      </c>
      <c r="L522" s="25" t="str">
        <f aca="false">IF(K522&gt;0,"Yes","No")</f>
        <v>No</v>
      </c>
    </row>
    <row r="523" customFormat="false" ht="15" hidden="false" customHeight="false" outlineLevel="0" collapsed="false">
      <c r="A523" s="25" t="s">
        <v>8863</v>
      </c>
      <c r="B523" s="25" t="s">
        <v>8419</v>
      </c>
      <c r="C523" s="25" t="s">
        <v>8393</v>
      </c>
      <c r="D523" s="25" t="n">
        <v>9</v>
      </c>
      <c r="E523" s="25" t="s">
        <v>8394</v>
      </c>
      <c r="F523" s="25" t="s">
        <v>8395</v>
      </c>
      <c r="G523" s="25" t="s">
        <v>8396</v>
      </c>
      <c r="H523" s="25" t="s">
        <v>8399</v>
      </c>
      <c r="I523" s="25" t="s">
        <v>8864</v>
      </c>
      <c r="J523" s="25" t="s">
        <v>346</v>
      </c>
      <c r="K523" s="25" t="n">
        <v>0</v>
      </c>
      <c r="L523" s="25" t="str">
        <f aca="false">IF(K523&gt;0,"Yes","No")</f>
        <v>No</v>
      </c>
    </row>
    <row r="524" customFormat="false" ht="15" hidden="false" customHeight="false" outlineLevel="0" collapsed="false">
      <c r="A524" s="25" t="s">
        <v>8865</v>
      </c>
      <c r="B524" s="25" t="s">
        <v>8419</v>
      </c>
      <c r="C524" s="25" t="s">
        <v>8393</v>
      </c>
      <c r="D524" s="25" t="n">
        <v>9</v>
      </c>
      <c r="E524" s="25" t="s">
        <v>8394</v>
      </c>
      <c r="F524" s="25" t="s">
        <v>8395</v>
      </c>
      <c r="G524" s="25" t="s">
        <v>8396</v>
      </c>
      <c r="H524" s="25" t="s">
        <v>8399</v>
      </c>
      <c r="I524" s="25" t="s">
        <v>8866</v>
      </c>
      <c r="J524" s="25" t="s">
        <v>509</v>
      </c>
      <c r="K524" s="25" t="n">
        <v>0</v>
      </c>
      <c r="L524" s="25" t="str">
        <f aca="false">IF(K524&gt;0,"Yes","No")</f>
        <v>No</v>
      </c>
    </row>
    <row r="525" customFormat="false" ht="15" hidden="false" customHeight="false" outlineLevel="0" collapsed="false">
      <c r="A525" s="25" t="s">
        <v>8867</v>
      </c>
      <c r="B525" s="25" t="s">
        <v>8419</v>
      </c>
      <c r="C525" s="25" t="s">
        <v>8393</v>
      </c>
      <c r="D525" s="25" t="n">
        <v>9</v>
      </c>
      <c r="E525" s="25" t="s">
        <v>8394</v>
      </c>
      <c r="F525" s="25" t="s">
        <v>8395</v>
      </c>
      <c r="G525" s="25" t="s">
        <v>8396</v>
      </c>
      <c r="H525" s="25" t="s">
        <v>8399</v>
      </c>
      <c r="I525" s="25" t="s">
        <v>8868</v>
      </c>
      <c r="J525" s="25" t="s">
        <v>509</v>
      </c>
      <c r="K525" s="25" t="n">
        <v>0</v>
      </c>
      <c r="L525" s="25" t="str">
        <f aca="false">IF(K525&gt;0,"Yes","No")</f>
        <v>No</v>
      </c>
    </row>
    <row r="526" customFormat="false" ht="15" hidden="false" customHeight="false" outlineLevel="0" collapsed="false">
      <c r="A526" s="25" t="s">
        <v>8869</v>
      </c>
      <c r="B526" s="25" t="s">
        <v>8392</v>
      </c>
      <c r="C526" s="25" t="s">
        <v>8393</v>
      </c>
      <c r="D526" s="25" t="n">
        <v>9</v>
      </c>
      <c r="E526" s="25" t="s">
        <v>8394</v>
      </c>
      <c r="F526" s="25" t="s">
        <v>8395</v>
      </c>
      <c r="G526" s="25" t="s">
        <v>8400</v>
      </c>
      <c r="H526" s="25"/>
      <c r="I526" s="25" t="s">
        <v>8870</v>
      </c>
      <c r="J526" s="25" t="s">
        <v>1352</v>
      </c>
      <c r="K526" s="25" t="n">
        <v>0</v>
      </c>
      <c r="L526" s="25" t="str">
        <f aca="false">IF(K526&gt;0,"Yes","No")</f>
        <v>No</v>
      </c>
    </row>
    <row r="527" customFormat="false" ht="15" hidden="false" customHeight="false" outlineLevel="0" collapsed="false">
      <c r="A527" s="25" t="s">
        <v>8871</v>
      </c>
      <c r="B527" s="25" t="s">
        <v>8392</v>
      </c>
      <c r="C527" s="25" t="s">
        <v>8393</v>
      </c>
      <c r="D527" s="25" t="n">
        <v>9</v>
      </c>
      <c r="E527" s="25" t="s">
        <v>8394</v>
      </c>
      <c r="F527" s="25" t="s">
        <v>8395</v>
      </c>
      <c r="G527" s="25" t="s">
        <v>8398</v>
      </c>
      <c r="H527" s="25"/>
      <c r="I527" s="25" t="s">
        <v>8872</v>
      </c>
      <c r="J527" s="25" t="s">
        <v>1352</v>
      </c>
      <c r="K527" s="25" t="n">
        <v>0</v>
      </c>
      <c r="L527" s="25" t="str">
        <f aca="false">IF(K527&gt;0,"Yes","No")</f>
        <v>No</v>
      </c>
    </row>
    <row r="528" customFormat="false" ht="15" hidden="false" customHeight="false" outlineLevel="0" collapsed="false">
      <c r="A528" s="25" t="s">
        <v>8873</v>
      </c>
      <c r="B528" s="25" t="s">
        <v>8419</v>
      </c>
      <c r="C528" s="25" t="s">
        <v>8393</v>
      </c>
      <c r="D528" s="25" t="n">
        <v>9</v>
      </c>
      <c r="E528" s="25" t="s">
        <v>8394</v>
      </c>
      <c r="F528" s="25" t="s">
        <v>8395</v>
      </c>
      <c r="G528" s="25" t="s">
        <v>8398</v>
      </c>
      <c r="H528" s="25"/>
      <c r="I528" s="25" t="s">
        <v>8874</v>
      </c>
      <c r="J528" s="25" t="s">
        <v>1352</v>
      </c>
      <c r="K528" s="25" t="n">
        <v>0</v>
      </c>
      <c r="L528" s="25" t="str">
        <f aca="false">IF(K528&gt;0,"Yes","No")</f>
        <v>No</v>
      </c>
    </row>
    <row r="529" customFormat="false" ht="15" hidden="false" customHeight="false" outlineLevel="0" collapsed="false">
      <c r="A529" s="25" t="s">
        <v>8875</v>
      </c>
      <c r="B529" s="25" t="s">
        <v>8392</v>
      </c>
      <c r="C529" s="25" t="s">
        <v>8393</v>
      </c>
      <c r="D529" s="25" t="n">
        <v>9</v>
      </c>
      <c r="E529" s="25" t="s">
        <v>8394</v>
      </c>
      <c r="F529" s="25" t="s">
        <v>8395</v>
      </c>
      <c r="G529" s="25" t="s">
        <v>8398</v>
      </c>
      <c r="H529" s="25"/>
      <c r="I529" s="25" t="s">
        <v>1359</v>
      </c>
      <c r="J529" s="25" t="s">
        <v>5621</v>
      </c>
      <c r="K529" s="25" t="n">
        <v>0</v>
      </c>
      <c r="L529" s="25" t="str">
        <f aca="false">IF(K529&gt;0,"Yes","No")</f>
        <v>No</v>
      </c>
    </row>
    <row r="530" customFormat="false" ht="15" hidden="false" customHeight="false" outlineLevel="0" collapsed="false">
      <c r="A530" s="25" t="s">
        <v>8876</v>
      </c>
      <c r="B530" s="25" t="s">
        <v>8419</v>
      </c>
      <c r="C530" s="25" t="s">
        <v>8393</v>
      </c>
      <c r="D530" s="25" t="n">
        <v>9</v>
      </c>
      <c r="E530" s="25" t="s">
        <v>8394</v>
      </c>
      <c r="F530" s="25" t="s">
        <v>8395</v>
      </c>
      <c r="G530" s="25" t="s">
        <v>8396</v>
      </c>
      <c r="H530" s="25" t="s">
        <v>8399</v>
      </c>
      <c r="I530" s="25" t="s">
        <v>8877</v>
      </c>
      <c r="J530" s="25" t="s">
        <v>2797</v>
      </c>
      <c r="K530" s="25" t="n">
        <v>0</v>
      </c>
      <c r="L530" s="25" t="str">
        <f aca="false">IF(K530&gt;0,"Yes","No")</f>
        <v>No</v>
      </c>
    </row>
    <row r="531" customFormat="false" ht="15" hidden="false" customHeight="false" outlineLevel="0" collapsed="false">
      <c r="A531" s="25" t="s">
        <v>8878</v>
      </c>
      <c r="B531" s="25" t="s">
        <v>8392</v>
      </c>
      <c r="C531" s="25" t="s">
        <v>8393</v>
      </c>
      <c r="D531" s="25" t="n">
        <v>9</v>
      </c>
      <c r="E531" s="25" t="s">
        <v>8394</v>
      </c>
      <c r="F531" s="25" t="s">
        <v>8395</v>
      </c>
      <c r="G531" s="25" t="s">
        <v>8396</v>
      </c>
      <c r="H531" s="25" t="s">
        <v>8397</v>
      </c>
      <c r="I531" s="25" t="s">
        <v>8879</v>
      </c>
      <c r="J531" s="25" t="s">
        <v>8880</v>
      </c>
      <c r="K531" s="25" t="n">
        <v>0</v>
      </c>
      <c r="L531" s="25" t="str">
        <f aca="false">IF(K531&gt;0,"Yes","No")</f>
        <v>No</v>
      </c>
    </row>
    <row r="532" customFormat="false" ht="15" hidden="false" customHeight="false" outlineLevel="0" collapsed="false">
      <c r="A532" s="25" t="s">
        <v>8881</v>
      </c>
      <c r="B532" s="25" t="s">
        <v>8419</v>
      </c>
      <c r="C532" s="25" t="s">
        <v>8393</v>
      </c>
      <c r="D532" s="25" t="n">
        <v>9</v>
      </c>
      <c r="E532" s="25" t="s">
        <v>8394</v>
      </c>
      <c r="F532" s="25" t="s">
        <v>8395</v>
      </c>
      <c r="G532" s="25" t="s">
        <v>8396</v>
      </c>
      <c r="H532" s="25" t="s">
        <v>8399</v>
      </c>
      <c r="I532" s="25" t="s">
        <v>8882</v>
      </c>
      <c r="J532" s="25" t="s">
        <v>8883</v>
      </c>
      <c r="K532" s="25" t="n">
        <v>0</v>
      </c>
      <c r="L532" s="25" t="str">
        <f aca="false">IF(K532&gt;0,"Yes","No")</f>
        <v>No</v>
      </c>
    </row>
    <row r="533" customFormat="false" ht="15" hidden="false" customHeight="false" outlineLevel="0" collapsed="false">
      <c r="A533" s="25" t="s">
        <v>8884</v>
      </c>
      <c r="B533" s="25" t="s">
        <v>8419</v>
      </c>
      <c r="C533" s="25" t="s">
        <v>8393</v>
      </c>
      <c r="D533" s="25" t="n">
        <v>9</v>
      </c>
      <c r="E533" s="25" t="s">
        <v>8394</v>
      </c>
      <c r="F533" s="25" t="s">
        <v>8395</v>
      </c>
      <c r="G533" s="25" t="s">
        <v>8396</v>
      </c>
      <c r="H533" s="25" t="s">
        <v>8399</v>
      </c>
      <c r="I533" s="25" t="s">
        <v>8885</v>
      </c>
      <c r="J533" s="25" t="s">
        <v>8883</v>
      </c>
      <c r="K533" s="25" t="n">
        <v>0</v>
      </c>
      <c r="L533" s="25" t="str">
        <f aca="false">IF(K533&gt;0,"Yes","No")</f>
        <v>No</v>
      </c>
    </row>
    <row r="534" customFormat="false" ht="15" hidden="false" customHeight="false" outlineLevel="0" collapsed="false">
      <c r="A534" s="25" t="s">
        <v>8886</v>
      </c>
      <c r="B534" s="25" t="s">
        <v>8419</v>
      </c>
      <c r="C534" s="25" t="s">
        <v>8393</v>
      </c>
      <c r="D534" s="25" t="n">
        <v>9</v>
      </c>
      <c r="E534" s="25" t="s">
        <v>8394</v>
      </c>
      <c r="F534" s="25" t="s">
        <v>8395</v>
      </c>
      <c r="G534" s="25" t="s">
        <v>8396</v>
      </c>
      <c r="H534" s="25" t="s">
        <v>8399</v>
      </c>
      <c r="I534" s="25" t="s">
        <v>8887</v>
      </c>
      <c r="J534" s="25" t="s">
        <v>3590</v>
      </c>
      <c r="K534" s="25" t="n">
        <v>0</v>
      </c>
      <c r="L534" s="25" t="str">
        <f aca="false">IF(K534&gt;0,"Yes","No")</f>
        <v>No</v>
      </c>
    </row>
    <row r="535" customFormat="false" ht="15" hidden="false" customHeight="false" outlineLevel="0" collapsed="false">
      <c r="A535" s="25" t="s">
        <v>8888</v>
      </c>
      <c r="B535" s="25" t="s">
        <v>8419</v>
      </c>
      <c r="C535" s="25" t="s">
        <v>8393</v>
      </c>
      <c r="D535" s="25" t="n">
        <v>9</v>
      </c>
      <c r="E535" s="25" t="s">
        <v>8394</v>
      </c>
      <c r="F535" s="25" t="s">
        <v>8395</v>
      </c>
      <c r="G535" s="25" t="s">
        <v>8396</v>
      </c>
      <c r="H535" s="25" t="s">
        <v>8399</v>
      </c>
      <c r="I535" s="25" t="s">
        <v>8889</v>
      </c>
      <c r="J535" s="25" t="s">
        <v>3590</v>
      </c>
      <c r="K535" s="25" t="n">
        <v>0</v>
      </c>
      <c r="L535" s="25" t="str">
        <f aca="false">IF(K535&gt;0,"Yes","No")</f>
        <v>No</v>
      </c>
    </row>
    <row r="536" customFormat="false" ht="15" hidden="false" customHeight="false" outlineLevel="0" collapsed="false">
      <c r="A536" s="25" t="s">
        <v>8890</v>
      </c>
      <c r="B536" s="25" t="s">
        <v>8419</v>
      </c>
      <c r="C536" s="25" t="s">
        <v>8393</v>
      </c>
      <c r="D536" s="25" t="n">
        <v>9</v>
      </c>
      <c r="E536" s="25" t="s">
        <v>8394</v>
      </c>
      <c r="F536" s="25" t="s">
        <v>8395</v>
      </c>
      <c r="G536" s="25" t="s">
        <v>8396</v>
      </c>
      <c r="H536" s="25" t="s">
        <v>8399</v>
      </c>
      <c r="I536" s="25" t="s">
        <v>8891</v>
      </c>
      <c r="J536" s="25" t="s">
        <v>3590</v>
      </c>
      <c r="K536" s="25" t="n">
        <v>0</v>
      </c>
      <c r="L536" s="25" t="str">
        <f aca="false">IF(K536&gt;0,"Yes","No")</f>
        <v>No</v>
      </c>
    </row>
    <row r="537" customFormat="false" ht="15" hidden="false" customHeight="false" outlineLevel="0" collapsed="false">
      <c r="A537" s="25" t="s">
        <v>8892</v>
      </c>
      <c r="B537" s="25" t="s">
        <v>8419</v>
      </c>
      <c r="C537" s="25" t="s">
        <v>8393</v>
      </c>
      <c r="D537" s="25" t="n">
        <v>9</v>
      </c>
      <c r="E537" s="25" t="s">
        <v>8394</v>
      </c>
      <c r="F537" s="25" t="s">
        <v>8395</v>
      </c>
      <c r="G537" s="25" t="s">
        <v>8396</v>
      </c>
      <c r="H537" s="25" t="s">
        <v>8399</v>
      </c>
      <c r="I537" s="25" t="s">
        <v>8893</v>
      </c>
      <c r="J537" s="25" t="s">
        <v>3590</v>
      </c>
      <c r="K537" s="25" t="n">
        <v>0</v>
      </c>
      <c r="L537" s="25" t="str">
        <f aca="false">IF(K537&gt;0,"Yes","No")</f>
        <v>No</v>
      </c>
    </row>
    <row r="538" customFormat="false" ht="15" hidden="false" customHeight="false" outlineLevel="0" collapsed="false">
      <c r="A538" s="25" t="s">
        <v>8894</v>
      </c>
      <c r="B538" s="25" t="s">
        <v>8392</v>
      </c>
      <c r="C538" s="25" t="s">
        <v>8393</v>
      </c>
      <c r="D538" s="25" t="n">
        <v>9</v>
      </c>
      <c r="E538" s="25" t="s">
        <v>8394</v>
      </c>
      <c r="F538" s="25" t="s">
        <v>8395</v>
      </c>
      <c r="G538" s="25" t="s">
        <v>8398</v>
      </c>
      <c r="H538" s="25"/>
      <c r="I538" s="25" t="s">
        <v>8895</v>
      </c>
      <c r="J538" s="25" t="s">
        <v>8896</v>
      </c>
      <c r="K538" s="25" t="n">
        <v>0</v>
      </c>
      <c r="L538" s="25" t="str">
        <f aca="false">IF(K538&gt;0,"Yes","No")</f>
        <v>No</v>
      </c>
    </row>
    <row r="539" customFormat="false" ht="15" hidden="false" customHeight="false" outlineLevel="0" collapsed="false">
      <c r="A539" s="25" t="s">
        <v>8897</v>
      </c>
      <c r="B539" s="25" t="s">
        <v>8419</v>
      </c>
      <c r="C539" s="25" t="s">
        <v>8393</v>
      </c>
      <c r="D539" s="25" t="n">
        <v>9</v>
      </c>
      <c r="E539" s="25" t="s">
        <v>8394</v>
      </c>
      <c r="F539" s="25" t="s">
        <v>8395</v>
      </c>
      <c r="G539" s="25" t="s">
        <v>8396</v>
      </c>
      <c r="H539" s="25" t="s">
        <v>8403</v>
      </c>
      <c r="I539" s="25" t="s">
        <v>8898</v>
      </c>
      <c r="J539" s="25" t="s">
        <v>3102</v>
      </c>
      <c r="K539" s="25" t="n">
        <v>0</v>
      </c>
      <c r="L539" s="25" t="str">
        <f aca="false">IF(K539&gt;0,"Yes","No")</f>
        <v>No</v>
      </c>
    </row>
    <row r="540" customFormat="false" ht="15" hidden="false" customHeight="false" outlineLevel="0" collapsed="false">
      <c r="A540" s="25" t="s">
        <v>8899</v>
      </c>
      <c r="B540" s="25" t="s">
        <v>8419</v>
      </c>
      <c r="C540" s="25" t="s">
        <v>8393</v>
      </c>
      <c r="D540" s="25" t="n">
        <v>9</v>
      </c>
      <c r="E540" s="25" t="s">
        <v>8394</v>
      </c>
      <c r="F540" s="25" t="s">
        <v>8395</v>
      </c>
      <c r="G540" s="25" t="s">
        <v>8396</v>
      </c>
      <c r="H540" s="25" t="s">
        <v>8403</v>
      </c>
      <c r="I540" s="25" t="s">
        <v>8900</v>
      </c>
      <c r="J540" s="25" t="s">
        <v>3102</v>
      </c>
      <c r="K540" s="25" t="n">
        <v>0</v>
      </c>
      <c r="L540" s="25" t="str">
        <f aca="false">IF(K540&gt;0,"Yes","No")</f>
        <v>No</v>
      </c>
    </row>
    <row r="541" customFormat="false" ht="15" hidden="false" customHeight="false" outlineLevel="0" collapsed="false">
      <c r="A541" s="25" t="s">
        <v>8901</v>
      </c>
      <c r="B541" s="25" t="s">
        <v>8419</v>
      </c>
      <c r="C541" s="25" t="s">
        <v>8393</v>
      </c>
      <c r="D541" s="25" t="n">
        <v>9</v>
      </c>
      <c r="E541" s="25" t="s">
        <v>8394</v>
      </c>
      <c r="F541" s="25" t="s">
        <v>8395</v>
      </c>
      <c r="G541" s="25" t="s">
        <v>8396</v>
      </c>
      <c r="H541" s="25" t="s">
        <v>8403</v>
      </c>
      <c r="I541" s="25" t="s">
        <v>8902</v>
      </c>
      <c r="J541" s="25" t="s">
        <v>3102</v>
      </c>
      <c r="K541" s="25" t="n">
        <v>0</v>
      </c>
      <c r="L541" s="25" t="str">
        <f aca="false">IF(K541&gt;0,"Yes","No")</f>
        <v>No</v>
      </c>
    </row>
    <row r="542" customFormat="false" ht="15" hidden="false" customHeight="false" outlineLevel="0" collapsed="false">
      <c r="A542" s="25" t="s">
        <v>8903</v>
      </c>
      <c r="B542" s="25" t="s">
        <v>8392</v>
      </c>
      <c r="C542" s="25" t="s">
        <v>8393</v>
      </c>
      <c r="D542" s="25" t="n">
        <v>9</v>
      </c>
      <c r="E542" s="25" t="s">
        <v>8394</v>
      </c>
      <c r="F542" s="25" t="s">
        <v>8395</v>
      </c>
      <c r="G542" s="25" t="s">
        <v>8396</v>
      </c>
      <c r="H542" s="25" t="s">
        <v>8403</v>
      </c>
      <c r="I542" s="25" t="s">
        <v>8904</v>
      </c>
      <c r="J542" s="25" t="s">
        <v>3102</v>
      </c>
      <c r="K542" s="25" t="n">
        <v>0</v>
      </c>
      <c r="L542" s="25" t="str">
        <f aca="false">IF(K542&gt;0,"Yes","No")</f>
        <v>No</v>
      </c>
    </row>
    <row r="543" customFormat="false" ht="15" hidden="false" customHeight="false" outlineLevel="0" collapsed="false">
      <c r="A543" s="25" t="s">
        <v>8905</v>
      </c>
      <c r="B543" s="25" t="s">
        <v>8392</v>
      </c>
      <c r="C543" s="25" t="s">
        <v>8393</v>
      </c>
      <c r="D543" s="25" t="n">
        <v>9</v>
      </c>
      <c r="E543" s="25" t="s">
        <v>8394</v>
      </c>
      <c r="F543" s="25" t="s">
        <v>8395</v>
      </c>
      <c r="G543" s="25" t="s">
        <v>8398</v>
      </c>
      <c r="H543" s="25"/>
      <c r="I543" s="25" t="s">
        <v>458</v>
      </c>
      <c r="J543" s="25" t="s">
        <v>8906</v>
      </c>
      <c r="K543" s="25" t="n">
        <v>0</v>
      </c>
      <c r="L543" s="25" t="str">
        <f aca="false">IF(K543&gt;0,"Yes","No")</f>
        <v>No</v>
      </c>
    </row>
    <row r="544" customFormat="false" ht="15" hidden="false" customHeight="false" outlineLevel="0" collapsed="false">
      <c r="A544" s="25" t="s">
        <v>8907</v>
      </c>
      <c r="B544" s="25" t="s">
        <v>8419</v>
      </c>
      <c r="C544" s="25" t="s">
        <v>8393</v>
      </c>
      <c r="D544" s="25" t="n">
        <v>9</v>
      </c>
      <c r="E544" s="25" t="s">
        <v>8394</v>
      </c>
      <c r="F544" s="25" t="s">
        <v>8395</v>
      </c>
      <c r="G544" s="25" t="s">
        <v>8396</v>
      </c>
      <c r="H544" s="25" t="s">
        <v>8399</v>
      </c>
      <c r="I544" s="25" t="s">
        <v>8908</v>
      </c>
      <c r="J544" s="25" t="s">
        <v>1056</v>
      </c>
      <c r="K544" s="25" t="n">
        <v>0</v>
      </c>
      <c r="L544" s="25" t="str">
        <f aca="false">IF(K544&gt;0,"Yes","No")</f>
        <v>No</v>
      </c>
    </row>
    <row r="545" customFormat="false" ht="15" hidden="false" customHeight="false" outlineLevel="0" collapsed="false">
      <c r="A545" s="25" t="s">
        <v>8909</v>
      </c>
      <c r="B545" s="25" t="s">
        <v>8419</v>
      </c>
      <c r="C545" s="25" t="s">
        <v>8393</v>
      </c>
      <c r="D545" s="25" t="n">
        <v>9</v>
      </c>
      <c r="E545" s="25" t="s">
        <v>8394</v>
      </c>
      <c r="F545" s="25" t="s">
        <v>8395</v>
      </c>
      <c r="G545" s="25" t="s">
        <v>8396</v>
      </c>
      <c r="H545" s="25" t="s">
        <v>8399</v>
      </c>
      <c r="I545" s="25" t="s">
        <v>8910</v>
      </c>
      <c r="J545" s="25" t="s">
        <v>1056</v>
      </c>
      <c r="K545" s="25" t="n">
        <v>0</v>
      </c>
      <c r="L545" s="25" t="str">
        <f aca="false">IF(K545&gt;0,"Yes","No")</f>
        <v>No</v>
      </c>
    </row>
    <row r="546" customFormat="false" ht="15" hidden="false" customHeight="false" outlineLevel="0" collapsed="false">
      <c r="A546" s="25" t="s">
        <v>8911</v>
      </c>
      <c r="B546" s="25" t="s">
        <v>8419</v>
      </c>
      <c r="C546" s="25" t="s">
        <v>8393</v>
      </c>
      <c r="D546" s="25" t="n">
        <v>9</v>
      </c>
      <c r="E546" s="25" t="s">
        <v>8394</v>
      </c>
      <c r="F546" s="25" t="s">
        <v>8395</v>
      </c>
      <c r="G546" s="25" t="s">
        <v>8396</v>
      </c>
      <c r="H546" s="25" t="s">
        <v>8399</v>
      </c>
      <c r="I546" s="25" t="s">
        <v>8912</v>
      </c>
      <c r="J546" s="25" t="s">
        <v>1056</v>
      </c>
      <c r="K546" s="25" t="n">
        <v>0</v>
      </c>
      <c r="L546" s="25" t="str">
        <f aca="false">IF(K546&gt;0,"Yes","No")</f>
        <v>No</v>
      </c>
    </row>
    <row r="547" customFormat="false" ht="15" hidden="false" customHeight="false" outlineLevel="0" collapsed="false">
      <c r="A547" s="25" t="s">
        <v>8913</v>
      </c>
      <c r="B547" s="25" t="s">
        <v>8419</v>
      </c>
      <c r="C547" s="25" t="s">
        <v>8393</v>
      </c>
      <c r="D547" s="25" t="n">
        <v>9</v>
      </c>
      <c r="E547" s="25" t="s">
        <v>8394</v>
      </c>
      <c r="F547" s="25" t="s">
        <v>8395</v>
      </c>
      <c r="G547" s="25" t="s">
        <v>8396</v>
      </c>
      <c r="H547" s="25" t="s">
        <v>8399</v>
      </c>
      <c r="I547" s="25" t="s">
        <v>8914</v>
      </c>
      <c r="J547" s="25" t="s">
        <v>1056</v>
      </c>
      <c r="K547" s="25" t="n">
        <v>0</v>
      </c>
      <c r="L547" s="25" t="str">
        <f aca="false">IF(K547&gt;0,"Yes","No")</f>
        <v>No</v>
      </c>
    </row>
    <row r="548" customFormat="false" ht="15" hidden="false" customHeight="false" outlineLevel="0" collapsed="false">
      <c r="A548" s="25" t="s">
        <v>8915</v>
      </c>
      <c r="B548" s="25" t="s">
        <v>8392</v>
      </c>
      <c r="C548" s="25" t="s">
        <v>8393</v>
      </c>
      <c r="D548" s="25" t="n">
        <v>9</v>
      </c>
      <c r="E548" s="25" t="s">
        <v>8394</v>
      </c>
      <c r="F548" s="25" t="s">
        <v>8395</v>
      </c>
      <c r="G548" s="25" t="s">
        <v>8398</v>
      </c>
      <c r="H548" s="25"/>
      <c r="I548" s="25" t="s">
        <v>8916</v>
      </c>
      <c r="J548" s="25" t="s">
        <v>8917</v>
      </c>
      <c r="K548" s="25" t="n">
        <v>0</v>
      </c>
      <c r="L548" s="25" t="str">
        <f aca="false">IF(K548&gt;0,"Yes","No")</f>
        <v>No</v>
      </c>
    </row>
    <row r="549" customFormat="false" ht="15" hidden="false" customHeight="false" outlineLevel="0" collapsed="false">
      <c r="A549" s="25" t="s">
        <v>8918</v>
      </c>
      <c r="B549" s="25" t="s">
        <v>8392</v>
      </c>
      <c r="C549" s="25" t="s">
        <v>8393</v>
      </c>
      <c r="D549" s="25" t="n">
        <v>9</v>
      </c>
      <c r="E549" s="25" t="s">
        <v>8394</v>
      </c>
      <c r="F549" s="25" t="s">
        <v>8395</v>
      </c>
      <c r="G549" s="25" t="s">
        <v>8396</v>
      </c>
      <c r="H549" s="25" t="s">
        <v>8397</v>
      </c>
      <c r="I549" s="25" t="s">
        <v>8919</v>
      </c>
      <c r="J549" s="25" t="s">
        <v>8920</v>
      </c>
      <c r="K549" s="25" t="n">
        <v>0</v>
      </c>
      <c r="L549" s="25" t="str">
        <f aca="false">IF(K549&gt;0,"Yes","No")</f>
        <v>No</v>
      </c>
    </row>
    <row r="550" customFormat="false" ht="15" hidden="false" customHeight="false" outlineLevel="0" collapsed="false">
      <c r="A550" s="25" t="s">
        <v>8921</v>
      </c>
      <c r="B550" s="25" t="s">
        <v>8392</v>
      </c>
      <c r="C550" s="25" t="s">
        <v>8393</v>
      </c>
      <c r="D550" s="25" t="n">
        <v>9</v>
      </c>
      <c r="E550" s="25" t="s">
        <v>8394</v>
      </c>
      <c r="F550" s="25" t="s">
        <v>8395</v>
      </c>
      <c r="G550" s="25" t="s">
        <v>8398</v>
      </c>
      <c r="H550" s="25"/>
      <c r="I550" s="25" t="s">
        <v>8922</v>
      </c>
      <c r="J550" s="25" t="s">
        <v>8923</v>
      </c>
      <c r="K550" s="25" t="n">
        <v>0</v>
      </c>
      <c r="L550" s="25" t="str">
        <f aca="false">IF(K550&gt;0,"Yes","No")</f>
        <v>No</v>
      </c>
    </row>
    <row r="551" customFormat="false" ht="15" hidden="false" customHeight="false" outlineLevel="0" collapsed="false">
      <c r="A551" s="25" t="s">
        <v>8924</v>
      </c>
      <c r="B551" s="25" t="s">
        <v>8419</v>
      </c>
      <c r="C551" s="25" t="s">
        <v>8393</v>
      </c>
      <c r="D551" s="25" t="n">
        <v>9</v>
      </c>
      <c r="E551" s="25" t="s">
        <v>8394</v>
      </c>
      <c r="F551" s="25" t="s">
        <v>8395</v>
      </c>
      <c r="G551" s="25" t="s">
        <v>8402</v>
      </c>
      <c r="H551" s="25"/>
      <c r="I551" s="25" t="s">
        <v>8925</v>
      </c>
      <c r="J551" s="25" t="s">
        <v>2693</v>
      </c>
      <c r="K551" s="25" t="n">
        <v>0</v>
      </c>
      <c r="L551" s="25" t="str">
        <f aca="false">IF(K551&gt;0,"Yes","No")</f>
        <v>No</v>
      </c>
    </row>
    <row r="552" customFormat="false" ht="15" hidden="false" customHeight="false" outlineLevel="0" collapsed="false">
      <c r="A552" s="25" t="s">
        <v>8926</v>
      </c>
      <c r="B552" s="25" t="s">
        <v>8419</v>
      </c>
      <c r="C552" s="25" t="s">
        <v>8393</v>
      </c>
      <c r="D552" s="25" t="n">
        <v>9</v>
      </c>
      <c r="E552" s="25" t="s">
        <v>8394</v>
      </c>
      <c r="F552" s="25" t="s">
        <v>8395</v>
      </c>
      <c r="G552" s="25" t="s">
        <v>8402</v>
      </c>
      <c r="H552" s="25"/>
      <c r="I552" s="25" t="s">
        <v>8927</v>
      </c>
      <c r="J552" s="25" t="s">
        <v>2693</v>
      </c>
      <c r="K552" s="25" t="n">
        <v>0</v>
      </c>
      <c r="L552" s="25" t="str">
        <f aca="false">IF(K552&gt;0,"Yes","No")</f>
        <v>No</v>
      </c>
    </row>
    <row r="553" customFormat="false" ht="15" hidden="false" customHeight="false" outlineLevel="0" collapsed="false">
      <c r="A553" s="25" t="s">
        <v>8928</v>
      </c>
      <c r="B553" s="25" t="s">
        <v>8392</v>
      </c>
      <c r="C553" s="25" t="s">
        <v>8393</v>
      </c>
      <c r="D553" s="25" t="n">
        <v>9</v>
      </c>
      <c r="E553" s="25" t="s">
        <v>8394</v>
      </c>
      <c r="F553" s="25" t="s">
        <v>8395</v>
      </c>
      <c r="G553" s="25" t="s">
        <v>8402</v>
      </c>
      <c r="H553" s="25"/>
      <c r="I553" s="25" t="s">
        <v>8929</v>
      </c>
      <c r="J553" s="25" t="s">
        <v>2693</v>
      </c>
      <c r="K553" s="25" t="n">
        <v>0</v>
      </c>
      <c r="L553" s="25" t="str">
        <f aca="false">IF(K553&gt;0,"Yes","No")</f>
        <v>No</v>
      </c>
    </row>
    <row r="554" customFormat="false" ht="15" hidden="false" customHeight="false" outlineLevel="0" collapsed="false">
      <c r="A554" s="25" t="s">
        <v>8930</v>
      </c>
      <c r="B554" s="25" t="s">
        <v>8419</v>
      </c>
      <c r="C554" s="25" t="s">
        <v>8393</v>
      </c>
      <c r="D554" s="25" t="n">
        <v>9</v>
      </c>
      <c r="E554" s="25" t="s">
        <v>8394</v>
      </c>
      <c r="F554" s="25" t="s">
        <v>8395</v>
      </c>
      <c r="G554" s="25" t="s">
        <v>8396</v>
      </c>
      <c r="H554" s="25" t="s">
        <v>8397</v>
      </c>
      <c r="I554" s="25" t="s">
        <v>8931</v>
      </c>
      <c r="J554" s="25" t="s">
        <v>6749</v>
      </c>
      <c r="K554" s="25" t="n">
        <v>0</v>
      </c>
      <c r="L554" s="25" t="str">
        <f aca="false">IF(K554&gt;0,"Yes","No")</f>
        <v>No</v>
      </c>
    </row>
    <row r="555" customFormat="false" ht="15" hidden="false" customHeight="false" outlineLevel="0" collapsed="false">
      <c r="A555" s="25" t="s">
        <v>8932</v>
      </c>
      <c r="B555" s="25" t="s">
        <v>8419</v>
      </c>
      <c r="C555" s="25" t="s">
        <v>8393</v>
      </c>
      <c r="D555" s="25" t="n">
        <v>9</v>
      </c>
      <c r="E555" s="25" t="s">
        <v>8394</v>
      </c>
      <c r="F555" s="25" t="s">
        <v>8395</v>
      </c>
      <c r="G555" s="25" t="s">
        <v>8396</v>
      </c>
      <c r="H555" s="25" t="s">
        <v>8397</v>
      </c>
      <c r="I555" s="25" t="s">
        <v>8933</v>
      </c>
      <c r="J555" s="25" t="s">
        <v>6749</v>
      </c>
      <c r="K555" s="25" t="n">
        <v>0</v>
      </c>
      <c r="L555" s="25" t="str">
        <f aca="false">IF(K555&gt;0,"Yes","No")</f>
        <v>No</v>
      </c>
    </row>
    <row r="556" customFormat="false" ht="15" hidden="false" customHeight="false" outlineLevel="0" collapsed="false">
      <c r="A556" s="25" t="s">
        <v>8375</v>
      </c>
      <c r="B556" s="25" t="s">
        <v>8392</v>
      </c>
      <c r="C556" s="25" t="s">
        <v>8393</v>
      </c>
      <c r="D556" s="25" t="n">
        <v>9</v>
      </c>
      <c r="E556" s="25" t="s">
        <v>8394</v>
      </c>
      <c r="F556" s="25" t="s">
        <v>8395</v>
      </c>
      <c r="G556" s="25" t="s">
        <v>8396</v>
      </c>
      <c r="H556" s="25" t="s">
        <v>8399</v>
      </c>
      <c r="I556" s="25" t="s">
        <v>8376</v>
      </c>
      <c r="J556" s="25" t="s">
        <v>6749</v>
      </c>
      <c r="K556" s="25" t="n">
        <v>0</v>
      </c>
      <c r="L556" s="25" t="str">
        <f aca="false">IF(K556&gt;0,"Yes","No")</f>
        <v>No</v>
      </c>
    </row>
    <row r="557" customFormat="false" ht="15" hidden="false" customHeight="false" outlineLevel="0" collapsed="false">
      <c r="A557" s="25" t="s">
        <v>8934</v>
      </c>
      <c r="B557" s="25" t="s">
        <v>8392</v>
      </c>
      <c r="C557" s="25" t="s">
        <v>8393</v>
      </c>
      <c r="D557" s="25" t="n">
        <v>9</v>
      </c>
      <c r="E557" s="25" t="s">
        <v>8394</v>
      </c>
      <c r="F557" s="25" t="s">
        <v>8395</v>
      </c>
      <c r="G557" s="25" t="s">
        <v>8398</v>
      </c>
      <c r="H557" s="25"/>
      <c r="I557" s="25" t="s">
        <v>8935</v>
      </c>
      <c r="J557" s="25" t="s">
        <v>8936</v>
      </c>
      <c r="K557" s="25" t="n">
        <v>0</v>
      </c>
      <c r="L557" s="25" t="str">
        <f aca="false">IF(K557&gt;0,"Yes","No")</f>
        <v>No</v>
      </c>
    </row>
    <row r="558" customFormat="false" ht="15" hidden="false" customHeight="false" outlineLevel="0" collapsed="false">
      <c r="A558" s="25" t="s">
        <v>8937</v>
      </c>
      <c r="B558" s="25" t="s">
        <v>8419</v>
      </c>
      <c r="C558" s="25" t="s">
        <v>8393</v>
      </c>
      <c r="D558" s="25" t="n">
        <v>9</v>
      </c>
      <c r="E558" s="25" t="s">
        <v>8394</v>
      </c>
      <c r="F558" s="25" t="s">
        <v>8395</v>
      </c>
      <c r="G558" s="25" t="s">
        <v>8396</v>
      </c>
      <c r="H558" s="25" t="s">
        <v>8399</v>
      </c>
      <c r="I558" s="25" t="s">
        <v>8938</v>
      </c>
      <c r="J558" s="25" t="s">
        <v>758</v>
      </c>
      <c r="K558" s="25" t="n">
        <v>0</v>
      </c>
      <c r="L558" s="25" t="str">
        <f aca="false">IF(K558&gt;0,"Yes","No")</f>
        <v>No</v>
      </c>
    </row>
    <row r="559" customFormat="false" ht="15" hidden="false" customHeight="false" outlineLevel="0" collapsed="false">
      <c r="A559" s="25" t="s">
        <v>8939</v>
      </c>
      <c r="B559" s="25" t="s">
        <v>8419</v>
      </c>
      <c r="C559" s="25" t="s">
        <v>8393</v>
      </c>
      <c r="D559" s="25" t="n">
        <v>9</v>
      </c>
      <c r="E559" s="25" t="s">
        <v>8394</v>
      </c>
      <c r="F559" s="25" t="s">
        <v>8395</v>
      </c>
      <c r="G559" s="25" t="s">
        <v>8396</v>
      </c>
      <c r="H559" s="25" t="s">
        <v>8399</v>
      </c>
      <c r="I559" s="25" t="s">
        <v>8940</v>
      </c>
      <c r="J559" s="25" t="s">
        <v>758</v>
      </c>
      <c r="K559" s="25" t="n">
        <v>0</v>
      </c>
      <c r="L559" s="25" t="str">
        <f aca="false">IF(K559&gt;0,"Yes","No")</f>
        <v>No</v>
      </c>
    </row>
    <row r="560" customFormat="false" ht="15" hidden="false" customHeight="false" outlineLevel="0" collapsed="false">
      <c r="A560" s="25" t="s">
        <v>8941</v>
      </c>
      <c r="B560" s="25" t="s">
        <v>8419</v>
      </c>
      <c r="C560" s="25" t="s">
        <v>8393</v>
      </c>
      <c r="D560" s="25" t="n">
        <v>9</v>
      </c>
      <c r="E560" s="25" t="s">
        <v>8394</v>
      </c>
      <c r="F560" s="25" t="s">
        <v>8395</v>
      </c>
      <c r="G560" s="25" t="s">
        <v>8396</v>
      </c>
      <c r="H560" s="25" t="s">
        <v>8399</v>
      </c>
      <c r="I560" s="25" t="s">
        <v>8942</v>
      </c>
      <c r="J560" s="25" t="s">
        <v>758</v>
      </c>
      <c r="K560" s="25" t="n">
        <v>0</v>
      </c>
      <c r="L560" s="25" t="str">
        <f aca="false">IF(K560&gt;0,"Yes","No")</f>
        <v>No</v>
      </c>
    </row>
    <row r="561" customFormat="false" ht="15" hidden="false" customHeight="false" outlineLevel="0" collapsed="false">
      <c r="A561" s="25" t="s">
        <v>8943</v>
      </c>
      <c r="B561" s="25" t="s">
        <v>8419</v>
      </c>
      <c r="C561" s="25" t="s">
        <v>8393</v>
      </c>
      <c r="D561" s="25" t="n">
        <v>9</v>
      </c>
      <c r="E561" s="25" t="s">
        <v>8394</v>
      </c>
      <c r="F561" s="25" t="s">
        <v>8395</v>
      </c>
      <c r="G561" s="25" t="s">
        <v>8396</v>
      </c>
      <c r="H561" s="25" t="s">
        <v>8399</v>
      </c>
      <c r="I561" s="25" t="s">
        <v>8944</v>
      </c>
      <c r="J561" s="25" t="s">
        <v>758</v>
      </c>
      <c r="K561" s="25" t="n">
        <v>0</v>
      </c>
      <c r="L561" s="25" t="str">
        <f aca="false">IF(K561&gt;0,"Yes","No")</f>
        <v>No</v>
      </c>
    </row>
    <row r="562" customFormat="false" ht="15" hidden="false" customHeight="false" outlineLevel="0" collapsed="false">
      <c r="A562" s="25" t="s">
        <v>8945</v>
      </c>
      <c r="B562" s="25" t="s">
        <v>8419</v>
      </c>
      <c r="C562" s="25" t="s">
        <v>8393</v>
      </c>
      <c r="D562" s="25" t="n">
        <v>9</v>
      </c>
      <c r="E562" s="25" t="s">
        <v>8394</v>
      </c>
      <c r="F562" s="25" t="s">
        <v>8395</v>
      </c>
      <c r="G562" s="25" t="s">
        <v>8396</v>
      </c>
      <c r="H562" s="25" t="s">
        <v>8399</v>
      </c>
      <c r="I562" s="25" t="s">
        <v>8946</v>
      </c>
      <c r="J562" s="25" t="s">
        <v>758</v>
      </c>
      <c r="K562" s="25" t="n">
        <v>0</v>
      </c>
      <c r="L562" s="25" t="str">
        <f aca="false">IF(K562&gt;0,"Yes","No")</f>
        <v>No</v>
      </c>
    </row>
    <row r="563" customFormat="false" ht="15" hidden="false" customHeight="false" outlineLevel="0" collapsed="false">
      <c r="A563" s="25" t="s">
        <v>8947</v>
      </c>
      <c r="B563" s="25" t="s">
        <v>8419</v>
      </c>
      <c r="C563" s="25" t="s">
        <v>8393</v>
      </c>
      <c r="D563" s="25" t="n">
        <v>9</v>
      </c>
      <c r="E563" s="25" t="s">
        <v>8394</v>
      </c>
      <c r="F563" s="25" t="s">
        <v>8395</v>
      </c>
      <c r="G563" s="25" t="s">
        <v>8396</v>
      </c>
      <c r="H563" s="25" t="s">
        <v>8399</v>
      </c>
      <c r="I563" s="25" t="s">
        <v>8948</v>
      </c>
      <c r="J563" s="25" t="s">
        <v>758</v>
      </c>
      <c r="K563" s="25" t="n">
        <v>0</v>
      </c>
      <c r="L563" s="25" t="str">
        <f aca="false">IF(K563&gt;0,"Yes","No")</f>
        <v>No</v>
      </c>
    </row>
    <row r="564" customFormat="false" ht="15" hidden="false" customHeight="false" outlineLevel="0" collapsed="false">
      <c r="A564" s="25" t="s">
        <v>8949</v>
      </c>
      <c r="B564" s="25" t="s">
        <v>8392</v>
      </c>
      <c r="C564" s="25" t="s">
        <v>8393</v>
      </c>
      <c r="D564" s="25" t="n">
        <v>9</v>
      </c>
      <c r="E564" s="25" t="s">
        <v>8394</v>
      </c>
      <c r="F564" s="25" t="s">
        <v>8395</v>
      </c>
      <c r="G564" s="25" t="s">
        <v>8396</v>
      </c>
      <c r="H564" s="25" t="s">
        <v>8397</v>
      </c>
      <c r="I564" s="25" t="s">
        <v>8950</v>
      </c>
      <c r="J564" s="25" t="s">
        <v>758</v>
      </c>
      <c r="K564" s="25" t="n">
        <v>0</v>
      </c>
      <c r="L564" s="25" t="str">
        <f aca="false">IF(K564&gt;0,"Yes","No")</f>
        <v>No</v>
      </c>
    </row>
    <row r="565" customFormat="false" ht="15" hidden="false" customHeight="false" outlineLevel="0" collapsed="false">
      <c r="A565" s="25" t="s">
        <v>8951</v>
      </c>
      <c r="B565" s="25" t="s">
        <v>8392</v>
      </c>
      <c r="C565" s="25" t="s">
        <v>8393</v>
      </c>
      <c r="D565" s="25" t="n">
        <v>9</v>
      </c>
      <c r="E565" s="25" t="s">
        <v>8394</v>
      </c>
      <c r="F565" s="25" t="s">
        <v>8395</v>
      </c>
      <c r="G565" s="25" t="s">
        <v>8396</v>
      </c>
      <c r="H565" s="25" t="s">
        <v>8397</v>
      </c>
      <c r="I565" s="25" t="s">
        <v>8952</v>
      </c>
      <c r="J565" s="25" t="s">
        <v>758</v>
      </c>
      <c r="K565" s="25" t="n">
        <v>0</v>
      </c>
      <c r="L565" s="25" t="str">
        <f aca="false">IF(K565&gt;0,"Yes","No")</f>
        <v>No</v>
      </c>
    </row>
    <row r="566" customFormat="false" ht="15" hidden="false" customHeight="false" outlineLevel="0" collapsed="false">
      <c r="A566" s="25" t="s">
        <v>8953</v>
      </c>
      <c r="B566" s="25" t="s">
        <v>8419</v>
      </c>
      <c r="C566" s="25" t="s">
        <v>8393</v>
      </c>
      <c r="D566" s="25" t="n">
        <v>9</v>
      </c>
      <c r="E566" s="25" t="s">
        <v>8394</v>
      </c>
      <c r="F566" s="25" t="s">
        <v>8395</v>
      </c>
      <c r="G566" s="25" t="s">
        <v>8396</v>
      </c>
      <c r="H566" s="25" t="s">
        <v>8399</v>
      </c>
      <c r="I566" s="25" t="s">
        <v>8954</v>
      </c>
      <c r="J566" s="25" t="s">
        <v>758</v>
      </c>
      <c r="K566" s="25" t="n">
        <v>0</v>
      </c>
      <c r="L566" s="25" t="str">
        <f aca="false">IF(K566&gt;0,"Yes","No")</f>
        <v>No</v>
      </c>
    </row>
    <row r="567" customFormat="false" ht="15" hidden="false" customHeight="false" outlineLevel="0" collapsed="false">
      <c r="A567" s="25" t="s">
        <v>8955</v>
      </c>
      <c r="B567" s="25" t="s">
        <v>8419</v>
      </c>
      <c r="C567" s="25" t="s">
        <v>8393</v>
      </c>
      <c r="D567" s="25" t="n">
        <v>9</v>
      </c>
      <c r="E567" s="25" t="s">
        <v>8394</v>
      </c>
      <c r="F567" s="25" t="s">
        <v>8395</v>
      </c>
      <c r="G567" s="25" t="s">
        <v>8396</v>
      </c>
      <c r="H567" s="25" t="s">
        <v>8399</v>
      </c>
      <c r="I567" s="25" t="s">
        <v>8956</v>
      </c>
      <c r="J567" s="25" t="s">
        <v>758</v>
      </c>
      <c r="K567" s="25" t="n">
        <v>0</v>
      </c>
      <c r="L567" s="25" t="str">
        <f aca="false">IF(K567&gt;0,"Yes","No")</f>
        <v>No</v>
      </c>
    </row>
    <row r="568" customFormat="false" ht="15" hidden="false" customHeight="false" outlineLevel="0" collapsed="false">
      <c r="A568" s="25" t="s">
        <v>8957</v>
      </c>
      <c r="B568" s="25" t="s">
        <v>8392</v>
      </c>
      <c r="C568" s="25" t="s">
        <v>8393</v>
      </c>
      <c r="D568" s="25" t="n">
        <v>9</v>
      </c>
      <c r="E568" s="25" t="s">
        <v>8394</v>
      </c>
      <c r="F568" s="25" t="s">
        <v>8395</v>
      </c>
      <c r="G568" s="25" t="s">
        <v>8398</v>
      </c>
      <c r="H568" s="25"/>
      <c r="I568" s="25" t="s">
        <v>8958</v>
      </c>
      <c r="J568" s="25" t="s">
        <v>8959</v>
      </c>
      <c r="K568" s="25" t="n">
        <v>0</v>
      </c>
      <c r="L568" s="25" t="str">
        <f aca="false">IF(K568&gt;0,"Yes","No")</f>
        <v>No</v>
      </c>
    </row>
    <row r="569" customFormat="false" ht="15" hidden="false" customHeight="false" outlineLevel="0" collapsed="false">
      <c r="A569" s="25" t="s">
        <v>8960</v>
      </c>
      <c r="B569" s="25" t="s">
        <v>8392</v>
      </c>
      <c r="C569" s="25" t="s">
        <v>8393</v>
      </c>
      <c r="D569" s="25" t="n">
        <v>9</v>
      </c>
      <c r="E569" s="25" t="s">
        <v>8394</v>
      </c>
      <c r="F569" s="25" t="s">
        <v>8395</v>
      </c>
      <c r="G569" s="25" t="s">
        <v>8398</v>
      </c>
      <c r="H569" s="25"/>
      <c r="I569" s="25" t="s">
        <v>8961</v>
      </c>
      <c r="J569" s="25" t="s">
        <v>8959</v>
      </c>
      <c r="K569" s="25" t="n">
        <v>0</v>
      </c>
      <c r="L569" s="25" t="str">
        <f aca="false">IF(K569&gt;0,"Yes","No")</f>
        <v>No</v>
      </c>
    </row>
    <row r="570" customFormat="false" ht="15" hidden="false" customHeight="false" outlineLevel="0" collapsed="false">
      <c r="A570" s="25" t="s">
        <v>8962</v>
      </c>
      <c r="B570" s="25" t="s">
        <v>8392</v>
      </c>
      <c r="C570" s="25" t="s">
        <v>8393</v>
      </c>
      <c r="D570" s="25" t="n">
        <v>9</v>
      </c>
      <c r="E570" s="25" t="s">
        <v>8394</v>
      </c>
      <c r="F570" s="25" t="s">
        <v>8395</v>
      </c>
      <c r="G570" s="25" t="s">
        <v>8398</v>
      </c>
      <c r="H570" s="25"/>
      <c r="I570" s="25" t="s">
        <v>8963</v>
      </c>
      <c r="J570" s="25" t="s">
        <v>8959</v>
      </c>
      <c r="K570" s="25" t="n">
        <v>0</v>
      </c>
      <c r="L570" s="25" t="str">
        <f aca="false">IF(K570&gt;0,"Yes","No")</f>
        <v>No</v>
      </c>
    </row>
    <row r="571" customFormat="false" ht="15" hidden="false" customHeight="false" outlineLevel="0" collapsed="false">
      <c r="A571" s="25" t="s">
        <v>8964</v>
      </c>
      <c r="B571" s="25" t="s">
        <v>8392</v>
      </c>
      <c r="C571" s="25" t="s">
        <v>8393</v>
      </c>
      <c r="D571" s="25" t="n">
        <v>9</v>
      </c>
      <c r="E571" s="25" t="s">
        <v>8394</v>
      </c>
      <c r="F571" s="25" t="s">
        <v>8395</v>
      </c>
      <c r="G571" s="25" t="s">
        <v>8396</v>
      </c>
      <c r="H571" s="25" t="s">
        <v>8399</v>
      </c>
      <c r="I571" s="25" t="s">
        <v>8965</v>
      </c>
      <c r="J571" s="25" t="s">
        <v>8959</v>
      </c>
      <c r="K571" s="25" t="n">
        <v>0</v>
      </c>
      <c r="L571" s="25" t="str">
        <f aca="false">IF(K571&gt;0,"Yes","No")</f>
        <v>No</v>
      </c>
    </row>
    <row r="572" customFormat="false" ht="15" hidden="false" customHeight="false" outlineLevel="0" collapsed="false">
      <c r="A572" s="25" t="s">
        <v>8966</v>
      </c>
      <c r="B572" s="25" t="s">
        <v>8392</v>
      </c>
      <c r="C572" s="25" t="s">
        <v>8393</v>
      </c>
      <c r="D572" s="25" t="n">
        <v>9</v>
      </c>
      <c r="E572" s="25" t="s">
        <v>8394</v>
      </c>
      <c r="F572" s="25" t="s">
        <v>8395</v>
      </c>
      <c r="G572" s="25" t="s">
        <v>8396</v>
      </c>
      <c r="H572" s="25" t="s">
        <v>8399</v>
      </c>
      <c r="I572" s="25" t="s">
        <v>8967</v>
      </c>
      <c r="J572" s="25" t="s">
        <v>8959</v>
      </c>
      <c r="K572" s="25" t="n">
        <v>0</v>
      </c>
      <c r="L572" s="25" t="str">
        <f aca="false">IF(K572&gt;0,"Yes","No")</f>
        <v>No</v>
      </c>
    </row>
    <row r="573" customFormat="false" ht="15" hidden="false" customHeight="false" outlineLevel="0" collapsed="false">
      <c r="A573" s="25" t="s">
        <v>8968</v>
      </c>
      <c r="B573" s="25" t="s">
        <v>8419</v>
      </c>
      <c r="C573" s="25" t="s">
        <v>8393</v>
      </c>
      <c r="D573" s="25" t="n">
        <v>9</v>
      </c>
      <c r="E573" s="25" t="s">
        <v>8394</v>
      </c>
      <c r="F573" s="25" t="s">
        <v>8395</v>
      </c>
      <c r="G573" s="25" t="s">
        <v>8396</v>
      </c>
      <c r="H573" s="25" t="s">
        <v>8399</v>
      </c>
      <c r="I573" s="25" t="s">
        <v>8969</v>
      </c>
      <c r="J573" s="25" t="s">
        <v>8970</v>
      </c>
      <c r="K573" s="25" t="n">
        <v>0</v>
      </c>
      <c r="L573" s="25" t="str">
        <f aca="false">IF(K573&gt;0,"Yes","No")</f>
        <v>No</v>
      </c>
    </row>
    <row r="574" customFormat="false" ht="15" hidden="false" customHeight="false" outlineLevel="0" collapsed="false">
      <c r="A574" s="25" t="s">
        <v>8971</v>
      </c>
      <c r="B574" s="25" t="s">
        <v>8419</v>
      </c>
      <c r="C574" s="25" t="s">
        <v>8393</v>
      </c>
      <c r="D574" s="25" t="n">
        <v>9</v>
      </c>
      <c r="E574" s="25" t="s">
        <v>8394</v>
      </c>
      <c r="F574" s="25" t="s">
        <v>8395</v>
      </c>
      <c r="G574" s="25" t="s">
        <v>8396</v>
      </c>
      <c r="H574" s="25" t="s">
        <v>8399</v>
      </c>
      <c r="I574" s="25" t="s">
        <v>8972</v>
      </c>
      <c r="J574" s="25" t="s">
        <v>4913</v>
      </c>
      <c r="K574" s="25" t="n">
        <v>0</v>
      </c>
      <c r="L574" s="25" t="str">
        <f aca="false">IF(K574&gt;0,"Yes","No")</f>
        <v>No</v>
      </c>
    </row>
    <row r="575" customFormat="false" ht="15" hidden="false" customHeight="false" outlineLevel="0" collapsed="false">
      <c r="A575" s="25" t="s">
        <v>8973</v>
      </c>
      <c r="B575" s="25" t="s">
        <v>8419</v>
      </c>
      <c r="C575" s="25" t="s">
        <v>8393</v>
      </c>
      <c r="D575" s="25" t="n">
        <v>9</v>
      </c>
      <c r="E575" s="25" t="s">
        <v>8394</v>
      </c>
      <c r="F575" s="25" t="s">
        <v>8395</v>
      </c>
      <c r="G575" s="25" t="s">
        <v>8396</v>
      </c>
      <c r="H575" s="25" t="s">
        <v>8399</v>
      </c>
      <c r="I575" s="25" t="s">
        <v>8974</v>
      </c>
      <c r="J575" s="25" t="s">
        <v>4913</v>
      </c>
      <c r="K575" s="25" t="n">
        <v>0</v>
      </c>
      <c r="L575" s="25" t="str">
        <f aca="false">IF(K575&gt;0,"Yes","No")</f>
        <v>No</v>
      </c>
    </row>
    <row r="576" customFormat="false" ht="15" hidden="false" customHeight="false" outlineLevel="0" collapsed="false">
      <c r="A576" s="25" t="s">
        <v>8975</v>
      </c>
      <c r="B576" s="25" t="s">
        <v>8392</v>
      </c>
      <c r="C576" s="25" t="s">
        <v>8393</v>
      </c>
      <c r="D576" s="25" t="n">
        <v>9</v>
      </c>
      <c r="E576" s="25" t="s">
        <v>8394</v>
      </c>
      <c r="F576" s="25" t="s">
        <v>8395</v>
      </c>
      <c r="G576" s="25" t="s">
        <v>8396</v>
      </c>
      <c r="H576" s="25" t="s">
        <v>8399</v>
      </c>
      <c r="I576" s="25" t="s">
        <v>8976</v>
      </c>
      <c r="J576" s="25" t="s">
        <v>4134</v>
      </c>
      <c r="K576" s="25" t="n">
        <v>0</v>
      </c>
      <c r="L576" s="25" t="str">
        <f aca="false">IF(K576&gt;0,"Yes","No")</f>
        <v>No</v>
      </c>
    </row>
    <row r="577" customFormat="false" ht="15" hidden="false" customHeight="false" outlineLevel="0" collapsed="false">
      <c r="A577" s="25" t="s">
        <v>8977</v>
      </c>
      <c r="B577" s="25" t="s">
        <v>8392</v>
      </c>
      <c r="C577" s="25" t="s">
        <v>8393</v>
      </c>
      <c r="D577" s="25" t="n">
        <v>9</v>
      </c>
      <c r="E577" s="25" t="s">
        <v>8394</v>
      </c>
      <c r="F577" s="25" t="s">
        <v>8395</v>
      </c>
      <c r="G577" s="25" t="s">
        <v>8398</v>
      </c>
      <c r="H577" s="25"/>
      <c r="I577" s="25" t="s">
        <v>8978</v>
      </c>
      <c r="J577" s="25" t="s">
        <v>8979</v>
      </c>
      <c r="K577" s="25" t="n">
        <v>0</v>
      </c>
      <c r="L577" s="25" t="str">
        <f aca="false">IF(K577&gt;0,"Yes","No")</f>
        <v>No</v>
      </c>
    </row>
    <row r="578" customFormat="false" ht="15" hidden="false" customHeight="false" outlineLevel="0" collapsed="false">
      <c r="A578" s="25" t="s">
        <v>8980</v>
      </c>
      <c r="B578" s="25" t="s">
        <v>8419</v>
      </c>
      <c r="C578" s="25" t="s">
        <v>8393</v>
      </c>
      <c r="D578" s="25" t="n">
        <v>9</v>
      </c>
      <c r="E578" s="25" t="s">
        <v>8394</v>
      </c>
      <c r="F578" s="25" t="s">
        <v>8395</v>
      </c>
      <c r="G578" s="25" t="s">
        <v>8396</v>
      </c>
      <c r="H578" s="25" t="s">
        <v>8981</v>
      </c>
      <c r="I578" s="25" t="s">
        <v>8982</v>
      </c>
      <c r="J578" s="25" t="s">
        <v>8983</v>
      </c>
      <c r="K578" s="25" t="n">
        <v>0</v>
      </c>
      <c r="L578" s="25" t="str">
        <f aca="false">IF(K578&gt;0,"Yes","No")</f>
        <v>No</v>
      </c>
    </row>
    <row r="579" customFormat="false" ht="15" hidden="false" customHeight="false" outlineLevel="0" collapsed="false">
      <c r="A579" s="25" t="s">
        <v>8984</v>
      </c>
      <c r="B579" s="25" t="s">
        <v>8392</v>
      </c>
      <c r="C579" s="25" t="s">
        <v>8393</v>
      </c>
      <c r="D579" s="25" t="n">
        <v>9</v>
      </c>
      <c r="E579" s="25" t="s">
        <v>8394</v>
      </c>
      <c r="F579" s="25" t="s">
        <v>8395</v>
      </c>
      <c r="G579" s="25" t="s">
        <v>8396</v>
      </c>
      <c r="H579" s="25" t="s">
        <v>8399</v>
      </c>
      <c r="I579" s="25" t="s">
        <v>8376</v>
      </c>
      <c r="J579" s="25" t="s">
        <v>8983</v>
      </c>
      <c r="K579" s="25" t="n">
        <v>0</v>
      </c>
      <c r="L579" s="25" t="str">
        <f aca="false">IF(K579&gt;0,"Yes","No")</f>
        <v>No</v>
      </c>
    </row>
    <row r="580" customFormat="false" ht="15" hidden="false" customHeight="false" outlineLevel="0" collapsed="false">
      <c r="A580" s="25" t="s">
        <v>8985</v>
      </c>
      <c r="B580" s="25" t="s">
        <v>8392</v>
      </c>
      <c r="C580" s="25" t="s">
        <v>8393</v>
      </c>
      <c r="D580" s="25" t="n">
        <v>9</v>
      </c>
      <c r="E580" s="25" t="s">
        <v>8394</v>
      </c>
      <c r="F580" s="25" t="s">
        <v>8395</v>
      </c>
      <c r="G580" s="25" t="s">
        <v>8398</v>
      </c>
      <c r="H580" s="25"/>
      <c r="I580" s="25" t="s">
        <v>515</v>
      </c>
      <c r="J580" s="25" t="s">
        <v>8983</v>
      </c>
      <c r="K580" s="25" t="n">
        <v>0</v>
      </c>
      <c r="L580" s="25" t="str">
        <f aca="false">IF(K580&gt;0,"Yes","No")</f>
        <v>No</v>
      </c>
    </row>
    <row r="581" customFormat="false" ht="15" hidden="false" customHeight="false" outlineLevel="0" collapsed="false">
      <c r="A581" s="25" t="s">
        <v>8986</v>
      </c>
      <c r="B581" s="25" t="s">
        <v>8392</v>
      </c>
      <c r="C581" s="25" t="s">
        <v>8393</v>
      </c>
      <c r="D581" s="25" t="n">
        <v>9</v>
      </c>
      <c r="E581" s="25" t="s">
        <v>8394</v>
      </c>
      <c r="F581" s="25" t="s">
        <v>8395</v>
      </c>
      <c r="G581" s="25" t="s">
        <v>8398</v>
      </c>
      <c r="H581" s="25"/>
      <c r="I581" s="25" t="s">
        <v>8987</v>
      </c>
      <c r="J581" s="25" t="s">
        <v>8988</v>
      </c>
      <c r="K581" s="25" t="n">
        <v>0</v>
      </c>
      <c r="L581" s="25" t="str">
        <f aca="false">IF(K581&gt;0,"Yes","No")</f>
        <v>No</v>
      </c>
    </row>
    <row r="582" customFormat="false" ht="15" hidden="false" customHeight="false" outlineLevel="0" collapsed="false">
      <c r="A582" s="25" t="s">
        <v>8989</v>
      </c>
      <c r="B582" s="25" t="s">
        <v>8419</v>
      </c>
      <c r="C582" s="25" t="s">
        <v>8393</v>
      </c>
      <c r="D582" s="25" t="n">
        <v>9</v>
      </c>
      <c r="E582" s="25" t="s">
        <v>8394</v>
      </c>
      <c r="F582" s="25" t="s">
        <v>8395</v>
      </c>
      <c r="G582" s="25" t="s">
        <v>8396</v>
      </c>
      <c r="H582" s="25" t="s">
        <v>8403</v>
      </c>
      <c r="I582" s="25" t="s">
        <v>8990</v>
      </c>
      <c r="J582" s="25" t="s">
        <v>8991</v>
      </c>
      <c r="K582" s="25" t="n">
        <v>0</v>
      </c>
      <c r="L582" s="25" t="str">
        <f aca="false">IF(K582&gt;0,"Yes","No")</f>
        <v>No</v>
      </c>
    </row>
    <row r="583" customFormat="false" ht="15" hidden="false" customHeight="false" outlineLevel="0" collapsed="false">
      <c r="A583" s="25" t="s">
        <v>8992</v>
      </c>
      <c r="B583" s="25" t="s">
        <v>8419</v>
      </c>
      <c r="C583" s="25" t="s">
        <v>8393</v>
      </c>
      <c r="D583" s="25" t="n">
        <v>9</v>
      </c>
      <c r="E583" s="25" t="s">
        <v>8394</v>
      </c>
      <c r="F583" s="25" t="s">
        <v>8395</v>
      </c>
      <c r="G583" s="25" t="s">
        <v>8396</v>
      </c>
      <c r="H583" s="25" t="s">
        <v>8403</v>
      </c>
      <c r="I583" s="25" t="s">
        <v>8993</v>
      </c>
      <c r="J583" s="25" t="s">
        <v>8991</v>
      </c>
      <c r="K583" s="25" t="n">
        <v>0</v>
      </c>
      <c r="L583" s="25" t="str">
        <f aca="false">IF(K583&gt;0,"Yes","No")</f>
        <v>No</v>
      </c>
    </row>
    <row r="584" customFormat="false" ht="15" hidden="false" customHeight="false" outlineLevel="0" collapsed="false">
      <c r="A584" s="25" t="s">
        <v>8994</v>
      </c>
      <c r="B584" s="25" t="s">
        <v>8419</v>
      </c>
      <c r="C584" s="25" t="s">
        <v>8393</v>
      </c>
      <c r="D584" s="25" t="n">
        <v>9</v>
      </c>
      <c r="E584" s="25" t="s">
        <v>8394</v>
      </c>
      <c r="F584" s="25" t="s">
        <v>8395</v>
      </c>
      <c r="G584" s="25" t="s">
        <v>8402</v>
      </c>
      <c r="H584" s="25"/>
      <c r="I584" s="25" t="s">
        <v>8995</v>
      </c>
      <c r="J584" s="25" t="s">
        <v>1718</v>
      </c>
      <c r="K584" s="25" t="n">
        <v>0</v>
      </c>
      <c r="L584" s="25" t="str">
        <f aca="false">IF(K584&gt;0,"Yes","No")</f>
        <v>No</v>
      </c>
    </row>
    <row r="585" customFormat="false" ht="15" hidden="false" customHeight="false" outlineLevel="0" collapsed="false">
      <c r="A585" s="25" t="s">
        <v>8996</v>
      </c>
      <c r="B585" s="25" t="s">
        <v>8419</v>
      </c>
      <c r="C585" s="25" t="s">
        <v>8393</v>
      </c>
      <c r="D585" s="25" t="n">
        <v>9</v>
      </c>
      <c r="E585" s="25" t="s">
        <v>8394</v>
      </c>
      <c r="F585" s="25" t="s">
        <v>8395</v>
      </c>
      <c r="G585" s="25" t="s">
        <v>8402</v>
      </c>
      <c r="H585" s="25"/>
      <c r="I585" s="25" t="s">
        <v>8997</v>
      </c>
      <c r="J585" s="25" t="s">
        <v>1718</v>
      </c>
      <c r="K585" s="25" t="n">
        <v>0</v>
      </c>
      <c r="L585" s="25" t="str">
        <f aca="false">IF(K585&gt;0,"Yes","No")</f>
        <v>No</v>
      </c>
    </row>
    <row r="586" customFormat="false" ht="15" hidden="false" customHeight="false" outlineLevel="0" collapsed="false">
      <c r="A586" s="25" t="s">
        <v>8998</v>
      </c>
      <c r="B586" s="25" t="s">
        <v>8419</v>
      </c>
      <c r="C586" s="25" t="s">
        <v>8393</v>
      </c>
      <c r="D586" s="25" t="n">
        <v>9</v>
      </c>
      <c r="E586" s="25" t="s">
        <v>8394</v>
      </c>
      <c r="F586" s="25" t="s">
        <v>8395</v>
      </c>
      <c r="G586" s="25" t="s">
        <v>8402</v>
      </c>
      <c r="H586" s="25"/>
      <c r="I586" s="25" t="s">
        <v>8999</v>
      </c>
      <c r="J586" s="25" t="s">
        <v>1718</v>
      </c>
      <c r="K586" s="25" t="n">
        <v>0</v>
      </c>
      <c r="L586" s="25" t="str">
        <f aca="false">IF(K586&gt;0,"Yes","No")</f>
        <v>No</v>
      </c>
    </row>
    <row r="587" customFormat="false" ht="15" hidden="false" customHeight="false" outlineLevel="0" collapsed="false">
      <c r="A587" s="25" t="s">
        <v>9000</v>
      </c>
      <c r="B587" s="25" t="s">
        <v>8419</v>
      </c>
      <c r="C587" s="25" t="s">
        <v>8393</v>
      </c>
      <c r="D587" s="25" t="n">
        <v>9</v>
      </c>
      <c r="E587" s="25" t="s">
        <v>8394</v>
      </c>
      <c r="F587" s="25" t="s">
        <v>8395</v>
      </c>
      <c r="G587" s="25" t="s">
        <v>8402</v>
      </c>
      <c r="H587" s="25"/>
      <c r="I587" s="25" t="s">
        <v>9001</v>
      </c>
      <c r="J587" s="25" t="s">
        <v>1718</v>
      </c>
      <c r="K587" s="25" t="n">
        <v>0</v>
      </c>
      <c r="L587" s="25" t="str">
        <f aca="false">IF(K587&gt;0,"Yes","No")</f>
        <v>No</v>
      </c>
    </row>
    <row r="588" customFormat="false" ht="15" hidden="false" customHeight="false" outlineLevel="0" collapsed="false">
      <c r="A588" s="25" t="s">
        <v>9002</v>
      </c>
      <c r="B588" s="25" t="s">
        <v>8419</v>
      </c>
      <c r="C588" s="25" t="s">
        <v>8393</v>
      </c>
      <c r="D588" s="25" t="n">
        <v>9</v>
      </c>
      <c r="E588" s="25" t="s">
        <v>8394</v>
      </c>
      <c r="F588" s="25" t="s">
        <v>8395</v>
      </c>
      <c r="G588" s="25" t="s">
        <v>8402</v>
      </c>
      <c r="H588" s="25"/>
      <c r="I588" s="25" t="s">
        <v>9003</v>
      </c>
      <c r="J588" s="25" t="s">
        <v>1718</v>
      </c>
      <c r="K588" s="25" t="n">
        <v>0</v>
      </c>
      <c r="L588" s="25" t="str">
        <f aca="false">IF(K588&gt;0,"Yes","No")</f>
        <v>No</v>
      </c>
    </row>
    <row r="589" customFormat="false" ht="15" hidden="false" customHeight="false" outlineLevel="0" collapsed="false">
      <c r="A589" s="25" t="s">
        <v>9004</v>
      </c>
      <c r="B589" s="25" t="s">
        <v>8419</v>
      </c>
      <c r="C589" s="25" t="s">
        <v>8393</v>
      </c>
      <c r="D589" s="25" t="n">
        <v>9</v>
      </c>
      <c r="E589" s="25" t="s">
        <v>8394</v>
      </c>
      <c r="F589" s="25" t="s">
        <v>8395</v>
      </c>
      <c r="G589" s="25" t="s">
        <v>8402</v>
      </c>
      <c r="H589" s="25"/>
      <c r="I589" s="25" t="s">
        <v>9005</v>
      </c>
      <c r="J589" s="25" t="s">
        <v>1718</v>
      </c>
      <c r="K589" s="25" t="n">
        <v>0</v>
      </c>
      <c r="L589" s="25" t="str">
        <f aca="false">IF(K589&gt;0,"Yes","No")</f>
        <v>No</v>
      </c>
    </row>
    <row r="590" customFormat="false" ht="15" hidden="false" customHeight="false" outlineLevel="0" collapsed="false">
      <c r="A590" s="25" t="s">
        <v>9006</v>
      </c>
      <c r="B590" s="25" t="s">
        <v>8419</v>
      </c>
      <c r="C590" s="25" t="s">
        <v>8393</v>
      </c>
      <c r="D590" s="25" t="n">
        <v>9</v>
      </c>
      <c r="E590" s="25" t="s">
        <v>8394</v>
      </c>
      <c r="F590" s="25" t="s">
        <v>8395</v>
      </c>
      <c r="G590" s="25" t="s">
        <v>8402</v>
      </c>
      <c r="H590" s="25"/>
      <c r="I590" s="25" t="s">
        <v>9007</v>
      </c>
      <c r="J590" s="25" t="s">
        <v>1718</v>
      </c>
      <c r="K590" s="25" t="n">
        <v>0</v>
      </c>
      <c r="L590" s="25" t="str">
        <f aca="false">IF(K590&gt;0,"Yes","No")</f>
        <v>No</v>
      </c>
    </row>
    <row r="591" customFormat="false" ht="15" hidden="false" customHeight="false" outlineLevel="0" collapsed="false">
      <c r="A591" s="25" t="s">
        <v>9008</v>
      </c>
      <c r="B591" s="25" t="s">
        <v>8419</v>
      </c>
      <c r="C591" s="25" t="s">
        <v>8393</v>
      </c>
      <c r="D591" s="25" t="n">
        <v>9</v>
      </c>
      <c r="E591" s="25" t="s">
        <v>8394</v>
      </c>
      <c r="F591" s="25" t="s">
        <v>8395</v>
      </c>
      <c r="G591" s="25" t="s">
        <v>8400</v>
      </c>
      <c r="H591" s="25"/>
      <c r="I591" s="25" t="s">
        <v>9009</v>
      </c>
      <c r="J591" s="25" t="s">
        <v>9010</v>
      </c>
      <c r="K591" s="25" t="n">
        <v>0</v>
      </c>
      <c r="L591" s="25" t="str">
        <f aca="false">IF(K591&gt;0,"Yes","No")</f>
        <v>No</v>
      </c>
    </row>
    <row r="592" customFormat="false" ht="15" hidden="false" customHeight="false" outlineLevel="0" collapsed="false">
      <c r="A592" s="25" t="s">
        <v>9011</v>
      </c>
      <c r="B592" s="25" t="s">
        <v>8419</v>
      </c>
      <c r="C592" s="25" t="s">
        <v>8393</v>
      </c>
      <c r="D592" s="25" t="n">
        <v>9</v>
      </c>
      <c r="E592" s="25" t="s">
        <v>8394</v>
      </c>
      <c r="F592" s="25" t="s">
        <v>8395</v>
      </c>
      <c r="G592" s="25" t="s">
        <v>8400</v>
      </c>
      <c r="H592" s="25"/>
      <c r="I592" s="25" t="s">
        <v>9012</v>
      </c>
      <c r="J592" s="25" t="s">
        <v>9010</v>
      </c>
      <c r="K592" s="25" t="n">
        <v>0</v>
      </c>
      <c r="L592" s="25" t="str">
        <f aca="false">IF(K592&gt;0,"Yes","No")</f>
        <v>No</v>
      </c>
    </row>
    <row r="593" customFormat="false" ht="15" hidden="false" customHeight="false" outlineLevel="0" collapsed="false">
      <c r="A593" s="25" t="s">
        <v>9013</v>
      </c>
      <c r="B593" s="25" t="s">
        <v>8392</v>
      </c>
      <c r="C593" s="25" t="s">
        <v>8393</v>
      </c>
      <c r="D593" s="25" t="n">
        <v>9</v>
      </c>
      <c r="E593" s="25" t="s">
        <v>8394</v>
      </c>
      <c r="F593" s="25" t="s">
        <v>8395</v>
      </c>
      <c r="G593" s="25" t="s">
        <v>8398</v>
      </c>
      <c r="H593" s="25"/>
      <c r="I593" s="25" t="s">
        <v>515</v>
      </c>
      <c r="J593" s="25" t="s">
        <v>9010</v>
      </c>
      <c r="K593" s="25" t="n">
        <v>0</v>
      </c>
      <c r="L593" s="25" t="str">
        <f aca="false">IF(K593&gt;0,"Yes","No")</f>
        <v>No</v>
      </c>
    </row>
    <row r="594" customFormat="false" ht="15" hidden="false" customHeight="false" outlineLevel="0" collapsed="false">
      <c r="A594" s="25" t="s">
        <v>9014</v>
      </c>
      <c r="B594" s="25" t="s">
        <v>8392</v>
      </c>
      <c r="C594" s="25" t="s">
        <v>8393</v>
      </c>
      <c r="D594" s="25" t="n">
        <v>9</v>
      </c>
      <c r="E594" s="25" t="s">
        <v>8394</v>
      </c>
      <c r="F594" s="25" t="s">
        <v>8395</v>
      </c>
      <c r="G594" s="25" t="s">
        <v>8398</v>
      </c>
      <c r="H594" s="25"/>
      <c r="I594" s="25" t="s">
        <v>9015</v>
      </c>
      <c r="J594" s="25" t="s">
        <v>9016</v>
      </c>
      <c r="K594" s="25" t="n">
        <v>0</v>
      </c>
      <c r="L594" s="25" t="str">
        <f aca="false">IF(K594&gt;0,"Yes","No")</f>
        <v>No</v>
      </c>
    </row>
    <row r="595" customFormat="false" ht="15" hidden="false" customHeight="false" outlineLevel="0" collapsed="false">
      <c r="A595" s="25" t="s">
        <v>9017</v>
      </c>
      <c r="B595" s="25" t="s">
        <v>8392</v>
      </c>
      <c r="C595" s="25" t="s">
        <v>8393</v>
      </c>
      <c r="D595" s="25" t="n">
        <v>9</v>
      </c>
      <c r="E595" s="25" t="s">
        <v>8394</v>
      </c>
      <c r="F595" s="25" t="s">
        <v>8395</v>
      </c>
      <c r="G595" s="25" t="s">
        <v>8398</v>
      </c>
      <c r="H595" s="25"/>
      <c r="I595" s="25" t="s">
        <v>9018</v>
      </c>
      <c r="J595" s="25" t="s">
        <v>9016</v>
      </c>
      <c r="K595" s="25" t="n">
        <v>0</v>
      </c>
      <c r="L595" s="25" t="str">
        <f aca="false">IF(K595&gt;0,"Yes","No")</f>
        <v>No</v>
      </c>
    </row>
    <row r="596" customFormat="false" ht="15" hidden="false" customHeight="false" outlineLevel="0" collapsed="false">
      <c r="A596" s="25" t="s">
        <v>9019</v>
      </c>
      <c r="B596" s="25" t="s">
        <v>8419</v>
      </c>
      <c r="C596" s="25" t="s">
        <v>8393</v>
      </c>
      <c r="D596" s="25" t="n">
        <v>9</v>
      </c>
      <c r="E596" s="25" t="s">
        <v>8394</v>
      </c>
      <c r="F596" s="25" t="s">
        <v>8395</v>
      </c>
      <c r="G596" s="25" t="s">
        <v>8396</v>
      </c>
      <c r="H596" s="25" t="s">
        <v>8399</v>
      </c>
      <c r="I596" s="25" t="s">
        <v>9020</v>
      </c>
      <c r="J596" s="25" t="s">
        <v>9016</v>
      </c>
      <c r="K596" s="25" t="n">
        <v>0</v>
      </c>
      <c r="L596" s="25" t="str">
        <f aca="false">IF(K596&gt;0,"Yes","No")</f>
        <v>No</v>
      </c>
    </row>
    <row r="597" customFormat="false" ht="15" hidden="false" customHeight="false" outlineLevel="0" collapsed="false">
      <c r="A597" s="25" t="s">
        <v>9021</v>
      </c>
      <c r="B597" s="25" t="s">
        <v>8419</v>
      </c>
      <c r="C597" s="25" t="s">
        <v>8393</v>
      </c>
      <c r="D597" s="25" t="n">
        <v>9</v>
      </c>
      <c r="E597" s="25" t="s">
        <v>8394</v>
      </c>
      <c r="F597" s="25" t="s">
        <v>8395</v>
      </c>
      <c r="G597" s="25" t="s">
        <v>8396</v>
      </c>
      <c r="H597" s="25" t="s">
        <v>8399</v>
      </c>
      <c r="I597" s="25" t="s">
        <v>9022</v>
      </c>
      <c r="J597" s="25" t="s">
        <v>9016</v>
      </c>
      <c r="K597" s="25" t="n">
        <v>0</v>
      </c>
      <c r="L597" s="25" t="str">
        <f aca="false">IF(K597&gt;0,"Yes","No")</f>
        <v>No</v>
      </c>
    </row>
    <row r="598" customFormat="false" ht="15" hidden="false" customHeight="false" outlineLevel="0" collapsed="false">
      <c r="A598" s="25" t="s">
        <v>9023</v>
      </c>
      <c r="B598" s="25" t="s">
        <v>8419</v>
      </c>
      <c r="C598" s="25" t="s">
        <v>8393</v>
      </c>
      <c r="D598" s="25" t="n">
        <v>9</v>
      </c>
      <c r="E598" s="25" t="s">
        <v>8394</v>
      </c>
      <c r="F598" s="25" t="s">
        <v>8395</v>
      </c>
      <c r="G598" s="25" t="s">
        <v>8396</v>
      </c>
      <c r="H598" s="25" t="s">
        <v>8399</v>
      </c>
      <c r="I598" s="25" t="s">
        <v>9024</v>
      </c>
      <c r="J598" s="25" t="s">
        <v>1010</v>
      </c>
      <c r="K598" s="25" t="n">
        <v>0</v>
      </c>
      <c r="L598" s="25" t="str">
        <f aca="false">IF(K598&gt;0,"Yes","No")</f>
        <v>No</v>
      </c>
    </row>
    <row r="599" customFormat="false" ht="15" hidden="false" customHeight="false" outlineLevel="0" collapsed="false">
      <c r="A599" s="25" t="s">
        <v>9025</v>
      </c>
      <c r="B599" s="25" t="s">
        <v>8419</v>
      </c>
      <c r="C599" s="25" t="s">
        <v>8393</v>
      </c>
      <c r="D599" s="25" t="n">
        <v>9</v>
      </c>
      <c r="E599" s="25" t="s">
        <v>8394</v>
      </c>
      <c r="F599" s="25" t="s">
        <v>8395</v>
      </c>
      <c r="G599" s="25" t="s">
        <v>8396</v>
      </c>
      <c r="H599" s="25" t="s">
        <v>8397</v>
      </c>
      <c r="I599" s="25" t="s">
        <v>9026</v>
      </c>
      <c r="J599" s="25" t="s">
        <v>5399</v>
      </c>
      <c r="K599" s="25" t="n">
        <v>0</v>
      </c>
      <c r="L599" s="25" t="str">
        <f aca="false">IF(K599&gt;0,"Yes","No")</f>
        <v>No</v>
      </c>
    </row>
    <row r="600" customFormat="false" ht="15" hidden="false" customHeight="false" outlineLevel="0" collapsed="false">
      <c r="A600" s="25" t="s">
        <v>9027</v>
      </c>
      <c r="B600" s="25" t="s">
        <v>8419</v>
      </c>
      <c r="C600" s="25" t="s">
        <v>8393</v>
      </c>
      <c r="D600" s="25" t="n">
        <v>9</v>
      </c>
      <c r="E600" s="25" t="s">
        <v>8394</v>
      </c>
      <c r="F600" s="25" t="s">
        <v>8395</v>
      </c>
      <c r="G600" s="25" t="s">
        <v>8396</v>
      </c>
      <c r="H600" s="25" t="s">
        <v>8403</v>
      </c>
      <c r="I600" s="25" t="s">
        <v>9028</v>
      </c>
      <c r="J600" s="25" t="s">
        <v>5399</v>
      </c>
      <c r="K600" s="25" t="n">
        <v>0</v>
      </c>
      <c r="L600" s="25" t="str">
        <f aca="false">IF(K600&gt;0,"Yes","No")</f>
        <v>No</v>
      </c>
    </row>
    <row r="601" customFormat="false" ht="15" hidden="false" customHeight="false" outlineLevel="0" collapsed="false">
      <c r="A601" s="25" t="s">
        <v>9029</v>
      </c>
      <c r="B601" s="25" t="s">
        <v>8392</v>
      </c>
      <c r="C601" s="25" t="s">
        <v>8393</v>
      </c>
      <c r="D601" s="25" t="n">
        <v>9</v>
      </c>
      <c r="E601" s="25" t="s">
        <v>8394</v>
      </c>
      <c r="F601" s="25" t="s">
        <v>8395</v>
      </c>
      <c r="G601" s="25" t="s">
        <v>8396</v>
      </c>
      <c r="H601" s="25" t="s">
        <v>8397</v>
      </c>
      <c r="I601" s="25" t="s">
        <v>9030</v>
      </c>
      <c r="J601" s="25" t="s">
        <v>5399</v>
      </c>
      <c r="K601" s="25" t="n">
        <v>0</v>
      </c>
      <c r="L601" s="25" t="str">
        <f aca="false">IF(K601&gt;0,"Yes","No")</f>
        <v>No</v>
      </c>
    </row>
    <row r="602" customFormat="false" ht="15" hidden="false" customHeight="false" outlineLevel="0" collapsed="false">
      <c r="A602" s="25" t="s">
        <v>9031</v>
      </c>
      <c r="B602" s="25" t="s">
        <v>8419</v>
      </c>
      <c r="C602" s="25" t="s">
        <v>8393</v>
      </c>
      <c r="D602" s="25" t="n">
        <v>9</v>
      </c>
      <c r="E602" s="25" t="s">
        <v>8394</v>
      </c>
      <c r="F602" s="25" t="s">
        <v>8395</v>
      </c>
      <c r="G602" s="25" t="s">
        <v>8396</v>
      </c>
      <c r="H602" s="25" t="s">
        <v>8397</v>
      </c>
      <c r="I602" s="25" t="s">
        <v>9032</v>
      </c>
      <c r="J602" s="25" t="s">
        <v>5399</v>
      </c>
      <c r="K602" s="25" t="n">
        <v>0</v>
      </c>
      <c r="L602" s="25" t="str">
        <f aca="false">IF(K602&gt;0,"Yes","No")</f>
        <v>No</v>
      </c>
    </row>
    <row r="603" customFormat="false" ht="15" hidden="false" customHeight="false" outlineLevel="0" collapsed="false">
      <c r="A603" s="25" t="s">
        <v>9033</v>
      </c>
      <c r="B603" s="25" t="s">
        <v>8419</v>
      </c>
      <c r="C603" s="25" t="s">
        <v>8393</v>
      </c>
      <c r="D603" s="25" t="n">
        <v>9</v>
      </c>
      <c r="E603" s="25" t="s">
        <v>8394</v>
      </c>
      <c r="F603" s="25" t="s">
        <v>8395</v>
      </c>
      <c r="G603" s="25" t="s">
        <v>8396</v>
      </c>
      <c r="H603" s="25" t="s">
        <v>8403</v>
      </c>
      <c r="I603" s="25" t="s">
        <v>9034</v>
      </c>
      <c r="J603" s="25" t="s">
        <v>1358</v>
      </c>
      <c r="K603" s="25" t="n">
        <v>0</v>
      </c>
      <c r="L603" s="25" t="str">
        <f aca="false">IF(K603&gt;0,"Yes","No")</f>
        <v>No</v>
      </c>
    </row>
    <row r="604" customFormat="false" ht="15" hidden="false" customHeight="false" outlineLevel="0" collapsed="false">
      <c r="A604" s="25" t="s">
        <v>9035</v>
      </c>
      <c r="B604" s="25" t="s">
        <v>8419</v>
      </c>
      <c r="C604" s="25" t="s">
        <v>8393</v>
      </c>
      <c r="D604" s="25" t="n">
        <v>9</v>
      </c>
      <c r="E604" s="25" t="s">
        <v>8394</v>
      </c>
      <c r="F604" s="25" t="s">
        <v>8395</v>
      </c>
      <c r="G604" s="25" t="s">
        <v>8400</v>
      </c>
      <c r="H604" s="25"/>
      <c r="I604" s="25" t="s">
        <v>9036</v>
      </c>
      <c r="J604" s="25" t="s">
        <v>1358</v>
      </c>
      <c r="K604" s="25" t="n">
        <v>0</v>
      </c>
      <c r="L604" s="25" t="str">
        <f aca="false">IF(K604&gt;0,"Yes","No")</f>
        <v>No</v>
      </c>
    </row>
    <row r="605" customFormat="false" ht="15" hidden="false" customHeight="false" outlineLevel="0" collapsed="false">
      <c r="A605" s="25" t="s">
        <v>9037</v>
      </c>
      <c r="B605" s="25" t="s">
        <v>8419</v>
      </c>
      <c r="C605" s="25" t="s">
        <v>8393</v>
      </c>
      <c r="D605" s="25" t="n">
        <v>9</v>
      </c>
      <c r="E605" s="25" t="s">
        <v>8394</v>
      </c>
      <c r="F605" s="25" t="s">
        <v>8395</v>
      </c>
      <c r="G605" s="25" t="s">
        <v>8400</v>
      </c>
      <c r="H605" s="25"/>
      <c r="I605" s="25" t="s">
        <v>9038</v>
      </c>
      <c r="J605" s="25" t="s">
        <v>1358</v>
      </c>
      <c r="K605" s="25" t="n">
        <v>0</v>
      </c>
      <c r="L605" s="25" t="str">
        <f aca="false">IF(K605&gt;0,"Yes","No")</f>
        <v>No</v>
      </c>
    </row>
    <row r="606" customFormat="false" ht="15" hidden="false" customHeight="false" outlineLevel="0" collapsed="false">
      <c r="A606" s="25" t="s">
        <v>9039</v>
      </c>
      <c r="B606" s="25" t="s">
        <v>8419</v>
      </c>
      <c r="C606" s="25" t="s">
        <v>8393</v>
      </c>
      <c r="D606" s="25" t="n">
        <v>9</v>
      </c>
      <c r="E606" s="25" t="s">
        <v>8394</v>
      </c>
      <c r="F606" s="25" t="s">
        <v>8395</v>
      </c>
      <c r="G606" s="25" t="s">
        <v>8400</v>
      </c>
      <c r="H606" s="25"/>
      <c r="I606" s="25" t="s">
        <v>9040</v>
      </c>
      <c r="J606" s="25" t="s">
        <v>1358</v>
      </c>
      <c r="K606" s="25" t="n">
        <v>0</v>
      </c>
      <c r="L606" s="25" t="str">
        <f aca="false">IF(K606&gt;0,"Yes","No")</f>
        <v>No</v>
      </c>
    </row>
    <row r="607" customFormat="false" ht="15" hidden="false" customHeight="false" outlineLevel="0" collapsed="false">
      <c r="A607" s="25" t="s">
        <v>9041</v>
      </c>
      <c r="B607" s="25" t="s">
        <v>8419</v>
      </c>
      <c r="C607" s="25" t="s">
        <v>8393</v>
      </c>
      <c r="D607" s="25" t="n">
        <v>9</v>
      </c>
      <c r="E607" s="25" t="s">
        <v>8394</v>
      </c>
      <c r="F607" s="25" t="s">
        <v>8395</v>
      </c>
      <c r="G607" s="25" t="s">
        <v>8396</v>
      </c>
      <c r="H607" s="25" t="s">
        <v>9042</v>
      </c>
      <c r="I607" s="25" t="s">
        <v>9043</v>
      </c>
      <c r="J607" s="25" t="s">
        <v>1358</v>
      </c>
      <c r="K607" s="25" t="n">
        <v>0</v>
      </c>
      <c r="L607" s="25" t="str">
        <f aca="false">IF(K607&gt;0,"Yes","No")</f>
        <v>No</v>
      </c>
    </row>
    <row r="608" customFormat="false" ht="15" hidden="false" customHeight="false" outlineLevel="0" collapsed="false">
      <c r="A608" s="25" t="s">
        <v>9044</v>
      </c>
      <c r="B608" s="25" t="s">
        <v>8392</v>
      </c>
      <c r="C608" s="25" t="s">
        <v>8393</v>
      </c>
      <c r="D608" s="25" t="n">
        <v>9</v>
      </c>
      <c r="E608" s="25" t="s">
        <v>8394</v>
      </c>
      <c r="F608" s="25" t="s">
        <v>8395</v>
      </c>
      <c r="G608" s="25" t="s">
        <v>8398</v>
      </c>
      <c r="H608" s="25"/>
      <c r="I608" s="25" t="s">
        <v>8922</v>
      </c>
      <c r="J608" s="25" t="s">
        <v>1358</v>
      </c>
      <c r="K608" s="25" t="n">
        <v>0</v>
      </c>
      <c r="L608" s="25" t="str">
        <f aca="false">IF(K608&gt;0,"Yes","No")</f>
        <v>No</v>
      </c>
    </row>
    <row r="609" customFormat="false" ht="15" hidden="false" customHeight="false" outlineLevel="0" collapsed="false">
      <c r="A609" s="25" t="s">
        <v>9045</v>
      </c>
      <c r="B609" s="25" t="s">
        <v>8419</v>
      </c>
      <c r="C609" s="25" t="s">
        <v>8393</v>
      </c>
      <c r="D609" s="25" t="n">
        <v>9</v>
      </c>
      <c r="E609" s="25" t="s">
        <v>8394</v>
      </c>
      <c r="F609" s="25" t="s">
        <v>8395</v>
      </c>
      <c r="G609" s="25" t="s">
        <v>8402</v>
      </c>
      <c r="H609" s="25" t="s">
        <v>8409</v>
      </c>
      <c r="I609" s="25" t="s">
        <v>9046</v>
      </c>
      <c r="J609" s="25" t="s">
        <v>1358</v>
      </c>
      <c r="K609" s="25" t="n">
        <v>0</v>
      </c>
      <c r="L609" s="25" t="str">
        <f aca="false">IF(K609&gt;0,"Yes","No")</f>
        <v>No</v>
      </c>
    </row>
    <row r="610" customFormat="false" ht="15" hidden="false" customHeight="false" outlineLevel="0" collapsed="false">
      <c r="A610" s="25" t="s">
        <v>9047</v>
      </c>
      <c r="B610" s="25" t="s">
        <v>8419</v>
      </c>
      <c r="C610" s="25" t="s">
        <v>8393</v>
      </c>
      <c r="D610" s="25" t="n">
        <v>9</v>
      </c>
      <c r="E610" s="25" t="s">
        <v>8394</v>
      </c>
      <c r="F610" s="25" t="s">
        <v>8395</v>
      </c>
      <c r="G610" s="25" t="s">
        <v>8396</v>
      </c>
      <c r="H610" s="25" t="s">
        <v>8403</v>
      </c>
      <c r="I610" s="25" t="s">
        <v>9048</v>
      </c>
      <c r="J610" s="25" t="s">
        <v>1358</v>
      </c>
      <c r="K610" s="25" t="n">
        <v>0</v>
      </c>
      <c r="L610" s="25" t="str">
        <f aca="false">IF(K610&gt;0,"Yes","No")</f>
        <v>No</v>
      </c>
    </row>
    <row r="611" customFormat="false" ht="15" hidden="false" customHeight="false" outlineLevel="0" collapsed="false">
      <c r="A611" s="25" t="s">
        <v>9049</v>
      </c>
      <c r="B611" s="25" t="s">
        <v>8392</v>
      </c>
      <c r="C611" s="25" t="s">
        <v>8393</v>
      </c>
      <c r="D611" s="25" t="n">
        <v>9</v>
      </c>
      <c r="E611" s="25" t="s">
        <v>8394</v>
      </c>
      <c r="F611" s="25" t="s">
        <v>8395</v>
      </c>
      <c r="G611" s="25" t="s">
        <v>8400</v>
      </c>
      <c r="H611" s="25"/>
      <c r="I611" s="25" t="s">
        <v>9050</v>
      </c>
      <c r="J611" s="25" t="s">
        <v>1358</v>
      </c>
      <c r="K611" s="25" t="n">
        <v>0</v>
      </c>
      <c r="L611" s="25" t="str">
        <f aca="false">IF(K611&gt;0,"Yes","No")</f>
        <v>No</v>
      </c>
    </row>
    <row r="612" customFormat="false" ht="15" hidden="false" customHeight="false" outlineLevel="0" collapsed="false">
      <c r="A612" s="25" t="s">
        <v>9051</v>
      </c>
      <c r="B612" s="25" t="s">
        <v>8392</v>
      </c>
      <c r="C612" s="25" t="s">
        <v>8393</v>
      </c>
      <c r="D612" s="25" t="n">
        <v>9</v>
      </c>
      <c r="E612" s="25" t="s">
        <v>8394</v>
      </c>
      <c r="F612" s="25" t="s">
        <v>8395</v>
      </c>
      <c r="G612" s="25" t="s">
        <v>8396</v>
      </c>
      <c r="H612" s="25" t="s">
        <v>9052</v>
      </c>
      <c r="I612" s="25" t="s">
        <v>9053</v>
      </c>
      <c r="J612" s="25" t="s">
        <v>9054</v>
      </c>
      <c r="K612" s="25" t="n">
        <v>0</v>
      </c>
      <c r="L612" s="25" t="str">
        <f aca="false">IF(K612&gt;0,"Yes","No")</f>
        <v>No</v>
      </c>
    </row>
    <row r="613" customFormat="false" ht="15" hidden="false" customHeight="false" outlineLevel="0" collapsed="false">
      <c r="A613" s="25" t="s">
        <v>9055</v>
      </c>
      <c r="B613" s="25" t="s">
        <v>8392</v>
      </c>
      <c r="C613" s="25" t="s">
        <v>8393</v>
      </c>
      <c r="D613" s="25" t="n">
        <v>9</v>
      </c>
      <c r="E613" s="25" t="s">
        <v>8394</v>
      </c>
      <c r="F613" s="25" t="s">
        <v>8395</v>
      </c>
      <c r="G613" s="25" t="s">
        <v>8398</v>
      </c>
      <c r="H613" s="25"/>
      <c r="I613" s="25" t="s">
        <v>1359</v>
      </c>
      <c r="J613" s="25" t="s">
        <v>8367</v>
      </c>
      <c r="K613" s="25" t="n">
        <v>0</v>
      </c>
      <c r="L613" s="25" t="str">
        <f aca="false">IF(K613&gt;0,"Yes","No")</f>
        <v>No</v>
      </c>
    </row>
    <row r="614" customFormat="false" ht="15" hidden="false" customHeight="false" outlineLevel="0" collapsed="false">
      <c r="A614" s="25" t="s">
        <v>8366</v>
      </c>
      <c r="B614" s="25" t="s">
        <v>8392</v>
      </c>
      <c r="C614" s="25" t="s">
        <v>8393</v>
      </c>
      <c r="D614" s="25" t="n">
        <v>9</v>
      </c>
      <c r="E614" s="25" t="s">
        <v>8394</v>
      </c>
      <c r="F614" s="25" t="s">
        <v>8395</v>
      </c>
      <c r="G614" s="25" t="s">
        <v>8398</v>
      </c>
      <c r="H614" s="25"/>
      <c r="I614" s="25" t="s">
        <v>8368</v>
      </c>
      <c r="J614" s="25" t="s">
        <v>8367</v>
      </c>
      <c r="K614" s="25" t="n">
        <v>0</v>
      </c>
      <c r="L614" s="25" t="str">
        <f aca="false">IF(K614&gt;0,"Yes","No")</f>
        <v>No</v>
      </c>
    </row>
    <row r="615" customFormat="false" ht="15" hidden="false" customHeight="false" outlineLevel="0" collapsed="false">
      <c r="A615" s="25" t="s">
        <v>9056</v>
      </c>
      <c r="B615" s="25" t="s">
        <v>8392</v>
      </c>
      <c r="C615" s="25" t="s">
        <v>8393</v>
      </c>
      <c r="D615" s="25" t="n">
        <v>9</v>
      </c>
      <c r="E615" s="25" t="s">
        <v>8394</v>
      </c>
      <c r="F615" s="25" t="s">
        <v>8395</v>
      </c>
      <c r="G615" s="25" t="s">
        <v>8396</v>
      </c>
      <c r="H615" s="25" t="s">
        <v>9057</v>
      </c>
      <c r="I615" s="25" t="s">
        <v>9058</v>
      </c>
      <c r="J615" s="25" t="s">
        <v>8367</v>
      </c>
      <c r="K615" s="25" t="n">
        <v>0</v>
      </c>
      <c r="L615" s="25" t="str">
        <f aca="false">IF(K615&gt;0,"Yes","No")</f>
        <v>No</v>
      </c>
    </row>
    <row r="616" customFormat="false" ht="15" hidden="false" customHeight="false" outlineLevel="0" collapsed="false">
      <c r="A616" s="25" t="s">
        <v>9059</v>
      </c>
      <c r="B616" s="25" t="s">
        <v>8392</v>
      </c>
      <c r="C616" s="25" t="s">
        <v>8393</v>
      </c>
      <c r="D616" s="25" t="n">
        <v>9</v>
      </c>
      <c r="E616" s="25" t="s">
        <v>8394</v>
      </c>
      <c r="F616" s="25" t="s">
        <v>8395</v>
      </c>
      <c r="G616" s="25" t="s">
        <v>8396</v>
      </c>
      <c r="H616" s="25" t="s">
        <v>9057</v>
      </c>
      <c r="I616" s="25" t="s">
        <v>9060</v>
      </c>
      <c r="J616" s="25" t="s">
        <v>8367</v>
      </c>
      <c r="K616" s="25" t="n">
        <v>0</v>
      </c>
      <c r="L616" s="25" t="str">
        <f aca="false">IF(K616&gt;0,"Yes","No")</f>
        <v>No</v>
      </c>
    </row>
    <row r="617" customFormat="false" ht="15" hidden="false" customHeight="false" outlineLevel="0" collapsed="false">
      <c r="A617" s="25" t="s">
        <v>9061</v>
      </c>
      <c r="B617" s="25" t="s">
        <v>8392</v>
      </c>
      <c r="C617" s="25" t="s">
        <v>8393</v>
      </c>
      <c r="D617" s="25" t="n">
        <v>9</v>
      </c>
      <c r="E617" s="25" t="s">
        <v>8394</v>
      </c>
      <c r="F617" s="25" t="s">
        <v>8395</v>
      </c>
      <c r="G617" s="25" t="s">
        <v>8396</v>
      </c>
      <c r="H617" s="25" t="s">
        <v>9057</v>
      </c>
      <c r="I617" s="25" t="s">
        <v>9062</v>
      </c>
      <c r="J617" s="25" t="s">
        <v>8367</v>
      </c>
      <c r="K617" s="25" t="n">
        <v>0</v>
      </c>
      <c r="L617" s="25" t="str">
        <f aca="false">IF(K617&gt;0,"Yes","No")</f>
        <v>No</v>
      </c>
    </row>
    <row r="618" customFormat="false" ht="15" hidden="false" customHeight="false" outlineLevel="0" collapsed="false">
      <c r="A618" s="25" t="s">
        <v>9063</v>
      </c>
      <c r="B618" s="25" t="s">
        <v>8392</v>
      </c>
      <c r="C618" s="25" t="s">
        <v>8393</v>
      </c>
      <c r="D618" s="25" t="n">
        <v>9</v>
      </c>
      <c r="E618" s="25" t="s">
        <v>8394</v>
      </c>
      <c r="F618" s="25" t="s">
        <v>8395</v>
      </c>
      <c r="G618" s="25" t="s">
        <v>8396</v>
      </c>
      <c r="H618" s="25" t="s">
        <v>9057</v>
      </c>
      <c r="I618" s="25" t="s">
        <v>9064</v>
      </c>
      <c r="J618" s="25" t="s">
        <v>8367</v>
      </c>
      <c r="K618" s="25" t="n">
        <v>0</v>
      </c>
      <c r="L618" s="25" t="str">
        <f aca="false">IF(K618&gt;0,"Yes","No")</f>
        <v>No</v>
      </c>
    </row>
    <row r="619" customFormat="false" ht="15" hidden="false" customHeight="false" outlineLevel="0" collapsed="false">
      <c r="A619" s="25" t="s">
        <v>9065</v>
      </c>
      <c r="B619" s="25" t="s">
        <v>8392</v>
      </c>
      <c r="C619" s="25" t="s">
        <v>8393</v>
      </c>
      <c r="D619" s="25" t="n">
        <v>9</v>
      </c>
      <c r="E619" s="25" t="s">
        <v>8394</v>
      </c>
      <c r="F619" s="25" t="s">
        <v>8395</v>
      </c>
      <c r="G619" s="25" t="s">
        <v>8396</v>
      </c>
      <c r="H619" s="25" t="s">
        <v>9057</v>
      </c>
      <c r="I619" s="25" t="s">
        <v>9066</v>
      </c>
      <c r="J619" s="25" t="s">
        <v>8367</v>
      </c>
      <c r="K619" s="25" t="n">
        <v>0</v>
      </c>
      <c r="L619" s="25" t="str">
        <f aca="false">IF(K619&gt;0,"Yes","No")</f>
        <v>No</v>
      </c>
    </row>
    <row r="620" customFormat="false" ht="15" hidden="false" customHeight="false" outlineLevel="0" collapsed="false">
      <c r="A620" s="25" t="s">
        <v>9067</v>
      </c>
      <c r="B620" s="25" t="s">
        <v>8392</v>
      </c>
      <c r="C620" s="25" t="s">
        <v>8393</v>
      </c>
      <c r="D620" s="25" t="n">
        <v>9</v>
      </c>
      <c r="E620" s="25" t="s">
        <v>8394</v>
      </c>
      <c r="F620" s="25" t="s">
        <v>8395</v>
      </c>
      <c r="G620" s="25" t="s">
        <v>8396</v>
      </c>
      <c r="H620" s="25" t="s">
        <v>9057</v>
      </c>
      <c r="I620" s="25" t="s">
        <v>9068</v>
      </c>
      <c r="J620" s="25" t="s">
        <v>8367</v>
      </c>
      <c r="K620" s="25" t="n">
        <v>0</v>
      </c>
      <c r="L620" s="25" t="str">
        <f aca="false">IF(K620&gt;0,"Yes","No")</f>
        <v>No</v>
      </c>
    </row>
    <row r="621" customFormat="false" ht="15" hidden="false" customHeight="false" outlineLevel="0" collapsed="false">
      <c r="A621" s="25" t="s">
        <v>9069</v>
      </c>
      <c r="B621" s="25" t="s">
        <v>8392</v>
      </c>
      <c r="C621" s="25" t="s">
        <v>8393</v>
      </c>
      <c r="D621" s="25" t="n">
        <v>9</v>
      </c>
      <c r="E621" s="25" t="s">
        <v>8394</v>
      </c>
      <c r="F621" s="25" t="s">
        <v>8395</v>
      </c>
      <c r="G621" s="25" t="s">
        <v>8396</v>
      </c>
      <c r="H621" s="25" t="s">
        <v>9057</v>
      </c>
      <c r="I621" s="25" t="s">
        <v>9070</v>
      </c>
      <c r="J621" s="25" t="s">
        <v>8367</v>
      </c>
      <c r="K621" s="25" t="n">
        <v>0</v>
      </c>
      <c r="L621" s="25" t="str">
        <f aca="false">IF(K621&gt;0,"Yes","No")</f>
        <v>No</v>
      </c>
    </row>
    <row r="622" customFormat="false" ht="15" hidden="false" customHeight="false" outlineLevel="0" collapsed="false">
      <c r="A622" s="25" t="s">
        <v>9071</v>
      </c>
      <c r="B622" s="25" t="s">
        <v>8392</v>
      </c>
      <c r="C622" s="25" t="s">
        <v>8393</v>
      </c>
      <c r="D622" s="25" t="n">
        <v>9</v>
      </c>
      <c r="E622" s="25" t="s">
        <v>8394</v>
      </c>
      <c r="F622" s="25" t="s">
        <v>8395</v>
      </c>
      <c r="G622" s="25" t="s">
        <v>8396</v>
      </c>
      <c r="H622" s="25" t="s">
        <v>9057</v>
      </c>
      <c r="I622" s="25" t="s">
        <v>9072</v>
      </c>
      <c r="J622" s="25" t="s">
        <v>8367</v>
      </c>
      <c r="K622" s="25" t="n">
        <v>0</v>
      </c>
      <c r="L622" s="25" t="str">
        <f aca="false">IF(K622&gt;0,"Yes","No")</f>
        <v>No</v>
      </c>
    </row>
    <row r="623" customFormat="false" ht="15" hidden="false" customHeight="false" outlineLevel="0" collapsed="false">
      <c r="A623" s="25" t="s">
        <v>9073</v>
      </c>
      <c r="B623" s="25" t="s">
        <v>8419</v>
      </c>
      <c r="C623" s="25" t="s">
        <v>8393</v>
      </c>
      <c r="D623" s="25" t="n">
        <v>9</v>
      </c>
      <c r="E623" s="25" t="s">
        <v>8394</v>
      </c>
      <c r="F623" s="25" t="s">
        <v>8395</v>
      </c>
      <c r="G623" s="25" t="s">
        <v>8396</v>
      </c>
      <c r="H623" s="25" t="s">
        <v>8403</v>
      </c>
      <c r="I623" s="25" t="s">
        <v>9074</v>
      </c>
      <c r="J623" s="25" t="s">
        <v>2989</v>
      </c>
      <c r="K623" s="25" t="n">
        <v>0</v>
      </c>
      <c r="L623" s="25" t="str">
        <f aca="false">IF(K623&gt;0,"Yes","No")</f>
        <v>No</v>
      </c>
    </row>
    <row r="624" customFormat="false" ht="15" hidden="false" customHeight="false" outlineLevel="0" collapsed="false">
      <c r="A624" s="25" t="s">
        <v>9075</v>
      </c>
      <c r="B624" s="25" t="s">
        <v>8419</v>
      </c>
      <c r="C624" s="25" t="s">
        <v>8393</v>
      </c>
      <c r="D624" s="25" t="n">
        <v>9</v>
      </c>
      <c r="E624" s="25" t="s">
        <v>8394</v>
      </c>
      <c r="F624" s="25" t="s">
        <v>8395</v>
      </c>
      <c r="G624" s="25" t="s">
        <v>8396</v>
      </c>
      <c r="H624" s="25" t="s">
        <v>8403</v>
      </c>
      <c r="I624" s="25" t="s">
        <v>9076</v>
      </c>
      <c r="J624" s="25" t="s">
        <v>2989</v>
      </c>
      <c r="K624" s="25" t="n">
        <v>0</v>
      </c>
      <c r="L624" s="25" t="str">
        <f aca="false">IF(K624&gt;0,"Yes","No")</f>
        <v>No</v>
      </c>
    </row>
    <row r="625" customFormat="false" ht="15" hidden="false" customHeight="false" outlineLevel="0" collapsed="false">
      <c r="A625" s="25" t="s">
        <v>9077</v>
      </c>
      <c r="B625" s="25" t="s">
        <v>8419</v>
      </c>
      <c r="C625" s="25" t="s">
        <v>8393</v>
      </c>
      <c r="D625" s="25" t="n">
        <v>9</v>
      </c>
      <c r="E625" s="25" t="s">
        <v>8394</v>
      </c>
      <c r="F625" s="25" t="s">
        <v>8395</v>
      </c>
      <c r="G625" s="25" t="s">
        <v>8396</v>
      </c>
      <c r="H625" s="25" t="s">
        <v>9078</v>
      </c>
      <c r="I625" s="25" t="s">
        <v>9079</v>
      </c>
      <c r="J625" s="25" t="s">
        <v>9080</v>
      </c>
      <c r="K625" s="25" t="n">
        <v>0</v>
      </c>
      <c r="L625" s="25" t="str">
        <f aca="false">IF(K625&gt;0,"Yes","No")</f>
        <v>No</v>
      </c>
    </row>
    <row r="626" customFormat="false" ht="15" hidden="false" customHeight="false" outlineLevel="0" collapsed="false">
      <c r="A626" s="25" t="s">
        <v>9081</v>
      </c>
      <c r="B626" s="25" t="s">
        <v>8419</v>
      </c>
      <c r="C626" s="25" t="s">
        <v>8393</v>
      </c>
      <c r="D626" s="25" t="n">
        <v>9</v>
      </c>
      <c r="E626" s="25" t="s">
        <v>8394</v>
      </c>
      <c r="F626" s="25" t="s">
        <v>8395</v>
      </c>
      <c r="G626" s="25" t="s">
        <v>8396</v>
      </c>
      <c r="H626" s="25" t="s">
        <v>9078</v>
      </c>
      <c r="I626" s="25" t="s">
        <v>9082</v>
      </c>
      <c r="J626" s="25" t="s">
        <v>9080</v>
      </c>
      <c r="K626" s="25" t="n">
        <v>0</v>
      </c>
      <c r="L626" s="25" t="str">
        <f aca="false">IF(K626&gt;0,"Yes","No")</f>
        <v>No</v>
      </c>
    </row>
    <row r="627" customFormat="false" ht="15" hidden="false" customHeight="false" outlineLevel="0" collapsed="false">
      <c r="A627" s="25" t="s">
        <v>9083</v>
      </c>
      <c r="B627" s="25" t="s">
        <v>8392</v>
      </c>
      <c r="C627" s="25" t="s">
        <v>8393</v>
      </c>
      <c r="D627" s="25" t="n">
        <v>9</v>
      </c>
      <c r="E627" s="25" t="s">
        <v>8394</v>
      </c>
      <c r="F627" s="25" t="s">
        <v>8395</v>
      </c>
      <c r="G627" s="25" t="s">
        <v>8396</v>
      </c>
      <c r="H627" s="25" t="s">
        <v>9057</v>
      </c>
      <c r="I627" s="25" t="s">
        <v>9084</v>
      </c>
      <c r="J627" s="25" t="s">
        <v>9085</v>
      </c>
      <c r="K627" s="25" t="n">
        <v>0</v>
      </c>
      <c r="L627" s="25" t="str">
        <f aca="false">IF(K627&gt;0,"Yes","No")</f>
        <v>No</v>
      </c>
    </row>
    <row r="628" customFormat="false" ht="15" hidden="false" customHeight="false" outlineLevel="0" collapsed="false">
      <c r="A628" s="25" t="s">
        <v>9086</v>
      </c>
      <c r="B628" s="25" t="s">
        <v>8392</v>
      </c>
      <c r="C628" s="25" t="s">
        <v>8393</v>
      </c>
      <c r="D628" s="25" t="n">
        <v>9</v>
      </c>
      <c r="E628" s="25" t="s">
        <v>8394</v>
      </c>
      <c r="F628" s="25" t="s">
        <v>8395</v>
      </c>
      <c r="G628" s="25" t="s">
        <v>8398</v>
      </c>
      <c r="H628" s="25"/>
      <c r="I628" s="25" t="s">
        <v>9087</v>
      </c>
      <c r="J628" s="25" t="s">
        <v>9088</v>
      </c>
      <c r="K628" s="25" t="n">
        <v>0</v>
      </c>
      <c r="L628" s="25" t="str">
        <f aca="false">IF(K628&gt;0,"Yes","No")</f>
        <v>No</v>
      </c>
    </row>
    <row r="629" customFormat="false" ht="15" hidden="false" customHeight="false" outlineLevel="0" collapsed="false">
      <c r="A629" s="25" t="s">
        <v>9089</v>
      </c>
      <c r="B629" s="25" t="s">
        <v>8392</v>
      </c>
      <c r="C629" s="25" t="s">
        <v>8393</v>
      </c>
      <c r="D629" s="25" t="n">
        <v>9</v>
      </c>
      <c r="E629" s="25" t="s">
        <v>8394</v>
      </c>
      <c r="F629" s="25" t="s">
        <v>8395</v>
      </c>
      <c r="G629" s="25" t="s">
        <v>8396</v>
      </c>
      <c r="H629" s="25" t="s">
        <v>8397</v>
      </c>
      <c r="I629" s="25" t="s">
        <v>9090</v>
      </c>
      <c r="J629" s="25" t="s">
        <v>9091</v>
      </c>
      <c r="K629" s="25" t="n">
        <v>0</v>
      </c>
      <c r="L629" s="25" t="str">
        <f aca="false">IF(K629&gt;0,"Yes","No")</f>
        <v>No</v>
      </c>
    </row>
    <row r="630" customFormat="false" ht="15" hidden="false" customHeight="false" outlineLevel="0" collapsed="false">
      <c r="A630" s="25" t="s">
        <v>9092</v>
      </c>
      <c r="B630" s="25" t="s">
        <v>8419</v>
      </c>
      <c r="C630" s="25" t="s">
        <v>8393</v>
      </c>
      <c r="D630" s="25" t="n">
        <v>9</v>
      </c>
      <c r="E630" s="25" t="s">
        <v>8394</v>
      </c>
      <c r="F630" s="25" t="s">
        <v>8395</v>
      </c>
      <c r="G630" s="25" t="s">
        <v>8396</v>
      </c>
      <c r="H630" s="25" t="s">
        <v>8399</v>
      </c>
      <c r="I630" s="25" t="s">
        <v>9093</v>
      </c>
      <c r="J630" s="25" t="s">
        <v>9091</v>
      </c>
      <c r="K630" s="25" t="n">
        <v>0</v>
      </c>
      <c r="L630" s="25" t="str">
        <f aca="false">IF(K630&gt;0,"Yes","No")</f>
        <v>No</v>
      </c>
    </row>
    <row r="631" customFormat="false" ht="15" hidden="false" customHeight="false" outlineLevel="0" collapsed="false">
      <c r="A631" s="25" t="s">
        <v>9094</v>
      </c>
      <c r="B631" s="25" t="s">
        <v>8419</v>
      </c>
      <c r="C631" s="25" t="s">
        <v>8393</v>
      </c>
      <c r="D631" s="25" t="n">
        <v>9</v>
      </c>
      <c r="E631" s="25" t="s">
        <v>8394</v>
      </c>
      <c r="F631" s="25" t="s">
        <v>8395</v>
      </c>
      <c r="G631" s="25" t="s">
        <v>8396</v>
      </c>
      <c r="H631" s="25" t="s">
        <v>8399</v>
      </c>
      <c r="I631" s="25" t="s">
        <v>8914</v>
      </c>
      <c r="J631" s="25" t="s">
        <v>9095</v>
      </c>
      <c r="K631" s="25" t="n">
        <v>0</v>
      </c>
      <c r="L631" s="25" t="str">
        <f aca="false">IF(K631&gt;0,"Yes","No")</f>
        <v>No</v>
      </c>
    </row>
    <row r="632" customFormat="false" ht="15" hidden="false" customHeight="false" outlineLevel="0" collapsed="false">
      <c r="A632" s="25" t="s">
        <v>9096</v>
      </c>
      <c r="B632" s="25" t="s">
        <v>8419</v>
      </c>
      <c r="C632" s="25" t="s">
        <v>8393</v>
      </c>
      <c r="D632" s="25" t="n">
        <v>9</v>
      </c>
      <c r="E632" s="25" t="s">
        <v>8394</v>
      </c>
      <c r="F632" s="25" t="s">
        <v>8395</v>
      </c>
      <c r="G632" s="25" t="s">
        <v>8396</v>
      </c>
      <c r="H632" s="25" t="s">
        <v>8399</v>
      </c>
      <c r="I632" s="25" t="s">
        <v>9097</v>
      </c>
      <c r="J632" s="25" t="s">
        <v>5563</v>
      </c>
      <c r="K632" s="25" t="n">
        <v>0</v>
      </c>
      <c r="L632" s="25" t="str">
        <f aca="false">IF(K632&gt;0,"Yes","No")</f>
        <v>No</v>
      </c>
    </row>
    <row r="633" customFormat="false" ht="15" hidden="false" customHeight="false" outlineLevel="0" collapsed="false">
      <c r="A633" s="25" t="s">
        <v>9098</v>
      </c>
      <c r="B633" s="25" t="s">
        <v>8419</v>
      </c>
      <c r="C633" s="25" t="s">
        <v>8393</v>
      </c>
      <c r="D633" s="25" t="n">
        <v>9</v>
      </c>
      <c r="E633" s="25" t="s">
        <v>8394</v>
      </c>
      <c r="F633" s="25" t="s">
        <v>8395</v>
      </c>
      <c r="G633" s="25" t="s">
        <v>8396</v>
      </c>
      <c r="H633" s="25" t="s">
        <v>8399</v>
      </c>
      <c r="I633" s="25" t="s">
        <v>9099</v>
      </c>
      <c r="J633" s="25" t="s">
        <v>5563</v>
      </c>
      <c r="K633" s="25" t="n">
        <v>0</v>
      </c>
      <c r="L633" s="25" t="str">
        <f aca="false">IF(K633&gt;0,"Yes","No")</f>
        <v>No</v>
      </c>
    </row>
    <row r="634" customFormat="false" ht="15" hidden="false" customHeight="false" outlineLevel="0" collapsed="false">
      <c r="A634" s="25" t="s">
        <v>9100</v>
      </c>
      <c r="B634" s="25" t="s">
        <v>8392</v>
      </c>
      <c r="C634" s="25" t="s">
        <v>8393</v>
      </c>
      <c r="D634" s="25" t="n">
        <v>9</v>
      </c>
      <c r="E634" s="25" t="s">
        <v>8394</v>
      </c>
      <c r="F634" s="25" t="s">
        <v>8395</v>
      </c>
      <c r="G634" s="25" t="s">
        <v>8396</v>
      </c>
      <c r="H634" s="25" t="s">
        <v>8409</v>
      </c>
      <c r="I634" s="25" t="s">
        <v>9101</v>
      </c>
      <c r="J634" s="25" t="s">
        <v>9102</v>
      </c>
      <c r="K634" s="25" t="n">
        <v>0</v>
      </c>
      <c r="L634" s="25" t="str">
        <f aca="false">IF(K634&gt;0,"Yes","No")</f>
        <v>No</v>
      </c>
    </row>
    <row r="635" customFormat="false" ht="15" hidden="false" customHeight="false" outlineLevel="0" collapsed="false">
      <c r="A635" s="25" t="s">
        <v>9103</v>
      </c>
      <c r="B635" s="25" t="s">
        <v>8419</v>
      </c>
      <c r="C635" s="25" t="s">
        <v>8393</v>
      </c>
      <c r="D635" s="25" t="n">
        <v>9</v>
      </c>
      <c r="E635" s="25" t="s">
        <v>8394</v>
      </c>
      <c r="F635" s="25" t="s">
        <v>8395</v>
      </c>
      <c r="G635" s="25" t="s">
        <v>8396</v>
      </c>
      <c r="H635" s="25" t="s">
        <v>8409</v>
      </c>
      <c r="I635" s="25" t="s">
        <v>9104</v>
      </c>
      <c r="J635" s="25" t="s">
        <v>9102</v>
      </c>
      <c r="K635" s="25" t="n">
        <v>0</v>
      </c>
      <c r="L635" s="25" t="str">
        <f aca="false">IF(K635&gt;0,"Yes","No")</f>
        <v>No</v>
      </c>
    </row>
    <row r="636" customFormat="false" ht="15" hidden="false" customHeight="false" outlineLevel="0" collapsed="false">
      <c r="A636" s="25" t="s">
        <v>9105</v>
      </c>
      <c r="B636" s="25" t="s">
        <v>8392</v>
      </c>
      <c r="C636" s="25" t="s">
        <v>8393</v>
      </c>
      <c r="D636" s="25" t="n">
        <v>9</v>
      </c>
      <c r="E636" s="25" t="s">
        <v>8394</v>
      </c>
      <c r="F636" s="25" t="s">
        <v>8395</v>
      </c>
      <c r="G636" s="25" t="s">
        <v>8396</v>
      </c>
      <c r="H636" s="25" t="s">
        <v>8409</v>
      </c>
      <c r="I636" s="25" t="s">
        <v>9106</v>
      </c>
      <c r="J636" s="25" t="s">
        <v>9102</v>
      </c>
      <c r="K636" s="25" t="n">
        <v>0</v>
      </c>
      <c r="L636" s="25" t="str">
        <f aca="false">IF(K636&gt;0,"Yes","No")</f>
        <v>No</v>
      </c>
    </row>
    <row r="637" customFormat="false" ht="15" hidden="false" customHeight="false" outlineLevel="0" collapsed="false">
      <c r="A637" s="25" t="s">
        <v>9107</v>
      </c>
      <c r="B637" s="25" t="s">
        <v>8392</v>
      </c>
      <c r="C637" s="25" t="s">
        <v>8393</v>
      </c>
      <c r="D637" s="25" t="n">
        <v>9</v>
      </c>
      <c r="E637" s="25" t="s">
        <v>8394</v>
      </c>
      <c r="F637" s="25" t="s">
        <v>8395</v>
      </c>
      <c r="G637" s="25" t="s">
        <v>8396</v>
      </c>
      <c r="H637" s="25" t="s">
        <v>8409</v>
      </c>
      <c r="I637" s="25" t="s">
        <v>9108</v>
      </c>
      <c r="J637" s="25" t="s">
        <v>9102</v>
      </c>
      <c r="K637" s="25" t="n">
        <v>0</v>
      </c>
      <c r="L637" s="25" t="str">
        <f aca="false">IF(K637&gt;0,"Yes","No")</f>
        <v>No</v>
      </c>
    </row>
    <row r="638" customFormat="false" ht="15" hidden="false" customHeight="false" outlineLevel="0" collapsed="false">
      <c r="A638" s="25" t="s">
        <v>9109</v>
      </c>
      <c r="B638" s="25" t="s">
        <v>8419</v>
      </c>
      <c r="C638" s="25" t="s">
        <v>8393</v>
      </c>
      <c r="D638" s="25" t="n">
        <v>9</v>
      </c>
      <c r="E638" s="25" t="s">
        <v>8394</v>
      </c>
      <c r="F638" s="25" t="s">
        <v>8395</v>
      </c>
      <c r="G638" s="25" t="s">
        <v>8396</v>
      </c>
      <c r="H638" s="25" t="s">
        <v>8399</v>
      </c>
      <c r="I638" s="25" t="s">
        <v>9110</v>
      </c>
      <c r="J638" s="25" t="s">
        <v>9111</v>
      </c>
      <c r="K638" s="25" t="n">
        <v>0</v>
      </c>
      <c r="L638" s="25" t="str">
        <f aca="false">IF(K638&gt;0,"Yes","No")</f>
        <v>No</v>
      </c>
    </row>
    <row r="639" customFormat="false" ht="15" hidden="false" customHeight="false" outlineLevel="0" collapsed="false">
      <c r="A639" s="25" t="s">
        <v>9112</v>
      </c>
      <c r="B639" s="25" t="s">
        <v>8419</v>
      </c>
      <c r="C639" s="25" t="s">
        <v>8393</v>
      </c>
      <c r="D639" s="25" t="n">
        <v>9</v>
      </c>
      <c r="E639" s="25" t="s">
        <v>8394</v>
      </c>
      <c r="F639" s="25" t="s">
        <v>8395</v>
      </c>
      <c r="G639" s="25" t="s">
        <v>8396</v>
      </c>
      <c r="H639" s="25" t="s">
        <v>8403</v>
      </c>
      <c r="I639" s="25" t="s">
        <v>9113</v>
      </c>
      <c r="J639" s="25" t="s">
        <v>9114</v>
      </c>
      <c r="K639" s="25" t="n">
        <v>0</v>
      </c>
      <c r="L639" s="25" t="str">
        <f aca="false">IF(K639&gt;0,"Yes","No")</f>
        <v>No</v>
      </c>
    </row>
    <row r="640" customFormat="false" ht="15" hidden="false" customHeight="false" outlineLevel="0" collapsed="false">
      <c r="A640" s="25" t="s">
        <v>9115</v>
      </c>
      <c r="B640" s="25" t="s">
        <v>8419</v>
      </c>
      <c r="C640" s="25" t="s">
        <v>8393</v>
      </c>
      <c r="D640" s="25" t="n">
        <v>9</v>
      </c>
      <c r="E640" s="25" t="s">
        <v>8394</v>
      </c>
      <c r="F640" s="25" t="s">
        <v>8395</v>
      </c>
      <c r="G640" s="25" t="s">
        <v>8396</v>
      </c>
      <c r="H640" s="25" t="s">
        <v>8403</v>
      </c>
      <c r="I640" s="25" t="s">
        <v>9116</v>
      </c>
      <c r="J640" s="25" t="s">
        <v>9114</v>
      </c>
      <c r="K640" s="25" t="n">
        <v>0</v>
      </c>
      <c r="L640" s="25" t="str">
        <f aca="false">IF(K640&gt;0,"Yes","No")</f>
        <v>No</v>
      </c>
    </row>
    <row r="641" customFormat="false" ht="15" hidden="false" customHeight="false" outlineLevel="0" collapsed="false">
      <c r="A641" s="25" t="s">
        <v>9117</v>
      </c>
      <c r="B641" s="25" t="s">
        <v>8419</v>
      </c>
      <c r="C641" s="25" t="s">
        <v>8393</v>
      </c>
      <c r="D641" s="25" t="n">
        <v>9</v>
      </c>
      <c r="E641" s="25" t="s">
        <v>8394</v>
      </c>
      <c r="F641" s="25" t="s">
        <v>8395</v>
      </c>
      <c r="G641" s="25" t="s">
        <v>8396</v>
      </c>
      <c r="H641" s="25" t="s">
        <v>8409</v>
      </c>
      <c r="I641" s="25" t="s">
        <v>9118</v>
      </c>
      <c r="J641" s="25" t="s">
        <v>9102</v>
      </c>
      <c r="K641" s="25" t="n">
        <v>0</v>
      </c>
      <c r="L641" s="25" t="str">
        <f aca="false">IF(K641&gt;0,"Yes","No")</f>
        <v>No</v>
      </c>
    </row>
    <row r="642" customFormat="false" ht="15" hidden="false" customHeight="false" outlineLevel="0" collapsed="false">
      <c r="A642" s="25" t="s">
        <v>9119</v>
      </c>
      <c r="B642" s="25" t="s">
        <v>8419</v>
      </c>
      <c r="C642" s="25" t="s">
        <v>8393</v>
      </c>
      <c r="D642" s="25" t="n">
        <v>9</v>
      </c>
      <c r="E642" s="25" t="s">
        <v>8394</v>
      </c>
      <c r="F642" s="25" t="s">
        <v>8395</v>
      </c>
      <c r="G642" s="25" t="s">
        <v>8396</v>
      </c>
      <c r="H642" s="25" t="s">
        <v>8399</v>
      </c>
      <c r="I642" s="25" t="s">
        <v>9120</v>
      </c>
      <c r="J642" s="25" t="s">
        <v>7144</v>
      </c>
      <c r="K642" s="25" t="n">
        <v>0</v>
      </c>
      <c r="L642" s="25" t="str">
        <f aca="false">IF(K642&gt;0,"Yes","No")</f>
        <v>No</v>
      </c>
    </row>
    <row r="643" customFormat="false" ht="15" hidden="false" customHeight="false" outlineLevel="0" collapsed="false">
      <c r="A643" s="25" t="s">
        <v>9121</v>
      </c>
      <c r="B643" s="25" t="s">
        <v>8419</v>
      </c>
      <c r="C643" s="25" t="s">
        <v>8393</v>
      </c>
      <c r="D643" s="25" t="n">
        <v>9</v>
      </c>
      <c r="E643" s="25" t="s">
        <v>8394</v>
      </c>
      <c r="F643" s="25" t="s">
        <v>8395</v>
      </c>
      <c r="G643" s="25" t="s">
        <v>8396</v>
      </c>
      <c r="H643" s="25" t="s">
        <v>8399</v>
      </c>
      <c r="I643" s="25" t="s">
        <v>9122</v>
      </c>
      <c r="J643" s="25" t="s">
        <v>7144</v>
      </c>
      <c r="K643" s="25" t="n">
        <v>0</v>
      </c>
      <c r="L643" s="25" t="str">
        <f aca="false">IF(K643&gt;0,"Yes","No")</f>
        <v>No</v>
      </c>
    </row>
    <row r="644" customFormat="false" ht="15" hidden="false" customHeight="false" outlineLevel="0" collapsed="false">
      <c r="A644" s="25" t="s">
        <v>9123</v>
      </c>
      <c r="B644" s="25" t="s">
        <v>8419</v>
      </c>
      <c r="C644" s="25" t="s">
        <v>8393</v>
      </c>
      <c r="D644" s="25" t="n">
        <v>9</v>
      </c>
      <c r="E644" s="25" t="s">
        <v>8394</v>
      </c>
      <c r="F644" s="25" t="s">
        <v>8395</v>
      </c>
      <c r="G644" s="25" t="s">
        <v>8396</v>
      </c>
      <c r="H644" s="25" t="s">
        <v>8399</v>
      </c>
      <c r="I644" s="25" t="s">
        <v>9124</v>
      </c>
      <c r="J644" s="25" t="s">
        <v>524</v>
      </c>
      <c r="K644" s="25" t="n">
        <v>0</v>
      </c>
      <c r="L644" s="25" t="str">
        <f aca="false">IF(K644&gt;0,"Yes","No")</f>
        <v>No</v>
      </c>
    </row>
    <row r="645" customFormat="false" ht="15" hidden="false" customHeight="false" outlineLevel="0" collapsed="false">
      <c r="A645" s="25" t="s">
        <v>9125</v>
      </c>
      <c r="B645" s="25" t="s">
        <v>8419</v>
      </c>
      <c r="C645" s="25" t="s">
        <v>8393</v>
      </c>
      <c r="D645" s="25" t="n">
        <v>9</v>
      </c>
      <c r="E645" s="25" t="s">
        <v>8394</v>
      </c>
      <c r="F645" s="25" t="s">
        <v>8395</v>
      </c>
      <c r="G645" s="25" t="s">
        <v>8396</v>
      </c>
      <c r="H645" s="25" t="s">
        <v>8399</v>
      </c>
      <c r="I645" s="25" t="s">
        <v>9126</v>
      </c>
      <c r="J645" s="25" t="s">
        <v>524</v>
      </c>
      <c r="K645" s="25" t="n">
        <v>0</v>
      </c>
      <c r="L645" s="25" t="str">
        <f aca="false">IF(K645&gt;0,"Yes","No")</f>
        <v>No</v>
      </c>
    </row>
    <row r="646" customFormat="false" ht="15" hidden="false" customHeight="false" outlineLevel="0" collapsed="false">
      <c r="A646" s="25" t="s">
        <v>9127</v>
      </c>
      <c r="B646" s="25" t="s">
        <v>8419</v>
      </c>
      <c r="C646" s="25" t="s">
        <v>8393</v>
      </c>
      <c r="D646" s="25" t="n">
        <v>9</v>
      </c>
      <c r="E646" s="25" t="s">
        <v>8394</v>
      </c>
      <c r="F646" s="25" t="s">
        <v>8395</v>
      </c>
      <c r="G646" s="25" t="s">
        <v>8396</v>
      </c>
      <c r="H646" s="25" t="s">
        <v>8399</v>
      </c>
      <c r="I646" s="25" t="s">
        <v>9128</v>
      </c>
      <c r="J646" s="25" t="s">
        <v>524</v>
      </c>
      <c r="K646" s="25" t="n">
        <v>0</v>
      </c>
      <c r="L646" s="25" t="str">
        <f aca="false">IF(K646&gt;0,"Yes","No")</f>
        <v>No</v>
      </c>
    </row>
    <row r="647" customFormat="false" ht="15" hidden="false" customHeight="false" outlineLevel="0" collapsed="false">
      <c r="A647" s="25" t="s">
        <v>9129</v>
      </c>
      <c r="B647" s="25" t="s">
        <v>8419</v>
      </c>
      <c r="C647" s="25" t="s">
        <v>8393</v>
      </c>
      <c r="D647" s="25" t="n">
        <v>9</v>
      </c>
      <c r="E647" s="25" t="s">
        <v>8394</v>
      </c>
      <c r="F647" s="25" t="s">
        <v>8395</v>
      </c>
      <c r="G647" s="25" t="s">
        <v>8396</v>
      </c>
      <c r="H647" s="25" t="s">
        <v>8399</v>
      </c>
      <c r="I647" s="25" t="s">
        <v>9130</v>
      </c>
      <c r="J647" s="25" t="s">
        <v>524</v>
      </c>
      <c r="K647" s="25" t="n">
        <v>0</v>
      </c>
      <c r="L647" s="25" t="str">
        <f aca="false">IF(K647&gt;0,"Yes","No")</f>
        <v>No</v>
      </c>
    </row>
    <row r="648" customFormat="false" ht="15" hidden="false" customHeight="false" outlineLevel="0" collapsed="false">
      <c r="A648" s="25" t="s">
        <v>9131</v>
      </c>
      <c r="B648" s="25" t="s">
        <v>8392</v>
      </c>
      <c r="C648" s="25" t="s">
        <v>8393</v>
      </c>
      <c r="D648" s="25" t="n">
        <v>9</v>
      </c>
      <c r="E648" s="25" t="s">
        <v>8394</v>
      </c>
      <c r="F648" s="25" t="s">
        <v>8395</v>
      </c>
      <c r="G648" s="25" t="s">
        <v>8396</v>
      </c>
      <c r="H648" s="25" t="s">
        <v>9132</v>
      </c>
      <c r="I648" s="25" t="s">
        <v>9133</v>
      </c>
      <c r="J648" s="25" t="s">
        <v>1663</v>
      </c>
      <c r="K648" s="25" t="n">
        <v>0</v>
      </c>
      <c r="L648" s="25" t="str">
        <f aca="false">IF(K648&gt;0,"Yes","No")</f>
        <v>No</v>
      </c>
    </row>
    <row r="649" customFormat="false" ht="15" hidden="false" customHeight="false" outlineLevel="0" collapsed="false">
      <c r="A649" s="25" t="s">
        <v>9134</v>
      </c>
      <c r="B649" s="25" t="s">
        <v>8392</v>
      </c>
      <c r="C649" s="25" t="s">
        <v>8393</v>
      </c>
      <c r="D649" s="25" t="n">
        <v>9</v>
      </c>
      <c r="E649" s="25" t="s">
        <v>8394</v>
      </c>
      <c r="F649" s="25" t="s">
        <v>8395</v>
      </c>
      <c r="G649" s="25" t="s">
        <v>8396</v>
      </c>
      <c r="H649" s="25" t="s">
        <v>9132</v>
      </c>
      <c r="I649" s="25" t="s">
        <v>9135</v>
      </c>
      <c r="J649" s="25" t="s">
        <v>1663</v>
      </c>
      <c r="K649" s="25" t="n">
        <v>0</v>
      </c>
      <c r="L649" s="25" t="str">
        <f aca="false">IF(K649&gt;0,"Yes","No")</f>
        <v>No</v>
      </c>
    </row>
    <row r="650" customFormat="false" ht="15" hidden="false" customHeight="false" outlineLevel="0" collapsed="false">
      <c r="A650" s="25" t="s">
        <v>9136</v>
      </c>
      <c r="B650" s="25" t="s">
        <v>8419</v>
      </c>
      <c r="C650" s="25" t="s">
        <v>8393</v>
      </c>
      <c r="D650" s="25" t="n">
        <v>9</v>
      </c>
      <c r="E650" s="25" t="s">
        <v>8394</v>
      </c>
      <c r="F650" s="25" t="s">
        <v>8395</v>
      </c>
      <c r="G650" s="25" t="s">
        <v>8396</v>
      </c>
      <c r="H650" s="25" t="s">
        <v>9132</v>
      </c>
      <c r="I650" s="25" t="s">
        <v>9137</v>
      </c>
      <c r="J650" s="25" t="s">
        <v>1663</v>
      </c>
      <c r="K650" s="25" t="n">
        <v>0</v>
      </c>
      <c r="L650" s="25" t="str">
        <f aca="false">IF(K650&gt;0,"Yes","No")</f>
        <v>No</v>
      </c>
    </row>
    <row r="651" customFormat="false" ht="15" hidden="false" customHeight="false" outlineLevel="0" collapsed="false">
      <c r="A651" s="25" t="s">
        <v>9138</v>
      </c>
      <c r="B651" s="25" t="s">
        <v>8419</v>
      </c>
      <c r="C651" s="25" t="s">
        <v>8393</v>
      </c>
      <c r="D651" s="25" t="n">
        <v>9</v>
      </c>
      <c r="E651" s="25" t="s">
        <v>8394</v>
      </c>
      <c r="F651" s="25" t="s">
        <v>8395</v>
      </c>
      <c r="G651" s="25" t="s">
        <v>8396</v>
      </c>
      <c r="H651" s="25" t="s">
        <v>9132</v>
      </c>
      <c r="I651" s="25" t="s">
        <v>9139</v>
      </c>
      <c r="J651" s="25" t="s">
        <v>1663</v>
      </c>
      <c r="K651" s="25" t="n">
        <v>0</v>
      </c>
      <c r="L651" s="25" t="str">
        <f aca="false">IF(K651&gt;0,"Yes","No")</f>
        <v>No</v>
      </c>
    </row>
    <row r="652" customFormat="false" ht="15" hidden="false" customHeight="false" outlineLevel="0" collapsed="false">
      <c r="A652" s="25" t="s">
        <v>9140</v>
      </c>
      <c r="B652" s="25" t="s">
        <v>8392</v>
      </c>
      <c r="C652" s="25" t="s">
        <v>8393</v>
      </c>
      <c r="D652" s="25" t="n">
        <v>9</v>
      </c>
      <c r="E652" s="25" t="s">
        <v>8394</v>
      </c>
      <c r="F652" s="25" t="s">
        <v>8395</v>
      </c>
      <c r="G652" s="25" t="s">
        <v>8396</v>
      </c>
      <c r="H652" s="25" t="s">
        <v>8397</v>
      </c>
      <c r="I652" s="25" t="s">
        <v>9141</v>
      </c>
      <c r="J652" s="25" t="s">
        <v>9142</v>
      </c>
      <c r="K652" s="25" t="n">
        <v>0</v>
      </c>
      <c r="L652" s="25" t="str">
        <f aca="false">IF(K652&gt;0,"Yes","No")</f>
        <v>No</v>
      </c>
    </row>
    <row r="653" customFormat="false" ht="15" hidden="false" customHeight="false" outlineLevel="0" collapsed="false">
      <c r="A653" s="25" t="s">
        <v>9143</v>
      </c>
      <c r="B653" s="25" t="s">
        <v>8419</v>
      </c>
      <c r="C653" s="25" t="s">
        <v>8393</v>
      </c>
      <c r="D653" s="25" t="n">
        <v>9</v>
      </c>
      <c r="E653" s="25" t="s">
        <v>8394</v>
      </c>
      <c r="F653" s="25" t="s">
        <v>8395</v>
      </c>
      <c r="G653" s="25" t="s">
        <v>8396</v>
      </c>
      <c r="H653" s="25" t="s">
        <v>8399</v>
      </c>
      <c r="I653" s="25" t="s">
        <v>9144</v>
      </c>
      <c r="J653" s="25" t="s">
        <v>4189</v>
      </c>
      <c r="K653" s="25" t="n">
        <v>0</v>
      </c>
      <c r="L653" s="25" t="str">
        <f aca="false">IF(K653&gt;0,"Yes","No")</f>
        <v>No</v>
      </c>
    </row>
    <row r="654" customFormat="false" ht="15" hidden="false" customHeight="false" outlineLevel="0" collapsed="false">
      <c r="A654" s="25" t="s">
        <v>9145</v>
      </c>
      <c r="B654" s="25" t="s">
        <v>8419</v>
      </c>
      <c r="C654" s="25" t="s">
        <v>8393</v>
      </c>
      <c r="D654" s="25" t="n">
        <v>9</v>
      </c>
      <c r="E654" s="25" t="s">
        <v>8394</v>
      </c>
      <c r="F654" s="25" t="s">
        <v>8395</v>
      </c>
      <c r="G654" s="25" t="s">
        <v>8396</v>
      </c>
      <c r="H654" s="25" t="s">
        <v>8399</v>
      </c>
      <c r="I654" s="25" t="s">
        <v>9146</v>
      </c>
      <c r="J654" s="25" t="s">
        <v>4189</v>
      </c>
      <c r="K654" s="25" t="n">
        <v>0</v>
      </c>
      <c r="L654" s="25" t="str">
        <f aca="false">IF(K654&gt;0,"Yes","No")</f>
        <v>No</v>
      </c>
    </row>
    <row r="655" customFormat="false" ht="15" hidden="false" customHeight="false" outlineLevel="0" collapsed="false">
      <c r="A655" s="25" t="s">
        <v>9147</v>
      </c>
      <c r="B655" s="25" t="s">
        <v>8419</v>
      </c>
      <c r="C655" s="25" t="s">
        <v>8393</v>
      </c>
      <c r="D655" s="25" t="n">
        <v>9</v>
      </c>
      <c r="E655" s="25" t="s">
        <v>8394</v>
      </c>
      <c r="F655" s="25" t="s">
        <v>8395</v>
      </c>
      <c r="G655" s="25" t="s">
        <v>8396</v>
      </c>
      <c r="H655" s="25" t="s">
        <v>8399</v>
      </c>
      <c r="I655" s="25" t="s">
        <v>9148</v>
      </c>
      <c r="J655" s="25" t="s">
        <v>4189</v>
      </c>
      <c r="K655" s="25" t="n">
        <v>0</v>
      </c>
      <c r="L655" s="25" t="str">
        <f aca="false">IF(K655&gt;0,"Yes","No")</f>
        <v>No</v>
      </c>
    </row>
    <row r="656" customFormat="false" ht="15" hidden="false" customHeight="false" outlineLevel="0" collapsed="false">
      <c r="A656" s="25" t="s">
        <v>9149</v>
      </c>
      <c r="B656" s="25" t="s">
        <v>8419</v>
      </c>
      <c r="C656" s="25" t="s">
        <v>8393</v>
      </c>
      <c r="D656" s="25" t="n">
        <v>9</v>
      </c>
      <c r="E656" s="25" t="s">
        <v>8394</v>
      </c>
      <c r="F656" s="25" t="s">
        <v>8395</v>
      </c>
      <c r="G656" s="25" t="s">
        <v>8402</v>
      </c>
      <c r="H656" s="25"/>
      <c r="I656" s="25" t="s">
        <v>9150</v>
      </c>
      <c r="J656" s="25" t="s">
        <v>4189</v>
      </c>
      <c r="K656" s="25" t="n">
        <v>0</v>
      </c>
      <c r="L656" s="25" t="str">
        <f aca="false">IF(K656&gt;0,"Yes","No")</f>
        <v>No</v>
      </c>
    </row>
    <row r="657" customFormat="false" ht="15" hidden="false" customHeight="false" outlineLevel="0" collapsed="false">
      <c r="A657" s="25" t="s">
        <v>9151</v>
      </c>
      <c r="B657" s="25" t="s">
        <v>8419</v>
      </c>
      <c r="C657" s="25" t="s">
        <v>8393</v>
      </c>
      <c r="D657" s="25" t="n">
        <v>9</v>
      </c>
      <c r="E657" s="25" t="s">
        <v>8394</v>
      </c>
      <c r="F657" s="25" t="s">
        <v>8395</v>
      </c>
      <c r="G657" s="25" t="s">
        <v>8402</v>
      </c>
      <c r="H657" s="25"/>
      <c r="I657" s="25" t="s">
        <v>9152</v>
      </c>
      <c r="J657" s="25" t="s">
        <v>4189</v>
      </c>
      <c r="K657" s="25" t="n">
        <v>0</v>
      </c>
      <c r="L657" s="25" t="str">
        <f aca="false">IF(K657&gt;0,"Yes","No")</f>
        <v>No</v>
      </c>
    </row>
    <row r="658" customFormat="false" ht="15" hidden="false" customHeight="false" outlineLevel="0" collapsed="false">
      <c r="A658" s="25" t="s">
        <v>9153</v>
      </c>
      <c r="B658" s="25" t="s">
        <v>8419</v>
      </c>
      <c r="C658" s="25" t="s">
        <v>8393</v>
      </c>
      <c r="D658" s="25" t="n">
        <v>9</v>
      </c>
      <c r="E658" s="25" t="s">
        <v>8394</v>
      </c>
      <c r="F658" s="25" t="s">
        <v>8395</v>
      </c>
      <c r="G658" s="25" t="s">
        <v>8402</v>
      </c>
      <c r="H658" s="25"/>
      <c r="I658" s="25" t="s">
        <v>9154</v>
      </c>
      <c r="J658" s="25" t="s">
        <v>4189</v>
      </c>
      <c r="K658" s="25" t="n">
        <v>0</v>
      </c>
      <c r="L658" s="25" t="str">
        <f aca="false">IF(K658&gt;0,"Yes","No")</f>
        <v>No</v>
      </c>
    </row>
    <row r="659" customFormat="false" ht="15" hidden="false" customHeight="false" outlineLevel="0" collapsed="false">
      <c r="A659" s="25" t="s">
        <v>9155</v>
      </c>
      <c r="B659" s="25" t="s">
        <v>8392</v>
      </c>
      <c r="C659" s="25" t="s">
        <v>8393</v>
      </c>
      <c r="D659" s="25" t="n">
        <v>9</v>
      </c>
      <c r="E659" s="25" t="s">
        <v>8394</v>
      </c>
      <c r="F659" s="25" t="s">
        <v>8395</v>
      </c>
      <c r="G659" s="25" t="s">
        <v>8396</v>
      </c>
      <c r="H659" s="25" t="s">
        <v>8397</v>
      </c>
      <c r="I659" s="25" t="s">
        <v>1379</v>
      </c>
      <c r="J659" s="25" t="s">
        <v>9156</v>
      </c>
      <c r="K659" s="25" t="n">
        <v>0</v>
      </c>
      <c r="L659" s="25" t="str">
        <f aca="false">IF(K659&gt;0,"Yes","No")</f>
        <v>No</v>
      </c>
    </row>
    <row r="660" customFormat="false" ht="15" hidden="false" customHeight="false" outlineLevel="0" collapsed="false">
      <c r="A660" s="25" t="s">
        <v>9157</v>
      </c>
      <c r="B660" s="25" t="s">
        <v>8419</v>
      </c>
      <c r="C660" s="25" t="s">
        <v>8393</v>
      </c>
      <c r="D660" s="25" t="n">
        <v>9</v>
      </c>
      <c r="E660" s="25" t="s">
        <v>8394</v>
      </c>
      <c r="F660" s="25" t="s">
        <v>8395</v>
      </c>
      <c r="G660" s="25" t="s">
        <v>8396</v>
      </c>
      <c r="H660" s="25" t="s">
        <v>8399</v>
      </c>
      <c r="I660" s="25" t="s">
        <v>9158</v>
      </c>
      <c r="J660" s="25" t="s">
        <v>9159</v>
      </c>
      <c r="K660" s="25" t="n">
        <v>0</v>
      </c>
      <c r="L660" s="25" t="str">
        <f aca="false">IF(K660&gt;0,"Yes","No")</f>
        <v>No</v>
      </c>
    </row>
    <row r="661" customFormat="false" ht="15" hidden="false" customHeight="false" outlineLevel="0" collapsed="false">
      <c r="A661" s="25" t="s">
        <v>9160</v>
      </c>
      <c r="B661" s="25" t="s">
        <v>8419</v>
      </c>
      <c r="C661" s="25" t="s">
        <v>8393</v>
      </c>
      <c r="D661" s="25" t="n">
        <v>9</v>
      </c>
      <c r="E661" s="25" t="s">
        <v>8394</v>
      </c>
      <c r="F661" s="25" t="s">
        <v>8395</v>
      </c>
      <c r="G661" s="25" t="s">
        <v>8396</v>
      </c>
      <c r="H661" s="25" t="s">
        <v>8399</v>
      </c>
      <c r="I661" s="25" t="s">
        <v>9161</v>
      </c>
      <c r="J661" s="25" t="s">
        <v>9159</v>
      </c>
      <c r="K661" s="25" t="n">
        <v>0</v>
      </c>
      <c r="L661" s="25" t="str">
        <f aca="false">IF(K661&gt;0,"Yes","No")</f>
        <v>No</v>
      </c>
    </row>
    <row r="662" customFormat="false" ht="15" hidden="false" customHeight="false" outlineLevel="0" collapsed="false">
      <c r="A662" s="25" t="s">
        <v>9162</v>
      </c>
      <c r="B662" s="25" t="s">
        <v>8419</v>
      </c>
      <c r="C662" s="25" t="s">
        <v>8393</v>
      </c>
      <c r="D662" s="25" t="n">
        <v>9</v>
      </c>
      <c r="E662" s="25" t="s">
        <v>8394</v>
      </c>
      <c r="F662" s="25" t="s">
        <v>8395</v>
      </c>
      <c r="G662" s="25" t="s">
        <v>8396</v>
      </c>
      <c r="H662" s="25" t="s">
        <v>8399</v>
      </c>
      <c r="I662" s="25" t="s">
        <v>9163</v>
      </c>
      <c r="J662" s="25" t="s">
        <v>9159</v>
      </c>
      <c r="K662" s="25" t="n">
        <v>0</v>
      </c>
      <c r="L662" s="25" t="str">
        <f aca="false">IF(K662&gt;0,"Yes","No")</f>
        <v>No</v>
      </c>
    </row>
    <row r="663" customFormat="false" ht="15" hidden="false" customHeight="false" outlineLevel="0" collapsed="false">
      <c r="A663" s="25" t="s">
        <v>9164</v>
      </c>
      <c r="B663" s="25" t="s">
        <v>8419</v>
      </c>
      <c r="C663" s="25" t="s">
        <v>8393</v>
      </c>
      <c r="D663" s="25" t="n">
        <v>9</v>
      </c>
      <c r="E663" s="25" t="s">
        <v>8394</v>
      </c>
      <c r="F663" s="25" t="s">
        <v>8395</v>
      </c>
      <c r="G663" s="25" t="s">
        <v>8396</v>
      </c>
      <c r="H663" s="25" t="s">
        <v>8399</v>
      </c>
      <c r="I663" s="25" t="s">
        <v>9165</v>
      </c>
      <c r="J663" s="25" t="s">
        <v>9166</v>
      </c>
      <c r="K663" s="25" t="n">
        <v>0</v>
      </c>
      <c r="L663" s="25" t="str">
        <f aca="false">IF(K663&gt;0,"Yes","No")</f>
        <v>No</v>
      </c>
    </row>
    <row r="664" customFormat="false" ht="15" hidden="false" customHeight="false" outlineLevel="0" collapsed="false">
      <c r="A664" s="25" t="s">
        <v>9167</v>
      </c>
      <c r="B664" s="25" t="s">
        <v>8419</v>
      </c>
      <c r="C664" s="25" t="s">
        <v>8393</v>
      </c>
      <c r="D664" s="25" t="n">
        <v>9</v>
      </c>
      <c r="E664" s="25" t="s">
        <v>8394</v>
      </c>
      <c r="F664" s="25" t="s">
        <v>8395</v>
      </c>
      <c r="G664" s="25" t="s">
        <v>8396</v>
      </c>
      <c r="H664" s="25" t="s">
        <v>8399</v>
      </c>
      <c r="I664" s="25" t="s">
        <v>9168</v>
      </c>
      <c r="J664" s="25" t="s">
        <v>9166</v>
      </c>
      <c r="K664" s="25" t="n">
        <v>0</v>
      </c>
      <c r="L664" s="25" t="str">
        <f aca="false">IF(K664&gt;0,"Yes","No")</f>
        <v>No</v>
      </c>
    </row>
    <row r="665" customFormat="false" ht="15" hidden="false" customHeight="false" outlineLevel="0" collapsed="false">
      <c r="A665" s="25" t="s">
        <v>9169</v>
      </c>
      <c r="B665" s="25" t="s">
        <v>8392</v>
      </c>
      <c r="C665" s="25" t="s">
        <v>8393</v>
      </c>
      <c r="D665" s="25" t="n">
        <v>9</v>
      </c>
      <c r="E665" s="25" t="s">
        <v>8394</v>
      </c>
      <c r="F665" s="25" t="s">
        <v>8395</v>
      </c>
      <c r="G665" s="25" t="s">
        <v>8396</v>
      </c>
      <c r="H665" s="25" t="s">
        <v>8408</v>
      </c>
      <c r="I665" s="25" t="s">
        <v>9170</v>
      </c>
      <c r="J665" s="25" t="s">
        <v>9171</v>
      </c>
      <c r="K665" s="25" t="n">
        <v>0</v>
      </c>
      <c r="L665" s="25" t="str">
        <f aca="false">IF(K665&gt;0,"Yes","No")</f>
        <v>No</v>
      </c>
    </row>
    <row r="666" customFormat="false" ht="15" hidden="false" customHeight="false" outlineLevel="0" collapsed="false">
      <c r="A666" s="25" t="s">
        <v>9172</v>
      </c>
      <c r="B666" s="25" t="s">
        <v>8419</v>
      </c>
      <c r="C666" s="25" t="s">
        <v>8393</v>
      </c>
      <c r="D666" s="25" t="n">
        <v>9</v>
      </c>
      <c r="E666" s="25" t="s">
        <v>8394</v>
      </c>
      <c r="F666" s="25" t="s">
        <v>8395</v>
      </c>
      <c r="G666" s="25" t="s">
        <v>8396</v>
      </c>
      <c r="H666" s="25" t="s">
        <v>9078</v>
      </c>
      <c r="I666" s="25" t="s">
        <v>9173</v>
      </c>
      <c r="J666" s="25" t="s">
        <v>9174</v>
      </c>
      <c r="K666" s="25" t="n">
        <v>0</v>
      </c>
      <c r="L666" s="25" t="str">
        <f aca="false">IF(K666&gt;0,"Yes","No")</f>
        <v>No</v>
      </c>
    </row>
    <row r="667" customFormat="false" ht="15" hidden="false" customHeight="false" outlineLevel="0" collapsed="false">
      <c r="A667" s="25" t="s">
        <v>9175</v>
      </c>
      <c r="B667" s="25" t="s">
        <v>8392</v>
      </c>
      <c r="C667" s="25" t="s">
        <v>8393</v>
      </c>
      <c r="D667" s="25" t="n">
        <v>9</v>
      </c>
      <c r="E667" s="25" t="s">
        <v>8394</v>
      </c>
      <c r="F667" s="25" t="s">
        <v>8395</v>
      </c>
      <c r="G667" s="25" t="s">
        <v>8396</v>
      </c>
      <c r="H667" s="25" t="s">
        <v>9078</v>
      </c>
      <c r="I667" s="25" t="s">
        <v>9176</v>
      </c>
      <c r="J667" s="25" t="s">
        <v>9174</v>
      </c>
      <c r="K667" s="25" t="n">
        <v>0</v>
      </c>
      <c r="L667" s="25" t="str">
        <f aca="false">IF(K667&gt;0,"Yes","No")</f>
        <v>No</v>
      </c>
    </row>
    <row r="668" customFormat="false" ht="15" hidden="false" customHeight="false" outlineLevel="0" collapsed="false">
      <c r="A668" s="25" t="s">
        <v>9177</v>
      </c>
      <c r="B668" s="25" t="s">
        <v>8419</v>
      </c>
      <c r="C668" s="25" t="s">
        <v>8393</v>
      </c>
      <c r="D668" s="25" t="n">
        <v>9</v>
      </c>
      <c r="E668" s="25" t="s">
        <v>8394</v>
      </c>
      <c r="F668" s="25" t="s">
        <v>8395</v>
      </c>
      <c r="G668" s="25" t="s">
        <v>8396</v>
      </c>
      <c r="H668" s="25" t="s">
        <v>8399</v>
      </c>
      <c r="I668" s="25" t="s">
        <v>9178</v>
      </c>
      <c r="J668" s="25" t="s">
        <v>2845</v>
      </c>
      <c r="K668" s="25" t="n">
        <v>0</v>
      </c>
      <c r="L668" s="25" t="str">
        <f aca="false">IF(K668&gt;0,"Yes","No")</f>
        <v>No</v>
      </c>
    </row>
    <row r="669" customFormat="false" ht="15" hidden="false" customHeight="false" outlineLevel="0" collapsed="false">
      <c r="A669" s="25" t="s">
        <v>9179</v>
      </c>
      <c r="B669" s="25" t="s">
        <v>8419</v>
      </c>
      <c r="C669" s="25" t="s">
        <v>8393</v>
      </c>
      <c r="D669" s="25" t="n">
        <v>9</v>
      </c>
      <c r="E669" s="25" t="s">
        <v>8394</v>
      </c>
      <c r="F669" s="25" t="s">
        <v>8395</v>
      </c>
      <c r="G669" s="25" t="s">
        <v>8396</v>
      </c>
      <c r="H669" s="25" t="s">
        <v>8399</v>
      </c>
      <c r="I669" s="25" t="s">
        <v>9180</v>
      </c>
      <c r="J669" s="25" t="s">
        <v>2845</v>
      </c>
      <c r="K669" s="25" t="n">
        <v>0</v>
      </c>
      <c r="L669" s="25" t="str">
        <f aca="false">IF(K669&gt;0,"Yes","No")</f>
        <v>No</v>
      </c>
    </row>
    <row r="670" customFormat="false" ht="15" hidden="false" customHeight="false" outlineLevel="0" collapsed="false">
      <c r="A670" s="25" t="s">
        <v>9181</v>
      </c>
      <c r="B670" s="25" t="s">
        <v>8419</v>
      </c>
      <c r="C670" s="25" t="s">
        <v>8393</v>
      </c>
      <c r="D670" s="25" t="n">
        <v>9</v>
      </c>
      <c r="E670" s="25" t="s">
        <v>8394</v>
      </c>
      <c r="F670" s="25" t="s">
        <v>8395</v>
      </c>
      <c r="G670" s="25" t="s">
        <v>8396</v>
      </c>
      <c r="H670" s="25" t="s">
        <v>8399</v>
      </c>
      <c r="I670" s="25" t="s">
        <v>9182</v>
      </c>
      <c r="J670" s="25" t="s">
        <v>2845</v>
      </c>
      <c r="K670" s="25" t="n">
        <v>0</v>
      </c>
      <c r="L670" s="25" t="str">
        <f aca="false">IF(K670&gt;0,"Yes","No")</f>
        <v>No</v>
      </c>
    </row>
    <row r="671" customFormat="false" ht="15" hidden="false" customHeight="false" outlineLevel="0" collapsed="false">
      <c r="A671" s="25" t="s">
        <v>9183</v>
      </c>
      <c r="B671" s="25" t="s">
        <v>8419</v>
      </c>
      <c r="C671" s="25" t="s">
        <v>8393</v>
      </c>
      <c r="D671" s="25" t="n">
        <v>9</v>
      </c>
      <c r="E671" s="25" t="s">
        <v>8394</v>
      </c>
      <c r="F671" s="25" t="s">
        <v>8395</v>
      </c>
      <c r="G671" s="25" t="s">
        <v>8396</v>
      </c>
      <c r="H671" s="25" t="s">
        <v>8397</v>
      </c>
      <c r="I671" s="25" t="s">
        <v>9184</v>
      </c>
      <c r="J671" s="25" t="s">
        <v>1499</v>
      </c>
      <c r="K671" s="25" t="n">
        <v>0</v>
      </c>
      <c r="L671" s="25" t="str">
        <f aca="false">IF(K671&gt;0,"Yes","No")</f>
        <v>No</v>
      </c>
    </row>
    <row r="672" customFormat="false" ht="15" hidden="false" customHeight="false" outlineLevel="0" collapsed="false">
      <c r="A672" s="25" t="s">
        <v>9185</v>
      </c>
      <c r="B672" s="25" t="s">
        <v>8419</v>
      </c>
      <c r="C672" s="25" t="s">
        <v>8393</v>
      </c>
      <c r="D672" s="25" t="n">
        <v>9</v>
      </c>
      <c r="E672" s="25" t="s">
        <v>8394</v>
      </c>
      <c r="F672" s="25" t="s">
        <v>8395</v>
      </c>
      <c r="G672" s="25" t="s">
        <v>8396</v>
      </c>
      <c r="H672" s="25" t="s">
        <v>8397</v>
      </c>
      <c r="I672" s="25" t="s">
        <v>9186</v>
      </c>
      <c r="J672" s="25" t="s">
        <v>1499</v>
      </c>
      <c r="K672" s="25" t="n">
        <v>0</v>
      </c>
      <c r="L672" s="25" t="str">
        <f aca="false">IF(K672&gt;0,"Yes","No")</f>
        <v>No</v>
      </c>
    </row>
    <row r="673" customFormat="false" ht="15" hidden="false" customHeight="false" outlineLevel="0" collapsed="false">
      <c r="A673" s="25" t="s">
        <v>9187</v>
      </c>
      <c r="B673" s="25" t="s">
        <v>8419</v>
      </c>
      <c r="C673" s="25" t="s">
        <v>8393</v>
      </c>
      <c r="D673" s="25" t="n">
        <v>9</v>
      </c>
      <c r="E673" s="25" t="s">
        <v>8394</v>
      </c>
      <c r="F673" s="25" t="s">
        <v>8395</v>
      </c>
      <c r="G673" s="25" t="s">
        <v>8396</v>
      </c>
      <c r="H673" s="25" t="s">
        <v>8397</v>
      </c>
      <c r="I673" s="25" t="s">
        <v>9188</v>
      </c>
      <c r="J673" s="25" t="s">
        <v>1499</v>
      </c>
      <c r="K673" s="25" t="n">
        <v>0</v>
      </c>
      <c r="L673" s="25" t="str">
        <f aca="false">IF(K673&gt;0,"Yes","No")</f>
        <v>No</v>
      </c>
    </row>
    <row r="674" customFormat="false" ht="15" hidden="false" customHeight="false" outlineLevel="0" collapsed="false">
      <c r="A674" s="25" t="s">
        <v>9189</v>
      </c>
      <c r="B674" s="25" t="s">
        <v>8419</v>
      </c>
      <c r="C674" s="25" t="s">
        <v>8393</v>
      </c>
      <c r="D674" s="25" t="n">
        <v>9</v>
      </c>
      <c r="E674" s="25" t="s">
        <v>8394</v>
      </c>
      <c r="F674" s="25" t="s">
        <v>8395</v>
      </c>
      <c r="G674" s="25" t="s">
        <v>8396</v>
      </c>
      <c r="H674" s="25" t="s">
        <v>8397</v>
      </c>
      <c r="I674" s="25" t="s">
        <v>9190</v>
      </c>
      <c r="J674" s="25" t="s">
        <v>1499</v>
      </c>
      <c r="K674" s="25" t="n">
        <v>0</v>
      </c>
      <c r="L674" s="25" t="str">
        <f aca="false">IF(K674&gt;0,"Yes","No")</f>
        <v>No</v>
      </c>
    </row>
    <row r="675" customFormat="false" ht="15" hidden="false" customHeight="false" outlineLevel="0" collapsed="false">
      <c r="A675" s="25" t="s">
        <v>9191</v>
      </c>
      <c r="B675" s="25" t="s">
        <v>8392</v>
      </c>
      <c r="C675" s="25" t="s">
        <v>8393</v>
      </c>
      <c r="D675" s="25" t="n">
        <v>9</v>
      </c>
      <c r="E675" s="25" t="s">
        <v>8394</v>
      </c>
      <c r="F675" s="25" t="s">
        <v>8395</v>
      </c>
      <c r="G675" s="25" t="s">
        <v>8396</v>
      </c>
      <c r="H675" s="25" t="s">
        <v>8397</v>
      </c>
      <c r="I675" s="25" t="s">
        <v>9192</v>
      </c>
      <c r="J675" s="25" t="s">
        <v>1499</v>
      </c>
      <c r="K675" s="25" t="n">
        <v>0</v>
      </c>
      <c r="L675" s="25" t="str">
        <f aca="false">IF(K675&gt;0,"Yes","No")</f>
        <v>No</v>
      </c>
    </row>
    <row r="676" customFormat="false" ht="15" hidden="false" customHeight="false" outlineLevel="0" collapsed="false">
      <c r="A676" s="25" t="s">
        <v>9193</v>
      </c>
      <c r="B676" s="25" t="s">
        <v>8419</v>
      </c>
      <c r="C676" s="25" t="s">
        <v>8393</v>
      </c>
      <c r="D676" s="25" t="n">
        <v>9</v>
      </c>
      <c r="E676" s="25" t="s">
        <v>8394</v>
      </c>
      <c r="F676" s="25" t="s">
        <v>8395</v>
      </c>
      <c r="G676" s="25" t="s">
        <v>8396</v>
      </c>
      <c r="H676" s="25" t="s">
        <v>8399</v>
      </c>
      <c r="I676" s="25" t="s">
        <v>9194</v>
      </c>
      <c r="J676" s="25" t="s">
        <v>1654</v>
      </c>
      <c r="K676" s="25" t="n">
        <v>0</v>
      </c>
      <c r="L676" s="25" t="str">
        <f aca="false">IF(K676&gt;0,"Yes","No")</f>
        <v>No</v>
      </c>
    </row>
    <row r="677" customFormat="false" ht="15" hidden="false" customHeight="false" outlineLevel="0" collapsed="false">
      <c r="A677" s="25" t="s">
        <v>9195</v>
      </c>
      <c r="B677" s="25" t="s">
        <v>8419</v>
      </c>
      <c r="C677" s="25" t="s">
        <v>8393</v>
      </c>
      <c r="D677" s="25" t="n">
        <v>9</v>
      </c>
      <c r="E677" s="25" t="s">
        <v>8394</v>
      </c>
      <c r="F677" s="25" t="s">
        <v>8395</v>
      </c>
      <c r="G677" s="25" t="s">
        <v>8400</v>
      </c>
      <c r="H677" s="25"/>
      <c r="I677" s="25" t="s">
        <v>9196</v>
      </c>
      <c r="J677" s="25" t="s">
        <v>2819</v>
      </c>
      <c r="K677" s="25" t="n">
        <v>0</v>
      </c>
      <c r="L677" s="25" t="str">
        <f aca="false">IF(K677&gt;0,"Yes","No")</f>
        <v>No</v>
      </c>
    </row>
    <row r="678" customFormat="false" ht="15" hidden="false" customHeight="false" outlineLevel="0" collapsed="false">
      <c r="A678" s="25" t="s">
        <v>9197</v>
      </c>
      <c r="B678" s="25" t="s">
        <v>8392</v>
      </c>
      <c r="C678" s="25" t="s">
        <v>8393</v>
      </c>
      <c r="D678" s="25" t="n">
        <v>9</v>
      </c>
      <c r="E678" s="25" t="s">
        <v>8394</v>
      </c>
      <c r="F678" s="25" t="s">
        <v>8395</v>
      </c>
      <c r="G678" s="25" t="s">
        <v>8398</v>
      </c>
      <c r="H678" s="25"/>
      <c r="I678" s="25" t="s">
        <v>9198</v>
      </c>
      <c r="J678" s="25" t="s">
        <v>9199</v>
      </c>
      <c r="K678" s="25" t="n">
        <v>0</v>
      </c>
      <c r="L678" s="25" t="str">
        <f aca="false">IF(K678&gt;0,"Yes","No")</f>
        <v>No</v>
      </c>
    </row>
    <row r="679" customFormat="false" ht="15" hidden="false" customHeight="false" outlineLevel="0" collapsed="false">
      <c r="A679" s="25" t="s">
        <v>9200</v>
      </c>
      <c r="B679" s="25" t="s">
        <v>8419</v>
      </c>
      <c r="C679" s="25" t="s">
        <v>8393</v>
      </c>
      <c r="D679" s="25" t="n">
        <v>9</v>
      </c>
      <c r="E679" s="25" t="s">
        <v>8394</v>
      </c>
      <c r="F679" s="25" t="s">
        <v>8395</v>
      </c>
      <c r="G679" s="25" t="s">
        <v>8396</v>
      </c>
      <c r="H679" s="25" t="s">
        <v>8403</v>
      </c>
      <c r="I679" s="25" t="s">
        <v>9201</v>
      </c>
      <c r="J679" s="25" t="s">
        <v>805</v>
      </c>
      <c r="K679" s="25" t="n">
        <v>0</v>
      </c>
      <c r="L679" s="25" t="str">
        <f aca="false">IF(K679&gt;0,"Yes","No")</f>
        <v>No</v>
      </c>
    </row>
    <row r="680" customFormat="false" ht="15" hidden="false" customHeight="false" outlineLevel="0" collapsed="false">
      <c r="A680" s="25" t="s">
        <v>9202</v>
      </c>
      <c r="B680" s="25" t="s">
        <v>8419</v>
      </c>
      <c r="C680" s="25" t="s">
        <v>8393</v>
      </c>
      <c r="D680" s="25" t="n">
        <v>9</v>
      </c>
      <c r="E680" s="25" t="s">
        <v>8394</v>
      </c>
      <c r="F680" s="25" t="s">
        <v>8395</v>
      </c>
      <c r="G680" s="25" t="s">
        <v>8396</v>
      </c>
      <c r="H680" s="25" t="s">
        <v>8403</v>
      </c>
      <c r="I680" s="25" t="s">
        <v>9203</v>
      </c>
      <c r="J680" s="25" t="s">
        <v>805</v>
      </c>
      <c r="K680" s="25" t="n">
        <v>0</v>
      </c>
      <c r="L680" s="25" t="str">
        <f aca="false">IF(K680&gt;0,"Yes","No")</f>
        <v>No</v>
      </c>
    </row>
    <row r="681" customFormat="false" ht="15" hidden="false" customHeight="false" outlineLevel="0" collapsed="false">
      <c r="A681" s="25" t="s">
        <v>9204</v>
      </c>
      <c r="B681" s="25" t="s">
        <v>8419</v>
      </c>
      <c r="C681" s="25" t="s">
        <v>8393</v>
      </c>
      <c r="D681" s="25" t="n">
        <v>9</v>
      </c>
      <c r="E681" s="25" t="s">
        <v>8394</v>
      </c>
      <c r="F681" s="25" t="s">
        <v>8395</v>
      </c>
      <c r="G681" s="25" t="s">
        <v>8396</v>
      </c>
      <c r="H681" s="25" t="s">
        <v>8399</v>
      </c>
      <c r="I681" s="25" t="s">
        <v>9205</v>
      </c>
      <c r="J681" s="25" t="s">
        <v>949</v>
      </c>
      <c r="K681" s="25" t="n">
        <v>0</v>
      </c>
      <c r="L681" s="25" t="str">
        <f aca="false">IF(K681&gt;0,"Yes","No")</f>
        <v>No</v>
      </c>
    </row>
    <row r="682" customFormat="false" ht="15" hidden="false" customHeight="false" outlineLevel="0" collapsed="false">
      <c r="A682" s="25" t="s">
        <v>9206</v>
      </c>
      <c r="B682" s="25" t="s">
        <v>8419</v>
      </c>
      <c r="C682" s="25" t="s">
        <v>8393</v>
      </c>
      <c r="D682" s="25" t="n">
        <v>9</v>
      </c>
      <c r="E682" s="25" t="s">
        <v>8394</v>
      </c>
      <c r="F682" s="25" t="s">
        <v>8395</v>
      </c>
      <c r="G682" s="25" t="s">
        <v>8396</v>
      </c>
      <c r="H682" s="25" t="s">
        <v>8399</v>
      </c>
      <c r="I682" s="25" t="s">
        <v>9207</v>
      </c>
      <c r="J682" s="25" t="s">
        <v>949</v>
      </c>
      <c r="K682" s="25" t="n">
        <v>0</v>
      </c>
      <c r="L682" s="25" t="str">
        <f aca="false">IF(K682&gt;0,"Yes","No")</f>
        <v>No</v>
      </c>
    </row>
    <row r="683" customFormat="false" ht="15" hidden="false" customHeight="false" outlineLevel="0" collapsed="false">
      <c r="A683" s="25" t="s">
        <v>9208</v>
      </c>
      <c r="B683" s="25" t="s">
        <v>8392</v>
      </c>
      <c r="C683" s="25" t="s">
        <v>8393</v>
      </c>
      <c r="D683" s="25" t="n">
        <v>9</v>
      </c>
      <c r="E683" s="25" t="s">
        <v>8394</v>
      </c>
      <c r="F683" s="25" t="s">
        <v>8395</v>
      </c>
      <c r="G683" s="25" t="s">
        <v>8398</v>
      </c>
      <c r="H683" s="25"/>
      <c r="I683" s="25" t="s">
        <v>515</v>
      </c>
      <c r="J683" s="25" t="s">
        <v>949</v>
      </c>
      <c r="K683" s="25" t="n">
        <v>0</v>
      </c>
      <c r="L683" s="25" t="str">
        <f aca="false">IF(K683&gt;0,"Yes","No")</f>
        <v>No</v>
      </c>
    </row>
    <row r="684" customFormat="false" ht="15" hidden="false" customHeight="false" outlineLevel="0" collapsed="false">
      <c r="A684" s="25" t="s">
        <v>9209</v>
      </c>
      <c r="B684" s="25" t="s">
        <v>8392</v>
      </c>
      <c r="C684" s="25" t="s">
        <v>8393</v>
      </c>
      <c r="D684" s="25" t="n">
        <v>9</v>
      </c>
      <c r="E684" s="25" t="s">
        <v>8394</v>
      </c>
      <c r="F684" s="25" t="s">
        <v>8395</v>
      </c>
      <c r="G684" s="25" t="s">
        <v>8396</v>
      </c>
      <c r="H684" s="25" t="s">
        <v>8397</v>
      </c>
      <c r="I684" s="25" t="s">
        <v>9210</v>
      </c>
      <c r="J684" s="25" t="s">
        <v>9211</v>
      </c>
      <c r="K684" s="25" t="n">
        <v>0</v>
      </c>
      <c r="L684" s="25" t="str">
        <f aca="false">IF(K684&gt;0,"Yes","No")</f>
        <v>No</v>
      </c>
    </row>
    <row r="685" customFormat="false" ht="15" hidden="false" customHeight="false" outlineLevel="0" collapsed="false">
      <c r="A685" s="25" t="s">
        <v>9212</v>
      </c>
      <c r="B685" s="25" t="s">
        <v>8419</v>
      </c>
      <c r="C685" s="25" t="s">
        <v>8393</v>
      </c>
      <c r="D685" s="25" t="n">
        <v>9</v>
      </c>
      <c r="E685" s="25" t="s">
        <v>8394</v>
      </c>
      <c r="F685" s="25" t="s">
        <v>8395</v>
      </c>
      <c r="G685" s="25" t="s">
        <v>8396</v>
      </c>
      <c r="H685" s="25" t="s">
        <v>8399</v>
      </c>
      <c r="I685" s="25" t="s">
        <v>9213</v>
      </c>
      <c r="J685" s="25" t="s">
        <v>9214</v>
      </c>
      <c r="K685" s="25" t="n">
        <v>0</v>
      </c>
      <c r="L685" s="25" t="str">
        <f aca="false">IF(K685&gt;0,"Yes","No")</f>
        <v>No</v>
      </c>
    </row>
    <row r="686" customFormat="false" ht="15" hidden="false" customHeight="false" outlineLevel="0" collapsed="false">
      <c r="A686" s="25" t="s">
        <v>9215</v>
      </c>
      <c r="B686" s="25" t="s">
        <v>8419</v>
      </c>
      <c r="C686" s="25" t="s">
        <v>8393</v>
      </c>
      <c r="D686" s="25" t="n">
        <v>9</v>
      </c>
      <c r="E686" s="25" t="s">
        <v>8394</v>
      </c>
      <c r="F686" s="25" t="s">
        <v>8395</v>
      </c>
      <c r="G686" s="25" t="s">
        <v>8396</v>
      </c>
      <c r="H686" s="25" t="s">
        <v>8399</v>
      </c>
      <c r="I686" s="25" t="s">
        <v>9216</v>
      </c>
      <c r="J686" s="25" t="s">
        <v>9214</v>
      </c>
      <c r="K686" s="25" t="n">
        <v>0</v>
      </c>
      <c r="L686" s="25" t="str">
        <f aca="false">IF(K686&gt;0,"Yes","No")</f>
        <v>No</v>
      </c>
    </row>
    <row r="687" customFormat="false" ht="15" hidden="false" customHeight="false" outlineLevel="0" collapsed="false">
      <c r="A687" s="25" t="s">
        <v>9217</v>
      </c>
      <c r="B687" s="25" t="s">
        <v>8419</v>
      </c>
      <c r="C687" s="25" t="s">
        <v>8393</v>
      </c>
      <c r="D687" s="25" t="n">
        <v>9</v>
      </c>
      <c r="E687" s="25" t="s">
        <v>8394</v>
      </c>
      <c r="F687" s="25" t="s">
        <v>8395</v>
      </c>
      <c r="G687" s="25" t="s">
        <v>8396</v>
      </c>
      <c r="H687" s="25" t="s">
        <v>8399</v>
      </c>
      <c r="I687" s="25" t="s">
        <v>9218</v>
      </c>
      <c r="J687" s="25" t="s">
        <v>9214</v>
      </c>
      <c r="K687" s="25" t="n">
        <v>0</v>
      </c>
      <c r="L687" s="25" t="str">
        <f aca="false">IF(K687&gt;0,"Yes","No")</f>
        <v>No</v>
      </c>
    </row>
    <row r="688" customFormat="false" ht="15" hidden="false" customHeight="false" outlineLevel="0" collapsed="false">
      <c r="A688" s="25" t="s">
        <v>9219</v>
      </c>
      <c r="B688" s="25" t="s">
        <v>8419</v>
      </c>
      <c r="C688" s="25" t="s">
        <v>8393</v>
      </c>
      <c r="D688" s="25" t="n">
        <v>9</v>
      </c>
      <c r="E688" s="25" t="s">
        <v>8394</v>
      </c>
      <c r="F688" s="25" t="s">
        <v>8395</v>
      </c>
      <c r="G688" s="25" t="s">
        <v>8396</v>
      </c>
      <c r="H688" s="25" t="s">
        <v>8399</v>
      </c>
      <c r="I688" s="25" t="s">
        <v>9220</v>
      </c>
      <c r="J688" s="25" t="s">
        <v>9214</v>
      </c>
      <c r="K688" s="25" t="n">
        <v>0</v>
      </c>
      <c r="L688" s="25" t="str">
        <f aca="false">IF(K688&gt;0,"Yes","No")</f>
        <v>No</v>
      </c>
    </row>
    <row r="689" customFormat="false" ht="15" hidden="false" customHeight="false" outlineLevel="0" collapsed="false">
      <c r="A689" s="25" t="s">
        <v>9221</v>
      </c>
      <c r="B689" s="25" t="s">
        <v>8419</v>
      </c>
      <c r="C689" s="25" t="s">
        <v>8393</v>
      </c>
      <c r="D689" s="25" t="n">
        <v>9</v>
      </c>
      <c r="E689" s="25" t="s">
        <v>8394</v>
      </c>
      <c r="F689" s="25" t="s">
        <v>8395</v>
      </c>
      <c r="G689" s="25" t="s">
        <v>8396</v>
      </c>
      <c r="H689" s="25" t="s">
        <v>8397</v>
      </c>
      <c r="I689" s="25" t="s">
        <v>9222</v>
      </c>
      <c r="J689" s="25" t="s">
        <v>9223</v>
      </c>
      <c r="K689" s="25" t="n">
        <v>0</v>
      </c>
      <c r="L689" s="25" t="str">
        <f aca="false">IF(K689&gt;0,"Yes","No")</f>
        <v>No</v>
      </c>
    </row>
    <row r="690" customFormat="false" ht="15" hidden="false" customHeight="false" outlineLevel="0" collapsed="false">
      <c r="A690" s="25" t="s">
        <v>9224</v>
      </c>
      <c r="B690" s="25" t="s">
        <v>8419</v>
      </c>
      <c r="C690" s="25" t="s">
        <v>8393</v>
      </c>
      <c r="D690" s="25" t="n">
        <v>9</v>
      </c>
      <c r="E690" s="25" t="s">
        <v>8394</v>
      </c>
      <c r="F690" s="25" t="s">
        <v>8395</v>
      </c>
      <c r="G690" s="25" t="s">
        <v>8396</v>
      </c>
      <c r="H690" s="25" t="s">
        <v>8397</v>
      </c>
      <c r="I690" s="25" t="s">
        <v>9225</v>
      </c>
      <c r="J690" s="25" t="s">
        <v>9223</v>
      </c>
      <c r="K690" s="25" t="n">
        <v>0</v>
      </c>
      <c r="L690" s="25" t="str">
        <f aca="false">IF(K690&gt;0,"Yes","No")</f>
        <v>No</v>
      </c>
    </row>
    <row r="691" customFormat="false" ht="15" hidden="false" customHeight="false" outlineLevel="0" collapsed="false">
      <c r="A691" s="25" t="s">
        <v>9226</v>
      </c>
      <c r="B691" s="25" t="s">
        <v>8419</v>
      </c>
      <c r="C691" s="25" t="s">
        <v>8393</v>
      </c>
      <c r="D691" s="25" t="n">
        <v>9</v>
      </c>
      <c r="E691" s="25" t="s">
        <v>8394</v>
      </c>
      <c r="F691" s="25" t="s">
        <v>8395</v>
      </c>
      <c r="G691" s="25" t="s">
        <v>8396</v>
      </c>
      <c r="H691" s="25" t="s">
        <v>8397</v>
      </c>
      <c r="I691" s="25" t="s">
        <v>9227</v>
      </c>
      <c r="J691" s="25" t="s">
        <v>9223</v>
      </c>
      <c r="K691" s="25" t="n">
        <v>0</v>
      </c>
      <c r="L691" s="25" t="str">
        <f aca="false">IF(K691&gt;0,"Yes","No")</f>
        <v>No</v>
      </c>
    </row>
    <row r="692" customFormat="false" ht="15" hidden="false" customHeight="false" outlineLevel="0" collapsed="false">
      <c r="A692" s="25" t="s">
        <v>9228</v>
      </c>
      <c r="B692" s="25" t="s">
        <v>8419</v>
      </c>
      <c r="C692" s="25" t="s">
        <v>8393</v>
      </c>
      <c r="D692" s="25" t="n">
        <v>9</v>
      </c>
      <c r="E692" s="25" t="s">
        <v>8394</v>
      </c>
      <c r="F692" s="25" t="s">
        <v>8395</v>
      </c>
      <c r="G692" s="25" t="s">
        <v>8396</v>
      </c>
      <c r="H692" s="25" t="s">
        <v>8397</v>
      </c>
      <c r="I692" s="25" t="s">
        <v>9229</v>
      </c>
      <c r="J692" s="25" t="s">
        <v>9223</v>
      </c>
      <c r="K692" s="25" t="n">
        <v>0</v>
      </c>
      <c r="L692" s="25" t="str">
        <f aca="false">IF(K692&gt;0,"Yes","No")</f>
        <v>No</v>
      </c>
    </row>
    <row r="693" customFormat="false" ht="15" hidden="false" customHeight="false" outlineLevel="0" collapsed="false">
      <c r="A693" s="25" t="s">
        <v>9230</v>
      </c>
      <c r="B693" s="25" t="s">
        <v>8419</v>
      </c>
      <c r="C693" s="25" t="s">
        <v>8393</v>
      </c>
      <c r="D693" s="25" t="n">
        <v>9</v>
      </c>
      <c r="E693" s="25" t="s">
        <v>8394</v>
      </c>
      <c r="F693" s="25" t="s">
        <v>8395</v>
      </c>
      <c r="G693" s="25" t="s">
        <v>8396</v>
      </c>
      <c r="H693" s="25"/>
      <c r="I693" s="25" t="s">
        <v>9231</v>
      </c>
      <c r="J693" s="25" t="s">
        <v>9223</v>
      </c>
      <c r="K693" s="25" t="n">
        <v>0</v>
      </c>
      <c r="L693" s="25" t="str">
        <f aca="false">IF(K693&gt;0,"Yes","No")</f>
        <v>No</v>
      </c>
    </row>
    <row r="694" customFormat="false" ht="15" hidden="false" customHeight="false" outlineLevel="0" collapsed="false">
      <c r="A694" s="25" t="s">
        <v>9232</v>
      </c>
      <c r="B694" s="25" t="s">
        <v>8419</v>
      </c>
      <c r="C694" s="25" t="s">
        <v>8393</v>
      </c>
      <c r="D694" s="25" t="n">
        <v>9</v>
      </c>
      <c r="E694" s="25" t="s">
        <v>8394</v>
      </c>
      <c r="F694" s="25" t="s">
        <v>8395</v>
      </c>
      <c r="G694" s="25" t="s">
        <v>8396</v>
      </c>
      <c r="H694" s="25" t="s">
        <v>8397</v>
      </c>
      <c r="I694" s="25" t="s">
        <v>9233</v>
      </c>
      <c r="J694" s="25" t="s">
        <v>9223</v>
      </c>
      <c r="K694" s="25" t="n">
        <v>0</v>
      </c>
      <c r="L694" s="25" t="str">
        <f aca="false">IF(K694&gt;0,"Yes","No")</f>
        <v>No</v>
      </c>
    </row>
    <row r="695" customFormat="false" ht="15" hidden="false" customHeight="false" outlineLevel="0" collapsed="false">
      <c r="A695" s="25" t="s">
        <v>9234</v>
      </c>
      <c r="B695" s="25" t="s">
        <v>8392</v>
      </c>
      <c r="C695" s="25" t="s">
        <v>8393</v>
      </c>
      <c r="D695" s="25" t="n">
        <v>9</v>
      </c>
      <c r="E695" s="25" t="s">
        <v>8394</v>
      </c>
      <c r="F695" s="25" t="s">
        <v>8395</v>
      </c>
      <c r="G695" s="25" t="s">
        <v>8396</v>
      </c>
      <c r="H695" s="25" t="s">
        <v>8397</v>
      </c>
      <c r="I695" s="25" t="s">
        <v>9235</v>
      </c>
      <c r="J695" s="25" t="s">
        <v>4939</v>
      </c>
      <c r="K695" s="25" t="n">
        <v>0</v>
      </c>
      <c r="L695" s="25" t="str">
        <f aca="false">IF(K695&gt;0,"Yes","No")</f>
        <v>No</v>
      </c>
    </row>
    <row r="696" customFormat="false" ht="15" hidden="false" customHeight="false" outlineLevel="0" collapsed="false">
      <c r="A696" s="25" t="s">
        <v>9236</v>
      </c>
      <c r="B696" s="25" t="s">
        <v>8392</v>
      </c>
      <c r="C696" s="25" t="s">
        <v>8393</v>
      </c>
      <c r="D696" s="25" t="n">
        <v>9</v>
      </c>
      <c r="E696" s="25" t="s">
        <v>8394</v>
      </c>
      <c r="F696" s="25" t="s">
        <v>8395</v>
      </c>
      <c r="G696" s="25" t="s">
        <v>8396</v>
      </c>
      <c r="H696" s="25" t="s">
        <v>8397</v>
      </c>
      <c r="I696" s="25" t="s">
        <v>9237</v>
      </c>
      <c r="J696" s="25" t="s">
        <v>4939</v>
      </c>
      <c r="K696" s="25" t="n">
        <v>0</v>
      </c>
      <c r="L696" s="25" t="str">
        <f aca="false">IF(K696&gt;0,"Yes","No")</f>
        <v>No</v>
      </c>
    </row>
    <row r="697" customFormat="false" ht="15" hidden="false" customHeight="false" outlineLevel="0" collapsed="false">
      <c r="A697" s="25" t="s">
        <v>9238</v>
      </c>
      <c r="B697" s="25" t="s">
        <v>8419</v>
      </c>
      <c r="C697" s="25" t="s">
        <v>8393</v>
      </c>
      <c r="D697" s="25" t="n">
        <v>9</v>
      </c>
      <c r="E697" s="25" t="s">
        <v>8394</v>
      </c>
      <c r="F697" s="25" t="s">
        <v>8395</v>
      </c>
      <c r="G697" s="25" t="s">
        <v>8396</v>
      </c>
      <c r="H697" s="25" t="s">
        <v>8397</v>
      </c>
      <c r="I697" s="25" t="s">
        <v>9239</v>
      </c>
      <c r="J697" s="25" t="s">
        <v>818</v>
      </c>
      <c r="K697" s="25" t="n">
        <v>0</v>
      </c>
      <c r="L697" s="25" t="str">
        <f aca="false">IF(K697&gt;0,"Yes","No")</f>
        <v>No</v>
      </c>
    </row>
    <row r="698" customFormat="false" ht="15" hidden="false" customHeight="false" outlineLevel="0" collapsed="false">
      <c r="A698" s="25" t="s">
        <v>9240</v>
      </c>
      <c r="B698" s="25" t="s">
        <v>8419</v>
      </c>
      <c r="C698" s="25" t="s">
        <v>8393</v>
      </c>
      <c r="D698" s="25" t="n">
        <v>9</v>
      </c>
      <c r="E698" s="25" t="s">
        <v>8394</v>
      </c>
      <c r="F698" s="25" t="s">
        <v>8395</v>
      </c>
      <c r="G698" s="25" t="s">
        <v>8396</v>
      </c>
      <c r="H698" s="25" t="s">
        <v>8397</v>
      </c>
      <c r="I698" s="25" t="s">
        <v>9241</v>
      </c>
      <c r="J698" s="25" t="s">
        <v>818</v>
      </c>
      <c r="K698" s="25" t="n">
        <v>0</v>
      </c>
      <c r="L698" s="25" t="str">
        <f aca="false">IF(K698&gt;0,"Yes","No")</f>
        <v>No</v>
      </c>
    </row>
    <row r="699" customFormat="false" ht="15" hidden="false" customHeight="false" outlineLevel="0" collapsed="false">
      <c r="A699" s="25" t="s">
        <v>9242</v>
      </c>
      <c r="B699" s="25" t="s">
        <v>8392</v>
      </c>
      <c r="C699" s="25" t="s">
        <v>8393</v>
      </c>
      <c r="D699" s="25" t="n">
        <v>9</v>
      </c>
      <c r="E699" s="25" t="s">
        <v>8394</v>
      </c>
      <c r="F699" s="25" t="s">
        <v>8395</v>
      </c>
      <c r="G699" s="25" t="s">
        <v>8396</v>
      </c>
      <c r="H699" s="25" t="s">
        <v>8397</v>
      </c>
      <c r="I699" s="25" t="s">
        <v>9243</v>
      </c>
      <c r="J699" s="25" t="s">
        <v>818</v>
      </c>
      <c r="K699" s="25" t="n">
        <v>0</v>
      </c>
      <c r="L699" s="25" t="str">
        <f aca="false">IF(K699&gt;0,"Yes","No")</f>
        <v>No</v>
      </c>
    </row>
    <row r="700" customFormat="false" ht="15" hidden="false" customHeight="false" outlineLevel="0" collapsed="false">
      <c r="A700" s="25" t="s">
        <v>9244</v>
      </c>
      <c r="B700" s="25" t="s">
        <v>8392</v>
      </c>
      <c r="C700" s="25" t="s">
        <v>8393</v>
      </c>
      <c r="D700" s="25" t="n">
        <v>9</v>
      </c>
      <c r="E700" s="25" t="s">
        <v>8394</v>
      </c>
      <c r="F700" s="25" t="s">
        <v>8395</v>
      </c>
      <c r="G700" s="25" t="s">
        <v>8398</v>
      </c>
      <c r="H700" s="25"/>
      <c r="I700" s="25" t="s">
        <v>9198</v>
      </c>
      <c r="J700" s="25" t="s">
        <v>9245</v>
      </c>
      <c r="K700" s="25" t="n">
        <v>0</v>
      </c>
      <c r="L700" s="25" t="str">
        <f aca="false">IF(K700&gt;0,"Yes","No")</f>
        <v>No</v>
      </c>
    </row>
    <row r="701" customFormat="false" ht="15" hidden="false" customHeight="false" outlineLevel="0" collapsed="false">
      <c r="A701" s="25" t="s">
        <v>9246</v>
      </c>
      <c r="B701" s="25" t="s">
        <v>8419</v>
      </c>
      <c r="C701" s="25" t="s">
        <v>8393</v>
      </c>
      <c r="D701" s="25" t="n">
        <v>9</v>
      </c>
      <c r="E701" s="25" t="s">
        <v>8394</v>
      </c>
      <c r="F701" s="25" t="s">
        <v>8395</v>
      </c>
      <c r="G701" s="25" t="s">
        <v>8396</v>
      </c>
      <c r="H701" s="25" t="s">
        <v>8399</v>
      </c>
      <c r="I701" s="25" t="s">
        <v>9247</v>
      </c>
      <c r="J701" s="25" t="s">
        <v>9248</v>
      </c>
      <c r="K701" s="25" t="n">
        <v>0</v>
      </c>
      <c r="L701" s="25" t="str">
        <f aca="false">IF(K701&gt;0,"Yes","No")</f>
        <v>No</v>
      </c>
    </row>
    <row r="702" customFormat="false" ht="15" hidden="false" customHeight="false" outlineLevel="0" collapsed="false">
      <c r="A702" s="25" t="s">
        <v>9249</v>
      </c>
      <c r="B702" s="25" t="s">
        <v>8419</v>
      </c>
      <c r="C702" s="25" t="s">
        <v>8393</v>
      </c>
      <c r="D702" s="25" t="n">
        <v>9</v>
      </c>
      <c r="E702" s="25" t="s">
        <v>8394</v>
      </c>
      <c r="F702" s="25" t="s">
        <v>8395</v>
      </c>
      <c r="G702" s="25" t="s">
        <v>8396</v>
      </c>
      <c r="H702" s="25" t="s">
        <v>8399</v>
      </c>
      <c r="I702" s="25" t="s">
        <v>9250</v>
      </c>
      <c r="J702" s="25" t="s">
        <v>9248</v>
      </c>
      <c r="K702" s="25" t="n">
        <v>0</v>
      </c>
      <c r="L702" s="25" t="str">
        <f aca="false">IF(K702&gt;0,"Yes","No")</f>
        <v>No</v>
      </c>
    </row>
    <row r="703" customFormat="false" ht="15" hidden="false" customHeight="false" outlineLevel="0" collapsed="false">
      <c r="A703" s="25" t="s">
        <v>9251</v>
      </c>
      <c r="B703" s="25" t="s">
        <v>8419</v>
      </c>
      <c r="C703" s="25" t="s">
        <v>8393</v>
      </c>
      <c r="D703" s="25" t="n">
        <v>9</v>
      </c>
      <c r="E703" s="25" t="s">
        <v>8394</v>
      </c>
      <c r="F703" s="25" t="s">
        <v>8395</v>
      </c>
      <c r="G703" s="25" t="s">
        <v>8396</v>
      </c>
      <c r="H703" s="25" t="s">
        <v>8399</v>
      </c>
      <c r="I703" s="25" t="s">
        <v>9252</v>
      </c>
      <c r="J703" s="25" t="s">
        <v>9248</v>
      </c>
      <c r="K703" s="25" t="n">
        <v>0</v>
      </c>
      <c r="L703" s="25" t="str">
        <f aca="false">IF(K703&gt;0,"Yes","No")</f>
        <v>No</v>
      </c>
    </row>
    <row r="704" customFormat="false" ht="15" hidden="false" customHeight="false" outlineLevel="0" collapsed="false">
      <c r="A704" s="25" t="s">
        <v>9253</v>
      </c>
      <c r="B704" s="25" t="s">
        <v>8419</v>
      </c>
      <c r="C704" s="25" t="s">
        <v>8393</v>
      </c>
      <c r="D704" s="25" t="n">
        <v>9</v>
      </c>
      <c r="E704" s="25" t="s">
        <v>8394</v>
      </c>
      <c r="F704" s="25" t="s">
        <v>8395</v>
      </c>
      <c r="G704" s="25" t="s">
        <v>8396</v>
      </c>
      <c r="H704" s="25" t="s">
        <v>9254</v>
      </c>
      <c r="I704" s="25" t="s">
        <v>9255</v>
      </c>
      <c r="J704" s="25" t="s">
        <v>2348</v>
      </c>
      <c r="K704" s="25" t="n">
        <v>0</v>
      </c>
      <c r="L704" s="25" t="str">
        <f aca="false">IF(K704&gt;0,"Yes","No")</f>
        <v>No</v>
      </c>
    </row>
    <row r="705" customFormat="false" ht="15" hidden="false" customHeight="false" outlineLevel="0" collapsed="false">
      <c r="A705" s="25" t="s">
        <v>9256</v>
      </c>
      <c r="B705" s="25" t="s">
        <v>8392</v>
      </c>
      <c r="C705" s="25" t="s">
        <v>8393</v>
      </c>
      <c r="D705" s="25" t="n">
        <v>9</v>
      </c>
      <c r="E705" s="25" t="s">
        <v>8394</v>
      </c>
      <c r="F705" s="25" t="s">
        <v>8395</v>
      </c>
      <c r="G705" s="25" t="s">
        <v>8396</v>
      </c>
      <c r="H705" s="25" t="s">
        <v>8399</v>
      </c>
      <c r="I705" s="25" t="s">
        <v>9257</v>
      </c>
      <c r="J705" s="25" t="s">
        <v>2348</v>
      </c>
      <c r="K705" s="25" t="n">
        <v>0</v>
      </c>
      <c r="L705" s="25" t="str">
        <f aca="false">IF(K705&gt;0,"Yes","No")</f>
        <v>No</v>
      </c>
    </row>
    <row r="706" customFormat="false" ht="15" hidden="false" customHeight="false" outlineLevel="0" collapsed="false">
      <c r="A706" s="25" t="s">
        <v>9258</v>
      </c>
      <c r="B706" s="25" t="s">
        <v>8392</v>
      </c>
      <c r="C706" s="25" t="s">
        <v>8393</v>
      </c>
      <c r="D706" s="25" t="n">
        <v>9</v>
      </c>
      <c r="E706" s="25" t="s">
        <v>8394</v>
      </c>
      <c r="F706" s="25" t="s">
        <v>8395</v>
      </c>
      <c r="G706" s="25" t="s">
        <v>8400</v>
      </c>
      <c r="H706" s="25"/>
      <c r="I706" s="25" t="s">
        <v>9259</v>
      </c>
      <c r="J706" s="25" t="s">
        <v>9260</v>
      </c>
      <c r="K706" s="25" t="n">
        <v>0</v>
      </c>
      <c r="L706" s="25" t="str">
        <f aca="false">IF(K706&gt;0,"Yes","No")</f>
        <v>No</v>
      </c>
    </row>
    <row r="707" customFormat="false" ht="15" hidden="false" customHeight="false" outlineLevel="0" collapsed="false">
      <c r="A707" s="25" t="s">
        <v>9261</v>
      </c>
      <c r="B707" s="25" t="s">
        <v>8392</v>
      </c>
      <c r="C707" s="25" t="s">
        <v>8393</v>
      </c>
      <c r="D707" s="25" t="n">
        <v>9</v>
      </c>
      <c r="E707" s="25" t="s">
        <v>8394</v>
      </c>
      <c r="F707" s="25" t="s">
        <v>8395</v>
      </c>
      <c r="G707" s="25" t="s">
        <v>9262</v>
      </c>
      <c r="H707" s="25" t="s">
        <v>8405</v>
      </c>
      <c r="I707" s="25" t="s">
        <v>9263</v>
      </c>
      <c r="J707" s="25" t="s">
        <v>9264</v>
      </c>
      <c r="K707" s="25" t="n">
        <v>0</v>
      </c>
      <c r="L707" s="25" t="str">
        <f aca="false">IF(K707&gt;0,"Yes","No")</f>
        <v>No</v>
      </c>
    </row>
    <row r="708" customFormat="false" ht="15" hidden="false" customHeight="false" outlineLevel="0" collapsed="false">
      <c r="A708" s="25" t="s">
        <v>9265</v>
      </c>
      <c r="B708" s="25" t="s">
        <v>8419</v>
      </c>
      <c r="C708" s="25" t="s">
        <v>8393</v>
      </c>
      <c r="D708" s="25" t="n">
        <v>9</v>
      </c>
      <c r="E708" s="25" t="s">
        <v>8394</v>
      </c>
      <c r="F708" s="25" t="s">
        <v>8395</v>
      </c>
      <c r="G708" s="25" t="s">
        <v>8396</v>
      </c>
      <c r="H708" s="25" t="s">
        <v>8399</v>
      </c>
      <c r="I708" s="25" t="s">
        <v>9266</v>
      </c>
      <c r="J708" s="25" t="s">
        <v>9267</v>
      </c>
      <c r="K708" s="25" t="n">
        <v>0</v>
      </c>
      <c r="L708" s="25" t="str">
        <f aca="false">IF(K708&gt;0,"Yes","No")</f>
        <v>No</v>
      </c>
    </row>
    <row r="709" customFormat="false" ht="15" hidden="false" customHeight="false" outlineLevel="0" collapsed="false">
      <c r="A709" s="25" t="s">
        <v>9268</v>
      </c>
      <c r="B709" s="25" t="s">
        <v>8419</v>
      </c>
      <c r="C709" s="25" t="s">
        <v>8393</v>
      </c>
      <c r="D709" s="25" t="n">
        <v>9</v>
      </c>
      <c r="E709" s="25" t="s">
        <v>8394</v>
      </c>
      <c r="F709" s="25" t="s">
        <v>8395</v>
      </c>
      <c r="G709" s="25" t="s">
        <v>8396</v>
      </c>
      <c r="H709" s="25" t="s">
        <v>8399</v>
      </c>
      <c r="I709" s="25" t="s">
        <v>9269</v>
      </c>
      <c r="J709" s="25" t="s">
        <v>9267</v>
      </c>
      <c r="K709" s="25" t="n">
        <v>0</v>
      </c>
      <c r="L709" s="25" t="str">
        <f aca="false">IF(K709&gt;0,"Yes","No")</f>
        <v>No</v>
      </c>
    </row>
    <row r="710" customFormat="false" ht="15" hidden="false" customHeight="false" outlineLevel="0" collapsed="false">
      <c r="A710" s="25" t="s">
        <v>9270</v>
      </c>
      <c r="B710" s="25" t="s">
        <v>8419</v>
      </c>
      <c r="C710" s="25" t="s">
        <v>8393</v>
      </c>
      <c r="D710" s="25" t="n">
        <v>9</v>
      </c>
      <c r="E710" s="25" t="s">
        <v>8394</v>
      </c>
      <c r="F710" s="25" t="s">
        <v>8395</v>
      </c>
      <c r="G710" s="25" t="s">
        <v>8398</v>
      </c>
      <c r="H710" s="25"/>
      <c r="I710" s="25" t="s">
        <v>9271</v>
      </c>
      <c r="J710" s="25" t="s">
        <v>9272</v>
      </c>
      <c r="K710" s="25" t="n">
        <v>0</v>
      </c>
      <c r="L710" s="25" t="str">
        <f aca="false">IF(K710&gt;0,"Yes","No")</f>
        <v>No</v>
      </c>
    </row>
    <row r="711" customFormat="false" ht="15" hidden="false" customHeight="false" outlineLevel="0" collapsed="false">
      <c r="A711" s="25" t="s">
        <v>9273</v>
      </c>
      <c r="B711" s="25" t="s">
        <v>8419</v>
      </c>
      <c r="C711" s="25" t="s">
        <v>8393</v>
      </c>
      <c r="D711" s="25" t="n">
        <v>9</v>
      </c>
      <c r="E711" s="25" t="s">
        <v>8394</v>
      </c>
      <c r="F711" s="25" t="s">
        <v>8395</v>
      </c>
      <c r="G711" s="25" t="s">
        <v>8398</v>
      </c>
      <c r="H711" s="25"/>
      <c r="I711" s="25" t="s">
        <v>9274</v>
      </c>
      <c r="J711" s="25" t="s">
        <v>9272</v>
      </c>
      <c r="K711" s="25" t="n">
        <v>0</v>
      </c>
      <c r="L711" s="25" t="str">
        <f aca="false">IF(K711&gt;0,"Yes","No")</f>
        <v>No</v>
      </c>
    </row>
    <row r="712" customFormat="false" ht="15" hidden="false" customHeight="false" outlineLevel="0" collapsed="false">
      <c r="A712" s="25" t="s">
        <v>9275</v>
      </c>
      <c r="B712" s="25" t="s">
        <v>8419</v>
      </c>
      <c r="C712" s="25" t="s">
        <v>8393</v>
      </c>
      <c r="D712" s="25" t="n">
        <v>9</v>
      </c>
      <c r="E712" s="25" t="s">
        <v>8394</v>
      </c>
      <c r="F712" s="25" t="s">
        <v>8395</v>
      </c>
      <c r="G712" s="25" t="s">
        <v>8398</v>
      </c>
      <c r="H712" s="25"/>
      <c r="I712" s="25" t="s">
        <v>9276</v>
      </c>
      <c r="J712" s="25" t="s">
        <v>9272</v>
      </c>
      <c r="K712" s="25" t="n">
        <v>0</v>
      </c>
      <c r="L712" s="25" t="str">
        <f aca="false">IF(K712&gt;0,"Yes","No")</f>
        <v>No</v>
      </c>
    </row>
    <row r="713" customFormat="false" ht="15" hidden="false" customHeight="false" outlineLevel="0" collapsed="false">
      <c r="A713" s="25" t="s">
        <v>9277</v>
      </c>
      <c r="B713" s="25" t="s">
        <v>8392</v>
      </c>
      <c r="C713" s="25" t="s">
        <v>8393</v>
      </c>
      <c r="D713" s="25" t="n">
        <v>9</v>
      </c>
      <c r="E713" s="25" t="s">
        <v>8394</v>
      </c>
      <c r="F713" s="25" t="s">
        <v>8395</v>
      </c>
      <c r="G713" s="25" t="s">
        <v>8396</v>
      </c>
      <c r="H713" s="25" t="s">
        <v>8399</v>
      </c>
      <c r="I713" s="25" t="s">
        <v>9278</v>
      </c>
      <c r="J713" s="25" t="s">
        <v>9279</v>
      </c>
      <c r="K713" s="25" t="n">
        <v>0</v>
      </c>
      <c r="L713" s="25" t="str">
        <f aca="false">IF(K713&gt;0,"Yes","No")</f>
        <v>No</v>
      </c>
    </row>
    <row r="714" customFormat="false" ht="15" hidden="false" customHeight="false" outlineLevel="0" collapsed="false">
      <c r="A714" s="25" t="s">
        <v>9280</v>
      </c>
      <c r="B714" s="25" t="s">
        <v>8392</v>
      </c>
      <c r="C714" s="25" t="s">
        <v>8393</v>
      </c>
      <c r="D714" s="25" t="n">
        <v>9</v>
      </c>
      <c r="E714" s="25" t="s">
        <v>8394</v>
      </c>
      <c r="F714" s="25" t="s">
        <v>8395</v>
      </c>
      <c r="G714" s="25" t="s">
        <v>8398</v>
      </c>
      <c r="H714" s="25"/>
      <c r="I714" s="25" t="s">
        <v>9281</v>
      </c>
      <c r="J714" s="25" t="s">
        <v>9279</v>
      </c>
      <c r="K714" s="25" t="n">
        <v>0</v>
      </c>
      <c r="L714" s="25" t="str">
        <f aca="false">IF(K714&gt;0,"Yes","No")</f>
        <v>No</v>
      </c>
    </row>
    <row r="715" customFormat="false" ht="15" hidden="false" customHeight="false" outlineLevel="0" collapsed="false">
      <c r="A715" s="25" t="s">
        <v>9282</v>
      </c>
      <c r="B715" s="25" t="s">
        <v>8392</v>
      </c>
      <c r="C715" s="25" t="s">
        <v>8393</v>
      </c>
      <c r="D715" s="25" t="n">
        <v>9</v>
      </c>
      <c r="E715" s="25" t="s">
        <v>8394</v>
      </c>
      <c r="F715" s="25" t="s">
        <v>8395</v>
      </c>
      <c r="G715" s="25" t="s">
        <v>8398</v>
      </c>
      <c r="H715" s="25"/>
      <c r="I715" s="25" t="s">
        <v>9283</v>
      </c>
      <c r="J715" s="25" t="s">
        <v>9279</v>
      </c>
      <c r="K715" s="25" t="n">
        <v>0</v>
      </c>
      <c r="L715" s="25" t="str">
        <f aca="false">IF(K715&gt;0,"Yes","No")</f>
        <v>No</v>
      </c>
    </row>
    <row r="716" customFormat="false" ht="15" hidden="false" customHeight="false" outlineLevel="0" collapsed="false">
      <c r="A716" s="25" t="s">
        <v>9284</v>
      </c>
      <c r="B716" s="25" t="s">
        <v>8392</v>
      </c>
      <c r="C716" s="25" t="s">
        <v>8393</v>
      </c>
      <c r="D716" s="25" t="n">
        <v>9</v>
      </c>
      <c r="E716" s="25" t="s">
        <v>8394</v>
      </c>
      <c r="F716" s="25" t="s">
        <v>8395</v>
      </c>
      <c r="G716" s="25" t="s">
        <v>8398</v>
      </c>
      <c r="H716" s="25"/>
      <c r="I716" s="25" t="s">
        <v>9285</v>
      </c>
      <c r="J716" s="25" t="s">
        <v>9286</v>
      </c>
      <c r="K716" s="25" t="n">
        <v>0</v>
      </c>
      <c r="L716" s="25" t="str">
        <f aca="false">IF(K716&gt;0,"Yes","No")</f>
        <v>No</v>
      </c>
    </row>
    <row r="717" customFormat="false" ht="15" hidden="false" customHeight="false" outlineLevel="0" collapsed="false">
      <c r="A717" s="25" t="s">
        <v>9287</v>
      </c>
      <c r="B717" s="25" t="s">
        <v>8419</v>
      </c>
      <c r="C717" s="25" t="s">
        <v>8393</v>
      </c>
      <c r="D717" s="25" t="n">
        <v>9</v>
      </c>
      <c r="E717" s="25" t="s">
        <v>8394</v>
      </c>
      <c r="F717" s="25" t="s">
        <v>8395</v>
      </c>
      <c r="G717" s="25" t="s">
        <v>8396</v>
      </c>
      <c r="H717" s="25" t="s">
        <v>8399</v>
      </c>
      <c r="I717" s="25" t="s">
        <v>9288</v>
      </c>
      <c r="J717" s="25" t="s">
        <v>502</v>
      </c>
      <c r="K717" s="25" t="n">
        <v>0</v>
      </c>
      <c r="L717" s="25" t="str">
        <f aca="false">IF(K717&gt;0,"Yes","No")</f>
        <v>No</v>
      </c>
    </row>
    <row r="718" customFormat="false" ht="15" hidden="false" customHeight="false" outlineLevel="0" collapsed="false">
      <c r="A718" s="25" t="s">
        <v>9289</v>
      </c>
      <c r="B718" s="25" t="s">
        <v>8419</v>
      </c>
      <c r="C718" s="25" t="s">
        <v>8393</v>
      </c>
      <c r="D718" s="25" t="n">
        <v>9</v>
      </c>
      <c r="E718" s="25" t="s">
        <v>8394</v>
      </c>
      <c r="F718" s="25" t="s">
        <v>8395</v>
      </c>
      <c r="G718" s="25" t="s">
        <v>8396</v>
      </c>
      <c r="H718" s="25" t="s">
        <v>8399</v>
      </c>
      <c r="I718" s="25" t="s">
        <v>9290</v>
      </c>
      <c r="J718" s="25" t="s">
        <v>502</v>
      </c>
      <c r="K718" s="25" t="n">
        <v>0</v>
      </c>
      <c r="L718" s="25" t="str">
        <f aca="false">IF(K718&gt;0,"Yes","No")</f>
        <v>No</v>
      </c>
    </row>
    <row r="719" customFormat="false" ht="15" hidden="false" customHeight="false" outlineLevel="0" collapsed="false">
      <c r="A719" s="25" t="s">
        <v>9291</v>
      </c>
      <c r="B719" s="25" t="s">
        <v>8419</v>
      </c>
      <c r="C719" s="25" t="s">
        <v>8393</v>
      </c>
      <c r="D719" s="25" t="n">
        <v>9</v>
      </c>
      <c r="E719" s="25" t="s">
        <v>8394</v>
      </c>
      <c r="F719" s="25" t="s">
        <v>8395</v>
      </c>
      <c r="G719" s="25" t="s">
        <v>8396</v>
      </c>
      <c r="H719" s="25" t="s">
        <v>8399</v>
      </c>
      <c r="I719" s="25" t="s">
        <v>9292</v>
      </c>
      <c r="J719" s="25" t="s">
        <v>502</v>
      </c>
      <c r="K719" s="25" t="n">
        <v>0</v>
      </c>
      <c r="L719" s="25" t="str">
        <f aca="false">IF(K719&gt;0,"Yes","No")</f>
        <v>No</v>
      </c>
    </row>
    <row r="720" customFormat="false" ht="15" hidden="false" customHeight="false" outlineLevel="0" collapsed="false">
      <c r="A720" s="25" t="s">
        <v>9293</v>
      </c>
      <c r="B720" s="25" t="s">
        <v>8419</v>
      </c>
      <c r="C720" s="25" t="s">
        <v>8393</v>
      </c>
      <c r="D720" s="25" t="n">
        <v>9</v>
      </c>
      <c r="E720" s="25" t="s">
        <v>8394</v>
      </c>
      <c r="F720" s="25" t="s">
        <v>8395</v>
      </c>
      <c r="G720" s="25" t="s">
        <v>8396</v>
      </c>
      <c r="H720" s="25" t="s">
        <v>8399</v>
      </c>
      <c r="I720" s="25" t="s">
        <v>9294</v>
      </c>
      <c r="J720" s="25" t="s">
        <v>502</v>
      </c>
      <c r="K720" s="25" t="n">
        <v>0</v>
      </c>
      <c r="L720" s="25" t="str">
        <f aca="false">IF(K720&gt;0,"Yes","No")</f>
        <v>No</v>
      </c>
    </row>
    <row r="721" customFormat="false" ht="15" hidden="false" customHeight="false" outlineLevel="0" collapsed="false">
      <c r="A721" s="25" t="s">
        <v>9295</v>
      </c>
      <c r="B721" s="25" t="s">
        <v>8419</v>
      </c>
      <c r="C721" s="25" t="s">
        <v>8393</v>
      </c>
      <c r="D721" s="25" t="n">
        <v>9</v>
      </c>
      <c r="E721" s="25" t="s">
        <v>8394</v>
      </c>
      <c r="F721" s="25" t="s">
        <v>8395</v>
      </c>
      <c r="G721" s="25" t="s">
        <v>8396</v>
      </c>
      <c r="H721" s="25" t="s">
        <v>8399</v>
      </c>
      <c r="I721" s="25" t="s">
        <v>9296</v>
      </c>
      <c r="J721" s="25" t="s">
        <v>502</v>
      </c>
      <c r="K721" s="25" t="n">
        <v>0</v>
      </c>
      <c r="L721" s="25" t="str">
        <f aca="false">IF(K721&gt;0,"Yes","No")</f>
        <v>No</v>
      </c>
    </row>
    <row r="722" customFormat="false" ht="15" hidden="false" customHeight="false" outlineLevel="0" collapsed="false">
      <c r="A722" s="25" t="s">
        <v>9297</v>
      </c>
      <c r="B722" s="25" t="s">
        <v>8392</v>
      </c>
      <c r="C722" s="25" t="s">
        <v>8393</v>
      </c>
      <c r="D722" s="25" t="n">
        <v>9</v>
      </c>
      <c r="E722" s="25" t="s">
        <v>8394</v>
      </c>
      <c r="F722" s="25" t="s">
        <v>8395</v>
      </c>
      <c r="G722" s="25" t="s">
        <v>8398</v>
      </c>
      <c r="H722" s="25"/>
      <c r="I722" s="25" t="s">
        <v>9298</v>
      </c>
      <c r="J722" s="25" t="s">
        <v>9299</v>
      </c>
      <c r="K722" s="25" t="n">
        <v>0</v>
      </c>
      <c r="L722" s="25" t="str">
        <f aca="false">IF(K722&gt;0,"Yes","No")</f>
        <v>No</v>
      </c>
    </row>
    <row r="723" customFormat="false" ht="15" hidden="false" customHeight="false" outlineLevel="0" collapsed="false">
      <c r="A723" s="25" t="s">
        <v>9300</v>
      </c>
      <c r="B723" s="25" t="s">
        <v>8392</v>
      </c>
      <c r="C723" s="25" t="s">
        <v>8393</v>
      </c>
      <c r="D723" s="25" t="n">
        <v>9</v>
      </c>
      <c r="E723" s="25" t="s">
        <v>8394</v>
      </c>
      <c r="F723" s="25" t="s">
        <v>8395</v>
      </c>
      <c r="G723" s="25" t="s">
        <v>8396</v>
      </c>
      <c r="H723" s="25" t="s">
        <v>8397</v>
      </c>
      <c r="I723" s="25" t="s">
        <v>9301</v>
      </c>
      <c r="J723" s="25" t="s">
        <v>9302</v>
      </c>
      <c r="K723" s="25" t="n">
        <v>0</v>
      </c>
      <c r="L723" s="25" t="str">
        <f aca="false">IF(K723&gt;0,"Yes","No")</f>
        <v>No</v>
      </c>
    </row>
    <row r="724" customFormat="false" ht="15" hidden="false" customHeight="false" outlineLevel="0" collapsed="false">
      <c r="A724" s="25" t="s">
        <v>9303</v>
      </c>
      <c r="B724" s="25" t="s">
        <v>8419</v>
      </c>
      <c r="C724" s="25" t="s">
        <v>8393</v>
      </c>
      <c r="D724" s="25" t="n">
        <v>9</v>
      </c>
      <c r="E724" s="25" t="s">
        <v>8394</v>
      </c>
      <c r="F724" s="25" t="s">
        <v>8395</v>
      </c>
      <c r="G724" s="25" t="s">
        <v>8396</v>
      </c>
      <c r="H724" s="25" t="s">
        <v>8403</v>
      </c>
      <c r="I724" s="25" t="s">
        <v>9304</v>
      </c>
      <c r="J724" s="25" t="s">
        <v>9302</v>
      </c>
      <c r="K724" s="25" t="n">
        <v>0</v>
      </c>
      <c r="L724" s="25" t="str">
        <f aca="false">IF(K724&gt;0,"Yes","No")</f>
        <v>No</v>
      </c>
    </row>
    <row r="725" customFormat="false" ht="15" hidden="false" customHeight="false" outlineLevel="0" collapsed="false">
      <c r="A725" s="25" t="s">
        <v>9305</v>
      </c>
      <c r="B725" s="25" t="s">
        <v>8419</v>
      </c>
      <c r="C725" s="25" t="s">
        <v>8393</v>
      </c>
      <c r="D725" s="25" t="n">
        <v>9</v>
      </c>
      <c r="E725" s="25" t="s">
        <v>8394</v>
      </c>
      <c r="F725" s="25" t="s">
        <v>8395</v>
      </c>
      <c r="G725" s="25" t="s">
        <v>8396</v>
      </c>
      <c r="H725" s="25" t="s">
        <v>8403</v>
      </c>
      <c r="I725" s="25" t="s">
        <v>9306</v>
      </c>
      <c r="J725" s="25" t="s">
        <v>9302</v>
      </c>
      <c r="K725" s="25" t="n">
        <v>0</v>
      </c>
      <c r="L725" s="25" t="str">
        <f aca="false">IF(K725&gt;0,"Yes","No")</f>
        <v>No</v>
      </c>
    </row>
    <row r="726" customFormat="false" ht="15" hidden="false" customHeight="false" outlineLevel="0" collapsed="false">
      <c r="A726" s="25" t="s">
        <v>9307</v>
      </c>
      <c r="B726" s="25" t="s">
        <v>8392</v>
      </c>
      <c r="C726" s="25" t="s">
        <v>8393</v>
      </c>
      <c r="D726" s="25" t="n">
        <v>9</v>
      </c>
      <c r="E726" s="25" t="s">
        <v>8394</v>
      </c>
      <c r="F726" s="25" t="s">
        <v>8395</v>
      </c>
      <c r="G726" s="25" t="s">
        <v>8396</v>
      </c>
      <c r="H726" s="25" t="s">
        <v>8404</v>
      </c>
      <c r="I726" s="25" t="s">
        <v>9308</v>
      </c>
      <c r="J726" s="25" t="s">
        <v>1337</v>
      </c>
      <c r="K726" s="25" t="n">
        <v>0</v>
      </c>
      <c r="L726" s="25" t="str">
        <f aca="false">IF(K726&gt;0,"Yes","No")</f>
        <v>No</v>
      </c>
    </row>
    <row r="727" customFormat="false" ht="15" hidden="false" customHeight="false" outlineLevel="0" collapsed="false">
      <c r="A727" s="25" t="s">
        <v>9309</v>
      </c>
      <c r="B727" s="25" t="s">
        <v>8419</v>
      </c>
      <c r="C727" s="25" t="s">
        <v>8393</v>
      </c>
      <c r="D727" s="25" t="n">
        <v>9</v>
      </c>
      <c r="E727" s="25" t="s">
        <v>8394</v>
      </c>
      <c r="F727" s="25" t="s">
        <v>8395</v>
      </c>
      <c r="G727" s="25" t="s">
        <v>8396</v>
      </c>
      <c r="H727" s="25" t="s">
        <v>9254</v>
      </c>
      <c r="I727" s="25" t="s">
        <v>9310</v>
      </c>
      <c r="J727" s="25" t="s">
        <v>1337</v>
      </c>
      <c r="K727" s="25" t="n">
        <v>0</v>
      </c>
      <c r="L727" s="25" t="str">
        <f aca="false">IF(K727&gt;0,"Yes","No")</f>
        <v>No</v>
      </c>
    </row>
    <row r="728" customFormat="false" ht="15" hidden="false" customHeight="false" outlineLevel="0" collapsed="false">
      <c r="A728" s="25" t="s">
        <v>9311</v>
      </c>
      <c r="B728" s="25" t="s">
        <v>8392</v>
      </c>
      <c r="C728" s="25" t="s">
        <v>8393</v>
      </c>
      <c r="D728" s="25" t="n">
        <v>9</v>
      </c>
      <c r="E728" s="25" t="s">
        <v>8394</v>
      </c>
      <c r="F728" s="25" t="s">
        <v>8395</v>
      </c>
      <c r="G728" s="25" t="s">
        <v>8396</v>
      </c>
      <c r="H728" s="25" t="s">
        <v>8404</v>
      </c>
      <c r="I728" s="25" t="s">
        <v>9312</v>
      </c>
      <c r="J728" s="25" t="s">
        <v>5981</v>
      </c>
      <c r="K728" s="25" t="n">
        <v>0</v>
      </c>
      <c r="L728" s="25" t="str">
        <f aca="false">IF(K728&gt;0,"Yes","No")</f>
        <v>No</v>
      </c>
    </row>
    <row r="729" customFormat="false" ht="15" hidden="false" customHeight="false" outlineLevel="0" collapsed="false">
      <c r="A729" s="25" t="s">
        <v>9313</v>
      </c>
      <c r="B729" s="25" t="s">
        <v>8419</v>
      </c>
      <c r="C729" s="25" t="s">
        <v>8393</v>
      </c>
      <c r="D729" s="25" t="n">
        <v>9</v>
      </c>
      <c r="E729" s="25" t="s">
        <v>8394</v>
      </c>
      <c r="F729" s="25" t="s">
        <v>8395</v>
      </c>
      <c r="G729" s="25" t="s">
        <v>8396</v>
      </c>
      <c r="H729" s="25" t="s">
        <v>8399</v>
      </c>
      <c r="I729" s="25" t="s">
        <v>9314</v>
      </c>
      <c r="J729" s="25" t="s">
        <v>5981</v>
      </c>
      <c r="K729" s="25" t="n">
        <v>0</v>
      </c>
      <c r="L729" s="25" t="str">
        <f aca="false">IF(K729&gt;0,"Yes","No")</f>
        <v>No</v>
      </c>
    </row>
    <row r="730" customFormat="false" ht="15" hidden="false" customHeight="false" outlineLevel="0" collapsed="false">
      <c r="A730" s="25" t="s">
        <v>9315</v>
      </c>
      <c r="B730" s="25" t="s">
        <v>8392</v>
      </c>
      <c r="C730" s="25" t="s">
        <v>8393</v>
      </c>
      <c r="D730" s="25" t="n">
        <v>9</v>
      </c>
      <c r="E730" s="25" t="s">
        <v>8394</v>
      </c>
      <c r="F730" s="25" t="s">
        <v>8395</v>
      </c>
      <c r="G730" s="25" t="s">
        <v>8396</v>
      </c>
      <c r="H730" s="25" t="s">
        <v>8397</v>
      </c>
      <c r="I730" s="25" t="s">
        <v>9316</v>
      </c>
      <c r="J730" s="25" t="s">
        <v>9317</v>
      </c>
      <c r="K730" s="25" t="n">
        <v>0</v>
      </c>
      <c r="L730" s="25" t="str">
        <f aca="false">IF(K730&gt;0,"Yes","No")</f>
        <v>No</v>
      </c>
    </row>
    <row r="731" customFormat="false" ht="15" hidden="false" customHeight="false" outlineLevel="0" collapsed="false">
      <c r="A731" s="25" t="s">
        <v>9318</v>
      </c>
      <c r="B731" s="25" t="s">
        <v>8419</v>
      </c>
      <c r="C731" s="25" t="s">
        <v>8393</v>
      </c>
      <c r="D731" s="25" t="n">
        <v>9</v>
      </c>
      <c r="E731" s="25" t="s">
        <v>8394</v>
      </c>
      <c r="F731" s="25" t="s">
        <v>8395</v>
      </c>
      <c r="G731" s="25" t="s">
        <v>8396</v>
      </c>
      <c r="H731" s="25" t="s">
        <v>8399</v>
      </c>
      <c r="I731" s="25" t="s">
        <v>9319</v>
      </c>
      <c r="J731" s="25" t="s">
        <v>549</v>
      </c>
      <c r="K731" s="25" t="n">
        <v>0</v>
      </c>
      <c r="L731" s="25" t="str">
        <f aca="false">IF(K731&gt;0,"Yes","No")</f>
        <v>No</v>
      </c>
    </row>
    <row r="732" customFormat="false" ht="15" hidden="false" customHeight="false" outlineLevel="0" collapsed="false">
      <c r="A732" s="25" t="s">
        <v>9320</v>
      </c>
      <c r="B732" s="25" t="s">
        <v>8419</v>
      </c>
      <c r="C732" s="25" t="s">
        <v>8393</v>
      </c>
      <c r="D732" s="25" t="n">
        <v>9</v>
      </c>
      <c r="E732" s="25" t="s">
        <v>8394</v>
      </c>
      <c r="F732" s="25" t="s">
        <v>8395</v>
      </c>
      <c r="G732" s="25" t="s">
        <v>8396</v>
      </c>
      <c r="H732" s="25" t="s">
        <v>8399</v>
      </c>
      <c r="I732" s="25" t="s">
        <v>9321</v>
      </c>
      <c r="J732" s="25" t="s">
        <v>549</v>
      </c>
      <c r="K732" s="25" t="n">
        <v>0</v>
      </c>
      <c r="L732" s="25" t="str">
        <f aca="false">IF(K732&gt;0,"Yes","No")</f>
        <v>No</v>
      </c>
    </row>
    <row r="733" customFormat="false" ht="15" hidden="false" customHeight="false" outlineLevel="0" collapsed="false">
      <c r="A733" s="25" t="s">
        <v>9322</v>
      </c>
      <c r="B733" s="25" t="s">
        <v>8419</v>
      </c>
      <c r="C733" s="25" t="s">
        <v>8393</v>
      </c>
      <c r="D733" s="25" t="n">
        <v>9</v>
      </c>
      <c r="E733" s="25" t="s">
        <v>8394</v>
      </c>
      <c r="F733" s="25" t="s">
        <v>8395</v>
      </c>
      <c r="G733" s="25" t="s">
        <v>8396</v>
      </c>
      <c r="H733" s="25" t="s">
        <v>8399</v>
      </c>
      <c r="I733" s="25" t="s">
        <v>9323</v>
      </c>
      <c r="J733" s="25" t="s">
        <v>549</v>
      </c>
      <c r="K733" s="25" t="n">
        <v>0</v>
      </c>
      <c r="L733" s="25" t="str">
        <f aca="false">IF(K733&gt;0,"Yes","No")</f>
        <v>No</v>
      </c>
    </row>
    <row r="734" customFormat="false" ht="15" hidden="false" customHeight="false" outlineLevel="0" collapsed="false">
      <c r="A734" s="25" t="s">
        <v>9324</v>
      </c>
      <c r="B734" s="25" t="s">
        <v>8419</v>
      </c>
      <c r="C734" s="25" t="s">
        <v>8393</v>
      </c>
      <c r="D734" s="25" t="n">
        <v>9</v>
      </c>
      <c r="E734" s="25" t="s">
        <v>8394</v>
      </c>
      <c r="F734" s="25" t="s">
        <v>8395</v>
      </c>
      <c r="G734" s="25" t="s">
        <v>8396</v>
      </c>
      <c r="H734" s="25" t="s">
        <v>8399</v>
      </c>
      <c r="I734" s="25" t="s">
        <v>9325</v>
      </c>
      <c r="J734" s="25" t="s">
        <v>549</v>
      </c>
      <c r="K734" s="25" t="n">
        <v>0</v>
      </c>
      <c r="L734" s="25" t="str">
        <f aca="false">IF(K734&gt;0,"Yes","No")</f>
        <v>No</v>
      </c>
    </row>
    <row r="735" customFormat="false" ht="15" hidden="false" customHeight="false" outlineLevel="0" collapsed="false">
      <c r="A735" s="25" t="s">
        <v>9326</v>
      </c>
      <c r="B735" s="25" t="s">
        <v>8419</v>
      </c>
      <c r="C735" s="25" t="s">
        <v>8393</v>
      </c>
      <c r="D735" s="25" t="n">
        <v>9</v>
      </c>
      <c r="E735" s="25" t="s">
        <v>8394</v>
      </c>
      <c r="F735" s="25" t="s">
        <v>8395</v>
      </c>
      <c r="G735" s="25" t="s">
        <v>8396</v>
      </c>
      <c r="H735" s="25" t="s">
        <v>8399</v>
      </c>
      <c r="I735" s="25" t="s">
        <v>9327</v>
      </c>
      <c r="J735" s="25" t="s">
        <v>549</v>
      </c>
      <c r="K735" s="25" t="n">
        <v>0</v>
      </c>
      <c r="L735" s="25" t="str">
        <f aca="false">IF(K735&gt;0,"Yes","No")</f>
        <v>No</v>
      </c>
    </row>
    <row r="736" customFormat="false" ht="15" hidden="false" customHeight="false" outlineLevel="0" collapsed="false">
      <c r="A736" s="25" t="s">
        <v>9328</v>
      </c>
      <c r="B736" s="25" t="s">
        <v>8419</v>
      </c>
      <c r="C736" s="25" t="s">
        <v>8393</v>
      </c>
      <c r="D736" s="25" t="n">
        <v>9</v>
      </c>
      <c r="E736" s="25" t="s">
        <v>8394</v>
      </c>
      <c r="F736" s="25" t="s">
        <v>8395</v>
      </c>
      <c r="G736" s="25" t="s">
        <v>8396</v>
      </c>
      <c r="H736" s="25" t="s">
        <v>8399</v>
      </c>
      <c r="I736" s="25" t="s">
        <v>9329</v>
      </c>
      <c r="J736" s="25" t="s">
        <v>549</v>
      </c>
      <c r="K736" s="25" t="n">
        <v>0</v>
      </c>
      <c r="L736" s="25" t="str">
        <f aca="false">IF(K736&gt;0,"Yes","No")</f>
        <v>No</v>
      </c>
    </row>
    <row r="737" customFormat="false" ht="15" hidden="false" customHeight="false" outlineLevel="0" collapsed="false">
      <c r="A737" s="25" t="s">
        <v>9330</v>
      </c>
      <c r="B737" s="25" t="s">
        <v>8419</v>
      </c>
      <c r="C737" s="25" t="s">
        <v>8393</v>
      </c>
      <c r="D737" s="25" t="n">
        <v>9</v>
      </c>
      <c r="E737" s="25" t="s">
        <v>8394</v>
      </c>
      <c r="F737" s="25" t="s">
        <v>8395</v>
      </c>
      <c r="G737" s="25" t="s">
        <v>8396</v>
      </c>
      <c r="H737" s="25" t="s">
        <v>8399</v>
      </c>
      <c r="I737" s="25" t="s">
        <v>9331</v>
      </c>
      <c r="J737" s="25" t="s">
        <v>549</v>
      </c>
      <c r="K737" s="25" t="n">
        <v>0</v>
      </c>
      <c r="L737" s="25" t="str">
        <f aca="false">IF(K737&gt;0,"Yes","No")</f>
        <v>No</v>
      </c>
    </row>
    <row r="738" customFormat="false" ht="15" hidden="false" customHeight="false" outlineLevel="0" collapsed="false">
      <c r="A738" s="25" t="s">
        <v>9332</v>
      </c>
      <c r="B738" s="25" t="s">
        <v>8419</v>
      </c>
      <c r="C738" s="25" t="s">
        <v>8393</v>
      </c>
      <c r="D738" s="25" t="n">
        <v>9</v>
      </c>
      <c r="E738" s="25" t="s">
        <v>8394</v>
      </c>
      <c r="F738" s="25" t="s">
        <v>8395</v>
      </c>
      <c r="G738" s="25" t="s">
        <v>8396</v>
      </c>
      <c r="H738" s="25" t="s">
        <v>8399</v>
      </c>
      <c r="I738" s="25" t="s">
        <v>9333</v>
      </c>
      <c r="J738" s="25" t="s">
        <v>549</v>
      </c>
      <c r="K738" s="25" t="n">
        <v>0</v>
      </c>
      <c r="L738" s="25" t="str">
        <f aca="false">IF(K738&gt;0,"Yes","No")</f>
        <v>No</v>
      </c>
    </row>
    <row r="739" customFormat="false" ht="15" hidden="false" customHeight="false" outlineLevel="0" collapsed="false">
      <c r="A739" s="25" t="s">
        <v>9334</v>
      </c>
      <c r="B739" s="25" t="s">
        <v>8392</v>
      </c>
      <c r="C739" s="25" t="s">
        <v>8393</v>
      </c>
      <c r="D739" s="25" t="n">
        <v>9</v>
      </c>
      <c r="E739" s="25" t="s">
        <v>8394</v>
      </c>
      <c r="F739" s="25" t="s">
        <v>8395</v>
      </c>
      <c r="G739" s="25" t="s">
        <v>8396</v>
      </c>
      <c r="H739" s="25" t="s">
        <v>8397</v>
      </c>
      <c r="I739" s="25" t="s">
        <v>9141</v>
      </c>
      <c r="J739" s="25" t="s">
        <v>9335</v>
      </c>
      <c r="K739" s="25" t="n">
        <v>0</v>
      </c>
      <c r="L739" s="25" t="str">
        <f aca="false">IF(K739&gt;0,"Yes","No")</f>
        <v>No</v>
      </c>
    </row>
    <row r="740" customFormat="false" ht="15" hidden="false" customHeight="false" outlineLevel="0" collapsed="false">
      <c r="A740" s="25" t="s">
        <v>9336</v>
      </c>
      <c r="B740" s="25" t="s">
        <v>8392</v>
      </c>
      <c r="C740" s="25" t="s">
        <v>8393</v>
      </c>
      <c r="D740" s="25" t="n">
        <v>9</v>
      </c>
      <c r="E740" s="25" t="s">
        <v>8394</v>
      </c>
      <c r="F740" s="25" t="s">
        <v>8395</v>
      </c>
      <c r="G740" s="25" t="s">
        <v>8396</v>
      </c>
      <c r="H740" s="25" t="s">
        <v>8399</v>
      </c>
      <c r="I740" s="25" t="s">
        <v>9337</v>
      </c>
      <c r="J740" s="25" t="s">
        <v>9338</v>
      </c>
      <c r="K740" s="25" t="n">
        <v>0</v>
      </c>
      <c r="L740" s="25" t="str">
        <f aca="false">IF(K740&gt;0,"Yes","No")</f>
        <v>No</v>
      </c>
    </row>
    <row r="741" customFormat="false" ht="15" hidden="false" customHeight="false" outlineLevel="0" collapsed="false">
      <c r="A741" s="25" t="s">
        <v>9339</v>
      </c>
      <c r="B741" s="25" t="s">
        <v>8392</v>
      </c>
      <c r="C741" s="25" t="s">
        <v>8393</v>
      </c>
      <c r="D741" s="25" t="n">
        <v>9</v>
      </c>
      <c r="E741" s="25" t="s">
        <v>8394</v>
      </c>
      <c r="F741" s="25" t="s">
        <v>8395</v>
      </c>
      <c r="G741" s="25" t="s">
        <v>8398</v>
      </c>
      <c r="H741" s="25"/>
      <c r="I741" s="25" t="s">
        <v>8922</v>
      </c>
      <c r="J741" s="25" t="s">
        <v>9340</v>
      </c>
      <c r="K741" s="25" t="n">
        <v>0</v>
      </c>
      <c r="L741" s="25" t="str">
        <f aca="false">IF(K741&gt;0,"Yes","No")</f>
        <v>No</v>
      </c>
    </row>
    <row r="742" customFormat="false" ht="15" hidden="false" customHeight="false" outlineLevel="0" collapsed="false">
      <c r="A742" s="25" t="s">
        <v>9341</v>
      </c>
      <c r="B742" s="25" t="s">
        <v>8419</v>
      </c>
      <c r="C742" s="25" t="s">
        <v>8393</v>
      </c>
      <c r="D742" s="25" t="n">
        <v>9</v>
      </c>
      <c r="E742" s="25" t="s">
        <v>8394</v>
      </c>
      <c r="F742" s="25" t="s">
        <v>8395</v>
      </c>
      <c r="G742" s="25" t="s">
        <v>8396</v>
      </c>
      <c r="H742" s="25" t="s">
        <v>8397</v>
      </c>
      <c r="I742" s="25" t="s">
        <v>9342</v>
      </c>
      <c r="J742" s="25" t="s">
        <v>9343</v>
      </c>
      <c r="K742" s="25" t="n">
        <v>0</v>
      </c>
      <c r="L742" s="25" t="str">
        <f aca="false">IF(K742&gt;0,"Yes","No")</f>
        <v>No</v>
      </c>
    </row>
    <row r="743" customFormat="false" ht="15" hidden="false" customHeight="false" outlineLevel="0" collapsed="false">
      <c r="A743" s="25" t="s">
        <v>9344</v>
      </c>
      <c r="B743" s="25" t="s">
        <v>8419</v>
      </c>
      <c r="C743" s="25" t="s">
        <v>8393</v>
      </c>
      <c r="D743" s="25" t="n">
        <v>9</v>
      </c>
      <c r="E743" s="25" t="s">
        <v>8394</v>
      </c>
      <c r="F743" s="25" t="s">
        <v>8395</v>
      </c>
      <c r="G743" s="25" t="s">
        <v>8396</v>
      </c>
      <c r="H743" s="25" t="s">
        <v>8397</v>
      </c>
      <c r="I743" s="25" t="s">
        <v>9345</v>
      </c>
      <c r="J743" s="25" t="s">
        <v>9346</v>
      </c>
      <c r="K743" s="25" t="n">
        <v>0</v>
      </c>
      <c r="L743" s="25" t="str">
        <f aca="false">IF(K743&gt;0,"Yes","No")</f>
        <v>No</v>
      </c>
    </row>
    <row r="744" customFormat="false" ht="15" hidden="false" customHeight="false" outlineLevel="0" collapsed="false">
      <c r="A744" s="25" t="s">
        <v>9347</v>
      </c>
      <c r="B744" s="25" t="s">
        <v>8419</v>
      </c>
      <c r="C744" s="25" t="s">
        <v>8393</v>
      </c>
      <c r="D744" s="25" t="n">
        <v>9</v>
      </c>
      <c r="E744" s="25" t="s">
        <v>8394</v>
      </c>
      <c r="F744" s="25" t="s">
        <v>8395</v>
      </c>
      <c r="G744" s="25" t="s">
        <v>8396</v>
      </c>
      <c r="H744" s="25" t="s">
        <v>8403</v>
      </c>
      <c r="I744" s="25" t="s">
        <v>9348</v>
      </c>
      <c r="J744" s="25" t="s">
        <v>5023</v>
      </c>
      <c r="K744" s="25" t="n">
        <v>0</v>
      </c>
      <c r="L744" s="25" t="str">
        <f aca="false">IF(K744&gt;0,"Yes","No")</f>
        <v>No</v>
      </c>
    </row>
    <row r="745" customFormat="false" ht="15" hidden="false" customHeight="false" outlineLevel="0" collapsed="false">
      <c r="A745" s="25" t="s">
        <v>9349</v>
      </c>
      <c r="B745" s="25" t="s">
        <v>8419</v>
      </c>
      <c r="C745" s="25" t="s">
        <v>8393</v>
      </c>
      <c r="D745" s="25" t="n">
        <v>9</v>
      </c>
      <c r="E745" s="25" t="s">
        <v>8394</v>
      </c>
      <c r="F745" s="25" t="s">
        <v>8395</v>
      </c>
      <c r="G745" s="25" t="s">
        <v>8396</v>
      </c>
      <c r="H745" s="25" t="s">
        <v>8403</v>
      </c>
      <c r="I745" s="25" t="s">
        <v>9350</v>
      </c>
      <c r="J745" s="25" t="s">
        <v>5023</v>
      </c>
      <c r="K745" s="25" t="n">
        <v>0</v>
      </c>
      <c r="L745" s="25" t="str">
        <f aca="false">IF(K745&gt;0,"Yes","No")</f>
        <v>No</v>
      </c>
    </row>
    <row r="746" customFormat="false" ht="15" hidden="false" customHeight="false" outlineLevel="0" collapsed="false">
      <c r="A746" s="25" t="s">
        <v>9351</v>
      </c>
      <c r="B746" s="25" t="s">
        <v>8419</v>
      </c>
      <c r="C746" s="25" t="s">
        <v>8393</v>
      </c>
      <c r="D746" s="25" t="n">
        <v>9</v>
      </c>
      <c r="E746" s="25" t="s">
        <v>8394</v>
      </c>
      <c r="F746" s="25" t="s">
        <v>8395</v>
      </c>
      <c r="G746" s="25" t="s">
        <v>8396</v>
      </c>
      <c r="H746" s="25" t="s">
        <v>8403</v>
      </c>
      <c r="I746" s="25" t="s">
        <v>9352</v>
      </c>
      <c r="J746" s="25" t="s">
        <v>5023</v>
      </c>
      <c r="K746" s="25" t="n">
        <v>0</v>
      </c>
      <c r="L746" s="25" t="str">
        <f aca="false">IF(K746&gt;0,"Yes","No")</f>
        <v>No</v>
      </c>
    </row>
    <row r="747" customFormat="false" ht="15" hidden="false" customHeight="false" outlineLevel="0" collapsed="false">
      <c r="A747" s="25" t="s">
        <v>9353</v>
      </c>
      <c r="B747" s="25" t="s">
        <v>8392</v>
      </c>
      <c r="C747" s="25" t="s">
        <v>8393</v>
      </c>
      <c r="D747" s="25" t="n">
        <v>9</v>
      </c>
      <c r="E747" s="25" t="s">
        <v>8394</v>
      </c>
      <c r="F747" s="25" t="s">
        <v>8395</v>
      </c>
      <c r="G747" s="25" t="s">
        <v>8396</v>
      </c>
      <c r="H747" s="25" t="s">
        <v>8397</v>
      </c>
      <c r="I747" s="25" t="s">
        <v>9354</v>
      </c>
      <c r="J747" s="25" t="s">
        <v>5023</v>
      </c>
      <c r="K747" s="25" t="n">
        <v>0</v>
      </c>
      <c r="L747" s="25" t="str">
        <f aca="false">IF(K747&gt;0,"Yes","No")</f>
        <v>No</v>
      </c>
    </row>
    <row r="748" customFormat="false" ht="15" hidden="false" customHeight="false" outlineLevel="0" collapsed="false">
      <c r="A748" s="25" t="s">
        <v>9355</v>
      </c>
      <c r="B748" s="25" t="s">
        <v>8392</v>
      </c>
      <c r="C748" s="25" t="s">
        <v>8393</v>
      </c>
      <c r="D748" s="25" t="n">
        <v>9</v>
      </c>
      <c r="E748" s="25" t="s">
        <v>8394</v>
      </c>
      <c r="F748" s="25" t="s">
        <v>8395</v>
      </c>
      <c r="G748" s="25" t="s">
        <v>8396</v>
      </c>
      <c r="H748" s="25" t="s">
        <v>8397</v>
      </c>
      <c r="I748" s="25" t="s">
        <v>9356</v>
      </c>
      <c r="J748" s="25" t="s">
        <v>935</v>
      </c>
      <c r="K748" s="25" t="n">
        <v>0</v>
      </c>
      <c r="L748" s="25" t="str">
        <f aca="false">IF(K748&gt;0,"Yes","No")</f>
        <v>No</v>
      </c>
    </row>
    <row r="749" customFormat="false" ht="15" hidden="false" customHeight="false" outlineLevel="0" collapsed="false">
      <c r="A749" s="25" t="s">
        <v>9357</v>
      </c>
      <c r="B749" s="25" t="s">
        <v>8392</v>
      </c>
      <c r="C749" s="25" t="s">
        <v>8393</v>
      </c>
      <c r="D749" s="25" t="n">
        <v>9</v>
      </c>
      <c r="E749" s="25" t="s">
        <v>8394</v>
      </c>
      <c r="F749" s="25" t="s">
        <v>8395</v>
      </c>
      <c r="G749" s="25" t="s">
        <v>8398</v>
      </c>
      <c r="H749" s="25"/>
      <c r="I749" s="25" t="s">
        <v>8922</v>
      </c>
      <c r="J749" s="25" t="s">
        <v>935</v>
      </c>
      <c r="K749" s="25" t="n">
        <v>0</v>
      </c>
      <c r="L749" s="25" t="str">
        <f aca="false">IF(K749&gt;0,"Yes","No")</f>
        <v>No</v>
      </c>
    </row>
    <row r="750" customFormat="false" ht="15" hidden="false" customHeight="false" outlineLevel="0" collapsed="false">
      <c r="A750" s="25" t="s">
        <v>9358</v>
      </c>
      <c r="B750" s="25" t="s">
        <v>8392</v>
      </c>
      <c r="C750" s="25" t="s">
        <v>8393</v>
      </c>
      <c r="D750" s="25" t="n">
        <v>9</v>
      </c>
      <c r="E750" s="25" t="s">
        <v>8394</v>
      </c>
      <c r="F750" s="25" t="s">
        <v>8395</v>
      </c>
      <c r="G750" s="25" t="s">
        <v>8398</v>
      </c>
      <c r="H750" s="25"/>
      <c r="I750" s="25" t="s">
        <v>9359</v>
      </c>
      <c r="J750" s="25" t="s">
        <v>935</v>
      </c>
      <c r="K750" s="25" t="n">
        <v>0</v>
      </c>
      <c r="L750" s="25" t="str">
        <f aca="false">IF(K750&gt;0,"Yes","No")</f>
        <v>No</v>
      </c>
    </row>
    <row r="751" customFormat="false" ht="15" hidden="false" customHeight="false" outlineLevel="0" collapsed="false">
      <c r="A751" s="25" t="s">
        <v>9360</v>
      </c>
      <c r="B751" s="25" t="s">
        <v>8392</v>
      </c>
      <c r="C751" s="25" t="s">
        <v>8393</v>
      </c>
      <c r="D751" s="25" t="n">
        <v>8</v>
      </c>
      <c r="E751" s="25" t="s">
        <v>8439</v>
      </c>
      <c r="F751" s="25" t="s">
        <v>8440</v>
      </c>
      <c r="G751" s="25" t="s">
        <v>8400</v>
      </c>
      <c r="H751" s="25"/>
      <c r="I751" s="25" t="s">
        <v>9361</v>
      </c>
      <c r="J751" s="25" t="s">
        <v>9362</v>
      </c>
      <c r="K751" s="25" t="n">
        <v>0</v>
      </c>
      <c r="L751" s="25" t="str">
        <f aca="false">IF(K751&gt;0,"Yes","No")</f>
        <v>No</v>
      </c>
    </row>
    <row r="752" customFormat="false" ht="15" hidden="false" customHeight="false" outlineLevel="0" collapsed="false">
      <c r="A752" s="25" t="s">
        <v>9363</v>
      </c>
      <c r="B752" s="25" t="s">
        <v>8392</v>
      </c>
      <c r="C752" s="25" t="s">
        <v>8393</v>
      </c>
      <c r="D752" s="25" t="n">
        <v>8</v>
      </c>
      <c r="E752" s="25" t="s">
        <v>8439</v>
      </c>
      <c r="F752" s="25" t="s">
        <v>8440</v>
      </c>
      <c r="G752" s="25" t="s">
        <v>8400</v>
      </c>
      <c r="H752" s="25"/>
      <c r="I752" s="25" t="s">
        <v>9364</v>
      </c>
      <c r="J752" s="25" t="s">
        <v>9365</v>
      </c>
      <c r="K752" s="25" t="n">
        <v>0</v>
      </c>
      <c r="L752" s="25" t="str">
        <f aca="false">IF(K752&gt;0,"Yes","No")</f>
        <v>No</v>
      </c>
    </row>
    <row r="753" customFormat="false" ht="15" hidden="false" customHeight="false" outlineLevel="0" collapsed="false">
      <c r="A753" s="25" t="s">
        <v>9366</v>
      </c>
      <c r="B753" s="25" t="s">
        <v>8392</v>
      </c>
      <c r="C753" s="25" t="s">
        <v>8393</v>
      </c>
      <c r="D753" s="25" t="n">
        <v>8</v>
      </c>
      <c r="E753" s="25" t="s">
        <v>8439</v>
      </c>
      <c r="F753" s="25" t="s">
        <v>8440</v>
      </c>
      <c r="G753" s="25" t="s">
        <v>8396</v>
      </c>
      <c r="H753" s="25" t="s">
        <v>8403</v>
      </c>
      <c r="I753" s="25" t="s">
        <v>9367</v>
      </c>
      <c r="J753" s="25" t="s">
        <v>9368</v>
      </c>
      <c r="K753" s="25" t="n">
        <v>0</v>
      </c>
      <c r="L753" s="25" t="str">
        <f aca="false">IF(K753&gt;0,"Yes","No")</f>
        <v>No</v>
      </c>
    </row>
    <row r="754" customFormat="false" ht="15" hidden="false" customHeight="false" outlineLevel="0" collapsed="false">
      <c r="A754" s="25" t="s">
        <v>9369</v>
      </c>
      <c r="B754" s="25" t="s">
        <v>8419</v>
      </c>
      <c r="C754" s="25" t="s">
        <v>8393</v>
      </c>
      <c r="D754" s="25" t="n">
        <v>8</v>
      </c>
      <c r="E754" s="25" t="s">
        <v>8439</v>
      </c>
      <c r="F754" s="25" t="s">
        <v>8440</v>
      </c>
      <c r="G754" s="25" t="s">
        <v>8398</v>
      </c>
      <c r="H754" s="25"/>
      <c r="I754" s="25" t="s">
        <v>9370</v>
      </c>
      <c r="J754" s="25" t="s">
        <v>9371</v>
      </c>
      <c r="K754" s="25" t="n">
        <v>0</v>
      </c>
      <c r="L754" s="25" t="str">
        <f aca="false">IF(K754&gt;0,"Yes","No")</f>
        <v>No</v>
      </c>
    </row>
    <row r="755" customFormat="false" ht="15" hidden="false" customHeight="false" outlineLevel="0" collapsed="false">
      <c r="A755" s="25" t="s">
        <v>9372</v>
      </c>
      <c r="B755" s="25" t="s">
        <v>8392</v>
      </c>
      <c r="C755" s="25" t="s">
        <v>8393</v>
      </c>
      <c r="D755" s="25" t="n">
        <v>8</v>
      </c>
      <c r="E755" s="25" t="s">
        <v>8439</v>
      </c>
      <c r="F755" s="25" t="s">
        <v>8440</v>
      </c>
      <c r="G755" s="25" t="s">
        <v>8400</v>
      </c>
      <c r="H755" s="25"/>
      <c r="I755" s="25" t="s">
        <v>9373</v>
      </c>
      <c r="J755" s="25" t="s">
        <v>9371</v>
      </c>
      <c r="K755" s="25" t="n">
        <v>0</v>
      </c>
      <c r="L755" s="25" t="str">
        <f aca="false">IF(K755&gt;0,"Yes","No")</f>
        <v>No</v>
      </c>
    </row>
    <row r="756" customFormat="false" ht="15" hidden="false" customHeight="false" outlineLevel="0" collapsed="false">
      <c r="A756" s="25" t="s">
        <v>9374</v>
      </c>
      <c r="B756" s="25" t="s">
        <v>8419</v>
      </c>
      <c r="C756" s="25" t="s">
        <v>8393</v>
      </c>
      <c r="D756" s="25" t="n">
        <v>8</v>
      </c>
      <c r="E756" s="25" t="s">
        <v>8439</v>
      </c>
      <c r="F756" s="25" t="s">
        <v>8440</v>
      </c>
      <c r="G756" s="25" t="s">
        <v>8396</v>
      </c>
      <c r="H756" s="25" t="s">
        <v>8399</v>
      </c>
      <c r="I756" s="25" t="s">
        <v>9375</v>
      </c>
      <c r="J756" s="25" t="s">
        <v>9376</v>
      </c>
      <c r="K756" s="25" t="n">
        <v>0</v>
      </c>
      <c r="L756" s="25" t="str">
        <f aca="false">IF(K756&gt;0,"Yes","No")</f>
        <v>No</v>
      </c>
    </row>
    <row r="757" customFormat="false" ht="15" hidden="false" customHeight="false" outlineLevel="0" collapsed="false">
      <c r="A757" s="25" t="s">
        <v>9377</v>
      </c>
      <c r="B757" s="25" t="s">
        <v>8419</v>
      </c>
      <c r="C757" s="25" t="s">
        <v>8393</v>
      </c>
      <c r="D757" s="25" t="n">
        <v>8</v>
      </c>
      <c r="E757" s="25" t="s">
        <v>8439</v>
      </c>
      <c r="F757" s="25" t="s">
        <v>8440</v>
      </c>
      <c r="G757" s="25" t="s">
        <v>8396</v>
      </c>
      <c r="H757" s="25" t="s">
        <v>8399</v>
      </c>
      <c r="I757" s="25" t="s">
        <v>9378</v>
      </c>
      <c r="J757" s="25" t="s">
        <v>9379</v>
      </c>
      <c r="K757" s="25" t="n">
        <v>0</v>
      </c>
      <c r="L757" s="25" t="str">
        <f aca="false">IF(K757&gt;0,"Yes","No")</f>
        <v>No</v>
      </c>
    </row>
    <row r="758" customFormat="false" ht="15" hidden="false" customHeight="false" outlineLevel="0" collapsed="false">
      <c r="A758" s="25" t="s">
        <v>9380</v>
      </c>
      <c r="B758" s="25" t="s">
        <v>8392</v>
      </c>
      <c r="C758" s="25" t="s">
        <v>8393</v>
      </c>
      <c r="D758" s="25" t="n">
        <v>8</v>
      </c>
      <c r="E758" s="25" t="s">
        <v>8439</v>
      </c>
      <c r="F758" s="25" t="s">
        <v>8440</v>
      </c>
      <c r="G758" s="25" t="s">
        <v>8402</v>
      </c>
      <c r="H758" s="25"/>
      <c r="I758" s="25" t="s">
        <v>9381</v>
      </c>
      <c r="J758" s="25" t="s">
        <v>9382</v>
      </c>
      <c r="K758" s="25" t="n">
        <v>0</v>
      </c>
      <c r="L758" s="25" t="str">
        <f aca="false">IF(K758&gt;0,"Yes","No")</f>
        <v>No</v>
      </c>
    </row>
    <row r="759" customFormat="false" ht="15" hidden="false" customHeight="false" outlineLevel="0" collapsed="false">
      <c r="A759" s="25" t="s">
        <v>9383</v>
      </c>
      <c r="B759" s="25" t="s">
        <v>8392</v>
      </c>
      <c r="C759" s="25" t="s">
        <v>8393</v>
      </c>
      <c r="D759" s="25" t="n">
        <v>8</v>
      </c>
      <c r="E759" s="25" t="s">
        <v>8439</v>
      </c>
      <c r="F759" s="25" t="s">
        <v>8440</v>
      </c>
      <c r="G759" s="25" t="s">
        <v>8400</v>
      </c>
      <c r="H759" s="25"/>
      <c r="I759" s="25" t="s">
        <v>9384</v>
      </c>
      <c r="J759" s="25" t="s">
        <v>9382</v>
      </c>
      <c r="K759" s="25" t="n">
        <v>0</v>
      </c>
      <c r="L759" s="25" t="str">
        <f aca="false">IF(K759&gt;0,"Yes","No")</f>
        <v>No</v>
      </c>
    </row>
    <row r="760" customFormat="false" ht="15" hidden="false" customHeight="false" outlineLevel="0" collapsed="false">
      <c r="A760" s="25" t="s">
        <v>9385</v>
      </c>
      <c r="B760" s="25" t="s">
        <v>8392</v>
      </c>
      <c r="C760" s="25" t="s">
        <v>8393</v>
      </c>
      <c r="D760" s="25" t="n">
        <v>8</v>
      </c>
      <c r="E760" s="25" t="s">
        <v>8439</v>
      </c>
      <c r="F760" s="25" t="s">
        <v>8440</v>
      </c>
      <c r="G760" s="25" t="s">
        <v>8400</v>
      </c>
      <c r="H760" s="25"/>
      <c r="I760" s="25" t="s">
        <v>9386</v>
      </c>
      <c r="J760" s="25" t="s">
        <v>9387</v>
      </c>
      <c r="K760" s="25" t="n">
        <v>0</v>
      </c>
      <c r="L760" s="25" t="str">
        <f aca="false">IF(K760&gt;0,"Yes","No")</f>
        <v>No</v>
      </c>
    </row>
    <row r="761" customFormat="false" ht="15" hidden="false" customHeight="false" outlineLevel="0" collapsed="false">
      <c r="A761" s="25" t="s">
        <v>9388</v>
      </c>
      <c r="B761" s="25" t="s">
        <v>8419</v>
      </c>
      <c r="C761" s="25" t="s">
        <v>8393</v>
      </c>
      <c r="D761" s="25" t="n">
        <v>8</v>
      </c>
      <c r="E761" s="25" t="s">
        <v>8439</v>
      </c>
      <c r="F761" s="25" t="s">
        <v>8440</v>
      </c>
      <c r="G761" s="25" t="s">
        <v>8400</v>
      </c>
      <c r="H761" s="25"/>
      <c r="I761" s="25" t="s">
        <v>9389</v>
      </c>
      <c r="J761" s="25" t="s">
        <v>9387</v>
      </c>
      <c r="K761" s="25" t="n">
        <v>0</v>
      </c>
      <c r="L761" s="25" t="str">
        <f aca="false">IF(K761&gt;0,"Yes","No")</f>
        <v>No</v>
      </c>
    </row>
    <row r="762" customFormat="false" ht="15" hidden="false" customHeight="false" outlineLevel="0" collapsed="false">
      <c r="A762" s="25" t="s">
        <v>9390</v>
      </c>
      <c r="B762" s="25" t="s">
        <v>8392</v>
      </c>
      <c r="C762" s="25" t="s">
        <v>8393</v>
      </c>
      <c r="D762" s="25" t="n">
        <v>8</v>
      </c>
      <c r="E762" s="25" t="s">
        <v>8439</v>
      </c>
      <c r="F762" s="25" t="s">
        <v>8440</v>
      </c>
      <c r="G762" s="25" t="s">
        <v>8400</v>
      </c>
      <c r="H762" s="25"/>
      <c r="I762" s="25" t="s">
        <v>9391</v>
      </c>
      <c r="J762" s="25" t="s">
        <v>9387</v>
      </c>
      <c r="K762" s="25" t="n">
        <v>0</v>
      </c>
      <c r="L762" s="25" t="str">
        <f aca="false">IF(K762&gt;0,"Yes","No")</f>
        <v>No</v>
      </c>
    </row>
    <row r="763" customFormat="false" ht="15" hidden="false" customHeight="false" outlineLevel="0" collapsed="false">
      <c r="A763" s="25" t="s">
        <v>9392</v>
      </c>
      <c r="B763" s="25" t="s">
        <v>8392</v>
      </c>
      <c r="C763" s="25" t="s">
        <v>8393</v>
      </c>
      <c r="D763" s="25" t="n">
        <v>8</v>
      </c>
      <c r="E763" s="25" t="s">
        <v>8439</v>
      </c>
      <c r="F763" s="25" t="s">
        <v>8440</v>
      </c>
      <c r="G763" s="25" t="s">
        <v>8396</v>
      </c>
      <c r="H763" s="25" t="s">
        <v>8399</v>
      </c>
      <c r="I763" s="25" t="s">
        <v>9393</v>
      </c>
      <c r="J763" s="25" t="s">
        <v>9362</v>
      </c>
      <c r="K763" s="25" t="n">
        <v>0</v>
      </c>
      <c r="L763" s="25" t="str">
        <f aca="false">IF(K763&gt;0,"Yes","No")</f>
        <v>No</v>
      </c>
    </row>
    <row r="764" customFormat="false" ht="15" hidden="false" customHeight="false" outlineLevel="0" collapsed="false">
      <c r="A764" s="25" t="s">
        <v>9394</v>
      </c>
      <c r="B764" s="25" t="s">
        <v>8419</v>
      </c>
      <c r="C764" s="25" t="s">
        <v>8393</v>
      </c>
      <c r="D764" s="25" t="n">
        <v>8</v>
      </c>
      <c r="E764" s="25" t="s">
        <v>8439</v>
      </c>
      <c r="F764" s="25" t="s">
        <v>8440</v>
      </c>
      <c r="G764" s="25" t="s">
        <v>8396</v>
      </c>
      <c r="H764" s="25" t="s">
        <v>8399</v>
      </c>
      <c r="I764" s="25" t="s">
        <v>9395</v>
      </c>
      <c r="J764" s="25" t="s">
        <v>9396</v>
      </c>
      <c r="K764" s="25" t="n">
        <v>0</v>
      </c>
      <c r="L764" s="25" t="str">
        <f aca="false">IF(K764&gt;0,"Yes","No")</f>
        <v>No</v>
      </c>
    </row>
    <row r="765" customFormat="false" ht="15" hidden="false" customHeight="false" outlineLevel="0" collapsed="false">
      <c r="A765" s="25" t="s">
        <v>9397</v>
      </c>
      <c r="B765" s="25" t="s">
        <v>8419</v>
      </c>
      <c r="C765" s="25" t="s">
        <v>8393</v>
      </c>
      <c r="D765" s="25" t="n">
        <v>8</v>
      </c>
      <c r="E765" s="25" t="s">
        <v>8439</v>
      </c>
      <c r="F765" s="25" t="s">
        <v>8440</v>
      </c>
      <c r="G765" s="25" t="s">
        <v>8396</v>
      </c>
      <c r="H765" s="25" t="s">
        <v>8399</v>
      </c>
      <c r="I765" s="25" t="s">
        <v>9398</v>
      </c>
      <c r="J765" s="25" t="s">
        <v>9399</v>
      </c>
      <c r="K765" s="25" t="n">
        <v>0</v>
      </c>
      <c r="L765" s="25" t="str">
        <f aca="false">IF(K765&gt;0,"Yes","No")</f>
        <v>No</v>
      </c>
    </row>
    <row r="766" customFormat="false" ht="15" hidden="false" customHeight="false" outlineLevel="0" collapsed="false">
      <c r="A766" s="25" t="s">
        <v>9400</v>
      </c>
      <c r="B766" s="25" t="s">
        <v>8392</v>
      </c>
      <c r="C766" s="25" t="s">
        <v>8393</v>
      </c>
      <c r="D766" s="25" t="n">
        <v>8</v>
      </c>
      <c r="E766" s="25" t="s">
        <v>8439</v>
      </c>
      <c r="F766" s="25" t="s">
        <v>8440</v>
      </c>
      <c r="G766" s="25" t="s">
        <v>8396</v>
      </c>
      <c r="H766" s="25" t="s">
        <v>8397</v>
      </c>
      <c r="I766" s="25" t="s">
        <v>9401</v>
      </c>
      <c r="J766" s="25" t="s">
        <v>9402</v>
      </c>
      <c r="K766" s="25" t="n">
        <v>0</v>
      </c>
      <c r="L766" s="25" t="str">
        <f aca="false">IF(K766&gt;0,"Yes","No")</f>
        <v>No</v>
      </c>
    </row>
    <row r="767" customFormat="false" ht="15" hidden="false" customHeight="false" outlineLevel="0" collapsed="false">
      <c r="A767" s="25" t="s">
        <v>9403</v>
      </c>
      <c r="B767" s="25" t="s">
        <v>8392</v>
      </c>
      <c r="C767" s="25" t="s">
        <v>8393</v>
      </c>
      <c r="D767" s="25" t="n">
        <v>8</v>
      </c>
      <c r="E767" s="25" t="s">
        <v>8439</v>
      </c>
      <c r="F767" s="25" t="s">
        <v>8440</v>
      </c>
      <c r="G767" s="25" t="s">
        <v>8400</v>
      </c>
      <c r="H767" s="25"/>
      <c r="I767" s="25" t="s">
        <v>9404</v>
      </c>
      <c r="J767" s="25" t="s">
        <v>9405</v>
      </c>
      <c r="K767" s="25" t="n">
        <v>0</v>
      </c>
      <c r="L767" s="25" t="str">
        <f aca="false">IF(K767&gt;0,"Yes","No")</f>
        <v>No</v>
      </c>
    </row>
    <row r="768" customFormat="false" ht="15" hidden="false" customHeight="false" outlineLevel="0" collapsed="false">
      <c r="A768" s="25" t="s">
        <v>9406</v>
      </c>
      <c r="B768" s="25" t="s">
        <v>8392</v>
      </c>
      <c r="C768" s="25" t="s">
        <v>8393</v>
      </c>
      <c r="D768" s="25" t="n">
        <v>9</v>
      </c>
      <c r="E768" s="25" t="s">
        <v>8394</v>
      </c>
      <c r="F768" s="25" t="s">
        <v>8395</v>
      </c>
      <c r="G768" s="25" t="s">
        <v>8396</v>
      </c>
      <c r="H768" s="25" t="s">
        <v>8397</v>
      </c>
      <c r="I768" s="25" t="s">
        <v>9407</v>
      </c>
      <c r="J768" s="25" t="s">
        <v>6348</v>
      </c>
      <c r="K768" s="25" t="n">
        <v>0</v>
      </c>
      <c r="L768" s="25" t="str">
        <f aca="false">IF(K768&gt;0,"Yes","No")</f>
        <v>No</v>
      </c>
    </row>
    <row r="769" customFormat="false" ht="15" hidden="false" customHeight="false" outlineLevel="0" collapsed="false">
      <c r="A769" s="25" t="s">
        <v>9408</v>
      </c>
      <c r="B769" s="25" t="s">
        <v>8419</v>
      </c>
      <c r="C769" s="25" t="s">
        <v>8393</v>
      </c>
      <c r="D769" s="25" t="n">
        <v>9</v>
      </c>
      <c r="E769" s="25" t="s">
        <v>8394</v>
      </c>
      <c r="F769" s="25" t="s">
        <v>8395</v>
      </c>
      <c r="G769" s="25" t="s">
        <v>8396</v>
      </c>
      <c r="H769" s="25" t="s">
        <v>8397</v>
      </c>
      <c r="I769" s="25" t="s">
        <v>9409</v>
      </c>
      <c r="J769" s="25" t="s">
        <v>6348</v>
      </c>
      <c r="K769" s="25" t="n">
        <v>0</v>
      </c>
      <c r="L769" s="25" t="str">
        <f aca="false">IF(K769&gt;0,"Yes","No")</f>
        <v>No</v>
      </c>
    </row>
    <row r="770" customFormat="false" ht="15" hidden="false" customHeight="false" outlineLevel="0" collapsed="false">
      <c r="A770" s="25" t="s">
        <v>9410</v>
      </c>
      <c r="B770" s="25" t="s">
        <v>8392</v>
      </c>
      <c r="C770" s="25" t="s">
        <v>8393</v>
      </c>
      <c r="D770" s="25" t="n">
        <v>9</v>
      </c>
      <c r="E770" s="25" t="s">
        <v>8394</v>
      </c>
      <c r="F770" s="25" t="s">
        <v>8395</v>
      </c>
      <c r="G770" s="25" t="s">
        <v>8396</v>
      </c>
      <c r="H770" s="25"/>
      <c r="I770" s="25" t="s">
        <v>9411</v>
      </c>
      <c r="J770" s="25" t="s">
        <v>2674</v>
      </c>
      <c r="K770" s="25" t="n">
        <v>0</v>
      </c>
      <c r="L770" s="25" t="str">
        <f aca="false">IF(K770&gt;0,"Yes","No")</f>
        <v>No</v>
      </c>
    </row>
    <row r="771" customFormat="false" ht="15" hidden="false" customHeight="false" outlineLevel="0" collapsed="false">
      <c r="A771" s="25" t="s">
        <v>9412</v>
      </c>
      <c r="B771" s="25" t="s">
        <v>8419</v>
      </c>
      <c r="C771" s="25" t="s">
        <v>8393</v>
      </c>
      <c r="D771" s="25" t="n">
        <v>9</v>
      </c>
      <c r="E771" s="25" t="s">
        <v>8394</v>
      </c>
      <c r="F771" s="25" t="s">
        <v>8395</v>
      </c>
      <c r="G771" s="25" t="s">
        <v>8396</v>
      </c>
      <c r="H771" s="25"/>
      <c r="I771" s="25" t="s">
        <v>9413</v>
      </c>
      <c r="J771" s="25" t="s">
        <v>2674</v>
      </c>
      <c r="K771" s="25" t="n">
        <v>0</v>
      </c>
      <c r="L771" s="25" t="str">
        <f aca="false">IF(K771&gt;0,"Yes","No")</f>
        <v>No</v>
      </c>
    </row>
    <row r="772" customFormat="false" ht="15" hidden="false" customHeight="false" outlineLevel="0" collapsed="false">
      <c r="A772" s="25" t="s">
        <v>9414</v>
      </c>
      <c r="B772" s="25" t="s">
        <v>8419</v>
      </c>
      <c r="C772" s="25" t="s">
        <v>8393</v>
      </c>
      <c r="D772" s="25" t="n">
        <v>9</v>
      </c>
      <c r="E772" s="25" t="s">
        <v>8394</v>
      </c>
      <c r="F772" s="25" t="s">
        <v>8395</v>
      </c>
      <c r="G772" s="25" t="s">
        <v>8396</v>
      </c>
      <c r="H772" s="25"/>
      <c r="I772" s="25" t="s">
        <v>9415</v>
      </c>
      <c r="J772" s="25" t="s">
        <v>2674</v>
      </c>
      <c r="K772" s="25" t="n">
        <v>0</v>
      </c>
      <c r="L772" s="25" t="str">
        <f aca="false">IF(K772&gt;0,"Yes","No")</f>
        <v>No</v>
      </c>
    </row>
    <row r="773" customFormat="false" ht="15" hidden="false" customHeight="false" outlineLevel="0" collapsed="false">
      <c r="A773" s="25" t="s">
        <v>9416</v>
      </c>
      <c r="B773" s="25" t="s">
        <v>8392</v>
      </c>
      <c r="C773" s="25" t="s">
        <v>8393</v>
      </c>
      <c r="D773" s="25" t="n">
        <v>9</v>
      </c>
      <c r="E773" s="25" t="s">
        <v>8394</v>
      </c>
      <c r="F773" s="25" t="s">
        <v>8395</v>
      </c>
      <c r="G773" s="25" t="s">
        <v>8396</v>
      </c>
      <c r="H773" s="25"/>
      <c r="I773" s="25" t="s">
        <v>9417</v>
      </c>
      <c r="J773" s="25" t="s">
        <v>2674</v>
      </c>
      <c r="K773" s="25" t="n">
        <v>0</v>
      </c>
      <c r="L773" s="25" t="str">
        <f aca="false">IF(K773&gt;0,"Yes","No")</f>
        <v>No</v>
      </c>
    </row>
    <row r="774" customFormat="false" ht="15" hidden="false" customHeight="false" outlineLevel="0" collapsed="false">
      <c r="A774" s="25" t="s">
        <v>9418</v>
      </c>
      <c r="B774" s="25" t="s">
        <v>8392</v>
      </c>
      <c r="C774" s="25" t="s">
        <v>8393</v>
      </c>
      <c r="D774" s="25" t="n">
        <v>9</v>
      </c>
      <c r="E774" s="25" t="s">
        <v>8394</v>
      </c>
      <c r="F774" s="25" t="s">
        <v>8395</v>
      </c>
      <c r="G774" s="25" t="s">
        <v>8396</v>
      </c>
      <c r="H774" s="25"/>
      <c r="I774" s="25" t="s">
        <v>9419</v>
      </c>
      <c r="J774" s="25" t="s">
        <v>2674</v>
      </c>
      <c r="K774" s="25" t="n">
        <v>0</v>
      </c>
      <c r="L774" s="25" t="str">
        <f aca="false">IF(K774&gt;0,"Yes","No")</f>
        <v>No</v>
      </c>
    </row>
    <row r="775" customFormat="false" ht="15" hidden="false" customHeight="false" outlineLevel="0" collapsed="false">
      <c r="A775" s="25" t="s">
        <v>9420</v>
      </c>
      <c r="B775" s="25" t="s">
        <v>8392</v>
      </c>
      <c r="C775" s="25" t="s">
        <v>8393</v>
      </c>
      <c r="D775" s="25" t="n">
        <v>9</v>
      </c>
      <c r="E775" s="25" t="s">
        <v>8394</v>
      </c>
      <c r="F775" s="25" t="s">
        <v>8395</v>
      </c>
      <c r="G775" s="25" t="s">
        <v>8396</v>
      </c>
      <c r="H775" s="25"/>
      <c r="I775" s="25" t="s">
        <v>9421</v>
      </c>
      <c r="J775" s="25" t="s">
        <v>2674</v>
      </c>
      <c r="K775" s="25" t="n">
        <v>0</v>
      </c>
      <c r="L775" s="25" t="str">
        <f aca="false">IF(K775&gt;0,"Yes","No")</f>
        <v>No</v>
      </c>
    </row>
    <row r="776" customFormat="false" ht="15" hidden="false" customHeight="false" outlineLevel="0" collapsed="false">
      <c r="A776" s="25" t="s">
        <v>9422</v>
      </c>
      <c r="B776" s="25" t="s">
        <v>8392</v>
      </c>
      <c r="C776" s="25" t="s">
        <v>8393</v>
      </c>
      <c r="D776" s="25" t="n">
        <v>9</v>
      </c>
      <c r="E776" s="25" t="s">
        <v>8394</v>
      </c>
      <c r="F776" s="25" t="s">
        <v>8395</v>
      </c>
      <c r="G776" s="25" t="s">
        <v>8396</v>
      </c>
      <c r="H776" s="25"/>
      <c r="I776" s="25" t="s">
        <v>9423</v>
      </c>
      <c r="J776" s="25" t="s">
        <v>2674</v>
      </c>
      <c r="K776" s="25" t="n">
        <v>0</v>
      </c>
      <c r="L776" s="25" t="str">
        <f aca="false">IF(K776&gt;0,"Yes","No")</f>
        <v>No</v>
      </c>
    </row>
    <row r="777" customFormat="false" ht="15" hidden="false" customHeight="false" outlineLevel="0" collapsed="false">
      <c r="A777" s="25" t="s">
        <v>8373</v>
      </c>
      <c r="B777" s="25" t="s">
        <v>8392</v>
      </c>
      <c r="C777" s="25" t="s">
        <v>8393</v>
      </c>
      <c r="D777" s="25" t="n">
        <v>9</v>
      </c>
      <c r="E777" s="25" t="s">
        <v>8394</v>
      </c>
      <c r="F777" s="25" t="s">
        <v>8395</v>
      </c>
      <c r="G777" s="25" t="s">
        <v>8396</v>
      </c>
      <c r="H777" s="25"/>
      <c r="I777" s="25" t="s">
        <v>8374</v>
      </c>
      <c r="J777" s="25" t="s">
        <v>2674</v>
      </c>
      <c r="K777" s="25" t="n">
        <v>0</v>
      </c>
      <c r="L777" s="25" t="str">
        <f aca="false">IF(K777&gt;0,"Yes","No")</f>
        <v>No</v>
      </c>
    </row>
    <row r="778" customFormat="false" ht="15" hidden="false" customHeight="false" outlineLevel="0" collapsed="false">
      <c r="A778" s="25" t="s">
        <v>9424</v>
      </c>
      <c r="B778" s="25" t="s">
        <v>8392</v>
      </c>
      <c r="C778" s="25" t="s">
        <v>8393</v>
      </c>
      <c r="D778" s="25" t="n">
        <v>9</v>
      </c>
      <c r="E778" s="25" t="s">
        <v>8394</v>
      </c>
      <c r="F778" s="25" t="s">
        <v>8395</v>
      </c>
      <c r="G778" s="25" t="s">
        <v>8396</v>
      </c>
      <c r="H778" s="25"/>
      <c r="I778" s="25" t="s">
        <v>9425</v>
      </c>
      <c r="J778" s="25" t="s">
        <v>3360</v>
      </c>
      <c r="K778" s="25" t="n">
        <v>0</v>
      </c>
      <c r="L778" s="25" t="str">
        <f aca="false">IF(K778&gt;0,"Yes","No")</f>
        <v>No</v>
      </c>
    </row>
    <row r="779" customFormat="false" ht="15" hidden="false" customHeight="false" outlineLevel="0" collapsed="false">
      <c r="A779" s="25" t="s">
        <v>9426</v>
      </c>
      <c r="B779" s="25" t="s">
        <v>8392</v>
      </c>
      <c r="C779" s="25" t="s">
        <v>8393</v>
      </c>
      <c r="D779" s="25" t="n">
        <v>9</v>
      </c>
      <c r="E779" s="25" t="s">
        <v>8394</v>
      </c>
      <c r="F779" s="25" t="s">
        <v>8395</v>
      </c>
      <c r="G779" s="25" t="s">
        <v>8398</v>
      </c>
      <c r="H779" s="25"/>
      <c r="I779" s="25" t="s">
        <v>9427</v>
      </c>
      <c r="J779" s="25" t="s">
        <v>3360</v>
      </c>
      <c r="K779" s="25" t="n">
        <v>0</v>
      </c>
      <c r="L779" s="25" t="str">
        <f aca="false">IF(K779&gt;0,"Yes","No")</f>
        <v>No</v>
      </c>
    </row>
    <row r="780" customFormat="false" ht="15" hidden="false" customHeight="false" outlineLevel="0" collapsed="false">
      <c r="A780" s="25" t="s">
        <v>9428</v>
      </c>
      <c r="B780" s="25" t="s">
        <v>8392</v>
      </c>
      <c r="C780" s="25" t="s">
        <v>8393</v>
      </c>
      <c r="D780" s="25" t="n">
        <v>9</v>
      </c>
      <c r="E780" s="25" t="s">
        <v>8394</v>
      </c>
      <c r="F780" s="25" t="s">
        <v>8395</v>
      </c>
      <c r="G780" s="25" t="s">
        <v>8398</v>
      </c>
      <c r="H780" s="25"/>
      <c r="I780" s="25" t="s">
        <v>458</v>
      </c>
      <c r="J780" s="25" t="s">
        <v>3360</v>
      </c>
      <c r="K780" s="25" t="n">
        <v>0</v>
      </c>
      <c r="L780" s="25" t="str">
        <f aca="false">IF(K780&gt;0,"Yes","No")</f>
        <v>No</v>
      </c>
    </row>
    <row r="781" customFormat="false" ht="15" hidden="false" customHeight="false" outlineLevel="0" collapsed="false">
      <c r="A781" s="25" t="s">
        <v>9429</v>
      </c>
      <c r="B781" s="25" t="s">
        <v>8419</v>
      </c>
      <c r="C781" s="25" t="s">
        <v>8393</v>
      </c>
      <c r="D781" s="25" t="n">
        <v>9</v>
      </c>
      <c r="E781" s="25" t="s">
        <v>8394</v>
      </c>
      <c r="F781" s="25" t="s">
        <v>8395</v>
      </c>
      <c r="G781" s="25" t="s">
        <v>8396</v>
      </c>
      <c r="H781" s="25"/>
      <c r="I781" s="25" t="s">
        <v>9430</v>
      </c>
      <c r="J781" s="25" t="s">
        <v>9431</v>
      </c>
      <c r="K781" s="25" t="n">
        <v>0</v>
      </c>
      <c r="L781" s="25" t="str">
        <f aca="false">IF(K781&gt;0,"Yes","No")</f>
        <v>No</v>
      </c>
    </row>
    <row r="782" customFormat="false" ht="15" hidden="false" customHeight="false" outlineLevel="0" collapsed="false">
      <c r="A782" s="25" t="s">
        <v>9432</v>
      </c>
      <c r="B782" s="25" t="s">
        <v>8419</v>
      </c>
      <c r="C782" s="25" t="s">
        <v>8393</v>
      </c>
      <c r="D782" s="25" t="n">
        <v>9</v>
      </c>
      <c r="E782" s="25" t="s">
        <v>8394</v>
      </c>
      <c r="F782" s="25" t="s">
        <v>8395</v>
      </c>
      <c r="G782" s="25" t="s">
        <v>8396</v>
      </c>
      <c r="H782" s="25"/>
      <c r="I782" s="25" t="s">
        <v>9433</v>
      </c>
      <c r="J782" s="25" t="s">
        <v>9431</v>
      </c>
      <c r="K782" s="25" t="n">
        <v>0</v>
      </c>
      <c r="L782" s="25" t="str">
        <f aca="false">IF(K782&gt;0,"Yes","No")</f>
        <v>No</v>
      </c>
    </row>
    <row r="783" customFormat="false" ht="15" hidden="false" customHeight="false" outlineLevel="0" collapsed="false">
      <c r="A783" s="25" t="s">
        <v>9434</v>
      </c>
      <c r="B783" s="25" t="s">
        <v>8419</v>
      </c>
      <c r="C783" s="25" t="s">
        <v>8393</v>
      </c>
      <c r="D783" s="25" t="n">
        <v>9</v>
      </c>
      <c r="E783" s="25" t="s">
        <v>8394</v>
      </c>
      <c r="F783" s="25" t="s">
        <v>8395</v>
      </c>
      <c r="G783" s="25" t="s">
        <v>8396</v>
      </c>
      <c r="H783" s="25"/>
      <c r="I783" s="25" t="s">
        <v>9435</v>
      </c>
      <c r="J783" s="25" t="s">
        <v>9436</v>
      </c>
      <c r="K783" s="25" t="n">
        <v>0</v>
      </c>
      <c r="L783" s="25" t="str">
        <f aca="false">IF(K783&gt;0,"Yes","No")</f>
        <v>No</v>
      </c>
    </row>
    <row r="784" customFormat="false" ht="15" hidden="false" customHeight="false" outlineLevel="0" collapsed="false">
      <c r="A784" s="25" t="s">
        <v>9437</v>
      </c>
      <c r="B784" s="25" t="s">
        <v>8419</v>
      </c>
      <c r="C784" s="25" t="s">
        <v>8393</v>
      </c>
      <c r="D784" s="25" t="n">
        <v>9</v>
      </c>
      <c r="E784" s="25" t="s">
        <v>8394</v>
      </c>
      <c r="F784" s="25" t="s">
        <v>8395</v>
      </c>
      <c r="G784" s="25" t="s">
        <v>8396</v>
      </c>
      <c r="H784" s="25"/>
      <c r="I784" s="25" t="s">
        <v>9438</v>
      </c>
      <c r="J784" s="25" t="s">
        <v>9436</v>
      </c>
      <c r="K784" s="25" t="n">
        <v>0</v>
      </c>
      <c r="L784" s="25" t="str">
        <f aca="false">IF(K784&gt;0,"Yes","No")</f>
        <v>No</v>
      </c>
    </row>
    <row r="785" customFormat="false" ht="15" hidden="false" customHeight="false" outlineLevel="0" collapsed="false">
      <c r="A785" s="25" t="s">
        <v>9439</v>
      </c>
      <c r="B785" s="25" t="s">
        <v>8392</v>
      </c>
      <c r="C785" s="25" t="s">
        <v>8393</v>
      </c>
      <c r="D785" s="25" t="n">
        <v>9</v>
      </c>
      <c r="E785" s="25" t="s">
        <v>8394</v>
      </c>
      <c r="F785" s="25" t="s">
        <v>8395</v>
      </c>
      <c r="G785" s="25" t="s">
        <v>8396</v>
      </c>
      <c r="H785" s="25"/>
      <c r="I785" s="25" t="s">
        <v>9440</v>
      </c>
      <c r="J785" s="25" t="s">
        <v>9441</v>
      </c>
      <c r="K785" s="25" t="n">
        <v>0</v>
      </c>
      <c r="L785" s="25" t="str">
        <f aca="false">IF(K785&gt;0,"Yes","No")</f>
        <v>No</v>
      </c>
    </row>
    <row r="786" customFormat="false" ht="15" hidden="false" customHeight="false" outlineLevel="0" collapsed="false">
      <c r="A786" s="25" t="s">
        <v>9442</v>
      </c>
      <c r="B786" s="25" t="s">
        <v>8392</v>
      </c>
      <c r="C786" s="25" t="s">
        <v>8393</v>
      </c>
      <c r="D786" s="25" t="n">
        <v>9</v>
      </c>
      <c r="E786" s="25" t="s">
        <v>8394</v>
      </c>
      <c r="F786" s="25" t="s">
        <v>8395</v>
      </c>
      <c r="G786" s="25" t="s">
        <v>8396</v>
      </c>
      <c r="H786" s="25"/>
      <c r="I786" s="25" t="s">
        <v>9443</v>
      </c>
      <c r="J786" s="25" t="s">
        <v>9441</v>
      </c>
      <c r="K786" s="25" t="n">
        <v>0</v>
      </c>
      <c r="L786" s="25" t="str">
        <f aca="false">IF(K786&gt;0,"Yes","No")</f>
        <v>No</v>
      </c>
    </row>
    <row r="787" customFormat="false" ht="15" hidden="false" customHeight="false" outlineLevel="0" collapsed="false">
      <c r="A787" s="25" t="s">
        <v>9444</v>
      </c>
      <c r="B787" s="25" t="s">
        <v>8419</v>
      </c>
      <c r="C787" s="25" t="s">
        <v>8393</v>
      </c>
      <c r="D787" s="25" t="n">
        <v>9</v>
      </c>
      <c r="E787" s="25" t="s">
        <v>8394</v>
      </c>
      <c r="F787" s="25" t="s">
        <v>8395</v>
      </c>
      <c r="G787" s="25" t="s">
        <v>8396</v>
      </c>
      <c r="H787" s="25"/>
      <c r="I787" s="25" t="s">
        <v>9445</v>
      </c>
      <c r="J787" s="25" t="s">
        <v>9446</v>
      </c>
      <c r="K787" s="25" t="n">
        <v>0</v>
      </c>
      <c r="L787" s="25" t="str">
        <f aca="false">IF(K787&gt;0,"Yes","No")</f>
        <v>No</v>
      </c>
    </row>
    <row r="788" customFormat="false" ht="15" hidden="false" customHeight="false" outlineLevel="0" collapsed="false">
      <c r="A788" s="25" t="s">
        <v>9447</v>
      </c>
      <c r="B788" s="25" t="s">
        <v>8419</v>
      </c>
      <c r="C788" s="25" t="s">
        <v>8393</v>
      </c>
      <c r="D788" s="25" t="n">
        <v>9</v>
      </c>
      <c r="E788" s="25" t="s">
        <v>8394</v>
      </c>
      <c r="F788" s="25" t="s">
        <v>8395</v>
      </c>
      <c r="G788" s="25" t="s">
        <v>8396</v>
      </c>
      <c r="H788" s="25"/>
      <c r="I788" s="25" t="s">
        <v>9448</v>
      </c>
      <c r="J788" s="25" t="s">
        <v>9446</v>
      </c>
      <c r="K788" s="25" t="n">
        <v>0</v>
      </c>
      <c r="L788" s="25" t="str">
        <f aca="false">IF(K788&gt;0,"Yes","No")</f>
        <v>No</v>
      </c>
    </row>
    <row r="789" customFormat="false" ht="15" hidden="false" customHeight="false" outlineLevel="0" collapsed="false">
      <c r="A789" s="25" t="s">
        <v>9449</v>
      </c>
      <c r="B789" s="25" t="s">
        <v>8419</v>
      </c>
      <c r="C789" s="25" t="s">
        <v>8393</v>
      </c>
      <c r="D789" s="25" t="n">
        <v>9</v>
      </c>
      <c r="E789" s="25" t="s">
        <v>8394</v>
      </c>
      <c r="F789" s="25" t="s">
        <v>8395</v>
      </c>
      <c r="G789" s="25" t="s">
        <v>8396</v>
      </c>
      <c r="H789" s="25"/>
      <c r="I789" s="25" t="s">
        <v>9450</v>
      </c>
      <c r="J789" s="25" t="s">
        <v>9446</v>
      </c>
      <c r="K789" s="25" t="n">
        <v>0</v>
      </c>
      <c r="L789" s="25" t="str">
        <f aca="false">IF(K789&gt;0,"Yes","No")</f>
        <v>No</v>
      </c>
    </row>
    <row r="790" customFormat="false" ht="15" hidden="false" customHeight="false" outlineLevel="0" collapsed="false">
      <c r="A790" s="25" t="s">
        <v>9451</v>
      </c>
      <c r="B790" s="25" t="s">
        <v>8419</v>
      </c>
      <c r="C790" s="25" t="s">
        <v>8393</v>
      </c>
      <c r="D790" s="25" t="n">
        <v>9</v>
      </c>
      <c r="E790" s="25" t="s">
        <v>8394</v>
      </c>
      <c r="F790" s="25" t="s">
        <v>8395</v>
      </c>
      <c r="G790" s="25" t="s">
        <v>8396</v>
      </c>
      <c r="H790" s="25"/>
      <c r="I790" s="25" t="s">
        <v>9452</v>
      </c>
      <c r="J790" s="25" t="s">
        <v>9446</v>
      </c>
      <c r="K790" s="25" t="n">
        <v>0</v>
      </c>
      <c r="L790" s="25" t="str">
        <f aca="false">IF(K790&gt;0,"Yes","No")</f>
        <v>No</v>
      </c>
    </row>
    <row r="791" customFormat="false" ht="15" hidden="false" customHeight="false" outlineLevel="0" collapsed="false">
      <c r="A791" s="25" t="s">
        <v>9453</v>
      </c>
      <c r="B791" s="25" t="s">
        <v>8419</v>
      </c>
      <c r="C791" s="25" t="s">
        <v>8393</v>
      </c>
      <c r="D791" s="25" t="n">
        <v>9</v>
      </c>
      <c r="E791" s="25" t="s">
        <v>8394</v>
      </c>
      <c r="F791" s="25" t="s">
        <v>8395</v>
      </c>
      <c r="G791" s="25" t="s">
        <v>8396</v>
      </c>
      <c r="H791" s="25"/>
      <c r="I791" s="25" t="s">
        <v>9454</v>
      </c>
      <c r="J791" s="25" t="s">
        <v>9446</v>
      </c>
      <c r="K791" s="25" t="n">
        <v>0</v>
      </c>
      <c r="L791" s="25" t="str">
        <f aca="false">IF(K791&gt;0,"Yes","No")</f>
        <v>No</v>
      </c>
    </row>
    <row r="792" customFormat="false" ht="15" hidden="false" customHeight="false" outlineLevel="0" collapsed="false">
      <c r="A792" s="25" t="s">
        <v>9455</v>
      </c>
      <c r="B792" s="25" t="s">
        <v>8419</v>
      </c>
      <c r="C792" s="25" t="s">
        <v>8393</v>
      </c>
      <c r="D792" s="25" t="n">
        <v>9</v>
      </c>
      <c r="E792" s="25" t="s">
        <v>8394</v>
      </c>
      <c r="F792" s="25" t="s">
        <v>8395</v>
      </c>
      <c r="G792" s="25" t="s">
        <v>8396</v>
      </c>
      <c r="H792" s="25"/>
      <c r="I792" s="25" t="s">
        <v>9456</v>
      </c>
      <c r="J792" s="25" t="s">
        <v>9446</v>
      </c>
      <c r="K792" s="25" t="n">
        <v>0</v>
      </c>
      <c r="L792" s="25" t="str">
        <f aca="false">IF(K792&gt;0,"Yes","No")</f>
        <v>No</v>
      </c>
    </row>
    <row r="793" customFormat="false" ht="15" hidden="false" customHeight="false" outlineLevel="0" collapsed="false">
      <c r="A793" s="25" t="s">
        <v>9457</v>
      </c>
      <c r="B793" s="25" t="s">
        <v>8392</v>
      </c>
      <c r="C793" s="25" t="s">
        <v>8393</v>
      </c>
      <c r="D793" s="25" t="n">
        <v>9</v>
      </c>
      <c r="E793" s="25" t="s">
        <v>8394</v>
      </c>
      <c r="F793" s="25" t="s">
        <v>8395</v>
      </c>
      <c r="G793" s="25" t="s">
        <v>8396</v>
      </c>
      <c r="H793" s="25"/>
      <c r="I793" s="25" t="s">
        <v>9458</v>
      </c>
      <c r="J793" s="25" t="s">
        <v>9446</v>
      </c>
      <c r="K793" s="25" t="n">
        <v>0</v>
      </c>
      <c r="L793" s="25" t="str">
        <f aca="false">IF(K793&gt;0,"Yes","No")</f>
        <v>No</v>
      </c>
    </row>
    <row r="794" customFormat="false" ht="15" hidden="false" customHeight="false" outlineLevel="0" collapsed="false">
      <c r="A794" s="25" t="s">
        <v>9459</v>
      </c>
      <c r="B794" s="25" t="s">
        <v>8419</v>
      </c>
      <c r="C794" s="25" t="s">
        <v>8393</v>
      </c>
      <c r="D794" s="25" t="n">
        <v>9</v>
      </c>
      <c r="E794" s="25" t="s">
        <v>8394</v>
      </c>
      <c r="F794" s="25" t="s">
        <v>8395</v>
      </c>
      <c r="G794" s="25" t="s">
        <v>8396</v>
      </c>
      <c r="H794" s="25"/>
      <c r="I794" s="25" t="s">
        <v>9460</v>
      </c>
      <c r="J794" s="25" t="s">
        <v>9461</v>
      </c>
      <c r="K794" s="25" t="n">
        <v>0</v>
      </c>
      <c r="L794" s="25" t="str">
        <f aca="false">IF(K794&gt;0,"Yes","No")</f>
        <v>No</v>
      </c>
    </row>
    <row r="795" customFormat="false" ht="15" hidden="false" customHeight="false" outlineLevel="0" collapsed="false">
      <c r="A795" s="25" t="s">
        <v>9462</v>
      </c>
      <c r="B795" s="25" t="s">
        <v>8419</v>
      </c>
      <c r="C795" s="25" t="s">
        <v>8393</v>
      </c>
      <c r="D795" s="25" t="n">
        <v>9</v>
      </c>
      <c r="E795" s="25" t="s">
        <v>8394</v>
      </c>
      <c r="F795" s="25" t="s">
        <v>8395</v>
      </c>
      <c r="G795" s="25" t="s">
        <v>8396</v>
      </c>
      <c r="H795" s="25"/>
      <c r="I795" s="25" t="s">
        <v>9463</v>
      </c>
      <c r="J795" s="25" t="s">
        <v>9461</v>
      </c>
      <c r="K795" s="25" t="n">
        <v>0</v>
      </c>
      <c r="L795" s="25" t="str">
        <f aca="false">IF(K795&gt;0,"Yes","No")</f>
        <v>No</v>
      </c>
    </row>
    <row r="796" customFormat="false" ht="15" hidden="false" customHeight="false" outlineLevel="0" collapsed="false">
      <c r="A796" s="25" t="s">
        <v>9464</v>
      </c>
      <c r="B796" s="25" t="s">
        <v>8419</v>
      </c>
      <c r="C796" s="25" t="s">
        <v>8393</v>
      </c>
      <c r="D796" s="25" t="n">
        <v>9</v>
      </c>
      <c r="E796" s="25" t="s">
        <v>8394</v>
      </c>
      <c r="F796" s="25" t="s">
        <v>8395</v>
      </c>
      <c r="G796" s="25" t="s">
        <v>8396</v>
      </c>
      <c r="H796" s="25"/>
      <c r="I796" s="25" t="s">
        <v>9465</v>
      </c>
      <c r="J796" s="25" t="s">
        <v>9461</v>
      </c>
      <c r="K796" s="25" t="n">
        <v>0</v>
      </c>
      <c r="L796" s="25" t="str">
        <f aca="false">IF(K796&gt;0,"Yes","No")</f>
        <v>No</v>
      </c>
    </row>
    <row r="797" customFormat="false" ht="15" hidden="false" customHeight="false" outlineLevel="0" collapsed="false">
      <c r="A797" s="25" t="s">
        <v>9466</v>
      </c>
      <c r="B797" s="25" t="s">
        <v>8392</v>
      </c>
      <c r="C797" s="25" t="s">
        <v>8393</v>
      </c>
      <c r="D797" s="25" t="n">
        <v>9</v>
      </c>
      <c r="E797" s="25" t="s">
        <v>8394</v>
      </c>
      <c r="F797" s="25" t="s">
        <v>8395</v>
      </c>
      <c r="G797" s="25" t="s">
        <v>8396</v>
      </c>
      <c r="H797" s="25"/>
      <c r="I797" s="25" t="s">
        <v>9467</v>
      </c>
      <c r="J797" s="25" t="s">
        <v>9468</v>
      </c>
      <c r="K797" s="25" t="n">
        <v>0</v>
      </c>
      <c r="L797" s="25" t="str">
        <f aca="false">IF(K797&gt;0,"Yes","No")</f>
        <v>No</v>
      </c>
    </row>
    <row r="798" customFormat="false" ht="15" hidden="false" customHeight="false" outlineLevel="0" collapsed="false">
      <c r="A798" s="25" t="s">
        <v>9469</v>
      </c>
      <c r="B798" s="25" t="s">
        <v>8392</v>
      </c>
      <c r="C798" s="25" t="s">
        <v>8393</v>
      </c>
      <c r="D798" s="25" t="n">
        <v>9</v>
      </c>
      <c r="E798" s="25" t="s">
        <v>8394</v>
      </c>
      <c r="F798" s="25" t="s">
        <v>8395</v>
      </c>
      <c r="G798" s="25" t="s">
        <v>8396</v>
      </c>
      <c r="H798" s="25"/>
      <c r="I798" s="25" t="s">
        <v>9470</v>
      </c>
      <c r="J798" s="25" t="s">
        <v>9468</v>
      </c>
      <c r="K798" s="25" t="n">
        <v>0</v>
      </c>
      <c r="L798" s="25" t="str">
        <f aca="false">IF(K798&gt;0,"Yes","No")</f>
        <v>No</v>
      </c>
    </row>
    <row r="799" customFormat="false" ht="15" hidden="false" customHeight="false" outlineLevel="0" collapsed="false">
      <c r="A799" s="25" t="s">
        <v>9471</v>
      </c>
      <c r="B799" s="25" t="s">
        <v>8392</v>
      </c>
      <c r="C799" s="25" t="s">
        <v>8393</v>
      </c>
      <c r="D799" s="25" t="n">
        <v>9</v>
      </c>
      <c r="E799" s="25" t="s">
        <v>8394</v>
      </c>
      <c r="F799" s="25" t="s">
        <v>8395</v>
      </c>
      <c r="G799" s="25" t="s">
        <v>8396</v>
      </c>
      <c r="H799" s="25"/>
      <c r="I799" s="25" t="s">
        <v>9472</v>
      </c>
      <c r="J799" s="25" t="s">
        <v>9468</v>
      </c>
      <c r="K799" s="25" t="n">
        <v>0</v>
      </c>
      <c r="L799" s="25" t="str">
        <f aca="false">IF(K799&gt;0,"Yes","No")</f>
        <v>No</v>
      </c>
    </row>
    <row r="800" customFormat="false" ht="15" hidden="false" customHeight="false" outlineLevel="0" collapsed="false">
      <c r="A800" s="25" t="s">
        <v>9473</v>
      </c>
      <c r="B800" s="25" t="s">
        <v>8419</v>
      </c>
      <c r="C800" s="25" t="s">
        <v>8393</v>
      </c>
      <c r="D800" s="25" t="n">
        <v>9</v>
      </c>
      <c r="E800" s="25" t="s">
        <v>8394</v>
      </c>
      <c r="F800" s="25" t="s">
        <v>8395</v>
      </c>
      <c r="G800" s="25" t="s">
        <v>8396</v>
      </c>
      <c r="H800" s="25"/>
      <c r="I800" s="25" t="s">
        <v>9474</v>
      </c>
      <c r="J800" s="25" t="s">
        <v>9475</v>
      </c>
      <c r="K800" s="25" t="n">
        <v>0</v>
      </c>
      <c r="L800" s="25" t="str">
        <f aca="false">IF(K800&gt;0,"Yes","No")</f>
        <v>No</v>
      </c>
    </row>
    <row r="801" customFormat="false" ht="15" hidden="false" customHeight="false" outlineLevel="0" collapsed="false">
      <c r="A801" s="25" t="s">
        <v>9476</v>
      </c>
      <c r="B801" s="25" t="s">
        <v>8419</v>
      </c>
      <c r="C801" s="25" t="s">
        <v>8393</v>
      </c>
      <c r="D801" s="25" t="n">
        <v>9</v>
      </c>
      <c r="E801" s="25" t="s">
        <v>8394</v>
      </c>
      <c r="F801" s="25" t="s">
        <v>8395</v>
      </c>
      <c r="G801" s="25" t="s">
        <v>8396</v>
      </c>
      <c r="H801" s="25" t="s">
        <v>8399</v>
      </c>
      <c r="I801" s="25" t="s">
        <v>9477</v>
      </c>
      <c r="J801" s="25" t="s">
        <v>9478</v>
      </c>
      <c r="K801" s="25" t="n">
        <v>0</v>
      </c>
      <c r="L801" s="25" t="str">
        <f aca="false">IF(K801&gt;0,"Yes","No")</f>
        <v>No</v>
      </c>
    </row>
    <row r="802" customFormat="false" ht="15" hidden="false" customHeight="false" outlineLevel="0" collapsed="false">
      <c r="A802" s="25" t="s">
        <v>9479</v>
      </c>
      <c r="B802" s="25" t="s">
        <v>8419</v>
      </c>
      <c r="C802" s="25" t="s">
        <v>8393</v>
      </c>
      <c r="D802" s="25" t="n">
        <v>9</v>
      </c>
      <c r="E802" s="25" t="s">
        <v>8394</v>
      </c>
      <c r="F802" s="25" t="s">
        <v>8395</v>
      </c>
      <c r="G802" s="25" t="s">
        <v>8396</v>
      </c>
      <c r="H802" s="25" t="s">
        <v>8399</v>
      </c>
      <c r="I802" s="25" t="s">
        <v>9480</v>
      </c>
      <c r="J802" s="25" t="s">
        <v>9478</v>
      </c>
      <c r="K802" s="25" t="n">
        <v>0</v>
      </c>
      <c r="L802" s="25" t="str">
        <f aca="false">IF(K802&gt;0,"Yes","No")</f>
        <v>No</v>
      </c>
    </row>
    <row r="803" customFormat="false" ht="15" hidden="false" customHeight="false" outlineLevel="0" collapsed="false">
      <c r="A803" s="25" t="s">
        <v>9481</v>
      </c>
      <c r="B803" s="25" t="s">
        <v>8419</v>
      </c>
      <c r="C803" s="25" t="s">
        <v>8393</v>
      </c>
      <c r="D803" s="25" t="n">
        <v>9</v>
      </c>
      <c r="E803" s="25" t="s">
        <v>8394</v>
      </c>
      <c r="F803" s="25" t="s">
        <v>8395</v>
      </c>
      <c r="G803" s="25" t="s">
        <v>8396</v>
      </c>
      <c r="H803" s="25" t="s">
        <v>8399</v>
      </c>
      <c r="I803" s="25" t="s">
        <v>9482</v>
      </c>
      <c r="J803" s="25" t="s">
        <v>9478</v>
      </c>
      <c r="K803" s="25" t="n">
        <v>0</v>
      </c>
      <c r="L803" s="25" t="str">
        <f aca="false">IF(K803&gt;0,"Yes","No")</f>
        <v>No</v>
      </c>
    </row>
    <row r="804" customFormat="false" ht="15" hidden="false" customHeight="false" outlineLevel="0" collapsed="false">
      <c r="A804" s="25" t="s">
        <v>9483</v>
      </c>
      <c r="B804" s="25" t="s">
        <v>8419</v>
      </c>
      <c r="C804" s="25" t="s">
        <v>8393</v>
      </c>
      <c r="D804" s="25" t="n">
        <v>9</v>
      </c>
      <c r="E804" s="25" t="s">
        <v>8394</v>
      </c>
      <c r="F804" s="25" t="s">
        <v>8395</v>
      </c>
      <c r="G804" s="25" t="s">
        <v>8396</v>
      </c>
      <c r="H804" s="25" t="s">
        <v>8399</v>
      </c>
      <c r="I804" s="25" t="s">
        <v>9484</v>
      </c>
      <c r="J804" s="25" t="s">
        <v>9478</v>
      </c>
      <c r="K804" s="25" t="n">
        <v>0</v>
      </c>
      <c r="L804" s="25" t="str">
        <f aca="false">IF(K804&gt;0,"Yes","No")</f>
        <v>No</v>
      </c>
    </row>
    <row r="805" customFormat="false" ht="15" hidden="false" customHeight="false" outlineLevel="0" collapsed="false">
      <c r="A805" s="25" t="s">
        <v>9485</v>
      </c>
      <c r="B805" s="25" t="s">
        <v>8419</v>
      </c>
      <c r="C805" s="25" t="s">
        <v>8393</v>
      </c>
      <c r="D805" s="25" t="n">
        <v>9</v>
      </c>
      <c r="E805" s="25" t="s">
        <v>8394</v>
      </c>
      <c r="F805" s="25" t="s">
        <v>8395</v>
      </c>
      <c r="G805" s="25" t="s">
        <v>8400</v>
      </c>
      <c r="H805" s="25"/>
      <c r="I805" s="25" t="s">
        <v>9486</v>
      </c>
      <c r="J805" s="25" t="s">
        <v>9478</v>
      </c>
      <c r="K805" s="25" t="n">
        <v>0</v>
      </c>
      <c r="L805" s="25" t="str">
        <f aca="false">IF(K805&gt;0,"Yes","No")</f>
        <v>No</v>
      </c>
    </row>
    <row r="806" customFormat="false" ht="15" hidden="false" customHeight="false" outlineLevel="0" collapsed="false">
      <c r="A806" s="25" t="s">
        <v>9487</v>
      </c>
      <c r="B806" s="25" t="s">
        <v>8419</v>
      </c>
      <c r="C806" s="25" t="s">
        <v>8393</v>
      </c>
      <c r="D806" s="25" t="n">
        <v>9</v>
      </c>
      <c r="E806" s="25" t="s">
        <v>8394</v>
      </c>
      <c r="F806" s="25" t="s">
        <v>8395</v>
      </c>
      <c r="G806" s="25" t="s">
        <v>8400</v>
      </c>
      <c r="H806" s="25"/>
      <c r="I806" s="25" t="s">
        <v>9488</v>
      </c>
      <c r="J806" s="25" t="s">
        <v>9478</v>
      </c>
      <c r="K806" s="25" t="n">
        <v>0</v>
      </c>
      <c r="L806" s="25" t="str">
        <f aca="false">IF(K806&gt;0,"Yes","No")</f>
        <v>No</v>
      </c>
    </row>
    <row r="807" customFormat="false" ht="15" hidden="false" customHeight="false" outlineLevel="0" collapsed="false">
      <c r="A807" s="25" t="s">
        <v>9489</v>
      </c>
      <c r="B807" s="25" t="s">
        <v>8392</v>
      </c>
      <c r="C807" s="25" t="s">
        <v>8393</v>
      </c>
      <c r="D807" s="25" t="n">
        <v>9</v>
      </c>
      <c r="E807" s="25" t="s">
        <v>8394</v>
      </c>
      <c r="F807" s="25" t="s">
        <v>8395</v>
      </c>
      <c r="G807" s="25" t="s">
        <v>8398</v>
      </c>
      <c r="H807" s="25"/>
      <c r="I807" s="25" t="s">
        <v>9490</v>
      </c>
      <c r="J807" s="25" t="s">
        <v>9491</v>
      </c>
      <c r="K807" s="25" t="n">
        <v>0</v>
      </c>
      <c r="L807" s="25" t="str">
        <f aca="false">IF(K807&gt;0,"Yes","No")</f>
        <v>No</v>
      </c>
    </row>
    <row r="808" customFormat="false" ht="15" hidden="false" customHeight="false" outlineLevel="0" collapsed="false">
      <c r="A808" s="25" t="s">
        <v>9492</v>
      </c>
      <c r="B808" s="25" t="s">
        <v>8392</v>
      </c>
      <c r="C808" s="25" t="s">
        <v>8393</v>
      </c>
      <c r="D808" s="25" t="n">
        <v>9</v>
      </c>
      <c r="E808" s="25" t="s">
        <v>8394</v>
      </c>
      <c r="F808" s="25" t="s">
        <v>8395</v>
      </c>
      <c r="G808" s="25" t="s">
        <v>8396</v>
      </c>
      <c r="H808" s="25" t="s">
        <v>8397</v>
      </c>
      <c r="I808" s="25" t="s">
        <v>9493</v>
      </c>
      <c r="J808" s="25" t="s">
        <v>9494</v>
      </c>
      <c r="K808" s="25" t="n">
        <v>0</v>
      </c>
      <c r="L808" s="25" t="str">
        <f aca="false">IF(K808&gt;0,"Yes","No")</f>
        <v>No</v>
      </c>
    </row>
    <row r="809" customFormat="false" ht="15" hidden="false" customHeight="false" outlineLevel="0" collapsed="false">
      <c r="A809" s="25" t="s">
        <v>9495</v>
      </c>
      <c r="B809" s="25" t="s">
        <v>8392</v>
      </c>
      <c r="C809" s="25" t="s">
        <v>8393</v>
      </c>
      <c r="D809" s="25" t="n">
        <v>9</v>
      </c>
      <c r="E809" s="25" t="s">
        <v>8394</v>
      </c>
      <c r="F809" s="25" t="s">
        <v>8395</v>
      </c>
      <c r="G809" s="25" t="s">
        <v>8396</v>
      </c>
      <c r="H809" s="25" t="s">
        <v>8397</v>
      </c>
      <c r="I809" s="25" t="s">
        <v>9496</v>
      </c>
      <c r="J809" s="25" t="s">
        <v>9494</v>
      </c>
      <c r="K809" s="25" t="n">
        <v>0</v>
      </c>
      <c r="L809" s="25" t="str">
        <f aca="false">IF(K809&gt;0,"Yes","No")</f>
        <v>No</v>
      </c>
    </row>
    <row r="810" customFormat="false" ht="15" hidden="false" customHeight="false" outlineLevel="0" collapsed="false">
      <c r="A810" s="25" t="s">
        <v>9497</v>
      </c>
      <c r="B810" s="25" t="s">
        <v>8419</v>
      </c>
      <c r="C810" s="25" t="s">
        <v>8393</v>
      </c>
      <c r="D810" s="25" t="n">
        <v>9</v>
      </c>
      <c r="E810" s="25" t="s">
        <v>8394</v>
      </c>
      <c r="F810" s="25" t="s">
        <v>8395</v>
      </c>
      <c r="G810" s="25" t="s">
        <v>8396</v>
      </c>
      <c r="H810" s="25" t="s">
        <v>8397</v>
      </c>
      <c r="I810" s="25" t="s">
        <v>9498</v>
      </c>
      <c r="J810" s="25" t="s">
        <v>9499</v>
      </c>
      <c r="K810" s="25" t="n">
        <v>0</v>
      </c>
      <c r="L810" s="25" t="str">
        <f aca="false">IF(K810&gt;0,"Yes","No")</f>
        <v>No</v>
      </c>
    </row>
    <row r="811" customFormat="false" ht="15" hidden="false" customHeight="false" outlineLevel="0" collapsed="false">
      <c r="A811" s="25" t="s">
        <v>9500</v>
      </c>
      <c r="B811" s="25" t="s">
        <v>8419</v>
      </c>
      <c r="C811" s="25" t="s">
        <v>8393</v>
      </c>
      <c r="D811" s="25" t="n">
        <v>9</v>
      </c>
      <c r="E811" s="25" t="s">
        <v>8394</v>
      </c>
      <c r="F811" s="25" t="s">
        <v>8395</v>
      </c>
      <c r="G811" s="25" t="s">
        <v>8396</v>
      </c>
      <c r="H811" s="25" t="s">
        <v>8397</v>
      </c>
      <c r="I811" s="25" t="s">
        <v>9501</v>
      </c>
      <c r="J811" s="25" t="s">
        <v>9499</v>
      </c>
      <c r="K811" s="25" t="n">
        <v>0</v>
      </c>
      <c r="L811" s="25" t="str">
        <f aca="false">IF(K811&gt;0,"Yes","No")</f>
        <v>No</v>
      </c>
    </row>
    <row r="812" customFormat="false" ht="15" hidden="false" customHeight="false" outlineLevel="0" collapsed="false">
      <c r="A812" s="25" t="s">
        <v>9502</v>
      </c>
      <c r="B812" s="25" t="s">
        <v>8419</v>
      </c>
      <c r="C812" s="25" t="s">
        <v>8393</v>
      </c>
      <c r="D812" s="25" t="n">
        <v>9</v>
      </c>
      <c r="E812" s="25" t="s">
        <v>8394</v>
      </c>
      <c r="F812" s="25" t="s">
        <v>8395</v>
      </c>
      <c r="G812" s="25" t="s">
        <v>8396</v>
      </c>
      <c r="H812" s="25"/>
      <c r="I812" s="25" t="s">
        <v>9503</v>
      </c>
      <c r="J812" s="25" t="s">
        <v>9504</v>
      </c>
      <c r="K812" s="25" t="n">
        <v>0</v>
      </c>
      <c r="L812" s="25" t="str">
        <f aca="false">IF(K812&gt;0,"Yes","No")</f>
        <v>No</v>
      </c>
    </row>
    <row r="813" customFormat="false" ht="15" hidden="false" customHeight="false" outlineLevel="0" collapsed="false">
      <c r="A813" s="25" t="s">
        <v>9505</v>
      </c>
      <c r="B813" s="25" t="s">
        <v>8419</v>
      </c>
      <c r="C813" s="25" t="s">
        <v>8393</v>
      </c>
      <c r="D813" s="25" t="n">
        <v>9</v>
      </c>
      <c r="E813" s="25" t="s">
        <v>8394</v>
      </c>
      <c r="F813" s="25" t="s">
        <v>8395</v>
      </c>
      <c r="G813" s="25" t="s">
        <v>8396</v>
      </c>
      <c r="H813" s="25" t="s">
        <v>8399</v>
      </c>
      <c r="I813" s="25" t="s">
        <v>9506</v>
      </c>
      <c r="J813" s="25" t="s">
        <v>625</v>
      </c>
      <c r="K813" s="25" t="n">
        <v>0</v>
      </c>
      <c r="L813" s="25" t="str">
        <f aca="false">IF(K813&gt;0,"Yes","No")</f>
        <v>No</v>
      </c>
    </row>
    <row r="814" customFormat="false" ht="15" hidden="false" customHeight="false" outlineLevel="0" collapsed="false">
      <c r="A814" s="25" t="s">
        <v>9507</v>
      </c>
      <c r="B814" s="25" t="s">
        <v>8419</v>
      </c>
      <c r="C814" s="25" t="s">
        <v>8393</v>
      </c>
      <c r="D814" s="25" t="n">
        <v>9</v>
      </c>
      <c r="E814" s="25" t="s">
        <v>8394</v>
      </c>
      <c r="F814" s="25" t="s">
        <v>8395</v>
      </c>
      <c r="G814" s="25" t="s">
        <v>8400</v>
      </c>
      <c r="H814" s="25"/>
      <c r="I814" s="25" t="s">
        <v>9508</v>
      </c>
      <c r="J814" s="25" t="s">
        <v>625</v>
      </c>
      <c r="K814" s="25" t="n">
        <v>0</v>
      </c>
      <c r="L814" s="25" t="str">
        <f aca="false">IF(K814&gt;0,"Yes","No")</f>
        <v>No</v>
      </c>
    </row>
    <row r="815" customFormat="false" ht="15" hidden="false" customHeight="false" outlineLevel="0" collapsed="false">
      <c r="A815" s="25" t="s">
        <v>9509</v>
      </c>
      <c r="B815" s="25" t="s">
        <v>8419</v>
      </c>
      <c r="C815" s="25" t="s">
        <v>8393</v>
      </c>
      <c r="D815" s="25" t="n">
        <v>9</v>
      </c>
      <c r="E815" s="25" t="s">
        <v>8394</v>
      </c>
      <c r="F815" s="25" t="s">
        <v>8395</v>
      </c>
      <c r="G815" s="25" t="s">
        <v>8400</v>
      </c>
      <c r="H815" s="25"/>
      <c r="I815" s="25" t="s">
        <v>9510</v>
      </c>
      <c r="J815" s="25" t="s">
        <v>625</v>
      </c>
      <c r="K815" s="25" t="n">
        <v>0</v>
      </c>
      <c r="L815" s="25" t="str">
        <f aca="false">IF(K815&gt;0,"Yes","No")</f>
        <v>No</v>
      </c>
    </row>
    <row r="816" customFormat="false" ht="15" hidden="false" customHeight="false" outlineLevel="0" collapsed="false">
      <c r="A816" s="25" t="s">
        <v>9511</v>
      </c>
      <c r="B816" s="25" t="s">
        <v>8419</v>
      </c>
      <c r="C816" s="25" t="s">
        <v>8393</v>
      </c>
      <c r="D816" s="25" t="n">
        <v>9</v>
      </c>
      <c r="E816" s="25" t="s">
        <v>8394</v>
      </c>
      <c r="F816" s="25" t="s">
        <v>8395</v>
      </c>
      <c r="G816" s="25" t="s">
        <v>8400</v>
      </c>
      <c r="H816" s="25"/>
      <c r="I816" s="25" t="s">
        <v>9512</v>
      </c>
      <c r="J816" s="25" t="s">
        <v>625</v>
      </c>
      <c r="K816" s="25" t="n">
        <v>0</v>
      </c>
      <c r="L816" s="25" t="str">
        <f aca="false">IF(K816&gt;0,"Yes","No")</f>
        <v>No</v>
      </c>
    </row>
    <row r="817" customFormat="false" ht="15" hidden="false" customHeight="false" outlineLevel="0" collapsed="false">
      <c r="A817" s="25" t="s">
        <v>9513</v>
      </c>
      <c r="B817" s="25" t="s">
        <v>8419</v>
      </c>
      <c r="C817" s="25" t="s">
        <v>8393</v>
      </c>
      <c r="D817" s="25" t="n">
        <v>9</v>
      </c>
      <c r="E817" s="25" t="s">
        <v>8394</v>
      </c>
      <c r="F817" s="25" t="s">
        <v>8395</v>
      </c>
      <c r="G817" s="25" t="s">
        <v>8400</v>
      </c>
      <c r="H817" s="25"/>
      <c r="I817" s="25" t="s">
        <v>9514</v>
      </c>
      <c r="J817" s="25" t="s">
        <v>625</v>
      </c>
      <c r="K817" s="25" t="n">
        <v>0</v>
      </c>
      <c r="L817" s="25" t="str">
        <f aca="false">IF(K817&gt;0,"Yes","No")</f>
        <v>No</v>
      </c>
    </row>
    <row r="818" customFormat="false" ht="15" hidden="false" customHeight="false" outlineLevel="0" collapsed="false">
      <c r="A818" s="25" t="s">
        <v>9515</v>
      </c>
      <c r="B818" s="25" t="s">
        <v>8392</v>
      </c>
      <c r="C818" s="25" t="s">
        <v>8393</v>
      </c>
      <c r="D818" s="25" t="n">
        <v>9</v>
      </c>
      <c r="E818" s="25" t="s">
        <v>8394</v>
      </c>
      <c r="F818" s="25" t="s">
        <v>8395</v>
      </c>
      <c r="G818" s="25" t="s">
        <v>8398</v>
      </c>
      <c r="H818" s="25"/>
      <c r="I818" s="25" t="s">
        <v>9516</v>
      </c>
      <c r="J818" s="25" t="s">
        <v>9517</v>
      </c>
      <c r="K818" s="25" t="n">
        <v>0</v>
      </c>
      <c r="L818" s="25" t="str">
        <f aca="false">IF(K818&gt;0,"Yes","No")</f>
        <v>No</v>
      </c>
    </row>
    <row r="819" customFormat="false" ht="15" hidden="false" customHeight="false" outlineLevel="0" collapsed="false">
      <c r="A819" s="25" t="s">
        <v>9518</v>
      </c>
      <c r="B819" s="25" t="s">
        <v>8419</v>
      </c>
      <c r="C819" s="25" t="s">
        <v>8393</v>
      </c>
      <c r="D819" s="25" t="n">
        <v>9</v>
      </c>
      <c r="E819" s="25" t="s">
        <v>8394</v>
      </c>
      <c r="F819" s="25" t="s">
        <v>8395</v>
      </c>
      <c r="G819" s="25" t="s">
        <v>8396</v>
      </c>
      <c r="H819" s="25" t="s">
        <v>8399</v>
      </c>
      <c r="I819" s="25" t="s">
        <v>9323</v>
      </c>
      <c r="J819" s="25" t="s">
        <v>5819</v>
      </c>
      <c r="K819" s="25" t="n">
        <v>0</v>
      </c>
      <c r="L819" s="25" t="str">
        <f aca="false">IF(K819&gt;0,"Yes","No")</f>
        <v>No</v>
      </c>
    </row>
    <row r="820" customFormat="false" ht="15" hidden="false" customHeight="false" outlineLevel="0" collapsed="false">
      <c r="A820" s="25" t="s">
        <v>9519</v>
      </c>
      <c r="B820" s="25" t="s">
        <v>8419</v>
      </c>
      <c r="C820" s="25" t="s">
        <v>8393</v>
      </c>
      <c r="D820" s="25" t="n">
        <v>9</v>
      </c>
      <c r="E820" s="25" t="s">
        <v>8394</v>
      </c>
      <c r="F820" s="25" t="s">
        <v>8395</v>
      </c>
      <c r="G820" s="25" t="s">
        <v>8396</v>
      </c>
      <c r="H820" s="25" t="s">
        <v>8399</v>
      </c>
      <c r="I820" s="25" t="s">
        <v>9520</v>
      </c>
      <c r="J820" s="25" t="s">
        <v>5819</v>
      </c>
      <c r="K820" s="25" t="n">
        <v>0</v>
      </c>
      <c r="L820" s="25" t="str">
        <f aca="false">IF(K820&gt;0,"Yes","No")</f>
        <v>No</v>
      </c>
    </row>
    <row r="821" customFormat="false" ht="15" hidden="false" customHeight="false" outlineLevel="0" collapsed="false">
      <c r="A821" s="25" t="s">
        <v>9521</v>
      </c>
      <c r="B821" s="25" t="s">
        <v>8392</v>
      </c>
      <c r="C821" s="25" t="s">
        <v>8393</v>
      </c>
      <c r="D821" s="25" t="n">
        <v>9</v>
      </c>
      <c r="E821" s="25" t="s">
        <v>8394</v>
      </c>
      <c r="F821" s="25" t="s">
        <v>8395</v>
      </c>
      <c r="G821" s="25" t="s">
        <v>8400</v>
      </c>
      <c r="H821" s="25"/>
      <c r="I821" s="25" t="s">
        <v>9522</v>
      </c>
      <c r="J821" s="25" t="s">
        <v>9523</v>
      </c>
      <c r="K821" s="25" t="n">
        <v>0</v>
      </c>
      <c r="L821" s="25" t="str">
        <f aca="false">IF(K821&gt;0,"Yes","No")</f>
        <v>No</v>
      </c>
    </row>
    <row r="822" customFormat="false" ht="15" hidden="false" customHeight="false" outlineLevel="0" collapsed="false">
      <c r="A822" s="25" t="s">
        <v>9524</v>
      </c>
      <c r="B822" s="25" t="s">
        <v>8392</v>
      </c>
      <c r="C822" s="25" t="s">
        <v>8393</v>
      </c>
      <c r="D822" s="25" t="n">
        <v>9</v>
      </c>
      <c r="E822" s="25" t="s">
        <v>8394</v>
      </c>
      <c r="F822" s="25" t="s">
        <v>8395</v>
      </c>
      <c r="G822" s="25" t="s">
        <v>8400</v>
      </c>
      <c r="H822" s="25"/>
      <c r="I822" s="25" t="s">
        <v>9525</v>
      </c>
      <c r="J822" s="25" t="s">
        <v>9523</v>
      </c>
      <c r="K822" s="25" t="n">
        <v>0</v>
      </c>
      <c r="L822" s="25" t="str">
        <f aca="false">IF(K822&gt;0,"Yes","No")</f>
        <v>No</v>
      </c>
    </row>
    <row r="823" customFormat="false" ht="15" hidden="false" customHeight="false" outlineLevel="0" collapsed="false">
      <c r="A823" s="25" t="s">
        <v>9526</v>
      </c>
      <c r="B823" s="25" t="s">
        <v>8392</v>
      </c>
      <c r="C823" s="25" t="s">
        <v>8393</v>
      </c>
      <c r="D823" s="25" t="n">
        <v>9</v>
      </c>
      <c r="E823" s="25" t="s">
        <v>8394</v>
      </c>
      <c r="F823" s="25" t="s">
        <v>8395</v>
      </c>
      <c r="G823" s="25" t="s">
        <v>8400</v>
      </c>
      <c r="H823" s="25"/>
      <c r="I823" s="25" t="s">
        <v>9527</v>
      </c>
      <c r="J823" s="25" t="s">
        <v>9523</v>
      </c>
      <c r="K823" s="25" t="n">
        <v>0</v>
      </c>
      <c r="L823" s="25" t="str">
        <f aca="false">IF(K823&gt;0,"Yes","No")</f>
        <v>No</v>
      </c>
    </row>
    <row r="824" customFormat="false" ht="15" hidden="false" customHeight="false" outlineLevel="0" collapsed="false">
      <c r="A824" s="25" t="s">
        <v>9528</v>
      </c>
      <c r="B824" s="25" t="s">
        <v>8392</v>
      </c>
      <c r="C824" s="25" t="s">
        <v>8393</v>
      </c>
      <c r="D824" s="25" t="n">
        <v>9</v>
      </c>
      <c r="E824" s="25" t="s">
        <v>8394</v>
      </c>
      <c r="F824" s="25" t="s">
        <v>8395</v>
      </c>
      <c r="G824" s="25" t="s">
        <v>8396</v>
      </c>
      <c r="H824" s="25"/>
      <c r="I824" s="25" t="s">
        <v>9529</v>
      </c>
      <c r="J824" s="25" t="s">
        <v>6986</v>
      </c>
      <c r="K824" s="25" t="n">
        <v>0</v>
      </c>
      <c r="L824" s="25" t="str">
        <f aca="false">IF(K824&gt;0,"Yes","No")</f>
        <v>No</v>
      </c>
    </row>
    <row r="825" customFormat="false" ht="15" hidden="false" customHeight="false" outlineLevel="0" collapsed="false">
      <c r="A825" s="25" t="s">
        <v>8355</v>
      </c>
      <c r="B825" s="25" t="s">
        <v>8392</v>
      </c>
      <c r="C825" s="25" t="s">
        <v>8393</v>
      </c>
      <c r="D825" s="25" t="n">
        <v>9</v>
      </c>
      <c r="E825" s="25" t="s">
        <v>8394</v>
      </c>
      <c r="F825" s="25" t="s">
        <v>8395</v>
      </c>
      <c r="G825" s="25" t="s">
        <v>8396</v>
      </c>
      <c r="H825" s="25" t="s">
        <v>8399</v>
      </c>
      <c r="I825" s="25" t="s">
        <v>8356</v>
      </c>
      <c r="J825" s="25" t="s">
        <v>665</v>
      </c>
      <c r="K825" s="25" t="n">
        <v>0</v>
      </c>
      <c r="L825" s="25" t="str">
        <f aca="false">IF(K825&gt;0,"Yes","No")</f>
        <v>No</v>
      </c>
    </row>
    <row r="826" customFormat="false" ht="15" hidden="false" customHeight="false" outlineLevel="0" collapsed="false">
      <c r="A826" s="25" t="s">
        <v>9530</v>
      </c>
      <c r="B826" s="25" t="s">
        <v>8419</v>
      </c>
      <c r="C826" s="25" t="s">
        <v>8393</v>
      </c>
      <c r="D826" s="25" t="n">
        <v>9</v>
      </c>
      <c r="E826" s="25" t="s">
        <v>8394</v>
      </c>
      <c r="F826" s="25" t="s">
        <v>8395</v>
      </c>
      <c r="G826" s="25" t="s">
        <v>8396</v>
      </c>
      <c r="H826" s="25" t="s">
        <v>8397</v>
      </c>
      <c r="I826" s="25" t="s">
        <v>9531</v>
      </c>
      <c r="J826" s="25" t="s">
        <v>1624</v>
      </c>
      <c r="K826" s="25" t="n">
        <v>0</v>
      </c>
      <c r="L826" s="25" t="str">
        <f aca="false">IF(K826&gt;0,"Yes","No")</f>
        <v>No</v>
      </c>
    </row>
    <row r="827" customFormat="false" ht="15" hidden="false" customHeight="false" outlineLevel="0" collapsed="false">
      <c r="A827" s="25" t="s">
        <v>9532</v>
      </c>
      <c r="B827" s="25" t="s">
        <v>8419</v>
      </c>
      <c r="C827" s="25" t="s">
        <v>8393</v>
      </c>
      <c r="D827" s="25" t="n">
        <v>9</v>
      </c>
      <c r="E827" s="25" t="s">
        <v>8394</v>
      </c>
      <c r="F827" s="25" t="s">
        <v>8395</v>
      </c>
      <c r="G827" s="25" t="s">
        <v>8396</v>
      </c>
      <c r="H827" s="25" t="s">
        <v>8397</v>
      </c>
      <c r="I827" s="25" t="s">
        <v>9533</v>
      </c>
      <c r="J827" s="25" t="s">
        <v>1624</v>
      </c>
      <c r="K827" s="25" t="n">
        <v>0</v>
      </c>
      <c r="L827" s="25" t="str">
        <f aca="false">IF(K827&gt;0,"Yes","No")</f>
        <v>No</v>
      </c>
    </row>
    <row r="828" customFormat="false" ht="15" hidden="false" customHeight="false" outlineLevel="0" collapsed="false">
      <c r="A828" s="25" t="s">
        <v>9534</v>
      </c>
      <c r="B828" s="25" t="s">
        <v>8419</v>
      </c>
      <c r="C828" s="25" t="s">
        <v>8393</v>
      </c>
      <c r="D828" s="25" t="n">
        <v>9</v>
      </c>
      <c r="E828" s="25" t="s">
        <v>8394</v>
      </c>
      <c r="F828" s="25" t="s">
        <v>8395</v>
      </c>
      <c r="G828" s="25" t="s">
        <v>8396</v>
      </c>
      <c r="H828" s="25" t="s">
        <v>8397</v>
      </c>
      <c r="I828" s="25" t="s">
        <v>9535</v>
      </c>
      <c r="J828" s="25" t="s">
        <v>472</v>
      </c>
      <c r="K828" s="25" t="n">
        <v>0</v>
      </c>
      <c r="L828" s="25" t="str">
        <f aca="false">IF(K828&gt;0,"Yes","No")</f>
        <v>No</v>
      </c>
    </row>
    <row r="829" customFormat="false" ht="15" hidden="false" customHeight="false" outlineLevel="0" collapsed="false">
      <c r="A829" s="25" t="s">
        <v>9536</v>
      </c>
      <c r="B829" s="25" t="s">
        <v>8419</v>
      </c>
      <c r="C829" s="25" t="s">
        <v>8393</v>
      </c>
      <c r="D829" s="25" t="n">
        <v>9</v>
      </c>
      <c r="E829" s="25" t="s">
        <v>8394</v>
      </c>
      <c r="F829" s="25" t="s">
        <v>8395</v>
      </c>
      <c r="G829" s="25" t="s">
        <v>8396</v>
      </c>
      <c r="H829" s="25" t="s">
        <v>8397</v>
      </c>
      <c r="I829" s="25" t="s">
        <v>9537</v>
      </c>
      <c r="J829" s="25" t="s">
        <v>472</v>
      </c>
      <c r="K829" s="25" t="n">
        <v>0</v>
      </c>
      <c r="L829" s="25" t="str">
        <f aca="false">IF(K829&gt;0,"Yes","No")</f>
        <v>No</v>
      </c>
    </row>
    <row r="830" customFormat="false" ht="15" hidden="false" customHeight="false" outlineLevel="0" collapsed="false">
      <c r="A830" s="25" t="s">
        <v>9538</v>
      </c>
      <c r="B830" s="25" t="s">
        <v>8419</v>
      </c>
      <c r="C830" s="25" t="s">
        <v>8393</v>
      </c>
      <c r="D830" s="25" t="n">
        <v>9</v>
      </c>
      <c r="E830" s="25" t="s">
        <v>8394</v>
      </c>
      <c r="F830" s="25" t="s">
        <v>8395</v>
      </c>
      <c r="G830" s="25" t="s">
        <v>8400</v>
      </c>
      <c r="H830" s="25"/>
      <c r="I830" s="25" t="s">
        <v>9539</v>
      </c>
      <c r="J830" s="25" t="s">
        <v>4523</v>
      </c>
      <c r="K830" s="25" t="n">
        <v>0</v>
      </c>
      <c r="L830" s="25" t="str">
        <f aca="false">IF(K830&gt;0,"Yes","No")</f>
        <v>No</v>
      </c>
    </row>
    <row r="831" customFormat="false" ht="15" hidden="false" customHeight="false" outlineLevel="0" collapsed="false">
      <c r="A831" s="25" t="s">
        <v>9540</v>
      </c>
      <c r="B831" s="25" t="s">
        <v>8392</v>
      </c>
      <c r="C831" s="25" t="s">
        <v>8393</v>
      </c>
      <c r="D831" s="25" t="n">
        <v>9</v>
      </c>
      <c r="E831" s="25" t="s">
        <v>8394</v>
      </c>
      <c r="F831" s="25" t="s">
        <v>8395</v>
      </c>
      <c r="G831" s="25" t="s">
        <v>8396</v>
      </c>
      <c r="H831" s="25" t="s">
        <v>8397</v>
      </c>
      <c r="I831" s="25" t="s">
        <v>9541</v>
      </c>
      <c r="J831" s="25" t="s">
        <v>4523</v>
      </c>
      <c r="K831" s="25" t="n">
        <v>0</v>
      </c>
      <c r="L831" s="25" t="str">
        <f aca="false">IF(K831&gt;0,"Yes","No")</f>
        <v>No</v>
      </c>
    </row>
    <row r="832" customFormat="false" ht="15" hidden="false" customHeight="false" outlineLevel="0" collapsed="false">
      <c r="A832" s="25" t="s">
        <v>8371</v>
      </c>
      <c r="B832" s="25" t="s">
        <v>8392</v>
      </c>
      <c r="C832" s="25" t="s">
        <v>8393</v>
      </c>
      <c r="D832" s="25" t="n">
        <v>9</v>
      </c>
      <c r="E832" s="25" t="s">
        <v>8394</v>
      </c>
      <c r="F832" s="25" t="s">
        <v>8395</v>
      </c>
      <c r="G832" s="25" t="s">
        <v>8398</v>
      </c>
      <c r="H832" s="25"/>
      <c r="I832" s="25" t="s">
        <v>8372</v>
      </c>
      <c r="J832" s="25" t="s">
        <v>4523</v>
      </c>
      <c r="K832" s="25" t="n">
        <v>0</v>
      </c>
      <c r="L832" s="25" t="str">
        <f aca="false">IF(K832&gt;0,"Yes","No")</f>
        <v>No</v>
      </c>
    </row>
    <row r="833" customFormat="false" ht="15" hidden="false" customHeight="false" outlineLevel="0" collapsed="false">
      <c r="A833" s="25" t="s">
        <v>9542</v>
      </c>
      <c r="B833" s="25" t="s">
        <v>8419</v>
      </c>
      <c r="C833" s="25" t="s">
        <v>8393</v>
      </c>
      <c r="D833" s="25" t="n">
        <v>9</v>
      </c>
      <c r="E833" s="25" t="s">
        <v>8394</v>
      </c>
      <c r="F833" s="25" t="s">
        <v>8395</v>
      </c>
      <c r="G833" s="25" t="s">
        <v>8396</v>
      </c>
      <c r="H833" s="25" t="s">
        <v>8397</v>
      </c>
      <c r="I833" s="25" t="s">
        <v>9543</v>
      </c>
      <c r="J833" s="25" t="s">
        <v>4523</v>
      </c>
      <c r="K833" s="25" t="n">
        <v>0</v>
      </c>
      <c r="L833" s="25" t="str">
        <f aca="false">IF(K833&gt;0,"Yes","No")</f>
        <v>No</v>
      </c>
    </row>
    <row r="834" customFormat="false" ht="15" hidden="false" customHeight="false" outlineLevel="0" collapsed="false">
      <c r="A834" s="25" t="s">
        <v>9544</v>
      </c>
      <c r="B834" s="25" t="s">
        <v>8419</v>
      </c>
      <c r="C834" s="25" t="s">
        <v>8393</v>
      </c>
      <c r="D834" s="25" t="n">
        <v>9</v>
      </c>
      <c r="E834" s="25" t="s">
        <v>8394</v>
      </c>
      <c r="F834" s="25" t="s">
        <v>8395</v>
      </c>
      <c r="G834" s="25" t="s">
        <v>8396</v>
      </c>
      <c r="H834" s="25" t="s">
        <v>8397</v>
      </c>
      <c r="I834" s="25" t="s">
        <v>9545</v>
      </c>
      <c r="J834" s="25" t="s">
        <v>4523</v>
      </c>
      <c r="K834" s="25" t="n">
        <v>0</v>
      </c>
      <c r="L834" s="25" t="str">
        <f aca="false">IF(K834&gt;0,"Yes","No")</f>
        <v>No</v>
      </c>
    </row>
    <row r="835" customFormat="false" ht="15" hidden="false" customHeight="false" outlineLevel="0" collapsed="false">
      <c r="A835" s="25" t="s">
        <v>9546</v>
      </c>
      <c r="B835" s="25" t="s">
        <v>8419</v>
      </c>
      <c r="C835" s="25" t="s">
        <v>8393</v>
      </c>
      <c r="D835" s="25" t="n">
        <v>9</v>
      </c>
      <c r="E835" s="25" t="s">
        <v>8394</v>
      </c>
      <c r="F835" s="25" t="s">
        <v>8395</v>
      </c>
      <c r="G835" s="25" t="s">
        <v>8396</v>
      </c>
      <c r="H835" s="25" t="s">
        <v>8397</v>
      </c>
      <c r="I835" s="25" t="s">
        <v>9547</v>
      </c>
      <c r="J835" s="25" t="s">
        <v>4523</v>
      </c>
      <c r="K835" s="25" t="n">
        <v>0</v>
      </c>
      <c r="L835" s="25" t="str">
        <f aca="false">IF(K835&gt;0,"Yes","No")</f>
        <v>No</v>
      </c>
    </row>
    <row r="836" customFormat="false" ht="15" hidden="false" customHeight="false" outlineLevel="0" collapsed="false">
      <c r="A836" s="25" t="s">
        <v>9548</v>
      </c>
      <c r="B836" s="25" t="s">
        <v>8419</v>
      </c>
      <c r="C836" s="25" t="s">
        <v>8393</v>
      </c>
      <c r="D836" s="25" t="n">
        <v>9</v>
      </c>
      <c r="E836" s="25" t="s">
        <v>8394</v>
      </c>
      <c r="F836" s="25" t="s">
        <v>8395</v>
      </c>
      <c r="G836" s="25" t="s">
        <v>8396</v>
      </c>
      <c r="H836" s="25" t="s">
        <v>8397</v>
      </c>
      <c r="I836" s="25" t="s">
        <v>9549</v>
      </c>
      <c r="J836" s="25" t="s">
        <v>4523</v>
      </c>
      <c r="K836" s="25" t="n">
        <v>0</v>
      </c>
      <c r="L836" s="25" t="str">
        <f aca="false">IF(K836&gt;0,"Yes","No")</f>
        <v>No</v>
      </c>
    </row>
    <row r="837" customFormat="false" ht="15" hidden="false" customHeight="false" outlineLevel="0" collapsed="false">
      <c r="A837" s="25" t="s">
        <v>9550</v>
      </c>
      <c r="B837" s="25" t="s">
        <v>8419</v>
      </c>
      <c r="C837" s="25" t="s">
        <v>8393</v>
      </c>
      <c r="D837" s="25" t="n">
        <v>9</v>
      </c>
      <c r="E837" s="25" t="s">
        <v>8394</v>
      </c>
      <c r="F837" s="25" t="s">
        <v>8395</v>
      </c>
      <c r="G837" s="25" t="s">
        <v>8396</v>
      </c>
      <c r="H837" s="25" t="s">
        <v>8397</v>
      </c>
      <c r="I837" s="25" t="s">
        <v>9551</v>
      </c>
      <c r="J837" s="25" t="s">
        <v>4523</v>
      </c>
      <c r="K837" s="25" t="n">
        <v>0</v>
      </c>
      <c r="L837" s="25" t="str">
        <f aca="false">IF(K837&gt;0,"Yes","No")</f>
        <v>No</v>
      </c>
    </row>
    <row r="838" customFormat="false" ht="15" hidden="false" customHeight="false" outlineLevel="0" collapsed="false">
      <c r="A838" s="25" t="s">
        <v>9552</v>
      </c>
      <c r="B838" s="25" t="s">
        <v>8419</v>
      </c>
      <c r="C838" s="25" t="s">
        <v>8393</v>
      </c>
      <c r="D838" s="25" t="n">
        <v>9</v>
      </c>
      <c r="E838" s="25" t="s">
        <v>8394</v>
      </c>
      <c r="F838" s="25" t="s">
        <v>8395</v>
      </c>
      <c r="G838" s="25" t="s">
        <v>8396</v>
      </c>
      <c r="H838" s="25" t="s">
        <v>8397</v>
      </c>
      <c r="I838" s="25" t="s">
        <v>9553</v>
      </c>
      <c r="J838" s="25" t="s">
        <v>4523</v>
      </c>
      <c r="K838" s="25" t="n">
        <v>0</v>
      </c>
      <c r="L838" s="25" t="str">
        <f aca="false">IF(K838&gt;0,"Yes","No")</f>
        <v>No</v>
      </c>
    </row>
    <row r="839" customFormat="false" ht="15" hidden="false" customHeight="false" outlineLevel="0" collapsed="false">
      <c r="A839" s="25" t="s">
        <v>9554</v>
      </c>
      <c r="B839" s="25" t="s">
        <v>8419</v>
      </c>
      <c r="C839" s="25" t="s">
        <v>8393</v>
      </c>
      <c r="D839" s="25" t="n">
        <v>9</v>
      </c>
      <c r="E839" s="25" t="s">
        <v>8394</v>
      </c>
      <c r="F839" s="25" t="s">
        <v>8395</v>
      </c>
      <c r="G839" s="25" t="s">
        <v>8396</v>
      </c>
      <c r="H839" s="25" t="s">
        <v>8397</v>
      </c>
      <c r="I839" s="25" t="s">
        <v>9555</v>
      </c>
      <c r="J839" s="25" t="s">
        <v>4523</v>
      </c>
      <c r="K839" s="25" t="n">
        <v>0</v>
      </c>
      <c r="L839" s="25" t="str">
        <f aca="false">IF(K839&gt;0,"Yes","No")</f>
        <v>No</v>
      </c>
    </row>
    <row r="840" customFormat="false" ht="15" hidden="false" customHeight="false" outlineLevel="0" collapsed="false">
      <c r="A840" s="25" t="s">
        <v>9556</v>
      </c>
      <c r="B840" s="25" t="s">
        <v>8419</v>
      </c>
      <c r="C840" s="25" t="s">
        <v>8393</v>
      </c>
      <c r="D840" s="25" t="n">
        <v>9</v>
      </c>
      <c r="E840" s="25" t="s">
        <v>8394</v>
      </c>
      <c r="F840" s="25" t="s">
        <v>8395</v>
      </c>
      <c r="G840" s="25" t="s">
        <v>8396</v>
      </c>
      <c r="H840" s="25" t="s">
        <v>8397</v>
      </c>
      <c r="I840" s="25" t="s">
        <v>9557</v>
      </c>
      <c r="J840" s="25" t="s">
        <v>4523</v>
      </c>
      <c r="K840" s="25" t="n">
        <v>0</v>
      </c>
      <c r="L840" s="25" t="str">
        <f aca="false">IF(K840&gt;0,"Yes","No")</f>
        <v>No</v>
      </c>
    </row>
    <row r="841" customFormat="false" ht="15" hidden="false" customHeight="false" outlineLevel="0" collapsed="false">
      <c r="A841" s="25" t="s">
        <v>9558</v>
      </c>
      <c r="B841" s="25" t="s">
        <v>8392</v>
      </c>
      <c r="C841" s="25" t="s">
        <v>8393</v>
      </c>
      <c r="D841" s="25" t="n">
        <v>9</v>
      </c>
      <c r="E841" s="25" t="s">
        <v>8394</v>
      </c>
      <c r="F841" s="25" t="s">
        <v>8395</v>
      </c>
      <c r="G841" s="25" t="s">
        <v>8396</v>
      </c>
      <c r="H841" s="25"/>
      <c r="I841" s="25" t="s">
        <v>9559</v>
      </c>
      <c r="J841" s="25" t="s">
        <v>7325</v>
      </c>
      <c r="K841" s="25" t="n">
        <v>0</v>
      </c>
      <c r="L841" s="25" t="str">
        <f aca="false">IF(K841&gt;0,"Yes","No")</f>
        <v>No</v>
      </c>
    </row>
    <row r="842" customFormat="false" ht="15" hidden="false" customHeight="false" outlineLevel="0" collapsed="false">
      <c r="A842" s="25" t="s">
        <v>9560</v>
      </c>
      <c r="B842" s="25" t="s">
        <v>8392</v>
      </c>
      <c r="C842" s="25" t="s">
        <v>8393</v>
      </c>
      <c r="D842" s="25" t="n">
        <v>9</v>
      </c>
      <c r="E842" s="25" t="s">
        <v>8394</v>
      </c>
      <c r="F842" s="25" t="s">
        <v>8395</v>
      </c>
      <c r="G842" s="25" t="s">
        <v>8400</v>
      </c>
      <c r="H842" s="25"/>
      <c r="I842" s="25" t="s">
        <v>9561</v>
      </c>
      <c r="J842" s="25" t="s">
        <v>9562</v>
      </c>
      <c r="K842" s="25" t="n">
        <v>0</v>
      </c>
      <c r="L842" s="25" t="str">
        <f aca="false">IF(K842&gt;0,"Yes","No")</f>
        <v>No</v>
      </c>
    </row>
    <row r="843" customFormat="false" ht="15" hidden="false" customHeight="false" outlineLevel="0" collapsed="false">
      <c r="A843" s="25" t="s">
        <v>9563</v>
      </c>
      <c r="B843" s="25" t="s">
        <v>8392</v>
      </c>
      <c r="C843" s="25" t="s">
        <v>8393</v>
      </c>
      <c r="D843" s="25" t="n">
        <v>9</v>
      </c>
      <c r="E843" s="25" t="s">
        <v>8394</v>
      </c>
      <c r="F843" s="25" t="s">
        <v>8395</v>
      </c>
      <c r="G843" s="25" t="s">
        <v>8402</v>
      </c>
      <c r="H843" s="25"/>
      <c r="I843" s="25" t="s">
        <v>9564</v>
      </c>
      <c r="J843" s="25" t="s">
        <v>9562</v>
      </c>
      <c r="K843" s="25" t="n">
        <v>0</v>
      </c>
      <c r="L843" s="25" t="str">
        <f aca="false">IF(K843&gt;0,"Yes","No")</f>
        <v>No</v>
      </c>
    </row>
    <row r="844" customFormat="false" ht="15" hidden="false" customHeight="false" outlineLevel="0" collapsed="false">
      <c r="A844" s="25" t="s">
        <v>9565</v>
      </c>
      <c r="B844" s="25" t="s">
        <v>8419</v>
      </c>
      <c r="C844" s="25" t="s">
        <v>8393</v>
      </c>
      <c r="D844" s="25" t="n">
        <v>9</v>
      </c>
      <c r="E844" s="25" t="s">
        <v>8394</v>
      </c>
      <c r="F844" s="25" t="s">
        <v>8395</v>
      </c>
      <c r="G844" s="25" t="s">
        <v>8396</v>
      </c>
      <c r="H844" s="25" t="s">
        <v>8397</v>
      </c>
      <c r="I844" s="25" t="s">
        <v>9566</v>
      </c>
      <c r="J844" s="25" t="s">
        <v>9567</v>
      </c>
      <c r="K844" s="25" t="n">
        <v>0</v>
      </c>
      <c r="L844" s="25" t="str">
        <f aca="false">IF(K844&gt;0,"Yes","No")</f>
        <v>No</v>
      </c>
    </row>
    <row r="845" customFormat="false" ht="15" hidden="false" customHeight="false" outlineLevel="0" collapsed="false">
      <c r="A845" s="25" t="s">
        <v>9568</v>
      </c>
      <c r="B845" s="25" t="s">
        <v>8392</v>
      </c>
      <c r="C845" s="25" t="s">
        <v>8393</v>
      </c>
      <c r="D845" s="25" t="n">
        <v>9</v>
      </c>
      <c r="E845" s="25" t="s">
        <v>8394</v>
      </c>
      <c r="F845" s="25" t="s">
        <v>8395</v>
      </c>
      <c r="G845" s="25" t="s">
        <v>8396</v>
      </c>
      <c r="H845" s="25" t="s">
        <v>8399</v>
      </c>
      <c r="I845" s="25" t="s">
        <v>9569</v>
      </c>
      <c r="J845" s="25" t="s">
        <v>9570</v>
      </c>
      <c r="K845" s="25" t="n">
        <v>0</v>
      </c>
      <c r="L845" s="25" t="str">
        <f aca="false">IF(K845&gt;0,"Yes","No")</f>
        <v>No</v>
      </c>
    </row>
    <row r="846" customFormat="false" ht="15" hidden="false" customHeight="false" outlineLevel="0" collapsed="false">
      <c r="A846" s="25" t="s">
        <v>9571</v>
      </c>
      <c r="B846" s="25" t="s">
        <v>8419</v>
      </c>
      <c r="C846" s="25" t="s">
        <v>8393</v>
      </c>
      <c r="D846" s="25" t="n">
        <v>9</v>
      </c>
      <c r="E846" s="25" t="s">
        <v>8394</v>
      </c>
      <c r="F846" s="25" t="s">
        <v>8395</v>
      </c>
      <c r="G846" s="25" t="s">
        <v>8396</v>
      </c>
      <c r="H846" s="25" t="s">
        <v>8399</v>
      </c>
      <c r="I846" s="25" t="s">
        <v>9572</v>
      </c>
      <c r="J846" s="25" t="s">
        <v>9570</v>
      </c>
      <c r="K846" s="25" t="n">
        <v>0</v>
      </c>
      <c r="L846" s="25" t="str">
        <f aca="false">IF(K846&gt;0,"Yes","No")</f>
        <v>No</v>
      </c>
    </row>
    <row r="847" customFormat="false" ht="15" hidden="false" customHeight="false" outlineLevel="0" collapsed="false">
      <c r="A847" s="25" t="s">
        <v>9573</v>
      </c>
      <c r="B847" s="25" t="s">
        <v>8419</v>
      </c>
      <c r="C847" s="25" t="s">
        <v>8393</v>
      </c>
      <c r="D847" s="25" t="n">
        <v>9</v>
      </c>
      <c r="E847" s="25" t="s">
        <v>8394</v>
      </c>
      <c r="F847" s="25" t="s">
        <v>8395</v>
      </c>
      <c r="G847" s="25" t="s">
        <v>8396</v>
      </c>
      <c r="H847" s="25" t="s">
        <v>8399</v>
      </c>
      <c r="I847" s="25" t="s">
        <v>9574</v>
      </c>
      <c r="J847" s="25" t="s">
        <v>9570</v>
      </c>
      <c r="K847" s="25" t="n">
        <v>0</v>
      </c>
      <c r="L847" s="25" t="str">
        <f aca="false">IF(K847&gt;0,"Yes","No")</f>
        <v>No</v>
      </c>
    </row>
    <row r="848" customFormat="false" ht="15" hidden="false" customHeight="false" outlineLevel="0" collapsed="false">
      <c r="A848" s="25" t="s">
        <v>9575</v>
      </c>
      <c r="B848" s="25" t="s">
        <v>8419</v>
      </c>
      <c r="C848" s="25" t="s">
        <v>8393</v>
      </c>
      <c r="D848" s="25" t="n">
        <v>9</v>
      </c>
      <c r="E848" s="25" t="s">
        <v>8394</v>
      </c>
      <c r="F848" s="25" t="s">
        <v>8395</v>
      </c>
      <c r="G848" s="25" t="s">
        <v>8396</v>
      </c>
      <c r="H848" s="25" t="s">
        <v>8399</v>
      </c>
      <c r="I848" s="25" t="s">
        <v>9576</v>
      </c>
      <c r="J848" s="25" t="s">
        <v>9570</v>
      </c>
      <c r="K848" s="25" t="n">
        <v>0</v>
      </c>
      <c r="L848" s="25" t="str">
        <f aca="false">IF(K848&gt;0,"Yes","No")</f>
        <v>No</v>
      </c>
    </row>
    <row r="849" customFormat="false" ht="15" hidden="false" customHeight="false" outlineLevel="0" collapsed="false">
      <c r="A849" s="25" t="s">
        <v>9577</v>
      </c>
      <c r="B849" s="25" t="s">
        <v>8419</v>
      </c>
      <c r="C849" s="25" t="s">
        <v>8393</v>
      </c>
      <c r="D849" s="25" t="n">
        <v>9</v>
      </c>
      <c r="E849" s="25" t="s">
        <v>8394</v>
      </c>
      <c r="F849" s="25" t="s">
        <v>8395</v>
      </c>
      <c r="G849" s="25" t="s">
        <v>8396</v>
      </c>
      <c r="H849" s="25" t="s">
        <v>8399</v>
      </c>
      <c r="I849" s="25" t="s">
        <v>9578</v>
      </c>
      <c r="J849" s="25" t="s">
        <v>9570</v>
      </c>
      <c r="K849" s="25" t="n">
        <v>0</v>
      </c>
      <c r="L849" s="25" t="str">
        <f aca="false">IF(K849&gt;0,"Yes","No")</f>
        <v>No</v>
      </c>
    </row>
    <row r="850" customFormat="false" ht="15" hidden="false" customHeight="false" outlineLevel="0" collapsed="false">
      <c r="A850" s="25" t="s">
        <v>9579</v>
      </c>
      <c r="B850" s="25" t="s">
        <v>8419</v>
      </c>
      <c r="C850" s="25" t="s">
        <v>8393</v>
      </c>
      <c r="D850" s="25" t="n">
        <v>9</v>
      </c>
      <c r="E850" s="25" t="s">
        <v>8394</v>
      </c>
      <c r="F850" s="25" t="s">
        <v>8395</v>
      </c>
      <c r="G850" s="25" t="s">
        <v>8396</v>
      </c>
      <c r="H850" s="25" t="s">
        <v>8399</v>
      </c>
      <c r="I850" s="25" t="s">
        <v>9580</v>
      </c>
      <c r="J850" s="25" t="s">
        <v>9570</v>
      </c>
      <c r="K850" s="25" t="n">
        <v>0</v>
      </c>
      <c r="L850" s="25" t="str">
        <f aca="false">IF(K850&gt;0,"Yes","No")</f>
        <v>No</v>
      </c>
    </row>
    <row r="851" customFormat="false" ht="15" hidden="false" customHeight="false" outlineLevel="0" collapsed="false">
      <c r="A851" s="25" t="s">
        <v>9581</v>
      </c>
      <c r="B851" s="25" t="s">
        <v>8392</v>
      </c>
      <c r="C851" s="25" t="s">
        <v>8393</v>
      </c>
      <c r="D851" s="25" t="n">
        <v>9</v>
      </c>
      <c r="E851" s="25" t="s">
        <v>8394</v>
      </c>
      <c r="F851" s="25" t="s">
        <v>8395</v>
      </c>
      <c r="G851" s="25" t="s">
        <v>8396</v>
      </c>
      <c r="H851" s="25" t="s">
        <v>8399</v>
      </c>
      <c r="I851" s="25" t="s">
        <v>9582</v>
      </c>
      <c r="J851" s="25" t="s">
        <v>9570</v>
      </c>
      <c r="K851" s="25" t="n">
        <v>0</v>
      </c>
      <c r="L851" s="25" t="str">
        <f aca="false">IF(K851&gt;0,"Yes","No")</f>
        <v>No</v>
      </c>
    </row>
    <row r="852" customFormat="false" ht="15" hidden="false" customHeight="false" outlineLevel="0" collapsed="false">
      <c r="A852" s="25" t="s">
        <v>9583</v>
      </c>
      <c r="B852" s="25" t="s">
        <v>8392</v>
      </c>
      <c r="C852" s="25" t="s">
        <v>8393</v>
      </c>
      <c r="D852" s="25" t="n">
        <v>9</v>
      </c>
      <c r="E852" s="25" t="s">
        <v>8394</v>
      </c>
      <c r="F852" s="25" t="s">
        <v>8395</v>
      </c>
      <c r="G852" s="25" t="s">
        <v>8398</v>
      </c>
      <c r="H852" s="25"/>
      <c r="I852" s="25" t="s">
        <v>9516</v>
      </c>
      <c r="J852" s="25" t="s">
        <v>9584</v>
      </c>
      <c r="K852" s="25" t="n">
        <v>0</v>
      </c>
      <c r="L852" s="25" t="str">
        <f aca="false">IF(K852&gt;0,"Yes","No")</f>
        <v>No</v>
      </c>
    </row>
    <row r="853" customFormat="false" ht="15" hidden="false" customHeight="false" outlineLevel="0" collapsed="false">
      <c r="A853" s="25" t="s">
        <v>9585</v>
      </c>
      <c r="B853" s="25" t="s">
        <v>8392</v>
      </c>
      <c r="C853" s="25" t="s">
        <v>8393</v>
      </c>
      <c r="D853" s="25" t="n">
        <v>9</v>
      </c>
      <c r="E853" s="25" t="s">
        <v>8394</v>
      </c>
      <c r="F853" s="25" t="s">
        <v>8395</v>
      </c>
      <c r="G853" s="25" t="s">
        <v>8398</v>
      </c>
      <c r="H853" s="25"/>
      <c r="I853" s="25" t="s">
        <v>9586</v>
      </c>
      <c r="J853" s="25" t="s">
        <v>9587</v>
      </c>
      <c r="K853" s="25" t="n">
        <v>0</v>
      </c>
      <c r="L853" s="25" t="str">
        <f aca="false">IF(K853&gt;0,"Yes","No")</f>
        <v>No</v>
      </c>
    </row>
    <row r="854" customFormat="false" ht="15" hidden="false" customHeight="false" outlineLevel="0" collapsed="false">
      <c r="A854" s="25" t="s">
        <v>9588</v>
      </c>
      <c r="B854" s="25" t="s">
        <v>8392</v>
      </c>
      <c r="C854" s="25" t="s">
        <v>8393</v>
      </c>
      <c r="D854" s="25" t="n">
        <v>9</v>
      </c>
      <c r="E854" s="25" t="s">
        <v>8394</v>
      </c>
      <c r="F854" s="25" t="s">
        <v>8395</v>
      </c>
      <c r="G854" s="25" t="s">
        <v>8396</v>
      </c>
      <c r="H854" s="25" t="s">
        <v>8397</v>
      </c>
      <c r="I854" s="25" t="s">
        <v>9589</v>
      </c>
      <c r="J854" s="25" t="s">
        <v>3163</v>
      </c>
      <c r="K854" s="25" t="n">
        <v>0</v>
      </c>
      <c r="L854" s="25" t="str">
        <f aca="false">IF(K854&gt;0,"Yes","No")</f>
        <v>No</v>
      </c>
    </row>
    <row r="855" customFormat="false" ht="15" hidden="false" customHeight="false" outlineLevel="0" collapsed="false">
      <c r="A855" s="25" t="s">
        <v>9590</v>
      </c>
      <c r="B855" s="25" t="s">
        <v>8419</v>
      </c>
      <c r="C855" s="25" t="s">
        <v>8393</v>
      </c>
      <c r="D855" s="25" t="n">
        <v>9</v>
      </c>
      <c r="E855" s="25" t="s">
        <v>8394</v>
      </c>
      <c r="F855" s="25" t="s">
        <v>8395</v>
      </c>
      <c r="G855" s="25" t="s">
        <v>8396</v>
      </c>
      <c r="H855" s="25"/>
      <c r="I855" s="25" t="s">
        <v>9591</v>
      </c>
      <c r="J855" s="25" t="s">
        <v>3163</v>
      </c>
      <c r="K855" s="25" t="n">
        <v>0</v>
      </c>
      <c r="L855" s="25" t="str">
        <f aca="false">IF(K855&gt;0,"Yes","No")</f>
        <v>No</v>
      </c>
    </row>
    <row r="856" customFormat="false" ht="15" hidden="false" customHeight="false" outlineLevel="0" collapsed="false">
      <c r="A856" s="25" t="s">
        <v>9592</v>
      </c>
      <c r="B856" s="25" t="s">
        <v>8419</v>
      </c>
      <c r="C856" s="25" t="s">
        <v>8393</v>
      </c>
      <c r="D856" s="25" t="n">
        <v>9</v>
      </c>
      <c r="E856" s="25" t="s">
        <v>8394</v>
      </c>
      <c r="F856" s="25" t="s">
        <v>8395</v>
      </c>
      <c r="G856" s="25" t="s">
        <v>8396</v>
      </c>
      <c r="H856" s="25"/>
      <c r="I856" s="25" t="s">
        <v>9593</v>
      </c>
      <c r="J856" s="25" t="s">
        <v>3163</v>
      </c>
      <c r="K856" s="25" t="n">
        <v>0</v>
      </c>
      <c r="L856" s="25" t="str">
        <f aca="false">IF(K856&gt;0,"Yes","No")</f>
        <v>No</v>
      </c>
    </row>
    <row r="857" customFormat="false" ht="15" hidden="false" customHeight="false" outlineLevel="0" collapsed="false">
      <c r="A857" s="25" t="s">
        <v>9594</v>
      </c>
      <c r="B857" s="25" t="s">
        <v>8419</v>
      </c>
      <c r="C857" s="25" t="s">
        <v>8393</v>
      </c>
      <c r="D857" s="25" t="n">
        <v>9</v>
      </c>
      <c r="E857" s="25" t="s">
        <v>8394</v>
      </c>
      <c r="F857" s="25" t="s">
        <v>8395</v>
      </c>
      <c r="G857" s="25" t="s">
        <v>8396</v>
      </c>
      <c r="H857" s="25"/>
      <c r="I857" s="25" t="s">
        <v>9595</v>
      </c>
      <c r="J857" s="25" t="s">
        <v>3163</v>
      </c>
      <c r="K857" s="25" t="n">
        <v>0</v>
      </c>
      <c r="L857" s="25" t="str">
        <f aca="false">IF(K857&gt;0,"Yes","No")</f>
        <v>No</v>
      </c>
    </row>
    <row r="858" customFormat="false" ht="15" hidden="false" customHeight="false" outlineLevel="0" collapsed="false">
      <c r="A858" s="25" t="s">
        <v>9596</v>
      </c>
      <c r="B858" s="25" t="s">
        <v>8392</v>
      </c>
      <c r="C858" s="25" t="s">
        <v>8393</v>
      </c>
      <c r="D858" s="25" t="n">
        <v>9</v>
      </c>
      <c r="E858" s="25" t="s">
        <v>8394</v>
      </c>
      <c r="F858" s="25" t="s">
        <v>8395</v>
      </c>
      <c r="G858" s="25" t="s">
        <v>8396</v>
      </c>
      <c r="H858" s="25" t="s">
        <v>8397</v>
      </c>
      <c r="I858" s="25" t="s">
        <v>9597</v>
      </c>
      <c r="J858" s="25" t="s">
        <v>2582</v>
      </c>
      <c r="K858" s="25" t="n">
        <v>0</v>
      </c>
      <c r="L858" s="25" t="str">
        <f aca="false">IF(K858&gt;0,"Yes","No")</f>
        <v>No</v>
      </c>
    </row>
    <row r="859" customFormat="false" ht="15" hidden="false" customHeight="false" outlineLevel="0" collapsed="false">
      <c r="A859" s="25" t="s">
        <v>9598</v>
      </c>
      <c r="B859" s="25" t="s">
        <v>8419</v>
      </c>
      <c r="C859" s="25" t="s">
        <v>8393</v>
      </c>
      <c r="D859" s="25" t="n">
        <v>9</v>
      </c>
      <c r="E859" s="25" t="s">
        <v>8394</v>
      </c>
      <c r="F859" s="25" t="s">
        <v>8395</v>
      </c>
      <c r="G859" s="25" t="s">
        <v>8396</v>
      </c>
      <c r="H859" s="25"/>
      <c r="I859" s="25" t="s">
        <v>9599</v>
      </c>
      <c r="J859" s="25" t="s">
        <v>2582</v>
      </c>
      <c r="K859" s="25" t="n">
        <v>0</v>
      </c>
      <c r="L859" s="25" t="str">
        <f aca="false">IF(K859&gt;0,"Yes","No")</f>
        <v>No</v>
      </c>
    </row>
    <row r="860" customFormat="false" ht="15" hidden="false" customHeight="false" outlineLevel="0" collapsed="false">
      <c r="A860" s="25" t="s">
        <v>9600</v>
      </c>
      <c r="B860" s="25" t="s">
        <v>8419</v>
      </c>
      <c r="C860" s="25" t="s">
        <v>8393</v>
      </c>
      <c r="D860" s="25" t="n">
        <v>9</v>
      </c>
      <c r="E860" s="25" t="s">
        <v>8394</v>
      </c>
      <c r="F860" s="25" t="s">
        <v>8395</v>
      </c>
      <c r="G860" s="25" t="s">
        <v>8396</v>
      </c>
      <c r="H860" s="25"/>
      <c r="I860" s="25" t="s">
        <v>9601</v>
      </c>
      <c r="J860" s="25" t="s">
        <v>2582</v>
      </c>
      <c r="K860" s="25" t="n">
        <v>0</v>
      </c>
      <c r="L860" s="25" t="str">
        <f aca="false">IF(K860&gt;0,"Yes","No")</f>
        <v>No</v>
      </c>
    </row>
    <row r="861" customFormat="false" ht="15" hidden="false" customHeight="false" outlineLevel="0" collapsed="false">
      <c r="A861" s="25" t="s">
        <v>9602</v>
      </c>
      <c r="B861" s="25" t="s">
        <v>8419</v>
      </c>
      <c r="C861" s="25" t="s">
        <v>8393</v>
      </c>
      <c r="D861" s="25" t="n">
        <v>9</v>
      </c>
      <c r="E861" s="25" t="s">
        <v>8394</v>
      </c>
      <c r="F861" s="25" t="s">
        <v>8395</v>
      </c>
      <c r="G861" s="25" t="s">
        <v>8396</v>
      </c>
      <c r="H861" s="25"/>
      <c r="I861" s="25" t="s">
        <v>9603</v>
      </c>
      <c r="J861" s="25" t="s">
        <v>2582</v>
      </c>
      <c r="K861" s="25" t="n">
        <v>0</v>
      </c>
      <c r="L861" s="25" t="str">
        <f aca="false">IF(K861&gt;0,"Yes","No")</f>
        <v>No</v>
      </c>
    </row>
    <row r="862" customFormat="false" ht="15" hidden="false" customHeight="false" outlineLevel="0" collapsed="false">
      <c r="A862" s="25" t="s">
        <v>9604</v>
      </c>
      <c r="B862" s="25" t="s">
        <v>8392</v>
      </c>
      <c r="C862" s="25" t="s">
        <v>8393</v>
      </c>
      <c r="D862" s="25" t="n">
        <v>9</v>
      </c>
      <c r="E862" s="25" t="s">
        <v>8394</v>
      </c>
      <c r="F862" s="25" t="s">
        <v>8395</v>
      </c>
      <c r="G862" s="25" t="s">
        <v>8396</v>
      </c>
      <c r="H862" s="25"/>
      <c r="I862" s="25" t="s">
        <v>9605</v>
      </c>
      <c r="J862" s="25" t="s">
        <v>9606</v>
      </c>
      <c r="K862" s="25" t="n">
        <v>0</v>
      </c>
      <c r="L862" s="25" t="str">
        <f aca="false">IF(K862&gt;0,"Yes","No")</f>
        <v>No</v>
      </c>
    </row>
    <row r="863" customFormat="false" ht="15" hidden="false" customHeight="false" outlineLevel="0" collapsed="false">
      <c r="A863" s="25" t="s">
        <v>9607</v>
      </c>
      <c r="B863" s="25" t="s">
        <v>8392</v>
      </c>
      <c r="C863" s="25" t="s">
        <v>8393</v>
      </c>
      <c r="D863" s="25" t="n">
        <v>9</v>
      </c>
      <c r="E863" s="25" t="s">
        <v>8394</v>
      </c>
      <c r="F863" s="25" t="s">
        <v>8395</v>
      </c>
      <c r="G863" s="25" t="s">
        <v>8396</v>
      </c>
      <c r="H863" s="25"/>
      <c r="I863" s="25" t="s">
        <v>9608</v>
      </c>
      <c r="J863" s="25" t="s">
        <v>9606</v>
      </c>
      <c r="K863" s="25" t="n">
        <v>0</v>
      </c>
      <c r="L863" s="25" t="str">
        <f aca="false">IF(K863&gt;0,"Yes","No")</f>
        <v>No</v>
      </c>
    </row>
    <row r="864" customFormat="false" ht="15" hidden="false" customHeight="false" outlineLevel="0" collapsed="false">
      <c r="A864" s="25" t="s">
        <v>9609</v>
      </c>
      <c r="B864" s="25" t="s">
        <v>8392</v>
      </c>
      <c r="C864" s="25" t="s">
        <v>8393</v>
      </c>
      <c r="D864" s="25" t="n">
        <v>9</v>
      </c>
      <c r="E864" s="25" t="s">
        <v>8394</v>
      </c>
      <c r="F864" s="25" t="s">
        <v>8395</v>
      </c>
      <c r="G864" s="25" t="s">
        <v>8396</v>
      </c>
      <c r="H864" s="25" t="s">
        <v>8409</v>
      </c>
      <c r="I864" s="25" t="s">
        <v>9610</v>
      </c>
      <c r="J864" s="25" t="s">
        <v>931</v>
      </c>
      <c r="K864" s="25" t="n">
        <v>0</v>
      </c>
      <c r="L864" s="25" t="str">
        <f aca="false">IF(K864&gt;0,"Yes","No")</f>
        <v>No</v>
      </c>
    </row>
    <row r="865" customFormat="false" ht="15" hidden="false" customHeight="false" outlineLevel="0" collapsed="false">
      <c r="A865" s="25" t="s">
        <v>9611</v>
      </c>
      <c r="B865" s="25" t="s">
        <v>8392</v>
      </c>
      <c r="C865" s="25" t="s">
        <v>8393</v>
      </c>
      <c r="D865" s="25" t="n">
        <v>9</v>
      </c>
      <c r="E865" s="25" t="s">
        <v>8394</v>
      </c>
      <c r="F865" s="25" t="s">
        <v>8395</v>
      </c>
      <c r="G865" s="25" t="s">
        <v>8396</v>
      </c>
      <c r="H865" s="25"/>
      <c r="I865" s="25" t="s">
        <v>9612</v>
      </c>
      <c r="J865" s="25" t="s">
        <v>5097</v>
      </c>
      <c r="K865" s="25" t="n">
        <v>0</v>
      </c>
      <c r="L865" s="25" t="str">
        <f aca="false">IF(K865&gt;0,"Yes","No")</f>
        <v>No</v>
      </c>
    </row>
    <row r="866" customFormat="false" ht="15" hidden="false" customHeight="false" outlineLevel="0" collapsed="false">
      <c r="A866" s="25" t="s">
        <v>9613</v>
      </c>
      <c r="B866" s="25" t="s">
        <v>8392</v>
      </c>
      <c r="C866" s="25" t="s">
        <v>8393</v>
      </c>
      <c r="D866" s="25" t="n">
        <v>9</v>
      </c>
      <c r="E866" s="25" t="s">
        <v>8394</v>
      </c>
      <c r="F866" s="25" t="s">
        <v>8395</v>
      </c>
      <c r="G866" s="25" t="s">
        <v>8396</v>
      </c>
      <c r="H866" s="25"/>
      <c r="I866" s="25" t="s">
        <v>9614</v>
      </c>
      <c r="J866" s="25" t="s">
        <v>5097</v>
      </c>
      <c r="K866" s="25" t="n">
        <v>0</v>
      </c>
      <c r="L866" s="25" t="str">
        <f aca="false">IF(K866&gt;0,"Yes","No")</f>
        <v>No</v>
      </c>
    </row>
    <row r="867" customFormat="false" ht="15" hidden="false" customHeight="false" outlineLevel="0" collapsed="false">
      <c r="A867" s="25" t="s">
        <v>9615</v>
      </c>
      <c r="B867" s="25" t="s">
        <v>8392</v>
      </c>
      <c r="C867" s="25" t="s">
        <v>8393</v>
      </c>
      <c r="D867" s="25" t="n">
        <v>9</v>
      </c>
      <c r="E867" s="25" t="s">
        <v>8394</v>
      </c>
      <c r="F867" s="25" t="s">
        <v>8395</v>
      </c>
      <c r="G867" s="25" t="s">
        <v>8396</v>
      </c>
      <c r="H867" s="25"/>
      <c r="I867" s="25" t="s">
        <v>9616</v>
      </c>
      <c r="J867" s="25" t="s">
        <v>5097</v>
      </c>
      <c r="K867" s="25" t="n">
        <v>0</v>
      </c>
      <c r="L867" s="25" t="str">
        <f aca="false">IF(K867&gt;0,"Yes","No")</f>
        <v>No</v>
      </c>
    </row>
    <row r="868" customFormat="false" ht="15" hidden="false" customHeight="false" outlineLevel="0" collapsed="false">
      <c r="A868" s="25" t="s">
        <v>9617</v>
      </c>
      <c r="B868" s="25" t="s">
        <v>8392</v>
      </c>
      <c r="C868" s="25" t="s">
        <v>8393</v>
      </c>
      <c r="D868" s="25" t="n">
        <v>9</v>
      </c>
      <c r="E868" s="25" t="s">
        <v>8394</v>
      </c>
      <c r="F868" s="25" t="s">
        <v>8395</v>
      </c>
      <c r="G868" s="25" t="s">
        <v>8396</v>
      </c>
      <c r="H868" s="25"/>
      <c r="I868" s="25" t="s">
        <v>9618</v>
      </c>
      <c r="J868" s="25" t="s">
        <v>5097</v>
      </c>
      <c r="K868" s="25" t="n">
        <v>0</v>
      </c>
      <c r="L868" s="25" t="str">
        <f aca="false">IF(K868&gt;0,"Yes","No")</f>
        <v>No</v>
      </c>
    </row>
    <row r="869" customFormat="false" ht="15" hidden="false" customHeight="false" outlineLevel="0" collapsed="false">
      <c r="A869" s="25" t="s">
        <v>9619</v>
      </c>
      <c r="B869" s="25" t="s">
        <v>8392</v>
      </c>
      <c r="C869" s="25" t="s">
        <v>8393</v>
      </c>
      <c r="D869" s="25" t="n">
        <v>9</v>
      </c>
      <c r="E869" s="25" t="s">
        <v>8394</v>
      </c>
      <c r="F869" s="25" t="s">
        <v>8395</v>
      </c>
      <c r="G869" s="25" t="s">
        <v>8396</v>
      </c>
      <c r="H869" s="25"/>
      <c r="I869" s="25" t="s">
        <v>9620</v>
      </c>
      <c r="J869" s="25" t="s">
        <v>5097</v>
      </c>
      <c r="K869" s="25" t="n">
        <v>0</v>
      </c>
      <c r="L869" s="25" t="str">
        <f aca="false">IF(K869&gt;0,"Yes","No")</f>
        <v>No</v>
      </c>
    </row>
    <row r="870" customFormat="false" ht="15" hidden="false" customHeight="false" outlineLevel="0" collapsed="false">
      <c r="A870" s="25" t="s">
        <v>9621</v>
      </c>
      <c r="B870" s="25" t="s">
        <v>8392</v>
      </c>
      <c r="C870" s="25" t="s">
        <v>8393</v>
      </c>
      <c r="D870" s="25" t="n">
        <v>9</v>
      </c>
      <c r="E870" s="25" t="s">
        <v>8394</v>
      </c>
      <c r="F870" s="25" t="s">
        <v>8395</v>
      </c>
      <c r="G870" s="25" t="s">
        <v>8396</v>
      </c>
      <c r="H870" s="25"/>
      <c r="I870" s="25" t="s">
        <v>9622</v>
      </c>
      <c r="J870" s="25" t="s">
        <v>5097</v>
      </c>
      <c r="K870" s="25" t="n">
        <v>0</v>
      </c>
      <c r="L870" s="25" t="str">
        <f aca="false">IF(K870&gt;0,"Yes","No")</f>
        <v>No</v>
      </c>
    </row>
    <row r="871" customFormat="false" ht="15" hidden="false" customHeight="false" outlineLevel="0" collapsed="false">
      <c r="A871" s="25" t="s">
        <v>9623</v>
      </c>
      <c r="B871" s="25" t="s">
        <v>8419</v>
      </c>
      <c r="C871" s="25" t="s">
        <v>8393</v>
      </c>
      <c r="D871" s="25" t="n">
        <v>9</v>
      </c>
      <c r="E871" s="25" t="s">
        <v>8394</v>
      </c>
      <c r="F871" s="25" t="s">
        <v>8395</v>
      </c>
      <c r="G871" s="25" t="s">
        <v>8396</v>
      </c>
      <c r="H871" s="25" t="s">
        <v>8403</v>
      </c>
      <c r="I871" s="25" t="s">
        <v>9624</v>
      </c>
      <c r="J871" s="25" t="s">
        <v>5097</v>
      </c>
      <c r="K871" s="25" t="n">
        <v>0</v>
      </c>
      <c r="L871" s="25" t="str">
        <f aca="false">IF(K871&gt;0,"Yes","No")</f>
        <v>No</v>
      </c>
    </row>
    <row r="872" customFormat="false" ht="15" hidden="false" customHeight="false" outlineLevel="0" collapsed="false">
      <c r="A872" s="25" t="s">
        <v>9625</v>
      </c>
      <c r="B872" s="25" t="s">
        <v>8419</v>
      </c>
      <c r="C872" s="25" t="s">
        <v>8393</v>
      </c>
      <c r="D872" s="25" t="n">
        <v>9</v>
      </c>
      <c r="E872" s="25" t="s">
        <v>8394</v>
      </c>
      <c r="F872" s="25" t="s">
        <v>8395</v>
      </c>
      <c r="G872" s="25" t="s">
        <v>8396</v>
      </c>
      <c r="H872" s="25" t="s">
        <v>8403</v>
      </c>
      <c r="I872" s="25" t="s">
        <v>9626</v>
      </c>
      <c r="J872" s="25" t="s">
        <v>5097</v>
      </c>
      <c r="K872" s="25" t="n">
        <v>0</v>
      </c>
      <c r="L872" s="25" t="str">
        <f aca="false">IF(K872&gt;0,"Yes","No")</f>
        <v>No</v>
      </c>
    </row>
    <row r="873" customFormat="false" ht="15" hidden="false" customHeight="false" outlineLevel="0" collapsed="false">
      <c r="A873" s="25" t="s">
        <v>9627</v>
      </c>
      <c r="B873" s="25" t="s">
        <v>8392</v>
      </c>
      <c r="C873" s="25" t="s">
        <v>8393</v>
      </c>
      <c r="D873" s="25" t="n">
        <v>9</v>
      </c>
      <c r="E873" s="25" t="s">
        <v>8394</v>
      </c>
      <c r="F873" s="25" t="s">
        <v>8395</v>
      </c>
      <c r="G873" s="25" t="s">
        <v>8398</v>
      </c>
      <c r="H873" s="25"/>
      <c r="I873" s="25" t="s">
        <v>9628</v>
      </c>
      <c r="J873" s="25" t="s">
        <v>9629</v>
      </c>
      <c r="K873" s="25" t="n">
        <v>0</v>
      </c>
      <c r="L873" s="25" t="str">
        <f aca="false">IF(K873&gt;0,"Yes","No")</f>
        <v>No</v>
      </c>
    </row>
    <row r="874" customFormat="false" ht="15" hidden="false" customHeight="false" outlineLevel="0" collapsed="false">
      <c r="A874" s="25" t="s">
        <v>9630</v>
      </c>
      <c r="B874" s="25" t="s">
        <v>8392</v>
      </c>
      <c r="C874" s="25" t="s">
        <v>8393</v>
      </c>
      <c r="D874" s="25" t="n">
        <v>9</v>
      </c>
      <c r="E874" s="25" t="s">
        <v>8394</v>
      </c>
      <c r="F874" s="25" t="s">
        <v>8395</v>
      </c>
      <c r="G874" s="25" t="s">
        <v>8396</v>
      </c>
      <c r="H874" s="25"/>
      <c r="I874" s="25" t="s">
        <v>9631</v>
      </c>
      <c r="J874" s="25" t="s">
        <v>9632</v>
      </c>
      <c r="K874" s="25" t="n">
        <v>0</v>
      </c>
      <c r="L874" s="25" t="str">
        <f aca="false">IF(K874&gt;0,"Yes","No")</f>
        <v>No</v>
      </c>
    </row>
    <row r="875" customFormat="false" ht="15" hidden="false" customHeight="false" outlineLevel="0" collapsed="false">
      <c r="A875" s="25" t="s">
        <v>9633</v>
      </c>
      <c r="B875" s="25" t="s">
        <v>8392</v>
      </c>
      <c r="C875" s="25" t="s">
        <v>8393</v>
      </c>
      <c r="D875" s="25" t="n">
        <v>9</v>
      </c>
      <c r="E875" s="25" t="s">
        <v>8394</v>
      </c>
      <c r="F875" s="25" t="s">
        <v>8395</v>
      </c>
      <c r="G875" s="25" t="s">
        <v>8396</v>
      </c>
      <c r="H875" s="25"/>
      <c r="I875" s="25" t="s">
        <v>9634</v>
      </c>
      <c r="J875" s="25" t="s">
        <v>9632</v>
      </c>
      <c r="K875" s="25" t="n">
        <v>0</v>
      </c>
      <c r="L875" s="25" t="str">
        <f aca="false">IF(K875&gt;0,"Yes","No")</f>
        <v>No</v>
      </c>
    </row>
    <row r="876" customFormat="false" ht="15" hidden="false" customHeight="false" outlineLevel="0" collapsed="false">
      <c r="A876" s="25" t="s">
        <v>9635</v>
      </c>
      <c r="B876" s="25" t="s">
        <v>8392</v>
      </c>
      <c r="C876" s="25" t="s">
        <v>8393</v>
      </c>
      <c r="D876" s="25" t="n">
        <v>9</v>
      </c>
      <c r="E876" s="25" t="s">
        <v>8394</v>
      </c>
      <c r="F876" s="25" t="s">
        <v>8395</v>
      </c>
      <c r="G876" s="25" t="s">
        <v>8396</v>
      </c>
      <c r="H876" s="25"/>
      <c r="I876" s="25" t="s">
        <v>9636</v>
      </c>
      <c r="J876" s="25" t="s">
        <v>9632</v>
      </c>
      <c r="K876" s="25" t="n">
        <v>0</v>
      </c>
      <c r="L876" s="25" t="str">
        <f aca="false">IF(K876&gt;0,"Yes","No")</f>
        <v>No</v>
      </c>
    </row>
    <row r="877" customFormat="false" ht="15" hidden="false" customHeight="false" outlineLevel="0" collapsed="false">
      <c r="A877" s="25" t="s">
        <v>9637</v>
      </c>
      <c r="B877" s="25" t="s">
        <v>8392</v>
      </c>
      <c r="C877" s="25" t="s">
        <v>8393</v>
      </c>
      <c r="D877" s="25" t="n">
        <v>9</v>
      </c>
      <c r="E877" s="25" t="s">
        <v>8394</v>
      </c>
      <c r="F877" s="25" t="s">
        <v>8395</v>
      </c>
      <c r="G877" s="25" t="s">
        <v>8396</v>
      </c>
      <c r="H877" s="25" t="s">
        <v>8397</v>
      </c>
      <c r="I877" s="25" t="s">
        <v>9638</v>
      </c>
      <c r="J877" s="25" t="s">
        <v>9639</v>
      </c>
      <c r="K877" s="25" t="n">
        <v>0</v>
      </c>
      <c r="L877" s="25" t="str">
        <f aca="false">IF(K877&gt;0,"Yes","No")</f>
        <v>No</v>
      </c>
    </row>
    <row r="878" customFormat="false" ht="15" hidden="false" customHeight="false" outlineLevel="0" collapsed="false">
      <c r="A878" s="25" t="s">
        <v>9640</v>
      </c>
      <c r="B878" s="25" t="s">
        <v>9641</v>
      </c>
      <c r="C878" s="25" t="s">
        <v>8393</v>
      </c>
      <c r="D878" s="25" t="n">
        <v>9</v>
      </c>
      <c r="E878" s="25" t="s">
        <v>8394</v>
      </c>
      <c r="F878" s="25" t="s">
        <v>8395</v>
      </c>
      <c r="G878" s="25" t="s">
        <v>8396</v>
      </c>
      <c r="H878" s="25" t="s">
        <v>8397</v>
      </c>
      <c r="I878" s="25" t="s">
        <v>9642</v>
      </c>
      <c r="J878" s="25" t="s">
        <v>9643</v>
      </c>
      <c r="K878" s="25" t="n">
        <v>0</v>
      </c>
      <c r="L878" s="25" t="str">
        <f aca="false">IF(K878&gt;0,"Yes","No")</f>
        <v>No</v>
      </c>
    </row>
    <row r="879" customFormat="false" ht="15" hidden="false" customHeight="false" outlineLevel="0" collapsed="false">
      <c r="A879" s="25" t="s">
        <v>9644</v>
      </c>
      <c r="B879" s="25" t="s">
        <v>8392</v>
      </c>
      <c r="C879" s="25" t="s">
        <v>8393</v>
      </c>
      <c r="D879" s="25" t="n">
        <v>9</v>
      </c>
      <c r="E879" s="25" t="s">
        <v>8394</v>
      </c>
      <c r="F879" s="25" t="s">
        <v>8395</v>
      </c>
      <c r="G879" s="25" t="s">
        <v>8398</v>
      </c>
      <c r="H879" s="25"/>
      <c r="I879" s="25" t="s">
        <v>9645</v>
      </c>
      <c r="J879" s="25" t="s">
        <v>9643</v>
      </c>
      <c r="K879" s="25" t="n">
        <v>0</v>
      </c>
      <c r="L879" s="25" t="str">
        <f aca="false">IF(K879&gt;0,"Yes","No")</f>
        <v>No</v>
      </c>
    </row>
    <row r="880" customFormat="false" ht="15" hidden="false" customHeight="false" outlineLevel="0" collapsed="false">
      <c r="A880" s="25" t="s">
        <v>9646</v>
      </c>
      <c r="B880" s="25" t="s">
        <v>8392</v>
      </c>
      <c r="C880" s="25" t="s">
        <v>8393</v>
      </c>
      <c r="D880" s="25" t="n">
        <v>9</v>
      </c>
      <c r="E880" s="25" t="s">
        <v>8394</v>
      </c>
      <c r="F880" s="25" t="s">
        <v>8395</v>
      </c>
      <c r="G880" s="25" t="s">
        <v>8396</v>
      </c>
      <c r="H880" s="25" t="s">
        <v>8397</v>
      </c>
      <c r="I880" s="25" t="s">
        <v>9647</v>
      </c>
      <c r="J880" s="25" t="s">
        <v>2634</v>
      </c>
      <c r="K880" s="25" t="n">
        <v>0</v>
      </c>
      <c r="L880" s="25" t="str">
        <f aca="false">IF(K880&gt;0,"Yes","No")</f>
        <v>No</v>
      </c>
    </row>
    <row r="881" customFormat="false" ht="15" hidden="false" customHeight="false" outlineLevel="0" collapsed="false">
      <c r="A881" s="25" t="s">
        <v>9648</v>
      </c>
      <c r="B881" s="25" t="s">
        <v>8419</v>
      </c>
      <c r="C881" s="25" t="s">
        <v>8393</v>
      </c>
      <c r="D881" s="25" t="n">
        <v>9</v>
      </c>
      <c r="E881" s="25" t="s">
        <v>8394</v>
      </c>
      <c r="F881" s="25" t="s">
        <v>8395</v>
      </c>
      <c r="G881" s="25" t="s">
        <v>8396</v>
      </c>
      <c r="H881" s="25"/>
      <c r="I881" s="25" t="s">
        <v>9649</v>
      </c>
      <c r="J881" s="25" t="s">
        <v>2634</v>
      </c>
      <c r="K881" s="25" t="n">
        <v>0</v>
      </c>
      <c r="L881" s="25" t="str">
        <f aca="false">IF(K881&gt;0,"Yes","No")</f>
        <v>No</v>
      </c>
    </row>
    <row r="882" customFormat="false" ht="15" hidden="false" customHeight="false" outlineLevel="0" collapsed="false">
      <c r="A882" s="25" t="s">
        <v>9650</v>
      </c>
      <c r="B882" s="25" t="s">
        <v>8419</v>
      </c>
      <c r="C882" s="25" t="s">
        <v>8393</v>
      </c>
      <c r="D882" s="25" t="n">
        <v>9</v>
      </c>
      <c r="E882" s="25" t="s">
        <v>8394</v>
      </c>
      <c r="F882" s="25" t="s">
        <v>8395</v>
      </c>
      <c r="G882" s="25" t="s">
        <v>8396</v>
      </c>
      <c r="H882" s="25"/>
      <c r="I882" s="25" t="s">
        <v>9651</v>
      </c>
      <c r="J882" s="25" t="s">
        <v>2634</v>
      </c>
      <c r="K882" s="25" t="n">
        <v>0</v>
      </c>
      <c r="L882" s="25" t="str">
        <f aca="false">IF(K882&gt;0,"Yes","No")</f>
        <v>No</v>
      </c>
    </row>
    <row r="883" customFormat="false" ht="15" hidden="false" customHeight="false" outlineLevel="0" collapsed="false">
      <c r="A883" s="25" t="s">
        <v>9652</v>
      </c>
      <c r="B883" s="25" t="s">
        <v>8392</v>
      </c>
      <c r="C883" s="25" t="s">
        <v>8393</v>
      </c>
      <c r="D883" s="25" t="n">
        <v>9</v>
      </c>
      <c r="E883" s="25" t="s">
        <v>8394</v>
      </c>
      <c r="F883" s="25" t="s">
        <v>8395</v>
      </c>
      <c r="G883" s="25" t="s">
        <v>8398</v>
      </c>
      <c r="H883" s="25"/>
      <c r="I883" s="25" t="s">
        <v>9653</v>
      </c>
      <c r="J883" s="25" t="s">
        <v>2634</v>
      </c>
      <c r="K883" s="25" t="n">
        <v>0</v>
      </c>
      <c r="L883" s="25" t="str">
        <f aca="false">IF(K883&gt;0,"Yes","No")</f>
        <v>No</v>
      </c>
    </row>
    <row r="884" customFormat="false" ht="15" hidden="false" customHeight="false" outlineLevel="0" collapsed="false">
      <c r="A884" s="25" t="s">
        <v>9654</v>
      </c>
      <c r="B884" s="25" t="s">
        <v>8392</v>
      </c>
      <c r="C884" s="25" t="s">
        <v>8393</v>
      </c>
      <c r="D884" s="25" t="n">
        <v>9</v>
      </c>
      <c r="E884" s="25" t="s">
        <v>8394</v>
      </c>
      <c r="F884" s="25" t="s">
        <v>8395</v>
      </c>
      <c r="G884" s="25" t="s">
        <v>8396</v>
      </c>
      <c r="H884" s="25"/>
      <c r="I884" s="25" t="s">
        <v>9655</v>
      </c>
      <c r="J884" s="25" t="s">
        <v>3172</v>
      </c>
      <c r="K884" s="25" t="n">
        <v>0</v>
      </c>
      <c r="L884" s="25" t="str">
        <f aca="false">IF(K884&gt;0,"Yes","No")</f>
        <v>No</v>
      </c>
    </row>
    <row r="885" customFormat="false" ht="15" hidden="false" customHeight="false" outlineLevel="0" collapsed="false">
      <c r="A885" s="25" t="s">
        <v>9656</v>
      </c>
      <c r="B885" s="25" t="s">
        <v>8392</v>
      </c>
      <c r="C885" s="25" t="s">
        <v>8393</v>
      </c>
      <c r="D885" s="25" t="n">
        <v>9</v>
      </c>
      <c r="E885" s="25" t="s">
        <v>8394</v>
      </c>
      <c r="F885" s="25" t="s">
        <v>8395</v>
      </c>
      <c r="G885" s="25" t="s">
        <v>8396</v>
      </c>
      <c r="H885" s="25"/>
      <c r="I885" s="25" t="s">
        <v>9657</v>
      </c>
      <c r="J885" s="25" t="s">
        <v>3172</v>
      </c>
      <c r="K885" s="25" t="n">
        <v>0</v>
      </c>
      <c r="L885" s="25" t="str">
        <f aca="false">IF(K885&gt;0,"Yes","No")</f>
        <v>No</v>
      </c>
    </row>
    <row r="886" customFormat="false" ht="15" hidden="false" customHeight="false" outlineLevel="0" collapsed="false">
      <c r="A886" s="25" t="s">
        <v>9658</v>
      </c>
      <c r="B886" s="25" t="s">
        <v>8419</v>
      </c>
      <c r="C886" s="25" t="s">
        <v>8393</v>
      </c>
      <c r="D886" s="25" t="n">
        <v>9</v>
      </c>
      <c r="E886" s="25" t="s">
        <v>8394</v>
      </c>
      <c r="F886" s="25" t="s">
        <v>8395</v>
      </c>
      <c r="G886" s="25" t="s">
        <v>8396</v>
      </c>
      <c r="H886" s="25"/>
      <c r="I886" s="25" t="s">
        <v>9659</v>
      </c>
      <c r="J886" s="25" t="s">
        <v>3172</v>
      </c>
      <c r="K886" s="25" t="n">
        <v>0</v>
      </c>
      <c r="L886" s="25" t="str">
        <f aca="false">IF(K886&gt;0,"Yes","No")</f>
        <v>No</v>
      </c>
    </row>
    <row r="887" customFormat="false" ht="15" hidden="false" customHeight="false" outlineLevel="0" collapsed="false">
      <c r="A887" s="25" t="s">
        <v>9660</v>
      </c>
      <c r="B887" s="25" t="s">
        <v>8392</v>
      </c>
      <c r="C887" s="25" t="s">
        <v>8393</v>
      </c>
      <c r="D887" s="25" t="n">
        <v>9</v>
      </c>
      <c r="E887" s="25" t="s">
        <v>8394</v>
      </c>
      <c r="F887" s="25" t="s">
        <v>8395</v>
      </c>
      <c r="G887" s="25" t="s">
        <v>8396</v>
      </c>
      <c r="H887" s="25" t="s">
        <v>8397</v>
      </c>
      <c r="I887" s="25" t="s">
        <v>9661</v>
      </c>
      <c r="J887" s="25" t="s">
        <v>3172</v>
      </c>
      <c r="K887" s="25" t="n">
        <v>0</v>
      </c>
      <c r="L887" s="25" t="str">
        <f aca="false">IF(K887&gt;0,"Yes","No")</f>
        <v>No</v>
      </c>
    </row>
    <row r="888" customFormat="false" ht="15" hidden="false" customHeight="false" outlineLevel="0" collapsed="false">
      <c r="A888" s="25" t="s">
        <v>9662</v>
      </c>
      <c r="B888" s="25" t="s">
        <v>8392</v>
      </c>
      <c r="C888" s="25" t="s">
        <v>8393</v>
      </c>
      <c r="D888" s="25" t="n">
        <v>9</v>
      </c>
      <c r="E888" s="25" t="s">
        <v>8394</v>
      </c>
      <c r="F888" s="25" t="s">
        <v>8395</v>
      </c>
      <c r="G888" s="25" t="s">
        <v>8396</v>
      </c>
      <c r="H888" s="25" t="s">
        <v>8397</v>
      </c>
      <c r="I888" s="25" t="s">
        <v>9663</v>
      </c>
      <c r="J888" s="25" t="s">
        <v>4301</v>
      </c>
      <c r="K888" s="25" t="n">
        <v>0</v>
      </c>
      <c r="L888" s="25" t="str">
        <f aca="false">IF(K888&gt;0,"Yes","No")</f>
        <v>No</v>
      </c>
    </row>
    <row r="889" customFormat="false" ht="15" hidden="false" customHeight="false" outlineLevel="0" collapsed="false">
      <c r="A889" s="25" t="s">
        <v>9664</v>
      </c>
      <c r="B889" s="25" t="s">
        <v>8392</v>
      </c>
      <c r="C889" s="25" t="s">
        <v>8393</v>
      </c>
      <c r="D889" s="25" t="n">
        <v>9</v>
      </c>
      <c r="E889" s="25" t="s">
        <v>8394</v>
      </c>
      <c r="F889" s="25" t="s">
        <v>8395</v>
      </c>
      <c r="G889" s="25" t="s">
        <v>8396</v>
      </c>
      <c r="H889" s="25" t="s">
        <v>8397</v>
      </c>
      <c r="I889" s="25" t="s">
        <v>9665</v>
      </c>
      <c r="J889" s="25" t="s">
        <v>4301</v>
      </c>
      <c r="K889" s="25" t="n">
        <v>0</v>
      </c>
      <c r="L889" s="25" t="str">
        <f aca="false">IF(K889&gt;0,"Yes","No")</f>
        <v>No</v>
      </c>
    </row>
    <row r="890" customFormat="false" ht="15" hidden="false" customHeight="false" outlineLevel="0" collapsed="false">
      <c r="A890" s="25" t="s">
        <v>9666</v>
      </c>
      <c r="B890" s="25" t="s">
        <v>8392</v>
      </c>
      <c r="C890" s="25" t="s">
        <v>8393</v>
      </c>
      <c r="D890" s="25" t="n">
        <v>9</v>
      </c>
      <c r="E890" s="25" t="s">
        <v>8394</v>
      </c>
      <c r="F890" s="25" t="s">
        <v>8395</v>
      </c>
      <c r="G890" s="25" t="s">
        <v>8396</v>
      </c>
      <c r="H890" s="25" t="s">
        <v>8397</v>
      </c>
      <c r="I890" s="25" t="s">
        <v>9667</v>
      </c>
      <c r="J890" s="25" t="s">
        <v>4301</v>
      </c>
      <c r="K890" s="25" t="n">
        <v>0</v>
      </c>
      <c r="L890" s="25" t="str">
        <f aca="false">IF(K890&gt;0,"Yes","No")</f>
        <v>No</v>
      </c>
    </row>
    <row r="891" customFormat="false" ht="15" hidden="false" customHeight="false" outlineLevel="0" collapsed="false">
      <c r="A891" s="25" t="s">
        <v>9668</v>
      </c>
      <c r="B891" s="25" t="s">
        <v>8419</v>
      </c>
      <c r="C891" s="25" t="s">
        <v>8393</v>
      </c>
      <c r="D891" s="25" t="n">
        <v>9</v>
      </c>
      <c r="E891" s="25" t="s">
        <v>8394</v>
      </c>
      <c r="F891" s="25" t="s">
        <v>8395</v>
      </c>
      <c r="G891" s="25" t="s">
        <v>8396</v>
      </c>
      <c r="H891" s="25" t="s">
        <v>8397</v>
      </c>
      <c r="I891" s="25" t="s">
        <v>9669</v>
      </c>
      <c r="J891" s="25" t="s">
        <v>4301</v>
      </c>
      <c r="K891" s="25" t="n">
        <v>0</v>
      </c>
      <c r="L891" s="25" t="str">
        <f aca="false">IF(K891&gt;0,"Yes","No")</f>
        <v>No</v>
      </c>
    </row>
    <row r="892" customFormat="false" ht="15" hidden="false" customHeight="false" outlineLevel="0" collapsed="false">
      <c r="A892" s="25" t="s">
        <v>9670</v>
      </c>
      <c r="B892" s="25" t="s">
        <v>8419</v>
      </c>
      <c r="C892" s="25" t="s">
        <v>8393</v>
      </c>
      <c r="D892" s="25" t="n">
        <v>9</v>
      </c>
      <c r="E892" s="25" t="s">
        <v>8394</v>
      </c>
      <c r="F892" s="25" t="s">
        <v>8395</v>
      </c>
      <c r="G892" s="25" t="s">
        <v>8396</v>
      </c>
      <c r="H892" s="25" t="s">
        <v>8397</v>
      </c>
      <c r="I892" s="25" t="s">
        <v>9671</v>
      </c>
      <c r="J892" s="25" t="s">
        <v>4301</v>
      </c>
      <c r="K892" s="25" t="n">
        <v>0</v>
      </c>
      <c r="L892" s="25" t="str">
        <f aca="false">IF(K892&gt;0,"Yes","No")</f>
        <v>No</v>
      </c>
    </row>
    <row r="893" customFormat="false" ht="15" hidden="false" customHeight="false" outlineLevel="0" collapsed="false">
      <c r="A893" s="25" t="s">
        <v>9672</v>
      </c>
      <c r="B893" s="25" t="s">
        <v>8419</v>
      </c>
      <c r="C893" s="25" t="s">
        <v>8393</v>
      </c>
      <c r="D893" s="25" t="n">
        <v>9</v>
      </c>
      <c r="E893" s="25" t="s">
        <v>8394</v>
      </c>
      <c r="F893" s="25" t="s">
        <v>8395</v>
      </c>
      <c r="G893" s="25" t="s">
        <v>8396</v>
      </c>
      <c r="H893" s="25" t="s">
        <v>8397</v>
      </c>
      <c r="I893" s="25" t="s">
        <v>9673</v>
      </c>
      <c r="J893" s="25" t="s">
        <v>4301</v>
      </c>
      <c r="K893" s="25" t="n">
        <v>0</v>
      </c>
      <c r="L893" s="25" t="str">
        <f aca="false">IF(K893&gt;0,"Yes","No")</f>
        <v>No</v>
      </c>
    </row>
    <row r="894" customFormat="false" ht="15" hidden="false" customHeight="false" outlineLevel="0" collapsed="false">
      <c r="A894" s="25" t="s">
        <v>9674</v>
      </c>
      <c r="B894" s="25" t="s">
        <v>8419</v>
      </c>
      <c r="C894" s="25" t="s">
        <v>8393</v>
      </c>
      <c r="D894" s="25" t="n">
        <v>9</v>
      </c>
      <c r="E894" s="25" t="s">
        <v>8394</v>
      </c>
      <c r="F894" s="25" t="s">
        <v>8395</v>
      </c>
      <c r="G894" s="25" t="s">
        <v>8396</v>
      </c>
      <c r="H894" s="25" t="s">
        <v>8399</v>
      </c>
      <c r="I894" s="25" t="s">
        <v>9675</v>
      </c>
      <c r="J894" s="25" t="s">
        <v>9676</v>
      </c>
      <c r="K894" s="25" t="n">
        <v>0</v>
      </c>
      <c r="L894" s="25" t="str">
        <f aca="false">IF(K894&gt;0,"Yes","No")</f>
        <v>No</v>
      </c>
    </row>
    <row r="895" customFormat="false" ht="15" hidden="false" customHeight="false" outlineLevel="0" collapsed="false">
      <c r="A895" s="25" t="s">
        <v>9677</v>
      </c>
      <c r="B895" s="25" t="s">
        <v>8419</v>
      </c>
      <c r="C895" s="25" t="s">
        <v>8393</v>
      </c>
      <c r="D895" s="25" t="n">
        <v>9</v>
      </c>
      <c r="E895" s="25" t="s">
        <v>8394</v>
      </c>
      <c r="F895" s="25" t="s">
        <v>8395</v>
      </c>
      <c r="G895" s="25" t="s">
        <v>8396</v>
      </c>
      <c r="H895" s="25" t="s">
        <v>8403</v>
      </c>
      <c r="I895" s="25" t="s">
        <v>9678</v>
      </c>
      <c r="J895" s="25" t="s">
        <v>9679</v>
      </c>
      <c r="K895" s="25" t="n">
        <v>0</v>
      </c>
      <c r="L895" s="25" t="str">
        <f aca="false">IF(K895&gt;0,"Yes","No")</f>
        <v>No</v>
      </c>
    </row>
    <row r="896" customFormat="false" ht="15" hidden="false" customHeight="false" outlineLevel="0" collapsed="false">
      <c r="A896" s="25" t="s">
        <v>9680</v>
      </c>
      <c r="B896" s="25" t="s">
        <v>8419</v>
      </c>
      <c r="C896" s="25" t="s">
        <v>8393</v>
      </c>
      <c r="D896" s="25" t="n">
        <v>9</v>
      </c>
      <c r="E896" s="25" t="s">
        <v>8394</v>
      </c>
      <c r="F896" s="25" t="s">
        <v>8395</v>
      </c>
      <c r="G896" s="25" t="s">
        <v>8396</v>
      </c>
      <c r="H896" s="25" t="s">
        <v>8403</v>
      </c>
      <c r="I896" s="25" t="s">
        <v>9681</v>
      </c>
      <c r="J896" s="25" t="s">
        <v>9679</v>
      </c>
      <c r="K896" s="25" t="n">
        <v>0</v>
      </c>
      <c r="L896" s="25" t="str">
        <f aca="false">IF(K896&gt;0,"Yes","No")</f>
        <v>No</v>
      </c>
    </row>
    <row r="897" customFormat="false" ht="15" hidden="false" customHeight="false" outlineLevel="0" collapsed="false">
      <c r="A897" s="25" t="s">
        <v>9682</v>
      </c>
      <c r="B897" s="25" t="s">
        <v>8419</v>
      </c>
      <c r="C897" s="25" t="s">
        <v>8393</v>
      </c>
      <c r="D897" s="25" t="n">
        <v>9</v>
      </c>
      <c r="E897" s="25" t="s">
        <v>8394</v>
      </c>
      <c r="F897" s="25" t="s">
        <v>8395</v>
      </c>
      <c r="G897" s="25" t="s">
        <v>8396</v>
      </c>
      <c r="H897" s="25" t="s">
        <v>8403</v>
      </c>
      <c r="I897" s="25" t="s">
        <v>9683</v>
      </c>
      <c r="J897" s="25" t="s">
        <v>9679</v>
      </c>
      <c r="K897" s="25" t="n">
        <v>0</v>
      </c>
      <c r="L897" s="25" t="str">
        <f aca="false">IF(K897&gt;0,"Yes","No")</f>
        <v>No</v>
      </c>
    </row>
    <row r="898" customFormat="false" ht="15" hidden="false" customHeight="false" outlineLevel="0" collapsed="false">
      <c r="A898" s="25" t="s">
        <v>9684</v>
      </c>
      <c r="B898" s="25" t="s">
        <v>8419</v>
      </c>
      <c r="C898" s="25" t="s">
        <v>8393</v>
      </c>
      <c r="D898" s="25" t="n">
        <v>9</v>
      </c>
      <c r="E898" s="25" t="s">
        <v>8394</v>
      </c>
      <c r="F898" s="25" t="s">
        <v>8395</v>
      </c>
      <c r="G898" s="25" t="s">
        <v>8396</v>
      </c>
      <c r="H898" s="25" t="s">
        <v>8403</v>
      </c>
      <c r="I898" s="25" t="s">
        <v>9685</v>
      </c>
      <c r="J898" s="25" t="s">
        <v>9679</v>
      </c>
      <c r="K898" s="25" t="n">
        <v>0</v>
      </c>
      <c r="L898" s="25" t="str">
        <f aca="false">IF(K898&gt;0,"Yes","No")</f>
        <v>No</v>
      </c>
    </row>
    <row r="899" customFormat="false" ht="15" hidden="false" customHeight="false" outlineLevel="0" collapsed="false">
      <c r="A899" s="25" t="s">
        <v>9686</v>
      </c>
      <c r="B899" s="25" t="s">
        <v>8419</v>
      </c>
      <c r="C899" s="25" t="s">
        <v>8393</v>
      </c>
      <c r="D899" s="25" t="n">
        <v>9</v>
      </c>
      <c r="E899" s="25" t="s">
        <v>8394</v>
      </c>
      <c r="F899" s="25" t="s">
        <v>8395</v>
      </c>
      <c r="G899" s="25" t="s">
        <v>8396</v>
      </c>
      <c r="H899" s="25" t="s">
        <v>8403</v>
      </c>
      <c r="I899" s="25" t="s">
        <v>9687</v>
      </c>
      <c r="J899" s="25" t="s">
        <v>9679</v>
      </c>
      <c r="K899" s="25" t="n">
        <v>0</v>
      </c>
      <c r="L899" s="25" t="str">
        <f aca="false">IF(K899&gt;0,"Yes","No")</f>
        <v>No</v>
      </c>
    </row>
    <row r="900" customFormat="false" ht="15" hidden="false" customHeight="false" outlineLevel="0" collapsed="false">
      <c r="A900" s="25" t="s">
        <v>9688</v>
      </c>
      <c r="B900" s="25" t="s">
        <v>8392</v>
      </c>
      <c r="C900" s="25" t="s">
        <v>8393</v>
      </c>
      <c r="D900" s="25" t="n">
        <v>9</v>
      </c>
      <c r="E900" s="25" t="s">
        <v>8394</v>
      </c>
      <c r="F900" s="25" t="s">
        <v>8395</v>
      </c>
      <c r="G900" s="25" t="s">
        <v>8396</v>
      </c>
      <c r="H900" s="25" t="s">
        <v>8397</v>
      </c>
      <c r="I900" s="25" t="s">
        <v>9689</v>
      </c>
      <c r="J900" s="25" t="s">
        <v>9690</v>
      </c>
      <c r="K900" s="25" t="n">
        <v>0</v>
      </c>
      <c r="L900" s="25" t="str">
        <f aca="false">IF(K900&gt;0,"Yes","No")</f>
        <v>No</v>
      </c>
    </row>
    <row r="901" customFormat="false" ht="15" hidden="false" customHeight="false" outlineLevel="0" collapsed="false">
      <c r="A901" s="25" t="s">
        <v>9691</v>
      </c>
      <c r="B901" s="25" t="s">
        <v>8392</v>
      </c>
      <c r="C901" s="25" t="s">
        <v>8393</v>
      </c>
      <c r="D901" s="25" t="n">
        <v>9</v>
      </c>
      <c r="E901" s="25" t="s">
        <v>8394</v>
      </c>
      <c r="F901" s="25" t="s">
        <v>8395</v>
      </c>
      <c r="G901" s="25" t="s">
        <v>8396</v>
      </c>
      <c r="H901" s="25"/>
      <c r="I901" s="25" t="s">
        <v>9692</v>
      </c>
      <c r="J901" s="25" t="s">
        <v>9693</v>
      </c>
      <c r="K901" s="25" t="n">
        <v>0</v>
      </c>
      <c r="L901" s="25" t="str">
        <f aca="false">IF(K901&gt;0,"Yes","No")</f>
        <v>No</v>
      </c>
    </row>
    <row r="902" customFormat="false" ht="15" hidden="false" customHeight="false" outlineLevel="0" collapsed="false">
      <c r="A902" s="25" t="s">
        <v>9694</v>
      </c>
      <c r="B902" s="25" t="s">
        <v>8392</v>
      </c>
      <c r="C902" s="25" t="s">
        <v>8393</v>
      </c>
      <c r="D902" s="25" t="n">
        <v>9</v>
      </c>
      <c r="E902" s="25" t="s">
        <v>8394</v>
      </c>
      <c r="F902" s="25" t="s">
        <v>8395</v>
      </c>
      <c r="G902" s="25" t="s">
        <v>8398</v>
      </c>
      <c r="H902" s="25"/>
      <c r="I902" s="25" t="s">
        <v>9695</v>
      </c>
      <c r="J902" s="25" t="s">
        <v>9696</v>
      </c>
      <c r="K902" s="25" t="n">
        <v>0</v>
      </c>
      <c r="L902" s="25" t="str">
        <f aca="false">IF(K902&gt;0,"Yes","No")</f>
        <v>No</v>
      </c>
    </row>
    <row r="903" customFormat="false" ht="15" hidden="false" customHeight="false" outlineLevel="0" collapsed="false">
      <c r="A903" s="25" t="s">
        <v>9697</v>
      </c>
      <c r="B903" s="25" t="s">
        <v>8392</v>
      </c>
      <c r="C903" s="25" t="s">
        <v>8393</v>
      </c>
      <c r="D903" s="25" t="n">
        <v>9</v>
      </c>
      <c r="E903" s="25" t="s">
        <v>8394</v>
      </c>
      <c r="F903" s="25" t="s">
        <v>8395</v>
      </c>
      <c r="G903" s="25" t="s">
        <v>8398</v>
      </c>
      <c r="H903" s="25"/>
      <c r="I903" s="25" t="s">
        <v>9698</v>
      </c>
      <c r="J903" s="25" t="s">
        <v>9696</v>
      </c>
      <c r="K903" s="25" t="n">
        <v>0</v>
      </c>
      <c r="L903" s="25" t="str">
        <f aca="false">IF(K903&gt;0,"Yes","No")</f>
        <v>No</v>
      </c>
    </row>
    <row r="904" customFormat="false" ht="15" hidden="false" customHeight="false" outlineLevel="0" collapsed="false">
      <c r="A904" s="25" t="s">
        <v>9699</v>
      </c>
      <c r="B904" s="25" t="s">
        <v>8392</v>
      </c>
      <c r="C904" s="25" t="s">
        <v>8393</v>
      </c>
      <c r="D904" s="25" t="n">
        <v>9</v>
      </c>
      <c r="E904" s="25" t="s">
        <v>8394</v>
      </c>
      <c r="F904" s="25" t="s">
        <v>8395</v>
      </c>
      <c r="G904" s="25" t="s">
        <v>8398</v>
      </c>
      <c r="H904" s="25"/>
      <c r="I904" s="25" t="s">
        <v>9700</v>
      </c>
      <c r="J904" s="25" t="s">
        <v>9701</v>
      </c>
      <c r="K904" s="25" t="n">
        <v>0</v>
      </c>
      <c r="L904" s="25" t="str">
        <f aca="false">IF(K904&gt;0,"Yes","No")</f>
        <v>No</v>
      </c>
    </row>
    <row r="905" customFormat="false" ht="15" hidden="false" customHeight="false" outlineLevel="0" collapsed="false">
      <c r="A905" s="25" t="s">
        <v>9702</v>
      </c>
      <c r="B905" s="25" t="s">
        <v>8419</v>
      </c>
      <c r="C905" s="25" t="s">
        <v>8393</v>
      </c>
      <c r="D905" s="25" t="n">
        <v>9</v>
      </c>
      <c r="E905" s="25" t="s">
        <v>8394</v>
      </c>
      <c r="F905" s="25" t="s">
        <v>8395</v>
      </c>
      <c r="G905" s="25" t="s">
        <v>8396</v>
      </c>
      <c r="H905" s="25"/>
      <c r="I905" s="25" t="s">
        <v>9703</v>
      </c>
      <c r="J905" s="25" t="s">
        <v>452</v>
      </c>
      <c r="K905" s="25" t="n">
        <v>0</v>
      </c>
      <c r="L905" s="25" t="str">
        <f aca="false">IF(K905&gt;0,"Yes","No")</f>
        <v>No</v>
      </c>
    </row>
    <row r="906" customFormat="false" ht="15" hidden="false" customHeight="false" outlineLevel="0" collapsed="false">
      <c r="A906" s="25" t="s">
        <v>9704</v>
      </c>
      <c r="B906" s="25" t="s">
        <v>8419</v>
      </c>
      <c r="C906" s="25" t="s">
        <v>8393</v>
      </c>
      <c r="D906" s="25" t="n">
        <v>9</v>
      </c>
      <c r="E906" s="25" t="s">
        <v>8394</v>
      </c>
      <c r="F906" s="25" t="s">
        <v>8395</v>
      </c>
      <c r="G906" s="25" t="s">
        <v>8396</v>
      </c>
      <c r="H906" s="25" t="s">
        <v>8399</v>
      </c>
      <c r="I906" s="25" t="s">
        <v>9705</v>
      </c>
      <c r="J906" s="25" t="s">
        <v>9706</v>
      </c>
      <c r="K906" s="25" t="n">
        <v>0</v>
      </c>
      <c r="L906" s="25" t="str">
        <f aca="false">IF(K906&gt;0,"Yes","No")</f>
        <v>No</v>
      </c>
    </row>
    <row r="907" customFormat="false" ht="15" hidden="false" customHeight="false" outlineLevel="0" collapsed="false">
      <c r="A907" s="25" t="s">
        <v>9707</v>
      </c>
      <c r="B907" s="25" t="s">
        <v>8419</v>
      </c>
      <c r="C907" s="25" t="s">
        <v>8393</v>
      </c>
      <c r="D907" s="25" t="n">
        <v>9</v>
      </c>
      <c r="E907" s="25" t="s">
        <v>8394</v>
      </c>
      <c r="F907" s="25" t="s">
        <v>8395</v>
      </c>
      <c r="G907" s="25" t="s">
        <v>8396</v>
      </c>
      <c r="H907" s="25" t="s">
        <v>8399</v>
      </c>
      <c r="I907" s="25" t="s">
        <v>9463</v>
      </c>
      <c r="J907" s="25" t="s">
        <v>9706</v>
      </c>
      <c r="K907" s="25" t="n">
        <v>0</v>
      </c>
      <c r="L907" s="25" t="str">
        <f aca="false">IF(K907&gt;0,"Yes","No")</f>
        <v>No</v>
      </c>
    </row>
    <row r="908" customFormat="false" ht="15" hidden="false" customHeight="false" outlineLevel="0" collapsed="false">
      <c r="A908" s="25" t="s">
        <v>9708</v>
      </c>
      <c r="B908" s="25" t="s">
        <v>8419</v>
      </c>
      <c r="C908" s="25" t="s">
        <v>8393</v>
      </c>
      <c r="D908" s="25" t="n">
        <v>9</v>
      </c>
      <c r="E908" s="25" t="s">
        <v>8394</v>
      </c>
      <c r="F908" s="25" t="s">
        <v>8395</v>
      </c>
      <c r="G908" s="25" t="s">
        <v>8396</v>
      </c>
      <c r="H908" s="25" t="s">
        <v>8399</v>
      </c>
      <c r="I908" s="25" t="s">
        <v>9709</v>
      </c>
      <c r="J908" s="25" t="s">
        <v>9706</v>
      </c>
      <c r="K908" s="25" t="n">
        <v>0</v>
      </c>
      <c r="L908" s="25" t="str">
        <f aca="false">IF(K908&gt;0,"Yes","No")</f>
        <v>No</v>
      </c>
    </row>
    <row r="909" customFormat="false" ht="15" hidden="false" customHeight="false" outlineLevel="0" collapsed="false">
      <c r="A909" s="25" t="s">
        <v>9710</v>
      </c>
      <c r="B909" s="25" t="s">
        <v>8392</v>
      </c>
      <c r="C909" s="25" t="s">
        <v>8393</v>
      </c>
      <c r="D909" s="25" t="n">
        <v>9</v>
      </c>
      <c r="E909" s="25" t="s">
        <v>8394</v>
      </c>
      <c r="F909" s="25" t="s">
        <v>8395</v>
      </c>
      <c r="G909" s="25" t="s">
        <v>8396</v>
      </c>
      <c r="H909" s="25"/>
      <c r="I909" s="25" t="s">
        <v>9711</v>
      </c>
      <c r="J909" s="25" t="s">
        <v>9712</v>
      </c>
      <c r="K909" s="25" t="n">
        <v>0</v>
      </c>
      <c r="L909" s="25" t="str">
        <f aca="false">IF(K909&gt;0,"Yes","No")</f>
        <v>No</v>
      </c>
    </row>
    <row r="910" customFormat="false" ht="15" hidden="false" customHeight="false" outlineLevel="0" collapsed="false">
      <c r="A910" s="25" t="s">
        <v>9713</v>
      </c>
      <c r="B910" s="25" t="s">
        <v>8392</v>
      </c>
      <c r="C910" s="25" t="s">
        <v>8393</v>
      </c>
      <c r="D910" s="25" t="n">
        <v>9</v>
      </c>
      <c r="E910" s="25" t="s">
        <v>8394</v>
      </c>
      <c r="F910" s="25" t="s">
        <v>8395</v>
      </c>
      <c r="G910" s="25" t="s">
        <v>8396</v>
      </c>
      <c r="H910" s="25"/>
      <c r="I910" s="25" t="s">
        <v>9714</v>
      </c>
      <c r="J910" s="25" t="s">
        <v>9712</v>
      </c>
      <c r="K910" s="25" t="n">
        <v>0</v>
      </c>
      <c r="L910" s="25" t="str">
        <f aca="false">IF(K910&gt;0,"Yes","No")</f>
        <v>No</v>
      </c>
    </row>
    <row r="911" customFormat="false" ht="15" hidden="false" customHeight="false" outlineLevel="0" collapsed="false">
      <c r="A911" s="25" t="s">
        <v>8342</v>
      </c>
      <c r="B911" s="25" t="s">
        <v>8392</v>
      </c>
      <c r="C911" s="25" t="s">
        <v>8393</v>
      </c>
      <c r="D911" s="25" t="n">
        <v>9</v>
      </c>
      <c r="E911" s="25" t="s">
        <v>8394</v>
      </c>
      <c r="F911" s="25" t="s">
        <v>8395</v>
      </c>
      <c r="G911" s="25" t="s">
        <v>8396</v>
      </c>
      <c r="H911" s="25" t="s">
        <v>8399</v>
      </c>
      <c r="I911" s="25" t="s">
        <v>8343</v>
      </c>
      <c r="J911" s="25" t="s">
        <v>341</v>
      </c>
      <c r="K911" s="25" t="n">
        <v>0</v>
      </c>
      <c r="L911" s="25" t="str">
        <f aca="false">IF(K911&gt;0,"Yes","No")</f>
        <v>No</v>
      </c>
    </row>
    <row r="912" customFormat="false" ht="15" hidden="false" customHeight="false" outlineLevel="0" collapsed="false">
      <c r="A912" s="25" t="s">
        <v>9715</v>
      </c>
      <c r="B912" s="25" t="s">
        <v>8392</v>
      </c>
      <c r="C912" s="25" t="s">
        <v>8393</v>
      </c>
      <c r="D912" s="25" t="n">
        <v>9</v>
      </c>
      <c r="E912" s="25" t="s">
        <v>8394</v>
      </c>
      <c r="F912" s="25" t="s">
        <v>8395</v>
      </c>
      <c r="G912" s="25" t="s">
        <v>8396</v>
      </c>
      <c r="H912" s="25" t="s">
        <v>8397</v>
      </c>
      <c r="I912" s="25" t="s">
        <v>9716</v>
      </c>
      <c r="J912" s="25" t="s">
        <v>2259</v>
      </c>
      <c r="K912" s="25" t="n">
        <v>0</v>
      </c>
      <c r="L912" s="25" t="str">
        <f aca="false">IF(K912&gt;0,"Yes","No")</f>
        <v>No</v>
      </c>
    </row>
    <row r="913" customFormat="false" ht="15" hidden="false" customHeight="false" outlineLevel="0" collapsed="false">
      <c r="A913" s="25" t="s">
        <v>9717</v>
      </c>
      <c r="B913" s="25" t="s">
        <v>8419</v>
      </c>
      <c r="C913" s="25" t="s">
        <v>8393</v>
      </c>
      <c r="D913" s="25" t="n">
        <v>9</v>
      </c>
      <c r="E913" s="25" t="s">
        <v>8394</v>
      </c>
      <c r="F913" s="25" t="s">
        <v>8395</v>
      </c>
      <c r="G913" s="25" t="s">
        <v>8396</v>
      </c>
      <c r="H913" s="25" t="s">
        <v>8397</v>
      </c>
      <c r="I913" s="25" t="s">
        <v>9718</v>
      </c>
      <c r="J913" s="25" t="s">
        <v>2259</v>
      </c>
      <c r="K913" s="25" t="n">
        <v>0</v>
      </c>
      <c r="L913" s="25" t="str">
        <f aca="false">IF(K913&gt;0,"Yes","No")</f>
        <v>No</v>
      </c>
    </row>
    <row r="914" customFormat="false" ht="15" hidden="false" customHeight="false" outlineLevel="0" collapsed="false">
      <c r="A914" s="25" t="s">
        <v>9719</v>
      </c>
      <c r="B914" s="25" t="s">
        <v>8419</v>
      </c>
      <c r="C914" s="25" t="s">
        <v>8393</v>
      </c>
      <c r="D914" s="25" t="n">
        <v>9</v>
      </c>
      <c r="E914" s="25" t="s">
        <v>8394</v>
      </c>
      <c r="F914" s="25" t="s">
        <v>8395</v>
      </c>
      <c r="G914" s="25" t="s">
        <v>8396</v>
      </c>
      <c r="H914" s="25" t="s">
        <v>8397</v>
      </c>
      <c r="I914" s="25" t="s">
        <v>9720</v>
      </c>
      <c r="J914" s="25" t="s">
        <v>2259</v>
      </c>
      <c r="K914" s="25" t="n">
        <v>0</v>
      </c>
      <c r="L914" s="25" t="str">
        <f aca="false">IF(K914&gt;0,"Yes","No")</f>
        <v>No</v>
      </c>
    </row>
    <row r="915" customFormat="false" ht="15" hidden="false" customHeight="false" outlineLevel="0" collapsed="false">
      <c r="A915" s="25" t="s">
        <v>9721</v>
      </c>
      <c r="B915" s="25" t="s">
        <v>8419</v>
      </c>
      <c r="C915" s="25" t="s">
        <v>8393</v>
      </c>
      <c r="D915" s="25" t="n">
        <v>9</v>
      </c>
      <c r="E915" s="25" t="s">
        <v>8394</v>
      </c>
      <c r="F915" s="25" t="s">
        <v>8395</v>
      </c>
      <c r="G915" s="25" t="s">
        <v>8396</v>
      </c>
      <c r="H915" s="25" t="s">
        <v>8397</v>
      </c>
      <c r="I915" s="25" t="s">
        <v>9722</v>
      </c>
      <c r="J915" s="25" t="s">
        <v>2259</v>
      </c>
      <c r="K915" s="25" t="n">
        <v>0</v>
      </c>
      <c r="L915" s="25" t="str">
        <f aca="false">IF(K915&gt;0,"Yes","No")</f>
        <v>No</v>
      </c>
    </row>
    <row r="916" customFormat="false" ht="15" hidden="false" customHeight="false" outlineLevel="0" collapsed="false">
      <c r="A916" s="25" t="s">
        <v>9723</v>
      </c>
      <c r="B916" s="25" t="s">
        <v>8419</v>
      </c>
      <c r="C916" s="25" t="s">
        <v>8393</v>
      </c>
      <c r="D916" s="25" t="n">
        <v>9</v>
      </c>
      <c r="E916" s="25" t="s">
        <v>8394</v>
      </c>
      <c r="F916" s="25" t="s">
        <v>8395</v>
      </c>
      <c r="G916" s="25" t="s">
        <v>8396</v>
      </c>
      <c r="H916" s="25" t="s">
        <v>8397</v>
      </c>
      <c r="I916" s="25" t="s">
        <v>9724</v>
      </c>
      <c r="J916" s="25" t="s">
        <v>2259</v>
      </c>
      <c r="K916" s="25" t="n">
        <v>0</v>
      </c>
      <c r="L916" s="25" t="str">
        <f aca="false">IF(K916&gt;0,"Yes","No")</f>
        <v>No</v>
      </c>
    </row>
    <row r="917" customFormat="false" ht="15" hidden="false" customHeight="false" outlineLevel="0" collapsed="false">
      <c r="A917" s="25" t="s">
        <v>9725</v>
      </c>
      <c r="B917" s="25" t="s">
        <v>8419</v>
      </c>
      <c r="C917" s="25" t="s">
        <v>8393</v>
      </c>
      <c r="D917" s="25" t="n">
        <v>9</v>
      </c>
      <c r="E917" s="25" t="s">
        <v>8394</v>
      </c>
      <c r="F917" s="25" t="s">
        <v>8395</v>
      </c>
      <c r="G917" s="25" t="s">
        <v>8396</v>
      </c>
      <c r="H917" s="25" t="s">
        <v>8397</v>
      </c>
      <c r="I917" s="25" t="s">
        <v>9726</v>
      </c>
      <c r="J917" s="25" t="s">
        <v>2259</v>
      </c>
      <c r="K917" s="25" t="n">
        <v>0</v>
      </c>
      <c r="L917" s="25" t="str">
        <f aca="false">IF(K917&gt;0,"Yes","No")</f>
        <v>No</v>
      </c>
    </row>
    <row r="918" customFormat="false" ht="15" hidden="false" customHeight="false" outlineLevel="0" collapsed="false">
      <c r="A918" s="25" t="s">
        <v>9727</v>
      </c>
      <c r="B918" s="25" t="s">
        <v>8419</v>
      </c>
      <c r="C918" s="25" t="s">
        <v>8393</v>
      </c>
      <c r="D918" s="25" t="n">
        <v>9</v>
      </c>
      <c r="E918" s="25" t="s">
        <v>8394</v>
      </c>
      <c r="F918" s="25" t="s">
        <v>8395</v>
      </c>
      <c r="G918" s="25" t="s">
        <v>8396</v>
      </c>
      <c r="H918" s="25" t="s">
        <v>8397</v>
      </c>
      <c r="I918" s="25" t="s">
        <v>9728</v>
      </c>
      <c r="J918" s="25" t="s">
        <v>2259</v>
      </c>
      <c r="K918" s="25" t="n">
        <v>0</v>
      </c>
      <c r="L918" s="25" t="str">
        <f aca="false">IF(K918&gt;0,"Yes","No")</f>
        <v>No</v>
      </c>
    </row>
    <row r="919" customFormat="false" ht="15" hidden="false" customHeight="false" outlineLevel="0" collapsed="false">
      <c r="A919" s="25" t="s">
        <v>9729</v>
      </c>
      <c r="B919" s="25" t="s">
        <v>8419</v>
      </c>
      <c r="C919" s="25" t="s">
        <v>8393</v>
      </c>
      <c r="D919" s="25" t="n">
        <v>9</v>
      </c>
      <c r="E919" s="25" t="s">
        <v>8394</v>
      </c>
      <c r="F919" s="25" t="s">
        <v>8395</v>
      </c>
      <c r="G919" s="25" t="s">
        <v>8396</v>
      </c>
      <c r="H919" s="25" t="s">
        <v>8397</v>
      </c>
      <c r="I919" s="25" t="s">
        <v>9730</v>
      </c>
      <c r="J919" s="25" t="s">
        <v>2259</v>
      </c>
      <c r="K919" s="25" t="n">
        <v>0</v>
      </c>
      <c r="L919" s="25" t="str">
        <f aca="false">IF(K919&gt;0,"Yes","No")</f>
        <v>No</v>
      </c>
    </row>
    <row r="920" customFormat="false" ht="15" hidden="false" customHeight="false" outlineLevel="0" collapsed="false">
      <c r="A920" s="25" t="s">
        <v>9731</v>
      </c>
      <c r="B920" s="25" t="s">
        <v>8419</v>
      </c>
      <c r="C920" s="25" t="s">
        <v>8393</v>
      </c>
      <c r="D920" s="25" t="n">
        <v>9</v>
      </c>
      <c r="E920" s="25" t="s">
        <v>8394</v>
      </c>
      <c r="F920" s="25" t="s">
        <v>8395</v>
      </c>
      <c r="G920" s="25" t="s">
        <v>8396</v>
      </c>
      <c r="H920" s="25" t="s">
        <v>8397</v>
      </c>
      <c r="I920" s="25" t="s">
        <v>9732</v>
      </c>
      <c r="J920" s="25" t="s">
        <v>2259</v>
      </c>
      <c r="K920" s="25" t="n">
        <v>0</v>
      </c>
      <c r="L920" s="25" t="str">
        <f aca="false">IF(K920&gt;0,"Yes","No")</f>
        <v>No</v>
      </c>
    </row>
    <row r="921" customFormat="false" ht="15" hidden="false" customHeight="false" outlineLevel="0" collapsed="false">
      <c r="A921" s="25" t="s">
        <v>9733</v>
      </c>
      <c r="B921" s="25" t="s">
        <v>8419</v>
      </c>
      <c r="C921" s="25" t="s">
        <v>8393</v>
      </c>
      <c r="D921" s="25" t="n">
        <v>9</v>
      </c>
      <c r="E921" s="25" t="s">
        <v>8394</v>
      </c>
      <c r="F921" s="25" t="s">
        <v>8395</v>
      </c>
      <c r="G921" s="25" t="s">
        <v>8396</v>
      </c>
      <c r="H921" s="25" t="s">
        <v>8397</v>
      </c>
      <c r="I921" s="25" t="s">
        <v>9734</v>
      </c>
      <c r="J921" s="25" t="s">
        <v>4073</v>
      </c>
      <c r="K921" s="25" t="n">
        <v>0</v>
      </c>
      <c r="L921" s="25" t="str">
        <f aca="false">IF(K921&gt;0,"Yes","No")</f>
        <v>No</v>
      </c>
    </row>
    <row r="922" customFormat="false" ht="15" hidden="false" customHeight="false" outlineLevel="0" collapsed="false">
      <c r="A922" s="25" t="s">
        <v>9735</v>
      </c>
      <c r="B922" s="25" t="s">
        <v>8419</v>
      </c>
      <c r="C922" s="25" t="s">
        <v>8393</v>
      </c>
      <c r="D922" s="25" t="n">
        <v>9</v>
      </c>
      <c r="E922" s="25" t="s">
        <v>8394</v>
      </c>
      <c r="F922" s="25" t="s">
        <v>8395</v>
      </c>
      <c r="G922" s="25" t="s">
        <v>8396</v>
      </c>
      <c r="H922" s="25" t="s">
        <v>8397</v>
      </c>
      <c r="I922" s="25" t="s">
        <v>9736</v>
      </c>
      <c r="J922" s="25" t="s">
        <v>4073</v>
      </c>
      <c r="K922" s="25" t="n">
        <v>0</v>
      </c>
      <c r="L922" s="25" t="str">
        <f aca="false">IF(K922&gt;0,"Yes","No")</f>
        <v>No</v>
      </c>
    </row>
    <row r="923" customFormat="false" ht="15" hidden="false" customHeight="false" outlineLevel="0" collapsed="false">
      <c r="A923" s="25" t="s">
        <v>8297</v>
      </c>
      <c r="B923" s="25" t="s">
        <v>8392</v>
      </c>
      <c r="C923" s="25" t="s">
        <v>8393</v>
      </c>
      <c r="D923" s="25" t="n">
        <v>9</v>
      </c>
      <c r="E923" s="25" t="s">
        <v>8394</v>
      </c>
      <c r="F923" s="25" t="s">
        <v>8395</v>
      </c>
      <c r="G923" s="25" t="s">
        <v>8398</v>
      </c>
      <c r="H923" s="25"/>
      <c r="I923" s="25" t="s">
        <v>5428</v>
      </c>
      <c r="J923" s="25" t="s">
        <v>4073</v>
      </c>
      <c r="K923" s="25" t="n">
        <v>0</v>
      </c>
      <c r="L923" s="25" t="str">
        <f aca="false">IF(K923&gt;0,"Yes","No")</f>
        <v>No</v>
      </c>
    </row>
    <row r="924" customFormat="false" ht="15" hidden="false" customHeight="false" outlineLevel="0" collapsed="false">
      <c r="A924" s="25" t="s">
        <v>9737</v>
      </c>
      <c r="B924" s="25" t="s">
        <v>8419</v>
      </c>
      <c r="C924" s="25" t="s">
        <v>8393</v>
      </c>
      <c r="D924" s="25" t="n">
        <v>9</v>
      </c>
      <c r="E924" s="25" t="s">
        <v>8394</v>
      </c>
      <c r="F924" s="25" t="s">
        <v>8395</v>
      </c>
      <c r="G924" s="25" t="s">
        <v>8396</v>
      </c>
      <c r="H924" s="25" t="s">
        <v>8399</v>
      </c>
      <c r="I924" s="25" t="s">
        <v>9738</v>
      </c>
      <c r="J924" s="25" t="s">
        <v>1332</v>
      </c>
      <c r="K924" s="25" t="n">
        <v>0</v>
      </c>
      <c r="L924" s="25" t="str">
        <f aca="false">IF(K924&gt;0,"Yes","No")</f>
        <v>No</v>
      </c>
    </row>
    <row r="925" customFormat="false" ht="15" hidden="false" customHeight="false" outlineLevel="0" collapsed="false">
      <c r="A925" s="25" t="s">
        <v>9739</v>
      </c>
      <c r="B925" s="25" t="s">
        <v>8419</v>
      </c>
      <c r="C925" s="25" t="s">
        <v>8393</v>
      </c>
      <c r="D925" s="25" t="n">
        <v>9</v>
      </c>
      <c r="E925" s="25" t="s">
        <v>8394</v>
      </c>
      <c r="F925" s="25" t="s">
        <v>8395</v>
      </c>
      <c r="G925" s="25" t="s">
        <v>8396</v>
      </c>
      <c r="H925" s="25" t="s">
        <v>8399</v>
      </c>
      <c r="I925" s="25" t="s">
        <v>9740</v>
      </c>
      <c r="J925" s="25" t="s">
        <v>1332</v>
      </c>
      <c r="K925" s="25" t="n">
        <v>0</v>
      </c>
      <c r="L925" s="25" t="str">
        <f aca="false">IF(K925&gt;0,"Yes","No")</f>
        <v>No</v>
      </c>
    </row>
    <row r="926" customFormat="false" ht="15" hidden="false" customHeight="false" outlineLevel="0" collapsed="false">
      <c r="A926" s="25" t="s">
        <v>9741</v>
      </c>
      <c r="B926" s="25" t="s">
        <v>8419</v>
      </c>
      <c r="C926" s="25" t="s">
        <v>8393</v>
      </c>
      <c r="D926" s="25" t="n">
        <v>9</v>
      </c>
      <c r="E926" s="25" t="s">
        <v>8394</v>
      </c>
      <c r="F926" s="25" t="s">
        <v>8395</v>
      </c>
      <c r="G926" s="25" t="s">
        <v>8396</v>
      </c>
      <c r="H926" s="25" t="s">
        <v>8399</v>
      </c>
      <c r="I926" s="25" t="s">
        <v>9742</v>
      </c>
      <c r="J926" s="25" t="s">
        <v>1332</v>
      </c>
      <c r="K926" s="25" t="n">
        <v>0</v>
      </c>
      <c r="L926" s="25" t="str">
        <f aca="false">IF(K926&gt;0,"Yes","No")</f>
        <v>No</v>
      </c>
    </row>
    <row r="927" customFormat="false" ht="15" hidden="false" customHeight="false" outlineLevel="0" collapsed="false">
      <c r="A927" s="25" t="s">
        <v>9743</v>
      </c>
      <c r="B927" s="25" t="s">
        <v>8419</v>
      </c>
      <c r="C927" s="25" t="s">
        <v>8393</v>
      </c>
      <c r="D927" s="25" t="n">
        <v>9</v>
      </c>
      <c r="E927" s="25" t="s">
        <v>8394</v>
      </c>
      <c r="F927" s="25" t="s">
        <v>8395</v>
      </c>
      <c r="G927" s="25" t="s">
        <v>8396</v>
      </c>
      <c r="H927" s="25" t="s">
        <v>8399</v>
      </c>
      <c r="I927" s="25" t="s">
        <v>9744</v>
      </c>
      <c r="J927" s="25" t="s">
        <v>1332</v>
      </c>
      <c r="K927" s="25" t="n">
        <v>0</v>
      </c>
      <c r="L927" s="25" t="str">
        <f aca="false">IF(K927&gt;0,"Yes","No")</f>
        <v>No</v>
      </c>
    </row>
    <row r="928" customFormat="false" ht="15" hidden="false" customHeight="false" outlineLevel="0" collapsed="false">
      <c r="A928" s="25" t="s">
        <v>9745</v>
      </c>
      <c r="B928" s="25" t="s">
        <v>8419</v>
      </c>
      <c r="C928" s="25" t="s">
        <v>8393</v>
      </c>
      <c r="D928" s="25" t="n">
        <v>9</v>
      </c>
      <c r="E928" s="25" t="s">
        <v>8394</v>
      </c>
      <c r="F928" s="25" t="s">
        <v>8395</v>
      </c>
      <c r="G928" s="25" t="s">
        <v>8396</v>
      </c>
      <c r="H928" s="25" t="s">
        <v>8399</v>
      </c>
      <c r="I928" s="25" t="s">
        <v>9746</v>
      </c>
      <c r="J928" s="25" t="s">
        <v>1332</v>
      </c>
      <c r="K928" s="25" t="n">
        <v>0</v>
      </c>
      <c r="L928" s="25" t="str">
        <f aca="false">IF(K928&gt;0,"Yes","No")</f>
        <v>No</v>
      </c>
    </row>
    <row r="929" customFormat="false" ht="15" hidden="false" customHeight="false" outlineLevel="0" collapsed="false">
      <c r="A929" s="25" t="s">
        <v>9747</v>
      </c>
      <c r="B929" s="25" t="s">
        <v>8392</v>
      </c>
      <c r="C929" s="25" t="s">
        <v>8393</v>
      </c>
      <c r="D929" s="25" t="n">
        <v>9</v>
      </c>
      <c r="E929" s="25" t="s">
        <v>8394</v>
      </c>
      <c r="F929" s="25" t="s">
        <v>8395</v>
      </c>
      <c r="G929" s="25" t="s">
        <v>8398</v>
      </c>
      <c r="H929" s="25"/>
      <c r="I929" s="25" t="s">
        <v>1359</v>
      </c>
      <c r="J929" s="25" t="s">
        <v>1332</v>
      </c>
      <c r="K929" s="25" t="n">
        <v>0</v>
      </c>
      <c r="L929" s="25" t="str">
        <f aca="false">IF(K929&gt;0,"Yes","No")</f>
        <v>No</v>
      </c>
    </row>
    <row r="930" customFormat="false" ht="15" hidden="false" customHeight="false" outlineLevel="0" collapsed="false">
      <c r="A930" s="25" t="s">
        <v>9748</v>
      </c>
      <c r="B930" s="25" t="s">
        <v>8392</v>
      </c>
      <c r="C930" s="25" t="s">
        <v>8393</v>
      </c>
      <c r="D930" s="25" t="n">
        <v>9</v>
      </c>
      <c r="E930" s="25" t="s">
        <v>8394</v>
      </c>
      <c r="F930" s="25" t="s">
        <v>8395</v>
      </c>
      <c r="G930" s="25" t="s">
        <v>8396</v>
      </c>
      <c r="H930" s="25" t="s">
        <v>8399</v>
      </c>
      <c r="I930" s="25" t="s">
        <v>9749</v>
      </c>
      <c r="J930" s="25" t="s">
        <v>1332</v>
      </c>
      <c r="K930" s="25" t="n">
        <v>0</v>
      </c>
      <c r="L930" s="25" t="str">
        <f aca="false">IF(K930&gt;0,"Yes","No")</f>
        <v>No</v>
      </c>
    </row>
    <row r="931" customFormat="false" ht="15" hidden="false" customHeight="false" outlineLevel="0" collapsed="false">
      <c r="A931" s="25" t="s">
        <v>9750</v>
      </c>
      <c r="B931" s="25" t="s">
        <v>8419</v>
      </c>
      <c r="C931" s="25" t="s">
        <v>8393</v>
      </c>
      <c r="D931" s="25" t="n">
        <v>9</v>
      </c>
      <c r="E931" s="25" t="s">
        <v>8394</v>
      </c>
      <c r="F931" s="25" t="s">
        <v>8395</v>
      </c>
      <c r="G931" s="25" t="s">
        <v>8396</v>
      </c>
      <c r="H931" s="25" t="s">
        <v>8399</v>
      </c>
      <c r="I931" s="25" t="s">
        <v>9751</v>
      </c>
      <c r="J931" s="25" t="s">
        <v>374</v>
      </c>
      <c r="K931" s="25" t="n">
        <v>0</v>
      </c>
      <c r="L931" s="25" t="str">
        <f aca="false">IF(K931&gt;0,"Yes","No")</f>
        <v>No</v>
      </c>
    </row>
    <row r="932" customFormat="false" ht="15" hidden="false" customHeight="false" outlineLevel="0" collapsed="false">
      <c r="A932" s="25" t="s">
        <v>9752</v>
      </c>
      <c r="B932" s="25" t="s">
        <v>8419</v>
      </c>
      <c r="C932" s="25" t="s">
        <v>8393</v>
      </c>
      <c r="D932" s="25" t="n">
        <v>9</v>
      </c>
      <c r="E932" s="25" t="s">
        <v>8394</v>
      </c>
      <c r="F932" s="25" t="s">
        <v>8395</v>
      </c>
      <c r="G932" s="25" t="s">
        <v>8396</v>
      </c>
      <c r="H932" s="25" t="s">
        <v>8399</v>
      </c>
      <c r="I932" s="25" t="s">
        <v>9753</v>
      </c>
      <c r="J932" s="25" t="s">
        <v>724</v>
      </c>
      <c r="K932" s="25" t="n">
        <v>0</v>
      </c>
      <c r="L932" s="25" t="str">
        <f aca="false">IF(K932&gt;0,"Yes","No")</f>
        <v>No</v>
      </c>
    </row>
    <row r="933" customFormat="false" ht="15" hidden="false" customHeight="false" outlineLevel="0" collapsed="false">
      <c r="A933" s="25" t="s">
        <v>9754</v>
      </c>
      <c r="B933" s="25" t="s">
        <v>8419</v>
      </c>
      <c r="C933" s="25" t="s">
        <v>8393</v>
      </c>
      <c r="D933" s="25" t="n">
        <v>9</v>
      </c>
      <c r="E933" s="25" t="s">
        <v>8394</v>
      </c>
      <c r="F933" s="25" t="s">
        <v>8395</v>
      </c>
      <c r="G933" s="25" t="s">
        <v>8396</v>
      </c>
      <c r="H933" s="25" t="s">
        <v>8399</v>
      </c>
      <c r="I933" s="25" t="s">
        <v>9755</v>
      </c>
      <c r="J933" s="25" t="s">
        <v>724</v>
      </c>
      <c r="K933" s="25" t="n">
        <v>0</v>
      </c>
      <c r="L933" s="25" t="str">
        <f aca="false">IF(K933&gt;0,"Yes","No")</f>
        <v>No</v>
      </c>
    </row>
    <row r="934" customFormat="false" ht="15" hidden="false" customHeight="false" outlineLevel="0" collapsed="false">
      <c r="A934" s="25" t="s">
        <v>9756</v>
      </c>
      <c r="B934" s="25" t="s">
        <v>8392</v>
      </c>
      <c r="C934" s="25" t="s">
        <v>8393</v>
      </c>
      <c r="D934" s="25" t="n">
        <v>9</v>
      </c>
      <c r="E934" s="25" t="s">
        <v>8394</v>
      </c>
      <c r="F934" s="25" t="s">
        <v>8395</v>
      </c>
      <c r="G934" s="25" t="s">
        <v>8396</v>
      </c>
      <c r="H934" s="25" t="s">
        <v>8399</v>
      </c>
      <c r="I934" s="25" t="s">
        <v>9757</v>
      </c>
      <c r="J934" s="25" t="s">
        <v>724</v>
      </c>
      <c r="K934" s="25" t="n">
        <v>0</v>
      </c>
      <c r="L934" s="25" t="str">
        <f aca="false">IF(K934&gt;0,"Yes","No")</f>
        <v>No</v>
      </c>
    </row>
    <row r="935" customFormat="false" ht="15" hidden="false" customHeight="false" outlineLevel="0" collapsed="false">
      <c r="A935" s="25" t="s">
        <v>9758</v>
      </c>
      <c r="B935" s="25" t="s">
        <v>8392</v>
      </c>
      <c r="C935" s="25" t="s">
        <v>8393</v>
      </c>
      <c r="D935" s="25" t="n">
        <v>9</v>
      </c>
      <c r="E935" s="25" t="s">
        <v>8394</v>
      </c>
      <c r="F935" s="25" t="s">
        <v>8395</v>
      </c>
      <c r="G935" s="25" t="s">
        <v>8398</v>
      </c>
      <c r="H935" s="25"/>
      <c r="I935" s="25" t="s">
        <v>725</v>
      </c>
      <c r="J935" s="25" t="s">
        <v>9759</v>
      </c>
      <c r="K935" s="25" t="n">
        <v>0</v>
      </c>
      <c r="L935" s="25" t="str">
        <f aca="false">IF(K935&gt;0,"Yes","No")</f>
        <v>No</v>
      </c>
    </row>
    <row r="936" customFormat="false" ht="15" hidden="false" customHeight="false" outlineLevel="0" collapsed="false">
      <c r="A936" s="25" t="s">
        <v>9760</v>
      </c>
      <c r="B936" s="25" t="s">
        <v>8392</v>
      </c>
      <c r="C936" s="25" t="s">
        <v>8393</v>
      </c>
      <c r="D936" s="25" t="n">
        <v>9</v>
      </c>
      <c r="E936" s="25" t="s">
        <v>8394</v>
      </c>
      <c r="F936" s="25" t="s">
        <v>8395</v>
      </c>
      <c r="G936" s="25" t="s">
        <v>8398</v>
      </c>
      <c r="H936" s="25"/>
      <c r="I936" s="25" t="s">
        <v>9761</v>
      </c>
      <c r="J936" s="25" t="s">
        <v>9759</v>
      </c>
      <c r="K936" s="25" t="n">
        <v>0</v>
      </c>
      <c r="L936" s="25" t="str">
        <f aca="false">IF(K936&gt;0,"Yes","No")</f>
        <v>No</v>
      </c>
    </row>
    <row r="937" customFormat="false" ht="15" hidden="false" customHeight="false" outlineLevel="0" collapsed="false">
      <c r="A937" s="25" t="s">
        <v>9762</v>
      </c>
      <c r="B937" s="25" t="s">
        <v>8392</v>
      </c>
      <c r="C937" s="25" t="s">
        <v>8393</v>
      </c>
      <c r="D937" s="25" t="n">
        <v>9</v>
      </c>
      <c r="E937" s="25" t="s">
        <v>8394</v>
      </c>
      <c r="F937" s="25" t="s">
        <v>8395</v>
      </c>
      <c r="G937" s="25" t="s">
        <v>8398</v>
      </c>
      <c r="H937" s="25"/>
      <c r="I937" s="25" t="s">
        <v>9763</v>
      </c>
      <c r="J937" s="25" t="s">
        <v>9764</v>
      </c>
      <c r="K937" s="25" t="n">
        <v>0</v>
      </c>
      <c r="L937" s="25" t="str">
        <f aca="false">IF(K937&gt;0,"Yes","No")</f>
        <v>No</v>
      </c>
    </row>
    <row r="938" customFormat="false" ht="15" hidden="false" customHeight="false" outlineLevel="0" collapsed="false">
      <c r="A938" s="25" t="s">
        <v>9765</v>
      </c>
      <c r="B938" s="25" t="s">
        <v>8392</v>
      </c>
      <c r="C938" s="25" t="s">
        <v>8393</v>
      </c>
      <c r="D938" s="25" t="n">
        <v>9</v>
      </c>
      <c r="E938" s="25" t="s">
        <v>8394</v>
      </c>
      <c r="F938" s="25" t="s">
        <v>8395</v>
      </c>
      <c r="G938" s="25" t="s">
        <v>8396</v>
      </c>
      <c r="H938" s="25" t="s">
        <v>8403</v>
      </c>
      <c r="I938" s="25" t="s">
        <v>9766</v>
      </c>
      <c r="J938" s="25" t="s">
        <v>9767</v>
      </c>
      <c r="K938" s="25" t="n">
        <v>0</v>
      </c>
      <c r="L938" s="25" t="str">
        <f aca="false">IF(K938&gt;0,"Yes","No")</f>
        <v>No</v>
      </c>
    </row>
    <row r="939" customFormat="false" ht="15" hidden="false" customHeight="false" outlineLevel="0" collapsed="false">
      <c r="A939" s="25" t="s">
        <v>9768</v>
      </c>
      <c r="B939" s="25" t="s">
        <v>8419</v>
      </c>
      <c r="C939" s="25" t="s">
        <v>8393</v>
      </c>
      <c r="D939" s="25" t="n">
        <v>9</v>
      </c>
      <c r="E939" s="25" t="s">
        <v>8394</v>
      </c>
      <c r="F939" s="25" t="s">
        <v>8395</v>
      </c>
      <c r="G939" s="25" t="s">
        <v>8396</v>
      </c>
      <c r="H939" s="25"/>
      <c r="I939" s="25" t="s">
        <v>9769</v>
      </c>
      <c r="J939" s="25" t="s">
        <v>9770</v>
      </c>
      <c r="K939" s="25" t="n">
        <v>0</v>
      </c>
      <c r="L939" s="25" t="str">
        <f aca="false">IF(K939&gt;0,"Yes","No")</f>
        <v>No</v>
      </c>
    </row>
    <row r="940" customFormat="false" ht="15" hidden="false" customHeight="false" outlineLevel="0" collapsed="false">
      <c r="A940" s="25" t="s">
        <v>9771</v>
      </c>
      <c r="B940" s="25" t="s">
        <v>8419</v>
      </c>
      <c r="C940" s="25" t="s">
        <v>8393</v>
      </c>
      <c r="D940" s="25" t="n">
        <v>9</v>
      </c>
      <c r="E940" s="25" t="s">
        <v>8394</v>
      </c>
      <c r="F940" s="25" t="s">
        <v>8395</v>
      </c>
      <c r="G940" s="25" t="s">
        <v>8396</v>
      </c>
      <c r="H940" s="25"/>
      <c r="I940" s="25" t="s">
        <v>9772</v>
      </c>
      <c r="J940" s="25" t="s">
        <v>9770</v>
      </c>
      <c r="K940" s="25" t="n">
        <v>0</v>
      </c>
      <c r="L940" s="25" t="str">
        <f aca="false">IF(K940&gt;0,"Yes","No")</f>
        <v>No</v>
      </c>
    </row>
    <row r="941" customFormat="false" ht="15" hidden="false" customHeight="false" outlineLevel="0" collapsed="false">
      <c r="A941" s="25" t="s">
        <v>9773</v>
      </c>
      <c r="B941" s="25" t="s">
        <v>8419</v>
      </c>
      <c r="C941" s="25" t="s">
        <v>8393</v>
      </c>
      <c r="D941" s="25" t="n">
        <v>9</v>
      </c>
      <c r="E941" s="25" t="s">
        <v>8394</v>
      </c>
      <c r="F941" s="25" t="s">
        <v>8395</v>
      </c>
      <c r="G941" s="25" t="s">
        <v>8396</v>
      </c>
      <c r="H941" s="25" t="s">
        <v>8403</v>
      </c>
      <c r="I941" s="25" t="s">
        <v>9659</v>
      </c>
      <c r="J941" s="25" t="s">
        <v>644</v>
      </c>
      <c r="K941" s="25" t="n">
        <v>0</v>
      </c>
      <c r="L941" s="25" t="str">
        <f aca="false">IF(K941&gt;0,"Yes","No")</f>
        <v>No</v>
      </c>
    </row>
    <row r="942" customFormat="false" ht="15" hidden="false" customHeight="false" outlineLevel="0" collapsed="false">
      <c r="A942" s="25" t="s">
        <v>9774</v>
      </c>
      <c r="B942" s="25" t="s">
        <v>8419</v>
      </c>
      <c r="C942" s="25" t="s">
        <v>8393</v>
      </c>
      <c r="D942" s="25" t="n">
        <v>9</v>
      </c>
      <c r="E942" s="25" t="s">
        <v>8394</v>
      </c>
      <c r="F942" s="25" t="s">
        <v>8395</v>
      </c>
      <c r="G942" s="25" t="s">
        <v>8396</v>
      </c>
      <c r="H942" s="25" t="s">
        <v>8403</v>
      </c>
      <c r="I942" s="25" t="s">
        <v>9649</v>
      </c>
      <c r="J942" s="25" t="s">
        <v>644</v>
      </c>
      <c r="K942" s="25" t="n">
        <v>0</v>
      </c>
      <c r="L942" s="25" t="str">
        <f aca="false">IF(K942&gt;0,"Yes","No")</f>
        <v>No</v>
      </c>
    </row>
    <row r="943" customFormat="false" ht="15" hidden="false" customHeight="false" outlineLevel="0" collapsed="false">
      <c r="A943" s="25" t="s">
        <v>9775</v>
      </c>
      <c r="B943" s="25" t="s">
        <v>8392</v>
      </c>
      <c r="C943" s="25" t="s">
        <v>8393</v>
      </c>
      <c r="D943" s="25" t="n">
        <v>9</v>
      </c>
      <c r="E943" s="25" t="s">
        <v>8394</v>
      </c>
      <c r="F943" s="25" t="s">
        <v>8395</v>
      </c>
      <c r="G943" s="25" t="s">
        <v>8396</v>
      </c>
      <c r="H943" s="25"/>
      <c r="I943" s="25" t="s">
        <v>9776</v>
      </c>
      <c r="J943" s="25" t="s">
        <v>644</v>
      </c>
      <c r="K943" s="25" t="n">
        <v>0</v>
      </c>
      <c r="L943" s="25" t="str">
        <f aca="false">IF(K943&gt;0,"Yes","No")</f>
        <v>No</v>
      </c>
    </row>
    <row r="944" customFormat="false" ht="15" hidden="false" customHeight="false" outlineLevel="0" collapsed="false">
      <c r="A944" s="25" t="s">
        <v>9777</v>
      </c>
      <c r="B944" s="25" t="s">
        <v>8392</v>
      </c>
      <c r="C944" s="25" t="s">
        <v>8393</v>
      </c>
      <c r="D944" s="25" t="n">
        <v>9</v>
      </c>
      <c r="E944" s="25" t="s">
        <v>8394</v>
      </c>
      <c r="F944" s="25" t="s">
        <v>8395</v>
      </c>
      <c r="G944" s="25" t="s">
        <v>8396</v>
      </c>
      <c r="H944" s="25"/>
      <c r="I944" s="25" t="s">
        <v>9778</v>
      </c>
      <c r="J944" s="25" t="s">
        <v>644</v>
      </c>
      <c r="K944" s="25" t="n">
        <v>0</v>
      </c>
      <c r="L944" s="25" t="str">
        <f aca="false">IF(K944&gt;0,"Yes","No")</f>
        <v>No</v>
      </c>
    </row>
    <row r="945" customFormat="false" ht="15" hidden="false" customHeight="false" outlineLevel="0" collapsed="false">
      <c r="A945" s="25" t="s">
        <v>9779</v>
      </c>
      <c r="B945" s="25" t="s">
        <v>8392</v>
      </c>
      <c r="C945" s="25" t="s">
        <v>8393</v>
      </c>
      <c r="D945" s="25" t="n">
        <v>9</v>
      </c>
      <c r="E945" s="25" t="s">
        <v>8394</v>
      </c>
      <c r="F945" s="25" t="s">
        <v>8395</v>
      </c>
      <c r="G945" s="25" t="s">
        <v>8398</v>
      </c>
      <c r="H945" s="25"/>
      <c r="I945" s="25" t="s">
        <v>8922</v>
      </c>
      <c r="J945" s="25" t="s">
        <v>9780</v>
      </c>
      <c r="K945" s="25" t="n">
        <v>0</v>
      </c>
      <c r="L945" s="25" t="str">
        <f aca="false">IF(K945&gt;0,"Yes","No")</f>
        <v>No</v>
      </c>
    </row>
    <row r="946" customFormat="false" ht="15" hidden="false" customHeight="false" outlineLevel="0" collapsed="false">
      <c r="A946" s="25" t="s">
        <v>9781</v>
      </c>
      <c r="B946" s="25" t="s">
        <v>8392</v>
      </c>
      <c r="C946" s="25" t="s">
        <v>8393</v>
      </c>
      <c r="D946" s="25" t="n">
        <v>9</v>
      </c>
      <c r="E946" s="25" t="s">
        <v>8394</v>
      </c>
      <c r="F946" s="25" t="s">
        <v>8395</v>
      </c>
      <c r="G946" s="25" t="s">
        <v>8398</v>
      </c>
      <c r="H946" s="25"/>
      <c r="I946" s="25" t="s">
        <v>9782</v>
      </c>
      <c r="J946" s="25" t="s">
        <v>9780</v>
      </c>
      <c r="K946" s="25" t="n">
        <v>0</v>
      </c>
      <c r="L946" s="25" t="str">
        <f aca="false">IF(K946&gt;0,"Yes","No")</f>
        <v>No</v>
      </c>
    </row>
    <row r="947" customFormat="false" ht="15" hidden="false" customHeight="false" outlineLevel="0" collapsed="false">
      <c r="A947" s="25" t="s">
        <v>9783</v>
      </c>
      <c r="B947" s="25" t="s">
        <v>8419</v>
      </c>
      <c r="C947" s="25" t="s">
        <v>8393</v>
      </c>
      <c r="D947" s="25" t="n">
        <v>9</v>
      </c>
      <c r="E947" s="25" t="s">
        <v>8394</v>
      </c>
      <c r="F947" s="25" t="s">
        <v>8395</v>
      </c>
      <c r="G947" s="25" t="s">
        <v>8396</v>
      </c>
      <c r="H947" s="25" t="s">
        <v>8399</v>
      </c>
      <c r="I947" s="25" t="s">
        <v>9784</v>
      </c>
      <c r="J947" s="25" t="s">
        <v>519</v>
      </c>
      <c r="K947" s="25" t="n">
        <v>0</v>
      </c>
      <c r="L947" s="25" t="str">
        <f aca="false">IF(K947&gt;0,"Yes","No")</f>
        <v>No</v>
      </c>
    </row>
    <row r="948" customFormat="false" ht="15" hidden="false" customHeight="false" outlineLevel="0" collapsed="false">
      <c r="A948" s="25" t="s">
        <v>9785</v>
      </c>
      <c r="B948" s="25" t="s">
        <v>8419</v>
      </c>
      <c r="C948" s="25" t="s">
        <v>8393</v>
      </c>
      <c r="D948" s="25" t="n">
        <v>9</v>
      </c>
      <c r="E948" s="25" t="s">
        <v>8394</v>
      </c>
      <c r="F948" s="25" t="s">
        <v>8395</v>
      </c>
      <c r="G948" s="25" t="s">
        <v>8396</v>
      </c>
      <c r="H948" s="25" t="s">
        <v>8399</v>
      </c>
      <c r="I948" s="25" t="s">
        <v>9786</v>
      </c>
      <c r="J948" s="25" t="s">
        <v>519</v>
      </c>
      <c r="K948" s="25" t="n">
        <v>0</v>
      </c>
      <c r="L948" s="25" t="str">
        <f aca="false">IF(K948&gt;0,"Yes","No")</f>
        <v>No</v>
      </c>
    </row>
    <row r="949" customFormat="false" ht="15" hidden="false" customHeight="false" outlineLevel="0" collapsed="false">
      <c r="A949" s="25" t="s">
        <v>9787</v>
      </c>
      <c r="B949" s="25" t="s">
        <v>8419</v>
      </c>
      <c r="C949" s="25" t="s">
        <v>8393</v>
      </c>
      <c r="D949" s="25" t="n">
        <v>9</v>
      </c>
      <c r="E949" s="25" t="s">
        <v>8394</v>
      </c>
      <c r="F949" s="25" t="s">
        <v>8395</v>
      </c>
      <c r="G949" s="25" t="s">
        <v>8396</v>
      </c>
      <c r="H949" s="25" t="s">
        <v>8399</v>
      </c>
      <c r="I949" s="25" t="s">
        <v>9788</v>
      </c>
      <c r="J949" s="25" t="s">
        <v>519</v>
      </c>
      <c r="K949" s="25" t="n">
        <v>0</v>
      </c>
      <c r="L949" s="25" t="str">
        <f aca="false">IF(K949&gt;0,"Yes","No")</f>
        <v>No</v>
      </c>
    </row>
    <row r="950" customFormat="false" ht="15" hidden="false" customHeight="false" outlineLevel="0" collapsed="false">
      <c r="A950" s="25" t="s">
        <v>9789</v>
      </c>
      <c r="B950" s="25" t="s">
        <v>8419</v>
      </c>
      <c r="C950" s="25" t="s">
        <v>8393</v>
      </c>
      <c r="D950" s="25" t="n">
        <v>9</v>
      </c>
      <c r="E950" s="25" t="s">
        <v>8394</v>
      </c>
      <c r="F950" s="25" t="s">
        <v>8395</v>
      </c>
      <c r="G950" s="25" t="s">
        <v>8396</v>
      </c>
      <c r="H950" s="25" t="s">
        <v>8399</v>
      </c>
      <c r="I950" s="25" t="s">
        <v>9790</v>
      </c>
      <c r="J950" s="25" t="s">
        <v>519</v>
      </c>
      <c r="K950" s="25" t="n">
        <v>0</v>
      </c>
      <c r="L950" s="25" t="str">
        <f aca="false">IF(K950&gt;0,"Yes","No")</f>
        <v>No</v>
      </c>
    </row>
    <row r="951" customFormat="false" ht="15" hidden="false" customHeight="false" outlineLevel="0" collapsed="false">
      <c r="A951" s="25" t="s">
        <v>9791</v>
      </c>
      <c r="B951" s="25" t="s">
        <v>8419</v>
      </c>
      <c r="C951" s="25" t="s">
        <v>8393</v>
      </c>
      <c r="D951" s="25" t="n">
        <v>9</v>
      </c>
      <c r="E951" s="25" t="s">
        <v>8394</v>
      </c>
      <c r="F951" s="25" t="s">
        <v>8395</v>
      </c>
      <c r="G951" s="25" t="s">
        <v>8396</v>
      </c>
      <c r="H951" s="25" t="s">
        <v>8399</v>
      </c>
      <c r="I951" s="25" t="s">
        <v>9792</v>
      </c>
      <c r="J951" s="25" t="s">
        <v>519</v>
      </c>
      <c r="K951" s="25" t="n">
        <v>0</v>
      </c>
      <c r="L951" s="25" t="str">
        <f aca="false">IF(K951&gt;0,"Yes","No")</f>
        <v>No</v>
      </c>
    </row>
    <row r="952" customFormat="false" ht="15" hidden="false" customHeight="false" outlineLevel="0" collapsed="false">
      <c r="A952" s="25" t="s">
        <v>9793</v>
      </c>
      <c r="B952" s="25" t="s">
        <v>9641</v>
      </c>
      <c r="C952" s="25" t="s">
        <v>8393</v>
      </c>
      <c r="D952" s="25" t="n">
        <v>9</v>
      </c>
      <c r="E952" s="25" t="s">
        <v>8394</v>
      </c>
      <c r="F952" s="25" t="s">
        <v>8395</v>
      </c>
      <c r="G952" s="25" t="s">
        <v>8398</v>
      </c>
      <c r="H952" s="25"/>
      <c r="I952" s="25" t="s">
        <v>1359</v>
      </c>
      <c r="J952" s="25" t="s">
        <v>9794</v>
      </c>
      <c r="K952" s="25" t="n">
        <v>0</v>
      </c>
      <c r="L952" s="25" t="str">
        <f aca="false">IF(K952&gt;0,"Yes","No")</f>
        <v>No</v>
      </c>
    </row>
    <row r="953" customFormat="false" ht="15" hidden="false" customHeight="false" outlineLevel="0" collapsed="false">
      <c r="A953" s="25" t="s">
        <v>9795</v>
      </c>
      <c r="B953" s="25" t="s">
        <v>8392</v>
      </c>
      <c r="C953" s="25" t="s">
        <v>8393</v>
      </c>
      <c r="D953" s="25" t="n">
        <v>9</v>
      </c>
      <c r="E953" s="25" t="s">
        <v>8394</v>
      </c>
      <c r="F953" s="25" t="s">
        <v>8395</v>
      </c>
      <c r="G953" s="25" t="s">
        <v>8396</v>
      </c>
      <c r="H953" s="25"/>
      <c r="I953" s="25" t="s">
        <v>9796</v>
      </c>
      <c r="J953" s="25" t="s">
        <v>9797</v>
      </c>
      <c r="K953" s="25" t="n">
        <v>0</v>
      </c>
      <c r="L953" s="25" t="str">
        <f aca="false">IF(K953&gt;0,"Yes","No")</f>
        <v>No</v>
      </c>
    </row>
    <row r="954" customFormat="false" ht="15" hidden="false" customHeight="false" outlineLevel="0" collapsed="false">
      <c r="A954" s="25" t="s">
        <v>9798</v>
      </c>
      <c r="B954" s="25" t="s">
        <v>8392</v>
      </c>
      <c r="C954" s="25" t="s">
        <v>8393</v>
      </c>
      <c r="D954" s="25" t="n">
        <v>9</v>
      </c>
      <c r="E954" s="25" t="s">
        <v>8394</v>
      </c>
      <c r="F954" s="25" t="s">
        <v>8395</v>
      </c>
      <c r="G954" s="25" t="s">
        <v>8396</v>
      </c>
      <c r="H954" s="25" t="s">
        <v>8403</v>
      </c>
      <c r="I954" s="25" t="s">
        <v>9799</v>
      </c>
      <c r="J954" s="25" t="s">
        <v>9800</v>
      </c>
      <c r="K954" s="25" t="n">
        <v>0</v>
      </c>
      <c r="L954" s="25" t="str">
        <f aca="false">IF(K954&gt;0,"Yes","No")</f>
        <v>No</v>
      </c>
    </row>
    <row r="955" customFormat="false" ht="15" hidden="false" customHeight="false" outlineLevel="0" collapsed="false">
      <c r="A955" s="25" t="s">
        <v>9801</v>
      </c>
      <c r="B955" s="25" t="s">
        <v>8419</v>
      </c>
      <c r="C955" s="25" t="s">
        <v>8393</v>
      </c>
      <c r="D955" s="25" t="n">
        <v>9</v>
      </c>
      <c r="E955" s="25" t="s">
        <v>8394</v>
      </c>
      <c r="F955" s="25" t="s">
        <v>8395</v>
      </c>
      <c r="G955" s="25" t="s">
        <v>8396</v>
      </c>
      <c r="H955" s="25" t="s">
        <v>8397</v>
      </c>
      <c r="I955" s="25" t="s">
        <v>9802</v>
      </c>
      <c r="J955" s="25" t="s">
        <v>9803</v>
      </c>
      <c r="K955" s="25" t="n">
        <v>0</v>
      </c>
      <c r="L955" s="25" t="str">
        <f aca="false">IF(K955&gt;0,"Yes","No")</f>
        <v>No</v>
      </c>
    </row>
    <row r="956" customFormat="false" ht="15" hidden="false" customHeight="false" outlineLevel="0" collapsed="false">
      <c r="A956" s="25" t="s">
        <v>9804</v>
      </c>
      <c r="B956" s="25" t="s">
        <v>8392</v>
      </c>
      <c r="C956" s="25" t="s">
        <v>8393</v>
      </c>
      <c r="D956" s="25" t="n">
        <v>9</v>
      </c>
      <c r="E956" s="25" t="s">
        <v>8394</v>
      </c>
      <c r="F956" s="25" t="s">
        <v>8395</v>
      </c>
      <c r="G956" s="25" t="s">
        <v>8396</v>
      </c>
      <c r="H956" s="25" t="s">
        <v>8399</v>
      </c>
      <c r="I956" s="25" t="s">
        <v>9805</v>
      </c>
      <c r="J956" s="25" t="s">
        <v>9806</v>
      </c>
      <c r="K956" s="25" t="n">
        <v>0</v>
      </c>
      <c r="L956" s="25" t="str">
        <f aca="false">IF(K956&gt;0,"Yes","No")</f>
        <v>No</v>
      </c>
    </row>
    <row r="957" customFormat="false" ht="15" hidden="false" customHeight="false" outlineLevel="0" collapsed="false">
      <c r="A957" s="25" t="s">
        <v>9807</v>
      </c>
      <c r="B957" s="25" t="s">
        <v>8392</v>
      </c>
      <c r="C957" s="25" t="s">
        <v>8393</v>
      </c>
      <c r="D957" s="25" t="n">
        <v>9</v>
      </c>
      <c r="E957" s="25" t="s">
        <v>8394</v>
      </c>
      <c r="F957" s="25" t="s">
        <v>8395</v>
      </c>
      <c r="G957" s="25" t="s">
        <v>8396</v>
      </c>
      <c r="H957" s="25" t="s">
        <v>8399</v>
      </c>
      <c r="I957" s="25" t="s">
        <v>9808</v>
      </c>
      <c r="J957" s="25" t="s">
        <v>436</v>
      </c>
      <c r="K957" s="25" t="n">
        <v>0</v>
      </c>
      <c r="L957" s="25" t="str">
        <f aca="false">IF(K957&gt;0,"Yes","No")</f>
        <v>No</v>
      </c>
    </row>
    <row r="958" customFormat="false" ht="15" hidden="false" customHeight="false" outlineLevel="0" collapsed="false">
      <c r="A958" s="25" t="s">
        <v>9809</v>
      </c>
      <c r="B958" s="25" t="s">
        <v>8392</v>
      </c>
      <c r="C958" s="25" t="s">
        <v>8393</v>
      </c>
      <c r="D958" s="25" t="n">
        <v>9</v>
      </c>
      <c r="E958" s="25" t="s">
        <v>8394</v>
      </c>
      <c r="F958" s="25" t="s">
        <v>8395</v>
      </c>
      <c r="G958" s="25" t="s">
        <v>8398</v>
      </c>
      <c r="H958" s="25"/>
      <c r="I958" s="25" t="s">
        <v>9810</v>
      </c>
      <c r="J958" s="25" t="s">
        <v>8118</v>
      </c>
      <c r="K958" s="25" t="n">
        <v>0</v>
      </c>
      <c r="L958" s="25" t="str">
        <f aca="false">IF(K958&gt;0,"Yes","No")</f>
        <v>No</v>
      </c>
    </row>
    <row r="959" customFormat="false" ht="15" hidden="false" customHeight="false" outlineLevel="0" collapsed="false">
      <c r="A959" s="25" t="s">
        <v>9811</v>
      </c>
      <c r="B959" s="25" t="s">
        <v>8419</v>
      </c>
      <c r="C959" s="25" t="s">
        <v>8393</v>
      </c>
      <c r="D959" s="25" t="n">
        <v>9</v>
      </c>
      <c r="E959" s="25" t="s">
        <v>8394</v>
      </c>
      <c r="F959" s="25" t="s">
        <v>8395</v>
      </c>
      <c r="G959" s="25" t="s">
        <v>8396</v>
      </c>
      <c r="H959" s="25" t="s">
        <v>8399</v>
      </c>
      <c r="I959" s="25" t="s">
        <v>9812</v>
      </c>
      <c r="J959" s="25" t="s">
        <v>8118</v>
      </c>
      <c r="K959" s="25" t="n">
        <v>0</v>
      </c>
      <c r="L959" s="25" t="str">
        <f aca="false">IF(K959&gt;0,"Yes","No")</f>
        <v>No</v>
      </c>
    </row>
    <row r="960" customFormat="false" ht="15" hidden="false" customHeight="false" outlineLevel="0" collapsed="false">
      <c r="A960" s="25" t="s">
        <v>9813</v>
      </c>
      <c r="B960" s="25" t="s">
        <v>8392</v>
      </c>
      <c r="C960" s="25" t="s">
        <v>8393</v>
      </c>
      <c r="D960" s="25" t="n">
        <v>9</v>
      </c>
      <c r="E960" s="25" t="s">
        <v>8394</v>
      </c>
      <c r="F960" s="25" t="s">
        <v>8395</v>
      </c>
      <c r="G960" s="25" t="s">
        <v>8396</v>
      </c>
      <c r="H960" s="25" t="s">
        <v>8399</v>
      </c>
      <c r="I960" s="25" t="s">
        <v>9814</v>
      </c>
      <c r="J960" s="25" t="s">
        <v>8118</v>
      </c>
      <c r="K960" s="25" t="n">
        <v>0</v>
      </c>
      <c r="L960" s="25" t="str">
        <f aca="false">IF(K960&gt;0,"Yes","No")</f>
        <v>No</v>
      </c>
    </row>
    <row r="961" customFormat="false" ht="15" hidden="false" customHeight="false" outlineLevel="0" collapsed="false">
      <c r="A961" s="25" t="s">
        <v>9815</v>
      </c>
      <c r="B961" s="25" t="s">
        <v>8419</v>
      </c>
      <c r="C961" s="25" t="s">
        <v>8393</v>
      </c>
      <c r="D961" s="25" t="n">
        <v>9</v>
      </c>
      <c r="E961" s="25" t="s">
        <v>8394</v>
      </c>
      <c r="F961" s="25" t="s">
        <v>8395</v>
      </c>
      <c r="G961" s="25" t="s">
        <v>8396</v>
      </c>
      <c r="H961" s="25" t="s">
        <v>8399</v>
      </c>
      <c r="I961" s="25" t="s">
        <v>9816</v>
      </c>
      <c r="J961" s="25" t="s">
        <v>8118</v>
      </c>
      <c r="K961" s="25" t="n">
        <v>0</v>
      </c>
      <c r="L961" s="25" t="str">
        <f aca="false">IF(K961&gt;0,"Yes","No")</f>
        <v>No</v>
      </c>
    </row>
    <row r="962" customFormat="false" ht="15" hidden="false" customHeight="false" outlineLevel="0" collapsed="false">
      <c r="A962" s="25" t="s">
        <v>9817</v>
      </c>
      <c r="B962" s="25" t="s">
        <v>8392</v>
      </c>
      <c r="C962" s="25" t="s">
        <v>8393</v>
      </c>
      <c r="D962" s="25" t="n">
        <v>9</v>
      </c>
      <c r="E962" s="25" t="s">
        <v>8394</v>
      </c>
      <c r="F962" s="25" t="s">
        <v>8395</v>
      </c>
      <c r="G962" s="25" t="s">
        <v>8396</v>
      </c>
      <c r="H962" s="25" t="s">
        <v>8399</v>
      </c>
      <c r="I962" s="25" t="s">
        <v>9818</v>
      </c>
      <c r="J962" s="25" t="s">
        <v>8118</v>
      </c>
      <c r="K962" s="25" t="n">
        <v>0</v>
      </c>
      <c r="L962" s="25" t="str">
        <f aca="false">IF(K962&gt;0,"Yes","No")</f>
        <v>No</v>
      </c>
    </row>
    <row r="963" customFormat="false" ht="15" hidden="false" customHeight="false" outlineLevel="0" collapsed="false">
      <c r="A963" s="25" t="s">
        <v>9819</v>
      </c>
      <c r="B963" s="25" t="s">
        <v>8419</v>
      </c>
      <c r="C963" s="25" t="s">
        <v>8393</v>
      </c>
      <c r="D963" s="25" t="n">
        <v>9</v>
      </c>
      <c r="E963" s="25" t="s">
        <v>8394</v>
      </c>
      <c r="F963" s="25" t="s">
        <v>8395</v>
      </c>
      <c r="G963" s="25" t="s">
        <v>8396</v>
      </c>
      <c r="H963" s="25"/>
      <c r="I963" s="25" t="s">
        <v>9820</v>
      </c>
      <c r="J963" s="25" t="s">
        <v>9821</v>
      </c>
      <c r="K963" s="25" t="n">
        <v>0</v>
      </c>
      <c r="L963" s="25" t="str">
        <f aca="false">IF(K963&gt;0,"Yes","No")</f>
        <v>No</v>
      </c>
    </row>
    <row r="964" customFormat="false" ht="15" hidden="false" customHeight="false" outlineLevel="0" collapsed="false">
      <c r="A964" s="25" t="s">
        <v>9822</v>
      </c>
      <c r="B964" s="25" t="s">
        <v>8419</v>
      </c>
      <c r="C964" s="25" t="s">
        <v>8393</v>
      </c>
      <c r="D964" s="25" t="n">
        <v>9</v>
      </c>
      <c r="E964" s="25" t="s">
        <v>8394</v>
      </c>
      <c r="F964" s="25" t="s">
        <v>8395</v>
      </c>
      <c r="G964" s="25" t="s">
        <v>8396</v>
      </c>
      <c r="H964" s="25"/>
      <c r="I964" s="25" t="s">
        <v>9823</v>
      </c>
      <c r="J964" s="25" t="s">
        <v>9821</v>
      </c>
      <c r="K964" s="25" t="n">
        <v>0</v>
      </c>
      <c r="L964" s="25" t="str">
        <f aca="false">IF(K964&gt;0,"Yes","No")</f>
        <v>No</v>
      </c>
    </row>
    <row r="965" customFormat="false" ht="15" hidden="false" customHeight="false" outlineLevel="0" collapsed="false">
      <c r="A965" s="25" t="s">
        <v>9824</v>
      </c>
      <c r="B965" s="25" t="s">
        <v>8392</v>
      </c>
      <c r="C965" s="25" t="s">
        <v>8393</v>
      </c>
      <c r="D965" s="25" t="n">
        <v>9</v>
      </c>
      <c r="E965" s="25" t="s">
        <v>8394</v>
      </c>
      <c r="F965" s="25" t="s">
        <v>8395</v>
      </c>
      <c r="G965" s="25" t="s">
        <v>8398</v>
      </c>
      <c r="H965" s="25"/>
      <c r="I965" s="25" t="s">
        <v>9825</v>
      </c>
      <c r="J965" s="25" t="s">
        <v>9826</v>
      </c>
      <c r="K965" s="25" t="n">
        <v>0</v>
      </c>
      <c r="L965" s="25" t="str">
        <f aca="false">IF(K965&gt;0,"Yes","No")</f>
        <v>No</v>
      </c>
    </row>
    <row r="966" customFormat="false" ht="15" hidden="false" customHeight="false" outlineLevel="0" collapsed="false">
      <c r="A966" s="25" t="s">
        <v>9827</v>
      </c>
      <c r="B966" s="25" t="s">
        <v>8392</v>
      </c>
      <c r="C966" s="25" t="s">
        <v>8393</v>
      </c>
      <c r="D966" s="25" t="n">
        <v>9</v>
      </c>
      <c r="E966" s="25" t="s">
        <v>8394</v>
      </c>
      <c r="F966" s="25" t="s">
        <v>8395</v>
      </c>
      <c r="G966" s="25" t="s">
        <v>8402</v>
      </c>
      <c r="H966" s="25" t="s">
        <v>8399</v>
      </c>
      <c r="I966" s="25" t="s">
        <v>9828</v>
      </c>
      <c r="J966" s="25" t="s">
        <v>9829</v>
      </c>
      <c r="K966" s="25" t="n">
        <v>0</v>
      </c>
      <c r="L966" s="25" t="str">
        <f aca="false">IF(K966&gt;0,"Yes","No")</f>
        <v>No</v>
      </c>
    </row>
    <row r="967" customFormat="false" ht="15" hidden="false" customHeight="false" outlineLevel="0" collapsed="false">
      <c r="A967" s="25" t="s">
        <v>9830</v>
      </c>
      <c r="B967" s="25" t="s">
        <v>8392</v>
      </c>
      <c r="C967" s="25" t="s">
        <v>8393</v>
      </c>
      <c r="D967" s="25" t="n">
        <v>9</v>
      </c>
      <c r="E967" s="25" t="s">
        <v>8394</v>
      </c>
      <c r="F967" s="25" t="s">
        <v>8395</v>
      </c>
      <c r="G967" s="25" t="s">
        <v>8402</v>
      </c>
      <c r="H967" s="25" t="s">
        <v>8399</v>
      </c>
      <c r="I967" s="25" t="s">
        <v>9831</v>
      </c>
      <c r="J967" s="25" t="s">
        <v>9829</v>
      </c>
      <c r="K967" s="25" t="n">
        <v>0</v>
      </c>
      <c r="L967" s="25" t="str">
        <f aca="false">IF(K967&gt;0,"Yes","No")</f>
        <v>No</v>
      </c>
    </row>
    <row r="968" customFormat="false" ht="15" hidden="false" customHeight="false" outlineLevel="0" collapsed="false">
      <c r="A968" s="25" t="s">
        <v>9832</v>
      </c>
      <c r="B968" s="25" t="s">
        <v>8392</v>
      </c>
      <c r="C968" s="25" t="s">
        <v>8393</v>
      </c>
      <c r="D968" s="25" t="n">
        <v>9</v>
      </c>
      <c r="E968" s="25" t="s">
        <v>8394</v>
      </c>
      <c r="F968" s="25" t="s">
        <v>8395</v>
      </c>
      <c r="G968" s="25" t="s">
        <v>8398</v>
      </c>
      <c r="H968" s="25"/>
      <c r="I968" s="25" t="s">
        <v>9833</v>
      </c>
      <c r="J968" s="25" t="s">
        <v>9834</v>
      </c>
      <c r="K968" s="25" t="n">
        <v>0</v>
      </c>
      <c r="L968" s="25" t="str">
        <f aca="false">IF(K968&gt;0,"Yes","No")</f>
        <v>No</v>
      </c>
    </row>
    <row r="969" customFormat="false" ht="15" hidden="false" customHeight="false" outlineLevel="0" collapsed="false">
      <c r="A969" s="25" t="s">
        <v>9835</v>
      </c>
      <c r="B969" s="25" t="s">
        <v>8419</v>
      </c>
      <c r="C969" s="25" t="s">
        <v>8393</v>
      </c>
      <c r="D969" s="25" t="n">
        <v>9</v>
      </c>
      <c r="E969" s="25" t="s">
        <v>8394</v>
      </c>
      <c r="F969" s="25" t="s">
        <v>8395</v>
      </c>
      <c r="G969" s="25" t="s">
        <v>8402</v>
      </c>
      <c r="H969" s="25" t="s">
        <v>8399</v>
      </c>
      <c r="I969" s="25" t="s">
        <v>9836</v>
      </c>
      <c r="J969" s="25" t="s">
        <v>5806</v>
      </c>
      <c r="K969" s="25" t="n">
        <v>0</v>
      </c>
      <c r="L969" s="25" t="str">
        <f aca="false">IF(K969&gt;0,"Yes","No")</f>
        <v>No</v>
      </c>
    </row>
    <row r="970" customFormat="false" ht="15" hidden="false" customHeight="false" outlineLevel="0" collapsed="false">
      <c r="A970" s="25" t="s">
        <v>9837</v>
      </c>
      <c r="B970" s="25" t="s">
        <v>8419</v>
      </c>
      <c r="C970" s="25" t="s">
        <v>8393</v>
      </c>
      <c r="D970" s="25" t="n">
        <v>9</v>
      </c>
      <c r="E970" s="25" t="s">
        <v>8394</v>
      </c>
      <c r="F970" s="25" t="s">
        <v>8395</v>
      </c>
      <c r="G970" s="25" t="s">
        <v>8402</v>
      </c>
      <c r="H970" s="25" t="s">
        <v>8399</v>
      </c>
      <c r="I970" s="25" t="s">
        <v>9838</v>
      </c>
      <c r="J970" s="25" t="s">
        <v>5806</v>
      </c>
      <c r="K970" s="25" t="n">
        <v>0</v>
      </c>
      <c r="L970" s="25" t="str">
        <f aca="false">IF(K970&gt;0,"Yes","No")</f>
        <v>No</v>
      </c>
    </row>
    <row r="971" customFormat="false" ht="15" hidden="false" customHeight="false" outlineLevel="0" collapsed="false">
      <c r="A971" s="25" t="s">
        <v>9839</v>
      </c>
      <c r="B971" s="25" t="s">
        <v>8419</v>
      </c>
      <c r="C971" s="25" t="s">
        <v>8393</v>
      </c>
      <c r="D971" s="25" t="n">
        <v>9</v>
      </c>
      <c r="E971" s="25" t="s">
        <v>8394</v>
      </c>
      <c r="F971" s="25" t="s">
        <v>8395</v>
      </c>
      <c r="G971" s="25" t="s">
        <v>8402</v>
      </c>
      <c r="H971" s="25" t="s">
        <v>8399</v>
      </c>
      <c r="I971" s="25" t="s">
        <v>9840</v>
      </c>
      <c r="J971" s="25" t="s">
        <v>5806</v>
      </c>
      <c r="K971" s="25" t="n">
        <v>0</v>
      </c>
      <c r="L971" s="25" t="str">
        <f aca="false">IF(K971&gt;0,"Yes","No")</f>
        <v>No</v>
      </c>
    </row>
    <row r="972" customFormat="false" ht="15" hidden="false" customHeight="false" outlineLevel="0" collapsed="false">
      <c r="A972" s="25" t="s">
        <v>9841</v>
      </c>
      <c r="B972" s="25" t="s">
        <v>8419</v>
      </c>
      <c r="C972" s="25" t="s">
        <v>8393</v>
      </c>
      <c r="D972" s="25" t="n">
        <v>9</v>
      </c>
      <c r="E972" s="25" t="s">
        <v>8394</v>
      </c>
      <c r="F972" s="25" t="s">
        <v>8395</v>
      </c>
      <c r="G972" s="25" t="s">
        <v>8402</v>
      </c>
      <c r="H972" s="25" t="s">
        <v>8399</v>
      </c>
      <c r="I972" s="25" t="s">
        <v>9842</v>
      </c>
      <c r="J972" s="25" t="s">
        <v>5806</v>
      </c>
      <c r="K972" s="25" t="n">
        <v>0</v>
      </c>
      <c r="L972" s="25" t="str">
        <f aca="false">IF(K972&gt;0,"Yes","No")</f>
        <v>No</v>
      </c>
    </row>
    <row r="973" customFormat="false" ht="15" hidden="false" customHeight="false" outlineLevel="0" collapsed="false">
      <c r="A973" s="25" t="s">
        <v>9843</v>
      </c>
      <c r="B973" s="25" t="s">
        <v>8419</v>
      </c>
      <c r="C973" s="25" t="s">
        <v>8393</v>
      </c>
      <c r="D973" s="25" t="n">
        <v>9</v>
      </c>
      <c r="E973" s="25" t="s">
        <v>8394</v>
      </c>
      <c r="F973" s="25" t="s">
        <v>8395</v>
      </c>
      <c r="G973" s="25" t="s">
        <v>8402</v>
      </c>
      <c r="H973" s="25" t="s">
        <v>8399</v>
      </c>
      <c r="I973" s="25" t="s">
        <v>9844</v>
      </c>
      <c r="J973" s="25" t="s">
        <v>5806</v>
      </c>
      <c r="K973" s="25" t="n">
        <v>0</v>
      </c>
      <c r="L973" s="25" t="str">
        <f aca="false">IF(K973&gt;0,"Yes","No")</f>
        <v>No</v>
      </c>
    </row>
    <row r="974" customFormat="false" ht="15" hidden="false" customHeight="false" outlineLevel="0" collapsed="false">
      <c r="A974" s="25" t="s">
        <v>9845</v>
      </c>
      <c r="B974" s="25" t="s">
        <v>8419</v>
      </c>
      <c r="C974" s="25" t="s">
        <v>8393</v>
      </c>
      <c r="D974" s="25" t="n">
        <v>9</v>
      </c>
      <c r="E974" s="25" t="s">
        <v>8394</v>
      </c>
      <c r="F974" s="25" t="s">
        <v>8395</v>
      </c>
      <c r="G974" s="25" t="s">
        <v>8402</v>
      </c>
      <c r="H974" s="25" t="s">
        <v>8399</v>
      </c>
      <c r="I974" s="25" t="s">
        <v>9846</v>
      </c>
      <c r="J974" s="25" t="s">
        <v>5806</v>
      </c>
      <c r="K974" s="25" t="n">
        <v>0</v>
      </c>
      <c r="L974" s="25" t="str">
        <f aca="false">IF(K974&gt;0,"Yes","No")</f>
        <v>No</v>
      </c>
    </row>
    <row r="975" customFormat="false" ht="15" hidden="false" customHeight="false" outlineLevel="0" collapsed="false">
      <c r="A975" s="25" t="s">
        <v>9847</v>
      </c>
      <c r="B975" s="25" t="s">
        <v>8419</v>
      </c>
      <c r="C975" s="25" t="s">
        <v>8393</v>
      </c>
      <c r="D975" s="25" t="n">
        <v>9</v>
      </c>
      <c r="E975" s="25" t="s">
        <v>8394</v>
      </c>
      <c r="F975" s="25" t="s">
        <v>8395</v>
      </c>
      <c r="G975" s="25" t="s">
        <v>8402</v>
      </c>
      <c r="H975" s="25" t="s">
        <v>8399</v>
      </c>
      <c r="I975" s="25" t="s">
        <v>9848</v>
      </c>
      <c r="J975" s="25" t="s">
        <v>5806</v>
      </c>
      <c r="K975" s="25" t="n">
        <v>0</v>
      </c>
      <c r="L975" s="25" t="str">
        <f aca="false">IF(K975&gt;0,"Yes","No")</f>
        <v>No</v>
      </c>
    </row>
    <row r="976" customFormat="false" ht="15" hidden="false" customHeight="false" outlineLevel="0" collapsed="false">
      <c r="A976" s="25" t="s">
        <v>9849</v>
      </c>
      <c r="B976" s="25" t="s">
        <v>8419</v>
      </c>
      <c r="C976" s="25" t="s">
        <v>8393</v>
      </c>
      <c r="D976" s="25" t="n">
        <v>9</v>
      </c>
      <c r="E976" s="25" t="s">
        <v>8394</v>
      </c>
      <c r="F976" s="25" t="s">
        <v>8395</v>
      </c>
      <c r="G976" s="25" t="s">
        <v>8402</v>
      </c>
      <c r="H976" s="25" t="s">
        <v>8399</v>
      </c>
      <c r="I976" s="25" t="s">
        <v>9850</v>
      </c>
      <c r="J976" s="25" t="s">
        <v>5806</v>
      </c>
      <c r="K976" s="25" t="n">
        <v>0</v>
      </c>
      <c r="L976" s="25" t="str">
        <f aca="false">IF(K976&gt;0,"Yes","No")</f>
        <v>No</v>
      </c>
    </row>
    <row r="977" customFormat="false" ht="15" hidden="false" customHeight="false" outlineLevel="0" collapsed="false">
      <c r="A977" s="25" t="s">
        <v>9851</v>
      </c>
      <c r="B977" s="25" t="s">
        <v>8419</v>
      </c>
      <c r="C977" s="25" t="s">
        <v>8393</v>
      </c>
      <c r="D977" s="25" t="n">
        <v>9</v>
      </c>
      <c r="E977" s="25" t="s">
        <v>8394</v>
      </c>
      <c r="F977" s="25" t="s">
        <v>8395</v>
      </c>
      <c r="G977" s="25" t="s">
        <v>8402</v>
      </c>
      <c r="H977" s="25" t="s">
        <v>8399</v>
      </c>
      <c r="I977" s="25" t="s">
        <v>9852</v>
      </c>
      <c r="J977" s="25" t="s">
        <v>5806</v>
      </c>
      <c r="K977" s="25" t="n">
        <v>0</v>
      </c>
      <c r="L977" s="25" t="str">
        <f aca="false">IF(K977&gt;0,"Yes","No")</f>
        <v>No</v>
      </c>
    </row>
    <row r="978" customFormat="false" ht="15" hidden="false" customHeight="false" outlineLevel="0" collapsed="false">
      <c r="A978" s="25" t="s">
        <v>9853</v>
      </c>
      <c r="B978" s="25" t="s">
        <v>8419</v>
      </c>
      <c r="C978" s="25" t="s">
        <v>8393</v>
      </c>
      <c r="D978" s="25" t="n">
        <v>9</v>
      </c>
      <c r="E978" s="25" t="s">
        <v>8394</v>
      </c>
      <c r="F978" s="25" t="s">
        <v>8395</v>
      </c>
      <c r="G978" s="25" t="s">
        <v>8402</v>
      </c>
      <c r="H978" s="25" t="s">
        <v>8399</v>
      </c>
      <c r="I978" s="25" t="s">
        <v>9854</v>
      </c>
      <c r="J978" s="25" t="s">
        <v>5806</v>
      </c>
      <c r="K978" s="25" t="n">
        <v>0</v>
      </c>
      <c r="L978" s="25" t="str">
        <f aca="false">IF(K978&gt;0,"Yes","No")</f>
        <v>No</v>
      </c>
    </row>
    <row r="979" customFormat="false" ht="15" hidden="false" customHeight="false" outlineLevel="0" collapsed="false">
      <c r="A979" s="25" t="s">
        <v>9855</v>
      </c>
      <c r="B979" s="25" t="s">
        <v>8419</v>
      </c>
      <c r="C979" s="25" t="s">
        <v>8393</v>
      </c>
      <c r="D979" s="25" t="n">
        <v>9</v>
      </c>
      <c r="E979" s="25" t="s">
        <v>8394</v>
      </c>
      <c r="F979" s="25" t="s">
        <v>8395</v>
      </c>
      <c r="G979" s="25" t="s">
        <v>8402</v>
      </c>
      <c r="H979" s="25" t="s">
        <v>8399</v>
      </c>
      <c r="I979" s="25" t="s">
        <v>9856</v>
      </c>
      <c r="J979" s="25" t="s">
        <v>5806</v>
      </c>
      <c r="K979" s="25" t="n">
        <v>0</v>
      </c>
      <c r="L979" s="25" t="str">
        <f aca="false">IF(K979&gt;0,"Yes","No")</f>
        <v>No</v>
      </c>
    </row>
    <row r="980" customFormat="false" ht="15" hidden="false" customHeight="false" outlineLevel="0" collapsed="false">
      <c r="A980" s="25" t="s">
        <v>9857</v>
      </c>
      <c r="B980" s="25" t="s">
        <v>8419</v>
      </c>
      <c r="C980" s="25" t="s">
        <v>8393</v>
      </c>
      <c r="D980" s="25" t="n">
        <v>9</v>
      </c>
      <c r="E980" s="25" t="s">
        <v>8394</v>
      </c>
      <c r="F980" s="25" t="s">
        <v>8395</v>
      </c>
      <c r="G980" s="25" t="s">
        <v>8402</v>
      </c>
      <c r="H980" s="25" t="s">
        <v>8399</v>
      </c>
      <c r="I980" s="25" t="s">
        <v>9858</v>
      </c>
      <c r="J980" s="25" t="s">
        <v>5806</v>
      </c>
      <c r="K980" s="25" t="n">
        <v>0</v>
      </c>
      <c r="L980" s="25" t="str">
        <f aca="false">IF(K980&gt;0,"Yes","No")</f>
        <v>No</v>
      </c>
    </row>
    <row r="981" customFormat="false" ht="15" hidden="false" customHeight="false" outlineLevel="0" collapsed="false">
      <c r="A981" s="25" t="s">
        <v>9859</v>
      </c>
      <c r="B981" s="25" t="s">
        <v>8419</v>
      </c>
      <c r="C981" s="25" t="s">
        <v>8393</v>
      </c>
      <c r="D981" s="25" t="n">
        <v>9</v>
      </c>
      <c r="E981" s="25" t="s">
        <v>8394</v>
      </c>
      <c r="F981" s="25" t="s">
        <v>8395</v>
      </c>
      <c r="G981" s="25" t="s">
        <v>8402</v>
      </c>
      <c r="H981" s="25" t="s">
        <v>8399</v>
      </c>
      <c r="I981" s="25" t="s">
        <v>9860</v>
      </c>
      <c r="J981" s="25" t="s">
        <v>5806</v>
      </c>
      <c r="K981" s="25" t="n">
        <v>0</v>
      </c>
      <c r="L981" s="25" t="str">
        <f aca="false">IF(K981&gt;0,"Yes","No")</f>
        <v>No</v>
      </c>
    </row>
    <row r="982" customFormat="false" ht="15" hidden="false" customHeight="false" outlineLevel="0" collapsed="false">
      <c r="A982" s="25" t="s">
        <v>9861</v>
      </c>
      <c r="B982" s="25" t="s">
        <v>8419</v>
      </c>
      <c r="C982" s="25" t="s">
        <v>8393</v>
      </c>
      <c r="D982" s="25" t="n">
        <v>9</v>
      </c>
      <c r="E982" s="25" t="s">
        <v>8394</v>
      </c>
      <c r="F982" s="25" t="s">
        <v>8395</v>
      </c>
      <c r="G982" s="25" t="s">
        <v>8402</v>
      </c>
      <c r="H982" s="25" t="s">
        <v>8399</v>
      </c>
      <c r="I982" s="25" t="s">
        <v>9862</v>
      </c>
      <c r="J982" s="25" t="s">
        <v>5806</v>
      </c>
      <c r="K982" s="25" t="n">
        <v>0</v>
      </c>
      <c r="L982" s="25" t="str">
        <f aca="false">IF(K982&gt;0,"Yes","No")</f>
        <v>No</v>
      </c>
    </row>
    <row r="983" customFormat="false" ht="15" hidden="false" customHeight="false" outlineLevel="0" collapsed="false">
      <c r="A983" s="25" t="s">
        <v>9863</v>
      </c>
      <c r="B983" s="25" t="s">
        <v>8419</v>
      </c>
      <c r="C983" s="25" t="s">
        <v>8393</v>
      </c>
      <c r="D983" s="25" t="n">
        <v>9</v>
      </c>
      <c r="E983" s="25" t="s">
        <v>8394</v>
      </c>
      <c r="F983" s="25" t="s">
        <v>8395</v>
      </c>
      <c r="G983" s="25" t="s">
        <v>8402</v>
      </c>
      <c r="H983" s="25" t="s">
        <v>8399</v>
      </c>
      <c r="I983" s="25" t="s">
        <v>9864</v>
      </c>
      <c r="J983" s="25" t="s">
        <v>5806</v>
      </c>
      <c r="K983" s="25" t="n">
        <v>0</v>
      </c>
      <c r="L983" s="25" t="str">
        <f aca="false">IF(K983&gt;0,"Yes","No")</f>
        <v>No</v>
      </c>
    </row>
    <row r="984" customFormat="false" ht="15" hidden="false" customHeight="false" outlineLevel="0" collapsed="false">
      <c r="A984" s="25" t="s">
        <v>9865</v>
      </c>
      <c r="B984" s="25" t="s">
        <v>8419</v>
      </c>
      <c r="C984" s="25" t="s">
        <v>8393</v>
      </c>
      <c r="D984" s="25" t="n">
        <v>9</v>
      </c>
      <c r="E984" s="25" t="s">
        <v>8394</v>
      </c>
      <c r="F984" s="25" t="s">
        <v>8395</v>
      </c>
      <c r="G984" s="25" t="s">
        <v>8402</v>
      </c>
      <c r="H984" s="25" t="s">
        <v>8399</v>
      </c>
      <c r="I984" s="25" t="s">
        <v>9866</v>
      </c>
      <c r="J984" s="25" t="s">
        <v>5806</v>
      </c>
      <c r="K984" s="25" t="n">
        <v>0</v>
      </c>
      <c r="L984" s="25" t="str">
        <f aca="false">IF(K984&gt;0,"Yes","No")</f>
        <v>No</v>
      </c>
    </row>
    <row r="985" customFormat="false" ht="15" hidden="false" customHeight="false" outlineLevel="0" collapsed="false">
      <c r="A985" s="25" t="s">
        <v>9867</v>
      </c>
      <c r="B985" s="25" t="s">
        <v>8419</v>
      </c>
      <c r="C985" s="25" t="s">
        <v>8393</v>
      </c>
      <c r="D985" s="25" t="n">
        <v>9</v>
      </c>
      <c r="E985" s="25" t="s">
        <v>8394</v>
      </c>
      <c r="F985" s="25" t="s">
        <v>8395</v>
      </c>
      <c r="G985" s="25" t="s">
        <v>8402</v>
      </c>
      <c r="H985" s="25" t="s">
        <v>8399</v>
      </c>
      <c r="I985" s="25" t="s">
        <v>9868</v>
      </c>
      <c r="J985" s="25" t="s">
        <v>5806</v>
      </c>
      <c r="K985" s="25" t="n">
        <v>0</v>
      </c>
      <c r="L985" s="25" t="str">
        <f aca="false">IF(K985&gt;0,"Yes","No")</f>
        <v>No</v>
      </c>
    </row>
    <row r="986" customFormat="false" ht="15" hidden="false" customHeight="false" outlineLevel="0" collapsed="false">
      <c r="A986" s="25" t="s">
        <v>9869</v>
      </c>
      <c r="B986" s="25" t="s">
        <v>8419</v>
      </c>
      <c r="C986" s="25" t="s">
        <v>8393</v>
      </c>
      <c r="D986" s="25" t="n">
        <v>9</v>
      </c>
      <c r="E986" s="25" t="s">
        <v>8394</v>
      </c>
      <c r="F986" s="25" t="s">
        <v>8395</v>
      </c>
      <c r="G986" s="25" t="s">
        <v>8402</v>
      </c>
      <c r="H986" s="25" t="s">
        <v>8399</v>
      </c>
      <c r="I986" s="25" t="s">
        <v>9870</v>
      </c>
      <c r="J986" s="25" t="s">
        <v>5806</v>
      </c>
      <c r="K986" s="25" t="n">
        <v>0</v>
      </c>
      <c r="L986" s="25" t="str">
        <f aca="false">IF(K986&gt;0,"Yes","No")</f>
        <v>No</v>
      </c>
    </row>
    <row r="987" customFormat="false" ht="15" hidden="false" customHeight="false" outlineLevel="0" collapsed="false">
      <c r="A987" s="25" t="s">
        <v>9871</v>
      </c>
      <c r="B987" s="25" t="s">
        <v>8419</v>
      </c>
      <c r="C987" s="25" t="s">
        <v>8393</v>
      </c>
      <c r="D987" s="25" t="n">
        <v>9</v>
      </c>
      <c r="E987" s="25" t="s">
        <v>8394</v>
      </c>
      <c r="F987" s="25" t="s">
        <v>8395</v>
      </c>
      <c r="G987" s="25" t="s">
        <v>8396</v>
      </c>
      <c r="H987" s="25" t="s">
        <v>8397</v>
      </c>
      <c r="I987" s="25" t="s">
        <v>9872</v>
      </c>
      <c r="J987" s="25" t="s">
        <v>1430</v>
      </c>
      <c r="K987" s="25" t="n">
        <v>0</v>
      </c>
      <c r="L987" s="25" t="str">
        <f aca="false">IF(K987&gt;0,"Yes","No")</f>
        <v>No</v>
      </c>
    </row>
    <row r="988" customFormat="false" ht="15" hidden="false" customHeight="false" outlineLevel="0" collapsed="false">
      <c r="A988" s="25" t="s">
        <v>9873</v>
      </c>
      <c r="B988" s="25" t="s">
        <v>8419</v>
      </c>
      <c r="C988" s="25" t="s">
        <v>8393</v>
      </c>
      <c r="D988" s="25" t="n">
        <v>9</v>
      </c>
      <c r="E988" s="25" t="s">
        <v>8394</v>
      </c>
      <c r="F988" s="25" t="s">
        <v>8395</v>
      </c>
      <c r="G988" s="25" t="s">
        <v>8396</v>
      </c>
      <c r="H988" s="25" t="s">
        <v>8397</v>
      </c>
      <c r="I988" s="25" t="s">
        <v>9874</v>
      </c>
      <c r="J988" s="25" t="s">
        <v>1430</v>
      </c>
      <c r="K988" s="25" t="n">
        <v>0</v>
      </c>
      <c r="L988" s="25" t="str">
        <f aca="false">IF(K988&gt;0,"Yes","No")</f>
        <v>No</v>
      </c>
    </row>
    <row r="989" customFormat="false" ht="15" hidden="false" customHeight="false" outlineLevel="0" collapsed="false">
      <c r="A989" s="25" t="s">
        <v>9875</v>
      </c>
      <c r="B989" s="25" t="s">
        <v>8419</v>
      </c>
      <c r="C989" s="25" t="s">
        <v>8393</v>
      </c>
      <c r="D989" s="25" t="n">
        <v>9</v>
      </c>
      <c r="E989" s="25" t="s">
        <v>8394</v>
      </c>
      <c r="F989" s="25" t="s">
        <v>8395</v>
      </c>
      <c r="G989" s="25" t="s">
        <v>8396</v>
      </c>
      <c r="H989" s="25" t="s">
        <v>8397</v>
      </c>
      <c r="I989" s="25" t="s">
        <v>9876</v>
      </c>
      <c r="J989" s="25" t="s">
        <v>1430</v>
      </c>
      <c r="K989" s="25" t="n">
        <v>0</v>
      </c>
      <c r="L989" s="25" t="str">
        <f aca="false">IF(K989&gt;0,"Yes","No")</f>
        <v>No</v>
      </c>
    </row>
    <row r="990" customFormat="false" ht="15" hidden="false" customHeight="false" outlineLevel="0" collapsed="false">
      <c r="A990" s="25" t="s">
        <v>9877</v>
      </c>
      <c r="B990" s="25" t="s">
        <v>8392</v>
      </c>
      <c r="C990" s="25" t="s">
        <v>8393</v>
      </c>
      <c r="D990" s="25" t="n">
        <v>9</v>
      </c>
      <c r="E990" s="25" t="s">
        <v>8394</v>
      </c>
      <c r="F990" s="25" t="s">
        <v>8395</v>
      </c>
      <c r="G990" s="25" t="s">
        <v>8396</v>
      </c>
      <c r="H990" s="25" t="s">
        <v>8397</v>
      </c>
      <c r="I990" s="25" t="s">
        <v>9878</v>
      </c>
      <c r="J990" s="25" t="s">
        <v>1430</v>
      </c>
      <c r="K990" s="25" t="n">
        <v>0</v>
      </c>
      <c r="L990" s="25" t="str">
        <f aca="false">IF(K990&gt;0,"Yes","No")</f>
        <v>No</v>
      </c>
    </row>
    <row r="991" customFormat="false" ht="15" hidden="false" customHeight="false" outlineLevel="0" collapsed="false">
      <c r="A991" s="25" t="s">
        <v>9879</v>
      </c>
      <c r="B991" s="25" t="s">
        <v>8419</v>
      </c>
      <c r="C991" s="25" t="s">
        <v>8393</v>
      </c>
      <c r="D991" s="25" t="n">
        <v>9</v>
      </c>
      <c r="E991" s="25" t="s">
        <v>8394</v>
      </c>
      <c r="F991" s="25" t="s">
        <v>8395</v>
      </c>
      <c r="G991" s="25" t="s">
        <v>8396</v>
      </c>
      <c r="H991" s="25" t="s">
        <v>8397</v>
      </c>
      <c r="I991" s="25" t="s">
        <v>9880</v>
      </c>
      <c r="J991" s="25" t="s">
        <v>9881</v>
      </c>
      <c r="K991" s="25" t="n">
        <v>0</v>
      </c>
      <c r="L991" s="25" t="str">
        <f aca="false">IF(K991&gt;0,"Yes","No")</f>
        <v>No</v>
      </c>
    </row>
    <row r="992" customFormat="false" ht="15" hidden="false" customHeight="false" outlineLevel="0" collapsed="false">
      <c r="A992" s="25" t="s">
        <v>9882</v>
      </c>
      <c r="B992" s="25" t="s">
        <v>8419</v>
      </c>
      <c r="C992" s="25" t="s">
        <v>8393</v>
      </c>
      <c r="D992" s="25" t="n">
        <v>9</v>
      </c>
      <c r="E992" s="25" t="s">
        <v>8394</v>
      </c>
      <c r="F992" s="25" t="s">
        <v>8395</v>
      </c>
      <c r="G992" s="25" t="s">
        <v>8396</v>
      </c>
      <c r="H992" s="25" t="s">
        <v>8406</v>
      </c>
      <c r="I992" s="25" t="s">
        <v>9883</v>
      </c>
      <c r="J992" s="25" t="s">
        <v>7079</v>
      </c>
      <c r="K992" s="25" t="n">
        <v>0</v>
      </c>
      <c r="L992" s="25" t="str">
        <f aca="false">IF(K992&gt;0,"Yes","No")</f>
        <v>No</v>
      </c>
    </row>
    <row r="993" customFormat="false" ht="15" hidden="false" customHeight="false" outlineLevel="0" collapsed="false">
      <c r="A993" s="25" t="s">
        <v>9884</v>
      </c>
      <c r="B993" s="25" t="s">
        <v>8419</v>
      </c>
      <c r="C993" s="25" t="s">
        <v>8393</v>
      </c>
      <c r="D993" s="25" t="n">
        <v>9</v>
      </c>
      <c r="E993" s="25" t="s">
        <v>8394</v>
      </c>
      <c r="F993" s="25" t="s">
        <v>8395</v>
      </c>
      <c r="G993" s="25" t="s">
        <v>8396</v>
      </c>
      <c r="H993" s="25" t="s">
        <v>8406</v>
      </c>
      <c r="I993" s="25" t="s">
        <v>9885</v>
      </c>
      <c r="J993" s="25" t="s">
        <v>7079</v>
      </c>
      <c r="K993" s="25" t="n">
        <v>0</v>
      </c>
      <c r="L993" s="25" t="str">
        <f aca="false">IF(K993&gt;0,"Yes","No")</f>
        <v>No</v>
      </c>
    </row>
    <row r="994" customFormat="false" ht="15" hidden="false" customHeight="false" outlineLevel="0" collapsed="false">
      <c r="A994" s="25" t="s">
        <v>9886</v>
      </c>
      <c r="B994" s="25" t="s">
        <v>8419</v>
      </c>
      <c r="C994" s="25" t="s">
        <v>8393</v>
      </c>
      <c r="D994" s="25" t="n">
        <v>9</v>
      </c>
      <c r="E994" s="25" t="s">
        <v>8394</v>
      </c>
      <c r="F994" s="25" t="s">
        <v>8395</v>
      </c>
      <c r="G994" s="25" t="s">
        <v>8396</v>
      </c>
      <c r="H994" s="25" t="s">
        <v>8406</v>
      </c>
      <c r="I994" s="25" t="s">
        <v>9887</v>
      </c>
      <c r="J994" s="25" t="s">
        <v>7079</v>
      </c>
      <c r="K994" s="25" t="n">
        <v>0</v>
      </c>
      <c r="L994" s="25" t="str">
        <f aca="false">IF(K994&gt;0,"Yes","No")</f>
        <v>No</v>
      </c>
    </row>
    <row r="995" customFormat="false" ht="15" hidden="false" customHeight="false" outlineLevel="0" collapsed="false">
      <c r="A995" s="25" t="s">
        <v>9888</v>
      </c>
      <c r="B995" s="25" t="s">
        <v>8419</v>
      </c>
      <c r="C995" s="25" t="s">
        <v>8393</v>
      </c>
      <c r="D995" s="25" t="n">
        <v>9</v>
      </c>
      <c r="E995" s="25" t="s">
        <v>8394</v>
      </c>
      <c r="F995" s="25" t="s">
        <v>8395</v>
      </c>
      <c r="G995" s="25" t="s">
        <v>8396</v>
      </c>
      <c r="H995" s="25" t="s">
        <v>8406</v>
      </c>
      <c r="I995" s="25" t="s">
        <v>9889</v>
      </c>
      <c r="J995" s="25" t="s">
        <v>7079</v>
      </c>
      <c r="K995" s="25" t="n">
        <v>0</v>
      </c>
      <c r="L995" s="25" t="str">
        <f aca="false">IF(K995&gt;0,"Yes","No")</f>
        <v>No</v>
      </c>
    </row>
    <row r="996" customFormat="false" ht="15" hidden="false" customHeight="false" outlineLevel="0" collapsed="false">
      <c r="A996" s="25" t="s">
        <v>9890</v>
      </c>
      <c r="B996" s="25" t="s">
        <v>8392</v>
      </c>
      <c r="C996" s="25" t="s">
        <v>8393</v>
      </c>
      <c r="D996" s="25" t="n">
        <v>9</v>
      </c>
      <c r="E996" s="25" t="s">
        <v>8394</v>
      </c>
      <c r="F996" s="25" t="s">
        <v>8395</v>
      </c>
      <c r="G996" s="25" t="s">
        <v>8396</v>
      </c>
      <c r="H996" s="25" t="s">
        <v>9132</v>
      </c>
      <c r="I996" s="25" t="s">
        <v>9891</v>
      </c>
      <c r="J996" s="25" t="s">
        <v>7079</v>
      </c>
      <c r="K996" s="25" t="n">
        <v>0</v>
      </c>
      <c r="L996" s="25" t="str">
        <f aca="false">IF(K996&gt;0,"Yes","No")</f>
        <v>No</v>
      </c>
    </row>
    <row r="997" customFormat="false" ht="15" hidden="false" customHeight="false" outlineLevel="0" collapsed="false">
      <c r="A997" s="25" t="s">
        <v>9892</v>
      </c>
      <c r="B997" s="25" t="s">
        <v>8392</v>
      </c>
      <c r="C997" s="25" t="s">
        <v>8393</v>
      </c>
      <c r="D997" s="25" t="n">
        <v>9</v>
      </c>
      <c r="E997" s="25" t="s">
        <v>8394</v>
      </c>
      <c r="F997" s="25" t="s">
        <v>8395</v>
      </c>
      <c r="G997" s="25" t="s">
        <v>8396</v>
      </c>
      <c r="H997" s="25" t="s">
        <v>9132</v>
      </c>
      <c r="I997" s="25" t="s">
        <v>9893</v>
      </c>
      <c r="J997" s="25" t="s">
        <v>7079</v>
      </c>
      <c r="K997" s="25" t="n">
        <v>0</v>
      </c>
      <c r="L997" s="25" t="str">
        <f aca="false">IF(K997&gt;0,"Yes","No")</f>
        <v>No</v>
      </c>
    </row>
    <row r="998" customFormat="false" ht="15" hidden="false" customHeight="false" outlineLevel="0" collapsed="false">
      <c r="A998" s="25" t="s">
        <v>9894</v>
      </c>
      <c r="B998" s="25" t="s">
        <v>8392</v>
      </c>
      <c r="C998" s="25" t="s">
        <v>8393</v>
      </c>
      <c r="D998" s="25" t="n">
        <v>9</v>
      </c>
      <c r="E998" s="25" t="s">
        <v>8394</v>
      </c>
      <c r="F998" s="25" t="s">
        <v>8395</v>
      </c>
      <c r="G998" s="25" t="s">
        <v>8396</v>
      </c>
      <c r="H998" s="25" t="s">
        <v>9132</v>
      </c>
      <c r="I998" s="25" t="s">
        <v>9895</v>
      </c>
      <c r="J998" s="25" t="s">
        <v>7079</v>
      </c>
      <c r="K998" s="25" t="n">
        <v>0</v>
      </c>
      <c r="L998" s="25" t="str">
        <f aca="false">IF(K998&gt;0,"Yes","No")</f>
        <v>No</v>
      </c>
    </row>
    <row r="999" customFormat="false" ht="15" hidden="false" customHeight="false" outlineLevel="0" collapsed="false">
      <c r="A999" s="25" t="s">
        <v>9896</v>
      </c>
      <c r="B999" s="25" t="s">
        <v>8392</v>
      </c>
      <c r="C999" s="25" t="s">
        <v>8393</v>
      </c>
      <c r="D999" s="25" t="n">
        <v>9</v>
      </c>
      <c r="E999" s="25" t="s">
        <v>8394</v>
      </c>
      <c r="F999" s="25" t="s">
        <v>8395</v>
      </c>
      <c r="G999" s="25" t="s">
        <v>8396</v>
      </c>
      <c r="H999" s="25" t="s">
        <v>9132</v>
      </c>
      <c r="I999" s="25" t="s">
        <v>9897</v>
      </c>
      <c r="J999" s="25" t="s">
        <v>7079</v>
      </c>
      <c r="K999" s="25" t="n">
        <v>0</v>
      </c>
      <c r="L999" s="25" t="str">
        <f aca="false">IF(K999&gt;0,"Yes","No")</f>
        <v>No</v>
      </c>
    </row>
    <row r="1000" customFormat="false" ht="15" hidden="false" customHeight="false" outlineLevel="0" collapsed="false">
      <c r="A1000" s="25" t="s">
        <v>9898</v>
      </c>
      <c r="B1000" s="25" t="s">
        <v>8392</v>
      </c>
      <c r="C1000" s="25" t="s">
        <v>8393</v>
      </c>
      <c r="D1000" s="25" t="n">
        <v>9</v>
      </c>
      <c r="E1000" s="25" t="s">
        <v>8394</v>
      </c>
      <c r="F1000" s="25" t="s">
        <v>8395</v>
      </c>
      <c r="G1000" s="25" t="s">
        <v>8396</v>
      </c>
      <c r="H1000" s="25" t="s">
        <v>8399</v>
      </c>
      <c r="I1000" s="25" t="s">
        <v>9899</v>
      </c>
      <c r="J1000" s="25" t="s">
        <v>9900</v>
      </c>
      <c r="K1000" s="25" t="n">
        <v>0</v>
      </c>
      <c r="L1000" s="25" t="str">
        <f aca="false">IF(K1000&gt;0,"Yes","No")</f>
        <v>No</v>
      </c>
    </row>
    <row r="1001" customFormat="false" ht="15" hidden="false" customHeight="false" outlineLevel="0" collapsed="false">
      <c r="A1001" s="25" t="s">
        <v>9901</v>
      </c>
      <c r="B1001" s="25" t="s">
        <v>8392</v>
      </c>
      <c r="C1001" s="25" t="s">
        <v>8393</v>
      </c>
      <c r="D1001" s="25" t="n">
        <v>9</v>
      </c>
      <c r="E1001" s="25" t="s">
        <v>8394</v>
      </c>
      <c r="F1001" s="25" t="s">
        <v>8395</v>
      </c>
      <c r="G1001" s="25" t="s">
        <v>8396</v>
      </c>
      <c r="H1001" s="25" t="s">
        <v>8399</v>
      </c>
      <c r="I1001" s="25" t="s">
        <v>9902</v>
      </c>
      <c r="J1001" s="25" t="s">
        <v>9900</v>
      </c>
      <c r="K1001" s="25" t="n">
        <v>0</v>
      </c>
      <c r="L1001" s="25" t="str">
        <f aca="false">IF(K1001&gt;0,"Yes","No")</f>
        <v>No</v>
      </c>
    </row>
    <row r="1002" customFormat="false" ht="15" hidden="false" customHeight="false" outlineLevel="0" collapsed="false">
      <c r="A1002" s="25" t="s">
        <v>9903</v>
      </c>
      <c r="B1002" s="25" t="s">
        <v>8392</v>
      </c>
      <c r="C1002" s="25" t="s">
        <v>8393</v>
      </c>
      <c r="D1002" s="25" t="n">
        <v>9</v>
      </c>
      <c r="E1002" s="25" t="s">
        <v>8394</v>
      </c>
      <c r="F1002" s="25" t="s">
        <v>8395</v>
      </c>
      <c r="G1002" s="25" t="s">
        <v>8398</v>
      </c>
      <c r="H1002" s="25"/>
      <c r="I1002" s="25" t="s">
        <v>9904</v>
      </c>
      <c r="J1002" s="25" t="s">
        <v>9905</v>
      </c>
      <c r="K1002" s="25" t="n">
        <v>0</v>
      </c>
      <c r="L1002" s="25" t="str">
        <f aca="false">IF(K1002&gt;0,"Yes","No")</f>
        <v>No</v>
      </c>
    </row>
    <row r="1003" customFormat="false" ht="15" hidden="false" customHeight="false" outlineLevel="0" collapsed="false">
      <c r="A1003" s="25" t="s">
        <v>9906</v>
      </c>
      <c r="B1003" s="25" t="s">
        <v>8392</v>
      </c>
      <c r="C1003" s="25" t="s">
        <v>8393</v>
      </c>
      <c r="D1003" s="25" t="n">
        <v>9</v>
      </c>
      <c r="E1003" s="25" t="s">
        <v>8394</v>
      </c>
      <c r="F1003" s="25" t="s">
        <v>8395</v>
      </c>
      <c r="G1003" s="25" t="s">
        <v>8398</v>
      </c>
      <c r="H1003" s="25"/>
      <c r="I1003" s="25" t="s">
        <v>9907</v>
      </c>
      <c r="J1003" s="25" t="s">
        <v>9905</v>
      </c>
      <c r="K1003" s="25" t="n">
        <v>0</v>
      </c>
      <c r="L1003" s="25" t="str">
        <f aca="false">IF(K1003&gt;0,"Yes","No")</f>
        <v>No</v>
      </c>
    </row>
    <row r="1004" customFormat="false" ht="15" hidden="false" customHeight="false" outlineLevel="0" collapsed="false">
      <c r="A1004" s="25" t="s">
        <v>9908</v>
      </c>
      <c r="B1004" s="25" t="s">
        <v>8392</v>
      </c>
      <c r="C1004" s="25" t="s">
        <v>8393</v>
      </c>
      <c r="D1004" s="25" t="n">
        <v>9</v>
      </c>
      <c r="E1004" s="25" t="s">
        <v>8394</v>
      </c>
      <c r="F1004" s="25" t="s">
        <v>8395</v>
      </c>
      <c r="G1004" s="25" t="s">
        <v>8398</v>
      </c>
      <c r="H1004" s="25"/>
      <c r="I1004" s="25" t="s">
        <v>9909</v>
      </c>
      <c r="J1004" s="25" t="s">
        <v>988</v>
      </c>
      <c r="K1004" s="25" t="n">
        <v>0</v>
      </c>
      <c r="L1004" s="25" t="str">
        <f aca="false">IF(K1004&gt;0,"Yes","No")</f>
        <v>No</v>
      </c>
    </row>
    <row r="1005" customFormat="false" ht="15" hidden="false" customHeight="false" outlineLevel="0" collapsed="false">
      <c r="A1005" s="25" t="s">
        <v>9910</v>
      </c>
      <c r="B1005" s="25" t="s">
        <v>8392</v>
      </c>
      <c r="C1005" s="25" t="s">
        <v>8393</v>
      </c>
      <c r="D1005" s="25" t="n">
        <v>9</v>
      </c>
      <c r="E1005" s="25" t="s">
        <v>8394</v>
      </c>
      <c r="F1005" s="25" t="s">
        <v>8395</v>
      </c>
      <c r="G1005" s="25" t="s">
        <v>8396</v>
      </c>
      <c r="H1005" s="25" t="s">
        <v>9911</v>
      </c>
      <c r="I1005" s="25" t="s">
        <v>9912</v>
      </c>
      <c r="J1005" s="25" t="s">
        <v>988</v>
      </c>
      <c r="K1005" s="25" t="n">
        <v>0</v>
      </c>
      <c r="L1005" s="25" t="str">
        <f aca="false">IF(K1005&gt;0,"Yes","No")</f>
        <v>No</v>
      </c>
    </row>
    <row r="1006" customFormat="false" ht="15" hidden="false" customHeight="false" outlineLevel="0" collapsed="false">
      <c r="A1006" s="25" t="s">
        <v>9913</v>
      </c>
      <c r="B1006" s="25" t="s">
        <v>8392</v>
      </c>
      <c r="C1006" s="25" t="s">
        <v>8393</v>
      </c>
      <c r="D1006" s="25" t="n">
        <v>9</v>
      </c>
      <c r="E1006" s="25" t="s">
        <v>8394</v>
      </c>
      <c r="F1006" s="25" t="s">
        <v>8395</v>
      </c>
      <c r="G1006" s="25" t="s">
        <v>8396</v>
      </c>
      <c r="H1006" s="25" t="s">
        <v>9911</v>
      </c>
      <c r="I1006" s="25" t="s">
        <v>9914</v>
      </c>
      <c r="J1006" s="25" t="s">
        <v>988</v>
      </c>
      <c r="K1006" s="25" t="n">
        <v>0</v>
      </c>
      <c r="L1006" s="25" t="str">
        <f aca="false">IF(K1006&gt;0,"Yes","No")</f>
        <v>No</v>
      </c>
    </row>
    <row r="1007" customFormat="false" ht="15" hidden="false" customHeight="false" outlineLevel="0" collapsed="false">
      <c r="A1007" s="25" t="s">
        <v>9915</v>
      </c>
      <c r="B1007" s="25" t="s">
        <v>8392</v>
      </c>
      <c r="C1007" s="25" t="s">
        <v>8393</v>
      </c>
      <c r="D1007" s="25" t="n">
        <v>9</v>
      </c>
      <c r="E1007" s="25" t="s">
        <v>8394</v>
      </c>
      <c r="F1007" s="25" t="s">
        <v>8395</v>
      </c>
      <c r="G1007" s="25" t="s">
        <v>8396</v>
      </c>
      <c r="H1007" s="25" t="s">
        <v>9911</v>
      </c>
      <c r="I1007" s="25" t="s">
        <v>9916</v>
      </c>
      <c r="J1007" s="25" t="s">
        <v>988</v>
      </c>
      <c r="K1007" s="25" t="n">
        <v>0</v>
      </c>
      <c r="L1007" s="25" t="str">
        <f aca="false">IF(K1007&gt;0,"Yes","No")</f>
        <v>No</v>
      </c>
    </row>
    <row r="1008" customFormat="false" ht="15" hidden="false" customHeight="false" outlineLevel="0" collapsed="false">
      <c r="A1008" s="25" t="s">
        <v>9917</v>
      </c>
      <c r="B1008" s="25" t="s">
        <v>8392</v>
      </c>
      <c r="C1008" s="25" t="s">
        <v>8393</v>
      </c>
      <c r="D1008" s="25" t="n">
        <v>9</v>
      </c>
      <c r="E1008" s="25" t="s">
        <v>8394</v>
      </c>
      <c r="F1008" s="25" t="s">
        <v>8395</v>
      </c>
      <c r="G1008" s="25" t="s">
        <v>8396</v>
      </c>
      <c r="H1008" s="25" t="s">
        <v>9911</v>
      </c>
      <c r="I1008" s="25" t="s">
        <v>9918</v>
      </c>
      <c r="J1008" s="25" t="s">
        <v>988</v>
      </c>
      <c r="K1008" s="25" t="n">
        <v>0</v>
      </c>
      <c r="L1008" s="25" t="str">
        <f aca="false">IF(K1008&gt;0,"Yes","No")</f>
        <v>No</v>
      </c>
    </row>
    <row r="1009" customFormat="false" ht="15" hidden="false" customHeight="false" outlineLevel="0" collapsed="false">
      <c r="A1009" s="25" t="s">
        <v>9919</v>
      </c>
      <c r="B1009" s="25" t="s">
        <v>8392</v>
      </c>
      <c r="C1009" s="25" t="s">
        <v>8393</v>
      </c>
      <c r="D1009" s="25" t="n">
        <v>9</v>
      </c>
      <c r="E1009" s="25" t="s">
        <v>8394</v>
      </c>
      <c r="F1009" s="25" t="s">
        <v>8395</v>
      </c>
      <c r="G1009" s="25" t="s">
        <v>8398</v>
      </c>
      <c r="H1009" s="25"/>
      <c r="I1009" s="25" t="s">
        <v>9920</v>
      </c>
      <c r="J1009" s="25" t="s">
        <v>9921</v>
      </c>
      <c r="K1009" s="25" t="n">
        <v>0</v>
      </c>
      <c r="L1009" s="25" t="str">
        <f aca="false">IF(K1009&gt;0,"Yes","No")</f>
        <v>No</v>
      </c>
    </row>
    <row r="1010" customFormat="false" ht="15" hidden="false" customHeight="false" outlineLevel="0" collapsed="false">
      <c r="A1010" s="25" t="s">
        <v>9922</v>
      </c>
      <c r="B1010" s="25" t="s">
        <v>8419</v>
      </c>
      <c r="C1010" s="25" t="s">
        <v>8393</v>
      </c>
      <c r="D1010" s="25" t="n">
        <v>9</v>
      </c>
      <c r="E1010" s="25" t="s">
        <v>8394</v>
      </c>
      <c r="F1010" s="25" t="s">
        <v>8395</v>
      </c>
      <c r="G1010" s="25" t="s">
        <v>8396</v>
      </c>
      <c r="H1010" s="25" t="s">
        <v>8399</v>
      </c>
      <c r="I1010" s="25" t="s">
        <v>9923</v>
      </c>
      <c r="J1010" s="25" t="s">
        <v>9924</v>
      </c>
      <c r="K1010" s="25" t="n">
        <v>0</v>
      </c>
      <c r="L1010" s="25" t="str">
        <f aca="false">IF(K1010&gt;0,"Yes","No")</f>
        <v>No</v>
      </c>
    </row>
    <row r="1011" customFormat="false" ht="15" hidden="false" customHeight="false" outlineLevel="0" collapsed="false">
      <c r="A1011" s="25" t="s">
        <v>9925</v>
      </c>
      <c r="B1011" s="25" t="s">
        <v>8392</v>
      </c>
      <c r="C1011" s="25" t="s">
        <v>8393</v>
      </c>
      <c r="D1011" s="25" t="n">
        <v>9</v>
      </c>
      <c r="E1011" s="25" t="s">
        <v>8394</v>
      </c>
      <c r="F1011" s="25" t="s">
        <v>8395</v>
      </c>
      <c r="G1011" s="25" t="s">
        <v>8398</v>
      </c>
      <c r="H1011" s="25"/>
      <c r="I1011" s="25" t="s">
        <v>8922</v>
      </c>
      <c r="J1011" s="25" t="s">
        <v>9924</v>
      </c>
      <c r="K1011" s="25" t="n">
        <v>0</v>
      </c>
      <c r="L1011" s="25" t="str">
        <f aca="false">IF(K1011&gt;0,"Yes","No")</f>
        <v>No</v>
      </c>
    </row>
    <row r="1012" customFormat="false" ht="15" hidden="false" customHeight="false" outlineLevel="0" collapsed="false">
      <c r="A1012" s="25" t="s">
        <v>9926</v>
      </c>
      <c r="B1012" s="25" t="s">
        <v>8392</v>
      </c>
      <c r="C1012" s="25" t="s">
        <v>8393</v>
      </c>
      <c r="D1012" s="25" t="n">
        <v>9</v>
      </c>
      <c r="E1012" s="25" t="s">
        <v>8394</v>
      </c>
      <c r="F1012" s="25" t="s">
        <v>8395</v>
      </c>
      <c r="G1012" s="25" t="s">
        <v>8398</v>
      </c>
      <c r="H1012" s="25"/>
      <c r="I1012" s="25" t="s">
        <v>9927</v>
      </c>
      <c r="J1012" s="25" t="s">
        <v>9924</v>
      </c>
      <c r="K1012" s="25" t="n">
        <v>0</v>
      </c>
      <c r="L1012" s="25" t="str">
        <f aca="false">IF(K1012&gt;0,"Yes","No")</f>
        <v>No</v>
      </c>
    </row>
    <row r="1013" customFormat="false" ht="15" hidden="false" customHeight="false" outlineLevel="0" collapsed="false">
      <c r="A1013" s="25" t="s">
        <v>9928</v>
      </c>
      <c r="B1013" s="25" t="s">
        <v>8419</v>
      </c>
      <c r="C1013" s="25" t="s">
        <v>8393</v>
      </c>
      <c r="D1013" s="25" t="n">
        <v>9</v>
      </c>
      <c r="E1013" s="25" t="s">
        <v>8394</v>
      </c>
      <c r="F1013" s="25" t="s">
        <v>8395</v>
      </c>
      <c r="G1013" s="25" t="s">
        <v>8396</v>
      </c>
      <c r="H1013" s="25" t="s">
        <v>8399</v>
      </c>
      <c r="I1013" s="25" t="s">
        <v>9929</v>
      </c>
      <c r="J1013" s="25" t="s">
        <v>9924</v>
      </c>
      <c r="K1013" s="25" t="n">
        <v>0</v>
      </c>
      <c r="L1013" s="25" t="str">
        <f aca="false">IF(K1013&gt;0,"Yes","No")</f>
        <v>No</v>
      </c>
    </row>
    <row r="1014" customFormat="false" ht="15" hidden="false" customHeight="false" outlineLevel="0" collapsed="false">
      <c r="A1014" s="25" t="s">
        <v>9930</v>
      </c>
      <c r="B1014" s="25" t="s">
        <v>8419</v>
      </c>
      <c r="C1014" s="25" t="s">
        <v>8393</v>
      </c>
      <c r="D1014" s="25" t="n">
        <v>9</v>
      </c>
      <c r="E1014" s="25" t="s">
        <v>8394</v>
      </c>
      <c r="F1014" s="25" t="s">
        <v>8395</v>
      </c>
      <c r="G1014" s="25" t="s">
        <v>8396</v>
      </c>
      <c r="H1014" s="25" t="s">
        <v>8399</v>
      </c>
      <c r="I1014" s="25" t="s">
        <v>9931</v>
      </c>
      <c r="J1014" s="25" t="s">
        <v>9924</v>
      </c>
      <c r="K1014" s="25" t="n">
        <v>0</v>
      </c>
      <c r="L1014" s="25" t="str">
        <f aca="false">IF(K1014&gt;0,"Yes","No")</f>
        <v>No</v>
      </c>
    </row>
    <row r="1015" customFormat="false" ht="15" hidden="false" customHeight="false" outlineLevel="0" collapsed="false">
      <c r="A1015" s="25" t="s">
        <v>9932</v>
      </c>
      <c r="B1015" s="25" t="s">
        <v>8419</v>
      </c>
      <c r="C1015" s="25" t="s">
        <v>8393</v>
      </c>
      <c r="D1015" s="25" t="n">
        <v>9</v>
      </c>
      <c r="E1015" s="25" t="s">
        <v>8394</v>
      </c>
      <c r="F1015" s="25" t="s">
        <v>8395</v>
      </c>
      <c r="G1015" s="25" t="s">
        <v>8396</v>
      </c>
      <c r="H1015" s="25" t="s">
        <v>8399</v>
      </c>
      <c r="I1015" s="25" t="s">
        <v>9933</v>
      </c>
      <c r="J1015" s="25" t="s">
        <v>9924</v>
      </c>
      <c r="K1015" s="25" t="n">
        <v>0</v>
      </c>
      <c r="L1015" s="25" t="str">
        <f aca="false">IF(K1015&gt;0,"Yes","No")</f>
        <v>No</v>
      </c>
    </row>
    <row r="1016" customFormat="false" ht="15" hidden="false" customHeight="false" outlineLevel="0" collapsed="false">
      <c r="A1016" s="25" t="s">
        <v>9934</v>
      </c>
      <c r="B1016" s="25" t="s">
        <v>8419</v>
      </c>
      <c r="C1016" s="25" t="s">
        <v>8393</v>
      </c>
      <c r="D1016" s="25" t="n">
        <v>9</v>
      </c>
      <c r="E1016" s="25" t="s">
        <v>8394</v>
      </c>
      <c r="F1016" s="25" t="s">
        <v>8395</v>
      </c>
      <c r="G1016" s="25" t="s">
        <v>8396</v>
      </c>
      <c r="H1016" s="25" t="s">
        <v>8397</v>
      </c>
      <c r="I1016" s="25" t="s">
        <v>9935</v>
      </c>
      <c r="J1016" s="25" t="s">
        <v>9924</v>
      </c>
      <c r="K1016" s="25" t="n">
        <v>0</v>
      </c>
      <c r="L1016" s="25" t="str">
        <f aca="false">IF(K1016&gt;0,"Yes","No")</f>
        <v>No</v>
      </c>
    </row>
    <row r="1017" customFormat="false" ht="15" hidden="false" customHeight="false" outlineLevel="0" collapsed="false">
      <c r="A1017" s="25" t="s">
        <v>9936</v>
      </c>
      <c r="B1017" s="25" t="s">
        <v>8392</v>
      </c>
      <c r="C1017" s="25" t="s">
        <v>8393</v>
      </c>
      <c r="D1017" s="25" t="n">
        <v>9</v>
      </c>
      <c r="E1017" s="25" t="s">
        <v>8394</v>
      </c>
      <c r="F1017" s="25" t="s">
        <v>8395</v>
      </c>
      <c r="G1017" s="25" t="s">
        <v>8396</v>
      </c>
      <c r="H1017" s="25" t="s">
        <v>8399</v>
      </c>
      <c r="I1017" s="25" t="s">
        <v>9937</v>
      </c>
      <c r="J1017" s="25" t="s">
        <v>9924</v>
      </c>
      <c r="K1017" s="25" t="n">
        <v>0</v>
      </c>
      <c r="L1017" s="25" t="str">
        <f aca="false">IF(K1017&gt;0,"Yes","No")</f>
        <v>No</v>
      </c>
    </row>
    <row r="1018" customFormat="false" ht="15" hidden="false" customHeight="false" outlineLevel="0" collapsed="false">
      <c r="A1018" s="25" t="s">
        <v>9938</v>
      </c>
      <c r="B1018" s="25" t="s">
        <v>8392</v>
      </c>
      <c r="C1018" s="25" t="s">
        <v>8393</v>
      </c>
      <c r="D1018" s="25" t="n">
        <v>9</v>
      </c>
      <c r="E1018" s="25" t="s">
        <v>8394</v>
      </c>
      <c r="F1018" s="25" t="s">
        <v>8395</v>
      </c>
      <c r="G1018" s="25" t="s">
        <v>8396</v>
      </c>
      <c r="H1018" s="25" t="s">
        <v>8399</v>
      </c>
      <c r="I1018" s="25" t="s">
        <v>9939</v>
      </c>
      <c r="J1018" s="25" t="s">
        <v>9924</v>
      </c>
      <c r="K1018" s="25" t="n">
        <v>0</v>
      </c>
      <c r="L1018" s="25" t="str">
        <f aca="false">IF(K1018&gt;0,"Yes","No")</f>
        <v>No</v>
      </c>
    </row>
    <row r="1019" customFormat="false" ht="15" hidden="false" customHeight="false" outlineLevel="0" collapsed="false">
      <c r="A1019" s="25" t="s">
        <v>9940</v>
      </c>
      <c r="B1019" s="25" t="s">
        <v>8392</v>
      </c>
      <c r="C1019" s="25" t="s">
        <v>8393</v>
      </c>
      <c r="D1019" s="25" t="n">
        <v>9</v>
      </c>
      <c r="E1019" s="25" t="s">
        <v>8394</v>
      </c>
      <c r="F1019" s="25" t="s">
        <v>8395</v>
      </c>
      <c r="G1019" s="25" t="s">
        <v>8396</v>
      </c>
      <c r="H1019" s="25" t="s">
        <v>8397</v>
      </c>
      <c r="I1019" s="25" t="s">
        <v>9941</v>
      </c>
      <c r="J1019" s="25" t="s">
        <v>9924</v>
      </c>
      <c r="K1019" s="25" t="n">
        <v>0</v>
      </c>
      <c r="L1019" s="25" t="str">
        <f aca="false">IF(K1019&gt;0,"Yes","No")</f>
        <v>No</v>
      </c>
    </row>
    <row r="1020" customFormat="false" ht="15" hidden="false" customHeight="false" outlineLevel="0" collapsed="false">
      <c r="A1020" s="25" t="s">
        <v>9942</v>
      </c>
      <c r="B1020" s="25" t="s">
        <v>8392</v>
      </c>
      <c r="C1020" s="25" t="s">
        <v>8393</v>
      </c>
      <c r="D1020" s="25" t="n">
        <v>9</v>
      </c>
      <c r="E1020" s="25" t="s">
        <v>8394</v>
      </c>
      <c r="F1020" s="25" t="s">
        <v>8395</v>
      </c>
      <c r="G1020" s="25" t="s">
        <v>8396</v>
      </c>
      <c r="H1020" s="25" t="s">
        <v>8403</v>
      </c>
      <c r="I1020" s="25" t="s">
        <v>9943</v>
      </c>
      <c r="J1020" s="25" t="s">
        <v>9944</v>
      </c>
      <c r="K1020" s="25" t="n">
        <v>0</v>
      </c>
      <c r="L1020" s="25" t="str">
        <f aca="false">IF(K1020&gt;0,"Yes","No")</f>
        <v>No</v>
      </c>
    </row>
    <row r="1021" customFormat="false" ht="15" hidden="false" customHeight="false" outlineLevel="0" collapsed="false">
      <c r="A1021" s="25" t="s">
        <v>9945</v>
      </c>
      <c r="B1021" s="25" t="s">
        <v>9641</v>
      </c>
      <c r="C1021" s="25" t="s">
        <v>8393</v>
      </c>
      <c r="D1021" s="25" t="n">
        <v>9</v>
      </c>
      <c r="E1021" s="25" t="s">
        <v>8394</v>
      </c>
      <c r="F1021" s="25" t="s">
        <v>8395</v>
      </c>
      <c r="G1021" s="25" t="s">
        <v>8402</v>
      </c>
      <c r="H1021" s="25" t="s">
        <v>8403</v>
      </c>
      <c r="I1021" s="25" t="s">
        <v>9946</v>
      </c>
      <c r="J1021" s="25" t="s">
        <v>9947</v>
      </c>
      <c r="K1021" s="25" t="n">
        <v>0</v>
      </c>
      <c r="L1021" s="25" t="str">
        <f aca="false">IF(K1021&gt;0,"Yes","No")</f>
        <v>No</v>
      </c>
    </row>
    <row r="1022" customFormat="false" ht="15" hidden="false" customHeight="false" outlineLevel="0" collapsed="false">
      <c r="A1022" s="25" t="s">
        <v>9948</v>
      </c>
      <c r="B1022" s="25" t="s">
        <v>9641</v>
      </c>
      <c r="C1022" s="25" t="s">
        <v>8393</v>
      </c>
      <c r="D1022" s="25" t="n">
        <v>9</v>
      </c>
      <c r="E1022" s="25" t="s">
        <v>8394</v>
      </c>
      <c r="F1022" s="25" t="s">
        <v>8395</v>
      </c>
      <c r="G1022" s="25" t="s">
        <v>8402</v>
      </c>
      <c r="H1022" s="25" t="s">
        <v>8403</v>
      </c>
      <c r="I1022" s="25" t="s">
        <v>9949</v>
      </c>
      <c r="J1022" s="25" t="s">
        <v>9947</v>
      </c>
      <c r="K1022" s="25" t="n">
        <v>0</v>
      </c>
      <c r="L1022" s="25" t="str">
        <f aca="false">IF(K1022&gt;0,"Yes","No")</f>
        <v>No</v>
      </c>
    </row>
    <row r="1023" customFormat="false" ht="15" hidden="false" customHeight="false" outlineLevel="0" collapsed="false">
      <c r="A1023" s="25" t="s">
        <v>9950</v>
      </c>
      <c r="B1023" s="25" t="s">
        <v>8419</v>
      </c>
      <c r="C1023" s="25" t="s">
        <v>8393</v>
      </c>
      <c r="D1023" s="25" t="n">
        <v>9</v>
      </c>
      <c r="E1023" s="25" t="s">
        <v>8394</v>
      </c>
      <c r="F1023" s="25" t="s">
        <v>8395</v>
      </c>
      <c r="G1023" s="25" t="s">
        <v>8396</v>
      </c>
      <c r="H1023" s="25" t="s">
        <v>8403</v>
      </c>
      <c r="I1023" s="25" t="s">
        <v>9951</v>
      </c>
      <c r="J1023" s="25" t="s">
        <v>9947</v>
      </c>
      <c r="K1023" s="25" t="n">
        <v>0</v>
      </c>
      <c r="L1023" s="25" t="str">
        <f aca="false">IF(K1023&gt;0,"Yes","No")</f>
        <v>No</v>
      </c>
    </row>
    <row r="1024" customFormat="false" ht="15" hidden="false" customHeight="false" outlineLevel="0" collapsed="false">
      <c r="A1024" s="25" t="s">
        <v>9952</v>
      </c>
      <c r="B1024" s="25" t="s">
        <v>8392</v>
      </c>
      <c r="C1024" s="25" t="s">
        <v>8393</v>
      </c>
      <c r="D1024" s="25" t="n">
        <v>9</v>
      </c>
      <c r="E1024" s="25" t="s">
        <v>8394</v>
      </c>
      <c r="F1024" s="25" t="s">
        <v>8395</v>
      </c>
      <c r="G1024" s="25" t="s">
        <v>8402</v>
      </c>
      <c r="H1024" s="25" t="s">
        <v>8403</v>
      </c>
      <c r="I1024" s="25" t="s">
        <v>9953</v>
      </c>
      <c r="J1024" s="25" t="s">
        <v>9947</v>
      </c>
      <c r="K1024" s="25" t="n">
        <v>0</v>
      </c>
      <c r="L1024" s="25" t="str">
        <f aca="false">IF(K1024&gt;0,"Yes","No")</f>
        <v>No</v>
      </c>
    </row>
    <row r="1025" customFormat="false" ht="15" hidden="false" customHeight="false" outlineLevel="0" collapsed="false">
      <c r="A1025" s="25" t="s">
        <v>9954</v>
      </c>
      <c r="B1025" s="25" t="s">
        <v>8392</v>
      </c>
      <c r="C1025" s="25" t="s">
        <v>8393</v>
      </c>
      <c r="D1025" s="25" t="n">
        <v>9</v>
      </c>
      <c r="E1025" s="25" t="s">
        <v>8394</v>
      </c>
      <c r="F1025" s="25" t="s">
        <v>8395</v>
      </c>
      <c r="G1025" s="25" t="s">
        <v>8402</v>
      </c>
      <c r="H1025" s="25" t="s">
        <v>8403</v>
      </c>
      <c r="I1025" s="25" t="s">
        <v>9955</v>
      </c>
      <c r="J1025" s="25" t="s">
        <v>9947</v>
      </c>
      <c r="K1025" s="25" t="n">
        <v>0</v>
      </c>
      <c r="L1025" s="25" t="str">
        <f aca="false">IF(K1025&gt;0,"Yes","No")</f>
        <v>No</v>
      </c>
    </row>
    <row r="1026" customFormat="false" ht="15" hidden="false" customHeight="false" outlineLevel="0" collapsed="false">
      <c r="A1026" s="25" t="s">
        <v>9956</v>
      </c>
      <c r="B1026" s="25" t="s">
        <v>8392</v>
      </c>
      <c r="C1026" s="25" t="s">
        <v>8393</v>
      </c>
      <c r="D1026" s="25" t="n">
        <v>9</v>
      </c>
      <c r="E1026" s="25" t="s">
        <v>8394</v>
      </c>
      <c r="F1026" s="25" t="s">
        <v>8395</v>
      </c>
      <c r="G1026" s="25" t="s">
        <v>8402</v>
      </c>
      <c r="H1026" s="25" t="s">
        <v>8403</v>
      </c>
      <c r="I1026" s="25" t="s">
        <v>9957</v>
      </c>
      <c r="J1026" s="25" t="s">
        <v>9947</v>
      </c>
      <c r="K1026" s="25" t="n">
        <v>0</v>
      </c>
      <c r="L1026" s="25" t="str">
        <f aca="false">IF(K1026&gt;0,"Yes","No")</f>
        <v>No</v>
      </c>
    </row>
    <row r="1027" customFormat="false" ht="15" hidden="false" customHeight="false" outlineLevel="0" collapsed="false">
      <c r="A1027" s="25" t="s">
        <v>9958</v>
      </c>
      <c r="B1027" s="25" t="s">
        <v>9641</v>
      </c>
      <c r="C1027" s="25" t="s">
        <v>8393</v>
      </c>
      <c r="D1027" s="25" t="n">
        <v>9</v>
      </c>
      <c r="E1027" s="25" t="s">
        <v>8394</v>
      </c>
      <c r="F1027" s="25" t="s">
        <v>8395</v>
      </c>
      <c r="G1027" s="25" t="s">
        <v>8402</v>
      </c>
      <c r="H1027" s="25" t="s">
        <v>8403</v>
      </c>
      <c r="I1027" s="25" t="s">
        <v>9959</v>
      </c>
      <c r="J1027" s="25" t="s">
        <v>9947</v>
      </c>
      <c r="K1027" s="25" t="n">
        <v>0</v>
      </c>
      <c r="L1027" s="25" t="str">
        <f aca="false">IF(K1027&gt;0,"Yes","No")</f>
        <v>No</v>
      </c>
    </row>
    <row r="1028" customFormat="false" ht="15" hidden="false" customHeight="false" outlineLevel="0" collapsed="false">
      <c r="A1028" s="25" t="s">
        <v>9960</v>
      </c>
      <c r="B1028" s="25" t="s">
        <v>8392</v>
      </c>
      <c r="C1028" s="25" t="s">
        <v>8393</v>
      </c>
      <c r="D1028" s="25" t="n">
        <v>9</v>
      </c>
      <c r="E1028" s="25" t="s">
        <v>8394</v>
      </c>
      <c r="F1028" s="25" t="s">
        <v>8395</v>
      </c>
      <c r="G1028" s="25" t="s">
        <v>8396</v>
      </c>
      <c r="H1028" s="25" t="s">
        <v>8403</v>
      </c>
      <c r="I1028" s="25" t="s">
        <v>9961</v>
      </c>
      <c r="J1028" s="25" t="s">
        <v>9947</v>
      </c>
      <c r="K1028" s="25" t="n">
        <v>0</v>
      </c>
      <c r="L1028" s="25" t="str">
        <f aca="false">IF(K1028&gt;0,"Yes","No")</f>
        <v>No</v>
      </c>
    </row>
    <row r="1029" customFormat="false" ht="15" hidden="false" customHeight="false" outlineLevel="0" collapsed="false">
      <c r="A1029" s="25" t="s">
        <v>9962</v>
      </c>
      <c r="B1029" s="25" t="s">
        <v>8419</v>
      </c>
      <c r="C1029" s="25" t="s">
        <v>8393</v>
      </c>
      <c r="D1029" s="25" t="n">
        <v>9</v>
      </c>
      <c r="E1029" s="25" t="s">
        <v>8394</v>
      </c>
      <c r="F1029" s="25" t="s">
        <v>8395</v>
      </c>
      <c r="G1029" s="25" t="s">
        <v>8402</v>
      </c>
      <c r="H1029" s="25" t="s">
        <v>8403</v>
      </c>
      <c r="I1029" s="25" t="s">
        <v>9963</v>
      </c>
      <c r="J1029" s="25" t="s">
        <v>9947</v>
      </c>
      <c r="K1029" s="25" t="n">
        <v>0</v>
      </c>
      <c r="L1029" s="25" t="str">
        <f aca="false">IF(K1029&gt;0,"Yes","No")</f>
        <v>No</v>
      </c>
    </row>
    <row r="1030" customFormat="false" ht="15" hidden="false" customHeight="false" outlineLevel="0" collapsed="false">
      <c r="A1030" s="25" t="s">
        <v>9964</v>
      </c>
      <c r="B1030" s="25" t="s">
        <v>8419</v>
      </c>
      <c r="C1030" s="25" t="s">
        <v>8393</v>
      </c>
      <c r="D1030" s="25" t="n">
        <v>9</v>
      </c>
      <c r="E1030" s="25" t="s">
        <v>8394</v>
      </c>
      <c r="F1030" s="25" t="s">
        <v>8395</v>
      </c>
      <c r="G1030" s="25" t="s">
        <v>8402</v>
      </c>
      <c r="H1030" s="25" t="s">
        <v>8403</v>
      </c>
      <c r="I1030" s="25" t="s">
        <v>9965</v>
      </c>
      <c r="J1030" s="25" t="s">
        <v>9947</v>
      </c>
      <c r="K1030" s="25" t="n">
        <v>0</v>
      </c>
      <c r="L1030" s="25" t="str">
        <f aca="false">IF(K1030&gt;0,"Yes","No")</f>
        <v>No</v>
      </c>
    </row>
    <row r="1031" customFormat="false" ht="15" hidden="false" customHeight="false" outlineLevel="0" collapsed="false">
      <c r="A1031" s="25" t="s">
        <v>9966</v>
      </c>
      <c r="B1031" s="25" t="s">
        <v>8392</v>
      </c>
      <c r="C1031" s="25" t="s">
        <v>8393</v>
      </c>
      <c r="D1031" s="25" t="n">
        <v>9</v>
      </c>
      <c r="E1031" s="25" t="s">
        <v>8394</v>
      </c>
      <c r="F1031" s="25" t="s">
        <v>8395</v>
      </c>
      <c r="G1031" s="25" t="s">
        <v>8396</v>
      </c>
      <c r="H1031" s="25" t="s">
        <v>8403</v>
      </c>
      <c r="I1031" s="25" t="s">
        <v>9967</v>
      </c>
      <c r="J1031" s="25" t="s">
        <v>9947</v>
      </c>
      <c r="K1031" s="25" t="n">
        <v>0</v>
      </c>
      <c r="L1031" s="25" t="str">
        <f aca="false">IF(K1031&gt;0,"Yes","No")</f>
        <v>No</v>
      </c>
    </row>
    <row r="1032" customFormat="false" ht="15" hidden="false" customHeight="false" outlineLevel="0" collapsed="false">
      <c r="A1032" s="25" t="s">
        <v>9968</v>
      </c>
      <c r="B1032" s="25" t="s">
        <v>8419</v>
      </c>
      <c r="C1032" s="25" t="s">
        <v>8393</v>
      </c>
      <c r="D1032" s="25" t="n">
        <v>9</v>
      </c>
      <c r="E1032" s="25" t="s">
        <v>8394</v>
      </c>
      <c r="F1032" s="25" t="s">
        <v>8395</v>
      </c>
      <c r="G1032" s="25" t="s">
        <v>8396</v>
      </c>
      <c r="H1032" s="25" t="s">
        <v>8403</v>
      </c>
      <c r="I1032" s="25" t="s">
        <v>9969</v>
      </c>
      <c r="J1032" s="25" t="s">
        <v>9947</v>
      </c>
      <c r="K1032" s="25" t="n">
        <v>0</v>
      </c>
      <c r="L1032" s="25" t="str">
        <f aca="false">IF(K1032&gt;0,"Yes","No")</f>
        <v>No</v>
      </c>
    </row>
    <row r="1033" customFormat="false" ht="15" hidden="false" customHeight="false" outlineLevel="0" collapsed="false">
      <c r="A1033" s="25" t="s">
        <v>9970</v>
      </c>
      <c r="B1033" s="25" t="s">
        <v>8419</v>
      </c>
      <c r="C1033" s="25" t="s">
        <v>8393</v>
      </c>
      <c r="D1033" s="25" t="n">
        <v>9</v>
      </c>
      <c r="E1033" s="25" t="s">
        <v>8394</v>
      </c>
      <c r="F1033" s="25" t="s">
        <v>8395</v>
      </c>
      <c r="G1033" s="25" t="s">
        <v>8402</v>
      </c>
      <c r="H1033" s="25" t="s">
        <v>8403</v>
      </c>
      <c r="I1033" s="25" t="s">
        <v>9971</v>
      </c>
      <c r="J1033" s="25" t="s">
        <v>9947</v>
      </c>
      <c r="K1033" s="25" t="n">
        <v>0</v>
      </c>
      <c r="L1033" s="25" t="str">
        <f aca="false">IF(K1033&gt;0,"Yes","No")</f>
        <v>No</v>
      </c>
    </row>
    <row r="1034" customFormat="false" ht="15" hidden="false" customHeight="false" outlineLevel="0" collapsed="false">
      <c r="A1034" s="25" t="s">
        <v>9972</v>
      </c>
      <c r="B1034" s="25" t="s">
        <v>8419</v>
      </c>
      <c r="C1034" s="25" t="s">
        <v>8393</v>
      </c>
      <c r="D1034" s="25" t="n">
        <v>9</v>
      </c>
      <c r="E1034" s="25" t="s">
        <v>8394</v>
      </c>
      <c r="F1034" s="25" t="s">
        <v>8395</v>
      </c>
      <c r="G1034" s="25" t="s">
        <v>8402</v>
      </c>
      <c r="H1034" s="25" t="s">
        <v>8403</v>
      </c>
      <c r="I1034" s="25" t="s">
        <v>9973</v>
      </c>
      <c r="J1034" s="25" t="s">
        <v>9947</v>
      </c>
      <c r="K1034" s="25" t="n">
        <v>0</v>
      </c>
      <c r="L1034" s="25" t="str">
        <f aca="false">IF(K1034&gt;0,"Yes","No")</f>
        <v>No</v>
      </c>
    </row>
    <row r="1035" customFormat="false" ht="15" hidden="false" customHeight="false" outlineLevel="0" collapsed="false">
      <c r="A1035" s="25" t="s">
        <v>9974</v>
      </c>
      <c r="B1035" s="25" t="s">
        <v>8392</v>
      </c>
      <c r="C1035" s="25" t="s">
        <v>8393</v>
      </c>
      <c r="D1035" s="25" t="n">
        <v>9</v>
      </c>
      <c r="E1035" s="25" t="s">
        <v>8394</v>
      </c>
      <c r="F1035" s="25" t="s">
        <v>8395</v>
      </c>
      <c r="G1035" s="25" t="s">
        <v>8402</v>
      </c>
      <c r="H1035" s="25" t="s">
        <v>8403</v>
      </c>
      <c r="I1035" s="25" t="s">
        <v>9975</v>
      </c>
      <c r="J1035" s="25" t="s">
        <v>9976</v>
      </c>
      <c r="K1035" s="25" t="n">
        <v>0</v>
      </c>
      <c r="L1035" s="25" t="str">
        <f aca="false">IF(K1035&gt;0,"Yes","No")</f>
        <v>No</v>
      </c>
    </row>
    <row r="1036" customFormat="false" ht="15" hidden="false" customHeight="false" outlineLevel="0" collapsed="false">
      <c r="A1036" s="25" t="s">
        <v>9977</v>
      </c>
      <c r="B1036" s="25" t="s">
        <v>8392</v>
      </c>
      <c r="C1036" s="25" t="s">
        <v>8393</v>
      </c>
      <c r="D1036" s="25" t="n">
        <v>9</v>
      </c>
      <c r="E1036" s="25" t="s">
        <v>8394</v>
      </c>
      <c r="F1036" s="25" t="s">
        <v>8395</v>
      </c>
      <c r="G1036" s="25" t="s">
        <v>8396</v>
      </c>
      <c r="H1036" s="25" t="s">
        <v>8399</v>
      </c>
      <c r="I1036" s="25" t="s">
        <v>9978</v>
      </c>
      <c r="J1036" s="25" t="s">
        <v>267</v>
      </c>
      <c r="K1036" s="25" t="n">
        <v>0</v>
      </c>
      <c r="L1036" s="25" t="str">
        <f aca="false">IF(K1036&gt;0,"Yes","No")</f>
        <v>No</v>
      </c>
    </row>
    <row r="1037" customFormat="false" ht="15" hidden="false" customHeight="false" outlineLevel="0" collapsed="false">
      <c r="A1037" s="25" t="s">
        <v>9979</v>
      </c>
      <c r="B1037" s="25" t="s">
        <v>8392</v>
      </c>
      <c r="C1037" s="25" t="s">
        <v>8393</v>
      </c>
      <c r="D1037" s="25" t="n">
        <v>9</v>
      </c>
      <c r="E1037" s="25" t="s">
        <v>8394</v>
      </c>
      <c r="F1037" s="25" t="s">
        <v>8395</v>
      </c>
      <c r="G1037" s="25" t="s">
        <v>8396</v>
      </c>
      <c r="H1037" s="25" t="s">
        <v>8399</v>
      </c>
      <c r="I1037" s="25" t="s">
        <v>9980</v>
      </c>
      <c r="J1037" s="25" t="s">
        <v>267</v>
      </c>
      <c r="K1037" s="25" t="n">
        <v>0</v>
      </c>
      <c r="L1037" s="25" t="str">
        <f aca="false">IF(K1037&gt;0,"Yes","No")</f>
        <v>No</v>
      </c>
    </row>
    <row r="1038" customFormat="false" ht="15" hidden="false" customHeight="false" outlineLevel="0" collapsed="false">
      <c r="A1038" s="25" t="s">
        <v>9981</v>
      </c>
      <c r="B1038" s="25" t="s">
        <v>8419</v>
      </c>
      <c r="C1038" s="25" t="s">
        <v>8393</v>
      </c>
      <c r="D1038" s="25" t="n">
        <v>9</v>
      </c>
      <c r="E1038" s="25" t="s">
        <v>8394</v>
      </c>
      <c r="F1038" s="25" t="s">
        <v>8395</v>
      </c>
      <c r="G1038" s="25" t="s">
        <v>8402</v>
      </c>
      <c r="H1038" s="25" t="s">
        <v>8399</v>
      </c>
      <c r="I1038" s="25" t="s">
        <v>9982</v>
      </c>
      <c r="J1038" s="25" t="s">
        <v>267</v>
      </c>
      <c r="K1038" s="25" t="n">
        <v>0</v>
      </c>
      <c r="L1038" s="25" t="str">
        <f aca="false">IF(K1038&gt;0,"Yes","No")</f>
        <v>No</v>
      </c>
    </row>
    <row r="1039" customFormat="false" ht="15" hidden="false" customHeight="false" outlineLevel="0" collapsed="false">
      <c r="A1039" s="25" t="s">
        <v>9983</v>
      </c>
      <c r="B1039" s="25" t="s">
        <v>8419</v>
      </c>
      <c r="C1039" s="25" t="s">
        <v>8393</v>
      </c>
      <c r="D1039" s="25" t="n">
        <v>9</v>
      </c>
      <c r="E1039" s="25" t="s">
        <v>8394</v>
      </c>
      <c r="F1039" s="25" t="s">
        <v>8395</v>
      </c>
      <c r="G1039" s="25" t="s">
        <v>8402</v>
      </c>
      <c r="H1039" s="25" t="s">
        <v>8399</v>
      </c>
      <c r="I1039" s="25" t="s">
        <v>9984</v>
      </c>
      <c r="J1039" s="25" t="s">
        <v>267</v>
      </c>
      <c r="K1039" s="25" t="n">
        <v>0</v>
      </c>
      <c r="L1039" s="25" t="str">
        <f aca="false">IF(K1039&gt;0,"Yes","No")</f>
        <v>No</v>
      </c>
    </row>
    <row r="1040" customFormat="false" ht="15" hidden="false" customHeight="false" outlineLevel="0" collapsed="false">
      <c r="A1040" s="25" t="s">
        <v>9985</v>
      </c>
      <c r="B1040" s="25" t="s">
        <v>8419</v>
      </c>
      <c r="C1040" s="25" t="s">
        <v>8393</v>
      </c>
      <c r="D1040" s="25" t="n">
        <v>9</v>
      </c>
      <c r="E1040" s="25" t="s">
        <v>8394</v>
      </c>
      <c r="F1040" s="25" t="s">
        <v>8395</v>
      </c>
      <c r="G1040" s="25" t="s">
        <v>8396</v>
      </c>
      <c r="H1040" s="25" t="s">
        <v>8403</v>
      </c>
      <c r="I1040" s="25" t="s">
        <v>9986</v>
      </c>
      <c r="J1040" s="25" t="s">
        <v>9987</v>
      </c>
      <c r="K1040" s="25" t="n">
        <v>0</v>
      </c>
      <c r="L1040" s="25" t="str">
        <f aca="false">IF(K1040&gt;0,"Yes","No")</f>
        <v>No</v>
      </c>
    </row>
    <row r="1041" customFormat="false" ht="15" hidden="false" customHeight="false" outlineLevel="0" collapsed="false">
      <c r="A1041" s="25" t="s">
        <v>9988</v>
      </c>
      <c r="B1041" s="25" t="s">
        <v>8419</v>
      </c>
      <c r="C1041" s="25" t="s">
        <v>8393</v>
      </c>
      <c r="D1041" s="25" t="n">
        <v>9</v>
      </c>
      <c r="E1041" s="25" t="s">
        <v>8394</v>
      </c>
      <c r="F1041" s="25" t="s">
        <v>8395</v>
      </c>
      <c r="G1041" s="25" t="s">
        <v>8396</v>
      </c>
      <c r="H1041" s="25" t="s">
        <v>8403</v>
      </c>
      <c r="I1041" s="25" t="s">
        <v>9989</v>
      </c>
      <c r="J1041" s="25" t="s">
        <v>9987</v>
      </c>
      <c r="K1041" s="25" t="n">
        <v>0</v>
      </c>
      <c r="L1041" s="25" t="str">
        <f aca="false">IF(K1041&gt;0,"Yes","No")</f>
        <v>No</v>
      </c>
    </row>
    <row r="1042" customFormat="false" ht="15" hidden="false" customHeight="false" outlineLevel="0" collapsed="false">
      <c r="A1042" s="25" t="s">
        <v>9990</v>
      </c>
      <c r="B1042" s="25" t="s">
        <v>8392</v>
      </c>
      <c r="C1042" s="25" t="s">
        <v>8393</v>
      </c>
      <c r="D1042" s="25" t="n">
        <v>9</v>
      </c>
      <c r="E1042" s="25" t="s">
        <v>8394</v>
      </c>
      <c r="F1042" s="25" t="s">
        <v>8395</v>
      </c>
      <c r="G1042" s="25" t="s">
        <v>8402</v>
      </c>
      <c r="H1042" s="25" t="s">
        <v>8397</v>
      </c>
      <c r="I1042" s="25" t="s">
        <v>9991</v>
      </c>
      <c r="J1042" s="25" t="s">
        <v>9992</v>
      </c>
      <c r="K1042" s="25" t="n">
        <v>0</v>
      </c>
      <c r="L1042" s="25" t="str">
        <f aca="false">IF(K1042&gt;0,"Yes","No")</f>
        <v>No</v>
      </c>
    </row>
    <row r="1043" customFormat="false" ht="15" hidden="false" customHeight="false" outlineLevel="0" collapsed="false">
      <c r="A1043" s="25" t="s">
        <v>9993</v>
      </c>
      <c r="B1043" s="25" t="s">
        <v>8419</v>
      </c>
      <c r="C1043" s="25" t="s">
        <v>8393</v>
      </c>
      <c r="D1043" s="25" t="n">
        <v>9</v>
      </c>
      <c r="E1043" s="25" t="s">
        <v>8394</v>
      </c>
      <c r="F1043" s="25" t="s">
        <v>8395</v>
      </c>
      <c r="G1043" s="25" t="s">
        <v>8396</v>
      </c>
      <c r="H1043" s="25" t="s">
        <v>9994</v>
      </c>
      <c r="I1043" s="25" t="s">
        <v>9995</v>
      </c>
      <c r="J1043" s="25" t="s">
        <v>9996</v>
      </c>
      <c r="K1043" s="25" t="n">
        <v>0</v>
      </c>
      <c r="L1043" s="25" t="str">
        <f aca="false">IF(K1043&gt;0,"Yes","No")</f>
        <v>No</v>
      </c>
    </row>
    <row r="1044" customFormat="false" ht="15" hidden="false" customHeight="false" outlineLevel="0" collapsed="false">
      <c r="A1044" s="25" t="s">
        <v>9997</v>
      </c>
      <c r="B1044" s="25" t="s">
        <v>8419</v>
      </c>
      <c r="C1044" s="25" t="s">
        <v>8393</v>
      </c>
      <c r="D1044" s="25" t="n">
        <v>9</v>
      </c>
      <c r="E1044" s="25" t="s">
        <v>8394</v>
      </c>
      <c r="F1044" s="25" t="s">
        <v>8395</v>
      </c>
      <c r="G1044" s="25" t="s">
        <v>8396</v>
      </c>
      <c r="H1044" s="25" t="s">
        <v>9994</v>
      </c>
      <c r="I1044" s="25" t="s">
        <v>9998</v>
      </c>
      <c r="J1044" s="25" t="s">
        <v>9996</v>
      </c>
      <c r="K1044" s="25" t="n">
        <v>0</v>
      </c>
      <c r="L1044" s="25" t="str">
        <f aca="false">IF(K1044&gt;0,"Yes","No")</f>
        <v>No</v>
      </c>
    </row>
    <row r="1045" customFormat="false" ht="15" hidden="false" customHeight="false" outlineLevel="0" collapsed="false">
      <c r="A1045" s="25" t="s">
        <v>9999</v>
      </c>
      <c r="B1045" s="25" t="s">
        <v>8419</v>
      </c>
      <c r="C1045" s="25" t="s">
        <v>8393</v>
      </c>
      <c r="D1045" s="25" t="n">
        <v>9</v>
      </c>
      <c r="E1045" s="25" t="s">
        <v>8394</v>
      </c>
      <c r="F1045" s="25" t="s">
        <v>8395</v>
      </c>
      <c r="G1045" s="25" t="s">
        <v>8396</v>
      </c>
      <c r="H1045" s="25" t="s">
        <v>9994</v>
      </c>
      <c r="I1045" s="25" t="s">
        <v>10000</v>
      </c>
      <c r="J1045" s="25" t="s">
        <v>9996</v>
      </c>
      <c r="K1045" s="25" t="n">
        <v>0</v>
      </c>
      <c r="L1045" s="25" t="str">
        <f aca="false">IF(K1045&gt;0,"Yes","No")</f>
        <v>No</v>
      </c>
    </row>
    <row r="1046" customFormat="false" ht="15" hidden="false" customHeight="false" outlineLevel="0" collapsed="false">
      <c r="A1046" s="25" t="s">
        <v>10001</v>
      </c>
      <c r="B1046" s="25" t="s">
        <v>8419</v>
      </c>
      <c r="C1046" s="25" t="s">
        <v>8393</v>
      </c>
      <c r="D1046" s="25" t="n">
        <v>9</v>
      </c>
      <c r="E1046" s="25" t="s">
        <v>8394</v>
      </c>
      <c r="F1046" s="25" t="s">
        <v>8395</v>
      </c>
      <c r="G1046" s="25" t="s">
        <v>8396</v>
      </c>
      <c r="H1046" s="25" t="s">
        <v>8399</v>
      </c>
      <c r="I1046" s="25" t="s">
        <v>10002</v>
      </c>
      <c r="J1046" s="25" t="s">
        <v>3004</v>
      </c>
      <c r="K1046" s="25" t="n">
        <v>0</v>
      </c>
      <c r="L1046" s="25" t="str">
        <f aca="false">IF(K1046&gt;0,"Yes","No")</f>
        <v>No</v>
      </c>
    </row>
    <row r="1047" customFormat="false" ht="15" hidden="false" customHeight="false" outlineLevel="0" collapsed="false">
      <c r="A1047" s="25" t="s">
        <v>10003</v>
      </c>
      <c r="B1047" s="25" t="s">
        <v>8419</v>
      </c>
      <c r="C1047" s="25" t="s">
        <v>8393</v>
      </c>
      <c r="D1047" s="25" t="n">
        <v>9</v>
      </c>
      <c r="E1047" s="25" t="s">
        <v>8394</v>
      </c>
      <c r="F1047" s="25" t="s">
        <v>8395</v>
      </c>
      <c r="G1047" s="25" t="s">
        <v>8396</v>
      </c>
      <c r="H1047" s="25" t="s">
        <v>8399</v>
      </c>
      <c r="I1047" s="25" t="s">
        <v>10004</v>
      </c>
      <c r="J1047" s="25" t="s">
        <v>3004</v>
      </c>
      <c r="K1047" s="25" t="n">
        <v>0</v>
      </c>
      <c r="L1047" s="25" t="str">
        <f aca="false">IF(K1047&gt;0,"Yes","No")</f>
        <v>No</v>
      </c>
    </row>
    <row r="1048" customFormat="false" ht="15" hidden="false" customHeight="false" outlineLevel="0" collapsed="false">
      <c r="A1048" s="25" t="s">
        <v>10005</v>
      </c>
      <c r="B1048" s="25" t="s">
        <v>8392</v>
      </c>
      <c r="C1048" s="25" t="s">
        <v>8393</v>
      </c>
      <c r="D1048" s="25" t="n">
        <v>9</v>
      </c>
      <c r="E1048" s="25" t="s">
        <v>8394</v>
      </c>
      <c r="F1048" s="25" t="s">
        <v>8395</v>
      </c>
      <c r="G1048" s="25" t="s">
        <v>8402</v>
      </c>
      <c r="H1048" s="25" t="s">
        <v>8403</v>
      </c>
      <c r="I1048" s="25" t="s">
        <v>10006</v>
      </c>
      <c r="J1048" s="25" t="s">
        <v>1997</v>
      </c>
      <c r="K1048" s="25" t="n">
        <v>0</v>
      </c>
      <c r="L1048" s="25" t="str">
        <f aca="false">IF(K1048&gt;0,"Yes","No")</f>
        <v>No</v>
      </c>
    </row>
    <row r="1049" customFormat="false" ht="15" hidden="false" customHeight="false" outlineLevel="0" collapsed="false">
      <c r="A1049" s="25" t="s">
        <v>10007</v>
      </c>
      <c r="B1049" s="25" t="s">
        <v>8419</v>
      </c>
      <c r="C1049" s="25" t="s">
        <v>8393</v>
      </c>
      <c r="D1049" s="25" t="n">
        <v>9</v>
      </c>
      <c r="E1049" s="25" t="s">
        <v>8394</v>
      </c>
      <c r="F1049" s="25" t="s">
        <v>8395</v>
      </c>
      <c r="G1049" s="25" t="s">
        <v>8402</v>
      </c>
      <c r="H1049" s="25" t="s">
        <v>8403</v>
      </c>
      <c r="I1049" s="25" t="s">
        <v>10008</v>
      </c>
      <c r="J1049" s="25" t="s">
        <v>1997</v>
      </c>
      <c r="K1049" s="25" t="n">
        <v>0</v>
      </c>
      <c r="L1049" s="25" t="str">
        <f aca="false">IF(K1049&gt;0,"Yes","No")</f>
        <v>No</v>
      </c>
    </row>
    <row r="1050" customFormat="false" ht="15" hidden="false" customHeight="false" outlineLevel="0" collapsed="false">
      <c r="A1050" s="25" t="s">
        <v>10009</v>
      </c>
      <c r="B1050" s="25" t="s">
        <v>8419</v>
      </c>
      <c r="C1050" s="25" t="s">
        <v>8393</v>
      </c>
      <c r="D1050" s="25" t="n">
        <v>9</v>
      </c>
      <c r="E1050" s="25" t="s">
        <v>8394</v>
      </c>
      <c r="F1050" s="25" t="s">
        <v>8395</v>
      </c>
      <c r="G1050" s="25" t="s">
        <v>8402</v>
      </c>
      <c r="H1050" s="25" t="s">
        <v>8403</v>
      </c>
      <c r="I1050" s="25" t="s">
        <v>10010</v>
      </c>
      <c r="J1050" s="25" t="s">
        <v>1997</v>
      </c>
      <c r="K1050" s="25" t="n">
        <v>0</v>
      </c>
      <c r="L1050" s="25" t="str">
        <f aca="false">IF(K1050&gt;0,"Yes","No")</f>
        <v>No</v>
      </c>
    </row>
    <row r="1051" customFormat="false" ht="15" hidden="false" customHeight="false" outlineLevel="0" collapsed="false">
      <c r="A1051" s="25" t="s">
        <v>10011</v>
      </c>
      <c r="B1051" s="25" t="s">
        <v>8392</v>
      </c>
      <c r="C1051" s="25" t="s">
        <v>8393</v>
      </c>
      <c r="D1051" s="25" t="n">
        <v>9</v>
      </c>
      <c r="E1051" s="25" t="s">
        <v>8394</v>
      </c>
      <c r="F1051" s="25" t="s">
        <v>8395</v>
      </c>
      <c r="G1051" s="25" t="s">
        <v>8398</v>
      </c>
      <c r="H1051" s="25"/>
      <c r="I1051" s="25" t="s">
        <v>10012</v>
      </c>
      <c r="J1051" s="25" t="s">
        <v>10013</v>
      </c>
      <c r="K1051" s="25" t="n">
        <v>0</v>
      </c>
      <c r="L1051" s="25" t="str">
        <f aca="false">IF(K1051&gt;0,"Yes","No")</f>
        <v>No</v>
      </c>
    </row>
    <row r="1052" customFormat="false" ht="15" hidden="false" customHeight="false" outlineLevel="0" collapsed="false">
      <c r="A1052" s="25" t="s">
        <v>10014</v>
      </c>
      <c r="B1052" s="25" t="s">
        <v>8392</v>
      </c>
      <c r="C1052" s="25" t="s">
        <v>8393</v>
      </c>
      <c r="D1052" s="25" t="n">
        <v>9</v>
      </c>
      <c r="E1052" s="25" t="s">
        <v>8394</v>
      </c>
      <c r="F1052" s="25" t="s">
        <v>8395</v>
      </c>
      <c r="G1052" s="25" t="s">
        <v>8398</v>
      </c>
      <c r="H1052" s="25"/>
      <c r="I1052" s="25" t="s">
        <v>10015</v>
      </c>
      <c r="J1052" s="25" t="s">
        <v>10016</v>
      </c>
      <c r="K1052" s="25" t="n">
        <v>0</v>
      </c>
      <c r="L1052" s="25" t="str">
        <f aca="false">IF(K1052&gt;0,"Yes","No")</f>
        <v>No</v>
      </c>
    </row>
    <row r="1053" customFormat="false" ht="15" hidden="false" customHeight="false" outlineLevel="0" collapsed="false">
      <c r="A1053" s="25" t="s">
        <v>10017</v>
      </c>
      <c r="B1053" s="25" t="s">
        <v>8392</v>
      </c>
      <c r="C1053" s="25"/>
      <c r="D1053" s="25" t="n">
        <v>8</v>
      </c>
      <c r="E1053" s="25" t="s">
        <v>8439</v>
      </c>
      <c r="F1053" s="25" t="s">
        <v>8440</v>
      </c>
      <c r="G1053" s="25" t="s">
        <v>8398</v>
      </c>
      <c r="H1053" s="25"/>
      <c r="I1053" s="25" t="s">
        <v>10018</v>
      </c>
      <c r="J1053" s="25" t="s">
        <v>10019</v>
      </c>
      <c r="K1053" s="25" t="n">
        <v>0</v>
      </c>
      <c r="L1053" s="25" t="str">
        <f aca="false">IF(K1053&gt;0,"Yes","No")</f>
        <v>No</v>
      </c>
    </row>
    <row r="1054" customFormat="false" ht="15" hidden="false" customHeight="false" outlineLevel="0" collapsed="false">
      <c r="A1054" s="25" t="s">
        <v>10020</v>
      </c>
      <c r="B1054" s="25" t="s">
        <v>8392</v>
      </c>
      <c r="C1054" s="25" t="s">
        <v>8393</v>
      </c>
      <c r="D1054" s="25" t="n">
        <v>9</v>
      </c>
      <c r="E1054" s="25" t="s">
        <v>8394</v>
      </c>
      <c r="F1054" s="25" t="s">
        <v>8395</v>
      </c>
      <c r="G1054" s="25" t="s">
        <v>8398</v>
      </c>
      <c r="H1054" s="25"/>
      <c r="I1054" s="25" t="s">
        <v>10021</v>
      </c>
      <c r="J1054" s="25" t="s">
        <v>10022</v>
      </c>
      <c r="K1054" s="25" t="n">
        <v>0</v>
      </c>
      <c r="L1054" s="25" t="str">
        <f aca="false">IF(K1054&gt;0,"Yes","No")</f>
        <v>No</v>
      </c>
    </row>
    <row r="1055" customFormat="false" ht="15" hidden="false" customHeight="false" outlineLevel="0" collapsed="false">
      <c r="A1055" s="25" t="s">
        <v>10023</v>
      </c>
      <c r="B1055" s="25" t="s">
        <v>8392</v>
      </c>
      <c r="C1055" s="25" t="s">
        <v>8393</v>
      </c>
      <c r="D1055" s="25" t="n">
        <v>9</v>
      </c>
      <c r="E1055" s="25" t="s">
        <v>8394</v>
      </c>
      <c r="F1055" s="25" t="s">
        <v>8395</v>
      </c>
      <c r="G1055" s="25" t="s">
        <v>8398</v>
      </c>
      <c r="H1055" s="25"/>
      <c r="I1055" s="25" t="s">
        <v>10021</v>
      </c>
      <c r="J1055" s="25" t="s">
        <v>10024</v>
      </c>
      <c r="K1055" s="25" t="n">
        <v>0</v>
      </c>
      <c r="L1055" s="25" t="str">
        <f aca="false">IF(K1055&gt;0,"Yes","No")</f>
        <v>No</v>
      </c>
    </row>
    <row r="1056" customFormat="false" ht="15" hidden="false" customHeight="false" outlineLevel="0" collapsed="false">
      <c r="A1056" s="25" t="s">
        <v>10025</v>
      </c>
      <c r="B1056" s="25" t="s">
        <v>8392</v>
      </c>
      <c r="C1056" s="25" t="s">
        <v>8393</v>
      </c>
      <c r="D1056" s="25" t="n">
        <v>9</v>
      </c>
      <c r="E1056" s="25" t="s">
        <v>8394</v>
      </c>
      <c r="F1056" s="25" t="s">
        <v>8395</v>
      </c>
      <c r="G1056" s="25" t="s">
        <v>8398</v>
      </c>
      <c r="H1056" s="25"/>
      <c r="I1056" s="25" t="s">
        <v>10026</v>
      </c>
      <c r="J1056" s="25" t="s">
        <v>10027</v>
      </c>
      <c r="K1056" s="25" t="n">
        <v>0</v>
      </c>
      <c r="L1056" s="25" t="str">
        <f aca="false">IF(K1056&gt;0,"Yes","No")</f>
        <v>No</v>
      </c>
    </row>
    <row r="1057" customFormat="false" ht="15" hidden="false" customHeight="false" outlineLevel="0" collapsed="false">
      <c r="A1057" s="25" t="s">
        <v>10028</v>
      </c>
      <c r="B1057" s="25" t="s">
        <v>8392</v>
      </c>
      <c r="C1057" s="25" t="s">
        <v>8393</v>
      </c>
      <c r="D1057" s="25" t="n">
        <v>9</v>
      </c>
      <c r="E1057" s="25" t="s">
        <v>8394</v>
      </c>
      <c r="F1057" s="25" t="s">
        <v>8395</v>
      </c>
      <c r="G1057" s="25" t="s">
        <v>8398</v>
      </c>
      <c r="H1057" s="25"/>
      <c r="I1057" s="25" t="s">
        <v>10026</v>
      </c>
      <c r="J1057" s="25" t="s">
        <v>10029</v>
      </c>
      <c r="K1057" s="25" t="n">
        <v>0</v>
      </c>
      <c r="L1057" s="25" t="str">
        <f aca="false">IF(K1057&gt;0,"Yes","No")</f>
        <v>No</v>
      </c>
    </row>
    <row r="1058" customFormat="false" ht="15" hidden="false" customHeight="false" outlineLevel="0" collapsed="false">
      <c r="A1058" s="25" t="s">
        <v>10030</v>
      </c>
      <c r="B1058" s="25" t="s">
        <v>8392</v>
      </c>
      <c r="C1058" s="25" t="s">
        <v>8393</v>
      </c>
      <c r="D1058" s="25" t="n">
        <v>9</v>
      </c>
      <c r="E1058" s="25" t="s">
        <v>8394</v>
      </c>
      <c r="F1058" s="25" t="s">
        <v>8395</v>
      </c>
      <c r="G1058" s="25" t="s">
        <v>8398</v>
      </c>
      <c r="H1058" s="25"/>
      <c r="I1058" s="25" t="s">
        <v>10031</v>
      </c>
      <c r="J1058" s="25" t="s">
        <v>10032</v>
      </c>
      <c r="K1058" s="25" t="n">
        <v>0</v>
      </c>
      <c r="L1058" s="25" t="str">
        <f aca="false">IF(K1058&gt;0,"Yes","No")</f>
        <v>No</v>
      </c>
    </row>
    <row r="1059" customFormat="false" ht="15" hidden="false" customHeight="false" outlineLevel="0" collapsed="false">
      <c r="A1059" s="25" t="s">
        <v>10033</v>
      </c>
      <c r="B1059" s="25" t="s">
        <v>8392</v>
      </c>
      <c r="C1059" s="25" t="s">
        <v>8393</v>
      </c>
      <c r="D1059" s="25" t="n">
        <v>9</v>
      </c>
      <c r="E1059" s="25" t="s">
        <v>8394</v>
      </c>
      <c r="F1059" s="25" t="s">
        <v>8395</v>
      </c>
      <c r="G1059" s="25" t="s">
        <v>8400</v>
      </c>
      <c r="H1059" s="25"/>
      <c r="I1059" s="25" t="s">
        <v>10034</v>
      </c>
      <c r="J1059" s="25" t="s">
        <v>10035</v>
      </c>
      <c r="K1059" s="25" t="n">
        <v>0</v>
      </c>
      <c r="L1059" s="25" t="str">
        <f aca="false">IF(K1059&gt;0,"Yes","No")</f>
        <v>No</v>
      </c>
    </row>
    <row r="1060" customFormat="false" ht="15" hidden="false" customHeight="false" outlineLevel="0" collapsed="false">
      <c r="A1060" s="25" t="s">
        <v>10036</v>
      </c>
      <c r="B1060" s="25" t="s">
        <v>8392</v>
      </c>
      <c r="C1060" s="25"/>
      <c r="D1060" s="25" t="n">
        <v>8</v>
      </c>
      <c r="E1060" s="25" t="s">
        <v>8439</v>
      </c>
      <c r="F1060" s="25" t="s">
        <v>8440</v>
      </c>
      <c r="G1060" s="25" t="s">
        <v>8398</v>
      </c>
      <c r="H1060" s="25"/>
      <c r="I1060" s="25" t="s">
        <v>10037</v>
      </c>
      <c r="J1060" s="25" t="s">
        <v>10038</v>
      </c>
      <c r="K1060" s="25" t="n">
        <v>0</v>
      </c>
      <c r="L1060" s="25" t="str">
        <f aca="false">IF(K1060&gt;0,"Yes","No")</f>
        <v>No</v>
      </c>
    </row>
    <row r="1061" customFormat="false" ht="15" hidden="false" customHeight="false" outlineLevel="0" collapsed="false">
      <c r="A1061" s="25" t="s">
        <v>10039</v>
      </c>
      <c r="B1061" s="25" t="s">
        <v>8392</v>
      </c>
      <c r="C1061" s="25" t="s">
        <v>8393</v>
      </c>
      <c r="D1061" s="25" t="n">
        <v>9</v>
      </c>
      <c r="E1061" s="25" t="s">
        <v>8394</v>
      </c>
      <c r="F1061" s="25" t="s">
        <v>8395</v>
      </c>
      <c r="G1061" s="25" t="s">
        <v>8398</v>
      </c>
      <c r="H1061" s="25"/>
      <c r="I1061" s="25" t="s">
        <v>10021</v>
      </c>
      <c r="J1061" s="25" t="s">
        <v>10040</v>
      </c>
      <c r="K1061" s="25" t="n">
        <v>0</v>
      </c>
      <c r="L1061" s="25" t="str">
        <f aca="false">IF(K1061&gt;0,"Yes","No")</f>
        <v>No</v>
      </c>
    </row>
    <row r="1062" customFormat="false" ht="15" hidden="false" customHeight="false" outlineLevel="0" collapsed="false">
      <c r="A1062" s="25" t="s">
        <v>10041</v>
      </c>
      <c r="B1062" s="25" t="s">
        <v>8392</v>
      </c>
      <c r="C1062" s="25" t="s">
        <v>8393</v>
      </c>
      <c r="D1062" s="25" t="n">
        <v>9</v>
      </c>
      <c r="E1062" s="25" t="s">
        <v>8394</v>
      </c>
      <c r="F1062" s="25" t="s">
        <v>8395</v>
      </c>
      <c r="G1062" s="25" t="s">
        <v>8398</v>
      </c>
      <c r="H1062" s="25"/>
      <c r="I1062" s="25" t="s">
        <v>10021</v>
      </c>
      <c r="J1062" s="25" t="s">
        <v>10042</v>
      </c>
      <c r="K1062" s="25" t="n">
        <v>0</v>
      </c>
      <c r="L1062" s="25" t="str">
        <f aca="false">IF(K1062&gt;0,"Yes","No")</f>
        <v>No</v>
      </c>
    </row>
    <row r="1063" customFormat="false" ht="15" hidden="false" customHeight="false" outlineLevel="0" collapsed="false">
      <c r="A1063" s="25" t="s">
        <v>10043</v>
      </c>
      <c r="B1063" s="25" t="s">
        <v>8392</v>
      </c>
      <c r="C1063" s="25" t="s">
        <v>8393</v>
      </c>
      <c r="D1063" s="25" t="n">
        <v>9</v>
      </c>
      <c r="E1063" s="25" t="s">
        <v>8394</v>
      </c>
      <c r="F1063" s="25" t="s">
        <v>8395</v>
      </c>
      <c r="G1063" s="25" t="s">
        <v>8398</v>
      </c>
      <c r="H1063" s="25"/>
      <c r="I1063" s="25" t="s">
        <v>10044</v>
      </c>
      <c r="J1063" s="25" t="s">
        <v>10045</v>
      </c>
      <c r="K1063" s="25" t="n">
        <v>0</v>
      </c>
      <c r="L1063" s="25" t="str">
        <f aca="false">IF(K1063&gt;0,"Yes","No")</f>
        <v>No</v>
      </c>
    </row>
    <row r="1064" customFormat="false" ht="15" hidden="false" customHeight="false" outlineLevel="0" collapsed="false">
      <c r="A1064" s="25" t="s">
        <v>10046</v>
      </c>
      <c r="B1064" s="25" t="s">
        <v>8392</v>
      </c>
      <c r="C1064" s="25" t="s">
        <v>8393</v>
      </c>
      <c r="D1064" s="25" t="n">
        <v>9</v>
      </c>
      <c r="E1064" s="25" t="s">
        <v>8394</v>
      </c>
      <c r="F1064" s="25" t="s">
        <v>8395</v>
      </c>
      <c r="G1064" s="25" t="s">
        <v>8398</v>
      </c>
      <c r="H1064" s="25"/>
      <c r="I1064" s="25" t="s">
        <v>10044</v>
      </c>
      <c r="J1064" s="25" t="s">
        <v>10047</v>
      </c>
      <c r="K1064" s="25" t="n">
        <v>0</v>
      </c>
      <c r="L1064" s="25" t="str">
        <f aca="false">IF(K1064&gt;0,"Yes","No")</f>
        <v>No</v>
      </c>
    </row>
    <row r="1065" customFormat="false" ht="15" hidden="false" customHeight="false" outlineLevel="0" collapsed="false">
      <c r="A1065" s="25" t="s">
        <v>10048</v>
      </c>
      <c r="B1065" s="25" t="s">
        <v>8392</v>
      </c>
      <c r="C1065" s="25" t="s">
        <v>8393</v>
      </c>
      <c r="D1065" s="25" t="n">
        <v>9</v>
      </c>
      <c r="E1065" s="25" t="s">
        <v>8394</v>
      </c>
      <c r="F1065" s="25" t="s">
        <v>8395</v>
      </c>
      <c r="G1065" s="25" t="s">
        <v>8398</v>
      </c>
      <c r="H1065" s="25"/>
      <c r="I1065" s="25" t="s">
        <v>10049</v>
      </c>
      <c r="J1065" s="25" t="s">
        <v>10050</v>
      </c>
      <c r="K1065" s="25" t="n">
        <v>0</v>
      </c>
      <c r="L1065" s="25" t="str">
        <f aca="false">IF(K1065&gt;0,"Yes","No")</f>
        <v>No</v>
      </c>
    </row>
    <row r="1066" customFormat="false" ht="15" hidden="false" customHeight="false" outlineLevel="0" collapsed="false">
      <c r="A1066" s="25" t="s">
        <v>10051</v>
      </c>
      <c r="B1066" s="25" t="s">
        <v>8392</v>
      </c>
      <c r="C1066" s="25" t="s">
        <v>8393</v>
      </c>
      <c r="D1066" s="25" t="n">
        <v>9</v>
      </c>
      <c r="E1066" s="25" t="s">
        <v>8394</v>
      </c>
      <c r="F1066" s="25" t="s">
        <v>8395</v>
      </c>
      <c r="G1066" s="25" t="s">
        <v>8398</v>
      </c>
      <c r="H1066" s="25"/>
      <c r="I1066" s="25" t="s">
        <v>10052</v>
      </c>
      <c r="J1066" s="25" t="s">
        <v>10053</v>
      </c>
      <c r="K1066" s="25" t="n">
        <v>0</v>
      </c>
      <c r="L1066" s="25" t="str">
        <f aca="false">IF(K1066&gt;0,"Yes","No")</f>
        <v>No</v>
      </c>
    </row>
    <row r="1067" customFormat="false" ht="15" hidden="false" customHeight="false" outlineLevel="0" collapsed="false">
      <c r="A1067" s="25" t="s">
        <v>10054</v>
      </c>
      <c r="B1067" s="25" t="s">
        <v>8392</v>
      </c>
      <c r="C1067" s="25" t="s">
        <v>8393</v>
      </c>
      <c r="D1067" s="25" t="n">
        <v>9</v>
      </c>
      <c r="E1067" s="25" t="s">
        <v>8394</v>
      </c>
      <c r="F1067" s="25" t="s">
        <v>8395</v>
      </c>
      <c r="G1067" s="25" t="s">
        <v>8398</v>
      </c>
      <c r="H1067" s="25"/>
      <c r="I1067" s="25" t="s">
        <v>10052</v>
      </c>
      <c r="J1067" s="25" t="s">
        <v>10053</v>
      </c>
      <c r="K1067" s="25" t="n">
        <v>0</v>
      </c>
      <c r="L1067" s="25" t="str">
        <f aca="false">IF(K1067&gt;0,"Yes","No")</f>
        <v>No</v>
      </c>
    </row>
    <row r="1068" customFormat="false" ht="15" hidden="false" customHeight="false" outlineLevel="0" collapsed="false">
      <c r="A1068" s="25" t="s">
        <v>10055</v>
      </c>
      <c r="B1068" s="25" t="s">
        <v>8392</v>
      </c>
      <c r="C1068" s="25" t="s">
        <v>8393</v>
      </c>
      <c r="D1068" s="25" t="n">
        <v>9</v>
      </c>
      <c r="E1068" s="25" t="s">
        <v>8394</v>
      </c>
      <c r="F1068" s="25" t="s">
        <v>8395</v>
      </c>
      <c r="G1068" s="25" t="s">
        <v>8398</v>
      </c>
      <c r="H1068" s="25"/>
      <c r="I1068" s="25" t="s">
        <v>7951</v>
      </c>
      <c r="J1068" s="25" t="s">
        <v>10056</v>
      </c>
      <c r="K1068" s="25" t="n">
        <v>0</v>
      </c>
      <c r="L1068" s="25" t="str">
        <f aca="false">IF(K1068&gt;0,"Yes","No")</f>
        <v>No</v>
      </c>
    </row>
    <row r="1069" customFormat="false" ht="15" hidden="false" customHeight="false" outlineLevel="0" collapsed="false">
      <c r="A1069" s="25" t="s">
        <v>10057</v>
      </c>
      <c r="B1069" s="25" t="s">
        <v>8392</v>
      </c>
      <c r="C1069" s="25" t="s">
        <v>8393</v>
      </c>
      <c r="D1069" s="25" t="n">
        <v>9</v>
      </c>
      <c r="E1069" s="25" t="s">
        <v>8394</v>
      </c>
      <c r="F1069" s="25" t="s">
        <v>8395</v>
      </c>
      <c r="G1069" s="25" t="s">
        <v>8398</v>
      </c>
      <c r="H1069" s="25"/>
      <c r="I1069" s="25" t="s">
        <v>10058</v>
      </c>
      <c r="J1069" s="25" t="s">
        <v>10059</v>
      </c>
      <c r="K1069" s="25" t="n">
        <v>0</v>
      </c>
      <c r="L1069" s="25" t="str">
        <f aca="false">IF(K1069&gt;0,"Yes","No")</f>
        <v>No</v>
      </c>
    </row>
    <row r="1070" customFormat="false" ht="15" hidden="false" customHeight="false" outlineLevel="0" collapsed="false">
      <c r="A1070" s="25" t="s">
        <v>10060</v>
      </c>
      <c r="B1070" s="25" t="s">
        <v>8392</v>
      </c>
      <c r="C1070" s="25" t="s">
        <v>8393</v>
      </c>
      <c r="D1070" s="25" t="n">
        <v>9</v>
      </c>
      <c r="E1070" s="25" t="s">
        <v>8394</v>
      </c>
      <c r="F1070" s="25" t="s">
        <v>8395</v>
      </c>
      <c r="G1070" s="25" t="s">
        <v>8398</v>
      </c>
      <c r="H1070" s="25"/>
      <c r="I1070" s="25" t="s">
        <v>10044</v>
      </c>
      <c r="J1070" s="25" t="s">
        <v>10061</v>
      </c>
      <c r="K1070" s="25" t="n">
        <v>0</v>
      </c>
      <c r="L1070" s="25" t="str">
        <f aca="false">IF(K1070&gt;0,"Yes","No")</f>
        <v>No</v>
      </c>
    </row>
    <row r="1071" customFormat="false" ht="15" hidden="false" customHeight="false" outlineLevel="0" collapsed="false">
      <c r="A1071" s="25" t="s">
        <v>10062</v>
      </c>
      <c r="B1071" s="25" t="s">
        <v>8392</v>
      </c>
      <c r="C1071" s="25" t="s">
        <v>8393</v>
      </c>
      <c r="D1071" s="25" t="n">
        <v>9</v>
      </c>
      <c r="E1071" s="25" t="s">
        <v>8394</v>
      </c>
      <c r="F1071" s="25" t="s">
        <v>8395</v>
      </c>
      <c r="G1071" s="25" t="s">
        <v>8398</v>
      </c>
      <c r="H1071" s="25"/>
      <c r="I1071" s="25" t="s">
        <v>9516</v>
      </c>
      <c r="J1071" s="25" t="s">
        <v>10063</v>
      </c>
      <c r="K1071" s="25" t="n">
        <v>0</v>
      </c>
      <c r="L1071" s="25" t="str">
        <f aca="false">IF(K1071&gt;0,"Yes","No")</f>
        <v>No</v>
      </c>
    </row>
    <row r="1072" customFormat="false" ht="15" hidden="false" customHeight="false" outlineLevel="0" collapsed="false">
      <c r="A1072" s="25" t="s">
        <v>10064</v>
      </c>
      <c r="B1072" s="25" t="s">
        <v>8392</v>
      </c>
      <c r="C1072" s="25" t="s">
        <v>8393</v>
      </c>
      <c r="D1072" s="25" t="n">
        <v>9</v>
      </c>
      <c r="E1072" s="25" t="s">
        <v>8394</v>
      </c>
      <c r="F1072" s="25" t="s">
        <v>8395</v>
      </c>
      <c r="G1072" s="25" t="s">
        <v>8398</v>
      </c>
      <c r="H1072" s="25"/>
      <c r="I1072" s="25" t="s">
        <v>10065</v>
      </c>
      <c r="J1072" s="25" t="s">
        <v>940</v>
      </c>
      <c r="K1072" s="25" t="n">
        <v>0</v>
      </c>
      <c r="L1072" s="25" t="str">
        <f aca="false">IF(K1072&gt;0,"Yes","No")</f>
        <v>No</v>
      </c>
    </row>
    <row r="1073" customFormat="false" ht="15" hidden="false" customHeight="false" outlineLevel="0" collapsed="false">
      <c r="A1073" s="25" t="s">
        <v>10066</v>
      </c>
      <c r="B1073" s="25" t="s">
        <v>8419</v>
      </c>
      <c r="C1073" s="25" t="s">
        <v>8393</v>
      </c>
      <c r="D1073" s="25" t="n">
        <v>9</v>
      </c>
      <c r="E1073" s="25" t="s">
        <v>8394</v>
      </c>
      <c r="F1073" s="25" t="s">
        <v>8395</v>
      </c>
      <c r="G1073" s="25" t="s">
        <v>8396</v>
      </c>
      <c r="H1073" s="25" t="s">
        <v>8403</v>
      </c>
      <c r="I1073" s="25" t="s">
        <v>10067</v>
      </c>
      <c r="J1073" s="25" t="s">
        <v>940</v>
      </c>
      <c r="K1073" s="25" t="n">
        <v>0</v>
      </c>
      <c r="L1073" s="25" t="str">
        <f aca="false">IF(K1073&gt;0,"Yes","No")</f>
        <v>No</v>
      </c>
    </row>
    <row r="1074" customFormat="false" ht="15" hidden="false" customHeight="false" outlineLevel="0" collapsed="false">
      <c r="A1074" s="25" t="s">
        <v>10068</v>
      </c>
      <c r="B1074" s="25" t="s">
        <v>8419</v>
      </c>
      <c r="C1074" s="25" t="s">
        <v>8393</v>
      </c>
      <c r="D1074" s="25" t="n">
        <v>9</v>
      </c>
      <c r="E1074" s="25" t="s">
        <v>8394</v>
      </c>
      <c r="F1074" s="25" t="s">
        <v>8395</v>
      </c>
      <c r="G1074" s="25" t="s">
        <v>8396</v>
      </c>
      <c r="H1074" s="25" t="s">
        <v>8403</v>
      </c>
      <c r="I1074" s="25" t="s">
        <v>10069</v>
      </c>
      <c r="J1074" s="25" t="s">
        <v>940</v>
      </c>
      <c r="K1074" s="25" t="n">
        <v>0</v>
      </c>
      <c r="L1074" s="25" t="str">
        <f aca="false">IF(K1074&gt;0,"Yes","No")</f>
        <v>No</v>
      </c>
    </row>
    <row r="1075" customFormat="false" ht="15" hidden="false" customHeight="false" outlineLevel="0" collapsed="false">
      <c r="A1075" s="25" t="s">
        <v>10070</v>
      </c>
      <c r="B1075" s="25" t="s">
        <v>8419</v>
      </c>
      <c r="C1075" s="25" t="s">
        <v>8393</v>
      </c>
      <c r="D1075" s="25" t="n">
        <v>9</v>
      </c>
      <c r="E1075" s="25" t="s">
        <v>8394</v>
      </c>
      <c r="F1075" s="25" t="s">
        <v>8395</v>
      </c>
      <c r="G1075" s="25" t="s">
        <v>8400</v>
      </c>
      <c r="H1075" s="25"/>
      <c r="I1075" s="25" t="s">
        <v>10071</v>
      </c>
      <c r="J1075" s="25" t="s">
        <v>10072</v>
      </c>
      <c r="K1075" s="25" t="n">
        <v>0</v>
      </c>
      <c r="L1075" s="25" t="str">
        <f aca="false">IF(K1075&gt;0,"Yes","No")</f>
        <v>No</v>
      </c>
    </row>
    <row r="1076" customFormat="false" ht="15" hidden="false" customHeight="false" outlineLevel="0" collapsed="false">
      <c r="A1076" s="25" t="s">
        <v>10073</v>
      </c>
      <c r="B1076" s="25" t="s">
        <v>8419</v>
      </c>
      <c r="C1076" s="25" t="s">
        <v>8393</v>
      </c>
      <c r="D1076" s="25" t="n">
        <v>9</v>
      </c>
      <c r="E1076" s="25" t="s">
        <v>8394</v>
      </c>
      <c r="F1076" s="25" t="s">
        <v>8395</v>
      </c>
      <c r="G1076" s="25" t="s">
        <v>8400</v>
      </c>
      <c r="H1076" s="25"/>
      <c r="I1076" s="25" t="s">
        <v>10074</v>
      </c>
      <c r="J1076" s="25" t="s">
        <v>10072</v>
      </c>
      <c r="K1076" s="25" t="n">
        <v>0</v>
      </c>
      <c r="L1076" s="25" t="str">
        <f aca="false">IF(K1076&gt;0,"Yes","No")</f>
        <v>No</v>
      </c>
    </row>
    <row r="1077" customFormat="false" ht="15" hidden="false" customHeight="false" outlineLevel="0" collapsed="false">
      <c r="A1077" s="25" t="s">
        <v>10075</v>
      </c>
      <c r="B1077" s="25" t="s">
        <v>8392</v>
      </c>
      <c r="C1077" s="25" t="s">
        <v>8393</v>
      </c>
      <c r="D1077" s="25" t="n">
        <v>9</v>
      </c>
      <c r="E1077" s="25" t="s">
        <v>8394</v>
      </c>
      <c r="F1077" s="25" t="s">
        <v>8395</v>
      </c>
      <c r="G1077" s="25" t="s">
        <v>8398</v>
      </c>
      <c r="H1077" s="25"/>
      <c r="I1077" s="25" t="s">
        <v>10076</v>
      </c>
      <c r="J1077" s="25" t="s">
        <v>10077</v>
      </c>
      <c r="K1077" s="25" t="n">
        <v>0</v>
      </c>
      <c r="L1077" s="25" t="str">
        <f aca="false">IF(K1077&gt;0,"Yes","No")</f>
        <v>No</v>
      </c>
    </row>
    <row r="1078" customFormat="false" ht="15" hidden="false" customHeight="false" outlineLevel="0" collapsed="false">
      <c r="A1078" s="25" t="s">
        <v>10078</v>
      </c>
      <c r="B1078" s="25" t="s">
        <v>8392</v>
      </c>
      <c r="C1078" s="25" t="s">
        <v>8393</v>
      </c>
      <c r="D1078" s="25" t="n">
        <v>9</v>
      </c>
      <c r="E1078" s="25" t="s">
        <v>8394</v>
      </c>
      <c r="F1078" s="25" t="s">
        <v>8395</v>
      </c>
      <c r="G1078" s="25" t="s">
        <v>8398</v>
      </c>
      <c r="H1078" s="25"/>
      <c r="I1078" s="25" t="s">
        <v>458</v>
      </c>
      <c r="J1078" s="25" t="s">
        <v>10077</v>
      </c>
      <c r="K1078" s="25" t="n">
        <v>0</v>
      </c>
      <c r="L1078" s="25" t="str">
        <f aca="false">IF(K1078&gt;0,"Yes","No")</f>
        <v>No</v>
      </c>
    </row>
    <row r="1079" customFormat="false" ht="15" hidden="false" customHeight="false" outlineLevel="0" collapsed="false">
      <c r="A1079" s="25" t="s">
        <v>10079</v>
      </c>
      <c r="B1079" s="25" t="s">
        <v>8419</v>
      </c>
      <c r="C1079" s="25" t="s">
        <v>8393</v>
      </c>
      <c r="D1079" s="25" t="n">
        <v>9</v>
      </c>
      <c r="E1079" s="25" t="s">
        <v>8394</v>
      </c>
      <c r="F1079" s="25" t="s">
        <v>8395</v>
      </c>
      <c r="G1079" s="25" t="s">
        <v>8402</v>
      </c>
      <c r="H1079" s="25" t="s">
        <v>8399</v>
      </c>
      <c r="I1079" s="25" t="s">
        <v>10080</v>
      </c>
      <c r="J1079" s="25" t="s">
        <v>10081</v>
      </c>
      <c r="K1079" s="25" t="n">
        <v>0</v>
      </c>
      <c r="L1079" s="25" t="str">
        <f aca="false">IF(K1079&gt;0,"Yes","No")</f>
        <v>No</v>
      </c>
    </row>
    <row r="1080" customFormat="false" ht="15" hidden="false" customHeight="false" outlineLevel="0" collapsed="false">
      <c r="A1080" s="25" t="s">
        <v>10082</v>
      </c>
      <c r="B1080" s="25" t="s">
        <v>8419</v>
      </c>
      <c r="C1080" s="25" t="s">
        <v>8393</v>
      </c>
      <c r="D1080" s="25" t="n">
        <v>9</v>
      </c>
      <c r="E1080" s="25" t="s">
        <v>8394</v>
      </c>
      <c r="F1080" s="25" t="s">
        <v>8395</v>
      </c>
      <c r="G1080" s="25" t="s">
        <v>8396</v>
      </c>
      <c r="H1080" s="25" t="s">
        <v>8403</v>
      </c>
      <c r="I1080" s="25" t="s">
        <v>10083</v>
      </c>
      <c r="J1080" s="25" t="s">
        <v>10081</v>
      </c>
      <c r="K1080" s="25" t="n">
        <v>0</v>
      </c>
      <c r="L1080" s="25" t="str">
        <f aca="false">IF(K1080&gt;0,"Yes","No")</f>
        <v>No</v>
      </c>
    </row>
    <row r="1081" customFormat="false" ht="15" hidden="false" customHeight="false" outlineLevel="0" collapsed="false">
      <c r="A1081" s="25" t="s">
        <v>10084</v>
      </c>
      <c r="B1081" s="25" t="s">
        <v>8392</v>
      </c>
      <c r="C1081" s="25" t="s">
        <v>8393</v>
      </c>
      <c r="D1081" s="25" t="n">
        <v>9</v>
      </c>
      <c r="E1081" s="25" t="s">
        <v>8394</v>
      </c>
      <c r="F1081" s="25" t="s">
        <v>8395</v>
      </c>
      <c r="G1081" s="25" t="s">
        <v>8398</v>
      </c>
      <c r="H1081" s="25"/>
      <c r="I1081" s="25" t="s">
        <v>10085</v>
      </c>
      <c r="J1081" s="25" t="s">
        <v>10086</v>
      </c>
      <c r="K1081" s="25" t="n">
        <v>0</v>
      </c>
      <c r="L1081" s="25" t="str">
        <f aca="false">IF(K1081&gt;0,"Yes","No")</f>
        <v>No</v>
      </c>
    </row>
    <row r="1082" customFormat="false" ht="15" hidden="false" customHeight="false" outlineLevel="0" collapsed="false">
      <c r="A1082" s="25" t="s">
        <v>10087</v>
      </c>
      <c r="B1082" s="25" t="s">
        <v>8392</v>
      </c>
      <c r="C1082" s="25" t="s">
        <v>8393</v>
      </c>
      <c r="D1082" s="25" t="n">
        <v>9</v>
      </c>
      <c r="E1082" s="25" t="s">
        <v>8394</v>
      </c>
      <c r="F1082" s="25" t="s">
        <v>8395</v>
      </c>
      <c r="G1082" s="25" t="s">
        <v>8398</v>
      </c>
      <c r="H1082" s="25"/>
      <c r="I1082" s="25" t="s">
        <v>10085</v>
      </c>
      <c r="J1082" s="25" t="s">
        <v>10086</v>
      </c>
      <c r="K1082" s="25" t="n">
        <v>0</v>
      </c>
      <c r="L1082" s="25" t="str">
        <f aca="false">IF(K1082&gt;0,"Yes","No")</f>
        <v>No</v>
      </c>
    </row>
    <row r="1083" customFormat="false" ht="15" hidden="false" customHeight="false" outlineLevel="0" collapsed="false">
      <c r="A1083" s="25" t="s">
        <v>10088</v>
      </c>
      <c r="B1083" s="25" t="s">
        <v>8392</v>
      </c>
      <c r="C1083" s="25" t="s">
        <v>8393</v>
      </c>
      <c r="D1083" s="25" t="n">
        <v>9</v>
      </c>
      <c r="E1083" s="25" t="s">
        <v>8394</v>
      </c>
      <c r="F1083" s="25" t="s">
        <v>8395</v>
      </c>
      <c r="G1083" s="25" t="s">
        <v>8398</v>
      </c>
      <c r="H1083" s="25"/>
      <c r="I1083" s="25" t="s">
        <v>10044</v>
      </c>
      <c r="J1083" s="25" t="s">
        <v>10089</v>
      </c>
      <c r="K1083" s="25" t="n">
        <v>0</v>
      </c>
      <c r="L1083" s="25" t="str">
        <f aca="false">IF(K1083&gt;0,"Yes","No")</f>
        <v>No</v>
      </c>
    </row>
    <row r="1084" customFormat="false" ht="15" hidden="false" customHeight="false" outlineLevel="0" collapsed="false">
      <c r="A1084" s="25" t="s">
        <v>10090</v>
      </c>
      <c r="B1084" s="25" t="s">
        <v>8419</v>
      </c>
      <c r="C1084" s="25" t="s">
        <v>8393</v>
      </c>
      <c r="D1084" s="25" t="n">
        <v>9</v>
      </c>
      <c r="E1084" s="25" t="s">
        <v>8394</v>
      </c>
      <c r="F1084" s="25" t="s">
        <v>8395</v>
      </c>
      <c r="G1084" s="25" t="s">
        <v>8402</v>
      </c>
      <c r="H1084" s="25" t="s">
        <v>8399</v>
      </c>
      <c r="I1084" s="25" t="s">
        <v>10091</v>
      </c>
      <c r="J1084" s="25" t="s">
        <v>2647</v>
      </c>
      <c r="K1084" s="25" t="n">
        <v>0</v>
      </c>
      <c r="L1084" s="25" t="str">
        <f aca="false">IF(K1084&gt;0,"Yes","No")</f>
        <v>No</v>
      </c>
    </row>
    <row r="1085" customFormat="false" ht="15" hidden="false" customHeight="false" outlineLevel="0" collapsed="false">
      <c r="A1085" s="25" t="s">
        <v>10092</v>
      </c>
      <c r="B1085" s="25" t="s">
        <v>8419</v>
      </c>
      <c r="C1085" s="25" t="s">
        <v>8393</v>
      </c>
      <c r="D1085" s="25" t="n">
        <v>9</v>
      </c>
      <c r="E1085" s="25" t="s">
        <v>8394</v>
      </c>
      <c r="F1085" s="25" t="s">
        <v>8395</v>
      </c>
      <c r="G1085" s="25" t="s">
        <v>8396</v>
      </c>
      <c r="H1085" s="25" t="s">
        <v>8399</v>
      </c>
      <c r="I1085" s="25" t="s">
        <v>10093</v>
      </c>
      <c r="J1085" s="25" t="s">
        <v>2647</v>
      </c>
      <c r="K1085" s="25" t="n">
        <v>0</v>
      </c>
      <c r="L1085" s="25" t="str">
        <f aca="false">IF(K1085&gt;0,"Yes","No")</f>
        <v>No</v>
      </c>
    </row>
    <row r="1086" customFormat="false" ht="15" hidden="false" customHeight="false" outlineLevel="0" collapsed="false">
      <c r="A1086" s="25" t="s">
        <v>10094</v>
      </c>
      <c r="B1086" s="25" t="s">
        <v>8419</v>
      </c>
      <c r="C1086" s="25" t="s">
        <v>8393</v>
      </c>
      <c r="D1086" s="25" t="n">
        <v>9</v>
      </c>
      <c r="E1086" s="25" t="s">
        <v>8394</v>
      </c>
      <c r="F1086" s="25" t="s">
        <v>8395</v>
      </c>
      <c r="G1086" s="25" t="s">
        <v>8402</v>
      </c>
      <c r="H1086" s="25" t="s">
        <v>8399</v>
      </c>
      <c r="I1086" s="25" t="s">
        <v>10095</v>
      </c>
      <c r="J1086" s="25" t="s">
        <v>2647</v>
      </c>
      <c r="K1086" s="25" t="n">
        <v>0</v>
      </c>
      <c r="L1086" s="25" t="str">
        <f aca="false">IF(K1086&gt;0,"Yes","No")</f>
        <v>No</v>
      </c>
    </row>
    <row r="1087" customFormat="false" ht="15" hidden="false" customHeight="false" outlineLevel="0" collapsed="false">
      <c r="A1087" s="25" t="s">
        <v>10096</v>
      </c>
      <c r="B1087" s="25" t="s">
        <v>8419</v>
      </c>
      <c r="C1087" s="25" t="s">
        <v>8393</v>
      </c>
      <c r="D1087" s="25" t="n">
        <v>9</v>
      </c>
      <c r="E1087" s="25" t="s">
        <v>8394</v>
      </c>
      <c r="F1087" s="25" t="s">
        <v>8395</v>
      </c>
      <c r="G1087" s="25" t="s">
        <v>8400</v>
      </c>
      <c r="H1087" s="25"/>
      <c r="I1087" s="25" t="s">
        <v>8597</v>
      </c>
      <c r="J1087" s="25" t="s">
        <v>2647</v>
      </c>
      <c r="K1087" s="25" t="n">
        <v>0</v>
      </c>
      <c r="L1087" s="25" t="str">
        <f aca="false">IF(K1087&gt;0,"Yes","No")</f>
        <v>No</v>
      </c>
    </row>
    <row r="1088" customFormat="false" ht="15" hidden="false" customHeight="false" outlineLevel="0" collapsed="false">
      <c r="A1088" s="25" t="s">
        <v>10097</v>
      </c>
      <c r="B1088" s="25" t="s">
        <v>8392</v>
      </c>
      <c r="C1088" s="25" t="s">
        <v>8393</v>
      </c>
      <c r="D1088" s="25" t="n">
        <v>9</v>
      </c>
      <c r="E1088" s="25" t="s">
        <v>8394</v>
      </c>
      <c r="F1088" s="25" t="s">
        <v>8395</v>
      </c>
      <c r="G1088" s="25" t="s">
        <v>8396</v>
      </c>
      <c r="H1088" s="25" t="s">
        <v>8399</v>
      </c>
      <c r="I1088" s="25" t="s">
        <v>10098</v>
      </c>
      <c r="J1088" s="25" t="s">
        <v>2647</v>
      </c>
      <c r="K1088" s="25" t="n">
        <v>0</v>
      </c>
      <c r="L1088" s="25" t="str">
        <f aca="false">IF(K1088&gt;0,"Yes","No")</f>
        <v>No</v>
      </c>
    </row>
    <row r="1089" customFormat="false" ht="15" hidden="false" customHeight="false" outlineLevel="0" collapsed="false">
      <c r="A1089" s="25" t="s">
        <v>10099</v>
      </c>
      <c r="B1089" s="25" t="s">
        <v>8392</v>
      </c>
      <c r="C1089" s="25" t="s">
        <v>8393</v>
      </c>
      <c r="D1089" s="25" t="n">
        <v>9</v>
      </c>
      <c r="E1089" s="25" t="s">
        <v>8394</v>
      </c>
      <c r="F1089" s="25" t="s">
        <v>8395</v>
      </c>
      <c r="G1089" s="25" t="s">
        <v>8398</v>
      </c>
      <c r="H1089" s="25"/>
      <c r="I1089" s="25" t="s">
        <v>10100</v>
      </c>
      <c r="J1089" s="25" t="s">
        <v>2647</v>
      </c>
      <c r="K1089" s="25" t="n">
        <v>0</v>
      </c>
      <c r="L1089" s="25" t="str">
        <f aca="false">IF(K1089&gt;0,"Yes","No")</f>
        <v>No</v>
      </c>
    </row>
    <row r="1090" customFormat="false" ht="15" hidden="false" customHeight="false" outlineLevel="0" collapsed="false">
      <c r="A1090" s="25" t="s">
        <v>10101</v>
      </c>
      <c r="B1090" s="25" t="s">
        <v>8392</v>
      </c>
      <c r="C1090" s="25" t="s">
        <v>8393</v>
      </c>
      <c r="D1090" s="25" t="n">
        <v>9</v>
      </c>
      <c r="E1090" s="25" t="s">
        <v>8394</v>
      </c>
      <c r="F1090" s="25" t="s">
        <v>8395</v>
      </c>
      <c r="G1090" s="25" t="s">
        <v>8396</v>
      </c>
      <c r="H1090" s="25" t="s">
        <v>8399</v>
      </c>
      <c r="I1090" s="25" t="s">
        <v>10102</v>
      </c>
      <c r="J1090" s="25" t="s">
        <v>2647</v>
      </c>
      <c r="K1090" s="25" t="n">
        <v>0</v>
      </c>
      <c r="L1090" s="25" t="str">
        <f aca="false">IF(K1090&gt;0,"Yes","No")</f>
        <v>No</v>
      </c>
    </row>
    <row r="1091" customFormat="false" ht="15" hidden="false" customHeight="false" outlineLevel="0" collapsed="false">
      <c r="A1091" s="25" t="s">
        <v>8322</v>
      </c>
      <c r="B1091" s="25" t="s">
        <v>8392</v>
      </c>
      <c r="C1091" s="25" t="s">
        <v>8393</v>
      </c>
      <c r="D1091" s="25" t="n">
        <v>9</v>
      </c>
      <c r="E1091" s="25" t="s">
        <v>8394</v>
      </c>
      <c r="F1091" s="25" t="s">
        <v>8395</v>
      </c>
      <c r="G1091" s="25" t="s">
        <v>8396</v>
      </c>
      <c r="H1091" s="25" t="s">
        <v>8403</v>
      </c>
      <c r="I1091" s="25" t="s">
        <v>8323</v>
      </c>
      <c r="J1091" s="25" t="s">
        <v>2647</v>
      </c>
      <c r="K1091" s="25" t="n">
        <v>0</v>
      </c>
      <c r="L1091" s="25" t="str">
        <f aca="false">IF(K1091&gt;0,"Yes","No")</f>
        <v>No</v>
      </c>
    </row>
    <row r="1092" customFormat="false" ht="15" hidden="false" customHeight="false" outlineLevel="0" collapsed="false">
      <c r="A1092" s="25" t="s">
        <v>8320</v>
      </c>
      <c r="B1092" s="25" t="s">
        <v>8392</v>
      </c>
      <c r="C1092" s="25" t="s">
        <v>8393</v>
      </c>
      <c r="D1092" s="25" t="n">
        <v>9</v>
      </c>
      <c r="E1092" s="25" t="s">
        <v>8394</v>
      </c>
      <c r="F1092" s="25" t="s">
        <v>8395</v>
      </c>
      <c r="G1092" s="25" t="s">
        <v>8396</v>
      </c>
      <c r="H1092" s="25" t="s">
        <v>9911</v>
      </c>
      <c r="I1092" s="25" t="s">
        <v>8321</v>
      </c>
      <c r="J1092" s="25" t="s">
        <v>2647</v>
      </c>
      <c r="K1092" s="25" t="n">
        <v>0</v>
      </c>
      <c r="L1092" s="25" t="str">
        <f aca="false">IF(K1092&gt;0,"Yes","No")</f>
        <v>No</v>
      </c>
    </row>
    <row r="1093" customFormat="false" ht="15" hidden="false" customHeight="false" outlineLevel="0" collapsed="false">
      <c r="A1093" s="25" t="s">
        <v>8312</v>
      </c>
      <c r="B1093" s="25" t="s">
        <v>8392</v>
      </c>
      <c r="C1093" s="25" t="s">
        <v>8393</v>
      </c>
      <c r="D1093" s="25" t="n">
        <v>9</v>
      </c>
      <c r="E1093" s="25" t="s">
        <v>8394</v>
      </c>
      <c r="F1093" s="25" t="s">
        <v>8395</v>
      </c>
      <c r="G1093" s="25" t="s">
        <v>8396</v>
      </c>
      <c r="H1093" s="25" t="s">
        <v>8399</v>
      </c>
      <c r="I1093" s="25" t="s">
        <v>8313</v>
      </c>
      <c r="J1093" s="25" t="s">
        <v>2647</v>
      </c>
      <c r="K1093" s="25" t="n">
        <v>0</v>
      </c>
      <c r="L1093" s="25" t="str">
        <f aca="false">IF(K1093&gt;0,"Yes","No")</f>
        <v>No</v>
      </c>
    </row>
    <row r="1094" customFormat="false" ht="15" hidden="false" customHeight="false" outlineLevel="0" collapsed="false">
      <c r="A1094" s="25" t="s">
        <v>8310</v>
      </c>
      <c r="B1094" s="25" t="s">
        <v>8392</v>
      </c>
      <c r="C1094" s="25" t="s">
        <v>8393</v>
      </c>
      <c r="D1094" s="25" t="n">
        <v>9</v>
      </c>
      <c r="E1094" s="25" t="s">
        <v>8394</v>
      </c>
      <c r="F1094" s="25" t="s">
        <v>8395</v>
      </c>
      <c r="G1094" s="25" t="s">
        <v>8396</v>
      </c>
      <c r="H1094" s="25" t="s">
        <v>8399</v>
      </c>
      <c r="I1094" s="25" t="s">
        <v>8311</v>
      </c>
      <c r="J1094" s="25" t="s">
        <v>2647</v>
      </c>
      <c r="K1094" s="25" t="n">
        <v>0</v>
      </c>
      <c r="L1094" s="25" t="str">
        <f aca="false">IF(K1094&gt;0,"Yes","No")</f>
        <v>No</v>
      </c>
    </row>
    <row r="1095" customFormat="false" ht="15" hidden="false" customHeight="false" outlineLevel="0" collapsed="false">
      <c r="A1095" s="25" t="s">
        <v>10103</v>
      </c>
      <c r="B1095" s="25" t="s">
        <v>8419</v>
      </c>
      <c r="C1095" s="25" t="s">
        <v>8393</v>
      </c>
      <c r="D1095" s="25" t="n">
        <v>9</v>
      </c>
      <c r="E1095" s="25" t="s">
        <v>8394</v>
      </c>
      <c r="F1095" s="25" t="s">
        <v>8395</v>
      </c>
      <c r="G1095" s="25" t="s">
        <v>8396</v>
      </c>
      <c r="H1095" s="25" t="s">
        <v>10104</v>
      </c>
      <c r="I1095" s="25" t="s">
        <v>10105</v>
      </c>
      <c r="J1095" s="25" t="s">
        <v>10106</v>
      </c>
      <c r="K1095" s="25" t="n">
        <v>0</v>
      </c>
      <c r="L1095" s="25" t="str">
        <f aca="false">IF(K1095&gt;0,"Yes","No")</f>
        <v>No</v>
      </c>
    </row>
    <row r="1096" customFormat="false" ht="15" hidden="false" customHeight="false" outlineLevel="0" collapsed="false">
      <c r="A1096" s="25" t="s">
        <v>10107</v>
      </c>
      <c r="B1096" s="25" t="s">
        <v>8419</v>
      </c>
      <c r="C1096" s="25" t="s">
        <v>8393</v>
      </c>
      <c r="D1096" s="25" t="n">
        <v>9</v>
      </c>
      <c r="E1096" s="25" t="s">
        <v>8394</v>
      </c>
      <c r="F1096" s="25" t="s">
        <v>8395</v>
      </c>
      <c r="G1096" s="25" t="s">
        <v>8396</v>
      </c>
      <c r="H1096" s="25" t="s">
        <v>10104</v>
      </c>
      <c r="I1096" s="25" t="s">
        <v>10108</v>
      </c>
      <c r="J1096" s="25" t="s">
        <v>10106</v>
      </c>
      <c r="K1096" s="25" t="n">
        <v>0</v>
      </c>
      <c r="L1096" s="25" t="str">
        <f aca="false">IF(K1096&gt;0,"Yes","No")</f>
        <v>No</v>
      </c>
    </row>
    <row r="1097" customFormat="false" ht="15" hidden="false" customHeight="false" outlineLevel="0" collapsed="false">
      <c r="A1097" s="25" t="s">
        <v>10109</v>
      </c>
      <c r="B1097" s="25" t="s">
        <v>8419</v>
      </c>
      <c r="C1097" s="25" t="s">
        <v>8393</v>
      </c>
      <c r="D1097" s="25" t="n">
        <v>9</v>
      </c>
      <c r="E1097" s="25" t="s">
        <v>8394</v>
      </c>
      <c r="F1097" s="25" t="s">
        <v>8395</v>
      </c>
      <c r="G1097" s="25" t="s">
        <v>8396</v>
      </c>
      <c r="H1097" s="25" t="s">
        <v>10104</v>
      </c>
      <c r="I1097" s="25" t="s">
        <v>10110</v>
      </c>
      <c r="J1097" s="25" t="s">
        <v>10106</v>
      </c>
      <c r="K1097" s="25" t="n">
        <v>0</v>
      </c>
      <c r="L1097" s="25" t="str">
        <f aca="false">IF(K1097&gt;0,"Yes","No")</f>
        <v>No</v>
      </c>
    </row>
    <row r="1098" customFormat="false" ht="15" hidden="false" customHeight="false" outlineLevel="0" collapsed="false">
      <c r="A1098" s="25" t="s">
        <v>10111</v>
      </c>
      <c r="B1098" s="25" t="s">
        <v>8419</v>
      </c>
      <c r="C1098" s="25" t="s">
        <v>8393</v>
      </c>
      <c r="D1098" s="25" t="n">
        <v>9</v>
      </c>
      <c r="E1098" s="25" t="s">
        <v>8394</v>
      </c>
      <c r="F1098" s="25" t="s">
        <v>8395</v>
      </c>
      <c r="G1098" s="25" t="s">
        <v>8396</v>
      </c>
      <c r="H1098" s="25" t="s">
        <v>10104</v>
      </c>
      <c r="I1098" s="25" t="s">
        <v>10112</v>
      </c>
      <c r="J1098" s="25" t="s">
        <v>10106</v>
      </c>
      <c r="K1098" s="25" t="n">
        <v>0</v>
      </c>
      <c r="L1098" s="25" t="str">
        <f aca="false">IF(K1098&gt;0,"Yes","No")</f>
        <v>No</v>
      </c>
    </row>
    <row r="1099" customFormat="false" ht="15" hidden="false" customHeight="false" outlineLevel="0" collapsed="false">
      <c r="A1099" s="25" t="s">
        <v>10113</v>
      </c>
      <c r="B1099" s="25" t="s">
        <v>8419</v>
      </c>
      <c r="C1099" s="25" t="s">
        <v>8393</v>
      </c>
      <c r="D1099" s="25" t="n">
        <v>9</v>
      </c>
      <c r="E1099" s="25" t="s">
        <v>8394</v>
      </c>
      <c r="F1099" s="25" t="s">
        <v>8395</v>
      </c>
      <c r="G1099" s="25" t="s">
        <v>8396</v>
      </c>
      <c r="H1099" s="25" t="s">
        <v>10104</v>
      </c>
      <c r="I1099" s="25" t="s">
        <v>10114</v>
      </c>
      <c r="J1099" s="25" t="s">
        <v>10106</v>
      </c>
      <c r="K1099" s="25" t="n">
        <v>0</v>
      </c>
      <c r="L1099" s="25" t="str">
        <f aca="false">IF(K1099&gt;0,"Yes","No")</f>
        <v>No</v>
      </c>
    </row>
    <row r="1100" customFormat="false" ht="15" hidden="false" customHeight="false" outlineLevel="0" collapsed="false">
      <c r="A1100" s="25" t="s">
        <v>10115</v>
      </c>
      <c r="B1100" s="25" t="s">
        <v>8419</v>
      </c>
      <c r="C1100" s="25" t="s">
        <v>8393</v>
      </c>
      <c r="D1100" s="25" t="n">
        <v>9</v>
      </c>
      <c r="E1100" s="25" t="s">
        <v>8394</v>
      </c>
      <c r="F1100" s="25" t="s">
        <v>8395</v>
      </c>
      <c r="G1100" s="25" t="s">
        <v>8396</v>
      </c>
      <c r="H1100" s="25" t="s">
        <v>10104</v>
      </c>
      <c r="I1100" s="25" t="s">
        <v>10116</v>
      </c>
      <c r="J1100" s="25" t="s">
        <v>10106</v>
      </c>
      <c r="K1100" s="25" t="n">
        <v>0</v>
      </c>
      <c r="L1100" s="25" t="str">
        <f aca="false">IF(K1100&gt;0,"Yes","No")</f>
        <v>No</v>
      </c>
    </row>
    <row r="1101" customFormat="false" ht="15" hidden="false" customHeight="false" outlineLevel="0" collapsed="false">
      <c r="A1101" s="25" t="s">
        <v>10117</v>
      </c>
      <c r="B1101" s="25" t="s">
        <v>8419</v>
      </c>
      <c r="C1101" s="25" t="s">
        <v>8393</v>
      </c>
      <c r="D1101" s="25" t="n">
        <v>9</v>
      </c>
      <c r="E1101" s="25" t="s">
        <v>8394</v>
      </c>
      <c r="F1101" s="25" t="s">
        <v>8395</v>
      </c>
      <c r="G1101" s="25" t="s">
        <v>8396</v>
      </c>
      <c r="H1101" s="25" t="s">
        <v>10104</v>
      </c>
      <c r="I1101" s="25" t="s">
        <v>10118</v>
      </c>
      <c r="J1101" s="25" t="s">
        <v>10106</v>
      </c>
      <c r="K1101" s="25" t="n">
        <v>0</v>
      </c>
      <c r="L1101" s="25" t="str">
        <f aca="false">IF(K1101&gt;0,"Yes","No")</f>
        <v>No</v>
      </c>
    </row>
    <row r="1102" customFormat="false" ht="15" hidden="false" customHeight="false" outlineLevel="0" collapsed="false">
      <c r="A1102" s="25" t="s">
        <v>10119</v>
      </c>
      <c r="B1102" s="25" t="s">
        <v>8419</v>
      </c>
      <c r="C1102" s="25" t="s">
        <v>8393</v>
      </c>
      <c r="D1102" s="25" t="n">
        <v>9</v>
      </c>
      <c r="E1102" s="25" t="s">
        <v>8394</v>
      </c>
      <c r="F1102" s="25" t="s">
        <v>8395</v>
      </c>
      <c r="G1102" s="25" t="s">
        <v>8396</v>
      </c>
      <c r="H1102" s="25" t="s">
        <v>10104</v>
      </c>
      <c r="I1102" s="25" t="s">
        <v>10120</v>
      </c>
      <c r="J1102" s="25" t="s">
        <v>10106</v>
      </c>
      <c r="K1102" s="25" t="n">
        <v>0</v>
      </c>
      <c r="L1102" s="25" t="str">
        <f aca="false">IF(K1102&gt;0,"Yes","No")</f>
        <v>No</v>
      </c>
    </row>
    <row r="1103" customFormat="false" ht="15" hidden="false" customHeight="false" outlineLevel="0" collapsed="false">
      <c r="A1103" s="25" t="s">
        <v>10121</v>
      </c>
      <c r="B1103" s="25" t="s">
        <v>8419</v>
      </c>
      <c r="C1103" s="25" t="s">
        <v>8393</v>
      </c>
      <c r="D1103" s="25" t="n">
        <v>9</v>
      </c>
      <c r="E1103" s="25" t="s">
        <v>8394</v>
      </c>
      <c r="F1103" s="25" t="s">
        <v>8395</v>
      </c>
      <c r="G1103" s="25" t="s">
        <v>8396</v>
      </c>
      <c r="H1103" s="25" t="s">
        <v>10104</v>
      </c>
      <c r="I1103" s="25" t="s">
        <v>10122</v>
      </c>
      <c r="J1103" s="25" t="s">
        <v>10106</v>
      </c>
      <c r="K1103" s="25" t="n">
        <v>0</v>
      </c>
      <c r="L1103" s="25" t="str">
        <f aca="false">IF(K1103&gt;0,"Yes","No")</f>
        <v>No</v>
      </c>
    </row>
    <row r="1104" customFormat="false" ht="15" hidden="false" customHeight="false" outlineLevel="0" collapsed="false">
      <c r="A1104" s="25" t="s">
        <v>10123</v>
      </c>
      <c r="B1104" s="25" t="s">
        <v>8419</v>
      </c>
      <c r="C1104" s="25" t="s">
        <v>8393</v>
      </c>
      <c r="D1104" s="25" t="n">
        <v>9</v>
      </c>
      <c r="E1104" s="25" t="s">
        <v>8394</v>
      </c>
      <c r="F1104" s="25" t="s">
        <v>8395</v>
      </c>
      <c r="G1104" s="25" t="s">
        <v>8396</v>
      </c>
      <c r="H1104" s="25" t="s">
        <v>10104</v>
      </c>
      <c r="I1104" s="25" t="s">
        <v>10124</v>
      </c>
      <c r="J1104" s="25" t="s">
        <v>10106</v>
      </c>
      <c r="K1104" s="25" t="n">
        <v>0</v>
      </c>
      <c r="L1104" s="25" t="str">
        <f aca="false">IF(K1104&gt;0,"Yes","No")</f>
        <v>No</v>
      </c>
    </row>
    <row r="1105" customFormat="false" ht="15" hidden="false" customHeight="false" outlineLevel="0" collapsed="false">
      <c r="A1105" s="25" t="s">
        <v>10125</v>
      </c>
      <c r="B1105" s="25" t="s">
        <v>8419</v>
      </c>
      <c r="C1105" s="25" t="s">
        <v>8393</v>
      </c>
      <c r="D1105" s="25" t="n">
        <v>9</v>
      </c>
      <c r="E1105" s="25" t="s">
        <v>8394</v>
      </c>
      <c r="F1105" s="25" t="s">
        <v>8395</v>
      </c>
      <c r="G1105" s="25" t="s">
        <v>8396</v>
      </c>
      <c r="H1105" s="25" t="s">
        <v>10104</v>
      </c>
      <c r="I1105" s="25" t="s">
        <v>10126</v>
      </c>
      <c r="J1105" s="25" t="s">
        <v>10106</v>
      </c>
      <c r="K1105" s="25" t="n">
        <v>0</v>
      </c>
      <c r="L1105" s="25" t="str">
        <f aca="false">IF(K1105&gt;0,"Yes","No")</f>
        <v>No</v>
      </c>
    </row>
    <row r="1106" customFormat="false" ht="15" hidden="false" customHeight="false" outlineLevel="0" collapsed="false">
      <c r="A1106" s="25" t="s">
        <v>10127</v>
      </c>
      <c r="B1106" s="25" t="s">
        <v>8419</v>
      </c>
      <c r="C1106" s="25" t="s">
        <v>8393</v>
      </c>
      <c r="D1106" s="25" t="n">
        <v>9</v>
      </c>
      <c r="E1106" s="25" t="s">
        <v>8394</v>
      </c>
      <c r="F1106" s="25" t="s">
        <v>8395</v>
      </c>
      <c r="G1106" s="25" t="s">
        <v>8396</v>
      </c>
      <c r="H1106" s="25" t="s">
        <v>10104</v>
      </c>
      <c r="I1106" s="25" t="s">
        <v>10128</v>
      </c>
      <c r="J1106" s="25" t="s">
        <v>10106</v>
      </c>
      <c r="K1106" s="25" t="n">
        <v>0</v>
      </c>
      <c r="L1106" s="25" t="str">
        <f aca="false">IF(K1106&gt;0,"Yes","No")</f>
        <v>No</v>
      </c>
    </row>
    <row r="1107" customFormat="false" ht="15" hidden="false" customHeight="false" outlineLevel="0" collapsed="false">
      <c r="A1107" s="25" t="s">
        <v>10129</v>
      </c>
      <c r="B1107" s="25" t="s">
        <v>8419</v>
      </c>
      <c r="C1107" s="25" t="s">
        <v>8393</v>
      </c>
      <c r="D1107" s="25" t="n">
        <v>9</v>
      </c>
      <c r="E1107" s="25" t="s">
        <v>8394</v>
      </c>
      <c r="F1107" s="25" t="s">
        <v>8395</v>
      </c>
      <c r="G1107" s="25" t="s">
        <v>8396</v>
      </c>
      <c r="H1107" s="25" t="s">
        <v>10104</v>
      </c>
      <c r="I1107" s="25" t="s">
        <v>10130</v>
      </c>
      <c r="J1107" s="25" t="s">
        <v>10106</v>
      </c>
      <c r="K1107" s="25" t="n">
        <v>0</v>
      </c>
      <c r="L1107" s="25" t="str">
        <f aca="false">IF(K1107&gt;0,"Yes","No")</f>
        <v>No</v>
      </c>
    </row>
    <row r="1108" customFormat="false" ht="15" hidden="false" customHeight="false" outlineLevel="0" collapsed="false">
      <c r="A1108" s="25" t="s">
        <v>10131</v>
      </c>
      <c r="B1108" s="25" t="s">
        <v>8419</v>
      </c>
      <c r="C1108" s="25" t="s">
        <v>8393</v>
      </c>
      <c r="D1108" s="25" t="n">
        <v>9</v>
      </c>
      <c r="E1108" s="25" t="s">
        <v>8394</v>
      </c>
      <c r="F1108" s="25" t="s">
        <v>8395</v>
      </c>
      <c r="G1108" s="25" t="s">
        <v>8396</v>
      </c>
      <c r="H1108" s="25" t="s">
        <v>10104</v>
      </c>
      <c r="I1108" s="25" t="s">
        <v>10132</v>
      </c>
      <c r="J1108" s="25" t="s">
        <v>10106</v>
      </c>
      <c r="K1108" s="25" t="n">
        <v>0</v>
      </c>
      <c r="L1108" s="25" t="str">
        <f aca="false">IF(K1108&gt;0,"Yes","No")</f>
        <v>No</v>
      </c>
    </row>
    <row r="1109" customFormat="false" ht="15" hidden="false" customHeight="false" outlineLevel="0" collapsed="false">
      <c r="A1109" s="25" t="s">
        <v>10133</v>
      </c>
      <c r="B1109" s="25" t="s">
        <v>8419</v>
      </c>
      <c r="C1109" s="25" t="s">
        <v>8393</v>
      </c>
      <c r="D1109" s="25" t="n">
        <v>9</v>
      </c>
      <c r="E1109" s="25" t="s">
        <v>8394</v>
      </c>
      <c r="F1109" s="25" t="s">
        <v>8395</v>
      </c>
      <c r="G1109" s="25" t="s">
        <v>8396</v>
      </c>
      <c r="H1109" s="25" t="s">
        <v>10104</v>
      </c>
      <c r="I1109" s="25" t="s">
        <v>10134</v>
      </c>
      <c r="J1109" s="25" t="s">
        <v>10106</v>
      </c>
      <c r="K1109" s="25" t="n">
        <v>0</v>
      </c>
      <c r="L1109" s="25" t="str">
        <f aca="false">IF(K1109&gt;0,"Yes","No")</f>
        <v>No</v>
      </c>
    </row>
    <row r="1110" customFormat="false" ht="15" hidden="false" customHeight="false" outlineLevel="0" collapsed="false">
      <c r="A1110" s="25" t="s">
        <v>10135</v>
      </c>
      <c r="B1110" s="25" t="s">
        <v>8419</v>
      </c>
      <c r="C1110" s="25" t="s">
        <v>8393</v>
      </c>
      <c r="D1110" s="25" t="n">
        <v>9</v>
      </c>
      <c r="E1110" s="25" t="s">
        <v>8394</v>
      </c>
      <c r="F1110" s="25" t="s">
        <v>8395</v>
      </c>
      <c r="G1110" s="25" t="s">
        <v>8396</v>
      </c>
      <c r="H1110" s="25" t="s">
        <v>10104</v>
      </c>
      <c r="I1110" s="25" t="s">
        <v>10136</v>
      </c>
      <c r="J1110" s="25" t="s">
        <v>10106</v>
      </c>
      <c r="K1110" s="25" t="n">
        <v>0</v>
      </c>
      <c r="L1110" s="25" t="str">
        <f aca="false">IF(K1110&gt;0,"Yes","No")</f>
        <v>No</v>
      </c>
    </row>
    <row r="1111" customFormat="false" ht="15" hidden="false" customHeight="false" outlineLevel="0" collapsed="false">
      <c r="A1111" s="25" t="s">
        <v>10137</v>
      </c>
      <c r="B1111" s="25" t="s">
        <v>8419</v>
      </c>
      <c r="C1111" s="25" t="s">
        <v>8393</v>
      </c>
      <c r="D1111" s="25" t="n">
        <v>9</v>
      </c>
      <c r="E1111" s="25" t="s">
        <v>8394</v>
      </c>
      <c r="F1111" s="25" t="s">
        <v>8395</v>
      </c>
      <c r="G1111" s="25" t="s">
        <v>8396</v>
      </c>
      <c r="H1111" s="25" t="s">
        <v>10104</v>
      </c>
      <c r="I1111" s="25" t="s">
        <v>10138</v>
      </c>
      <c r="J1111" s="25" t="s">
        <v>10106</v>
      </c>
      <c r="K1111" s="25" t="n">
        <v>0</v>
      </c>
      <c r="L1111" s="25" t="str">
        <f aca="false">IF(K1111&gt;0,"Yes","No")</f>
        <v>No</v>
      </c>
    </row>
    <row r="1112" customFormat="false" ht="15" hidden="false" customHeight="false" outlineLevel="0" collapsed="false">
      <c r="A1112" s="25" t="s">
        <v>10139</v>
      </c>
      <c r="B1112" s="25" t="s">
        <v>8419</v>
      </c>
      <c r="C1112" s="25" t="s">
        <v>8393</v>
      </c>
      <c r="D1112" s="25" t="n">
        <v>9</v>
      </c>
      <c r="E1112" s="25" t="s">
        <v>8394</v>
      </c>
      <c r="F1112" s="25" t="s">
        <v>8395</v>
      </c>
      <c r="G1112" s="25" t="s">
        <v>8396</v>
      </c>
      <c r="H1112" s="25" t="s">
        <v>10104</v>
      </c>
      <c r="I1112" s="25" t="s">
        <v>10140</v>
      </c>
      <c r="J1112" s="25" t="s">
        <v>10106</v>
      </c>
      <c r="K1112" s="25" t="n">
        <v>0</v>
      </c>
      <c r="L1112" s="25" t="str">
        <f aca="false">IF(K1112&gt;0,"Yes","No")</f>
        <v>No</v>
      </c>
    </row>
    <row r="1113" customFormat="false" ht="15" hidden="false" customHeight="false" outlineLevel="0" collapsed="false">
      <c r="A1113" s="25" t="s">
        <v>10141</v>
      </c>
      <c r="B1113" s="25" t="s">
        <v>8419</v>
      </c>
      <c r="C1113" s="25" t="s">
        <v>8393</v>
      </c>
      <c r="D1113" s="25" t="n">
        <v>9</v>
      </c>
      <c r="E1113" s="25" t="s">
        <v>8394</v>
      </c>
      <c r="F1113" s="25" t="s">
        <v>8395</v>
      </c>
      <c r="G1113" s="25" t="s">
        <v>8396</v>
      </c>
      <c r="H1113" s="25" t="s">
        <v>10104</v>
      </c>
      <c r="I1113" s="25" t="s">
        <v>10142</v>
      </c>
      <c r="J1113" s="25" t="s">
        <v>10106</v>
      </c>
      <c r="K1113" s="25" t="n">
        <v>0</v>
      </c>
      <c r="L1113" s="25" t="str">
        <f aca="false">IF(K1113&gt;0,"Yes","No")</f>
        <v>No</v>
      </c>
    </row>
    <row r="1114" customFormat="false" ht="15" hidden="false" customHeight="false" outlineLevel="0" collapsed="false">
      <c r="A1114" s="25" t="s">
        <v>10143</v>
      </c>
      <c r="B1114" s="25" t="s">
        <v>8419</v>
      </c>
      <c r="C1114" s="25" t="s">
        <v>8393</v>
      </c>
      <c r="D1114" s="25" t="n">
        <v>9</v>
      </c>
      <c r="E1114" s="25" t="s">
        <v>8394</v>
      </c>
      <c r="F1114" s="25" t="s">
        <v>8395</v>
      </c>
      <c r="G1114" s="25" t="s">
        <v>8396</v>
      </c>
      <c r="H1114" s="25" t="s">
        <v>10104</v>
      </c>
      <c r="I1114" s="25" t="s">
        <v>10144</v>
      </c>
      <c r="J1114" s="25" t="s">
        <v>10106</v>
      </c>
      <c r="K1114" s="25" t="n">
        <v>0</v>
      </c>
      <c r="L1114" s="25" t="str">
        <f aca="false">IF(K1114&gt;0,"Yes","No")</f>
        <v>No</v>
      </c>
    </row>
    <row r="1115" customFormat="false" ht="15" hidden="false" customHeight="false" outlineLevel="0" collapsed="false">
      <c r="A1115" s="25" t="s">
        <v>10145</v>
      </c>
      <c r="B1115" s="25" t="s">
        <v>8419</v>
      </c>
      <c r="C1115" s="25" t="s">
        <v>8393</v>
      </c>
      <c r="D1115" s="25" t="n">
        <v>9</v>
      </c>
      <c r="E1115" s="25" t="s">
        <v>8394</v>
      </c>
      <c r="F1115" s="25" t="s">
        <v>8395</v>
      </c>
      <c r="G1115" s="25" t="s">
        <v>8396</v>
      </c>
      <c r="H1115" s="25" t="s">
        <v>10104</v>
      </c>
      <c r="I1115" s="25" t="s">
        <v>10146</v>
      </c>
      <c r="J1115" s="25" t="s">
        <v>10106</v>
      </c>
      <c r="K1115" s="25" t="n">
        <v>0</v>
      </c>
      <c r="L1115" s="25" t="str">
        <f aca="false">IF(K1115&gt;0,"Yes","No")</f>
        <v>No</v>
      </c>
    </row>
    <row r="1116" customFormat="false" ht="15" hidden="false" customHeight="false" outlineLevel="0" collapsed="false">
      <c r="A1116" s="25" t="s">
        <v>10147</v>
      </c>
      <c r="B1116" s="25" t="s">
        <v>8419</v>
      </c>
      <c r="C1116" s="25" t="s">
        <v>8393</v>
      </c>
      <c r="D1116" s="25" t="n">
        <v>9</v>
      </c>
      <c r="E1116" s="25" t="s">
        <v>8394</v>
      </c>
      <c r="F1116" s="25" t="s">
        <v>8395</v>
      </c>
      <c r="G1116" s="25" t="s">
        <v>8396</v>
      </c>
      <c r="H1116" s="25" t="s">
        <v>10104</v>
      </c>
      <c r="I1116" s="25" t="s">
        <v>10148</v>
      </c>
      <c r="J1116" s="25" t="s">
        <v>10106</v>
      </c>
      <c r="K1116" s="25" t="n">
        <v>0</v>
      </c>
      <c r="L1116" s="25" t="str">
        <f aca="false">IF(K1116&gt;0,"Yes","No")</f>
        <v>No</v>
      </c>
    </row>
    <row r="1117" customFormat="false" ht="15" hidden="false" customHeight="false" outlineLevel="0" collapsed="false">
      <c r="A1117" s="25" t="s">
        <v>10149</v>
      </c>
      <c r="B1117" s="25" t="s">
        <v>8419</v>
      </c>
      <c r="C1117" s="25" t="s">
        <v>8393</v>
      </c>
      <c r="D1117" s="25" t="n">
        <v>9</v>
      </c>
      <c r="E1117" s="25" t="s">
        <v>8394</v>
      </c>
      <c r="F1117" s="25" t="s">
        <v>8395</v>
      </c>
      <c r="G1117" s="25" t="s">
        <v>8396</v>
      </c>
      <c r="H1117" s="25" t="s">
        <v>10104</v>
      </c>
      <c r="I1117" s="25" t="s">
        <v>10150</v>
      </c>
      <c r="J1117" s="25" t="s">
        <v>10106</v>
      </c>
      <c r="K1117" s="25" t="n">
        <v>0</v>
      </c>
      <c r="L1117" s="25" t="str">
        <f aca="false">IF(K1117&gt;0,"Yes","No")</f>
        <v>No</v>
      </c>
    </row>
    <row r="1118" customFormat="false" ht="15" hidden="false" customHeight="false" outlineLevel="0" collapsed="false">
      <c r="A1118" s="25" t="s">
        <v>10151</v>
      </c>
      <c r="B1118" s="25" t="s">
        <v>8419</v>
      </c>
      <c r="C1118" s="25" t="s">
        <v>8393</v>
      </c>
      <c r="D1118" s="25" t="n">
        <v>9</v>
      </c>
      <c r="E1118" s="25" t="s">
        <v>8394</v>
      </c>
      <c r="F1118" s="25" t="s">
        <v>8395</v>
      </c>
      <c r="G1118" s="25" t="s">
        <v>8396</v>
      </c>
      <c r="H1118" s="25" t="s">
        <v>10104</v>
      </c>
      <c r="I1118" s="25" t="s">
        <v>10152</v>
      </c>
      <c r="J1118" s="25" t="s">
        <v>10106</v>
      </c>
      <c r="K1118" s="25" t="n">
        <v>0</v>
      </c>
      <c r="L1118" s="25" t="str">
        <f aca="false">IF(K1118&gt;0,"Yes","No")</f>
        <v>No</v>
      </c>
    </row>
    <row r="1119" customFormat="false" ht="15" hidden="false" customHeight="false" outlineLevel="0" collapsed="false">
      <c r="A1119" s="25" t="s">
        <v>10153</v>
      </c>
      <c r="B1119" s="25" t="s">
        <v>8419</v>
      </c>
      <c r="C1119" s="25" t="s">
        <v>8393</v>
      </c>
      <c r="D1119" s="25" t="n">
        <v>9</v>
      </c>
      <c r="E1119" s="25" t="s">
        <v>8394</v>
      </c>
      <c r="F1119" s="25" t="s">
        <v>8395</v>
      </c>
      <c r="G1119" s="25" t="s">
        <v>8396</v>
      </c>
      <c r="H1119" s="25" t="s">
        <v>10104</v>
      </c>
      <c r="I1119" s="25" t="s">
        <v>10154</v>
      </c>
      <c r="J1119" s="25" t="s">
        <v>10106</v>
      </c>
      <c r="K1119" s="25" t="n">
        <v>0</v>
      </c>
      <c r="L1119" s="25" t="str">
        <f aca="false">IF(K1119&gt;0,"Yes","No")</f>
        <v>No</v>
      </c>
    </row>
    <row r="1120" customFormat="false" ht="15" hidden="false" customHeight="false" outlineLevel="0" collapsed="false">
      <c r="A1120" s="25" t="s">
        <v>10155</v>
      </c>
      <c r="B1120" s="25" t="s">
        <v>8419</v>
      </c>
      <c r="C1120" s="25" t="s">
        <v>8393</v>
      </c>
      <c r="D1120" s="25" t="n">
        <v>9</v>
      </c>
      <c r="E1120" s="25" t="s">
        <v>8394</v>
      </c>
      <c r="F1120" s="25" t="s">
        <v>8395</v>
      </c>
      <c r="G1120" s="25" t="s">
        <v>8396</v>
      </c>
      <c r="H1120" s="25" t="s">
        <v>10104</v>
      </c>
      <c r="I1120" s="25" t="s">
        <v>10156</v>
      </c>
      <c r="J1120" s="25" t="s">
        <v>10106</v>
      </c>
      <c r="K1120" s="25" t="n">
        <v>0</v>
      </c>
      <c r="L1120" s="25" t="str">
        <f aca="false">IF(K1120&gt;0,"Yes","No")</f>
        <v>No</v>
      </c>
    </row>
    <row r="1121" customFormat="false" ht="15" hidden="false" customHeight="false" outlineLevel="0" collapsed="false">
      <c r="A1121" s="25" t="s">
        <v>10157</v>
      </c>
      <c r="B1121" s="25" t="s">
        <v>8419</v>
      </c>
      <c r="C1121" s="25" t="s">
        <v>8393</v>
      </c>
      <c r="D1121" s="25" t="n">
        <v>9</v>
      </c>
      <c r="E1121" s="25" t="s">
        <v>8394</v>
      </c>
      <c r="F1121" s="25" t="s">
        <v>8395</v>
      </c>
      <c r="G1121" s="25" t="s">
        <v>8396</v>
      </c>
      <c r="H1121" s="25" t="s">
        <v>10104</v>
      </c>
      <c r="I1121" s="25" t="s">
        <v>10158</v>
      </c>
      <c r="J1121" s="25" t="s">
        <v>10106</v>
      </c>
      <c r="K1121" s="25" t="n">
        <v>0</v>
      </c>
      <c r="L1121" s="25" t="str">
        <f aca="false">IF(K1121&gt;0,"Yes","No")</f>
        <v>No</v>
      </c>
    </row>
    <row r="1122" customFormat="false" ht="15" hidden="false" customHeight="false" outlineLevel="0" collapsed="false">
      <c r="A1122" s="25" t="s">
        <v>10159</v>
      </c>
      <c r="B1122" s="25" t="s">
        <v>8419</v>
      </c>
      <c r="C1122" s="25" t="s">
        <v>8393</v>
      </c>
      <c r="D1122" s="25" t="n">
        <v>9</v>
      </c>
      <c r="E1122" s="25" t="s">
        <v>8394</v>
      </c>
      <c r="F1122" s="25" t="s">
        <v>8395</v>
      </c>
      <c r="G1122" s="25" t="s">
        <v>8396</v>
      </c>
      <c r="H1122" s="25" t="s">
        <v>10104</v>
      </c>
      <c r="I1122" s="25" t="s">
        <v>10160</v>
      </c>
      <c r="J1122" s="25" t="s">
        <v>10106</v>
      </c>
      <c r="K1122" s="25" t="n">
        <v>0</v>
      </c>
      <c r="L1122" s="25" t="str">
        <f aca="false">IF(K1122&gt;0,"Yes","No")</f>
        <v>No</v>
      </c>
    </row>
    <row r="1123" customFormat="false" ht="15" hidden="false" customHeight="false" outlineLevel="0" collapsed="false">
      <c r="A1123" s="25" t="s">
        <v>10161</v>
      </c>
      <c r="B1123" s="25" t="s">
        <v>8419</v>
      </c>
      <c r="C1123" s="25" t="s">
        <v>8393</v>
      </c>
      <c r="D1123" s="25" t="n">
        <v>9</v>
      </c>
      <c r="E1123" s="25" t="s">
        <v>8394</v>
      </c>
      <c r="F1123" s="25" t="s">
        <v>8395</v>
      </c>
      <c r="G1123" s="25" t="s">
        <v>8396</v>
      </c>
      <c r="H1123" s="25" t="s">
        <v>10104</v>
      </c>
      <c r="I1123" s="25" t="s">
        <v>10162</v>
      </c>
      <c r="J1123" s="25" t="s">
        <v>10106</v>
      </c>
      <c r="K1123" s="25" t="n">
        <v>0</v>
      </c>
      <c r="L1123" s="25" t="str">
        <f aca="false">IF(K1123&gt;0,"Yes","No")</f>
        <v>No</v>
      </c>
    </row>
    <row r="1124" customFormat="false" ht="15" hidden="false" customHeight="false" outlineLevel="0" collapsed="false">
      <c r="A1124" s="25" t="s">
        <v>10163</v>
      </c>
      <c r="B1124" s="25" t="s">
        <v>8419</v>
      </c>
      <c r="C1124" s="25" t="s">
        <v>8393</v>
      </c>
      <c r="D1124" s="25" t="n">
        <v>9</v>
      </c>
      <c r="E1124" s="25" t="s">
        <v>8394</v>
      </c>
      <c r="F1124" s="25" t="s">
        <v>8395</v>
      </c>
      <c r="G1124" s="25" t="s">
        <v>8396</v>
      </c>
      <c r="H1124" s="25" t="s">
        <v>10104</v>
      </c>
      <c r="I1124" s="25" t="s">
        <v>10164</v>
      </c>
      <c r="J1124" s="25" t="s">
        <v>10106</v>
      </c>
      <c r="K1124" s="25" t="n">
        <v>0</v>
      </c>
      <c r="L1124" s="25" t="str">
        <f aca="false">IF(K1124&gt;0,"Yes","No")</f>
        <v>No</v>
      </c>
    </row>
    <row r="1125" customFormat="false" ht="15" hidden="false" customHeight="false" outlineLevel="0" collapsed="false">
      <c r="A1125" s="25" t="s">
        <v>10165</v>
      </c>
      <c r="B1125" s="25" t="s">
        <v>8419</v>
      </c>
      <c r="C1125" s="25" t="s">
        <v>8393</v>
      </c>
      <c r="D1125" s="25" t="n">
        <v>9</v>
      </c>
      <c r="E1125" s="25" t="s">
        <v>8394</v>
      </c>
      <c r="F1125" s="25" t="s">
        <v>8395</v>
      </c>
      <c r="G1125" s="25" t="s">
        <v>8396</v>
      </c>
      <c r="H1125" s="25" t="s">
        <v>10104</v>
      </c>
      <c r="I1125" s="25" t="s">
        <v>10166</v>
      </c>
      <c r="J1125" s="25" t="s">
        <v>10106</v>
      </c>
      <c r="K1125" s="25" t="n">
        <v>0</v>
      </c>
      <c r="L1125" s="25" t="str">
        <f aca="false">IF(K1125&gt;0,"Yes","No")</f>
        <v>No</v>
      </c>
    </row>
    <row r="1126" customFormat="false" ht="15" hidden="false" customHeight="false" outlineLevel="0" collapsed="false">
      <c r="A1126" s="25" t="s">
        <v>10167</v>
      </c>
      <c r="B1126" s="25" t="s">
        <v>8419</v>
      </c>
      <c r="C1126" s="25" t="s">
        <v>8393</v>
      </c>
      <c r="D1126" s="25" t="n">
        <v>9</v>
      </c>
      <c r="E1126" s="25" t="s">
        <v>8394</v>
      </c>
      <c r="F1126" s="25" t="s">
        <v>8395</v>
      </c>
      <c r="G1126" s="25" t="s">
        <v>8396</v>
      </c>
      <c r="H1126" s="25" t="s">
        <v>10104</v>
      </c>
      <c r="I1126" s="25" t="s">
        <v>10168</v>
      </c>
      <c r="J1126" s="25" t="s">
        <v>10106</v>
      </c>
      <c r="K1126" s="25" t="n">
        <v>0</v>
      </c>
      <c r="L1126" s="25" t="str">
        <f aca="false">IF(K1126&gt;0,"Yes","No")</f>
        <v>No</v>
      </c>
    </row>
    <row r="1127" customFormat="false" ht="15" hidden="false" customHeight="false" outlineLevel="0" collapsed="false">
      <c r="A1127" s="25" t="s">
        <v>10169</v>
      </c>
      <c r="B1127" s="25" t="s">
        <v>8419</v>
      </c>
      <c r="C1127" s="25" t="s">
        <v>8393</v>
      </c>
      <c r="D1127" s="25" t="n">
        <v>9</v>
      </c>
      <c r="E1127" s="25" t="s">
        <v>8394</v>
      </c>
      <c r="F1127" s="25" t="s">
        <v>8395</v>
      </c>
      <c r="G1127" s="25" t="s">
        <v>8396</v>
      </c>
      <c r="H1127" s="25" t="s">
        <v>10104</v>
      </c>
      <c r="I1127" s="25" t="s">
        <v>10170</v>
      </c>
      <c r="J1127" s="25" t="s">
        <v>10106</v>
      </c>
      <c r="K1127" s="25" t="n">
        <v>0</v>
      </c>
      <c r="L1127" s="25" t="str">
        <f aca="false">IF(K1127&gt;0,"Yes","No")</f>
        <v>No</v>
      </c>
    </row>
    <row r="1128" customFormat="false" ht="15" hidden="false" customHeight="false" outlineLevel="0" collapsed="false">
      <c r="A1128" s="25" t="s">
        <v>10171</v>
      </c>
      <c r="B1128" s="25" t="s">
        <v>8419</v>
      </c>
      <c r="C1128" s="25" t="s">
        <v>8393</v>
      </c>
      <c r="D1128" s="25" t="n">
        <v>9</v>
      </c>
      <c r="E1128" s="25" t="s">
        <v>8394</v>
      </c>
      <c r="F1128" s="25" t="s">
        <v>8395</v>
      </c>
      <c r="G1128" s="25" t="s">
        <v>8396</v>
      </c>
      <c r="H1128" s="25" t="s">
        <v>10104</v>
      </c>
      <c r="I1128" s="25" t="s">
        <v>10172</v>
      </c>
      <c r="J1128" s="25" t="s">
        <v>10106</v>
      </c>
      <c r="K1128" s="25" t="n">
        <v>0</v>
      </c>
      <c r="L1128" s="25" t="str">
        <f aca="false">IF(K1128&gt;0,"Yes","No")</f>
        <v>No</v>
      </c>
    </row>
    <row r="1129" customFormat="false" ht="15" hidden="false" customHeight="false" outlineLevel="0" collapsed="false">
      <c r="A1129" s="25" t="s">
        <v>10173</v>
      </c>
      <c r="B1129" s="25" t="s">
        <v>8419</v>
      </c>
      <c r="C1129" s="25" t="s">
        <v>8393</v>
      </c>
      <c r="D1129" s="25" t="n">
        <v>9</v>
      </c>
      <c r="E1129" s="25" t="s">
        <v>8394</v>
      </c>
      <c r="F1129" s="25" t="s">
        <v>8395</v>
      </c>
      <c r="G1129" s="25" t="s">
        <v>8396</v>
      </c>
      <c r="H1129" s="25" t="s">
        <v>10104</v>
      </c>
      <c r="I1129" s="25" t="s">
        <v>10174</v>
      </c>
      <c r="J1129" s="25" t="s">
        <v>10106</v>
      </c>
      <c r="K1129" s="25" t="n">
        <v>0</v>
      </c>
      <c r="L1129" s="25" t="str">
        <f aca="false">IF(K1129&gt;0,"Yes","No")</f>
        <v>No</v>
      </c>
    </row>
    <row r="1130" customFormat="false" ht="15" hidden="false" customHeight="false" outlineLevel="0" collapsed="false">
      <c r="A1130" s="25" t="s">
        <v>10175</v>
      </c>
      <c r="B1130" s="25" t="s">
        <v>8419</v>
      </c>
      <c r="C1130" s="25" t="s">
        <v>8393</v>
      </c>
      <c r="D1130" s="25" t="n">
        <v>9</v>
      </c>
      <c r="E1130" s="25" t="s">
        <v>8394</v>
      </c>
      <c r="F1130" s="25" t="s">
        <v>8395</v>
      </c>
      <c r="G1130" s="25" t="s">
        <v>8396</v>
      </c>
      <c r="H1130" s="25" t="s">
        <v>10104</v>
      </c>
      <c r="I1130" s="25" t="s">
        <v>10176</v>
      </c>
      <c r="J1130" s="25" t="s">
        <v>10106</v>
      </c>
      <c r="K1130" s="25" t="n">
        <v>0</v>
      </c>
      <c r="L1130" s="25" t="str">
        <f aca="false">IF(K1130&gt;0,"Yes","No")</f>
        <v>No</v>
      </c>
    </row>
    <row r="1131" customFormat="false" ht="15" hidden="false" customHeight="false" outlineLevel="0" collapsed="false">
      <c r="A1131" s="25" t="s">
        <v>10177</v>
      </c>
      <c r="B1131" s="25" t="s">
        <v>8419</v>
      </c>
      <c r="C1131" s="25" t="s">
        <v>8393</v>
      </c>
      <c r="D1131" s="25" t="n">
        <v>9</v>
      </c>
      <c r="E1131" s="25" t="s">
        <v>8394</v>
      </c>
      <c r="F1131" s="25" t="s">
        <v>8395</v>
      </c>
      <c r="G1131" s="25" t="s">
        <v>8396</v>
      </c>
      <c r="H1131" s="25" t="s">
        <v>10104</v>
      </c>
      <c r="I1131" s="25" t="s">
        <v>10178</v>
      </c>
      <c r="J1131" s="25" t="s">
        <v>10106</v>
      </c>
      <c r="K1131" s="25" t="n">
        <v>0</v>
      </c>
      <c r="L1131" s="25" t="str">
        <f aca="false">IF(K1131&gt;0,"Yes","No")</f>
        <v>No</v>
      </c>
    </row>
    <row r="1132" customFormat="false" ht="15" hidden="false" customHeight="false" outlineLevel="0" collapsed="false">
      <c r="A1132" s="25" t="s">
        <v>10179</v>
      </c>
      <c r="B1132" s="25" t="s">
        <v>8419</v>
      </c>
      <c r="C1132" s="25" t="s">
        <v>8393</v>
      </c>
      <c r="D1132" s="25" t="n">
        <v>9</v>
      </c>
      <c r="E1132" s="25" t="s">
        <v>8394</v>
      </c>
      <c r="F1132" s="25" t="s">
        <v>8395</v>
      </c>
      <c r="G1132" s="25" t="s">
        <v>8396</v>
      </c>
      <c r="H1132" s="25" t="s">
        <v>10104</v>
      </c>
      <c r="I1132" s="25" t="s">
        <v>10180</v>
      </c>
      <c r="J1132" s="25" t="s">
        <v>10106</v>
      </c>
      <c r="K1132" s="25" t="n">
        <v>0</v>
      </c>
      <c r="L1132" s="25" t="str">
        <f aca="false">IF(K1132&gt;0,"Yes","No")</f>
        <v>No</v>
      </c>
    </row>
    <row r="1133" customFormat="false" ht="15" hidden="false" customHeight="false" outlineLevel="0" collapsed="false">
      <c r="A1133" s="25" t="s">
        <v>10181</v>
      </c>
      <c r="B1133" s="25" t="s">
        <v>8419</v>
      </c>
      <c r="C1133" s="25" t="s">
        <v>8393</v>
      </c>
      <c r="D1133" s="25" t="n">
        <v>9</v>
      </c>
      <c r="E1133" s="25" t="s">
        <v>8394</v>
      </c>
      <c r="F1133" s="25" t="s">
        <v>8395</v>
      </c>
      <c r="G1133" s="25" t="s">
        <v>8396</v>
      </c>
      <c r="H1133" s="25" t="s">
        <v>10104</v>
      </c>
      <c r="I1133" s="25" t="s">
        <v>10182</v>
      </c>
      <c r="J1133" s="25" t="s">
        <v>10106</v>
      </c>
      <c r="K1133" s="25" t="n">
        <v>0</v>
      </c>
      <c r="L1133" s="25" t="str">
        <f aca="false">IF(K1133&gt;0,"Yes","No")</f>
        <v>No</v>
      </c>
    </row>
    <row r="1134" customFormat="false" ht="15" hidden="false" customHeight="false" outlineLevel="0" collapsed="false">
      <c r="A1134" s="25" t="s">
        <v>10183</v>
      </c>
      <c r="B1134" s="25" t="s">
        <v>8419</v>
      </c>
      <c r="C1134" s="25" t="s">
        <v>8393</v>
      </c>
      <c r="D1134" s="25" t="n">
        <v>9</v>
      </c>
      <c r="E1134" s="25" t="s">
        <v>8394</v>
      </c>
      <c r="F1134" s="25" t="s">
        <v>8395</v>
      </c>
      <c r="G1134" s="25" t="s">
        <v>8396</v>
      </c>
      <c r="H1134" s="25" t="s">
        <v>10104</v>
      </c>
      <c r="I1134" s="25" t="s">
        <v>10184</v>
      </c>
      <c r="J1134" s="25" t="s">
        <v>10106</v>
      </c>
      <c r="K1134" s="25" t="n">
        <v>0</v>
      </c>
      <c r="L1134" s="25" t="str">
        <f aca="false">IF(K1134&gt;0,"Yes","No")</f>
        <v>No</v>
      </c>
    </row>
    <row r="1135" customFormat="false" ht="15" hidden="false" customHeight="false" outlineLevel="0" collapsed="false">
      <c r="A1135" s="25" t="s">
        <v>10185</v>
      </c>
      <c r="B1135" s="25" t="s">
        <v>8419</v>
      </c>
      <c r="C1135" s="25" t="s">
        <v>8393</v>
      </c>
      <c r="D1135" s="25" t="n">
        <v>9</v>
      </c>
      <c r="E1135" s="25" t="s">
        <v>8394</v>
      </c>
      <c r="F1135" s="25" t="s">
        <v>8395</v>
      </c>
      <c r="G1135" s="25" t="s">
        <v>8396</v>
      </c>
      <c r="H1135" s="25" t="s">
        <v>10104</v>
      </c>
      <c r="I1135" s="25" t="s">
        <v>10186</v>
      </c>
      <c r="J1135" s="25" t="s">
        <v>10106</v>
      </c>
      <c r="K1135" s="25" t="n">
        <v>0</v>
      </c>
      <c r="L1135" s="25" t="str">
        <f aca="false">IF(K1135&gt;0,"Yes","No")</f>
        <v>No</v>
      </c>
    </row>
    <row r="1136" customFormat="false" ht="15" hidden="false" customHeight="false" outlineLevel="0" collapsed="false">
      <c r="A1136" s="25" t="s">
        <v>10187</v>
      </c>
      <c r="B1136" s="25" t="s">
        <v>8419</v>
      </c>
      <c r="C1136" s="25" t="s">
        <v>8393</v>
      </c>
      <c r="D1136" s="25" t="n">
        <v>9</v>
      </c>
      <c r="E1136" s="25" t="s">
        <v>8394</v>
      </c>
      <c r="F1136" s="25" t="s">
        <v>8395</v>
      </c>
      <c r="G1136" s="25" t="s">
        <v>8396</v>
      </c>
      <c r="H1136" s="25" t="s">
        <v>10104</v>
      </c>
      <c r="I1136" s="25" t="s">
        <v>10188</v>
      </c>
      <c r="J1136" s="25" t="s">
        <v>10106</v>
      </c>
      <c r="K1136" s="25" t="n">
        <v>0</v>
      </c>
      <c r="L1136" s="25" t="str">
        <f aca="false">IF(K1136&gt;0,"Yes","No")</f>
        <v>No</v>
      </c>
    </row>
    <row r="1137" customFormat="false" ht="15" hidden="false" customHeight="false" outlineLevel="0" collapsed="false">
      <c r="A1137" s="25" t="s">
        <v>10189</v>
      </c>
      <c r="B1137" s="25" t="s">
        <v>8419</v>
      </c>
      <c r="C1137" s="25" t="s">
        <v>8393</v>
      </c>
      <c r="D1137" s="25" t="n">
        <v>9</v>
      </c>
      <c r="E1137" s="25" t="s">
        <v>8394</v>
      </c>
      <c r="F1137" s="25" t="s">
        <v>8395</v>
      </c>
      <c r="G1137" s="25" t="s">
        <v>8396</v>
      </c>
      <c r="H1137" s="25" t="s">
        <v>10104</v>
      </c>
      <c r="I1137" s="25" t="s">
        <v>10190</v>
      </c>
      <c r="J1137" s="25" t="s">
        <v>10106</v>
      </c>
      <c r="K1137" s="25" t="n">
        <v>0</v>
      </c>
      <c r="L1137" s="25" t="str">
        <f aca="false">IF(K1137&gt;0,"Yes","No")</f>
        <v>No</v>
      </c>
    </row>
    <row r="1138" customFormat="false" ht="15" hidden="false" customHeight="false" outlineLevel="0" collapsed="false">
      <c r="A1138" s="25" t="s">
        <v>10191</v>
      </c>
      <c r="B1138" s="25" t="s">
        <v>8419</v>
      </c>
      <c r="C1138" s="25" t="s">
        <v>8393</v>
      </c>
      <c r="D1138" s="25" t="n">
        <v>9</v>
      </c>
      <c r="E1138" s="25" t="s">
        <v>8394</v>
      </c>
      <c r="F1138" s="25" t="s">
        <v>8395</v>
      </c>
      <c r="G1138" s="25" t="s">
        <v>8396</v>
      </c>
      <c r="H1138" s="25" t="s">
        <v>10104</v>
      </c>
      <c r="I1138" s="25" t="s">
        <v>10192</v>
      </c>
      <c r="J1138" s="25" t="s">
        <v>10106</v>
      </c>
      <c r="K1138" s="25" t="n">
        <v>0</v>
      </c>
      <c r="L1138" s="25" t="str">
        <f aca="false">IF(K1138&gt;0,"Yes","No")</f>
        <v>No</v>
      </c>
    </row>
    <row r="1139" customFormat="false" ht="15" hidden="false" customHeight="false" outlineLevel="0" collapsed="false">
      <c r="A1139" s="25" t="s">
        <v>10193</v>
      </c>
      <c r="B1139" s="25" t="s">
        <v>8419</v>
      </c>
      <c r="C1139" s="25" t="s">
        <v>8393</v>
      </c>
      <c r="D1139" s="25" t="n">
        <v>9</v>
      </c>
      <c r="E1139" s="25" t="s">
        <v>8394</v>
      </c>
      <c r="F1139" s="25" t="s">
        <v>8395</v>
      </c>
      <c r="G1139" s="25" t="s">
        <v>8396</v>
      </c>
      <c r="H1139" s="25" t="s">
        <v>10104</v>
      </c>
      <c r="I1139" s="25" t="s">
        <v>10194</v>
      </c>
      <c r="J1139" s="25" t="s">
        <v>10106</v>
      </c>
      <c r="K1139" s="25" t="n">
        <v>0</v>
      </c>
      <c r="L1139" s="25" t="str">
        <f aca="false">IF(K1139&gt;0,"Yes","No")</f>
        <v>No</v>
      </c>
    </row>
    <row r="1140" customFormat="false" ht="15" hidden="false" customHeight="false" outlineLevel="0" collapsed="false">
      <c r="A1140" s="25" t="s">
        <v>10195</v>
      </c>
      <c r="B1140" s="25" t="s">
        <v>8419</v>
      </c>
      <c r="C1140" s="25" t="s">
        <v>8393</v>
      </c>
      <c r="D1140" s="25" t="n">
        <v>9</v>
      </c>
      <c r="E1140" s="25" t="s">
        <v>8394</v>
      </c>
      <c r="F1140" s="25" t="s">
        <v>8395</v>
      </c>
      <c r="G1140" s="25" t="s">
        <v>8396</v>
      </c>
      <c r="H1140" s="25" t="s">
        <v>10104</v>
      </c>
      <c r="I1140" s="25" t="s">
        <v>10196</v>
      </c>
      <c r="J1140" s="25" t="s">
        <v>10106</v>
      </c>
      <c r="K1140" s="25" t="n">
        <v>0</v>
      </c>
      <c r="L1140" s="25" t="str">
        <f aca="false">IF(K1140&gt;0,"Yes","No")</f>
        <v>No</v>
      </c>
    </row>
    <row r="1141" customFormat="false" ht="15" hidden="false" customHeight="false" outlineLevel="0" collapsed="false">
      <c r="A1141" s="25" t="s">
        <v>10197</v>
      </c>
      <c r="B1141" s="25" t="s">
        <v>8419</v>
      </c>
      <c r="C1141" s="25" t="s">
        <v>8393</v>
      </c>
      <c r="D1141" s="25" t="n">
        <v>9</v>
      </c>
      <c r="E1141" s="25" t="s">
        <v>8394</v>
      </c>
      <c r="F1141" s="25" t="s">
        <v>8395</v>
      </c>
      <c r="G1141" s="25" t="s">
        <v>8396</v>
      </c>
      <c r="H1141" s="25" t="s">
        <v>10104</v>
      </c>
      <c r="I1141" s="25" t="s">
        <v>10198</v>
      </c>
      <c r="J1141" s="25" t="s">
        <v>10106</v>
      </c>
      <c r="K1141" s="25" t="n">
        <v>0</v>
      </c>
      <c r="L1141" s="25" t="str">
        <f aca="false">IF(K1141&gt;0,"Yes","No")</f>
        <v>No</v>
      </c>
    </row>
    <row r="1142" customFormat="false" ht="15" hidden="false" customHeight="false" outlineLevel="0" collapsed="false">
      <c r="A1142" s="25" t="s">
        <v>10199</v>
      </c>
      <c r="B1142" s="25" t="s">
        <v>8419</v>
      </c>
      <c r="C1142" s="25" t="s">
        <v>8393</v>
      </c>
      <c r="D1142" s="25" t="n">
        <v>9</v>
      </c>
      <c r="E1142" s="25" t="s">
        <v>8394</v>
      </c>
      <c r="F1142" s="25" t="s">
        <v>8395</v>
      </c>
      <c r="G1142" s="25" t="s">
        <v>8396</v>
      </c>
      <c r="H1142" s="25" t="s">
        <v>10104</v>
      </c>
      <c r="I1142" s="25" t="s">
        <v>10200</v>
      </c>
      <c r="J1142" s="25" t="s">
        <v>10106</v>
      </c>
      <c r="K1142" s="25" t="n">
        <v>0</v>
      </c>
      <c r="L1142" s="25" t="str">
        <f aca="false">IF(K1142&gt;0,"Yes","No")</f>
        <v>No</v>
      </c>
    </row>
    <row r="1143" customFormat="false" ht="15" hidden="false" customHeight="false" outlineLevel="0" collapsed="false">
      <c r="A1143" s="25" t="s">
        <v>10201</v>
      </c>
      <c r="B1143" s="25" t="s">
        <v>8419</v>
      </c>
      <c r="C1143" s="25" t="s">
        <v>8393</v>
      </c>
      <c r="D1143" s="25" t="n">
        <v>9</v>
      </c>
      <c r="E1143" s="25" t="s">
        <v>8394</v>
      </c>
      <c r="F1143" s="25" t="s">
        <v>8395</v>
      </c>
      <c r="G1143" s="25" t="s">
        <v>8396</v>
      </c>
      <c r="H1143" s="25" t="s">
        <v>10104</v>
      </c>
      <c r="I1143" s="25" t="s">
        <v>10202</v>
      </c>
      <c r="J1143" s="25" t="s">
        <v>10106</v>
      </c>
      <c r="K1143" s="25" t="n">
        <v>0</v>
      </c>
      <c r="L1143" s="25" t="str">
        <f aca="false">IF(K1143&gt;0,"Yes","No")</f>
        <v>No</v>
      </c>
    </row>
    <row r="1144" customFormat="false" ht="15" hidden="false" customHeight="false" outlineLevel="0" collapsed="false">
      <c r="A1144" s="25" t="s">
        <v>10203</v>
      </c>
      <c r="B1144" s="25" t="s">
        <v>8419</v>
      </c>
      <c r="C1144" s="25" t="s">
        <v>8393</v>
      </c>
      <c r="D1144" s="25" t="n">
        <v>9</v>
      </c>
      <c r="E1144" s="25" t="s">
        <v>8394</v>
      </c>
      <c r="F1144" s="25" t="s">
        <v>8395</v>
      </c>
      <c r="G1144" s="25" t="s">
        <v>8396</v>
      </c>
      <c r="H1144" s="25" t="s">
        <v>10104</v>
      </c>
      <c r="I1144" s="25" t="s">
        <v>10204</v>
      </c>
      <c r="J1144" s="25" t="s">
        <v>10106</v>
      </c>
      <c r="K1144" s="25" t="n">
        <v>0</v>
      </c>
      <c r="L1144" s="25" t="str">
        <f aca="false">IF(K1144&gt;0,"Yes","No")</f>
        <v>No</v>
      </c>
    </row>
    <row r="1145" customFormat="false" ht="15" hidden="false" customHeight="false" outlineLevel="0" collapsed="false">
      <c r="A1145" s="25" t="s">
        <v>10205</v>
      </c>
      <c r="B1145" s="25" t="s">
        <v>8419</v>
      </c>
      <c r="C1145" s="25" t="s">
        <v>8393</v>
      </c>
      <c r="D1145" s="25" t="n">
        <v>9</v>
      </c>
      <c r="E1145" s="25" t="s">
        <v>8394</v>
      </c>
      <c r="F1145" s="25" t="s">
        <v>8395</v>
      </c>
      <c r="G1145" s="25" t="s">
        <v>8396</v>
      </c>
      <c r="H1145" s="25" t="s">
        <v>10104</v>
      </c>
      <c r="I1145" s="25" t="s">
        <v>10206</v>
      </c>
      <c r="J1145" s="25" t="s">
        <v>10106</v>
      </c>
      <c r="K1145" s="25" t="n">
        <v>0</v>
      </c>
      <c r="L1145" s="25" t="str">
        <f aca="false">IF(K1145&gt;0,"Yes","No")</f>
        <v>No</v>
      </c>
    </row>
    <row r="1146" customFormat="false" ht="15" hidden="false" customHeight="false" outlineLevel="0" collapsed="false">
      <c r="A1146" s="25" t="s">
        <v>10207</v>
      </c>
      <c r="B1146" s="25" t="s">
        <v>8419</v>
      </c>
      <c r="C1146" s="25" t="s">
        <v>8393</v>
      </c>
      <c r="D1146" s="25" t="n">
        <v>9</v>
      </c>
      <c r="E1146" s="25" t="s">
        <v>8394</v>
      </c>
      <c r="F1146" s="25" t="s">
        <v>8395</v>
      </c>
      <c r="G1146" s="25" t="s">
        <v>8396</v>
      </c>
      <c r="H1146" s="25" t="s">
        <v>10104</v>
      </c>
      <c r="I1146" s="25" t="s">
        <v>10208</v>
      </c>
      <c r="J1146" s="25" t="s">
        <v>10106</v>
      </c>
      <c r="K1146" s="25" t="n">
        <v>0</v>
      </c>
      <c r="L1146" s="25" t="str">
        <f aca="false">IF(K1146&gt;0,"Yes","No")</f>
        <v>No</v>
      </c>
    </row>
    <row r="1147" customFormat="false" ht="15" hidden="false" customHeight="false" outlineLevel="0" collapsed="false">
      <c r="A1147" s="25" t="s">
        <v>10209</v>
      </c>
      <c r="B1147" s="25" t="s">
        <v>8419</v>
      </c>
      <c r="C1147" s="25" t="s">
        <v>8393</v>
      </c>
      <c r="D1147" s="25" t="n">
        <v>9</v>
      </c>
      <c r="E1147" s="25" t="s">
        <v>8394</v>
      </c>
      <c r="F1147" s="25" t="s">
        <v>8395</v>
      </c>
      <c r="G1147" s="25" t="s">
        <v>8396</v>
      </c>
      <c r="H1147" s="25" t="s">
        <v>10104</v>
      </c>
      <c r="I1147" s="25" t="s">
        <v>10210</v>
      </c>
      <c r="J1147" s="25" t="s">
        <v>10106</v>
      </c>
      <c r="K1147" s="25" t="n">
        <v>0</v>
      </c>
      <c r="L1147" s="25" t="str">
        <f aca="false">IF(K1147&gt;0,"Yes","No")</f>
        <v>No</v>
      </c>
    </row>
    <row r="1148" customFormat="false" ht="15" hidden="false" customHeight="false" outlineLevel="0" collapsed="false">
      <c r="A1148" s="25" t="s">
        <v>10211</v>
      </c>
      <c r="B1148" s="25" t="s">
        <v>8419</v>
      </c>
      <c r="C1148" s="25" t="s">
        <v>8393</v>
      </c>
      <c r="D1148" s="25" t="n">
        <v>9</v>
      </c>
      <c r="E1148" s="25" t="s">
        <v>8394</v>
      </c>
      <c r="F1148" s="25" t="s">
        <v>8395</v>
      </c>
      <c r="G1148" s="25" t="s">
        <v>8396</v>
      </c>
      <c r="H1148" s="25" t="s">
        <v>10104</v>
      </c>
      <c r="I1148" s="25" t="s">
        <v>10212</v>
      </c>
      <c r="J1148" s="25" t="s">
        <v>10106</v>
      </c>
      <c r="K1148" s="25" t="n">
        <v>0</v>
      </c>
      <c r="L1148" s="25" t="str">
        <f aca="false">IF(K1148&gt;0,"Yes","No")</f>
        <v>No</v>
      </c>
    </row>
    <row r="1149" customFormat="false" ht="15" hidden="false" customHeight="false" outlineLevel="0" collapsed="false">
      <c r="A1149" s="25" t="s">
        <v>10213</v>
      </c>
      <c r="B1149" s="25" t="s">
        <v>8419</v>
      </c>
      <c r="C1149" s="25" t="s">
        <v>8393</v>
      </c>
      <c r="D1149" s="25" t="n">
        <v>9</v>
      </c>
      <c r="E1149" s="25" t="s">
        <v>8394</v>
      </c>
      <c r="F1149" s="25" t="s">
        <v>8395</v>
      </c>
      <c r="G1149" s="25" t="s">
        <v>8396</v>
      </c>
      <c r="H1149" s="25" t="s">
        <v>10104</v>
      </c>
      <c r="I1149" s="25" t="s">
        <v>10214</v>
      </c>
      <c r="J1149" s="25" t="s">
        <v>10106</v>
      </c>
      <c r="K1149" s="25" t="n">
        <v>0</v>
      </c>
      <c r="L1149" s="25" t="str">
        <f aca="false">IF(K1149&gt;0,"Yes","No")</f>
        <v>No</v>
      </c>
    </row>
    <row r="1150" customFormat="false" ht="15" hidden="false" customHeight="false" outlineLevel="0" collapsed="false">
      <c r="A1150" s="25" t="s">
        <v>10215</v>
      </c>
      <c r="B1150" s="25" t="s">
        <v>8419</v>
      </c>
      <c r="C1150" s="25" t="s">
        <v>8393</v>
      </c>
      <c r="D1150" s="25" t="n">
        <v>9</v>
      </c>
      <c r="E1150" s="25" t="s">
        <v>8394</v>
      </c>
      <c r="F1150" s="25" t="s">
        <v>8395</v>
      </c>
      <c r="G1150" s="25" t="s">
        <v>8396</v>
      </c>
      <c r="H1150" s="25" t="s">
        <v>10104</v>
      </c>
      <c r="I1150" s="25" t="s">
        <v>10216</v>
      </c>
      <c r="J1150" s="25" t="s">
        <v>10106</v>
      </c>
      <c r="K1150" s="25" t="n">
        <v>0</v>
      </c>
      <c r="L1150" s="25" t="str">
        <f aca="false">IF(K1150&gt;0,"Yes","No")</f>
        <v>No</v>
      </c>
    </row>
    <row r="1151" customFormat="false" ht="15" hidden="false" customHeight="false" outlineLevel="0" collapsed="false">
      <c r="A1151" s="25" t="s">
        <v>10217</v>
      </c>
      <c r="B1151" s="25" t="s">
        <v>8419</v>
      </c>
      <c r="C1151" s="25" t="s">
        <v>8393</v>
      </c>
      <c r="D1151" s="25" t="n">
        <v>9</v>
      </c>
      <c r="E1151" s="25" t="s">
        <v>8394</v>
      </c>
      <c r="F1151" s="25" t="s">
        <v>8395</v>
      </c>
      <c r="G1151" s="25" t="s">
        <v>8396</v>
      </c>
      <c r="H1151" s="25" t="s">
        <v>10104</v>
      </c>
      <c r="I1151" s="25" t="s">
        <v>10218</v>
      </c>
      <c r="J1151" s="25" t="s">
        <v>10106</v>
      </c>
      <c r="K1151" s="25" t="n">
        <v>0</v>
      </c>
      <c r="L1151" s="25" t="str">
        <f aca="false">IF(K1151&gt;0,"Yes","No")</f>
        <v>No</v>
      </c>
    </row>
    <row r="1152" customFormat="false" ht="15" hidden="false" customHeight="false" outlineLevel="0" collapsed="false">
      <c r="A1152" s="25" t="s">
        <v>10219</v>
      </c>
      <c r="B1152" s="25" t="s">
        <v>8419</v>
      </c>
      <c r="C1152" s="25" t="s">
        <v>8393</v>
      </c>
      <c r="D1152" s="25" t="n">
        <v>9</v>
      </c>
      <c r="E1152" s="25" t="s">
        <v>8394</v>
      </c>
      <c r="F1152" s="25" t="s">
        <v>8395</v>
      </c>
      <c r="G1152" s="25" t="s">
        <v>8396</v>
      </c>
      <c r="H1152" s="25" t="s">
        <v>10104</v>
      </c>
      <c r="I1152" s="25" t="s">
        <v>10220</v>
      </c>
      <c r="J1152" s="25" t="s">
        <v>10106</v>
      </c>
      <c r="K1152" s="25" t="n">
        <v>0</v>
      </c>
      <c r="L1152" s="25" t="str">
        <f aca="false">IF(K1152&gt;0,"Yes","No")</f>
        <v>No</v>
      </c>
    </row>
    <row r="1153" customFormat="false" ht="15" hidden="false" customHeight="false" outlineLevel="0" collapsed="false">
      <c r="A1153" s="25" t="s">
        <v>10221</v>
      </c>
      <c r="B1153" s="25" t="s">
        <v>8419</v>
      </c>
      <c r="C1153" s="25" t="s">
        <v>8393</v>
      </c>
      <c r="D1153" s="25" t="n">
        <v>9</v>
      </c>
      <c r="E1153" s="25" t="s">
        <v>8394</v>
      </c>
      <c r="F1153" s="25" t="s">
        <v>8395</v>
      </c>
      <c r="G1153" s="25" t="s">
        <v>8396</v>
      </c>
      <c r="H1153" s="25" t="s">
        <v>10104</v>
      </c>
      <c r="I1153" s="25" t="s">
        <v>10222</v>
      </c>
      <c r="J1153" s="25" t="s">
        <v>10106</v>
      </c>
      <c r="K1153" s="25" t="n">
        <v>0</v>
      </c>
      <c r="L1153" s="25" t="str">
        <f aca="false">IF(K1153&gt;0,"Yes","No")</f>
        <v>No</v>
      </c>
    </row>
    <row r="1154" customFormat="false" ht="15" hidden="false" customHeight="false" outlineLevel="0" collapsed="false">
      <c r="A1154" s="25" t="s">
        <v>10223</v>
      </c>
      <c r="B1154" s="25" t="s">
        <v>8419</v>
      </c>
      <c r="C1154" s="25" t="s">
        <v>8393</v>
      </c>
      <c r="D1154" s="25" t="n">
        <v>9</v>
      </c>
      <c r="E1154" s="25" t="s">
        <v>8394</v>
      </c>
      <c r="F1154" s="25" t="s">
        <v>8395</v>
      </c>
      <c r="G1154" s="25" t="s">
        <v>8396</v>
      </c>
      <c r="H1154" s="25" t="s">
        <v>10104</v>
      </c>
      <c r="I1154" s="25" t="s">
        <v>10224</v>
      </c>
      <c r="J1154" s="25" t="s">
        <v>10106</v>
      </c>
      <c r="K1154" s="25" t="n">
        <v>0</v>
      </c>
      <c r="L1154" s="25" t="str">
        <f aca="false">IF(K1154&gt;0,"Yes","No")</f>
        <v>No</v>
      </c>
    </row>
    <row r="1155" customFormat="false" ht="15" hidden="false" customHeight="false" outlineLevel="0" collapsed="false">
      <c r="A1155" s="25" t="s">
        <v>10225</v>
      </c>
      <c r="B1155" s="25" t="s">
        <v>8419</v>
      </c>
      <c r="C1155" s="25" t="s">
        <v>8393</v>
      </c>
      <c r="D1155" s="25" t="n">
        <v>9</v>
      </c>
      <c r="E1155" s="25" t="s">
        <v>8394</v>
      </c>
      <c r="F1155" s="25" t="s">
        <v>8395</v>
      </c>
      <c r="G1155" s="25" t="s">
        <v>8396</v>
      </c>
      <c r="H1155" s="25" t="s">
        <v>10104</v>
      </c>
      <c r="I1155" s="25" t="s">
        <v>10226</v>
      </c>
      <c r="J1155" s="25" t="s">
        <v>10106</v>
      </c>
      <c r="K1155" s="25" t="n">
        <v>0</v>
      </c>
      <c r="L1155" s="25" t="str">
        <f aca="false">IF(K1155&gt;0,"Yes","No")</f>
        <v>No</v>
      </c>
    </row>
    <row r="1156" customFormat="false" ht="15" hidden="false" customHeight="false" outlineLevel="0" collapsed="false">
      <c r="A1156" s="25" t="s">
        <v>10227</v>
      </c>
      <c r="B1156" s="25" t="s">
        <v>8419</v>
      </c>
      <c r="C1156" s="25" t="s">
        <v>8393</v>
      </c>
      <c r="D1156" s="25" t="n">
        <v>9</v>
      </c>
      <c r="E1156" s="25" t="s">
        <v>8394</v>
      </c>
      <c r="F1156" s="25" t="s">
        <v>8395</v>
      </c>
      <c r="G1156" s="25" t="s">
        <v>8396</v>
      </c>
      <c r="H1156" s="25" t="s">
        <v>10104</v>
      </c>
      <c r="I1156" s="25" t="s">
        <v>10228</v>
      </c>
      <c r="J1156" s="25" t="s">
        <v>10106</v>
      </c>
      <c r="K1156" s="25" t="n">
        <v>0</v>
      </c>
      <c r="L1156" s="25" t="str">
        <f aca="false">IF(K1156&gt;0,"Yes","No")</f>
        <v>No</v>
      </c>
    </row>
    <row r="1157" customFormat="false" ht="15" hidden="false" customHeight="false" outlineLevel="0" collapsed="false">
      <c r="A1157" s="25" t="s">
        <v>10229</v>
      </c>
      <c r="B1157" s="25" t="s">
        <v>8419</v>
      </c>
      <c r="C1157" s="25" t="s">
        <v>8393</v>
      </c>
      <c r="D1157" s="25" t="n">
        <v>9</v>
      </c>
      <c r="E1157" s="25" t="s">
        <v>8394</v>
      </c>
      <c r="F1157" s="25" t="s">
        <v>8395</v>
      </c>
      <c r="G1157" s="25" t="s">
        <v>8396</v>
      </c>
      <c r="H1157" s="25" t="s">
        <v>10104</v>
      </c>
      <c r="I1157" s="25" t="s">
        <v>10230</v>
      </c>
      <c r="J1157" s="25" t="s">
        <v>10106</v>
      </c>
      <c r="K1157" s="25" t="n">
        <v>0</v>
      </c>
      <c r="L1157" s="25" t="str">
        <f aca="false">IF(K1157&gt;0,"Yes","No")</f>
        <v>No</v>
      </c>
    </row>
    <row r="1158" customFormat="false" ht="15" hidden="false" customHeight="false" outlineLevel="0" collapsed="false">
      <c r="A1158" s="25" t="s">
        <v>10231</v>
      </c>
      <c r="B1158" s="25" t="s">
        <v>8419</v>
      </c>
      <c r="C1158" s="25" t="s">
        <v>8393</v>
      </c>
      <c r="D1158" s="25" t="n">
        <v>9</v>
      </c>
      <c r="E1158" s="25" t="s">
        <v>8394</v>
      </c>
      <c r="F1158" s="25" t="s">
        <v>8395</v>
      </c>
      <c r="G1158" s="25" t="s">
        <v>8396</v>
      </c>
      <c r="H1158" s="25" t="s">
        <v>10104</v>
      </c>
      <c r="I1158" s="25" t="s">
        <v>10232</v>
      </c>
      <c r="J1158" s="25" t="s">
        <v>10106</v>
      </c>
      <c r="K1158" s="25" t="n">
        <v>0</v>
      </c>
      <c r="L1158" s="25" t="str">
        <f aca="false">IF(K1158&gt;0,"Yes","No")</f>
        <v>No</v>
      </c>
    </row>
    <row r="1159" customFormat="false" ht="15" hidden="false" customHeight="false" outlineLevel="0" collapsed="false">
      <c r="A1159" s="25" t="s">
        <v>10233</v>
      </c>
      <c r="B1159" s="25" t="s">
        <v>8419</v>
      </c>
      <c r="C1159" s="25" t="s">
        <v>8393</v>
      </c>
      <c r="D1159" s="25" t="n">
        <v>9</v>
      </c>
      <c r="E1159" s="25" t="s">
        <v>8394</v>
      </c>
      <c r="F1159" s="25" t="s">
        <v>8395</v>
      </c>
      <c r="G1159" s="25" t="s">
        <v>8396</v>
      </c>
      <c r="H1159" s="25" t="s">
        <v>10104</v>
      </c>
      <c r="I1159" s="25" t="s">
        <v>10234</v>
      </c>
      <c r="J1159" s="25" t="s">
        <v>10106</v>
      </c>
      <c r="K1159" s="25" t="n">
        <v>0</v>
      </c>
      <c r="L1159" s="25" t="str">
        <f aca="false">IF(K1159&gt;0,"Yes","No")</f>
        <v>No</v>
      </c>
    </row>
    <row r="1160" customFormat="false" ht="15" hidden="false" customHeight="false" outlineLevel="0" collapsed="false">
      <c r="A1160" s="25" t="s">
        <v>10235</v>
      </c>
      <c r="B1160" s="25" t="s">
        <v>8419</v>
      </c>
      <c r="C1160" s="25" t="s">
        <v>8393</v>
      </c>
      <c r="D1160" s="25" t="n">
        <v>9</v>
      </c>
      <c r="E1160" s="25" t="s">
        <v>8394</v>
      </c>
      <c r="F1160" s="25" t="s">
        <v>8395</v>
      </c>
      <c r="G1160" s="25" t="s">
        <v>8396</v>
      </c>
      <c r="H1160" s="25" t="s">
        <v>10104</v>
      </c>
      <c r="I1160" s="25" t="s">
        <v>10236</v>
      </c>
      <c r="J1160" s="25" t="s">
        <v>10106</v>
      </c>
      <c r="K1160" s="25" t="n">
        <v>0</v>
      </c>
      <c r="L1160" s="25" t="str">
        <f aca="false">IF(K1160&gt;0,"Yes","No")</f>
        <v>No</v>
      </c>
    </row>
    <row r="1161" customFormat="false" ht="15" hidden="false" customHeight="false" outlineLevel="0" collapsed="false">
      <c r="A1161" s="25" t="s">
        <v>10237</v>
      </c>
      <c r="B1161" s="25" t="s">
        <v>8419</v>
      </c>
      <c r="C1161" s="25" t="s">
        <v>8393</v>
      </c>
      <c r="D1161" s="25" t="n">
        <v>9</v>
      </c>
      <c r="E1161" s="25" t="s">
        <v>8394</v>
      </c>
      <c r="F1161" s="25" t="s">
        <v>8395</v>
      </c>
      <c r="G1161" s="25" t="s">
        <v>8396</v>
      </c>
      <c r="H1161" s="25" t="s">
        <v>10104</v>
      </c>
      <c r="I1161" s="25" t="s">
        <v>10238</v>
      </c>
      <c r="J1161" s="25" t="s">
        <v>10106</v>
      </c>
      <c r="K1161" s="25" t="n">
        <v>0</v>
      </c>
      <c r="L1161" s="25" t="str">
        <f aca="false">IF(K1161&gt;0,"Yes","No")</f>
        <v>No</v>
      </c>
    </row>
    <row r="1162" customFormat="false" ht="15" hidden="false" customHeight="false" outlineLevel="0" collapsed="false">
      <c r="A1162" s="25" t="s">
        <v>10239</v>
      </c>
      <c r="B1162" s="25" t="s">
        <v>8419</v>
      </c>
      <c r="C1162" s="25" t="s">
        <v>8393</v>
      </c>
      <c r="D1162" s="25" t="n">
        <v>9</v>
      </c>
      <c r="E1162" s="25" t="s">
        <v>8394</v>
      </c>
      <c r="F1162" s="25" t="s">
        <v>8395</v>
      </c>
      <c r="G1162" s="25" t="s">
        <v>8396</v>
      </c>
      <c r="H1162" s="25" t="s">
        <v>10104</v>
      </c>
      <c r="I1162" s="25" t="s">
        <v>10240</v>
      </c>
      <c r="J1162" s="25" t="s">
        <v>10106</v>
      </c>
      <c r="K1162" s="25" t="n">
        <v>0</v>
      </c>
      <c r="L1162" s="25" t="str">
        <f aca="false">IF(K1162&gt;0,"Yes","No")</f>
        <v>No</v>
      </c>
    </row>
    <row r="1163" customFormat="false" ht="15" hidden="false" customHeight="false" outlineLevel="0" collapsed="false">
      <c r="A1163" s="25" t="s">
        <v>10241</v>
      </c>
      <c r="B1163" s="25" t="s">
        <v>8419</v>
      </c>
      <c r="C1163" s="25" t="s">
        <v>8393</v>
      </c>
      <c r="D1163" s="25" t="n">
        <v>9</v>
      </c>
      <c r="E1163" s="25" t="s">
        <v>8394</v>
      </c>
      <c r="F1163" s="25" t="s">
        <v>8395</v>
      </c>
      <c r="G1163" s="25" t="s">
        <v>8396</v>
      </c>
      <c r="H1163" s="25" t="s">
        <v>10104</v>
      </c>
      <c r="I1163" s="25" t="s">
        <v>10242</v>
      </c>
      <c r="J1163" s="25" t="s">
        <v>10106</v>
      </c>
      <c r="K1163" s="25" t="n">
        <v>0</v>
      </c>
      <c r="L1163" s="25" t="str">
        <f aca="false">IF(K1163&gt;0,"Yes","No")</f>
        <v>No</v>
      </c>
    </row>
    <row r="1164" customFormat="false" ht="15" hidden="false" customHeight="false" outlineLevel="0" collapsed="false">
      <c r="A1164" s="25" t="s">
        <v>10243</v>
      </c>
      <c r="B1164" s="25" t="s">
        <v>8419</v>
      </c>
      <c r="C1164" s="25" t="s">
        <v>8393</v>
      </c>
      <c r="D1164" s="25" t="n">
        <v>9</v>
      </c>
      <c r="E1164" s="25" t="s">
        <v>8394</v>
      </c>
      <c r="F1164" s="25" t="s">
        <v>8395</v>
      </c>
      <c r="G1164" s="25" t="s">
        <v>8396</v>
      </c>
      <c r="H1164" s="25" t="s">
        <v>10104</v>
      </c>
      <c r="I1164" s="25" t="s">
        <v>10244</v>
      </c>
      <c r="J1164" s="25" t="s">
        <v>10106</v>
      </c>
      <c r="K1164" s="25" t="n">
        <v>0</v>
      </c>
      <c r="L1164" s="25" t="str">
        <f aca="false">IF(K1164&gt;0,"Yes","No")</f>
        <v>No</v>
      </c>
    </row>
    <row r="1165" customFormat="false" ht="15" hidden="false" customHeight="false" outlineLevel="0" collapsed="false">
      <c r="A1165" s="25" t="s">
        <v>10245</v>
      </c>
      <c r="B1165" s="25" t="s">
        <v>8419</v>
      </c>
      <c r="C1165" s="25" t="s">
        <v>8393</v>
      </c>
      <c r="D1165" s="25" t="n">
        <v>9</v>
      </c>
      <c r="E1165" s="25" t="s">
        <v>8394</v>
      </c>
      <c r="F1165" s="25" t="s">
        <v>8395</v>
      </c>
      <c r="G1165" s="25" t="s">
        <v>8396</v>
      </c>
      <c r="H1165" s="25" t="s">
        <v>10104</v>
      </c>
      <c r="I1165" s="25" t="s">
        <v>10246</v>
      </c>
      <c r="J1165" s="25" t="s">
        <v>10106</v>
      </c>
      <c r="K1165" s="25" t="n">
        <v>0</v>
      </c>
      <c r="L1165" s="25" t="str">
        <f aca="false">IF(K1165&gt;0,"Yes","No")</f>
        <v>No</v>
      </c>
    </row>
    <row r="1166" customFormat="false" ht="15" hidden="false" customHeight="false" outlineLevel="0" collapsed="false">
      <c r="A1166" s="25" t="s">
        <v>10247</v>
      </c>
      <c r="B1166" s="25" t="s">
        <v>8419</v>
      </c>
      <c r="C1166" s="25" t="s">
        <v>8393</v>
      </c>
      <c r="D1166" s="25" t="n">
        <v>9</v>
      </c>
      <c r="E1166" s="25" t="s">
        <v>8394</v>
      </c>
      <c r="F1166" s="25" t="s">
        <v>8395</v>
      </c>
      <c r="G1166" s="25" t="s">
        <v>8396</v>
      </c>
      <c r="H1166" s="25" t="s">
        <v>10104</v>
      </c>
      <c r="I1166" s="25" t="s">
        <v>10248</v>
      </c>
      <c r="J1166" s="25" t="s">
        <v>10106</v>
      </c>
      <c r="K1166" s="25" t="n">
        <v>0</v>
      </c>
      <c r="L1166" s="25" t="str">
        <f aca="false">IF(K1166&gt;0,"Yes","No")</f>
        <v>No</v>
      </c>
    </row>
    <row r="1167" customFormat="false" ht="15" hidden="false" customHeight="false" outlineLevel="0" collapsed="false">
      <c r="A1167" s="25" t="s">
        <v>10249</v>
      </c>
      <c r="B1167" s="25" t="s">
        <v>8419</v>
      </c>
      <c r="C1167" s="25" t="s">
        <v>8393</v>
      </c>
      <c r="D1167" s="25" t="n">
        <v>9</v>
      </c>
      <c r="E1167" s="25" t="s">
        <v>8394</v>
      </c>
      <c r="F1167" s="25" t="s">
        <v>8395</v>
      </c>
      <c r="G1167" s="25" t="s">
        <v>8396</v>
      </c>
      <c r="H1167" s="25" t="s">
        <v>10104</v>
      </c>
      <c r="I1167" s="25" t="s">
        <v>10250</v>
      </c>
      <c r="J1167" s="25" t="s">
        <v>10106</v>
      </c>
      <c r="K1167" s="25" t="n">
        <v>0</v>
      </c>
      <c r="L1167" s="25" t="str">
        <f aca="false">IF(K1167&gt;0,"Yes","No")</f>
        <v>No</v>
      </c>
    </row>
    <row r="1168" customFormat="false" ht="15" hidden="false" customHeight="false" outlineLevel="0" collapsed="false">
      <c r="A1168" s="25" t="s">
        <v>10251</v>
      </c>
      <c r="B1168" s="25" t="s">
        <v>8419</v>
      </c>
      <c r="C1168" s="25" t="s">
        <v>8393</v>
      </c>
      <c r="D1168" s="25" t="n">
        <v>9</v>
      </c>
      <c r="E1168" s="25" t="s">
        <v>8394</v>
      </c>
      <c r="F1168" s="25" t="s">
        <v>8395</v>
      </c>
      <c r="G1168" s="25" t="s">
        <v>8396</v>
      </c>
      <c r="H1168" s="25" t="s">
        <v>10104</v>
      </c>
      <c r="I1168" s="25" t="s">
        <v>10252</v>
      </c>
      <c r="J1168" s="25" t="s">
        <v>10106</v>
      </c>
      <c r="K1168" s="25" t="n">
        <v>0</v>
      </c>
      <c r="L1168" s="25" t="str">
        <f aca="false">IF(K1168&gt;0,"Yes","No")</f>
        <v>No</v>
      </c>
    </row>
    <row r="1169" customFormat="false" ht="15" hidden="false" customHeight="false" outlineLevel="0" collapsed="false">
      <c r="A1169" s="25" t="s">
        <v>10253</v>
      </c>
      <c r="B1169" s="25" t="s">
        <v>8419</v>
      </c>
      <c r="C1169" s="25" t="s">
        <v>8393</v>
      </c>
      <c r="D1169" s="25" t="n">
        <v>9</v>
      </c>
      <c r="E1169" s="25" t="s">
        <v>8394</v>
      </c>
      <c r="F1169" s="25" t="s">
        <v>8395</v>
      </c>
      <c r="G1169" s="25" t="s">
        <v>8396</v>
      </c>
      <c r="H1169" s="25" t="s">
        <v>10104</v>
      </c>
      <c r="I1169" s="25" t="s">
        <v>10254</v>
      </c>
      <c r="J1169" s="25" t="s">
        <v>10106</v>
      </c>
      <c r="K1169" s="25" t="n">
        <v>0</v>
      </c>
      <c r="L1169" s="25" t="str">
        <f aca="false">IF(K1169&gt;0,"Yes","No")</f>
        <v>No</v>
      </c>
    </row>
    <row r="1170" customFormat="false" ht="15" hidden="false" customHeight="false" outlineLevel="0" collapsed="false">
      <c r="A1170" s="25" t="s">
        <v>10255</v>
      </c>
      <c r="B1170" s="25" t="s">
        <v>8419</v>
      </c>
      <c r="C1170" s="25" t="s">
        <v>8393</v>
      </c>
      <c r="D1170" s="25" t="n">
        <v>9</v>
      </c>
      <c r="E1170" s="25" t="s">
        <v>8394</v>
      </c>
      <c r="F1170" s="25" t="s">
        <v>8395</v>
      </c>
      <c r="G1170" s="25" t="s">
        <v>8396</v>
      </c>
      <c r="H1170" s="25" t="s">
        <v>10104</v>
      </c>
      <c r="I1170" s="25" t="s">
        <v>10256</v>
      </c>
      <c r="J1170" s="25" t="s">
        <v>10106</v>
      </c>
      <c r="K1170" s="25" t="n">
        <v>0</v>
      </c>
      <c r="L1170" s="25" t="str">
        <f aca="false">IF(K1170&gt;0,"Yes","No")</f>
        <v>No</v>
      </c>
    </row>
    <row r="1171" customFormat="false" ht="15" hidden="false" customHeight="false" outlineLevel="0" collapsed="false">
      <c r="A1171" s="25" t="s">
        <v>10257</v>
      </c>
      <c r="B1171" s="25" t="s">
        <v>8419</v>
      </c>
      <c r="C1171" s="25" t="s">
        <v>8393</v>
      </c>
      <c r="D1171" s="25" t="n">
        <v>9</v>
      </c>
      <c r="E1171" s="25" t="s">
        <v>8394</v>
      </c>
      <c r="F1171" s="25" t="s">
        <v>8395</v>
      </c>
      <c r="G1171" s="25" t="s">
        <v>8396</v>
      </c>
      <c r="H1171" s="25" t="s">
        <v>10104</v>
      </c>
      <c r="I1171" s="25" t="s">
        <v>10258</v>
      </c>
      <c r="J1171" s="25" t="s">
        <v>10106</v>
      </c>
      <c r="K1171" s="25" t="n">
        <v>0</v>
      </c>
      <c r="L1171" s="25" t="str">
        <f aca="false">IF(K1171&gt;0,"Yes","No")</f>
        <v>No</v>
      </c>
    </row>
    <row r="1172" customFormat="false" ht="15" hidden="false" customHeight="false" outlineLevel="0" collapsed="false">
      <c r="A1172" s="25" t="s">
        <v>10259</v>
      </c>
      <c r="B1172" s="25" t="s">
        <v>8419</v>
      </c>
      <c r="C1172" s="25" t="s">
        <v>8393</v>
      </c>
      <c r="D1172" s="25" t="n">
        <v>9</v>
      </c>
      <c r="E1172" s="25" t="s">
        <v>8394</v>
      </c>
      <c r="F1172" s="25" t="s">
        <v>8395</v>
      </c>
      <c r="G1172" s="25" t="s">
        <v>8396</v>
      </c>
      <c r="H1172" s="25" t="s">
        <v>10104</v>
      </c>
      <c r="I1172" s="25" t="s">
        <v>10260</v>
      </c>
      <c r="J1172" s="25" t="s">
        <v>10106</v>
      </c>
      <c r="K1172" s="25" t="n">
        <v>0</v>
      </c>
      <c r="L1172" s="25" t="str">
        <f aca="false">IF(K1172&gt;0,"Yes","No")</f>
        <v>No</v>
      </c>
    </row>
    <row r="1173" customFormat="false" ht="15" hidden="false" customHeight="false" outlineLevel="0" collapsed="false">
      <c r="A1173" s="25" t="s">
        <v>10261</v>
      </c>
      <c r="B1173" s="25" t="s">
        <v>8419</v>
      </c>
      <c r="C1173" s="25" t="s">
        <v>8393</v>
      </c>
      <c r="D1173" s="25" t="n">
        <v>9</v>
      </c>
      <c r="E1173" s="25" t="s">
        <v>8394</v>
      </c>
      <c r="F1173" s="25" t="s">
        <v>8395</v>
      </c>
      <c r="G1173" s="25" t="s">
        <v>8396</v>
      </c>
      <c r="H1173" s="25" t="s">
        <v>10104</v>
      </c>
      <c r="I1173" s="25" t="s">
        <v>10262</v>
      </c>
      <c r="J1173" s="25" t="s">
        <v>10106</v>
      </c>
      <c r="K1173" s="25" t="n">
        <v>0</v>
      </c>
      <c r="L1173" s="25" t="str">
        <f aca="false">IF(K1173&gt;0,"Yes","No")</f>
        <v>No</v>
      </c>
    </row>
    <row r="1174" customFormat="false" ht="15" hidden="false" customHeight="false" outlineLevel="0" collapsed="false">
      <c r="A1174" s="25" t="s">
        <v>10263</v>
      </c>
      <c r="B1174" s="25" t="s">
        <v>8419</v>
      </c>
      <c r="C1174" s="25" t="s">
        <v>8393</v>
      </c>
      <c r="D1174" s="25" t="n">
        <v>9</v>
      </c>
      <c r="E1174" s="25" t="s">
        <v>8394</v>
      </c>
      <c r="F1174" s="25" t="s">
        <v>8395</v>
      </c>
      <c r="G1174" s="25" t="s">
        <v>8396</v>
      </c>
      <c r="H1174" s="25" t="s">
        <v>10104</v>
      </c>
      <c r="I1174" s="25" t="s">
        <v>10264</v>
      </c>
      <c r="J1174" s="25" t="s">
        <v>10106</v>
      </c>
      <c r="K1174" s="25" t="n">
        <v>0</v>
      </c>
      <c r="L1174" s="25" t="str">
        <f aca="false">IF(K1174&gt;0,"Yes","No")</f>
        <v>No</v>
      </c>
    </row>
    <row r="1175" customFormat="false" ht="15" hidden="false" customHeight="false" outlineLevel="0" collapsed="false">
      <c r="A1175" s="25" t="s">
        <v>10265</v>
      </c>
      <c r="B1175" s="25" t="s">
        <v>8419</v>
      </c>
      <c r="C1175" s="25" t="s">
        <v>8393</v>
      </c>
      <c r="D1175" s="25" t="n">
        <v>9</v>
      </c>
      <c r="E1175" s="25" t="s">
        <v>8394</v>
      </c>
      <c r="F1175" s="25" t="s">
        <v>8395</v>
      </c>
      <c r="G1175" s="25" t="s">
        <v>8396</v>
      </c>
      <c r="H1175" s="25" t="s">
        <v>10104</v>
      </c>
      <c r="I1175" s="25" t="s">
        <v>10266</v>
      </c>
      <c r="J1175" s="25" t="s">
        <v>10106</v>
      </c>
      <c r="K1175" s="25" t="n">
        <v>0</v>
      </c>
      <c r="L1175" s="25" t="str">
        <f aca="false">IF(K1175&gt;0,"Yes","No")</f>
        <v>No</v>
      </c>
    </row>
    <row r="1176" customFormat="false" ht="15" hidden="false" customHeight="false" outlineLevel="0" collapsed="false">
      <c r="A1176" s="25" t="s">
        <v>10267</v>
      </c>
      <c r="B1176" s="25" t="s">
        <v>8419</v>
      </c>
      <c r="C1176" s="25" t="s">
        <v>8393</v>
      </c>
      <c r="D1176" s="25" t="n">
        <v>9</v>
      </c>
      <c r="E1176" s="25" t="s">
        <v>8394</v>
      </c>
      <c r="F1176" s="25" t="s">
        <v>8395</v>
      </c>
      <c r="G1176" s="25" t="s">
        <v>8396</v>
      </c>
      <c r="H1176" s="25" t="s">
        <v>10104</v>
      </c>
      <c r="I1176" s="25" t="s">
        <v>10268</v>
      </c>
      <c r="J1176" s="25" t="s">
        <v>10106</v>
      </c>
      <c r="K1176" s="25" t="n">
        <v>0</v>
      </c>
      <c r="L1176" s="25" t="str">
        <f aca="false">IF(K1176&gt;0,"Yes","No")</f>
        <v>No</v>
      </c>
    </row>
    <row r="1177" customFormat="false" ht="15" hidden="false" customHeight="false" outlineLevel="0" collapsed="false">
      <c r="A1177" s="25" t="s">
        <v>10269</v>
      </c>
      <c r="B1177" s="25" t="s">
        <v>8419</v>
      </c>
      <c r="C1177" s="25" t="s">
        <v>8393</v>
      </c>
      <c r="D1177" s="25" t="n">
        <v>9</v>
      </c>
      <c r="E1177" s="25" t="s">
        <v>8394</v>
      </c>
      <c r="F1177" s="25" t="s">
        <v>8395</v>
      </c>
      <c r="G1177" s="25" t="s">
        <v>8396</v>
      </c>
      <c r="H1177" s="25" t="s">
        <v>10104</v>
      </c>
      <c r="I1177" s="25" t="s">
        <v>10270</v>
      </c>
      <c r="J1177" s="25" t="s">
        <v>10106</v>
      </c>
      <c r="K1177" s="25" t="n">
        <v>0</v>
      </c>
      <c r="L1177" s="25" t="str">
        <f aca="false">IF(K1177&gt;0,"Yes","No")</f>
        <v>No</v>
      </c>
    </row>
    <row r="1178" customFormat="false" ht="15" hidden="false" customHeight="false" outlineLevel="0" collapsed="false">
      <c r="A1178" s="25" t="s">
        <v>10271</v>
      </c>
      <c r="B1178" s="25" t="s">
        <v>8419</v>
      </c>
      <c r="C1178" s="25" t="s">
        <v>8393</v>
      </c>
      <c r="D1178" s="25" t="n">
        <v>9</v>
      </c>
      <c r="E1178" s="25" t="s">
        <v>8394</v>
      </c>
      <c r="F1178" s="25" t="s">
        <v>8395</v>
      </c>
      <c r="G1178" s="25" t="s">
        <v>8396</v>
      </c>
      <c r="H1178" s="25" t="s">
        <v>10104</v>
      </c>
      <c r="I1178" s="25" t="s">
        <v>10272</v>
      </c>
      <c r="J1178" s="25" t="s">
        <v>10106</v>
      </c>
      <c r="K1178" s="25" t="n">
        <v>0</v>
      </c>
      <c r="L1178" s="25" t="str">
        <f aca="false">IF(K1178&gt;0,"Yes","No")</f>
        <v>No</v>
      </c>
    </row>
    <row r="1179" customFormat="false" ht="15" hidden="false" customHeight="false" outlineLevel="0" collapsed="false">
      <c r="A1179" s="25" t="s">
        <v>10273</v>
      </c>
      <c r="B1179" s="25" t="s">
        <v>8419</v>
      </c>
      <c r="C1179" s="25" t="s">
        <v>8393</v>
      </c>
      <c r="D1179" s="25" t="n">
        <v>9</v>
      </c>
      <c r="E1179" s="25" t="s">
        <v>8394</v>
      </c>
      <c r="F1179" s="25" t="s">
        <v>8395</v>
      </c>
      <c r="G1179" s="25" t="s">
        <v>8396</v>
      </c>
      <c r="H1179" s="25" t="s">
        <v>10104</v>
      </c>
      <c r="I1179" s="25" t="s">
        <v>10274</v>
      </c>
      <c r="J1179" s="25" t="s">
        <v>10106</v>
      </c>
      <c r="K1179" s="25" t="n">
        <v>0</v>
      </c>
      <c r="L1179" s="25" t="str">
        <f aca="false">IF(K1179&gt;0,"Yes","No")</f>
        <v>No</v>
      </c>
    </row>
    <row r="1180" customFormat="false" ht="15" hidden="false" customHeight="false" outlineLevel="0" collapsed="false">
      <c r="A1180" s="25" t="s">
        <v>10275</v>
      </c>
      <c r="B1180" s="25" t="s">
        <v>8419</v>
      </c>
      <c r="C1180" s="25" t="s">
        <v>8393</v>
      </c>
      <c r="D1180" s="25" t="n">
        <v>9</v>
      </c>
      <c r="E1180" s="25" t="s">
        <v>8394</v>
      </c>
      <c r="F1180" s="25" t="s">
        <v>8395</v>
      </c>
      <c r="G1180" s="25" t="s">
        <v>8396</v>
      </c>
      <c r="H1180" s="25" t="s">
        <v>10104</v>
      </c>
      <c r="I1180" s="25" t="s">
        <v>10276</v>
      </c>
      <c r="J1180" s="25" t="s">
        <v>10106</v>
      </c>
      <c r="K1180" s="25" t="n">
        <v>0</v>
      </c>
      <c r="L1180" s="25" t="str">
        <f aca="false">IF(K1180&gt;0,"Yes","No")</f>
        <v>No</v>
      </c>
    </row>
    <row r="1181" customFormat="false" ht="15" hidden="false" customHeight="false" outlineLevel="0" collapsed="false">
      <c r="A1181" s="25" t="s">
        <v>10277</v>
      </c>
      <c r="B1181" s="25" t="s">
        <v>8419</v>
      </c>
      <c r="C1181" s="25" t="s">
        <v>8393</v>
      </c>
      <c r="D1181" s="25" t="n">
        <v>9</v>
      </c>
      <c r="E1181" s="25" t="s">
        <v>8394</v>
      </c>
      <c r="F1181" s="25" t="s">
        <v>8395</v>
      </c>
      <c r="G1181" s="25" t="s">
        <v>8396</v>
      </c>
      <c r="H1181" s="25" t="s">
        <v>10104</v>
      </c>
      <c r="I1181" s="25" t="s">
        <v>10278</v>
      </c>
      <c r="J1181" s="25" t="s">
        <v>10106</v>
      </c>
      <c r="K1181" s="25" t="n">
        <v>0</v>
      </c>
      <c r="L1181" s="25" t="str">
        <f aca="false">IF(K1181&gt;0,"Yes","No")</f>
        <v>No</v>
      </c>
    </row>
    <row r="1182" customFormat="false" ht="15" hidden="false" customHeight="false" outlineLevel="0" collapsed="false">
      <c r="A1182" s="25" t="s">
        <v>10279</v>
      </c>
      <c r="B1182" s="25" t="s">
        <v>8419</v>
      </c>
      <c r="C1182" s="25" t="s">
        <v>8393</v>
      </c>
      <c r="D1182" s="25" t="n">
        <v>9</v>
      </c>
      <c r="E1182" s="25" t="s">
        <v>8394</v>
      </c>
      <c r="F1182" s="25" t="s">
        <v>8395</v>
      </c>
      <c r="G1182" s="25" t="s">
        <v>8396</v>
      </c>
      <c r="H1182" s="25" t="s">
        <v>10104</v>
      </c>
      <c r="I1182" s="25" t="s">
        <v>10280</v>
      </c>
      <c r="J1182" s="25" t="s">
        <v>10106</v>
      </c>
      <c r="K1182" s="25" t="n">
        <v>0</v>
      </c>
      <c r="L1182" s="25" t="str">
        <f aca="false">IF(K1182&gt;0,"Yes","No")</f>
        <v>No</v>
      </c>
    </row>
    <row r="1183" customFormat="false" ht="15" hidden="false" customHeight="false" outlineLevel="0" collapsed="false">
      <c r="A1183" s="25" t="s">
        <v>10281</v>
      </c>
      <c r="B1183" s="25" t="s">
        <v>8419</v>
      </c>
      <c r="C1183" s="25" t="s">
        <v>8393</v>
      </c>
      <c r="D1183" s="25" t="n">
        <v>9</v>
      </c>
      <c r="E1183" s="25" t="s">
        <v>8394</v>
      </c>
      <c r="F1183" s="25" t="s">
        <v>8395</v>
      </c>
      <c r="G1183" s="25" t="s">
        <v>8396</v>
      </c>
      <c r="H1183" s="25" t="s">
        <v>10104</v>
      </c>
      <c r="I1183" s="25" t="s">
        <v>10282</v>
      </c>
      <c r="J1183" s="25" t="s">
        <v>10106</v>
      </c>
      <c r="K1183" s="25" t="n">
        <v>0</v>
      </c>
      <c r="L1183" s="25" t="str">
        <f aca="false">IF(K1183&gt;0,"Yes","No")</f>
        <v>No</v>
      </c>
    </row>
    <row r="1184" customFormat="false" ht="15" hidden="false" customHeight="false" outlineLevel="0" collapsed="false">
      <c r="A1184" s="25" t="s">
        <v>10283</v>
      </c>
      <c r="B1184" s="25" t="s">
        <v>8419</v>
      </c>
      <c r="C1184" s="25" t="s">
        <v>8393</v>
      </c>
      <c r="D1184" s="25" t="n">
        <v>9</v>
      </c>
      <c r="E1184" s="25" t="s">
        <v>8394</v>
      </c>
      <c r="F1184" s="25" t="s">
        <v>8395</v>
      </c>
      <c r="G1184" s="25" t="s">
        <v>8396</v>
      </c>
      <c r="H1184" s="25" t="s">
        <v>10104</v>
      </c>
      <c r="I1184" s="25" t="s">
        <v>10284</v>
      </c>
      <c r="J1184" s="25" t="s">
        <v>10106</v>
      </c>
      <c r="K1184" s="25" t="n">
        <v>0</v>
      </c>
      <c r="L1184" s="25" t="str">
        <f aca="false">IF(K1184&gt;0,"Yes","No")</f>
        <v>No</v>
      </c>
    </row>
    <row r="1185" customFormat="false" ht="15" hidden="false" customHeight="false" outlineLevel="0" collapsed="false">
      <c r="A1185" s="25" t="s">
        <v>10285</v>
      </c>
      <c r="B1185" s="25" t="s">
        <v>8419</v>
      </c>
      <c r="C1185" s="25" t="s">
        <v>8393</v>
      </c>
      <c r="D1185" s="25" t="n">
        <v>9</v>
      </c>
      <c r="E1185" s="25" t="s">
        <v>8394</v>
      </c>
      <c r="F1185" s="25" t="s">
        <v>8395</v>
      </c>
      <c r="G1185" s="25" t="s">
        <v>8396</v>
      </c>
      <c r="H1185" s="25" t="s">
        <v>10104</v>
      </c>
      <c r="I1185" s="25" t="s">
        <v>10286</v>
      </c>
      <c r="J1185" s="25" t="s">
        <v>10106</v>
      </c>
      <c r="K1185" s="25" t="n">
        <v>0</v>
      </c>
      <c r="L1185" s="25" t="str">
        <f aca="false">IF(K1185&gt;0,"Yes","No")</f>
        <v>No</v>
      </c>
    </row>
    <row r="1186" customFormat="false" ht="15" hidden="false" customHeight="false" outlineLevel="0" collapsed="false">
      <c r="A1186" s="25" t="s">
        <v>10287</v>
      </c>
      <c r="B1186" s="25" t="s">
        <v>8419</v>
      </c>
      <c r="C1186" s="25" t="s">
        <v>8393</v>
      </c>
      <c r="D1186" s="25" t="n">
        <v>9</v>
      </c>
      <c r="E1186" s="25" t="s">
        <v>8394</v>
      </c>
      <c r="F1186" s="25" t="s">
        <v>8395</v>
      </c>
      <c r="G1186" s="25" t="s">
        <v>8396</v>
      </c>
      <c r="H1186" s="25" t="s">
        <v>10104</v>
      </c>
      <c r="I1186" s="25" t="s">
        <v>10288</v>
      </c>
      <c r="J1186" s="25" t="s">
        <v>10106</v>
      </c>
      <c r="K1186" s="25" t="n">
        <v>0</v>
      </c>
      <c r="L1186" s="25" t="str">
        <f aca="false">IF(K1186&gt;0,"Yes","No")</f>
        <v>No</v>
      </c>
    </row>
    <row r="1187" customFormat="false" ht="15" hidden="false" customHeight="false" outlineLevel="0" collapsed="false">
      <c r="A1187" s="25" t="s">
        <v>10289</v>
      </c>
      <c r="B1187" s="25" t="s">
        <v>8419</v>
      </c>
      <c r="C1187" s="25" t="s">
        <v>8393</v>
      </c>
      <c r="D1187" s="25" t="n">
        <v>9</v>
      </c>
      <c r="E1187" s="25" t="s">
        <v>8394</v>
      </c>
      <c r="F1187" s="25" t="s">
        <v>8395</v>
      </c>
      <c r="G1187" s="25" t="s">
        <v>8396</v>
      </c>
      <c r="H1187" s="25" t="s">
        <v>10104</v>
      </c>
      <c r="I1187" s="25" t="s">
        <v>10290</v>
      </c>
      <c r="J1187" s="25" t="s">
        <v>10106</v>
      </c>
      <c r="K1187" s="25" t="n">
        <v>0</v>
      </c>
      <c r="L1187" s="25" t="str">
        <f aca="false">IF(K1187&gt;0,"Yes","No")</f>
        <v>No</v>
      </c>
    </row>
    <row r="1188" customFormat="false" ht="15" hidden="false" customHeight="false" outlineLevel="0" collapsed="false">
      <c r="A1188" s="25" t="s">
        <v>10291</v>
      </c>
      <c r="B1188" s="25" t="s">
        <v>8419</v>
      </c>
      <c r="C1188" s="25" t="s">
        <v>8393</v>
      </c>
      <c r="D1188" s="25" t="n">
        <v>9</v>
      </c>
      <c r="E1188" s="25" t="s">
        <v>8394</v>
      </c>
      <c r="F1188" s="25" t="s">
        <v>8395</v>
      </c>
      <c r="G1188" s="25" t="s">
        <v>8396</v>
      </c>
      <c r="H1188" s="25" t="s">
        <v>10104</v>
      </c>
      <c r="I1188" s="25" t="s">
        <v>10292</v>
      </c>
      <c r="J1188" s="25" t="s">
        <v>10106</v>
      </c>
      <c r="K1188" s="25" t="n">
        <v>0</v>
      </c>
      <c r="L1188" s="25" t="str">
        <f aca="false">IF(K1188&gt;0,"Yes","No")</f>
        <v>No</v>
      </c>
    </row>
    <row r="1189" customFormat="false" ht="15" hidden="false" customHeight="false" outlineLevel="0" collapsed="false">
      <c r="A1189" s="25" t="s">
        <v>10293</v>
      </c>
      <c r="B1189" s="25" t="s">
        <v>8419</v>
      </c>
      <c r="C1189" s="25" t="s">
        <v>8393</v>
      </c>
      <c r="D1189" s="25" t="n">
        <v>9</v>
      </c>
      <c r="E1189" s="25" t="s">
        <v>8394</v>
      </c>
      <c r="F1189" s="25" t="s">
        <v>8395</v>
      </c>
      <c r="G1189" s="25" t="s">
        <v>8396</v>
      </c>
      <c r="H1189" s="25" t="s">
        <v>8399</v>
      </c>
      <c r="I1189" s="25" t="s">
        <v>10294</v>
      </c>
      <c r="J1189" s="25" t="s">
        <v>398</v>
      </c>
      <c r="K1189" s="25" t="n">
        <v>0</v>
      </c>
      <c r="L1189" s="25" t="str">
        <f aca="false">IF(K1189&gt;0,"Yes","No")</f>
        <v>No</v>
      </c>
    </row>
    <row r="1190" customFormat="false" ht="15" hidden="false" customHeight="false" outlineLevel="0" collapsed="false">
      <c r="A1190" s="25" t="s">
        <v>10295</v>
      </c>
      <c r="B1190" s="25" t="s">
        <v>8392</v>
      </c>
      <c r="C1190" s="25" t="s">
        <v>8393</v>
      </c>
      <c r="D1190" s="25" t="n">
        <v>9</v>
      </c>
      <c r="E1190" s="25" t="s">
        <v>8394</v>
      </c>
      <c r="F1190" s="25" t="s">
        <v>8395</v>
      </c>
      <c r="G1190" s="25" t="s">
        <v>8396</v>
      </c>
      <c r="H1190" s="25" t="s">
        <v>8399</v>
      </c>
      <c r="I1190" s="25" t="s">
        <v>10296</v>
      </c>
      <c r="J1190" s="25" t="s">
        <v>398</v>
      </c>
      <c r="K1190" s="25" t="n">
        <v>0</v>
      </c>
      <c r="L1190" s="25" t="str">
        <f aca="false">IF(K1190&gt;0,"Yes","No")</f>
        <v>No</v>
      </c>
    </row>
    <row r="1191" customFormat="false" ht="15" hidden="false" customHeight="false" outlineLevel="0" collapsed="false">
      <c r="A1191" s="25" t="s">
        <v>10297</v>
      </c>
      <c r="B1191" s="25" t="s">
        <v>8419</v>
      </c>
      <c r="C1191" s="25" t="s">
        <v>8393</v>
      </c>
      <c r="D1191" s="25" t="n">
        <v>9</v>
      </c>
      <c r="E1191" s="25" t="s">
        <v>8394</v>
      </c>
      <c r="F1191" s="25" t="s">
        <v>8395</v>
      </c>
      <c r="G1191" s="25" t="s">
        <v>8396</v>
      </c>
      <c r="H1191" s="25" t="s">
        <v>8399</v>
      </c>
      <c r="I1191" s="25" t="s">
        <v>10298</v>
      </c>
      <c r="J1191" s="25" t="s">
        <v>398</v>
      </c>
      <c r="K1191" s="25" t="n">
        <v>0</v>
      </c>
      <c r="L1191" s="25" t="str">
        <f aca="false">IF(K1191&gt;0,"Yes","No")</f>
        <v>No</v>
      </c>
    </row>
    <row r="1192" customFormat="false" ht="15" hidden="false" customHeight="false" outlineLevel="0" collapsed="false">
      <c r="A1192" s="25" t="s">
        <v>10299</v>
      </c>
      <c r="B1192" s="25" t="s">
        <v>8419</v>
      </c>
      <c r="C1192" s="25" t="s">
        <v>8393</v>
      </c>
      <c r="D1192" s="25" t="n">
        <v>9</v>
      </c>
      <c r="E1192" s="25" t="s">
        <v>8394</v>
      </c>
      <c r="F1192" s="25" t="s">
        <v>8395</v>
      </c>
      <c r="G1192" s="25" t="s">
        <v>8396</v>
      </c>
      <c r="H1192" s="25" t="s">
        <v>8399</v>
      </c>
      <c r="I1192" s="25" t="s">
        <v>10300</v>
      </c>
      <c r="J1192" s="25" t="s">
        <v>398</v>
      </c>
      <c r="K1192" s="25" t="n">
        <v>0</v>
      </c>
      <c r="L1192" s="25" t="str">
        <f aca="false">IF(K1192&gt;0,"Yes","No")</f>
        <v>No</v>
      </c>
    </row>
    <row r="1193" customFormat="false" ht="15" hidden="false" customHeight="false" outlineLevel="0" collapsed="false">
      <c r="A1193" s="25" t="s">
        <v>10301</v>
      </c>
      <c r="B1193" s="25" t="s">
        <v>8419</v>
      </c>
      <c r="C1193" s="25" t="s">
        <v>8393</v>
      </c>
      <c r="D1193" s="25" t="n">
        <v>9</v>
      </c>
      <c r="E1193" s="25" t="s">
        <v>8394</v>
      </c>
      <c r="F1193" s="25" t="s">
        <v>8395</v>
      </c>
      <c r="G1193" s="25" t="s">
        <v>8396</v>
      </c>
      <c r="H1193" s="25" t="s">
        <v>8399</v>
      </c>
      <c r="I1193" s="25" t="s">
        <v>10302</v>
      </c>
      <c r="J1193" s="25" t="s">
        <v>10303</v>
      </c>
      <c r="K1193" s="25" t="n">
        <v>0</v>
      </c>
      <c r="L1193" s="25" t="str">
        <f aca="false">IF(K1193&gt;0,"Yes","No")</f>
        <v>No</v>
      </c>
    </row>
    <row r="1194" customFormat="false" ht="15" hidden="false" customHeight="false" outlineLevel="0" collapsed="false">
      <c r="A1194" s="25" t="s">
        <v>10304</v>
      </c>
      <c r="B1194" s="25" t="s">
        <v>8419</v>
      </c>
      <c r="C1194" s="25" t="s">
        <v>8393</v>
      </c>
      <c r="D1194" s="25" t="n">
        <v>9</v>
      </c>
      <c r="E1194" s="25" t="s">
        <v>8394</v>
      </c>
      <c r="F1194" s="25" t="s">
        <v>8395</v>
      </c>
      <c r="G1194" s="25" t="s">
        <v>8396</v>
      </c>
      <c r="H1194" s="25" t="s">
        <v>8399</v>
      </c>
      <c r="I1194" s="25" t="s">
        <v>10305</v>
      </c>
      <c r="J1194" s="25" t="s">
        <v>10303</v>
      </c>
      <c r="K1194" s="25" t="n">
        <v>0</v>
      </c>
      <c r="L1194" s="25" t="str">
        <f aca="false">IF(K1194&gt;0,"Yes","No")</f>
        <v>No</v>
      </c>
    </row>
    <row r="1195" customFormat="false" ht="15" hidden="false" customHeight="false" outlineLevel="0" collapsed="false">
      <c r="A1195" s="25" t="s">
        <v>10306</v>
      </c>
      <c r="B1195" s="25" t="s">
        <v>8419</v>
      </c>
      <c r="C1195" s="25" t="s">
        <v>8393</v>
      </c>
      <c r="D1195" s="25" t="n">
        <v>9</v>
      </c>
      <c r="E1195" s="25" t="s">
        <v>8394</v>
      </c>
      <c r="F1195" s="25" t="s">
        <v>8395</v>
      </c>
      <c r="G1195" s="25" t="s">
        <v>8396</v>
      </c>
      <c r="H1195" s="25" t="s">
        <v>8403</v>
      </c>
      <c r="I1195" s="25" t="s">
        <v>10307</v>
      </c>
      <c r="J1195" s="25" t="s">
        <v>10303</v>
      </c>
      <c r="K1195" s="25" t="n">
        <v>0</v>
      </c>
      <c r="L1195" s="25" t="str">
        <f aca="false">IF(K1195&gt;0,"Yes","No")</f>
        <v>No</v>
      </c>
    </row>
    <row r="1196" customFormat="false" ht="15" hidden="false" customHeight="false" outlineLevel="0" collapsed="false">
      <c r="A1196" s="25" t="s">
        <v>10308</v>
      </c>
      <c r="B1196" s="25" t="s">
        <v>8419</v>
      </c>
      <c r="C1196" s="25" t="s">
        <v>8393</v>
      </c>
      <c r="D1196" s="25" t="n">
        <v>9</v>
      </c>
      <c r="E1196" s="25" t="s">
        <v>8394</v>
      </c>
      <c r="F1196" s="25" t="s">
        <v>8395</v>
      </c>
      <c r="G1196" s="25" t="s">
        <v>8396</v>
      </c>
      <c r="H1196" s="25" t="s">
        <v>9911</v>
      </c>
      <c r="I1196" s="25" t="s">
        <v>10309</v>
      </c>
      <c r="J1196" s="25" t="s">
        <v>10310</v>
      </c>
      <c r="K1196" s="25" t="n">
        <v>0</v>
      </c>
      <c r="L1196" s="25" t="str">
        <f aca="false">IF(K1196&gt;0,"Yes","No")</f>
        <v>No</v>
      </c>
    </row>
    <row r="1197" customFormat="false" ht="15" hidden="false" customHeight="false" outlineLevel="0" collapsed="false">
      <c r="A1197" s="25" t="s">
        <v>10311</v>
      </c>
      <c r="B1197" s="25" t="s">
        <v>8419</v>
      </c>
      <c r="C1197" s="25" t="s">
        <v>8393</v>
      </c>
      <c r="D1197" s="25" t="n">
        <v>9</v>
      </c>
      <c r="E1197" s="25" t="s">
        <v>8394</v>
      </c>
      <c r="F1197" s="25" t="s">
        <v>8395</v>
      </c>
      <c r="G1197" s="25" t="s">
        <v>8396</v>
      </c>
      <c r="H1197" s="25" t="s">
        <v>9911</v>
      </c>
      <c r="I1197" s="25" t="s">
        <v>10312</v>
      </c>
      <c r="J1197" s="25" t="s">
        <v>10310</v>
      </c>
      <c r="K1197" s="25" t="n">
        <v>0</v>
      </c>
      <c r="L1197" s="25" t="str">
        <f aca="false">IF(K1197&gt;0,"Yes","No")</f>
        <v>No</v>
      </c>
    </row>
    <row r="1198" customFormat="false" ht="15" hidden="false" customHeight="false" outlineLevel="0" collapsed="false">
      <c r="A1198" s="25" t="s">
        <v>10313</v>
      </c>
      <c r="B1198" s="25" t="s">
        <v>8419</v>
      </c>
      <c r="C1198" s="25" t="s">
        <v>8393</v>
      </c>
      <c r="D1198" s="25" t="n">
        <v>9</v>
      </c>
      <c r="E1198" s="25" t="s">
        <v>8394</v>
      </c>
      <c r="F1198" s="25" t="s">
        <v>8395</v>
      </c>
      <c r="G1198" s="25" t="s">
        <v>8396</v>
      </c>
      <c r="H1198" s="25" t="s">
        <v>9911</v>
      </c>
      <c r="I1198" s="25" t="s">
        <v>10314</v>
      </c>
      <c r="J1198" s="25" t="s">
        <v>10310</v>
      </c>
      <c r="K1198" s="25" t="n">
        <v>0</v>
      </c>
      <c r="L1198" s="25" t="str">
        <f aca="false">IF(K1198&gt;0,"Yes","No")</f>
        <v>No</v>
      </c>
    </row>
    <row r="1199" customFormat="false" ht="15" hidden="false" customHeight="false" outlineLevel="0" collapsed="false">
      <c r="A1199" s="25" t="s">
        <v>10315</v>
      </c>
      <c r="B1199" s="25" t="s">
        <v>8419</v>
      </c>
      <c r="C1199" s="25" t="s">
        <v>8393</v>
      </c>
      <c r="D1199" s="25" t="n">
        <v>9</v>
      </c>
      <c r="E1199" s="25" t="s">
        <v>8394</v>
      </c>
      <c r="F1199" s="25" t="s">
        <v>8395</v>
      </c>
      <c r="G1199" s="25" t="s">
        <v>8396</v>
      </c>
      <c r="H1199" s="25" t="s">
        <v>9911</v>
      </c>
      <c r="I1199" s="25" t="s">
        <v>10316</v>
      </c>
      <c r="J1199" s="25" t="s">
        <v>10310</v>
      </c>
      <c r="K1199" s="25" t="n">
        <v>0</v>
      </c>
      <c r="L1199" s="25" t="str">
        <f aca="false">IF(K1199&gt;0,"Yes","No")</f>
        <v>No</v>
      </c>
    </row>
    <row r="1200" customFormat="false" ht="15" hidden="false" customHeight="false" outlineLevel="0" collapsed="false">
      <c r="A1200" s="25" t="s">
        <v>10317</v>
      </c>
      <c r="B1200" s="25" t="s">
        <v>8419</v>
      </c>
      <c r="C1200" s="25" t="s">
        <v>8393</v>
      </c>
      <c r="D1200" s="25" t="n">
        <v>9</v>
      </c>
      <c r="E1200" s="25" t="s">
        <v>8394</v>
      </c>
      <c r="F1200" s="25" t="s">
        <v>8395</v>
      </c>
      <c r="G1200" s="25" t="s">
        <v>8396</v>
      </c>
      <c r="H1200" s="25" t="s">
        <v>9911</v>
      </c>
      <c r="I1200" s="25" t="s">
        <v>10318</v>
      </c>
      <c r="J1200" s="25" t="s">
        <v>3815</v>
      </c>
      <c r="K1200" s="25" t="n">
        <v>0</v>
      </c>
      <c r="L1200" s="25" t="str">
        <f aca="false">IF(K1200&gt;0,"Yes","No")</f>
        <v>No</v>
      </c>
    </row>
    <row r="1201" customFormat="false" ht="15" hidden="false" customHeight="false" outlineLevel="0" collapsed="false">
      <c r="A1201" s="25" t="s">
        <v>10319</v>
      </c>
      <c r="B1201" s="25" t="s">
        <v>8419</v>
      </c>
      <c r="C1201" s="25" t="s">
        <v>8393</v>
      </c>
      <c r="D1201" s="25" t="n">
        <v>9</v>
      </c>
      <c r="E1201" s="25" t="s">
        <v>8394</v>
      </c>
      <c r="F1201" s="25" t="s">
        <v>8395</v>
      </c>
      <c r="G1201" s="25" t="s">
        <v>8396</v>
      </c>
      <c r="H1201" s="25" t="s">
        <v>9911</v>
      </c>
      <c r="I1201" s="25" t="s">
        <v>10320</v>
      </c>
      <c r="J1201" s="25" t="s">
        <v>3815</v>
      </c>
      <c r="K1201" s="25" t="n">
        <v>0</v>
      </c>
      <c r="L1201" s="25" t="str">
        <f aca="false">IF(K1201&gt;0,"Yes","No")</f>
        <v>No</v>
      </c>
    </row>
    <row r="1202" customFormat="false" ht="15" hidden="false" customHeight="false" outlineLevel="0" collapsed="false">
      <c r="A1202" s="25" t="s">
        <v>10321</v>
      </c>
      <c r="B1202" s="25" t="s">
        <v>8419</v>
      </c>
      <c r="C1202" s="25" t="s">
        <v>8393</v>
      </c>
      <c r="D1202" s="25" t="n">
        <v>9</v>
      </c>
      <c r="E1202" s="25" t="s">
        <v>8394</v>
      </c>
      <c r="F1202" s="25" t="s">
        <v>8395</v>
      </c>
      <c r="G1202" s="25" t="s">
        <v>8396</v>
      </c>
      <c r="H1202" s="25" t="s">
        <v>10104</v>
      </c>
      <c r="I1202" s="25" t="s">
        <v>10322</v>
      </c>
      <c r="J1202" s="25" t="s">
        <v>3815</v>
      </c>
      <c r="K1202" s="25" t="n">
        <v>0</v>
      </c>
      <c r="L1202" s="25" t="str">
        <f aca="false">IF(K1202&gt;0,"Yes","No")</f>
        <v>No</v>
      </c>
    </row>
    <row r="1203" customFormat="false" ht="15" hidden="false" customHeight="false" outlineLevel="0" collapsed="false">
      <c r="A1203" s="25" t="s">
        <v>10323</v>
      </c>
      <c r="B1203" s="25" t="s">
        <v>8419</v>
      </c>
      <c r="C1203" s="25" t="s">
        <v>8393</v>
      </c>
      <c r="D1203" s="25" t="n">
        <v>9</v>
      </c>
      <c r="E1203" s="25" t="s">
        <v>8394</v>
      </c>
      <c r="F1203" s="25" t="s">
        <v>8395</v>
      </c>
      <c r="G1203" s="25" t="s">
        <v>8396</v>
      </c>
      <c r="H1203" s="25" t="s">
        <v>10104</v>
      </c>
      <c r="I1203" s="25" t="s">
        <v>10324</v>
      </c>
      <c r="J1203" s="25" t="s">
        <v>3815</v>
      </c>
      <c r="K1203" s="25" t="n">
        <v>0</v>
      </c>
      <c r="L1203" s="25" t="str">
        <f aca="false">IF(K1203&gt;0,"Yes","No")</f>
        <v>No</v>
      </c>
    </row>
    <row r="1204" customFormat="false" ht="15" hidden="false" customHeight="false" outlineLevel="0" collapsed="false">
      <c r="A1204" s="25" t="s">
        <v>10325</v>
      </c>
      <c r="B1204" s="25" t="s">
        <v>8392</v>
      </c>
      <c r="C1204" s="25" t="s">
        <v>8393</v>
      </c>
      <c r="D1204" s="25" t="n">
        <v>9</v>
      </c>
      <c r="E1204" s="25" t="s">
        <v>8394</v>
      </c>
      <c r="F1204" s="25" t="s">
        <v>8395</v>
      </c>
      <c r="G1204" s="25" t="s">
        <v>8398</v>
      </c>
      <c r="H1204" s="25"/>
      <c r="I1204" s="25" t="s">
        <v>10326</v>
      </c>
      <c r="J1204" s="25" t="s">
        <v>10327</v>
      </c>
      <c r="K1204" s="25" t="n">
        <v>0</v>
      </c>
      <c r="L1204" s="25" t="str">
        <f aca="false">IF(K1204&gt;0,"Yes","No")</f>
        <v>No</v>
      </c>
    </row>
    <row r="1205" customFormat="false" ht="15" hidden="false" customHeight="false" outlineLevel="0" collapsed="false">
      <c r="A1205" s="25" t="s">
        <v>10328</v>
      </c>
      <c r="B1205" s="25" t="s">
        <v>8392</v>
      </c>
      <c r="C1205" s="25" t="s">
        <v>8393</v>
      </c>
      <c r="D1205" s="25" t="n">
        <v>9</v>
      </c>
      <c r="E1205" s="25" t="s">
        <v>8394</v>
      </c>
      <c r="F1205" s="25" t="s">
        <v>8395</v>
      </c>
      <c r="G1205" s="25" t="s">
        <v>8396</v>
      </c>
      <c r="H1205" s="25" t="s">
        <v>8406</v>
      </c>
      <c r="I1205" s="25" t="s">
        <v>10329</v>
      </c>
      <c r="J1205" s="25" t="s">
        <v>10330</v>
      </c>
      <c r="K1205" s="25" t="n">
        <v>0</v>
      </c>
      <c r="L1205" s="25" t="str">
        <f aca="false">IF(K1205&gt;0,"Yes","No")</f>
        <v>No</v>
      </c>
    </row>
    <row r="1206" customFormat="false" ht="15" hidden="false" customHeight="false" outlineLevel="0" collapsed="false">
      <c r="A1206" s="25" t="s">
        <v>10331</v>
      </c>
      <c r="B1206" s="25" t="s">
        <v>8392</v>
      </c>
      <c r="C1206" s="25" t="s">
        <v>8393</v>
      </c>
      <c r="D1206" s="25" t="n">
        <v>9</v>
      </c>
      <c r="E1206" s="25" t="s">
        <v>8394</v>
      </c>
      <c r="F1206" s="25" t="s">
        <v>8395</v>
      </c>
      <c r="G1206" s="25" t="s">
        <v>8396</v>
      </c>
      <c r="H1206" s="25" t="s">
        <v>8406</v>
      </c>
      <c r="I1206" s="25" t="s">
        <v>10332</v>
      </c>
      <c r="J1206" s="25" t="s">
        <v>10330</v>
      </c>
      <c r="K1206" s="25" t="n">
        <v>0</v>
      </c>
      <c r="L1206" s="25" t="str">
        <f aca="false">IF(K1206&gt;0,"Yes","No")</f>
        <v>No</v>
      </c>
    </row>
    <row r="1207" customFormat="false" ht="15" hidden="false" customHeight="false" outlineLevel="0" collapsed="false">
      <c r="A1207" s="25" t="s">
        <v>10333</v>
      </c>
      <c r="B1207" s="25" t="s">
        <v>8392</v>
      </c>
      <c r="C1207" s="25" t="s">
        <v>8393</v>
      </c>
      <c r="D1207" s="25" t="n">
        <v>9</v>
      </c>
      <c r="E1207" s="25" t="s">
        <v>8394</v>
      </c>
      <c r="F1207" s="25" t="s">
        <v>8395</v>
      </c>
      <c r="G1207" s="25" t="s">
        <v>8398</v>
      </c>
      <c r="H1207" s="25"/>
      <c r="I1207" s="25" t="s">
        <v>10334</v>
      </c>
      <c r="J1207" s="25" t="s">
        <v>10335</v>
      </c>
      <c r="K1207" s="25" t="n">
        <v>0</v>
      </c>
      <c r="L1207" s="25" t="str">
        <f aca="false">IF(K1207&gt;0,"Yes","No")</f>
        <v>No</v>
      </c>
    </row>
    <row r="1208" customFormat="false" ht="15" hidden="false" customHeight="false" outlineLevel="0" collapsed="false">
      <c r="A1208" s="25" t="s">
        <v>10336</v>
      </c>
      <c r="B1208" s="25" t="s">
        <v>8392</v>
      </c>
      <c r="C1208" s="25" t="s">
        <v>8393</v>
      </c>
      <c r="D1208" s="25" t="n">
        <v>9</v>
      </c>
      <c r="E1208" s="25" t="s">
        <v>8394</v>
      </c>
      <c r="F1208" s="25" t="s">
        <v>8395</v>
      </c>
      <c r="G1208" s="25" t="s">
        <v>8402</v>
      </c>
      <c r="H1208" s="25" t="s">
        <v>8399</v>
      </c>
      <c r="I1208" s="25" t="s">
        <v>10337</v>
      </c>
      <c r="J1208" s="25" t="s">
        <v>6046</v>
      </c>
      <c r="K1208" s="25" t="n">
        <v>0</v>
      </c>
      <c r="L1208" s="25" t="str">
        <f aca="false">IF(K1208&gt;0,"Yes","No")</f>
        <v>No</v>
      </c>
    </row>
    <row r="1209" customFormat="false" ht="15" hidden="false" customHeight="false" outlineLevel="0" collapsed="false">
      <c r="A1209" s="25" t="s">
        <v>10338</v>
      </c>
      <c r="B1209" s="25" t="s">
        <v>8419</v>
      </c>
      <c r="C1209" s="25" t="s">
        <v>8393</v>
      </c>
      <c r="D1209" s="25" t="n">
        <v>9</v>
      </c>
      <c r="E1209" s="25" t="s">
        <v>8394</v>
      </c>
      <c r="F1209" s="25" t="s">
        <v>8395</v>
      </c>
      <c r="G1209" s="25" t="s">
        <v>8400</v>
      </c>
      <c r="H1209" s="25"/>
      <c r="I1209" s="25" t="s">
        <v>10339</v>
      </c>
      <c r="J1209" s="25" t="s">
        <v>6046</v>
      </c>
      <c r="K1209" s="25" t="n">
        <v>0</v>
      </c>
      <c r="L1209" s="25" t="str">
        <f aca="false">IF(K1209&gt;0,"Yes","No")</f>
        <v>No</v>
      </c>
    </row>
    <row r="1210" customFormat="false" ht="15" hidden="false" customHeight="false" outlineLevel="0" collapsed="false">
      <c r="A1210" s="25" t="s">
        <v>10340</v>
      </c>
      <c r="B1210" s="25" t="s">
        <v>8419</v>
      </c>
      <c r="C1210" s="25" t="s">
        <v>8393</v>
      </c>
      <c r="D1210" s="25" t="n">
        <v>9</v>
      </c>
      <c r="E1210" s="25" t="s">
        <v>8394</v>
      </c>
      <c r="F1210" s="25" t="s">
        <v>8395</v>
      </c>
      <c r="G1210" s="25" t="s">
        <v>8396</v>
      </c>
      <c r="H1210" s="25" t="s">
        <v>8403</v>
      </c>
      <c r="I1210" s="25" t="s">
        <v>10341</v>
      </c>
      <c r="J1210" s="25" t="s">
        <v>6396</v>
      </c>
      <c r="K1210" s="25" t="n">
        <v>0</v>
      </c>
      <c r="L1210" s="25" t="str">
        <f aca="false">IF(K1210&gt;0,"Yes","No")</f>
        <v>No</v>
      </c>
    </row>
    <row r="1211" customFormat="false" ht="15" hidden="false" customHeight="false" outlineLevel="0" collapsed="false">
      <c r="A1211" s="25" t="s">
        <v>10342</v>
      </c>
      <c r="B1211" s="25" t="s">
        <v>8419</v>
      </c>
      <c r="C1211" s="25" t="s">
        <v>8393</v>
      </c>
      <c r="D1211" s="25" t="n">
        <v>9</v>
      </c>
      <c r="E1211" s="25" t="s">
        <v>8394</v>
      </c>
      <c r="F1211" s="25" t="s">
        <v>8395</v>
      </c>
      <c r="G1211" s="25" t="s">
        <v>8396</v>
      </c>
      <c r="H1211" s="25" t="s">
        <v>8403</v>
      </c>
      <c r="I1211" s="25" t="s">
        <v>10343</v>
      </c>
      <c r="J1211" s="25" t="s">
        <v>6396</v>
      </c>
      <c r="K1211" s="25" t="n">
        <v>0</v>
      </c>
      <c r="L1211" s="25" t="str">
        <f aca="false">IF(K1211&gt;0,"Yes","No")</f>
        <v>No</v>
      </c>
    </row>
    <row r="1212" customFormat="false" ht="15" hidden="false" customHeight="false" outlineLevel="0" collapsed="false">
      <c r="A1212" s="25" t="s">
        <v>10344</v>
      </c>
      <c r="B1212" s="25" t="s">
        <v>8419</v>
      </c>
      <c r="C1212" s="25" t="s">
        <v>8393</v>
      </c>
      <c r="D1212" s="25" t="n">
        <v>9</v>
      </c>
      <c r="E1212" s="25" t="s">
        <v>8394</v>
      </c>
      <c r="F1212" s="25" t="s">
        <v>8395</v>
      </c>
      <c r="G1212" s="25" t="s">
        <v>8396</v>
      </c>
      <c r="H1212" s="25" t="s">
        <v>8403</v>
      </c>
      <c r="I1212" s="25" t="s">
        <v>10345</v>
      </c>
      <c r="J1212" s="25" t="s">
        <v>6396</v>
      </c>
      <c r="K1212" s="25" t="n">
        <v>0</v>
      </c>
      <c r="L1212" s="25" t="str">
        <f aca="false">IF(K1212&gt;0,"Yes","No")</f>
        <v>No</v>
      </c>
    </row>
    <row r="1213" customFormat="false" ht="15" hidden="false" customHeight="false" outlineLevel="0" collapsed="false">
      <c r="A1213" s="25" t="s">
        <v>10346</v>
      </c>
      <c r="B1213" s="25" t="s">
        <v>8419</v>
      </c>
      <c r="C1213" s="25" t="s">
        <v>8393</v>
      </c>
      <c r="D1213" s="25" t="n">
        <v>9</v>
      </c>
      <c r="E1213" s="25" t="s">
        <v>8394</v>
      </c>
      <c r="F1213" s="25" t="s">
        <v>8395</v>
      </c>
      <c r="G1213" s="25" t="s">
        <v>8396</v>
      </c>
      <c r="H1213" s="25" t="s">
        <v>8403</v>
      </c>
      <c r="I1213" s="25" t="s">
        <v>10347</v>
      </c>
      <c r="J1213" s="25" t="s">
        <v>6396</v>
      </c>
      <c r="K1213" s="25" t="n">
        <v>0</v>
      </c>
      <c r="L1213" s="25" t="str">
        <f aca="false">IF(K1213&gt;0,"Yes","No")</f>
        <v>No</v>
      </c>
    </row>
    <row r="1214" customFormat="false" ht="15" hidden="false" customHeight="false" outlineLevel="0" collapsed="false">
      <c r="A1214" s="25" t="s">
        <v>10348</v>
      </c>
      <c r="B1214" s="25" t="s">
        <v>8419</v>
      </c>
      <c r="C1214" s="25" t="s">
        <v>8393</v>
      </c>
      <c r="D1214" s="25" t="n">
        <v>9</v>
      </c>
      <c r="E1214" s="25" t="s">
        <v>8394</v>
      </c>
      <c r="F1214" s="25" t="s">
        <v>8395</v>
      </c>
      <c r="G1214" s="25" t="s">
        <v>8396</v>
      </c>
      <c r="H1214" s="25" t="s">
        <v>8403</v>
      </c>
      <c r="I1214" s="25" t="s">
        <v>10349</v>
      </c>
      <c r="J1214" s="25" t="s">
        <v>6396</v>
      </c>
      <c r="K1214" s="25" t="n">
        <v>0</v>
      </c>
      <c r="L1214" s="25" t="str">
        <f aca="false">IF(K1214&gt;0,"Yes","No")</f>
        <v>No</v>
      </c>
    </row>
    <row r="1215" customFormat="false" ht="15" hidden="false" customHeight="false" outlineLevel="0" collapsed="false">
      <c r="A1215" s="25" t="s">
        <v>10350</v>
      </c>
      <c r="B1215" s="25" t="s">
        <v>8419</v>
      </c>
      <c r="C1215" s="25" t="s">
        <v>8393</v>
      </c>
      <c r="D1215" s="25" t="n">
        <v>9</v>
      </c>
      <c r="E1215" s="25" t="s">
        <v>8394</v>
      </c>
      <c r="F1215" s="25" t="s">
        <v>8395</v>
      </c>
      <c r="G1215" s="25" t="s">
        <v>8396</v>
      </c>
      <c r="H1215" s="25" t="s">
        <v>8403</v>
      </c>
      <c r="I1215" s="25" t="s">
        <v>10351</v>
      </c>
      <c r="J1215" s="25" t="s">
        <v>6396</v>
      </c>
      <c r="K1215" s="25" t="n">
        <v>0</v>
      </c>
      <c r="L1215" s="25" t="str">
        <f aca="false">IF(K1215&gt;0,"Yes","No")</f>
        <v>No</v>
      </c>
    </row>
    <row r="1216" customFormat="false" ht="15" hidden="false" customHeight="false" outlineLevel="0" collapsed="false">
      <c r="A1216" s="25" t="s">
        <v>10352</v>
      </c>
      <c r="B1216" s="25" t="s">
        <v>8419</v>
      </c>
      <c r="C1216" s="25" t="s">
        <v>8393</v>
      </c>
      <c r="D1216" s="25" t="n">
        <v>9</v>
      </c>
      <c r="E1216" s="25" t="s">
        <v>8394</v>
      </c>
      <c r="F1216" s="25" t="s">
        <v>8395</v>
      </c>
      <c r="G1216" s="25" t="s">
        <v>8396</v>
      </c>
      <c r="H1216" s="25" t="s">
        <v>8403</v>
      </c>
      <c r="I1216" s="25" t="s">
        <v>10353</v>
      </c>
      <c r="J1216" s="25" t="s">
        <v>6396</v>
      </c>
      <c r="K1216" s="25" t="n">
        <v>0</v>
      </c>
      <c r="L1216" s="25" t="str">
        <f aca="false">IF(K1216&gt;0,"Yes","No")</f>
        <v>No</v>
      </c>
    </row>
    <row r="1217" customFormat="false" ht="15" hidden="false" customHeight="false" outlineLevel="0" collapsed="false">
      <c r="A1217" s="25" t="s">
        <v>10354</v>
      </c>
      <c r="B1217" s="25" t="s">
        <v>8419</v>
      </c>
      <c r="C1217" s="25" t="s">
        <v>8393</v>
      </c>
      <c r="D1217" s="25" t="n">
        <v>9</v>
      </c>
      <c r="E1217" s="25" t="s">
        <v>8394</v>
      </c>
      <c r="F1217" s="25" t="s">
        <v>8395</v>
      </c>
      <c r="G1217" s="25" t="s">
        <v>8396</v>
      </c>
      <c r="H1217" s="25" t="s">
        <v>8403</v>
      </c>
      <c r="I1217" s="25" t="s">
        <v>10355</v>
      </c>
      <c r="J1217" s="25" t="s">
        <v>6396</v>
      </c>
      <c r="K1217" s="25" t="n">
        <v>0</v>
      </c>
      <c r="L1217" s="25" t="str">
        <f aca="false">IF(K1217&gt;0,"Yes","No")</f>
        <v>No</v>
      </c>
    </row>
    <row r="1218" customFormat="false" ht="15" hidden="false" customHeight="false" outlineLevel="0" collapsed="false">
      <c r="A1218" s="25" t="s">
        <v>10356</v>
      </c>
      <c r="B1218" s="25" t="s">
        <v>8392</v>
      </c>
      <c r="C1218" s="25" t="s">
        <v>8393</v>
      </c>
      <c r="D1218" s="25" t="n">
        <v>9</v>
      </c>
      <c r="E1218" s="25" t="s">
        <v>8394</v>
      </c>
      <c r="F1218" s="25" t="s">
        <v>8395</v>
      </c>
      <c r="G1218" s="25" t="s">
        <v>8402</v>
      </c>
      <c r="H1218" s="25" t="s">
        <v>8403</v>
      </c>
      <c r="I1218" s="25" t="s">
        <v>10357</v>
      </c>
      <c r="J1218" s="25" t="s">
        <v>6396</v>
      </c>
      <c r="K1218" s="25" t="n">
        <v>0</v>
      </c>
      <c r="L1218" s="25" t="str">
        <f aca="false">IF(K1218&gt;0,"Yes","No")</f>
        <v>No</v>
      </c>
    </row>
    <row r="1219" customFormat="false" ht="15" hidden="false" customHeight="false" outlineLevel="0" collapsed="false">
      <c r="A1219" s="25" t="s">
        <v>10358</v>
      </c>
      <c r="B1219" s="25" t="s">
        <v>8419</v>
      </c>
      <c r="C1219" s="25" t="s">
        <v>8393</v>
      </c>
      <c r="D1219" s="25" t="n">
        <v>9</v>
      </c>
      <c r="E1219" s="25" t="s">
        <v>8394</v>
      </c>
      <c r="F1219" s="25" t="s">
        <v>8395</v>
      </c>
      <c r="G1219" s="25" t="s">
        <v>8400</v>
      </c>
      <c r="H1219" s="25"/>
      <c r="I1219" s="25" t="s">
        <v>10359</v>
      </c>
      <c r="J1219" s="25" t="s">
        <v>10360</v>
      </c>
      <c r="K1219" s="25" t="n">
        <v>0</v>
      </c>
      <c r="L1219" s="25" t="str">
        <f aca="false">IF(K1219&gt;0,"Yes","No")</f>
        <v>No</v>
      </c>
    </row>
    <row r="1220" customFormat="false" ht="15" hidden="false" customHeight="false" outlineLevel="0" collapsed="false">
      <c r="A1220" s="25" t="s">
        <v>10361</v>
      </c>
      <c r="B1220" s="25" t="s">
        <v>8419</v>
      </c>
      <c r="C1220" s="25" t="s">
        <v>8393</v>
      </c>
      <c r="D1220" s="25" t="n">
        <v>9</v>
      </c>
      <c r="E1220" s="25" t="s">
        <v>8394</v>
      </c>
      <c r="F1220" s="25" t="s">
        <v>8395</v>
      </c>
      <c r="G1220" s="25" t="s">
        <v>8400</v>
      </c>
      <c r="H1220" s="25"/>
      <c r="I1220" s="25" t="s">
        <v>10362</v>
      </c>
      <c r="J1220" s="25" t="s">
        <v>10360</v>
      </c>
      <c r="K1220" s="25" t="n">
        <v>0</v>
      </c>
      <c r="L1220" s="25" t="str">
        <f aca="false">IF(K1220&gt;0,"Yes","No")</f>
        <v>No</v>
      </c>
    </row>
    <row r="1221" customFormat="false" ht="15" hidden="false" customHeight="false" outlineLevel="0" collapsed="false">
      <c r="A1221" s="25" t="s">
        <v>10363</v>
      </c>
      <c r="B1221" s="25" t="s">
        <v>8392</v>
      </c>
      <c r="C1221" s="25" t="s">
        <v>8393</v>
      </c>
      <c r="D1221" s="25" t="n">
        <v>9</v>
      </c>
      <c r="E1221" s="25" t="s">
        <v>8394</v>
      </c>
      <c r="F1221" s="25" t="s">
        <v>8395</v>
      </c>
      <c r="G1221" s="25" t="s">
        <v>8398</v>
      </c>
      <c r="H1221" s="25"/>
      <c r="I1221" s="25" t="s">
        <v>10364</v>
      </c>
      <c r="J1221" s="25" t="s">
        <v>10365</v>
      </c>
      <c r="K1221" s="25" t="n">
        <v>0</v>
      </c>
      <c r="L1221" s="25" t="str">
        <f aca="false">IF(K1221&gt;0,"Yes","No")</f>
        <v>No</v>
      </c>
    </row>
    <row r="1222" customFormat="false" ht="15" hidden="false" customHeight="false" outlineLevel="0" collapsed="false">
      <c r="A1222" s="25" t="s">
        <v>10366</v>
      </c>
      <c r="B1222" s="25" t="s">
        <v>8392</v>
      </c>
      <c r="C1222" s="25" t="s">
        <v>8393</v>
      </c>
      <c r="D1222" s="25" t="n">
        <v>9</v>
      </c>
      <c r="E1222" s="25" t="s">
        <v>8394</v>
      </c>
      <c r="F1222" s="25" t="s">
        <v>8395</v>
      </c>
      <c r="G1222" s="25" t="s">
        <v>8398</v>
      </c>
      <c r="H1222" s="25"/>
      <c r="I1222" s="25" t="s">
        <v>10367</v>
      </c>
      <c r="J1222" s="25" t="s">
        <v>10368</v>
      </c>
      <c r="K1222" s="25" t="n">
        <v>0</v>
      </c>
      <c r="L1222" s="25" t="str">
        <f aca="false">IF(K1222&gt;0,"Yes","No")</f>
        <v>No</v>
      </c>
    </row>
    <row r="1223" customFormat="false" ht="15" hidden="false" customHeight="false" outlineLevel="0" collapsed="false">
      <c r="A1223" s="25" t="s">
        <v>10369</v>
      </c>
      <c r="B1223" s="25" t="s">
        <v>8392</v>
      </c>
      <c r="C1223" s="25" t="s">
        <v>8393</v>
      </c>
      <c r="D1223" s="25" t="n">
        <v>9</v>
      </c>
      <c r="E1223" s="25" t="s">
        <v>8394</v>
      </c>
      <c r="F1223" s="25" t="s">
        <v>8395</v>
      </c>
      <c r="G1223" s="25" t="s">
        <v>8398</v>
      </c>
      <c r="H1223" s="25"/>
      <c r="I1223" s="25" t="s">
        <v>10367</v>
      </c>
      <c r="J1223" s="25" t="s">
        <v>10368</v>
      </c>
      <c r="K1223" s="25" t="n">
        <v>0</v>
      </c>
      <c r="L1223" s="25" t="str">
        <f aca="false">IF(K1223&gt;0,"Yes","No")</f>
        <v>No</v>
      </c>
    </row>
    <row r="1224" customFormat="false" ht="15" hidden="false" customHeight="false" outlineLevel="0" collapsed="false">
      <c r="A1224" s="25" t="s">
        <v>10370</v>
      </c>
      <c r="B1224" s="25" t="s">
        <v>8419</v>
      </c>
      <c r="C1224" s="25" t="s">
        <v>8393</v>
      </c>
      <c r="D1224" s="25" t="n">
        <v>9</v>
      </c>
      <c r="E1224" s="25" t="s">
        <v>8394</v>
      </c>
      <c r="F1224" s="25" t="s">
        <v>8395</v>
      </c>
      <c r="G1224" s="25" t="s">
        <v>8396</v>
      </c>
      <c r="H1224" s="25" t="s">
        <v>9911</v>
      </c>
      <c r="I1224" s="25" t="s">
        <v>10371</v>
      </c>
      <c r="J1224" s="25" t="s">
        <v>1264</v>
      </c>
      <c r="K1224" s="25" t="n">
        <v>0</v>
      </c>
      <c r="L1224" s="25" t="str">
        <f aca="false">IF(K1224&gt;0,"Yes","No")</f>
        <v>No</v>
      </c>
    </row>
    <row r="1225" customFormat="false" ht="15" hidden="false" customHeight="false" outlineLevel="0" collapsed="false">
      <c r="A1225" s="25" t="s">
        <v>10372</v>
      </c>
      <c r="B1225" s="25" t="s">
        <v>8392</v>
      </c>
      <c r="C1225" s="25" t="s">
        <v>8393</v>
      </c>
      <c r="D1225" s="25" t="n">
        <v>9</v>
      </c>
      <c r="E1225" s="25" t="s">
        <v>8394</v>
      </c>
      <c r="F1225" s="25" t="s">
        <v>8395</v>
      </c>
      <c r="G1225" s="25" t="s">
        <v>8396</v>
      </c>
      <c r="H1225" s="25" t="s">
        <v>8399</v>
      </c>
      <c r="I1225" s="25" t="s">
        <v>10373</v>
      </c>
      <c r="J1225" s="25" t="s">
        <v>4018</v>
      </c>
      <c r="K1225" s="25" t="n">
        <v>0</v>
      </c>
      <c r="L1225" s="25" t="str">
        <f aca="false">IF(K1225&gt;0,"Yes","No")</f>
        <v>No</v>
      </c>
    </row>
    <row r="1226" customFormat="false" ht="15" hidden="false" customHeight="false" outlineLevel="0" collapsed="false">
      <c r="A1226" s="25" t="s">
        <v>10374</v>
      </c>
      <c r="B1226" s="25" t="s">
        <v>8392</v>
      </c>
      <c r="C1226" s="25" t="s">
        <v>8393</v>
      </c>
      <c r="D1226" s="25" t="n">
        <v>9</v>
      </c>
      <c r="E1226" s="25" t="s">
        <v>8394</v>
      </c>
      <c r="F1226" s="25" t="s">
        <v>8395</v>
      </c>
      <c r="G1226" s="25" t="s">
        <v>8402</v>
      </c>
      <c r="H1226" s="25" t="s">
        <v>8397</v>
      </c>
      <c r="I1226" s="25" t="s">
        <v>10375</v>
      </c>
      <c r="J1226" s="25" t="s">
        <v>10376</v>
      </c>
      <c r="K1226" s="25" t="n">
        <v>0</v>
      </c>
      <c r="L1226" s="25" t="str">
        <f aca="false">IF(K1226&gt;0,"Yes","No")</f>
        <v>No</v>
      </c>
    </row>
    <row r="1227" customFormat="false" ht="15" hidden="false" customHeight="false" outlineLevel="0" collapsed="false">
      <c r="A1227" s="25" t="s">
        <v>10377</v>
      </c>
      <c r="B1227" s="25" t="s">
        <v>8392</v>
      </c>
      <c r="C1227" s="25" t="s">
        <v>8393</v>
      </c>
      <c r="D1227" s="25" t="n">
        <v>9</v>
      </c>
      <c r="E1227" s="25" t="s">
        <v>8394</v>
      </c>
      <c r="F1227" s="25" t="s">
        <v>8395</v>
      </c>
      <c r="G1227" s="25" t="s">
        <v>8398</v>
      </c>
      <c r="H1227" s="25"/>
      <c r="I1227" s="25" t="s">
        <v>10378</v>
      </c>
      <c r="J1227" s="25" t="s">
        <v>10379</v>
      </c>
      <c r="K1227" s="25" t="n">
        <v>0</v>
      </c>
      <c r="L1227" s="25" t="str">
        <f aca="false">IF(K1227&gt;0,"Yes","No")</f>
        <v>No</v>
      </c>
    </row>
    <row r="1228" customFormat="false" ht="15" hidden="false" customHeight="false" outlineLevel="0" collapsed="false">
      <c r="A1228" s="25" t="s">
        <v>10380</v>
      </c>
      <c r="B1228" s="25" t="s">
        <v>8392</v>
      </c>
      <c r="C1228" s="25" t="s">
        <v>8393</v>
      </c>
      <c r="D1228" s="25" t="n">
        <v>9</v>
      </c>
      <c r="E1228" s="25" t="s">
        <v>8394</v>
      </c>
      <c r="F1228" s="25" t="s">
        <v>8395</v>
      </c>
      <c r="G1228" s="25" t="s">
        <v>8402</v>
      </c>
      <c r="H1228" s="25" t="s">
        <v>8406</v>
      </c>
      <c r="I1228" s="25" t="s">
        <v>10381</v>
      </c>
      <c r="J1228" s="25" t="s">
        <v>1827</v>
      </c>
      <c r="K1228" s="25" t="n">
        <v>0</v>
      </c>
      <c r="L1228" s="25" t="str">
        <f aca="false">IF(K1228&gt;0,"Yes","No")</f>
        <v>No</v>
      </c>
    </row>
    <row r="1229" customFormat="false" ht="15" hidden="false" customHeight="false" outlineLevel="0" collapsed="false">
      <c r="A1229" s="25" t="s">
        <v>10382</v>
      </c>
      <c r="B1229" s="25" t="s">
        <v>8392</v>
      </c>
      <c r="C1229" s="25" t="s">
        <v>8393</v>
      </c>
      <c r="D1229" s="25" t="n">
        <v>9</v>
      </c>
      <c r="E1229" s="25" t="s">
        <v>8394</v>
      </c>
      <c r="F1229" s="25" t="s">
        <v>8395</v>
      </c>
      <c r="G1229" s="25" t="s">
        <v>8398</v>
      </c>
      <c r="H1229" s="25"/>
      <c r="I1229" s="25" t="s">
        <v>10383</v>
      </c>
      <c r="J1229" s="25" t="s">
        <v>1827</v>
      </c>
      <c r="K1229" s="25" t="n">
        <v>0</v>
      </c>
      <c r="L1229" s="25" t="str">
        <f aca="false">IF(K1229&gt;0,"Yes","No")</f>
        <v>No</v>
      </c>
    </row>
    <row r="1230" customFormat="false" ht="15" hidden="false" customHeight="false" outlineLevel="0" collapsed="false">
      <c r="A1230" s="25" t="s">
        <v>10384</v>
      </c>
      <c r="B1230" s="25" t="s">
        <v>8392</v>
      </c>
      <c r="C1230" s="25" t="s">
        <v>8393</v>
      </c>
      <c r="D1230" s="25" t="n">
        <v>9</v>
      </c>
      <c r="E1230" s="25" t="s">
        <v>8394</v>
      </c>
      <c r="F1230" s="25" t="s">
        <v>8395</v>
      </c>
      <c r="G1230" s="25" t="s">
        <v>8396</v>
      </c>
      <c r="H1230" s="25" t="s">
        <v>8406</v>
      </c>
      <c r="I1230" s="25" t="s">
        <v>10385</v>
      </c>
      <c r="J1230" s="25" t="s">
        <v>1827</v>
      </c>
      <c r="K1230" s="25" t="n">
        <v>0</v>
      </c>
      <c r="L1230" s="25" t="str">
        <f aca="false">IF(K1230&gt;0,"Yes","No")</f>
        <v>No</v>
      </c>
    </row>
    <row r="1231" customFormat="false" ht="15" hidden="false" customHeight="false" outlineLevel="0" collapsed="false">
      <c r="A1231" s="25" t="s">
        <v>10386</v>
      </c>
      <c r="B1231" s="25" t="s">
        <v>8392</v>
      </c>
      <c r="C1231" s="25" t="s">
        <v>8393</v>
      </c>
      <c r="D1231" s="25" t="n">
        <v>9</v>
      </c>
      <c r="E1231" s="25" t="s">
        <v>8394</v>
      </c>
      <c r="F1231" s="25" t="s">
        <v>8395</v>
      </c>
      <c r="G1231" s="25" t="s">
        <v>8396</v>
      </c>
      <c r="H1231" s="25" t="s">
        <v>8406</v>
      </c>
      <c r="I1231" s="25" t="s">
        <v>10387</v>
      </c>
      <c r="J1231" s="25" t="s">
        <v>1827</v>
      </c>
      <c r="K1231" s="25" t="n">
        <v>0</v>
      </c>
      <c r="L1231" s="25" t="str">
        <f aca="false">IF(K1231&gt;0,"Yes","No")</f>
        <v>No</v>
      </c>
    </row>
    <row r="1232" customFormat="false" ht="15" hidden="false" customHeight="false" outlineLevel="0" collapsed="false">
      <c r="A1232" s="25" t="s">
        <v>10388</v>
      </c>
      <c r="B1232" s="25" t="s">
        <v>8392</v>
      </c>
      <c r="C1232" s="25" t="s">
        <v>8393</v>
      </c>
      <c r="D1232" s="25" t="n">
        <v>9</v>
      </c>
      <c r="E1232" s="25" t="s">
        <v>8394</v>
      </c>
      <c r="F1232" s="25" t="s">
        <v>8395</v>
      </c>
      <c r="G1232" s="25" t="s">
        <v>8398</v>
      </c>
      <c r="H1232" s="25"/>
      <c r="I1232" s="25" t="s">
        <v>10383</v>
      </c>
      <c r="J1232" s="25" t="s">
        <v>10389</v>
      </c>
      <c r="K1232" s="25" t="n">
        <v>0</v>
      </c>
      <c r="L1232" s="25" t="str">
        <f aca="false">IF(K1232&gt;0,"Yes","No")</f>
        <v>No</v>
      </c>
    </row>
    <row r="1233" customFormat="false" ht="15" hidden="false" customHeight="false" outlineLevel="0" collapsed="false">
      <c r="A1233" s="25" t="s">
        <v>10390</v>
      </c>
      <c r="B1233" s="25" t="s">
        <v>8392</v>
      </c>
      <c r="C1233" s="25" t="s">
        <v>8393</v>
      </c>
      <c r="D1233" s="25" t="n">
        <v>9</v>
      </c>
      <c r="E1233" s="25" t="s">
        <v>8394</v>
      </c>
      <c r="F1233" s="25" t="s">
        <v>8395</v>
      </c>
      <c r="G1233" s="25" t="s">
        <v>8398</v>
      </c>
      <c r="H1233" s="25"/>
      <c r="I1233" s="25" t="s">
        <v>10391</v>
      </c>
      <c r="J1233" s="25" t="s">
        <v>10392</v>
      </c>
      <c r="K1233" s="25" t="n">
        <v>0</v>
      </c>
      <c r="L1233" s="25" t="str">
        <f aca="false">IF(K1233&gt;0,"Yes","No")</f>
        <v>No</v>
      </c>
    </row>
    <row r="1234" customFormat="false" ht="15" hidden="false" customHeight="false" outlineLevel="0" collapsed="false">
      <c r="A1234" s="25" t="s">
        <v>10393</v>
      </c>
      <c r="B1234" s="25" t="s">
        <v>8392</v>
      </c>
      <c r="C1234" s="25" t="s">
        <v>8393</v>
      </c>
      <c r="D1234" s="25" t="n">
        <v>9</v>
      </c>
      <c r="E1234" s="25" t="s">
        <v>8394</v>
      </c>
      <c r="F1234" s="25" t="s">
        <v>8395</v>
      </c>
      <c r="G1234" s="25" t="s">
        <v>8398</v>
      </c>
      <c r="H1234" s="25"/>
      <c r="I1234" s="25" t="s">
        <v>10394</v>
      </c>
      <c r="J1234" s="25" t="s">
        <v>10395</v>
      </c>
      <c r="K1234" s="25" t="n">
        <v>0</v>
      </c>
      <c r="L1234" s="25" t="str">
        <f aca="false">IF(K1234&gt;0,"Yes","No")</f>
        <v>No</v>
      </c>
    </row>
    <row r="1235" customFormat="false" ht="15" hidden="false" customHeight="false" outlineLevel="0" collapsed="false">
      <c r="A1235" s="25" t="s">
        <v>10396</v>
      </c>
      <c r="B1235" s="25" t="s">
        <v>8392</v>
      </c>
      <c r="C1235" s="25" t="s">
        <v>8393</v>
      </c>
      <c r="D1235" s="25" t="n">
        <v>9</v>
      </c>
      <c r="E1235" s="25" t="s">
        <v>8394</v>
      </c>
      <c r="F1235" s="25" t="s">
        <v>8395</v>
      </c>
      <c r="G1235" s="25" t="s">
        <v>8398</v>
      </c>
      <c r="H1235" s="25"/>
      <c r="I1235" s="25" t="s">
        <v>10394</v>
      </c>
      <c r="J1235" s="25" t="s">
        <v>10397</v>
      </c>
      <c r="K1235" s="25" t="n">
        <v>0</v>
      </c>
      <c r="L1235" s="25" t="str">
        <f aca="false">IF(K1235&gt;0,"Yes","No")</f>
        <v>No</v>
      </c>
    </row>
    <row r="1236" customFormat="false" ht="15" hidden="false" customHeight="false" outlineLevel="0" collapsed="false">
      <c r="A1236" s="25" t="s">
        <v>10398</v>
      </c>
      <c r="B1236" s="25" t="s">
        <v>8392</v>
      </c>
      <c r="C1236" s="25" t="s">
        <v>8393</v>
      </c>
      <c r="D1236" s="25" t="n">
        <v>9</v>
      </c>
      <c r="E1236" s="25" t="s">
        <v>8394</v>
      </c>
      <c r="F1236" s="25" t="s">
        <v>8395</v>
      </c>
      <c r="G1236" s="25" t="s">
        <v>8398</v>
      </c>
      <c r="H1236" s="25"/>
      <c r="I1236" s="25" t="s">
        <v>10394</v>
      </c>
      <c r="J1236" s="25" t="s">
        <v>10399</v>
      </c>
      <c r="K1236" s="25" t="n">
        <v>0</v>
      </c>
      <c r="L1236" s="25" t="str">
        <f aca="false">IF(K1236&gt;0,"Yes","No")</f>
        <v>No</v>
      </c>
    </row>
    <row r="1237" customFormat="false" ht="15" hidden="false" customHeight="false" outlineLevel="0" collapsed="false">
      <c r="A1237" s="25" t="s">
        <v>10400</v>
      </c>
      <c r="B1237" s="25" t="s">
        <v>8392</v>
      </c>
      <c r="C1237" s="25" t="s">
        <v>8393</v>
      </c>
      <c r="D1237" s="25" t="n">
        <v>9</v>
      </c>
      <c r="E1237" s="25" t="s">
        <v>8394</v>
      </c>
      <c r="F1237" s="25" t="s">
        <v>8395</v>
      </c>
      <c r="G1237" s="25" t="s">
        <v>8398</v>
      </c>
      <c r="H1237" s="25"/>
      <c r="I1237" s="25" t="s">
        <v>10044</v>
      </c>
      <c r="J1237" s="25" t="s">
        <v>10401</v>
      </c>
      <c r="K1237" s="25" t="n">
        <v>0</v>
      </c>
      <c r="L1237" s="25" t="str">
        <f aca="false">IF(K1237&gt;0,"Yes","No")</f>
        <v>No</v>
      </c>
    </row>
    <row r="1238" customFormat="false" ht="15" hidden="false" customHeight="false" outlineLevel="0" collapsed="false">
      <c r="A1238" s="25" t="s">
        <v>10402</v>
      </c>
      <c r="B1238" s="25" t="s">
        <v>8392</v>
      </c>
      <c r="C1238" s="25" t="s">
        <v>8393</v>
      </c>
      <c r="D1238" s="25" t="n">
        <v>9</v>
      </c>
      <c r="E1238" s="25" t="s">
        <v>8394</v>
      </c>
      <c r="F1238" s="25" t="s">
        <v>8395</v>
      </c>
      <c r="G1238" s="25" t="s">
        <v>8398</v>
      </c>
      <c r="H1238" s="25"/>
      <c r="I1238" s="25" t="s">
        <v>10044</v>
      </c>
      <c r="J1238" s="25" t="s">
        <v>10401</v>
      </c>
      <c r="K1238" s="25" t="n">
        <v>0</v>
      </c>
      <c r="L1238" s="25" t="str">
        <f aca="false">IF(K1238&gt;0,"Yes","No")</f>
        <v>No</v>
      </c>
    </row>
    <row r="1239" customFormat="false" ht="15" hidden="false" customHeight="false" outlineLevel="0" collapsed="false">
      <c r="A1239" s="25" t="s">
        <v>10403</v>
      </c>
      <c r="B1239" s="25" t="s">
        <v>8392</v>
      </c>
      <c r="C1239" s="25" t="s">
        <v>8393</v>
      </c>
      <c r="D1239" s="25" t="n">
        <v>9</v>
      </c>
      <c r="E1239" s="25" t="s">
        <v>8394</v>
      </c>
      <c r="F1239" s="25" t="s">
        <v>8395</v>
      </c>
      <c r="G1239" s="25" t="s">
        <v>8398</v>
      </c>
      <c r="H1239" s="25"/>
      <c r="I1239" s="25" t="s">
        <v>10044</v>
      </c>
      <c r="J1239" s="25" t="s">
        <v>10404</v>
      </c>
      <c r="K1239" s="25" t="n">
        <v>0</v>
      </c>
      <c r="L1239" s="25" t="str">
        <f aca="false">IF(K1239&gt;0,"Yes","No")</f>
        <v>No</v>
      </c>
    </row>
    <row r="1240" customFormat="false" ht="15" hidden="false" customHeight="false" outlineLevel="0" collapsed="false">
      <c r="A1240" s="25" t="s">
        <v>10405</v>
      </c>
      <c r="B1240" s="25" t="s">
        <v>8392</v>
      </c>
      <c r="C1240" s="25" t="s">
        <v>8393</v>
      </c>
      <c r="D1240" s="25" t="n">
        <v>9</v>
      </c>
      <c r="E1240" s="25" t="s">
        <v>8394</v>
      </c>
      <c r="F1240" s="25" t="s">
        <v>8395</v>
      </c>
      <c r="G1240" s="25" t="s">
        <v>8398</v>
      </c>
      <c r="H1240" s="25"/>
      <c r="I1240" s="25" t="s">
        <v>10044</v>
      </c>
      <c r="J1240" s="25" t="s">
        <v>10404</v>
      </c>
      <c r="K1240" s="25" t="n">
        <v>0</v>
      </c>
      <c r="L1240" s="25" t="str">
        <f aca="false">IF(K1240&gt;0,"Yes","No")</f>
        <v>No</v>
      </c>
    </row>
    <row r="1241" customFormat="false" ht="15" hidden="false" customHeight="false" outlineLevel="0" collapsed="false">
      <c r="A1241" s="25" t="s">
        <v>10406</v>
      </c>
      <c r="B1241" s="25" t="s">
        <v>8392</v>
      </c>
      <c r="C1241" s="25" t="s">
        <v>8393</v>
      </c>
      <c r="D1241" s="25" t="n">
        <v>9</v>
      </c>
      <c r="E1241" s="25" t="s">
        <v>8394</v>
      </c>
      <c r="F1241" s="25" t="s">
        <v>8395</v>
      </c>
      <c r="G1241" s="25" t="s">
        <v>8398</v>
      </c>
      <c r="H1241" s="25"/>
      <c r="I1241" s="25" t="s">
        <v>10044</v>
      </c>
      <c r="J1241" s="25" t="s">
        <v>10407</v>
      </c>
      <c r="K1241" s="25" t="n">
        <v>0</v>
      </c>
      <c r="L1241" s="25" t="str">
        <f aca="false">IF(K1241&gt;0,"Yes","No")</f>
        <v>No</v>
      </c>
    </row>
    <row r="1242" customFormat="false" ht="15" hidden="false" customHeight="false" outlineLevel="0" collapsed="false">
      <c r="A1242" s="25" t="s">
        <v>10408</v>
      </c>
      <c r="B1242" s="25" t="s">
        <v>8392</v>
      </c>
      <c r="C1242" s="25" t="s">
        <v>8393</v>
      </c>
      <c r="D1242" s="25" t="n">
        <v>9</v>
      </c>
      <c r="E1242" s="25" t="s">
        <v>8394</v>
      </c>
      <c r="F1242" s="25" t="s">
        <v>8395</v>
      </c>
      <c r="G1242" s="25" t="s">
        <v>8398</v>
      </c>
      <c r="H1242" s="25"/>
      <c r="I1242" s="25" t="s">
        <v>10044</v>
      </c>
      <c r="J1242" s="25" t="s">
        <v>10409</v>
      </c>
      <c r="K1242" s="25" t="n">
        <v>0</v>
      </c>
      <c r="L1242" s="25" t="str">
        <f aca="false">IF(K1242&gt;0,"Yes","No")</f>
        <v>No</v>
      </c>
    </row>
    <row r="1243" customFormat="false" ht="15" hidden="false" customHeight="false" outlineLevel="0" collapsed="false">
      <c r="A1243" s="25" t="s">
        <v>10410</v>
      </c>
      <c r="B1243" s="25" t="s">
        <v>8392</v>
      </c>
      <c r="C1243" s="25" t="s">
        <v>8393</v>
      </c>
      <c r="D1243" s="25" t="n">
        <v>9</v>
      </c>
      <c r="E1243" s="25" t="s">
        <v>8394</v>
      </c>
      <c r="F1243" s="25" t="s">
        <v>8395</v>
      </c>
      <c r="G1243" s="25" t="s">
        <v>8398</v>
      </c>
      <c r="H1243" s="25"/>
      <c r="I1243" s="25" t="s">
        <v>10044</v>
      </c>
      <c r="J1243" s="25" t="s">
        <v>10407</v>
      </c>
      <c r="K1243" s="25" t="n">
        <v>0</v>
      </c>
      <c r="L1243" s="25" t="str">
        <f aca="false">IF(K1243&gt;0,"Yes","No")</f>
        <v>No</v>
      </c>
    </row>
    <row r="1244" customFormat="false" ht="15" hidden="false" customHeight="false" outlineLevel="0" collapsed="false">
      <c r="A1244" s="25" t="s">
        <v>10411</v>
      </c>
      <c r="B1244" s="25" t="s">
        <v>8392</v>
      </c>
      <c r="C1244" s="25" t="s">
        <v>8393</v>
      </c>
      <c r="D1244" s="25" t="n">
        <v>9</v>
      </c>
      <c r="E1244" s="25" t="s">
        <v>8394</v>
      </c>
      <c r="F1244" s="25" t="s">
        <v>8395</v>
      </c>
      <c r="G1244" s="25" t="s">
        <v>8398</v>
      </c>
      <c r="H1244" s="25"/>
      <c r="I1244" s="25" t="s">
        <v>10412</v>
      </c>
      <c r="J1244" s="25" t="s">
        <v>10413</v>
      </c>
      <c r="K1244" s="25" t="n">
        <v>0</v>
      </c>
      <c r="L1244" s="25" t="str">
        <f aca="false">IF(K1244&gt;0,"Yes","No")</f>
        <v>No</v>
      </c>
    </row>
    <row r="1245" customFormat="false" ht="15" hidden="false" customHeight="false" outlineLevel="0" collapsed="false">
      <c r="A1245" s="25" t="s">
        <v>10414</v>
      </c>
      <c r="B1245" s="25" t="s">
        <v>8392</v>
      </c>
      <c r="C1245" s="25" t="s">
        <v>8393</v>
      </c>
      <c r="D1245" s="25" t="n">
        <v>9</v>
      </c>
      <c r="E1245" s="25" t="s">
        <v>8394</v>
      </c>
      <c r="F1245" s="25" t="s">
        <v>8395</v>
      </c>
      <c r="G1245" s="25" t="s">
        <v>8398</v>
      </c>
      <c r="H1245" s="25"/>
      <c r="I1245" s="25" t="s">
        <v>10415</v>
      </c>
      <c r="J1245" s="25" t="s">
        <v>10416</v>
      </c>
      <c r="K1245" s="25" t="n">
        <v>0</v>
      </c>
      <c r="L1245" s="25" t="str">
        <f aca="false">IF(K1245&gt;0,"Yes","No")</f>
        <v>No</v>
      </c>
    </row>
    <row r="1246" customFormat="false" ht="15" hidden="false" customHeight="false" outlineLevel="0" collapsed="false">
      <c r="A1246" s="25" t="s">
        <v>10417</v>
      </c>
      <c r="B1246" s="25" t="s">
        <v>8392</v>
      </c>
      <c r="C1246" s="25" t="s">
        <v>8393</v>
      </c>
      <c r="D1246" s="25" t="n">
        <v>9</v>
      </c>
      <c r="E1246" s="25" t="s">
        <v>8394</v>
      </c>
      <c r="F1246" s="25" t="s">
        <v>8395</v>
      </c>
      <c r="G1246" s="25" t="s">
        <v>8398</v>
      </c>
      <c r="H1246" s="25"/>
      <c r="I1246" s="25" t="s">
        <v>10415</v>
      </c>
      <c r="J1246" s="25" t="s">
        <v>10416</v>
      </c>
      <c r="K1246" s="25" t="n">
        <v>0</v>
      </c>
      <c r="L1246" s="25" t="str">
        <f aca="false">IF(K1246&gt;0,"Yes","No")</f>
        <v>No</v>
      </c>
    </row>
    <row r="1247" customFormat="false" ht="15" hidden="false" customHeight="false" outlineLevel="0" collapsed="false">
      <c r="A1247" s="25" t="s">
        <v>10418</v>
      </c>
      <c r="B1247" s="25" t="s">
        <v>8419</v>
      </c>
      <c r="C1247" s="25" t="s">
        <v>8393</v>
      </c>
      <c r="D1247" s="25" t="n">
        <v>9</v>
      </c>
      <c r="E1247" s="25" t="s">
        <v>8394</v>
      </c>
      <c r="F1247" s="25" t="s">
        <v>8395</v>
      </c>
      <c r="G1247" s="25" t="s">
        <v>8396</v>
      </c>
      <c r="H1247" s="25" t="s">
        <v>8403</v>
      </c>
      <c r="I1247" s="25" t="s">
        <v>10419</v>
      </c>
      <c r="J1247" s="25" t="s">
        <v>2957</v>
      </c>
      <c r="K1247" s="25" t="n">
        <v>0</v>
      </c>
      <c r="L1247" s="25" t="str">
        <f aca="false">IF(K1247&gt;0,"Yes","No")</f>
        <v>No</v>
      </c>
    </row>
    <row r="1248" customFormat="false" ht="15" hidden="false" customHeight="false" outlineLevel="0" collapsed="false">
      <c r="A1248" s="25" t="s">
        <v>10420</v>
      </c>
      <c r="B1248" s="25" t="s">
        <v>8419</v>
      </c>
      <c r="C1248" s="25" t="s">
        <v>8393</v>
      </c>
      <c r="D1248" s="25" t="n">
        <v>9</v>
      </c>
      <c r="E1248" s="25" t="s">
        <v>8394</v>
      </c>
      <c r="F1248" s="25" t="s">
        <v>8395</v>
      </c>
      <c r="G1248" s="25" t="s">
        <v>8396</v>
      </c>
      <c r="H1248" s="25" t="s">
        <v>8403</v>
      </c>
      <c r="I1248" s="25" t="s">
        <v>10421</v>
      </c>
      <c r="J1248" s="25" t="s">
        <v>2957</v>
      </c>
      <c r="K1248" s="25" t="n">
        <v>0</v>
      </c>
      <c r="L1248" s="25" t="str">
        <f aca="false">IF(K1248&gt;0,"Yes","No")</f>
        <v>No</v>
      </c>
    </row>
    <row r="1249" customFormat="false" ht="15" hidden="false" customHeight="false" outlineLevel="0" collapsed="false">
      <c r="A1249" s="25" t="s">
        <v>10422</v>
      </c>
      <c r="B1249" s="25" t="s">
        <v>8392</v>
      </c>
      <c r="C1249" s="25" t="s">
        <v>8393</v>
      </c>
      <c r="D1249" s="25" t="n">
        <v>9</v>
      </c>
      <c r="E1249" s="25" t="s">
        <v>8394</v>
      </c>
      <c r="F1249" s="25" t="s">
        <v>8395</v>
      </c>
      <c r="G1249" s="25" t="s">
        <v>8402</v>
      </c>
      <c r="H1249" s="25" t="s">
        <v>8397</v>
      </c>
      <c r="I1249" s="25" t="s">
        <v>10423</v>
      </c>
      <c r="J1249" s="25" t="s">
        <v>2627</v>
      </c>
      <c r="K1249" s="25" t="n">
        <v>0</v>
      </c>
      <c r="L1249" s="25" t="str">
        <f aca="false">IF(K1249&gt;0,"Yes","No")</f>
        <v>No</v>
      </c>
    </row>
    <row r="1250" customFormat="false" ht="15" hidden="false" customHeight="false" outlineLevel="0" collapsed="false">
      <c r="A1250" s="25" t="s">
        <v>10424</v>
      </c>
      <c r="B1250" s="25" t="s">
        <v>8419</v>
      </c>
      <c r="C1250" s="25" t="s">
        <v>8393</v>
      </c>
      <c r="D1250" s="25" t="n">
        <v>9</v>
      </c>
      <c r="E1250" s="25" t="s">
        <v>8394</v>
      </c>
      <c r="F1250" s="25" t="s">
        <v>8395</v>
      </c>
      <c r="G1250" s="25" t="s">
        <v>8396</v>
      </c>
      <c r="H1250" s="25" t="s">
        <v>8403</v>
      </c>
      <c r="I1250" s="25" t="s">
        <v>10425</v>
      </c>
      <c r="J1250" s="25" t="s">
        <v>2627</v>
      </c>
      <c r="K1250" s="25" t="n">
        <v>0</v>
      </c>
      <c r="L1250" s="25" t="str">
        <f aca="false">IF(K1250&gt;0,"Yes","No")</f>
        <v>No</v>
      </c>
    </row>
    <row r="1251" customFormat="false" ht="15" hidden="false" customHeight="false" outlineLevel="0" collapsed="false">
      <c r="A1251" s="25" t="s">
        <v>10426</v>
      </c>
      <c r="B1251" s="25" t="s">
        <v>8419</v>
      </c>
      <c r="C1251" s="25" t="s">
        <v>8393</v>
      </c>
      <c r="D1251" s="25" t="n">
        <v>9</v>
      </c>
      <c r="E1251" s="25" t="s">
        <v>8394</v>
      </c>
      <c r="F1251" s="25" t="s">
        <v>8395</v>
      </c>
      <c r="G1251" s="25" t="s">
        <v>8396</v>
      </c>
      <c r="H1251" s="25" t="s">
        <v>8403</v>
      </c>
      <c r="I1251" s="25" t="s">
        <v>10427</v>
      </c>
      <c r="J1251" s="25" t="s">
        <v>2627</v>
      </c>
      <c r="K1251" s="25" t="n">
        <v>0</v>
      </c>
      <c r="L1251" s="25" t="str">
        <f aca="false">IF(K1251&gt;0,"Yes","No")</f>
        <v>No</v>
      </c>
    </row>
    <row r="1252" customFormat="false" ht="15" hidden="false" customHeight="false" outlineLevel="0" collapsed="false">
      <c r="A1252" s="25" t="s">
        <v>10428</v>
      </c>
      <c r="B1252" s="25" t="s">
        <v>8419</v>
      </c>
      <c r="C1252" s="25" t="s">
        <v>8393</v>
      </c>
      <c r="D1252" s="25" t="n">
        <v>9</v>
      </c>
      <c r="E1252" s="25" t="s">
        <v>8394</v>
      </c>
      <c r="F1252" s="25" t="s">
        <v>8395</v>
      </c>
      <c r="G1252" s="25" t="s">
        <v>8396</v>
      </c>
      <c r="H1252" s="25" t="s">
        <v>8403</v>
      </c>
      <c r="I1252" s="25" t="s">
        <v>10429</v>
      </c>
      <c r="J1252" s="25" t="s">
        <v>2627</v>
      </c>
      <c r="K1252" s="25" t="n">
        <v>0</v>
      </c>
      <c r="L1252" s="25" t="str">
        <f aca="false">IF(K1252&gt;0,"Yes","No")</f>
        <v>No</v>
      </c>
    </row>
    <row r="1253" customFormat="false" ht="15" hidden="false" customHeight="false" outlineLevel="0" collapsed="false">
      <c r="A1253" s="25" t="s">
        <v>10430</v>
      </c>
      <c r="B1253" s="25" t="s">
        <v>8392</v>
      </c>
      <c r="C1253" s="25" t="s">
        <v>8393</v>
      </c>
      <c r="D1253" s="25" t="n">
        <v>9</v>
      </c>
      <c r="E1253" s="25" t="s">
        <v>8394</v>
      </c>
      <c r="F1253" s="25" t="s">
        <v>8395</v>
      </c>
      <c r="G1253" s="25" t="s">
        <v>8398</v>
      </c>
      <c r="H1253" s="25"/>
      <c r="I1253" s="25" t="s">
        <v>10431</v>
      </c>
      <c r="J1253" s="25" t="s">
        <v>10432</v>
      </c>
      <c r="K1253" s="25" t="n">
        <v>0</v>
      </c>
      <c r="L1253" s="25" t="str">
        <f aca="false">IF(K1253&gt;0,"Yes","No")</f>
        <v>No</v>
      </c>
    </row>
    <row r="1254" customFormat="false" ht="15" hidden="false" customHeight="false" outlineLevel="0" collapsed="false">
      <c r="A1254" s="25" t="s">
        <v>10433</v>
      </c>
      <c r="B1254" s="25" t="s">
        <v>8392</v>
      </c>
      <c r="C1254" s="25" t="s">
        <v>8393</v>
      </c>
      <c r="D1254" s="25" t="n">
        <v>9</v>
      </c>
      <c r="E1254" s="25" t="s">
        <v>8394</v>
      </c>
      <c r="F1254" s="25" t="s">
        <v>8395</v>
      </c>
      <c r="G1254" s="25" t="s">
        <v>8396</v>
      </c>
      <c r="H1254" s="25" t="s">
        <v>8399</v>
      </c>
      <c r="I1254" s="25" t="s">
        <v>10434</v>
      </c>
      <c r="J1254" s="25" t="s">
        <v>10435</v>
      </c>
      <c r="K1254" s="25" t="n">
        <v>0</v>
      </c>
      <c r="L1254" s="25" t="str">
        <f aca="false">IF(K1254&gt;0,"Yes","No")</f>
        <v>No</v>
      </c>
    </row>
    <row r="1255" customFormat="false" ht="15" hidden="false" customHeight="false" outlineLevel="0" collapsed="false">
      <c r="A1255" s="25" t="s">
        <v>10436</v>
      </c>
      <c r="B1255" s="25" t="s">
        <v>8392</v>
      </c>
      <c r="C1255" s="25" t="s">
        <v>8393</v>
      </c>
      <c r="D1255" s="25" t="n">
        <v>9</v>
      </c>
      <c r="E1255" s="25" t="s">
        <v>8394</v>
      </c>
      <c r="F1255" s="25" t="s">
        <v>8395</v>
      </c>
      <c r="G1255" s="25" t="s">
        <v>8402</v>
      </c>
      <c r="H1255" s="25" t="s">
        <v>8397</v>
      </c>
      <c r="I1255" s="25" t="s">
        <v>10437</v>
      </c>
      <c r="J1255" s="25" t="s">
        <v>763</v>
      </c>
      <c r="K1255" s="25" t="n">
        <v>0</v>
      </c>
      <c r="L1255" s="25" t="str">
        <f aca="false">IF(K1255&gt;0,"Yes","No")</f>
        <v>No</v>
      </c>
    </row>
    <row r="1256" customFormat="false" ht="15" hidden="false" customHeight="false" outlineLevel="0" collapsed="false">
      <c r="A1256" s="25" t="s">
        <v>10438</v>
      </c>
      <c r="B1256" s="25" t="s">
        <v>8392</v>
      </c>
      <c r="C1256" s="25" t="s">
        <v>8393</v>
      </c>
      <c r="D1256" s="25" t="n">
        <v>9</v>
      </c>
      <c r="E1256" s="25" t="s">
        <v>8394</v>
      </c>
      <c r="F1256" s="25" t="s">
        <v>8395</v>
      </c>
      <c r="G1256" s="25" t="s">
        <v>8402</v>
      </c>
      <c r="H1256" s="25" t="s">
        <v>8397</v>
      </c>
      <c r="I1256" s="25" t="s">
        <v>10439</v>
      </c>
      <c r="J1256" s="25" t="s">
        <v>763</v>
      </c>
      <c r="K1256" s="25" t="n">
        <v>0</v>
      </c>
      <c r="L1256" s="25" t="str">
        <f aca="false">IF(K1256&gt;0,"Yes","No")</f>
        <v>No</v>
      </c>
    </row>
    <row r="1257" customFormat="false" ht="15" hidden="false" customHeight="false" outlineLevel="0" collapsed="false">
      <c r="A1257" s="25" t="s">
        <v>10440</v>
      </c>
      <c r="B1257" s="25" t="s">
        <v>8419</v>
      </c>
      <c r="C1257" s="25" t="s">
        <v>8393</v>
      </c>
      <c r="D1257" s="25" t="n">
        <v>9</v>
      </c>
      <c r="E1257" s="25" t="s">
        <v>8394</v>
      </c>
      <c r="F1257" s="25" t="s">
        <v>8395</v>
      </c>
      <c r="G1257" s="25" t="s">
        <v>8396</v>
      </c>
      <c r="H1257" s="25" t="s">
        <v>8403</v>
      </c>
      <c r="I1257" s="25" t="s">
        <v>10441</v>
      </c>
      <c r="J1257" s="25" t="s">
        <v>763</v>
      </c>
      <c r="K1257" s="25" t="n">
        <v>0</v>
      </c>
      <c r="L1257" s="25" t="str">
        <f aca="false">IF(K1257&gt;0,"Yes","No")</f>
        <v>No</v>
      </c>
    </row>
    <row r="1258" customFormat="false" ht="15" hidden="false" customHeight="false" outlineLevel="0" collapsed="false">
      <c r="A1258" s="25" t="s">
        <v>10442</v>
      </c>
      <c r="B1258" s="25" t="s">
        <v>8419</v>
      </c>
      <c r="C1258" s="25" t="s">
        <v>8393</v>
      </c>
      <c r="D1258" s="25" t="n">
        <v>9</v>
      </c>
      <c r="E1258" s="25" t="s">
        <v>8394</v>
      </c>
      <c r="F1258" s="25" t="s">
        <v>8395</v>
      </c>
      <c r="G1258" s="25" t="s">
        <v>8396</v>
      </c>
      <c r="H1258" s="25" t="s">
        <v>8403</v>
      </c>
      <c r="I1258" s="25" t="s">
        <v>10443</v>
      </c>
      <c r="J1258" s="25" t="s">
        <v>763</v>
      </c>
      <c r="K1258" s="25" t="n">
        <v>0</v>
      </c>
      <c r="L1258" s="25" t="str">
        <f aca="false">IF(K1258&gt;0,"Yes","No")</f>
        <v>No</v>
      </c>
    </row>
    <row r="1259" customFormat="false" ht="15" hidden="false" customHeight="false" outlineLevel="0" collapsed="false">
      <c r="A1259" s="25" t="s">
        <v>10444</v>
      </c>
      <c r="B1259" s="25" t="s">
        <v>8419</v>
      </c>
      <c r="C1259" s="25" t="s">
        <v>8393</v>
      </c>
      <c r="D1259" s="25" t="n">
        <v>9</v>
      </c>
      <c r="E1259" s="25" t="s">
        <v>8394</v>
      </c>
      <c r="F1259" s="25" t="s">
        <v>8395</v>
      </c>
      <c r="G1259" s="25" t="s">
        <v>8396</v>
      </c>
      <c r="H1259" s="25" t="s">
        <v>8397</v>
      </c>
      <c r="I1259" s="25" t="s">
        <v>10445</v>
      </c>
      <c r="J1259" s="25" t="s">
        <v>763</v>
      </c>
      <c r="K1259" s="25" t="n">
        <v>0</v>
      </c>
      <c r="L1259" s="25" t="str">
        <f aca="false">IF(K1259&gt;0,"Yes","No")</f>
        <v>No</v>
      </c>
    </row>
    <row r="1260" customFormat="false" ht="15" hidden="false" customHeight="false" outlineLevel="0" collapsed="false">
      <c r="A1260" s="25" t="s">
        <v>10446</v>
      </c>
      <c r="B1260" s="25" t="s">
        <v>8419</v>
      </c>
      <c r="C1260" s="25" t="s">
        <v>8393</v>
      </c>
      <c r="D1260" s="25" t="n">
        <v>9</v>
      </c>
      <c r="E1260" s="25" t="s">
        <v>8394</v>
      </c>
      <c r="F1260" s="25" t="s">
        <v>8395</v>
      </c>
      <c r="G1260" s="25" t="s">
        <v>8396</v>
      </c>
      <c r="H1260" s="25" t="s">
        <v>8397</v>
      </c>
      <c r="I1260" s="25" t="s">
        <v>10447</v>
      </c>
      <c r="J1260" s="25" t="s">
        <v>763</v>
      </c>
      <c r="K1260" s="25" t="n">
        <v>0</v>
      </c>
      <c r="L1260" s="25" t="str">
        <f aca="false">IF(K1260&gt;0,"Yes","No")</f>
        <v>No</v>
      </c>
    </row>
    <row r="1261" customFormat="false" ht="15" hidden="false" customHeight="false" outlineLevel="0" collapsed="false">
      <c r="A1261" s="25" t="s">
        <v>10448</v>
      </c>
      <c r="B1261" s="25" t="s">
        <v>8419</v>
      </c>
      <c r="C1261" s="25" t="s">
        <v>8393</v>
      </c>
      <c r="D1261" s="25" t="n">
        <v>9</v>
      </c>
      <c r="E1261" s="25" t="s">
        <v>8394</v>
      </c>
      <c r="F1261" s="25" t="s">
        <v>8395</v>
      </c>
      <c r="G1261" s="25" t="s">
        <v>8396</v>
      </c>
      <c r="H1261" s="25" t="s">
        <v>8399</v>
      </c>
      <c r="I1261" s="25" t="s">
        <v>10449</v>
      </c>
      <c r="J1261" s="25" t="s">
        <v>10450</v>
      </c>
      <c r="K1261" s="25" t="n">
        <v>0</v>
      </c>
      <c r="L1261" s="25" t="str">
        <f aca="false">IF(K1261&gt;0,"Yes","No")</f>
        <v>No</v>
      </c>
    </row>
    <row r="1262" customFormat="false" ht="15" hidden="false" customHeight="false" outlineLevel="0" collapsed="false">
      <c r="A1262" s="25" t="s">
        <v>10451</v>
      </c>
      <c r="B1262" s="25" t="s">
        <v>8419</v>
      </c>
      <c r="C1262" s="25" t="s">
        <v>8393</v>
      </c>
      <c r="D1262" s="25" t="n">
        <v>9</v>
      </c>
      <c r="E1262" s="25" t="s">
        <v>8394</v>
      </c>
      <c r="F1262" s="25" t="s">
        <v>8395</v>
      </c>
      <c r="G1262" s="25" t="s">
        <v>8396</v>
      </c>
      <c r="H1262" s="25" t="s">
        <v>8399</v>
      </c>
      <c r="I1262" s="25" t="s">
        <v>10452</v>
      </c>
      <c r="J1262" s="25" t="s">
        <v>10450</v>
      </c>
      <c r="K1262" s="25" t="n">
        <v>0</v>
      </c>
      <c r="L1262" s="25" t="str">
        <f aca="false">IF(K1262&gt;0,"Yes","No")</f>
        <v>No</v>
      </c>
    </row>
    <row r="1263" customFormat="false" ht="15" hidden="false" customHeight="false" outlineLevel="0" collapsed="false">
      <c r="A1263" s="25" t="s">
        <v>10453</v>
      </c>
      <c r="B1263" s="25" t="s">
        <v>8419</v>
      </c>
      <c r="C1263" s="25" t="s">
        <v>8393</v>
      </c>
      <c r="D1263" s="25" t="n">
        <v>9</v>
      </c>
      <c r="E1263" s="25" t="s">
        <v>8394</v>
      </c>
      <c r="F1263" s="25" t="s">
        <v>8395</v>
      </c>
      <c r="G1263" s="25" t="s">
        <v>8396</v>
      </c>
      <c r="H1263" s="25" t="s">
        <v>8399</v>
      </c>
      <c r="I1263" s="25" t="s">
        <v>10454</v>
      </c>
      <c r="J1263" s="25" t="s">
        <v>10450</v>
      </c>
      <c r="K1263" s="25" t="n">
        <v>0</v>
      </c>
      <c r="L1263" s="25" t="str">
        <f aca="false">IF(K1263&gt;0,"Yes","No")</f>
        <v>No</v>
      </c>
    </row>
    <row r="1264" customFormat="false" ht="15" hidden="false" customHeight="false" outlineLevel="0" collapsed="false">
      <c r="A1264" s="25" t="s">
        <v>10455</v>
      </c>
      <c r="B1264" s="25" t="s">
        <v>8419</v>
      </c>
      <c r="C1264" s="25" t="s">
        <v>8393</v>
      </c>
      <c r="D1264" s="25" t="n">
        <v>9</v>
      </c>
      <c r="E1264" s="25" t="s">
        <v>8394</v>
      </c>
      <c r="F1264" s="25" t="s">
        <v>8395</v>
      </c>
      <c r="G1264" s="25" t="s">
        <v>8396</v>
      </c>
      <c r="H1264" s="25" t="s">
        <v>10104</v>
      </c>
      <c r="I1264" s="25" t="s">
        <v>10456</v>
      </c>
      <c r="J1264" s="25" t="s">
        <v>10450</v>
      </c>
      <c r="K1264" s="25" t="n">
        <v>0</v>
      </c>
      <c r="L1264" s="25" t="str">
        <f aca="false">IF(K1264&gt;0,"Yes","No")</f>
        <v>No</v>
      </c>
    </row>
    <row r="1265" customFormat="false" ht="15" hidden="false" customHeight="false" outlineLevel="0" collapsed="false">
      <c r="A1265" s="25" t="s">
        <v>10457</v>
      </c>
      <c r="B1265" s="25" t="s">
        <v>8419</v>
      </c>
      <c r="C1265" s="25" t="s">
        <v>8393</v>
      </c>
      <c r="D1265" s="25" t="n">
        <v>9</v>
      </c>
      <c r="E1265" s="25" t="s">
        <v>8394</v>
      </c>
      <c r="F1265" s="25" t="s">
        <v>8395</v>
      </c>
      <c r="G1265" s="25" t="s">
        <v>8396</v>
      </c>
      <c r="H1265" s="25" t="s">
        <v>10104</v>
      </c>
      <c r="I1265" s="25" t="s">
        <v>10458</v>
      </c>
      <c r="J1265" s="25" t="s">
        <v>10450</v>
      </c>
      <c r="K1265" s="25" t="n">
        <v>0</v>
      </c>
      <c r="L1265" s="25" t="str">
        <f aca="false">IF(K1265&gt;0,"Yes","No")</f>
        <v>No</v>
      </c>
    </row>
    <row r="1266" customFormat="false" ht="15" hidden="false" customHeight="false" outlineLevel="0" collapsed="false">
      <c r="A1266" s="25" t="s">
        <v>10459</v>
      </c>
      <c r="B1266" s="25" t="s">
        <v>8419</v>
      </c>
      <c r="C1266" s="25" t="s">
        <v>8393</v>
      </c>
      <c r="D1266" s="25" t="n">
        <v>9</v>
      </c>
      <c r="E1266" s="25" t="s">
        <v>8394</v>
      </c>
      <c r="F1266" s="25" t="s">
        <v>8395</v>
      </c>
      <c r="G1266" s="25" t="s">
        <v>8396</v>
      </c>
      <c r="H1266" s="25" t="s">
        <v>8399</v>
      </c>
      <c r="I1266" s="25" t="s">
        <v>10460</v>
      </c>
      <c r="J1266" s="25" t="s">
        <v>10450</v>
      </c>
      <c r="K1266" s="25" t="n">
        <v>0</v>
      </c>
      <c r="L1266" s="25" t="str">
        <f aca="false">IF(K1266&gt;0,"Yes","No")</f>
        <v>No</v>
      </c>
    </row>
    <row r="1267" customFormat="false" ht="15" hidden="false" customHeight="false" outlineLevel="0" collapsed="false">
      <c r="A1267" s="25" t="s">
        <v>10461</v>
      </c>
      <c r="B1267" s="25" t="s">
        <v>8419</v>
      </c>
      <c r="C1267" s="25" t="s">
        <v>8393</v>
      </c>
      <c r="D1267" s="25" t="n">
        <v>9</v>
      </c>
      <c r="E1267" s="25" t="s">
        <v>8394</v>
      </c>
      <c r="F1267" s="25" t="s">
        <v>8395</v>
      </c>
      <c r="G1267" s="25" t="s">
        <v>8396</v>
      </c>
      <c r="H1267" s="25" t="s">
        <v>8399</v>
      </c>
      <c r="I1267" s="25" t="s">
        <v>10462</v>
      </c>
      <c r="J1267" s="25" t="s">
        <v>10450</v>
      </c>
      <c r="K1267" s="25" t="n">
        <v>0</v>
      </c>
      <c r="L1267" s="25" t="str">
        <f aca="false">IF(K1267&gt;0,"Yes","No")</f>
        <v>No</v>
      </c>
    </row>
    <row r="1268" customFormat="false" ht="15" hidden="false" customHeight="false" outlineLevel="0" collapsed="false">
      <c r="A1268" s="25" t="s">
        <v>10463</v>
      </c>
      <c r="B1268" s="25" t="s">
        <v>8419</v>
      </c>
      <c r="C1268" s="25" t="s">
        <v>8393</v>
      </c>
      <c r="D1268" s="25" t="n">
        <v>9</v>
      </c>
      <c r="E1268" s="25" t="s">
        <v>8394</v>
      </c>
      <c r="F1268" s="25" t="s">
        <v>8395</v>
      </c>
      <c r="G1268" s="25" t="s">
        <v>8396</v>
      </c>
      <c r="H1268" s="25" t="s">
        <v>8399</v>
      </c>
      <c r="I1268" s="25" t="s">
        <v>10464</v>
      </c>
      <c r="J1268" s="25" t="s">
        <v>10450</v>
      </c>
      <c r="K1268" s="25" t="n">
        <v>0</v>
      </c>
      <c r="L1268" s="25" t="str">
        <f aca="false">IF(K1268&gt;0,"Yes","No")</f>
        <v>No</v>
      </c>
    </row>
    <row r="1269" customFormat="false" ht="15" hidden="false" customHeight="false" outlineLevel="0" collapsed="false">
      <c r="A1269" s="25" t="s">
        <v>10465</v>
      </c>
      <c r="B1269" s="25" t="s">
        <v>8419</v>
      </c>
      <c r="C1269" s="25" t="s">
        <v>8393</v>
      </c>
      <c r="D1269" s="25" t="n">
        <v>9</v>
      </c>
      <c r="E1269" s="25" t="s">
        <v>8394</v>
      </c>
      <c r="F1269" s="25" t="s">
        <v>8395</v>
      </c>
      <c r="G1269" s="25" t="s">
        <v>8396</v>
      </c>
      <c r="H1269" s="25" t="s">
        <v>8399</v>
      </c>
      <c r="I1269" s="25" t="s">
        <v>10466</v>
      </c>
      <c r="J1269" s="25" t="s">
        <v>10450</v>
      </c>
      <c r="K1269" s="25" t="n">
        <v>0</v>
      </c>
      <c r="L1269" s="25" t="str">
        <f aca="false">IF(K1269&gt;0,"Yes","No")</f>
        <v>No</v>
      </c>
    </row>
    <row r="1270" customFormat="false" ht="15" hidden="false" customHeight="false" outlineLevel="0" collapsed="false">
      <c r="A1270" s="25" t="s">
        <v>10467</v>
      </c>
      <c r="B1270" s="25" t="s">
        <v>8392</v>
      </c>
      <c r="C1270" s="25" t="s">
        <v>8393</v>
      </c>
      <c r="D1270" s="25" t="n">
        <v>9</v>
      </c>
      <c r="E1270" s="25" t="s">
        <v>8394</v>
      </c>
      <c r="F1270" s="25" t="s">
        <v>8395</v>
      </c>
      <c r="G1270" s="25" t="s">
        <v>8398</v>
      </c>
      <c r="H1270" s="25"/>
      <c r="I1270" s="25" t="s">
        <v>1359</v>
      </c>
      <c r="J1270" s="25" t="s">
        <v>10450</v>
      </c>
      <c r="K1270" s="25" t="n">
        <v>0</v>
      </c>
      <c r="L1270" s="25" t="str">
        <f aca="false">IF(K1270&gt;0,"Yes","No")</f>
        <v>No</v>
      </c>
    </row>
    <row r="1271" customFormat="false" ht="15" hidden="false" customHeight="false" outlineLevel="0" collapsed="false">
      <c r="A1271" s="25" t="s">
        <v>10468</v>
      </c>
      <c r="B1271" s="25" t="s">
        <v>8392</v>
      </c>
      <c r="C1271" s="25" t="s">
        <v>8393</v>
      </c>
      <c r="D1271" s="25" t="n">
        <v>9</v>
      </c>
      <c r="E1271" s="25" t="s">
        <v>8394</v>
      </c>
      <c r="F1271" s="25" t="s">
        <v>8395</v>
      </c>
      <c r="G1271" s="25" t="s">
        <v>8396</v>
      </c>
      <c r="H1271" s="25" t="s">
        <v>8399</v>
      </c>
      <c r="I1271" s="25" t="s">
        <v>10469</v>
      </c>
      <c r="J1271" s="25" t="s">
        <v>10450</v>
      </c>
      <c r="K1271" s="25" t="n">
        <v>0</v>
      </c>
      <c r="L1271" s="25" t="str">
        <f aca="false">IF(K1271&gt;0,"Yes","No")</f>
        <v>No</v>
      </c>
    </row>
    <row r="1272" customFormat="false" ht="15" hidden="false" customHeight="false" outlineLevel="0" collapsed="false">
      <c r="A1272" s="25" t="s">
        <v>10470</v>
      </c>
      <c r="B1272" s="25" t="s">
        <v>8419</v>
      </c>
      <c r="C1272" s="25" t="s">
        <v>8393</v>
      </c>
      <c r="D1272" s="25" t="n">
        <v>9</v>
      </c>
      <c r="E1272" s="25" t="s">
        <v>8394</v>
      </c>
      <c r="F1272" s="25" t="s">
        <v>8395</v>
      </c>
      <c r="G1272" s="25" t="s">
        <v>8396</v>
      </c>
      <c r="H1272" s="25" t="s">
        <v>8399</v>
      </c>
      <c r="I1272" s="25" t="s">
        <v>10471</v>
      </c>
      <c r="J1272" s="25" t="s">
        <v>10472</v>
      </c>
      <c r="K1272" s="25" t="n">
        <v>0</v>
      </c>
      <c r="L1272" s="25" t="str">
        <f aca="false">IF(K1272&gt;0,"Yes","No")</f>
        <v>No</v>
      </c>
    </row>
    <row r="1273" customFormat="false" ht="15" hidden="false" customHeight="false" outlineLevel="0" collapsed="false">
      <c r="A1273" s="25" t="s">
        <v>10473</v>
      </c>
      <c r="B1273" s="25" t="s">
        <v>8419</v>
      </c>
      <c r="C1273" s="25" t="s">
        <v>8393</v>
      </c>
      <c r="D1273" s="25" t="n">
        <v>9</v>
      </c>
      <c r="E1273" s="25" t="s">
        <v>8394</v>
      </c>
      <c r="F1273" s="25" t="s">
        <v>8395</v>
      </c>
      <c r="G1273" s="25" t="s">
        <v>8402</v>
      </c>
      <c r="H1273" s="25" t="s">
        <v>8403</v>
      </c>
      <c r="I1273" s="25" t="s">
        <v>10474</v>
      </c>
      <c r="J1273" s="25" t="s">
        <v>10475</v>
      </c>
      <c r="K1273" s="25" t="n">
        <v>0</v>
      </c>
      <c r="L1273" s="25" t="str">
        <f aca="false">IF(K1273&gt;0,"Yes","No")</f>
        <v>No</v>
      </c>
    </row>
    <row r="1274" customFormat="false" ht="15" hidden="false" customHeight="false" outlineLevel="0" collapsed="false">
      <c r="A1274" s="25" t="s">
        <v>10476</v>
      </c>
      <c r="B1274" s="25" t="s">
        <v>8392</v>
      </c>
      <c r="C1274" s="25" t="s">
        <v>8393</v>
      </c>
      <c r="D1274" s="25" t="n">
        <v>9</v>
      </c>
      <c r="E1274" s="25" t="s">
        <v>8394</v>
      </c>
      <c r="F1274" s="25" t="s">
        <v>8395</v>
      </c>
      <c r="G1274" s="25" t="s">
        <v>8402</v>
      </c>
      <c r="H1274" s="25" t="s">
        <v>8409</v>
      </c>
      <c r="I1274" s="25" t="s">
        <v>10477</v>
      </c>
      <c r="J1274" s="25" t="s">
        <v>10478</v>
      </c>
      <c r="K1274" s="25" t="n">
        <v>0</v>
      </c>
      <c r="L1274" s="25" t="str">
        <f aca="false">IF(K1274&gt;0,"Yes","No")</f>
        <v>No</v>
      </c>
    </row>
    <row r="1275" customFormat="false" ht="15" hidden="false" customHeight="false" outlineLevel="0" collapsed="false">
      <c r="A1275" s="25" t="s">
        <v>10479</v>
      </c>
      <c r="B1275" s="25" t="s">
        <v>8392</v>
      </c>
      <c r="C1275" s="25" t="s">
        <v>8393</v>
      </c>
      <c r="D1275" s="25" t="n">
        <v>9</v>
      </c>
      <c r="E1275" s="25" t="s">
        <v>8394</v>
      </c>
      <c r="F1275" s="25" t="s">
        <v>8395</v>
      </c>
      <c r="G1275" s="25" t="s">
        <v>8398</v>
      </c>
      <c r="H1275" s="25"/>
      <c r="I1275" s="25" t="s">
        <v>407</v>
      </c>
      <c r="J1275" s="25" t="s">
        <v>10480</v>
      </c>
      <c r="K1275" s="25" t="n">
        <v>0</v>
      </c>
      <c r="L1275" s="25" t="str">
        <f aca="false">IF(K1275&gt;0,"Yes","No")</f>
        <v>No</v>
      </c>
    </row>
    <row r="1276" customFormat="false" ht="15" hidden="false" customHeight="false" outlineLevel="0" collapsed="false">
      <c r="A1276" s="25" t="s">
        <v>10481</v>
      </c>
      <c r="B1276" s="25" t="s">
        <v>8392</v>
      </c>
      <c r="C1276" s="25" t="s">
        <v>8393</v>
      </c>
      <c r="D1276" s="25" t="n">
        <v>9</v>
      </c>
      <c r="E1276" s="25" t="s">
        <v>8394</v>
      </c>
      <c r="F1276" s="25" t="s">
        <v>8395</v>
      </c>
      <c r="G1276" s="25" t="s">
        <v>8398</v>
      </c>
      <c r="H1276" s="25"/>
      <c r="I1276" s="25" t="s">
        <v>10482</v>
      </c>
      <c r="J1276" s="25" t="s">
        <v>10483</v>
      </c>
      <c r="K1276" s="25" t="n">
        <v>0</v>
      </c>
      <c r="L1276" s="25" t="str">
        <f aca="false">IF(K1276&gt;0,"Yes","No")</f>
        <v>No</v>
      </c>
    </row>
    <row r="1277" customFormat="false" ht="15" hidden="false" customHeight="false" outlineLevel="0" collapsed="false">
      <c r="A1277" s="25" t="s">
        <v>10484</v>
      </c>
      <c r="B1277" s="25" t="s">
        <v>8392</v>
      </c>
      <c r="C1277" s="25" t="s">
        <v>8393</v>
      </c>
      <c r="D1277" s="25" t="n">
        <v>9</v>
      </c>
      <c r="E1277" s="25" t="s">
        <v>8394</v>
      </c>
      <c r="F1277" s="25" t="s">
        <v>8395</v>
      </c>
      <c r="G1277" s="25" t="s">
        <v>8398</v>
      </c>
      <c r="H1277" s="25"/>
      <c r="I1277" s="25" t="s">
        <v>10485</v>
      </c>
      <c r="J1277" s="25" t="s">
        <v>10486</v>
      </c>
      <c r="K1277" s="25" t="n">
        <v>0</v>
      </c>
      <c r="L1277" s="25" t="str">
        <f aca="false">IF(K1277&gt;0,"Yes","No")</f>
        <v>No</v>
      </c>
    </row>
    <row r="1278" customFormat="false" ht="15" hidden="false" customHeight="false" outlineLevel="0" collapsed="false">
      <c r="A1278" s="25" t="s">
        <v>10487</v>
      </c>
      <c r="B1278" s="25" t="s">
        <v>8419</v>
      </c>
      <c r="C1278" s="25" t="s">
        <v>8393</v>
      </c>
      <c r="D1278" s="25" t="n">
        <v>9</v>
      </c>
      <c r="E1278" s="25" t="s">
        <v>8394</v>
      </c>
      <c r="F1278" s="25" t="s">
        <v>8395</v>
      </c>
      <c r="G1278" s="25" t="s">
        <v>8396</v>
      </c>
      <c r="H1278" s="25" t="s">
        <v>8399</v>
      </c>
      <c r="I1278" s="25" t="s">
        <v>10488</v>
      </c>
      <c r="J1278" s="25" t="s">
        <v>10489</v>
      </c>
      <c r="K1278" s="25" t="n">
        <v>0</v>
      </c>
      <c r="L1278" s="25" t="str">
        <f aca="false">IF(K1278&gt;0,"Yes","No")</f>
        <v>No</v>
      </c>
    </row>
    <row r="1279" customFormat="false" ht="15" hidden="false" customHeight="false" outlineLevel="0" collapsed="false">
      <c r="A1279" s="25" t="s">
        <v>10490</v>
      </c>
      <c r="B1279" s="25" t="s">
        <v>8419</v>
      </c>
      <c r="C1279" s="25" t="s">
        <v>8393</v>
      </c>
      <c r="D1279" s="25" t="n">
        <v>9</v>
      </c>
      <c r="E1279" s="25" t="s">
        <v>8394</v>
      </c>
      <c r="F1279" s="25" t="s">
        <v>8395</v>
      </c>
      <c r="G1279" s="25" t="s">
        <v>8396</v>
      </c>
      <c r="H1279" s="25" t="s">
        <v>8399</v>
      </c>
      <c r="I1279" s="25" t="s">
        <v>10491</v>
      </c>
      <c r="J1279" s="25" t="s">
        <v>10489</v>
      </c>
      <c r="K1279" s="25" t="n">
        <v>0</v>
      </c>
      <c r="L1279" s="25" t="str">
        <f aca="false">IF(K1279&gt;0,"Yes","No")</f>
        <v>No</v>
      </c>
    </row>
    <row r="1280" customFormat="false" ht="15" hidden="false" customHeight="false" outlineLevel="0" collapsed="false">
      <c r="A1280" s="25" t="s">
        <v>10492</v>
      </c>
      <c r="B1280" s="25" t="s">
        <v>8419</v>
      </c>
      <c r="C1280" s="25" t="s">
        <v>8393</v>
      </c>
      <c r="D1280" s="25" t="n">
        <v>9</v>
      </c>
      <c r="E1280" s="25" t="s">
        <v>8394</v>
      </c>
      <c r="F1280" s="25" t="s">
        <v>8395</v>
      </c>
      <c r="G1280" s="25" t="s">
        <v>8396</v>
      </c>
      <c r="H1280" s="25" t="s">
        <v>10493</v>
      </c>
      <c r="I1280" s="25" t="s">
        <v>10494</v>
      </c>
      <c r="J1280" s="25" t="s">
        <v>320</v>
      </c>
      <c r="K1280" s="25" t="n">
        <v>0</v>
      </c>
      <c r="L1280" s="25" t="str">
        <f aca="false">IF(K1280&gt;0,"Yes","No")</f>
        <v>No</v>
      </c>
    </row>
    <row r="1281" customFormat="false" ht="15" hidden="false" customHeight="false" outlineLevel="0" collapsed="false">
      <c r="A1281" s="25" t="s">
        <v>10495</v>
      </c>
      <c r="B1281" s="25" t="s">
        <v>8392</v>
      </c>
      <c r="C1281" s="25" t="s">
        <v>8393</v>
      </c>
      <c r="D1281" s="25" t="n">
        <v>9</v>
      </c>
      <c r="E1281" s="25" t="s">
        <v>8394</v>
      </c>
      <c r="F1281" s="25" t="s">
        <v>8395</v>
      </c>
      <c r="G1281" s="25" t="s">
        <v>8402</v>
      </c>
      <c r="H1281" s="25" t="s">
        <v>8399</v>
      </c>
      <c r="I1281" s="25" t="s">
        <v>10496</v>
      </c>
      <c r="J1281" s="25" t="s">
        <v>320</v>
      </c>
      <c r="K1281" s="25" t="n">
        <v>0</v>
      </c>
      <c r="L1281" s="25" t="str">
        <f aca="false">IF(K1281&gt;0,"Yes","No")</f>
        <v>No</v>
      </c>
    </row>
    <row r="1282" customFormat="false" ht="15" hidden="false" customHeight="false" outlineLevel="0" collapsed="false">
      <c r="A1282" s="25" t="s">
        <v>10497</v>
      </c>
      <c r="B1282" s="25" t="s">
        <v>8419</v>
      </c>
      <c r="C1282" s="25" t="s">
        <v>8393</v>
      </c>
      <c r="D1282" s="25" t="n">
        <v>9</v>
      </c>
      <c r="E1282" s="25" t="s">
        <v>8394</v>
      </c>
      <c r="F1282" s="25" t="s">
        <v>8395</v>
      </c>
      <c r="G1282" s="25" t="s">
        <v>8396</v>
      </c>
      <c r="H1282" s="25" t="s">
        <v>10493</v>
      </c>
      <c r="I1282" s="25" t="s">
        <v>10498</v>
      </c>
      <c r="J1282" s="25" t="s">
        <v>320</v>
      </c>
      <c r="K1282" s="25" t="n">
        <v>0</v>
      </c>
      <c r="L1282" s="25" t="str">
        <f aca="false">IF(K1282&gt;0,"Yes","No")</f>
        <v>No</v>
      </c>
    </row>
    <row r="1283" customFormat="false" ht="15" hidden="false" customHeight="false" outlineLevel="0" collapsed="false">
      <c r="A1283" s="25" t="s">
        <v>10499</v>
      </c>
      <c r="B1283" s="25" t="s">
        <v>8419</v>
      </c>
      <c r="C1283" s="25" t="s">
        <v>8393</v>
      </c>
      <c r="D1283" s="25" t="n">
        <v>9</v>
      </c>
      <c r="E1283" s="25" t="s">
        <v>8394</v>
      </c>
      <c r="F1283" s="25" t="s">
        <v>8395</v>
      </c>
      <c r="G1283" s="25" t="s">
        <v>8396</v>
      </c>
      <c r="H1283" s="25" t="s">
        <v>10493</v>
      </c>
      <c r="I1283" s="25" t="s">
        <v>10500</v>
      </c>
      <c r="J1283" s="25" t="s">
        <v>320</v>
      </c>
      <c r="K1283" s="25" t="n">
        <v>0</v>
      </c>
      <c r="L1283" s="25" t="str">
        <f aca="false">IF(K1283&gt;0,"Yes","No")</f>
        <v>No</v>
      </c>
    </row>
    <row r="1284" customFormat="false" ht="15" hidden="false" customHeight="false" outlineLevel="0" collapsed="false">
      <c r="A1284" s="25" t="s">
        <v>10501</v>
      </c>
      <c r="B1284" s="25" t="s">
        <v>8419</v>
      </c>
      <c r="C1284" s="25" t="s">
        <v>8393</v>
      </c>
      <c r="D1284" s="25" t="n">
        <v>9</v>
      </c>
      <c r="E1284" s="25" t="s">
        <v>8394</v>
      </c>
      <c r="F1284" s="25" t="s">
        <v>8395</v>
      </c>
      <c r="G1284" s="25" t="s">
        <v>8396</v>
      </c>
      <c r="H1284" s="25" t="s">
        <v>10493</v>
      </c>
      <c r="I1284" s="25" t="s">
        <v>10502</v>
      </c>
      <c r="J1284" s="25" t="s">
        <v>320</v>
      </c>
      <c r="K1284" s="25" t="n">
        <v>0</v>
      </c>
      <c r="L1284" s="25" t="str">
        <f aca="false">IF(K1284&gt;0,"Yes","No")</f>
        <v>No</v>
      </c>
    </row>
    <row r="1285" customFormat="false" ht="15" hidden="false" customHeight="false" outlineLevel="0" collapsed="false">
      <c r="A1285" s="25" t="s">
        <v>10503</v>
      </c>
      <c r="B1285" s="25" t="s">
        <v>8419</v>
      </c>
      <c r="C1285" s="25" t="s">
        <v>8393</v>
      </c>
      <c r="D1285" s="25" t="n">
        <v>9</v>
      </c>
      <c r="E1285" s="25" t="s">
        <v>8394</v>
      </c>
      <c r="F1285" s="25" t="s">
        <v>8395</v>
      </c>
      <c r="G1285" s="25" t="s">
        <v>8396</v>
      </c>
      <c r="H1285" s="25" t="s">
        <v>10493</v>
      </c>
      <c r="I1285" s="25" t="s">
        <v>10504</v>
      </c>
      <c r="J1285" s="25" t="s">
        <v>320</v>
      </c>
      <c r="K1285" s="25" t="n">
        <v>0</v>
      </c>
      <c r="L1285" s="25" t="str">
        <f aca="false">IF(K1285&gt;0,"Yes","No")</f>
        <v>No</v>
      </c>
    </row>
    <row r="1286" customFormat="false" ht="15" hidden="false" customHeight="false" outlineLevel="0" collapsed="false">
      <c r="A1286" s="25" t="s">
        <v>10505</v>
      </c>
      <c r="B1286" s="25" t="s">
        <v>8419</v>
      </c>
      <c r="C1286" s="25" t="s">
        <v>8393</v>
      </c>
      <c r="D1286" s="25" t="n">
        <v>9</v>
      </c>
      <c r="E1286" s="25" t="s">
        <v>8394</v>
      </c>
      <c r="F1286" s="25" t="s">
        <v>8395</v>
      </c>
      <c r="G1286" s="25" t="s">
        <v>8396</v>
      </c>
      <c r="H1286" s="25" t="s">
        <v>10493</v>
      </c>
      <c r="I1286" s="25" t="s">
        <v>10506</v>
      </c>
      <c r="J1286" s="25" t="s">
        <v>320</v>
      </c>
      <c r="K1286" s="25" t="n">
        <v>0</v>
      </c>
      <c r="L1286" s="25" t="str">
        <f aca="false">IF(K1286&gt;0,"Yes","No")</f>
        <v>No</v>
      </c>
    </row>
    <row r="1287" customFormat="false" ht="15" hidden="false" customHeight="false" outlineLevel="0" collapsed="false">
      <c r="A1287" s="25" t="s">
        <v>10507</v>
      </c>
      <c r="B1287" s="25" t="s">
        <v>8392</v>
      </c>
      <c r="C1287" s="25" t="s">
        <v>8393</v>
      </c>
      <c r="D1287" s="25" t="n">
        <v>9</v>
      </c>
      <c r="E1287" s="25" t="s">
        <v>8394</v>
      </c>
      <c r="F1287" s="25" t="s">
        <v>8395</v>
      </c>
      <c r="G1287" s="25" t="s">
        <v>8402</v>
      </c>
      <c r="H1287" s="25" t="s">
        <v>8399</v>
      </c>
      <c r="I1287" s="25" t="s">
        <v>10508</v>
      </c>
      <c r="J1287" s="25" t="s">
        <v>320</v>
      </c>
      <c r="K1287" s="25" t="n">
        <v>0</v>
      </c>
      <c r="L1287" s="25" t="str">
        <f aca="false">IF(K1287&gt;0,"Yes","No")</f>
        <v>No</v>
      </c>
    </row>
    <row r="1288" customFormat="false" ht="15" hidden="false" customHeight="false" outlineLevel="0" collapsed="false">
      <c r="A1288" s="25" t="s">
        <v>10509</v>
      </c>
      <c r="B1288" s="25" t="s">
        <v>8392</v>
      </c>
      <c r="C1288" s="25" t="s">
        <v>8393</v>
      </c>
      <c r="D1288" s="25" t="n">
        <v>9</v>
      </c>
      <c r="E1288" s="25" t="s">
        <v>8394</v>
      </c>
      <c r="F1288" s="25" t="s">
        <v>8395</v>
      </c>
      <c r="G1288" s="25" t="s">
        <v>8398</v>
      </c>
      <c r="H1288" s="25"/>
      <c r="I1288" s="25" t="s">
        <v>10510</v>
      </c>
      <c r="J1288" s="25" t="s">
        <v>10511</v>
      </c>
      <c r="K1288" s="25" t="n">
        <v>0</v>
      </c>
      <c r="L1288" s="25" t="str">
        <f aca="false">IF(K1288&gt;0,"Yes","No")</f>
        <v>No</v>
      </c>
    </row>
    <row r="1289" customFormat="false" ht="15" hidden="false" customHeight="false" outlineLevel="0" collapsed="false">
      <c r="A1289" s="25" t="s">
        <v>10512</v>
      </c>
      <c r="B1289" s="25" t="s">
        <v>8392</v>
      </c>
      <c r="C1289" s="25" t="s">
        <v>8393</v>
      </c>
      <c r="D1289" s="25" t="n">
        <v>9</v>
      </c>
      <c r="E1289" s="25" t="s">
        <v>8394</v>
      </c>
      <c r="F1289" s="25" t="s">
        <v>8395</v>
      </c>
      <c r="G1289" s="25" t="s">
        <v>8398</v>
      </c>
      <c r="H1289" s="25"/>
      <c r="I1289" s="25" t="s">
        <v>10513</v>
      </c>
      <c r="J1289" s="25" t="s">
        <v>10514</v>
      </c>
      <c r="K1289" s="25" t="n">
        <v>0</v>
      </c>
      <c r="L1289" s="25" t="str">
        <f aca="false">IF(K1289&gt;0,"Yes","No")</f>
        <v>No</v>
      </c>
    </row>
    <row r="1290" customFormat="false" ht="15" hidden="false" customHeight="false" outlineLevel="0" collapsed="false">
      <c r="A1290" s="25" t="s">
        <v>10515</v>
      </c>
      <c r="B1290" s="25" t="s">
        <v>8392</v>
      </c>
      <c r="C1290" s="25" t="s">
        <v>8393</v>
      </c>
      <c r="D1290" s="25" t="n">
        <v>9</v>
      </c>
      <c r="E1290" s="25" t="s">
        <v>8394</v>
      </c>
      <c r="F1290" s="25" t="s">
        <v>8395</v>
      </c>
      <c r="G1290" s="25" t="s">
        <v>8398</v>
      </c>
      <c r="H1290" s="25"/>
      <c r="I1290" s="25" t="s">
        <v>10516</v>
      </c>
      <c r="J1290" s="25" t="s">
        <v>10517</v>
      </c>
      <c r="K1290" s="25" t="n">
        <v>0</v>
      </c>
      <c r="L1290" s="25" t="str">
        <f aca="false">IF(K1290&gt;0,"Yes","No")</f>
        <v>No</v>
      </c>
    </row>
    <row r="1291" customFormat="false" ht="15" hidden="false" customHeight="false" outlineLevel="0" collapsed="false">
      <c r="A1291" s="25" t="s">
        <v>10518</v>
      </c>
      <c r="B1291" s="25" t="s">
        <v>8392</v>
      </c>
      <c r="C1291" s="25" t="s">
        <v>8393</v>
      </c>
      <c r="D1291" s="25" t="n">
        <v>9</v>
      </c>
      <c r="E1291" s="25" t="s">
        <v>8394</v>
      </c>
      <c r="F1291" s="25" t="s">
        <v>8395</v>
      </c>
      <c r="G1291" s="25" t="s">
        <v>8398</v>
      </c>
      <c r="H1291" s="25"/>
      <c r="I1291" s="25" t="s">
        <v>10516</v>
      </c>
      <c r="J1291" s="25" t="s">
        <v>10517</v>
      </c>
      <c r="K1291" s="25" t="n">
        <v>0</v>
      </c>
      <c r="L1291" s="25" t="str">
        <f aca="false">IF(K1291&gt;0,"Yes","No")</f>
        <v>No</v>
      </c>
    </row>
    <row r="1292" customFormat="false" ht="15" hidden="false" customHeight="false" outlineLevel="0" collapsed="false">
      <c r="A1292" s="25" t="s">
        <v>10519</v>
      </c>
      <c r="B1292" s="25" t="s">
        <v>8392</v>
      </c>
      <c r="C1292" s="25" t="s">
        <v>8393</v>
      </c>
      <c r="D1292" s="25" t="n">
        <v>9</v>
      </c>
      <c r="E1292" s="25" t="s">
        <v>8394</v>
      </c>
      <c r="F1292" s="25" t="s">
        <v>8395</v>
      </c>
      <c r="G1292" s="25" t="s">
        <v>8398</v>
      </c>
      <c r="H1292" s="25"/>
      <c r="I1292" s="25" t="s">
        <v>10520</v>
      </c>
      <c r="J1292" s="25" t="s">
        <v>10521</v>
      </c>
      <c r="K1292" s="25" t="n">
        <v>0</v>
      </c>
      <c r="L1292" s="25" t="str">
        <f aca="false">IF(K1292&gt;0,"Yes","No")</f>
        <v>No</v>
      </c>
    </row>
    <row r="1293" customFormat="false" ht="15" hidden="false" customHeight="false" outlineLevel="0" collapsed="false">
      <c r="A1293" s="25" t="s">
        <v>10522</v>
      </c>
      <c r="B1293" s="25" t="s">
        <v>8392</v>
      </c>
      <c r="C1293" s="25" t="s">
        <v>8393</v>
      </c>
      <c r="D1293" s="25" t="n">
        <v>9</v>
      </c>
      <c r="E1293" s="25" t="s">
        <v>8394</v>
      </c>
      <c r="F1293" s="25" t="s">
        <v>8395</v>
      </c>
      <c r="G1293" s="25" t="s">
        <v>8398</v>
      </c>
      <c r="H1293" s="25"/>
      <c r="I1293" s="25" t="s">
        <v>10523</v>
      </c>
      <c r="J1293" s="25" t="s">
        <v>10521</v>
      </c>
      <c r="K1293" s="25" t="n">
        <v>0</v>
      </c>
      <c r="L1293" s="25" t="str">
        <f aca="false">IF(K1293&gt;0,"Yes","No")</f>
        <v>No</v>
      </c>
    </row>
    <row r="1294" customFormat="false" ht="15" hidden="false" customHeight="false" outlineLevel="0" collapsed="false">
      <c r="A1294" s="25" t="s">
        <v>10524</v>
      </c>
      <c r="B1294" s="25" t="s">
        <v>8392</v>
      </c>
      <c r="C1294" s="25" t="s">
        <v>8393</v>
      </c>
      <c r="D1294" s="25" t="n">
        <v>9</v>
      </c>
      <c r="E1294" s="25" t="s">
        <v>8394</v>
      </c>
      <c r="F1294" s="25" t="s">
        <v>8395</v>
      </c>
      <c r="G1294" s="25" t="s">
        <v>8398</v>
      </c>
      <c r="H1294" s="25"/>
      <c r="I1294" s="25" t="s">
        <v>10525</v>
      </c>
      <c r="J1294" s="25" t="s">
        <v>10521</v>
      </c>
      <c r="K1294" s="25" t="n">
        <v>0</v>
      </c>
      <c r="L1294" s="25" t="str">
        <f aca="false">IF(K1294&gt;0,"Yes","No")</f>
        <v>No</v>
      </c>
    </row>
    <row r="1295" customFormat="false" ht="15" hidden="false" customHeight="false" outlineLevel="0" collapsed="false">
      <c r="A1295" s="25" t="s">
        <v>10526</v>
      </c>
      <c r="B1295" s="25" t="s">
        <v>8392</v>
      </c>
      <c r="C1295" s="25" t="s">
        <v>8393</v>
      </c>
      <c r="D1295" s="25" t="n">
        <v>9</v>
      </c>
      <c r="E1295" s="25" t="s">
        <v>8394</v>
      </c>
      <c r="F1295" s="25" t="s">
        <v>8395</v>
      </c>
      <c r="G1295" s="25" t="s">
        <v>8398</v>
      </c>
      <c r="H1295" s="25"/>
      <c r="I1295" s="25" t="s">
        <v>10527</v>
      </c>
      <c r="J1295" s="25" t="s">
        <v>10521</v>
      </c>
      <c r="K1295" s="25" t="n">
        <v>0</v>
      </c>
      <c r="L1295" s="25" t="str">
        <f aca="false">IF(K1295&gt;0,"Yes","No")</f>
        <v>No</v>
      </c>
    </row>
    <row r="1296" customFormat="false" ht="15" hidden="false" customHeight="false" outlineLevel="0" collapsed="false">
      <c r="A1296" s="25" t="s">
        <v>10528</v>
      </c>
      <c r="B1296" s="25" t="s">
        <v>8392</v>
      </c>
      <c r="C1296" s="25" t="s">
        <v>8393</v>
      </c>
      <c r="D1296" s="25" t="n">
        <v>9</v>
      </c>
      <c r="E1296" s="25" t="s">
        <v>8394</v>
      </c>
      <c r="F1296" s="25" t="s">
        <v>8395</v>
      </c>
      <c r="G1296" s="25" t="s">
        <v>8396</v>
      </c>
      <c r="H1296" s="25" t="s">
        <v>8399</v>
      </c>
      <c r="I1296" s="25" t="s">
        <v>10529</v>
      </c>
      <c r="J1296" s="25" t="s">
        <v>1153</v>
      </c>
      <c r="K1296" s="25" t="n">
        <v>0</v>
      </c>
      <c r="L1296" s="25" t="str">
        <f aca="false">IF(K1296&gt;0,"Yes","No")</f>
        <v>No</v>
      </c>
    </row>
    <row r="1297" customFormat="false" ht="15" hidden="false" customHeight="false" outlineLevel="0" collapsed="false">
      <c r="A1297" s="25" t="s">
        <v>10530</v>
      </c>
      <c r="B1297" s="25" t="s">
        <v>8419</v>
      </c>
      <c r="C1297" s="25" t="s">
        <v>8393</v>
      </c>
      <c r="D1297" s="25" t="n">
        <v>9</v>
      </c>
      <c r="E1297" s="25" t="s">
        <v>8394</v>
      </c>
      <c r="F1297" s="25" t="s">
        <v>8395</v>
      </c>
      <c r="G1297" s="25" t="s">
        <v>8396</v>
      </c>
      <c r="H1297" s="25" t="s">
        <v>8403</v>
      </c>
      <c r="I1297" s="25" t="s">
        <v>10531</v>
      </c>
      <c r="J1297" s="25" t="s">
        <v>1153</v>
      </c>
      <c r="K1297" s="25" t="n">
        <v>0</v>
      </c>
      <c r="L1297" s="25" t="str">
        <f aca="false">IF(K1297&gt;0,"Yes","No")</f>
        <v>No</v>
      </c>
    </row>
    <row r="1298" customFormat="false" ht="15" hidden="false" customHeight="false" outlineLevel="0" collapsed="false">
      <c r="A1298" s="25" t="s">
        <v>10532</v>
      </c>
      <c r="B1298" s="25" t="s">
        <v>8419</v>
      </c>
      <c r="C1298" s="25" t="s">
        <v>8393</v>
      </c>
      <c r="D1298" s="25" t="n">
        <v>9</v>
      </c>
      <c r="E1298" s="25" t="s">
        <v>8394</v>
      </c>
      <c r="F1298" s="25" t="s">
        <v>8395</v>
      </c>
      <c r="G1298" s="25" t="s">
        <v>8396</v>
      </c>
      <c r="H1298" s="25" t="s">
        <v>8403</v>
      </c>
      <c r="I1298" s="25" t="s">
        <v>10533</v>
      </c>
      <c r="J1298" s="25" t="s">
        <v>1153</v>
      </c>
      <c r="K1298" s="25" t="n">
        <v>0</v>
      </c>
      <c r="L1298" s="25" t="str">
        <f aca="false">IF(K1298&gt;0,"Yes","No")</f>
        <v>No</v>
      </c>
    </row>
    <row r="1299" customFormat="false" ht="15" hidden="false" customHeight="false" outlineLevel="0" collapsed="false">
      <c r="A1299" s="25" t="s">
        <v>10534</v>
      </c>
      <c r="B1299" s="25" t="s">
        <v>8419</v>
      </c>
      <c r="C1299" s="25" t="s">
        <v>8393</v>
      </c>
      <c r="D1299" s="25" t="n">
        <v>9</v>
      </c>
      <c r="E1299" s="25" t="s">
        <v>8394</v>
      </c>
      <c r="F1299" s="25" t="s">
        <v>8395</v>
      </c>
      <c r="G1299" s="25" t="s">
        <v>8396</v>
      </c>
      <c r="H1299" s="25" t="s">
        <v>8399</v>
      </c>
      <c r="I1299" s="25" t="s">
        <v>10535</v>
      </c>
      <c r="J1299" s="25" t="s">
        <v>1153</v>
      </c>
      <c r="K1299" s="25" t="n">
        <v>0</v>
      </c>
      <c r="L1299" s="25" t="str">
        <f aca="false">IF(K1299&gt;0,"Yes","No")</f>
        <v>No</v>
      </c>
    </row>
    <row r="1300" customFormat="false" ht="15" hidden="false" customHeight="false" outlineLevel="0" collapsed="false">
      <c r="A1300" s="25" t="s">
        <v>10536</v>
      </c>
      <c r="B1300" s="25" t="s">
        <v>8392</v>
      </c>
      <c r="C1300" s="25" t="s">
        <v>8393</v>
      </c>
      <c r="D1300" s="25" t="n">
        <v>9</v>
      </c>
      <c r="E1300" s="25" t="s">
        <v>8394</v>
      </c>
      <c r="F1300" s="25" t="s">
        <v>8395</v>
      </c>
      <c r="G1300" s="25" t="s">
        <v>8402</v>
      </c>
      <c r="H1300" s="25" t="s">
        <v>8397</v>
      </c>
      <c r="I1300" s="25" t="s">
        <v>10537</v>
      </c>
      <c r="J1300" s="25" t="s">
        <v>649</v>
      </c>
      <c r="K1300" s="25" t="n">
        <v>0</v>
      </c>
      <c r="L1300" s="25" t="str">
        <f aca="false">IF(K1300&gt;0,"Yes","No")</f>
        <v>No</v>
      </c>
    </row>
    <row r="1301" customFormat="false" ht="15" hidden="false" customHeight="false" outlineLevel="0" collapsed="false">
      <c r="A1301" s="25" t="s">
        <v>10538</v>
      </c>
      <c r="B1301" s="25" t="s">
        <v>8419</v>
      </c>
      <c r="C1301" s="25" t="s">
        <v>8393</v>
      </c>
      <c r="D1301" s="25" t="n">
        <v>9</v>
      </c>
      <c r="E1301" s="25" t="s">
        <v>8394</v>
      </c>
      <c r="F1301" s="25" t="s">
        <v>8395</v>
      </c>
      <c r="G1301" s="25" t="s">
        <v>8396</v>
      </c>
      <c r="H1301" s="25" t="s">
        <v>8403</v>
      </c>
      <c r="I1301" s="25" t="s">
        <v>10539</v>
      </c>
      <c r="J1301" s="25" t="s">
        <v>649</v>
      </c>
      <c r="K1301" s="25" t="n">
        <v>0</v>
      </c>
      <c r="L1301" s="25" t="str">
        <f aca="false">IF(K1301&gt;0,"Yes","No")</f>
        <v>No</v>
      </c>
    </row>
    <row r="1302" customFormat="false" ht="15" hidden="false" customHeight="false" outlineLevel="0" collapsed="false">
      <c r="A1302" s="25" t="s">
        <v>10540</v>
      </c>
      <c r="B1302" s="25" t="s">
        <v>8419</v>
      </c>
      <c r="C1302" s="25" t="s">
        <v>8393</v>
      </c>
      <c r="D1302" s="25" t="n">
        <v>9</v>
      </c>
      <c r="E1302" s="25" t="s">
        <v>8394</v>
      </c>
      <c r="F1302" s="25" t="s">
        <v>8395</v>
      </c>
      <c r="G1302" s="25" t="s">
        <v>8396</v>
      </c>
      <c r="H1302" s="25" t="s">
        <v>8403</v>
      </c>
      <c r="I1302" s="25" t="s">
        <v>10541</v>
      </c>
      <c r="J1302" s="25" t="s">
        <v>649</v>
      </c>
      <c r="K1302" s="25" t="n">
        <v>0</v>
      </c>
      <c r="L1302" s="25" t="str">
        <f aca="false">IF(K1302&gt;0,"Yes","No")</f>
        <v>No</v>
      </c>
    </row>
    <row r="1303" customFormat="false" ht="15" hidden="false" customHeight="false" outlineLevel="0" collapsed="false">
      <c r="A1303" s="25" t="s">
        <v>10542</v>
      </c>
      <c r="B1303" s="25" t="s">
        <v>8419</v>
      </c>
      <c r="C1303" s="25" t="s">
        <v>8393</v>
      </c>
      <c r="D1303" s="25" t="n">
        <v>9</v>
      </c>
      <c r="E1303" s="25" t="s">
        <v>8394</v>
      </c>
      <c r="F1303" s="25" t="s">
        <v>8395</v>
      </c>
      <c r="G1303" s="25" t="s">
        <v>8396</v>
      </c>
      <c r="H1303" s="25" t="s">
        <v>8403</v>
      </c>
      <c r="I1303" s="25" t="s">
        <v>10543</v>
      </c>
      <c r="J1303" s="25" t="s">
        <v>649</v>
      </c>
      <c r="K1303" s="25" t="n">
        <v>0</v>
      </c>
      <c r="L1303" s="25" t="str">
        <f aca="false">IF(K1303&gt;0,"Yes","No")</f>
        <v>No</v>
      </c>
    </row>
    <row r="1304" customFormat="false" ht="15" hidden="false" customHeight="false" outlineLevel="0" collapsed="false">
      <c r="A1304" s="25" t="s">
        <v>10544</v>
      </c>
      <c r="B1304" s="25" t="s">
        <v>8419</v>
      </c>
      <c r="C1304" s="25" t="s">
        <v>8393</v>
      </c>
      <c r="D1304" s="25" t="n">
        <v>9</v>
      </c>
      <c r="E1304" s="25" t="s">
        <v>8394</v>
      </c>
      <c r="F1304" s="25" t="s">
        <v>8395</v>
      </c>
      <c r="G1304" s="25" t="s">
        <v>8396</v>
      </c>
      <c r="H1304" s="25" t="s">
        <v>8403</v>
      </c>
      <c r="I1304" s="25" t="s">
        <v>10545</v>
      </c>
      <c r="J1304" s="25" t="s">
        <v>649</v>
      </c>
      <c r="K1304" s="25" t="n">
        <v>0</v>
      </c>
      <c r="L1304" s="25" t="str">
        <f aca="false">IF(K1304&gt;0,"Yes","No")</f>
        <v>No</v>
      </c>
    </row>
    <row r="1305" customFormat="false" ht="15" hidden="false" customHeight="false" outlineLevel="0" collapsed="false">
      <c r="A1305" s="25" t="s">
        <v>8285</v>
      </c>
      <c r="B1305" s="25" t="s">
        <v>8392</v>
      </c>
      <c r="C1305" s="25" t="s">
        <v>8393</v>
      </c>
      <c r="D1305" s="25" t="n">
        <v>9</v>
      </c>
      <c r="E1305" s="25" t="s">
        <v>8394</v>
      </c>
      <c r="F1305" s="25" t="s">
        <v>8395</v>
      </c>
      <c r="G1305" s="25" t="s">
        <v>8398</v>
      </c>
      <c r="H1305" s="25"/>
      <c r="I1305" s="25" t="s">
        <v>407</v>
      </c>
      <c r="J1305" s="25" t="s">
        <v>8286</v>
      </c>
      <c r="K1305" s="25" t="n">
        <v>0</v>
      </c>
      <c r="L1305" s="25" t="str">
        <f aca="false">IF(K1305&gt;0,"Yes","No")</f>
        <v>No</v>
      </c>
    </row>
    <row r="1306" customFormat="false" ht="15" hidden="false" customHeight="false" outlineLevel="0" collapsed="false">
      <c r="A1306" s="25" t="s">
        <v>10546</v>
      </c>
      <c r="B1306" s="25" t="s">
        <v>8419</v>
      </c>
      <c r="C1306" s="25" t="s">
        <v>8393</v>
      </c>
      <c r="D1306" s="25" t="n">
        <v>9</v>
      </c>
      <c r="E1306" s="25" t="s">
        <v>8394</v>
      </c>
      <c r="F1306" s="25" t="s">
        <v>8395</v>
      </c>
      <c r="G1306" s="25" t="s">
        <v>8400</v>
      </c>
      <c r="H1306" s="25"/>
      <c r="I1306" s="25" t="s">
        <v>8922</v>
      </c>
      <c r="J1306" s="25" t="s">
        <v>8286</v>
      </c>
      <c r="K1306" s="25" t="n">
        <v>0</v>
      </c>
      <c r="L1306" s="25" t="str">
        <f aca="false">IF(K1306&gt;0,"Yes","No")</f>
        <v>No</v>
      </c>
    </row>
    <row r="1307" customFormat="false" ht="15" hidden="false" customHeight="false" outlineLevel="0" collapsed="false">
      <c r="A1307" s="25" t="s">
        <v>10547</v>
      </c>
      <c r="B1307" s="25" t="s">
        <v>8419</v>
      </c>
      <c r="C1307" s="25" t="s">
        <v>8393</v>
      </c>
      <c r="D1307" s="25" t="n">
        <v>9</v>
      </c>
      <c r="E1307" s="25" t="s">
        <v>8394</v>
      </c>
      <c r="F1307" s="25" t="s">
        <v>8395</v>
      </c>
      <c r="G1307" s="25" t="s">
        <v>8400</v>
      </c>
      <c r="H1307" s="25"/>
      <c r="I1307" s="25" t="s">
        <v>8922</v>
      </c>
      <c r="J1307" s="25" t="s">
        <v>10548</v>
      </c>
      <c r="K1307" s="25" t="n">
        <v>0</v>
      </c>
      <c r="L1307" s="25" t="str">
        <f aca="false">IF(K1307&gt;0,"Yes","No")</f>
        <v>No</v>
      </c>
    </row>
    <row r="1308" customFormat="false" ht="15" hidden="false" customHeight="false" outlineLevel="0" collapsed="false">
      <c r="A1308" s="25" t="s">
        <v>10549</v>
      </c>
      <c r="B1308" s="25" t="s">
        <v>8419</v>
      </c>
      <c r="C1308" s="25" t="s">
        <v>8393</v>
      </c>
      <c r="D1308" s="25" t="n">
        <v>9</v>
      </c>
      <c r="E1308" s="25" t="s">
        <v>8394</v>
      </c>
      <c r="F1308" s="25" t="s">
        <v>8395</v>
      </c>
      <c r="G1308" s="25" t="s">
        <v>8396</v>
      </c>
      <c r="H1308" s="25" t="s">
        <v>8399</v>
      </c>
      <c r="I1308" s="25" t="s">
        <v>10550</v>
      </c>
      <c r="J1308" s="25" t="s">
        <v>10548</v>
      </c>
      <c r="K1308" s="25" t="n">
        <v>0</v>
      </c>
      <c r="L1308" s="25" t="str">
        <f aca="false">IF(K1308&gt;0,"Yes","No")</f>
        <v>No</v>
      </c>
    </row>
    <row r="1309" customFormat="false" ht="15" hidden="false" customHeight="false" outlineLevel="0" collapsed="false">
      <c r="A1309" s="25" t="s">
        <v>10551</v>
      </c>
      <c r="B1309" s="25" t="s">
        <v>8419</v>
      </c>
      <c r="C1309" s="25" t="s">
        <v>8393</v>
      </c>
      <c r="D1309" s="25" t="n">
        <v>9</v>
      </c>
      <c r="E1309" s="25" t="s">
        <v>8394</v>
      </c>
      <c r="F1309" s="25" t="s">
        <v>8395</v>
      </c>
      <c r="G1309" s="25" t="s">
        <v>8396</v>
      </c>
      <c r="H1309" s="25" t="s">
        <v>8399</v>
      </c>
      <c r="I1309" s="25" t="s">
        <v>10552</v>
      </c>
      <c r="J1309" s="25" t="s">
        <v>10548</v>
      </c>
      <c r="K1309" s="25" t="n">
        <v>0</v>
      </c>
      <c r="L1309" s="25" t="str">
        <f aca="false">IF(K1309&gt;0,"Yes","No")</f>
        <v>No</v>
      </c>
    </row>
    <row r="1310" customFormat="false" ht="15" hidden="false" customHeight="false" outlineLevel="0" collapsed="false">
      <c r="A1310" s="25" t="s">
        <v>10553</v>
      </c>
      <c r="B1310" s="25" t="s">
        <v>8419</v>
      </c>
      <c r="C1310" s="25" t="s">
        <v>8393</v>
      </c>
      <c r="D1310" s="25" t="n">
        <v>9</v>
      </c>
      <c r="E1310" s="25" t="s">
        <v>8394</v>
      </c>
      <c r="F1310" s="25" t="s">
        <v>8395</v>
      </c>
      <c r="G1310" s="25" t="s">
        <v>8396</v>
      </c>
      <c r="H1310" s="25" t="s">
        <v>8399</v>
      </c>
      <c r="I1310" s="25" t="s">
        <v>10554</v>
      </c>
      <c r="J1310" s="25" t="s">
        <v>10548</v>
      </c>
      <c r="K1310" s="25" t="n">
        <v>0</v>
      </c>
      <c r="L1310" s="25" t="str">
        <f aca="false">IF(K1310&gt;0,"Yes","No")</f>
        <v>No</v>
      </c>
    </row>
    <row r="1311" customFormat="false" ht="15" hidden="false" customHeight="false" outlineLevel="0" collapsed="false">
      <c r="A1311" s="25" t="s">
        <v>10555</v>
      </c>
      <c r="B1311" s="25" t="s">
        <v>8419</v>
      </c>
      <c r="C1311" s="25" t="s">
        <v>8393</v>
      </c>
      <c r="D1311" s="25" t="n">
        <v>9</v>
      </c>
      <c r="E1311" s="25" t="s">
        <v>8394</v>
      </c>
      <c r="F1311" s="25" t="s">
        <v>8395</v>
      </c>
      <c r="G1311" s="25" t="s">
        <v>8396</v>
      </c>
      <c r="H1311" s="25" t="s">
        <v>8399</v>
      </c>
      <c r="I1311" s="25" t="s">
        <v>10556</v>
      </c>
      <c r="J1311" s="25" t="s">
        <v>10548</v>
      </c>
      <c r="K1311" s="25" t="n">
        <v>0</v>
      </c>
      <c r="L1311" s="25" t="str">
        <f aca="false">IF(K1311&gt;0,"Yes","No")</f>
        <v>No</v>
      </c>
    </row>
    <row r="1312" customFormat="false" ht="15" hidden="false" customHeight="false" outlineLevel="0" collapsed="false">
      <c r="A1312" s="25" t="s">
        <v>10557</v>
      </c>
      <c r="B1312" s="25" t="s">
        <v>8392</v>
      </c>
      <c r="C1312" s="25" t="s">
        <v>8393</v>
      </c>
      <c r="D1312" s="25" t="n">
        <v>9</v>
      </c>
      <c r="E1312" s="25" t="s">
        <v>8394</v>
      </c>
      <c r="F1312" s="25" t="s">
        <v>8395</v>
      </c>
      <c r="G1312" s="25" t="s">
        <v>8398</v>
      </c>
      <c r="H1312" s="25"/>
      <c r="I1312" s="25" t="s">
        <v>10558</v>
      </c>
      <c r="J1312" s="25" t="s">
        <v>10559</v>
      </c>
      <c r="K1312" s="25" t="n">
        <v>0</v>
      </c>
      <c r="L1312" s="25" t="str">
        <f aca="false">IF(K1312&gt;0,"Yes","No")</f>
        <v>No</v>
      </c>
    </row>
    <row r="1313" customFormat="false" ht="15" hidden="false" customHeight="false" outlineLevel="0" collapsed="false">
      <c r="A1313" s="25" t="s">
        <v>10560</v>
      </c>
      <c r="B1313" s="25" t="s">
        <v>8419</v>
      </c>
      <c r="C1313" s="25" t="s">
        <v>8393</v>
      </c>
      <c r="D1313" s="25" t="n">
        <v>9</v>
      </c>
      <c r="E1313" s="25" t="s">
        <v>8394</v>
      </c>
      <c r="F1313" s="25" t="s">
        <v>8395</v>
      </c>
      <c r="G1313" s="25" t="s">
        <v>8396</v>
      </c>
      <c r="H1313" s="25" t="s">
        <v>9911</v>
      </c>
      <c r="I1313" s="25" t="s">
        <v>10561</v>
      </c>
      <c r="J1313" s="25" t="s">
        <v>10562</v>
      </c>
      <c r="K1313" s="25" t="n">
        <v>0</v>
      </c>
      <c r="L1313" s="25" t="str">
        <f aca="false">IF(K1313&gt;0,"Yes","No")</f>
        <v>No</v>
      </c>
    </row>
    <row r="1314" customFormat="false" ht="15" hidden="false" customHeight="false" outlineLevel="0" collapsed="false">
      <c r="A1314" s="25" t="s">
        <v>10563</v>
      </c>
      <c r="B1314" s="25" t="s">
        <v>8419</v>
      </c>
      <c r="C1314" s="25" t="s">
        <v>8393</v>
      </c>
      <c r="D1314" s="25" t="n">
        <v>9</v>
      </c>
      <c r="E1314" s="25" t="s">
        <v>8394</v>
      </c>
      <c r="F1314" s="25" t="s">
        <v>8395</v>
      </c>
      <c r="G1314" s="25" t="s">
        <v>8396</v>
      </c>
      <c r="H1314" s="25" t="s">
        <v>9911</v>
      </c>
      <c r="I1314" s="25" t="s">
        <v>10564</v>
      </c>
      <c r="J1314" s="25" t="s">
        <v>10562</v>
      </c>
      <c r="K1314" s="25" t="n">
        <v>0</v>
      </c>
      <c r="L1314" s="25" t="str">
        <f aca="false">IF(K1314&gt;0,"Yes","No")</f>
        <v>No</v>
      </c>
    </row>
    <row r="1315" customFormat="false" ht="15" hidden="false" customHeight="false" outlineLevel="0" collapsed="false">
      <c r="A1315" s="25" t="s">
        <v>10565</v>
      </c>
      <c r="B1315" s="25" t="s">
        <v>8419</v>
      </c>
      <c r="C1315" s="25" t="s">
        <v>8393</v>
      </c>
      <c r="D1315" s="25" t="n">
        <v>9</v>
      </c>
      <c r="E1315" s="25" t="s">
        <v>8394</v>
      </c>
      <c r="F1315" s="25" t="s">
        <v>8395</v>
      </c>
      <c r="G1315" s="25" t="s">
        <v>8396</v>
      </c>
      <c r="H1315" s="25" t="s">
        <v>9911</v>
      </c>
      <c r="I1315" s="25" t="s">
        <v>10566</v>
      </c>
      <c r="J1315" s="25" t="s">
        <v>10562</v>
      </c>
      <c r="K1315" s="25" t="n">
        <v>0</v>
      </c>
      <c r="L1315" s="25" t="str">
        <f aca="false">IF(K1315&gt;0,"Yes","No")</f>
        <v>No</v>
      </c>
    </row>
    <row r="1316" customFormat="false" ht="15" hidden="false" customHeight="false" outlineLevel="0" collapsed="false">
      <c r="A1316" s="25" t="s">
        <v>10567</v>
      </c>
      <c r="B1316" s="25" t="s">
        <v>8419</v>
      </c>
      <c r="C1316" s="25" t="s">
        <v>8393</v>
      </c>
      <c r="D1316" s="25" t="n">
        <v>9</v>
      </c>
      <c r="E1316" s="25" t="s">
        <v>8394</v>
      </c>
      <c r="F1316" s="25" t="s">
        <v>8395</v>
      </c>
      <c r="G1316" s="25" t="s">
        <v>8396</v>
      </c>
      <c r="H1316" s="25" t="s">
        <v>9911</v>
      </c>
      <c r="I1316" s="25" t="s">
        <v>10568</v>
      </c>
      <c r="J1316" s="25" t="s">
        <v>10562</v>
      </c>
      <c r="K1316" s="25" t="n">
        <v>0</v>
      </c>
      <c r="L1316" s="25" t="str">
        <f aca="false">IF(K1316&gt;0,"Yes","No")</f>
        <v>No</v>
      </c>
    </row>
    <row r="1317" customFormat="false" ht="15" hidden="false" customHeight="false" outlineLevel="0" collapsed="false">
      <c r="A1317" s="25" t="s">
        <v>10569</v>
      </c>
      <c r="B1317" s="25" t="s">
        <v>8419</v>
      </c>
      <c r="C1317" s="25" t="s">
        <v>8393</v>
      </c>
      <c r="D1317" s="25" t="n">
        <v>9</v>
      </c>
      <c r="E1317" s="25" t="s">
        <v>8394</v>
      </c>
      <c r="F1317" s="25" t="s">
        <v>8395</v>
      </c>
      <c r="G1317" s="25" t="s">
        <v>8396</v>
      </c>
      <c r="H1317" s="25" t="s">
        <v>9911</v>
      </c>
      <c r="I1317" s="25" t="s">
        <v>10570</v>
      </c>
      <c r="J1317" s="25" t="s">
        <v>10562</v>
      </c>
      <c r="K1317" s="25" t="n">
        <v>0</v>
      </c>
      <c r="L1317" s="25" t="str">
        <f aca="false">IF(K1317&gt;0,"Yes","No")</f>
        <v>No</v>
      </c>
    </row>
    <row r="1318" customFormat="false" ht="15" hidden="false" customHeight="false" outlineLevel="0" collapsed="false">
      <c r="A1318" s="25" t="s">
        <v>10571</v>
      </c>
      <c r="B1318" s="25" t="s">
        <v>8419</v>
      </c>
      <c r="C1318" s="25" t="s">
        <v>8393</v>
      </c>
      <c r="D1318" s="25" t="n">
        <v>9</v>
      </c>
      <c r="E1318" s="25" t="s">
        <v>8394</v>
      </c>
      <c r="F1318" s="25" t="s">
        <v>8395</v>
      </c>
      <c r="G1318" s="25" t="s">
        <v>8400</v>
      </c>
      <c r="H1318" s="25"/>
      <c r="I1318" s="25" t="s">
        <v>10572</v>
      </c>
      <c r="J1318" s="25" t="s">
        <v>10573</v>
      </c>
      <c r="K1318" s="25" t="n">
        <v>0</v>
      </c>
      <c r="L1318" s="25" t="str">
        <f aca="false">IF(K1318&gt;0,"Yes","No")</f>
        <v>No</v>
      </c>
    </row>
    <row r="1319" customFormat="false" ht="15" hidden="false" customHeight="false" outlineLevel="0" collapsed="false">
      <c r="A1319" s="25" t="s">
        <v>10574</v>
      </c>
      <c r="B1319" s="25" t="s">
        <v>8419</v>
      </c>
      <c r="C1319" s="25" t="s">
        <v>8393</v>
      </c>
      <c r="D1319" s="25" t="n">
        <v>9</v>
      </c>
      <c r="E1319" s="25" t="s">
        <v>8394</v>
      </c>
      <c r="F1319" s="25" t="s">
        <v>8395</v>
      </c>
      <c r="G1319" s="25" t="s">
        <v>8400</v>
      </c>
      <c r="H1319" s="25"/>
      <c r="I1319" s="25" t="s">
        <v>10575</v>
      </c>
      <c r="J1319" s="25" t="s">
        <v>10573</v>
      </c>
      <c r="K1319" s="25" t="n">
        <v>0</v>
      </c>
      <c r="L1319" s="25" t="str">
        <f aca="false">IF(K1319&gt;0,"Yes","No")</f>
        <v>No</v>
      </c>
    </row>
    <row r="1320" customFormat="false" ht="15" hidden="false" customHeight="false" outlineLevel="0" collapsed="false">
      <c r="A1320" s="25" t="s">
        <v>10576</v>
      </c>
      <c r="B1320" s="25" t="s">
        <v>8419</v>
      </c>
      <c r="C1320" s="25" t="s">
        <v>8393</v>
      </c>
      <c r="D1320" s="25" t="n">
        <v>9</v>
      </c>
      <c r="E1320" s="25" t="s">
        <v>8394</v>
      </c>
      <c r="F1320" s="25" t="s">
        <v>8395</v>
      </c>
      <c r="G1320" s="25" t="s">
        <v>8400</v>
      </c>
      <c r="H1320" s="25"/>
      <c r="I1320" s="25" t="s">
        <v>10577</v>
      </c>
      <c r="J1320" s="25" t="s">
        <v>10578</v>
      </c>
      <c r="K1320" s="25" t="n">
        <v>0</v>
      </c>
      <c r="L1320" s="25" t="str">
        <f aca="false">IF(K1320&gt;0,"Yes","No")</f>
        <v>No</v>
      </c>
    </row>
    <row r="1321" customFormat="false" ht="15" hidden="false" customHeight="false" outlineLevel="0" collapsed="false">
      <c r="A1321" s="25" t="s">
        <v>10579</v>
      </c>
      <c r="B1321" s="25" t="s">
        <v>8419</v>
      </c>
      <c r="C1321" s="25" t="s">
        <v>8393</v>
      </c>
      <c r="D1321" s="25" t="n">
        <v>9</v>
      </c>
      <c r="E1321" s="25" t="s">
        <v>8394</v>
      </c>
      <c r="F1321" s="25" t="s">
        <v>8395</v>
      </c>
      <c r="G1321" s="25" t="s">
        <v>8400</v>
      </c>
      <c r="H1321" s="25"/>
      <c r="I1321" s="25" t="s">
        <v>10580</v>
      </c>
      <c r="J1321" s="25" t="s">
        <v>10581</v>
      </c>
      <c r="K1321" s="25" t="n">
        <v>0</v>
      </c>
      <c r="L1321" s="25" t="str">
        <f aca="false">IF(K1321&gt;0,"Yes","No")</f>
        <v>No</v>
      </c>
    </row>
    <row r="1322" customFormat="false" ht="15" hidden="false" customHeight="false" outlineLevel="0" collapsed="false">
      <c r="A1322" s="25" t="s">
        <v>10582</v>
      </c>
      <c r="B1322" s="25" t="s">
        <v>8419</v>
      </c>
      <c r="C1322" s="25" t="s">
        <v>8393</v>
      </c>
      <c r="D1322" s="25" t="n">
        <v>9</v>
      </c>
      <c r="E1322" s="25" t="s">
        <v>8394</v>
      </c>
      <c r="F1322" s="25" t="s">
        <v>8395</v>
      </c>
      <c r="G1322" s="25" t="s">
        <v>8400</v>
      </c>
      <c r="H1322" s="25"/>
      <c r="I1322" s="25" t="s">
        <v>10583</v>
      </c>
      <c r="J1322" s="25" t="s">
        <v>10581</v>
      </c>
      <c r="K1322" s="25" t="n">
        <v>0</v>
      </c>
      <c r="L1322" s="25" t="str">
        <f aca="false">IF(K1322&gt;0,"Yes","No")</f>
        <v>No</v>
      </c>
    </row>
    <row r="1323" customFormat="false" ht="15" hidden="false" customHeight="false" outlineLevel="0" collapsed="false">
      <c r="A1323" s="25" t="s">
        <v>10584</v>
      </c>
      <c r="B1323" s="25" t="s">
        <v>8392</v>
      </c>
      <c r="C1323" s="25" t="s">
        <v>8393</v>
      </c>
      <c r="D1323" s="25" t="n">
        <v>9</v>
      </c>
      <c r="E1323" s="25" t="s">
        <v>8394</v>
      </c>
      <c r="F1323" s="25" t="s">
        <v>8395</v>
      </c>
      <c r="G1323" s="25" t="s">
        <v>8398</v>
      </c>
      <c r="H1323" s="25"/>
      <c r="I1323" s="25" t="s">
        <v>9920</v>
      </c>
      <c r="J1323" s="25" t="s">
        <v>10585</v>
      </c>
      <c r="K1323" s="25" t="n">
        <v>0</v>
      </c>
      <c r="L1323" s="25" t="str">
        <f aca="false">IF(K1323&gt;0,"Yes","No")</f>
        <v>No</v>
      </c>
    </row>
    <row r="1324" customFormat="false" ht="15" hidden="false" customHeight="false" outlineLevel="0" collapsed="false">
      <c r="A1324" s="25" t="s">
        <v>10586</v>
      </c>
      <c r="B1324" s="25" t="s">
        <v>8392</v>
      </c>
      <c r="C1324" s="25" t="s">
        <v>8393</v>
      </c>
      <c r="D1324" s="25" t="n">
        <v>9</v>
      </c>
      <c r="E1324" s="25" t="s">
        <v>8394</v>
      </c>
      <c r="F1324" s="25" t="s">
        <v>8395</v>
      </c>
      <c r="G1324" s="25" t="s">
        <v>8398</v>
      </c>
      <c r="H1324" s="25"/>
      <c r="I1324" s="25" t="s">
        <v>10587</v>
      </c>
      <c r="J1324" s="25" t="s">
        <v>10585</v>
      </c>
      <c r="K1324" s="25" t="n">
        <v>0</v>
      </c>
      <c r="L1324" s="25" t="str">
        <f aca="false">IF(K1324&gt;0,"Yes","No")</f>
        <v>No</v>
      </c>
    </row>
    <row r="1325" customFormat="false" ht="15" hidden="false" customHeight="false" outlineLevel="0" collapsed="false">
      <c r="A1325" s="25" t="s">
        <v>10588</v>
      </c>
      <c r="B1325" s="25" t="s">
        <v>8392</v>
      </c>
      <c r="C1325" s="25" t="s">
        <v>8393</v>
      </c>
      <c r="D1325" s="25" t="n">
        <v>9</v>
      </c>
      <c r="E1325" s="25" t="s">
        <v>8394</v>
      </c>
      <c r="F1325" s="25" t="s">
        <v>8395</v>
      </c>
      <c r="G1325" s="25" t="s">
        <v>8398</v>
      </c>
      <c r="H1325" s="25"/>
      <c r="I1325" s="25" t="s">
        <v>10589</v>
      </c>
      <c r="J1325" s="25" t="s">
        <v>10590</v>
      </c>
      <c r="K1325" s="25" t="n">
        <v>0</v>
      </c>
      <c r="L1325" s="25" t="str">
        <f aca="false">IF(K1325&gt;0,"Yes","No")</f>
        <v>No</v>
      </c>
    </row>
    <row r="1326" customFormat="false" ht="15" hidden="false" customHeight="false" outlineLevel="0" collapsed="false">
      <c r="A1326" s="25" t="s">
        <v>10591</v>
      </c>
      <c r="B1326" s="25" t="s">
        <v>8419</v>
      </c>
      <c r="C1326" s="25" t="s">
        <v>8393</v>
      </c>
      <c r="D1326" s="25" t="n">
        <v>9</v>
      </c>
      <c r="E1326" s="25" t="s">
        <v>8394</v>
      </c>
      <c r="F1326" s="25" t="s">
        <v>8395</v>
      </c>
      <c r="G1326" s="25" t="s">
        <v>8400</v>
      </c>
      <c r="H1326" s="25"/>
      <c r="I1326" s="25" t="s">
        <v>9909</v>
      </c>
      <c r="J1326" s="25" t="s">
        <v>10592</v>
      </c>
      <c r="K1326" s="25" t="n">
        <v>0</v>
      </c>
      <c r="L1326" s="25" t="str">
        <f aca="false">IF(K1326&gt;0,"Yes","No")</f>
        <v>No</v>
      </c>
    </row>
    <row r="1327" customFormat="false" ht="15" hidden="false" customHeight="false" outlineLevel="0" collapsed="false">
      <c r="A1327" s="25" t="s">
        <v>10593</v>
      </c>
      <c r="B1327" s="25" t="s">
        <v>8419</v>
      </c>
      <c r="C1327" s="25" t="s">
        <v>8393</v>
      </c>
      <c r="D1327" s="25" t="n">
        <v>9</v>
      </c>
      <c r="E1327" s="25" t="s">
        <v>8394</v>
      </c>
      <c r="F1327" s="25" t="s">
        <v>8395</v>
      </c>
      <c r="G1327" s="25" t="s">
        <v>8400</v>
      </c>
      <c r="H1327" s="25"/>
      <c r="I1327" s="25" t="s">
        <v>10594</v>
      </c>
      <c r="J1327" s="25" t="s">
        <v>10592</v>
      </c>
      <c r="K1327" s="25" t="n">
        <v>0</v>
      </c>
      <c r="L1327" s="25" t="str">
        <f aca="false">IF(K1327&gt;0,"Yes","No")</f>
        <v>No</v>
      </c>
    </row>
    <row r="1328" customFormat="false" ht="15" hidden="false" customHeight="false" outlineLevel="0" collapsed="false">
      <c r="A1328" s="25" t="s">
        <v>10595</v>
      </c>
      <c r="B1328" s="25" t="s">
        <v>8392</v>
      </c>
      <c r="C1328" s="25" t="s">
        <v>8393</v>
      </c>
      <c r="D1328" s="25" t="n">
        <v>9</v>
      </c>
      <c r="E1328" s="25" t="s">
        <v>8394</v>
      </c>
      <c r="F1328" s="25" t="s">
        <v>8395</v>
      </c>
      <c r="G1328" s="25" t="s">
        <v>8396</v>
      </c>
      <c r="H1328" s="25" t="s">
        <v>8399</v>
      </c>
      <c r="I1328" s="25" t="s">
        <v>10596</v>
      </c>
      <c r="J1328" s="25" t="s">
        <v>10597</v>
      </c>
      <c r="K1328" s="25" t="n">
        <v>0</v>
      </c>
      <c r="L1328" s="25" t="str">
        <f aca="false">IF(K1328&gt;0,"Yes","No")</f>
        <v>No</v>
      </c>
    </row>
    <row r="1329" customFormat="false" ht="15" hidden="false" customHeight="false" outlineLevel="0" collapsed="false">
      <c r="A1329" s="25" t="s">
        <v>10598</v>
      </c>
      <c r="B1329" s="25" t="s">
        <v>8392</v>
      </c>
      <c r="C1329" s="25" t="s">
        <v>8393</v>
      </c>
      <c r="D1329" s="25" t="n">
        <v>9</v>
      </c>
      <c r="E1329" s="25" t="s">
        <v>8394</v>
      </c>
      <c r="F1329" s="25" t="s">
        <v>8395</v>
      </c>
      <c r="G1329" s="25" t="s">
        <v>8398</v>
      </c>
      <c r="H1329" s="25"/>
      <c r="I1329" s="25" t="s">
        <v>10599</v>
      </c>
      <c r="J1329" s="25" t="s">
        <v>10600</v>
      </c>
      <c r="K1329" s="25" t="n">
        <v>0</v>
      </c>
      <c r="L1329" s="25" t="str">
        <f aca="false">IF(K1329&gt;0,"Yes","No")</f>
        <v>No</v>
      </c>
    </row>
    <row r="1330" customFormat="false" ht="15" hidden="false" customHeight="false" outlineLevel="0" collapsed="false">
      <c r="A1330" s="25" t="s">
        <v>10601</v>
      </c>
      <c r="B1330" s="25" t="s">
        <v>8419</v>
      </c>
      <c r="C1330" s="25" t="s">
        <v>8393</v>
      </c>
      <c r="D1330" s="25" t="n">
        <v>9</v>
      </c>
      <c r="E1330" s="25" t="s">
        <v>8394</v>
      </c>
      <c r="F1330" s="25" t="s">
        <v>8395</v>
      </c>
      <c r="G1330" s="25" t="s">
        <v>8400</v>
      </c>
      <c r="H1330" s="25"/>
      <c r="I1330" s="25" t="s">
        <v>10602</v>
      </c>
      <c r="J1330" s="25" t="s">
        <v>10603</v>
      </c>
      <c r="K1330" s="25" t="n">
        <v>0</v>
      </c>
      <c r="L1330" s="25" t="str">
        <f aca="false">IF(K1330&gt;0,"Yes","No")</f>
        <v>No</v>
      </c>
    </row>
    <row r="1331" customFormat="false" ht="15" hidden="false" customHeight="false" outlineLevel="0" collapsed="false">
      <c r="A1331" s="25" t="s">
        <v>10604</v>
      </c>
      <c r="B1331" s="25" t="s">
        <v>8392</v>
      </c>
      <c r="C1331" s="25" t="s">
        <v>8393</v>
      </c>
      <c r="D1331" s="25" t="n">
        <v>9</v>
      </c>
      <c r="E1331" s="25" t="s">
        <v>8394</v>
      </c>
      <c r="F1331" s="25" t="s">
        <v>8395</v>
      </c>
      <c r="G1331" s="25" t="s">
        <v>8398</v>
      </c>
      <c r="H1331" s="25"/>
      <c r="I1331" s="25" t="s">
        <v>10605</v>
      </c>
      <c r="J1331" s="25" t="s">
        <v>10603</v>
      </c>
      <c r="K1331" s="25" t="n">
        <v>0</v>
      </c>
      <c r="L1331" s="25" t="str">
        <f aca="false">IF(K1331&gt;0,"Yes","No")</f>
        <v>No</v>
      </c>
    </row>
    <row r="1332" customFormat="false" ht="15" hidden="false" customHeight="false" outlineLevel="0" collapsed="false">
      <c r="A1332" s="25" t="s">
        <v>10606</v>
      </c>
      <c r="B1332" s="25" t="s">
        <v>8419</v>
      </c>
      <c r="C1332" s="25" t="s">
        <v>8393</v>
      </c>
      <c r="D1332" s="25" t="n">
        <v>9</v>
      </c>
      <c r="E1332" s="25" t="s">
        <v>8394</v>
      </c>
      <c r="F1332" s="25" t="s">
        <v>8395</v>
      </c>
      <c r="G1332" s="25" t="s">
        <v>8396</v>
      </c>
      <c r="H1332" s="25" t="s">
        <v>10607</v>
      </c>
      <c r="I1332" s="25" t="s">
        <v>10608</v>
      </c>
      <c r="J1332" s="25" t="s">
        <v>10603</v>
      </c>
      <c r="K1332" s="25" t="n">
        <v>0</v>
      </c>
      <c r="L1332" s="25" t="str">
        <f aca="false">IF(K1332&gt;0,"Yes","No")</f>
        <v>No</v>
      </c>
    </row>
    <row r="1333" customFormat="false" ht="15" hidden="false" customHeight="false" outlineLevel="0" collapsed="false">
      <c r="A1333" s="25" t="s">
        <v>10609</v>
      </c>
      <c r="B1333" s="25" t="s">
        <v>8419</v>
      </c>
      <c r="C1333" s="25" t="s">
        <v>8393</v>
      </c>
      <c r="D1333" s="25" t="n">
        <v>9</v>
      </c>
      <c r="E1333" s="25" t="s">
        <v>8394</v>
      </c>
      <c r="F1333" s="25" t="s">
        <v>8395</v>
      </c>
      <c r="G1333" s="25" t="s">
        <v>8396</v>
      </c>
      <c r="H1333" s="25" t="s">
        <v>10607</v>
      </c>
      <c r="I1333" s="25" t="s">
        <v>10610</v>
      </c>
      <c r="J1333" s="25" t="s">
        <v>10603</v>
      </c>
      <c r="K1333" s="25" t="n">
        <v>0</v>
      </c>
      <c r="L1333" s="25" t="str">
        <f aca="false">IF(K1333&gt;0,"Yes","No")</f>
        <v>No</v>
      </c>
    </row>
    <row r="1334" customFormat="false" ht="15" hidden="false" customHeight="false" outlineLevel="0" collapsed="false">
      <c r="A1334" s="25" t="s">
        <v>10611</v>
      </c>
      <c r="B1334" s="25" t="s">
        <v>8419</v>
      </c>
      <c r="C1334" s="25" t="s">
        <v>8393</v>
      </c>
      <c r="D1334" s="25" t="n">
        <v>9</v>
      </c>
      <c r="E1334" s="25" t="s">
        <v>8394</v>
      </c>
      <c r="F1334" s="25" t="s">
        <v>8395</v>
      </c>
      <c r="G1334" s="25" t="s">
        <v>8396</v>
      </c>
      <c r="H1334" s="25" t="s">
        <v>10607</v>
      </c>
      <c r="I1334" s="25" t="s">
        <v>10612</v>
      </c>
      <c r="J1334" s="25" t="s">
        <v>10603</v>
      </c>
      <c r="K1334" s="25" t="n">
        <v>0</v>
      </c>
      <c r="L1334" s="25" t="str">
        <f aca="false">IF(K1334&gt;0,"Yes","No")</f>
        <v>No</v>
      </c>
    </row>
    <row r="1335" customFormat="false" ht="15" hidden="false" customHeight="false" outlineLevel="0" collapsed="false">
      <c r="A1335" s="25" t="s">
        <v>10613</v>
      </c>
      <c r="B1335" s="25" t="s">
        <v>8419</v>
      </c>
      <c r="C1335" s="25" t="s">
        <v>8393</v>
      </c>
      <c r="D1335" s="25" t="n">
        <v>9</v>
      </c>
      <c r="E1335" s="25" t="s">
        <v>8394</v>
      </c>
      <c r="F1335" s="25" t="s">
        <v>8395</v>
      </c>
      <c r="G1335" s="25" t="s">
        <v>8396</v>
      </c>
      <c r="H1335" s="25" t="s">
        <v>10607</v>
      </c>
      <c r="I1335" s="25" t="s">
        <v>10614</v>
      </c>
      <c r="J1335" s="25" t="s">
        <v>10603</v>
      </c>
      <c r="K1335" s="25" t="n">
        <v>0</v>
      </c>
      <c r="L1335" s="25" t="str">
        <f aca="false">IF(K1335&gt;0,"Yes","No")</f>
        <v>No</v>
      </c>
    </row>
    <row r="1336" customFormat="false" ht="15" hidden="false" customHeight="false" outlineLevel="0" collapsed="false">
      <c r="A1336" s="25" t="s">
        <v>10615</v>
      </c>
      <c r="B1336" s="25" t="s">
        <v>8392</v>
      </c>
      <c r="C1336" s="25" t="s">
        <v>8393</v>
      </c>
      <c r="D1336" s="25" t="n">
        <v>9</v>
      </c>
      <c r="E1336" s="25" t="s">
        <v>8394</v>
      </c>
      <c r="F1336" s="25" t="s">
        <v>8395</v>
      </c>
      <c r="G1336" s="25" t="s">
        <v>8402</v>
      </c>
      <c r="H1336" s="25" t="s">
        <v>8399</v>
      </c>
      <c r="I1336" s="25" t="s">
        <v>10616</v>
      </c>
      <c r="J1336" s="25" t="s">
        <v>10603</v>
      </c>
      <c r="K1336" s="25" t="n">
        <v>0</v>
      </c>
      <c r="L1336" s="25" t="str">
        <f aca="false">IF(K1336&gt;0,"Yes","No")</f>
        <v>No</v>
      </c>
    </row>
    <row r="1337" customFormat="false" ht="15" hidden="false" customHeight="false" outlineLevel="0" collapsed="false">
      <c r="A1337" s="25" t="s">
        <v>10617</v>
      </c>
      <c r="B1337" s="25" t="s">
        <v>8419</v>
      </c>
      <c r="C1337" s="25" t="s">
        <v>8393</v>
      </c>
      <c r="D1337" s="25" t="n">
        <v>9</v>
      </c>
      <c r="E1337" s="25" t="s">
        <v>8394</v>
      </c>
      <c r="F1337" s="25" t="s">
        <v>8395</v>
      </c>
      <c r="G1337" s="25" t="s">
        <v>8400</v>
      </c>
      <c r="H1337" s="25"/>
      <c r="I1337" s="25" t="s">
        <v>10618</v>
      </c>
      <c r="J1337" s="25" t="s">
        <v>10603</v>
      </c>
      <c r="K1337" s="25" t="n">
        <v>0</v>
      </c>
      <c r="L1337" s="25" t="str">
        <f aca="false">IF(K1337&gt;0,"Yes","No")</f>
        <v>No</v>
      </c>
    </row>
    <row r="1338" customFormat="false" ht="15" hidden="false" customHeight="false" outlineLevel="0" collapsed="false">
      <c r="A1338" s="25" t="s">
        <v>10619</v>
      </c>
      <c r="B1338" s="25" t="s">
        <v>8392</v>
      </c>
      <c r="C1338" s="25" t="s">
        <v>8393</v>
      </c>
      <c r="D1338" s="25" t="n">
        <v>9</v>
      </c>
      <c r="E1338" s="25" t="s">
        <v>8394</v>
      </c>
      <c r="F1338" s="25" t="s">
        <v>8395</v>
      </c>
      <c r="G1338" s="25" t="s">
        <v>8398</v>
      </c>
      <c r="H1338" s="25"/>
      <c r="I1338" s="25" t="s">
        <v>10620</v>
      </c>
      <c r="J1338" s="25" t="s">
        <v>10621</v>
      </c>
      <c r="K1338" s="25" t="n">
        <v>0</v>
      </c>
      <c r="L1338" s="25" t="str">
        <f aca="false">IF(K1338&gt;0,"Yes","No")</f>
        <v>No</v>
      </c>
    </row>
    <row r="1339" customFormat="false" ht="15" hidden="false" customHeight="false" outlineLevel="0" collapsed="false">
      <c r="A1339" s="25" t="s">
        <v>10622</v>
      </c>
      <c r="B1339" s="25" t="s">
        <v>8419</v>
      </c>
      <c r="C1339" s="25" t="s">
        <v>8393</v>
      </c>
      <c r="D1339" s="25" t="n">
        <v>9</v>
      </c>
      <c r="E1339" s="25" t="s">
        <v>8394</v>
      </c>
      <c r="F1339" s="25" t="s">
        <v>8395</v>
      </c>
      <c r="G1339" s="25" t="s">
        <v>8400</v>
      </c>
      <c r="H1339" s="25"/>
      <c r="I1339" s="25" t="s">
        <v>10623</v>
      </c>
      <c r="J1339" s="25" t="s">
        <v>10624</v>
      </c>
      <c r="K1339" s="25" t="n">
        <v>0</v>
      </c>
      <c r="L1339" s="25" t="str">
        <f aca="false">IF(K1339&gt;0,"Yes","No")</f>
        <v>No</v>
      </c>
    </row>
    <row r="1340" customFormat="false" ht="15" hidden="false" customHeight="false" outlineLevel="0" collapsed="false">
      <c r="A1340" s="25" t="s">
        <v>10625</v>
      </c>
      <c r="B1340" s="25" t="s">
        <v>8392</v>
      </c>
      <c r="C1340" s="25" t="s">
        <v>8393</v>
      </c>
      <c r="D1340" s="25" t="n">
        <v>9</v>
      </c>
      <c r="E1340" s="25" t="s">
        <v>8394</v>
      </c>
      <c r="F1340" s="25" t="s">
        <v>8395</v>
      </c>
      <c r="G1340" s="25" t="s">
        <v>8398</v>
      </c>
      <c r="H1340" s="25"/>
      <c r="I1340" s="25" t="s">
        <v>10626</v>
      </c>
      <c r="J1340" s="25" t="s">
        <v>10627</v>
      </c>
      <c r="K1340" s="25" t="n">
        <v>0</v>
      </c>
      <c r="L1340" s="25" t="str">
        <f aca="false">IF(K1340&gt;0,"Yes","No")</f>
        <v>No</v>
      </c>
    </row>
    <row r="1341" customFormat="false" ht="15" hidden="false" customHeight="false" outlineLevel="0" collapsed="false">
      <c r="A1341" s="25" t="s">
        <v>10628</v>
      </c>
      <c r="B1341" s="25" t="s">
        <v>8392</v>
      </c>
      <c r="C1341" s="25" t="s">
        <v>8393</v>
      </c>
      <c r="D1341" s="25" t="n">
        <v>9</v>
      </c>
      <c r="E1341" s="25" t="s">
        <v>8394</v>
      </c>
      <c r="F1341" s="25" t="s">
        <v>8395</v>
      </c>
      <c r="G1341" s="25" t="s">
        <v>8398</v>
      </c>
      <c r="H1341" s="25"/>
      <c r="I1341" s="25" t="s">
        <v>10629</v>
      </c>
      <c r="J1341" s="25" t="s">
        <v>10630</v>
      </c>
      <c r="K1341" s="25" t="n">
        <v>0</v>
      </c>
      <c r="L1341" s="25" t="str">
        <f aca="false">IF(K1341&gt;0,"Yes","No")</f>
        <v>No</v>
      </c>
    </row>
    <row r="1342" customFormat="false" ht="15" hidden="false" customHeight="false" outlineLevel="0" collapsed="false">
      <c r="A1342" s="25" t="s">
        <v>10631</v>
      </c>
      <c r="B1342" s="25" t="s">
        <v>8419</v>
      </c>
      <c r="C1342" s="25" t="s">
        <v>8393</v>
      </c>
      <c r="D1342" s="25" t="n">
        <v>9</v>
      </c>
      <c r="E1342" s="25" t="s">
        <v>8394</v>
      </c>
      <c r="F1342" s="25" t="s">
        <v>8395</v>
      </c>
      <c r="G1342" s="25" t="s">
        <v>8400</v>
      </c>
      <c r="H1342" s="25"/>
      <c r="I1342" s="25" t="s">
        <v>10632</v>
      </c>
      <c r="J1342" s="25" t="s">
        <v>10633</v>
      </c>
      <c r="K1342" s="25" t="n">
        <v>0</v>
      </c>
      <c r="L1342" s="25" t="str">
        <f aca="false">IF(K1342&gt;0,"Yes","No")</f>
        <v>No</v>
      </c>
    </row>
    <row r="1343" customFormat="false" ht="15" hidden="false" customHeight="false" outlineLevel="0" collapsed="false">
      <c r="A1343" s="25" t="s">
        <v>10634</v>
      </c>
      <c r="B1343" s="25" t="s">
        <v>8392</v>
      </c>
      <c r="C1343" s="25" t="s">
        <v>8393</v>
      </c>
      <c r="D1343" s="25" t="n">
        <v>9</v>
      </c>
      <c r="E1343" s="25" t="s">
        <v>8394</v>
      </c>
      <c r="F1343" s="25" t="s">
        <v>8395</v>
      </c>
      <c r="G1343" s="25" t="s">
        <v>8398</v>
      </c>
      <c r="H1343" s="25"/>
      <c r="I1343" s="25" t="s">
        <v>8978</v>
      </c>
      <c r="J1343" s="25" t="s">
        <v>10635</v>
      </c>
      <c r="K1343" s="25" t="n">
        <v>0</v>
      </c>
      <c r="L1343" s="25" t="str">
        <f aca="false">IF(K1343&gt;0,"Yes","No")</f>
        <v>No</v>
      </c>
    </row>
    <row r="1344" customFormat="false" ht="15" hidden="false" customHeight="false" outlineLevel="0" collapsed="false">
      <c r="A1344" s="25" t="s">
        <v>10636</v>
      </c>
      <c r="B1344" s="25" t="s">
        <v>8419</v>
      </c>
      <c r="C1344" s="25" t="s">
        <v>8393</v>
      </c>
      <c r="D1344" s="25" t="n">
        <v>9</v>
      </c>
      <c r="E1344" s="25" t="s">
        <v>8394</v>
      </c>
      <c r="F1344" s="25" t="s">
        <v>8395</v>
      </c>
      <c r="G1344" s="25" t="s">
        <v>8400</v>
      </c>
      <c r="H1344" s="25"/>
      <c r="I1344" s="25" t="s">
        <v>10637</v>
      </c>
      <c r="J1344" s="25" t="s">
        <v>10638</v>
      </c>
      <c r="K1344" s="25" t="n">
        <v>0</v>
      </c>
      <c r="L1344" s="25" t="str">
        <f aca="false">IF(K1344&gt;0,"Yes","No")</f>
        <v>No</v>
      </c>
    </row>
    <row r="1345" customFormat="false" ht="15" hidden="false" customHeight="false" outlineLevel="0" collapsed="false">
      <c r="A1345" s="25" t="s">
        <v>10639</v>
      </c>
      <c r="B1345" s="25" t="s">
        <v>8392</v>
      </c>
      <c r="C1345" s="25" t="s">
        <v>8393</v>
      </c>
      <c r="D1345" s="25" t="n">
        <v>9</v>
      </c>
      <c r="E1345" s="25" t="s">
        <v>8394</v>
      </c>
      <c r="F1345" s="25" t="s">
        <v>8395</v>
      </c>
      <c r="G1345" s="25" t="s">
        <v>8398</v>
      </c>
      <c r="H1345" s="25"/>
      <c r="I1345" s="25" t="s">
        <v>10640</v>
      </c>
      <c r="J1345" s="25" t="s">
        <v>10641</v>
      </c>
      <c r="K1345" s="25" t="n">
        <v>0</v>
      </c>
      <c r="L1345" s="25" t="str">
        <f aca="false">IF(K1345&gt;0,"Yes","No")</f>
        <v>No</v>
      </c>
    </row>
    <row r="1346" customFormat="false" ht="15" hidden="false" customHeight="false" outlineLevel="0" collapsed="false">
      <c r="A1346" s="25" t="s">
        <v>10642</v>
      </c>
      <c r="B1346" s="25" t="s">
        <v>8392</v>
      </c>
      <c r="C1346" s="25" t="s">
        <v>8393</v>
      </c>
      <c r="D1346" s="25" t="n">
        <v>9</v>
      </c>
      <c r="E1346" s="25" t="s">
        <v>8394</v>
      </c>
      <c r="F1346" s="25" t="s">
        <v>8395</v>
      </c>
      <c r="G1346" s="25" t="s">
        <v>8398</v>
      </c>
      <c r="H1346" s="25"/>
      <c r="I1346" s="25" t="s">
        <v>10643</v>
      </c>
      <c r="J1346" s="25" t="s">
        <v>10644</v>
      </c>
      <c r="K1346" s="25" t="n">
        <v>0</v>
      </c>
      <c r="L1346" s="25" t="str">
        <f aca="false">IF(K1346&gt;0,"Yes","No")</f>
        <v>No</v>
      </c>
    </row>
    <row r="1347" customFormat="false" ht="15" hidden="false" customHeight="false" outlineLevel="0" collapsed="false">
      <c r="A1347" s="25" t="s">
        <v>10645</v>
      </c>
      <c r="B1347" s="25" t="s">
        <v>8392</v>
      </c>
      <c r="C1347" s="25" t="s">
        <v>8393</v>
      </c>
      <c r="D1347" s="25" t="n">
        <v>9</v>
      </c>
      <c r="E1347" s="25" t="s">
        <v>8394</v>
      </c>
      <c r="F1347" s="25" t="s">
        <v>8395</v>
      </c>
      <c r="G1347" s="25" t="s">
        <v>8400</v>
      </c>
      <c r="H1347" s="25"/>
      <c r="I1347" s="25" t="s">
        <v>10646</v>
      </c>
      <c r="J1347" s="25" t="s">
        <v>10647</v>
      </c>
      <c r="K1347" s="25" t="n">
        <v>0</v>
      </c>
      <c r="L1347" s="25" t="str">
        <f aca="false">IF(K1347&gt;0,"Yes","No")</f>
        <v>No</v>
      </c>
    </row>
    <row r="1348" customFormat="false" ht="15" hidden="false" customHeight="false" outlineLevel="0" collapsed="false">
      <c r="A1348" s="25" t="s">
        <v>10648</v>
      </c>
      <c r="B1348" s="25" t="s">
        <v>8392</v>
      </c>
      <c r="C1348" s="25" t="s">
        <v>8393</v>
      </c>
      <c r="D1348" s="25" t="n">
        <v>9</v>
      </c>
      <c r="E1348" s="25" t="s">
        <v>8394</v>
      </c>
      <c r="F1348" s="25" t="s">
        <v>8395</v>
      </c>
      <c r="G1348" s="25" t="s">
        <v>8400</v>
      </c>
      <c r="H1348" s="25"/>
      <c r="I1348" s="25" t="s">
        <v>10649</v>
      </c>
      <c r="J1348" s="25" t="s">
        <v>10650</v>
      </c>
      <c r="K1348" s="25" t="n">
        <v>0</v>
      </c>
      <c r="L1348" s="25" t="str">
        <f aca="false">IF(K1348&gt;0,"Yes","No")</f>
        <v>No</v>
      </c>
    </row>
    <row r="1349" customFormat="false" ht="15" hidden="false" customHeight="false" outlineLevel="0" collapsed="false">
      <c r="A1349" s="25" t="s">
        <v>10651</v>
      </c>
      <c r="B1349" s="25" t="s">
        <v>8392</v>
      </c>
      <c r="C1349" s="25" t="s">
        <v>8393</v>
      </c>
      <c r="D1349" s="25" t="n">
        <v>9</v>
      </c>
      <c r="E1349" s="25" t="s">
        <v>8394</v>
      </c>
      <c r="F1349" s="25" t="s">
        <v>8395</v>
      </c>
      <c r="G1349" s="25" t="s">
        <v>8400</v>
      </c>
      <c r="H1349" s="25"/>
      <c r="I1349" s="25" t="s">
        <v>10652</v>
      </c>
      <c r="J1349" s="25" t="s">
        <v>10653</v>
      </c>
      <c r="K1349" s="25" t="n">
        <v>0</v>
      </c>
      <c r="L1349" s="25" t="str">
        <f aca="false">IF(K1349&gt;0,"Yes","No")</f>
        <v>No</v>
      </c>
    </row>
    <row r="1350" customFormat="false" ht="15" hidden="false" customHeight="false" outlineLevel="0" collapsed="false">
      <c r="A1350" s="25" t="s">
        <v>10654</v>
      </c>
      <c r="B1350" s="25" t="s">
        <v>8392</v>
      </c>
      <c r="C1350" s="25" t="s">
        <v>8393</v>
      </c>
      <c r="D1350" s="25" t="n">
        <v>9</v>
      </c>
      <c r="E1350" s="25" t="s">
        <v>8394</v>
      </c>
      <c r="F1350" s="25" t="s">
        <v>8395</v>
      </c>
      <c r="G1350" s="25" t="s">
        <v>8400</v>
      </c>
      <c r="H1350" s="25"/>
      <c r="I1350" s="25" t="s">
        <v>10655</v>
      </c>
      <c r="J1350" s="25" t="s">
        <v>10656</v>
      </c>
      <c r="K1350" s="25" t="n">
        <v>0</v>
      </c>
      <c r="L1350" s="25" t="str">
        <f aca="false">IF(K1350&gt;0,"Yes","No")</f>
        <v>No</v>
      </c>
    </row>
    <row r="1351" customFormat="false" ht="15" hidden="false" customHeight="false" outlineLevel="0" collapsed="false">
      <c r="A1351" s="25" t="s">
        <v>10657</v>
      </c>
      <c r="B1351" s="25" t="s">
        <v>8392</v>
      </c>
      <c r="C1351" s="25" t="s">
        <v>8393</v>
      </c>
      <c r="D1351" s="25" t="n">
        <v>9</v>
      </c>
      <c r="E1351" s="25" t="s">
        <v>8394</v>
      </c>
      <c r="F1351" s="25" t="s">
        <v>8395</v>
      </c>
      <c r="G1351" s="25" t="s">
        <v>8400</v>
      </c>
      <c r="H1351" s="25"/>
      <c r="I1351" s="25" t="s">
        <v>10658</v>
      </c>
      <c r="J1351" s="25" t="s">
        <v>10659</v>
      </c>
      <c r="K1351" s="25" t="n">
        <v>0</v>
      </c>
      <c r="L1351" s="25" t="str">
        <f aca="false">IF(K1351&gt;0,"Yes","No")</f>
        <v>No</v>
      </c>
    </row>
    <row r="1352" customFormat="false" ht="15" hidden="false" customHeight="false" outlineLevel="0" collapsed="false">
      <c r="A1352" s="25" t="s">
        <v>10660</v>
      </c>
      <c r="B1352" s="25" t="s">
        <v>8392</v>
      </c>
      <c r="C1352" s="25" t="s">
        <v>8393</v>
      </c>
      <c r="D1352" s="25" t="n">
        <v>9</v>
      </c>
      <c r="E1352" s="25" t="s">
        <v>8394</v>
      </c>
      <c r="F1352" s="25" t="s">
        <v>8395</v>
      </c>
      <c r="G1352" s="25" t="s">
        <v>8400</v>
      </c>
      <c r="H1352" s="25"/>
      <c r="I1352" s="25" t="s">
        <v>10661</v>
      </c>
      <c r="J1352" s="25" t="s">
        <v>10662</v>
      </c>
      <c r="K1352" s="25" t="n">
        <v>0</v>
      </c>
      <c r="L1352" s="25" t="str">
        <f aca="false">IF(K1352&gt;0,"Yes","No")</f>
        <v>No</v>
      </c>
    </row>
    <row r="1353" customFormat="false" ht="15" hidden="false" customHeight="false" outlineLevel="0" collapsed="false">
      <c r="A1353" s="25" t="s">
        <v>10663</v>
      </c>
      <c r="B1353" s="25" t="s">
        <v>8392</v>
      </c>
      <c r="C1353" s="25" t="s">
        <v>8393</v>
      </c>
      <c r="D1353" s="25" t="n">
        <v>9</v>
      </c>
      <c r="E1353" s="25" t="s">
        <v>8394</v>
      </c>
      <c r="F1353" s="25" t="s">
        <v>8395</v>
      </c>
      <c r="G1353" s="25" t="s">
        <v>8400</v>
      </c>
      <c r="H1353" s="25"/>
      <c r="I1353" s="25" t="s">
        <v>10664</v>
      </c>
      <c r="J1353" s="25" t="s">
        <v>10665</v>
      </c>
      <c r="K1353" s="25" t="n">
        <v>0</v>
      </c>
      <c r="L1353" s="25" t="str">
        <f aca="false">IF(K1353&gt;0,"Yes","No")</f>
        <v>No</v>
      </c>
    </row>
    <row r="1354" customFormat="false" ht="15" hidden="false" customHeight="false" outlineLevel="0" collapsed="false">
      <c r="A1354" s="25" t="s">
        <v>10666</v>
      </c>
      <c r="B1354" s="25" t="s">
        <v>8392</v>
      </c>
      <c r="C1354" s="25" t="s">
        <v>8393</v>
      </c>
      <c r="D1354" s="25" t="n">
        <v>9</v>
      </c>
      <c r="E1354" s="25" t="s">
        <v>8394</v>
      </c>
      <c r="F1354" s="25" t="s">
        <v>8395</v>
      </c>
      <c r="G1354" s="25" t="s">
        <v>8398</v>
      </c>
      <c r="H1354" s="25"/>
      <c r="I1354" s="25" t="s">
        <v>10667</v>
      </c>
      <c r="J1354" s="25" t="s">
        <v>10668</v>
      </c>
      <c r="K1354" s="25" t="n">
        <v>0</v>
      </c>
      <c r="L1354" s="25" t="str">
        <f aca="false">IF(K1354&gt;0,"Yes","No")</f>
        <v>No</v>
      </c>
    </row>
    <row r="1355" customFormat="false" ht="15" hidden="false" customHeight="false" outlineLevel="0" collapsed="false">
      <c r="A1355" s="25" t="s">
        <v>10669</v>
      </c>
      <c r="B1355" s="25" t="s">
        <v>8392</v>
      </c>
      <c r="C1355" s="25" t="s">
        <v>8393</v>
      </c>
      <c r="D1355" s="25" t="n">
        <v>9</v>
      </c>
      <c r="E1355" s="25" t="s">
        <v>8394</v>
      </c>
      <c r="F1355" s="25" t="s">
        <v>8395</v>
      </c>
      <c r="G1355" s="25" t="s">
        <v>8400</v>
      </c>
      <c r="H1355" s="25"/>
      <c r="I1355" s="25" t="s">
        <v>10670</v>
      </c>
      <c r="J1355" s="25" t="s">
        <v>10671</v>
      </c>
      <c r="K1355" s="25" t="n">
        <v>0</v>
      </c>
      <c r="L1355" s="25" t="str">
        <f aca="false">IF(K1355&gt;0,"Yes","No")</f>
        <v>No</v>
      </c>
    </row>
    <row r="1356" customFormat="false" ht="15" hidden="false" customHeight="false" outlineLevel="0" collapsed="false">
      <c r="A1356" s="25" t="s">
        <v>10672</v>
      </c>
      <c r="B1356" s="25" t="s">
        <v>8392</v>
      </c>
      <c r="C1356" s="25" t="s">
        <v>8393</v>
      </c>
      <c r="D1356" s="25" t="n">
        <v>9</v>
      </c>
      <c r="E1356" s="25" t="s">
        <v>8394</v>
      </c>
      <c r="F1356" s="25" t="s">
        <v>8395</v>
      </c>
      <c r="G1356" s="25" t="s">
        <v>8400</v>
      </c>
      <c r="H1356" s="25"/>
      <c r="I1356" s="25" t="s">
        <v>9398</v>
      </c>
      <c r="J1356" s="25" t="s">
        <v>10673</v>
      </c>
      <c r="K1356" s="25" t="n">
        <v>0</v>
      </c>
      <c r="L1356" s="25" t="str">
        <f aca="false">IF(K1356&gt;0,"Yes","No")</f>
        <v>No</v>
      </c>
    </row>
    <row r="1357" customFormat="false" ht="15" hidden="false" customHeight="false" outlineLevel="0" collapsed="false">
      <c r="A1357" s="25" t="s">
        <v>10674</v>
      </c>
      <c r="B1357" s="25" t="s">
        <v>8392</v>
      </c>
      <c r="C1357" s="25" t="s">
        <v>8393</v>
      </c>
      <c r="D1357" s="25" t="n">
        <v>9</v>
      </c>
      <c r="E1357" s="25" t="s">
        <v>8394</v>
      </c>
      <c r="F1357" s="25" t="s">
        <v>8395</v>
      </c>
      <c r="G1357" s="25" t="s">
        <v>8400</v>
      </c>
      <c r="H1357" s="25"/>
      <c r="I1357" s="25" t="s">
        <v>10675</v>
      </c>
      <c r="J1357" s="25" t="s">
        <v>10676</v>
      </c>
      <c r="K1357" s="25" t="n">
        <v>0</v>
      </c>
      <c r="L1357" s="25" t="str">
        <f aca="false">IF(K1357&gt;0,"Yes","No")</f>
        <v>No</v>
      </c>
    </row>
    <row r="1358" customFormat="false" ht="15" hidden="false" customHeight="false" outlineLevel="0" collapsed="false">
      <c r="A1358" s="25" t="s">
        <v>10677</v>
      </c>
      <c r="B1358" s="25" t="s">
        <v>8392</v>
      </c>
      <c r="C1358" s="25" t="s">
        <v>8393</v>
      </c>
      <c r="D1358" s="25" t="n">
        <v>9</v>
      </c>
      <c r="E1358" s="25" t="s">
        <v>8394</v>
      </c>
      <c r="F1358" s="25" t="s">
        <v>8395</v>
      </c>
      <c r="G1358" s="25" t="s">
        <v>8398</v>
      </c>
      <c r="H1358" s="25"/>
      <c r="I1358" s="25" t="s">
        <v>10678</v>
      </c>
      <c r="J1358" s="25" t="s">
        <v>10679</v>
      </c>
      <c r="K1358" s="25" t="n">
        <v>0</v>
      </c>
      <c r="L1358" s="25" t="str">
        <f aca="false">IF(K1358&gt;0,"Yes","No")</f>
        <v>No</v>
      </c>
    </row>
    <row r="1359" customFormat="false" ht="15" hidden="false" customHeight="false" outlineLevel="0" collapsed="false">
      <c r="A1359" s="25" t="s">
        <v>10680</v>
      </c>
      <c r="B1359" s="25" t="s">
        <v>8392</v>
      </c>
      <c r="C1359" s="25" t="s">
        <v>8393</v>
      </c>
      <c r="D1359" s="25" t="n">
        <v>9</v>
      </c>
      <c r="E1359" s="25" t="s">
        <v>8394</v>
      </c>
      <c r="F1359" s="25" t="s">
        <v>8395</v>
      </c>
      <c r="G1359" s="25" t="s">
        <v>8398</v>
      </c>
      <c r="H1359" s="25"/>
      <c r="I1359" s="25" t="s">
        <v>10681</v>
      </c>
      <c r="J1359" s="25" t="s">
        <v>10682</v>
      </c>
      <c r="K1359" s="25" t="n">
        <v>0</v>
      </c>
      <c r="L1359" s="25" t="str">
        <f aca="false">IF(K1359&gt;0,"Yes","No")</f>
        <v>No</v>
      </c>
    </row>
    <row r="1360" customFormat="false" ht="15" hidden="false" customHeight="false" outlineLevel="0" collapsed="false">
      <c r="A1360" s="25" t="s">
        <v>10683</v>
      </c>
      <c r="B1360" s="25" t="s">
        <v>8392</v>
      </c>
      <c r="C1360" s="25" t="s">
        <v>8393</v>
      </c>
      <c r="D1360" s="25" t="n">
        <v>9</v>
      </c>
      <c r="E1360" s="25" t="s">
        <v>8394</v>
      </c>
      <c r="F1360" s="25" t="s">
        <v>8395</v>
      </c>
      <c r="G1360" s="25" t="s">
        <v>8400</v>
      </c>
      <c r="H1360" s="25"/>
      <c r="I1360" s="25" t="s">
        <v>10684</v>
      </c>
      <c r="J1360" s="25" t="s">
        <v>10685</v>
      </c>
      <c r="K1360" s="25" t="n">
        <v>0</v>
      </c>
      <c r="L1360" s="25" t="str">
        <f aca="false">IF(K1360&gt;0,"Yes","No")</f>
        <v>No</v>
      </c>
    </row>
    <row r="1361" customFormat="false" ht="15" hidden="false" customHeight="false" outlineLevel="0" collapsed="false">
      <c r="A1361" s="25" t="s">
        <v>10686</v>
      </c>
      <c r="B1361" s="25" t="s">
        <v>8392</v>
      </c>
      <c r="C1361" s="25" t="s">
        <v>8393</v>
      </c>
      <c r="D1361" s="25" t="n">
        <v>9</v>
      </c>
      <c r="E1361" s="25" t="s">
        <v>8394</v>
      </c>
      <c r="F1361" s="25" t="s">
        <v>8395</v>
      </c>
      <c r="G1361" s="25" t="s">
        <v>8400</v>
      </c>
      <c r="H1361" s="25"/>
      <c r="I1361" s="25" t="s">
        <v>10687</v>
      </c>
      <c r="J1361" s="25" t="s">
        <v>10688</v>
      </c>
      <c r="K1361" s="25" t="n">
        <v>0</v>
      </c>
      <c r="L1361" s="25" t="str">
        <f aca="false">IF(K1361&gt;0,"Yes","No")</f>
        <v>No</v>
      </c>
    </row>
    <row r="1362" customFormat="false" ht="15" hidden="false" customHeight="false" outlineLevel="0" collapsed="false">
      <c r="A1362" s="25" t="s">
        <v>10689</v>
      </c>
      <c r="B1362" s="25" t="s">
        <v>8392</v>
      </c>
      <c r="C1362" s="25" t="s">
        <v>8393</v>
      </c>
      <c r="D1362" s="25" t="n">
        <v>9</v>
      </c>
      <c r="E1362" s="25" t="s">
        <v>8394</v>
      </c>
      <c r="F1362" s="25" t="s">
        <v>8395</v>
      </c>
      <c r="G1362" s="25" t="s">
        <v>8400</v>
      </c>
      <c r="H1362" s="25"/>
      <c r="I1362" s="25" t="s">
        <v>10690</v>
      </c>
      <c r="J1362" s="25" t="s">
        <v>10691</v>
      </c>
      <c r="K1362" s="25" t="n">
        <v>0</v>
      </c>
      <c r="L1362" s="25" t="str">
        <f aca="false">IF(K1362&gt;0,"Yes","No")</f>
        <v>No</v>
      </c>
    </row>
    <row r="1363" customFormat="false" ht="15" hidden="false" customHeight="false" outlineLevel="0" collapsed="false">
      <c r="A1363" s="25" t="s">
        <v>10692</v>
      </c>
      <c r="B1363" s="25" t="s">
        <v>8392</v>
      </c>
      <c r="C1363" s="25" t="s">
        <v>8393</v>
      </c>
      <c r="D1363" s="25" t="n">
        <v>9</v>
      </c>
      <c r="E1363" s="25" t="s">
        <v>8394</v>
      </c>
      <c r="F1363" s="25" t="s">
        <v>8395</v>
      </c>
      <c r="G1363" s="25" t="s">
        <v>8400</v>
      </c>
      <c r="H1363" s="25"/>
      <c r="I1363" s="25" t="s">
        <v>10693</v>
      </c>
      <c r="J1363" s="25" t="s">
        <v>10694</v>
      </c>
      <c r="K1363" s="25" t="n">
        <v>0</v>
      </c>
      <c r="L1363" s="25" t="str">
        <f aca="false">IF(K1363&gt;0,"Yes","No")</f>
        <v>No</v>
      </c>
    </row>
    <row r="1364" customFormat="false" ht="15" hidden="false" customHeight="false" outlineLevel="0" collapsed="false">
      <c r="A1364" s="25" t="s">
        <v>10695</v>
      </c>
      <c r="B1364" s="25" t="s">
        <v>8392</v>
      </c>
      <c r="C1364" s="25" t="s">
        <v>8393</v>
      </c>
      <c r="D1364" s="25" t="n">
        <v>9</v>
      </c>
      <c r="E1364" s="25" t="s">
        <v>8394</v>
      </c>
      <c r="F1364" s="25" t="s">
        <v>8395</v>
      </c>
      <c r="G1364" s="25" t="s">
        <v>8400</v>
      </c>
      <c r="H1364" s="25"/>
      <c r="I1364" s="25" t="s">
        <v>10696</v>
      </c>
      <c r="J1364" s="25" t="s">
        <v>10697</v>
      </c>
      <c r="K1364" s="25" t="n">
        <v>0</v>
      </c>
      <c r="L1364" s="25" t="str">
        <f aca="false">IF(K1364&gt;0,"Yes","No")</f>
        <v>No</v>
      </c>
    </row>
    <row r="1365" customFormat="false" ht="15" hidden="false" customHeight="false" outlineLevel="0" collapsed="false">
      <c r="A1365" s="25" t="s">
        <v>10698</v>
      </c>
      <c r="B1365" s="25" t="s">
        <v>8392</v>
      </c>
      <c r="C1365" s="25" t="s">
        <v>8393</v>
      </c>
      <c r="D1365" s="25" t="n">
        <v>9</v>
      </c>
      <c r="E1365" s="25" t="s">
        <v>8394</v>
      </c>
      <c r="F1365" s="25" t="s">
        <v>8395</v>
      </c>
      <c r="G1365" s="25" t="s">
        <v>8400</v>
      </c>
      <c r="H1365" s="25"/>
      <c r="I1365" s="25" t="s">
        <v>10699</v>
      </c>
      <c r="J1365" s="25" t="s">
        <v>10700</v>
      </c>
      <c r="K1365" s="25" t="n">
        <v>0</v>
      </c>
      <c r="L1365" s="25" t="str">
        <f aca="false">IF(K1365&gt;0,"Yes","No")</f>
        <v>No</v>
      </c>
    </row>
    <row r="1366" customFormat="false" ht="15" hidden="false" customHeight="false" outlineLevel="0" collapsed="false">
      <c r="A1366" s="25" t="s">
        <v>10701</v>
      </c>
      <c r="B1366" s="25" t="s">
        <v>8419</v>
      </c>
      <c r="C1366" s="25" t="s">
        <v>8393</v>
      </c>
      <c r="D1366" s="25" t="n">
        <v>9</v>
      </c>
      <c r="E1366" s="25" t="s">
        <v>8394</v>
      </c>
      <c r="F1366" s="25" t="s">
        <v>8395</v>
      </c>
      <c r="G1366" s="25" t="s">
        <v>8396</v>
      </c>
      <c r="H1366" s="25" t="s">
        <v>10702</v>
      </c>
      <c r="I1366" s="25" t="s">
        <v>10703</v>
      </c>
      <c r="J1366" s="25" t="s">
        <v>10704</v>
      </c>
      <c r="K1366" s="25" t="n">
        <v>0</v>
      </c>
      <c r="L1366" s="25" t="str">
        <f aca="false">IF(K1366&gt;0,"Yes","No")</f>
        <v>No</v>
      </c>
    </row>
    <row r="1367" customFormat="false" ht="15" hidden="false" customHeight="false" outlineLevel="0" collapsed="false">
      <c r="A1367" s="25" t="s">
        <v>10705</v>
      </c>
      <c r="B1367" s="25" t="s">
        <v>8419</v>
      </c>
      <c r="C1367" s="25" t="s">
        <v>8393</v>
      </c>
      <c r="D1367" s="25" t="n">
        <v>9</v>
      </c>
      <c r="E1367" s="25" t="s">
        <v>8394</v>
      </c>
      <c r="F1367" s="25" t="s">
        <v>8395</v>
      </c>
      <c r="G1367" s="25" t="s">
        <v>8396</v>
      </c>
      <c r="H1367" s="25" t="s">
        <v>10702</v>
      </c>
      <c r="I1367" s="25" t="s">
        <v>10706</v>
      </c>
      <c r="J1367" s="25" t="s">
        <v>10704</v>
      </c>
      <c r="K1367" s="25" t="n">
        <v>0</v>
      </c>
      <c r="L1367" s="25" t="str">
        <f aca="false">IF(K1367&gt;0,"Yes","No")</f>
        <v>No</v>
      </c>
    </row>
    <row r="1368" customFormat="false" ht="15" hidden="false" customHeight="false" outlineLevel="0" collapsed="false">
      <c r="A1368" s="25" t="s">
        <v>10707</v>
      </c>
      <c r="B1368" s="25" t="s">
        <v>8419</v>
      </c>
      <c r="C1368" s="25" t="s">
        <v>8393</v>
      </c>
      <c r="D1368" s="25" t="n">
        <v>9</v>
      </c>
      <c r="E1368" s="25" t="s">
        <v>8394</v>
      </c>
      <c r="F1368" s="25" t="s">
        <v>8395</v>
      </c>
      <c r="G1368" s="25" t="s">
        <v>8396</v>
      </c>
      <c r="H1368" s="25" t="s">
        <v>10702</v>
      </c>
      <c r="I1368" s="25" t="s">
        <v>10708</v>
      </c>
      <c r="J1368" s="25" t="s">
        <v>10704</v>
      </c>
      <c r="K1368" s="25" t="n">
        <v>0</v>
      </c>
      <c r="L1368" s="25" t="str">
        <f aca="false">IF(K1368&gt;0,"Yes","No")</f>
        <v>No</v>
      </c>
    </row>
    <row r="1369" customFormat="false" ht="15" hidden="false" customHeight="false" outlineLevel="0" collapsed="false">
      <c r="A1369" s="25" t="s">
        <v>10709</v>
      </c>
      <c r="B1369" s="25" t="s">
        <v>8419</v>
      </c>
      <c r="C1369" s="25" t="s">
        <v>8393</v>
      </c>
      <c r="D1369" s="25" t="n">
        <v>9</v>
      </c>
      <c r="E1369" s="25" t="s">
        <v>8394</v>
      </c>
      <c r="F1369" s="25" t="s">
        <v>8395</v>
      </c>
      <c r="G1369" s="25" t="s">
        <v>8396</v>
      </c>
      <c r="H1369" s="25" t="s">
        <v>10702</v>
      </c>
      <c r="I1369" s="25" t="s">
        <v>10710</v>
      </c>
      <c r="J1369" s="25" t="s">
        <v>10704</v>
      </c>
      <c r="K1369" s="25" t="n">
        <v>0</v>
      </c>
      <c r="L1369" s="25" t="str">
        <f aca="false">IF(K1369&gt;0,"Yes","No")</f>
        <v>No</v>
      </c>
    </row>
    <row r="1370" customFormat="false" ht="15" hidden="false" customHeight="false" outlineLevel="0" collapsed="false">
      <c r="A1370" s="25" t="s">
        <v>10711</v>
      </c>
      <c r="B1370" s="25" t="s">
        <v>8419</v>
      </c>
      <c r="C1370" s="25" t="s">
        <v>8393</v>
      </c>
      <c r="D1370" s="25" t="n">
        <v>9</v>
      </c>
      <c r="E1370" s="25" t="s">
        <v>8394</v>
      </c>
      <c r="F1370" s="25" t="s">
        <v>8395</v>
      </c>
      <c r="G1370" s="25" t="s">
        <v>8396</v>
      </c>
      <c r="H1370" s="25" t="s">
        <v>10702</v>
      </c>
      <c r="I1370" s="25" t="s">
        <v>10712</v>
      </c>
      <c r="J1370" s="25" t="s">
        <v>10704</v>
      </c>
      <c r="K1370" s="25" t="n">
        <v>0</v>
      </c>
      <c r="L1370" s="25" t="str">
        <f aca="false">IF(K1370&gt;0,"Yes","No")</f>
        <v>No</v>
      </c>
    </row>
    <row r="1371" customFormat="false" ht="15" hidden="false" customHeight="false" outlineLevel="0" collapsed="false">
      <c r="A1371" s="25" t="s">
        <v>10713</v>
      </c>
      <c r="B1371" s="25" t="s">
        <v>8419</v>
      </c>
      <c r="C1371" s="25" t="s">
        <v>8393</v>
      </c>
      <c r="D1371" s="25" t="n">
        <v>9</v>
      </c>
      <c r="E1371" s="25" t="s">
        <v>8394</v>
      </c>
      <c r="F1371" s="25" t="s">
        <v>8395</v>
      </c>
      <c r="G1371" s="25" t="s">
        <v>8396</v>
      </c>
      <c r="H1371" s="25" t="s">
        <v>10104</v>
      </c>
      <c r="I1371" s="25" t="s">
        <v>10714</v>
      </c>
      <c r="J1371" s="25" t="s">
        <v>381</v>
      </c>
      <c r="K1371" s="25" t="n">
        <v>0</v>
      </c>
      <c r="L1371" s="25" t="str">
        <f aca="false">IF(K1371&gt;0,"Yes","No")</f>
        <v>No</v>
      </c>
    </row>
    <row r="1372" customFormat="false" ht="15" hidden="false" customHeight="false" outlineLevel="0" collapsed="false">
      <c r="A1372" s="25" t="s">
        <v>10715</v>
      </c>
      <c r="B1372" s="25" t="s">
        <v>8419</v>
      </c>
      <c r="C1372" s="25" t="s">
        <v>8393</v>
      </c>
      <c r="D1372" s="25" t="n">
        <v>9</v>
      </c>
      <c r="E1372" s="25" t="s">
        <v>8394</v>
      </c>
      <c r="F1372" s="25" t="s">
        <v>8395</v>
      </c>
      <c r="G1372" s="25" t="s">
        <v>8402</v>
      </c>
      <c r="H1372" s="25" t="s">
        <v>8399</v>
      </c>
      <c r="I1372" s="25" t="s">
        <v>10716</v>
      </c>
      <c r="J1372" s="25" t="s">
        <v>381</v>
      </c>
      <c r="K1372" s="25" t="n">
        <v>0</v>
      </c>
      <c r="L1372" s="25" t="str">
        <f aca="false">IF(K1372&gt;0,"Yes","No")</f>
        <v>No</v>
      </c>
    </row>
    <row r="1373" customFormat="false" ht="15" hidden="false" customHeight="false" outlineLevel="0" collapsed="false">
      <c r="A1373" s="25" t="s">
        <v>10717</v>
      </c>
      <c r="B1373" s="25" t="s">
        <v>8392</v>
      </c>
      <c r="C1373" s="25" t="s">
        <v>8393</v>
      </c>
      <c r="D1373" s="25" t="n">
        <v>9</v>
      </c>
      <c r="E1373" s="25" t="s">
        <v>8394</v>
      </c>
      <c r="F1373" s="25" t="s">
        <v>8395</v>
      </c>
      <c r="G1373" s="25" t="s">
        <v>8396</v>
      </c>
      <c r="H1373" s="25" t="s">
        <v>8408</v>
      </c>
      <c r="I1373" s="25" t="s">
        <v>10718</v>
      </c>
      <c r="J1373" s="25" t="s">
        <v>381</v>
      </c>
      <c r="K1373" s="25" t="n">
        <v>0</v>
      </c>
      <c r="L1373" s="25" t="str">
        <f aca="false">IF(K1373&gt;0,"Yes","No")</f>
        <v>No</v>
      </c>
    </row>
    <row r="1374" customFormat="false" ht="15" hidden="false" customHeight="false" outlineLevel="0" collapsed="false">
      <c r="A1374" s="25" t="s">
        <v>10719</v>
      </c>
      <c r="B1374" s="25" t="s">
        <v>8419</v>
      </c>
      <c r="C1374" s="25" t="s">
        <v>8393</v>
      </c>
      <c r="D1374" s="25" t="n">
        <v>9</v>
      </c>
      <c r="E1374" s="25" t="s">
        <v>8394</v>
      </c>
      <c r="F1374" s="25" t="s">
        <v>8395</v>
      </c>
      <c r="G1374" s="25" t="s">
        <v>8396</v>
      </c>
      <c r="H1374" s="25" t="s">
        <v>8403</v>
      </c>
      <c r="I1374" s="25" t="s">
        <v>10720</v>
      </c>
      <c r="J1374" s="25" t="s">
        <v>10721</v>
      </c>
      <c r="K1374" s="25" t="n">
        <v>0</v>
      </c>
      <c r="L1374" s="25" t="str">
        <f aca="false">IF(K1374&gt;0,"Yes","No")</f>
        <v>No</v>
      </c>
    </row>
    <row r="1375" customFormat="false" ht="15" hidden="false" customHeight="false" outlineLevel="0" collapsed="false">
      <c r="A1375" s="25" t="s">
        <v>10722</v>
      </c>
      <c r="B1375" s="25" t="s">
        <v>8419</v>
      </c>
      <c r="C1375" s="25" t="s">
        <v>8393</v>
      </c>
      <c r="D1375" s="25" t="n">
        <v>9</v>
      </c>
      <c r="E1375" s="25" t="s">
        <v>8394</v>
      </c>
      <c r="F1375" s="25" t="s">
        <v>8395</v>
      </c>
      <c r="G1375" s="25" t="s">
        <v>8396</v>
      </c>
      <c r="H1375" s="25" t="s">
        <v>8403</v>
      </c>
      <c r="I1375" s="25" t="s">
        <v>10723</v>
      </c>
      <c r="J1375" s="25" t="s">
        <v>10721</v>
      </c>
      <c r="K1375" s="25" t="n">
        <v>0</v>
      </c>
      <c r="L1375" s="25" t="str">
        <f aca="false">IF(K1375&gt;0,"Yes","No")</f>
        <v>No</v>
      </c>
    </row>
    <row r="1376" customFormat="false" ht="15" hidden="false" customHeight="false" outlineLevel="0" collapsed="false">
      <c r="A1376" s="25" t="s">
        <v>10724</v>
      </c>
      <c r="B1376" s="25" t="s">
        <v>8419</v>
      </c>
      <c r="C1376" s="25" t="s">
        <v>8393</v>
      </c>
      <c r="D1376" s="25" t="n">
        <v>9</v>
      </c>
      <c r="E1376" s="25" t="s">
        <v>8394</v>
      </c>
      <c r="F1376" s="25" t="s">
        <v>8395</v>
      </c>
      <c r="G1376" s="25" t="s">
        <v>8396</v>
      </c>
      <c r="H1376" s="25" t="s">
        <v>8403</v>
      </c>
      <c r="I1376" s="25" t="s">
        <v>10725</v>
      </c>
      <c r="J1376" s="25" t="s">
        <v>10721</v>
      </c>
      <c r="K1376" s="25" t="n">
        <v>0</v>
      </c>
      <c r="L1376" s="25" t="str">
        <f aca="false">IF(K1376&gt;0,"Yes","No")</f>
        <v>No</v>
      </c>
    </row>
    <row r="1377" customFormat="false" ht="15" hidden="false" customHeight="false" outlineLevel="0" collapsed="false">
      <c r="A1377" s="25" t="s">
        <v>10726</v>
      </c>
      <c r="B1377" s="25" t="s">
        <v>8419</v>
      </c>
      <c r="C1377" s="25" t="s">
        <v>8393</v>
      </c>
      <c r="D1377" s="25" t="n">
        <v>9</v>
      </c>
      <c r="E1377" s="25" t="s">
        <v>8394</v>
      </c>
      <c r="F1377" s="25" t="s">
        <v>8395</v>
      </c>
      <c r="G1377" s="25" t="s">
        <v>8396</v>
      </c>
      <c r="H1377" s="25" t="s">
        <v>8397</v>
      </c>
      <c r="I1377" s="25" t="s">
        <v>10727</v>
      </c>
      <c r="J1377" s="25" t="s">
        <v>10721</v>
      </c>
      <c r="K1377" s="25" t="n">
        <v>0</v>
      </c>
      <c r="L1377" s="25" t="str">
        <f aca="false">IF(K1377&gt;0,"Yes","No")</f>
        <v>No</v>
      </c>
    </row>
    <row r="1378" customFormat="false" ht="15" hidden="false" customHeight="false" outlineLevel="0" collapsed="false">
      <c r="A1378" s="25" t="s">
        <v>10728</v>
      </c>
      <c r="B1378" s="25" t="s">
        <v>8419</v>
      </c>
      <c r="C1378" s="25" t="s">
        <v>8393</v>
      </c>
      <c r="D1378" s="25" t="n">
        <v>9</v>
      </c>
      <c r="E1378" s="25" t="s">
        <v>8394</v>
      </c>
      <c r="F1378" s="25" t="s">
        <v>8395</v>
      </c>
      <c r="G1378" s="25" t="s">
        <v>8396</v>
      </c>
      <c r="H1378" s="25" t="s">
        <v>8403</v>
      </c>
      <c r="I1378" s="25" t="s">
        <v>10729</v>
      </c>
      <c r="J1378" s="25" t="s">
        <v>10721</v>
      </c>
      <c r="K1378" s="25" t="n">
        <v>0</v>
      </c>
      <c r="L1378" s="25" t="str">
        <f aca="false">IF(K1378&gt;0,"Yes","No")</f>
        <v>No</v>
      </c>
    </row>
    <row r="1379" customFormat="false" ht="15" hidden="false" customHeight="false" outlineLevel="0" collapsed="false">
      <c r="A1379" s="25" t="s">
        <v>10730</v>
      </c>
      <c r="B1379" s="25" t="s">
        <v>8419</v>
      </c>
      <c r="C1379" s="25" t="s">
        <v>8393</v>
      </c>
      <c r="D1379" s="25" t="n">
        <v>9</v>
      </c>
      <c r="E1379" s="25" t="s">
        <v>8394</v>
      </c>
      <c r="F1379" s="25" t="s">
        <v>8395</v>
      </c>
      <c r="G1379" s="25" t="s">
        <v>8396</v>
      </c>
      <c r="H1379" s="25" t="s">
        <v>8403</v>
      </c>
      <c r="I1379" s="25" t="s">
        <v>10731</v>
      </c>
      <c r="J1379" s="25" t="s">
        <v>10721</v>
      </c>
      <c r="K1379" s="25" t="n">
        <v>0</v>
      </c>
      <c r="L1379" s="25" t="str">
        <f aca="false">IF(K1379&gt;0,"Yes","No")</f>
        <v>No</v>
      </c>
    </row>
    <row r="1380" customFormat="false" ht="15" hidden="false" customHeight="false" outlineLevel="0" collapsed="false">
      <c r="A1380" s="25" t="s">
        <v>10732</v>
      </c>
      <c r="B1380" s="25" t="s">
        <v>8419</v>
      </c>
      <c r="C1380" s="25" t="s">
        <v>8393</v>
      </c>
      <c r="D1380" s="25" t="n">
        <v>9</v>
      </c>
      <c r="E1380" s="25" t="s">
        <v>8394</v>
      </c>
      <c r="F1380" s="25" t="s">
        <v>8395</v>
      </c>
      <c r="G1380" s="25" t="s">
        <v>8396</v>
      </c>
      <c r="H1380" s="25" t="s">
        <v>8403</v>
      </c>
      <c r="I1380" s="25" t="s">
        <v>10733</v>
      </c>
      <c r="J1380" s="25" t="s">
        <v>10721</v>
      </c>
      <c r="K1380" s="25" t="n">
        <v>0</v>
      </c>
      <c r="L1380" s="25" t="str">
        <f aca="false">IF(K1380&gt;0,"Yes","No")</f>
        <v>No</v>
      </c>
    </row>
    <row r="1381" customFormat="false" ht="15" hidden="false" customHeight="false" outlineLevel="0" collapsed="false">
      <c r="A1381" s="25" t="s">
        <v>10734</v>
      </c>
      <c r="B1381" s="25" t="s">
        <v>8419</v>
      </c>
      <c r="C1381" s="25" t="s">
        <v>8393</v>
      </c>
      <c r="D1381" s="25" t="n">
        <v>9</v>
      </c>
      <c r="E1381" s="25" t="s">
        <v>8394</v>
      </c>
      <c r="F1381" s="25" t="s">
        <v>8395</v>
      </c>
      <c r="G1381" s="25" t="s">
        <v>8396</v>
      </c>
      <c r="H1381" s="25" t="s">
        <v>8403</v>
      </c>
      <c r="I1381" s="25" t="s">
        <v>10735</v>
      </c>
      <c r="J1381" s="25" t="s">
        <v>10721</v>
      </c>
      <c r="K1381" s="25" t="n">
        <v>0</v>
      </c>
      <c r="L1381" s="25" t="str">
        <f aca="false">IF(K1381&gt;0,"Yes","No")</f>
        <v>No</v>
      </c>
    </row>
    <row r="1382" customFormat="false" ht="15" hidden="false" customHeight="false" outlineLevel="0" collapsed="false">
      <c r="A1382" s="25" t="s">
        <v>10736</v>
      </c>
      <c r="B1382" s="25" t="s">
        <v>8419</v>
      </c>
      <c r="C1382" s="25" t="s">
        <v>8393</v>
      </c>
      <c r="D1382" s="25" t="n">
        <v>9</v>
      </c>
      <c r="E1382" s="25" t="s">
        <v>8394</v>
      </c>
      <c r="F1382" s="25" t="s">
        <v>8395</v>
      </c>
      <c r="G1382" s="25" t="s">
        <v>8396</v>
      </c>
      <c r="H1382" s="25" t="s">
        <v>8399</v>
      </c>
      <c r="I1382" s="25" t="s">
        <v>10737</v>
      </c>
      <c r="J1382" s="25" t="s">
        <v>10721</v>
      </c>
      <c r="K1382" s="25" t="n">
        <v>0</v>
      </c>
      <c r="L1382" s="25" t="str">
        <f aca="false">IF(K1382&gt;0,"Yes","No")</f>
        <v>No</v>
      </c>
    </row>
    <row r="1383" customFormat="false" ht="15" hidden="false" customHeight="false" outlineLevel="0" collapsed="false">
      <c r="A1383" s="25" t="s">
        <v>10738</v>
      </c>
      <c r="B1383" s="25" t="s">
        <v>8419</v>
      </c>
      <c r="C1383" s="25" t="s">
        <v>8393</v>
      </c>
      <c r="D1383" s="25" t="n">
        <v>9</v>
      </c>
      <c r="E1383" s="25" t="s">
        <v>8394</v>
      </c>
      <c r="F1383" s="25" t="s">
        <v>8395</v>
      </c>
      <c r="G1383" s="25" t="s">
        <v>8396</v>
      </c>
      <c r="H1383" s="25" t="s">
        <v>8399</v>
      </c>
      <c r="I1383" s="25" t="s">
        <v>10739</v>
      </c>
      <c r="J1383" s="25" t="s">
        <v>10721</v>
      </c>
      <c r="K1383" s="25" t="n">
        <v>0</v>
      </c>
      <c r="L1383" s="25" t="str">
        <f aca="false">IF(K1383&gt;0,"Yes","No")</f>
        <v>No</v>
      </c>
    </row>
    <row r="1384" customFormat="false" ht="15" hidden="false" customHeight="false" outlineLevel="0" collapsed="false">
      <c r="A1384" s="25" t="s">
        <v>10740</v>
      </c>
      <c r="B1384" s="25" t="s">
        <v>8419</v>
      </c>
      <c r="C1384" s="25" t="s">
        <v>8393</v>
      </c>
      <c r="D1384" s="25" t="n">
        <v>9</v>
      </c>
      <c r="E1384" s="25" t="s">
        <v>8394</v>
      </c>
      <c r="F1384" s="25" t="s">
        <v>8395</v>
      </c>
      <c r="G1384" s="25" t="s">
        <v>8396</v>
      </c>
      <c r="H1384" s="25" t="s">
        <v>8399</v>
      </c>
      <c r="I1384" s="25" t="s">
        <v>10741</v>
      </c>
      <c r="J1384" s="25" t="s">
        <v>10721</v>
      </c>
      <c r="K1384" s="25" t="n">
        <v>0</v>
      </c>
      <c r="L1384" s="25" t="str">
        <f aca="false">IF(K1384&gt;0,"Yes","No")</f>
        <v>No</v>
      </c>
    </row>
    <row r="1385" customFormat="false" ht="15" hidden="false" customHeight="false" outlineLevel="0" collapsed="false">
      <c r="A1385" s="25" t="s">
        <v>10742</v>
      </c>
      <c r="B1385" s="25" t="s">
        <v>8419</v>
      </c>
      <c r="C1385" s="25" t="s">
        <v>8393</v>
      </c>
      <c r="D1385" s="25" t="n">
        <v>9</v>
      </c>
      <c r="E1385" s="25" t="s">
        <v>8394</v>
      </c>
      <c r="F1385" s="25" t="s">
        <v>8395</v>
      </c>
      <c r="G1385" s="25" t="s">
        <v>8396</v>
      </c>
      <c r="H1385" s="25" t="s">
        <v>8399</v>
      </c>
      <c r="I1385" s="25" t="s">
        <v>10743</v>
      </c>
      <c r="J1385" s="25" t="s">
        <v>10721</v>
      </c>
      <c r="K1385" s="25" t="n">
        <v>0</v>
      </c>
      <c r="L1385" s="25" t="str">
        <f aca="false">IF(K1385&gt;0,"Yes","No")</f>
        <v>No</v>
      </c>
    </row>
    <row r="1386" customFormat="false" ht="15" hidden="false" customHeight="false" outlineLevel="0" collapsed="false">
      <c r="A1386" s="25" t="s">
        <v>10744</v>
      </c>
      <c r="B1386" s="25" t="s">
        <v>8419</v>
      </c>
      <c r="C1386" s="25" t="s">
        <v>8393</v>
      </c>
      <c r="D1386" s="25" t="n">
        <v>9</v>
      </c>
      <c r="E1386" s="25" t="s">
        <v>8394</v>
      </c>
      <c r="F1386" s="25" t="s">
        <v>8395</v>
      </c>
      <c r="G1386" s="25" t="s">
        <v>8396</v>
      </c>
      <c r="H1386" s="25" t="s">
        <v>8399</v>
      </c>
      <c r="I1386" s="25" t="s">
        <v>10745</v>
      </c>
      <c r="J1386" s="25" t="s">
        <v>10721</v>
      </c>
      <c r="K1386" s="25" t="n">
        <v>0</v>
      </c>
      <c r="L1386" s="25" t="str">
        <f aca="false">IF(K1386&gt;0,"Yes","No")</f>
        <v>No</v>
      </c>
    </row>
    <row r="1387" customFormat="false" ht="15" hidden="false" customHeight="false" outlineLevel="0" collapsed="false">
      <c r="A1387" s="25" t="s">
        <v>10746</v>
      </c>
      <c r="B1387" s="25" t="s">
        <v>8419</v>
      </c>
      <c r="C1387" s="25" t="s">
        <v>8393</v>
      </c>
      <c r="D1387" s="25" t="n">
        <v>9</v>
      </c>
      <c r="E1387" s="25" t="s">
        <v>8394</v>
      </c>
      <c r="F1387" s="25" t="s">
        <v>8395</v>
      </c>
      <c r="G1387" s="25" t="s">
        <v>8396</v>
      </c>
      <c r="H1387" s="25" t="s">
        <v>8399</v>
      </c>
      <c r="I1387" s="25" t="s">
        <v>10747</v>
      </c>
      <c r="J1387" s="25" t="s">
        <v>10721</v>
      </c>
      <c r="K1387" s="25" t="n">
        <v>0</v>
      </c>
      <c r="L1387" s="25" t="str">
        <f aca="false">IF(K1387&gt;0,"Yes","No")</f>
        <v>No</v>
      </c>
    </row>
    <row r="1388" customFormat="false" ht="15" hidden="false" customHeight="false" outlineLevel="0" collapsed="false">
      <c r="A1388" s="25" t="s">
        <v>8314</v>
      </c>
      <c r="B1388" s="25" t="s">
        <v>8392</v>
      </c>
      <c r="C1388" s="25" t="s">
        <v>8393</v>
      </c>
      <c r="D1388" s="25" t="n">
        <v>9</v>
      </c>
      <c r="E1388" s="25" t="s">
        <v>8394</v>
      </c>
      <c r="F1388" s="25" t="s">
        <v>8395</v>
      </c>
      <c r="G1388" s="25" t="s">
        <v>8398</v>
      </c>
      <c r="H1388" s="25"/>
      <c r="I1388" s="25" t="s">
        <v>8315</v>
      </c>
      <c r="J1388" s="25" t="s">
        <v>3021</v>
      </c>
      <c r="K1388" s="25" t="n">
        <v>0</v>
      </c>
      <c r="L1388" s="25" t="str">
        <f aca="false">IF(K1388&gt;0,"Yes","No")</f>
        <v>No</v>
      </c>
    </row>
    <row r="1389" customFormat="false" ht="15" hidden="false" customHeight="false" outlineLevel="0" collapsed="false">
      <c r="A1389" s="25" t="s">
        <v>10748</v>
      </c>
      <c r="B1389" s="25" t="s">
        <v>8392</v>
      </c>
      <c r="C1389" s="25" t="s">
        <v>8393</v>
      </c>
      <c r="D1389" s="25" t="n">
        <v>9</v>
      </c>
      <c r="E1389" s="25" t="s">
        <v>8394</v>
      </c>
      <c r="F1389" s="25" t="s">
        <v>8395</v>
      </c>
      <c r="G1389" s="25" t="s">
        <v>8396</v>
      </c>
      <c r="H1389" s="25" t="s">
        <v>8399</v>
      </c>
      <c r="I1389" s="25" t="s">
        <v>10749</v>
      </c>
      <c r="J1389" s="25" t="s">
        <v>10750</v>
      </c>
      <c r="K1389" s="25" t="n">
        <v>0</v>
      </c>
      <c r="L1389" s="25" t="str">
        <f aca="false">IF(K1389&gt;0,"Yes","No")</f>
        <v>No</v>
      </c>
    </row>
    <row r="1390" customFormat="false" ht="15" hidden="false" customHeight="false" outlineLevel="0" collapsed="false">
      <c r="A1390" s="25" t="s">
        <v>10751</v>
      </c>
      <c r="B1390" s="25" t="s">
        <v>8392</v>
      </c>
      <c r="C1390" s="25" t="s">
        <v>8393</v>
      </c>
      <c r="D1390" s="25" t="n">
        <v>9</v>
      </c>
      <c r="E1390" s="25" t="s">
        <v>8394</v>
      </c>
      <c r="F1390" s="25" t="s">
        <v>8395</v>
      </c>
      <c r="G1390" s="25" t="s">
        <v>8396</v>
      </c>
      <c r="H1390" s="25" t="s">
        <v>8399</v>
      </c>
      <c r="I1390" s="25" t="s">
        <v>10752</v>
      </c>
      <c r="J1390" s="25" t="s">
        <v>10750</v>
      </c>
      <c r="K1390" s="25" t="n">
        <v>0</v>
      </c>
      <c r="L1390" s="25" t="str">
        <f aca="false">IF(K1390&gt;0,"Yes","No")</f>
        <v>No</v>
      </c>
    </row>
    <row r="1391" customFormat="false" ht="15" hidden="false" customHeight="false" outlineLevel="0" collapsed="false">
      <c r="A1391" s="25" t="s">
        <v>10753</v>
      </c>
      <c r="B1391" s="25" t="s">
        <v>8392</v>
      </c>
      <c r="C1391" s="25" t="s">
        <v>8393</v>
      </c>
      <c r="D1391" s="25" t="n">
        <v>9</v>
      </c>
      <c r="E1391" s="25" t="s">
        <v>8394</v>
      </c>
      <c r="F1391" s="25" t="s">
        <v>8395</v>
      </c>
      <c r="G1391" s="25" t="s">
        <v>8398</v>
      </c>
      <c r="H1391" s="25"/>
      <c r="I1391" s="25" t="s">
        <v>5428</v>
      </c>
      <c r="J1391" s="25" t="s">
        <v>10750</v>
      </c>
      <c r="K1391" s="25" t="n">
        <v>0</v>
      </c>
      <c r="L1391" s="25" t="str">
        <f aca="false">IF(K1391&gt;0,"Yes","No")</f>
        <v>No</v>
      </c>
    </row>
    <row r="1392" customFormat="false" ht="15" hidden="false" customHeight="false" outlineLevel="0" collapsed="false">
      <c r="A1392" s="25" t="s">
        <v>10754</v>
      </c>
      <c r="B1392" s="25" t="s">
        <v>8392</v>
      </c>
      <c r="C1392" s="25" t="s">
        <v>8393</v>
      </c>
      <c r="D1392" s="25" t="n">
        <v>9</v>
      </c>
      <c r="E1392" s="25" t="s">
        <v>8394</v>
      </c>
      <c r="F1392" s="25" t="s">
        <v>8395</v>
      </c>
      <c r="G1392" s="25" t="s">
        <v>8402</v>
      </c>
      <c r="H1392" s="25" t="s">
        <v>8399</v>
      </c>
      <c r="I1392" s="25" t="s">
        <v>10755</v>
      </c>
      <c r="J1392" s="25" t="s">
        <v>10750</v>
      </c>
      <c r="K1392" s="25" t="n">
        <v>0</v>
      </c>
      <c r="L1392" s="25" t="str">
        <f aca="false">IF(K1392&gt;0,"Yes","No")</f>
        <v>No</v>
      </c>
    </row>
    <row r="1393" customFormat="false" ht="15" hidden="false" customHeight="false" outlineLevel="0" collapsed="false">
      <c r="A1393" s="25" t="s">
        <v>10756</v>
      </c>
      <c r="B1393" s="25" t="s">
        <v>8392</v>
      </c>
      <c r="C1393" s="25" t="s">
        <v>8393</v>
      </c>
      <c r="D1393" s="25" t="n">
        <v>9</v>
      </c>
      <c r="E1393" s="25" t="s">
        <v>8394</v>
      </c>
      <c r="F1393" s="25" t="s">
        <v>8395</v>
      </c>
      <c r="G1393" s="25" t="s">
        <v>8402</v>
      </c>
      <c r="H1393" s="25" t="s">
        <v>8399</v>
      </c>
      <c r="I1393" s="25" t="s">
        <v>10757</v>
      </c>
      <c r="J1393" s="25" t="s">
        <v>10750</v>
      </c>
      <c r="K1393" s="25" t="n">
        <v>0</v>
      </c>
      <c r="L1393" s="25" t="str">
        <f aca="false">IF(K1393&gt;0,"Yes","No")</f>
        <v>No</v>
      </c>
    </row>
    <row r="1394" customFormat="false" ht="15" hidden="false" customHeight="false" outlineLevel="0" collapsed="false">
      <c r="A1394" s="25" t="s">
        <v>10758</v>
      </c>
      <c r="B1394" s="25" t="s">
        <v>8419</v>
      </c>
      <c r="C1394" s="25" t="s">
        <v>8393</v>
      </c>
      <c r="D1394" s="25" t="n">
        <v>9</v>
      </c>
      <c r="E1394" s="25" t="s">
        <v>8394</v>
      </c>
      <c r="F1394" s="25" t="s">
        <v>8395</v>
      </c>
      <c r="G1394" s="25" t="s">
        <v>8396</v>
      </c>
      <c r="H1394" s="25" t="s">
        <v>8399</v>
      </c>
      <c r="I1394" s="25" t="s">
        <v>10759</v>
      </c>
      <c r="J1394" s="25" t="s">
        <v>10750</v>
      </c>
      <c r="K1394" s="25" t="n">
        <v>0</v>
      </c>
      <c r="L1394" s="25" t="str">
        <f aca="false">IF(K1394&gt;0,"Yes","No")</f>
        <v>No</v>
      </c>
    </row>
    <row r="1395" customFormat="false" ht="15" hidden="false" customHeight="false" outlineLevel="0" collapsed="false">
      <c r="A1395" s="25" t="s">
        <v>10760</v>
      </c>
      <c r="B1395" s="25" t="s">
        <v>8419</v>
      </c>
      <c r="C1395" s="25" t="s">
        <v>8393</v>
      </c>
      <c r="D1395" s="25" t="n">
        <v>9</v>
      </c>
      <c r="E1395" s="25" t="s">
        <v>8394</v>
      </c>
      <c r="F1395" s="25" t="s">
        <v>8395</v>
      </c>
      <c r="G1395" s="25" t="s">
        <v>8396</v>
      </c>
      <c r="H1395" s="25" t="s">
        <v>8399</v>
      </c>
      <c r="I1395" s="25" t="s">
        <v>10761</v>
      </c>
      <c r="J1395" s="25" t="s">
        <v>10750</v>
      </c>
      <c r="K1395" s="25" t="n">
        <v>0</v>
      </c>
      <c r="L1395" s="25" t="str">
        <f aca="false">IF(K1395&gt;0,"Yes","No")</f>
        <v>No</v>
      </c>
    </row>
    <row r="1396" customFormat="false" ht="15" hidden="false" customHeight="false" outlineLevel="0" collapsed="false">
      <c r="A1396" s="25" t="s">
        <v>10762</v>
      </c>
      <c r="B1396" s="25" t="s">
        <v>8419</v>
      </c>
      <c r="C1396" s="25" t="s">
        <v>8393</v>
      </c>
      <c r="D1396" s="25" t="n">
        <v>9</v>
      </c>
      <c r="E1396" s="25" t="s">
        <v>8394</v>
      </c>
      <c r="F1396" s="25" t="s">
        <v>8395</v>
      </c>
      <c r="G1396" s="25" t="s">
        <v>8396</v>
      </c>
      <c r="H1396" s="25" t="s">
        <v>8399</v>
      </c>
      <c r="I1396" s="25" t="s">
        <v>10763</v>
      </c>
      <c r="J1396" s="25" t="s">
        <v>10750</v>
      </c>
      <c r="K1396" s="25" t="n">
        <v>0</v>
      </c>
      <c r="L1396" s="25" t="str">
        <f aca="false">IF(K1396&gt;0,"Yes","No")</f>
        <v>No</v>
      </c>
    </row>
    <row r="1397" customFormat="false" ht="15" hidden="false" customHeight="false" outlineLevel="0" collapsed="false">
      <c r="A1397" s="25" t="s">
        <v>10764</v>
      </c>
      <c r="B1397" s="25" t="s">
        <v>8419</v>
      </c>
      <c r="C1397" s="25" t="s">
        <v>8393</v>
      </c>
      <c r="D1397" s="25" t="n">
        <v>9</v>
      </c>
      <c r="E1397" s="25" t="s">
        <v>8394</v>
      </c>
      <c r="F1397" s="25" t="s">
        <v>8395</v>
      </c>
      <c r="G1397" s="25" t="s">
        <v>8396</v>
      </c>
      <c r="H1397" s="25" t="s">
        <v>8399</v>
      </c>
      <c r="I1397" s="25" t="s">
        <v>10765</v>
      </c>
      <c r="J1397" s="25" t="s">
        <v>10750</v>
      </c>
      <c r="K1397" s="25" t="n">
        <v>0</v>
      </c>
      <c r="L1397" s="25" t="str">
        <f aca="false">IF(K1397&gt;0,"Yes","No")</f>
        <v>No</v>
      </c>
    </row>
    <row r="1398" customFormat="false" ht="15" hidden="false" customHeight="false" outlineLevel="0" collapsed="false">
      <c r="A1398" s="25" t="s">
        <v>10766</v>
      </c>
      <c r="B1398" s="25" t="s">
        <v>8419</v>
      </c>
      <c r="C1398" s="25" t="s">
        <v>8393</v>
      </c>
      <c r="D1398" s="25" t="n">
        <v>9</v>
      </c>
      <c r="E1398" s="25" t="s">
        <v>8394</v>
      </c>
      <c r="F1398" s="25" t="s">
        <v>8395</v>
      </c>
      <c r="G1398" s="25" t="s">
        <v>8396</v>
      </c>
      <c r="H1398" s="25" t="s">
        <v>8399</v>
      </c>
      <c r="I1398" s="25" t="s">
        <v>10767</v>
      </c>
      <c r="J1398" s="25" t="s">
        <v>10750</v>
      </c>
      <c r="K1398" s="25" t="n">
        <v>0</v>
      </c>
      <c r="L1398" s="25" t="str">
        <f aca="false">IF(K1398&gt;0,"Yes","No")</f>
        <v>No</v>
      </c>
    </row>
    <row r="1399" customFormat="false" ht="15" hidden="false" customHeight="false" outlineLevel="0" collapsed="false">
      <c r="A1399" s="25" t="s">
        <v>10768</v>
      </c>
      <c r="B1399" s="25" t="s">
        <v>8419</v>
      </c>
      <c r="C1399" s="25" t="s">
        <v>8393</v>
      </c>
      <c r="D1399" s="25" t="n">
        <v>9</v>
      </c>
      <c r="E1399" s="25" t="s">
        <v>8394</v>
      </c>
      <c r="F1399" s="25" t="s">
        <v>8395</v>
      </c>
      <c r="G1399" s="25" t="s">
        <v>8396</v>
      </c>
      <c r="H1399" s="25" t="s">
        <v>8399</v>
      </c>
      <c r="I1399" s="25" t="s">
        <v>10769</v>
      </c>
      <c r="J1399" s="25" t="s">
        <v>10750</v>
      </c>
      <c r="K1399" s="25" t="n">
        <v>0</v>
      </c>
      <c r="L1399" s="25" t="str">
        <f aca="false">IF(K1399&gt;0,"Yes","No")</f>
        <v>No</v>
      </c>
    </row>
    <row r="1400" customFormat="false" ht="15" hidden="false" customHeight="false" outlineLevel="0" collapsed="false">
      <c r="A1400" s="25" t="s">
        <v>10770</v>
      </c>
      <c r="B1400" s="25" t="s">
        <v>8419</v>
      </c>
      <c r="C1400" s="25" t="s">
        <v>8393</v>
      </c>
      <c r="D1400" s="25" t="n">
        <v>9</v>
      </c>
      <c r="E1400" s="25" t="s">
        <v>8394</v>
      </c>
      <c r="F1400" s="25" t="s">
        <v>8395</v>
      </c>
      <c r="G1400" s="25" t="s">
        <v>8396</v>
      </c>
      <c r="H1400" s="25" t="s">
        <v>8399</v>
      </c>
      <c r="I1400" s="25" t="s">
        <v>10771</v>
      </c>
      <c r="J1400" s="25" t="s">
        <v>10750</v>
      </c>
      <c r="K1400" s="25" t="n">
        <v>0</v>
      </c>
      <c r="L1400" s="25" t="str">
        <f aca="false">IF(K1400&gt;0,"Yes","No")</f>
        <v>No</v>
      </c>
    </row>
    <row r="1401" customFormat="false" ht="15" hidden="false" customHeight="false" outlineLevel="0" collapsed="false">
      <c r="A1401" s="25" t="s">
        <v>10772</v>
      </c>
      <c r="B1401" s="25" t="s">
        <v>8419</v>
      </c>
      <c r="C1401" s="25" t="s">
        <v>8393</v>
      </c>
      <c r="D1401" s="25" t="n">
        <v>9</v>
      </c>
      <c r="E1401" s="25" t="s">
        <v>8394</v>
      </c>
      <c r="F1401" s="25" t="s">
        <v>8395</v>
      </c>
      <c r="G1401" s="25" t="s">
        <v>8396</v>
      </c>
      <c r="H1401" s="25" t="s">
        <v>8399</v>
      </c>
      <c r="I1401" s="25" t="s">
        <v>10773</v>
      </c>
      <c r="J1401" s="25" t="s">
        <v>10750</v>
      </c>
      <c r="K1401" s="25" t="n">
        <v>0</v>
      </c>
      <c r="L1401" s="25" t="str">
        <f aca="false">IF(K1401&gt;0,"Yes","No")</f>
        <v>No</v>
      </c>
    </row>
    <row r="1402" customFormat="false" ht="15" hidden="false" customHeight="false" outlineLevel="0" collapsed="false">
      <c r="A1402" s="25" t="s">
        <v>10774</v>
      </c>
      <c r="B1402" s="25" t="s">
        <v>8419</v>
      </c>
      <c r="C1402" s="25" t="s">
        <v>8393</v>
      </c>
      <c r="D1402" s="25" t="n">
        <v>9</v>
      </c>
      <c r="E1402" s="25" t="s">
        <v>8394</v>
      </c>
      <c r="F1402" s="25" t="s">
        <v>8395</v>
      </c>
      <c r="G1402" s="25" t="s">
        <v>8396</v>
      </c>
      <c r="H1402" s="25" t="s">
        <v>8399</v>
      </c>
      <c r="I1402" s="25" t="s">
        <v>10775</v>
      </c>
      <c r="J1402" s="25" t="s">
        <v>10750</v>
      </c>
      <c r="K1402" s="25" t="n">
        <v>0</v>
      </c>
      <c r="L1402" s="25" t="str">
        <f aca="false">IF(K1402&gt;0,"Yes","No")</f>
        <v>No</v>
      </c>
    </row>
    <row r="1403" customFormat="false" ht="15" hidden="false" customHeight="false" outlineLevel="0" collapsed="false">
      <c r="A1403" s="25" t="s">
        <v>10776</v>
      </c>
      <c r="B1403" s="25" t="s">
        <v>8419</v>
      </c>
      <c r="C1403" s="25" t="s">
        <v>8393</v>
      </c>
      <c r="D1403" s="25" t="n">
        <v>9</v>
      </c>
      <c r="E1403" s="25" t="s">
        <v>8394</v>
      </c>
      <c r="F1403" s="25" t="s">
        <v>8395</v>
      </c>
      <c r="G1403" s="25" t="s">
        <v>8396</v>
      </c>
      <c r="H1403" s="25" t="s">
        <v>8399</v>
      </c>
      <c r="I1403" s="25" t="s">
        <v>10777</v>
      </c>
      <c r="J1403" s="25" t="s">
        <v>10750</v>
      </c>
      <c r="K1403" s="25" t="n">
        <v>0</v>
      </c>
      <c r="L1403" s="25" t="str">
        <f aca="false">IF(K1403&gt;0,"Yes","No")</f>
        <v>No</v>
      </c>
    </row>
    <row r="1404" customFormat="false" ht="15" hidden="false" customHeight="false" outlineLevel="0" collapsed="false">
      <c r="A1404" s="25" t="s">
        <v>10778</v>
      </c>
      <c r="B1404" s="25" t="s">
        <v>8419</v>
      </c>
      <c r="C1404" s="25" t="s">
        <v>8393</v>
      </c>
      <c r="D1404" s="25" t="n">
        <v>9</v>
      </c>
      <c r="E1404" s="25" t="s">
        <v>8394</v>
      </c>
      <c r="F1404" s="25" t="s">
        <v>8395</v>
      </c>
      <c r="G1404" s="25" t="s">
        <v>8396</v>
      </c>
      <c r="H1404" s="25" t="s">
        <v>8399</v>
      </c>
      <c r="I1404" s="25" t="s">
        <v>10779</v>
      </c>
      <c r="J1404" s="25" t="s">
        <v>10750</v>
      </c>
      <c r="K1404" s="25" t="n">
        <v>0</v>
      </c>
      <c r="L1404" s="25" t="str">
        <f aca="false">IF(K1404&gt;0,"Yes","No")</f>
        <v>No</v>
      </c>
    </row>
    <row r="1405" customFormat="false" ht="15" hidden="false" customHeight="false" outlineLevel="0" collapsed="false">
      <c r="A1405" s="25" t="s">
        <v>10780</v>
      </c>
      <c r="B1405" s="25" t="s">
        <v>8392</v>
      </c>
      <c r="C1405" s="25" t="s">
        <v>8393</v>
      </c>
      <c r="D1405" s="25" t="n">
        <v>9</v>
      </c>
      <c r="E1405" s="25" t="s">
        <v>8394</v>
      </c>
      <c r="F1405" s="25" t="s">
        <v>8395</v>
      </c>
      <c r="G1405" s="25" t="s">
        <v>8398</v>
      </c>
      <c r="H1405" s="25"/>
      <c r="I1405" s="25" t="s">
        <v>10781</v>
      </c>
      <c r="J1405" s="25" t="s">
        <v>10782</v>
      </c>
      <c r="K1405" s="25" t="n">
        <v>0</v>
      </c>
      <c r="L1405" s="25" t="str">
        <f aca="false">IF(K1405&gt;0,"Yes","No")</f>
        <v>No</v>
      </c>
    </row>
    <row r="1406" customFormat="false" ht="15" hidden="false" customHeight="false" outlineLevel="0" collapsed="false">
      <c r="A1406" s="25" t="s">
        <v>10783</v>
      </c>
      <c r="B1406" s="25" t="s">
        <v>8419</v>
      </c>
      <c r="C1406" s="25" t="s">
        <v>8393</v>
      </c>
      <c r="D1406" s="25" t="n">
        <v>9</v>
      </c>
      <c r="E1406" s="25" t="s">
        <v>8394</v>
      </c>
      <c r="F1406" s="25" t="s">
        <v>8395</v>
      </c>
      <c r="G1406" s="25" t="s">
        <v>8396</v>
      </c>
      <c r="H1406" s="25" t="s">
        <v>9994</v>
      </c>
      <c r="I1406" s="25" t="s">
        <v>10784</v>
      </c>
      <c r="J1406" s="25" t="s">
        <v>10785</v>
      </c>
      <c r="K1406" s="25" t="n">
        <v>0</v>
      </c>
      <c r="L1406" s="25" t="str">
        <f aca="false">IF(K1406&gt;0,"Yes","No")</f>
        <v>No</v>
      </c>
    </row>
    <row r="1407" customFormat="false" ht="15" hidden="false" customHeight="false" outlineLevel="0" collapsed="false">
      <c r="A1407" s="25" t="s">
        <v>10786</v>
      </c>
      <c r="B1407" s="25" t="s">
        <v>8392</v>
      </c>
      <c r="C1407" s="25" t="s">
        <v>8393</v>
      </c>
      <c r="D1407" s="25" t="n">
        <v>9</v>
      </c>
      <c r="E1407" s="25" t="s">
        <v>8394</v>
      </c>
      <c r="F1407" s="25" t="s">
        <v>8395</v>
      </c>
      <c r="G1407" s="25" t="s">
        <v>8398</v>
      </c>
      <c r="H1407" s="25"/>
      <c r="I1407" s="25" t="s">
        <v>10787</v>
      </c>
      <c r="J1407" s="25" t="s">
        <v>10788</v>
      </c>
      <c r="K1407" s="25" t="n">
        <v>0</v>
      </c>
      <c r="L1407" s="25" t="str">
        <f aca="false">IF(K1407&gt;0,"Yes","No")</f>
        <v>No</v>
      </c>
    </row>
    <row r="1408" customFormat="false" ht="15" hidden="false" customHeight="false" outlineLevel="0" collapsed="false">
      <c r="A1408" s="25" t="s">
        <v>10789</v>
      </c>
      <c r="B1408" s="25" t="s">
        <v>8392</v>
      </c>
      <c r="C1408" s="25" t="s">
        <v>8393</v>
      </c>
      <c r="D1408" s="25" t="n">
        <v>9</v>
      </c>
      <c r="E1408" s="25" t="s">
        <v>8394</v>
      </c>
      <c r="F1408" s="25" t="s">
        <v>8395</v>
      </c>
      <c r="G1408" s="25" t="s">
        <v>8398</v>
      </c>
      <c r="H1408" s="25"/>
      <c r="I1408" s="25" t="s">
        <v>10790</v>
      </c>
      <c r="J1408" s="25" t="s">
        <v>10788</v>
      </c>
      <c r="K1408" s="25" t="n">
        <v>0</v>
      </c>
      <c r="L1408" s="25" t="str">
        <f aca="false">IF(K1408&gt;0,"Yes","No")</f>
        <v>No</v>
      </c>
    </row>
    <row r="1409" customFormat="false" ht="15" hidden="false" customHeight="false" outlineLevel="0" collapsed="false">
      <c r="A1409" s="25" t="s">
        <v>10791</v>
      </c>
      <c r="B1409" s="25" t="s">
        <v>10792</v>
      </c>
      <c r="C1409" s="25" t="s">
        <v>8393</v>
      </c>
      <c r="D1409" s="25" t="n">
        <v>9</v>
      </c>
      <c r="E1409" s="25" t="s">
        <v>8394</v>
      </c>
      <c r="F1409" s="25" t="s">
        <v>8395</v>
      </c>
      <c r="G1409" s="25" t="s">
        <v>8400</v>
      </c>
      <c r="H1409" s="25"/>
      <c r="I1409" s="25" t="s">
        <v>10793</v>
      </c>
      <c r="J1409" s="25" t="s">
        <v>10794</v>
      </c>
      <c r="K1409" s="25" t="n">
        <v>0</v>
      </c>
      <c r="L1409" s="25" t="str">
        <f aca="false">IF(K1409&gt;0,"Yes","No")</f>
        <v>No</v>
      </c>
    </row>
    <row r="1410" customFormat="false" ht="15" hidden="false" customHeight="false" outlineLevel="0" collapsed="false">
      <c r="A1410" s="25" t="s">
        <v>10795</v>
      </c>
      <c r="B1410" s="25" t="s">
        <v>8392</v>
      </c>
      <c r="C1410" s="25" t="s">
        <v>8393</v>
      </c>
      <c r="D1410" s="25" t="n">
        <v>9</v>
      </c>
      <c r="E1410" s="25" t="s">
        <v>8394</v>
      </c>
      <c r="F1410" s="25" t="s">
        <v>8395</v>
      </c>
      <c r="G1410" s="25" t="s">
        <v>8398</v>
      </c>
      <c r="H1410" s="25"/>
      <c r="I1410" s="25" t="s">
        <v>10796</v>
      </c>
      <c r="J1410" s="25" t="s">
        <v>10797</v>
      </c>
      <c r="K1410" s="25" t="n">
        <v>0</v>
      </c>
      <c r="L1410" s="25" t="str">
        <f aca="false">IF(K1410&gt;0,"Yes","No")</f>
        <v>No</v>
      </c>
    </row>
    <row r="1411" customFormat="false" ht="15" hidden="false" customHeight="false" outlineLevel="0" collapsed="false">
      <c r="A1411" s="25" t="s">
        <v>10798</v>
      </c>
      <c r="B1411" s="25" t="s">
        <v>8392</v>
      </c>
      <c r="C1411" s="25" t="s">
        <v>8393</v>
      </c>
      <c r="D1411" s="25" t="n">
        <v>9</v>
      </c>
      <c r="E1411" s="25" t="s">
        <v>8394</v>
      </c>
      <c r="F1411" s="25" t="s">
        <v>8395</v>
      </c>
      <c r="G1411" s="25" t="s">
        <v>8398</v>
      </c>
      <c r="H1411" s="25"/>
      <c r="I1411" s="25" t="s">
        <v>10799</v>
      </c>
      <c r="J1411" s="25" t="s">
        <v>10800</v>
      </c>
      <c r="K1411" s="25" t="n">
        <v>0</v>
      </c>
      <c r="L1411" s="25" t="str">
        <f aca="false">IF(K1411&gt;0,"Yes","No")</f>
        <v>No</v>
      </c>
    </row>
    <row r="1412" customFormat="false" ht="15" hidden="false" customHeight="false" outlineLevel="0" collapsed="false">
      <c r="A1412" s="25" t="s">
        <v>10801</v>
      </c>
      <c r="B1412" s="25" t="s">
        <v>8392</v>
      </c>
      <c r="C1412" s="25" t="s">
        <v>8393</v>
      </c>
      <c r="D1412" s="25" t="n">
        <v>9</v>
      </c>
      <c r="E1412" s="25" t="s">
        <v>8394</v>
      </c>
      <c r="F1412" s="25" t="s">
        <v>8395</v>
      </c>
      <c r="G1412" s="25" t="s">
        <v>8398</v>
      </c>
      <c r="H1412" s="25"/>
      <c r="I1412" s="25" t="s">
        <v>10802</v>
      </c>
      <c r="J1412" s="25" t="s">
        <v>10800</v>
      </c>
      <c r="K1412" s="25" t="n">
        <v>0</v>
      </c>
      <c r="L1412" s="25" t="str">
        <f aca="false">IF(K1412&gt;0,"Yes","No")</f>
        <v>No</v>
      </c>
    </row>
    <row r="1413" customFormat="false" ht="15" hidden="false" customHeight="false" outlineLevel="0" collapsed="false">
      <c r="A1413" s="25" t="s">
        <v>10803</v>
      </c>
      <c r="B1413" s="25" t="s">
        <v>8392</v>
      </c>
      <c r="C1413" s="25" t="s">
        <v>8393</v>
      </c>
      <c r="D1413" s="25" t="n">
        <v>9</v>
      </c>
      <c r="E1413" s="25" t="s">
        <v>8394</v>
      </c>
      <c r="F1413" s="25" t="s">
        <v>8395</v>
      </c>
      <c r="G1413" s="25" t="s">
        <v>8398</v>
      </c>
      <c r="H1413" s="25"/>
      <c r="I1413" s="25" t="s">
        <v>10804</v>
      </c>
      <c r="J1413" s="25" t="s">
        <v>10805</v>
      </c>
      <c r="K1413" s="25" t="n">
        <v>0</v>
      </c>
      <c r="L1413" s="25" t="str">
        <f aca="false">IF(K1413&gt;0,"Yes","No")</f>
        <v>No</v>
      </c>
    </row>
    <row r="1414" customFormat="false" ht="15" hidden="false" customHeight="false" outlineLevel="0" collapsed="false">
      <c r="A1414" s="25" t="s">
        <v>10806</v>
      </c>
      <c r="B1414" s="25" t="s">
        <v>8392</v>
      </c>
      <c r="C1414" s="25"/>
      <c r="D1414" s="25" t="n">
        <v>8</v>
      </c>
      <c r="E1414" s="25" t="s">
        <v>8439</v>
      </c>
      <c r="F1414" s="25" t="s">
        <v>8440</v>
      </c>
      <c r="G1414" s="25" t="s">
        <v>8396</v>
      </c>
      <c r="H1414" s="25" t="s">
        <v>8399</v>
      </c>
      <c r="I1414" s="25" t="s">
        <v>10807</v>
      </c>
      <c r="J1414" s="25" t="s">
        <v>10808</v>
      </c>
      <c r="K1414" s="25" t="n">
        <v>0</v>
      </c>
      <c r="L1414" s="25" t="str">
        <f aca="false">IF(K1414&gt;0,"Yes","No")</f>
        <v>No</v>
      </c>
    </row>
    <row r="1415" customFormat="false" ht="15" hidden="false" customHeight="false" outlineLevel="0" collapsed="false">
      <c r="A1415" s="25" t="s">
        <v>10809</v>
      </c>
      <c r="B1415" s="25" t="s">
        <v>8392</v>
      </c>
      <c r="C1415" s="25" t="s">
        <v>10810</v>
      </c>
      <c r="D1415" s="25" t="n">
        <v>8</v>
      </c>
      <c r="E1415" s="25" t="s">
        <v>8439</v>
      </c>
      <c r="F1415" s="25" t="s">
        <v>8440</v>
      </c>
      <c r="G1415" s="25" t="s">
        <v>10811</v>
      </c>
      <c r="H1415" s="25"/>
      <c r="I1415" s="25" t="s">
        <v>10812</v>
      </c>
      <c r="J1415" s="25" t="s">
        <v>10813</v>
      </c>
      <c r="K1415" s="25" t="n">
        <v>0</v>
      </c>
      <c r="L1415" s="25" t="str">
        <f aca="false">IF(K1415&gt;0,"Yes","No")</f>
        <v>No</v>
      </c>
    </row>
    <row r="1416" customFormat="false" ht="15" hidden="false" customHeight="false" outlineLevel="0" collapsed="false">
      <c r="A1416" s="25" t="s">
        <v>10814</v>
      </c>
      <c r="B1416" s="25" t="s">
        <v>8419</v>
      </c>
      <c r="C1416" s="25"/>
      <c r="D1416" s="25" t="n">
        <v>8</v>
      </c>
      <c r="E1416" s="25" t="s">
        <v>8439</v>
      </c>
      <c r="F1416" s="25" t="s">
        <v>8440</v>
      </c>
      <c r="G1416" s="25" t="s">
        <v>8400</v>
      </c>
      <c r="H1416" s="25"/>
      <c r="I1416" s="25" t="s">
        <v>10815</v>
      </c>
      <c r="J1416" s="25" t="s">
        <v>10816</v>
      </c>
      <c r="K1416" s="25" t="n">
        <v>0</v>
      </c>
      <c r="L1416" s="25" t="str">
        <f aca="false">IF(K1416&gt;0,"Yes","No")</f>
        <v>No</v>
      </c>
    </row>
    <row r="1417" customFormat="false" ht="15" hidden="false" customHeight="false" outlineLevel="0" collapsed="false">
      <c r="A1417" s="25" t="s">
        <v>10817</v>
      </c>
      <c r="B1417" s="25" t="s">
        <v>8392</v>
      </c>
      <c r="C1417" s="25"/>
      <c r="D1417" s="25" t="n">
        <v>8</v>
      </c>
      <c r="E1417" s="25" t="s">
        <v>8439</v>
      </c>
      <c r="F1417" s="25" t="s">
        <v>8440</v>
      </c>
      <c r="G1417" s="25" t="s">
        <v>8396</v>
      </c>
      <c r="H1417" s="25" t="s">
        <v>10818</v>
      </c>
      <c r="I1417" s="25" t="s">
        <v>10819</v>
      </c>
      <c r="J1417" s="25" t="s">
        <v>10820</v>
      </c>
      <c r="K1417" s="25" t="n">
        <v>0</v>
      </c>
      <c r="L1417" s="25" t="str">
        <f aca="false">IF(K1417&gt;0,"Yes","No")</f>
        <v>No</v>
      </c>
    </row>
    <row r="1418" customFormat="false" ht="15" hidden="false" customHeight="false" outlineLevel="0" collapsed="false">
      <c r="A1418" s="25" t="s">
        <v>10821</v>
      </c>
      <c r="B1418" s="25" t="s">
        <v>8392</v>
      </c>
      <c r="C1418" s="25"/>
      <c r="D1418" s="25" t="n">
        <v>8</v>
      </c>
      <c r="E1418" s="25" t="s">
        <v>8439</v>
      </c>
      <c r="F1418" s="25" t="s">
        <v>8440</v>
      </c>
      <c r="G1418" s="25" t="s">
        <v>8396</v>
      </c>
      <c r="H1418" s="25" t="s">
        <v>10818</v>
      </c>
      <c r="I1418" s="25" t="s">
        <v>10822</v>
      </c>
      <c r="J1418" s="25" t="s">
        <v>10820</v>
      </c>
      <c r="K1418" s="25" t="n">
        <v>0</v>
      </c>
      <c r="L1418" s="25" t="str">
        <f aca="false">IF(K1418&gt;0,"Yes","No")</f>
        <v>No</v>
      </c>
    </row>
    <row r="1419" customFormat="false" ht="15" hidden="false" customHeight="false" outlineLevel="0" collapsed="false">
      <c r="A1419" s="25" t="s">
        <v>10823</v>
      </c>
      <c r="B1419" s="25" t="s">
        <v>8392</v>
      </c>
      <c r="C1419" s="25"/>
      <c r="D1419" s="25" t="n">
        <v>8</v>
      </c>
      <c r="E1419" s="25" t="s">
        <v>8439</v>
      </c>
      <c r="F1419" s="25" t="s">
        <v>8440</v>
      </c>
      <c r="G1419" s="25" t="s">
        <v>8400</v>
      </c>
      <c r="H1419" s="25"/>
      <c r="I1419" s="25" t="s">
        <v>10824</v>
      </c>
      <c r="J1419" s="25" t="s">
        <v>10825</v>
      </c>
      <c r="K1419" s="25" t="n">
        <v>0</v>
      </c>
      <c r="L1419" s="25" t="str">
        <f aca="false">IF(K1419&gt;0,"Yes","No")</f>
        <v>No</v>
      </c>
    </row>
    <row r="1420" customFormat="false" ht="15" hidden="false" customHeight="false" outlineLevel="0" collapsed="false">
      <c r="A1420" s="25" t="s">
        <v>10826</v>
      </c>
      <c r="B1420" s="25" t="s">
        <v>8419</v>
      </c>
      <c r="C1420" s="25"/>
      <c r="D1420" s="25" t="n">
        <v>8</v>
      </c>
      <c r="E1420" s="25" t="s">
        <v>8439</v>
      </c>
      <c r="F1420" s="25" t="s">
        <v>8440</v>
      </c>
      <c r="G1420" s="25" t="s">
        <v>8396</v>
      </c>
      <c r="H1420" s="25" t="s">
        <v>8408</v>
      </c>
      <c r="I1420" s="25" t="s">
        <v>10827</v>
      </c>
      <c r="J1420" s="25" t="s">
        <v>10816</v>
      </c>
      <c r="K1420" s="25" t="n">
        <v>0</v>
      </c>
      <c r="L1420" s="25" t="str">
        <f aca="false">IF(K1420&gt;0,"Yes","No")</f>
        <v>No</v>
      </c>
    </row>
    <row r="1421" customFormat="false" ht="15" hidden="false" customHeight="false" outlineLevel="0" collapsed="false">
      <c r="A1421" s="25" t="s">
        <v>10828</v>
      </c>
      <c r="B1421" s="25" t="s">
        <v>8392</v>
      </c>
      <c r="C1421" s="25"/>
      <c r="D1421" s="25" t="n">
        <v>8</v>
      </c>
      <c r="E1421" s="25" t="s">
        <v>8439</v>
      </c>
      <c r="F1421" s="25" t="s">
        <v>8440</v>
      </c>
      <c r="G1421" s="25" t="s">
        <v>8396</v>
      </c>
      <c r="H1421" s="25" t="s">
        <v>8408</v>
      </c>
      <c r="I1421" s="25" t="s">
        <v>10829</v>
      </c>
      <c r="J1421" s="25" t="s">
        <v>10816</v>
      </c>
      <c r="K1421" s="25" t="n">
        <v>0</v>
      </c>
      <c r="L1421" s="25" t="str">
        <f aca="false">IF(K1421&gt;0,"Yes","No")</f>
        <v>No</v>
      </c>
    </row>
    <row r="1422" customFormat="false" ht="15" hidden="false" customHeight="false" outlineLevel="0" collapsed="false">
      <c r="A1422" s="25" t="s">
        <v>10830</v>
      </c>
      <c r="B1422" s="25" t="s">
        <v>8392</v>
      </c>
      <c r="C1422" s="25"/>
      <c r="D1422" s="25" t="n">
        <v>8</v>
      </c>
      <c r="E1422" s="25" t="s">
        <v>8439</v>
      </c>
      <c r="F1422" s="25" t="s">
        <v>8440</v>
      </c>
      <c r="G1422" s="25" t="s">
        <v>8396</v>
      </c>
      <c r="H1422" s="25" t="s">
        <v>8408</v>
      </c>
      <c r="I1422" s="25" t="s">
        <v>10831</v>
      </c>
      <c r="J1422" s="25" t="s">
        <v>10816</v>
      </c>
      <c r="K1422" s="25" t="n">
        <v>0</v>
      </c>
      <c r="L1422" s="25" t="str">
        <f aca="false">IF(K1422&gt;0,"Yes","No")</f>
        <v>No</v>
      </c>
    </row>
    <row r="1423" customFormat="false" ht="15" hidden="false" customHeight="false" outlineLevel="0" collapsed="false">
      <c r="A1423" s="25" t="s">
        <v>10832</v>
      </c>
      <c r="B1423" s="25" t="s">
        <v>8392</v>
      </c>
      <c r="C1423" s="25" t="s">
        <v>8393</v>
      </c>
      <c r="D1423" s="25" t="n">
        <v>9</v>
      </c>
      <c r="E1423" s="25" t="s">
        <v>8394</v>
      </c>
      <c r="F1423" s="25" t="s">
        <v>8395</v>
      </c>
      <c r="G1423" s="25" t="s">
        <v>8396</v>
      </c>
      <c r="H1423" s="25" t="s">
        <v>8399</v>
      </c>
      <c r="I1423" s="25" t="s">
        <v>10833</v>
      </c>
      <c r="J1423" s="25" t="s">
        <v>10808</v>
      </c>
      <c r="K1423" s="25" t="n">
        <v>0</v>
      </c>
      <c r="L1423" s="25" t="str">
        <f aca="false">IF(K1423&gt;0,"Yes","No")</f>
        <v>No</v>
      </c>
    </row>
    <row r="1424" customFormat="false" ht="15" hidden="false" customHeight="false" outlineLevel="0" collapsed="false">
      <c r="A1424" s="25" t="s">
        <v>10834</v>
      </c>
      <c r="B1424" s="25" t="s">
        <v>8419</v>
      </c>
      <c r="C1424" s="25"/>
      <c r="D1424" s="25" t="n">
        <v>8</v>
      </c>
      <c r="E1424" s="25" t="s">
        <v>8439</v>
      </c>
      <c r="F1424" s="25" t="s">
        <v>8440</v>
      </c>
      <c r="G1424" s="25" t="s">
        <v>8396</v>
      </c>
      <c r="H1424" s="25" t="s">
        <v>8408</v>
      </c>
      <c r="I1424" s="25" t="s">
        <v>10835</v>
      </c>
      <c r="J1424" s="25" t="s">
        <v>10816</v>
      </c>
      <c r="K1424" s="25" t="n">
        <v>0</v>
      </c>
      <c r="L1424" s="25" t="str">
        <f aca="false">IF(K1424&gt;0,"Yes","No")</f>
        <v>No</v>
      </c>
    </row>
    <row r="1425" customFormat="false" ht="15" hidden="false" customHeight="false" outlineLevel="0" collapsed="false">
      <c r="A1425" s="25" t="s">
        <v>10836</v>
      </c>
      <c r="B1425" s="25" t="s">
        <v>8392</v>
      </c>
      <c r="C1425" s="25"/>
      <c r="D1425" s="25" t="n">
        <v>8</v>
      </c>
      <c r="E1425" s="25" t="s">
        <v>8439</v>
      </c>
      <c r="F1425" s="25" t="s">
        <v>8440</v>
      </c>
      <c r="G1425" s="25" t="s">
        <v>8396</v>
      </c>
      <c r="H1425" s="25" t="s">
        <v>8399</v>
      </c>
      <c r="I1425" s="25" t="s">
        <v>10837</v>
      </c>
      <c r="J1425" s="25" t="s">
        <v>5270</v>
      </c>
      <c r="K1425" s="25" t="n">
        <v>0</v>
      </c>
      <c r="L1425" s="25" t="str">
        <f aca="false">IF(K1425&gt;0,"Yes","No")</f>
        <v>No</v>
      </c>
    </row>
    <row r="1426" customFormat="false" ht="15" hidden="false" customHeight="false" outlineLevel="0" collapsed="false">
      <c r="A1426" s="25" t="s">
        <v>10838</v>
      </c>
      <c r="B1426" s="25" t="s">
        <v>8392</v>
      </c>
      <c r="C1426" s="25"/>
      <c r="D1426" s="25" t="n">
        <v>8</v>
      </c>
      <c r="E1426" s="25" t="s">
        <v>8439</v>
      </c>
      <c r="F1426" s="25" t="s">
        <v>8440</v>
      </c>
      <c r="G1426" s="25" t="s">
        <v>8396</v>
      </c>
      <c r="H1426" s="25" t="s">
        <v>8399</v>
      </c>
      <c r="I1426" s="25" t="s">
        <v>10839</v>
      </c>
      <c r="J1426" s="25" t="s">
        <v>5270</v>
      </c>
      <c r="K1426" s="25" t="n">
        <v>0</v>
      </c>
      <c r="L1426" s="25" t="str">
        <f aca="false">IF(K1426&gt;0,"Yes","No")</f>
        <v>No</v>
      </c>
    </row>
    <row r="1427" customFormat="false" ht="15" hidden="false" customHeight="false" outlineLevel="0" collapsed="false">
      <c r="A1427" s="25" t="s">
        <v>10840</v>
      </c>
      <c r="B1427" s="25" t="s">
        <v>8392</v>
      </c>
      <c r="C1427" s="25"/>
      <c r="D1427" s="25" t="n">
        <v>8</v>
      </c>
      <c r="E1427" s="25" t="s">
        <v>8439</v>
      </c>
      <c r="F1427" s="25" t="s">
        <v>8440</v>
      </c>
      <c r="G1427" s="25" t="s">
        <v>8396</v>
      </c>
      <c r="H1427" s="25" t="s">
        <v>8408</v>
      </c>
      <c r="I1427" s="25" t="s">
        <v>10841</v>
      </c>
      <c r="J1427" s="25" t="s">
        <v>10816</v>
      </c>
      <c r="K1427" s="25" t="n">
        <v>0</v>
      </c>
      <c r="L1427" s="25" t="str">
        <f aca="false">IF(K1427&gt;0,"Yes","No")</f>
        <v>No</v>
      </c>
    </row>
    <row r="1428" customFormat="false" ht="15" hidden="false" customHeight="false" outlineLevel="0" collapsed="false">
      <c r="A1428" s="25" t="s">
        <v>10842</v>
      </c>
      <c r="B1428" s="25" t="s">
        <v>8392</v>
      </c>
      <c r="C1428" s="25"/>
      <c r="D1428" s="25" t="n">
        <v>8</v>
      </c>
      <c r="E1428" s="25" t="s">
        <v>8439</v>
      </c>
      <c r="F1428" s="25" t="s">
        <v>8440</v>
      </c>
      <c r="G1428" s="25" t="s">
        <v>8398</v>
      </c>
      <c r="H1428" s="25"/>
      <c r="I1428" s="25" t="s">
        <v>10843</v>
      </c>
      <c r="J1428" s="25" t="s">
        <v>10844</v>
      </c>
      <c r="K1428" s="25" t="n">
        <v>0</v>
      </c>
      <c r="L1428" s="25" t="str">
        <f aca="false">IF(K1428&gt;0,"Yes","No")</f>
        <v>No</v>
      </c>
    </row>
    <row r="1429" customFormat="false" ht="15" hidden="false" customHeight="false" outlineLevel="0" collapsed="false">
      <c r="A1429" s="25" t="s">
        <v>10845</v>
      </c>
      <c r="B1429" s="25" t="s">
        <v>8392</v>
      </c>
      <c r="C1429" s="25"/>
      <c r="D1429" s="25" t="n">
        <v>8</v>
      </c>
      <c r="E1429" s="25" t="s">
        <v>8439</v>
      </c>
      <c r="F1429" s="25" t="s">
        <v>8440</v>
      </c>
      <c r="G1429" s="25" t="s">
        <v>8396</v>
      </c>
      <c r="H1429" s="25" t="s">
        <v>8399</v>
      </c>
      <c r="I1429" s="25" t="s">
        <v>10846</v>
      </c>
      <c r="J1429" s="25" t="s">
        <v>5270</v>
      </c>
      <c r="K1429" s="25" t="n">
        <v>0</v>
      </c>
      <c r="L1429" s="25" t="str">
        <f aca="false">IF(K1429&gt;0,"Yes","No")</f>
        <v>No</v>
      </c>
    </row>
    <row r="1430" customFormat="false" ht="15" hidden="false" customHeight="false" outlineLevel="0" collapsed="false">
      <c r="A1430" s="25" t="s">
        <v>10847</v>
      </c>
      <c r="B1430" s="25" t="s">
        <v>8392</v>
      </c>
      <c r="C1430" s="25"/>
      <c r="D1430" s="25" t="n">
        <v>8</v>
      </c>
      <c r="E1430" s="25" t="s">
        <v>8439</v>
      </c>
      <c r="F1430" s="25" t="s">
        <v>8440</v>
      </c>
      <c r="G1430" s="25" t="s">
        <v>8396</v>
      </c>
      <c r="H1430" s="25" t="s">
        <v>8404</v>
      </c>
      <c r="I1430" s="25" t="s">
        <v>10848</v>
      </c>
      <c r="J1430" s="25" t="s">
        <v>10849</v>
      </c>
      <c r="K1430" s="25" t="n">
        <v>0</v>
      </c>
      <c r="L1430" s="25" t="str">
        <f aca="false">IF(K1430&gt;0,"Yes","No")</f>
        <v>No</v>
      </c>
    </row>
    <row r="1431" customFormat="false" ht="15" hidden="false" customHeight="false" outlineLevel="0" collapsed="false">
      <c r="A1431" s="25" t="s">
        <v>10850</v>
      </c>
      <c r="B1431" s="25" t="s">
        <v>8392</v>
      </c>
      <c r="C1431" s="25"/>
      <c r="D1431" s="25" t="n">
        <v>8</v>
      </c>
      <c r="E1431" s="25" t="s">
        <v>8439</v>
      </c>
      <c r="F1431" s="25" t="s">
        <v>8440</v>
      </c>
      <c r="G1431" s="25" t="s">
        <v>8396</v>
      </c>
      <c r="H1431" s="25" t="s">
        <v>8404</v>
      </c>
      <c r="I1431" s="25" t="s">
        <v>10851</v>
      </c>
      <c r="J1431" s="25" t="s">
        <v>10852</v>
      </c>
      <c r="K1431" s="25" t="n">
        <v>0</v>
      </c>
      <c r="L1431" s="25" t="str">
        <f aca="false">IF(K1431&gt;0,"Yes","No")</f>
        <v>No</v>
      </c>
    </row>
    <row r="1432" customFormat="false" ht="15" hidden="false" customHeight="false" outlineLevel="0" collapsed="false">
      <c r="A1432" s="25" t="s">
        <v>10853</v>
      </c>
      <c r="B1432" s="25" t="s">
        <v>8392</v>
      </c>
      <c r="C1432" s="25"/>
      <c r="D1432" s="25" t="n">
        <v>8</v>
      </c>
      <c r="E1432" s="25" t="s">
        <v>8439</v>
      </c>
      <c r="F1432" s="25" t="s">
        <v>8440</v>
      </c>
      <c r="G1432" s="25" t="s">
        <v>8396</v>
      </c>
      <c r="H1432" s="25" t="s">
        <v>8408</v>
      </c>
      <c r="I1432" s="25" t="s">
        <v>10854</v>
      </c>
      <c r="J1432" s="25" t="s">
        <v>10816</v>
      </c>
      <c r="K1432" s="25" t="n">
        <v>0</v>
      </c>
      <c r="L1432" s="25" t="str">
        <f aca="false">IF(K1432&gt;0,"Yes","No")</f>
        <v>No</v>
      </c>
    </row>
    <row r="1433" customFormat="false" ht="15" hidden="false" customHeight="false" outlineLevel="0" collapsed="false">
      <c r="A1433" s="25" t="s">
        <v>10855</v>
      </c>
      <c r="B1433" s="25" t="s">
        <v>8392</v>
      </c>
      <c r="C1433" s="25"/>
      <c r="D1433" s="25" t="n">
        <v>8</v>
      </c>
      <c r="E1433" s="25" t="s">
        <v>8439</v>
      </c>
      <c r="F1433" s="25" t="s">
        <v>8440</v>
      </c>
      <c r="G1433" s="25" t="s">
        <v>8398</v>
      </c>
      <c r="H1433" s="25"/>
      <c r="I1433" s="25" t="s">
        <v>10856</v>
      </c>
      <c r="J1433" s="25" t="s">
        <v>10857</v>
      </c>
      <c r="K1433" s="25" t="n">
        <v>0</v>
      </c>
      <c r="L1433" s="25" t="str">
        <f aca="false">IF(K1433&gt;0,"Yes","No")</f>
        <v>No</v>
      </c>
    </row>
    <row r="1434" customFormat="false" ht="15" hidden="false" customHeight="false" outlineLevel="0" collapsed="false">
      <c r="A1434" s="25" t="s">
        <v>10858</v>
      </c>
      <c r="B1434" s="25" t="s">
        <v>8392</v>
      </c>
      <c r="C1434" s="25"/>
      <c r="D1434" s="25" t="n">
        <v>8</v>
      </c>
      <c r="E1434" s="25" t="s">
        <v>8439</v>
      </c>
      <c r="F1434" s="25" t="s">
        <v>8440</v>
      </c>
      <c r="G1434" s="25" t="s">
        <v>8396</v>
      </c>
      <c r="H1434" s="25" t="s">
        <v>8404</v>
      </c>
      <c r="I1434" s="25" t="s">
        <v>10859</v>
      </c>
      <c r="J1434" s="25" t="s">
        <v>10857</v>
      </c>
      <c r="K1434" s="25" t="n">
        <v>0</v>
      </c>
      <c r="L1434" s="25" t="str">
        <f aca="false">IF(K1434&gt;0,"Yes","No")</f>
        <v>No</v>
      </c>
    </row>
    <row r="1435" customFormat="false" ht="15" hidden="false" customHeight="false" outlineLevel="0" collapsed="false">
      <c r="A1435" s="25" t="s">
        <v>10860</v>
      </c>
      <c r="B1435" s="25" t="s">
        <v>8392</v>
      </c>
      <c r="C1435" s="25"/>
      <c r="D1435" s="25" t="n">
        <v>8</v>
      </c>
      <c r="E1435" s="25" t="s">
        <v>8439</v>
      </c>
      <c r="F1435" s="25" t="s">
        <v>8440</v>
      </c>
      <c r="G1435" s="25" t="s">
        <v>8398</v>
      </c>
      <c r="H1435" s="25"/>
      <c r="I1435" s="25" t="s">
        <v>10861</v>
      </c>
      <c r="J1435" s="25" t="s">
        <v>10862</v>
      </c>
      <c r="K1435" s="25" t="n">
        <v>0</v>
      </c>
      <c r="L1435" s="25" t="str">
        <f aca="false">IF(K1435&gt;0,"Yes","No")</f>
        <v>No</v>
      </c>
    </row>
    <row r="1436" customFormat="false" ht="15" hidden="false" customHeight="false" outlineLevel="0" collapsed="false">
      <c r="A1436" s="25" t="s">
        <v>10863</v>
      </c>
      <c r="B1436" s="25" t="s">
        <v>8392</v>
      </c>
      <c r="C1436" s="25"/>
      <c r="D1436" s="25" t="n">
        <v>8</v>
      </c>
      <c r="E1436" s="25" t="s">
        <v>8439</v>
      </c>
      <c r="F1436" s="25" t="s">
        <v>8440</v>
      </c>
      <c r="G1436" s="25" t="s">
        <v>8398</v>
      </c>
      <c r="H1436" s="25"/>
      <c r="I1436" s="25" t="s">
        <v>10864</v>
      </c>
      <c r="J1436" s="25" t="s">
        <v>10862</v>
      </c>
      <c r="K1436" s="25" t="n">
        <v>0</v>
      </c>
      <c r="L1436" s="25" t="str">
        <f aca="false">IF(K1436&gt;0,"Yes","No")</f>
        <v>No</v>
      </c>
    </row>
    <row r="1437" customFormat="false" ht="15" hidden="false" customHeight="false" outlineLevel="0" collapsed="false">
      <c r="A1437" s="25" t="s">
        <v>10865</v>
      </c>
      <c r="B1437" s="25" t="s">
        <v>8392</v>
      </c>
      <c r="C1437" s="25"/>
      <c r="D1437" s="25" t="n">
        <v>8</v>
      </c>
      <c r="E1437" s="25" t="s">
        <v>8439</v>
      </c>
      <c r="F1437" s="25" t="s">
        <v>8440</v>
      </c>
      <c r="G1437" s="25" t="s">
        <v>8398</v>
      </c>
      <c r="H1437" s="25"/>
      <c r="I1437" s="25" t="s">
        <v>10866</v>
      </c>
      <c r="J1437" s="25" t="s">
        <v>10867</v>
      </c>
      <c r="K1437" s="25" t="n">
        <v>0</v>
      </c>
      <c r="L1437" s="25" t="str">
        <f aca="false">IF(K1437&gt;0,"Yes","No")</f>
        <v>No</v>
      </c>
    </row>
    <row r="1438" customFormat="false" ht="15" hidden="false" customHeight="false" outlineLevel="0" collapsed="false">
      <c r="A1438" s="25" t="s">
        <v>10868</v>
      </c>
      <c r="B1438" s="25" t="s">
        <v>8392</v>
      </c>
      <c r="C1438" s="25"/>
      <c r="D1438" s="25" t="n">
        <v>8</v>
      </c>
      <c r="E1438" s="25" t="s">
        <v>8439</v>
      </c>
      <c r="F1438" s="25" t="s">
        <v>8440</v>
      </c>
      <c r="G1438" s="25" t="s">
        <v>8398</v>
      </c>
      <c r="H1438" s="25"/>
      <c r="I1438" s="25" t="s">
        <v>10869</v>
      </c>
      <c r="J1438" s="25" t="s">
        <v>10870</v>
      </c>
      <c r="K1438" s="25" t="n">
        <v>0</v>
      </c>
      <c r="L1438" s="25" t="str">
        <f aca="false">IF(K1438&gt;0,"Yes","No")</f>
        <v>No</v>
      </c>
    </row>
    <row r="1439" customFormat="false" ht="15" hidden="false" customHeight="false" outlineLevel="0" collapsed="false">
      <c r="A1439" s="25" t="s">
        <v>10871</v>
      </c>
      <c r="B1439" s="25" t="s">
        <v>8392</v>
      </c>
      <c r="C1439" s="25"/>
      <c r="D1439" s="25" t="n">
        <v>8</v>
      </c>
      <c r="E1439" s="25" t="s">
        <v>8439</v>
      </c>
      <c r="F1439" s="25" t="s">
        <v>8440</v>
      </c>
      <c r="G1439" s="25" t="s">
        <v>8398</v>
      </c>
      <c r="H1439" s="25"/>
      <c r="I1439" s="25" t="s">
        <v>10872</v>
      </c>
      <c r="J1439" s="25" t="s">
        <v>10862</v>
      </c>
      <c r="K1439" s="25" t="n">
        <v>0</v>
      </c>
      <c r="L1439" s="25" t="str">
        <f aca="false">IF(K1439&gt;0,"Yes","No")</f>
        <v>No</v>
      </c>
    </row>
    <row r="1440" customFormat="false" ht="15" hidden="false" customHeight="false" outlineLevel="0" collapsed="false">
      <c r="A1440" s="25" t="s">
        <v>10873</v>
      </c>
      <c r="B1440" s="25" t="s">
        <v>8392</v>
      </c>
      <c r="C1440" s="25"/>
      <c r="D1440" s="25" t="n">
        <v>8</v>
      </c>
      <c r="E1440" s="25" t="s">
        <v>8439</v>
      </c>
      <c r="F1440" s="25" t="s">
        <v>8440</v>
      </c>
      <c r="G1440" s="25" t="s">
        <v>8398</v>
      </c>
      <c r="H1440" s="25"/>
      <c r="I1440" s="25" t="s">
        <v>10874</v>
      </c>
      <c r="J1440" s="25" t="s">
        <v>10875</v>
      </c>
      <c r="K1440" s="25" t="n">
        <v>0</v>
      </c>
      <c r="L1440" s="25" t="str">
        <f aca="false">IF(K1440&gt;0,"Yes","No")</f>
        <v>No</v>
      </c>
    </row>
    <row r="1441" customFormat="false" ht="15" hidden="false" customHeight="false" outlineLevel="0" collapsed="false">
      <c r="A1441" s="25" t="s">
        <v>10876</v>
      </c>
      <c r="B1441" s="25" t="s">
        <v>8392</v>
      </c>
      <c r="C1441" s="25"/>
      <c r="D1441" s="25" t="n">
        <v>8</v>
      </c>
      <c r="E1441" s="25" t="s">
        <v>8439</v>
      </c>
      <c r="F1441" s="25" t="s">
        <v>8440</v>
      </c>
      <c r="G1441" s="25" t="s">
        <v>8396</v>
      </c>
      <c r="H1441" s="25" t="s">
        <v>8399</v>
      </c>
      <c r="I1441" s="25" t="s">
        <v>10877</v>
      </c>
      <c r="J1441" s="25" t="s">
        <v>10878</v>
      </c>
      <c r="K1441" s="25" t="n">
        <v>0</v>
      </c>
      <c r="L1441" s="25" t="str">
        <f aca="false">IF(K1441&gt;0,"Yes","No")</f>
        <v>No</v>
      </c>
    </row>
    <row r="1442" customFormat="false" ht="15" hidden="false" customHeight="false" outlineLevel="0" collapsed="false">
      <c r="A1442" s="25" t="s">
        <v>10879</v>
      </c>
      <c r="B1442" s="25" t="s">
        <v>8392</v>
      </c>
      <c r="C1442" s="25"/>
      <c r="D1442" s="25" t="n">
        <v>8</v>
      </c>
      <c r="E1442" s="25" t="s">
        <v>8439</v>
      </c>
      <c r="F1442" s="25" t="s">
        <v>8440</v>
      </c>
      <c r="G1442" s="25" t="s">
        <v>8396</v>
      </c>
      <c r="H1442" s="25" t="s">
        <v>8399</v>
      </c>
      <c r="I1442" s="25" t="s">
        <v>10880</v>
      </c>
      <c r="J1442" s="25" t="s">
        <v>10878</v>
      </c>
      <c r="K1442" s="25" t="n">
        <v>0</v>
      </c>
      <c r="L1442" s="25" t="str">
        <f aca="false">IF(K1442&gt;0,"Yes","No")</f>
        <v>No</v>
      </c>
    </row>
    <row r="1443" customFormat="false" ht="15" hidden="false" customHeight="false" outlineLevel="0" collapsed="false">
      <c r="A1443" s="25" t="s">
        <v>10881</v>
      </c>
      <c r="B1443" s="25" t="s">
        <v>8392</v>
      </c>
      <c r="C1443" s="25"/>
      <c r="D1443" s="25" t="n">
        <v>8</v>
      </c>
      <c r="E1443" s="25" t="s">
        <v>8439</v>
      </c>
      <c r="F1443" s="25" t="s">
        <v>8440</v>
      </c>
      <c r="G1443" s="25" t="s">
        <v>8396</v>
      </c>
      <c r="H1443" s="25" t="s">
        <v>8399</v>
      </c>
      <c r="I1443" s="25" t="s">
        <v>10882</v>
      </c>
      <c r="J1443" s="25" t="s">
        <v>10808</v>
      </c>
      <c r="K1443" s="25" t="n">
        <v>0</v>
      </c>
      <c r="L1443" s="25" t="str">
        <f aca="false">IF(K1443&gt;0,"Yes","No")</f>
        <v>No</v>
      </c>
    </row>
    <row r="1444" customFormat="false" ht="15" hidden="false" customHeight="false" outlineLevel="0" collapsed="false">
      <c r="A1444" s="25" t="s">
        <v>10883</v>
      </c>
      <c r="B1444" s="25" t="s">
        <v>8392</v>
      </c>
      <c r="C1444" s="25"/>
      <c r="D1444" s="25" t="n">
        <v>8</v>
      </c>
      <c r="E1444" s="25" t="s">
        <v>8439</v>
      </c>
      <c r="F1444" s="25" t="s">
        <v>8440</v>
      </c>
      <c r="G1444" s="25" t="s">
        <v>8398</v>
      </c>
      <c r="H1444" s="25"/>
      <c r="I1444" s="25" t="s">
        <v>10884</v>
      </c>
      <c r="J1444" s="25" t="s">
        <v>10885</v>
      </c>
      <c r="K1444" s="25" t="n">
        <v>0</v>
      </c>
      <c r="L1444" s="25" t="str">
        <f aca="false">IF(K1444&gt;0,"Yes","No")</f>
        <v>No</v>
      </c>
    </row>
    <row r="1445" customFormat="false" ht="15" hidden="false" customHeight="false" outlineLevel="0" collapsed="false">
      <c r="A1445" s="25" t="s">
        <v>10886</v>
      </c>
      <c r="B1445" s="25" t="s">
        <v>8392</v>
      </c>
      <c r="C1445" s="25"/>
      <c r="D1445" s="25" t="n">
        <v>8</v>
      </c>
      <c r="E1445" s="25" t="s">
        <v>8439</v>
      </c>
      <c r="F1445" s="25" t="s">
        <v>8440</v>
      </c>
      <c r="G1445" s="25" t="s">
        <v>8396</v>
      </c>
      <c r="H1445" s="25" t="s">
        <v>8408</v>
      </c>
      <c r="I1445" s="25" t="s">
        <v>10887</v>
      </c>
      <c r="J1445" s="25" t="s">
        <v>10816</v>
      </c>
      <c r="K1445" s="25" t="n">
        <v>0</v>
      </c>
      <c r="L1445" s="25" t="str">
        <f aca="false">IF(K1445&gt;0,"Yes","No")</f>
        <v>No</v>
      </c>
    </row>
    <row r="1446" customFormat="false" ht="15" hidden="false" customHeight="false" outlineLevel="0" collapsed="false">
      <c r="A1446" s="25" t="s">
        <v>10888</v>
      </c>
      <c r="B1446" s="25" t="s">
        <v>8392</v>
      </c>
      <c r="C1446" s="25" t="s">
        <v>8393</v>
      </c>
      <c r="D1446" s="25" t="n">
        <v>9</v>
      </c>
      <c r="E1446" s="25" t="s">
        <v>8394</v>
      </c>
      <c r="F1446" s="25" t="s">
        <v>8395</v>
      </c>
      <c r="G1446" s="25" t="s">
        <v>8398</v>
      </c>
      <c r="H1446" s="25"/>
      <c r="I1446" s="25" t="s">
        <v>10889</v>
      </c>
      <c r="J1446" s="25" t="s">
        <v>10890</v>
      </c>
      <c r="K1446" s="25" t="n">
        <v>0</v>
      </c>
      <c r="L1446" s="25" t="str">
        <f aca="false">IF(K1446&gt;0,"Yes","No")</f>
        <v>No</v>
      </c>
    </row>
    <row r="1447" customFormat="false" ht="15" hidden="false" customHeight="false" outlineLevel="0" collapsed="false">
      <c r="A1447" s="25" t="s">
        <v>10891</v>
      </c>
      <c r="B1447" s="25" t="s">
        <v>8392</v>
      </c>
      <c r="C1447" s="25" t="s">
        <v>8393</v>
      </c>
      <c r="D1447" s="25" t="n">
        <v>9</v>
      </c>
      <c r="E1447" s="25" t="s">
        <v>8394</v>
      </c>
      <c r="F1447" s="25" t="s">
        <v>8395</v>
      </c>
      <c r="G1447" s="25" t="s">
        <v>8396</v>
      </c>
      <c r="H1447" s="25" t="s">
        <v>8399</v>
      </c>
      <c r="I1447" s="25" t="s">
        <v>8504</v>
      </c>
      <c r="J1447" s="25" t="s">
        <v>10892</v>
      </c>
      <c r="K1447" s="25" t="n">
        <v>0</v>
      </c>
      <c r="L1447" s="25" t="str">
        <f aca="false">IF(K1447&gt;0,"Yes","No")</f>
        <v>No</v>
      </c>
    </row>
    <row r="1448" customFormat="false" ht="15" hidden="false" customHeight="false" outlineLevel="0" collapsed="false">
      <c r="A1448" s="25" t="s">
        <v>10893</v>
      </c>
      <c r="B1448" s="25" t="s">
        <v>8419</v>
      </c>
      <c r="C1448" s="25" t="s">
        <v>8393</v>
      </c>
      <c r="D1448" s="25" t="n">
        <v>9</v>
      </c>
      <c r="E1448" s="25" t="s">
        <v>8394</v>
      </c>
      <c r="F1448" s="25" t="s">
        <v>8395</v>
      </c>
      <c r="G1448" s="25" t="s">
        <v>8400</v>
      </c>
      <c r="H1448" s="25"/>
      <c r="I1448" s="25" t="s">
        <v>10894</v>
      </c>
      <c r="J1448" s="25" t="s">
        <v>3224</v>
      </c>
      <c r="K1448" s="25" t="n">
        <v>0</v>
      </c>
      <c r="L1448" s="25" t="str">
        <f aca="false">IF(K1448&gt;0,"Yes","No")</f>
        <v>No</v>
      </c>
    </row>
    <row r="1449" customFormat="false" ht="15" hidden="false" customHeight="false" outlineLevel="0" collapsed="false">
      <c r="A1449" s="25" t="s">
        <v>10895</v>
      </c>
      <c r="B1449" s="25" t="s">
        <v>8392</v>
      </c>
      <c r="C1449" s="25" t="s">
        <v>8393</v>
      </c>
      <c r="D1449" s="25" t="n">
        <v>9</v>
      </c>
      <c r="E1449" s="25" t="s">
        <v>8394</v>
      </c>
      <c r="F1449" s="25" t="s">
        <v>8395</v>
      </c>
      <c r="G1449" s="25" t="s">
        <v>8398</v>
      </c>
      <c r="H1449" s="25"/>
      <c r="I1449" s="25" t="s">
        <v>10896</v>
      </c>
      <c r="J1449" s="25" t="s">
        <v>4593</v>
      </c>
      <c r="K1449" s="25" t="n">
        <v>0</v>
      </c>
      <c r="L1449" s="25" t="str">
        <f aca="false">IF(K1449&gt;0,"Yes","No")</f>
        <v>No</v>
      </c>
    </row>
    <row r="1450" customFormat="false" ht="15" hidden="false" customHeight="false" outlineLevel="0" collapsed="false">
      <c r="A1450" s="25" t="s">
        <v>10897</v>
      </c>
      <c r="B1450" s="25" t="s">
        <v>8419</v>
      </c>
      <c r="C1450" s="25" t="s">
        <v>8393</v>
      </c>
      <c r="D1450" s="25" t="n">
        <v>9</v>
      </c>
      <c r="E1450" s="25" t="s">
        <v>8394</v>
      </c>
      <c r="F1450" s="25" t="s">
        <v>8395</v>
      </c>
      <c r="G1450" s="25" t="s">
        <v>8400</v>
      </c>
      <c r="H1450" s="25"/>
      <c r="I1450" s="25" t="s">
        <v>10898</v>
      </c>
      <c r="J1450" s="25" t="s">
        <v>4593</v>
      </c>
      <c r="K1450" s="25" t="n">
        <v>0</v>
      </c>
      <c r="L1450" s="25" t="str">
        <f aca="false">IF(K1450&gt;0,"Yes","No")</f>
        <v>No</v>
      </c>
    </row>
    <row r="1451" customFormat="false" ht="15" hidden="false" customHeight="false" outlineLevel="0" collapsed="false">
      <c r="A1451" s="25" t="s">
        <v>10899</v>
      </c>
      <c r="B1451" s="25" t="s">
        <v>8419</v>
      </c>
      <c r="C1451" s="25" t="s">
        <v>8393</v>
      </c>
      <c r="D1451" s="25" t="n">
        <v>9</v>
      </c>
      <c r="E1451" s="25" t="s">
        <v>8394</v>
      </c>
      <c r="F1451" s="25" t="s">
        <v>8395</v>
      </c>
      <c r="G1451" s="25" t="s">
        <v>8400</v>
      </c>
      <c r="H1451" s="25"/>
      <c r="I1451" s="25" t="s">
        <v>10900</v>
      </c>
      <c r="J1451" s="25" t="s">
        <v>3224</v>
      </c>
      <c r="K1451" s="25" t="n">
        <v>0</v>
      </c>
      <c r="L1451" s="25" t="str">
        <f aca="false">IF(K1451&gt;0,"Yes","No")</f>
        <v>No</v>
      </c>
    </row>
    <row r="1452" customFormat="false" ht="15" hidden="false" customHeight="false" outlineLevel="0" collapsed="false">
      <c r="A1452" s="25" t="s">
        <v>8306</v>
      </c>
      <c r="B1452" s="25" t="s">
        <v>8392</v>
      </c>
      <c r="C1452" s="25" t="s">
        <v>8393</v>
      </c>
      <c r="D1452" s="25" t="n">
        <v>9</v>
      </c>
      <c r="E1452" s="25" t="s">
        <v>8394</v>
      </c>
      <c r="F1452" s="25" t="s">
        <v>8395</v>
      </c>
      <c r="G1452" s="25" t="s">
        <v>8398</v>
      </c>
      <c r="H1452" s="25"/>
      <c r="I1452" s="25" t="s">
        <v>8307</v>
      </c>
      <c r="J1452" s="25" t="s">
        <v>5870</v>
      </c>
      <c r="K1452" s="25" t="n">
        <v>0</v>
      </c>
      <c r="L1452" s="25" t="str">
        <f aca="false">IF(K1452&gt;0,"Yes","No")</f>
        <v>No</v>
      </c>
    </row>
    <row r="1453" customFormat="false" ht="15" hidden="false" customHeight="false" outlineLevel="0" collapsed="false">
      <c r="A1453" s="25" t="s">
        <v>10901</v>
      </c>
      <c r="B1453" s="25" t="s">
        <v>8392</v>
      </c>
      <c r="C1453" s="25" t="s">
        <v>8393</v>
      </c>
      <c r="D1453" s="25" t="n">
        <v>9</v>
      </c>
      <c r="E1453" s="25" t="s">
        <v>8394</v>
      </c>
      <c r="F1453" s="25" t="s">
        <v>8395</v>
      </c>
      <c r="G1453" s="25" t="s">
        <v>8398</v>
      </c>
      <c r="H1453" s="25"/>
      <c r="I1453" s="25" t="s">
        <v>10902</v>
      </c>
      <c r="J1453" s="25" t="s">
        <v>1539</v>
      </c>
      <c r="K1453" s="25" t="n">
        <v>0</v>
      </c>
      <c r="L1453" s="25" t="str">
        <f aca="false">IF(K1453&gt;0,"Yes","No")</f>
        <v>No</v>
      </c>
    </row>
    <row r="1454" customFormat="false" ht="15" hidden="false" customHeight="false" outlineLevel="0" collapsed="false">
      <c r="A1454" s="25" t="s">
        <v>10903</v>
      </c>
      <c r="B1454" s="25" t="s">
        <v>8392</v>
      </c>
      <c r="C1454" s="25" t="s">
        <v>8393</v>
      </c>
      <c r="D1454" s="25" t="n">
        <v>9</v>
      </c>
      <c r="E1454" s="25" t="s">
        <v>8394</v>
      </c>
      <c r="F1454" s="25" t="s">
        <v>8395</v>
      </c>
      <c r="G1454" s="25" t="s">
        <v>8398</v>
      </c>
      <c r="H1454" s="25"/>
      <c r="I1454" s="25" t="s">
        <v>10904</v>
      </c>
      <c r="J1454" s="25" t="s">
        <v>10905</v>
      </c>
      <c r="K1454" s="25" t="n">
        <v>0</v>
      </c>
      <c r="L1454" s="25" t="str">
        <f aca="false">IF(K1454&gt;0,"Yes","No")</f>
        <v>No</v>
      </c>
    </row>
    <row r="1455" customFormat="false" ht="15" hidden="false" customHeight="false" outlineLevel="0" collapsed="false">
      <c r="A1455" s="25" t="s">
        <v>10906</v>
      </c>
      <c r="B1455" s="25" t="s">
        <v>8392</v>
      </c>
      <c r="C1455" s="25" t="s">
        <v>8393</v>
      </c>
      <c r="D1455" s="25" t="n">
        <v>9</v>
      </c>
      <c r="E1455" s="25" t="s">
        <v>8394</v>
      </c>
      <c r="F1455" s="25" t="s">
        <v>8395</v>
      </c>
      <c r="G1455" s="25" t="s">
        <v>8398</v>
      </c>
      <c r="H1455" s="25"/>
      <c r="I1455" s="25" t="s">
        <v>10907</v>
      </c>
      <c r="J1455" s="25" t="s">
        <v>10908</v>
      </c>
      <c r="K1455" s="25" t="n">
        <v>0</v>
      </c>
      <c r="L1455" s="25" t="str">
        <f aca="false">IF(K1455&gt;0,"Yes","No")</f>
        <v>No</v>
      </c>
    </row>
    <row r="1456" customFormat="false" ht="15" hidden="false" customHeight="false" outlineLevel="0" collapsed="false">
      <c r="A1456" s="25" t="s">
        <v>10909</v>
      </c>
      <c r="B1456" s="25" t="s">
        <v>8419</v>
      </c>
      <c r="C1456" s="25" t="s">
        <v>8393</v>
      </c>
      <c r="D1456" s="25" t="n">
        <v>9</v>
      </c>
      <c r="E1456" s="25" t="s">
        <v>8394</v>
      </c>
      <c r="F1456" s="25" t="s">
        <v>8395</v>
      </c>
      <c r="G1456" s="25" t="s">
        <v>8400</v>
      </c>
      <c r="H1456" s="25"/>
      <c r="I1456" s="25" t="s">
        <v>10910</v>
      </c>
      <c r="J1456" s="25" t="s">
        <v>1539</v>
      </c>
      <c r="K1456" s="25" t="n">
        <v>0</v>
      </c>
      <c r="L1456" s="25" t="str">
        <f aca="false">IF(K1456&gt;0,"Yes","No")</f>
        <v>No</v>
      </c>
    </row>
    <row r="1457" customFormat="false" ht="15" hidden="false" customHeight="false" outlineLevel="0" collapsed="false">
      <c r="A1457" s="25" t="s">
        <v>10911</v>
      </c>
      <c r="B1457" s="25" t="s">
        <v>8419</v>
      </c>
      <c r="C1457" s="25" t="s">
        <v>8393</v>
      </c>
      <c r="D1457" s="25" t="n">
        <v>9</v>
      </c>
      <c r="E1457" s="25" t="s">
        <v>8394</v>
      </c>
      <c r="F1457" s="25" t="s">
        <v>8395</v>
      </c>
      <c r="G1457" s="25" t="s">
        <v>8400</v>
      </c>
      <c r="H1457" s="25"/>
      <c r="I1457" s="25" t="s">
        <v>10912</v>
      </c>
      <c r="J1457" s="25" t="s">
        <v>10913</v>
      </c>
      <c r="K1457" s="25" t="n">
        <v>0</v>
      </c>
      <c r="L1457" s="25" t="str">
        <f aca="false">IF(K1457&gt;0,"Yes","No")</f>
        <v>No</v>
      </c>
    </row>
    <row r="1458" customFormat="false" ht="15" hidden="false" customHeight="false" outlineLevel="0" collapsed="false">
      <c r="A1458" s="25" t="s">
        <v>10914</v>
      </c>
      <c r="B1458" s="25" t="s">
        <v>8392</v>
      </c>
      <c r="C1458" s="25" t="s">
        <v>8393</v>
      </c>
      <c r="D1458" s="25" t="n">
        <v>9</v>
      </c>
      <c r="E1458" s="25" t="s">
        <v>8394</v>
      </c>
      <c r="F1458" s="25" t="s">
        <v>8395</v>
      </c>
      <c r="G1458" s="25" t="s">
        <v>8396</v>
      </c>
      <c r="H1458" s="25" t="s">
        <v>8403</v>
      </c>
      <c r="I1458" s="25" t="s">
        <v>9470</v>
      </c>
      <c r="J1458" s="25" t="s">
        <v>10915</v>
      </c>
      <c r="K1458" s="25" t="n">
        <v>0</v>
      </c>
      <c r="L1458" s="25" t="str">
        <f aca="false">IF(K1458&gt;0,"Yes","No")</f>
        <v>No</v>
      </c>
    </row>
    <row r="1459" customFormat="false" ht="15" hidden="false" customHeight="false" outlineLevel="0" collapsed="false">
      <c r="A1459" s="25" t="s">
        <v>10916</v>
      </c>
      <c r="B1459" s="25" t="s">
        <v>8419</v>
      </c>
      <c r="C1459" s="25" t="s">
        <v>8393</v>
      </c>
      <c r="D1459" s="25" t="n">
        <v>9</v>
      </c>
      <c r="E1459" s="25" t="s">
        <v>8394</v>
      </c>
      <c r="F1459" s="25" t="s">
        <v>8395</v>
      </c>
      <c r="G1459" s="25" t="s">
        <v>8396</v>
      </c>
      <c r="H1459" s="25" t="s">
        <v>8399</v>
      </c>
      <c r="I1459" s="25" t="s">
        <v>10917</v>
      </c>
      <c r="J1459" s="25" t="s">
        <v>10918</v>
      </c>
      <c r="K1459" s="25" t="n">
        <v>0</v>
      </c>
      <c r="L1459" s="25" t="str">
        <f aca="false">IF(K1459&gt;0,"Yes","No")</f>
        <v>No</v>
      </c>
    </row>
    <row r="1460" customFormat="false" ht="15" hidden="false" customHeight="false" outlineLevel="0" collapsed="false">
      <c r="A1460" s="25" t="s">
        <v>10919</v>
      </c>
      <c r="B1460" s="25" t="s">
        <v>8419</v>
      </c>
      <c r="C1460" s="25" t="s">
        <v>8393</v>
      </c>
      <c r="D1460" s="25" t="n">
        <v>9</v>
      </c>
      <c r="E1460" s="25" t="s">
        <v>8394</v>
      </c>
      <c r="F1460" s="25" t="s">
        <v>8395</v>
      </c>
      <c r="G1460" s="25" t="s">
        <v>8400</v>
      </c>
      <c r="H1460" s="25"/>
      <c r="I1460" s="25" t="s">
        <v>10920</v>
      </c>
      <c r="J1460" s="25" t="s">
        <v>1539</v>
      </c>
      <c r="K1460" s="25" t="n">
        <v>0</v>
      </c>
      <c r="L1460" s="25" t="str">
        <f aca="false">IF(K1460&gt;0,"Yes","No")</f>
        <v>No</v>
      </c>
    </row>
    <row r="1461" customFormat="false" ht="15" hidden="false" customHeight="false" outlineLevel="0" collapsed="false">
      <c r="A1461" s="25" t="s">
        <v>10921</v>
      </c>
      <c r="B1461" s="25" t="s">
        <v>8392</v>
      </c>
      <c r="C1461" s="25" t="s">
        <v>8393</v>
      </c>
      <c r="D1461" s="25" t="n">
        <v>9</v>
      </c>
      <c r="E1461" s="25" t="s">
        <v>8394</v>
      </c>
      <c r="F1461" s="25" t="s">
        <v>8395</v>
      </c>
      <c r="G1461" s="25" t="s">
        <v>8396</v>
      </c>
      <c r="H1461" s="25" t="s">
        <v>8399</v>
      </c>
      <c r="I1461" s="25" t="s">
        <v>10922</v>
      </c>
      <c r="J1461" s="25" t="s">
        <v>10923</v>
      </c>
      <c r="K1461" s="25" t="n">
        <v>0</v>
      </c>
      <c r="L1461" s="25" t="str">
        <f aca="false">IF(K1461&gt;0,"Yes","No")</f>
        <v>No</v>
      </c>
    </row>
    <row r="1462" customFormat="false" ht="15" hidden="false" customHeight="false" outlineLevel="0" collapsed="false">
      <c r="A1462" s="25" t="s">
        <v>10924</v>
      </c>
      <c r="B1462" s="25" t="s">
        <v>8419</v>
      </c>
      <c r="C1462" s="25" t="s">
        <v>8393</v>
      </c>
      <c r="D1462" s="25" t="n">
        <v>9</v>
      </c>
      <c r="E1462" s="25" t="s">
        <v>8394</v>
      </c>
      <c r="F1462" s="25" t="s">
        <v>8395</v>
      </c>
      <c r="G1462" s="25" t="s">
        <v>8396</v>
      </c>
      <c r="H1462" s="25" t="s">
        <v>8399</v>
      </c>
      <c r="I1462" s="25" t="s">
        <v>10925</v>
      </c>
      <c r="J1462" s="25" t="s">
        <v>10918</v>
      </c>
      <c r="K1462" s="25" t="n">
        <v>0</v>
      </c>
      <c r="L1462" s="25" t="str">
        <f aca="false">IF(K1462&gt;0,"Yes","No")</f>
        <v>No</v>
      </c>
    </row>
    <row r="1463" customFormat="false" ht="15" hidden="false" customHeight="false" outlineLevel="0" collapsed="false">
      <c r="A1463" s="25" t="s">
        <v>10926</v>
      </c>
      <c r="B1463" s="25" t="s">
        <v>8392</v>
      </c>
      <c r="C1463" s="25" t="s">
        <v>8393</v>
      </c>
      <c r="D1463" s="25" t="n">
        <v>9</v>
      </c>
      <c r="E1463" s="25" t="s">
        <v>8394</v>
      </c>
      <c r="F1463" s="25" t="s">
        <v>8395</v>
      </c>
      <c r="G1463" s="25" t="s">
        <v>8398</v>
      </c>
      <c r="H1463" s="25"/>
      <c r="I1463" s="25" t="s">
        <v>8441</v>
      </c>
      <c r="J1463" s="25" t="s">
        <v>10927</v>
      </c>
      <c r="K1463" s="25" t="n">
        <v>0</v>
      </c>
      <c r="L1463" s="25" t="str">
        <f aca="false">IF(K1463&gt;0,"Yes","No")</f>
        <v>No</v>
      </c>
    </row>
    <row r="1464" customFormat="false" ht="15" hidden="false" customHeight="false" outlineLevel="0" collapsed="false">
      <c r="A1464" s="25" t="s">
        <v>10928</v>
      </c>
      <c r="B1464" s="25" t="s">
        <v>8392</v>
      </c>
      <c r="C1464" s="25" t="s">
        <v>8393</v>
      </c>
      <c r="D1464" s="25" t="n">
        <v>9</v>
      </c>
      <c r="E1464" s="25" t="s">
        <v>8394</v>
      </c>
      <c r="F1464" s="25" t="s">
        <v>8395</v>
      </c>
      <c r="G1464" s="25" t="s">
        <v>8396</v>
      </c>
      <c r="H1464" s="25" t="s">
        <v>8399</v>
      </c>
      <c r="I1464" s="25" t="s">
        <v>8504</v>
      </c>
      <c r="J1464" s="25" t="s">
        <v>10929</v>
      </c>
      <c r="K1464" s="25" t="n">
        <v>0</v>
      </c>
      <c r="L1464" s="25" t="str">
        <f aca="false">IF(K1464&gt;0,"Yes","No")</f>
        <v>No</v>
      </c>
    </row>
    <row r="1465" customFormat="false" ht="15" hidden="false" customHeight="false" outlineLevel="0" collapsed="false">
      <c r="A1465" s="25" t="s">
        <v>10930</v>
      </c>
      <c r="B1465" s="25" t="s">
        <v>8392</v>
      </c>
      <c r="C1465" s="25"/>
      <c r="D1465" s="25" t="n">
        <v>8</v>
      </c>
      <c r="E1465" s="25" t="s">
        <v>8439</v>
      </c>
      <c r="F1465" s="25" t="s">
        <v>8440</v>
      </c>
      <c r="G1465" s="25" t="s">
        <v>8398</v>
      </c>
      <c r="H1465" s="25"/>
      <c r="I1465" s="25" t="s">
        <v>10931</v>
      </c>
      <c r="J1465" s="25" t="s">
        <v>10932</v>
      </c>
      <c r="K1465" s="25" t="n">
        <v>0</v>
      </c>
      <c r="L1465" s="25" t="str">
        <f aca="false">IF(K1465&gt;0,"Yes","No")</f>
        <v>No</v>
      </c>
    </row>
    <row r="1466" customFormat="false" ht="15" hidden="false" customHeight="false" outlineLevel="0" collapsed="false">
      <c r="A1466" s="25" t="s">
        <v>10933</v>
      </c>
      <c r="B1466" s="25" t="s">
        <v>8392</v>
      </c>
      <c r="C1466" s="25" t="s">
        <v>8393</v>
      </c>
      <c r="D1466" s="25" t="n">
        <v>9</v>
      </c>
      <c r="E1466" s="25" t="s">
        <v>8394</v>
      </c>
      <c r="F1466" s="25" t="s">
        <v>8395</v>
      </c>
      <c r="G1466" s="25" t="s">
        <v>8396</v>
      </c>
      <c r="H1466" s="25" t="s">
        <v>8399</v>
      </c>
      <c r="I1466" s="25" t="s">
        <v>10934</v>
      </c>
      <c r="J1466" s="25" t="s">
        <v>357</v>
      </c>
      <c r="K1466" s="25" t="n">
        <v>0</v>
      </c>
      <c r="L1466" s="25" t="str">
        <f aca="false">IF(K1466&gt;0,"Yes","No")</f>
        <v>No</v>
      </c>
    </row>
    <row r="1467" customFormat="false" ht="15" hidden="false" customHeight="false" outlineLevel="0" collapsed="false">
      <c r="A1467" s="25" t="s">
        <v>10935</v>
      </c>
      <c r="B1467" s="25" t="s">
        <v>8392</v>
      </c>
      <c r="C1467" s="25" t="s">
        <v>8393</v>
      </c>
      <c r="D1467" s="25" t="n">
        <v>9</v>
      </c>
      <c r="E1467" s="25" t="s">
        <v>8394</v>
      </c>
      <c r="F1467" s="25" t="s">
        <v>8395</v>
      </c>
      <c r="G1467" s="25" t="s">
        <v>8396</v>
      </c>
      <c r="H1467" s="25" t="s">
        <v>8399</v>
      </c>
      <c r="I1467" s="25" t="s">
        <v>2135</v>
      </c>
      <c r="J1467" s="25" t="s">
        <v>10936</v>
      </c>
      <c r="K1467" s="25" t="n">
        <v>0</v>
      </c>
      <c r="L1467" s="25" t="str">
        <f aca="false">IF(K1467&gt;0,"Yes","No")</f>
        <v>No</v>
      </c>
    </row>
    <row r="1468" customFormat="false" ht="15" hidden="false" customHeight="false" outlineLevel="0" collapsed="false">
      <c r="A1468" s="25" t="s">
        <v>10937</v>
      </c>
      <c r="B1468" s="25" t="s">
        <v>8419</v>
      </c>
      <c r="C1468" s="25" t="s">
        <v>8393</v>
      </c>
      <c r="D1468" s="25" t="n">
        <v>9</v>
      </c>
      <c r="E1468" s="25" t="s">
        <v>8394</v>
      </c>
      <c r="F1468" s="25" t="s">
        <v>8395</v>
      </c>
      <c r="G1468" s="25" t="s">
        <v>8396</v>
      </c>
      <c r="H1468" s="25" t="s">
        <v>8399</v>
      </c>
      <c r="I1468" s="25" t="s">
        <v>10938</v>
      </c>
      <c r="J1468" s="25" t="s">
        <v>1134</v>
      </c>
      <c r="K1468" s="25" t="n">
        <v>0</v>
      </c>
      <c r="L1468" s="25" t="str">
        <f aca="false">IF(K1468&gt;0,"Yes","No")</f>
        <v>No</v>
      </c>
    </row>
    <row r="1469" customFormat="false" ht="15" hidden="false" customHeight="false" outlineLevel="0" collapsed="false">
      <c r="A1469" s="25" t="s">
        <v>10939</v>
      </c>
      <c r="B1469" s="25" t="s">
        <v>8419</v>
      </c>
      <c r="C1469" s="25" t="s">
        <v>8393</v>
      </c>
      <c r="D1469" s="25" t="n">
        <v>9</v>
      </c>
      <c r="E1469" s="25" t="s">
        <v>8394</v>
      </c>
      <c r="F1469" s="25" t="s">
        <v>8395</v>
      </c>
      <c r="G1469" s="25" t="s">
        <v>8400</v>
      </c>
      <c r="H1469" s="25"/>
      <c r="I1469" s="25" t="s">
        <v>10940</v>
      </c>
      <c r="J1469" s="25" t="s">
        <v>10941</v>
      </c>
      <c r="K1469" s="25" t="n">
        <v>0</v>
      </c>
      <c r="L1469" s="25" t="str">
        <f aca="false">IF(K1469&gt;0,"Yes","No")</f>
        <v>No</v>
      </c>
    </row>
    <row r="1470" customFormat="false" ht="15" hidden="false" customHeight="false" outlineLevel="0" collapsed="false">
      <c r="A1470" s="25" t="s">
        <v>10942</v>
      </c>
      <c r="B1470" s="25" t="s">
        <v>8392</v>
      </c>
      <c r="C1470" s="25" t="s">
        <v>8393</v>
      </c>
      <c r="D1470" s="25" t="n">
        <v>9</v>
      </c>
      <c r="E1470" s="25" t="s">
        <v>8394</v>
      </c>
      <c r="F1470" s="25" t="s">
        <v>8395</v>
      </c>
      <c r="G1470" s="25" t="s">
        <v>8398</v>
      </c>
      <c r="H1470" s="25"/>
      <c r="I1470" s="25" t="s">
        <v>8441</v>
      </c>
      <c r="J1470" s="25" t="s">
        <v>10943</v>
      </c>
      <c r="K1470" s="25" t="n">
        <v>0</v>
      </c>
      <c r="L1470" s="25" t="str">
        <f aca="false">IF(K1470&gt;0,"Yes","No")</f>
        <v>No</v>
      </c>
    </row>
    <row r="1471" customFormat="false" ht="15" hidden="false" customHeight="false" outlineLevel="0" collapsed="false">
      <c r="A1471" s="25" t="s">
        <v>10944</v>
      </c>
      <c r="B1471" s="25" t="s">
        <v>8419</v>
      </c>
      <c r="C1471" s="25" t="s">
        <v>8393</v>
      </c>
      <c r="D1471" s="25" t="n">
        <v>9</v>
      </c>
      <c r="E1471" s="25" t="s">
        <v>8394</v>
      </c>
      <c r="F1471" s="25" t="s">
        <v>8395</v>
      </c>
      <c r="G1471" s="25" t="s">
        <v>8396</v>
      </c>
      <c r="H1471" s="25" t="s">
        <v>8403</v>
      </c>
      <c r="I1471" s="25" t="s">
        <v>10945</v>
      </c>
      <c r="J1471" s="25" t="s">
        <v>10946</v>
      </c>
      <c r="K1471" s="25" t="n">
        <v>0</v>
      </c>
      <c r="L1471" s="25" t="str">
        <f aca="false">IF(K1471&gt;0,"Yes","No")</f>
        <v>No</v>
      </c>
    </row>
    <row r="1472" customFormat="false" ht="15" hidden="false" customHeight="false" outlineLevel="0" collapsed="false">
      <c r="A1472" s="25" t="s">
        <v>10947</v>
      </c>
      <c r="B1472" s="25" t="s">
        <v>8392</v>
      </c>
      <c r="C1472" s="25" t="s">
        <v>8393</v>
      </c>
      <c r="D1472" s="25" t="n">
        <v>9</v>
      </c>
      <c r="E1472" s="25" t="s">
        <v>8394</v>
      </c>
      <c r="F1472" s="25" t="s">
        <v>8395</v>
      </c>
      <c r="G1472" s="25" t="s">
        <v>8396</v>
      </c>
      <c r="H1472" s="25" t="s">
        <v>8403</v>
      </c>
      <c r="I1472" s="25" t="s">
        <v>10948</v>
      </c>
      <c r="J1472" s="25" t="s">
        <v>10946</v>
      </c>
      <c r="K1472" s="25" t="n">
        <v>0</v>
      </c>
      <c r="L1472" s="25" t="str">
        <f aca="false">IF(K1472&gt;0,"Yes","No")</f>
        <v>No</v>
      </c>
    </row>
    <row r="1473" customFormat="false" ht="15" hidden="false" customHeight="false" outlineLevel="0" collapsed="false">
      <c r="A1473" s="25" t="s">
        <v>10949</v>
      </c>
      <c r="B1473" s="25" t="s">
        <v>8419</v>
      </c>
      <c r="C1473" s="25" t="s">
        <v>8393</v>
      </c>
      <c r="D1473" s="25" t="n">
        <v>9</v>
      </c>
      <c r="E1473" s="25" t="s">
        <v>8394</v>
      </c>
      <c r="F1473" s="25" t="s">
        <v>8395</v>
      </c>
      <c r="G1473" s="25" t="s">
        <v>8396</v>
      </c>
      <c r="H1473" s="25" t="s">
        <v>8403</v>
      </c>
      <c r="I1473" s="25" t="s">
        <v>10950</v>
      </c>
      <c r="J1473" s="25" t="s">
        <v>10946</v>
      </c>
      <c r="K1473" s="25" t="n">
        <v>0</v>
      </c>
      <c r="L1473" s="25" t="str">
        <f aca="false">IF(K1473&gt;0,"Yes","No")</f>
        <v>No</v>
      </c>
    </row>
    <row r="1474" customFormat="false" ht="15" hidden="false" customHeight="false" outlineLevel="0" collapsed="false">
      <c r="A1474" s="25" t="s">
        <v>10951</v>
      </c>
      <c r="B1474" s="25" t="s">
        <v>8392</v>
      </c>
      <c r="C1474" s="25" t="s">
        <v>8393</v>
      </c>
      <c r="D1474" s="25" t="n">
        <v>9</v>
      </c>
      <c r="E1474" s="25" t="s">
        <v>8394</v>
      </c>
      <c r="F1474" s="25" t="s">
        <v>8395</v>
      </c>
      <c r="G1474" s="25" t="s">
        <v>8398</v>
      </c>
      <c r="H1474" s="25"/>
      <c r="I1474" s="25" t="s">
        <v>10952</v>
      </c>
      <c r="J1474" s="25" t="s">
        <v>10953</v>
      </c>
      <c r="K1474" s="25" t="n">
        <v>0</v>
      </c>
      <c r="L1474" s="25" t="str">
        <f aca="false">IF(K1474&gt;0,"Yes","No")</f>
        <v>No</v>
      </c>
    </row>
    <row r="1475" customFormat="false" ht="15" hidden="false" customHeight="false" outlineLevel="0" collapsed="false">
      <c r="A1475" s="25" t="s">
        <v>10954</v>
      </c>
      <c r="B1475" s="25" t="s">
        <v>8392</v>
      </c>
      <c r="C1475" s="25" t="s">
        <v>8393</v>
      </c>
      <c r="D1475" s="25" t="n">
        <v>9</v>
      </c>
      <c r="E1475" s="25" t="s">
        <v>8394</v>
      </c>
      <c r="F1475" s="25" t="s">
        <v>8395</v>
      </c>
      <c r="G1475" s="25" t="s">
        <v>8396</v>
      </c>
      <c r="H1475" s="25" t="s">
        <v>8399</v>
      </c>
      <c r="I1475" s="25" t="s">
        <v>659</v>
      </c>
      <c r="J1475" s="25" t="s">
        <v>10955</v>
      </c>
      <c r="K1475" s="25" t="n">
        <v>0</v>
      </c>
      <c r="L1475" s="25" t="str">
        <f aca="false">IF(K1475&gt;0,"Yes","No")</f>
        <v>No</v>
      </c>
    </row>
    <row r="1476" customFormat="false" ht="15" hidden="false" customHeight="false" outlineLevel="0" collapsed="false">
      <c r="A1476" s="25" t="s">
        <v>10956</v>
      </c>
      <c r="B1476" s="25" t="s">
        <v>8419</v>
      </c>
      <c r="C1476" s="25" t="s">
        <v>8393</v>
      </c>
      <c r="D1476" s="25" t="n">
        <v>9</v>
      </c>
      <c r="E1476" s="25" t="s">
        <v>8394</v>
      </c>
      <c r="F1476" s="25" t="s">
        <v>8395</v>
      </c>
      <c r="G1476" s="25" t="s">
        <v>8396</v>
      </c>
      <c r="H1476" s="25" t="s">
        <v>8399</v>
      </c>
      <c r="I1476" s="25" t="s">
        <v>10957</v>
      </c>
      <c r="J1476" s="25" t="s">
        <v>10955</v>
      </c>
      <c r="K1476" s="25" t="n">
        <v>0</v>
      </c>
      <c r="L1476" s="25" t="str">
        <f aca="false">IF(K1476&gt;0,"Yes","No")</f>
        <v>No</v>
      </c>
    </row>
    <row r="1477" customFormat="false" ht="15" hidden="false" customHeight="false" outlineLevel="0" collapsed="false">
      <c r="A1477" s="25" t="s">
        <v>10958</v>
      </c>
      <c r="B1477" s="25" t="s">
        <v>8419</v>
      </c>
      <c r="C1477" s="25" t="s">
        <v>8393</v>
      </c>
      <c r="D1477" s="25" t="n">
        <v>9</v>
      </c>
      <c r="E1477" s="25" t="s">
        <v>8394</v>
      </c>
      <c r="F1477" s="25" t="s">
        <v>8395</v>
      </c>
      <c r="G1477" s="25" t="s">
        <v>8396</v>
      </c>
      <c r="H1477" s="25" t="s">
        <v>8399</v>
      </c>
      <c r="I1477" s="25" t="s">
        <v>10959</v>
      </c>
      <c r="J1477" s="25" t="s">
        <v>10955</v>
      </c>
      <c r="K1477" s="25" t="n">
        <v>0</v>
      </c>
      <c r="L1477" s="25" t="str">
        <f aca="false">IF(K1477&gt;0,"Yes","No")</f>
        <v>No</v>
      </c>
    </row>
    <row r="1478" customFormat="false" ht="15" hidden="false" customHeight="false" outlineLevel="0" collapsed="false">
      <c r="A1478" s="25" t="s">
        <v>10960</v>
      </c>
      <c r="B1478" s="25" t="s">
        <v>8392</v>
      </c>
      <c r="C1478" s="25" t="s">
        <v>8393</v>
      </c>
      <c r="D1478" s="25" t="n">
        <v>9</v>
      </c>
      <c r="E1478" s="25" t="s">
        <v>8394</v>
      </c>
      <c r="F1478" s="25" t="s">
        <v>8395</v>
      </c>
      <c r="G1478" s="25" t="s">
        <v>8396</v>
      </c>
      <c r="H1478" s="25" t="s">
        <v>8399</v>
      </c>
      <c r="I1478" s="25" t="s">
        <v>10961</v>
      </c>
      <c r="J1478" s="25" t="s">
        <v>1528</v>
      </c>
      <c r="K1478" s="25" t="n">
        <v>0</v>
      </c>
      <c r="L1478" s="25" t="str">
        <f aca="false">IF(K1478&gt;0,"Yes","No")</f>
        <v>No</v>
      </c>
    </row>
    <row r="1479" customFormat="false" ht="15" hidden="false" customHeight="false" outlineLevel="0" collapsed="false">
      <c r="A1479" s="25" t="s">
        <v>10962</v>
      </c>
      <c r="B1479" s="25" t="s">
        <v>8392</v>
      </c>
      <c r="C1479" s="25" t="s">
        <v>8393</v>
      </c>
      <c r="D1479" s="25" t="n">
        <v>9</v>
      </c>
      <c r="E1479" s="25" t="s">
        <v>8394</v>
      </c>
      <c r="F1479" s="25" t="s">
        <v>8395</v>
      </c>
      <c r="G1479" s="25" t="s">
        <v>8396</v>
      </c>
      <c r="H1479" s="25" t="s">
        <v>8399</v>
      </c>
      <c r="I1479" s="25" t="s">
        <v>659</v>
      </c>
      <c r="J1479" s="25" t="s">
        <v>1528</v>
      </c>
      <c r="K1479" s="25" t="n">
        <v>0</v>
      </c>
      <c r="L1479" s="25" t="str">
        <f aca="false">IF(K1479&gt;0,"Yes","No")</f>
        <v>No</v>
      </c>
    </row>
    <row r="1480" customFormat="false" ht="15" hidden="false" customHeight="false" outlineLevel="0" collapsed="false">
      <c r="A1480" s="25" t="s">
        <v>10963</v>
      </c>
      <c r="B1480" s="25" t="s">
        <v>8419</v>
      </c>
      <c r="C1480" s="25" t="s">
        <v>8393</v>
      </c>
      <c r="D1480" s="25" t="n">
        <v>9</v>
      </c>
      <c r="E1480" s="25" t="s">
        <v>8394</v>
      </c>
      <c r="F1480" s="25" t="s">
        <v>8395</v>
      </c>
      <c r="G1480" s="25" t="s">
        <v>8396</v>
      </c>
      <c r="H1480" s="25" t="s">
        <v>8399</v>
      </c>
      <c r="I1480" s="25" t="s">
        <v>10964</v>
      </c>
      <c r="J1480" s="25" t="s">
        <v>1528</v>
      </c>
      <c r="K1480" s="25" t="n">
        <v>0</v>
      </c>
      <c r="L1480" s="25" t="str">
        <f aca="false">IF(K1480&gt;0,"Yes","No")</f>
        <v>No</v>
      </c>
    </row>
    <row r="1481" customFormat="false" ht="15" hidden="false" customHeight="false" outlineLevel="0" collapsed="false">
      <c r="A1481" s="25" t="s">
        <v>10965</v>
      </c>
      <c r="B1481" s="25" t="s">
        <v>8392</v>
      </c>
      <c r="C1481" s="25"/>
      <c r="D1481" s="25" t="n">
        <v>8</v>
      </c>
      <c r="E1481" s="25" t="s">
        <v>8439</v>
      </c>
      <c r="F1481" s="25" t="s">
        <v>8440</v>
      </c>
      <c r="G1481" s="25" t="s">
        <v>8398</v>
      </c>
      <c r="H1481" s="25"/>
      <c r="I1481" s="25" t="s">
        <v>8441</v>
      </c>
      <c r="J1481" s="25" t="s">
        <v>10966</v>
      </c>
      <c r="K1481" s="25" t="n">
        <v>0</v>
      </c>
      <c r="L1481" s="25" t="str">
        <f aca="false">IF(K1481&gt;0,"Yes","No")</f>
        <v>No</v>
      </c>
    </row>
    <row r="1482" customFormat="false" ht="15" hidden="false" customHeight="false" outlineLevel="0" collapsed="false">
      <c r="A1482" s="25" t="s">
        <v>10967</v>
      </c>
      <c r="B1482" s="25" t="s">
        <v>8392</v>
      </c>
      <c r="C1482" s="25"/>
      <c r="D1482" s="25" t="n">
        <v>8</v>
      </c>
      <c r="E1482" s="25" t="s">
        <v>8439</v>
      </c>
      <c r="F1482" s="25" t="s">
        <v>8440</v>
      </c>
      <c r="G1482" s="25" t="s">
        <v>8398</v>
      </c>
      <c r="H1482" s="25"/>
      <c r="I1482" s="25" t="s">
        <v>10968</v>
      </c>
      <c r="J1482" s="25" t="s">
        <v>10969</v>
      </c>
      <c r="K1482" s="25" t="n">
        <v>0</v>
      </c>
      <c r="L1482" s="25" t="str">
        <f aca="false">IF(K1482&gt;0,"Yes","No")</f>
        <v>No</v>
      </c>
    </row>
    <row r="1483" customFormat="false" ht="15" hidden="false" customHeight="false" outlineLevel="0" collapsed="false">
      <c r="A1483" s="25" t="s">
        <v>10970</v>
      </c>
      <c r="B1483" s="25" t="s">
        <v>8419</v>
      </c>
      <c r="C1483" s="25" t="s">
        <v>8393</v>
      </c>
      <c r="D1483" s="25" t="n">
        <v>9</v>
      </c>
      <c r="E1483" s="25" t="s">
        <v>8394</v>
      </c>
      <c r="F1483" s="25" t="s">
        <v>8395</v>
      </c>
      <c r="G1483" s="25" t="s">
        <v>8396</v>
      </c>
      <c r="H1483" s="25"/>
      <c r="I1483" s="25" t="s">
        <v>10971</v>
      </c>
      <c r="J1483" s="25" t="s">
        <v>10972</v>
      </c>
      <c r="K1483" s="25" t="n">
        <v>0</v>
      </c>
      <c r="L1483" s="25" t="str">
        <f aca="false">IF(K1483&gt;0,"Yes","No")</f>
        <v>No</v>
      </c>
    </row>
    <row r="1484" customFormat="false" ht="15" hidden="false" customHeight="false" outlineLevel="0" collapsed="false">
      <c r="A1484" s="25" t="s">
        <v>10973</v>
      </c>
      <c r="B1484" s="25" t="s">
        <v>8392</v>
      </c>
      <c r="C1484" s="25" t="s">
        <v>8393</v>
      </c>
      <c r="D1484" s="25" t="n">
        <v>9</v>
      </c>
      <c r="E1484" s="25" t="s">
        <v>8394</v>
      </c>
      <c r="F1484" s="25" t="s">
        <v>8395</v>
      </c>
      <c r="G1484" s="25" t="s">
        <v>8396</v>
      </c>
      <c r="H1484" s="25"/>
      <c r="I1484" s="25" t="s">
        <v>10974</v>
      </c>
      <c r="J1484" s="25" t="s">
        <v>10972</v>
      </c>
      <c r="K1484" s="25" t="n">
        <v>0</v>
      </c>
      <c r="L1484" s="25" t="str">
        <f aca="false">IF(K1484&gt;0,"Yes","No")</f>
        <v>No</v>
      </c>
    </row>
    <row r="1485" customFormat="false" ht="15" hidden="false" customHeight="false" outlineLevel="0" collapsed="false">
      <c r="A1485" s="25" t="s">
        <v>10975</v>
      </c>
      <c r="B1485" s="25" t="s">
        <v>8392</v>
      </c>
      <c r="C1485" s="25" t="s">
        <v>8393</v>
      </c>
      <c r="D1485" s="25" t="n">
        <v>9</v>
      </c>
      <c r="E1485" s="25" t="s">
        <v>8394</v>
      </c>
      <c r="F1485" s="25" t="s">
        <v>8395</v>
      </c>
      <c r="G1485" s="25" t="s">
        <v>8396</v>
      </c>
      <c r="H1485" s="25" t="s">
        <v>8397</v>
      </c>
      <c r="I1485" s="25" t="s">
        <v>10976</v>
      </c>
      <c r="J1485" s="25" t="s">
        <v>2505</v>
      </c>
      <c r="K1485" s="25" t="n">
        <v>0</v>
      </c>
      <c r="L1485" s="25" t="str">
        <f aca="false">IF(K1485&gt;0,"Yes","No")</f>
        <v>No</v>
      </c>
    </row>
    <row r="1486" customFormat="false" ht="15" hidden="false" customHeight="false" outlineLevel="0" collapsed="false">
      <c r="A1486" s="25" t="s">
        <v>10977</v>
      </c>
      <c r="B1486" s="25" t="s">
        <v>8392</v>
      </c>
      <c r="C1486" s="25" t="s">
        <v>8393</v>
      </c>
      <c r="D1486" s="25" t="n">
        <v>9</v>
      </c>
      <c r="E1486" s="25" t="s">
        <v>8394</v>
      </c>
      <c r="F1486" s="25" t="s">
        <v>8395</v>
      </c>
      <c r="G1486" s="25" t="s">
        <v>8396</v>
      </c>
      <c r="H1486" s="25" t="s">
        <v>8397</v>
      </c>
      <c r="I1486" s="25" t="s">
        <v>285</v>
      </c>
      <c r="J1486" s="25" t="s">
        <v>2722</v>
      </c>
      <c r="K1486" s="25" t="n">
        <v>0</v>
      </c>
      <c r="L1486" s="25" t="str">
        <f aca="false">IF(K1486&gt;0,"Yes","No")</f>
        <v>No</v>
      </c>
    </row>
    <row r="1487" customFormat="false" ht="15" hidden="false" customHeight="false" outlineLevel="0" collapsed="false">
      <c r="A1487" s="25" t="s">
        <v>10978</v>
      </c>
      <c r="B1487" s="25" t="s">
        <v>8419</v>
      </c>
      <c r="C1487" s="25" t="s">
        <v>8393</v>
      </c>
      <c r="D1487" s="25" t="n">
        <v>9</v>
      </c>
      <c r="E1487" s="25" t="s">
        <v>8394</v>
      </c>
      <c r="F1487" s="25" t="s">
        <v>8395</v>
      </c>
      <c r="G1487" s="25" t="s">
        <v>8396</v>
      </c>
      <c r="H1487" s="25" t="s">
        <v>9057</v>
      </c>
      <c r="I1487" s="25" t="s">
        <v>10979</v>
      </c>
      <c r="J1487" s="25" t="s">
        <v>10980</v>
      </c>
      <c r="K1487" s="25" t="n">
        <v>0</v>
      </c>
      <c r="L1487" s="25" t="str">
        <f aca="false">IF(K1487&gt;0,"Yes","No")</f>
        <v>No</v>
      </c>
    </row>
    <row r="1488" customFormat="false" ht="15" hidden="false" customHeight="false" outlineLevel="0" collapsed="false">
      <c r="A1488" s="25" t="s">
        <v>10981</v>
      </c>
      <c r="B1488" s="25" t="s">
        <v>8419</v>
      </c>
      <c r="C1488" s="25" t="s">
        <v>8393</v>
      </c>
      <c r="D1488" s="25" t="n">
        <v>9</v>
      </c>
      <c r="E1488" s="25" t="s">
        <v>8394</v>
      </c>
      <c r="F1488" s="25" t="s">
        <v>8395</v>
      </c>
      <c r="G1488" s="25" t="s">
        <v>8396</v>
      </c>
      <c r="H1488" s="25" t="s">
        <v>9057</v>
      </c>
      <c r="I1488" s="25" t="s">
        <v>10982</v>
      </c>
      <c r="J1488" s="25" t="s">
        <v>10980</v>
      </c>
      <c r="K1488" s="25" t="n">
        <v>0</v>
      </c>
      <c r="L1488" s="25" t="str">
        <f aca="false">IF(K1488&gt;0,"Yes","No")</f>
        <v>No</v>
      </c>
    </row>
    <row r="1489" customFormat="false" ht="15" hidden="false" customHeight="false" outlineLevel="0" collapsed="false">
      <c r="A1489" s="25" t="s">
        <v>10983</v>
      </c>
      <c r="B1489" s="25" t="s">
        <v>8419</v>
      </c>
      <c r="C1489" s="25" t="s">
        <v>8393</v>
      </c>
      <c r="D1489" s="25" t="n">
        <v>9</v>
      </c>
      <c r="E1489" s="25" t="s">
        <v>8394</v>
      </c>
      <c r="F1489" s="25" t="s">
        <v>8395</v>
      </c>
      <c r="G1489" s="25" t="s">
        <v>8396</v>
      </c>
      <c r="H1489" s="25" t="s">
        <v>9057</v>
      </c>
      <c r="I1489" s="25" t="s">
        <v>10984</v>
      </c>
      <c r="J1489" s="25" t="s">
        <v>10980</v>
      </c>
      <c r="K1489" s="25" t="n">
        <v>0</v>
      </c>
      <c r="L1489" s="25" t="str">
        <f aca="false">IF(K1489&gt;0,"Yes","No")</f>
        <v>No</v>
      </c>
    </row>
    <row r="1490" customFormat="false" ht="15" hidden="false" customHeight="false" outlineLevel="0" collapsed="false">
      <c r="A1490" s="25" t="s">
        <v>10985</v>
      </c>
      <c r="B1490" s="25" t="s">
        <v>8392</v>
      </c>
      <c r="C1490" s="25" t="s">
        <v>8393</v>
      </c>
      <c r="D1490" s="25" t="n">
        <v>9</v>
      </c>
      <c r="E1490" s="25" t="s">
        <v>8394</v>
      </c>
      <c r="F1490" s="25" t="s">
        <v>8395</v>
      </c>
      <c r="G1490" s="25" t="s">
        <v>8396</v>
      </c>
      <c r="H1490" s="25" t="s">
        <v>8399</v>
      </c>
      <c r="I1490" s="25" t="s">
        <v>10986</v>
      </c>
      <c r="J1490" s="25" t="s">
        <v>10987</v>
      </c>
      <c r="K1490" s="25" t="n">
        <v>0</v>
      </c>
      <c r="L1490" s="25" t="str">
        <f aca="false">IF(K1490&gt;0,"Yes","No")</f>
        <v>No</v>
      </c>
    </row>
    <row r="1491" customFormat="false" ht="15" hidden="false" customHeight="false" outlineLevel="0" collapsed="false">
      <c r="A1491" s="25" t="s">
        <v>10988</v>
      </c>
      <c r="B1491" s="25" t="s">
        <v>8419</v>
      </c>
      <c r="C1491" s="25" t="s">
        <v>8393</v>
      </c>
      <c r="D1491" s="25" t="n">
        <v>9</v>
      </c>
      <c r="E1491" s="25" t="s">
        <v>8394</v>
      </c>
      <c r="F1491" s="25" t="s">
        <v>8395</v>
      </c>
      <c r="G1491" s="25" t="s">
        <v>8396</v>
      </c>
      <c r="H1491" s="25" t="s">
        <v>9057</v>
      </c>
      <c r="I1491" s="25" t="s">
        <v>10989</v>
      </c>
      <c r="J1491" s="25" t="s">
        <v>10990</v>
      </c>
      <c r="K1491" s="25" t="n">
        <v>0</v>
      </c>
      <c r="L1491" s="25" t="str">
        <f aca="false">IF(K1491&gt;0,"Yes","No")</f>
        <v>No</v>
      </c>
    </row>
    <row r="1492" customFormat="false" ht="15" hidden="false" customHeight="false" outlineLevel="0" collapsed="false">
      <c r="A1492" s="25" t="s">
        <v>10991</v>
      </c>
      <c r="B1492" s="25" t="s">
        <v>8419</v>
      </c>
      <c r="C1492" s="25" t="s">
        <v>8393</v>
      </c>
      <c r="D1492" s="25" t="n">
        <v>9</v>
      </c>
      <c r="E1492" s="25" t="s">
        <v>8394</v>
      </c>
      <c r="F1492" s="25" t="s">
        <v>8395</v>
      </c>
      <c r="G1492" s="25" t="s">
        <v>8396</v>
      </c>
      <c r="H1492" s="25" t="s">
        <v>9057</v>
      </c>
      <c r="I1492" s="25" t="s">
        <v>10992</v>
      </c>
      <c r="J1492" s="25" t="s">
        <v>10990</v>
      </c>
      <c r="K1492" s="25" t="n">
        <v>0</v>
      </c>
      <c r="L1492" s="25" t="str">
        <f aca="false">IF(K1492&gt;0,"Yes","No")</f>
        <v>No</v>
      </c>
    </row>
    <row r="1493" customFormat="false" ht="15" hidden="false" customHeight="false" outlineLevel="0" collapsed="false">
      <c r="A1493" s="25" t="s">
        <v>10993</v>
      </c>
      <c r="B1493" s="25" t="s">
        <v>8392</v>
      </c>
      <c r="C1493" s="25" t="s">
        <v>8393</v>
      </c>
      <c r="D1493" s="25" t="n">
        <v>9</v>
      </c>
      <c r="E1493" s="25" t="s">
        <v>8394</v>
      </c>
      <c r="F1493" s="25" t="s">
        <v>8395</v>
      </c>
      <c r="G1493" s="25" t="s">
        <v>8396</v>
      </c>
      <c r="H1493" s="25" t="s">
        <v>8399</v>
      </c>
      <c r="I1493" s="25" t="s">
        <v>8504</v>
      </c>
      <c r="J1493" s="25" t="s">
        <v>10994</v>
      </c>
      <c r="K1493" s="25" t="n">
        <v>0</v>
      </c>
      <c r="L1493" s="25" t="str">
        <f aca="false">IF(K1493&gt;0,"Yes","No")</f>
        <v>No</v>
      </c>
    </row>
    <row r="1494" customFormat="false" ht="15" hidden="false" customHeight="false" outlineLevel="0" collapsed="false">
      <c r="A1494" s="25" t="s">
        <v>10995</v>
      </c>
      <c r="B1494" s="25" t="s">
        <v>8392</v>
      </c>
      <c r="C1494" s="25" t="s">
        <v>8393</v>
      </c>
      <c r="D1494" s="25" t="n">
        <v>9</v>
      </c>
      <c r="E1494" s="25" t="s">
        <v>8394</v>
      </c>
      <c r="F1494" s="25" t="s">
        <v>8395</v>
      </c>
      <c r="G1494" s="25" t="s">
        <v>8396</v>
      </c>
      <c r="H1494" s="25" t="s">
        <v>8399</v>
      </c>
      <c r="I1494" s="25" t="s">
        <v>10996</v>
      </c>
      <c r="J1494" s="25" t="s">
        <v>10997</v>
      </c>
      <c r="K1494" s="25" t="n">
        <v>0</v>
      </c>
      <c r="L1494" s="25" t="str">
        <f aca="false">IF(K1494&gt;0,"Yes","No")</f>
        <v>No</v>
      </c>
    </row>
    <row r="1495" customFormat="false" ht="15" hidden="false" customHeight="false" outlineLevel="0" collapsed="false">
      <c r="A1495" s="25" t="s">
        <v>10998</v>
      </c>
      <c r="B1495" s="25" t="s">
        <v>8392</v>
      </c>
      <c r="C1495" s="25" t="s">
        <v>8393</v>
      </c>
      <c r="D1495" s="25" t="n">
        <v>9</v>
      </c>
      <c r="E1495" s="25" t="s">
        <v>8394</v>
      </c>
      <c r="F1495" s="25" t="s">
        <v>8395</v>
      </c>
      <c r="G1495" s="25" t="s">
        <v>8396</v>
      </c>
      <c r="H1495" s="25" t="s">
        <v>8399</v>
      </c>
      <c r="I1495" s="25" t="s">
        <v>2135</v>
      </c>
      <c r="J1495" s="25" t="s">
        <v>10999</v>
      </c>
      <c r="K1495" s="25" t="n">
        <v>0</v>
      </c>
      <c r="L1495" s="25" t="str">
        <f aca="false">IF(K1495&gt;0,"Yes","No")</f>
        <v>No</v>
      </c>
    </row>
    <row r="1496" customFormat="false" ht="15" hidden="false" customHeight="false" outlineLevel="0" collapsed="false">
      <c r="A1496" s="25" t="s">
        <v>11000</v>
      </c>
      <c r="B1496" s="25" t="s">
        <v>8419</v>
      </c>
      <c r="C1496" s="25" t="s">
        <v>8393</v>
      </c>
      <c r="D1496" s="25" t="n">
        <v>9</v>
      </c>
      <c r="E1496" s="25" t="s">
        <v>8394</v>
      </c>
      <c r="F1496" s="25" t="s">
        <v>8395</v>
      </c>
      <c r="G1496" s="25" t="s">
        <v>8396</v>
      </c>
      <c r="H1496" s="25" t="s">
        <v>8399</v>
      </c>
      <c r="I1496" s="25" t="s">
        <v>11001</v>
      </c>
      <c r="J1496" s="25" t="s">
        <v>10999</v>
      </c>
      <c r="K1496" s="25" t="n">
        <v>0</v>
      </c>
      <c r="L1496" s="25" t="str">
        <f aca="false">IF(K1496&gt;0,"Yes","No")</f>
        <v>No</v>
      </c>
    </row>
    <row r="1497" customFormat="false" ht="15" hidden="false" customHeight="false" outlineLevel="0" collapsed="false">
      <c r="A1497" s="25" t="s">
        <v>11002</v>
      </c>
      <c r="B1497" s="25" t="s">
        <v>8419</v>
      </c>
      <c r="C1497" s="25" t="s">
        <v>8393</v>
      </c>
      <c r="D1497" s="25" t="n">
        <v>9</v>
      </c>
      <c r="E1497" s="25" t="s">
        <v>8394</v>
      </c>
      <c r="F1497" s="25" t="s">
        <v>8395</v>
      </c>
      <c r="G1497" s="25" t="s">
        <v>8396</v>
      </c>
      <c r="H1497" s="25" t="s">
        <v>8399</v>
      </c>
      <c r="I1497" s="25" t="s">
        <v>11003</v>
      </c>
      <c r="J1497" s="25" t="s">
        <v>10999</v>
      </c>
      <c r="K1497" s="25" t="n">
        <v>0</v>
      </c>
      <c r="L1497" s="25" t="str">
        <f aca="false">IF(K1497&gt;0,"Yes","No")</f>
        <v>No</v>
      </c>
    </row>
    <row r="1498" customFormat="false" ht="15" hidden="false" customHeight="false" outlineLevel="0" collapsed="false">
      <c r="A1498" s="25" t="s">
        <v>11004</v>
      </c>
      <c r="B1498" s="25" t="s">
        <v>8419</v>
      </c>
      <c r="C1498" s="25"/>
      <c r="D1498" s="25" t="n">
        <v>8</v>
      </c>
      <c r="E1498" s="25" t="s">
        <v>8439</v>
      </c>
      <c r="F1498" s="25" t="s">
        <v>8440</v>
      </c>
      <c r="G1498" s="25" t="s">
        <v>8400</v>
      </c>
      <c r="H1498" s="25"/>
      <c r="I1498" s="25" t="s">
        <v>8621</v>
      </c>
      <c r="J1498" s="25" t="s">
        <v>10999</v>
      </c>
      <c r="K1498" s="25" t="n">
        <v>0</v>
      </c>
      <c r="L1498" s="25" t="str">
        <f aca="false">IF(K1498&gt;0,"Yes","No")</f>
        <v>No</v>
      </c>
    </row>
    <row r="1499" customFormat="false" ht="15" hidden="false" customHeight="false" outlineLevel="0" collapsed="false">
      <c r="A1499" s="25" t="s">
        <v>11005</v>
      </c>
      <c r="B1499" s="25" t="s">
        <v>8392</v>
      </c>
      <c r="C1499" s="25"/>
      <c r="D1499" s="25" t="n">
        <v>8</v>
      </c>
      <c r="E1499" s="25" t="s">
        <v>8439</v>
      </c>
      <c r="F1499" s="25" t="s">
        <v>8440</v>
      </c>
      <c r="G1499" s="25" t="s">
        <v>8398</v>
      </c>
      <c r="H1499" s="25"/>
      <c r="I1499" s="25" t="s">
        <v>8441</v>
      </c>
      <c r="J1499" s="25" t="s">
        <v>10999</v>
      </c>
      <c r="K1499" s="25" t="n">
        <v>0</v>
      </c>
      <c r="L1499" s="25" t="str">
        <f aca="false">IF(K1499&gt;0,"Yes","No")</f>
        <v>No</v>
      </c>
    </row>
    <row r="1500" customFormat="false" ht="15" hidden="false" customHeight="false" outlineLevel="0" collapsed="false">
      <c r="A1500" s="25" t="s">
        <v>11006</v>
      </c>
      <c r="B1500" s="25" t="s">
        <v>8419</v>
      </c>
      <c r="C1500" s="25" t="s">
        <v>8393</v>
      </c>
      <c r="D1500" s="25" t="n">
        <v>9</v>
      </c>
      <c r="E1500" s="25" t="s">
        <v>8394</v>
      </c>
      <c r="F1500" s="25" t="s">
        <v>8395</v>
      </c>
      <c r="G1500" s="25" t="s">
        <v>8396</v>
      </c>
      <c r="H1500" s="25" t="s">
        <v>8399</v>
      </c>
      <c r="I1500" s="25" t="s">
        <v>10957</v>
      </c>
      <c r="J1500" s="25" t="s">
        <v>1819</v>
      </c>
      <c r="K1500" s="25" t="n">
        <v>0</v>
      </c>
      <c r="L1500" s="25" t="str">
        <f aca="false">IF(K1500&gt;0,"Yes","No")</f>
        <v>No</v>
      </c>
    </row>
    <row r="1501" customFormat="false" ht="15" hidden="false" customHeight="false" outlineLevel="0" collapsed="false">
      <c r="A1501" s="25" t="s">
        <v>11007</v>
      </c>
      <c r="B1501" s="25" t="s">
        <v>8419</v>
      </c>
      <c r="C1501" s="25" t="s">
        <v>8393</v>
      </c>
      <c r="D1501" s="25" t="n">
        <v>9</v>
      </c>
      <c r="E1501" s="25" t="s">
        <v>8394</v>
      </c>
      <c r="F1501" s="25" t="s">
        <v>8395</v>
      </c>
      <c r="G1501" s="25" t="s">
        <v>8396</v>
      </c>
      <c r="H1501" s="25" t="s">
        <v>8399</v>
      </c>
      <c r="I1501" s="25" t="s">
        <v>10959</v>
      </c>
      <c r="J1501" s="25" t="s">
        <v>1819</v>
      </c>
      <c r="K1501" s="25" t="n">
        <v>0</v>
      </c>
      <c r="L1501" s="25" t="str">
        <f aca="false">IF(K1501&gt;0,"Yes","No")</f>
        <v>No</v>
      </c>
    </row>
    <row r="1502" customFormat="false" ht="15" hidden="false" customHeight="false" outlineLevel="0" collapsed="false">
      <c r="A1502" s="25" t="s">
        <v>11008</v>
      </c>
      <c r="B1502" s="25" t="s">
        <v>8419</v>
      </c>
      <c r="C1502" s="25" t="s">
        <v>8393</v>
      </c>
      <c r="D1502" s="25" t="n">
        <v>9</v>
      </c>
      <c r="E1502" s="25" t="s">
        <v>8394</v>
      </c>
      <c r="F1502" s="25" t="s">
        <v>8395</v>
      </c>
      <c r="G1502" s="25" t="s">
        <v>8396</v>
      </c>
      <c r="H1502" s="25" t="s">
        <v>8399</v>
      </c>
      <c r="I1502" s="25" t="s">
        <v>11009</v>
      </c>
      <c r="J1502" s="25" t="s">
        <v>1819</v>
      </c>
      <c r="K1502" s="25" t="n">
        <v>0</v>
      </c>
      <c r="L1502" s="25" t="str">
        <f aca="false">IF(K1502&gt;0,"Yes","No")</f>
        <v>No</v>
      </c>
    </row>
    <row r="1503" customFormat="false" ht="15" hidden="false" customHeight="false" outlineLevel="0" collapsed="false">
      <c r="A1503" s="25" t="s">
        <v>11010</v>
      </c>
      <c r="B1503" s="25" t="s">
        <v>8419</v>
      </c>
      <c r="C1503" s="25" t="s">
        <v>8393</v>
      </c>
      <c r="D1503" s="25" t="n">
        <v>9</v>
      </c>
      <c r="E1503" s="25" t="s">
        <v>8394</v>
      </c>
      <c r="F1503" s="25" t="s">
        <v>8395</v>
      </c>
      <c r="G1503" s="25" t="s">
        <v>8400</v>
      </c>
      <c r="H1503" s="25"/>
      <c r="I1503" s="25" t="s">
        <v>11011</v>
      </c>
      <c r="J1503" s="25" t="s">
        <v>514</v>
      </c>
      <c r="K1503" s="25" t="n">
        <v>0</v>
      </c>
      <c r="L1503" s="25" t="str">
        <f aca="false">IF(K1503&gt;0,"Yes","No")</f>
        <v>No</v>
      </c>
    </row>
    <row r="1504" customFormat="false" ht="15" hidden="false" customHeight="false" outlineLevel="0" collapsed="false">
      <c r="A1504" s="25" t="s">
        <v>11012</v>
      </c>
      <c r="B1504" s="25" t="s">
        <v>8419</v>
      </c>
      <c r="C1504" s="25" t="s">
        <v>8393</v>
      </c>
      <c r="D1504" s="25" t="n">
        <v>9</v>
      </c>
      <c r="E1504" s="25" t="s">
        <v>8394</v>
      </c>
      <c r="F1504" s="25" t="s">
        <v>8395</v>
      </c>
      <c r="G1504" s="25" t="s">
        <v>8400</v>
      </c>
      <c r="H1504" s="25"/>
      <c r="I1504" s="25" t="s">
        <v>11013</v>
      </c>
      <c r="J1504" s="25" t="s">
        <v>514</v>
      </c>
      <c r="K1504" s="25" t="n">
        <v>0</v>
      </c>
      <c r="L1504" s="25" t="str">
        <f aca="false">IF(K1504&gt;0,"Yes","No")</f>
        <v>No</v>
      </c>
    </row>
    <row r="1505" customFormat="false" ht="15" hidden="false" customHeight="false" outlineLevel="0" collapsed="false">
      <c r="A1505" s="25" t="s">
        <v>11014</v>
      </c>
      <c r="B1505" s="25" t="s">
        <v>8392</v>
      </c>
      <c r="C1505" s="25"/>
      <c r="D1505" s="25" t="n">
        <v>8</v>
      </c>
      <c r="E1505" s="25" t="s">
        <v>8439</v>
      </c>
      <c r="F1505" s="25" t="s">
        <v>8440</v>
      </c>
      <c r="G1505" s="25" t="s">
        <v>8398</v>
      </c>
      <c r="H1505" s="25"/>
      <c r="I1505" s="25" t="s">
        <v>8441</v>
      </c>
      <c r="J1505" s="25" t="s">
        <v>11015</v>
      </c>
      <c r="K1505" s="25" t="n">
        <v>0</v>
      </c>
      <c r="L1505" s="25" t="str">
        <f aca="false">IF(K1505&gt;0,"Yes","No")</f>
        <v>No</v>
      </c>
    </row>
    <row r="1506" customFormat="false" ht="15" hidden="false" customHeight="false" outlineLevel="0" collapsed="false">
      <c r="A1506" s="25" t="s">
        <v>11016</v>
      </c>
      <c r="B1506" s="25" t="s">
        <v>8392</v>
      </c>
      <c r="C1506" s="25" t="s">
        <v>8393</v>
      </c>
      <c r="D1506" s="25" t="n">
        <v>9</v>
      </c>
      <c r="E1506" s="25" t="s">
        <v>8394</v>
      </c>
      <c r="F1506" s="25" t="s">
        <v>8395</v>
      </c>
      <c r="G1506" s="25" t="s">
        <v>8396</v>
      </c>
      <c r="H1506" s="25" t="s">
        <v>8399</v>
      </c>
      <c r="I1506" s="25" t="s">
        <v>11017</v>
      </c>
      <c r="J1506" s="25" t="s">
        <v>11018</v>
      </c>
      <c r="K1506" s="25" t="n">
        <v>0</v>
      </c>
      <c r="L1506" s="25" t="str">
        <f aca="false">IF(K1506&gt;0,"Yes","No")</f>
        <v>No</v>
      </c>
    </row>
    <row r="1507" customFormat="false" ht="15" hidden="false" customHeight="false" outlineLevel="0" collapsed="false">
      <c r="A1507" s="25" t="s">
        <v>11019</v>
      </c>
      <c r="B1507" s="25" t="s">
        <v>8392</v>
      </c>
      <c r="C1507" s="25" t="s">
        <v>8393</v>
      </c>
      <c r="D1507" s="25" t="n">
        <v>9</v>
      </c>
      <c r="E1507" s="25" t="s">
        <v>8394</v>
      </c>
      <c r="F1507" s="25" t="s">
        <v>8395</v>
      </c>
      <c r="G1507" s="25" t="s">
        <v>8396</v>
      </c>
      <c r="H1507" s="25" t="s">
        <v>8399</v>
      </c>
      <c r="I1507" s="25" t="s">
        <v>11020</v>
      </c>
      <c r="J1507" s="25" t="s">
        <v>11018</v>
      </c>
      <c r="K1507" s="25" t="n">
        <v>0</v>
      </c>
      <c r="L1507" s="25" t="str">
        <f aca="false">IF(K1507&gt;0,"Yes","No")</f>
        <v>No</v>
      </c>
    </row>
    <row r="1508" customFormat="false" ht="15" hidden="false" customHeight="false" outlineLevel="0" collapsed="false">
      <c r="A1508" s="25" t="s">
        <v>11021</v>
      </c>
      <c r="B1508" s="25" t="s">
        <v>8419</v>
      </c>
      <c r="C1508" s="25" t="s">
        <v>8393</v>
      </c>
      <c r="D1508" s="25" t="n">
        <v>9</v>
      </c>
      <c r="E1508" s="25" t="s">
        <v>8394</v>
      </c>
      <c r="F1508" s="25" t="s">
        <v>8395</v>
      </c>
      <c r="G1508" s="25" t="s">
        <v>8396</v>
      </c>
      <c r="H1508" s="25" t="s">
        <v>8399</v>
      </c>
      <c r="I1508" s="25" t="s">
        <v>10957</v>
      </c>
      <c r="J1508" s="25" t="s">
        <v>11018</v>
      </c>
      <c r="K1508" s="25" t="n">
        <v>0</v>
      </c>
      <c r="L1508" s="25" t="str">
        <f aca="false">IF(K1508&gt;0,"Yes","No")</f>
        <v>No</v>
      </c>
    </row>
    <row r="1509" customFormat="false" ht="15" hidden="false" customHeight="false" outlineLevel="0" collapsed="false">
      <c r="A1509" s="25" t="s">
        <v>11022</v>
      </c>
      <c r="B1509" s="25" t="s">
        <v>8419</v>
      </c>
      <c r="C1509" s="25" t="s">
        <v>8393</v>
      </c>
      <c r="D1509" s="25" t="n">
        <v>9</v>
      </c>
      <c r="E1509" s="25" t="s">
        <v>8394</v>
      </c>
      <c r="F1509" s="25" t="s">
        <v>8395</v>
      </c>
      <c r="G1509" s="25" t="s">
        <v>8396</v>
      </c>
      <c r="H1509" s="25" t="s">
        <v>8399</v>
      </c>
      <c r="I1509" s="25" t="s">
        <v>11023</v>
      </c>
      <c r="J1509" s="25" t="s">
        <v>11018</v>
      </c>
      <c r="K1509" s="25" t="n">
        <v>0</v>
      </c>
      <c r="L1509" s="25" t="str">
        <f aca="false">IF(K1509&gt;0,"Yes","No")</f>
        <v>No</v>
      </c>
    </row>
    <row r="1510" customFormat="false" ht="15" hidden="false" customHeight="false" outlineLevel="0" collapsed="false">
      <c r="A1510" s="25" t="s">
        <v>11024</v>
      </c>
      <c r="B1510" s="25" t="s">
        <v>8392</v>
      </c>
      <c r="C1510" s="25"/>
      <c r="D1510" s="25" t="n">
        <v>8</v>
      </c>
      <c r="E1510" s="25" t="s">
        <v>8439</v>
      </c>
      <c r="F1510" s="25" t="s">
        <v>8440</v>
      </c>
      <c r="G1510" s="25" t="s">
        <v>8398</v>
      </c>
      <c r="H1510" s="25"/>
      <c r="I1510" s="25" t="s">
        <v>11025</v>
      </c>
      <c r="J1510" s="25" t="s">
        <v>11026</v>
      </c>
      <c r="K1510" s="25" t="n">
        <v>0</v>
      </c>
      <c r="L1510" s="25" t="str">
        <f aca="false">IF(K1510&gt;0,"Yes","No")</f>
        <v>No</v>
      </c>
    </row>
    <row r="1511" customFormat="false" ht="15" hidden="false" customHeight="false" outlineLevel="0" collapsed="false">
      <c r="A1511" s="25" t="s">
        <v>11027</v>
      </c>
      <c r="B1511" s="25" t="s">
        <v>8419</v>
      </c>
      <c r="C1511" s="25" t="s">
        <v>8393</v>
      </c>
      <c r="D1511" s="25" t="n">
        <v>9</v>
      </c>
      <c r="E1511" s="25" t="s">
        <v>8394</v>
      </c>
      <c r="F1511" s="25" t="s">
        <v>8395</v>
      </c>
      <c r="G1511" s="25" t="s">
        <v>8400</v>
      </c>
      <c r="H1511" s="25"/>
      <c r="I1511" s="25" t="s">
        <v>725</v>
      </c>
      <c r="J1511" s="25" t="s">
        <v>11028</v>
      </c>
      <c r="K1511" s="25" t="n">
        <v>0</v>
      </c>
      <c r="L1511" s="25" t="str">
        <f aca="false">IF(K1511&gt;0,"Yes","No")</f>
        <v>No</v>
      </c>
    </row>
    <row r="1512" customFormat="false" ht="15" hidden="false" customHeight="false" outlineLevel="0" collapsed="false">
      <c r="A1512" s="25" t="s">
        <v>11029</v>
      </c>
      <c r="B1512" s="25" t="s">
        <v>8419</v>
      </c>
      <c r="C1512" s="25" t="s">
        <v>8393</v>
      </c>
      <c r="D1512" s="25" t="n">
        <v>9</v>
      </c>
      <c r="E1512" s="25" t="s">
        <v>8394</v>
      </c>
      <c r="F1512" s="25" t="s">
        <v>8395</v>
      </c>
      <c r="G1512" s="25" t="s">
        <v>8396</v>
      </c>
      <c r="H1512" s="25" t="s">
        <v>8399</v>
      </c>
      <c r="I1512" s="25" t="s">
        <v>11030</v>
      </c>
      <c r="J1512" s="25" t="s">
        <v>6928</v>
      </c>
      <c r="K1512" s="25" t="n">
        <v>0</v>
      </c>
      <c r="L1512" s="25" t="str">
        <f aca="false">IF(K1512&gt;0,"Yes","No")</f>
        <v>No</v>
      </c>
    </row>
    <row r="1513" customFormat="false" ht="15" hidden="false" customHeight="false" outlineLevel="0" collapsed="false">
      <c r="A1513" s="25" t="s">
        <v>11031</v>
      </c>
      <c r="B1513" s="25" t="s">
        <v>8419</v>
      </c>
      <c r="C1513" s="25" t="s">
        <v>8393</v>
      </c>
      <c r="D1513" s="25" t="n">
        <v>9</v>
      </c>
      <c r="E1513" s="25" t="s">
        <v>8394</v>
      </c>
      <c r="F1513" s="25" t="s">
        <v>8395</v>
      </c>
      <c r="G1513" s="25" t="s">
        <v>8396</v>
      </c>
      <c r="H1513" s="25" t="s">
        <v>8399</v>
      </c>
      <c r="I1513" s="25" t="s">
        <v>11032</v>
      </c>
      <c r="J1513" s="25" t="s">
        <v>6928</v>
      </c>
      <c r="K1513" s="25" t="n">
        <v>0</v>
      </c>
      <c r="L1513" s="25" t="str">
        <f aca="false">IF(K1513&gt;0,"Yes","No")</f>
        <v>No</v>
      </c>
    </row>
    <row r="1514" customFormat="false" ht="15" hidden="false" customHeight="false" outlineLevel="0" collapsed="false">
      <c r="A1514" s="25" t="s">
        <v>11033</v>
      </c>
      <c r="B1514" s="25" t="s">
        <v>8419</v>
      </c>
      <c r="C1514" s="25" t="s">
        <v>8393</v>
      </c>
      <c r="D1514" s="25" t="n">
        <v>9</v>
      </c>
      <c r="E1514" s="25" t="s">
        <v>8394</v>
      </c>
      <c r="F1514" s="25" t="s">
        <v>8395</v>
      </c>
      <c r="G1514" s="25" t="s">
        <v>8400</v>
      </c>
      <c r="H1514" s="25"/>
      <c r="I1514" s="25" t="s">
        <v>11034</v>
      </c>
      <c r="J1514" s="25" t="s">
        <v>708</v>
      </c>
      <c r="K1514" s="25" t="n">
        <v>0</v>
      </c>
      <c r="L1514" s="25" t="str">
        <f aca="false">IF(K1514&gt;0,"Yes","No")</f>
        <v>No</v>
      </c>
    </row>
    <row r="1515" customFormat="false" ht="15" hidden="false" customHeight="false" outlineLevel="0" collapsed="false">
      <c r="A1515" s="25" t="s">
        <v>11035</v>
      </c>
      <c r="B1515" s="25" t="s">
        <v>8392</v>
      </c>
      <c r="C1515" s="25" t="s">
        <v>8393</v>
      </c>
      <c r="D1515" s="25" t="n">
        <v>9</v>
      </c>
      <c r="E1515" s="25" t="s">
        <v>8394</v>
      </c>
      <c r="F1515" s="25" t="s">
        <v>8395</v>
      </c>
      <c r="G1515" s="25" t="s">
        <v>8398</v>
      </c>
      <c r="H1515" s="25"/>
      <c r="I1515" s="25" t="s">
        <v>11036</v>
      </c>
      <c r="J1515" s="25" t="s">
        <v>11037</v>
      </c>
      <c r="K1515" s="25" t="n">
        <v>0</v>
      </c>
      <c r="L1515" s="25" t="str">
        <f aca="false">IF(K1515&gt;0,"Yes","No")</f>
        <v>No</v>
      </c>
    </row>
    <row r="1516" customFormat="false" ht="15" hidden="false" customHeight="false" outlineLevel="0" collapsed="false">
      <c r="A1516" s="25" t="s">
        <v>11038</v>
      </c>
      <c r="B1516" s="25" t="s">
        <v>8419</v>
      </c>
      <c r="C1516" s="25" t="s">
        <v>8393</v>
      </c>
      <c r="D1516" s="25" t="n">
        <v>9</v>
      </c>
      <c r="E1516" s="25" t="s">
        <v>8394</v>
      </c>
      <c r="F1516" s="25" t="s">
        <v>8395</v>
      </c>
      <c r="G1516" s="25" t="s">
        <v>8396</v>
      </c>
      <c r="H1516" s="25" t="s">
        <v>8397</v>
      </c>
      <c r="I1516" s="25" t="s">
        <v>11039</v>
      </c>
      <c r="J1516" s="25" t="s">
        <v>1200</v>
      </c>
      <c r="K1516" s="25" t="n">
        <v>0</v>
      </c>
      <c r="L1516" s="25" t="str">
        <f aca="false">IF(K1516&gt;0,"Yes","No")</f>
        <v>No</v>
      </c>
    </row>
    <row r="1517" customFormat="false" ht="15" hidden="false" customHeight="false" outlineLevel="0" collapsed="false">
      <c r="A1517" s="25" t="s">
        <v>11040</v>
      </c>
      <c r="B1517" s="25" t="s">
        <v>8419</v>
      </c>
      <c r="C1517" s="25" t="s">
        <v>8393</v>
      </c>
      <c r="D1517" s="25" t="n">
        <v>9</v>
      </c>
      <c r="E1517" s="25" t="s">
        <v>8394</v>
      </c>
      <c r="F1517" s="25" t="s">
        <v>8395</v>
      </c>
      <c r="G1517" s="25" t="s">
        <v>8396</v>
      </c>
      <c r="H1517" s="25" t="s">
        <v>8397</v>
      </c>
      <c r="I1517" s="25" t="s">
        <v>11041</v>
      </c>
      <c r="J1517" s="25" t="s">
        <v>1200</v>
      </c>
      <c r="K1517" s="25" t="n">
        <v>0</v>
      </c>
      <c r="L1517" s="25" t="str">
        <f aca="false">IF(K1517&gt;0,"Yes","No")</f>
        <v>No</v>
      </c>
    </row>
    <row r="1518" customFormat="false" ht="15" hidden="false" customHeight="false" outlineLevel="0" collapsed="false">
      <c r="A1518" s="25" t="s">
        <v>11042</v>
      </c>
      <c r="B1518" s="25" t="s">
        <v>8392</v>
      </c>
      <c r="C1518" s="25"/>
      <c r="D1518" s="25" t="n">
        <v>8</v>
      </c>
      <c r="E1518" s="25" t="s">
        <v>8439</v>
      </c>
      <c r="F1518" s="25" t="s">
        <v>8440</v>
      </c>
      <c r="G1518" s="25" t="s">
        <v>8398</v>
      </c>
      <c r="H1518" s="25"/>
      <c r="I1518" s="25" t="s">
        <v>8441</v>
      </c>
      <c r="J1518" s="25" t="s">
        <v>658</v>
      </c>
      <c r="K1518" s="25" t="n">
        <v>0</v>
      </c>
      <c r="L1518" s="25" t="str">
        <f aca="false">IF(K1518&gt;0,"Yes","No")</f>
        <v>No</v>
      </c>
    </row>
    <row r="1519" customFormat="false" ht="15" hidden="false" customHeight="false" outlineLevel="0" collapsed="false">
      <c r="A1519" s="25" t="s">
        <v>11043</v>
      </c>
      <c r="B1519" s="25" t="s">
        <v>8392</v>
      </c>
      <c r="C1519" s="25" t="s">
        <v>8393</v>
      </c>
      <c r="D1519" s="25" t="n">
        <v>9</v>
      </c>
      <c r="E1519" s="25" t="s">
        <v>8394</v>
      </c>
      <c r="F1519" s="25" t="s">
        <v>8395</v>
      </c>
      <c r="G1519" s="25" t="s">
        <v>8396</v>
      </c>
      <c r="H1519" s="25" t="s">
        <v>8403</v>
      </c>
      <c r="I1519" s="25" t="s">
        <v>11044</v>
      </c>
      <c r="J1519" s="25" t="s">
        <v>11045</v>
      </c>
      <c r="K1519" s="25" t="n">
        <v>0</v>
      </c>
      <c r="L1519" s="25" t="str">
        <f aca="false">IF(K1519&gt;0,"Yes","No")</f>
        <v>No</v>
      </c>
    </row>
    <row r="1520" customFormat="false" ht="15" hidden="false" customHeight="false" outlineLevel="0" collapsed="false">
      <c r="A1520" s="25" t="s">
        <v>11046</v>
      </c>
      <c r="B1520" s="25" t="s">
        <v>8392</v>
      </c>
      <c r="C1520" s="25" t="s">
        <v>8393</v>
      </c>
      <c r="D1520" s="25" t="n">
        <v>9</v>
      </c>
      <c r="E1520" s="25" t="s">
        <v>8394</v>
      </c>
      <c r="F1520" s="25" t="s">
        <v>8395</v>
      </c>
      <c r="G1520" s="25" t="s">
        <v>8396</v>
      </c>
      <c r="H1520" s="25" t="s">
        <v>8399</v>
      </c>
      <c r="I1520" s="25" t="s">
        <v>11047</v>
      </c>
      <c r="J1520" s="25" t="s">
        <v>11048</v>
      </c>
      <c r="K1520" s="25" t="n">
        <v>0</v>
      </c>
      <c r="L1520" s="25" t="str">
        <f aca="false">IF(K1520&gt;0,"Yes","No")</f>
        <v>No</v>
      </c>
    </row>
    <row r="1521" customFormat="false" ht="15" hidden="false" customHeight="false" outlineLevel="0" collapsed="false">
      <c r="A1521" s="25" t="s">
        <v>11049</v>
      </c>
      <c r="B1521" s="25" t="s">
        <v>8419</v>
      </c>
      <c r="C1521" s="25" t="s">
        <v>8393</v>
      </c>
      <c r="D1521" s="25" t="n">
        <v>9</v>
      </c>
      <c r="E1521" s="25" t="s">
        <v>8394</v>
      </c>
      <c r="F1521" s="25" t="s">
        <v>8395</v>
      </c>
      <c r="G1521" s="25" t="s">
        <v>8396</v>
      </c>
      <c r="H1521" s="25" t="s">
        <v>8409</v>
      </c>
      <c r="I1521" s="25" t="s">
        <v>11050</v>
      </c>
      <c r="J1521" s="25" t="s">
        <v>4480</v>
      </c>
      <c r="K1521" s="25" t="n">
        <v>0</v>
      </c>
      <c r="L1521" s="25" t="str">
        <f aca="false">IF(K1521&gt;0,"Yes","No")</f>
        <v>No</v>
      </c>
    </row>
    <row r="1522" customFormat="false" ht="15" hidden="false" customHeight="false" outlineLevel="0" collapsed="false">
      <c r="A1522" s="25" t="s">
        <v>11051</v>
      </c>
      <c r="B1522" s="25" t="s">
        <v>8419</v>
      </c>
      <c r="C1522" s="25" t="s">
        <v>8393</v>
      </c>
      <c r="D1522" s="25" t="n">
        <v>9</v>
      </c>
      <c r="E1522" s="25" t="s">
        <v>8394</v>
      </c>
      <c r="F1522" s="25" t="s">
        <v>8395</v>
      </c>
      <c r="G1522" s="25" t="s">
        <v>8396</v>
      </c>
      <c r="H1522" s="25" t="s">
        <v>8409</v>
      </c>
      <c r="I1522" s="25" t="s">
        <v>11052</v>
      </c>
      <c r="J1522" s="25" t="s">
        <v>4480</v>
      </c>
      <c r="K1522" s="25" t="n">
        <v>0</v>
      </c>
      <c r="L1522" s="25" t="str">
        <f aca="false">IF(K1522&gt;0,"Yes","No")</f>
        <v>No</v>
      </c>
    </row>
    <row r="1523" customFormat="false" ht="15" hidden="false" customHeight="false" outlineLevel="0" collapsed="false">
      <c r="A1523" s="25" t="s">
        <v>11053</v>
      </c>
      <c r="B1523" s="25" t="s">
        <v>8419</v>
      </c>
      <c r="C1523" s="25" t="s">
        <v>8393</v>
      </c>
      <c r="D1523" s="25" t="n">
        <v>9</v>
      </c>
      <c r="E1523" s="25" t="s">
        <v>8394</v>
      </c>
      <c r="F1523" s="25" t="s">
        <v>8395</v>
      </c>
      <c r="G1523" s="25" t="s">
        <v>8396</v>
      </c>
      <c r="H1523" s="25" t="s">
        <v>8409</v>
      </c>
      <c r="I1523" s="25" t="s">
        <v>11054</v>
      </c>
      <c r="J1523" s="25" t="s">
        <v>11055</v>
      </c>
      <c r="K1523" s="25" t="n">
        <v>0</v>
      </c>
      <c r="L1523" s="25" t="str">
        <f aca="false">IF(K1523&gt;0,"Yes","No")</f>
        <v>No</v>
      </c>
    </row>
    <row r="1524" customFormat="false" ht="15" hidden="false" customHeight="false" outlineLevel="0" collapsed="false">
      <c r="A1524" s="25" t="s">
        <v>11056</v>
      </c>
      <c r="B1524" s="25" t="s">
        <v>8392</v>
      </c>
      <c r="C1524" s="25" t="s">
        <v>8393</v>
      </c>
      <c r="D1524" s="25" t="n">
        <v>9</v>
      </c>
      <c r="E1524" s="25" t="s">
        <v>8394</v>
      </c>
      <c r="F1524" s="25" t="s">
        <v>8395</v>
      </c>
      <c r="G1524" s="25" t="s">
        <v>8396</v>
      </c>
      <c r="H1524" s="25" t="s">
        <v>8403</v>
      </c>
      <c r="I1524" s="25" t="s">
        <v>11057</v>
      </c>
      <c r="J1524" s="25" t="s">
        <v>11058</v>
      </c>
      <c r="K1524" s="25" t="n">
        <v>0</v>
      </c>
      <c r="L1524" s="25" t="str">
        <f aca="false">IF(K1524&gt;0,"Yes","No")</f>
        <v>No</v>
      </c>
    </row>
    <row r="1525" customFormat="false" ht="15" hidden="false" customHeight="false" outlineLevel="0" collapsed="false">
      <c r="A1525" s="25" t="s">
        <v>11059</v>
      </c>
      <c r="B1525" s="25" t="s">
        <v>8392</v>
      </c>
      <c r="C1525" s="25"/>
      <c r="D1525" s="25" t="n">
        <v>8</v>
      </c>
      <c r="E1525" s="25" t="s">
        <v>8439</v>
      </c>
      <c r="F1525" s="25" t="s">
        <v>8440</v>
      </c>
      <c r="G1525" s="25" t="s">
        <v>8398</v>
      </c>
      <c r="H1525" s="25"/>
      <c r="I1525" s="25" t="s">
        <v>8441</v>
      </c>
      <c r="J1525" s="25" t="s">
        <v>6648</v>
      </c>
      <c r="K1525" s="25" t="n">
        <v>0</v>
      </c>
      <c r="L1525" s="25" t="str">
        <f aca="false">IF(K1525&gt;0,"Yes","No")</f>
        <v>No</v>
      </c>
    </row>
    <row r="1526" customFormat="false" ht="15" hidden="false" customHeight="false" outlineLevel="0" collapsed="false">
      <c r="A1526" s="25" t="s">
        <v>11060</v>
      </c>
      <c r="B1526" s="25" t="s">
        <v>8392</v>
      </c>
      <c r="C1526" s="25" t="s">
        <v>8393</v>
      </c>
      <c r="D1526" s="25" t="n">
        <v>9</v>
      </c>
      <c r="E1526" s="25" t="s">
        <v>8394</v>
      </c>
      <c r="F1526" s="25" t="s">
        <v>8395</v>
      </c>
      <c r="G1526" s="25" t="s">
        <v>8396</v>
      </c>
      <c r="H1526" s="25" t="s">
        <v>8397</v>
      </c>
      <c r="I1526" s="25" t="s">
        <v>11061</v>
      </c>
      <c r="J1526" s="25" t="s">
        <v>5773</v>
      </c>
      <c r="K1526" s="25" t="n">
        <v>0</v>
      </c>
      <c r="L1526" s="25" t="str">
        <f aca="false">IF(K1526&gt;0,"Yes","No")</f>
        <v>No</v>
      </c>
    </row>
    <row r="1527" customFormat="false" ht="15" hidden="false" customHeight="false" outlineLevel="0" collapsed="false">
      <c r="A1527" s="25" t="s">
        <v>11062</v>
      </c>
      <c r="B1527" s="25" t="s">
        <v>8392</v>
      </c>
      <c r="C1527" s="25" t="s">
        <v>8393</v>
      </c>
      <c r="D1527" s="25" t="n">
        <v>9</v>
      </c>
      <c r="E1527" s="25" t="s">
        <v>8394</v>
      </c>
      <c r="F1527" s="25" t="s">
        <v>8395</v>
      </c>
      <c r="G1527" s="25" t="s">
        <v>8396</v>
      </c>
      <c r="H1527" s="25" t="s">
        <v>8397</v>
      </c>
      <c r="I1527" s="25" t="s">
        <v>11063</v>
      </c>
      <c r="J1527" s="25" t="s">
        <v>1045</v>
      </c>
      <c r="K1527" s="25" t="n">
        <v>0</v>
      </c>
      <c r="L1527" s="25" t="str">
        <f aca="false">IF(K1527&gt;0,"Yes","No")</f>
        <v>No</v>
      </c>
    </row>
    <row r="1528" customFormat="false" ht="15" hidden="false" customHeight="false" outlineLevel="0" collapsed="false">
      <c r="A1528" s="25" t="s">
        <v>11064</v>
      </c>
      <c r="B1528" s="25" t="s">
        <v>8392</v>
      </c>
      <c r="C1528" s="25"/>
      <c r="D1528" s="25" t="n">
        <v>8</v>
      </c>
      <c r="E1528" s="25" t="s">
        <v>8439</v>
      </c>
      <c r="F1528" s="25" t="s">
        <v>8440</v>
      </c>
      <c r="G1528" s="25" t="s">
        <v>8398</v>
      </c>
      <c r="H1528" s="25"/>
      <c r="I1528" s="25" t="s">
        <v>8441</v>
      </c>
      <c r="J1528" s="25" t="s">
        <v>11065</v>
      </c>
      <c r="K1528" s="25" t="n">
        <v>0</v>
      </c>
      <c r="L1528" s="25" t="str">
        <f aca="false">IF(K1528&gt;0,"Yes","No")</f>
        <v>No</v>
      </c>
    </row>
    <row r="1529" customFormat="false" ht="15" hidden="false" customHeight="false" outlineLevel="0" collapsed="false">
      <c r="A1529" s="25" t="s">
        <v>11066</v>
      </c>
      <c r="B1529" s="25" t="s">
        <v>8392</v>
      </c>
      <c r="C1529" s="25" t="s">
        <v>8393</v>
      </c>
      <c r="D1529" s="25" t="n">
        <v>9</v>
      </c>
      <c r="E1529" s="25" t="s">
        <v>8394</v>
      </c>
      <c r="F1529" s="25" t="s">
        <v>8395</v>
      </c>
      <c r="G1529" s="25" t="s">
        <v>8396</v>
      </c>
      <c r="H1529" s="25" t="s">
        <v>8399</v>
      </c>
      <c r="I1529" s="25" t="s">
        <v>11067</v>
      </c>
      <c r="J1529" s="25" t="s">
        <v>5516</v>
      </c>
      <c r="K1529" s="25" t="n">
        <v>0</v>
      </c>
      <c r="L1529" s="25" t="str">
        <f aca="false">IF(K1529&gt;0,"Yes","No")</f>
        <v>No</v>
      </c>
    </row>
    <row r="1530" customFormat="false" ht="15" hidden="false" customHeight="false" outlineLevel="0" collapsed="false">
      <c r="A1530" s="25" t="s">
        <v>11068</v>
      </c>
      <c r="B1530" s="25" t="s">
        <v>8392</v>
      </c>
      <c r="C1530" s="25" t="s">
        <v>8393</v>
      </c>
      <c r="D1530" s="25" t="n">
        <v>9</v>
      </c>
      <c r="E1530" s="25" t="s">
        <v>8394</v>
      </c>
      <c r="F1530" s="25" t="s">
        <v>8395</v>
      </c>
      <c r="G1530" s="25" t="s">
        <v>8396</v>
      </c>
      <c r="H1530" s="25" t="s">
        <v>8399</v>
      </c>
      <c r="I1530" s="25" t="s">
        <v>5517</v>
      </c>
      <c r="J1530" s="25" t="s">
        <v>11069</v>
      </c>
      <c r="K1530" s="25" t="n">
        <v>0</v>
      </c>
      <c r="L1530" s="25" t="str">
        <f aca="false">IF(K1530&gt;0,"Yes","No")</f>
        <v>No</v>
      </c>
    </row>
    <row r="1531" customFormat="false" ht="15" hidden="false" customHeight="false" outlineLevel="0" collapsed="false">
      <c r="A1531" s="25" t="s">
        <v>11070</v>
      </c>
      <c r="B1531" s="25" t="s">
        <v>8419</v>
      </c>
      <c r="C1531" s="25"/>
      <c r="D1531" s="25" t="n">
        <v>8</v>
      </c>
      <c r="E1531" s="25" t="s">
        <v>8439</v>
      </c>
      <c r="F1531" s="25" t="s">
        <v>8440</v>
      </c>
      <c r="G1531" s="25" t="s">
        <v>8396</v>
      </c>
      <c r="H1531" s="25" t="s">
        <v>8397</v>
      </c>
      <c r="I1531" s="25" t="s">
        <v>11071</v>
      </c>
      <c r="J1531" s="25" t="s">
        <v>11072</v>
      </c>
      <c r="K1531" s="25" t="n">
        <v>0</v>
      </c>
      <c r="L1531" s="25" t="str">
        <f aca="false">IF(K1531&gt;0,"Yes","No")</f>
        <v>No</v>
      </c>
    </row>
    <row r="1532" customFormat="false" ht="15" hidden="false" customHeight="false" outlineLevel="0" collapsed="false">
      <c r="A1532" s="25" t="s">
        <v>11073</v>
      </c>
      <c r="B1532" s="25" t="s">
        <v>8419</v>
      </c>
      <c r="C1532" s="25"/>
      <c r="D1532" s="25" t="n">
        <v>8</v>
      </c>
      <c r="E1532" s="25" t="s">
        <v>8439</v>
      </c>
      <c r="F1532" s="25" t="s">
        <v>8440</v>
      </c>
      <c r="G1532" s="25" t="s">
        <v>8396</v>
      </c>
      <c r="H1532" s="25" t="s">
        <v>11074</v>
      </c>
      <c r="I1532" s="25" t="s">
        <v>11075</v>
      </c>
      <c r="J1532" s="25" t="s">
        <v>11072</v>
      </c>
      <c r="K1532" s="25" t="n">
        <v>0</v>
      </c>
      <c r="L1532" s="25" t="str">
        <f aca="false">IF(K1532&gt;0,"Yes","No")</f>
        <v>No</v>
      </c>
    </row>
    <row r="1533" customFormat="false" ht="15" hidden="false" customHeight="false" outlineLevel="0" collapsed="false">
      <c r="A1533" s="25" t="s">
        <v>11076</v>
      </c>
      <c r="B1533" s="25" t="s">
        <v>8419</v>
      </c>
      <c r="C1533" s="25" t="s">
        <v>8393</v>
      </c>
      <c r="D1533" s="25" t="n">
        <v>9</v>
      </c>
      <c r="E1533" s="25" t="s">
        <v>8394</v>
      </c>
      <c r="F1533" s="25" t="s">
        <v>8395</v>
      </c>
      <c r="G1533" s="25" t="s">
        <v>8400</v>
      </c>
      <c r="H1533" s="25"/>
      <c r="I1533" s="25" t="s">
        <v>11077</v>
      </c>
      <c r="J1533" s="25" t="s">
        <v>11078</v>
      </c>
      <c r="K1533" s="25" t="n">
        <v>0</v>
      </c>
      <c r="L1533" s="25" t="str">
        <f aca="false">IF(K1533&gt;0,"Yes","No")</f>
        <v>No</v>
      </c>
    </row>
    <row r="1534" customFormat="false" ht="15" hidden="false" customHeight="false" outlineLevel="0" collapsed="false">
      <c r="A1534" s="25" t="s">
        <v>11079</v>
      </c>
      <c r="B1534" s="25" t="s">
        <v>8419</v>
      </c>
      <c r="C1534" s="25"/>
      <c r="D1534" s="25" t="n">
        <v>8</v>
      </c>
      <c r="E1534" s="25" t="s">
        <v>8439</v>
      </c>
      <c r="F1534" s="25" t="s">
        <v>8440</v>
      </c>
      <c r="G1534" s="25" t="s">
        <v>8396</v>
      </c>
      <c r="H1534" s="25" t="s">
        <v>8397</v>
      </c>
      <c r="I1534" s="25" t="s">
        <v>11080</v>
      </c>
      <c r="J1534" s="25" t="s">
        <v>11072</v>
      </c>
      <c r="K1534" s="25" t="n">
        <v>0</v>
      </c>
      <c r="L1534" s="25" t="str">
        <f aca="false">IF(K1534&gt;0,"Yes","No")</f>
        <v>No</v>
      </c>
    </row>
    <row r="1535" customFormat="false" ht="15" hidden="false" customHeight="false" outlineLevel="0" collapsed="false">
      <c r="A1535" s="25" t="s">
        <v>11081</v>
      </c>
      <c r="B1535" s="25" t="s">
        <v>8392</v>
      </c>
      <c r="C1535" s="25" t="s">
        <v>8393</v>
      </c>
      <c r="D1535" s="25" t="n">
        <v>9</v>
      </c>
      <c r="E1535" s="25" t="s">
        <v>8394</v>
      </c>
      <c r="F1535" s="25" t="s">
        <v>8395</v>
      </c>
      <c r="G1535" s="25" t="s">
        <v>8398</v>
      </c>
      <c r="H1535" s="25"/>
      <c r="I1535" s="25" t="s">
        <v>11082</v>
      </c>
      <c r="J1535" s="25" t="s">
        <v>11083</v>
      </c>
      <c r="K1535" s="25" t="n">
        <v>0</v>
      </c>
      <c r="L1535" s="25" t="str">
        <f aca="false">IF(K1535&gt;0,"Yes","No")</f>
        <v>No</v>
      </c>
    </row>
    <row r="1536" customFormat="false" ht="15" hidden="false" customHeight="false" outlineLevel="0" collapsed="false">
      <c r="A1536" s="25" t="s">
        <v>11084</v>
      </c>
      <c r="B1536" s="25" t="s">
        <v>8392</v>
      </c>
      <c r="C1536" s="25" t="s">
        <v>8393</v>
      </c>
      <c r="D1536" s="25" t="n">
        <v>9</v>
      </c>
      <c r="E1536" s="25" t="s">
        <v>8394</v>
      </c>
      <c r="F1536" s="25" t="s">
        <v>8395</v>
      </c>
      <c r="G1536" s="25" t="s">
        <v>8396</v>
      </c>
      <c r="H1536" s="25" t="s">
        <v>8409</v>
      </c>
      <c r="I1536" s="25" t="s">
        <v>11085</v>
      </c>
      <c r="J1536" s="25" t="s">
        <v>11086</v>
      </c>
      <c r="K1536" s="25" t="n">
        <v>0</v>
      </c>
      <c r="L1536" s="25" t="str">
        <f aca="false">IF(K1536&gt;0,"Yes","No")</f>
        <v>No</v>
      </c>
    </row>
    <row r="1537" customFormat="false" ht="15" hidden="false" customHeight="false" outlineLevel="0" collapsed="false">
      <c r="A1537" s="25" t="s">
        <v>11087</v>
      </c>
      <c r="B1537" s="25" t="s">
        <v>8392</v>
      </c>
      <c r="C1537" s="25" t="s">
        <v>8393</v>
      </c>
      <c r="D1537" s="25" t="n">
        <v>9</v>
      </c>
      <c r="E1537" s="25" t="s">
        <v>8394</v>
      </c>
      <c r="F1537" s="25" t="s">
        <v>8395</v>
      </c>
      <c r="G1537" s="25" t="s">
        <v>8396</v>
      </c>
      <c r="H1537" s="25" t="s">
        <v>8409</v>
      </c>
      <c r="I1537" s="25" t="s">
        <v>11088</v>
      </c>
      <c r="J1537" s="25" t="s">
        <v>11086</v>
      </c>
      <c r="K1537" s="25" t="n">
        <v>0</v>
      </c>
      <c r="L1537" s="25" t="str">
        <f aca="false">IF(K1537&gt;0,"Yes","No")</f>
        <v>No</v>
      </c>
    </row>
    <row r="1538" customFormat="false" ht="15" hidden="false" customHeight="false" outlineLevel="0" collapsed="false">
      <c r="A1538" s="25" t="s">
        <v>11089</v>
      </c>
      <c r="B1538" s="25" t="s">
        <v>8392</v>
      </c>
      <c r="C1538" s="25" t="s">
        <v>8393</v>
      </c>
      <c r="D1538" s="25" t="n">
        <v>9</v>
      </c>
      <c r="E1538" s="25" t="s">
        <v>8394</v>
      </c>
      <c r="F1538" s="25" t="s">
        <v>8395</v>
      </c>
      <c r="G1538" s="25" t="s">
        <v>8396</v>
      </c>
      <c r="H1538" s="25" t="s">
        <v>8409</v>
      </c>
      <c r="I1538" s="25" t="s">
        <v>11090</v>
      </c>
      <c r="J1538" s="25" t="s">
        <v>11086</v>
      </c>
      <c r="K1538" s="25" t="n">
        <v>0</v>
      </c>
      <c r="L1538" s="25" t="str">
        <f aca="false">IF(K1538&gt;0,"Yes","No")</f>
        <v>No</v>
      </c>
    </row>
    <row r="1539" customFormat="false" ht="15" hidden="false" customHeight="false" outlineLevel="0" collapsed="false">
      <c r="A1539" s="25" t="s">
        <v>11091</v>
      </c>
      <c r="B1539" s="25" t="s">
        <v>8419</v>
      </c>
      <c r="C1539" s="25" t="s">
        <v>8393</v>
      </c>
      <c r="D1539" s="25" t="n">
        <v>9</v>
      </c>
      <c r="E1539" s="25" t="s">
        <v>8394</v>
      </c>
      <c r="F1539" s="25" t="s">
        <v>8395</v>
      </c>
      <c r="G1539" s="25" t="s">
        <v>8396</v>
      </c>
      <c r="H1539" s="25"/>
      <c r="I1539" s="25" t="s">
        <v>11092</v>
      </c>
      <c r="J1539" s="25" t="s">
        <v>11086</v>
      </c>
      <c r="K1539" s="25" t="n">
        <v>0</v>
      </c>
      <c r="L1539" s="25" t="str">
        <f aca="false">IF(K1539&gt;0,"Yes","No")</f>
        <v>No</v>
      </c>
    </row>
    <row r="1540" customFormat="false" ht="15" hidden="false" customHeight="false" outlineLevel="0" collapsed="false">
      <c r="A1540" s="25" t="s">
        <v>11093</v>
      </c>
      <c r="B1540" s="25" t="s">
        <v>8419</v>
      </c>
      <c r="C1540" s="25" t="s">
        <v>8393</v>
      </c>
      <c r="D1540" s="25" t="n">
        <v>9</v>
      </c>
      <c r="E1540" s="25" t="s">
        <v>8394</v>
      </c>
      <c r="F1540" s="25" t="s">
        <v>8395</v>
      </c>
      <c r="G1540" s="25" t="s">
        <v>8396</v>
      </c>
      <c r="H1540" s="25"/>
      <c r="I1540" s="25" t="s">
        <v>11094</v>
      </c>
      <c r="J1540" s="25" t="s">
        <v>11086</v>
      </c>
      <c r="K1540" s="25" t="n">
        <v>0</v>
      </c>
      <c r="L1540" s="25" t="str">
        <f aca="false">IF(K1540&gt;0,"Yes","No")</f>
        <v>No</v>
      </c>
    </row>
    <row r="1541" customFormat="false" ht="15" hidden="false" customHeight="false" outlineLevel="0" collapsed="false">
      <c r="A1541" s="25" t="s">
        <v>11095</v>
      </c>
      <c r="B1541" s="25" t="s">
        <v>8392</v>
      </c>
      <c r="C1541" s="25" t="s">
        <v>8393</v>
      </c>
      <c r="D1541" s="25" t="n">
        <v>9</v>
      </c>
      <c r="E1541" s="25" t="s">
        <v>8394</v>
      </c>
      <c r="F1541" s="25" t="s">
        <v>8395</v>
      </c>
      <c r="G1541" s="25" t="s">
        <v>8396</v>
      </c>
      <c r="H1541" s="25" t="s">
        <v>8399</v>
      </c>
      <c r="I1541" s="25" t="s">
        <v>11096</v>
      </c>
      <c r="J1541" s="25" t="s">
        <v>11097</v>
      </c>
      <c r="K1541" s="25" t="n">
        <v>0</v>
      </c>
      <c r="L1541" s="25" t="str">
        <f aca="false">IF(K1541&gt;0,"Yes","No")</f>
        <v>No</v>
      </c>
    </row>
    <row r="1542" customFormat="false" ht="15" hidden="false" customHeight="false" outlineLevel="0" collapsed="false">
      <c r="A1542" s="25" t="s">
        <v>11098</v>
      </c>
      <c r="B1542" s="25" t="s">
        <v>8392</v>
      </c>
      <c r="C1542" s="25" t="s">
        <v>8393</v>
      </c>
      <c r="D1542" s="25" t="n">
        <v>9</v>
      </c>
      <c r="E1542" s="25" t="s">
        <v>8394</v>
      </c>
      <c r="F1542" s="25" t="s">
        <v>8395</v>
      </c>
      <c r="G1542" s="25" t="s">
        <v>8396</v>
      </c>
      <c r="H1542" s="25" t="s">
        <v>8403</v>
      </c>
      <c r="I1542" s="25" t="s">
        <v>11099</v>
      </c>
      <c r="J1542" s="25" t="s">
        <v>11100</v>
      </c>
      <c r="K1542" s="25" t="n">
        <v>0</v>
      </c>
      <c r="L1542" s="25" t="str">
        <f aca="false">IF(K1542&gt;0,"Yes","No")</f>
        <v>No</v>
      </c>
    </row>
    <row r="1543" customFormat="false" ht="15" hidden="false" customHeight="false" outlineLevel="0" collapsed="false">
      <c r="A1543" s="25" t="s">
        <v>11101</v>
      </c>
      <c r="B1543" s="25" t="s">
        <v>8419</v>
      </c>
      <c r="C1543" s="25" t="s">
        <v>8393</v>
      </c>
      <c r="D1543" s="25" t="n">
        <v>9</v>
      </c>
      <c r="E1543" s="25" t="s">
        <v>8394</v>
      </c>
      <c r="F1543" s="25" t="s">
        <v>8395</v>
      </c>
      <c r="G1543" s="25" t="s">
        <v>8396</v>
      </c>
      <c r="H1543" s="25" t="s">
        <v>8409</v>
      </c>
      <c r="I1543" s="25" t="s">
        <v>11102</v>
      </c>
      <c r="J1543" s="25" t="s">
        <v>11103</v>
      </c>
      <c r="K1543" s="25" t="n">
        <v>0</v>
      </c>
      <c r="L1543" s="25" t="str">
        <f aca="false">IF(K1543&gt;0,"Yes","No")</f>
        <v>No</v>
      </c>
    </row>
    <row r="1544" customFormat="false" ht="15" hidden="false" customHeight="false" outlineLevel="0" collapsed="false">
      <c r="A1544" s="25" t="s">
        <v>11104</v>
      </c>
      <c r="B1544" s="25" t="s">
        <v>8392</v>
      </c>
      <c r="C1544" s="25"/>
      <c r="D1544" s="25" t="n">
        <v>8</v>
      </c>
      <c r="E1544" s="25" t="s">
        <v>8439</v>
      </c>
      <c r="F1544" s="25" t="s">
        <v>8440</v>
      </c>
      <c r="G1544" s="25" t="s">
        <v>8398</v>
      </c>
      <c r="H1544" s="25"/>
      <c r="I1544" s="25" t="s">
        <v>8441</v>
      </c>
      <c r="J1544" s="25" t="s">
        <v>11105</v>
      </c>
      <c r="K1544" s="25" t="n">
        <v>0</v>
      </c>
      <c r="L1544" s="25" t="str">
        <f aca="false">IF(K1544&gt;0,"Yes","No")</f>
        <v>No</v>
      </c>
    </row>
    <row r="1545" customFormat="false" ht="15" hidden="false" customHeight="false" outlineLevel="0" collapsed="false">
      <c r="A1545" s="25" t="s">
        <v>11106</v>
      </c>
      <c r="B1545" s="25" t="s">
        <v>8392</v>
      </c>
      <c r="C1545" s="25" t="s">
        <v>8393</v>
      </c>
      <c r="D1545" s="25" t="n">
        <v>9</v>
      </c>
      <c r="E1545" s="25" t="s">
        <v>8394</v>
      </c>
      <c r="F1545" s="25" t="s">
        <v>8395</v>
      </c>
      <c r="G1545" s="25" t="s">
        <v>8396</v>
      </c>
      <c r="H1545" s="25" t="s">
        <v>8403</v>
      </c>
      <c r="I1545" s="25" t="s">
        <v>11107</v>
      </c>
      <c r="J1545" s="25" t="s">
        <v>11108</v>
      </c>
      <c r="K1545" s="25" t="n">
        <v>0</v>
      </c>
      <c r="L1545" s="25" t="str">
        <f aca="false">IF(K1545&gt;0,"Yes","No")</f>
        <v>No</v>
      </c>
    </row>
    <row r="1546" customFormat="false" ht="15" hidden="false" customHeight="false" outlineLevel="0" collapsed="false">
      <c r="A1546" s="25" t="s">
        <v>11109</v>
      </c>
      <c r="B1546" s="25" t="s">
        <v>8392</v>
      </c>
      <c r="C1546" s="25"/>
      <c r="D1546" s="25" t="n">
        <v>8</v>
      </c>
      <c r="E1546" s="25" t="s">
        <v>8439</v>
      </c>
      <c r="F1546" s="25" t="s">
        <v>8440</v>
      </c>
      <c r="G1546" s="25" t="s">
        <v>8398</v>
      </c>
      <c r="H1546" s="25"/>
      <c r="I1546" s="25" t="s">
        <v>8441</v>
      </c>
      <c r="J1546" s="25" t="s">
        <v>11110</v>
      </c>
      <c r="K1546" s="25" t="n">
        <v>0</v>
      </c>
      <c r="L1546" s="25" t="str">
        <f aca="false">IF(K1546&gt;0,"Yes","No")</f>
        <v>No</v>
      </c>
    </row>
    <row r="1547" customFormat="false" ht="15" hidden="false" customHeight="false" outlineLevel="0" collapsed="false">
      <c r="A1547" s="25" t="s">
        <v>11111</v>
      </c>
      <c r="B1547" s="25" t="s">
        <v>8392</v>
      </c>
      <c r="C1547" s="25"/>
      <c r="D1547" s="25" t="n">
        <v>8</v>
      </c>
      <c r="E1547" s="25" t="s">
        <v>8439</v>
      </c>
      <c r="F1547" s="25" t="s">
        <v>8440</v>
      </c>
      <c r="G1547" s="25" t="s">
        <v>8398</v>
      </c>
      <c r="H1547" s="25"/>
      <c r="I1547" s="25" t="s">
        <v>11112</v>
      </c>
      <c r="J1547" s="25" t="s">
        <v>11113</v>
      </c>
      <c r="K1547" s="25" t="n">
        <v>0</v>
      </c>
      <c r="L1547" s="25" t="str">
        <f aca="false">IF(K1547&gt;0,"Yes","No")</f>
        <v>No</v>
      </c>
    </row>
    <row r="1548" customFormat="false" ht="15" hidden="false" customHeight="false" outlineLevel="0" collapsed="false">
      <c r="A1548" s="25" t="s">
        <v>11114</v>
      </c>
      <c r="B1548" s="25" t="s">
        <v>8419</v>
      </c>
      <c r="C1548" s="25"/>
      <c r="D1548" s="25" t="n">
        <v>8</v>
      </c>
      <c r="E1548" s="25" t="s">
        <v>8439</v>
      </c>
      <c r="F1548" s="25" t="s">
        <v>8440</v>
      </c>
      <c r="G1548" s="25" t="s">
        <v>8396</v>
      </c>
      <c r="H1548" s="25" t="s">
        <v>11115</v>
      </c>
      <c r="I1548" s="25" t="s">
        <v>11116</v>
      </c>
      <c r="J1548" s="25" t="s">
        <v>11072</v>
      </c>
      <c r="K1548" s="25" t="n">
        <v>0</v>
      </c>
      <c r="L1548" s="25" t="str">
        <f aca="false">IF(K1548&gt;0,"Yes","No")</f>
        <v>No</v>
      </c>
    </row>
    <row r="1549" customFormat="false" ht="15" hidden="false" customHeight="false" outlineLevel="0" collapsed="false">
      <c r="A1549" s="25" t="s">
        <v>11117</v>
      </c>
      <c r="B1549" s="25" t="s">
        <v>8419</v>
      </c>
      <c r="C1549" s="25"/>
      <c r="D1549" s="25" t="n">
        <v>8</v>
      </c>
      <c r="E1549" s="25" t="s">
        <v>8439</v>
      </c>
      <c r="F1549" s="25" t="s">
        <v>8440</v>
      </c>
      <c r="G1549" s="25" t="s">
        <v>8396</v>
      </c>
      <c r="H1549" s="25" t="s">
        <v>11115</v>
      </c>
      <c r="I1549" s="25" t="s">
        <v>11118</v>
      </c>
      <c r="J1549" s="25" t="s">
        <v>11072</v>
      </c>
      <c r="K1549" s="25" t="n">
        <v>0</v>
      </c>
      <c r="L1549" s="25" t="str">
        <f aca="false">IF(K1549&gt;0,"Yes","No")</f>
        <v>No</v>
      </c>
    </row>
    <row r="1550" customFormat="false" ht="15" hidden="false" customHeight="false" outlineLevel="0" collapsed="false">
      <c r="A1550" s="25" t="s">
        <v>11119</v>
      </c>
      <c r="B1550" s="25" t="s">
        <v>8392</v>
      </c>
      <c r="C1550" s="25"/>
      <c r="D1550" s="25" t="n">
        <v>8</v>
      </c>
      <c r="E1550" s="25" t="s">
        <v>8439</v>
      </c>
      <c r="F1550" s="25" t="s">
        <v>8440</v>
      </c>
      <c r="G1550" s="25" t="s">
        <v>8398</v>
      </c>
      <c r="H1550" s="25"/>
      <c r="I1550" s="25" t="s">
        <v>8441</v>
      </c>
      <c r="J1550" s="25" t="s">
        <v>11120</v>
      </c>
      <c r="K1550" s="25" t="n">
        <v>0</v>
      </c>
      <c r="L1550" s="25" t="str">
        <f aca="false">IF(K1550&gt;0,"Yes","No")</f>
        <v>No</v>
      </c>
    </row>
    <row r="1551" customFormat="false" ht="15" hidden="false" customHeight="false" outlineLevel="0" collapsed="false">
      <c r="A1551" s="25" t="s">
        <v>11121</v>
      </c>
      <c r="B1551" s="25" t="s">
        <v>8419</v>
      </c>
      <c r="C1551" s="25" t="s">
        <v>8393</v>
      </c>
      <c r="D1551" s="25" t="n">
        <v>9</v>
      </c>
      <c r="E1551" s="25" t="s">
        <v>8394</v>
      </c>
      <c r="F1551" s="25" t="s">
        <v>8395</v>
      </c>
      <c r="G1551" s="25" t="s">
        <v>8400</v>
      </c>
      <c r="H1551" s="25"/>
      <c r="I1551" s="25" t="s">
        <v>11122</v>
      </c>
      <c r="J1551" s="25" t="s">
        <v>774</v>
      </c>
      <c r="K1551" s="25" t="n">
        <v>0</v>
      </c>
      <c r="L1551" s="25" t="str">
        <f aca="false">IF(K1551&gt;0,"Yes","No")</f>
        <v>No</v>
      </c>
    </row>
    <row r="1552" customFormat="false" ht="15" hidden="false" customHeight="false" outlineLevel="0" collapsed="false">
      <c r="A1552" s="25" t="s">
        <v>11123</v>
      </c>
      <c r="B1552" s="25" t="s">
        <v>8419</v>
      </c>
      <c r="C1552" s="25" t="s">
        <v>8393</v>
      </c>
      <c r="D1552" s="25" t="n">
        <v>9</v>
      </c>
      <c r="E1552" s="25" t="s">
        <v>8394</v>
      </c>
      <c r="F1552" s="25" t="s">
        <v>8395</v>
      </c>
      <c r="G1552" s="25" t="s">
        <v>8400</v>
      </c>
      <c r="H1552" s="25"/>
      <c r="I1552" s="25" t="s">
        <v>11124</v>
      </c>
      <c r="J1552" s="25" t="s">
        <v>774</v>
      </c>
      <c r="K1552" s="25" t="n">
        <v>0</v>
      </c>
      <c r="L1552" s="25" t="str">
        <f aca="false">IF(K1552&gt;0,"Yes","No")</f>
        <v>No</v>
      </c>
    </row>
    <row r="1553" customFormat="false" ht="15" hidden="false" customHeight="false" outlineLevel="0" collapsed="false">
      <c r="A1553" s="25" t="s">
        <v>11125</v>
      </c>
      <c r="B1553" s="25" t="s">
        <v>8419</v>
      </c>
      <c r="C1553" s="25" t="s">
        <v>8393</v>
      </c>
      <c r="D1553" s="25" t="n">
        <v>9</v>
      </c>
      <c r="E1553" s="25" t="s">
        <v>8394</v>
      </c>
      <c r="F1553" s="25" t="s">
        <v>8395</v>
      </c>
      <c r="G1553" s="25" t="s">
        <v>8400</v>
      </c>
      <c r="H1553" s="25"/>
      <c r="I1553" s="25" t="s">
        <v>11126</v>
      </c>
      <c r="J1553" s="25" t="s">
        <v>774</v>
      </c>
      <c r="K1553" s="25" t="n">
        <v>0</v>
      </c>
      <c r="L1553" s="25" t="str">
        <f aca="false">IF(K1553&gt;0,"Yes","No")</f>
        <v>No</v>
      </c>
    </row>
    <row r="1554" customFormat="false" ht="15" hidden="false" customHeight="false" outlineLevel="0" collapsed="false">
      <c r="A1554" s="25" t="s">
        <v>11127</v>
      </c>
      <c r="B1554" s="25" t="s">
        <v>8392</v>
      </c>
      <c r="C1554" s="25" t="s">
        <v>8393</v>
      </c>
      <c r="D1554" s="25" t="n">
        <v>9</v>
      </c>
      <c r="E1554" s="25" t="s">
        <v>8394</v>
      </c>
      <c r="F1554" s="25" t="s">
        <v>8395</v>
      </c>
      <c r="G1554" s="25" t="s">
        <v>8400</v>
      </c>
      <c r="H1554" s="25"/>
      <c r="I1554" s="25" t="s">
        <v>11128</v>
      </c>
      <c r="J1554" s="25" t="s">
        <v>1708</v>
      </c>
      <c r="K1554" s="25" t="n">
        <v>0</v>
      </c>
      <c r="L1554" s="25" t="str">
        <f aca="false">IF(K1554&gt;0,"Yes","No")</f>
        <v>No</v>
      </c>
    </row>
    <row r="1555" customFormat="false" ht="15" hidden="false" customHeight="false" outlineLevel="0" collapsed="false">
      <c r="A1555" s="25" t="s">
        <v>11129</v>
      </c>
      <c r="B1555" s="25" t="s">
        <v>8392</v>
      </c>
      <c r="C1555" s="25" t="s">
        <v>8393</v>
      </c>
      <c r="D1555" s="25" t="n">
        <v>9</v>
      </c>
      <c r="E1555" s="25" t="s">
        <v>8394</v>
      </c>
      <c r="F1555" s="25" t="s">
        <v>8395</v>
      </c>
      <c r="G1555" s="25" t="s">
        <v>8400</v>
      </c>
      <c r="H1555" s="25"/>
      <c r="I1555" s="25" t="s">
        <v>11130</v>
      </c>
      <c r="J1555" s="25" t="s">
        <v>1708</v>
      </c>
      <c r="K1555" s="25" t="n">
        <v>0</v>
      </c>
      <c r="L1555" s="25" t="str">
        <f aca="false">IF(K1555&gt;0,"Yes","No")</f>
        <v>No</v>
      </c>
    </row>
    <row r="1556" customFormat="false" ht="15" hidden="false" customHeight="false" outlineLevel="0" collapsed="false">
      <c r="A1556" s="25" t="s">
        <v>11131</v>
      </c>
      <c r="B1556" s="25" t="s">
        <v>8392</v>
      </c>
      <c r="C1556" s="25" t="s">
        <v>8393</v>
      </c>
      <c r="D1556" s="25" t="n">
        <v>9</v>
      </c>
      <c r="E1556" s="25" t="s">
        <v>8394</v>
      </c>
      <c r="F1556" s="25" t="s">
        <v>8395</v>
      </c>
      <c r="G1556" s="25" t="s">
        <v>8400</v>
      </c>
      <c r="H1556" s="25"/>
      <c r="I1556" s="25" t="s">
        <v>11132</v>
      </c>
      <c r="J1556" s="25" t="s">
        <v>1708</v>
      </c>
      <c r="K1556" s="25" t="n">
        <v>0</v>
      </c>
      <c r="L1556" s="25" t="str">
        <f aca="false">IF(K1556&gt;0,"Yes","No")</f>
        <v>No</v>
      </c>
    </row>
  </sheetData>
  <autoFilter ref="A5:L15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3"/>
    <col collapsed="false" customWidth="true" hidden="false" outlineLevel="0" max="3" min="3" style="0" width="7"/>
    <col collapsed="false" customWidth="true" hidden="false" outlineLevel="0" max="4" min="4" style="0" width="22"/>
    <col collapsed="false" customWidth="true" hidden="false" outlineLevel="0" max="5" min="5" style="0" width="70"/>
    <col collapsed="false" customWidth="true" hidden="false" outlineLevel="0" max="6" min="6" style="0" width="40"/>
    <col collapsed="false" customWidth="true" hidden="false" outlineLevel="0" max="7" min="7" style="0" width="28"/>
    <col collapsed="false" customWidth="true" hidden="false" outlineLevel="0" max="8" min="8" style="0" width="11"/>
    <col collapsed="false" customWidth="true" hidden="false" outlineLevel="0" max="9" min="9" style="0" width="18"/>
    <col collapsed="false" customWidth="true" hidden="false" outlineLevel="0" max="10" min="10" style="0" width="14"/>
    <col collapsed="false" customWidth="true" hidden="false" outlineLevel="0" max="11" min="11" style="0" width="10"/>
  </cols>
  <sheetData>
    <row r="1" customFormat="false" ht="19.7" hidden="false" customHeight="false" outlineLevel="0" collapsed="false">
      <c r="A1" s="1" t="s">
        <v>42</v>
      </c>
    </row>
    <row r="2" customFormat="false" ht="15" hidden="false" customHeight="false" outlineLevel="0" collapsed="false">
      <c r="A2" s="2" t="s">
        <v>11133</v>
      </c>
    </row>
    <row r="4" customFormat="false" ht="35.05" hidden="false" customHeight="false" outlineLevel="0" collapsed="false">
      <c r="A4" s="10" t="s">
        <v>236</v>
      </c>
      <c r="B4" s="10" t="s">
        <v>8381</v>
      </c>
      <c r="C4" s="10" t="s">
        <v>237</v>
      </c>
      <c r="D4" s="10" t="s">
        <v>238</v>
      </c>
      <c r="E4" s="10" t="s">
        <v>11134</v>
      </c>
      <c r="F4" s="10" t="s">
        <v>11135</v>
      </c>
      <c r="G4" s="10" t="s">
        <v>239</v>
      </c>
      <c r="H4" s="10" t="s">
        <v>11136</v>
      </c>
      <c r="I4" s="10" t="s">
        <v>11137</v>
      </c>
      <c r="J4" s="10" t="s">
        <v>8390</v>
      </c>
      <c r="K4" s="10" t="s">
        <v>8391</v>
      </c>
    </row>
    <row r="5" customFormat="false" ht="15" hidden="false" customHeight="false" outlineLevel="0" collapsed="false">
      <c r="A5" s="25" t="s">
        <v>600</v>
      </c>
      <c r="B5" s="25" t="s">
        <v>11138</v>
      </c>
      <c r="C5" s="25" t="n">
        <v>2010</v>
      </c>
      <c r="D5" s="25" t="s">
        <v>11139</v>
      </c>
      <c r="E5" s="25" t="s">
        <v>11140</v>
      </c>
      <c r="F5" s="25" t="s">
        <v>11141</v>
      </c>
      <c r="G5" s="28" t="s">
        <v>11142</v>
      </c>
      <c r="H5" s="25" t="n">
        <v>19921781</v>
      </c>
      <c r="I5" s="25"/>
      <c r="J5" s="25" t="n">
        <v>103</v>
      </c>
      <c r="K5" s="25" t="str">
        <f aca="false">IF(J5&gt;0,"Yes","No")</f>
        <v>Yes</v>
      </c>
    </row>
    <row r="6" customFormat="false" ht="15" hidden="false" customHeight="false" outlineLevel="0" collapsed="false">
      <c r="A6" s="25" t="s">
        <v>1200</v>
      </c>
      <c r="B6" s="25" t="s">
        <v>11138</v>
      </c>
      <c r="C6" s="25" t="n">
        <v>2008</v>
      </c>
      <c r="D6" s="25" t="s">
        <v>11139</v>
      </c>
      <c r="E6" s="25" t="s">
        <v>11143</v>
      </c>
      <c r="F6" s="25" t="s">
        <v>11144</v>
      </c>
      <c r="G6" s="28" t="s">
        <v>11145</v>
      </c>
      <c r="H6" s="25" t="n">
        <v>18311894</v>
      </c>
      <c r="I6" s="25"/>
      <c r="J6" s="25" t="n">
        <v>94</v>
      </c>
      <c r="K6" s="25" t="str">
        <f aca="false">IF(J6&gt;0,"Yes","No")</f>
        <v>Yes</v>
      </c>
    </row>
    <row r="7" customFormat="false" ht="15" hidden="false" customHeight="false" outlineLevel="0" collapsed="false">
      <c r="A7" s="25" t="s">
        <v>2532</v>
      </c>
      <c r="B7" s="25" t="s">
        <v>11138</v>
      </c>
      <c r="C7" s="25" t="n">
        <v>2013</v>
      </c>
      <c r="D7" s="25" t="s">
        <v>11139</v>
      </c>
      <c r="E7" s="25" t="s">
        <v>11146</v>
      </c>
      <c r="F7" s="25" t="s">
        <v>11147</v>
      </c>
      <c r="G7" s="28" t="s">
        <v>11148</v>
      </c>
      <c r="H7" s="25" t="n">
        <v>23406429</v>
      </c>
      <c r="I7" s="25"/>
      <c r="J7" s="25" t="n">
        <v>89</v>
      </c>
      <c r="K7" s="25" t="str">
        <f aca="false">IF(J7&gt;0,"Yes","No")</f>
        <v>Yes</v>
      </c>
    </row>
    <row r="8" customFormat="false" ht="15" hidden="false" customHeight="false" outlineLevel="0" collapsed="false">
      <c r="A8" s="25" t="s">
        <v>1127</v>
      </c>
      <c r="B8" s="25" t="s">
        <v>11138</v>
      </c>
      <c r="C8" s="25" t="n">
        <v>2012</v>
      </c>
      <c r="D8" s="25" t="s">
        <v>11139</v>
      </c>
      <c r="E8" s="25" t="s">
        <v>11149</v>
      </c>
      <c r="F8" s="25" t="s">
        <v>11150</v>
      </c>
      <c r="G8" s="28" t="s">
        <v>11151</v>
      </c>
      <c r="H8" s="25" t="n">
        <v>23072339</v>
      </c>
      <c r="I8" s="25"/>
      <c r="J8" s="25" t="n">
        <v>80</v>
      </c>
      <c r="K8" s="25" t="str">
        <f aca="false">IF(J8&gt;0,"Yes","No")</f>
        <v>Yes</v>
      </c>
    </row>
    <row r="9" customFormat="false" ht="15" hidden="false" customHeight="false" outlineLevel="0" collapsed="false">
      <c r="A9" s="25" t="s">
        <v>327</v>
      </c>
      <c r="B9" s="25" t="s">
        <v>11152</v>
      </c>
      <c r="C9" s="25" t="n">
        <v>2014</v>
      </c>
      <c r="D9" s="25"/>
      <c r="E9" s="25" t="s">
        <v>11153</v>
      </c>
      <c r="F9" s="25"/>
      <c r="G9" s="25"/>
      <c r="H9" s="25"/>
      <c r="I9" s="25" t="s">
        <v>11154</v>
      </c>
      <c r="J9" s="25" t="n">
        <v>64</v>
      </c>
      <c r="K9" s="25" t="str">
        <f aca="false">IF(J9&gt;0,"Yes","No")</f>
        <v>Yes</v>
      </c>
    </row>
    <row r="10" customFormat="false" ht="15" hidden="false" customHeight="false" outlineLevel="0" collapsed="false">
      <c r="A10" s="25" t="s">
        <v>2845</v>
      </c>
      <c r="B10" s="25" t="s">
        <v>11138</v>
      </c>
      <c r="C10" s="25" t="n">
        <v>2015</v>
      </c>
      <c r="D10" s="25" t="s">
        <v>11155</v>
      </c>
      <c r="E10" s="25" t="s">
        <v>11156</v>
      </c>
      <c r="F10" s="25" t="s">
        <v>11157</v>
      </c>
      <c r="G10" s="28" t="s">
        <v>11158</v>
      </c>
      <c r="H10" s="25" t="n">
        <v>25644673</v>
      </c>
      <c r="I10" s="25"/>
      <c r="J10" s="25" t="n">
        <v>62</v>
      </c>
      <c r="K10" s="25" t="str">
        <f aca="false">IF(J10&gt;0,"Yes","No")</f>
        <v>Yes</v>
      </c>
    </row>
    <row r="11" customFormat="false" ht="15" hidden="false" customHeight="false" outlineLevel="0" collapsed="false">
      <c r="A11" s="25" t="s">
        <v>731</v>
      </c>
      <c r="B11" s="25" t="s">
        <v>11152</v>
      </c>
      <c r="C11" s="25" t="n">
        <v>2014</v>
      </c>
      <c r="D11" s="25"/>
      <c r="E11" s="25" t="s">
        <v>11153</v>
      </c>
      <c r="F11" s="25"/>
      <c r="G11" s="25"/>
      <c r="H11" s="25"/>
      <c r="I11" s="25" t="s">
        <v>11159</v>
      </c>
      <c r="J11" s="25" t="n">
        <v>62</v>
      </c>
      <c r="K11" s="25" t="str">
        <f aca="false">IF(J11&gt;0,"Yes","No")</f>
        <v>Yes</v>
      </c>
    </row>
    <row r="12" customFormat="false" ht="15" hidden="false" customHeight="false" outlineLevel="0" collapsed="false">
      <c r="A12" s="25" t="s">
        <v>4480</v>
      </c>
      <c r="B12" s="25" t="s">
        <v>11138</v>
      </c>
      <c r="C12" s="25" t="n">
        <v>2008</v>
      </c>
      <c r="D12" s="25" t="s">
        <v>11160</v>
      </c>
      <c r="E12" s="25" t="s">
        <v>11161</v>
      </c>
      <c r="F12" s="25" t="s">
        <v>11162</v>
      </c>
      <c r="G12" s="28" t="s">
        <v>11163</v>
      </c>
      <c r="H12" s="25" t="n">
        <v>18522867</v>
      </c>
      <c r="I12" s="25"/>
      <c r="J12" s="25" t="n">
        <v>49</v>
      </c>
      <c r="K12" s="25" t="str">
        <f aca="false">IF(J12&gt;0,"Yes","No")</f>
        <v>Yes</v>
      </c>
    </row>
    <row r="13" customFormat="false" ht="15" hidden="false" customHeight="false" outlineLevel="0" collapsed="false">
      <c r="A13" s="25" t="s">
        <v>1029</v>
      </c>
      <c r="B13" s="25" t="s">
        <v>11138</v>
      </c>
      <c r="C13" s="25" t="n">
        <v>2012</v>
      </c>
      <c r="D13" s="25" t="s">
        <v>11139</v>
      </c>
      <c r="E13" s="25" t="s">
        <v>11164</v>
      </c>
      <c r="F13" s="25" t="s">
        <v>11165</v>
      </c>
      <c r="G13" s="28" t="s">
        <v>11166</v>
      </c>
      <c r="H13" s="25" t="n">
        <v>22738271</v>
      </c>
      <c r="I13" s="25"/>
      <c r="J13" s="25" t="n">
        <v>48</v>
      </c>
      <c r="K13" s="25" t="str">
        <f aca="false">IF(J13&gt;0,"Yes","No")</f>
        <v>Yes</v>
      </c>
    </row>
    <row r="14" customFormat="false" ht="15" hidden="false" customHeight="false" outlineLevel="0" collapsed="false">
      <c r="A14" s="25" t="s">
        <v>509</v>
      </c>
      <c r="B14" s="25" t="s">
        <v>11138</v>
      </c>
      <c r="C14" s="25" t="n">
        <v>2013</v>
      </c>
      <c r="D14" s="25" t="s">
        <v>11167</v>
      </c>
      <c r="E14" s="25" t="s">
        <v>11168</v>
      </c>
      <c r="F14" s="25" t="s">
        <v>11169</v>
      </c>
      <c r="G14" s="28" t="s">
        <v>11170</v>
      </c>
      <c r="H14" s="25" t="n">
        <v>24729834</v>
      </c>
      <c r="I14" s="25"/>
      <c r="J14" s="25" t="n">
        <v>47</v>
      </c>
      <c r="K14" s="25" t="str">
        <f aca="false">IF(J14&gt;0,"Yes","No")</f>
        <v>Yes</v>
      </c>
    </row>
    <row r="15" customFormat="false" ht="15" hidden="false" customHeight="false" outlineLevel="0" collapsed="false">
      <c r="A15" s="25" t="s">
        <v>3266</v>
      </c>
      <c r="B15" s="25" t="s">
        <v>11138</v>
      </c>
      <c r="C15" s="25" t="n">
        <v>2009</v>
      </c>
      <c r="D15" s="25" t="s">
        <v>11155</v>
      </c>
      <c r="E15" s="25" t="s">
        <v>11171</v>
      </c>
      <c r="F15" s="25" t="s">
        <v>11172</v>
      </c>
      <c r="G15" s="28" t="s">
        <v>11173</v>
      </c>
      <c r="H15" s="25" t="n">
        <v>19249138</v>
      </c>
      <c r="I15" s="25"/>
      <c r="J15" s="25" t="n">
        <v>43</v>
      </c>
      <c r="K15" s="25" t="str">
        <f aca="false">IF(J15&gt;0,"Yes","No")</f>
        <v>Yes</v>
      </c>
    </row>
    <row r="16" customFormat="false" ht="15" hidden="false" customHeight="false" outlineLevel="0" collapsed="false">
      <c r="A16" s="25" t="s">
        <v>758</v>
      </c>
      <c r="B16" s="25" t="s">
        <v>11138</v>
      </c>
      <c r="C16" s="25" t="n">
        <v>2013</v>
      </c>
      <c r="D16" s="25" t="s">
        <v>11155</v>
      </c>
      <c r="E16" s="25" t="s">
        <v>11174</v>
      </c>
      <c r="F16" s="25" t="s">
        <v>11175</v>
      </c>
      <c r="G16" s="28" t="s">
        <v>11176</v>
      </c>
      <c r="H16" s="25" t="n">
        <v>24125850</v>
      </c>
      <c r="I16" s="25"/>
      <c r="J16" s="25" t="n">
        <v>43</v>
      </c>
      <c r="K16" s="25" t="str">
        <f aca="false">IF(J16&gt;0,"Yes","No")</f>
        <v>Yes</v>
      </c>
    </row>
    <row r="17" customFormat="false" ht="15" hidden="false" customHeight="false" outlineLevel="0" collapsed="false">
      <c r="A17" s="25" t="s">
        <v>3590</v>
      </c>
      <c r="B17" s="25" t="s">
        <v>11138</v>
      </c>
      <c r="C17" s="25" t="n">
        <v>2013</v>
      </c>
      <c r="D17" s="25" t="s">
        <v>11139</v>
      </c>
      <c r="E17" s="25" t="s">
        <v>11177</v>
      </c>
      <c r="F17" s="25" t="s">
        <v>11178</v>
      </c>
      <c r="G17" s="28" t="s">
        <v>11179</v>
      </c>
      <c r="H17" s="25" t="n">
        <v>23697626</v>
      </c>
      <c r="I17" s="25"/>
      <c r="J17" s="25" t="n">
        <v>41</v>
      </c>
      <c r="K17" s="25" t="str">
        <f aca="false">IF(J17&gt;0,"Yes","No")</f>
        <v>Yes</v>
      </c>
    </row>
    <row r="18" customFormat="false" ht="15" hidden="false" customHeight="false" outlineLevel="0" collapsed="false">
      <c r="A18" s="25" t="s">
        <v>445</v>
      </c>
      <c r="B18" s="25" t="s">
        <v>11138</v>
      </c>
      <c r="C18" s="25" t="n">
        <v>2005</v>
      </c>
      <c r="D18" s="25" t="s">
        <v>11160</v>
      </c>
      <c r="E18" s="25" t="s">
        <v>11180</v>
      </c>
      <c r="F18" s="25" t="s">
        <v>11181</v>
      </c>
      <c r="G18" s="28" t="s">
        <v>11182</v>
      </c>
      <c r="H18" s="25" t="n">
        <v>16115769</v>
      </c>
      <c r="I18" s="25"/>
      <c r="J18" s="25" t="n">
        <v>39</v>
      </c>
      <c r="K18" s="25" t="str">
        <f aca="false">IF(J18&gt;0,"Yes","No")</f>
        <v>Yes</v>
      </c>
    </row>
    <row r="19" customFormat="false" ht="15" hidden="false" customHeight="false" outlineLevel="0" collapsed="false">
      <c r="A19" s="25" t="s">
        <v>1528</v>
      </c>
      <c r="B19" s="25" t="s">
        <v>11138</v>
      </c>
      <c r="C19" s="25" t="n">
        <v>2007</v>
      </c>
      <c r="D19" s="25" t="s">
        <v>11139</v>
      </c>
      <c r="E19" s="25" t="s">
        <v>11183</v>
      </c>
      <c r="F19" s="25" t="s">
        <v>11184</v>
      </c>
      <c r="G19" s="28" t="s">
        <v>11185</v>
      </c>
      <c r="H19" s="25" t="n">
        <v>17915849</v>
      </c>
      <c r="I19" s="25"/>
      <c r="J19" s="25" t="n">
        <v>38</v>
      </c>
      <c r="K19" s="25" t="str">
        <f aca="false">IF(J19&gt;0,"Yes","No")</f>
        <v>Yes</v>
      </c>
    </row>
    <row r="20" customFormat="false" ht="15" hidden="false" customHeight="false" outlineLevel="0" collapsed="false">
      <c r="A20" s="25" t="s">
        <v>462</v>
      </c>
      <c r="B20" s="25" t="s">
        <v>11138</v>
      </c>
      <c r="C20" s="25" t="n">
        <v>2011</v>
      </c>
      <c r="D20" s="25" t="s">
        <v>11155</v>
      </c>
      <c r="E20" s="25" t="s">
        <v>11186</v>
      </c>
      <c r="F20" s="25" t="s">
        <v>11187</v>
      </c>
      <c r="G20" s="28" t="s">
        <v>11188</v>
      </c>
      <c r="H20" s="25" t="n">
        <v>21183257</v>
      </c>
      <c r="I20" s="25"/>
      <c r="J20" s="25" t="n">
        <v>38</v>
      </c>
      <c r="K20" s="25" t="str">
        <f aca="false">IF(J20&gt;0,"Yes","No")</f>
        <v>Yes</v>
      </c>
    </row>
    <row r="21" customFormat="false" ht="15" hidden="false" customHeight="false" outlineLevel="0" collapsed="false">
      <c r="A21" s="25" t="s">
        <v>274</v>
      </c>
      <c r="B21" s="25" t="s">
        <v>11152</v>
      </c>
      <c r="C21" s="25" t="n">
        <v>2014</v>
      </c>
      <c r="D21" s="25"/>
      <c r="E21" s="25" t="s">
        <v>11153</v>
      </c>
      <c r="F21" s="25"/>
      <c r="G21" s="25"/>
      <c r="H21" s="25"/>
      <c r="I21" s="25" t="s">
        <v>11189</v>
      </c>
      <c r="J21" s="25" t="n">
        <v>38</v>
      </c>
      <c r="K21" s="25" t="str">
        <f aca="false">IF(J21&gt;0,"Yes","No")</f>
        <v>Yes</v>
      </c>
    </row>
    <row r="22" customFormat="false" ht="15" hidden="false" customHeight="false" outlineLevel="0" collapsed="false">
      <c r="A22" s="25" t="s">
        <v>311</v>
      </c>
      <c r="B22" s="25" t="s">
        <v>11152</v>
      </c>
      <c r="C22" s="25" t="n">
        <v>2019</v>
      </c>
      <c r="D22" s="25"/>
      <c r="E22" s="25" t="s">
        <v>11190</v>
      </c>
      <c r="F22" s="25"/>
      <c r="G22" s="25"/>
      <c r="H22" s="25"/>
      <c r="I22" s="25" t="s">
        <v>11191</v>
      </c>
      <c r="J22" s="25" t="n">
        <v>38</v>
      </c>
      <c r="K22" s="25" t="str">
        <f aca="false">IF(J22&gt;0,"Yes","No")</f>
        <v>Yes</v>
      </c>
    </row>
    <row r="23" customFormat="false" ht="15" hidden="false" customHeight="false" outlineLevel="0" collapsed="false">
      <c r="A23" s="25" t="s">
        <v>1045</v>
      </c>
      <c r="B23" s="25" t="s">
        <v>11138</v>
      </c>
      <c r="C23" s="25" t="n">
        <v>2009</v>
      </c>
      <c r="D23" s="25" t="s">
        <v>11139</v>
      </c>
      <c r="E23" s="25" t="s">
        <v>11192</v>
      </c>
      <c r="F23" s="25" t="s">
        <v>11193</v>
      </c>
      <c r="G23" s="28" t="s">
        <v>11194</v>
      </c>
      <c r="H23" s="25" t="n">
        <v>19331413</v>
      </c>
      <c r="I23" s="25"/>
      <c r="J23" s="25" t="n">
        <v>37</v>
      </c>
      <c r="K23" s="25" t="str">
        <f aca="false">IF(J23&gt;0,"Yes","No")</f>
        <v>Yes</v>
      </c>
    </row>
    <row r="24" customFormat="false" ht="15" hidden="false" customHeight="false" outlineLevel="0" collapsed="false">
      <c r="A24" s="25" t="s">
        <v>6823</v>
      </c>
      <c r="B24" s="25" t="s">
        <v>11138</v>
      </c>
      <c r="C24" s="25" t="n">
        <v>2009</v>
      </c>
      <c r="D24" s="25" t="s">
        <v>11160</v>
      </c>
      <c r="E24" s="25" t="s">
        <v>11195</v>
      </c>
      <c r="F24" s="25" t="s">
        <v>11196</v>
      </c>
      <c r="G24" s="28" t="s">
        <v>11197</v>
      </c>
      <c r="H24" s="25" t="n">
        <v>19091565</v>
      </c>
      <c r="I24" s="25"/>
      <c r="J24" s="25" t="n">
        <v>35</v>
      </c>
      <c r="K24" s="25" t="str">
        <f aca="false">IF(J24&gt;0,"Yes","No")</f>
        <v>Yes</v>
      </c>
    </row>
    <row r="25" customFormat="false" ht="15" hidden="false" customHeight="false" outlineLevel="0" collapsed="false">
      <c r="A25" s="25" t="s">
        <v>680</v>
      </c>
      <c r="B25" s="25" t="s">
        <v>11152</v>
      </c>
      <c r="C25" s="25" t="n">
        <v>2021</v>
      </c>
      <c r="D25" s="25"/>
      <c r="E25" s="25" t="s">
        <v>11198</v>
      </c>
      <c r="F25" s="25"/>
      <c r="G25" s="25"/>
      <c r="H25" s="25"/>
      <c r="I25" s="25" t="s">
        <v>11199</v>
      </c>
      <c r="J25" s="25" t="n">
        <v>35</v>
      </c>
      <c r="K25" s="25" t="str">
        <f aca="false">IF(J25&gt;0,"Yes","No")</f>
        <v>Yes</v>
      </c>
    </row>
    <row r="26" customFormat="false" ht="15" hidden="false" customHeight="false" outlineLevel="0" collapsed="false">
      <c r="A26" s="25" t="s">
        <v>5786</v>
      </c>
      <c r="B26" s="25" t="s">
        <v>11138</v>
      </c>
      <c r="C26" s="25" t="n">
        <v>2009</v>
      </c>
      <c r="D26" s="25" t="s">
        <v>11200</v>
      </c>
      <c r="E26" s="25" t="s">
        <v>11201</v>
      </c>
      <c r="F26" s="25" t="s">
        <v>11202</v>
      </c>
      <c r="G26" s="28" t="s">
        <v>11203</v>
      </c>
      <c r="H26" s="25" t="n">
        <v>19595596</v>
      </c>
      <c r="I26" s="25"/>
      <c r="J26" s="25" t="n">
        <v>34</v>
      </c>
      <c r="K26" s="25" t="str">
        <f aca="false">IF(J26&gt;0,"Yes","No")</f>
        <v>Yes</v>
      </c>
    </row>
    <row r="27" customFormat="false" ht="15" hidden="false" customHeight="false" outlineLevel="0" collapsed="false">
      <c r="A27" s="25" t="s">
        <v>284</v>
      </c>
      <c r="B27" s="25" t="s">
        <v>11138</v>
      </c>
      <c r="C27" s="25" t="n">
        <v>2010</v>
      </c>
      <c r="D27" s="25" t="s">
        <v>11139</v>
      </c>
      <c r="E27" s="25" t="s">
        <v>11204</v>
      </c>
      <c r="F27" s="25" t="s">
        <v>11205</v>
      </c>
      <c r="G27" s="28" t="s">
        <v>11206</v>
      </c>
      <c r="H27" s="25" t="n">
        <v>20718492</v>
      </c>
      <c r="I27" s="25"/>
      <c r="J27" s="25" t="n">
        <v>34</v>
      </c>
      <c r="K27" s="25" t="str">
        <f aca="false">IF(J27&gt;0,"Yes","No")</f>
        <v>Yes</v>
      </c>
    </row>
    <row r="28" customFormat="false" ht="15" hidden="false" customHeight="false" outlineLevel="0" collapsed="false">
      <c r="A28" s="25" t="s">
        <v>2259</v>
      </c>
      <c r="B28" s="25" t="s">
        <v>11138</v>
      </c>
      <c r="C28" s="25" t="n">
        <v>2016</v>
      </c>
      <c r="D28" s="25" t="s">
        <v>11139</v>
      </c>
      <c r="E28" s="25" t="s">
        <v>11207</v>
      </c>
      <c r="F28" s="25" t="s">
        <v>11208</v>
      </c>
      <c r="G28" s="28" t="s">
        <v>11209</v>
      </c>
      <c r="H28" s="25" t="n">
        <v>27309150</v>
      </c>
      <c r="I28" s="25"/>
      <c r="J28" s="25" t="n">
        <v>33</v>
      </c>
      <c r="K28" s="25" t="str">
        <f aca="false">IF(J28&gt;0,"Yes","No")</f>
        <v>Yes</v>
      </c>
    </row>
    <row r="29" customFormat="false" ht="15" hidden="false" customHeight="false" outlineLevel="0" collapsed="false">
      <c r="A29" s="25" t="s">
        <v>4724</v>
      </c>
      <c r="B29" s="25" t="s">
        <v>11138</v>
      </c>
      <c r="C29" s="25" t="n">
        <v>2005</v>
      </c>
      <c r="D29" s="25" t="s">
        <v>11139</v>
      </c>
      <c r="E29" s="25" t="s">
        <v>11210</v>
      </c>
      <c r="F29" s="25" t="s">
        <v>11211</v>
      </c>
      <c r="G29" s="28" t="s">
        <v>11212</v>
      </c>
      <c r="H29" s="25" t="n">
        <v>15771428</v>
      </c>
      <c r="I29" s="25"/>
      <c r="J29" s="25" t="n">
        <v>32</v>
      </c>
      <c r="K29" s="25" t="str">
        <f aca="false">IF(J29&gt;0,"Yes","No")</f>
        <v>Yes</v>
      </c>
    </row>
    <row r="30" customFormat="false" ht="15" hidden="false" customHeight="false" outlineLevel="0" collapsed="false">
      <c r="A30" s="25" t="s">
        <v>2434</v>
      </c>
      <c r="B30" s="25" t="s">
        <v>11138</v>
      </c>
      <c r="C30" s="25" t="n">
        <v>2007</v>
      </c>
      <c r="D30" s="25" t="s">
        <v>11160</v>
      </c>
      <c r="E30" s="25" t="s">
        <v>11213</v>
      </c>
      <c r="F30" s="25" t="s">
        <v>11214</v>
      </c>
      <c r="G30" s="28" t="s">
        <v>11215</v>
      </c>
      <c r="H30" s="25" t="n">
        <v>17507224</v>
      </c>
      <c r="I30" s="25"/>
      <c r="J30" s="25" t="n">
        <v>32</v>
      </c>
      <c r="K30" s="25" t="str">
        <f aca="false">IF(J30&gt;0,"Yes","No")</f>
        <v>Yes</v>
      </c>
    </row>
    <row r="31" customFormat="false" ht="15" hidden="false" customHeight="false" outlineLevel="0" collapsed="false">
      <c r="A31" s="25" t="s">
        <v>2806</v>
      </c>
      <c r="B31" s="25" t="s">
        <v>11138</v>
      </c>
      <c r="C31" s="25" t="n">
        <v>2013</v>
      </c>
      <c r="D31" s="25" t="s">
        <v>11139</v>
      </c>
      <c r="E31" s="25" t="s">
        <v>11216</v>
      </c>
      <c r="F31" s="25" t="s">
        <v>11217</v>
      </c>
      <c r="G31" s="28" t="s">
        <v>11218</v>
      </c>
      <c r="H31" s="25" t="n">
        <v>23350768</v>
      </c>
      <c r="I31" s="25"/>
      <c r="J31" s="25" t="n">
        <v>32</v>
      </c>
      <c r="K31" s="25" t="str">
        <f aca="false">IF(J31&gt;0,"Yes","No")</f>
        <v>Yes</v>
      </c>
    </row>
    <row r="32" customFormat="false" ht="15" hidden="false" customHeight="false" outlineLevel="0" collapsed="false">
      <c r="A32" s="25" t="s">
        <v>481</v>
      </c>
      <c r="B32" s="25" t="s">
        <v>11152</v>
      </c>
      <c r="C32" s="25" t="n">
        <v>2023</v>
      </c>
      <c r="D32" s="25"/>
      <c r="E32" s="25" t="s">
        <v>11219</v>
      </c>
      <c r="F32" s="25"/>
      <c r="G32" s="25"/>
      <c r="H32" s="25"/>
      <c r="I32" s="25" t="s">
        <v>11220</v>
      </c>
      <c r="J32" s="25" t="n">
        <v>32</v>
      </c>
      <c r="K32" s="25" t="str">
        <f aca="false">IF(J32&gt;0,"Yes","No")</f>
        <v>Yes</v>
      </c>
    </row>
    <row r="33" customFormat="false" ht="15" hidden="false" customHeight="false" outlineLevel="0" collapsed="false">
      <c r="A33" s="25" t="s">
        <v>535</v>
      </c>
      <c r="B33" s="25" t="s">
        <v>11138</v>
      </c>
      <c r="C33" s="25" t="n">
        <v>2010</v>
      </c>
      <c r="D33" s="25" t="s">
        <v>11160</v>
      </c>
      <c r="E33" s="25" t="s">
        <v>11221</v>
      </c>
      <c r="F33" s="25" t="s">
        <v>11222</v>
      </c>
      <c r="G33" s="28" t="s">
        <v>11223</v>
      </c>
      <c r="H33" s="25" t="n">
        <v>20005710</v>
      </c>
      <c r="I33" s="25"/>
      <c r="J33" s="25" t="n">
        <v>31</v>
      </c>
      <c r="K33" s="25" t="str">
        <f aca="false">IF(J33&gt;0,"Yes","No")</f>
        <v>Yes</v>
      </c>
    </row>
    <row r="34" customFormat="false" ht="15" hidden="false" customHeight="false" outlineLevel="0" collapsed="false">
      <c r="A34" s="25" t="s">
        <v>588</v>
      </c>
      <c r="B34" s="25" t="s">
        <v>11138</v>
      </c>
      <c r="C34" s="25" t="n">
        <v>2012</v>
      </c>
      <c r="D34" s="25" t="s">
        <v>11155</v>
      </c>
      <c r="E34" s="25" t="s">
        <v>11224</v>
      </c>
      <c r="F34" s="25" t="s">
        <v>11225</v>
      </c>
      <c r="G34" s="28" t="s">
        <v>11226</v>
      </c>
      <c r="H34" s="25" t="n">
        <v>23085772</v>
      </c>
      <c r="I34" s="25"/>
      <c r="J34" s="25" t="n">
        <v>31</v>
      </c>
      <c r="K34" s="25" t="str">
        <f aca="false">IF(J34&gt;0,"Yes","No")</f>
        <v>Yes</v>
      </c>
    </row>
    <row r="35" customFormat="false" ht="15" hidden="false" customHeight="false" outlineLevel="0" collapsed="false">
      <c r="A35" s="25" t="s">
        <v>1663</v>
      </c>
      <c r="B35" s="25" t="s">
        <v>11138</v>
      </c>
      <c r="C35" s="25" t="n">
        <v>2014</v>
      </c>
      <c r="D35" s="25" t="s">
        <v>11139</v>
      </c>
      <c r="E35" s="25" t="s">
        <v>11227</v>
      </c>
      <c r="F35" s="25" t="s">
        <v>11228</v>
      </c>
      <c r="G35" s="28" t="s">
        <v>11229</v>
      </c>
      <c r="H35" s="25" t="n">
        <v>25272206</v>
      </c>
      <c r="I35" s="25"/>
      <c r="J35" s="25" t="n">
        <v>31</v>
      </c>
      <c r="K35" s="25" t="str">
        <f aca="false">IF(J35&gt;0,"Yes","No")</f>
        <v>Yes</v>
      </c>
    </row>
    <row r="36" customFormat="false" ht="15" hidden="false" customHeight="false" outlineLevel="0" collapsed="false">
      <c r="A36" s="25" t="s">
        <v>665</v>
      </c>
      <c r="B36" s="25" t="s">
        <v>11138</v>
      </c>
      <c r="C36" s="25" t="n">
        <v>2018</v>
      </c>
      <c r="D36" s="25" t="s">
        <v>11200</v>
      </c>
      <c r="E36" s="25" t="s">
        <v>11230</v>
      </c>
      <c r="F36" s="25" t="s">
        <v>11231</v>
      </c>
      <c r="G36" s="28" t="s">
        <v>11232</v>
      </c>
      <c r="H36" s="25" t="n">
        <v>30077609</v>
      </c>
      <c r="I36" s="25"/>
      <c r="J36" s="25" t="n">
        <v>31</v>
      </c>
      <c r="K36" s="25" t="str">
        <f aca="false">IF(J36&gt;0,"Yes","No")</f>
        <v>Yes</v>
      </c>
    </row>
    <row r="37" customFormat="false" ht="15" hidden="false" customHeight="false" outlineLevel="0" collapsed="false">
      <c r="A37" s="25" t="s">
        <v>514</v>
      </c>
      <c r="B37" s="25" t="s">
        <v>11138</v>
      </c>
      <c r="C37" s="25" t="n">
        <v>2007</v>
      </c>
      <c r="D37" s="25" t="s">
        <v>11160</v>
      </c>
      <c r="E37" s="25" t="s">
        <v>11233</v>
      </c>
      <c r="F37" s="25" t="s">
        <v>11234</v>
      </c>
      <c r="G37" s="28" t="s">
        <v>11235</v>
      </c>
      <c r="H37" s="25" t="n">
        <v>17884494</v>
      </c>
      <c r="I37" s="25"/>
      <c r="J37" s="25" t="n">
        <v>30</v>
      </c>
      <c r="K37" s="25" t="str">
        <f aca="false">IF(J37&gt;0,"Yes","No")</f>
        <v>Yes</v>
      </c>
    </row>
    <row r="38" customFormat="false" ht="15" hidden="false" customHeight="false" outlineLevel="0" collapsed="false">
      <c r="A38" s="25" t="s">
        <v>935</v>
      </c>
      <c r="B38" s="25" t="s">
        <v>11138</v>
      </c>
      <c r="C38" s="25" t="n">
        <v>2016</v>
      </c>
      <c r="D38" s="25" t="s">
        <v>11155</v>
      </c>
      <c r="E38" s="25" t="s">
        <v>11236</v>
      </c>
      <c r="F38" s="25" t="s">
        <v>11237</v>
      </c>
      <c r="G38" s="28" t="s">
        <v>11238</v>
      </c>
      <c r="H38" s="25" t="n">
        <v>27560280</v>
      </c>
      <c r="I38" s="25"/>
      <c r="J38" s="25" t="n">
        <v>29</v>
      </c>
      <c r="K38" s="25" t="str">
        <f aca="false">IF(J38&gt;0,"Yes","No")</f>
        <v>Yes</v>
      </c>
    </row>
    <row r="39" customFormat="false" ht="15" hidden="false" customHeight="false" outlineLevel="0" collapsed="false">
      <c r="A39" s="25" t="s">
        <v>2654</v>
      </c>
      <c r="B39" s="25" t="s">
        <v>11138</v>
      </c>
      <c r="C39" s="25" t="n">
        <v>2006</v>
      </c>
      <c r="D39" s="25" t="s">
        <v>11160</v>
      </c>
      <c r="E39" s="25" t="s">
        <v>11239</v>
      </c>
      <c r="F39" s="25" t="s">
        <v>11240</v>
      </c>
      <c r="G39" s="28" t="s">
        <v>11241</v>
      </c>
      <c r="H39" s="25" t="n">
        <v>16889960</v>
      </c>
      <c r="I39" s="25"/>
      <c r="J39" s="25" t="n">
        <v>28</v>
      </c>
      <c r="K39" s="25" t="str">
        <f aca="false">IF(J39&gt;0,"Yes","No")</f>
        <v>Yes</v>
      </c>
    </row>
    <row r="40" customFormat="false" ht="15" hidden="false" customHeight="false" outlineLevel="0" collapsed="false">
      <c r="A40" s="25" t="s">
        <v>1134</v>
      </c>
      <c r="B40" s="25" t="s">
        <v>11138</v>
      </c>
      <c r="C40" s="25" t="n">
        <v>2007</v>
      </c>
      <c r="D40" s="25" t="s">
        <v>11160</v>
      </c>
      <c r="E40" s="25" t="s">
        <v>11242</v>
      </c>
      <c r="F40" s="25" t="s">
        <v>11243</v>
      </c>
      <c r="G40" s="28" t="s">
        <v>11244</v>
      </c>
      <c r="H40" s="25" t="n">
        <v>17521907</v>
      </c>
      <c r="I40" s="25"/>
      <c r="J40" s="25" t="n">
        <v>28</v>
      </c>
      <c r="K40" s="25" t="str">
        <f aca="false">IF(J40&gt;0,"Yes","No")</f>
        <v>Yes</v>
      </c>
    </row>
    <row r="41" customFormat="false" ht="15" hidden="false" customHeight="false" outlineLevel="0" collapsed="false">
      <c r="A41" s="25" t="s">
        <v>3224</v>
      </c>
      <c r="B41" s="25" t="s">
        <v>11138</v>
      </c>
      <c r="C41" s="25" t="n">
        <v>2005</v>
      </c>
      <c r="D41" s="25" t="s">
        <v>11160</v>
      </c>
      <c r="E41" s="25" t="s">
        <v>11245</v>
      </c>
      <c r="F41" s="25" t="s">
        <v>11246</v>
      </c>
      <c r="G41" s="28" t="s">
        <v>11247</v>
      </c>
      <c r="H41" s="25" t="n">
        <v>16005223</v>
      </c>
      <c r="I41" s="25"/>
      <c r="J41" s="25" t="n">
        <v>28</v>
      </c>
      <c r="K41" s="25" t="str">
        <f aca="false">IF(J41&gt;0,"Yes","No")</f>
        <v>Yes</v>
      </c>
    </row>
    <row r="42" customFormat="false" ht="15" hidden="false" customHeight="false" outlineLevel="0" collapsed="false">
      <c r="A42" s="25" t="s">
        <v>4041</v>
      </c>
      <c r="B42" s="25" t="s">
        <v>11138</v>
      </c>
      <c r="C42" s="25" t="n">
        <v>2010</v>
      </c>
      <c r="D42" s="25" t="s">
        <v>11155</v>
      </c>
      <c r="E42" s="25" t="s">
        <v>11248</v>
      </c>
      <c r="F42" s="25" t="s">
        <v>11249</v>
      </c>
      <c r="G42" s="28" t="s">
        <v>11250</v>
      </c>
      <c r="H42" s="25" t="n">
        <v>20047779</v>
      </c>
      <c r="I42" s="25"/>
      <c r="J42" s="25" t="n">
        <v>28</v>
      </c>
      <c r="K42" s="25" t="str">
        <f aca="false">IF(J42&gt;0,"Yes","No")</f>
        <v>Yes</v>
      </c>
    </row>
    <row r="43" customFormat="false" ht="15" hidden="false" customHeight="false" outlineLevel="0" collapsed="false">
      <c r="A43" s="25" t="s">
        <v>2134</v>
      </c>
      <c r="B43" s="25" t="s">
        <v>11138</v>
      </c>
      <c r="C43" s="25" t="n">
        <v>2010</v>
      </c>
      <c r="D43" s="25" t="s">
        <v>11160</v>
      </c>
      <c r="E43" s="25" t="s">
        <v>11251</v>
      </c>
      <c r="F43" s="25" t="s">
        <v>11252</v>
      </c>
      <c r="G43" s="28" t="s">
        <v>11253</v>
      </c>
      <c r="H43" s="25" t="n">
        <v>20688519</v>
      </c>
      <c r="I43" s="25"/>
      <c r="J43" s="25" t="n">
        <v>28</v>
      </c>
      <c r="K43" s="25" t="str">
        <f aca="false">IF(J43&gt;0,"Yes","No")</f>
        <v>Yes</v>
      </c>
    </row>
    <row r="44" customFormat="false" ht="15" hidden="false" customHeight="false" outlineLevel="0" collapsed="false">
      <c r="A44" s="25" t="s">
        <v>3261</v>
      </c>
      <c r="B44" s="25" t="s">
        <v>11138</v>
      </c>
      <c r="C44" s="25" t="n">
        <v>2012</v>
      </c>
      <c r="D44" s="25" t="s">
        <v>11200</v>
      </c>
      <c r="E44" s="25" t="s">
        <v>11254</v>
      </c>
      <c r="F44" s="25" t="s">
        <v>11255</v>
      </c>
      <c r="G44" s="28" t="s">
        <v>11256</v>
      </c>
      <c r="H44" s="25" t="n">
        <v>22341572</v>
      </c>
      <c r="I44" s="25"/>
      <c r="J44" s="25" t="n">
        <v>28</v>
      </c>
      <c r="K44" s="25" t="str">
        <f aca="false">IF(J44&gt;0,"Yes","No")</f>
        <v>Yes</v>
      </c>
    </row>
    <row r="45" customFormat="false" ht="15" hidden="false" customHeight="false" outlineLevel="0" collapsed="false">
      <c r="A45" s="25" t="s">
        <v>497</v>
      </c>
      <c r="B45" s="25" t="s">
        <v>11138</v>
      </c>
      <c r="C45" s="25" t="n">
        <v>2012</v>
      </c>
      <c r="D45" s="25" t="s">
        <v>11139</v>
      </c>
      <c r="E45" s="25" t="s">
        <v>11257</v>
      </c>
      <c r="F45" s="25" t="s">
        <v>11258</v>
      </c>
      <c r="G45" s="28" t="s">
        <v>11259</v>
      </c>
      <c r="H45" s="25" t="n">
        <v>22548457</v>
      </c>
      <c r="I45" s="25"/>
      <c r="J45" s="25" t="n">
        <v>27</v>
      </c>
      <c r="K45" s="25" t="str">
        <f aca="false">IF(J45&gt;0,"Yes","No")</f>
        <v>Yes</v>
      </c>
    </row>
    <row r="46" customFormat="false" ht="15" hidden="false" customHeight="false" outlineLevel="0" collapsed="false">
      <c r="A46" s="25" t="s">
        <v>1997</v>
      </c>
      <c r="B46" s="25" t="s">
        <v>11138</v>
      </c>
      <c r="C46" s="25" t="n">
        <v>2021</v>
      </c>
      <c r="D46" s="25" t="s">
        <v>11155</v>
      </c>
      <c r="E46" s="25" t="s">
        <v>11260</v>
      </c>
      <c r="F46" s="25" t="s">
        <v>11261</v>
      </c>
      <c r="G46" s="28" t="s">
        <v>11262</v>
      </c>
      <c r="H46" s="25" t="n">
        <v>33915369</v>
      </c>
      <c r="I46" s="25"/>
      <c r="J46" s="25" t="n">
        <v>27</v>
      </c>
      <c r="K46" s="25" t="str">
        <f aca="false">IF(J46&gt;0,"Yes","No")</f>
        <v>Yes</v>
      </c>
    </row>
    <row r="47" customFormat="false" ht="15" hidden="false" customHeight="false" outlineLevel="0" collapsed="false">
      <c r="A47" s="25" t="s">
        <v>398</v>
      </c>
      <c r="B47" s="25" t="s">
        <v>11138</v>
      </c>
      <c r="C47" s="25" t="n">
        <v>2021</v>
      </c>
      <c r="D47" s="25" t="s">
        <v>11155</v>
      </c>
      <c r="E47" s="25" t="s">
        <v>11263</v>
      </c>
      <c r="F47" s="25" t="s">
        <v>11264</v>
      </c>
      <c r="G47" s="28" t="s">
        <v>11265</v>
      </c>
      <c r="H47" s="25" t="n">
        <v>34634742</v>
      </c>
      <c r="I47" s="25"/>
      <c r="J47" s="25" t="n">
        <v>27</v>
      </c>
      <c r="K47" s="25" t="str">
        <f aca="false">IF(J47&gt;0,"Yes","No")</f>
        <v>Yes</v>
      </c>
    </row>
    <row r="48" customFormat="false" ht="15" hidden="false" customHeight="false" outlineLevel="0" collapsed="false">
      <c r="A48" s="25" t="s">
        <v>1896</v>
      </c>
      <c r="B48" s="25" t="s">
        <v>11138</v>
      </c>
      <c r="C48" s="25" t="n">
        <v>2007</v>
      </c>
      <c r="D48" s="25" t="s">
        <v>11160</v>
      </c>
      <c r="E48" s="25" t="s">
        <v>11266</v>
      </c>
      <c r="F48" s="25" t="s">
        <v>11267</v>
      </c>
      <c r="G48" s="28" t="s">
        <v>11268</v>
      </c>
      <c r="H48" s="25" t="n">
        <v>17531479</v>
      </c>
      <c r="I48" s="25"/>
      <c r="J48" s="25" t="n">
        <v>26</v>
      </c>
      <c r="K48" s="25" t="str">
        <f aca="false">IF(J48&gt;0,"Yes","No")</f>
        <v>Yes</v>
      </c>
    </row>
    <row r="49" customFormat="false" ht="15" hidden="false" customHeight="false" outlineLevel="0" collapsed="false">
      <c r="A49" s="25" t="s">
        <v>774</v>
      </c>
      <c r="B49" s="25" t="s">
        <v>11138</v>
      </c>
      <c r="C49" s="25" t="n">
        <v>2008</v>
      </c>
      <c r="D49" s="25" t="s">
        <v>11160</v>
      </c>
      <c r="E49" s="25" t="s">
        <v>11269</v>
      </c>
      <c r="F49" s="25" t="s">
        <v>11270</v>
      </c>
      <c r="G49" s="28" t="s">
        <v>11271</v>
      </c>
      <c r="H49" s="25" t="n">
        <v>18440813</v>
      </c>
      <c r="I49" s="25"/>
      <c r="J49" s="25" t="n">
        <v>26</v>
      </c>
      <c r="K49" s="25" t="str">
        <f aca="false">IF(J49&gt;0,"Yes","No")</f>
        <v>Yes</v>
      </c>
    </row>
    <row r="50" customFormat="false" ht="15" hidden="false" customHeight="false" outlineLevel="0" collapsed="false">
      <c r="A50" s="25" t="s">
        <v>1949</v>
      </c>
      <c r="B50" s="25" t="s">
        <v>11138</v>
      </c>
      <c r="C50" s="25" t="n">
        <v>2010</v>
      </c>
      <c r="D50" s="25" t="s">
        <v>11139</v>
      </c>
      <c r="E50" s="25" t="s">
        <v>11272</v>
      </c>
      <c r="F50" s="25" t="s">
        <v>11273</v>
      </c>
      <c r="G50" s="28" t="s">
        <v>11274</v>
      </c>
      <c r="H50" s="25" t="n">
        <v>20979417</v>
      </c>
      <c r="I50" s="25"/>
      <c r="J50" s="25" t="n">
        <v>26</v>
      </c>
      <c r="K50" s="25" t="str">
        <f aca="false">IF(J50&gt;0,"Yes","No")</f>
        <v>Yes</v>
      </c>
    </row>
    <row r="51" customFormat="false" ht="15" hidden="false" customHeight="false" outlineLevel="0" collapsed="false">
      <c r="A51" s="25" t="s">
        <v>3815</v>
      </c>
      <c r="B51" s="25" t="s">
        <v>11138</v>
      </c>
      <c r="C51" s="25" t="n">
        <v>2022</v>
      </c>
      <c r="D51" s="25" t="s">
        <v>11275</v>
      </c>
      <c r="E51" s="25" t="s">
        <v>11276</v>
      </c>
      <c r="F51" s="25" t="s">
        <v>11277</v>
      </c>
      <c r="G51" s="28" t="s">
        <v>11278</v>
      </c>
      <c r="H51" s="25" t="n">
        <v>35308023</v>
      </c>
      <c r="I51" s="25"/>
      <c r="J51" s="25" t="n">
        <v>26</v>
      </c>
      <c r="K51" s="25" t="str">
        <f aca="false">IF(J51&gt;0,"Yes","No")</f>
        <v>Yes</v>
      </c>
    </row>
    <row r="52" customFormat="false" ht="15" hidden="false" customHeight="false" outlineLevel="0" collapsed="false">
      <c r="A52" s="25" t="s">
        <v>2121</v>
      </c>
      <c r="B52" s="25" t="s">
        <v>11138</v>
      </c>
      <c r="C52" s="25" t="n">
        <v>2012</v>
      </c>
      <c r="D52" s="25" t="s">
        <v>11139</v>
      </c>
      <c r="E52" s="25" t="s">
        <v>11279</v>
      </c>
      <c r="F52" s="25" t="s">
        <v>11280</v>
      </c>
      <c r="G52" s="28" t="s">
        <v>11281</v>
      </c>
      <c r="H52" s="25" t="n">
        <v>22916707</v>
      </c>
      <c r="I52" s="25"/>
      <c r="J52" s="25" t="n">
        <v>25</v>
      </c>
      <c r="K52" s="25" t="str">
        <f aca="false">IF(J52&gt;0,"Yes","No")</f>
        <v>Yes</v>
      </c>
    </row>
    <row r="53" customFormat="false" ht="15" hidden="false" customHeight="false" outlineLevel="0" collapsed="false">
      <c r="A53" s="25" t="s">
        <v>502</v>
      </c>
      <c r="B53" s="25" t="s">
        <v>11138</v>
      </c>
      <c r="C53" s="25" t="n">
        <v>2016</v>
      </c>
      <c r="D53" s="25" t="s">
        <v>11155</v>
      </c>
      <c r="E53" s="25" t="s">
        <v>11282</v>
      </c>
      <c r="F53" s="25" t="s">
        <v>11283</v>
      </c>
      <c r="G53" s="28" t="s">
        <v>11284</v>
      </c>
      <c r="H53" s="25" t="n">
        <v>26922225</v>
      </c>
      <c r="I53" s="25"/>
      <c r="J53" s="25" t="n">
        <v>25</v>
      </c>
      <c r="K53" s="25" t="str">
        <f aca="false">IF(J53&gt;0,"Yes","No")</f>
        <v>Yes</v>
      </c>
    </row>
    <row r="54" customFormat="false" ht="15" hidden="false" customHeight="false" outlineLevel="0" collapsed="false">
      <c r="A54" s="25" t="s">
        <v>3163</v>
      </c>
      <c r="B54" s="25" t="s">
        <v>11138</v>
      </c>
      <c r="C54" s="25" t="n">
        <v>2019</v>
      </c>
      <c r="D54" s="25" t="s">
        <v>11155</v>
      </c>
      <c r="E54" s="25" t="s">
        <v>11285</v>
      </c>
      <c r="F54" s="25" t="s">
        <v>11286</v>
      </c>
      <c r="G54" s="28" t="s">
        <v>11287</v>
      </c>
      <c r="H54" s="25" t="n">
        <v>30359820</v>
      </c>
      <c r="I54" s="25"/>
      <c r="J54" s="25" t="n">
        <v>25</v>
      </c>
      <c r="K54" s="25" t="str">
        <f aca="false">IF(J54&gt;0,"Yes","No")</f>
        <v>Yes</v>
      </c>
    </row>
    <row r="55" customFormat="false" ht="15" hidden="false" customHeight="false" outlineLevel="0" collapsed="false">
      <c r="A55" s="25" t="s">
        <v>6460</v>
      </c>
      <c r="B55" s="25" t="s">
        <v>11138</v>
      </c>
      <c r="C55" s="25" t="n">
        <v>2008</v>
      </c>
      <c r="D55" s="25" t="s">
        <v>11139</v>
      </c>
      <c r="E55" s="25" t="s">
        <v>11288</v>
      </c>
      <c r="F55" s="25" t="s">
        <v>11289</v>
      </c>
      <c r="G55" s="28" t="s">
        <v>11290</v>
      </c>
      <c r="H55" s="25" t="n">
        <v>18293908</v>
      </c>
      <c r="I55" s="25"/>
      <c r="J55" s="25" t="n">
        <v>24</v>
      </c>
      <c r="K55" s="25" t="str">
        <f aca="false">IF(J55&gt;0,"Yes","No")</f>
        <v>Yes</v>
      </c>
    </row>
    <row r="56" customFormat="false" ht="15" hidden="false" customHeight="false" outlineLevel="0" collapsed="false">
      <c r="A56" s="25" t="s">
        <v>708</v>
      </c>
      <c r="B56" s="25" t="s">
        <v>11138</v>
      </c>
      <c r="C56" s="25" t="n">
        <v>2008</v>
      </c>
      <c r="D56" s="25" t="s">
        <v>11160</v>
      </c>
      <c r="E56" s="25" t="s">
        <v>11291</v>
      </c>
      <c r="F56" s="25" t="s">
        <v>11292</v>
      </c>
      <c r="G56" s="28" t="s">
        <v>11293</v>
      </c>
      <c r="H56" s="25" t="n">
        <v>18430570</v>
      </c>
      <c r="I56" s="25"/>
      <c r="J56" s="25" t="n">
        <v>24</v>
      </c>
      <c r="K56" s="25" t="str">
        <f aca="false">IF(J56&gt;0,"Yes","No")</f>
        <v>Yes</v>
      </c>
    </row>
    <row r="57" customFormat="false" ht="15" hidden="false" customHeight="false" outlineLevel="0" collapsed="false">
      <c r="A57" s="25" t="s">
        <v>1812</v>
      </c>
      <c r="B57" s="25" t="s">
        <v>11138</v>
      </c>
      <c r="C57" s="25" t="n">
        <v>2010</v>
      </c>
      <c r="D57" s="25" t="s">
        <v>11155</v>
      </c>
      <c r="E57" s="25" t="s">
        <v>11294</v>
      </c>
      <c r="F57" s="25" t="s">
        <v>11295</v>
      </c>
      <c r="G57" s="28" t="s">
        <v>11296</v>
      </c>
      <c r="H57" s="25" t="n">
        <v>20943290</v>
      </c>
      <c r="I57" s="25"/>
      <c r="J57" s="25" t="n">
        <v>24</v>
      </c>
      <c r="K57" s="25" t="str">
        <f aca="false">IF(J57&gt;0,"Yes","No")</f>
        <v>Yes</v>
      </c>
    </row>
    <row r="58" customFormat="false" ht="15" hidden="false" customHeight="false" outlineLevel="0" collapsed="false">
      <c r="A58" s="25" t="s">
        <v>244</v>
      </c>
      <c r="B58" s="25" t="s">
        <v>11138</v>
      </c>
      <c r="C58" s="25" t="n">
        <v>2014</v>
      </c>
      <c r="D58" s="25" t="s">
        <v>11155</v>
      </c>
      <c r="E58" s="25" t="s">
        <v>11297</v>
      </c>
      <c r="F58" s="25" t="s">
        <v>11298</v>
      </c>
      <c r="G58" s="28" t="s">
        <v>11299</v>
      </c>
      <c r="H58" s="25" t="n">
        <v>24378710</v>
      </c>
      <c r="I58" s="25"/>
      <c r="J58" s="25" t="n">
        <v>24</v>
      </c>
      <c r="K58" s="25" t="str">
        <f aca="false">IF(J58&gt;0,"Yes","No")</f>
        <v>Yes</v>
      </c>
    </row>
    <row r="59" customFormat="false" ht="15" hidden="false" customHeight="false" outlineLevel="0" collapsed="false">
      <c r="A59" s="25" t="s">
        <v>524</v>
      </c>
      <c r="B59" s="25" t="s">
        <v>11138</v>
      </c>
      <c r="C59" s="25" t="n">
        <v>2014</v>
      </c>
      <c r="D59" s="25" t="s">
        <v>11200</v>
      </c>
      <c r="E59" s="25" t="s">
        <v>11300</v>
      </c>
      <c r="F59" s="25" t="s">
        <v>11301</v>
      </c>
      <c r="G59" s="28" t="s">
        <v>11302</v>
      </c>
      <c r="H59" s="25" t="n">
        <v>25065940</v>
      </c>
      <c r="I59" s="25"/>
      <c r="J59" s="25" t="n">
        <v>23</v>
      </c>
      <c r="K59" s="25" t="str">
        <f aca="false">IF(J59&gt;0,"Yes","No")</f>
        <v>Yes</v>
      </c>
    </row>
    <row r="60" customFormat="false" ht="15" hidden="false" customHeight="false" outlineLevel="0" collapsed="false">
      <c r="A60" s="25" t="s">
        <v>519</v>
      </c>
      <c r="B60" s="25" t="s">
        <v>11138</v>
      </c>
      <c r="C60" s="25" t="n">
        <v>2020</v>
      </c>
      <c r="D60" s="25" t="s">
        <v>11200</v>
      </c>
      <c r="E60" s="25" t="s">
        <v>11303</v>
      </c>
      <c r="F60" s="25" t="s">
        <v>11304</v>
      </c>
      <c r="G60" s="28" t="s">
        <v>11305</v>
      </c>
      <c r="H60" s="25" t="n">
        <v>32340793</v>
      </c>
      <c r="I60" s="25"/>
      <c r="J60" s="25" t="n">
        <v>23</v>
      </c>
      <c r="K60" s="25" t="str">
        <f aca="false">IF(J60&gt;0,"Yes","No")</f>
        <v>Yes</v>
      </c>
    </row>
    <row r="61" customFormat="false" ht="15" hidden="false" customHeight="false" outlineLevel="0" collapsed="false">
      <c r="A61" s="25" t="s">
        <v>1761</v>
      </c>
      <c r="B61" s="25" t="s">
        <v>11138</v>
      </c>
      <c r="C61" s="25" t="n">
        <v>2010</v>
      </c>
      <c r="D61" s="25" t="s">
        <v>11160</v>
      </c>
      <c r="E61" s="25" t="s">
        <v>11306</v>
      </c>
      <c r="F61" s="25" t="s">
        <v>11307</v>
      </c>
      <c r="G61" s="28" t="s">
        <v>11308</v>
      </c>
      <c r="H61" s="25" t="n">
        <v>19919895</v>
      </c>
      <c r="I61" s="25"/>
      <c r="J61" s="25" t="n">
        <v>22</v>
      </c>
      <c r="K61" s="25" t="str">
        <f aca="false">IF(J61&gt;0,"Yes","No")</f>
        <v>Yes</v>
      </c>
    </row>
    <row r="62" customFormat="false" ht="15" hidden="false" customHeight="false" outlineLevel="0" collapsed="false">
      <c r="A62" s="25" t="s">
        <v>2073</v>
      </c>
      <c r="B62" s="25" t="s">
        <v>11138</v>
      </c>
      <c r="C62" s="25" t="n">
        <v>2011</v>
      </c>
      <c r="D62" s="25" t="s">
        <v>11139</v>
      </c>
      <c r="E62" s="25" t="s">
        <v>11309</v>
      </c>
      <c r="F62" s="25" t="s">
        <v>11310</v>
      </c>
      <c r="G62" s="28" t="s">
        <v>11311</v>
      </c>
      <c r="H62" s="25" t="n">
        <v>22044209</v>
      </c>
      <c r="I62" s="25"/>
      <c r="J62" s="25" t="n">
        <v>22</v>
      </c>
      <c r="K62" s="25" t="str">
        <f aca="false">IF(J62&gt;0,"Yes","No")</f>
        <v>Yes</v>
      </c>
    </row>
    <row r="63" customFormat="false" ht="15" hidden="false" customHeight="false" outlineLevel="0" collapsed="false">
      <c r="A63" s="25" t="s">
        <v>1718</v>
      </c>
      <c r="B63" s="25" t="s">
        <v>11138</v>
      </c>
      <c r="C63" s="25" t="n">
        <v>2014</v>
      </c>
      <c r="D63" s="25" t="s">
        <v>11155</v>
      </c>
      <c r="E63" s="25" t="s">
        <v>11312</v>
      </c>
      <c r="F63" s="25" t="s">
        <v>11313</v>
      </c>
      <c r="G63" s="28" t="s">
        <v>11314</v>
      </c>
      <c r="H63" s="25" t="n">
        <v>24518874</v>
      </c>
      <c r="I63" s="25"/>
      <c r="J63" s="25" t="n">
        <v>22</v>
      </c>
      <c r="K63" s="25" t="str">
        <f aca="false">IF(J63&gt;0,"Yes","No")</f>
        <v>Yes</v>
      </c>
    </row>
    <row r="64" customFormat="false" ht="15" hidden="false" customHeight="false" outlineLevel="0" collapsed="false">
      <c r="A64" s="25" t="s">
        <v>1358</v>
      </c>
      <c r="B64" s="25" t="s">
        <v>11138</v>
      </c>
      <c r="C64" s="25" t="n">
        <v>2013</v>
      </c>
      <c r="D64" s="25" t="s">
        <v>11139</v>
      </c>
      <c r="E64" s="25" t="s">
        <v>11315</v>
      </c>
      <c r="F64" s="25" t="s">
        <v>11316</v>
      </c>
      <c r="G64" s="28" t="s">
        <v>11317</v>
      </c>
      <c r="H64" s="25" t="n">
        <v>23865723</v>
      </c>
      <c r="I64" s="25"/>
      <c r="J64" s="25" t="n">
        <v>22</v>
      </c>
      <c r="K64" s="25" t="str">
        <f aca="false">IF(J64&gt;0,"Yes","No")</f>
        <v>Yes</v>
      </c>
    </row>
    <row r="65" customFormat="false" ht="15" hidden="false" customHeight="false" outlineLevel="0" collapsed="false">
      <c r="A65" s="25" t="s">
        <v>549</v>
      </c>
      <c r="B65" s="25" t="s">
        <v>11138</v>
      </c>
      <c r="C65" s="25" t="n">
        <v>2016</v>
      </c>
      <c r="D65" s="25" t="s">
        <v>11155</v>
      </c>
      <c r="E65" s="25" t="s">
        <v>11318</v>
      </c>
      <c r="F65" s="25" t="s">
        <v>11319</v>
      </c>
      <c r="G65" s="28" t="s">
        <v>11320</v>
      </c>
      <c r="H65" s="25" t="n">
        <v>27078864</v>
      </c>
      <c r="I65" s="25"/>
      <c r="J65" s="25" t="n">
        <v>22</v>
      </c>
      <c r="K65" s="25" t="str">
        <f aca="false">IF(J65&gt;0,"Yes","No")</f>
        <v>Yes</v>
      </c>
    </row>
    <row r="66" customFormat="false" ht="15" hidden="false" customHeight="false" outlineLevel="0" collapsed="false">
      <c r="A66" s="25" t="s">
        <v>670</v>
      </c>
      <c r="B66" s="25" t="s">
        <v>11138</v>
      </c>
      <c r="C66" s="25" t="n">
        <v>2019</v>
      </c>
      <c r="D66" s="25" t="s">
        <v>11200</v>
      </c>
      <c r="E66" s="25" t="s">
        <v>11321</v>
      </c>
      <c r="F66" s="25" t="s">
        <v>11322</v>
      </c>
      <c r="G66" s="28" t="s">
        <v>11323</v>
      </c>
      <c r="H66" s="25" t="n">
        <v>31301950</v>
      </c>
      <c r="I66" s="25"/>
      <c r="J66" s="25" t="n">
        <v>22</v>
      </c>
      <c r="K66" s="25" t="str">
        <f aca="false">IF(J66&gt;0,"Yes","No")</f>
        <v>Yes</v>
      </c>
    </row>
    <row r="67" customFormat="false" ht="15" hidden="false" customHeight="false" outlineLevel="0" collapsed="false">
      <c r="A67" s="25" t="s">
        <v>1819</v>
      </c>
      <c r="B67" s="25" t="s">
        <v>11138</v>
      </c>
      <c r="C67" s="25" t="n">
        <v>2008</v>
      </c>
      <c r="D67" s="25" t="s">
        <v>11200</v>
      </c>
      <c r="E67" s="25" t="s">
        <v>11324</v>
      </c>
      <c r="F67" s="25" t="s">
        <v>11325</v>
      </c>
      <c r="G67" s="28" t="s">
        <v>11326</v>
      </c>
      <c r="H67" s="25" t="n">
        <v>17919913</v>
      </c>
      <c r="I67" s="25"/>
      <c r="J67" s="25" t="n">
        <v>21</v>
      </c>
      <c r="K67" s="25" t="str">
        <f aca="false">IF(J67&gt;0,"Yes","No")</f>
        <v>Yes</v>
      </c>
    </row>
    <row r="68" customFormat="false" ht="15" hidden="false" customHeight="false" outlineLevel="0" collapsed="false">
      <c r="A68" s="25" t="s">
        <v>486</v>
      </c>
      <c r="B68" s="25" t="s">
        <v>11138</v>
      </c>
      <c r="C68" s="25" t="n">
        <v>2008</v>
      </c>
      <c r="D68" s="25" t="s">
        <v>11139</v>
      </c>
      <c r="E68" s="25" t="s">
        <v>11327</v>
      </c>
      <c r="F68" s="25" t="s">
        <v>11328</v>
      </c>
      <c r="G68" s="28" t="s">
        <v>11329</v>
      </c>
      <c r="H68" s="25" t="n">
        <v>18680276</v>
      </c>
      <c r="I68" s="25"/>
      <c r="J68" s="25" t="n">
        <v>21</v>
      </c>
      <c r="K68" s="25" t="str">
        <f aca="false">IF(J68&gt;0,"Yes","No")</f>
        <v>Yes</v>
      </c>
    </row>
    <row r="69" customFormat="false" ht="15" hidden="false" customHeight="false" outlineLevel="0" collapsed="false">
      <c r="A69" s="25" t="s">
        <v>699</v>
      </c>
      <c r="B69" s="25" t="s">
        <v>11138</v>
      </c>
      <c r="C69" s="25" t="n">
        <v>2013</v>
      </c>
      <c r="D69" s="25" t="s">
        <v>11139</v>
      </c>
      <c r="E69" s="25" t="s">
        <v>11330</v>
      </c>
      <c r="F69" s="25" t="s">
        <v>11331</v>
      </c>
      <c r="G69" s="28" t="s">
        <v>11332</v>
      </c>
      <c r="H69" s="25" t="n">
        <v>23621789</v>
      </c>
      <c r="I69" s="25"/>
      <c r="J69" s="25" t="n">
        <v>20</v>
      </c>
      <c r="K69" s="25" t="str">
        <f aca="false">IF(J69&gt;0,"Yes","No")</f>
        <v>Yes</v>
      </c>
    </row>
    <row r="70" customFormat="false" ht="15" hidden="false" customHeight="false" outlineLevel="0" collapsed="false">
      <c r="A70" s="25" t="s">
        <v>4134</v>
      </c>
      <c r="B70" s="25" t="s">
        <v>11138</v>
      </c>
      <c r="C70" s="25" t="n">
        <v>2013</v>
      </c>
      <c r="D70" s="25" t="s">
        <v>11200</v>
      </c>
      <c r="E70" s="25" t="s">
        <v>11333</v>
      </c>
      <c r="F70" s="25" t="s">
        <v>11334</v>
      </c>
      <c r="G70" s="28" t="s">
        <v>11335</v>
      </c>
      <c r="H70" s="25" t="n">
        <v>24139843</v>
      </c>
      <c r="I70" s="25"/>
      <c r="J70" s="25" t="n">
        <v>20</v>
      </c>
      <c r="K70" s="25" t="str">
        <f aca="false">IF(J70&gt;0,"Yes","No")</f>
        <v>Yes</v>
      </c>
    </row>
    <row r="71" customFormat="false" ht="15" hidden="false" customHeight="false" outlineLevel="0" collapsed="false">
      <c r="A71" s="25" t="s">
        <v>1832</v>
      </c>
      <c r="B71" s="25" t="s">
        <v>11138</v>
      </c>
      <c r="C71" s="25" t="n">
        <v>2008</v>
      </c>
      <c r="D71" s="25" t="s">
        <v>11160</v>
      </c>
      <c r="E71" s="25" t="s">
        <v>11336</v>
      </c>
      <c r="F71" s="25" t="s">
        <v>11337</v>
      </c>
      <c r="G71" s="28" t="s">
        <v>11338</v>
      </c>
      <c r="H71" s="25" t="n">
        <v>18977140</v>
      </c>
      <c r="I71" s="25"/>
      <c r="J71" s="25" t="n">
        <v>19</v>
      </c>
      <c r="K71" s="25" t="str">
        <f aca="false">IF(J71&gt;0,"Yes","No")</f>
        <v>Yes</v>
      </c>
    </row>
    <row r="72" customFormat="false" ht="15" hidden="false" customHeight="false" outlineLevel="0" collapsed="false">
      <c r="A72" s="25" t="s">
        <v>5277</v>
      </c>
      <c r="B72" s="25" t="s">
        <v>11138</v>
      </c>
      <c r="C72" s="25" t="n">
        <v>2011</v>
      </c>
      <c r="D72" s="25" t="s">
        <v>11155</v>
      </c>
      <c r="E72" s="25" t="s">
        <v>11339</v>
      </c>
      <c r="F72" s="25" t="s">
        <v>11340</v>
      </c>
      <c r="G72" s="28" t="s">
        <v>11341</v>
      </c>
      <c r="H72" s="25" t="n">
        <v>21996466</v>
      </c>
      <c r="I72" s="25"/>
      <c r="J72" s="25" t="n">
        <v>19</v>
      </c>
      <c r="K72" s="25" t="str">
        <f aca="false">IF(J72&gt;0,"Yes","No")</f>
        <v>Yes</v>
      </c>
    </row>
    <row r="73" customFormat="false" ht="15" hidden="false" customHeight="false" outlineLevel="0" collapsed="false">
      <c r="A73" s="25" t="s">
        <v>5023</v>
      </c>
      <c r="B73" s="25" t="s">
        <v>11138</v>
      </c>
      <c r="C73" s="25" t="n">
        <v>2016</v>
      </c>
      <c r="D73" s="25" t="s">
        <v>11155</v>
      </c>
      <c r="E73" s="25" t="s">
        <v>11342</v>
      </c>
      <c r="F73" s="25" t="s">
        <v>11343</v>
      </c>
      <c r="G73" s="28" t="s">
        <v>11344</v>
      </c>
      <c r="H73" s="25" t="n">
        <v>27448919</v>
      </c>
      <c r="I73" s="25"/>
      <c r="J73" s="25" t="n">
        <v>19</v>
      </c>
      <c r="K73" s="25" t="str">
        <f aca="false">IF(J73&gt;0,"Yes","No")</f>
        <v>Yes</v>
      </c>
    </row>
    <row r="74" customFormat="false" ht="15" hidden="false" customHeight="false" outlineLevel="0" collapsed="false">
      <c r="A74" s="25" t="s">
        <v>381</v>
      </c>
      <c r="B74" s="25" t="s">
        <v>11138</v>
      </c>
      <c r="C74" s="25" t="n">
        <v>2025</v>
      </c>
      <c r="D74" s="25" t="s">
        <v>11200</v>
      </c>
      <c r="E74" s="25" t="s">
        <v>11345</v>
      </c>
      <c r="F74" s="25" t="s">
        <v>11346</v>
      </c>
      <c r="G74" s="28" t="s">
        <v>11347</v>
      </c>
      <c r="H74" s="25" t="n">
        <v>39612769</v>
      </c>
      <c r="I74" s="25"/>
      <c r="J74" s="25" t="n">
        <v>19</v>
      </c>
      <c r="K74" s="25" t="str">
        <f aca="false">IF(J74&gt;0,"Yes","No")</f>
        <v>Yes</v>
      </c>
    </row>
    <row r="75" customFormat="false" ht="15" hidden="false" customHeight="false" outlineLevel="0" collapsed="false">
      <c r="A75" s="25" t="s">
        <v>2722</v>
      </c>
      <c r="B75" s="25" t="s">
        <v>11138</v>
      </c>
      <c r="C75" s="25" t="n">
        <v>2007</v>
      </c>
      <c r="D75" s="25" t="s">
        <v>11200</v>
      </c>
      <c r="E75" s="25" t="s">
        <v>11348</v>
      </c>
      <c r="F75" s="25" t="s">
        <v>11349</v>
      </c>
      <c r="G75" s="28" t="s">
        <v>11350</v>
      </c>
      <c r="H75" s="25" t="n">
        <v>17561406</v>
      </c>
      <c r="I75" s="25"/>
      <c r="J75" s="25" t="n">
        <v>18</v>
      </c>
      <c r="K75" s="25" t="str">
        <f aca="false">IF(J75&gt;0,"Yes","No")</f>
        <v>Yes</v>
      </c>
    </row>
    <row r="76" customFormat="false" ht="15" hidden="false" customHeight="false" outlineLevel="0" collapsed="false">
      <c r="A76" s="25" t="s">
        <v>1786</v>
      </c>
      <c r="B76" s="25" t="s">
        <v>11138</v>
      </c>
      <c r="C76" s="25" t="n">
        <v>2009</v>
      </c>
      <c r="D76" s="25" t="s">
        <v>11160</v>
      </c>
      <c r="E76" s="25" t="s">
        <v>11351</v>
      </c>
      <c r="F76" s="25" t="s">
        <v>11352</v>
      </c>
      <c r="G76" s="28" t="s">
        <v>11353</v>
      </c>
      <c r="H76" s="25" t="n">
        <v>19646869</v>
      </c>
      <c r="I76" s="25"/>
      <c r="J76" s="25" t="n">
        <v>18</v>
      </c>
      <c r="K76" s="25" t="str">
        <f aca="false">IF(J76&gt;0,"Yes","No")</f>
        <v>Yes</v>
      </c>
    </row>
    <row r="77" customFormat="false" ht="15" hidden="false" customHeight="false" outlineLevel="0" collapsed="false">
      <c r="A77" s="25" t="s">
        <v>2797</v>
      </c>
      <c r="B77" s="25" t="s">
        <v>11138</v>
      </c>
      <c r="C77" s="25" t="n">
        <v>2013</v>
      </c>
      <c r="D77" s="25" t="s">
        <v>11200</v>
      </c>
      <c r="E77" s="25" t="s">
        <v>11354</v>
      </c>
      <c r="F77" s="25" t="s">
        <v>11355</v>
      </c>
      <c r="G77" s="28" t="s">
        <v>11356</v>
      </c>
      <c r="H77" s="25" t="n">
        <v>23395112</v>
      </c>
      <c r="I77" s="25"/>
      <c r="J77" s="25" t="n">
        <v>18</v>
      </c>
      <c r="K77" s="25" t="str">
        <f aca="false">IF(J77&gt;0,"Yes","No")</f>
        <v>Yes</v>
      </c>
    </row>
    <row r="78" customFormat="false" ht="15" hidden="false" customHeight="false" outlineLevel="0" collapsed="false">
      <c r="A78" s="25" t="s">
        <v>949</v>
      </c>
      <c r="B78" s="25" t="s">
        <v>11138</v>
      </c>
      <c r="C78" s="25" t="n">
        <v>2015</v>
      </c>
      <c r="D78" s="25" t="s">
        <v>11139</v>
      </c>
      <c r="E78" s="25" t="s">
        <v>11357</v>
      </c>
      <c r="F78" s="25" t="s">
        <v>11358</v>
      </c>
      <c r="G78" s="28" t="s">
        <v>11359</v>
      </c>
      <c r="H78" s="25" t="n">
        <v>25950914</v>
      </c>
      <c r="I78" s="25"/>
      <c r="J78" s="25" t="n">
        <v>18</v>
      </c>
      <c r="K78" s="25" t="str">
        <f aca="false">IF(J78&gt;0,"Yes","No")</f>
        <v>Yes</v>
      </c>
    </row>
    <row r="79" customFormat="false" ht="15" hidden="false" customHeight="false" outlineLevel="0" collapsed="false">
      <c r="A79" s="25" t="s">
        <v>644</v>
      </c>
      <c r="B79" s="25" t="s">
        <v>11138</v>
      </c>
      <c r="C79" s="25" t="n">
        <v>2020</v>
      </c>
      <c r="D79" s="25" t="s">
        <v>11139</v>
      </c>
      <c r="E79" s="25" t="s">
        <v>11360</v>
      </c>
      <c r="F79" s="25" t="s">
        <v>11361</v>
      </c>
      <c r="G79" s="28" t="s">
        <v>11362</v>
      </c>
      <c r="H79" s="25" t="n">
        <v>32515588</v>
      </c>
      <c r="I79" s="25"/>
      <c r="J79" s="25" t="n">
        <v>18</v>
      </c>
      <c r="K79" s="25" t="str">
        <f aca="false">IF(J79&gt;0,"Yes","No")</f>
        <v>Yes</v>
      </c>
    </row>
    <row r="80" customFormat="false" ht="15" hidden="false" customHeight="false" outlineLevel="0" collapsed="false">
      <c r="A80" s="25" t="s">
        <v>2627</v>
      </c>
      <c r="B80" s="25" t="s">
        <v>11138</v>
      </c>
      <c r="C80" s="25" t="n">
        <v>2023</v>
      </c>
      <c r="D80" s="25" t="s">
        <v>11155</v>
      </c>
      <c r="E80" s="25" t="s">
        <v>11363</v>
      </c>
      <c r="F80" s="25" t="s">
        <v>11364</v>
      </c>
      <c r="G80" s="28" t="s">
        <v>11365</v>
      </c>
      <c r="H80" s="25" t="n">
        <v>36657299</v>
      </c>
      <c r="I80" s="25"/>
      <c r="J80" s="25" t="n">
        <v>18</v>
      </c>
      <c r="K80" s="25" t="str">
        <f aca="false">IF(J80&gt;0,"Yes","No")</f>
        <v>Yes</v>
      </c>
    </row>
    <row r="81" customFormat="false" ht="15" hidden="false" customHeight="false" outlineLevel="0" collapsed="false">
      <c r="A81" s="25" t="s">
        <v>1572</v>
      </c>
      <c r="B81" s="25" t="s">
        <v>11138</v>
      </c>
      <c r="C81" s="25" t="n">
        <v>2008</v>
      </c>
      <c r="D81" s="25" t="s">
        <v>11200</v>
      </c>
      <c r="E81" s="25" t="s">
        <v>11366</v>
      </c>
      <c r="F81" s="25" t="s">
        <v>11367</v>
      </c>
      <c r="G81" s="28" t="s">
        <v>11368</v>
      </c>
      <c r="H81" s="25" t="n">
        <v>18524604</v>
      </c>
      <c r="I81" s="25"/>
      <c r="J81" s="25" t="n">
        <v>17</v>
      </c>
      <c r="K81" s="25" t="str">
        <f aca="false">IF(J81&gt;0,"Yes","No")</f>
        <v>Yes</v>
      </c>
    </row>
    <row r="82" customFormat="false" ht="15" hidden="false" customHeight="false" outlineLevel="0" collapsed="false">
      <c r="A82" s="25" t="s">
        <v>637</v>
      </c>
      <c r="B82" s="25" t="s">
        <v>11138</v>
      </c>
      <c r="C82" s="25" t="n">
        <v>2012</v>
      </c>
      <c r="D82" s="25" t="s">
        <v>11160</v>
      </c>
      <c r="E82" s="25" t="s">
        <v>11369</v>
      </c>
      <c r="F82" s="25" t="s">
        <v>11370</v>
      </c>
      <c r="G82" s="28" t="s">
        <v>11371</v>
      </c>
      <c r="H82" s="25" t="n">
        <v>22437111</v>
      </c>
      <c r="I82" s="25"/>
      <c r="J82" s="25" t="n">
        <v>17</v>
      </c>
      <c r="K82" s="25" t="str">
        <f aca="false">IF(J82&gt;0,"Yes","No")</f>
        <v>Yes</v>
      </c>
    </row>
    <row r="83" customFormat="false" ht="15" hidden="false" customHeight="false" outlineLevel="0" collapsed="false">
      <c r="A83" s="25" t="s">
        <v>7637</v>
      </c>
      <c r="B83" s="25" t="s">
        <v>11138</v>
      </c>
      <c r="C83" s="25" t="n">
        <v>2012</v>
      </c>
      <c r="D83" s="25" t="s">
        <v>11155</v>
      </c>
      <c r="E83" s="25" t="s">
        <v>11372</v>
      </c>
      <c r="F83" s="25" t="s">
        <v>11373</v>
      </c>
      <c r="G83" s="28" t="s">
        <v>11374</v>
      </c>
      <c r="H83" s="25" t="n">
        <v>22483967</v>
      </c>
      <c r="I83" s="25"/>
      <c r="J83" s="25" t="n">
        <v>17</v>
      </c>
      <c r="K83" s="25" t="str">
        <f aca="false">IF(J83&gt;0,"Yes","No")</f>
        <v>Yes</v>
      </c>
    </row>
    <row r="84" customFormat="false" ht="15" hidden="false" customHeight="false" outlineLevel="0" collapsed="false">
      <c r="A84" s="25" t="s">
        <v>3416</v>
      </c>
      <c r="B84" s="25" t="s">
        <v>11138</v>
      </c>
      <c r="C84" s="25" t="n">
        <v>2012</v>
      </c>
      <c r="D84" s="25" t="s">
        <v>11139</v>
      </c>
      <c r="E84" s="25" t="s">
        <v>11375</v>
      </c>
      <c r="F84" s="25" t="s">
        <v>11376</v>
      </c>
      <c r="G84" s="28" t="s">
        <v>11377</v>
      </c>
      <c r="H84" s="25" t="n">
        <v>23017078</v>
      </c>
      <c r="I84" s="25"/>
      <c r="J84" s="25" t="n">
        <v>17</v>
      </c>
      <c r="K84" s="25" t="str">
        <f aca="false">IF(J84&gt;0,"Yes","No")</f>
        <v>Yes</v>
      </c>
    </row>
    <row r="85" customFormat="false" ht="15" hidden="false" customHeight="false" outlineLevel="0" collapsed="false">
      <c r="A85" s="25" t="s">
        <v>4913</v>
      </c>
      <c r="B85" s="25" t="s">
        <v>11138</v>
      </c>
      <c r="C85" s="25" t="n">
        <v>2013</v>
      </c>
      <c r="D85" s="25" t="s">
        <v>11139</v>
      </c>
      <c r="E85" s="25" t="s">
        <v>11378</v>
      </c>
      <c r="F85" s="25" t="s">
        <v>11379</v>
      </c>
      <c r="G85" s="28" t="s">
        <v>11380</v>
      </c>
      <c r="H85" s="25" t="n">
        <v>23795771</v>
      </c>
      <c r="I85" s="25"/>
      <c r="J85" s="25" t="n">
        <v>17</v>
      </c>
      <c r="K85" s="25" t="str">
        <f aca="false">IF(J85&gt;0,"Yes","No")</f>
        <v>Yes</v>
      </c>
    </row>
    <row r="86" customFormat="false" ht="15" hidden="false" customHeight="false" outlineLevel="0" collapsed="false">
      <c r="A86" s="25" t="s">
        <v>1549</v>
      </c>
      <c r="B86" s="25" t="s">
        <v>11138</v>
      </c>
      <c r="C86" s="25" t="n">
        <v>2015</v>
      </c>
      <c r="D86" s="25" t="s">
        <v>11139</v>
      </c>
      <c r="E86" s="25" t="s">
        <v>11381</v>
      </c>
      <c r="F86" s="25" t="s">
        <v>11382</v>
      </c>
      <c r="G86" s="28" t="s">
        <v>11383</v>
      </c>
      <c r="H86" s="25" t="n">
        <v>25470070</v>
      </c>
      <c r="I86" s="25"/>
      <c r="J86" s="25" t="n">
        <v>17</v>
      </c>
      <c r="K86" s="25" t="str">
        <f aca="false">IF(J86&gt;0,"Yes","No")</f>
        <v>Yes</v>
      </c>
    </row>
    <row r="87" customFormat="false" ht="15" hidden="false" customHeight="false" outlineLevel="0" collapsed="false">
      <c r="A87" s="25" t="s">
        <v>2674</v>
      </c>
      <c r="B87" s="25" t="s">
        <v>11138</v>
      </c>
      <c r="C87" s="25" t="n">
        <v>2018</v>
      </c>
      <c r="D87" s="25" t="s">
        <v>11139</v>
      </c>
      <c r="E87" s="25" t="s">
        <v>11384</v>
      </c>
      <c r="F87" s="25" t="s">
        <v>11385</v>
      </c>
      <c r="G87" s="28" t="s">
        <v>11386</v>
      </c>
      <c r="H87" s="25" t="n">
        <v>29400965</v>
      </c>
      <c r="I87" s="25"/>
      <c r="J87" s="25" t="n">
        <v>17</v>
      </c>
      <c r="K87" s="25" t="str">
        <f aca="false">IF(J87&gt;0,"Yes","No")</f>
        <v>Yes</v>
      </c>
    </row>
    <row r="88" customFormat="false" ht="15" hidden="false" customHeight="false" outlineLevel="0" collapsed="false">
      <c r="A88" s="25" t="s">
        <v>2250</v>
      </c>
      <c r="B88" s="25" t="s">
        <v>11138</v>
      </c>
      <c r="C88" s="25" t="n">
        <v>2005</v>
      </c>
      <c r="D88" s="25" t="s">
        <v>11139</v>
      </c>
      <c r="E88" s="25" t="s">
        <v>11387</v>
      </c>
      <c r="F88" s="25" t="s">
        <v>11388</v>
      </c>
      <c r="G88" s="28" t="s">
        <v>11389</v>
      </c>
      <c r="H88" s="25" t="n">
        <v>16279794</v>
      </c>
      <c r="I88" s="25"/>
      <c r="J88" s="25" t="n">
        <v>16</v>
      </c>
      <c r="K88" s="25" t="str">
        <f aca="false">IF(J88&gt;0,"Yes","No")</f>
        <v>Yes</v>
      </c>
    </row>
    <row r="89" customFormat="false" ht="15" hidden="false" customHeight="false" outlineLevel="0" collapsed="false">
      <c r="A89" s="25" t="s">
        <v>1539</v>
      </c>
      <c r="B89" s="25" t="s">
        <v>11138</v>
      </c>
      <c r="C89" s="25" t="n">
        <v>2006</v>
      </c>
      <c r="D89" s="25" t="s">
        <v>11139</v>
      </c>
      <c r="E89" s="25" t="s">
        <v>11390</v>
      </c>
      <c r="F89" s="25" t="s">
        <v>11391</v>
      </c>
      <c r="G89" s="28" t="s">
        <v>11392</v>
      </c>
      <c r="H89" s="25" t="n">
        <v>16392793</v>
      </c>
      <c r="I89" s="25"/>
      <c r="J89" s="25" t="n">
        <v>16</v>
      </c>
      <c r="K89" s="25" t="str">
        <f aca="false">IF(J89&gt;0,"Yes","No")</f>
        <v>Yes</v>
      </c>
    </row>
    <row r="90" customFormat="false" ht="15" hidden="false" customHeight="false" outlineLevel="0" collapsed="false">
      <c r="A90" s="25" t="s">
        <v>4179</v>
      </c>
      <c r="B90" s="25" t="s">
        <v>11138</v>
      </c>
      <c r="C90" s="25" t="n">
        <v>2010</v>
      </c>
      <c r="D90" s="25" t="s">
        <v>11160</v>
      </c>
      <c r="E90" s="25" t="s">
        <v>11393</v>
      </c>
      <c r="F90" s="25" t="s">
        <v>11394</v>
      </c>
      <c r="G90" s="28" t="s">
        <v>11395</v>
      </c>
      <c r="H90" s="25" t="n">
        <v>20031412</v>
      </c>
      <c r="I90" s="25"/>
      <c r="J90" s="25" t="n">
        <v>16</v>
      </c>
      <c r="K90" s="25" t="str">
        <f aca="false">IF(J90&gt;0,"Yes","No")</f>
        <v>Yes</v>
      </c>
    </row>
    <row r="91" customFormat="false" ht="15" hidden="false" customHeight="false" outlineLevel="0" collapsed="false">
      <c r="A91" s="25" t="s">
        <v>1363</v>
      </c>
      <c r="B91" s="25" t="s">
        <v>11138</v>
      </c>
      <c r="C91" s="25" t="n">
        <v>2010</v>
      </c>
      <c r="D91" s="25" t="s">
        <v>11139</v>
      </c>
      <c r="E91" s="25" t="s">
        <v>11396</v>
      </c>
      <c r="F91" s="25" t="s">
        <v>11397</v>
      </c>
      <c r="G91" s="28" t="s">
        <v>11398</v>
      </c>
      <c r="H91" s="25" t="n">
        <v>20593789</v>
      </c>
      <c r="I91" s="25"/>
      <c r="J91" s="25" t="n">
        <v>16</v>
      </c>
      <c r="K91" s="25" t="str">
        <f aca="false">IF(J91&gt;0,"Yes","No")</f>
        <v>Yes</v>
      </c>
    </row>
    <row r="92" customFormat="false" ht="15" hidden="false" customHeight="false" outlineLevel="0" collapsed="false">
      <c r="A92" s="25" t="s">
        <v>1140</v>
      </c>
      <c r="B92" s="25" t="s">
        <v>11138</v>
      </c>
      <c r="C92" s="25" t="n">
        <v>2012</v>
      </c>
      <c r="D92" s="25" t="s">
        <v>11160</v>
      </c>
      <c r="E92" s="25" t="s">
        <v>11399</v>
      </c>
      <c r="F92" s="25" t="s">
        <v>11370</v>
      </c>
      <c r="G92" s="28" t="s">
        <v>11400</v>
      </c>
      <c r="H92" s="25" t="n">
        <v>22421019</v>
      </c>
      <c r="I92" s="25"/>
      <c r="J92" s="25" t="n">
        <v>16</v>
      </c>
      <c r="K92" s="25" t="str">
        <f aca="false">IF(J92&gt;0,"Yes","No")</f>
        <v>Yes</v>
      </c>
    </row>
    <row r="93" customFormat="false" ht="15" hidden="false" customHeight="false" outlineLevel="0" collapsed="false">
      <c r="A93" s="25" t="s">
        <v>632</v>
      </c>
      <c r="B93" s="25" t="s">
        <v>11138</v>
      </c>
      <c r="C93" s="25" t="n">
        <v>2012</v>
      </c>
      <c r="D93" s="25" t="s">
        <v>11167</v>
      </c>
      <c r="E93" s="25" t="s">
        <v>11401</v>
      </c>
      <c r="F93" s="25" t="s">
        <v>11402</v>
      </c>
      <c r="G93" s="28" t="s">
        <v>11403</v>
      </c>
      <c r="H93" s="25" t="n">
        <v>24900484</v>
      </c>
      <c r="I93" s="25"/>
      <c r="J93" s="25" t="n">
        <v>16</v>
      </c>
      <c r="K93" s="25" t="str">
        <f aca="false">IF(J93&gt;0,"Yes","No")</f>
        <v>Yes</v>
      </c>
    </row>
    <row r="94" customFormat="false" ht="15" hidden="false" customHeight="false" outlineLevel="0" collapsed="false">
      <c r="A94" s="25" t="s">
        <v>719</v>
      </c>
      <c r="B94" s="25" t="s">
        <v>11138</v>
      </c>
      <c r="C94" s="25" t="n">
        <v>2012</v>
      </c>
      <c r="D94" s="25" t="s">
        <v>11139</v>
      </c>
      <c r="E94" s="25" t="s">
        <v>11404</v>
      </c>
      <c r="F94" s="25" t="s">
        <v>11405</v>
      </c>
      <c r="G94" s="28" t="s">
        <v>11406</v>
      </c>
      <c r="H94" s="25" t="n">
        <v>23098108</v>
      </c>
      <c r="I94" s="25"/>
      <c r="J94" s="25" t="n">
        <v>16</v>
      </c>
      <c r="K94" s="25" t="str">
        <f aca="false">IF(J94&gt;0,"Yes","No")</f>
        <v>Yes</v>
      </c>
    </row>
    <row r="95" customFormat="false" ht="15" hidden="false" customHeight="false" outlineLevel="0" collapsed="false">
      <c r="A95" s="25" t="s">
        <v>1352</v>
      </c>
      <c r="B95" s="25" t="s">
        <v>11138</v>
      </c>
      <c r="C95" s="25" t="n">
        <v>2013</v>
      </c>
      <c r="D95" s="25" t="s">
        <v>11160</v>
      </c>
      <c r="E95" s="25" t="s">
        <v>11407</v>
      </c>
      <c r="F95" s="25" t="s">
        <v>11408</v>
      </c>
      <c r="G95" s="28" t="s">
        <v>11409</v>
      </c>
      <c r="H95" s="25" t="n">
        <v>23380378</v>
      </c>
      <c r="I95" s="25"/>
      <c r="J95" s="25" t="n">
        <v>16</v>
      </c>
      <c r="K95" s="25" t="str">
        <f aca="false">IF(J95&gt;0,"Yes","No")</f>
        <v>Yes</v>
      </c>
    </row>
    <row r="96" customFormat="false" ht="15" hidden="false" customHeight="false" outlineLevel="0" collapsed="false">
      <c r="A96" s="25" t="s">
        <v>279</v>
      </c>
      <c r="B96" s="25" t="s">
        <v>11138</v>
      </c>
      <c r="C96" s="25" t="n">
        <v>2018</v>
      </c>
      <c r="D96" s="25" t="s">
        <v>11139</v>
      </c>
      <c r="E96" s="25" t="s">
        <v>11410</v>
      </c>
      <c r="F96" s="25" t="s">
        <v>11411</v>
      </c>
      <c r="G96" s="28" t="s">
        <v>11412</v>
      </c>
      <c r="H96" s="25" t="n">
        <v>30196704</v>
      </c>
      <c r="I96" s="25"/>
      <c r="J96" s="25" t="n">
        <v>16</v>
      </c>
      <c r="K96" s="25" t="str">
        <f aca="false">IF(J96&gt;0,"Yes","No")</f>
        <v>Yes</v>
      </c>
    </row>
    <row r="97" customFormat="false" ht="15" hidden="false" customHeight="false" outlineLevel="0" collapsed="false">
      <c r="A97" s="25" t="s">
        <v>1176</v>
      </c>
      <c r="B97" s="25" t="s">
        <v>11138</v>
      </c>
      <c r="C97" s="25" t="n">
        <v>2018</v>
      </c>
      <c r="D97" s="25" t="s">
        <v>11139</v>
      </c>
      <c r="E97" s="25" t="s">
        <v>11413</v>
      </c>
      <c r="F97" s="25" t="s">
        <v>11414</v>
      </c>
      <c r="G97" s="28" t="s">
        <v>11415</v>
      </c>
      <c r="H97" s="25" t="n">
        <v>29688015</v>
      </c>
      <c r="I97" s="25"/>
      <c r="J97" s="25" t="n">
        <v>16</v>
      </c>
      <c r="K97" s="25" t="str">
        <f aca="false">IF(J97&gt;0,"Yes","No")</f>
        <v>Yes</v>
      </c>
    </row>
    <row r="98" customFormat="false" ht="15" hidden="false" customHeight="false" outlineLevel="0" collapsed="false">
      <c r="A98" s="25" t="s">
        <v>1624</v>
      </c>
      <c r="B98" s="25" t="s">
        <v>11138</v>
      </c>
      <c r="C98" s="25" t="n">
        <v>2018</v>
      </c>
      <c r="D98" s="25" t="s">
        <v>11200</v>
      </c>
      <c r="E98" s="25" t="s">
        <v>11416</v>
      </c>
      <c r="F98" s="25" t="s">
        <v>11417</v>
      </c>
      <c r="G98" s="28" t="s">
        <v>11418</v>
      </c>
      <c r="H98" s="25" t="n">
        <v>30122284</v>
      </c>
      <c r="I98" s="25"/>
      <c r="J98" s="25" t="n">
        <v>16</v>
      </c>
      <c r="K98" s="25" t="str">
        <f aca="false">IF(J98&gt;0,"Yes","No")</f>
        <v>Yes</v>
      </c>
    </row>
    <row r="99" customFormat="false" ht="15" hidden="false" customHeight="false" outlineLevel="0" collapsed="false">
      <c r="A99" s="25" t="s">
        <v>1708</v>
      </c>
      <c r="B99" s="25" t="s">
        <v>11138</v>
      </c>
      <c r="C99" s="25" t="n">
        <v>2009</v>
      </c>
      <c r="D99" s="25" t="s">
        <v>11139</v>
      </c>
      <c r="E99" s="25" t="s">
        <v>11419</v>
      </c>
      <c r="F99" s="25" t="s">
        <v>11420</v>
      </c>
      <c r="G99" s="28" t="s">
        <v>11421</v>
      </c>
      <c r="H99" s="25" t="n">
        <v>19435366</v>
      </c>
      <c r="I99" s="25"/>
      <c r="J99" s="25" t="n">
        <v>15</v>
      </c>
      <c r="K99" s="25" t="str">
        <f aca="false">IF(J99&gt;0,"Yes","No")</f>
        <v>Yes</v>
      </c>
    </row>
    <row r="100" customFormat="false" ht="15" hidden="false" customHeight="false" outlineLevel="0" collapsed="false">
      <c r="A100" s="25" t="s">
        <v>357</v>
      </c>
      <c r="B100" s="25" t="s">
        <v>11138</v>
      </c>
      <c r="C100" s="25" t="n">
        <v>2005</v>
      </c>
      <c r="D100" s="25" t="s">
        <v>11160</v>
      </c>
      <c r="E100" s="25" t="s">
        <v>11422</v>
      </c>
      <c r="F100" s="25" t="s">
        <v>11423</v>
      </c>
      <c r="G100" s="28" t="s">
        <v>11424</v>
      </c>
      <c r="H100" s="25" t="n">
        <v>16140010</v>
      </c>
      <c r="I100" s="25"/>
      <c r="J100" s="25" t="n">
        <v>15</v>
      </c>
      <c r="K100" s="25" t="str">
        <f aca="false">IF(J100&gt;0,"Yes","No")</f>
        <v>Yes</v>
      </c>
    </row>
    <row r="101" customFormat="false" ht="15" hidden="false" customHeight="false" outlineLevel="0" collapsed="false">
      <c r="A101" s="25" t="s">
        <v>5773</v>
      </c>
      <c r="B101" s="25" t="s">
        <v>11138</v>
      </c>
      <c r="C101" s="25" t="n">
        <v>2009</v>
      </c>
      <c r="D101" s="25" t="s">
        <v>11200</v>
      </c>
      <c r="E101" s="25" t="s">
        <v>11425</v>
      </c>
      <c r="F101" s="25" t="s">
        <v>11426</v>
      </c>
      <c r="G101" s="28" t="s">
        <v>11427</v>
      </c>
      <c r="H101" s="25" t="n">
        <v>19278853</v>
      </c>
      <c r="I101" s="25"/>
      <c r="J101" s="25" t="n">
        <v>15</v>
      </c>
      <c r="K101" s="25" t="str">
        <f aca="false">IF(J101&gt;0,"Yes","No")</f>
        <v>Yes</v>
      </c>
    </row>
    <row r="102" customFormat="false" ht="15" hidden="false" customHeight="false" outlineLevel="0" collapsed="false">
      <c r="A102" s="25" t="s">
        <v>1918</v>
      </c>
      <c r="B102" s="25" t="s">
        <v>11138</v>
      </c>
      <c r="C102" s="25" t="n">
        <v>2011</v>
      </c>
      <c r="D102" s="25" t="s">
        <v>11139</v>
      </c>
      <c r="E102" s="25" t="s">
        <v>11428</v>
      </c>
      <c r="F102" s="25" t="s">
        <v>11429</v>
      </c>
      <c r="G102" s="28" t="s">
        <v>11430</v>
      </c>
      <c r="H102" s="25" t="n">
        <v>21702498</v>
      </c>
      <c r="I102" s="25"/>
      <c r="J102" s="25" t="n">
        <v>15</v>
      </c>
      <c r="K102" s="25" t="str">
        <f aca="false">IF(J102&gt;0,"Yes","No")</f>
        <v>Yes</v>
      </c>
    </row>
    <row r="103" customFormat="false" ht="15" hidden="false" customHeight="false" outlineLevel="0" collapsed="false">
      <c r="A103" s="25" t="s">
        <v>2230</v>
      </c>
      <c r="B103" s="25" t="s">
        <v>11138</v>
      </c>
      <c r="C103" s="25" t="n">
        <v>2011</v>
      </c>
      <c r="D103" s="25" t="s">
        <v>11155</v>
      </c>
      <c r="E103" s="25" t="s">
        <v>11431</v>
      </c>
      <c r="F103" s="25" t="s">
        <v>11432</v>
      </c>
      <c r="G103" s="28" t="s">
        <v>11433</v>
      </c>
      <c r="H103" s="25" t="n">
        <v>21885167</v>
      </c>
      <c r="I103" s="25"/>
      <c r="J103" s="25" t="n">
        <v>15</v>
      </c>
      <c r="K103" s="25" t="str">
        <f aca="false">IF(J103&gt;0,"Yes","No")</f>
        <v>Yes</v>
      </c>
    </row>
    <row r="104" customFormat="false" ht="15" hidden="false" customHeight="false" outlineLevel="0" collapsed="false">
      <c r="A104" s="25" t="s">
        <v>1056</v>
      </c>
      <c r="B104" s="25" t="s">
        <v>11138</v>
      </c>
      <c r="C104" s="25" t="n">
        <v>2013</v>
      </c>
      <c r="D104" s="25" t="s">
        <v>11200</v>
      </c>
      <c r="E104" s="25" t="s">
        <v>11434</v>
      </c>
      <c r="F104" s="25" t="s">
        <v>11435</v>
      </c>
      <c r="G104" s="28" t="s">
        <v>11436</v>
      </c>
      <c r="H104" s="25" t="n">
        <v>23623258</v>
      </c>
      <c r="I104" s="25"/>
      <c r="J104" s="25" t="n">
        <v>15</v>
      </c>
      <c r="K104" s="25" t="str">
        <f aca="false">IF(J104&gt;0,"Yes","No")</f>
        <v>Yes</v>
      </c>
    </row>
    <row r="105" customFormat="false" ht="15" hidden="false" customHeight="false" outlineLevel="0" collapsed="false">
      <c r="A105" s="25" t="s">
        <v>2693</v>
      </c>
      <c r="B105" s="25" t="s">
        <v>11138</v>
      </c>
      <c r="C105" s="25" t="n">
        <v>2013</v>
      </c>
      <c r="D105" s="25" t="s">
        <v>11200</v>
      </c>
      <c r="E105" s="25" t="s">
        <v>11437</v>
      </c>
      <c r="F105" s="25" t="s">
        <v>11438</v>
      </c>
      <c r="G105" s="28" t="s">
        <v>11439</v>
      </c>
      <c r="H105" s="25" t="n">
        <v>23849204</v>
      </c>
      <c r="I105" s="25"/>
      <c r="J105" s="25" t="n">
        <v>15</v>
      </c>
      <c r="K105" s="25" t="str">
        <f aca="false">IF(J105&gt;0,"Yes","No")</f>
        <v>Yes</v>
      </c>
    </row>
    <row r="106" customFormat="false" ht="15" hidden="false" customHeight="false" outlineLevel="0" collapsed="false">
      <c r="A106" s="25" t="s">
        <v>6348</v>
      </c>
      <c r="B106" s="25" t="s">
        <v>11138</v>
      </c>
      <c r="C106" s="25" t="n">
        <v>2017</v>
      </c>
      <c r="D106" s="25" t="s">
        <v>11155</v>
      </c>
      <c r="E106" s="25" t="s">
        <v>11440</v>
      </c>
      <c r="F106" s="25" t="s">
        <v>11441</v>
      </c>
      <c r="G106" s="28" t="s">
        <v>11442</v>
      </c>
      <c r="H106" s="25" t="n">
        <v>28088085</v>
      </c>
      <c r="I106" s="25"/>
      <c r="J106" s="25" t="n">
        <v>15</v>
      </c>
      <c r="K106" s="25" t="str">
        <f aca="false">IF(J106&gt;0,"Yes","No")</f>
        <v>Yes</v>
      </c>
    </row>
    <row r="107" customFormat="false" ht="15" hidden="false" customHeight="false" outlineLevel="0" collapsed="false">
      <c r="A107" s="25" t="s">
        <v>724</v>
      </c>
      <c r="B107" s="25" t="s">
        <v>11138</v>
      </c>
      <c r="C107" s="25" t="n">
        <v>2019</v>
      </c>
      <c r="D107" s="25" t="s">
        <v>11155</v>
      </c>
      <c r="E107" s="25" t="s">
        <v>11443</v>
      </c>
      <c r="F107" s="25" t="s">
        <v>11444</v>
      </c>
      <c r="G107" s="28" t="s">
        <v>11445</v>
      </c>
      <c r="H107" s="25" t="n">
        <v>30583970</v>
      </c>
      <c r="I107" s="25"/>
      <c r="J107" s="25" t="n">
        <v>15</v>
      </c>
      <c r="K107" s="25" t="str">
        <f aca="false">IF(J107&gt;0,"Yes","No")</f>
        <v>Yes</v>
      </c>
    </row>
    <row r="108" customFormat="false" ht="15" hidden="false" customHeight="false" outlineLevel="0" collapsed="false">
      <c r="A108" s="25" t="s">
        <v>2957</v>
      </c>
      <c r="B108" s="25" t="s">
        <v>11138</v>
      </c>
      <c r="C108" s="25" t="n">
        <v>2023</v>
      </c>
      <c r="D108" s="25" t="s">
        <v>11139</v>
      </c>
      <c r="E108" s="25" t="s">
        <v>11446</v>
      </c>
      <c r="F108" s="25" t="s">
        <v>11447</v>
      </c>
      <c r="G108" s="28" t="s">
        <v>11448</v>
      </c>
      <c r="H108" s="25" t="n">
        <v>36542836</v>
      </c>
      <c r="I108" s="25"/>
      <c r="J108" s="25" t="n">
        <v>15</v>
      </c>
      <c r="K108" s="25" t="str">
        <f aca="false">IF(J108&gt;0,"Yes","No")</f>
        <v>Yes</v>
      </c>
    </row>
    <row r="109" customFormat="false" ht="15" hidden="false" customHeight="false" outlineLevel="0" collapsed="false">
      <c r="A109" s="25" t="s">
        <v>256</v>
      </c>
      <c r="B109" s="25" t="s">
        <v>11152</v>
      </c>
      <c r="C109" s="25" t="n">
        <v>2019</v>
      </c>
      <c r="D109" s="25"/>
      <c r="E109" s="25" t="s">
        <v>11449</v>
      </c>
      <c r="F109" s="25"/>
      <c r="G109" s="25"/>
      <c r="H109" s="25"/>
      <c r="I109" s="25" t="s">
        <v>11450</v>
      </c>
      <c r="J109" s="25" t="n">
        <v>15</v>
      </c>
      <c r="K109" s="25" t="str">
        <f aca="false">IF(J109&gt;0,"Yes","No")</f>
        <v>Yes</v>
      </c>
    </row>
    <row r="110" customFormat="false" ht="15" hidden="false" customHeight="false" outlineLevel="0" collapsed="false">
      <c r="A110" s="25" t="s">
        <v>4061</v>
      </c>
      <c r="B110" s="25" t="s">
        <v>11138</v>
      </c>
      <c r="C110" s="25" t="n">
        <v>2008</v>
      </c>
      <c r="D110" s="25" t="s">
        <v>11160</v>
      </c>
      <c r="E110" s="25" t="s">
        <v>11451</v>
      </c>
      <c r="F110" s="25" t="s">
        <v>11452</v>
      </c>
      <c r="G110" s="28" t="s">
        <v>11453</v>
      </c>
      <c r="H110" s="25" t="n">
        <v>18083560</v>
      </c>
      <c r="I110" s="25"/>
      <c r="J110" s="25" t="n">
        <v>14</v>
      </c>
      <c r="K110" s="25" t="str">
        <f aca="false">IF(J110&gt;0,"Yes","No")</f>
        <v>Yes</v>
      </c>
    </row>
    <row r="111" customFormat="false" ht="15" hidden="false" customHeight="false" outlineLevel="0" collapsed="false">
      <c r="A111" s="25" t="s">
        <v>675</v>
      </c>
      <c r="B111" s="25" t="s">
        <v>11138</v>
      </c>
      <c r="C111" s="25" t="n">
        <v>2008</v>
      </c>
      <c r="D111" s="25" t="s">
        <v>11200</v>
      </c>
      <c r="E111" s="25" t="s">
        <v>11454</v>
      </c>
      <c r="F111" s="25" t="s">
        <v>11455</v>
      </c>
      <c r="G111" s="28" t="s">
        <v>11456</v>
      </c>
      <c r="H111" s="25" t="n">
        <v>18579386</v>
      </c>
      <c r="I111" s="25"/>
      <c r="J111" s="25" t="n">
        <v>14</v>
      </c>
      <c r="K111" s="25" t="str">
        <f aca="false">IF(J111&gt;0,"Yes","No")</f>
        <v>Yes</v>
      </c>
    </row>
    <row r="112" customFormat="false" ht="15" hidden="false" customHeight="false" outlineLevel="0" collapsed="false">
      <c r="A112" s="25" t="s">
        <v>4292</v>
      </c>
      <c r="B112" s="25" t="s">
        <v>11138</v>
      </c>
      <c r="C112" s="25" t="n">
        <v>2012</v>
      </c>
      <c r="D112" s="25" t="s">
        <v>11160</v>
      </c>
      <c r="E112" s="25" t="s">
        <v>11457</v>
      </c>
      <c r="F112" s="25" t="s">
        <v>11370</v>
      </c>
      <c r="G112" s="28" t="s">
        <v>11458</v>
      </c>
      <c r="H112" s="25" t="n">
        <v>22444677</v>
      </c>
      <c r="I112" s="25"/>
      <c r="J112" s="25" t="n">
        <v>14</v>
      </c>
      <c r="K112" s="25" t="str">
        <f aca="false">IF(J112&gt;0,"Yes","No")</f>
        <v>Yes</v>
      </c>
    </row>
    <row r="113" customFormat="false" ht="15" hidden="false" customHeight="false" outlineLevel="0" collapsed="false">
      <c r="A113" s="25" t="s">
        <v>5563</v>
      </c>
      <c r="B113" s="25" t="s">
        <v>11138</v>
      </c>
      <c r="C113" s="25" t="n">
        <v>2015</v>
      </c>
      <c r="D113" s="25" t="s">
        <v>11200</v>
      </c>
      <c r="E113" s="25" t="s">
        <v>11459</v>
      </c>
      <c r="F113" s="25" t="s">
        <v>11460</v>
      </c>
      <c r="G113" s="28" t="s">
        <v>11461</v>
      </c>
      <c r="H113" s="25" t="n">
        <v>25487422</v>
      </c>
      <c r="I113" s="25"/>
      <c r="J113" s="25" t="n">
        <v>14</v>
      </c>
      <c r="K113" s="25" t="str">
        <f aca="false">IF(J113&gt;0,"Yes","No")</f>
        <v>Yes</v>
      </c>
    </row>
    <row r="114" customFormat="false" ht="15" hidden="false" customHeight="false" outlineLevel="0" collapsed="false">
      <c r="A114" s="25" t="s">
        <v>1325</v>
      </c>
      <c r="B114" s="25" t="s">
        <v>11138</v>
      </c>
      <c r="C114" s="25" t="n">
        <v>2016</v>
      </c>
      <c r="D114" s="25" t="s">
        <v>11155</v>
      </c>
      <c r="E114" s="25" t="s">
        <v>11462</v>
      </c>
      <c r="F114" s="25" t="s">
        <v>11463</v>
      </c>
      <c r="G114" s="28" t="s">
        <v>11464</v>
      </c>
      <c r="H114" s="25" t="n">
        <v>27240274</v>
      </c>
      <c r="I114" s="25"/>
      <c r="J114" s="25" t="n">
        <v>14</v>
      </c>
      <c r="K114" s="25" t="str">
        <f aca="false">IF(J114&gt;0,"Yes","No")</f>
        <v>Yes</v>
      </c>
    </row>
    <row r="115" customFormat="false" ht="15" hidden="false" customHeight="false" outlineLevel="0" collapsed="false">
      <c r="A115" s="25" t="s">
        <v>5097</v>
      </c>
      <c r="B115" s="25" t="s">
        <v>11138</v>
      </c>
      <c r="C115" s="25" t="n">
        <v>2019</v>
      </c>
      <c r="D115" s="25" t="s">
        <v>11139</v>
      </c>
      <c r="E115" s="25" t="s">
        <v>11465</v>
      </c>
      <c r="F115" s="25" t="s">
        <v>11466</v>
      </c>
      <c r="G115" s="28" t="s">
        <v>11467</v>
      </c>
      <c r="H115" s="25" t="n">
        <v>31609608</v>
      </c>
      <c r="I115" s="25"/>
      <c r="J115" s="25" t="n">
        <v>14</v>
      </c>
      <c r="K115" s="25" t="str">
        <f aca="false">IF(J115&gt;0,"Yes","No")</f>
        <v>Yes</v>
      </c>
    </row>
    <row r="116" customFormat="false" ht="15" hidden="false" customHeight="false" outlineLevel="0" collapsed="false">
      <c r="A116" s="25" t="s">
        <v>2634</v>
      </c>
      <c r="B116" s="25" t="s">
        <v>11138</v>
      </c>
      <c r="C116" s="25" t="n">
        <v>2019</v>
      </c>
      <c r="D116" s="25" t="s">
        <v>11155</v>
      </c>
      <c r="E116" s="25" t="s">
        <v>11468</v>
      </c>
      <c r="F116" s="25" t="s">
        <v>11469</v>
      </c>
      <c r="G116" s="28" t="s">
        <v>11470</v>
      </c>
      <c r="H116" s="25" t="n">
        <v>31185414</v>
      </c>
      <c r="I116" s="25"/>
      <c r="J116" s="25" t="n">
        <v>14</v>
      </c>
      <c r="K116" s="25" t="str">
        <f aca="false">IF(J116&gt;0,"Yes","No")</f>
        <v>Yes</v>
      </c>
    </row>
    <row r="117" customFormat="false" ht="15" hidden="false" customHeight="false" outlineLevel="0" collapsed="false">
      <c r="A117" s="25" t="s">
        <v>7079</v>
      </c>
      <c r="B117" s="25" t="s">
        <v>11138</v>
      </c>
      <c r="C117" s="25" t="n">
        <v>2021</v>
      </c>
      <c r="D117" s="25" t="s">
        <v>11200</v>
      </c>
      <c r="E117" s="25" t="s">
        <v>11471</v>
      </c>
      <c r="F117" s="25" t="s">
        <v>11472</v>
      </c>
      <c r="G117" s="28" t="s">
        <v>11473</v>
      </c>
      <c r="H117" s="25" t="n">
        <v>33550084</v>
      </c>
      <c r="I117" s="25"/>
      <c r="J117" s="25" t="n">
        <v>14</v>
      </c>
      <c r="K117" s="25" t="str">
        <f aca="false">IF(J117&gt;0,"Yes","No")</f>
        <v>Yes</v>
      </c>
    </row>
    <row r="118" customFormat="false" ht="15" hidden="false" customHeight="false" outlineLevel="0" collapsed="false">
      <c r="A118" s="25" t="s">
        <v>940</v>
      </c>
      <c r="B118" s="25" t="s">
        <v>11138</v>
      </c>
      <c r="C118" s="25" t="n">
        <v>2021</v>
      </c>
      <c r="D118" s="25" t="s">
        <v>11139</v>
      </c>
      <c r="E118" s="25" t="s">
        <v>11474</v>
      </c>
      <c r="F118" s="25" t="s">
        <v>11475</v>
      </c>
      <c r="G118" s="28" t="s">
        <v>11476</v>
      </c>
      <c r="H118" s="25" t="n">
        <v>33761251</v>
      </c>
      <c r="I118" s="25"/>
      <c r="J118" s="25" t="n">
        <v>14</v>
      </c>
      <c r="K118" s="25" t="str">
        <f aca="false">IF(J118&gt;0,"Yes","No")</f>
        <v>Yes</v>
      </c>
    </row>
    <row r="119" customFormat="false" ht="15" hidden="false" customHeight="false" outlineLevel="0" collapsed="false">
      <c r="A119" s="25" t="s">
        <v>1781</v>
      </c>
      <c r="B119" s="25" t="s">
        <v>11138</v>
      </c>
      <c r="C119" s="25" t="n">
        <v>2009</v>
      </c>
      <c r="D119" s="25" t="s">
        <v>11160</v>
      </c>
      <c r="E119" s="25" t="s">
        <v>11477</v>
      </c>
      <c r="F119" s="25" t="s">
        <v>11478</v>
      </c>
      <c r="G119" s="28" t="s">
        <v>11479</v>
      </c>
      <c r="H119" s="25" t="n">
        <v>19736007</v>
      </c>
      <c r="I119" s="25"/>
      <c r="J119" s="25" t="n">
        <v>13</v>
      </c>
      <c r="K119" s="25" t="str">
        <f aca="false">IF(J119&gt;0,"Yes","No")</f>
        <v>Yes</v>
      </c>
    </row>
    <row r="120" customFormat="false" ht="15" hidden="false" customHeight="false" outlineLevel="0" collapsed="false">
      <c r="A120" s="25" t="s">
        <v>2348</v>
      </c>
      <c r="B120" s="25" t="s">
        <v>11138</v>
      </c>
      <c r="C120" s="25" t="n">
        <v>2015</v>
      </c>
      <c r="D120" s="25" t="s">
        <v>11155</v>
      </c>
      <c r="E120" s="25" t="s">
        <v>11480</v>
      </c>
      <c r="F120" s="25" t="s">
        <v>11481</v>
      </c>
      <c r="G120" s="28" t="s">
        <v>11482</v>
      </c>
      <c r="H120" s="25" t="n">
        <v>26209834</v>
      </c>
      <c r="I120" s="25"/>
      <c r="J120" s="25" t="n">
        <v>13</v>
      </c>
      <c r="K120" s="25" t="str">
        <f aca="false">IF(J120&gt;0,"Yes","No")</f>
        <v>Yes</v>
      </c>
    </row>
    <row r="121" customFormat="false" ht="15" hidden="false" customHeight="false" outlineLevel="0" collapsed="false">
      <c r="A121" s="25" t="s">
        <v>4523</v>
      </c>
      <c r="B121" s="25" t="s">
        <v>11138</v>
      </c>
      <c r="C121" s="25" t="n">
        <v>2018</v>
      </c>
      <c r="D121" s="25" t="s">
        <v>11155</v>
      </c>
      <c r="E121" s="25" t="s">
        <v>11483</v>
      </c>
      <c r="F121" s="25" t="s">
        <v>11484</v>
      </c>
      <c r="G121" s="28" t="s">
        <v>11485</v>
      </c>
      <c r="H121" s="25" t="n">
        <v>29407590</v>
      </c>
      <c r="I121" s="25"/>
      <c r="J121" s="25" t="n">
        <v>13</v>
      </c>
      <c r="K121" s="25" t="str">
        <f aca="false">IF(J121&gt;0,"Yes","No")</f>
        <v>Yes</v>
      </c>
    </row>
    <row r="122" customFormat="false" ht="15" hidden="false" customHeight="false" outlineLevel="0" collapsed="false">
      <c r="A122" s="25" t="s">
        <v>2026</v>
      </c>
      <c r="B122" s="25" t="s">
        <v>11138</v>
      </c>
      <c r="C122" s="25" t="n">
        <v>2007</v>
      </c>
      <c r="D122" s="25" t="s">
        <v>11160</v>
      </c>
      <c r="E122" s="25" t="s">
        <v>11486</v>
      </c>
      <c r="F122" s="25" t="s">
        <v>11487</v>
      </c>
      <c r="G122" s="28" t="s">
        <v>11488</v>
      </c>
      <c r="H122" s="25" t="n">
        <v>17942307</v>
      </c>
      <c r="I122" s="25"/>
      <c r="J122" s="25" t="n">
        <v>12</v>
      </c>
      <c r="K122" s="25" t="str">
        <f aca="false">IF(J122&gt;0,"Yes","No")</f>
        <v>Yes</v>
      </c>
    </row>
    <row r="123" customFormat="false" ht="15" hidden="false" customHeight="false" outlineLevel="0" collapsed="false">
      <c r="A123" s="25" t="s">
        <v>2019</v>
      </c>
      <c r="B123" s="25" t="s">
        <v>11138</v>
      </c>
      <c r="C123" s="25" t="n">
        <v>2006</v>
      </c>
      <c r="D123" s="25" t="s">
        <v>11160</v>
      </c>
      <c r="E123" s="25" t="s">
        <v>11489</v>
      </c>
      <c r="F123" s="25" t="s">
        <v>11490</v>
      </c>
      <c r="G123" s="28" t="s">
        <v>11491</v>
      </c>
      <c r="H123" s="25" t="n">
        <v>16213718</v>
      </c>
      <c r="I123" s="25"/>
      <c r="J123" s="25" t="n">
        <v>12</v>
      </c>
      <c r="K123" s="25" t="str">
        <f aca="false">IF(J123&gt;0,"Yes","No")</f>
        <v>Yes</v>
      </c>
    </row>
    <row r="124" customFormat="false" ht="15" hidden="false" customHeight="false" outlineLevel="0" collapsed="false">
      <c r="A124" s="25" t="s">
        <v>6533</v>
      </c>
      <c r="B124" s="25" t="s">
        <v>11138</v>
      </c>
      <c r="C124" s="25" t="n">
        <v>2010</v>
      </c>
      <c r="D124" s="25" t="s">
        <v>11139</v>
      </c>
      <c r="E124" s="25" t="s">
        <v>11492</v>
      </c>
      <c r="F124" s="25" t="s">
        <v>11493</v>
      </c>
      <c r="G124" s="28" t="s">
        <v>11494</v>
      </c>
      <c r="H124" s="25" t="n">
        <v>20845959</v>
      </c>
      <c r="I124" s="25"/>
      <c r="J124" s="25" t="n">
        <v>12</v>
      </c>
      <c r="K124" s="25" t="str">
        <f aca="false">IF(J124&gt;0,"Yes","No")</f>
        <v>Yes</v>
      </c>
    </row>
    <row r="125" customFormat="false" ht="15" hidden="false" customHeight="false" outlineLevel="0" collapsed="false">
      <c r="A125" s="25" t="s">
        <v>4496</v>
      </c>
      <c r="B125" s="25" t="s">
        <v>11138</v>
      </c>
      <c r="C125" s="25" t="n">
        <v>2012</v>
      </c>
      <c r="D125" s="25" t="s">
        <v>11160</v>
      </c>
      <c r="E125" s="25" t="s">
        <v>11495</v>
      </c>
      <c r="F125" s="25" t="s">
        <v>11496</v>
      </c>
      <c r="G125" s="28" t="s">
        <v>11497</v>
      </c>
      <c r="H125" s="25" t="n">
        <v>22370265</v>
      </c>
      <c r="I125" s="25"/>
      <c r="J125" s="25" t="n">
        <v>12</v>
      </c>
      <c r="K125" s="25" t="str">
        <f aca="false">IF(J125&gt;0,"Yes","No")</f>
        <v>Yes</v>
      </c>
    </row>
    <row r="126" customFormat="false" ht="15" hidden="false" customHeight="false" outlineLevel="0" collapsed="false">
      <c r="A126" s="25" t="s">
        <v>5399</v>
      </c>
      <c r="B126" s="25" t="s">
        <v>11138</v>
      </c>
      <c r="C126" s="25" t="n">
        <v>2014</v>
      </c>
      <c r="D126" s="25" t="s">
        <v>11498</v>
      </c>
      <c r="E126" s="25" t="s">
        <v>11499</v>
      </c>
      <c r="F126" s="25" t="s">
        <v>11500</v>
      </c>
      <c r="G126" s="28" t="s">
        <v>11501</v>
      </c>
      <c r="H126" s="25"/>
      <c r="I126" s="25"/>
      <c r="J126" s="25" t="n">
        <v>12</v>
      </c>
      <c r="K126" s="25" t="str">
        <f aca="false">IF(J126&gt;0,"Yes","No")</f>
        <v>Yes</v>
      </c>
    </row>
    <row r="127" customFormat="false" ht="15" hidden="false" customHeight="false" outlineLevel="0" collapsed="false">
      <c r="A127" s="25" t="s">
        <v>1337</v>
      </c>
      <c r="B127" s="25" t="s">
        <v>11138</v>
      </c>
      <c r="C127" s="25" t="n">
        <v>2016</v>
      </c>
      <c r="D127" s="25" t="s">
        <v>11155</v>
      </c>
      <c r="E127" s="25" t="s">
        <v>11502</v>
      </c>
      <c r="F127" s="25" t="s">
        <v>11503</v>
      </c>
      <c r="G127" s="28" t="s">
        <v>11504</v>
      </c>
      <c r="H127" s="25" t="n">
        <v>26890113</v>
      </c>
      <c r="I127" s="25"/>
      <c r="J127" s="25" t="n">
        <v>12</v>
      </c>
      <c r="K127" s="25" t="str">
        <f aca="false">IF(J127&gt;0,"Yes","No")</f>
        <v>Yes</v>
      </c>
    </row>
    <row r="128" customFormat="false" ht="15" hidden="false" customHeight="false" outlineLevel="0" collapsed="false">
      <c r="A128" s="25" t="s">
        <v>4691</v>
      </c>
      <c r="B128" s="25" t="s">
        <v>11138</v>
      </c>
      <c r="C128" s="25" t="n">
        <v>2020</v>
      </c>
      <c r="D128" s="25" t="s">
        <v>11200</v>
      </c>
      <c r="E128" s="25" t="s">
        <v>11505</v>
      </c>
      <c r="F128" s="25" t="s">
        <v>11506</v>
      </c>
      <c r="G128" s="28" t="s">
        <v>11507</v>
      </c>
      <c r="H128" s="25" t="n">
        <v>32912440</v>
      </c>
      <c r="I128" s="25"/>
      <c r="J128" s="25" t="n">
        <v>12</v>
      </c>
      <c r="K128" s="25" t="str">
        <f aca="false">IF(J128&gt;0,"Yes","No")</f>
        <v>Yes</v>
      </c>
    </row>
    <row r="129" customFormat="false" ht="15" hidden="false" customHeight="false" outlineLevel="0" collapsed="false">
      <c r="A129" s="25" t="s">
        <v>2032</v>
      </c>
      <c r="B129" s="25" t="s">
        <v>11138</v>
      </c>
      <c r="C129" s="25" t="n">
        <v>2009</v>
      </c>
      <c r="D129" s="25" t="s">
        <v>11139</v>
      </c>
      <c r="E129" s="25" t="s">
        <v>11508</v>
      </c>
      <c r="F129" s="25" t="s">
        <v>11509</v>
      </c>
      <c r="G129" s="28" t="s">
        <v>11510</v>
      </c>
      <c r="H129" s="25" t="n">
        <v>19361197</v>
      </c>
      <c r="I129" s="25"/>
      <c r="J129" s="25" t="n">
        <v>11</v>
      </c>
      <c r="K129" s="25" t="str">
        <f aca="false">IF(J129&gt;0,"Yes","No")</f>
        <v>Yes</v>
      </c>
    </row>
    <row r="130" customFormat="false" ht="15" hidden="false" customHeight="false" outlineLevel="0" collapsed="false">
      <c r="A130" s="25" t="s">
        <v>1397</v>
      </c>
      <c r="B130" s="25" t="s">
        <v>11138</v>
      </c>
      <c r="C130" s="25" t="n">
        <v>2010</v>
      </c>
      <c r="D130" s="25" t="s">
        <v>11139</v>
      </c>
      <c r="E130" s="25" t="s">
        <v>11511</v>
      </c>
      <c r="F130" s="25" t="s">
        <v>11512</v>
      </c>
      <c r="G130" s="28" t="s">
        <v>11513</v>
      </c>
      <c r="H130" s="25" t="n">
        <v>20925434</v>
      </c>
      <c r="I130" s="25"/>
      <c r="J130" s="25" t="n">
        <v>11</v>
      </c>
      <c r="K130" s="25" t="str">
        <f aca="false">IF(J130&gt;0,"Yes","No")</f>
        <v>Yes</v>
      </c>
    </row>
    <row r="131" customFormat="false" ht="15" hidden="false" customHeight="false" outlineLevel="0" collapsed="false">
      <c r="A131" s="25" t="s">
        <v>5621</v>
      </c>
      <c r="B131" s="25" t="s">
        <v>11138</v>
      </c>
      <c r="C131" s="25" t="n">
        <v>2013</v>
      </c>
      <c r="D131" s="25" t="s">
        <v>11160</v>
      </c>
      <c r="E131" s="25" t="s">
        <v>11514</v>
      </c>
      <c r="F131" s="25" t="s">
        <v>11515</v>
      </c>
      <c r="G131" s="28" t="s">
        <v>11516</v>
      </c>
      <c r="H131" s="25" t="n">
        <v>23466226</v>
      </c>
      <c r="I131" s="25"/>
      <c r="J131" s="25" t="n">
        <v>11</v>
      </c>
      <c r="K131" s="25" t="str">
        <f aca="false">IF(J131&gt;0,"Yes","No")</f>
        <v>Yes</v>
      </c>
    </row>
    <row r="132" customFormat="false" ht="15" hidden="false" customHeight="false" outlineLevel="0" collapsed="false">
      <c r="A132" s="25" t="s">
        <v>3102</v>
      </c>
      <c r="B132" s="25" t="s">
        <v>11138</v>
      </c>
      <c r="C132" s="25" t="n">
        <v>2013</v>
      </c>
      <c r="D132" s="25" t="s">
        <v>11139</v>
      </c>
      <c r="E132" s="25" t="s">
        <v>11517</v>
      </c>
      <c r="F132" s="25" t="s">
        <v>11518</v>
      </c>
      <c r="G132" s="28" t="s">
        <v>11519</v>
      </c>
      <c r="H132" s="25" t="n">
        <v>23679955</v>
      </c>
      <c r="I132" s="25"/>
      <c r="J132" s="25" t="n">
        <v>11</v>
      </c>
      <c r="K132" s="25" t="str">
        <f aca="false">IF(J132&gt;0,"Yes","No")</f>
        <v>Yes</v>
      </c>
    </row>
    <row r="133" customFormat="false" ht="15" hidden="false" customHeight="false" outlineLevel="0" collapsed="false">
      <c r="A133" s="25" t="s">
        <v>2819</v>
      </c>
      <c r="B133" s="25" t="s">
        <v>11138</v>
      </c>
      <c r="C133" s="25" t="n">
        <v>2015</v>
      </c>
      <c r="D133" s="25" t="s">
        <v>11167</v>
      </c>
      <c r="E133" s="25" t="s">
        <v>11520</v>
      </c>
      <c r="F133" s="25" t="s">
        <v>11521</v>
      </c>
      <c r="G133" s="28" t="s">
        <v>11522</v>
      </c>
      <c r="H133" s="25" t="n">
        <v>25699149</v>
      </c>
      <c r="I133" s="25"/>
      <c r="J133" s="25" t="n">
        <v>11</v>
      </c>
      <c r="K133" s="25" t="str">
        <f aca="false">IF(J133&gt;0,"Yes","No")</f>
        <v>Yes</v>
      </c>
    </row>
    <row r="134" customFormat="false" ht="15" hidden="false" customHeight="false" outlineLevel="0" collapsed="false">
      <c r="A134" s="25" t="s">
        <v>805</v>
      </c>
      <c r="B134" s="25" t="s">
        <v>11138</v>
      </c>
      <c r="C134" s="25" t="n">
        <v>2014</v>
      </c>
      <c r="D134" s="25" t="s">
        <v>11160</v>
      </c>
      <c r="E134" s="25" t="s">
        <v>11523</v>
      </c>
      <c r="F134" s="25" t="s">
        <v>11524</v>
      </c>
      <c r="G134" s="28" t="s">
        <v>11525</v>
      </c>
      <c r="H134" s="25" t="n">
        <v>25466197</v>
      </c>
      <c r="I134" s="25"/>
      <c r="J134" s="25" t="n">
        <v>11</v>
      </c>
      <c r="K134" s="25" t="str">
        <f aca="false">IF(J134&gt;0,"Yes","No")</f>
        <v>Yes</v>
      </c>
    </row>
    <row r="135" customFormat="false" ht="15" hidden="false" customHeight="false" outlineLevel="0" collapsed="false">
      <c r="A135" s="25" t="s">
        <v>341</v>
      </c>
      <c r="B135" s="25" t="s">
        <v>11138</v>
      </c>
      <c r="C135" s="25" t="n">
        <v>2019</v>
      </c>
      <c r="D135" s="25" t="s">
        <v>11526</v>
      </c>
      <c r="E135" s="25" t="s">
        <v>11527</v>
      </c>
      <c r="F135" s="25" t="s">
        <v>11528</v>
      </c>
      <c r="G135" s="28" t="s">
        <v>11529</v>
      </c>
      <c r="H135" s="25" t="n">
        <v>30816712</v>
      </c>
      <c r="I135" s="25"/>
      <c r="J135" s="25" t="n">
        <v>11</v>
      </c>
      <c r="K135" s="25" t="str">
        <f aca="false">IF(J135&gt;0,"Yes","No")</f>
        <v>Yes</v>
      </c>
    </row>
    <row r="136" customFormat="false" ht="15" hidden="false" customHeight="false" outlineLevel="0" collapsed="false">
      <c r="A136" s="25" t="s">
        <v>5806</v>
      </c>
      <c r="B136" s="25" t="s">
        <v>11138</v>
      </c>
      <c r="C136" s="25" t="n">
        <v>2020</v>
      </c>
      <c r="D136" s="25" t="s">
        <v>11155</v>
      </c>
      <c r="E136" s="25" t="s">
        <v>11530</v>
      </c>
      <c r="F136" s="25" t="s">
        <v>11531</v>
      </c>
      <c r="G136" s="28" t="s">
        <v>11532</v>
      </c>
      <c r="H136" s="25" t="n">
        <v>33002735</v>
      </c>
      <c r="I136" s="25"/>
      <c r="J136" s="25" t="n">
        <v>11</v>
      </c>
      <c r="K136" s="25" t="str">
        <f aca="false">IF(J136&gt;0,"Yes","No")</f>
        <v>Yes</v>
      </c>
    </row>
    <row r="137" customFormat="false" ht="15" hidden="false" customHeight="false" outlineLevel="0" collapsed="false">
      <c r="A137" s="25" t="s">
        <v>2153</v>
      </c>
      <c r="B137" s="25" t="s">
        <v>11138</v>
      </c>
      <c r="C137" s="25" t="n">
        <v>2009</v>
      </c>
      <c r="D137" s="25" t="s">
        <v>11139</v>
      </c>
      <c r="E137" s="25" t="s">
        <v>11533</v>
      </c>
      <c r="F137" s="25" t="s">
        <v>11534</v>
      </c>
      <c r="G137" s="28" t="s">
        <v>11535</v>
      </c>
      <c r="H137" s="25" t="n">
        <v>19143566</v>
      </c>
      <c r="I137" s="25"/>
      <c r="J137" s="25" t="n">
        <v>10</v>
      </c>
      <c r="K137" s="25" t="str">
        <f aca="false">IF(J137&gt;0,"Yes","No")</f>
        <v>Yes</v>
      </c>
    </row>
    <row r="138" customFormat="false" ht="15" hidden="false" customHeight="false" outlineLevel="0" collapsed="false">
      <c r="A138" s="25" t="s">
        <v>4540</v>
      </c>
      <c r="B138" s="25" t="s">
        <v>11138</v>
      </c>
      <c r="C138" s="25" t="n">
        <v>2007</v>
      </c>
      <c r="D138" s="25" t="s">
        <v>11160</v>
      </c>
      <c r="E138" s="25" t="s">
        <v>11536</v>
      </c>
      <c r="F138" s="25" t="s">
        <v>11537</v>
      </c>
      <c r="G138" s="28" t="s">
        <v>11538</v>
      </c>
      <c r="H138" s="25" t="n">
        <v>17383180</v>
      </c>
      <c r="I138" s="25"/>
      <c r="J138" s="25" t="n">
        <v>10</v>
      </c>
      <c r="K138" s="25" t="str">
        <f aca="false">IF(J138&gt;0,"Yes","No")</f>
        <v>Yes</v>
      </c>
    </row>
    <row r="139" customFormat="false" ht="15" hidden="false" customHeight="false" outlineLevel="0" collapsed="false">
      <c r="A139" s="25" t="s">
        <v>1041</v>
      </c>
      <c r="B139" s="25" t="s">
        <v>11138</v>
      </c>
      <c r="C139" s="25" t="n">
        <v>2010</v>
      </c>
      <c r="D139" s="25" t="s">
        <v>11160</v>
      </c>
      <c r="E139" s="25" t="s">
        <v>11539</v>
      </c>
      <c r="F139" s="25" t="s">
        <v>11540</v>
      </c>
      <c r="G139" s="28" t="s">
        <v>11541</v>
      </c>
      <c r="H139" s="25" t="n">
        <v>20018510</v>
      </c>
      <c r="I139" s="25"/>
      <c r="J139" s="25" t="n">
        <v>10</v>
      </c>
      <c r="K139" s="25" t="str">
        <f aca="false">IF(J139&gt;0,"Yes","No")</f>
        <v>Yes</v>
      </c>
    </row>
    <row r="140" customFormat="false" ht="15" hidden="false" customHeight="false" outlineLevel="0" collapsed="false">
      <c r="A140" s="25" t="s">
        <v>4108</v>
      </c>
      <c r="B140" s="25" t="s">
        <v>11138</v>
      </c>
      <c r="C140" s="25" t="n">
        <v>2011</v>
      </c>
      <c r="D140" s="25" t="s">
        <v>11200</v>
      </c>
      <c r="E140" s="25" t="s">
        <v>11542</v>
      </c>
      <c r="F140" s="25" t="s">
        <v>11543</v>
      </c>
      <c r="G140" s="28" t="s">
        <v>11544</v>
      </c>
      <c r="H140" s="25" t="n">
        <v>21872477</v>
      </c>
      <c r="I140" s="25"/>
      <c r="J140" s="25" t="n">
        <v>10</v>
      </c>
      <c r="K140" s="25" t="str">
        <f aca="false">IF(J140&gt;0,"Yes","No")</f>
        <v>Yes</v>
      </c>
    </row>
    <row r="141" customFormat="false" ht="15" hidden="false" customHeight="false" outlineLevel="0" collapsed="false">
      <c r="A141" s="25" t="s">
        <v>1193</v>
      </c>
      <c r="B141" s="25" t="s">
        <v>11138</v>
      </c>
      <c r="C141" s="25" t="n">
        <v>2011</v>
      </c>
      <c r="D141" s="25" t="s">
        <v>11155</v>
      </c>
      <c r="E141" s="25" t="s">
        <v>11545</v>
      </c>
      <c r="F141" s="25" t="s">
        <v>11546</v>
      </c>
      <c r="G141" s="28" t="s">
        <v>11547</v>
      </c>
      <c r="H141" s="25" t="n">
        <v>21835510</v>
      </c>
      <c r="I141" s="25"/>
      <c r="J141" s="25" t="n">
        <v>10</v>
      </c>
      <c r="K141" s="25" t="str">
        <f aca="false">IF(J141&gt;0,"Yes","No")</f>
        <v>Yes</v>
      </c>
    </row>
    <row r="142" customFormat="false" ht="15" hidden="false" customHeight="false" outlineLevel="0" collapsed="false">
      <c r="A142" s="25" t="s">
        <v>6518</v>
      </c>
      <c r="B142" s="25" t="s">
        <v>11138</v>
      </c>
      <c r="C142" s="25" t="n">
        <v>2011</v>
      </c>
      <c r="D142" s="25" t="s">
        <v>11160</v>
      </c>
      <c r="E142" s="25" t="s">
        <v>11548</v>
      </c>
      <c r="F142" s="25" t="s">
        <v>11549</v>
      </c>
      <c r="G142" s="28" t="s">
        <v>11550</v>
      </c>
      <c r="H142" s="25" t="n">
        <v>21875798</v>
      </c>
      <c r="I142" s="25"/>
      <c r="J142" s="25" t="n">
        <v>10</v>
      </c>
      <c r="K142" s="25" t="str">
        <f aca="false">IF(J142&gt;0,"Yes","No")</f>
        <v>Yes</v>
      </c>
    </row>
    <row r="143" customFormat="false" ht="15" hidden="false" customHeight="false" outlineLevel="0" collapsed="false">
      <c r="A143" s="25" t="s">
        <v>1034</v>
      </c>
      <c r="B143" s="25" t="s">
        <v>11138</v>
      </c>
      <c r="C143" s="25" t="n">
        <v>2013</v>
      </c>
      <c r="D143" s="25" t="s">
        <v>11139</v>
      </c>
      <c r="E143" s="25" t="s">
        <v>11551</v>
      </c>
      <c r="F143" s="25" t="s">
        <v>11552</v>
      </c>
      <c r="G143" s="28" t="s">
        <v>11553</v>
      </c>
      <c r="H143" s="25" t="n">
        <v>24041123</v>
      </c>
      <c r="I143" s="25"/>
      <c r="J143" s="25" t="n">
        <v>10</v>
      </c>
      <c r="K143" s="25" t="str">
        <f aca="false">IF(J143&gt;0,"Yes","No")</f>
        <v>Yes</v>
      </c>
    </row>
    <row r="144" customFormat="false" ht="15" hidden="false" customHeight="false" outlineLevel="0" collapsed="false">
      <c r="A144" s="25" t="s">
        <v>3563</v>
      </c>
      <c r="B144" s="25" t="s">
        <v>11138</v>
      </c>
      <c r="C144" s="25" t="n">
        <v>2015</v>
      </c>
      <c r="D144" s="25" t="s">
        <v>11155</v>
      </c>
      <c r="E144" s="25" t="s">
        <v>11554</v>
      </c>
      <c r="F144" s="25" t="s">
        <v>11555</v>
      </c>
      <c r="G144" s="28" t="s">
        <v>11556</v>
      </c>
      <c r="H144" s="25" t="n">
        <v>25599952</v>
      </c>
      <c r="I144" s="25"/>
      <c r="J144" s="25" t="n">
        <v>10</v>
      </c>
      <c r="K144" s="25" t="str">
        <f aca="false">IF(J144&gt;0,"Yes","No")</f>
        <v>Yes</v>
      </c>
    </row>
    <row r="145" customFormat="false" ht="15" hidden="false" customHeight="false" outlineLevel="0" collapsed="false">
      <c r="A145" s="25" t="s">
        <v>1654</v>
      </c>
      <c r="B145" s="25" t="s">
        <v>11138</v>
      </c>
      <c r="C145" s="25" t="n">
        <v>2015</v>
      </c>
      <c r="D145" s="25" t="s">
        <v>11155</v>
      </c>
      <c r="E145" s="25" t="s">
        <v>11557</v>
      </c>
      <c r="F145" s="25" t="s">
        <v>11558</v>
      </c>
      <c r="G145" s="28" t="s">
        <v>11559</v>
      </c>
      <c r="H145" s="25" t="n">
        <v>25935384</v>
      </c>
      <c r="I145" s="25"/>
      <c r="J145" s="25" t="n">
        <v>10</v>
      </c>
      <c r="K145" s="25" t="str">
        <f aca="false">IF(J145&gt;0,"Yes","No")</f>
        <v>Yes</v>
      </c>
    </row>
    <row r="146" customFormat="false" ht="15" hidden="false" customHeight="false" outlineLevel="0" collapsed="false">
      <c r="A146" s="25" t="s">
        <v>818</v>
      </c>
      <c r="B146" s="25" t="s">
        <v>11138</v>
      </c>
      <c r="C146" s="25" t="n">
        <v>2015</v>
      </c>
      <c r="D146" s="25" t="s">
        <v>11200</v>
      </c>
      <c r="E146" s="25" t="s">
        <v>11560</v>
      </c>
      <c r="F146" s="25" t="s">
        <v>11561</v>
      </c>
      <c r="G146" s="28" t="s">
        <v>11562</v>
      </c>
      <c r="H146" s="25" t="n">
        <v>26275680</v>
      </c>
      <c r="I146" s="25"/>
      <c r="J146" s="25" t="n">
        <v>10</v>
      </c>
      <c r="K146" s="25" t="str">
        <f aca="false">IF(J146&gt;0,"Yes","No")</f>
        <v>Yes</v>
      </c>
    </row>
    <row r="147" customFormat="false" ht="15" hidden="false" customHeight="false" outlineLevel="0" collapsed="false">
      <c r="A147" s="25" t="s">
        <v>1974</v>
      </c>
      <c r="B147" s="25" t="s">
        <v>11138</v>
      </c>
      <c r="C147" s="25" t="n">
        <v>2016</v>
      </c>
      <c r="D147" s="25" t="s">
        <v>11200</v>
      </c>
      <c r="E147" s="25" t="s">
        <v>11563</v>
      </c>
      <c r="F147" s="25" t="s">
        <v>11564</v>
      </c>
      <c r="G147" s="28" t="s">
        <v>11565</v>
      </c>
      <c r="H147" s="25" t="n">
        <v>26827137</v>
      </c>
      <c r="I147" s="25"/>
      <c r="J147" s="25" t="n">
        <v>10</v>
      </c>
      <c r="K147" s="25" t="str">
        <f aca="false">IF(J147&gt;0,"Yes","No")</f>
        <v>Yes</v>
      </c>
    </row>
    <row r="148" customFormat="false" ht="15" hidden="false" customHeight="false" outlineLevel="0" collapsed="false">
      <c r="A148" s="25" t="s">
        <v>625</v>
      </c>
      <c r="B148" s="25" t="s">
        <v>11138</v>
      </c>
      <c r="C148" s="25" t="n">
        <v>2018</v>
      </c>
      <c r="D148" s="25" t="s">
        <v>11155</v>
      </c>
      <c r="E148" s="25" t="s">
        <v>11566</v>
      </c>
      <c r="F148" s="25" t="s">
        <v>11567</v>
      </c>
      <c r="G148" s="28" t="s">
        <v>11568</v>
      </c>
      <c r="H148" s="25" t="n">
        <v>29360044</v>
      </c>
      <c r="I148" s="25"/>
      <c r="J148" s="25" t="n">
        <v>10</v>
      </c>
      <c r="K148" s="25" t="str">
        <f aca="false">IF(J148&gt;0,"Yes","No")</f>
        <v>Yes</v>
      </c>
    </row>
    <row r="149" customFormat="false" ht="15" hidden="false" customHeight="false" outlineLevel="0" collapsed="false">
      <c r="A149" s="25" t="s">
        <v>472</v>
      </c>
      <c r="B149" s="25" t="s">
        <v>11138</v>
      </c>
      <c r="C149" s="25" t="n">
        <v>2018</v>
      </c>
      <c r="D149" s="25" t="s">
        <v>11155</v>
      </c>
      <c r="E149" s="25" t="s">
        <v>11569</v>
      </c>
      <c r="F149" s="25" t="s">
        <v>11570</v>
      </c>
      <c r="G149" s="28" t="s">
        <v>11571</v>
      </c>
      <c r="H149" s="25" t="n">
        <v>29232588</v>
      </c>
      <c r="I149" s="25"/>
      <c r="J149" s="25" t="n">
        <v>10</v>
      </c>
      <c r="K149" s="25" t="str">
        <f aca="false">IF(J149&gt;0,"Yes","No")</f>
        <v>Yes</v>
      </c>
    </row>
    <row r="150" customFormat="false" ht="15" hidden="false" customHeight="false" outlineLevel="0" collapsed="false">
      <c r="A150" s="25" t="s">
        <v>1332</v>
      </c>
      <c r="B150" s="25" t="s">
        <v>11138</v>
      </c>
      <c r="C150" s="25" t="n">
        <v>2016</v>
      </c>
      <c r="D150" s="25" t="s">
        <v>11200</v>
      </c>
      <c r="E150" s="25" t="s">
        <v>11572</v>
      </c>
      <c r="F150" s="25" t="s">
        <v>11573</v>
      </c>
      <c r="G150" s="28" t="s">
        <v>11574</v>
      </c>
      <c r="H150" s="25" t="n">
        <v>27624523</v>
      </c>
      <c r="I150" s="25"/>
      <c r="J150" s="25" t="n">
        <v>10</v>
      </c>
      <c r="K150" s="25" t="str">
        <f aca="false">IF(J150&gt;0,"Yes","No")</f>
        <v>Yes</v>
      </c>
    </row>
    <row r="151" customFormat="false" ht="15" hidden="false" customHeight="false" outlineLevel="0" collapsed="false">
      <c r="A151" s="25" t="s">
        <v>336</v>
      </c>
      <c r="B151" s="25" t="s">
        <v>11138</v>
      </c>
      <c r="C151" s="25" t="n">
        <v>2022</v>
      </c>
      <c r="D151" s="25" t="s">
        <v>11139</v>
      </c>
      <c r="E151" s="25" t="s">
        <v>11575</v>
      </c>
      <c r="F151" s="25" t="s">
        <v>11576</v>
      </c>
      <c r="G151" s="28" t="s">
        <v>11577</v>
      </c>
      <c r="H151" s="25" t="n">
        <v>35084860</v>
      </c>
      <c r="I151" s="25"/>
      <c r="J151" s="25" t="n">
        <v>10</v>
      </c>
      <c r="K151" s="25" t="str">
        <f aca="false">IF(J151&gt;0,"Yes","No")</f>
        <v>Yes</v>
      </c>
    </row>
    <row r="152" customFormat="false" ht="15" hidden="false" customHeight="false" outlineLevel="0" collapsed="false">
      <c r="A152" s="25" t="s">
        <v>649</v>
      </c>
      <c r="B152" s="25" t="s">
        <v>11138</v>
      </c>
      <c r="C152" s="25" t="n">
        <v>2024</v>
      </c>
      <c r="D152" s="25" t="s">
        <v>11155</v>
      </c>
      <c r="E152" s="25" t="s">
        <v>11578</v>
      </c>
      <c r="F152" s="25" t="s">
        <v>11579</v>
      </c>
      <c r="G152" s="28" t="s">
        <v>11580</v>
      </c>
      <c r="H152" s="25" t="n">
        <v>38493727</v>
      </c>
      <c r="I152" s="25"/>
      <c r="J152" s="25" t="n">
        <v>10</v>
      </c>
      <c r="K152" s="25" t="str">
        <f aca="false">IF(J152&gt;0,"Yes","No")</f>
        <v>Yes</v>
      </c>
    </row>
    <row r="153" customFormat="false" ht="15" hidden="false" customHeight="false" outlineLevel="0" collapsed="false">
      <c r="A153" s="25" t="s">
        <v>5270</v>
      </c>
      <c r="B153" s="25" t="s">
        <v>11138</v>
      </c>
      <c r="C153" s="25" t="n">
        <v>2003</v>
      </c>
      <c r="D153" s="25" t="s">
        <v>11139</v>
      </c>
      <c r="E153" s="25" t="s">
        <v>11581</v>
      </c>
      <c r="F153" s="25" t="s">
        <v>11582</v>
      </c>
      <c r="G153" s="28" t="s">
        <v>11583</v>
      </c>
      <c r="H153" s="25" t="n">
        <v>12747783</v>
      </c>
      <c r="I153" s="25"/>
      <c r="J153" s="25" t="n">
        <v>9</v>
      </c>
      <c r="K153" s="25" t="str">
        <f aca="false">IF(J153&gt;0,"Yes","No")</f>
        <v>Yes</v>
      </c>
    </row>
    <row r="154" customFormat="false" ht="15" hidden="false" customHeight="false" outlineLevel="0" collapsed="false">
      <c r="A154" s="25" t="s">
        <v>1649</v>
      </c>
      <c r="B154" s="25" t="s">
        <v>11138</v>
      </c>
      <c r="C154" s="25" t="n">
        <v>2009</v>
      </c>
      <c r="D154" s="25" t="s">
        <v>11160</v>
      </c>
      <c r="E154" s="25" t="s">
        <v>11584</v>
      </c>
      <c r="F154" s="25" t="s">
        <v>11585</v>
      </c>
      <c r="G154" s="28" t="s">
        <v>11586</v>
      </c>
      <c r="H154" s="25" t="n">
        <v>19520572</v>
      </c>
      <c r="I154" s="25"/>
      <c r="J154" s="25" t="n">
        <v>9</v>
      </c>
      <c r="K154" s="25" t="str">
        <f aca="false">IF(J154&gt;0,"Yes","No")</f>
        <v>Yes</v>
      </c>
    </row>
    <row r="155" customFormat="false" ht="15" hidden="false" customHeight="false" outlineLevel="0" collapsed="false">
      <c r="A155" s="25" t="s">
        <v>1378</v>
      </c>
      <c r="B155" s="25" t="s">
        <v>11138</v>
      </c>
      <c r="C155" s="25" t="n">
        <v>2012</v>
      </c>
      <c r="D155" s="25" t="s">
        <v>11160</v>
      </c>
      <c r="E155" s="25" t="s">
        <v>11587</v>
      </c>
      <c r="F155" s="25" t="s">
        <v>11588</v>
      </c>
      <c r="G155" s="28" t="s">
        <v>11589</v>
      </c>
      <c r="H155" s="25" t="n">
        <v>22796181</v>
      </c>
      <c r="I155" s="25"/>
      <c r="J155" s="25" t="n">
        <v>9</v>
      </c>
      <c r="K155" s="25" t="str">
        <f aca="false">IF(J155&gt;0,"Yes","No")</f>
        <v>Yes</v>
      </c>
    </row>
    <row r="156" customFormat="false" ht="15" hidden="false" customHeight="false" outlineLevel="0" collapsed="false">
      <c r="A156" s="25" t="s">
        <v>467</v>
      </c>
      <c r="B156" s="25" t="s">
        <v>11138</v>
      </c>
      <c r="C156" s="25" t="n">
        <v>2015</v>
      </c>
      <c r="D156" s="25" t="s">
        <v>11526</v>
      </c>
      <c r="E156" s="25" t="s">
        <v>11590</v>
      </c>
      <c r="F156" s="25" t="s">
        <v>11591</v>
      </c>
      <c r="G156" s="28" t="s">
        <v>11592</v>
      </c>
      <c r="H156" s="25" t="n">
        <v>26000707</v>
      </c>
      <c r="I156" s="25"/>
      <c r="J156" s="25" t="n">
        <v>9</v>
      </c>
      <c r="K156" s="25" t="str">
        <f aca="false">IF(J156&gt;0,"Yes","No")</f>
        <v>Yes</v>
      </c>
    </row>
    <row r="157" customFormat="false" ht="15" hidden="false" customHeight="false" outlineLevel="0" collapsed="false">
      <c r="A157" s="25" t="s">
        <v>2582</v>
      </c>
      <c r="B157" s="25" t="s">
        <v>11138</v>
      </c>
      <c r="C157" s="25" t="n">
        <v>2019</v>
      </c>
      <c r="D157" s="25" t="s">
        <v>11167</v>
      </c>
      <c r="E157" s="25" t="s">
        <v>11593</v>
      </c>
      <c r="F157" s="25" t="s">
        <v>11594</v>
      </c>
      <c r="G157" s="28" t="s">
        <v>11595</v>
      </c>
      <c r="H157" s="25" t="n">
        <v>30996802</v>
      </c>
      <c r="I157" s="25"/>
      <c r="J157" s="25" t="n">
        <v>9</v>
      </c>
      <c r="K157" s="25" t="str">
        <f aca="false">IF(J157&gt;0,"Yes","No")</f>
        <v>Yes</v>
      </c>
    </row>
    <row r="158" customFormat="false" ht="15" hidden="false" customHeight="false" outlineLevel="0" collapsed="false">
      <c r="A158" s="25" t="s">
        <v>374</v>
      </c>
      <c r="B158" s="25" t="s">
        <v>11138</v>
      </c>
      <c r="C158" s="25" t="n">
        <v>2016</v>
      </c>
      <c r="D158" s="25" t="s">
        <v>11139</v>
      </c>
      <c r="E158" s="25" t="s">
        <v>11596</v>
      </c>
      <c r="F158" s="25" t="s">
        <v>11597</v>
      </c>
      <c r="G158" s="28" t="s">
        <v>11598</v>
      </c>
      <c r="H158" s="25" t="n">
        <v>27482723</v>
      </c>
      <c r="I158" s="25"/>
      <c r="J158" s="25" t="n">
        <v>9</v>
      </c>
      <c r="K158" s="25" t="str">
        <f aca="false">IF(J158&gt;0,"Yes","No")</f>
        <v>Yes</v>
      </c>
    </row>
    <row r="159" customFormat="false" ht="15" hidden="false" customHeight="false" outlineLevel="0" collapsed="false">
      <c r="A159" s="25" t="s">
        <v>2479</v>
      </c>
      <c r="B159" s="25" t="s">
        <v>11138</v>
      </c>
      <c r="C159" s="25" t="n">
        <v>2007</v>
      </c>
      <c r="D159" s="25" t="s">
        <v>11200</v>
      </c>
      <c r="E159" s="25" t="s">
        <v>11599</v>
      </c>
      <c r="F159" s="25" t="s">
        <v>11600</v>
      </c>
      <c r="G159" s="28" t="s">
        <v>11601</v>
      </c>
      <c r="H159" s="25" t="n">
        <v>17827022</v>
      </c>
      <c r="I159" s="25"/>
      <c r="J159" s="25" t="n">
        <v>8</v>
      </c>
      <c r="K159" s="25" t="str">
        <f aca="false">IF(J159&gt;0,"Yes","No")</f>
        <v>Yes</v>
      </c>
    </row>
    <row r="160" customFormat="false" ht="15" hidden="false" customHeight="false" outlineLevel="0" collapsed="false">
      <c r="A160" s="25" t="s">
        <v>6248</v>
      </c>
      <c r="B160" s="25" t="s">
        <v>11138</v>
      </c>
      <c r="C160" s="25" t="n">
        <v>2010</v>
      </c>
      <c r="D160" s="25" t="s">
        <v>11160</v>
      </c>
      <c r="E160" s="25" t="s">
        <v>11602</v>
      </c>
      <c r="F160" s="25" t="s">
        <v>11603</v>
      </c>
      <c r="G160" s="28" t="s">
        <v>11604</v>
      </c>
      <c r="H160" s="25" t="n">
        <v>20363132</v>
      </c>
      <c r="I160" s="25"/>
      <c r="J160" s="25" t="n">
        <v>8</v>
      </c>
      <c r="K160" s="25" t="str">
        <f aca="false">IF(J160&gt;0,"Yes","No")</f>
        <v>Yes</v>
      </c>
    </row>
    <row r="161" customFormat="false" ht="15" hidden="false" customHeight="false" outlineLevel="0" collapsed="false">
      <c r="A161" s="25" t="s">
        <v>5640</v>
      </c>
      <c r="B161" s="25" t="s">
        <v>11138</v>
      </c>
      <c r="C161" s="25" t="n">
        <v>2012</v>
      </c>
      <c r="D161" s="25" t="s">
        <v>11160</v>
      </c>
      <c r="E161" s="25" t="s">
        <v>11605</v>
      </c>
      <c r="F161" s="25" t="s">
        <v>11606</v>
      </c>
      <c r="G161" s="28" t="s">
        <v>11607</v>
      </c>
      <c r="H161" s="25" t="n">
        <v>23147076</v>
      </c>
      <c r="I161" s="25"/>
      <c r="J161" s="25" t="n">
        <v>8</v>
      </c>
      <c r="K161" s="25" t="str">
        <f aca="false">IF(J161&gt;0,"Yes","No")</f>
        <v>Yes</v>
      </c>
    </row>
    <row r="162" customFormat="false" ht="15" hidden="false" customHeight="false" outlineLevel="0" collapsed="false">
      <c r="A162" s="25" t="s">
        <v>2989</v>
      </c>
      <c r="B162" s="25" t="s">
        <v>11138</v>
      </c>
      <c r="C162" s="25" t="n">
        <v>2014</v>
      </c>
      <c r="D162" s="25" t="s">
        <v>11155</v>
      </c>
      <c r="E162" s="25" t="s">
        <v>11608</v>
      </c>
      <c r="F162" s="25" t="s">
        <v>11609</v>
      </c>
      <c r="G162" s="28" t="s">
        <v>11610</v>
      </c>
      <c r="H162" s="25" t="n">
        <v>25072877</v>
      </c>
      <c r="I162" s="25"/>
      <c r="J162" s="25" t="n">
        <v>8</v>
      </c>
      <c r="K162" s="25" t="str">
        <f aca="false">IF(J162&gt;0,"Yes","No")</f>
        <v>Yes</v>
      </c>
    </row>
    <row r="163" customFormat="false" ht="15" hidden="false" customHeight="false" outlineLevel="0" collapsed="false">
      <c r="A163" s="25" t="s">
        <v>4189</v>
      </c>
      <c r="B163" s="25" t="s">
        <v>11138</v>
      </c>
      <c r="C163" s="25" t="n">
        <v>2015</v>
      </c>
      <c r="D163" s="25" t="s">
        <v>11155</v>
      </c>
      <c r="E163" s="25" t="s">
        <v>11611</v>
      </c>
      <c r="F163" s="25" t="s">
        <v>11612</v>
      </c>
      <c r="G163" s="28" t="s">
        <v>11613</v>
      </c>
      <c r="H163" s="25" t="n">
        <v>25486424</v>
      </c>
      <c r="I163" s="25"/>
      <c r="J163" s="25" t="n">
        <v>8</v>
      </c>
      <c r="K163" s="25" t="str">
        <f aca="false">IF(J163&gt;0,"Yes","No")</f>
        <v>Yes</v>
      </c>
    </row>
    <row r="164" customFormat="false" ht="15" hidden="false" customHeight="false" outlineLevel="0" collapsed="false">
      <c r="A164" s="25" t="s">
        <v>1499</v>
      </c>
      <c r="B164" s="25" t="s">
        <v>11138</v>
      </c>
      <c r="C164" s="25" t="n">
        <v>2015</v>
      </c>
      <c r="D164" s="25" t="s">
        <v>11139</v>
      </c>
      <c r="E164" s="25" t="s">
        <v>11614</v>
      </c>
      <c r="F164" s="25" t="s">
        <v>11615</v>
      </c>
      <c r="G164" s="28" t="s">
        <v>11616</v>
      </c>
      <c r="H164" s="25" t="n">
        <v>25760146</v>
      </c>
      <c r="I164" s="25"/>
      <c r="J164" s="25" t="n">
        <v>8</v>
      </c>
      <c r="K164" s="25" t="str">
        <f aca="false">IF(J164&gt;0,"Yes","No")</f>
        <v>Yes</v>
      </c>
    </row>
    <row r="165" customFormat="false" ht="15" hidden="false" customHeight="false" outlineLevel="0" collapsed="false">
      <c r="A165" s="25" t="s">
        <v>5981</v>
      </c>
      <c r="B165" s="25" t="s">
        <v>11138</v>
      </c>
      <c r="C165" s="25" t="n">
        <v>2016</v>
      </c>
      <c r="D165" s="25" t="s">
        <v>11139</v>
      </c>
      <c r="E165" s="25" t="s">
        <v>11617</v>
      </c>
      <c r="F165" s="25" t="s">
        <v>11618</v>
      </c>
      <c r="G165" s="28" t="s">
        <v>11619</v>
      </c>
      <c r="H165" s="25" t="n">
        <v>26789378</v>
      </c>
      <c r="I165" s="25"/>
      <c r="J165" s="25" t="n">
        <v>8</v>
      </c>
      <c r="K165" s="25" t="str">
        <f aca="false">IF(J165&gt;0,"Yes","No")</f>
        <v>Yes</v>
      </c>
    </row>
    <row r="166" customFormat="false" ht="15" hidden="false" customHeight="false" outlineLevel="0" collapsed="false">
      <c r="A166" s="25" t="s">
        <v>5819</v>
      </c>
      <c r="B166" s="25" t="s">
        <v>11138</v>
      </c>
      <c r="C166" s="25" t="n">
        <v>2018</v>
      </c>
      <c r="D166" s="25" t="s">
        <v>11155</v>
      </c>
      <c r="E166" s="25" t="s">
        <v>11620</v>
      </c>
      <c r="F166" s="25" t="s">
        <v>11621</v>
      </c>
      <c r="G166" s="28" t="s">
        <v>11622</v>
      </c>
      <c r="H166" s="25" t="n">
        <v>29793210</v>
      </c>
      <c r="I166" s="25"/>
      <c r="J166" s="25" t="n">
        <v>8</v>
      </c>
      <c r="K166" s="25" t="str">
        <f aca="false">IF(J166&gt;0,"Yes","No")</f>
        <v>Yes</v>
      </c>
    </row>
    <row r="167" customFormat="false" ht="15" hidden="false" customHeight="false" outlineLevel="0" collapsed="false">
      <c r="A167" s="25" t="s">
        <v>2869</v>
      </c>
      <c r="B167" s="25" t="s">
        <v>11138</v>
      </c>
      <c r="C167" s="25" t="n">
        <v>2007</v>
      </c>
      <c r="D167" s="25" t="s">
        <v>11160</v>
      </c>
      <c r="E167" s="25" t="s">
        <v>11623</v>
      </c>
      <c r="F167" s="25" t="s">
        <v>11624</v>
      </c>
      <c r="G167" s="28" t="s">
        <v>11625</v>
      </c>
      <c r="H167" s="25" t="n">
        <v>17604171</v>
      </c>
      <c r="I167" s="25"/>
      <c r="J167" s="25" t="n">
        <v>7</v>
      </c>
      <c r="K167" s="25" t="str">
        <f aca="false">IF(J167&gt;0,"Yes","No")</f>
        <v>Yes</v>
      </c>
    </row>
    <row r="168" customFormat="false" ht="15" hidden="false" customHeight="false" outlineLevel="0" collapsed="false">
      <c r="A168" s="25" t="s">
        <v>5440</v>
      </c>
      <c r="B168" s="25" t="s">
        <v>11138</v>
      </c>
      <c r="C168" s="25" t="n">
        <v>2010</v>
      </c>
      <c r="D168" s="25" t="s">
        <v>11160</v>
      </c>
      <c r="E168" s="25" t="s">
        <v>11626</v>
      </c>
      <c r="F168" s="25" t="s">
        <v>11627</v>
      </c>
      <c r="G168" s="28" t="s">
        <v>11628</v>
      </c>
      <c r="H168" s="25" t="n">
        <v>20137935</v>
      </c>
      <c r="I168" s="25"/>
      <c r="J168" s="25" t="n">
        <v>7</v>
      </c>
      <c r="K168" s="25" t="str">
        <f aca="false">IF(J168&gt;0,"Yes","No")</f>
        <v>Yes</v>
      </c>
    </row>
    <row r="169" customFormat="false" ht="15" hidden="false" customHeight="false" outlineLevel="0" collapsed="false">
      <c r="A169" s="25" t="s">
        <v>7306</v>
      </c>
      <c r="B169" s="25" t="s">
        <v>11138</v>
      </c>
      <c r="C169" s="25" t="n">
        <v>2011</v>
      </c>
      <c r="D169" s="25" t="s">
        <v>11160</v>
      </c>
      <c r="E169" s="25" t="s">
        <v>11629</v>
      </c>
      <c r="F169" s="25" t="s">
        <v>11630</v>
      </c>
      <c r="G169" s="28" t="s">
        <v>11631</v>
      </c>
      <c r="H169" s="25" t="n">
        <v>21880487</v>
      </c>
      <c r="I169" s="25"/>
      <c r="J169" s="25" t="n">
        <v>7</v>
      </c>
      <c r="K169" s="25" t="str">
        <f aca="false">IF(J169&gt;0,"Yes","No")</f>
        <v>Yes</v>
      </c>
    </row>
    <row r="170" customFormat="false" ht="15" hidden="false" customHeight="false" outlineLevel="0" collapsed="false">
      <c r="A170" s="25" t="s">
        <v>4301</v>
      </c>
      <c r="B170" s="25" t="s">
        <v>11138</v>
      </c>
      <c r="C170" s="25" t="n">
        <v>2018</v>
      </c>
      <c r="D170" s="25" t="s">
        <v>11498</v>
      </c>
      <c r="E170" s="25" t="s">
        <v>11632</v>
      </c>
      <c r="F170" s="25" t="s">
        <v>11633</v>
      </c>
      <c r="G170" s="28" t="s">
        <v>11634</v>
      </c>
      <c r="H170" s="25" t="n">
        <v>30647880</v>
      </c>
      <c r="I170" s="25"/>
      <c r="J170" s="25" t="n">
        <v>7</v>
      </c>
      <c r="K170" s="25" t="str">
        <f aca="false">IF(J170&gt;0,"Yes","No")</f>
        <v>Yes</v>
      </c>
    </row>
    <row r="171" customFormat="false" ht="15" hidden="false" customHeight="false" outlineLevel="0" collapsed="false">
      <c r="A171" s="25" t="s">
        <v>1430</v>
      </c>
      <c r="B171" s="25" t="s">
        <v>11138</v>
      </c>
      <c r="C171" s="25" t="n">
        <v>2021</v>
      </c>
      <c r="D171" s="25" t="s">
        <v>11160</v>
      </c>
      <c r="E171" s="25" t="s">
        <v>11635</v>
      </c>
      <c r="F171" s="25" t="s">
        <v>11636</v>
      </c>
      <c r="G171" s="28" t="s">
        <v>11637</v>
      </c>
      <c r="H171" s="25" t="n">
        <v>33636308</v>
      </c>
      <c r="I171" s="25"/>
      <c r="J171" s="25" t="n">
        <v>7</v>
      </c>
      <c r="K171" s="25" t="str">
        <f aca="false">IF(J171&gt;0,"Yes","No")</f>
        <v>Yes</v>
      </c>
    </row>
    <row r="172" customFormat="false" ht="15" hidden="false" customHeight="false" outlineLevel="0" collapsed="false">
      <c r="A172" s="25" t="s">
        <v>307</v>
      </c>
      <c r="B172" s="25" t="s">
        <v>11152</v>
      </c>
      <c r="C172" s="25" t="n">
        <v>2019</v>
      </c>
      <c r="D172" s="25"/>
      <c r="E172" s="25" t="s">
        <v>11638</v>
      </c>
      <c r="F172" s="25"/>
      <c r="G172" s="25"/>
      <c r="H172" s="25"/>
      <c r="I172" s="25" t="s">
        <v>11639</v>
      </c>
      <c r="J172" s="25" t="n">
        <v>7</v>
      </c>
      <c r="K172" s="25" t="str">
        <f aca="false">IF(J172&gt;0,"Yes","No")</f>
        <v>Yes</v>
      </c>
    </row>
    <row r="173" customFormat="false" ht="15" hidden="false" customHeight="false" outlineLevel="0" collapsed="false">
      <c r="A173" s="25" t="s">
        <v>249</v>
      </c>
      <c r="B173" s="25" t="s">
        <v>11152</v>
      </c>
      <c r="C173" s="25" t="n">
        <v>2019</v>
      </c>
      <c r="D173" s="25"/>
      <c r="E173" s="25" t="s">
        <v>11638</v>
      </c>
      <c r="F173" s="25"/>
      <c r="G173" s="25"/>
      <c r="H173" s="25"/>
      <c r="I173" s="25" t="s">
        <v>11640</v>
      </c>
      <c r="J173" s="25" t="n">
        <v>7</v>
      </c>
      <c r="K173" s="25" t="str">
        <f aca="false">IF(J173&gt;0,"Yes","No")</f>
        <v>Yes</v>
      </c>
    </row>
    <row r="174" customFormat="false" ht="15" hidden="false" customHeight="false" outlineLevel="0" collapsed="false">
      <c r="A174" s="25" t="s">
        <v>2014</v>
      </c>
      <c r="B174" s="25" t="s">
        <v>11138</v>
      </c>
      <c r="C174" s="25" t="n">
        <v>2006</v>
      </c>
      <c r="D174" s="25" t="s">
        <v>11139</v>
      </c>
      <c r="E174" s="25" t="s">
        <v>11641</v>
      </c>
      <c r="F174" s="25" t="s">
        <v>11642</v>
      </c>
      <c r="G174" s="28" t="s">
        <v>11643</v>
      </c>
      <c r="H174" s="25" t="n">
        <v>16570929</v>
      </c>
      <c r="I174" s="25"/>
      <c r="J174" s="25" t="n">
        <v>6</v>
      </c>
      <c r="K174" s="25" t="str">
        <f aca="false">IF(J174&gt;0,"Yes","No")</f>
        <v>Yes</v>
      </c>
    </row>
    <row r="175" customFormat="false" ht="15" hidden="false" customHeight="false" outlineLevel="0" collapsed="false">
      <c r="A175" s="25" t="s">
        <v>6648</v>
      </c>
      <c r="B175" s="25" t="s">
        <v>11138</v>
      </c>
      <c r="C175" s="25" t="n">
        <v>2008</v>
      </c>
      <c r="D175" s="25" t="s">
        <v>11139</v>
      </c>
      <c r="E175" s="25" t="s">
        <v>11644</v>
      </c>
      <c r="F175" s="25" t="s">
        <v>11645</v>
      </c>
      <c r="G175" s="28" t="s">
        <v>11646</v>
      </c>
      <c r="H175" s="25" t="n">
        <v>18512901</v>
      </c>
      <c r="I175" s="25"/>
      <c r="J175" s="25" t="n">
        <v>6</v>
      </c>
      <c r="K175" s="25" t="str">
        <f aca="false">IF(J175&gt;0,"Yes","No")</f>
        <v>Yes</v>
      </c>
    </row>
    <row r="176" customFormat="false" ht="15" hidden="false" customHeight="false" outlineLevel="0" collapsed="false">
      <c r="A176" s="25" t="s">
        <v>2925</v>
      </c>
      <c r="B176" s="25" t="s">
        <v>11138</v>
      </c>
      <c r="C176" s="25" t="n">
        <v>2012</v>
      </c>
      <c r="D176" s="25" t="s">
        <v>11160</v>
      </c>
      <c r="E176" s="25" t="s">
        <v>11647</v>
      </c>
      <c r="F176" s="25" t="s">
        <v>11648</v>
      </c>
      <c r="G176" s="28" t="s">
        <v>11649</v>
      </c>
      <c r="H176" s="25" t="n">
        <v>22607668</v>
      </c>
      <c r="I176" s="25"/>
      <c r="J176" s="25" t="n">
        <v>6</v>
      </c>
      <c r="K176" s="25" t="str">
        <f aca="false">IF(J176&gt;0,"Yes","No")</f>
        <v>Yes</v>
      </c>
    </row>
    <row r="177" customFormat="false" ht="15" hidden="false" customHeight="false" outlineLevel="0" collapsed="false">
      <c r="A177" s="25" t="s">
        <v>7886</v>
      </c>
      <c r="B177" s="25" t="s">
        <v>11138</v>
      </c>
      <c r="C177" s="25" t="n">
        <v>2013</v>
      </c>
      <c r="D177" s="25" t="s">
        <v>11139</v>
      </c>
      <c r="E177" s="25" t="s">
        <v>11650</v>
      </c>
      <c r="F177" s="25" t="s">
        <v>11651</v>
      </c>
      <c r="G177" s="28" t="s">
        <v>11652</v>
      </c>
      <c r="H177" s="25" t="n">
        <v>24175572</v>
      </c>
      <c r="I177" s="25"/>
      <c r="J177" s="25" t="n">
        <v>6</v>
      </c>
      <c r="K177" s="25" t="str">
        <f aca="false">IF(J177&gt;0,"Yes","No")</f>
        <v>Yes</v>
      </c>
    </row>
    <row r="178" customFormat="false" ht="15" hidden="false" customHeight="false" outlineLevel="0" collapsed="false">
      <c r="A178" s="25" t="s">
        <v>4073</v>
      </c>
      <c r="B178" s="25" t="s">
        <v>11138</v>
      </c>
      <c r="C178" s="25" t="n">
        <v>2016</v>
      </c>
      <c r="D178" s="25" t="s">
        <v>11139</v>
      </c>
      <c r="E178" s="25" t="s">
        <v>11653</v>
      </c>
      <c r="F178" s="25" t="s">
        <v>11654</v>
      </c>
      <c r="G178" s="28" t="s">
        <v>11655</v>
      </c>
      <c r="H178" s="25" t="n">
        <v>27367336</v>
      </c>
      <c r="I178" s="25"/>
      <c r="J178" s="25" t="n">
        <v>6</v>
      </c>
      <c r="K178" s="25" t="str">
        <f aca="false">IF(J178&gt;0,"Yes","No")</f>
        <v>Yes</v>
      </c>
    </row>
    <row r="179" customFormat="false" ht="15" hidden="false" customHeight="false" outlineLevel="0" collapsed="false">
      <c r="A179" s="25" t="s">
        <v>267</v>
      </c>
      <c r="B179" s="25" t="s">
        <v>11138</v>
      </c>
      <c r="C179" s="25" t="n">
        <v>2021</v>
      </c>
      <c r="D179" s="25" t="s">
        <v>11139</v>
      </c>
      <c r="E179" s="25" t="s">
        <v>11656</v>
      </c>
      <c r="F179" s="25" t="s">
        <v>11657</v>
      </c>
      <c r="G179" s="28" t="s">
        <v>11658</v>
      </c>
      <c r="H179" s="25" t="n">
        <v>33887913</v>
      </c>
      <c r="I179" s="25"/>
      <c r="J179" s="25" t="n">
        <v>6</v>
      </c>
      <c r="K179" s="25" t="str">
        <f aca="false">IF(J179&gt;0,"Yes","No")</f>
        <v>Yes</v>
      </c>
    </row>
    <row r="180" customFormat="false" ht="15" hidden="false" customHeight="false" outlineLevel="0" collapsed="false">
      <c r="A180" s="25" t="s">
        <v>1153</v>
      </c>
      <c r="B180" s="25" t="s">
        <v>11138</v>
      </c>
      <c r="C180" s="25" t="n">
        <v>2024</v>
      </c>
      <c r="D180" s="25" t="s">
        <v>11139</v>
      </c>
      <c r="E180" s="25" t="s">
        <v>11659</v>
      </c>
      <c r="F180" s="25" t="s">
        <v>11660</v>
      </c>
      <c r="G180" s="28" t="s">
        <v>11661</v>
      </c>
      <c r="H180" s="25" t="n">
        <v>38885438</v>
      </c>
      <c r="I180" s="25"/>
      <c r="J180" s="25" t="n">
        <v>6</v>
      </c>
      <c r="K180" s="25" t="str">
        <f aca="false">IF(J180&gt;0,"Yes","No")</f>
        <v>Yes</v>
      </c>
    </row>
    <row r="181" customFormat="false" ht="15" hidden="false" customHeight="false" outlineLevel="0" collapsed="false">
      <c r="A181" s="25" t="s">
        <v>605</v>
      </c>
      <c r="B181" s="25" t="s">
        <v>11138</v>
      </c>
      <c r="C181" s="25" t="n">
        <v>2008</v>
      </c>
      <c r="D181" s="25" t="s">
        <v>11160</v>
      </c>
      <c r="E181" s="25" t="s">
        <v>11662</v>
      </c>
      <c r="F181" s="25" t="s">
        <v>11663</v>
      </c>
      <c r="G181" s="28" t="s">
        <v>11664</v>
      </c>
      <c r="H181" s="25" t="n">
        <v>18424134</v>
      </c>
      <c r="I181" s="25"/>
      <c r="J181" s="25" t="n">
        <v>5</v>
      </c>
      <c r="K181" s="25" t="str">
        <f aca="false">IF(J181&gt;0,"Yes","No")</f>
        <v>Yes</v>
      </c>
    </row>
    <row r="182" customFormat="false" ht="15" hidden="false" customHeight="false" outlineLevel="0" collapsed="false">
      <c r="A182" s="25" t="s">
        <v>2658</v>
      </c>
      <c r="B182" s="25" t="s">
        <v>11138</v>
      </c>
      <c r="C182" s="25" t="n">
        <v>2008</v>
      </c>
      <c r="D182" s="25" t="s">
        <v>11139</v>
      </c>
      <c r="E182" s="25" t="s">
        <v>11665</v>
      </c>
      <c r="F182" s="25" t="s">
        <v>11666</v>
      </c>
      <c r="G182" s="28" t="s">
        <v>11667</v>
      </c>
      <c r="H182" s="25" t="n">
        <v>18666769</v>
      </c>
      <c r="I182" s="25"/>
      <c r="J182" s="25" t="n">
        <v>5</v>
      </c>
      <c r="K182" s="25" t="str">
        <f aca="false">IF(J182&gt;0,"Yes","No")</f>
        <v>Yes</v>
      </c>
    </row>
    <row r="183" customFormat="false" ht="15" hidden="false" customHeight="false" outlineLevel="0" collapsed="false">
      <c r="A183" s="25" t="s">
        <v>1936</v>
      </c>
      <c r="B183" s="25" t="s">
        <v>11138</v>
      </c>
      <c r="C183" s="25" t="n">
        <v>2010</v>
      </c>
      <c r="D183" s="25" t="s">
        <v>11200</v>
      </c>
      <c r="E183" s="25" t="s">
        <v>11668</v>
      </c>
      <c r="F183" s="25" t="s">
        <v>11669</v>
      </c>
      <c r="G183" s="28" t="s">
        <v>11670</v>
      </c>
      <c r="H183" s="25" t="n">
        <v>20943404</v>
      </c>
      <c r="I183" s="25"/>
      <c r="J183" s="25" t="n">
        <v>5</v>
      </c>
      <c r="K183" s="25" t="str">
        <f aca="false">IF(J183&gt;0,"Yes","No")</f>
        <v>Yes</v>
      </c>
    </row>
    <row r="184" customFormat="false" ht="15" hidden="false" customHeight="false" outlineLevel="0" collapsed="false">
      <c r="A184" s="25" t="s">
        <v>5007</v>
      </c>
      <c r="B184" s="25" t="s">
        <v>11138</v>
      </c>
      <c r="C184" s="25" t="n">
        <v>2010</v>
      </c>
      <c r="D184" s="25" t="s">
        <v>11200</v>
      </c>
      <c r="E184" s="25" t="s">
        <v>11671</v>
      </c>
      <c r="F184" s="25" t="s">
        <v>11672</v>
      </c>
      <c r="G184" s="28" t="s">
        <v>11673</v>
      </c>
      <c r="H184" s="25" t="n">
        <v>21074998</v>
      </c>
      <c r="I184" s="25"/>
      <c r="J184" s="25" t="n">
        <v>5</v>
      </c>
      <c r="K184" s="25" t="str">
        <f aca="false">IF(J184&gt;0,"Yes","No")</f>
        <v>Yes</v>
      </c>
    </row>
    <row r="185" customFormat="false" ht="15" hidden="false" customHeight="false" outlineLevel="0" collapsed="false">
      <c r="A185" s="25" t="s">
        <v>262</v>
      </c>
      <c r="B185" s="25" t="s">
        <v>11138</v>
      </c>
      <c r="C185" s="25" t="n">
        <v>2011</v>
      </c>
      <c r="D185" s="25" t="s">
        <v>11139</v>
      </c>
      <c r="E185" s="25" t="s">
        <v>11674</v>
      </c>
      <c r="F185" s="25" t="s">
        <v>11675</v>
      </c>
      <c r="G185" s="28" t="s">
        <v>11676</v>
      </c>
      <c r="H185" s="25" t="n">
        <v>21675776</v>
      </c>
      <c r="I185" s="25"/>
      <c r="J185" s="25" t="n">
        <v>5</v>
      </c>
      <c r="K185" s="25" t="str">
        <f aca="false">IF(J185&gt;0,"Yes","No")</f>
        <v>Yes</v>
      </c>
    </row>
    <row r="186" customFormat="false" ht="15" hidden="false" customHeight="false" outlineLevel="0" collapsed="false">
      <c r="A186" s="25" t="s">
        <v>6786</v>
      </c>
      <c r="B186" s="25" t="s">
        <v>11138</v>
      </c>
      <c r="C186" s="25" t="n">
        <v>2012</v>
      </c>
      <c r="D186" s="25" t="s">
        <v>11155</v>
      </c>
      <c r="E186" s="25" t="s">
        <v>11677</v>
      </c>
      <c r="F186" s="25" t="s">
        <v>11678</v>
      </c>
      <c r="G186" s="28" t="s">
        <v>11679</v>
      </c>
      <c r="H186" s="25" t="n">
        <v>23151320</v>
      </c>
      <c r="I186" s="25"/>
      <c r="J186" s="25" t="n">
        <v>5</v>
      </c>
      <c r="K186" s="25" t="str">
        <f aca="false">IF(J186&gt;0,"Yes","No")</f>
        <v>Yes</v>
      </c>
    </row>
    <row r="187" customFormat="false" ht="15" hidden="false" customHeight="false" outlineLevel="0" collapsed="false">
      <c r="A187" s="25" t="s">
        <v>4731</v>
      </c>
      <c r="B187" s="25" t="s">
        <v>11138</v>
      </c>
      <c r="C187" s="25" t="n">
        <v>2012</v>
      </c>
      <c r="D187" s="25" t="s">
        <v>11155</v>
      </c>
      <c r="E187" s="25" t="s">
        <v>11680</v>
      </c>
      <c r="F187" s="25" t="s">
        <v>11681</v>
      </c>
      <c r="G187" s="28" t="s">
        <v>11682</v>
      </c>
      <c r="H187" s="25" t="n">
        <v>23164658</v>
      </c>
      <c r="I187" s="25"/>
      <c r="J187" s="25" t="n">
        <v>5</v>
      </c>
      <c r="K187" s="25" t="str">
        <f aca="false">IF(J187&gt;0,"Yes","No")</f>
        <v>Yes</v>
      </c>
    </row>
    <row r="188" customFormat="false" ht="15" hidden="false" customHeight="false" outlineLevel="0" collapsed="false">
      <c r="A188" s="25" t="s">
        <v>346</v>
      </c>
      <c r="B188" s="25" t="s">
        <v>11138</v>
      </c>
      <c r="C188" s="25" t="n">
        <v>2013</v>
      </c>
      <c r="D188" s="25" t="s">
        <v>11167</v>
      </c>
      <c r="E188" s="25" t="s">
        <v>11683</v>
      </c>
      <c r="F188" s="25" t="s">
        <v>11684</v>
      </c>
      <c r="G188" s="28" t="s">
        <v>11685</v>
      </c>
      <c r="H188" s="25" t="n">
        <v>24900561</v>
      </c>
      <c r="I188" s="25"/>
      <c r="J188" s="25" t="n">
        <v>5</v>
      </c>
      <c r="K188" s="25" t="str">
        <f aca="false">IF(J188&gt;0,"Yes","No")</f>
        <v>Yes</v>
      </c>
    </row>
    <row r="189" customFormat="false" ht="15" hidden="false" customHeight="false" outlineLevel="0" collapsed="false">
      <c r="A189" s="25" t="s">
        <v>2790</v>
      </c>
      <c r="B189" s="25" t="s">
        <v>11138</v>
      </c>
      <c r="C189" s="25" t="n">
        <v>2013</v>
      </c>
      <c r="D189" s="25" t="s">
        <v>11200</v>
      </c>
      <c r="E189" s="25" t="s">
        <v>11686</v>
      </c>
      <c r="F189" s="25" t="s">
        <v>11687</v>
      </c>
      <c r="G189" s="28" t="s">
        <v>11688</v>
      </c>
      <c r="H189" s="25" t="n">
        <v>23434135</v>
      </c>
      <c r="I189" s="25"/>
      <c r="J189" s="25" t="n">
        <v>5</v>
      </c>
      <c r="K189" s="25" t="str">
        <f aca="false">IF(J189&gt;0,"Yes","No")</f>
        <v>Yes</v>
      </c>
    </row>
    <row r="190" customFormat="false" ht="15" hidden="false" customHeight="false" outlineLevel="0" collapsed="false">
      <c r="A190" s="25" t="s">
        <v>6749</v>
      </c>
      <c r="B190" s="25" t="s">
        <v>11138</v>
      </c>
      <c r="C190" s="25" t="n">
        <v>2013</v>
      </c>
      <c r="D190" s="25" t="s">
        <v>11139</v>
      </c>
      <c r="E190" s="25" t="s">
        <v>11689</v>
      </c>
      <c r="F190" s="25" t="s">
        <v>11690</v>
      </c>
      <c r="G190" s="28" t="s">
        <v>11691</v>
      </c>
      <c r="H190" s="25" t="n">
        <v>23855811</v>
      </c>
      <c r="I190" s="25"/>
      <c r="J190" s="25" t="n">
        <v>5</v>
      </c>
      <c r="K190" s="25" t="str">
        <f aca="false">IF(J190&gt;0,"Yes","No")</f>
        <v>Yes</v>
      </c>
    </row>
    <row r="191" customFormat="false" ht="15" hidden="false" customHeight="false" outlineLevel="0" collapsed="false">
      <c r="A191" s="25" t="s">
        <v>4068</v>
      </c>
      <c r="B191" s="25" t="s">
        <v>11138</v>
      </c>
      <c r="C191" s="25" t="n">
        <v>2013</v>
      </c>
      <c r="D191" s="25" t="s">
        <v>11139</v>
      </c>
      <c r="E191" s="25" t="s">
        <v>11692</v>
      </c>
      <c r="F191" s="25" t="s">
        <v>11693</v>
      </c>
      <c r="G191" s="28" t="s">
        <v>11694</v>
      </c>
      <c r="H191" s="25" t="n">
        <v>24286207</v>
      </c>
      <c r="I191" s="25"/>
      <c r="J191" s="25" t="n">
        <v>5</v>
      </c>
      <c r="K191" s="25" t="str">
        <f aca="false">IF(J191&gt;0,"Yes","No")</f>
        <v>Yes</v>
      </c>
    </row>
    <row r="192" customFormat="false" ht="15" hidden="false" customHeight="false" outlineLevel="0" collapsed="false">
      <c r="A192" s="25" t="s">
        <v>593</v>
      </c>
      <c r="B192" s="25" t="s">
        <v>11138</v>
      </c>
      <c r="C192" s="25" t="n">
        <v>2014</v>
      </c>
      <c r="D192" s="25" t="s">
        <v>11526</v>
      </c>
      <c r="E192" s="25" t="s">
        <v>11695</v>
      </c>
      <c r="F192" s="25" t="s">
        <v>11696</v>
      </c>
      <c r="G192" s="28" t="s">
        <v>11697</v>
      </c>
      <c r="H192" s="25" t="n">
        <v>24972328</v>
      </c>
      <c r="I192" s="25"/>
      <c r="J192" s="25" t="n">
        <v>5</v>
      </c>
      <c r="K192" s="25" t="str">
        <f aca="false">IF(J192&gt;0,"Yes","No")</f>
        <v>Yes</v>
      </c>
    </row>
    <row r="193" customFormat="false" ht="15" hidden="false" customHeight="false" outlineLevel="0" collapsed="false">
      <c r="A193" s="25" t="s">
        <v>4939</v>
      </c>
      <c r="B193" s="25" t="s">
        <v>11138</v>
      </c>
      <c r="C193" s="25" t="n">
        <v>2014</v>
      </c>
      <c r="D193" s="25" t="s">
        <v>11498</v>
      </c>
      <c r="E193" s="25" t="s">
        <v>11698</v>
      </c>
      <c r="F193" s="25" t="s">
        <v>11699</v>
      </c>
      <c r="G193" s="28" t="s">
        <v>11700</v>
      </c>
      <c r="H193" s="25"/>
      <c r="I193" s="25"/>
      <c r="J193" s="25" t="n">
        <v>5</v>
      </c>
      <c r="K193" s="25" t="str">
        <f aca="false">IF(J193&gt;0,"Yes","No")</f>
        <v>Yes</v>
      </c>
    </row>
    <row r="194" customFormat="false" ht="15" hidden="false" customHeight="false" outlineLevel="0" collapsed="false">
      <c r="A194" s="25" t="s">
        <v>3360</v>
      </c>
      <c r="B194" s="25" t="s">
        <v>11138</v>
      </c>
      <c r="C194" s="25" t="n">
        <v>2017</v>
      </c>
      <c r="D194" s="25" t="s">
        <v>11139</v>
      </c>
      <c r="E194" s="25" t="s">
        <v>11701</v>
      </c>
      <c r="F194" s="25" t="s">
        <v>11702</v>
      </c>
      <c r="G194" s="28" t="s">
        <v>11703</v>
      </c>
      <c r="H194" s="25" t="n">
        <v>28608697</v>
      </c>
      <c r="I194" s="25"/>
      <c r="J194" s="25" t="n">
        <v>5</v>
      </c>
      <c r="K194" s="25" t="str">
        <f aca="false">IF(J194&gt;0,"Yes","No")</f>
        <v>Yes</v>
      </c>
    </row>
    <row r="195" customFormat="false" ht="15" hidden="false" customHeight="false" outlineLevel="0" collapsed="false">
      <c r="A195" s="25" t="s">
        <v>1827</v>
      </c>
      <c r="B195" s="25" t="s">
        <v>11138</v>
      </c>
      <c r="C195" s="25" t="n">
        <v>2020</v>
      </c>
      <c r="D195" s="25" t="s">
        <v>11139</v>
      </c>
      <c r="E195" s="25" t="s">
        <v>11704</v>
      </c>
      <c r="F195" s="25" t="s">
        <v>11705</v>
      </c>
      <c r="G195" s="28" t="s">
        <v>11706</v>
      </c>
      <c r="H195" s="25" t="n">
        <v>33094613</v>
      </c>
      <c r="I195" s="25"/>
      <c r="J195" s="25" t="n">
        <v>5</v>
      </c>
      <c r="K195" s="25" t="str">
        <f aca="false">IF(J195&gt;0,"Yes","No")</f>
        <v>Yes</v>
      </c>
    </row>
    <row r="196" customFormat="false" ht="15" hidden="false" customHeight="false" outlineLevel="0" collapsed="false">
      <c r="A196" s="25" t="s">
        <v>610</v>
      </c>
      <c r="B196" s="25" t="s">
        <v>11138</v>
      </c>
      <c r="C196" s="25" t="n">
        <v>2023</v>
      </c>
      <c r="D196" s="25" t="s">
        <v>11139</v>
      </c>
      <c r="E196" s="25" t="s">
        <v>11707</v>
      </c>
      <c r="F196" s="25" t="s">
        <v>11708</v>
      </c>
      <c r="G196" s="28" t="s">
        <v>11709</v>
      </c>
      <c r="H196" s="25" t="n">
        <v>37611316</v>
      </c>
      <c r="I196" s="25"/>
      <c r="J196" s="25" t="n">
        <v>5</v>
      </c>
      <c r="K196" s="25" t="str">
        <f aca="false">IF(J196&gt;0,"Yes","No")</f>
        <v>Yes</v>
      </c>
    </row>
    <row r="197" customFormat="false" ht="15" hidden="false" customHeight="false" outlineLevel="0" collapsed="false">
      <c r="A197" s="25" t="s">
        <v>779</v>
      </c>
      <c r="B197" s="25" t="s">
        <v>11152</v>
      </c>
      <c r="C197" s="25" t="n">
        <v>2018</v>
      </c>
      <c r="D197" s="25"/>
      <c r="E197" s="25" t="s">
        <v>11710</v>
      </c>
      <c r="F197" s="25"/>
      <c r="G197" s="25"/>
      <c r="H197" s="25"/>
      <c r="I197" s="25" t="s">
        <v>11711</v>
      </c>
      <c r="J197" s="25" t="n">
        <v>5</v>
      </c>
      <c r="K197" s="25" t="str">
        <f aca="false">IF(J197&gt;0,"Yes","No")</f>
        <v>Yes</v>
      </c>
    </row>
    <row r="198" customFormat="false" ht="15" hidden="false" customHeight="false" outlineLevel="0" collapsed="false">
      <c r="A198" s="25" t="s">
        <v>413</v>
      </c>
      <c r="B198" s="25" t="s">
        <v>11152</v>
      </c>
      <c r="C198" s="25" t="n">
        <v>2022</v>
      </c>
      <c r="D198" s="25"/>
      <c r="E198" s="25" t="s">
        <v>11712</v>
      </c>
      <c r="F198" s="25"/>
      <c r="G198" s="25"/>
      <c r="H198" s="25"/>
      <c r="I198" s="25" t="s">
        <v>11713</v>
      </c>
      <c r="J198" s="25" t="n">
        <v>5</v>
      </c>
      <c r="K198" s="25" t="str">
        <f aca="false">IF(J198&gt;0,"Yes","No")</f>
        <v>Yes</v>
      </c>
    </row>
    <row r="199" customFormat="false" ht="15" hidden="false" customHeight="false" outlineLevel="0" collapsed="false">
      <c r="A199" s="25" t="s">
        <v>5014</v>
      </c>
      <c r="B199" s="25" t="s">
        <v>11138</v>
      </c>
      <c r="C199" s="25" t="n">
        <v>2025</v>
      </c>
      <c r="D199" s="25" t="s">
        <v>11139</v>
      </c>
      <c r="E199" s="25" t="s">
        <v>11714</v>
      </c>
      <c r="F199" s="25" t="s">
        <v>11715</v>
      </c>
      <c r="G199" s="28" t="s">
        <v>11716</v>
      </c>
      <c r="H199" s="25" t="n">
        <v>40258217</v>
      </c>
      <c r="I199" s="25"/>
      <c r="J199" s="25" t="n">
        <v>5</v>
      </c>
      <c r="K199" s="25" t="str">
        <f aca="false">IF(J199&gt;0,"Yes","No")</f>
        <v>Yes</v>
      </c>
    </row>
    <row r="200" customFormat="false" ht="15" hidden="false" customHeight="false" outlineLevel="0" collapsed="false">
      <c r="A200" s="25" t="s">
        <v>4050</v>
      </c>
      <c r="B200" s="25" t="s">
        <v>11138</v>
      </c>
      <c r="C200" s="25" t="n">
        <v>2009</v>
      </c>
      <c r="D200" s="25" t="s">
        <v>11139</v>
      </c>
      <c r="E200" s="25" t="s">
        <v>11717</v>
      </c>
      <c r="F200" s="25" t="s">
        <v>11718</v>
      </c>
      <c r="G200" s="28" t="s">
        <v>11719</v>
      </c>
      <c r="H200" s="25" t="n">
        <v>19338356</v>
      </c>
      <c r="I200" s="25"/>
      <c r="J200" s="25" t="n">
        <v>4</v>
      </c>
      <c r="K200" s="25" t="str">
        <f aca="false">IF(J200&gt;0,"Yes","No")</f>
        <v>Yes</v>
      </c>
    </row>
    <row r="201" customFormat="false" ht="15" hidden="false" customHeight="false" outlineLevel="0" collapsed="false">
      <c r="A201" s="25" t="s">
        <v>4593</v>
      </c>
      <c r="B201" s="25" t="s">
        <v>11138</v>
      </c>
      <c r="C201" s="25" t="n">
        <v>2005</v>
      </c>
      <c r="D201" s="25" t="s">
        <v>11160</v>
      </c>
      <c r="E201" s="25" t="s">
        <v>11720</v>
      </c>
      <c r="F201" s="25" t="s">
        <v>11721</v>
      </c>
      <c r="G201" s="28" t="s">
        <v>11722</v>
      </c>
      <c r="H201" s="25" t="n">
        <v>15993070</v>
      </c>
      <c r="I201" s="25"/>
      <c r="J201" s="25" t="n">
        <v>4</v>
      </c>
      <c r="K201" s="25" t="str">
        <f aca="false">IF(J201&gt;0,"Yes","No")</f>
        <v>Yes</v>
      </c>
    </row>
    <row r="202" customFormat="false" ht="15" hidden="false" customHeight="false" outlineLevel="0" collapsed="false">
      <c r="A202" s="25" t="s">
        <v>5800</v>
      </c>
      <c r="B202" s="25" t="s">
        <v>11138</v>
      </c>
      <c r="C202" s="25" t="n">
        <v>2007</v>
      </c>
      <c r="D202" s="25" t="s">
        <v>11160</v>
      </c>
      <c r="E202" s="25" t="s">
        <v>11723</v>
      </c>
      <c r="F202" s="25" t="s">
        <v>11724</v>
      </c>
      <c r="G202" s="28" t="s">
        <v>11725</v>
      </c>
      <c r="H202" s="25" t="n">
        <v>17107792</v>
      </c>
      <c r="I202" s="25"/>
      <c r="J202" s="25" t="n">
        <v>4</v>
      </c>
      <c r="K202" s="25" t="str">
        <f aca="false">IF(J202&gt;0,"Yes","No")</f>
        <v>Yes</v>
      </c>
    </row>
    <row r="203" customFormat="false" ht="15" hidden="false" customHeight="false" outlineLevel="0" collapsed="false">
      <c r="A203" s="25" t="s">
        <v>658</v>
      </c>
      <c r="B203" s="25" t="s">
        <v>11138</v>
      </c>
      <c r="C203" s="25" t="n">
        <v>2008</v>
      </c>
      <c r="D203" s="25" t="s">
        <v>11139</v>
      </c>
      <c r="E203" s="25" t="s">
        <v>11726</v>
      </c>
      <c r="F203" s="25" t="s">
        <v>11727</v>
      </c>
      <c r="G203" s="28" t="s">
        <v>11728</v>
      </c>
      <c r="H203" s="25" t="n">
        <v>18363352</v>
      </c>
      <c r="I203" s="25"/>
      <c r="J203" s="25" t="n">
        <v>4</v>
      </c>
      <c r="K203" s="25" t="str">
        <f aca="false">IF(J203&gt;0,"Yes","No")</f>
        <v>Yes</v>
      </c>
    </row>
    <row r="204" customFormat="false" ht="15" hidden="false" customHeight="false" outlineLevel="0" collapsed="false">
      <c r="A204" s="25" t="s">
        <v>2041</v>
      </c>
      <c r="B204" s="25" t="s">
        <v>11138</v>
      </c>
      <c r="C204" s="25" t="n">
        <v>2008</v>
      </c>
      <c r="D204" s="25" t="s">
        <v>11139</v>
      </c>
      <c r="E204" s="25" t="s">
        <v>11729</v>
      </c>
      <c r="F204" s="25" t="s">
        <v>11730</v>
      </c>
      <c r="G204" s="28" t="s">
        <v>11731</v>
      </c>
      <c r="H204" s="25" t="n">
        <v>19053765</v>
      </c>
      <c r="I204" s="25"/>
      <c r="J204" s="25" t="n">
        <v>4</v>
      </c>
      <c r="K204" s="25" t="str">
        <f aca="false">IF(J204&gt;0,"Yes","No")</f>
        <v>Yes</v>
      </c>
    </row>
    <row r="205" customFormat="false" ht="15" hidden="false" customHeight="false" outlineLevel="0" collapsed="false">
      <c r="A205" s="25" t="s">
        <v>5449</v>
      </c>
      <c r="B205" s="25" t="s">
        <v>11138</v>
      </c>
      <c r="C205" s="25" t="n">
        <v>2009</v>
      </c>
      <c r="D205" s="25" t="s">
        <v>11160</v>
      </c>
      <c r="E205" s="25" t="s">
        <v>11732</v>
      </c>
      <c r="F205" s="25" t="s">
        <v>11733</v>
      </c>
      <c r="G205" s="28" t="s">
        <v>11734</v>
      </c>
      <c r="H205" s="25" t="n">
        <v>19699640</v>
      </c>
      <c r="I205" s="25"/>
      <c r="J205" s="25" t="n">
        <v>4</v>
      </c>
      <c r="K205" s="25" t="str">
        <f aca="false">IF(J205&gt;0,"Yes","No")</f>
        <v>Yes</v>
      </c>
    </row>
    <row r="206" customFormat="false" ht="15" hidden="false" customHeight="false" outlineLevel="0" collapsed="false">
      <c r="A206" s="25" t="s">
        <v>2161</v>
      </c>
      <c r="B206" s="25" t="s">
        <v>11138</v>
      </c>
      <c r="C206" s="25" t="n">
        <v>2010</v>
      </c>
      <c r="D206" s="25" t="s">
        <v>11200</v>
      </c>
      <c r="E206" s="25" t="s">
        <v>11735</v>
      </c>
      <c r="F206" s="25" t="s">
        <v>11736</v>
      </c>
      <c r="G206" s="28" t="s">
        <v>11737</v>
      </c>
      <c r="H206" s="25" t="n">
        <v>20621488</v>
      </c>
      <c r="I206" s="25"/>
      <c r="J206" s="25" t="n">
        <v>4</v>
      </c>
      <c r="K206" s="25" t="str">
        <f aca="false">IF(J206&gt;0,"Yes","No")</f>
        <v>Yes</v>
      </c>
    </row>
    <row r="207" customFormat="false" ht="15" hidden="false" customHeight="false" outlineLevel="0" collapsed="false">
      <c r="A207" s="25" t="s">
        <v>6037</v>
      </c>
      <c r="B207" s="25" t="s">
        <v>11138</v>
      </c>
      <c r="C207" s="25" t="n">
        <v>2012</v>
      </c>
      <c r="D207" s="25" t="s">
        <v>11160</v>
      </c>
      <c r="E207" s="25" t="s">
        <v>11738</v>
      </c>
      <c r="F207" s="25" t="s">
        <v>11739</v>
      </c>
      <c r="G207" s="28" t="s">
        <v>11740</v>
      </c>
      <c r="H207" s="25" t="n">
        <v>22421020</v>
      </c>
      <c r="I207" s="25"/>
      <c r="J207" s="25" t="n">
        <v>4</v>
      </c>
      <c r="K207" s="25" t="str">
        <f aca="false">IF(J207&gt;0,"Yes","No")</f>
        <v>Yes</v>
      </c>
    </row>
    <row r="208" customFormat="false" ht="15" hidden="false" customHeight="false" outlineLevel="0" collapsed="false">
      <c r="A208" s="25" t="s">
        <v>3172</v>
      </c>
      <c r="B208" s="25" t="s">
        <v>11138</v>
      </c>
      <c r="C208" s="25" t="n">
        <v>2019</v>
      </c>
      <c r="D208" s="25" t="s">
        <v>11155</v>
      </c>
      <c r="E208" s="25" t="s">
        <v>11741</v>
      </c>
      <c r="F208" s="25" t="s">
        <v>11742</v>
      </c>
      <c r="G208" s="28" t="s">
        <v>11743</v>
      </c>
      <c r="H208" s="25" t="n">
        <v>31302448</v>
      </c>
      <c r="I208" s="25"/>
      <c r="J208" s="25" t="n">
        <v>4</v>
      </c>
      <c r="K208" s="25" t="str">
        <f aca="false">IF(J208&gt;0,"Yes","No")</f>
        <v>Yes</v>
      </c>
    </row>
    <row r="209" customFormat="false" ht="15" hidden="false" customHeight="false" outlineLevel="0" collapsed="false">
      <c r="A209" s="25" t="s">
        <v>8118</v>
      </c>
      <c r="B209" s="25" t="s">
        <v>11138</v>
      </c>
      <c r="C209" s="25" t="n">
        <v>2020</v>
      </c>
      <c r="D209" s="25" t="s">
        <v>11160</v>
      </c>
      <c r="E209" s="25" t="s">
        <v>11744</v>
      </c>
      <c r="F209" s="25" t="s">
        <v>11745</v>
      </c>
      <c r="G209" s="28" t="s">
        <v>11746</v>
      </c>
      <c r="H209" s="25" t="n">
        <v>32882418</v>
      </c>
      <c r="I209" s="25"/>
      <c r="J209" s="25" t="n">
        <v>4</v>
      </c>
      <c r="K209" s="25" t="str">
        <f aca="false">IF(J209&gt;0,"Yes","No")</f>
        <v>Yes</v>
      </c>
    </row>
    <row r="210" customFormat="false" ht="15" hidden="false" customHeight="false" outlineLevel="0" collapsed="false">
      <c r="A210" s="25" t="s">
        <v>6396</v>
      </c>
      <c r="B210" s="25" t="s">
        <v>11138</v>
      </c>
      <c r="C210" s="25" t="n">
        <v>2022</v>
      </c>
      <c r="D210" s="25" t="s">
        <v>11139</v>
      </c>
      <c r="E210" s="25" t="s">
        <v>11747</v>
      </c>
      <c r="F210" s="25" t="s">
        <v>11748</v>
      </c>
      <c r="G210" s="28" t="s">
        <v>11749</v>
      </c>
      <c r="H210" s="25" t="n">
        <v>35849804</v>
      </c>
      <c r="I210" s="25"/>
      <c r="J210" s="25" t="n">
        <v>4</v>
      </c>
      <c r="K210" s="25" t="str">
        <f aca="false">IF(J210&gt;0,"Yes","No")</f>
        <v>Yes</v>
      </c>
    </row>
    <row r="211" customFormat="false" ht="15" hidden="false" customHeight="false" outlineLevel="0" collapsed="false">
      <c r="A211" s="25" t="s">
        <v>763</v>
      </c>
      <c r="B211" s="25" t="s">
        <v>11138</v>
      </c>
      <c r="C211" s="25" t="n">
        <v>2023</v>
      </c>
      <c r="D211" s="25" t="s">
        <v>11139</v>
      </c>
      <c r="E211" s="25" t="s">
        <v>11750</v>
      </c>
      <c r="F211" s="25" t="s">
        <v>11751</v>
      </c>
      <c r="G211" s="28" t="s">
        <v>11752</v>
      </c>
      <c r="H211" s="25" t="n">
        <v>37127287</v>
      </c>
      <c r="I211" s="25"/>
      <c r="J211" s="25" t="n">
        <v>4</v>
      </c>
      <c r="K211" s="25" t="str">
        <f aca="false">IF(J211&gt;0,"Yes","No")</f>
        <v>Yes</v>
      </c>
    </row>
    <row r="212" customFormat="false" ht="15" hidden="false" customHeight="false" outlineLevel="0" collapsed="false">
      <c r="A212" s="25" t="s">
        <v>786</v>
      </c>
      <c r="B212" s="25" t="s">
        <v>11152</v>
      </c>
      <c r="C212" s="25" t="n">
        <v>2022</v>
      </c>
      <c r="D212" s="25"/>
      <c r="E212" s="25" t="s">
        <v>11710</v>
      </c>
      <c r="F212" s="25"/>
      <c r="G212" s="25"/>
      <c r="H212" s="25"/>
      <c r="I212" s="25" t="s">
        <v>11753</v>
      </c>
      <c r="J212" s="25" t="n">
        <v>4</v>
      </c>
      <c r="K212" s="25" t="str">
        <f aca="false">IF(J212&gt;0,"Yes","No")</f>
        <v>Yes</v>
      </c>
    </row>
    <row r="213" customFormat="false" ht="15" hidden="false" customHeight="false" outlineLevel="0" collapsed="false">
      <c r="A213" s="25" t="s">
        <v>7875</v>
      </c>
      <c r="B213" s="25" t="s">
        <v>11138</v>
      </c>
      <c r="C213" s="25" t="n">
        <v>2007</v>
      </c>
      <c r="D213" s="25" t="s">
        <v>11139</v>
      </c>
      <c r="E213" s="25" t="s">
        <v>11754</v>
      </c>
      <c r="F213" s="25" t="s">
        <v>11755</v>
      </c>
      <c r="G213" s="28" t="s">
        <v>11756</v>
      </c>
      <c r="H213" s="25" t="n">
        <v>17979261</v>
      </c>
      <c r="I213" s="25"/>
      <c r="J213" s="25" t="n">
        <v>3</v>
      </c>
      <c r="K213" s="25" t="str">
        <f aca="false">IF(J213&gt;0,"Yes","No")</f>
        <v>Yes</v>
      </c>
    </row>
    <row r="214" customFormat="false" ht="15" hidden="false" customHeight="false" outlineLevel="0" collapsed="false">
      <c r="A214" s="25" t="s">
        <v>5516</v>
      </c>
      <c r="B214" s="25" t="s">
        <v>11138</v>
      </c>
      <c r="C214" s="25" t="n">
        <v>2008</v>
      </c>
      <c r="D214" s="25" t="s">
        <v>11155</v>
      </c>
      <c r="E214" s="25" t="s">
        <v>11757</v>
      </c>
      <c r="F214" s="25" t="s">
        <v>11758</v>
      </c>
      <c r="G214" s="28" t="s">
        <v>11759</v>
      </c>
      <c r="H214" s="25" t="n">
        <v>18342403</v>
      </c>
      <c r="I214" s="25"/>
      <c r="J214" s="25" t="n">
        <v>3</v>
      </c>
      <c r="K214" s="25" t="str">
        <f aca="false">IF(J214&gt;0,"Yes","No")</f>
        <v>Yes</v>
      </c>
    </row>
    <row r="215" customFormat="false" ht="15" hidden="false" customHeight="false" outlineLevel="0" collapsed="false">
      <c r="A215" s="25" t="s">
        <v>1001</v>
      </c>
      <c r="B215" s="25" t="s">
        <v>11138</v>
      </c>
      <c r="C215" s="25" t="n">
        <v>2009</v>
      </c>
      <c r="D215" s="25" t="s">
        <v>11160</v>
      </c>
      <c r="E215" s="25" t="s">
        <v>11760</v>
      </c>
      <c r="F215" s="25" t="s">
        <v>11761</v>
      </c>
      <c r="G215" s="28" t="s">
        <v>11762</v>
      </c>
      <c r="H215" s="25" t="n">
        <v>19230659</v>
      </c>
      <c r="I215" s="25"/>
      <c r="J215" s="25" t="n">
        <v>3</v>
      </c>
      <c r="K215" s="25" t="str">
        <f aca="false">IF(J215&gt;0,"Yes","No")</f>
        <v>Yes</v>
      </c>
    </row>
    <row r="216" customFormat="false" ht="15" hidden="false" customHeight="false" outlineLevel="0" collapsed="false">
      <c r="A216" s="25" t="s">
        <v>7210</v>
      </c>
      <c r="B216" s="25" t="s">
        <v>11138</v>
      </c>
      <c r="C216" s="25" t="n">
        <v>2009</v>
      </c>
      <c r="D216" s="25" t="s">
        <v>11160</v>
      </c>
      <c r="E216" s="25" t="s">
        <v>11763</v>
      </c>
      <c r="F216" s="25" t="s">
        <v>11764</v>
      </c>
      <c r="G216" s="28" t="s">
        <v>11765</v>
      </c>
      <c r="H216" s="25" t="n">
        <v>19243942</v>
      </c>
      <c r="I216" s="25"/>
      <c r="J216" s="25" t="n">
        <v>3</v>
      </c>
      <c r="K216" s="25" t="str">
        <f aca="false">IF(J216&gt;0,"Yes","No")</f>
        <v>Yes</v>
      </c>
    </row>
    <row r="217" customFormat="false" ht="15" hidden="false" customHeight="false" outlineLevel="0" collapsed="false">
      <c r="A217" s="25" t="s">
        <v>4113</v>
      </c>
      <c r="B217" s="25" t="s">
        <v>11138</v>
      </c>
      <c r="C217" s="25" t="n">
        <v>2010</v>
      </c>
      <c r="D217" s="25" t="s">
        <v>11160</v>
      </c>
      <c r="E217" s="25" t="s">
        <v>11766</v>
      </c>
      <c r="F217" s="25" t="s">
        <v>11767</v>
      </c>
      <c r="G217" s="28" t="s">
        <v>11768</v>
      </c>
      <c r="H217" s="25" t="n">
        <v>20137936</v>
      </c>
      <c r="I217" s="25"/>
      <c r="J217" s="25" t="n">
        <v>3</v>
      </c>
      <c r="K217" s="25" t="str">
        <f aca="false">IF(J217&gt;0,"Yes","No")</f>
        <v>Yes</v>
      </c>
    </row>
    <row r="218" customFormat="false" ht="15" hidden="false" customHeight="false" outlineLevel="0" collapsed="false">
      <c r="A218" s="25" t="s">
        <v>4926</v>
      </c>
      <c r="B218" s="25" t="s">
        <v>11138</v>
      </c>
      <c r="C218" s="25" t="n">
        <v>2012</v>
      </c>
      <c r="D218" s="25" t="s">
        <v>11160</v>
      </c>
      <c r="E218" s="25" t="s">
        <v>11769</v>
      </c>
      <c r="F218" s="25" t="s">
        <v>11770</v>
      </c>
      <c r="G218" s="28" t="s">
        <v>11771</v>
      </c>
      <c r="H218" s="25" t="n">
        <v>22765893</v>
      </c>
      <c r="I218" s="25"/>
      <c r="J218" s="25" t="n">
        <v>3</v>
      </c>
      <c r="K218" s="25" t="str">
        <f aca="false">IF(J218&gt;0,"Yes","No")</f>
        <v>Yes</v>
      </c>
    </row>
    <row r="219" customFormat="false" ht="15" hidden="false" customHeight="false" outlineLevel="0" collapsed="false">
      <c r="A219" s="25" t="s">
        <v>2206</v>
      </c>
      <c r="B219" s="25" t="s">
        <v>11138</v>
      </c>
      <c r="C219" s="25" t="n">
        <v>2013</v>
      </c>
      <c r="D219" s="25" t="s">
        <v>11155</v>
      </c>
      <c r="E219" s="25" t="s">
        <v>11772</v>
      </c>
      <c r="F219" s="25" t="s">
        <v>11773</v>
      </c>
      <c r="G219" s="28" t="s">
        <v>11774</v>
      </c>
      <c r="H219" s="25" t="n">
        <v>24141201</v>
      </c>
      <c r="I219" s="25"/>
      <c r="J219" s="25" t="n">
        <v>3</v>
      </c>
      <c r="K219" s="25" t="str">
        <f aca="false">IF(J219&gt;0,"Yes","No")</f>
        <v>Yes</v>
      </c>
    </row>
    <row r="220" customFormat="false" ht="15" hidden="false" customHeight="false" outlineLevel="0" collapsed="false">
      <c r="A220" s="25" t="s">
        <v>1010</v>
      </c>
      <c r="B220" s="25" t="s">
        <v>11138</v>
      </c>
      <c r="C220" s="25" t="n">
        <v>2014</v>
      </c>
      <c r="D220" s="25" t="s">
        <v>11526</v>
      </c>
      <c r="E220" s="25" t="s">
        <v>11775</v>
      </c>
      <c r="F220" s="25" t="s">
        <v>11776</v>
      </c>
      <c r="G220" s="28" t="s">
        <v>11777</v>
      </c>
      <c r="H220" s="25" t="n">
        <v>24471526</v>
      </c>
      <c r="I220" s="25"/>
      <c r="J220" s="25" t="n">
        <v>3</v>
      </c>
      <c r="K220" s="25" t="str">
        <f aca="false">IF(J220&gt;0,"Yes","No")</f>
        <v>Yes</v>
      </c>
    </row>
    <row r="221" customFormat="false" ht="15" hidden="false" customHeight="false" outlineLevel="0" collapsed="false">
      <c r="A221" s="25" t="s">
        <v>6544</v>
      </c>
      <c r="B221" s="25" t="s">
        <v>11138</v>
      </c>
      <c r="C221" s="25" t="n">
        <v>2014</v>
      </c>
      <c r="D221" s="25" t="s">
        <v>11160</v>
      </c>
      <c r="E221" s="25" t="s">
        <v>11778</v>
      </c>
      <c r="F221" s="25" t="s">
        <v>11779</v>
      </c>
      <c r="G221" s="28" t="s">
        <v>11780</v>
      </c>
      <c r="H221" s="25" t="n">
        <v>25096297</v>
      </c>
      <c r="I221" s="25"/>
      <c r="J221" s="25" t="n">
        <v>3</v>
      </c>
      <c r="K221" s="25" t="str">
        <f aca="false">IF(J221&gt;0,"Yes","No")</f>
        <v>Yes</v>
      </c>
    </row>
    <row r="222" customFormat="false" ht="15" hidden="false" customHeight="false" outlineLevel="0" collapsed="false">
      <c r="A222" s="25" t="s">
        <v>2215</v>
      </c>
      <c r="B222" s="25" t="s">
        <v>11138</v>
      </c>
      <c r="C222" s="25" t="n">
        <v>2015</v>
      </c>
      <c r="D222" s="25" t="s">
        <v>11139</v>
      </c>
      <c r="E222" s="25" t="s">
        <v>11781</v>
      </c>
      <c r="F222" s="25" t="s">
        <v>11782</v>
      </c>
      <c r="G222" s="28" t="s">
        <v>11783</v>
      </c>
      <c r="H222" s="25" t="n">
        <v>25671648</v>
      </c>
      <c r="I222" s="25"/>
      <c r="J222" s="25" t="n">
        <v>3</v>
      </c>
      <c r="K222" s="25" t="str">
        <f aca="false">IF(J222&gt;0,"Yes","No")</f>
        <v>Yes</v>
      </c>
    </row>
    <row r="223" customFormat="false" ht="15" hidden="false" customHeight="false" outlineLevel="0" collapsed="false">
      <c r="A223" s="25" t="s">
        <v>7325</v>
      </c>
      <c r="B223" s="25" t="s">
        <v>11138</v>
      </c>
      <c r="C223" s="25" t="n">
        <v>2017</v>
      </c>
      <c r="D223" s="25" t="s">
        <v>11498</v>
      </c>
      <c r="E223" s="25" t="s">
        <v>11784</v>
      </c>
      <c r="F223" s="25" t="s">
        <v>11785</v>
      </c>
      <c r="G223" s="28" t="s">
        <v>11786</v>
      </c>
      <c r="H223" s="25" t="n">
        <v>30108881</v>
      </c>
      <c r="I223" s="25"/>
      <c r="J223" s="25" t="n">
        <v>3</v>
      </c>
      <c r="K223" s="25" t="str">
        <f aca="false">IF(J223&gt;0,"Yes","No")</f>
        <v>Yes</v>
      </c>
    </row>
    <row r="224" customFormat="false" ht="15" hidden="false" customHeight="false" outlineLevel="0" collapsed="false">
      <c r="A224" s="25" t="s">
        <v>4551</v>
      </c>
      <c r="B224" s="25" t="s">
        <v>11138</v>
      </c>
      <c r="C224" s="25" t="n">
        <v>2020</v>
      </c>
      <c r="D224" s="25" t="s">
        <v>11526</v>
      </c>
      <c r="E224" s="25" t="s">
        <v>11787</v>
      </c>
      <c r="F224" s="25" t="s">
        <v>11788</v>
      </c>
      <c r="G224" s="28" t="s">
        <v>11789</v>
      </c>
      <c r="H224" s="25" t="n">
        <v>32649196</v>
      </c>
      <c r="I224" s="25"/>
      <c r="J224" s="25" t="n">
        <v>3</v>
      </c>
      <c r="K224" s="25" t="str">
        <f aca="false">IF(J224&gt;0,"Yes","No")</f>
        <v>Yes</v>
      </c>
    </row>
    <row r="225" customFormat="false" ht="15" hidden="false" customHeight="false" outlineLevel="0" collapsed="false">
      <c r="A225" s="25" t="s">
        <v>320</v>
      </c>
      <c r="B225" s="25" t="s">
        <v>11138</v>
      </c>
      <c r="C225" s="25" t="n">
        <v>2023</v>
      </c>
      <c r="D225" s="25" t="s">
        <v>11526</v>
      </c>
      <c r="E225" s="25" t="s">
        <v>11790</v>
      </c>
      <c r="F225" s="25" t="s">
        <v>11791</v>
      </c>
      <c r="G225" s="28" t="s">
        <v>11792</v>
      </c>
      <c r="H225" s="25" t="n">
        <v>37450763</v>
      </c>
      <c r="I225" s="25"/>
      <c r="J225" s="25" t="n">
        <v>3</v>
      </c>
      <c r="K225" s="25" t="str">
        <f aca="false">IF(J225&gt;0,"Yes","No")</f>
        <v>Yes</v>
      </c>
    </row>
    <row r="226" customFormat="false" ht="15" hidden="false" customHeight="false" outlineLevel="0" collapsed="false">
      <c r="A226" s="25" t="s">
        <v>2575</v>
      </c>
      <c r="B226" s="25" t="s">
        <v>11138</v>
      </c>
      <c r="C226" s="25" t="n">
        <v>2008</v>
      </c>
      <c r="D226" s="25" t="s">
        <v>11139</v>
      </c>
      <c r="E226" s="25" t="s">
        <v>11793</v>
      </c>
      <c r="F226" s="25" t="s">
        <v>11794</v>
      </c>
      <c r="G226" s="28" t="s">
        <v>11795</v>
      </c>
      <c r="H226" s="25" t="n">
        <v>18831576</v>
      </c>
      <c r="I226" s="25"/>
      <c r="J226" s="25" t="n">
        <v>2</v>
      </c>
      <c r="K226" s="25" t="str">
        <f aca="false">IF(J226&gt;0,"Yes","No")</f>
        <v>Yes</v>
      </c>
    </row>
    <row r="227" customFormat="false" ht="15" hidden="false" customHeight="false" outlineLevel="0" collapsed="false">
      <c r="A227" s="25" t="s">
        <v>6381</v>
      </c>
      <c r="B227" s="25" t="s">
        <v>11138</v>
      </c>
      <c r="C227" s="25" t="n">
        <v>2007</v>
      </c>
      <c r="D227" s="25" t="s">
        <v>11160</v>
      </c>
      <c r="E227" s="25" t="s">
        <v>11796</v>
      </c>
      <c r="F227" s="25" t="s">
        <v>11797</v>
      </c>
      <c r="G227" s="28" t="s">
        <v>11798</v>
      </c>
      <c r="H227" s="25" t="n">
        <v>17574850</v>
      </c>
      <c r="I227" s="25"/>
      <c r="J227" s="25" t="n">
        <v>2</v>
      </c>
      <c r="K227" s="25" t="str">
        <f aca="false">IF(J227&gt;0,"Yes","No")</f>
        <v>Yes</v>
      </c>
    </row>
    <row r="228" customFormat="false" ht="15" hidden="false" customHeight="false" outlineLevel="0" collapsed="false">
      <c r="A228" s="25" t="s">
        <v>7522</v>
      </c>
      <c r="B228" s="25" t="s">
        <v>11138</v>
      </c>
      <c r="C228" s="25" t="n">
        <v>2009</v>
      </c>
      <c r="D228" s="25" t="s">
        <v>11160</v>
      </c>
      <c r="E228" s="25" t="s">
        <v>11799</v>
      </c>
      <c r="F228" s="25" t="s">
        <v>11800</v>
      </c>
      <c r="G228" s="28" t="s">
        <v>11801</v>
      </c>
      <c r="H228" s="25" t="n">
        <v>19515560</v>
      </c>
      <c r="I228" s="25"/>
      <c r="J228" s="25" t="n">
        <v>2</v>
      </c>
      <c r="K228" s="25" t="str">
        <f aca="false">IF(J228&gt;0,"Yes","No")</f>
        <v>Yes</v>
      </c>
    </row>
    <row r="229" customFormat="false" ht="15" hidden="false" customHeight="false" outlineLevel="0" collapsed="false">
      <c r="A229" s="25" t="s">
        <v>4907</v>
      </c>
      <c r="B229" s="25" t="s">
        <v>11138</v>
      </c>
      <c r="C229" s="25" t="n">
        <v>2010</v>
      </c>
      <c r="D229" s="25" t="s">
        <v>11160</v>
      </c>
      <c r="E229" s="25" t="s">
        <v>11802</v>
      </c>
      <c r="F229" s="25" t="s">
        <v>11803</v>
      </c>
      <c r="G229" s="28" t="s">
        <v>11804</v>
      </c>
      <c r="H229" s="25" t="n">
        <v>20634067</v>
      </c>
      <c r="I229" s="25"/>
      <c r="J229" s="25" t="n">
        <v>2</v>
      </c>
      <c r="K229" s="25" t="str">
        <f aca="false">IF(J229&gt;0,"Yes","No")</f>
        <v>Yes</v>
      </c>
    </row>
    <row r="230" customFormat="false" ht="15" hidden="false" customHeight="false" outlineLevel="0" collapsed="false">
      <c r="A230" s="25" t="s">
        <v>6062</v>
      </c>
      <c r="B230" s="25" t="s">
        <v>11138</v>
      </c>
      <c r="C230" s="25" t="n">
        <v>2010</v>
      </c>
      <c r="D230" s="25" t="s">
        <v>11160</v>
      </c>
      <c r="E230" s="25" t="s">
        <v>11805</v>
      </c>
      <c r="F230" s="25" t="s">
        <v>11806</v>
      </c>
      <c r="G230" s="28" t="s">
        <v>11807</v>
      </c>
      <c r="H230" s="25" t="n">
        <v>21074434</v>
      </c>
      <c r="I230" s="25"/>
      <c r="J230" s="25" t="n">
        <v>2</v>
      </c>
      <c r="K230" s="25" t="str">
        <f aca="false">IF(J230&gt;0,"Yes","No")</f>
        <v>Yes</v>
      </c>
    </row>
    <row r="231" customFormat="false" ht="15" hidden="false" customHeight="false" outlineLevel="0" collapsed="false">
      <c r="A231" s="25" t="s">
        <v>5414</v>
      </c>
      <c r="B231" s="25" t="s">
        <v>11138</v>
      </c>
      <c r="C231" s="25" t="n">
        <v>2011</v>
      </c>
      <c r="D231" s="25" t="s">
        <v>11160</v>
      </c>
      <c r="E231" s="25" t="s">
        <v>11808</v>
      </c>
      <c r="F231" s="25" t="s">
        <v>11809</v>
      </c>
      <c r="G231" s="28" t="s">
        <v>11810</v>
      </c>
      <c r="H231" s="25" t="n">
        <v>21316962</v>
      </c>
      <c r="I231" s="25"/>
      <c r="J231" s="25" t="n">
        <v>2</v>
      </c>
      <c r="K231" s="25" t="str">
        <f aca="false">IF(J231&gt;0,"Yes","No")</f>
        <v>Yes</v>
      </c>
    </row>
    <row r="232" customFormat="false" ht="15" hidden="false" customHeight="false" outlineLevel="0" collapsed="false">
      <c r="A232" s="25" t="s">
        <v>7062</v>
      </c>
      <c r="B232" s="25" t="s">
        <v>11138</v>
      </c>
      <c r="C232" s="25" t="n">
        <v>2011</v>
      </c>
      <c r="D232" s="25" t="s">
        <v>11155</v>
      </c>
      <c r="E232" s="25" t="s">
        <v>11811</v>
      </c>
      <c r="F232" s="25" t="s">
        <v>11812</v>
      </c>
      <c r="G232" s="28" t="s">
        <v>11813</v>
      </c>
      <c r="H232" s="25" t="n">
        <v>21937154</v>
      </c>
      <c r="I232" s="25"/>
      <c r="J232" s="25" t="n">
        <v>2</v>
      </c>
      <c r="K232" s="25" t="str">
        <f aca="false">IF(J232&gt;0,"Yes","No")</f>
        <v>Yes</v>
      </c>
    </row>
    <row r="233" customFormat="false" ht="15" hidden="false" customHeight="false" outlineLevel="0" collapsed="false">
      <c r="A233" s="25" t="s">
        <v>2010</v>
      </c>
      <c r="B233" s="25" t="s">
        <v>11138</v>
      </c>
      <c r="C233" s="25" t="n">
        <v>2012</v>
      </c>
      <c r="D233" s="25" t="s">
        <v>11200</v>
      </c>
      <c r="E233" s="25" t="s">
        <v>11814</v>
      </c>
      <c r="F233" s="25" t="s">
        <v>11815</v>
      </c>
      <c r="G233" s="28" t="s">
        <v>11816</v>
      </c>
      <c r="H233" s="25" t="n">
        <v>22172309</v>
      </c>
      <c r="I233" s="25"/>
      <c r="J233" s="25" t="n">
        <v>2</v>
      </c>
      <c r="K233" s="25" t="str">
        <f aca="false">IF(J233&gt;0,"Yes","No")</f>
        <v>Yes</v>
      </c>
    </row>
    <row r="234" customFormat="false" ht="15" hidden="false" customHeight="false" outlineLevel="0" collapsed="false">
      <c r="A234" s="25" t="s">
        <v>5427</v>
      </c>
      <c r="B234" s="25" t="s">
        <v>11138</v>
      </c>
      <c r="C234" s="25" t="n">
        <v>2012</v>
      </c>
      <c r="D234" s="25" t="s">
        <v>11160</v>
      </c>
      <c r="E234" s="25" t="s">
        <v>11817</v>
      </c>
      <c r="F234" s="25" t="s">
        <v>11818</v>
      </c>
      <c r="G234" s="28" t="s">
        <v>11819</v>
      </c>
      <c r="H234" s="25" t="n">
        <v>22209458</v>
      </c>
      <c r="I234" s="25"/>
      <c r="J234" s="25" t="n">
        <v>2</v>
      </c>
      <c r="K234" s="25" t="str">
        <f aca="false">IF(J234&gt;0,"Yes","No")</f>
        <v>Yes</v>
      </c>
    </row>
    <row r="235" customFormat="false" ht="15" hidden="false" customHeight="false" outlineLevel="0" collapsed="false">
      <c r="A235" s="25" t="s">
        <v>560</v>
      </c>
      <c r="B235" s="25" t="s">
        <v>11138</v>
      </c>
      <c r="C235" s="25" t="n">
        <v>2012</v>
      </c>
      <c r="D235" s="25" t="s">
        <v>11160</v>
      </c>
      <c r="E235" s="25" t="s">
        <v>11820</v>
      </c>
      <c r="F235" s="25" t="s">
        <v>11821</v>
      </c>
      <c r="G235" s="28" t="s">
        <v>11822</v>
      </c>
      <c r="H235" s="25" t="n">
        <v>22284817</v>
      </c>
      <c r="I235" s="25"/>
      <c r="J235" s="25" t="n">
        <v>2</v>
      </c>
      <c r="K235" s="25" t="str">
        <f aca="false">IF(J235&gt;0,"Yes","No")</f>
        <v>Yes</v>
      </c>
    </row>
    <row r="236" customFormat="false" ht="15" hidden="false" customHeight="false" outlineLevel="0" collapsed="false">
      <c r="A236" s="25" t="s">
        <v>2239</v>
      </c>
      <c r="B236" s="25" t="s">
        <v>11138</v>
      </c>
      <c r="C236" s="25" t="n">
        <v>2014</v>
      </c>
      <c r="D236" s="25" t="s">
        <v>11167</v>
      </c>
      <c r="E236" s="25" t="s">
        <v>11823</v>
      </c>
      <c r="F236" s="25" t="s">
        <v>11824</v>
      </c>
      <c r="G236" s="28" t="s">
        <v>11825</v>
      </c>
      <c r="H236" s="25" t="n">
        <v>24900848</v>
      </c>
      <c r="I236" s="25"/>
      <c r="J236" s="25" t="n">
        <v>2</v>
      </c>
      <c r="K236" s="25" t="str">
        <f aca="false">IF(J236&gt;0,"Yes","No")</f>
        <v>Yes</v>
      </c>
    </row>
    <row r="237" customFormat="false" ht="15" hidden="false" customHeight="false" outlineLevel="0" collapsed="false">
      <c r="A237" s="25" t="s">
        <v>6057</v>
      </c>
      <c r="B237" s="25" t="s">
        <v>11138</v>
      </c>
      <c r="C237" s="25" t="n">
        <v>2010</v>
      </c>
      <c r="D237" s="25" t="s">
        <v>11498</v>
      </c>
      <c r="E237" s="25" t="s">
        <v>11826</v>
      </c>
      <c r="F237" s="25" t="s">
        <v>11827</v>
      </c>
      <c r="G237" s="28" t="s">
        <v>11828</v>
      </c>
      <c r="H237" s="25"/>
      <c r="I237" s="25"/>
      <c r="J237" s="25" t="n">
        <v>2</v>
      </c>
      <c r="K237" s="25" t="str">
        <f aca="false">IF(J237&gt;0,"Yes","No")</f>
        <v>Yes</v>
      </c>
    </row>
    <row r="238" customFormat="false" ht="15" hidden="false" customHeight="false" outlineLevel="0" collapsed="false">
      <c r="A238" s="25" t="s">
        <v>5712</v>
      </c>
      <c r="B238" s="25" t="s">
        <v>11138</v>
      </c>
      <c r="C238" s="25" t="n">
        <v>2015</v>
      </c>
      <c r="D238" s="25" t="s">
        <v>11526</v>
      </c>
      <c r="E238" s="25" t="s">
        <v>11829</v>
      </c>
      <c r="F238" s="25" t="s">
        <v>11830</v>
      </c>
      <c r="G238" s="28" t="s">
        <v>11831</v>
      </c>
      <c r="H238" s="25" t="n">
        <v>26149623</v>
      </c>
      <c r="I238" s="25"/>
      <c r="J238" s="25" t="n">
        <v>2</v>
      </c>
      <c r="K238" s="25" t="str">
        <f aca="false">IF(J238&gt;0,"Yes","No")</f>
        <v>Yes</v>
      </c>
    </row>
    <row r="239" customFormat="false" ht="15" hidden="false" customHeight="false" outlineLevel="0" collapsed="false">
      <c r="A239" s="25" t="s">
        <v>5475</v>
      </c>
      <c r="B239" s="25" t="s">
        <v>11138</v>
      </c>
      <c r="C239" s="25" t="n">
        <v>2018</v>
      </c>
      <c r="D239" s="25" t="s">
        <v>11155</v>
      </c>
      <c r="E239" s="25" t="s">
        <v>11832</v>
      </c>
      <c r="F239" s="25" t="s">
        <v>11833</v>
      </c>
      <c r="G239" s="28" t="s">
        <v>11834</v>
      </c>
      <c r="H239" s="25" t="n">
        <v>29902723</v>
      </c>
      <c r="I239" s="25"/>
      <c r="J239" s="25" t="n">
        <v>2</v>
      </c>
      <c r="K239" s="25" t="str">
        <f aca="false">IF(J239&gt;0,"Yes","No")</f>
        <v>Yes</v>
      </c>
    </row>
    <row r="240" customFormat="false" ht="15" hidden="false" customHeight="false" outlineLevel="0" collapsed="false">
      <c r="A240" s="25" t="s">
        <v>7919</v>
      </c>
      <c r="B240" s="25" t="s">
        <v>11138</v>
      </c>
      <c r="C240" s="25" t="n">
        <v>2017</v>
      </c>
      <c r="D240" s="25" t="s">
        <v>11200</v>
      </c>
      <c r="E240" s="25" t="s">
        <v>11835</v>
      </c>
      <c r="F240" s="25" t="s">
        <v>11836</v>
      </c>
      <c r="G240" s="28" t="s">
        <v>11837</v>
      </c>
      <c r="H240" s="25" t="n">
        <v>29079014</v>
      </c>
      <c r="I240" s="25"/>
      <c r="J240" s="25" t="n">
        <v>2</v>
      </c>
      <c r="K240" s="25" t="str">
        <f aca="false">IF(J240&gt;0,"Yes","No")</f>
        <v>Yes</v>
      </c>
    </row>
    <row r="241" customFormat="false" ht="15" hidden="false" customHeight="false" outlineLevel="0" collapsed="false">
      <c r="A241" s="25" t="s">
        <v>3365</v>
      </c>
      <c r="B241" s="25" t="s">
        <v>11138</v>
      </c>
      <c r="C241" s="25" t="n">
        <v>2020</v>
      </c>
      <c r="D241" s="25" t="s">
        <v>11139</v>
      </c>
      <c r="E241" s="25" t="s">
        <v>11838</v>
      </c>
      <c r="F241" s="25" t="s">
        <v>11839</v>
      </c>
      <c r="G241" s="28" t="s">
        <v>11840</v>
      </c>
      <c r="H241" s="25" t="n">
        <v>32686940</v>
      </c>
      <c r="I241" s="25"/>
      <c r="J241" s="25" t="n">
        <v>2</v>
      </c>
      <c r="K241" s="25" t="str">
        <f aca="false">IF(J241&gt;0,"Yes","No")</f>
        <v>Yes</v>
      </c>
    </row>
    <row r="242" customFormat="false" ht="15" hidden="false" customHeight="false" outlineLevel="0" collapsed="false">
      <c r="A242" s="25" t="s">
        <v>988</v>
      </c>
      <c r="B242" s="25" t="s">
        <v>11138</v>
      </c>
      <c r="C242" s="25" t="n">
        <v>2021</v>
      </c>
      <c r="D242" s="25" t="s">
        <v>11155</v>
      </c>
      <c r="E242" s="25" t="s">
        <v>11841</v>
      </c>
      <c r="F242" s="25" t="s">
        <v>11842</v>
      </c>
      <c r="G242" s="28" t="s">
        <v>11843</v>
      </c>
      <c r="H242" s="25" t="n">
        <v>33321261</v>
      </c>
      <c r="I242" s="25"/>
      <c r="J242" s="25" t="n">
        <v>2</v>
      </c>
      <c r="K242" s="25" t="str">
        <f aca="false">IF(J242&gt;0,"Yes","No")</f>
        <v>Yes</v>
      </c>
    </row>
    <row r="243" customFormat="false" ht="15" hidden="false" customHeight="false" outlineLevel="0" collapsed="false">
      <c r="A243" s="25" t="s">
        <v>3004</v>
      </c>
      <c r="B243" s="25" t="s">
        <v>11138</v>
      </c>
      <c r="C243" s="25" t="n">
        <v>2021</v>
      </c>
      <c r="D243" s="25" t="s">
        <v>11526</v>
      </c>
      <c r="E243" s="25" t="s">
        <v>11844</v>
      </c>
      <c r="F243" s="25" t="s">
        <v>11845</v>
      </c>
      <c r="G243" s="28" t="s">
        <v>11846</v>
      </c>
      <c r="H243" s="25" t="n">
        <v>34304557</v>
      </c>
      <c r="I243" s="25"/>
      <c r="J243" s="25" t="n">
        <v>2</v>
      </c>
      <c r="K243" s="25" t="str">
        <f aca="false">IF(J243&gt;0,"Yes","No")</f>
        <v>Yes</v>
      </c>
    </row>
    <row r="244" customFormat="false" ht="15" hidden="false" customHeight="false" outlineLevel="0" collapsed="false">
      <c r="A244" s="25" t="s">
        <v>3189</v>
      </c>
      <c r="B244" s="25" t="s">
        <v>11138</v>
      </c>
      <c r="C244" s="25" t="n">
        <v>2022</v>
      </c>
      <c r="D244" s="25" t="s">
        <v>11200</v>
      </c>
      <c r="E244" s="25" t="s">
        <v>11847</v>
      </c>
      <c r="F244" s="25" t="s">
        <v>11848</v>
      </c>
      <c r="G244" s="28" t="s">
        <v>11849</v>
      </c>
      <c r="H244" s="25" t="n">
        <v>35033884</v>
      </c>
      <c r="I244" s="25"/>
      <c r="J244" s="25" t="n">
        <v>2</v>
      </c>
      <c r="K244" s="25" t="str">
        <f aca="false">IF(J244&gt;0,"Yes","No")</f>
        <v>Yes</v>
      </c>
    </row>
    <row r="245" customFormat="false" ht="15" hidden="false" customHeight="false" outlineLevel="0" collapsed="false">
      <c r="A245" s="25" t="s">
        <v>6046</v>
      </c>
      <c r="B245" s="25" t="s">
        <v>11138</v>
      </c>
      <c r="C245" s="25" t="n">
        <v>2022</v>
      </c>
      <c r="D245" s="25" t="s">
        <v>11139</v>
      </c>
      <c r="E245" s="25" t="s">
        <v>11850</v>
      </c>
      <c r="F245" s="25" t="s">
        <v>11851</v>
      </c>
      <c r="G245" s="28" t="s">
        <v>11852</v>
      </c>
      <c r="H245" s="25" t="n">
        <v>35771668</v>
      </c>
      <c r="I245" s="25"/>
      <c r="J245" s="25" t="n">
        <v>2</v>
      </c>
      <c r="K245" s="25" t="str">
        <f aca="false">IF(J245&gt;0,"Yes","No")</f>
        <v>Yes</v>
      </c>
    </row>
    <row r="246" customFormat="false" ht="15" hidden="false" customHeight="false" outlineLevel="0" collapsed="false">
      <c r="A246" s="25" t="s">
        <v>4116</v>
      </c>
      <c r="B246" s="25" t="s">
        <v>11138</v>
      </c>
      <c r="C246" s="25" t="n">
        <v>2021</v>
      </c>
      <c r="D246" s="25" t="s">
        <v>11139</v>
      </c>
      <c r="E246" s="25" t="s">
        <v>11853</v>
      </c>
      <c r="F246" s="25" t="s">
        <v>11854</v>
      </c>
      <c r="G246" s="28" t="s">
        <v>11855</v>
      </c>
      <c r="H246" s="25" t="n">
        <v>34905377</v>
      </c>
      <c r="I246" s="25"/>
      <c r="J246" s="25" t="n">
        <v>2</v>
      </c>
      <c r="K246" s="25" t="str">
        <f aca="false">IF(J246&gt;0,"Yes","No")</f>
        <v>Yes</v>
      </c>
    </row>
    <row r="247" customFormat="false" ht="15" hidden="false" customHeight="false" outlineLevel="0" collapsed="false">
      <c r="A247" s="25" t="s">
        <v>4018</v>
      </c>
      <c r="B247" s="25" t="s">
        <v>11138</v>
      </c>
      <c r="C247" s="25" t="n">
        <v>2022</v>
      </c>
      <c r="D247" s="25" t="s">
        <v>11275</v>
      </c>
      <c r="E247" s="25" t="s">
        <v>11856</v>
      </c>
      <c r="F247" s="25" t="s">
        <v>11857</v>
      </c>
      <c r="G247" s="28" t="s">
        <v>11858</v>
      </c>
      <c r="H247" s="25" t="n">
        <v>35694688</v>
      </c>
      <c r="I247" s="25"/>
      <c r="J247" s="25" t="n">
        <v>2</v>
      </c>
      <c r="K247" s="25" t="str">
        <f aca="false">IF(J247&gt;0,"Yes","No")</f>
        <v>Yes</v>
      </c>
    </row>
    <row r="248" customFormat="false" ht="15" hidden="false" customHeight="false" outlineLevel="0" collapsed="false">
      <c r="A248" s="25" t="s">
        <v>2276</v>
      </c>
      <c r="B248" s="25" t="s">
        <v>11138</v>
      </c>
      <c r="C248" s="25" t="n">
        <v>2016</v>
      </c>
      <c r="D248" s="25" t="s">
        <v>11155</v>
      </c>
      <c r="E248" s="25" t="s">
        <v>11859</v>
      </c>
      <c r="F248" s="25" t="s">
        <v>11860</v>
      </c>
      <c r="G248" s="28" t="s">
        <v>11861</v>
      </c>
      <c r="H248" s="25" t="n">
        <v>27494166</v>
      </c>
      <c r="I248" s="25"/>
      <c r="J248" s="25" t="n">
        <v>2</v>
      </c>
      <c r="K248" s="25" t="str">
        <f aca="false">IF(J248&gt;0,"Yes","No")</f>
        <v>Yes</v>
      </c>
    </row>
    <row r="249" customFormat="false" ht="15" hidden="false" customHeight="false" outlineLevel="0" collapsed="false">
      <c r="A249" s="25" t="s">
        <v>3321</v>
      </c>
      <c r="B249" s="25" t="s">
        <v>11152</v>
      </c>
      <c r="C249" s="25" t="n">
        <v>2019</v>
      </c>
      <c r="D249" s="25"/>
      <c r="E249" s="25" t="s">
        <v>11862</v>
      </c>
      <c r="F249" s="25"/>
      <c r="G249" s="25"/>
      <c r="H249" s="25"/>
      <c r="I249" s="25" t="s">
        <v>11863</v>
      </c>
      <c r="J249" s="25" t="n">
        <v>2</v>
      </c>
      <c r="K249" s="25" t="str">
        <f aca="false">IF(J249&gt;0,"Yes","No")</f>
        <v>Yes</v>
      </c>
    </row>
    <row r="250" customFormat="false" ht="15" hidden="false" customHeight="false" outlineLevel="0" collapsed="false">
      <c r="A250" s="25" t="s">
        <v>6274</v>
      </c>
      <c r="B250" s="25" t="s">
        <v>11138</v>
      </c>
      <c r="C250" s="25" t="n">
        <v>2006</v>
      </c>
      <c r="D250" s="25" t="s">
        <v>11160</v>
      </c>
      <c r="E250" s="25" t="s">
        <v>11864</v>
      </c>
      <c r="F250" s="25" t="s">
        <v>11865</v>
      </c>
      <c r="G250" s="28" t="s">
        <v>11866</v>
      </c>
      <c r="H250" s="25" t="n">
        <v>16682198</v>
      </c>
      <c r="I250" s="25"/>
      <c r="J250" s="25" t="n">
        <v>1</v>
      </c>
      <c r="K250" s="25" t="str">
        <f aca="false">IF(J250&gt;0,"Yes","No")</f>
        <v>Yes</v>
      </c>
    </row>
    <row r="251" customFormat="false" ht="15" hidden="false" customHeight="false" outlineLevel="0" collapsed="false">
      <c r="A251" s="25" t="s">
        <v>2663</v>
      </c>
      <c r="B251" s="25" t="s">
        <v>11138</v>
      </c>
      <c r="C251" s="25" t="n">
        <v>2009</v>
      </c>
      <c r="D251" s="25" t="s">
        <v>11139</v>
      </c>
      <c r="E251" s="25" t="s">
        <v>11867</v>
      </c>
      <c r="F251" s="25" t="s">
        <v>11868</v>
      </c>
      <c r="G251" s="28" t="s">
        <v>11869</v>
      </c>
      <c r="H251" s="25" t="n">
        <v>19115816</v>
      </c>
      <c r="I251" s="25"/>
      <c r="J251" s="25" t="n">
        <v>1</v>
      </c>
      <c r="K251" s="25" t="str">
        <f aca="false">IF(J251&gt;0,"Yes","No")</f>
        <v>Yes</v>
      </c>
    </row>
    <row r="252" customFormat="false" ht="15" hidden="false" customHeight="false" outlineLevel="0" collapsed="false">
      <c r="A252" s="25" t="s">
        <v>5300</v>
      </c>
      <c r="B252" s="25" t="s">
        <v>11138</v>
      </c>
      <c r="C252" s="25" t="n">
        <v>2005</v>
      </c>
      <c r="D252" s="25" t="s">
        <v>11139</v>
      </c>
      <c r="E252" s="25" t="s">
        <v>11870</v>
      </c>
      <c r="F252" s="25" t="s">
        <v>11871</v>
      </c>
      <c r="G252" s="28" t="s">
        <v>11872</v>
      </c>
      <c r="H252" s="25" t="n">
        <v>16078824</v>
      </c>
      <c r="I252" s="25"/>
      <c r="J252" s="25" t="n">
        <v>1</v>
      </c>
      <c r="K252" s="25" t="str">
        <f aca="false">IF(J252&gt;0,"Yes","No")</f>
        <v>Yes</v>
      </c>
    </row>
    <row r="253" customFormat="false" ht="15" hidden="false" customHeight="false" outlineLevel="0" collapsed="false">
      <c r="A253" s="25" t="s">
        <v>6279</v>
      </c>
      <c r="B253" s="25" t="s">
        <v>11138</v>
      </c>
      <c r="C253" s="25" t="n">
        <v>2009</v>
      </c>
      <c r="D253" s="25" t="s">
        <v>11139</v>
      </c>
      <c r="E253" s="25" t="s">
        <v>11873</v>
      </c>
      <c r="F253" s="25" t="s">
        <v>11874</v>
      </c>
      <c r="G253" s="28" t="s">
        <v>11875</v>
      </c>
      <c r="H253" s="25" t="n">
        <v>19161308</v>
      </c>
      <c r="I253" s="25"/>
      <c r="J253" s="25" t="n">
        <v>1</v>
      </c>
      <c r="K253" s="25" t="str">
        <f aca="false">IF(J253&gt;0,"Yes","No")</f>
        <v>Yes</v>
      </c>
    </row>
    <row r="254" customFormat="false" ht="15" hidden="false" customHeight="false" outlineLevel="0" collapsed="false">
      <c r="A254" s="25" t="s">
        <v>6928</v>
      </c>
      <c r="B254" s="25" t="s">
        <v>11138</v>
      </c>
      <c r="C254" s="25" t="n">
        <v>2008</v>
      </c>
      <c r="D254" s="25" t="s">
        <v>11160</v>
      </c>
      <c r="E254" s="25" t="s">
        <v>11876</v>
      </c>
      <c r="F254" s="25" t="s">
        <v>11877</v>
      </c>
      <c r="G254" s="28" t="s">
        <v>11878</v>
      </c>
      <c r="H254" s="25" t="n">
        <v>18255291</v>
      </c>
      <c r="I254" s="25"/>
      <c r="J254" s="25" t="n">
        <v>1</v>
      </c>
      <c r="K254" s="25" t="str">
        <f aca="false">IF(J254&gt;0,"Yes","No")</f>
        <v>Yes</v>
      </c>
    </row>
    <row r="255" customFormat="false" ht="15" hidden="false" customHeight="false" outlineLevel="0" collapsed="false">
      <c r="A255" s="25" t="s">
        <v>2505</v>
      </c>
      <c r="B255" s="25" t="s">
        <v>11138</v>
      </c>
      <c r="C255" s="25" t="n">
        <v>2007</v>
      </c>
      <c r="D255" s="25" t="s">
        <v>11526</v>
      </c>
      <c r="E255" s="25" t="s">
        <v>11879</v>
      </c>
      <c r="F255" s="25" t="s">
        <v>11880</v>
      </c>
      <c r="G255" s="28" t="s">
        <v>11881</v>
      </c>
      <c r="H255" s="25" t="n">
        <v>17497806</v>
      </c>
      <c r="I255" s="25"/>
      <c r="J255" s="25" t="n">
        <v>1</v>
      </c>
      <c r="K255" s="25" t="str">
        <f aca="false">IF(J255&gt;0,"Yes","No")</f>
        <v>Yes</v>
      </c>
    </row>
    <row r="256" customFormat="false" ht="15" hidden="false" customHeight="false" outlineLevel="0" collapsed="false">
      <c r="A256" s="25" t="s">
        <v>5870</v>
      </c>
      <c r="B256" s="25" t="s">
        <v>11138</v>
      </c>
      <c r="C256" s="25" t="n">
        <v>2005</v>
      </c>
      <c r="D256" s="25" t="s">
        <v>11160</v>
      </c>
      <c r="E256" s="25" t="s">
        <v>11882</v>
      </c>
      <c r="F256" s="25" t="s">
        <v>11883</v>
      </c>
      <c r="G256" s="28" t="s">
        <v>11884</v>
      </c>
      <c r="H256" s="25" t="n">
        <v>15664857</v>
      </c>
      <c r="I256" s="25"/>
      <c r="J256" s="25" t="n">
        <v>1</v>
      </c>
      <c r="K256" s="25" t="str">
        <f aca="false">IF(J256&gt;0,"Yes","No")</f>
        <v>Yes</v>
      </c>
    </row>
    <row r="257" customFormat="false" ht="15" hidden="false" customHeight="false" outlineLevel="0" collapsed="false">
      <c r="A257" s="25" t="s">
        <v>7108</v>
      </c>
      <c r="B257" s="25" t="s">
        <v>11138</v>
      </c>
      <c r="C257" s="25" t="n">
        <v>2007</v>
      </c>
      <c r="D257" s="25" t="s">
        <v>11160</v>
      </c>
      <c r="E257" s="25" t="s">
        <v>11885</v>
      </c>
      <c r="F257" s="25" t="s">
        <v>11886</v>
      </c>
      <c r="G257" s="28" t="s">
        <v>11887</v>
      </c>
      <c r="H257" s="25" t="n">
        <v>17459705</v>
      </c>
      <c r="I257" s="25"/>
      <c r="J257" s="25" t="n">
        <v>1</v>
      </c>
      <c r="K257" s="25" t="str">
        <f aca="false">IF(J257&gt;0,"Yes","No")</f>
        <v>Yes</v>
      </c>
    </row>
    <row r="258" customFormat="false" ht="15" hidden="false" customHeight="false" outlineLevel="0" collapsed="false">
      <c r="A258" s="25" t="s">
        <v>8221</v>
      </c>
      <c r="B258" s="25" t="s">
        <v>11138</v>
      </c>
      <c r="C258" s="25" t="n">
        <v>2010</v>
      </c>
      <c r="D258" s="25" t="s">
        <v>11139</v>
      </c>
      <c r="E258" s="25" t="s">
        <v>11888</v>
      </c>
      <c r="F258" s="25" t="s">
        <v>11889</v>
      </c>
      <c r="G258" s="28" t="s">
        <v>11890</v>
      </c>
      <c r="H258" s="25" t="n">
        <v>20047331</v>
      </c>
      <c r="I258" s="25"/>
      <c r="J258" s="25" t="n">
        <v>1</v>
      </c>
      <c r="K258" s="25" t="str">
        <f aca="false">IF(J258&gt;0,"Yes","No")</f>
        <v>Yes</v>
      </c>
    </row>
    <row r="259" customFormat="false" ht="15" hidden="false" customHeight="false" outlineLevel="0" collapsed="false">
      <c r="A259" s="25" t="s">
        <v>7271</v>
      </c>
      <c r="B259" s="25" t="s">
        <v>11138</v>
      </c>
      <c r="C259" s="25" t="n">
        <v>2011</v>
      </c>
      <c r="D259" s="25" t="s">
        <v>11160</v>
      </c>
      <c r="E259" s="25" t="s">
        <v>11891</v>
      </c>
      <c r="F259" s="25" t="s">
        <v>11892</v>
      </c>
      <c r="G259" s="28" t="s">
        <v>11893</v>
      </c>
      <c r="H259" s="25" t="n">
        <v>21115245</v>
      </c>
      <c r="I259" s="25"/>
      <c r="J259" s="25" t="n">
        <v>1</v>
      </c>
      <c r="K259" s="25" t="str">
        <f aca="false">IF(J259&gt;0,"Yes","No")</f>
        <v>Yes</v>
      </c>
    </row>
    <row r="260" customFormat="false" ht="15" hidden="false" customHeight="false" outlineLevel="0" collapsed="false">
      <c r="A260" s="25" t="s">
        <v>6008</v>
      </c>
      <c r="B260" s="25" t="s">
        <v>11138</v>
      </c>
      <c r="C260" s="25" t="n">
        <v>2011</v>
      </c>
      <c r="D260" s="25" t="s">
        <v>11160</v>
      </c>
      <c r="E260" s="25" t="s">
        <v>11894</v>
      </c>
      <c r="F260" s="25" t="s">
        <v>11895</v>
      </c>
      <c r="G260" s="28" t="s">
        <v>11896</v>
      </c>
      <c r="H260" s="25" t="n">
        <v>21420860</v>
      </c>
      <c r="I260" s="25"/>
      <c r="J260" s="25" t="n">
        <v>1</v>
      </c>
      <c r="K260" s="25" t="str">
        <f aca="false">IF(J260&gt;0,"Yes","No")</f>
        <v>Yes</v>
      </c>
    </row>
    <row r="261" customFormat="false" ht="15" hidden="false" customHeight="false" outlineLevel="0" collapsed="false">
      <c r="A261" s="25" t="s">
        <v>6708</v>
      </c>
      <c r="B261" s="25" t="s">
        <v>11138</v>
      </c>
      <c r="C261" s="25" t="n">
        <v>2011</v>
      </c>
      <c r="D261" s="25" t="s">
        <v>11200</v>
      </c>
      <c r="E261" s="25" t="s">
        <v>11897</v>
      </c>
      <c r="F261" s="25" t="s">
        <v>11898</v>
      </c>
      <c r="G261" s="28" t="s">
        <v>11899</v>
      </c>
      <c r="H261" s="25" t="n">
        <v>21737287</v>
      </c>
      <c r="I261" s="25"/>
      <c r="J261" s="25" t="n">
        <v>1</v>
      </c>
      <c r="K261" s="25" t="str">
        <f aca="false">IF(J261&gt;0,"Yes","No")</f>
        <v>Yes</v>
      </c>
    </row>
    <row r="262" customFormat="false" ht="15" hidden="false" customHeight="false" outlineLevel="0" collapsed="false">
      <c r="A262" s="25" t="s">
        <v>2974</v>
      </c>
      <c r="B262" s="25" t="s">
        <v>11138</v>
      </c>
      <c r="C262" s="25" t="n">
        <v>2011</v>
      </c>
      <c r="D262" s="25" t="s">
        <v>11526</v>
      </c>
      <c r="E262" s="25" t="s">
        <v>11900</v>
      </c>
      <c r="F262" s="25" t="s">
        <v>11901</v>
      </c>
      <c r="G262" s="28" t="s">
        <v>11902</v>
      </c>
      <c r="H262" s="25" t="n">
        <v>21902175</v>
      </c>
      <c r="I262" s="25"/>
      <c r="J262" s="25" t="n">
        <v>1</v>
      </c>
      <c r="K262" s="25" t="str">
        <f aca="false">IF(J262&gt;0,"Yes","No")</f>
        <v>Yes</v>
      </c>
    </row>
    <row r="263" customFormat="false" ht="15" hidden="false" customHeight="false" outlineLevel="0" collapsed="false">
      <c r="A263" s="25" t="s">
        <v>2824</v>
      </c>
      <c r="B263" s="25" t="s">
        <v>11138</v>
      </c>
      <c r="C263" s="25" t="n">
        <v>2011</v>
      </c>
      <c r="D263" s="25" t="s">
        <v>11160</v>
      </c>
      <c r="E263" s="25" t="s">
        <v>11903</v>
      </c>
      <c r="F263" s="25" t="s">
        <v>11904</v>
      </c>
      <c r="G263" s="28" t="s">
        <v>11905</v>
      </c>
      <c r="H263" s="25" t="n">
        <v>21855337</v>
      </c>
      <c r="I263" s="25"/>
      <c r="J263" s="25" t="n">
        <v>1</v>
      </c>
      <c r="K263" s="25" t="str">
        <f aca="false">IF(J263&gt;0,"Yes","No")</f>
        <v>Yes</v>
      </c>
    </row>
    <row r="264" customFormat="false" ht="15" hidden="false" customHeight="false" outlineLevel="0" collapsed="false">
      <c r="A264" s="25" t="s">
        <v>5490</v>
      </c>
      <c r="B264" s="25" t="s">
        <v>11138</v>
      </c>
      <c r="C264" s="25" t="n">
        <v>2013</v>
      </c>
      <c r="D264" s="25" t="s">
        <v>11139</v>
      </c>
      <c r="E264" s="25" t="s">
        <v>11906</v>
      </c>
      <c r="F264" s="25" t="s">
        <v>11907</v>
      </c>
      <c r="G264" s="28" t="s">
        <v>11908</v>
      </c>
      <c r="H264" s="25" t="n">
        <v>23672690</v>
      </c>
      <c r="I264" s="25"/>
      <c r="J264" s="25" t="n">
        <v>1</v>
      </c>
      <c r="K264" s="25" t="str">
        <f aca="false">IF(J264&gt;0,"Yes","No")</f>
        <v>Yes</v>
      </c>
    </row>
    <row r="265" customFormat="false" ht="15" hidden="false" customHeight="false" outlineLevel="0" collapsed="false">
      <c r="A265" s="25" t="s">
        <v>5069</v>
      </c>
      <c r="B265" s="25" t="s">
        <v>11138</v>
      </c>
      <c r="C265" s="25" t="n">
        <v>2014</v>
      </c>
      <c r="D265" s="25" t="s">
        <v>11155</v>
      </c>
      <c r="E265" s="25" t="s">
        <v>11909</v>
      </c>
      <c r="F265" s="25" t="s">
        <v>11910</v>
      </c>
      <c r="G265" s="28" t="s">
        <v>11911</v>
      </c>
      <c r="H265" s="25" t="n">
        <v>24602792</v>
      </c>
      <c r="I265" s="25"/>
      <c r="J265" s="25" t="n">
        <v>1</v>
      </c>
      <c r="K265" s="25" t="str">
        <f aca="false">IF(J265&gt;0,"Yes","No")</f>
        <v>Yes</v>
      </c>
    </row>
    <row r="266" customFormat="false" ht="15" hidden="false" customHeight="false" outlineLevel="0" collapsed="false">
      <c r="A266" s="25" t="s">
        <v>2341</v>
      </c>
      <c r="B266" s="25" t="s">
        <v>11138</v>
      </c>
      <c r="C266" s="25" t="n">
        <v>2014</v>
      </c>
      <c r="D266" s="25" t="s">
        <v>11200</v>
      </c>
      <c r="E266" s="25" t="s">
        <v>11912</v>
      </c>
      <c r="F266" s="25" t="s">
        <v>11913</v>
      </c>
      <c r="G266" s="28" t="s">
        <v>11914</v>
      </c>
      <c r="H266" s="25" t="n">
        <v>24856183</v>
      </c>
      <c r="I266" s="25"/>
      <c r="J266" s="25" t="n">
        <v>1</v>
      </c>
      <c r="K266" s="25" t="str">
        <f aca="false">IF(J266&gt;0,"Yes","No")</f>
        <v>Yes</v>
      </c>
    </row>
    <row r="267" customFormat="false" ht="15" hidden="false" customHeight="false" outlineLevel="0" collapsed="false">
      <c r="A267" s="25" t="s">
        <v>7144</v>
      </c>
      <c r="B267" s="25" t="s">
        <v>11138</v>
      </c>
      <c r="C267" s="25" t="n">
        <v>2014</v>
      </c>
      <c r="D267" s="25" t="s">
        <v>11160</v>
      </c>
      <c r="E267" s="25" t="s">
        <v>11915</v>
      </c>
      <c r="F267" s="25" t="s">
        <v>11916</v>
      </c>
      <c r="G267" s="28" t="s">
        <v>11917</v>
      </c>
      <c r="H267" s="25" t="n">
        <v>25466177</v>
      </c>
      <c r="I267" s="25"/>
      <c r="J267" s="25" t="n">
        <v>1</v>
      </c>
      <c r="K267" s="25" t="str">
        <f aca="false">IF(J267&gt;0,"Yes","No")</f>
        <v>Yes</v>
      </c>
    </row>
    <row r="268" customFormat="false" ht="15" hidden="false" customHeight="false" outlineLevel="0" collapsed="false">
      <c r="A268" s="25" t="s">
        <v>457</v>
      </c>
      <c r="B268" s="25" t="s">
        <v>11138</v>
      </c>
      <c r="C268" s="25" t="n">
        <v>2014</v>
      </c>
      <c r="D268" s="25" t="s">
        <v>11160</v>
      </c>
      <c r="E268" s="25" t="s">
        <v>11918</v>
      </c>
      <c r="F268" s="25" t="s">
        <v>11919</v>
      </c>
      <c r="G268" s="28" t="s">
        <v>11920</v>
      </c>
      <c r="H268" s="25" t="n">
        <v>24856059</v>
      </c>
      <c r="I268" s="25"/>
      <c r="J268" s="25" t="n">
        <v>1</v>
      </c>
      <c r="K268" s="25" t="str">
        <f aca="false">IF(J268&gt;0,"Yes","No")</f>
        <v>Yes</v>
      </c>
    </row>
    <row r="269" customFormat="false" ht="15" hidden="false" customHeight="false" outlineLevel="0" collapsed="false">
      <c r="A269" s="25" t="s">
        <v>6986</v>
      </c>
      <c r="B269" s="25" t="s">
        <v>11138</v>
      </c>
      <c r="C269" s="25" t="n">
        <v>2018</v>
      </c>
      <c r="D269" s="25" t="s">
        <v>11200</v>
      </c>
      <c r="E269" s="25" t="s">
        <v>11921</v>
      </c>
      <c r="F269" s="25" t="s">
        <v>11922</v>
      </c>
      <c r="G269" s="28" t="s">
        <v>11923</v>
      </c>
      <c r="H269" s="25" t="n">
        <v>29229226</v>
      </c>
      <c r="I269" s="25"/>
      <c r="J269" s="25" t="n">
        <v>1</v>
      </c>
      <c r="K269" s="25" t="str">
        <f aca="false">IF(J269&gt;0,"Yes","No")</f>
        <v>Yes</v>
      </c>
    </row>
    <row r="270" customFormat="false" ht="15" hidden="false" customHeight="false" outlineLevel="0" collapsed="false">
      <c r="A270" s="25" t="s">
        <v>4201</v>
      </c>
      <c r="B270" s="25" t="s">
        <v>11138</v>
      </c>
      <c r="C270" s="25" t="n">
        <v>2020</v>
      </c>
      <c r="D270" s="25" t="s">
        <v>11526</v>
      </c>
      <c r="E270" s="25" t="s">
        <v>11924</v>
      </c>
      <c r="F270" s="25" t="s">
        <v>11925</v>
      </c>
      <c r="G270" s="28" t="s">
        <v>11926</v>
      </c>
      <c r="H270" s="25" t="n">
        <v>31891265</v>
      </c>
      <c r="I270" s="25"/>
      <c r="J270" s="25" t="n">
        <v>1</v>
      </c>
      <c r="K270" s="25" t="str">
        <f aca="false">IF(J270&gt;0,"Yes","No")</f>
        <v>Yes</v>
      </c>
    </row>
    <row r="271" customFormat="false" ht="15" hidden="false" customHeight="false" outlineLevel="0" collapsed="false">
      <c r="A271" s="25" t="s">
        <v>931</v>
      </c>
      <c r="B271" s="25" t="s">
        <v>11138</v>
      </c>
      <c r="C271" s="25" t="n">
        <v>2019</v>
      </c>
      <c r="D271" s="25" t="s">
        <v>11498</v>
      </c>
      <c r="E271" s="25" t="s">
        <v>11927</v>
      </c>
      <c r="F271" s="25" t="s">
        <v>11928</v>
      </c>
      <c r="G271" s="28" t="s">
        <v>11929</v>
      </c>
      <c r="H271" s="25" t="n">
        <v>31191856</v>
      </c>
      <c r="I271" s="25"/>
      <c r="J271" s="25" t="n">
        <v>1</v>
      </c>
      <c r="K271" s="25" t="str">
        <f aca="false">IF(J271&gt;0,"Yes","No")</f>
        <v>Yes</v>
      </c>
    </row>
    <row r="272" customFormat="false" ht="15" hidden="false" customHeight="false" outlineLevel="0" collapsed="false">
      <c r="A272" s="25" t="s">
        <v>452</v>
      </c>
      <c r="B272" s="25" t="s">
        <v>11138</v>
      </c>
      <c r="C272" s="25" t="n">
        <v>2018</v>
      </c>
      <c r="D272" s="25" t="s">
        <v>11155</v>
      </c>
      <c r="E272" s="25" t="s">
        <v>11930</v>
      </c>
      <c r="F272" s="25" t="s">
        <v>11931</v>
      </c>
      <c r="G272" s="28" t="s">
        <v>11932</v>
      </c>
      <c r="H272" s="25" t="n">
        <v>30096653</v>
      </c>
      <c r="I272" s="25"/>
      <c r="J272" s="25" t="n">
        <v>1</v>
      </c>
      <c r="K272" s="25" t="str">
        <f aca="false">IF(J272&gt;0,"Yes","No")</f>
        <v>Yes</v>
      </c>
    </row>
    <row r="273" customFormat="false" ht="15" hidden="false" customHeight="false" outlineLevel="0" collapsed="false">
      <c r="A273" s="25" t="s">
        <v>7950</v>
      </c>
      <c r="B273" s="25" t="s">
        <v>11933</v>
      </c>
      <c r="C273" s="25" t="n">
        <v>2021</v>
      </c>
      <c r="D273" s="25"/>
      <c r="E273" s="25" t="s">
        <v>11934</v>
      </c>
      <c r="F273" s="25" t="s">
        <v>11935</v>
      </c>
      <c r="G273" s="28" t="s">
        <v>11936</v>
      </c>
      <c r="H273" s="25"/>
      <c r="I273" s="25"/>
      <c r="J273" s="25" t="n">
        <v>1</v>
      </c>
      <c r="K273" s="25" t="str">
        <f aca="false">IF(J273&gt;0,"Yes","No")</f>
        <v>Yes</v>
      </c>
    </row>
    <row r="274" customFormat="false" ht="15" hidden="false" customHeight="false" outlineLevel="0" collapsed="false">
      <c r="A274" s="25" t="s">
        <v>7832</v>
      </c>
      <c r="B274" s="25" t="s">
        <v>11138</v>
      </c>
      <c r="C274" s="25" t="n">
        <v>2019</v>
      </c>
      <c r="D274" s="25" t="s">
        <v>11155</v>
      </c>
      <c r="E274" s="25" t="s">
        <v>11937</v>
      </c>
      <c r="F274" s="25" t="s">
        <v>11938</v>
      </c>
      <c r="G274" s="28" t="s">
        <v>11939</v>
      </c>
      <c r="H274" s="25" t="n">
        <v>30496988</v>
      </c>
      <c r="I274" s="25"/>
      <c r="J274" s="25" t="n">
        <v>1</v>
      </c>
      <c r="K274" s="25" t="str">
        <f aca="false">IF(J274&gt;0,"Yes","No")</f>
        <v>Yes</v>
      </c>
    </row>
    <row r="275" customFormat="false" ht="15" hidden="false" customHeight="false" outlineLevel="0" collapsed="false">
      <c r="A275" s="25" t="s">
        <v>436</v>
      </c>
      <c r="B275" s="25" t="s">
        <v>11138</v>
      </c>
      <c r="C275" s="25" t="n">
        <v>2020</v>
      </c>
      <c r="D275" s="25" t="s">
        <v>11139</v>
      </c>
      <c r="E275" s="25" t="s">
        <v>11940</v>
      </c>
      <c r="F275" s="25" t="s">
        <v>11941</v>
      </c>
      <c r="G275" s="28" t="s">
        <v>11942</v>
      </c>
      <c r="H275" s="25" t="n">
        <v>32804502</v>
      </c>
      <c r="I275" s="25"/>
      <c r="J275" s="25" t="n">
        <v>1</v>
      </c>
      <c r="K275" s="25" t="str">
        <f aca="false">IF(J275&gt;0,"Yes","No")</f>
        <v>Yes</v>
      </c>
    </row>
    <row r="276" customFormat="false" ht="15" hidden="false" customHeight="false" outlineLevel="0" collapsed="false">
      <c r="A276" s="25" t="s">
        <v>2647</v>
      </c>
      <c r="B276" s="25" t="s">
        <v>11138</v>
      </c>
      <c r="C276" s="25" t="n">
        <v>2021</v>
      </c>
      <c r="D276" s="25" t="s">
        <v>11526</v>
      </c>
      <c r="E276" s="25" t="s">
        <v>11943</v>
      </c>
      <c r="F276" s="25" t="s">
        <v>11944</v>
      </c>
      <c r="G276" s="28" t="s">
        <v>11945</v>
      </c>
      <c r="H276" s="25" t="n">
        <v>33356248</v>
      </c>
      <c r="I276" s="25"/>
      <c r="J276" s="25" t="n">
        <v>1</v>
      </c>
      <c r="K276" s="25" t="str">
        <f aca="false">IF(J276&gt;0,"Yes","No")</f>
        <v>Yes</v>
      </c>
    </row>
    <row r="277" customFormat="false" ht="15" hidden="false" customHeight="false" outlineLevel="0" collapsed="false">
      <c r="A277" s="25" t="s">
        <v>1264</v>
      </c>
      <c r="B277" s="25" t="s">
        <v>11138</v>
      </c>
      <c r="C277" s="25" t="n">
        <v>2022</v>
      </c>
      <c r="D277" s="25" t="s">
        <v>11139</v>
      </c>
      <c r="E277" s="25" t="s">
        <v>11946</v>
      </c>
      <c r="F277" s="25" t="s">
        <v>11947</v>
      </c>
      <c r="G277" s="28" t="s">
        <v>11948</v>
      </c>
      <c r="H277" s="25" t="n">
        <v>36206553</v>
      </c>
      <c r="I277" s="25"/>
      <c r="J277" s="25" t="n">
        <v>1</v>
      </c>
      <c r="K277" s="25" t="str">
        <f aca="false">IF(J277&gt;0,"Yes","No")</f>
        <v>Yes</v>
      </c>
    </row>
    <row r="278" customFormat="false" ht="15" hidden="false" customHeight="false" outlineLevel="0" collapsed="false">
      <c r="A278" s="25" t="s">
        <v>7856</v>
      </c>
      <c r="B278" s="25" t="s">
        <v>11138</v>
      </c>
      <c r="C278" s="25" t="n">
        <v>2024</v>
      </c>
      <c r="D278" s="25" t="s">
        <v>11139</v>
      </c>
      <c r="E278" s="25" t="s">
        <v>11949</v>
      </c>
      <c r="F278" s="25" t="s">
        <v>11950</v>
      </c>
      <c r="G278" s="28" t="s">
        <v>11951</v>
      </c>
      <c r="H278" s="25" t="n">
        <v>38699796</v>
      </c>
      <c r="I278" s="25"/>
      <c r="J278" s="25" t="n">
        <v>1</v>
      </c>
      <c r="K278" s="25" t="str">
        <f aca="false">IF(J278&gt;0,"Yes","No")</f>
        <v>Yes</v>
      </c>
    </row>
    <row r="279" customFormat="false" ht="15" hidden="false" customHeight="false" outlineLevel="0" collapsed="false">
      <c r="A279" s="25" t="s">
        <v>3021</v>
      </c>
      <c r="B279" s="25" t="s">
        <v>11138</v>
      </c>
      <c r="C279" s="25" t="n">
        <v>2024</v>
      </c>
      <c r="D279" s="25" t="s">
        <v>11155</v>
      </c>
      <c r="E279" s="25" t="s">
        <v>11952</v>
      </c>
      <c r="F279" s="25" t="s">
        <v>11953</v>
      </c>
      <c r="G279" s="28" t="s">
        <v>11954</v>
      </c>
      <c r="H279" s="25" t="n">
        <v>38417219</v>
      </c>
      <c r="I279" s="25"/>
      <c r="J279" s="25" t="n">
        <v>1</v>
      </c>
      <c r="K279" s="25" t="str">
        <f aca="false">IF(J279&gt;0,"Yes","No")</f>
        <v>Yes</v>
      </c>
    </row>
    <row r="280" customFormat="false" ht="15" hidden="false" customHeight="false" outlineLevel="0" collapsed="false">
      <c r="A280" s="25" t="s">
        <v>2255</v>
      </c>
      <c r="B280" s="25" t="s">
        <v>11138</v>
      </c>
      <c r="C280" s="25" t="n">
        <v>2025</v>
      </c>
      <c r="D280" s="25" t="s">
        <v>11155</v>
      </c>
      <c r="E280" s="25" t="s">
        <v>11955</v>
      </c>
      <c r="F280" s="25" t="s">
        <v>11956</v>
      </c>
      <c r="G280" s="28" t="s">
        <v>11957</v>
      </c>
      <c r="H280" s="25" t="n">
        <v>39798402</v>
      </c>
      <c r="I280" s="25"/>
      <c r="J280" s="25" t="n">
        <v>1</v>
      </c>
      <c r="K280" s="25" t="str">
        <f aca="false">IF(J280&gt;0,"Yes","No")</f>
        <v>Yes</v>
      </c>
    </row>
    <row r="281" customFormat="false" ht="15" hidden="false" customHeight="false" outlineLevel="0" collapsed="false">
      <c r="A281" s="25" t="s">
        <v>5655</v>
      </c>
      <c r="B281" s="25" t="s">
        <v>11138</v>
      </c>
      <c r="C281" s="25" t="n">
        <v>2024</v>
      </c>
      <c r="D281" s="25" t="s">
        <v>11275</v>
      </c>
      <c r="E281" s="25" t="s">
        <v>11958</v>
      </c>
      <c r="F281" s="25" t="s">
        <v>11959</v>
      </c>
      <c r="G281" s="28" t="s">
        <v>11960</v>
      </c>
      <c r="H281" s="25" t="n">
        <v>39493228</v>
      </c>
      <c r="I281" s="25"/>
      <c r="J281" s="25" t="n">
        <v>1</v>
      </c>
      <c r="K281" s="25" t="str">
        <f aca="false">IF(J281&gt;0,"Yes","No")</f>
        <v>Yes</v>
      </c>
    </row>
    <row r="282" customFormat="false" ht="15" hidden="false" customHeight="false" outlineLevel="0" collapsed="false">
      <c r="A282" s="25" t="s">
        <v>10844</v>
      </c>
      <c r="B282" s="25" t="s">
        <v>11138</v>
      </c>
      <c r="C282" s="25" t="n">
        <v>1996</v>
      </c>
      <c r="D282" s="25" t="s">
        <v>11139</v>
      </c>
      <c r="E282" s="25" t="s">
        <v>11961</v>
      </c>
      <c r="F282" s="25" t="s">
        <v>11962</v>
      </c>
      <c r="G282" s="28" t="s">
        <v>11963</v>
      </c>
      <c r="H282" s="25" t="n">
        <v>8831752</v>
      </c>
      <c r="I282" s="25"/>
      <c r="J282" s="25" t="n">
        <v>0</v>
      </c>
      <c r="K282" s="25" t="str">
        <f aca="false">IF(J282&gt;0,"Yes","No")</f>
        <v>No</v>
      </c>
    </row>
    <row r="283" customFormat="false" ht="15" hidden="false" customHeight="false" outlineLevel="0" collapsed="false">
      <c r="A283" s="25" t="s">
        <v>10870</v>
      </c>
      <c r="B283" s="25" t="s">
        <v>11138</v>
      </c>
      <c r="C283" s="25" t="n">
        <v>1996</v>
      </c>
      <c r="D283" s="25" t="s">
        <v>11160</v>
      </c>
      <c r="E283" s="25" t="s">
        <v>11964</v>
      </c>
      <c r="F283" s="25" t="s">
        <v>11965</v>
      </c>
      <c r="G283" s="28" t="s">
        <v>11966</v>
      </c>
      <c r="H283" s="25"/>
      <c r="I283" s="25"/>
      <c r="J283" s="25" t="n">
        <v>0</v>
      </c>
      <c r="K283" s="25" t="str">
        <f aca="false">IF(J283&gt;0,"Yes","No")</f>
        <v>No</v>
      </c>
    </row>
    <row r="284" customFormat="false" ht="15" hidden="false" customHeight="false" outlineLevel="0" collapsed="false">
      <c r="A284" s="25" t="s">
        <v>10867</v>
      </c>
      <c r="B284" s="25" t="s">
        <v>11138</v>
      </c>
      <c r="C284" s="25" t="n">
        <v>1996</v>
      </c>
      <c r="D284" s="25" t="s">
        <v>11160</v>
      </c>
      <c r="E284" s="25" t="s">
        <v>11967</v>
      </c>
      <c r="F284" s="25" t="s">
        <v>11968</v>
      </c>
      <c r="G284" s="28" t="s">
        <v>11969</v>
      </c>
      <c r="H284" s="25"/>
      <c r="I284" s="25"/>
      <c r="J284" s="25" t="n">
        <v>0</v>
      </c>
      <c r="K284" s="25" t="str">
        <f aca="false">IF(J284&gt;0,"Yes","No")</f>
        <v>No</v>
      </c>
    </row>
    <row r="285" customFormat="false" ht="15" hidden="false" customHeight="false" outlineLevel="0" collapsed="false">
      <c r="A285" s="25" t="s">
        <v>10932</v>
      </c>
      <c r="B285" s="25" t="s">
        <v>11138</v>
      </c>
      <c r="C285" s="25" t="n">
        <v>1997</v>
      </c>
      <c r="D285" s="25" t="s">
        <v>11139</v>
      </c>
      <c r="E285" s="25" t="s">
        <v>11970</v>
      </c>
      <c r="F285" s="25" t="s">
        <v>11971</v>
      </c>
      <c r="G285" s="28" t="s">
        <v>11972</v>
      </c>
      <c r="H285" s="25" t="n">
        <v>9379452</v>
      </c>
      <c r="I285" s="25"/>
      <c r="J285" s="25" t="n">
        <v>0</v>
      </c>
      <c r="K285" s="25" t="str">
        <f aca="false">IF(J285&gt;0,"Yes","No")</f>
        <v>No</v>
      </c>
    </row>
    <row r="286" customFormat="false" ht="15" hidden="false" customHeight="false" outlineLevel="0" collapsed="false">
      <c r="A286" s="25" t="s">
        <v>10816</v>
      </c>
      <c r="B286" s="25" t="s">
        <v>11138</v>
      </c>
      <c r="C286" s="25" t="n">
        <v>1997</v>
      </c>
      <c r="D286" s="25" t="s">
        <v>11139</v>
      </c>
      <c r="E286" s="25" t="s">
        <v>11973</v>
      </c>
      <c r="F286" s="25" t="s">
        <v>11974</v>
      </c>
      <c r="G286" s="28" t="s">
        <v>11975</v>
      </c>
      <c r="H286" s="25" t="n">
        <v>9379442</v>
      </c>
      <c r="I286" s="25"/>
      <c r="J286" s="25" t="n">
        <v>0</v>
      </c>
      <c r="K286" s="25" t="str">
        <f aca="false">IF(J286&gt;0,"Yes","No")</f>
        <v>No</v>
      </c>
    </row>
    <row r="287" customFormat="false" ht="15" hidden="false" customHeight="false" outlineLevel="0" collapsed="false">
      <c r="A287" s="25" t="s">
        <v>10813</v>
      </c>
      <c r="B287" s="25" t="s">
        <v>11138</v>
      </c>
      <c r="C287" s="25" t="n">
        <v>1998</v>
      </c>
      <c r="D287" s="25" t="s">
        <v>11139</v>
      </c>
      <c r="E287" s="25" t="s">
        <v>11976</v>
      </c>
      <c r="F287" s="25" t="s">
        <v>11977</v>
      </c>
      <c r="G287" s="28" t="s">
        <v>11978</v>
      </c>
      <c r="H287" s="25" t="n">
        <v>9857088</v>
      </c>
      <c r="I287" s="25"/>
      <c r="J287" s="25" t="n">
        <v>0</v>
      </c>
      <c r="K287" s="25" t="str">
        <f aca="false">IF(J287&gt;0,"Yes","No")</f>
        <v>No</v>
      </c>
    </row>
    <row r="288" customFormat="false" ht="15" hidden="false" customHeight="false" outlineLevel="0" collapsed="false">
      <c r="A288" s="25" t="s">
        <v>10862</v>
      </c>
      <c r="B288" s="25" t="s">
        <v>11138</v>
      </c>
      <c r="C288" s="25" t="n">
        <v>2000</v>
      </c>
      <c r="D288" s="25" t="s">
        <v>11139</v>
      </c>
      <c r="E288" s="25" t="s">
        <v>11979</v>
      </c>
      <c r="F288" s="25" t="s">
        <v>11980</v>
      </c>
      <c r="G288" s="28" t="s">
        <v>11981</v>
      </c>
      <c r="H288" s="25" t="n">
        <v>11020293</v>
      </c>
      <c r="I288" s="25"/>
      <c r="J288" s="25" t="n">
        <v>0</v>
      </c>
      <c r="K288" s="25" t="str">
        <f aca="false">IF(J288&gt;0,"Yes","No")</f>
        <v>No</v>
      </c>
    </row>
    <row r="289" customFormat="false" ht="15" hidden="false" customHeight="false" outlineLevel="0" collapsed="false">
      <c r="A289" s="25" t="s">
        <v>10875</v>
      </c>
      <c r="B289" s="25" t="s">
        <v>11138</v>
      </c>
      <c r="C289" s="25" t="n">
        <v>2000</v>
      </c>
      <c r="D289" s="25" t="s">
        <v>11139</v>
      </c>
      <c r="E289" s="25" t="s">
        <v>11982</v>
      </c>
      <c r="F289" s="25" t="s">
        <v>11983</v>
      </c>
      <c r="G289" s="28" t="s">
        <v>11984</v>
      </c>
      <c r="H289" s="25" t="n">
        <v>10882356</v>
      </c>
      <c r="I289" s="25"/>
      <c r="J289" s="25" t="n">
        <v>0</v>
      </c>
      <c r="K289" s="25" t="str">
        <f aca="false">IF(J289&gt;0,"Yes","No")</f>
        <v>No</v>
      </c>
    </row>
    <row r="290" customFormat="false" ht="15" hidden="false" customHeight="false" outlineLevel="0" collapsed="false">
      <c r="A290" s="25" t="s">
        <v>10852</v>
      </c>
      <c r="B290" s="25" t="s">
        <v>11138</v>
      </c>
      <c r="C290" s="25" t="n">
        <v>2001</v>
      </c>
      <c r="D290" s="25" t="s">
        <v>11139</v>
      </c>
      <c r="E290" s="25" t="s">
        <v>11985</v>
      </c>
      <c r="F290" s="25" t="s">
        <v>11986</v>
      </c>
      <c r="G290" s="28" t="s">
        <v>11987</v>
      </c>
      <c r="H290" s="25" t="n">
        <v>11741470</v>
      </c>
      <c r="I290" s="25"/>
      <c r="J290" s="25" t="n">
        <v>0</v>
      </c>
      <c r="K290" s="25" t="str">
        <f aca="false">IF(J290&gt;0,"Yes","No")</f>
        <v>No</v>
      </c>
    </row>
    <row r="291" customFormat="false" ht="15" hidden="false" customHeight="false" outlineLevel="0" collapsed="false">
      <c r="A291" s="25" t="s">
        <v>10808</v>
      </c>
      <c r="B291" s="25" t="s">
        <v>11138</v>
      </c>
      <c r="C291" s="25" t="n">
        <v>2002</v>
      </c>
      <c r="D291" s="25" t="s">
        <v>11160</v>
      </c>
      <c r="E291" s="25" t="s">
        <v>11988</v>
      </c>
      <c r="F291" s="25" t="s">
        <v>11989</v>
      </c>
      <c r="G291" s="28" t="s">
        <v>11990</v>
      </c>
      <c r="H291" s="25" t="n">
        <v>12161142</v>
      </c>
      <c r="I291" s="25"/>
      <c r="J291" s="25" t="n">
        <v>0</v>
      </c>
      <c r="K291" s="25" t="str">
        <f aca="false">IF(J291&gt;0,"Yes","No")</f>
        <v>No</v>
      </c>
    </row>
    <row r="292" customFormat="false" ht="15" hidden="false" customHeight="false" outlineLevel="0" collapsed="false">
      <c r="A292" s="25" t="s">
        <v>10885</v>
      </c>
      <c r="B292" s="25" t="s">
        <v>11138</v>
      </c>
      <c r="C292" s="25" t="n">
        <v>2002</v>
      </c>
      <c r="D292" s="25" t="s">
        <v>11139</v>
      </c>
      <c r="E292" s="25" t="s">
        <v>11991</v>
      </c>
      <c r="F292" s="25" t="s">
        <v>11992</v>
      </c>
      <c r="G292" s="28" t="s">
        <v>11993</v>
      </c>
      <c r="H292" s="25" t="n">
        <v>12061874</v>
      </c>
      <c r="I292" s="25"/>
      <c r="J292" s="25" t="n">
        <v>0</v>
      </c>
      <c r="K292" s="25" t="str">
        <f aca="false">IF(J292&gt;0,"Yes","No")</f>
        <v>No</v>
      </c>
    </row>
    <row r="293" customFormat="false" ht="15" hidden="false" customHeight="false" outlineLevel="0" collapsed="false">
      <c r="A293" s="25" t="s">
        <v>10857</v>
      </c>
      <c r="B293" s="25" t="s">
        <v>11138</v>
      </c>
      <c r="C293" s="25" t="n">
        <v>2003</v>
      </c>
      <c r="D293" s="25" t="s">
        <v>11160</v>
      </c>
      <c r="E293" s="25" t="s">
        <v>11994</v>
      </c>
      <c r="F293" s="25" t="s">
        <v>11995</v>
      </c>
      <c r="G293" s="28" t="s">
        <v>11996</v>
      </c>
      <c r="H293" s="25" t="n">
        <v>14505654</v>
      </c>
      <c r="I293" s="25"/>
      <c r="J293" s="25" t="n">
        <v>0</v>
      </c>
      <c r="K293" s="25" t="str">
        <f aca="false">IF(J293&gt;0,"Yes","No")</f>
        <v>No</v>
      </c>
    </row>
    <row r="294" customFormat="false" ht="15" hidden="false" customHeight="false" outlineLevel="0" collapsed="false">
      <c r="A294" s="25" t="s">
        <v>10820</v>
      </c>
      <c r="B294" s="25" t="s">
        <v>11138</v>
      </c>
      <c r="C294" s="25" t="n">
        <v>2003</v>
      </c>
      <c r="D294" s="25" t="s">
        <v>11139</v>
      </c>
      <c r="E294" s="25" t="s">
        <v>11997</v>
      </c>
      <c r="F294" s="25" t="s">
        <v>11998</v>
      </c>
      <c r="G294" s="28" t="s">
        <v>11999</v>
      </c>
      <c r="H294" s="25" t="n">
        <v>12672243</v>
      </c>
      <c r="I294" s="25"/>
      <c r="J294" s="25" t="n">
        <v>0</v>
      </c>
      <c r="K294" s="25" t="str">
        <f aca="false">IF(J294&gt;0,"Yes","No")</f>
        <v>No</v>
      </c>
    </row>
    <row r="295" customFormat="false" ht="15" hidden="false" customHeight="false" outlineLevel="0" collapsed="false">
      <c r="A295" s="25" t="s">
        <v>10849</v>
      </c>
      <c r="B295" s="25" t="s">
        <v>11138</v>
      </c>
      <c r="C295" s="25" t="n">
        <v>2003</v>
      </c>
      <c r="D295" s="25" t="s">
        <v>11139</v>
      </c>
      <c r="E295" s="25" t="s">
        <v>12000</v>
      </c>
      <c r="F295" s="25" t="s">
        <v>12001</v>
      </c>
      <c r="G295" s="28" t="s">
        <v>12002</v>
      </c>
      <c r="H295" s="25" t="n">
        <v>12672252</v>
      </c>
      <c r="I295" s="25"/>
      <c r="J295" s="25" t="n">
        <v>0</v>
      </c>
      <c r="K295" s="25" t="str">
        <f aca="false">IF(J295&gt;0,"Yes","No")</f>
        <v>No</v>
      </c>
    </row>
    <row r="296" customFormat="false" ht="15" hidden="false" customHeight="false" outlineLevel="0" collapsed="false">
      <c r="A296" s="25" t="s">
        <v>8463</v>
      </c>
      <c r="B296" s="25" t="s">
        <v>11138</v>
      </c>
      <c r="C296" s="25" t="n">
        <v>2009</v>
      </c>
      <c r="D296" s="25" t="s">
        <v>11160</v>
      </c>
      <c r="E296" s="25" t="s">
        <v>12003</v>
      </c>
      <c r="F296" s="25" t="s">
        <v>12004</v>
      </c>
      <c r="G296" s="28" t="s">
        <v>12005</v>
      </c>
      <c r="H296" s="25" t="n">
        <v>19394217</v>
      </c>
      <c r="I296" s="25"/>
      <c r="J296" s="25" t="n">
        <v>0</v>
      </c>
      <c r="K296" s="25" t="str">
        <f aca="false">IF(J296&gt;0,"Yes","No")</f>
        <v>No</v>
      </c>
    </row>
    <row r="297" customFormat="false" ht="15" hidden="false" customHeight="false" outlineLevel="0" collapsed="false">
      <c r="A297" s="25" t="s">
        <v>10913</v>
      </c>
      <c r="B297" s="25" t="s">
        <v>11138</v>
      </c>
      <c r="C297" s="25" t="n">
        <v>2006</v>
      </c>
      <c r="D297" s="25" t="s">
        <v>11139</v>
      </c>
      <c r="E297" s="25" t="s">
        <v>12006</v>
      </c>
      <c r="F297" s="25" t="s">
        <v>12007</v>
      </c>
      <c r="G297" s="28" t="s">
        <v>12008</v>
      </c>
      <c r="H297" s="25" t="n">
        <v>17004710</v>
      </c>
      <c r="I297" s="25"/>
      <c r="J297" s="25" t="n">
        <v>0</v>
      </c>
      <c r="K297" s="25" t="str">
        <f aca="false">IF(J297&gt;0,"Yes","No")</f>
        <v>No</v>
      </c>
    </row>
    <row r="298" customFormat="false" ht="15" hidden="false" customHeight="false" outlineLevel="0" collapsed="false">
      <c r="A298" s="25" t="s">
        <v>8475</v>
      </c>
      <c r="B298" s="25" t="s">
        <v>11138</v>
      </c>
      <c r="C298" s="25" t="n">
        <v>2009</v>
      </c>
      <c r="D298" s="25" t="s">
        <v>11139</v>
      </c>
      <c r="E298" s="25" t="s">
        <v>12009</v>
      </c>
      <c r="F298" s="25" t="s">
        <v>12010</v>
      </c>
      <c r="G298" s="28" t="s">
        <v>12011</v>
      </c>
      <c r="H298" s="25" t="n">
        <v>19530697</v>
      </c>
      <c r="I298" s="25"/>
      <c r="J298" s="25" t="n">
        <v>0</v>
      </c>
      <c r="K298" s="25" t="str">
        <f aca="false">IF(J298&gt;0,"Yes","No")</f>
        <v>No</v>
      </c>
    </row>
    <row r="299" customFormat="false" ht="15" hidden="false" customHeight="false" outlineLevel="0" collapsed="false">
      <c r="A299" s="25" t="s">
        <v>10905</v>
      </c>
      <c r="B299" s="25" t="s">
        <v>11138</v>
      </c>
      <c r="C299" s="25" t="n">
        <v>2006</v>
      </c>
      <c r="D299" s="25" t="s">
        <v>11139</v>
      </c>
      <c r="E299" s="25" t="s">
        <v>12012</v>
      </c>
      <c r="F299" s="25" t="s">
        <v>12013</v>
      </c>
      <c r="G299" s="28" t="s">
        <v>12014</v>
      </c>
      <c r="H299" s="25" t="n">
        <v>16821801</v>
      </c>
      <c r="I299" s="25"/>
      <c r="J299" s="25" t="n">
        <v>0</v>
      </c>
      <c r="K299" s="25" t="str">
        <f aca="false">IF(J299&gt;0,"Yes","No")</f>
        <v>No</v>
      </c>
    </row>
    <row r="300" customFormat="false" ht="15" hidden="false" customHeight="false" outlineLevel="0" collapsed="false">
      <c r="A300" s="25" t="s">
        <v>10980</v>
      </c>
      <c r="B300" s="25" t="s">
        <v>11138</v>
      </c>
      <c r="C300" s="25" t="n">
        <v>2006</v>
      </c>
      <c r="D300" s="25" t="s">
        <v>11139</v>
      </c>
      <c r="E300" s="25" t="s">
        <v>12015</v>
      </c>
      <c r="F300" s="25" t="s">
        <v>12016</v>
      </c>
      <c r="G300" s="28" t="s">
        <v>12017</v>
      </c>
      <c r="H300" s="25" t="n">
        <v>17149879</v>
      </c>
      <c r="I300" s="25"/>
      <c r="J300" s="25" t="n">
        <v>0</v>
      </c>
      <c r="K300" s="25" t="str">
        <f aca="false">IF(J300&gt;0,"Yes","No")</f>
        <v>No</v>
      </c>
    </row>
    <row r="301" customFormat="false" ht="15" hidden="false" customHeight="false" outlineLevel="0" collapsed="false">
      <c r="A301" s="25" t="s">
        <v>10987</v>
      </c>
      <c r="B301" s="25" t="s">
        <v>11138</v>
      </c>
      <c r="C301" s="25" t="n">
        <v>2006</v>
      </c>
      <c r="D301" s="25" t="s">
        <v>11139</v>
      </c>
      <c r="E301" s="25" t="s">
        <v>12018</v>
      </c>
      <c r="F301" s="25" t="s">
        <v>12019</v>
      </c>
      <c r="G301" s="28" t="s">
        <v>12020</v>
      </c>
      <c r="H301" s="25" t="n">
        <v>17181138</v>
      </c>
      <c r="I301" s="25"/>
      <c r="J301" s="25" t="n">
        <v>0</v>
      </c>
      <c r="K301" s="25" t="str">
        <f aca="false">IF(J301&gt;0,"Yes","No")</f>
        <v>No</v>
      </c>
    </row>
    <row r="302" customFormat="false" ht="15" hidden="false" customHeight="false" outlineLevel="0" collapsed="false">
      <c r="A302" s="25" t="s">
        <v>10966</v>
      </c>
      <c r="B302" s="25" t="s">
        <v>11138</v>
      </c>
      <c r="C302" s="25" t="n">
        <v>2007</v>
      </c>
      <c r="D302" s="25" t="s">
        <v>11160</v>
      </c>
      <c r="E302" s="25" t="s">
        <v>12021</v>
      </c>
      <c r="F302" s="25" t="s">
        <v>12022</v>
      </c>
      <c r="G302" s="28" t="s">
        <v>12023</v>
      </c>
      <c r="H302" s="25" t="n">
        <v>17027269</v>
      </c>
      <c r="I302" s="25"/>
      <c r="J302" s="25" t="n">
        <v>0</v>
      </c>
      <c r="K302" s="25" t="str">
        <f aca="false">IF(J302&gt;0,"Yes","No")</f>
        <v>No</v>
      </c>
    </row>
    <row r="303" customFormat="false" ht="15" hidden="false" customHeight="false" outlineLevel="0" collapsed="false">
      <c r="A303" s="25" t="s">
        <v>11105</v>
      </c>
      <c r="B303" s="25" t="s">
        <v>11138</v>
      </c>
      <c r="C303" s="25" t="n">
        <v>2009</v>
      </c>
      <c r="D303" s="25" t="s">
        <v>11139</v>
      </c>
      <c r="E303" s="25" t="s">
        <v>12024</v>
      </c>
      <c r="F303" s="25" t="s">
        <v>12025</v>
      </c>
      <c r="G303" s="28" t="s">
        <v>12026</v>
      </c>
      <c r="H303" s="25" t="n">
        <v>19351113</v>
      </c>
      <c r="I303" s="25"/>
      <c r="J303" s="25" t="n">
        <v>0</v>
      </c>
      <c r="K303" s="25" t="str">
        <f aca="false">IF(J303&gt;0,"Yes","No")</f>
        <v>No</v>
      </c>
    </row>
    <row r="304" customFormat="false" ht="15" hidden="false" customHeight="false" outlineLevel="0" collapsed="false">
      <c r="A304" s="25" t="s">
        <v>8490</v>
      </c>
      <c r="B304" s="25" t="s">
        <v>11138</v>
      </c>
      <c r="C304" s="25" t="n">
        <v>2009</v>
      </c>
      <c r="D304" s="25" t="s">
        <v>11160</v>
      </c>
      <c r="E304" s="25" t="s">
        <v>12027</v>
      </c>
      <c r="F304" s="25" t="s">
        <v>12028</v>
      </c>
      <c r="G304" s="28" t="s">
        <v>12029</v>
      </c>
      <c r="H304" s="25" t="n">
        <v>19328683</v>
      </c>
      <c r="I304" s="25"/>
      <c r="J304" s="25" t="n">
        <v>0</v>
      </c>
      <c r="K304" s="25" t="str">
        <f aca="false">IF(J304&gt;0,"Yes","No")</f>
        <v>No</v>
      </c>
    </row>
    <row r="305" customFormat="false" ht="15" hidden="false" customHeight="false" outlineLevel="0" collapsed="false">
      <c r="A305" s="25" t="s">
        <v>11097</v>
      </c>
      <c r="B305" s="25" t="s">
        <v>11138</v>
      </c>
      <c r="C305" s="25" t="n">
        <v>2009</v>
      </c>
      <c r="D305" s="25" t="s">
        <v>11160</v>
      </c>
      <c r="E305" s="25" t="s">
        <v>12030</v>
      </c>
      <c r="F305" s="25" t="s">
        <v>12031</v>
      </c>
      <c r="G305" s="28" t="s">
        <v>12032</v>
      </c>
      <c r="H305" s="25" t="n">
        <v>19328684</v>
      </c>
      <c r="I305" s="25"/>
      <c r="J305" s="25" t="n">
        <v>0</v>
      </c>
      <c r="K305" s="25" t="str">
        <f aca="false">IF(J305&gt;0,"Yes","No")</f>
        <v>No</v>
      </c>
    </row>
    <row r="306" customFormat="false" ht="15" hidden="false" customHeight="false" outlineLevel="0" collapsed="false">
      <c r="A306" s="25" t="s">
        <v>10918</v>
      </c>
      <c r="B306" s="25" t="s">
        <v>11138</v>
      </c>
      <c r="C306" s="25" t="n">
        <v>2006</v>
      </c>
      <c r="D306" s="25" t="s">
        <v>11139</v>
      </c>
      <c r="E306" s="25" t="s">
        <v>12033</v>
      </c>
      <c r="F306" s="25" t="s">
        <v>12034</v>
      </c>
      <c r="G306" s="28" t="s">
        <v>12035</v>
      </c>
      <c r="H306" s="25" t="n">
        <v>16539390</v>
      </c>
      <c r="I306" s="25"/>
      <c r="J306" s="25" t="n">
        <v>0</v>
      </c>
      <c r="K306" s="25" t="str">
        <f aca="false">IF(J306&gt;0,"Yes","No")</f>
        <v>No</v>
      </c>
    </row>
    <row r="307" customFormat="false" ht="15" hidden="false" customHeight="false" outlineLevel="0" collapsed="false">
      <c r="A307" s="25" t="s">
        <v>10969</v>
      </c>
      <c r="B307" s="25" t="s">
        <v>11138</v>
      </c>
      <c r="C307" s="25" t="n">
        <v>2007</v>
      </c>
      <c r="D307" s="25" t="s">
        <v>11160</v>
      </c>
      <c r="E307" s="25" t="s">
        <v>12036</v>
      </c>
      <c r="F307" s="25" t="s">
        <v>12037</v>
      </c>
      <c r="G307" s="28" t="s">
        <v>12038</v>
      </c>
      <c r="H307" s="25" t="n">
        <v>17270441</v>
      </c>
      <c r="I307" s="25"/>
      <c r="J307" s="25" t="n">
        <v>0</v>
      </c>
      <c r="K307" s="25" t="str">
        <f aca="false">IF(J307&gt;0,"Yes","No")</f>
        <v>No</v>
      </c>
    </row>
    <row r="308" customFormat="false" ht="15" hidden="false" customHeight="false" outlineLevel="0" collapsed="false">
      <c r="A308" s="25" t="s">
        <v>8456</v>
      </c>
      <c r="B308" s="25" t="s">
        <v>11138</v>
      </c>
      <c r="C308" s="25" t="n">
        <v>2009</v>
      </c>
      <c r="D308" s="25" t="s">
        <v>11160</v>
      </c>
      <c r="E308" s="25" t="s">
        <v>12039</v>
      </c>
      <c r="F308" s="25" t="s">
        <v>12040</v>
      </c>
      <c r="G308" s="28" t="s">
        <v>12041</v>
      </c>
      <c r="H308" s="25" t="n">
        <v>19010671</v>
      </c>
      <c r="I308" s="25"/>
      <c r="J308" s="25" t="n">
        <v>0</v>
      </c>
      <c r="K308" s="25" t="str">
        <f aca="false">IF(J308&gt;0,"Yes","No")</f>
        <v>No</v>
      </c>
    </row>
    <row r="309" customFormat="false" ht="15" hidden="false" customHeight="false" outlineLevel="0" collapsed="false">
      <c r="A309" s="25" t="s">
        <v>11069</v>
      </c>
      <c r="B309" s="25" t="s">
        <v>11138</v>
      </c>
      <c r="C309" s="25" t="n">
        <v>2009</v>
      </c>
      <c r="D309" s="25" t="s">
        <v>11160</v>
      </c>
      <c r="E309" s="25" t="s">
        <v>12042</v>
      </c>
      <c r="F309" s="25" t="s">
        <v>12043</v>
      </c>
      <c r="G309" s="28" t="s">
        <v>12044</v>
      </c>
      <c r="H309" s="25" t="n">
        <v>19022666</v>
      </c>
      <c r="I309" s="25"/>
      <c r="J309" s="25" t="n">
        <v>0</v>
      </c>
      <c r="K309" s="25" t="str">
        <f aca="false">IF(J309&gt;0,"Yes","No")</f>
        <v>No</v>
      </c>
    </row>
    <row r="310" customFormat="false" ht="15" hidden="false" customHeight="false" outlineLevel="0" collapsed="false">
      <c r="A310" s="25" t="s">
        <v>8478</v>
      </c>
      <c r="B310" s="25" t="s">
        <v>11138</v>
      </c>
      <c r="C310" s="25" t="n">
        <v>2009</v>
      </c>
      <c r="D310" s="25" t="s">
        <v>11160</v>
      </c>
      <c r="E310" s="25" t="s">
        <v>12045</v>
      </c>
      <c r="F310" s="25" t="s">
        <v>12046</v>
      </c>
      <c r="G310" s="28" t="s">
        <v>12047</v>
      </c>
      <c r="H310" s="25" t="n">
        <v>19062274</v>
      </c>
      <c r="I310" s="25"/>
      <c r="J310" s="25" t="n">
        <v>0</v>
      </c>
      <c r="K310" s="25" t="str">
        <f aca="false">IF(J310&gt;0,"Yes","No")</f>
        <v>No</v>
      </c>
    </row>
    <row r="311" customFormat="false" ht="15" hidden="false" customHeight="false" outlineLevel="0" collapsed="false">
      <c r="A311" s="25" t="s">
        <v>10997</v>
      </c>
      <c r="B311" s="25" t="s">
        <v>11138</v>
      </c>
      <c r="C311" s="25" t="n">
        <v>2005</v>
      </c>
      <c r="D311" s="25" t="s">
        <v>11139</v>
      </c>
      <c r="E311" s="25" t="s">
        <v>12048</v>
      </c>
      <c r="F311" s="25" t="s">
        <v>12049</v>
      </c>
      <c r="G311" s="28" t="s">
        <v>12050</v>
      </c>
      <c r="H311" s="25" t="n">
        <v>16279774</v>
      </c>
      <c r="I311" s="25"/>
      <c r="J311" s="25" t="n">
        <v>0</v>
      </c>
      <c r="K311" s="25" t="str">
        <f aca="false">IF(J311&gt;0,"Yes","No")</f>
        <v>No</v>
      </c>
    </row>
    <row r="312" customFormat="false" ht="15" hidden="false" customHeight="false" outlineLevel="0" collapsed="false">
      <c r="A312" s="25" t="s">
        <v>8415</v>
      </c>
      <c r="B312" s="25" t="s">
        <v>11138</v>
      </c>
      <c r="C312" s="25" t="n">
        <v>2008</v>
      </c>
      <c r="D312" s="25" t="s">
        <v>11139</v>
      </c>
      <c r="E312" s="25" t="s">
        <v>12051</v>
      </c>
      <c r="F312" s="25" t="s">
        <v>12052</v>
      </c>
      <c r="G312" s="28" t="s">
        <v>12053</v>
      </c>
      <c r="H312" s="25" t="n">
        <v>18712856</v>
      </c>
      <c r="I312" s="25"/>
      <c r="J312" s="25" t="n">
        <v>0</v>
      </c>
      <c r="K312" s="25" t="str">
        <f aca="false">IF(J312&gt;0,"Yes","No")</f>
        <v>No</v>
      </c>
    </row>
    <row r="313" customFormat="false" ht="15" hidden="false" customHeight="false" outlineLevel="0" collapsed="false">
      <c r="A313" s="25" t="s">
        <v>11078</v>
      </c>
      <c r="B313" s="25" t="s">
        <v>11138</v>
      </c>
      <c r="C313" s="25" t="n">
        <v>2008</v>
      </c>
      <c r="D313" s="25" t="s">
        <v>11139</v>
      </c>
      <c r="E313" s="25" t="s">
        <v>12054</v>
      </c>
      <c r="F313" s="25" t="s">
        <v>12055</v>
      </c>
      <c r="G313" s="28" t="s">
        <v>12056</v>
      </c>
      <c r="H313" s="25" t="n">
        <v>18754613</v>
      </c>
      <c r="I313" s="25"/>
      <c r="J313" s="25" t="n">
        <v>0</v>
      </c>
      <c r="K313" s="25" t="str">
        <f aca="false">IF(J313&gt;0,"Yes","No")</f>
        <v>No</v>
      </c>
    </row>
    <row r="314" customFormat="false" ht="15" hidden="false" customHeight="false" outlineLevel="0" collapsed="false">
      <c r="A314" s="25" t="s">
        <v>11103</v>
      </c>
      <c r="B314" s="25" t="s">
        <v>11138</v>
      </c>
      <c r="C314" s="25" t="n">
        <v>2008</v>
      </c>
      <c r="D314" s="25" t="s">
        <v>11139</v>
      </c>
      <c r="E314" s="25" t="s">
        <v>12057</v>
      </c>
      <c r="F314" s="25" t="s">
        <v>12058</v>
      </c>
      <c r="G314" s="28" t="s">
        <v>12059</v>
      </c>
      <c r="H314" s="25" t="n">
        <v>18800770</v>
      </c>
      <c r="I314" s="25"/>
      <c r="J314" s="25" t="n">
        <v>0</v>
      </c>
      <c r="K314" s="25" t="str">
        <f aca="false">IF(J314&gt;0,"Yes","No")</f>
        <v>No</v>
      </c>
    </row>
    <row r="315" customFormat="false" ht="15" hidden="false" customHeight="false" outlineLevel="0" collapsed="false">
      <c r="A315" s="25" t="s">
        <v>11110</v>
      </c>
      <c r="B315" s="25" t="s">
        <v>11138</v>
      </c>
      <c r="C315" s="25" t="n">
        <v>2008</v>
      </c>
      <c r="D315" s="25" t="s">
        <v>11139</v>
      </c>
      <c r="E315" s="25" t="s">
        <v>12060</v>
      </c>
      <c r="F315" s="25" t="s">
        <v>12061</v>
      </c>
      <c r="G315" s="28" t="s">
        <v>12062</v>
      </c>
      <c r="H315" s="25" t="n">
        <v>18817367</v>
      </c>
      <c r="I315" s="25"/>
      <c r="J315" s="25" t="n">
        <v>0</v>
      </c>
      <c r="K315" s="25" t="str">
        <f aca="false">IF(J315&gt;0,"Yes","No")</f>
        <v>No</v>
      </c>
    </row>
    <row r="316" customFormat="false" ht="15" hidden="false" customHeight="false" outlineLevel="0" collapsed="false">
      <c r="A316" s="25" t="s">
        <v>10994</v>
      </c>
      <c r="B316" s="25" t="s">
        <v>11138</v>
      </c>
      <c r="C316" s="25" t="n">
        <v>2005</v>
      </c>
      <c r="D316" s="25" t="s">
        <v>11139</v>
      </c>
      <c r="E316" s="25" t="s">
        <v>12063</v>
      </c>
      <c r="F316" s="25" t="s">
        <v>12064</v>
      </c>
      <c r="G316" s="28" t="s">
        <v>12065</v>
      </c>
      <c r="H316" s="25" t="n">
        <v>16279809</v>
      </c>
      <c r="I316" s="25"/>
      <c r="J316" s="25" t="n">
        <v>0</v>
      </c>
      <c r="K316" s="25" t="str">
        <f aca="false">IF(J316&gt;0,"Yes","No")</f>
        <v>No</v>
      </c>
    </row>
    <row r="317" customFormat="false" ht="15" hidden="false" customHeight="false" outlineLevel="0" collapsed="false">
      <c r="A317" s="25" t="s">
        <v>11018</v>
      </c>
      <c r="B317" s="25" t="s">
        <v>11138</v>
      </c>
      <c r="C317" s="25" t="n">
        <v>2007</v>
      </c>
      <c r="D317" s="25" t="s">
        <v>11160</v>
      </c>
      <c r="E317" s="25" t="s">
        <v>12066</v>
      </c>
      <c r="F317" s="25" t="s">
        <v>12067</v>
      </c>
      <c r="G317" s="28" t="s">
        <v>12068</v>
      </c>
      <c r="H317" s="25" t="n">
        <v>17884496</v>
      </c>
      <c r="I317" s="25"/>
      <c r="J317" s="25" t="n">
        <v>0</v>
      </c>
      <c r="K317" s="25" t="str">
        <f aca="false">IF(J317&gt;0,"Yes","No")</f>
        <v>No</v>
      </c>
    </row>
    <row r="318" customFormat="false" ht="15" hidden="false" customHeight="false" outlineLevel="0" collapsed="false">
      <c r="A318" s="25" t="s">
        <v>11015</v>
      </c>
      <c r="B318" s="25" t="s">
        <v>11138</v>
      </c>
      <c r="C318" s="25" t="n">
        <v>2007</v>
      </c>
      <c r="D318" s="25" t="s">
        <v>11139</v>
      </c>
      <c r="E318" s="25" t="s">
        <v>12069</v>
      </c>
      <c r="F318" s="25" t="s">
        <v>12070</v>
      </c>
      <c r="G318" s="28" t="s">
        <v>12071</v>
      </c>
      <c r="H318" s="25" t="n">
        <v>17521177</v>
      </c>
      <c r="I318" s="25"/>
      <c r="J318" s="25" t="n">
        <v>0</v>
      </c>
      <c r="K318" s="25" t="str">
        <f aca="false">IF(J318&gt;0,"Yes","No")</f>
        <v>No</v>
      </c>
    </row>
    <row r="319" customFormat="false" ht="15" hidden="false" customHeight="false" outlineLevel="0" collapsed="false">
      <c r="A319" s="25" t="s">
        <v>8507</v>
      </c>
      <c r="B319" s="25" t="s">
        <v>11138</v>
      </c>
      <c r="C319" s="25" t="n">
        <v>2009</v>
      </c>
      <c r="D319" s="25" t="s">
        <v>11160</v>
      </c>
      <c r="E319" s="25" t="s">
        <v>12072</v>
      </c>
      <c r="F319" s="25" t="s">
        <v>12073</v>
      </c>
      <c r="G319" s="28" t="s">
        <v>12074</v>
      </c>
      <c r="H319" s="25" t="n">
        <v>19095444</v>
      </c>
      <c r="I319" s="25"/>
      <c r="J319" s="25" t="n">
        <v>0</v>
      </c>
      <c r="K319" s="25" t="str">
        <f aca="false">IF(J319&gt;0,"Yes","No")</f>
        <v>No</v>
      </c>
    </row>
    <row r="320" customFormat="false" ht="15" hidden="false" customHeight="false" outlineLevel="0" collapsed="false">
      <c r="A320" s="25" t="s">
        <v>11026</v>
      </c>
      <c r="B320" s="25" t="s">
        <v>11138</v>
      </c>
      <c r="C320" s="25" t="n">
        <v>2007</v>
      </c>
      <c r="D320" s="25" t="s">
        <v>12075</v>
      </c>
      <c r="E320" s="25" t="s">
        <v>12076</v>
      </c>
      <c r="F320" s="25" t="s">
        <v>12077</v>
      </c>
      <c r="G320" s="28" t="s">
        <v>12078</v>
      </c>
      <c r="H320" s="25" t="n">
        <v>17483457</v>
      </c>
      <c r="I320" s="25"/>
      <c r="J320" s="25" t="n">
        <v>0</v>
      </c>
      <c r="K320" s="25" t="str">
        <f aca="false">IF(J320&gt;0,"Yes","No")</f>
        <v>No</v>
      </c>
    </row>
    <row r="321" customFormat="false" ht="15" hidden="false" customHeight="false" outlineLevel="0" collapsed="false">
      <c r="A321" s="25" t="s">
        <v>11037</v>
      </c>
      <c r="B321" s="25" t="s">
        <v>11138</v>
      </c>
      <c r="C321" s="25" t="n">
        <v>2008</v>
      </c>
      <c r="D321" s="25" t="s">
        <v>11139</v>
      </c>
      <c r="E321" s="25" t="s">
        <v>12079</v>
      </c>
      <c r="F321" s="25" t="s">
        <v>12080</v>
      </c>
      <c r="G321" s="28" t="s">
        <v>12081</v>
      </c>
      <c r="H321" s="25" t="n">
        <v>18335976</v>
      </c>
      <c r="I321" s="25"/>
      <c r="J321" s="25" t="n">
        <v>0</v>
      </c>
      <c r="K321" s="25" t="str">
        <f aca="false">IF(J321&gt;0,"Yes","No")</f>
        <v>No</v>
      </c>
    </row>
    <row r="322" customFormat="false" ht="15" hidden="false" customHeight="false" outlineLevel="0" collapsed="false">
      <c r="A322" s="25" t="s">
        <v>11100</v>
      </c>
      <c r="B322" s="25" t="s">
        <v>11138</v>
      </c>
      <c r="C322" s="25" t="n">
        <v>2009</v>
      </c>
      <c r="D322" s="25" t="s">
        <v>11160</v>
      </c>
      <c r="E322" s="25" t="s">
        <v>12082</v>
      </c>
      <c r="F322" s="25" t="s">
        <v>12083</v>
      </c>
      <c r="G322" s="28" t="s">
        <v>12084</v>
      </c>
      <c r="H322" s="25" t="n">
        <v>19128970</v>
      </c>
      <c r="I322" s="25"/>
      <c r="J322" s="25" t="n">
        <v>0</v>
      </c>
      <c r="K322" s="25" t="str">
        <f aca="false">IF(J322&gt;0,"Yes","No")</f>
        <v>No</v>
      </c>
    </row>
    <row r="323" customFormat="false" ht="15" hidden="false" customHeight="false" outlineLevel="0" collapsed="false">
      <c r="A323" s="25" t="s">
        <v>10972</v>
      </c>
      <c r="B323" s="25" t="s">
        <v>11138</v>
      </c>
      <c r="C323" s="25" t="n">
        <v>2007</v>
      </c>
      <c r="D323" s="25" t="s">
        <v>11139</v>
      </c>
      <c r="E323" s="25" t="s">
        <v>12085</v>
      </c>
      <c r="F323" s="25" t="s">
        <v>12086</v>
      </c>
      <c r="G323" s="28" t="s">
        <v>12087</v>
      </c>
      <c r="H323" s="25" t="n">
        <v>17477516</v>
      </c>
      <c r="I323" s="25"/>
      <c r="J323" s="25" t="n">
        <v>0</v>
      </c>
      <c r="K323" s="25" t="str">
        <f aca="false">IF(J323&gt;0,"Yes","No")</f>
        <v>No</v>
      </c>
    </row>
    <row r="324" customFormat="false" ht="15" hidden="false" customHeight="false" outlineLevel="0" collapsed="false">
      <c r="A324" s="25" t="s">
        <v>11048</v>
      </c>
      <c r="B324" s="25" t="s">
        <v>11138</v>
      </c>
      <c r="C324" s="25" t="n">
        <v>2008</v>
      </c>
      <c r="D324" s="25" t="s">
        <v>11160</v>
      </c>
      <c r="E324" s="25" t="s">
        <v>12088</v>
      </c>
      <c r="F324" s="25" t="s">
        <v>12089</v>
      </c>
      <c r="G324" s="28" t="s">
        <v>12090</v>
      </c>
      <c r="H324" s="25" t="n">
        <v>18337096</v>
      </c>
      <c r="I324" s="25"/>
      <c r="J324" s="25" t="n">
        <v>0</v>
      </c>
      <c r="K324" s="25" t="str">
        <f aca="false">IF(J324&gt;0,"Yes","No")</f>
        <v>No</v>
      </c>
    </row>
    <row r="325" customFormat="false" ht="15" hidden="false" customHeight="false" outlineLevel="0" collapsed="false">
      <c r="A325" s="25" t="s">
        <v>10999</v>
      </c>
      <c r="B325" s="25" t="s">
        <v>11138</v>
      </c>
      <c r="C325" s="25" t="n">
        <v>2008</v>
      </c>
      <c r="D325" s="25" t="s">
        <v>11200</v>
      </c>
      <c r="E325" s="25" t="s">
        <v>12091</v>
      </c>
      <c r="F325" s="25" t="s">
        <v>12092</v>
      </c>
      <c r="G325" s="28" t="s">
        <v>12093</v>
      </c>
      <c r="H325" s="25" t="n">
        <v>18006322</v>
      </c>
      <c r="I325" s="25"/>
      <c r="J325" s="25" t="n">
        <v>0</v>
      </c>
      <c r="K325" s="25" t="str">
        <f aca="false">IF(J325&gt;0,"Yes","No")</f>
        <v>No</v>
      </c>
    </row>
    <row r="326" customFormat="false" ht="15" hidden="false" customHeight="false" outlineLevel="0" collapsed="false">
      <c r="A326" s="25" t="s">
        <v>10890</v>
      </c>
      <c r="B326" s="25" t="s">
        <v>11138</v>
      </c>
      <c r="C326" s="25" t="n">
        <v>2005</v>
      </c>
      <c r="D326" s="25" t="s">
        <v>11160</v>
      </c>
      <c r="E326" s="25" t="s">
        <v>12094</v>
      </c>
      <c r="F326" s="25" t="s">
        <v>12095</v>
      </c>
      <c r="G326" s="28" t="s">
        <v>12096</v>
      </c>
      <c r="H326" s="25" t="n">
        <v>15664830</v>
      </c>
      <c r="I326" s="25"/>
      <c r="J326" s="25" t="n">
        <v>0</v>
      </c>
      <c r="K326" s="25" t="str">
        <f aca="false">IF(J326&gt;0,"Yes","No")</f>
        <v>No</v>
      </c>
    </row>
    <row r="327" customFormat="false" ht="15" hidden="false" customHeight="false" outlineLevel="0" collapsed="false">
      <c r="A327" s="25" t="s">
        <v>10990</v>
      </c>
      <c r="B327" s="25" t="s">
        <v>11138</v>
      </c>
      <c r="C327" s="25" t="n">
        <v>2007</v>
      </c>
      <c r="D327" s="25" t="s">
        <v>11200</v>
      </c>
      <c r="E327" s="25" t="s">
        <v>12097</v>
      </c>
      <c r="F327" s="25" t="s">
        <v>12098</v>
      </c>
      <c r="G327" s="28" t="s">
        <v>12099</v>
      </c>
      <c r="H327" s="25" t="n">
        <v>17110113</v>
      </c>
      <c r="I327" s="25"/>
      <c r="J327" s="25" t="n">
        <v>0</v>
      </c>
      <c r="K327" s="25" t="str">
        <f aca="false">IF(J327&gt;0,"Yes","No")</f>
        <v>No</v>
      </c>
    </row>
    <row r="328" customFormat="false" ht="15" hidden="false" customHeight="false" outlineLevel="0" collapsed="false">
      <c r="A328" s="25" t="s">
        <v>10936</v>
      </c>
      <c r="B328" s="25" t="s">
        <v>11138</v>
      </c>
      <c r="C328" s="25" t="n">
        <v>2007</v>
      </c>
      <c r="D328" s="25" t="s">
        <v>11160</v>
      </c>
      <c r="E328" s="25" t="s">
        <v>12100</v>
      </c>
      <c r="F328" s="25" t="s">
        <v>12101</v>
      </c>
      <c r="G328" s="28" t="s">
        <v>12102</v>
      </c>
      <c r="H328" s="25" t="n">
        <v>17293109</v>
      </c>
      <c r="I328" s="25"/>
      <c r="J328" s="25" t="n">
        <v>0</v>
      </c>
      <c r="K328" s="25" t="str">
        <f aca="false">IF(J328&gt;0,"Yes","No")</f>
        <v>No</v>
      </c>
    </row>
    <row r="329" customFormat="false" ht="15" hidden="false" customHeight="false" outlineLevel="0" collapsed="false">
      <c r="A329" s="25" t="s">
        <v>11028</v>
      </c>
      <c r="B329" s="25" t="s">
        <v>11138</v>
      </c>
      <c r="C329" s="25" t="n">
        <v>2008</v>
      </c>
      <c r="D329" s="25" t="s">
        <v>11160</v>
      </c>
      <c r="E329" s="25" t="s">
        <v>12103</v>
      </c>
      <c r="F329" s="25" t="s">
        <v>12104</v>
      </c>
      <c r="G329" s="28" t="s">
        <v>12105</v>
      </c>
      <c r="H329" s="25" t="n">
        <v>18394887</v>
      </c>
      <c r="I329" s="25"/>
      <c r="J329" s="25" t="n">
        <v>0</v>
      </c>
      <c r="K329" s="25" t="str">
        <f aca="false">IF(J329&gt;0,"Yes","No")</f>
        <v>No</v>
      </c>
    </row>
    <row r="330" customFormat="false" ht="15" hidden="false" customHeight="false" outlineLevel="0" collapsed="false">
      <c r="A330" s="25" t="s">
        <v>10825</v>
      </c>
      <c r="B330" s="25" t="s">
        <v>11138</v>
      </c>
      <c r="C330" s="25" t="n">
        <v>2003</v>
      </c>
      <c r="D330" s="25" t="s">
        <v>11139</v>
      </c>
      <c r="E330" s="25" t="s">
        <v>12106</v>
      </c>
      <c r="F330" s="25" t="s">
        <v>12107</v>
      </c>
      <c r="G330" s="28" t="s">
        <v>12108</v>
      </c>
      <c r="H330" s="25" t="n">
        <v>14521402</v>
      </c>
      <c r="I330" s="25"/>
      <c r="J330" s="25" t="n">
        <v>0</v>
      </c>
      <c r="K330" s="25" t="str">
        <f aca="false">IF(J330&gt;0,"Yes","No")</f>
        <v>No</v>
      </c>
    </row>
    <row r="331" customFormat="false" ht="15" hidden="false" customHeight="false" outlineLevel="0" collapsed="false">
      <c r="A331" s="25" t="s">
        <v>10892</v>
      </c>
      <c r="B331" s="25" t="s">
        <v>11138</v>
      </c>
      <c r="C331" s="25" t="n">
        <v>2005</v>
      </c>
      <c r="D331" s="25" t="s">
        <v>11139</v>
      </c>
      <c r="E331" s="25" t="s">
        <v>12109</v>
      </c>
      <c r="F331" s="25" t="s">
        <v>12110</v>
      </c>
      <c r="G331" s="28" t="s">
        <v>12111</v>
      </c>
      <c r="H331" s="25" t="n">
        <v>15801840</v>
      </c>
      <c r="I331" s="25"/>
      <c r="J331" s="25" t="n">
        <v>0</v>
      </c>
      <c r="K331" s="25" t="str">
        <f aca="false">IF(J331&gt;0,"Yes","No")</f>
        <v>No</v>
      </c>
    </row>
    <row r="332" customFormat="false" ht="15" hidden="false" customHeight="false" outlineLevel="0" collapsed="false">
      <c r="A332" s="25" t="s">
        <v>10941</v>
      </c>
      <c r="B332" s="25" t="s">
        <v>11138</v>
      </c>
      <c r="C332" s="25" t="n">
        <v>2007</v>
      </c>
      <c r="D332" s="25" t="s">
        <v>11139</v>
      </c>
      <c r="E332" s="25" t="s">
        <v>12112</v>
      </c>
      <c r="F332" s="25" t="s">
        <v>12113</v>
      </c>
      <c r="G332" s="28" t="s">
        <v>12114</v>
      </c>
      <c r="H332" s="25" t="n">
        <v>17608398</v>
      </c>
      <c r="I332" s="25"/>
      <c r="J332" s="25" t="n">
        <v>0</v>
      </c>
      <c r="K332" s="25" t="str">
        <f aca="false">IF(J332&gt;0,"Yes","No")</f>
        <v>No</v>
      </c>
    </row>
    <row r="333" customFormat="false" ht="15" hidden="false" customHeight="false" outlineLevel="0" collapsed="false">
      <c r="A333" s="25" t="s">
        <v>10943</v>
      </c>
      <c r="B333" s="25" t="s">
        <v>11138</v>
      </c>
      <c r="C333" s="25" t="n">
        <v>2007</v>
      </c>
      <c r="D333" s="25" t="s">
        <v>11160</v>
      </c>
      <c r="E333" s="25" t="s">
        <v>12115</v>
      </c>
      <c r="F333" s="25" t="s">
        <v>12116</v>
      </c>
      <c r="G333" s="28" t="s">
        <v>12117</v>
      </c>
      <c r="H333" s="25" t="n">
        <v>17257842</v>
      </c>
      <c r="I333" s="25"/>
      <c r="J333" s="25" t="n">
        <v>0</v>
      </c>
      <c r="K333" s="25" t="str">
        <f aca="false">IF(J333&gt;0,"Yes","No")</f>
        <v>No</v>
      </c>
    </row>
    <row r="334" customFormat="false" ht="15" hidden="false" customHeight="false" outlineLevel="0" collapsed="false">
      <c r="A334" s="25" t="s">
        <v>10878</v>
      </c>
      <c r="B334" s="25" t="s">
        <v>11138</v>
      </c>
      <c r="C334" s="25" t="n">
        <v>2004</v>
      </c>
      <c r="D334" s="25" t="s">
        <v>11139</v>
      </c>
      <c r="E334" s="25" t="s">
        <v>12118</v>
      </c>
      <c r="F334" s="25" t="s">
        <v>12119</v>
      </c>
      <c r="G334" s="28" t="s">
        <v>12120</v>
      </c>
      <c r="H334" s="25" t="n">
        <v>14736243</v>
      </c>
      <c r="I334" s="25"/>
      <c r="J334" s="25" t="n">
        <v>0</v>
      </c>
      <c r="K334" s="25" t="str">
        <f aca="false">IF(J334&gt;0,"Yes","No")</f>
        <v>No</v>
      </c>
    </row>
    <row r="335" customFormat="false" ht="15" hidden="false" customHeight="false" outlineLevel="0" collapsed="false">
      <c r="A335" s="25" t="s">
        <v>10923</v>
      </c>
      <c r="B335" s="25" t="s">
        <v>11138</v>
      </c>
      <c r="C335" s="25" t="n">
        <v>2006</v>
      </c>
      <c r="D335" s="25" t="s">
        <v>11139</v>
      </c>
      <c r="E335" s="25" t="s">
        <v>12121</v>
      </c>
      <c r="F335" s="25" t="s">
        <v>12122</v>
      </c>
      <c r="G335" s="28" t="s">
        <v>12123</v>
      </c>
      <c r="H335" s="25" t="n">
        <v>16392827</v>
      </c>
      <c r="I335" s="25"/>
      <c r="J335" s="25" t="n">
        <v>0</v>
      </c>
      <c r="K335" s="25" t="str">
        <f aca="false">IF(J335&gt;0,"Yes","No")</f>
        <v>No</v>
      </c>
    </row>
    <row r="336" customFormat="false" ht="15" hidden="false" customHeight="false" outlineLevel="0" collapsed="false">
      <c r="A336" s="25" t="s">
        <v>10927</v>
      </c>
      <c r="B336" s="25" t="s">
        <v>11138</v>
      </c>
      <c r="C336" s="25" t="n">
        <v>2006</v>
      </c>
      <c r="D336" s="25" t="s">
        <v>11139</v>
      </c>
      <c r="E336" s="25" t="s">
        <v>12124</v>
      </c>
      <c r="F336" s="25" t="s">
        <v>12125</v>
      </c>
      <c r="G336" s="28" t="s">
        <v>12126</v>
      </c>
      <c r="H336" s="25" t="n">
        <v>16392798</v>
      </c>
      <c r="I336" s="25"/>
      <c r="J336" s="25" t="n">
        <v>0</v>
      </c>
      <c r="K336" s="25" t="str">
        <f aca="false">IF(J336&gt;0,"Yes","No")</f>
        <v>No</v>
      </c>
    </row>
    <row r="337" customFormat="false" ht="15" hidden="false" customHeight="false" outlineLevel="0" collapsed="false">
      <c r="A337" s="25" t="s">
        <v>10929</v>
      </c>
      <c r="B337" s="25" t="s">
        <v>11138</v>
      </c>
      <c r="C337" s="25" t="n">
        <v>2006</v>
      </c>
      <c r="D337" s="25" t="s">
        <v>11139</v>
      </c>
      <c r="E337" s="25" t="s">
        <v>12127</v>
      </c>
      <c r="F337" s="25" t="s">
        <v>12128</v>
      </c>
      <c r="G337" s="28" t="s">
        <v>12129</v>
      </c>
      <c r="H337" s="25" t="n">
        <v>16451053</v>
      </c>
      <c r="I337" s="25"/>
      <c r="J337" s="25" t="n">
        <v>0</v>
      </c>
      <c r="K337" s="25" t="str">
        <f aca="false">IF(J337&gt;0,"Yes","No")</f>
        <v>No</v>
      </c>
    </row>
    <row r="338" customFormat="false" ht="15" hidden="false" customHeight="false" outlineLevel="0" collapsed="false">
      <c r="A338" s="25" t="s">
        <v>10946</v>
      </c>
      <c r="B338" s="25" t="s">
        <v>11138</v>
      </c>
      <c r="C338" s="25" t="n">
        <v>2007</v>
      </c>
      <c r="D338" s="25" t="s">
        <v>11139</v>
      </c>
      <c r="E338" s="25" t="s">
        <v>12130</v>
      </c>
      <c r="F338" s="25" t="s">
        <v>12131</v>
      </c>
      <c r="G338" s="28" t="s">
        <v>12132</v>
      </c>
      <c r="H338" s="25" t="n">
        <v>17630726</v>
      </c>
      <c r="I338" s="25"/>
      <c r="J338" s="25" t="n">
        <v>0</v>
      </c>
      <c r="K338" s="25" t="str">
        <f aca="false">IF(J338&gt;0,"Yes","No")</f>
        <v>No</v>
      </c>
    </row>
    <row r="339" customFormat="false" ht="15" hidden="false" customHeight="false" outlineLevel="0" collapsed="false">
      <c r="A339" s="25" t="s">
        <v>10953</v>
      </c>
      <c r="B339" s="25" t="s">
        <v>11138</v>
      </c>
      <c r="C339" s="25" t="n">
        <v>2007</v>
      </c>
      <c r="D339" s="25" t="s">
        <v>11139</v>
      </c>
      <c r="E339" s="25" t="s">
        <v>12133</v>
      </c>
      <c r="F339" s="25" t="s">
        <v>12134</v>
      </c>
      <c r="G339" s="28" t="s">
        <v>12135</v>
      </c>
      <c r="H339" s="25" t="n">
        <v>17867665</v>
      </c>
      <c r="I339" s="25"/>
      <c r="J339" s="25" t="n">
        <v>0</v>
      </c>
      <c r="K339" s="25" t="str">
        <f aca="false">IF(J339&gt;0,"Yes","No")</f>
        <v>No</v>
      </c>
    </row>
    <row r="340" customFormat="false" ht="15" hidden="false" customHeight="false" outlineLevel="0" collapsed="false">
      <c r="A340" s="25" t="s">
        <v>10908</v>
      </c>
      <c r="B340" s="25" t="s">
        <v>11138</v>
      </c>
      <c r="C340" s="25" t="n">
        <v>2006</v>
      </c>
      <c r="D340" s="25" t="s">
        <v>11160</v>
      </c>
      <c r="E340" s="25" t="s">
        <v>12136</v>
      </c>
      <c r="F340" s="25" t="s">
        <v>12137</v>
      </c>
      <c r="G340" s="28" t="s">
        <v>12138</v>
      </c>
      <c r="H340" s="25" t="n">
        <v>16263284</v>
      </c>
      <c r="I340" s="25"/>
      <c r="J340" s="25" t="n">
        <v>0</v>
      </c>
      <c r="K340" s="25" t="str">
        <f aca="false">IF(J340&gt;0,"Yes","No")</f>
        <v>No</v>
      </c>
    </row>
    <row r="341" customFormat="false" ht="15" hidden="false" customHeight="false" outlineLevel="0" collapsed="false">
      <c r="A341" s="25" t="s">
        <v>10915</v>
      </c>
      <c r="B341" s="25" t="s">
        <v>11138</v>
      </c>
      <c r="C341" s="25" t="n">
        <v>2006</v>
      </c>
      <c r="D341" s="25" t="s">
        <v>11160</v>
      </c>
      <c r="E341" s="25" t="s">
        <v>12139</v>
      </c>
      <c r="F341" s="25" t="s">
        <v>12140</v>
      </c>
      <c r="G341" s="28" t="s">
        <v>12141</v>
      </c>
      <c r="H341" s="25" t="n">
        <v>16263283</v>
      </c>
      <c r="I341" s="25"/>
      <c r="J341" s="25" t="n">
        <v>0</v>
      </c>
      <c r="K341" s="25" t="str">
        <f aca="false">IF(J341&gt;0,"Yes","No")</f>
        <v>No</v>
      </c>
    </row>
    <row r="342" customFormat="false" ht="15" hidden="false" customHeight="false" outlineLevel="0" collapsed="false">
      <c r="A342" s="25" t="s">
        <v>10955</v>
      </c>
      <c r="B342" s="25" t="s">
        <v>11138</v>
      </c>
      <c r="C342" s="25" t="n">
        <v>2007</v>
      </c>
      <c r="D342" s="25" t="s">
        <v>11160</v>
      </c>
      <c r="E342" s="25" t="s">
        <v>12142</v>
      </c>
      <c r="F342" s="25" t="s">
        <v>12143</v>
      </c>
      <c r="G342" s="28" t="s">
        <v>12144</v>
      </c>
      <c r="H342" s="25" t="n">
        <v>17643986</v>
      </c>
      <c r="I342" s="25"/>
      <c r="J342" s="25" t="n">
        <v>0</v>
      </c>
      <c r="K342" s="25" t="str">
        <f aca="false">IF(J342&gt;0,"Yes","No")</f>
        <v>No</v>
      </c>
    </row>
    <row r="343" customFormat="false" ht="15" hidden="false" customHeight="false" outlineLevel="0" collapsed="false">
      <c r="A343" s="25" t="s">
        <v>11113</v>
      </c>
      <c r="B343" s="25" t="s">
        <v>11138</v>
      </c>
      <c r="C343" s="25" t="n">
        <v>2008</v>
      </c>
      <c r="D343" s="25" t="s">
        <v>11155</v>
      </c>
      <c r="E343" s="25" t="s">
        <v>12145</v>
      </c>
      <c r="F343" s="25" t="s">
        <v>12146</v>
      </c>
      <c r="G343" s="28" t="s">
        <v>12147</v>
      </c>
      <c r="H343" s="25" t="n">
        <v>17582659</v>
      </c>
      <c r="I343" s="25"/>
      <c r="J343" s="25" t="n">
        <v>0</v>
      </c>
      <c r="K343" s="25" t="str">
        <f aca="false">IF(J343&gt;0,"Yes","No")</f>
        <v>No</v>
      </c>
    </row>
    <row r="344" customFormat="false" ht="15" hidden="false" customHeight="false" outlineLevel="0" collapsed="false">
      <c r="A344" s="25" t="s">
        <v>11055</v>
      </c>
      <c r="B344" s="25" t="s">
        <v>11138</v>
      </c>
      <c r="C344" s="25" t="n">
        <v>2008</v>
      </c>
      <c r="D344" s="25" t="s">
        <v>11160</v>
      </c>
      <c r="E344" s="25" t="s">
        <v>12148</v>
      </c>
      <c r="F344" s="25" t="s">
        <v>12149</v>
      </c>
      <c r="G344" s="28" t="s">
        <v>12150</v>
      </c>
      <c r="H344" s="25" t="n">
        <v>18448340</v>
      </c>
      <c r="I344" s="25"/>
      <c r="J344" s="25" t="n">
        <v>0</v>
      </c>
      <c r="K344" s="25" t="str">
        <f aca="false">IF(J344&gt;0,"Yes","No")</f>
        <v>No</v>
      </c>
    </row>
    <row r="345" customFormat="false" ht="15" hidden="false" customHeight="false" outlineLevel="0" collapsed="false">
      <c r="A345" s="25" t="s">
        <v>11045</v>
      </c>
      <c r="B345" s="25" t="s">
        <v>11138</v>
      </c>
      <c r="C345" s="25" t="n">
        <v>2008</v>
      </c>
      <c r="D345" s="25" t="s">
        <v>11139</v>
      </c>
      <c r="E345" s="25" t="s">
        <v>12151</v>
      </c>
      <c r="F345" s="25" t="s">
        <v>12152</v>
      </c>
      <c r="G345" s="28" t="s">
        <v>12153</v>
      </c>
      <c r="H345" s="25" t="n">
        <v>18954042</v>
      </c>
      <c r="I345" s="25"/>
      <c r="J345" s="25" t="n">
        <v>0</v>
      </c>
      <c r="K345" s="25" t="str">
        <f aca="false">IF(J345&gt;0,"Yes","No")</f>
        <v>No</v>
      </c>
    </row>
    <row r="346" customFormat="false" ht="15" hidden="false" customHeight="false" outlineLevel="0" collapsed="false">
      <c r="A346" s="25" t="s">
        <v>8544</v>
      </c>
      <c r="B346" s="25" t="s">
        <v>11138</v>
      </c>
      <c r="C346" s="25" t="n">
        <v>2009</v>
      </c>
      <c r="D346" s="25" t="s">
        <v>11200</v>
      </c>
      <c r="E346" s="25" t="s">
        <v>12154</v>
      </c>
      <c r="F346" s="25" t="s">
        <v>12155</v>
      </c>
      <c r="G346" s="28" t="s">
        <v>12156</v>
      </c>
      <c r="H346" s="25" t="n">
        <v>19477133</v>
      </c>
      <c r="I346" s="25"/>
      <c r="J346" s="25" t="n">
        <v>0</v>
      </c>
      <c r="K346" s="25" t="str">
        <f aca="false">IF(J346&gt;0,"Yes","No")</f>
        <v>No</v>
      </c>
    </row>
    <row r="347" customFormat="false" ht="15" hidden="false" customHeight="false" outlineLevel="0" collapsed="false">
      <c r="A347" s="25" t="s">
        <v>8563</v>
      </c>
      <c r="B347" s="25" t="s">
        <v>11138</v>
      </c>
      <c r="C347" s="25" t="n">
        <v>2010</v>
      </c>
      <c r="D347" s="25" t="s">
        <v>11160</v>
      </c>
      <c r="E347" s="25" t="s">
        <v>12157</v>
      </c>
      <c r="F347" s="25" t="s">
        <v>12158</v>
      </c>
      <c r="G347" s="28" t="s">
        <v>12159</v>
      </c>
      <c r="H347" s="25" t="n">
        <v>19954972</v>
      </c>
      <c r="I347" s="25"/>
      <c r="J347" s="25" t="n">
        <v>0</v>
      </c>
      <c r="K347" s="25" t="str">
        <f aca="false">IF(J347&gt;0,"Yes","No")</f>
        <v>No</v>
      </c>
    </row>
    <row r="348" customFormat="false" ht="15" hidden="false" customHeight="false" outlineLevel="0" collapsed="false">
      <c r="A348" s="25" t="s">
        <v>8571</v>
      </c>
      <c r="B348" s="25" t="s">
        <v>11138</v>
      </c>
      <c r="C348" s="25" t="n">
        <v>2010</v>
      </c>
      <c r="D348" s="25" t="s">
        <v>11160</v>
      </c>
      <c r="E348" s="25" t="s">
        <v>12160</v>
      </c>
      <c r="F348" s="25" t="s">
        <v>12161</v>
      </c>
      <c r="G348" s="28" t="s">
        <v>12162</v>
      </c>
      <c r="H348" s="25" t="n">
        <v>20005703</v>
      </c>
      <c r="I348" s="25"/>
      <c r="J348" s="25" t="n">
        <v>0</v>
      </c>
      <c r="K348" s="25" t="str">
        <f aca="false">IF(J348&gt;0,"Yes","No")</f>
        <v>No</v>
      </c>
    </row>
    <row r="349" customFormat="false" ht="15" hidden="false" customHeight="false" outlineLevel="0" collapsed="false">
      <c r="A349" s="25" t="s">
        <v>8453</v>
      </c>
      <c r="B349" s="25" t="s">
        <v>11138</v>
      </c>
      <c r="C349" s="25" t="n">
        <v>2009</v>
      </c>
      <c r="D349" s="25" t="s">
        <v>11139</v>
      </c>
      <c r="E349" s="25" t="s">
        <v>12163</v>
      </c>
      <c r="F349" s="25" t="s">
        <v>12164</v>
      </c>
      <c r="G349" s="28" t="s">
        <v>12165</v>
      </c>
      <c r="H349" s="25" t="n">
        <v>19320488</v>
      </c>
      <c r="I349" s="25"/>
      <c r="J349" s="25" t="n">
        <v>0</v>
      </c>
      <c r="K349" s="25" t="str">
        <f aca="false">IF(J349&gt;0,"Yes","No")</f>
        <v>No</v>
      </c>
    </row>
    <row r="350" customFormat="false" ht="15" hidden="false" customHeight="false" outlineLevel="0" collapsed="false">
      <c r="A350" s="25" t="s">
        <v>8552</v>
      </c>
      <c r="B350" s="25" t="s">
        <v>11138</v>
      </c>
      <c r="C350" s="25" t="n">
        <v>2009</v>
      </c>
      <c r="D350" s="25" t="s">
        <v>11160</v>
      </c>
      <c r="E350" s="25" t="s">
        <v>12166</v>
      </c>
      <c r="F350" s="25" t="s">
        <v>12167</v>
      </c>
      <c r="G350" s="28" t="s">
        <v>12168</v>
      </c>
      <c r="H350" s="25" t="n">
        <v>19500981</v>
      </c>
      <c r="I350" s="25"/>
      <c r="J350" s="25" t="n">
        <v>0</v>
      </c>
      <c r="K350" s="25" t="str">
        <f aca="false">IF(J350&gt;0,"Yes","No")</f>
        <v>No</v>
      </c>
    </row>
    <row r="351" customFormat="false" ht="15" hidden="false" customHeight="false" outlineLevel="0" collapsed="false">
      <c r="A351" s="25" t="s">
        <v>11065</v>
      </c>
      <c r="B351" s="25" t="s">
        <v>11138</v>
      </c>
      <c r="C351" s="25" t="n">
        <v>2009</v>
      </c>
      <c r="D351" s="25" t="s">
        <v>11200</v>
      </c>
      <c r="E351" s="25" t="s">
        <v>12169</v>
      </c>
      <c r="F351" s="25" t="s">
        <v>12170</v>
      </c>
      <c r="G351" s="28" t="s">
        <v>12171</v>
      </c>
      <c r="H351" s="25" t="n">
        <v>19250829</v>
      </c>
      <c r="I351" s="25"/>
      <c r="J351" s="25" t="n">
        <v>0</v>
      </c>
      <c r="K351" s="25" t="str">
        <f aca="false">IF(J351&gt;0,"Yes","No")</f>
        <v>No</v>
      </c>
    </row>
    <row r="352" customFormat="false" ht="15" hidden="false" customHeight="false" outlineLevel="0" collapsed="false">
      <c r="A352" s="25" t="s">
        <v>11058</v>
      </c>
      <c r="B352" s="25" t="s">
        <v>11138</v>
      </c>
      <c r="C352" s="25" t="n">
        <v>2009</v>
      </c>
      <c r="D352" s="25" t="s">
        <v>11160</v>
      </c>
      <c r="E352" s="25" t="s">
        <v>12172</v>
      </c>
      <c r="F352" s="25" t="s">
        <v>12173</v>
      </c>
      <c r="G352" s="28" t="s">
        <v>12174</v>
      </c>
      <c r="H352" s="25" t="n">
        <v>19269817</v>
      </c>
      <c r="I352" s="25"/>
      <c r="J352" s="25" t="n">
        <v>0</v>
      </c>
      <c r="K352" s="25" t="str">
        <f aca="false">IF(J352&gt;0,"Yes","No")</f>
        <v>No</v>
      </c>
    </row>
    <row r="353" customFormat="false" ht="15" hidden="false" customHeight="false" outlineLevel="0" collapsed="false">
      <c r="A353" s="25" t="s">
        <v>8549</v>
      </c>
      <c r="B353" s="25" t="s">
        <v>11138</v>
      </c>
      <c r="C353" s="25" t="n">
        <v>2009</v>
      </c>
      <c r="D353" s="25" t="s">
        <v>11160</v>
      </c>
      <c r="E353" s="25" t="s">
        <v>12175</v>
      </c>
      <c r="F353" s="25" t="s">
        <v>12176</v>
      </c>
      <c r="G353" s="28" t="s">
        <v>12177</v>
      </c>
      <c r="H353" s="25" t="n">
        <v>19596576</v>
      </c>
      <c r="I353" s="25"/>
      <c r="J353" s="25" t="n">
        <v>0</v>
      </c>
      <c r="K353" s="25" t="str">
        <f aca="false">IF(J353&gt;0,"Yes","No")</f>
        <v>No</v>
      </c>
    </row>
    <row r="354" customFormat="false" ht="15" hidden="false" customHeight="false" outlineLevel="0" collapsed="false">
      <c r="A354" s="25" t="s">
        <v>8595</v>
      </c>
      <c r="B354" s="25" t="s">
        <v>11138</v>
      </c>
      <c r="C354" s="25" t="n">
        <v>2009</v>
      </c>
      <c r="D354" s="25" t="s">
        <v>11160</v>
      </c>
      <c r="E354" s="25" t="s">
        <v>12178</v>
      </c>
      <c r="F354" s="25" t="s">
        <v>12179</v>
      </c>
      <c r="G354" s="28" t="s">
        <v>12180</v>
      </c>
      <c r="H354" s="25" t="n">
        <v>19767206</v>
      </c>
      <c r="I354" s="25"/>
      <c r="J354" s="25" t="n">
        <v>0</v>
      </c>
      <c r="K354" s="25" t="str">
        <f aca="false">IF(J354&gt;0,"Yes","No")</f>
        <v>No</v>
      </c>
    </row>
    <row r="355" customFormat="false" ht="15" hidden="false" customHeight="false" outlineLevel="0" collapsed="false">
      <c r="A355" s="25" t="s">
        <v>8530</v>
      </c>
      <c r="B355" s="25" t="s">
        <v>11138</v>
      </c>
      <c r="C355" s="25" t="n">
        <v>2009</v>
      </c>
      <c r="D355" s="25" t="s">
        <v>11160</v>
      </c>
      <c r="E355" s="25" t="s">
        <v>12181</v>
      </c>
      <c r="F355" s="25" t="s">
        <v>12182</v>
      </c>
      <c r="G355" s="28" t="s">
        <v>12183</v>
      </c>
      <c r="H355" s="25" t="n">
        <v>19632830</v>
      </c>
      <c r="I355" s="25"/>
      <c r="J355" s="25" t="n">
        <v>0</v>
      </c>
      <c r="K355" s="25" t="str">
        <f aca="false">IF(J355&gt;0,"Yes","No")</f>
        <v>No</v>
      </c>
    </row>
    <row r="356" customFormat="false" ht="15" hidden="false" customHeight="false" outlineLevel="0" collapsed="false">
      <c r="A356" s="25" t="s">
        <v>8283</v>
      </c>
      <c r="B356" s="25" t="s">
        <v>11138</v>
      </c>
      <c r="C356" s="25" t="n">
        <v>2010</v>
      </c>
      <c r="D356" s="25" t="s">
        <v>11139</v>
      </c>
      <c r="E356" s="25" t="s">
        <v>12184</v>
      </c>
      <c r="F356" s="25" t="s">
        <v>12185</v>
      </c>
      <c r="G356" s="28" t="s">
        <v>12186</v>
      </c>
      <c r="H356" s="25" t="n">
        <v>20218623</v>
      </c>
      <c r="I356" s="25"/>
      <c r="J356" s="25" t="n">
        <v>0</v>
      </c>
      <c r="K356" s="25" t="str">
        <f aca="false">IF(J356&gt;0,"Yes","No")</f>
        <v>No</v>
      </c>
    </row>
    <row r="357" customFormat="false" ht="15" hidden="false" customHeight="false" outlineLevel="0" collapsed="false">
      <c r="A357" s="25" t="s">
        <v>11120</v>
      </c>
      <c r="B357" s="25" t="s">
        <v>11138</v>
      </c>
      <c r="C357" s="25" t="n">
        <v>2008</v>
      </c>
      <c r="D357" s="25" t="s">
        <v>11200</v>
      </c>
      <c r="E357" s="25" t="s">
        <v>12187</v>
      </c>
      <c r="F357" s="25" t="s">
        <v>12188</v>
      </c>
      <c r="G357" s="28" t="s">
        <v>12189</v>
      </c>
      <c r="H357" s="25" t="n">
        <v>18595717</v>
      </c>
      <c r="I357" s="25"/>
      <c r="J357" s="25" t="n">
        <v>0</v>
      </c>
      <c r="K357" s="25" t="str">
        <f aca="false">IF(J357&gt;0,"Yes","No")</f>
        <v>No</v>
      </c>
    </row>
    <row r="358" customFormat="false" ht="15" hidden="false" customHeight="false" outlineLevel="0" collapsed="false">
      <c r="A358" s="25" t="s">
        <v>11083</v>
      </c>
      <c r="B358" s="25" t="s">
        <v>11138</v>
      </c>
      <c r="C358" s="25" t="n">
        <v>2008</v>
      </c>
      <c r="D358" s="25" t="s">
        <v>11160</v>
      </c>
      <c r="E358" s="25" t="s">
        <v>12190</v>
      </c>
      <c r="F358" s="25" t="s">
        <v>12191</v>
      </c>
      <c r="G358" s="28" t="s">
        <v>12192</v>
      </c>
      <c r="H358" s="25" t="n">
        <v>18639455</v>
      </c>
      <c r="I358" s="25"/>
      <c r="J358" s="25" t="n">
        <v>0</v>
      </c>
      <c r="K358" s="25" t="str">
        <f aca="false">IF(J358&gt;0,"Yes","No")</f>
        <v>No</v>
      </c>
    </row>
    <row r="359" customFormat="false" ht="15" hidden="false" customHeight="false" outlineLevel="0" collapsed="false">
      <c r="A359" s="25" t="s">
        <v>11086</v>
      </c>
      <c r="B359" s="25" t="s">
        <v>11138</v>
      </c>
      <c r="C359" s="25" t="n">
        <v>2008</v>
      </c>
      <c r="D359" s="25" t="s">
        <v>11160</v>
      </c>
      <c r="E359" s="25" t="s">
        <v>12193</v>
      </c>
      <c r="F359" s="25" t="s">
        <v>12194</v>
      </c>
      <c r="G359" s="28" t="s">
        <v>12195</v>
      </c>
      <c r="H359" s="25" t="n">
        <v>18640038</v>
      </c>
      <c r="I359" s="25"/>
      <c r="J359" s="25" t="n">
        <v>0</v>
      </c>
      <c r="K359" s="25" t="str">
        <f aca="false">IF(J359&gt;0,"Yes","No")</f>
        <v>No</v>
      </c>
    </row>
    <row r="360" customFormat="false" ht="15" hidden="false" customHeight="false" outlineLevel="0" collapsed="false">
      <c r="A360" s="25" t="s">
        <v>8533</v>
      </c>
      <c r="B360" s="25" t="s">
        <v>11138</v>
      </c>
      <c r="C360" s="25" t="n">
        <v>2009</v>
      </c>
      <c r="D360" s="25" t="s">
        <v>11139</v>
      </c>
      <c r="E360" s="25" t="s">
        <v>12196</v>
      </c>
      <c r="F360" s="25" t="s">
        <v>12197</v>
      </c>
      <c r="G360" s="28" t="s">
        <v>12198</v>
      </c>
      <c r="H360" s="25" t="n">
        <v>19743867</v>
      </c>
      <c r="I360" s="25"/>
      <c r="J360" s="25" t="n">
        <v>0</v>
      </c>
      <c r="K360" s="25" t="str">
        <f aca="false">IF(J360&gt;0,"Yes","No")</f>
        <v>No</v>
      </c>
    </row>
    <row r="361" customFormat="false" ht="15" hidden="false" customHeight="false" outlineLevel="0" collapsed="false">
      <c r="A361" s="25" t="s">
        <v>8510</v>
      </c>
      <c r="B361" s="25" t="s">
        <v>11138</v>
      </c>
      <c r="C361" s="25" t="n">
        <v>2009</v>
      </c>
      <c r="D361" s="25" t="s">
        <v>11160</v>
      </c>
      <c r="E361" s="25" t="s">
        <v>12199</v>
      </c>
      <c r="F361" s="25" t="s">
        <v>12200</v>
      </c>
      <c r="G361" s="28" t="s">
        <v>12201</v>
      </c>
      <c r="H361" s="25" t="n">
        <v>19850473</v>
      </c>
      <c r="I361" s="25"/>
      <c r="J361" s="25" t="n">
        <v>0</v>
      </c>
      <c r="K361" s="25" t="str">
        <f aca="false">IF(J361&gt;0,"Yes","No")</f>
        <v>No</v>
      </c>
    </row>
    <row r="362" customFormat="false" ht="15" hidden="false" customHeight="false" outlineLevel="0" collapsed="false">
      <c r="A362" s="25" t="s">
        <v>8525</v>
      </c>
      <c r="B362" s="25" t="s">
        <v>11138</v>
      </c>
      <c r="C362" s="25" t="n">
        <v>2009</v>
      </c>
      <c r="D362" s="25" t="s">
        <v>11160</v>
      </c>
      <c r="E362" s="25" t="s">
        <v>12202</v>
      </c>
      <c r="F362" s="25" t="s">
        <v>12203</v>
      </c>
      <c r="G362" s="28" t="s">
        <v>12204</v>
      </c>
      <c r="H362" s="25" t="n">
        <v>19864133</v>
      </c>
      <c r="I362" s="25"/>
      <c r="J362" s="25" t="n">
        <v>0</v>
      </c>
      <c r="K362" s="25" t="str">
        <f aca="false">IF(J362&gt;0,"Yes","No")</f>
        <v>No</v>
      </c>
    </row>
    <row r="363" customFormat="false" ht="15" hidden="false" customHeight="false" outlineLevel="0" collapsed="false">
      <c r="A363" s="25" t="s">
        <v>8598</v>
      </c>
      <c r="B363" s="25" t="s">
        <v>11138</v>
      </c>
      <c r="C363" s="25" t="n">
        <v>2010</v>
      </c>
      <c r="D363" s="25" t="s">
        <v>11160</v>
      </c>
      <c r="E363" s="25" t="s">
        <v>12205</v>
      </c>
      <c r="F363" s="25" t="s">
        <v>12206</v>
      </c>
      <c r="G363" s="28" t="s">
        <v>12207</v>
      </c>
      <c r="H363" s="25" t="n">
        <v>20096577</v>
      </c>
      <c r="I363" s="25"/>
      <c r="J363" s="25" t="n">
        <v>0</v>
      </c>
      <c r="K363" s="25" t="str">
        <f aca="false">IF(J363&gt;0,"Yes","No")</f>
        <v>No</v>
      </c>
    </row>
    <row r="364" customFormat="false" ht="15" hidden="false" customHeight="false" outlineLevel="0" collapsed="false">
      <c r="A364" s="25" t="s">
        <v>11072</v>
      </c>
      <c r="B364" s="25" t="s">
        <v>11138</v>
      </c>
      <c r="C364" s="25" t="n">
        <v>2007</v>
      </c>
      <c r="D364" s="25" t="s">
        <v>12075</v>
      </c>
      <c r="E364" s="25" t="s">
        <v>12208</v>
      </c>
      <c r="F364" s="25" t="s">
        <v>12209</v>
      </c>
      <c r="G364" s="28" t="s">
        <v>12210</v>
      </c>
      <c r="H364" s="25" t="n">
        <v>18077343</v>
      </c>
      <c r="I364" s="25"/>
      <c r="J364" s="25" t="n">
        <v>0</v>
      </c>
      <c r="K364" s="25" t="str">
        <f aca="false">IF(J364&gt;0,"Yes","No")</f>
        <v>No</v>
      </c>
    </row>
    <row r="365" customFormat="false" ht="15" hidden="false" customHeight="false" outlineLevel="0" collapsed="false">
      <c r="A365" s="25" t="s">
        <v>8431</v>
      </c>
      <c r="B365" s="25" t="s">
        <v>11138</v>
      </c>
      <c r="C365" s="25" t="n">
        <v>2008</v>
      </c>
      <c r="D365" s="25" t="s">
        <v>11139</v>
      </c>
      <c r="E365" s="25" t="s">
        <v>12211</v>
      </c>
      <c r="F365" s="25" t="s">
        <v>12212</v>
      </c>
      <c r="G365" s="28" t="s">
        <v>12213</v>
      </c>
      <c r="H365" s="25" t="n">
        <v>18680277</v>
      </c>
      <c r="I365" s="25"/>
      <c r="J365" s="25" t="n">
        <v>0</v>
      </c>
      <c r="K365" s="25" t="str">
        <f aca="false">IF(J365&gt;0,"Yes","No")</f>
        <v>No</v>
      </c>
    </row>
    <row r="366" customFormat="false" ht="15" hidden="false" customHeight="false" outlineLevel="0" collapsed="false">
      <c r="A366" s="25" t="s">
        <v>8557</v>
      </c>
      <c r="B366" s="25" t="s">
        <v>11138</v>
      </c>
      <c r="C366" s="25" t="n">
        <v>2010</v>
      </c>
      <c r="D366" s="25" t="s">
        <v>11160</v>
      </c>
      <c r="E366" s="25" t="s">
        <v>12214</v>
      </c>
      <c r="F366" s="25" t="s">
        <v>12215</v>
      </c>
      <c r="G366" s="28" t="s">
        <v>12216</v>
      </c>
      <c r="H366" s="25" t="n">
        <v>20079638</v>
      </c>
      <c r="I366" s="25"/>
      <c r="J366" s="25" t="n">
        <v>0</v>
      </c>
      <c r="K366" s="25" t="str">
        <f aca="false">IF(J366&gt;0,"Yes","No")</f>
        <v>No</v>
      </c>
    </row>
    <row r="367" customFormat="false" ht="15" hidden="false" customHeight="false" outlineLevel="0" collapsed="false">
      <c r="A367" s="25" t="s">
        <v>11108</v>
      </c>
      <c r="B367" s="25" t="s">
        <v>11138</v>
      </c>
      <c r="C367" s="25" t="n">
        <v>2008</v>
      </c>
      <c r="D367" s="25" t="s">
        <v>11200</v>
      </c>
      <c r="E367" s="25" t="s">
        <v>12217</v>
      </c>
      <c r="F367" s="25" t="s">
        <v>12218</v>
      </c>
      <c r="G367" s="28" t="s">
        <v>12219</v>
      </c>
      <c r="H367" s="25" t="n">
        <v>18243711</v>
      </c>
      <c r="I367" s="25"/>
      <c r="J367" s="25" t="n">
        <v>0</v>
      </c>
      <c r="K367" s="25" t="str">
        <f aca="false">IF(J367&gt;0,"Yes","No")</f>
        <v>No</v>
      </c>
    </row>
    <row r="368" customFormat="false" ht="15" hidden="false" customHeight="false" outlineLevel="0" collapsed="false">
      <c r="A368" s="25" t="s">
        <v>8578</v>
      </c>
      <c r="B368" s="25" t="s">
        <v>11138</v>
      </c>
      <c r="C368" s="25" t="n">
        <v>2010</v>
      </c>
      <c r="D368" s="25" t="s">
        <v>11200</v>
      </c>
      <c r="E368" s="25" t="s">
        <v>12220</v>
      </c>
      <c r="F368" s="25" t="s">
        <v>12221</v>
      </c>
      <c r="G368" s="28" t="s">
        <v>12222</v>
      </c>
      <c r="H368" s="25" t="n">
        <v>20189815</v>
      </c>
      <c r="I368" s="25"/>
      <c r="J368" s="25" t="n">
        <v>0</v>
      </c>
      <c r="K368" s="25" t="str">
        <f aca="false">IF(J368&gt;0,"Yes","No")</f>
        <v>No</v>
      </c>
    </row>
    <row r="369" customFormat="false" ht="15" hidden="false" customHeight="false" outlineLevel="0" collapsed="false">
      <c r="A369" s="25" t="s">
        <v>8582</v>
      </c>
      <c r="B369" s="25" t="s">
        <v>11138</v>
      </c>
      <c r="C369" s="25" t="n">
        <v>2010</v>
      </c>
      <c r="D369" s="25" t="s">
        <v>11139</v>
      </c>
      <c r="E369" s="25" t="s">
        <v>12223</v>
      </c>
      <c r="F369" s="25" t="s">
        <v>12224</v>
      </c>
      <c r="G369" s="28" t="s">
        <v>12225</v>
      </c>
      <c r="H369" s="25" t="n">
        <v>20020710</v>
      </c>
      <c r="I369" s="25"/>
      <c r="J369" s="25" t="n">
        <v>0</v>
      </c>
      <c r="K369" s="25" t="str">
        <f aca="false">IF(J369&gt;0,"Yes","No")</f>
        <v>No</v>
      </c>
    </row>
    <row r="370" customFormat="false" ht="15" hidden="false" customHeight="false" outlineLevel="0" collapsed="false">
      <c r="A370" s="25" t="s">
        <v>8588</v>
      </c>
      <c r="B370" s="25" t="s">
        <v>11138</v>
      </c>
      <c r="C370" s="25" t="n">
        <v>2010</v>
      </c>
      <c r="D370" s="25" t="s">
        <v>11139</v>
      </c>
      <c r="E370" s="25" t="s">
        <v>12226</v>
      </c>
      <c r="F370" s="25" t="s">
        <v>12227</v>
      </c>
      <c r="G370" s="28" t="s">
        <v>12228</v>
      </c>
      <c r="H370" s="25" t="n">
        <v>20423086</v>
      </c>
      <c r="I370" s="25"/>
      <c r="J370" s="25" t="n">
        <v>0</v>
      </c>
      <c r="K370" s="25" t="str">
        <f aca="false">IF(J370&gt;0,"Yes","No")</f>
        <v>No</v>
      </c>
    </row>
    <row r="371" customFormat="false" ht="15" hidden="false" customHeight="false" outlineLevel="0" collapsed="false">
      <c r="A371" s="25" t="s">
        <v>8505</v>
      </c>
      <c r="B371" s="25" t="s">
        <v>11138</v>
      </c>
      <c r="C371" s="25" t="n">
        <v>2009</v>
      </c>
      <c r="D371" s="25" t="s">
        <v>11139</v>
      </c>
      <c r="E371" s="25" t="s">
        <v>12229</v>
      </c>
      <c r="F371" s="25" t="s">
        <v>12230</v>
      </c>
      <c r="G371" s="28" t="s">
        <v>12231</v>
      </c>
      <c r="H371" s="25" t="n">
        <v>19719235</v>
      </c>
      <c r="I371" s="25"/>
      <c r="J371" s="25" t="n">
        <v>0</v>
      </c>
      <c r="K371" s="25" t="str">
        <f aca="false">IF(J371&gt;0,"Yes","No")</f>
        <v>No</v>
      </c>
    </row>
    <row r="372" customFormat="false" ht="15" hidden="false" customHeight="false" outlineLevel="0" collapsed="false">
      <c r="A372" s="25" t="s">
        <v>8560</v>
      </c>
      <c r="B372" s="25" t="s">
        <v>11138</v>
      </c>
      <c r="C372" s="25" t="n">
        <v>2010</v>
      </c>
      <c r="D372" s="25" t="s">
        <v>11160</v>
      </c>
      <c r="E372" s="25" t="s">
        <v>12232</v>
      </c>
      <c r="F372" s="25" t="s">
        <v>12233</v>
      </c>
      <c r="G372" s="28" t="s">
        <v>12234</v>
      </c>
      <c r="H372" s="25" t="n">
        <v>20022504</v>
      </c>
      <c r="I372" s="25"/>
      <c r="J372" s="25" t="n">
        <v>0</v>
      </c>
      <c r="K372" s="25" t="str">
        <f aca="false">IF(J372&gt;0,"Yes","No")</f>
        <v>No</v>
      </c>
    </row>
    <row r="373" customFormat="false" ht="15" hidden="false" customHeight="false" outlineLevel="0" collapsed="false">
      <c r="A373" s="25" t="s">
        <v>8603</v>
      </c>
      <c r="B373" s="25" t="s">
        <v>11138</v>
      </c>
      <c r="C373" s="25" t="n">
        <v>2010</v>
      </c>
      <c r="D373" s="25" t="s">
        <v>11160</v>
      </c>
      <c r="E373" s="25" t="s">
        <v>12235</v>
      </c>
      <c r="F373" s="25" t="s">
        <v>12236</v>
      </c>
      <c r="G373" s="28" t="s">
        <v>12237</v>
      </c>
      <c r="H373" s="25" t="n">
        <v>20483606</v>
      </c>
      <c r="I373" s="25"/>
      <c r="J373" s="25" t="n">
        <v>0</v>
      </c>
      <c r="K373" s="25" t="str">
        <f aca="false">IF(J373&gt;0,"Yes","No")</f>
        <v>No</v>
      </c>
    </row>
    <row r="374" customFormat="false" ht="15" hidden="false" customHeight="false" outlineLevel="0" collapsed="false">
      <c r="A374" s="25" t="s">
        <v>8585</v>
      </c>
      <c r="B374" s="25" t="s">
        <v>11138</v>
      </c>
      <c r="C374" s="25" t="n">
        <v>2010</v>
      </c>
      <c r="D374" s="25" t="s">
        <v>11200</v>
      </c>
      <c r="E374" s="25" t="s">
        <v>12238</v>
      </c>
      <c r="F374" s="25" t="s">
        <v>12239</v>
      </c>
      <c r="G374" s="28" t="s">
        <v>12240</v>
      </c>
      <c r="H374" s="25" t="n">
        <v>20045337</v>
      </c>
      <c r="I374" s="25"/>
      <c r="J374" s="25" t="n">
        <v>0</v>
      </c>
      <c r="K374" s="25" t="str">
        <f aca="false">IF(J374&gt;0,"Yes","No")</f>
        <v>No</v>
      </c>
    </row>
    <row r="375" customFormat="false" ht="15" hidden="false" customHeight="false" outlineLevel="0" collapsed="false">
      <c r="A375" s="25" t="s">
        <v>8650</v>
      </c>
      <c r="B375" s="25" t="s">
        <v>11933</v>
      </c>
      <c r="C375" s="25"/>
      <c r="D375" s="25"/>
      <c r="E375" s="25" t="s">
        <v>12241</v>
      </c>
      <c r="F375" s="25"/>
      <c r="G375" s="25"/>
      <c r="H375" s="25"/>
      <c r="I375" s="25"/>
      <c r="J375" s="25" t="n">
        <v>0</v>
      </c>
      <c r="K375" s="25" t="str">
        <f aca="false">IF(J375&gt;0,"Yes","No")</f>
        <v>No</v>
      </c>
    </row>
    <row r="376" customFormat="false" ht="15" hidden="false" customHeight="false" outlineLevel="0" collapsed="false">
      <c r="A376" s="25" t="s">
        <v>8619</v>
      </c>
      <c r="B376" s="25" t="s">
        <v>11138</v>
      </c>
      <c r="C376" s="25" t="n">
        <v>2009</v>
      </c>
      <c r="D376" s="25" t="s">
        <v>12242</v>
      </c>
      <c r="E376" s="25" t="s">
        <v>12243</v>
      </c>
      <c r="F376" s="25" t="s">
        <v>12244</v>
      </c>
      <c r="G376" s="28" t="s">
        <v>12245</v>
      </c>
      <c r="H376" s="25" t="n">
        <v>19029917</v>
      </c>
      <c r="I376" s="25"/>
      <c r="J376" s="25" t="n">
        <v>0</v>
      </c>
      <c r="K376" s="25" t="str">
        <f aca="false">IF(J376&gt;0,"Yes","No")</f>
        <v>No</v>
      </c>
    </row>
    <row r="377" customFormat="false" ht="15" hidden="false" customHeight="false" outlineLevel="0" collapsed="false">
      <c r="A377" s="25" t="s">
        <v>8616</v>
      </c>
      <c r="B377" s="25" t="s">
        <v>11138</v>
      </c>
      <c r="C377" s="25" t="n">
        <v>2010</v>
      </c>
      <c r="D377" s="25" t="s">
        <v>11200</v>
      </c>
      <c r="E377" s="25" t="s">
        <v>12246</v>
      </c>
      <c r="F377" s="25" t="s">
        <v>12247</v>
      </c>
      <c r="G377" s="28" t="s">
        <v>12248</v>
      </c>
      <c r="H377" s="25" t="n">
        <v>20673729</v>
      </c>
      <c r="I377" s="25"/>
      <c r="J377" s="25" t="n">
        <v>0</v>
      </c>
      <c r="K377" s="25" t="str">
        <f aca="false">IF(J377&gt;0,"Yes","No")</f>
        <v>No</v>
      </c>
    </row>
    <row r="378" customFormat="false" ht="15" hidden="false" customHeight="false" outlineLevel="0" collapsed="false">
      <c r="A378" s="25" t="s">
        <v>8622</v>
      </c>
      <c r="B378" s="25" t="s">
        <v>11138</v>
      </c>
      <c r="C378" s="25" t="n">
        <v>2010</v>
      </c>
      <c r="D378" s="25" t="s">
        <v>11200</v>
      </c>
      <c r="E378" s="25" t="s">
        <v>12249</v>
      </c>
      <c r="F378" s="25" t="s">
        <v>12250</v>
      </c>
      <c r="G378" s="28" t="s">
        <v>12251</v>
      </c>
      <c r="H378" s="25" t="n">
        <v>20554448</v>
      </c>
      <c r="I378" s="25"/>
      <c r="J378" s="25" t="n">
        <v>0</v>
      </c>
      <c r="K378" s="25" t="str">
        <f aca="false">IF(J378&gt;0,"Yes","No")</f>
        <v>No</v>
      </c>
    </row>
    <row r="379" customFormat="false" ht="15" hidden="false" customHeight="false" outlineLevel="0" collapsed="false">
      <c r="A379" s="25" t="s">
        <v>8625</v>
      </c>
      <c r="B379" s="25" t="s">
        <v>11138</v>
      </c>
      <c r="C379" s="25" t="n">
        <v>2010</v>
      </c>
      <c r="D379" s="25" t="s">
        <v>11160</v>
      </c>
      <c r="E379" s="25" t="s">
        <v>12252</v>
      </c>
      <c r="F379" s="25" t="s">
        <v>12253</v>
      </c>
      <c r="G379" s="28" t="s">
        <v>12254</v>
      </c>
      <c r="H379" s="25" t="n">
        <v>20850969</v>
      </c>
      <c r="I379" s="25"/>
      <c r="J379" s="25" t="n">
        <v>0</v>
      </c>
      <c r="K379" s="25" t="str">
        <f aca="false">IF(J379&gt;0,"Yes","No")</f>
        <v>No</v>
      </c>
    </row>
    <row r="380" customFormat="false" ht="15" hidden="false" customHeight="false" outlineLevel="0" collapsed="false">
      <c r="A380" s="25" t="s">
        <v>8639</v>
      </c>
      <c r="B380" s="25" t="s">
        <v>11138</v>
      </c>
      <c r="C380" s="25" t="n">
        <v>2011</v>
      </c>
      <c r="D380" s="25" t="s">
        <v>11200</v>
      </c>
      <c r="E380" s="25" t="s">
        <v>12255</v>
      </c>
      <c r="F380" s="25" t="s">
        <v>12256</v>
      </c>
      <c r="G380" s="28" t="s">
        <v>12257</v>
      </c>
      <c r="H380" s="25" t="n">
        <v>21215643</v>
      </c>
      <c r="I380" s="25"/>
      <c r="J380" s="25" t="n">
        <v>0</v>
      </c>
      <c r="K380" s="25" t="str">
        <f aca="false">IF(J380&gt;0,"Yes","No")</f>
        <v>No</v>
      </c>
    </row>
    <row r="381" customFormat="false" ht="15" hidden="false" customHeight="false" outlineLevel="0" collapsed="false">
      <c r="A381" s="25" t="s">
        <v>8663</v>
      </c>
      <c r="B381" s="25" t="s">
        <v>11138</v>
      </c>
      <c r="C381" s="25" t="n">
        <v>2011</v>
      </c>
      <c r="D381" s="25" t="s">
        <v>11160</v>
      </c>
      <c r="E381" s="25" t="s">
        <v>12258</v>
      </c>
      <c r="F381" s="25" t="s">
        <v>12259</v>
      </c>
      <c r="G381" s="28" t="s">
        <v>12260</v>
      </c>
      <c r="H381" s="25" t="n">
        <v>21354795</v>
      </c>
      <c r="I381" s="25"/>
      <c r="J381" s="25" t="n">
        <v>0</v>
      </c>
      <c r="K381" s="25" t="str">
        <f aca="false">IF(J381&gt;0,"Yes","No")</f>
        <v>No</v>
      </c>
    </row>
    <row r="382" customFormat="false" ht="15" hidden="false" customHeight="false" outlineLevel="0" collapsed="false">
      <c r="A382" s="25" t="s">
        <v>8359</v>
      </c>
      <c r="B382" s="25" t="s">
        <v>11138</v>
      </c>
      <c r="C382" s="25" t="n">
        <v>2011</v>
      </c>
      <c r="D382" s="25" t="s">
        <v>11160</v>
      </c>
      <c r="E382" s="25" t="s">
        <v>12261</v>
      </c>
      <c r="F382" s="25" t="s">
        <v>12262</v>
      </c>
      <c r="G382" s="28" t="s">
        <v>12263</v>
      </c>
      <c r="H382" s="25" t="n">
        <v>21334892</v>
      </c>
      <c r="I382" s="25"/>
      <c r="J382" s="25" t="n">
        <v>0</v>
      </c>
      <c r="K382" s="25" t="str">
        <f aca="false">IF(J382&gt;0,"Yes","No")</f>
        <v>No</v>
      </c>
    </row>
    <row r="383" customFormat="false" ht="15" hidden="false" customHeight="false" outlineLevel="0" collapsed="false">
      <c r="A383" s="25" t="s">
        <v>8674</v>
      </c>
      <c r="B383" s="25" t="s">
        <v>11138</v>
      </c>
      <c r="C383" s="25" t="n">
        <v>2011</v>
      </c>
      <c r="D383" s="25" t="s">
        <v>11139</v>
      </c>
      <c r="E383" s="25" t="s">
        <v>12264</v>
      </c>
      <c r="F383" s="25" t="s">
        <v>12265</v>
      </c>
      <c r="G383" s="28" t="s">
        <v>12266</v>
      </c>
      <c r="H383" s="25" t="n">
        <v>21428406</v>
      </c>
      <c r="I383" s="25"/>
      <c r="J383" s="25" t="n">
        <v>0</v>
      </c>
      <c r="K383" s="25" t="str">
        <f aca="false">IF(J383&gt;0,"Yes","No")</f>
        <v>No</v>
      </c>
    </row>
    <row r="384" customFormat="false" ht="15" hidden="false" customHeight="false" outlineLevel="0" collapsed="false">
      <c r="A384" s="25" t="s">
        <v>8677</v>
      </c>
      <c r="B384" s="25" t="s">
        <v>11138</v>
      </c>
      <c r="C384" s="25" t="n">
        <v>2011</v>
      </c>
      <c r="D384" s="25" t="s">
        <v>11160</v>
      </c>
      <c r="E384" s="25" t="s">
        <v>12267</v>
      </c>
      <c r="F384" s="25" t="s">
        <v>12268</v>
      </c>
      <c r="G384" s="28" t="s">
        <v>12269</v>
      </c>
      <c r="H384" s="25" t="n">
        <v>21420857</v>
      </c>
      <c r="I384" s="25"/>
      <c r="J384" s="25" t="n">
        <v>0</v>
      </c>
      <c r="K384" s="25" t="str">
        <f aca="false">IF(J384&gt;0,"Yes","No")</f>
        <v>No</v>
      </c>
    </row>
    <row r="385" customFormat="false" ht="15" hidden="false" customHeight="false" outlineLevel="0" collapsed="false">
      <c r="A385" s="25" t="s">
        <v>8686</v>
      </c>
      <c r="B385" s="25" t="s">
        <v>11138</v>
      </c>
      <c r="C385" s="25" t="n">
        <v>2011</v>
      </c>
      <c r="D385" s="25" t="s">
        <v>11526</v>
      </c>
      <c r="E385" s="25" t="s">
        <v>12270</v>
      </c>
      <c r="F385" s="25" t="s">
        <v>12271</v>
      </c>
      <c r="G385" s="28" t="s">
        <v>12272</v>
      </c>
      <c r="H385" s="25" t="n">
        <v>21443171</v>
      </c>
      <c r="I385" s="25"/>
      <c r="J385" s="25" t="n">
        <v>0</v>
      </c>
      <c r="K385" s="25" t="str">
        <f aca="false">IF(J385&gt;0,"Yes","No")</f>
        <v>No</v>
      </c>
    </row>
    <row r="386" customFormat="false" ht="15" hidden="false" customHeight="false" outlineLevel="0" collapsed="false">
      <c r="A386" s="25" t="s">
        <v>8681</v>
      </c>
      <c r="B386" s="25" t="s">
        <v>11138</v>
      </c>
      <c r="C386" s="25" t="n">
        <v>2011</v>
      </c>
      <c r="D386" s="25" t="s">
        <v>11160</v>
      </c>
      <c r="E386" s="25" t="s">
        <v>12273</v>
      </c>
      <c r="F386" s="25" t="s">
        <v>12274</v>
      </c>
      <c r="G386" s="28" t="s">
        <v>12275</v>
      </c>
      <c r="H386" s="25" t="n">
        <v>21493064</v>
      </c>
      <c r="I386" s="25"/>
      <c r="J386" s="25" t="n">
        <v>0</v>
      </c>
      <c r="K386" s="25" t="str">
        <f aca="false">IF(J386&gt;0,"Yes","No")</f>
        <v>No</v>
      </c>
    </row>
    <row r="387" customFormat="false" ht="15" hidden="false" customHeight="false" outlineLevel="0" collapsed="false">
      <c r="A387" s="25" t="s">
        <v>8693</v>
      </c>
      <c r="B387" s="25" t="s">
        <v>11138</v>
      </c>
      <c r="C387" s="25" t="n">
        <v>2010</v>
      </c>
      <c r="D387" s="25" t="s">
        <v>11160</v>
      </c>
      <c r="E387" s="25" t="s">
        <v>12276</v>
      </c>
      <c r="F387" s="25" t="s">
        <v>12277</v>
      </c>
      <c r="G387" s="28" t="s">
        <v>12278</v>
      </c>
      <c r="H387" s="25" t="n">
        <v>20971001</v>
      </c>
      <c r="I387" s="25"/>
      <c r="J387" s="25" t="n">
        <v>0</v>
      </c>
      <c r="K387" s="25" t="str">
        <f aca="false">IF(J387&gt;0,"Yes","No")</f>
        <v>No</v>
      </c>
    </row>
    <row r="388" customFormat="false" ht="15" hidden="false" customHeight="false" outlineLevel="0" collapsed="false">
      <c r="A388" s="25" t="s">
        <v>8688</v>
      </c>
      <c r="B388" s="25" t="s">
        <v>11138</v>
      </c>
      <c r="C388" s="25" t="n">
        <v>2011</v>
      </c>
      <c r="D388" s="25" t="s">
        <v>11160</v>
      </c>
      <c r="E388" s="25" t="s">
        <v>12279</v>
      </c>
      <c r="F388" s="25" t="s">
        <v>12280</v>
      </c>
      <c r="G388" s="28" t="s">
        <v>12281</v>
      </c>
      <c r="H388" s="25" t="n">
        <v>21669533</v>
      </c>
      <c r="I388" s="25"/>
      <c r="J388" s="25" t="n">
        <v>0</v>
      </c>
      <c r="K388" s="25" t="str">
        <f aca="false">IF(J388&gt;0,"Yes","No")</f>
        <v>No</v>
      </c>
    </row>
    <row r="389" customFormat="false" ht="15" hidden="false" customHeight="false" outlineLevel="0" collapsed="false">
      <c r="A389" s="25" t="s">
        <v>8696</v>
      </c>
      <c r="B389" s="25" t="s">
        <v>11138</v>
      </c>
      <c r="C389" s="25" t="n">
        <v>2011</v>
      </c>
      <c r="D389" s="25" t="s">
        <v>11160</v>
      </c>
      <c r="E389" s="25" t="s">
        <v>12282</v>
      </c>
      <c r="F389" s="25" t="s">
        <v>12283</v>
      </c>
      <c r="G389" s="28" t="s">
        <v>12284</v>
      </c>
      <c r="H389" s="25" t="n">
        <v>21689933</v>
      </c>
      <c r="I389" s="25"/>
      <c r="J389" s="25" t="n">
        <v>0</v>
      </c>
      <c r="K389" s="25" t="str">
        <f aca="false">IF(J389&gt;0,"Yes","No")</f>
        <v>No</v>
      </c>
    </row>
    <row r="390" customFormat="false" ht="15" hidden="false" customHeight="false" outlineLevel="0" collapsed="false">
      <c r="A390" s="25" t="s">
        <v>8701</v>
      </c>
      <c r="B390" s="25" t="s">
        <v>11138</v>
      </c>
      <c r="C390" s="25" t="n">
        <v>2011</v>
      </c>
      <c r="D390" s="25" t="s">
        <v>11139</v>
      </c>
      <c r="E390" s="25" t="s">
        <v>12285</v>
      </c>
      <c r="F390" s="25" t="s">
        <v>12286</v>
      </c>
      <c r="G390" s="28" t="s">
        <v>12287</v>
      </c>
      <c r="H390" s="25" t="n">
        <v>21618986</v>
      </c>
      <c r="I390" s="25"/>
      <c r="J390" s="25" t="n">
        <v>0</v>
      </c>
      <c r="K390" s="25" t="str">
        <f aca="false">IF(J390&gt;0,"Yes","No")</f>
        <v>No</v>
      </c>
    </row>
    <row r="391" customFormat="false" ht="15" hidden="false" customHeight="false" outlineLevel="0" collapsed="false">
      <c r="A391" s="25" t="s">
        <v>8713</v>
      </c>
      <c r="B391" s="25" t="s">
        <v>11138</v>
      </c>
      <c r="C391" s="25" t="n">
        <v>2011</v>
      </c>
      <c r="D391" s="25" t="s">
        <v>11160</v>
      </c>
      <c r="E391" s="25" t="s">
        <v>12288</v>
      </c>
      <c r="F391" s="25" t="s">
        <v>12289</v>
      </c>
      <c r="G391" s="28" t="s">
        <v>12290</v>
      </c>
      <c r="H391" s="25" t="n">
        <v>21741835</v>
      </c>
      <c r="I391" s="25"/>
      <c r="J391" s="25" t="n">
        <v>0</v>
      </c>
      <c r="K391" s="25" t="str">
        <f aca="false">IF(J391&gt;0,"Yes","No")</f>
        <v>No</v>
      </c>
    </row>
    <row r="392" customFormat="false" ht="15" hidden="false" customHeight="false" outlineLevel="0" collapsed="false">
      <c r="A392" s="25" t="s">
        <v>8708</v>
      </c>
      <c r="B392" s="25" t="s">
        <v>11138</v>
      </c>
      <c r="C392" s="25" t="n">
        <v>2011</v>
      </c>
      <c r="D392" s="25" t="s">
        <v>11526</v>
      </c>
      <c r="E392" s="25" t="s">
        <v>12291</v>
      </c>
      <c r="F392" s="25" t="s">
        <v>12292</v>
      </c>
      <c r="G392" s="28" t="s">
        <v>12293</v>
      </c>
      <c r="H392" s="25" t="n">
        <v>21667972</v>
      </c>
      <c r="I392" s="25"/>
      <c r="J392" s="25" t="n">
        <v>0</v>
      </c>
      <c r="K392" s="25" t="str">
        <f aca="false">IF(J392&gt;0,"Yes","No")</f>
        <v>No</v>
      </c>
    </row>
    <row r="393" customFormat="false" ht="15" hidden="false" customHeight="false" outlineLevel="0" collapsed="false">
      <c r="A393" s="25" t="s">
        <v>8719</v>
      </c>
      <c r="B393" s="25" t="s">
        <v>11138</v>
      </c>
      <c r="C393" s="25" t="n">
        <v>2011</v>
      </c>
      <c r="D393" s="25" t="s">
        <v>11155</v>
      </c>
      <c r="E393" s="25" t="s">
        <v>12294</v>
      </c>
      <c r="F393" s="25" t="s">
        <v>12295</v>
      </c>
      <c r="G393" s="28" t="s">
        <v>12296</v>
      </c>
      <c r="H393" s="25" t="n">
        <v>21899931</v>
      </c>
      <c r="I393" s="25"/>
      <c r="J393" s="25" t="n">
        <v>0</v>
      </c>
      <c r="K393" s="25" t="str">
        <f aca="false">IF(J393&gt;0,"Yes","No")</f>
        <v>No</v>
      </c>
    </row>
    <row r="394" customFormat="false" ht="15" hidden="false" customHeight="false" outlineLevel="0" collapsed="false">
      <c r="A394" s="25" t="s">
        <v>8727</v>
      </c>
      <c r="B394" s="25" t="s">
        <v>11138</v>
      </c>
      <c r="C394" s="25" t="n">
        <v>2011</v>
      </c>
      <c r="D394" s="25" t="s">
        <v>11139</v>
      </c>
      <c r="E394" s="25" t="s">
        <v>12297</v>
      </c>
      <c r="F394" s="25" t="s">
        <v>12298</v>
      </c>
      <c r="G394" s="28" t="s">
        <v>12299</v>
      </c>
      <c r="H394" s="25" t="n">
        <v>21923175</v>
      </c>
      <c r="I394" s="25"/>
      <c r="J394" s="25" t="n">
        <v>0</v>
      </c>
      <c r="K394" s="25" t="str">
        <f aca="false">IF(J394&gt;0,"Yes","No")</f>
        <v>No</v>
      </c>
    </row>
    <row r="395" customFormat="false" ht="15" hidden="false" customHeight="false" outlineLevel="0" collapsed="false">
      <c r="A395" s="25" t="s">
        <v>8733</v>
      </c>
      <c r="B395" s="25" t="s">
        <v>11138</v>
      </c>
      <c r="C395" s="25" t="n">
        <v>2011</v>
      </c>
      <c r="D395" s="25" t="s">
        <v>11160</v>
      </c>
      <c r="E395" s="25" t="s">
        <v>12300</v>
      </c>
      <c r="F395" s="25" t="s">
        <v>12301</v>
      </c>
      <c r="G395" s="28" t="s">
        <v>12302</v>
      </c>
      <c r="H395" s="25" t="n">
        <v>21962575</v>
      </c>
      <c r="I395" s="25"/>
      <c r="J395" s="25" t="n">
        <v>0</v>
      </c>
      <c r="K395" s="25" t="str">
        <f aca="false">IF(J395&gt;0,"Yes","No")</f>
        <v>No</v>
      </c>
    </row>
    <row r="396" customFormat="false" ht="15" hidden="false" customHeight="false" outlineLevel="0" collapsed="false">
      <c r="A396" s="25" t="s">
        <v>8736</v>
      </c>
      <c r="B396" s="25" t="s">
        <v>11138</v>
      </c>
      <c r="C396" s="25" t="n">
        <v>2011</v>
      </c>
      <c r="D396" s="25" t="s">
        <v>11526</v>
      </c>
      <c r="E396" s="25" t="s">
        <v>12303</v>
      </c>
      <c r="F396" s="25" t="s">
        <v>12304</v>
      </c>
      <c r="G396" s="28" t="s">
        <v>12305</v>
      </c>
      <c r="H396" s="25" t="n">
        <v>21999614</v>
      </c>
      <c r="I396" s="25"/>
      <c r="J396" s="25" t="n">
        <v>0</v>
      </c>
      <c r="K396" s="25" t="str">
        <f aca="false">IF(J396&gt;0,"Yes","No")</f>
        <v>No</v>
      </c>
    </row>
    <row r="397" customFormat="false" ht="15" hidden="false" customHeight="false" outlineLevel="0" collapsed="false">
      <c r="A397" s="25" t="s">
        <v>8738</v>
      </c>
      <c r="B397" s="25" t="s">
        <v>11138</v>
      </c>
      <c r="C397" s="25" t="n">
        <v>2012</v>
      </c>
      <c r="D397" s="25" t="s">
        <v>11160</v>
      </c>
      <c r="E397" s="25" t="s">
        <v>12306</v>
      </c>
      <c r="F397" s="25" t="s">
        <v>12307</v>
      </c>
      <c r="G397" s="28" t="s">
        <v>12308</v>
      </c>
      <c r="H397" s="25" t="n">
        <v>22130134</v>
      </c>
      <c r="I397" s="25"/>
      <c r="J397" s="25" t="n">
        <v>0</v>
      </c>
      <c r="K397" s="25" t="str">
        <f aca="false">IF(J397&gt;0,"Yes","No")</f>
        <v>No</v>
      </c>
    </row>
    <row r="398" customFormat="false" ht="15" hidden="false" customHeight="false" outlineLevel="0" collapsed="false">
      <c r="A398" s="25" t="s">
        <v>8756</v>
      </c>
      <c r="B398" s="25" t="s">
        <v>11138</v>
      </c>
      <c r="C398" s="25" t="n">
        <v>2012</v>
      </c>
      <c r="D398" s="25" t="s">
        <v>11139</v>
      </c>
      <c r="E398" s="25" t="s">
        <v>12309</v>
      </c>
      <c r="F398" s="25" t="s">
        <v>12310</v>
      </c>
      <c r="G398" s="28" t="s">
        <v>12311</v>
      </c>
      <c r="H398" s="25" t="n">
        <v>22171543</v>
      </c>
      <c r="I398" s="25"/>
      <c r="J398" s="25" t="n">
        <v>0</v>
      </c>
      <c r="K398" s="25" t="str">
        <f aca="false">IF(J398&gt;0,"Yes","No")</f>
        <v>No</v>
      </c>
    </row>
    <row r="399" customFormat="false" ht="15" hidden="false" customHeight="false" outlineLevel="0" collapsed="false">
      <c r="A399" s="25" t="s">
        <v>8762</v>
      </c>
      <c r="B399" s="25" t="s">
        <v>11138</v>
      </c>
      <c r="C399" s="25" t="n">
        <v>2011</v>
      </c>
      <c r="D399" s="25" t="s">
        <v>11167</v>
      </c>
      <c r="E399" s="25" t="s">
        <v>12312</v>
      </c>
      <c r="F399" s="25" t="s">
        <v>12313</v>
      </c>
      <c r="G399" s="28" t="s">
        <v>12314</v>
      </c>
      <c r="H399" s="25" t="n">
        <v>24936232</v>
      </c>
      <c r="I399" s="25"/>
      <c r="J399" s="25" t="n">
        <v>0</v>
      </c>
      <c r="K399" s="25" t="str">
        <f aca="false">IF(J399&gt;0,"Yes","No")</f>
        <v>No</v>
      </c>
    </row>
    <row r="400" customFormat="false" ht="15" hidden="false" customHeight="false" outlineLevel="0" collapsed="false">
      <c r="A400" s="25" t="s">
        <v>8759</v>
      </c>
      <c r="B400" s="25" t="s">
        <v>11138</v>
      </c>
      <c r="C400" s="25" t="n">
        <v>2011</v>
      </c>
      <c r="D400" s="25" t="s">
        <v>11167</v>
      </c>
      <c r="E400" s="25" t="s">
        <v>12315</v>
      </c>
      <c r="F400" s="25" t="s">
        <v>12316</v>
      </c>
      <c r="G400" s="28" t="s">
        <v>12317</v>
      </c>
      <c r="H400" s="25" t="n">
        <v>24900275</v>
      </c>
      <c r="I400" s="25"/>
      <c r="J400" s="25" t="n">
        <v>0</v>
      </c>
      <c r="K400" s="25" t="str">
        <f aca="false">IF(J400&gt;0,"Yes","No")</f>
        <v>No</v>
      </c>
    </row>
    <row r="401" customFormat="false" ht="15" hidden="false" customHeight="false" outlineLevel="0" collapsed="false">
      <c r="A401" s="25" t="s">
        <v>8765</v>
      </c>
      <c r="B401" s="25" t="s">
        <v>11138</v>
      </c>
      <c r="C401" s="25" t="n">
        <v>2012</v>
      </c>
      <c r="D401" s="25" t="s">
        <v>11139</v>
      </c>
      <c r="E401" s="25" t="s">
        <v>12318</v>
      </c>
      <c r="F401" s="25" t="s">
        <v>12319</v>
      </c>
      <c r="G401" s="28" t="s">
        <v>12320</v>
      </c>
      <c r="H401" s="25" t="n">
        <v>22372835</v>
      </c>
      <c r="I401" s="25"/>
      <c r="J401" s="25" t="n">
        <v>0</v>
      </c>
      <c r="K401" s="25" t="str">
        <f aca="false">IF(J401&gt;0,"Yes","No")</f>
        <v>No</v>
      </c>
    </row>
    <row r="402" customFormat="false" ht="15" hidden="false" customHeight="false" outlineLevel="0" collapsed="false">
      <c r="A402" s="25" t="s">
        <v>8772</v>
      </c>
      <c r="B402" s="25" t="s">
        <v>11138</v>
      </c>
      <c r="C402" s="25" t="n">
        <v>2012</v>
      </c>
      <c r="D402" s="25" t="s">
        <v>11139</v>
      </c>
      <c r="E402" s="25" t="s">
        <v>12321</v>
      </c>
      <c r="F402" s="25" t="s">
        <v>12322</v>
      </c>
      <c r="G402" s="28" t="s">
        <v>12323</v>
      </c>
      <c r="H402" s="25" t="n">
        <v>22571451</v>
      </c>
      <c r="I402" s="25"/>
      <c r="J402" s="25" t="n">
        <v>0</v>
      </c>
      <c r="K402" s="25" t="str">
        <f aca="false">IF(J402&gt;0,"Yes","No")</f>
        <v>No</v>
      </c>
    </row>
    <row r="403" customFormat="false" ht="15" hidden="false" customHeight="false" outlineLevel="0" collapsed="false">
      <c r="A403" s="25" t="s">
        <v>8789</v>
      </c>
      <c r="B403" s="25" t="s">
        <v>11138</v>
      </c>
      <c r="C403" s="25" t="n">
        <v>2012</v>
      </c>
      <c r="D403" s="25" t="s">
        <v>11139</v>
      </c>
      <c r="E403" s="25" t="s">
        <v>12324</v>
      </c>
      <c r="F403" s="25" t="s">
        <v>12325</v>
      </c>
      <c r="G403" s="28" t="s">
        <v>12326</v>
      </c>
      <c r="H403" s="25" t="n">
        <v>22369198</v>
      </c>
      <c r="I403" s="25"/>
      <c r="J403" s="25" t="n">
        <v>0</v>
      </c>
      <c r="K403" s="25" t="str">
        <f aca="false">IF(J403&gt;0,"Yes","No")</f>
        <v>No</v>
      </c>
    </row>
    <row r="404" customFormat="false" ht="15" hidden="false" customHeight="false" outlineLevel="0" collapsed="false">
      <c r="A404" s="25" t="s">
        <v>8802</v>
      </c>
      <c r="B404" s="25" t="s">
        <v>11138</v>
      </c>
      <c r="C404" s="25" t="n">
        <v>2012</v>
      </c>
      <c r="D404" s="25" t="s">
        <v>11160</v>
      </c>
      <c r="E404" s="25" t="s">
        <v>12327</v>
      </c>
      <c r="F404" s="25" t="s">
        <v>12328</v>
      </c>
      <c r="G404" s="28" t="s">
        <v>12329</v>
      </c>
      <c r="H404" s="25" t="n">
        <v>22959249</v>
      </c>
      <c r="I404" s="25"/>
      <c r="J404" s="25" t="n">
        <v>0</v>
      </c>
      <c r="K404" s="25" t="str">
        <f aca="false">IF(J404&gt;0,"Yes","No")</f>
        <v>No</v>
      </c>
    </row>
    <row r="405" customFormat="false" ht="15" hidden="false" customHeight="false" outlineLevel="0" collapsed="false">
      <c r="A405" s="25" t="s">
        <v>8819</v>
      </c>
      <c r="B405" s="25" t="s">
        <v>11138</v>
      </c>
      <c r="C405" s="25" t="n">
        <v>2012</v>
      </c>
      <c r="D405" s="25" t="s">
        <v>11160</v>
      </c>
      <c r="E405" s="25" t="s">
        <v>12330</v>
      </c>
      <c r="F405" s="25" t="s">
        <v>12331</v>
      </c>
      <c r="G405" s="28" t="s">
        <v>12332</v>
      </c>
      <c r="H405" s="25" t="n">
        <v>22738638</v>
      </c>
      <c r="I405" s="25"/>
      <c r="J405" s="25" t="n">
        <v>0</v>
      </c>
      <c r="K405" s="25" t="str">
        <f aca="false">IF(J405&gt;0,"Yes","No")</f>
        <v>No</v>
      </c>
    </row>
    <row r="406" customFormat="false" ht="15" hidden="false" customHeight="false" outlineLevel="0" collapsed="false">
      <c r="A406" s="25" t="s">
        <v>8817</v>
      </c>
      <c r="B406" s="25" t="s">
        <v>11138</v>
      </c>
      <c r="C406" s="25" t="n">
        <v>2012</v>
      </c>
      <c r="D406" s="25" t="s">
        <v>11160</v>
      </c>
      <c r="E406" s="25" t="s">
        <v>12333</v>
      </c>
      <c r="F406" s="25" t="s">
        <v>12334</v>
      </c>
      <c r="G406" s="28" t="s">
        <v>12335</v>
      </c>
      <c r="H406" s="25" t="n">
        <v>22664127</v>
      </c>
      <c r="I406" s="25"/>
      <c r="J406" s="25" t="n">
        <v>0</v>
      </c>
      <c r="K406" s="25" t="str">
        <f aca="false">IF(J406&gt;0,"Yes","No")</f>
        <v>No</v>
      </c>
    </row>
    <row r="407" customFormat="false" ht="15" hidden="false" customHeight="false" outlineLevel="0" collapsed="false">
      <c r="A407" s="25" t="s">
        <v>8838</v>
      </c>
      <c r="B407" s="25" t="s">
        <v>11138</v>
      </c>
      <c r="C407" s="25" t="n">
        <v>2012</v>
      </c>
      <c r="D407" s="25" t="s">
        <v>11160</v>
      </c>
      <c r="E407" s="25" t="s">
        <v>12336</v>
      </c>
      <c r="F407" s="25" t="s">
        <v>12337</v>
      </c>
      <c r="G407" s="28" t="s">
        <v>12338</v>
      </c>
      <c r="H407" s="25" t="n">
        <v>22795332</v>
      </c>
      <c r="I407" s="25"/>
      <c r="J407" s="25" t="n">
        <v>0</v>
      </c>
      <c r="K407" s="25" t="str">
        <f aca="false">IF(J407&gt;0,"Yes","No")</f>
        <v>No</v>
      </c>
    </row>
    <row r="408" customFormat="false" ht="15" hidden="false" customHeight="false" outlineLevel="0" collapsed="false">
      <c r="A408" s="25" t="s">
        <v>8841</v>
      </c>
      <c r="B408" s="25" t="s">
        <v>11138</v>
      </c>
      <c r="C408" s="25" t="n">
        <v>2013</v>
      </c>
      <c r="D408" s="25" t="s">
        <v>11139</v>
      </c>
      <c r="E408" s="25" t="s">
        <v>12339</v>
      </c>
      <c r="F408" s="25" t="s">
        <v>12340</v>
      </c>
      <c r="G408" s="28" t="s">
        <v>12341</v>
      </c>
      <c r="H408" s="25" t="n">
        <v>23227781</v>
      </c>
      <c r="I408" s="25"/>
      <c r="J408" s="25" t="n">
        <v>0</v>
      </c>
      <c r="K408" s="25" t="str">
        <f aca="false">IF(J408&gt;0,"Yes","No")</f>
        <v>No</v>
      </c>
    </row>
    <row r="409" customFormat="false" ht="15" hidden="false" customHeight="false" outlineLevel="0" collapsed="false">
      <c r="A409" s="25" t="s">
        <v>8850</v>
      </c>
      <c r="B409" s="25" t="s">
        <v>11138</v>
      </c>
      <c r="C409" s="25" t="n">
        <v>2013</v>
      </c>
      <c r="D409" s="25" t="s">
        <v>11139</v>
      </c>
      <c r="E409" s="25" t="s">
        <v>12342</v>
      </c>
      <c r="F409" s="25" t="s">
        <v>12343</v>
      </c>
      <c r="G409" s="28" t="s">
        <v>12344</v>
      </c>
      <c r="H409" s="25" t="n">
        <v>23384387</v>
      </c>
      <c r="I409" s="25"/>
      <c r="J409" s="25" t="n">
        <v>0</v>
      </c>
      <c r="K409" s="25" t="str">
        <f aca="false">IF(J409&gt;0,"Yes","No")</f>
        <v>No</v>
      </c>
    </row>
    <row r="410" customFormat="false" ht="15" hidden="false" customHeight="false" outlineLevel="0" collapsed="false">
      <c r="A410" s="25" t="s">
        <v>8880</v>
      </c>
      <c r="B410" s="25" t="s">
        <v>11138</v>
      </c>
      <c r="C410" s="25" t="n">
        <v>2013</v>
      </c>
      <c r="D410" s="25" t="s">
        <v>11526</v>
      </c>
      <c r="E410" s="25" t="s">
        <v>12345</v>
      </c>
      <c r="F410" s="25" t="s">
        <v>12346</v>
      </c>
      <c r="G410" s="28" t="s">
        <v>12347</v>
      </c>
      <c r="H410" s="25" t="n">
        <v>23659286</v>
      </c>
      <c r="I410" s="25"/>
      <c r="J410" s="25" t="n">
        <v>0</v>
      </c>
      <c r="K410" s="25" t="str">
        <f aca="false">IF(J410&gt;0,"Yes","No")</f>
        <v>No</v>
      </c>
    </row>
    <row r="411" customFormat="false" ht="15" hidden="false" customHeight="false" outlineLevel="0" collapsed="false">
      <c r="A411" s="25" t="s">
        <v>8883</v>
      </c>
      <c r="B411" s="25" t="s">
        <v>11138</v>
      </c>
      <c r="C411" s="25" t="n">
        <v>2013</v>
      </c>
      <c r="D411" s="25" t="s">
        <v>11139</v>
      </c>
      <c r="E411" s="25" t="s">
        <v>12348</v>
      </c>
      <c r="F411" s="25" t="s">
        <v>12349</v>
      </c>
      <c r="G411" s="28" t="s">
        <v>12350</v>
      </c>
      <c r="H411" s="25" t="n">
        <v>23631463</v>
      </c>
      <c r="I411" s="25"/>
      <c r="J411" s="25" t="n">
        <v>0</v>
      </c>
      <c r="K411" s="25" t="str">
        <f aca="false">IF(J411&gt;0,"Yes","No")</f>
        <v>No</v>
      </c>
    </row>
    <row r="412" customFormat="false" ht="15" hidden="false" customHeight="false" outlineLevel="0" collapsed="false">
      <c r="A412" s="25" t="s">
        <v>8896</v>
      </c>
      <c r="B412" s="25" t="s">
        <v>11138</v>
      </c>
      <c r="C412" s="25" t="n">
        <v>2013</v>
      </c>
      <c r="D412" s="25" t="s">
        <v>11160</v>
      </c>
      <c r="E412" s="25" t="s">
        <v>12351</v>
      </c>
      <c r="F412" s="25" t="s">
        <v>12352</v>
      </c>
      <c r="G412" s="28" t="s">
        <v>12353</v>
      </c>
      <c r="H412" s="25" t="n">
        <v>23535330</v>
      </c>
      <c r="I412" s="25"/>
      <c r="J412" s="25" t="n">
        <v>0</v>
      </c>
      <c r="K412" s="25" t="str">
        <f aca="false">IF(J412&gt;0,"Yes","No")</f>
        <v>No</v>
      </c>
    </row>
    <row r="413" customFormat="false" ht="15" hidden="false" customHeight="false" outlineLevel="0" collapsed="false">
      <c r="A413" s="25" t="s">
        <v>8906</v>
      </c>
      <c r="B413" s="25" t="s">
        <v>11138</v>
      </c>
      <c r="C413" s="25" t="n">
        <v>2013</v>
      </c>
      <c r="D413" s="25" t="s">
        <v>11167</v>
      </c>
      <c r="E413" s="25" t="s">
        <v>12354</v>
      </c>
      <c r="F413" s="25" t="s">
        <v>12355</v>
      </c>
      <c r="G413" s="28" t="s">
        <v>12356</v>
      </c>
      <c r="H413" s="25" t="n">
        <v>24900701</v>
      </c>
      <c r="I413" s="25"/>
      <c r="J413" s="25" t="n">
        <v>0</v>
      </c>
      <c r="K413" s="25" t="str">
        <f aca="false">IF(J413&gt;0,"Yes","No")</f>
        <v>No</v>
      </c>
    </row>
    <row r="414" customFormat="false" ht="15" hidden="false" customHeight="false" outlineLevel="0" collapsed="false">
      <c r="A414" s="25" t="s">
        <v>8920</v>
      </c>
      <c r="B414" s="25" t="s">
        <v>11138</v>
      </c>
      <c r="C414" s="25" t="n">
        <v>2013</v>
      </c>
      <c r="D414" s="25" t="s">
        <v>11160</v>
      </c>
      <c r="E414" s="25" t="s">
        <v>12357</v>
      </c>
      <c r="F414" s="25" t="s">
        <v>12358</v>
      </c>
      <c r="G414" s="28" t="s">
        <v>12359</v>
      </c>
      <c r="H414" s="25" t="n">
        <v>23602445</v>
      </c>
      <c r="I414" s="25"/>
      <c r="J414" s="25" t="n">
        <v>0</v>
      </c>
      <c r="K414" s="25" t="str">
        <f aca="false">IF(J414&gt;0,"Yes","No")</f>
        <v>No</v>
      </c>
    </row>
    <row r="415" customFormat="false" ht="15" hidden="false" customHeight="false" outlineLevel="0" collapsed="false">
      <c r="A415" s="25" t="s">
        <v>8917</v>
      </c>
      <c r="B415" s="25" t="s">
        <v>11138</v>
      </c>
      <c r="C415" s="25" t="n">
        <v>2013</v>
      </c>
      <c r="D415" s="25" t="s">
        <v>11160</v>
      </c>
      <c r="E415" s="25" t="s">
        <v>12360</v>
      </c>
      <c r="F415" s="25" t="s">
        <v>12361</v>
      </c>
      <c r="G415" s="28" t="s">
        <v>12362</v>
      </c>
      <c r="H415" s="25" t="n">
        <v>23652221</v>
      </c>
      <c r="I415" s="25"/>
      <c r="J415" s="25" t="n">
        <v>0</v>
      </c>
      <c r="K415" s="25" t="str">
        <f aca="false">IF(J415&gt;0,"Yes","No")</f>
        <v>No</v>
      </c>
    </row>
    <row r="416" customFormat="false" ht="15" hidden="false" customHeight="false" outlineLevel="0" collapsed="false">
      <c r="A416" s="25" t="s">
        <v>8923</v>
      </c>
      <c r="B416" s="25" t="s">
        <v>11138</v>
      </c>
      <c r="C416" s="25" t="n">
        <v>2013</v>
      </c>
      <c r="D416" s="25" t="s">
        <v>11139</v>
      </c>
      <c r="E416" s="25" t="s">
        <v>12363</v>
      </c>
      <c r="F416" s="25" t="s">
        <v>12364</v>
      </c>
      <c r="G416" s="28" t="s">
        <v>12365</v>
      </c>
      <c r="H416" s="25" t="n">
        <v>23738526</v>
      </c>
      <c r="I416" s="25"/>
      <c r="J416" s="25" t="n">
        <v>0</v>
      </c>
      <c r="K416" s="25" t="str">
        <f aca="false">IF(J416&gt;0,"Yes","No")</f>
        <v>No</v>
      </c>
    </row>
    <row r="417" customFormat="false" ht="15" hidden="false" customHeight="false" outlineLevel="0" collapsed="false">
      <c r="A417" s="25" t="s">
        <v>8936</v>
      </c>
      <c r="B417" s="25" t="s">
        <v>11138</v>
      </c>
      <c r="C417" s="25" t="n">
        <v>2013</v>
      </c>
      <c r="D417" s="25" t="s">
        <v>11139</v>
      </c>
      <c r="E417" s="25" t="s">
        <v>12366</v>
      </c>
      <c r="F417" s="25" t="s">
        <v>12367</v>
      </c>
      <c r="G417" s="28" t="s">
        <v>12368</v>
      </c>
      <c r="H417" s="25" t="n">
        <v>24050112</v>
      </c>
      <c r="I417" s="25"/>
      <c r="J417" s="25" t="n">
        <v>0</v>
      </c>
      <c r="K417" s="25" t="str">
        <f aca="false">IF(J417&gt;0,"Yes","No")</f>
        <v>No</v>
      </c>
    </row>
    <row r="418" customFormat="false" ht="15" hidden="false" customHeight="false" outlineLevel="0" collapsed="false">
      <c r="A418" s="25" t="s">
        <v>8959</v>
      </c>
      <c r="B418" s="25" t="s">
        <v>11138</v>
      </c>
      <c r="C418" s="25" t="n">
        <v>2013</v>
      </c>
      <c r="D418" s="25" t="s">
        <v>11526</v>
      </c>
      <c r="E418" s="25" t="s">
        <v>12369</v>
      </c>
      <c r="F418" s="25" t="s">
        <v>12370</v>
      </c>
      <c r="G418" s="28" t="s">
        <v>12371</v>
      </c>
      <c r="H418" s="25" t="n">
        <v>24175626</v>
      </c>
      <c r="I418" s="25"/>
      <c r="J418" s="25" t="n">
        <v>0</v>
      </c>
      <c r="K418" s="25" t="str">
        <f aca="false">IF(J418&gt;0,"Yes","No")</f>
        <v>No</v>
      </c>
    </row>
    <row r="419" customFormat="false" ht="15" hidden="false" customHeight="false" outlineLevel="0" collapsed="false">
      <c r="A419" s="25" t="s">
        <v>8970</v>
      </c>
      <c r="B419" s="25" t="s">
        <v>11138</v>
      </c>
      <c r="C419" s="25" t="n">
        <v>2013</v>
      </c>
      <c r="D419" s="25" t="s">
        <v>11139</v>
      </c>
      <c r="E419" s="25" t="s">
        <v>12372</v>
      </c>
      <c r="F419" s="25" t="s">
        <v>12373</v>
      </c>
      <c r="G419" s="28" t="s">
        <v>12374</v>
      </c>
      <c r="H419" s="25" t="n">
        <v>24083878</v>
      </c>
      <c r="I419" s="25"/>
      <c r="J419" s="25" t="n">
        <v>0</v>
      </c>
      <c r="K419" s="25" t="str">
        <f aca="false">IF(J419&gt;0,"Yes","No")</f>
        <v>No</v>
      </c>
    </row>
    <row r="420" customFormat="false" ht="15" hidden="false" customHeight="false" outlineLevel="0" collapsed="false">
      <c r="A420" s="25" t="s">
        <v>8983</v>
      </c>
      <c r="B420" s="25" t="s">
        <v>11138</v>
      </c>
      <c r="C420" s="25" t="n">
        <v>2014</v>
      </c>
      <c r="D420" s="25" t="s">
        <v>11160</v>
      </c>
      <c r="E420" s="25" t="s">
        <v>12375</v>
      </c>
      <c r="F420" s="25" t="s">
        <v>12376</v>
      </c>
      <c r="G420" s="28" t="s">
        <v>12377</v>
      </c>
      <c r="H420" s="25" t="n">
        <v>24291040</v>
      </c>
      <c r="I420" s="25"/>
      <c r="J420" s="25" t="n">
        <v>0</v>
      </c>
      <c r="K420" s="25" t="str">
        <f aca="false">IF(J420&gt;0,"Yes","No")</f>
        <v>No</v>
      </c>
    </row>
    <row r="421" customFormat="false" ht="15" hidden="false" customHeight="false" outlineLevel="0" collapsed="false">
      <c r="A421" s="25" t="s">
        <v>8979</v>
      </c>
      <c r="B421" s="25" t="s">
        <v>11138</v>
      </c>
      <c r="C421" s="25" t="n">
        <v>2013</v>
      </c>
      <c r="D421" s="25" t="s">
        <v>11160</v>
      </c>
      <c r="E421" s="25" t="s">
        <v>12378</v>
      </c>
      <c r="F421" s="25" t="s">
        <v>12379</v>
      </c>
      <c r="G421" s="28" t="s">
        <v>12380</v>
      </c>
      <c r="H421" s="25" t="n">
        <v>24215892</v>
      </c>
      <c r="I421" s="25"/>
      <c r="J421" s="25" t="n">
        <v>0</v>
      </c>
      <c r="K421" s="25" t="str">
        <f aca="false">IF(J421&gt;0,"Yes","No")</f>
        <v>No</v>
      </c>
    </row>
    <row r="422" customFormat="false" ht="15" hidden="false" customHeight="false" outlineLevel="0" collapsed="false">
      <c r="A422" s="25" t="s">
        <v>8988</v>
      </c>
      <c r="B422" s="25" t="s">
        <v>11138</v>
      </c>
      <c r="C422" s="25" t="n">
        <v>2014</v>
      </c>
      <c r="D422" s="25" t="s">
        <v>11526</v>
      </c>
      <c r="E422" s="25" t="s">
        <v>12381</v>
      </c>
      <c r="F422" s="25" t="s">
        <v>12382</v>
      </c>
      <c r="G422" s="28" t="s">
        <v>12383</v>
      </c>
      <c r="H422" s="25" t="n">
        <v>24422674</v>
      </c>
      <c r="I422" s="25"/>
      <c r="J422" s="25" t="n">
        <v>0</v>
      </c>
      <c r="K422" s="25" t="str">
        <f aca="false">IF(J422&gt;0,"Yes","No")</f>
        <v>No</v>
      </c>
    </row>
    <row r="423" customFormat="false" ht="15" hidden="false" customHeight="false" outlineLevel="0" collapsed="false">
      <c r="A423" s="25" t="s">
        <v>8991</v>
      </c>
      <c r="B423" s="25" t="s">
        <v>11138</v>
      </c>
      <c r="C423" s="25" t="n">
        <v>2014</v>
      </c>
      <c r="D423" s="25" t="s">
        <v>11160</v>
      </c>
      <c r="E423" s="25" t="s">
        <v>12384</v>
      </c>
      <c r="F423" s="25" t="s">
        <v>12385</v>
      </c>
      <c r="G423" s="28" t="s">
        <v>12386</v>
      </c>
      <c r="H423" s="25" t="n">
        <v>24461289</v>
      </c>
      <c r="I423" s="25"/>
      <c r="J423" s="25" t="n">
        <v>0</v>
      </c>
      <c r="K423" s="25" t="str">
        <f aca="false">IF(J423&gt;0,"Yes","No")</f>
        <v>No</v>
      </c>
    </row>
    <row r="424" customFormat="false" ht="15" hidden="false" customHeight="false" outlineLevel="0" collapsed="false">
      <c r="A424" s="25" t="s">
        <v>9016</v>
      </c>
      <c r="B424" s="25" t="s">
        <v>11138</v>
      </c>
      <c r="C424" s="25" t="n">
        <v>2014</v>
      </c>
      <c r="D424" s="25" t="s">
        <v>11155</v>
      </c>
      <c r="E424" s="25" t="s">
        <v>12387</v>
      </c>
      <c r="F424" s="25" t="s">
        <v>12388</v>
      </c>
      <c r="G424" s="28" t="s">
        <v>12389</v>
      </c>
      <c r="H424" s="25" t="n">
        <v>24445310</v>
      </c>
      <c r="I424" s="25"/>
      <c r="J424" s="25" t="n">
        <v>0</v>
      </c>
      <c r="K424" s="25" t="str">
        <f aca="false">IF(J424&gt;0,"Yes","No")</f>
        <v>No</v>
      </c>
    </row>
    <row r="425" customFormat="false" ht="15" hidden="false" customHeight="false" outlineLevel="0" collapsed="false">
      <c r="A425" s="25" t="s">
        <v>9010</v>
      </c>
      <c r="B425" s="25" t="s">
        <v>11138</v>
      </c>
      <c r="C425" s="25" t="n">
        <v>2014</v>
      </c>
      <c r="D425" s="25" t="s">
        <v>11160</v>
      </c>
      <c r="E425" s="25" t="s">
        <v>12390</v>
      </c>
      <c r="F425" s="25" t="s">
        <v>12391</v>
      </c>
      <c r="G425" s="28" t="s">
        <v>12392</v>
      </c>
      <c r="H425" s="25" t="n">
        <v>24508127</v>
      </c>
      <c r="I425" s="25"/>
      <c r="J425" s="25" t="n">
        <v>0</v>
      </c>
      <c r="K425" s="25" t="str">
        <f aca="false">IF(J425&gt;0,"Yes","No")</f>
        <v>No</v>
      </c>
    </row>
    <row r="426" customFormat="false" ht="15" hidden="false" customHeight="false" outlineLevel="0" collapsed="false">
      <c r="A426" s="25" t="s">
        <v>9054</v>
      </c>
      <c r="B426" s="25" t="s">
        <v>11138</v>
      </c>
      <c r="C426" s="25" t="n">
        <v>2014</v>
      </c>
      <c r="D426" s="25" t="s">
        <v>11139</v>
      </c>
      <c r="E426" s="25" t="s">
        <v>12393</v>
      </c>
      <c r="F426" s="25" t="s">
        <v>12394</v>
      </c>
      <c r="G426" s="28" t="s">
        <v>12395</v>
      </c>
      <c r="H426" s="25" t="n">
        <v>24707904</v>
      </c>
      <c r="I426" s="25"/>
      <c r="J426" s="25" t="n">
        <v>0</v>
      </c>
      <c r="K426" s="25" t="str">
        <f aca="false">IF(J426&gt;0,"Yes","No")</f>
        <v>No</v>
      </c>
    </row>
    <row r="427" customFormat="false" ht="15" hidden="false" customHeight="false" outlineLevel="0" collapsed="false">
      <c r="A427" s="25" t="s">
        <v>8367</v>
      </c>
      <c r="B427" s="25" t="s">
        <v>11138</v>
      </c>
      <c r="C427" s="25" t="n">
        <v>2014</v>
      </c>
      <c r="D427" s="25" t="s">
        <v>11155</v>
      </c>
      <c r="E427" s="25" t="s">
        <v>12396</v>
      </c>
      <c r="F427" s="25" t="s">
        <v>12397</v>
      </c>
      <c r="G427" s="28" t="s">
        <v>12398</v>
      </c>
      <c r="H427" s="25" t="n">
        <v>24922543</v>
      </c>
      <c r="I427" s="25"/>
      <c r="J427" s="25" t="n">
        <v>0</v>
      </c>
      <c r="K427" s="25" t="str">
        <f aca="false">IF(J427&gt;0,"Yes","No")</f>
        <v>No</v>
      </c>
    </row>
    <row r="428" customFormat="false" ht="15" hidden="false" customHeight="false" outlineLevel="0" collapsed="false">
      <c r="A428" s="25" t="s">
        <v>9080</v>
      </c>
      <c r="B428" s="25" t="s">
        <v>11138</v>
      </c>
      <c r="C428" s="25" t="n">
        <v>2014</v>
      </c>
      <c r="D428" s="25" t="s">
        <v>11139</v>
      </c>
      <c r="E428" s="25" t="s">
        <v>12399</v>
      </c>
      <c r="F428" s="25" t="s">
        <v>12400</v>
      </c>
      <c r="G428" s="28" t="s">
        <v>12401</v>
      </c>
      <c r="H428" s="25" t="n">
        <v>25162172</v>
      </c>
      <c r="I428" s="25"/>
      <c r="J428" s="25" t="n">
        <v>0</v>
      </c>
      <c r="K428" s="25" t="str">
        <f aca="false">IF(J428&gt;0,"Yes","No")</f>
        <v>No</v>
      </c>
    </row>
    <row r="429" customFormat="false" ht="15" hidden="false" customHeight="false" outlineLevel="0" collapsed="false">
      <c r="A429" s="25" t="s">
        <v>9142</v>
      </c>
      <c r="B429" s="25" t="s">
        <v>11138</v>
      </c>
      <c r="C429" s="25" t="n">
        <v>2014</v>
      </c>
      <c r="D429" s="25" t="s">
        <v>11139</v>
      </c>
      <c r="E429" s="25" t="s">
        <v>12402</v>
      </c>
      <c r="F429" s="25" t="s">
        <v>12403</v>
      </c>
      <c r="G429" s="28" t="s">
        <v>12404</v>
      </c>
      <c r="H429" s="25" t="n">
        <v>25420090</v>
      </c>
      <c r="I429" s="25"/>
      <c r="J429" s="25" t="n">
        <v>0</v>
      </c>
      <c r="K429" s="25" t="str">
        <f aca="false">IF(J429&gt;0,"Yes","No")</f>
        <v>No</v>
      </c>
    </row>
    <row r="430" customFormat="false" ht="15" hidden="false" customHeight="false" outlineLevel="0" collapsed="false">
      <c r="A430" s="25" t="s">
        <v>9114</v>
      </c>
      <c r="B430" s="25" t="s">
        <v>11138</v>
      </c>
      <c r="C430" s="25" t="n">
        <v>2015</v>
      </c>
      <c r="D430" s="25" t="s">
        <v>11160</v>
      </c>
      <c r="E430" s="25" t="s">
        <v>12405</v>
      </c>
      <c r="F430" s="25" t="s">
        <v>12406</v>
      </c>
      <c r="G430" s="28" t="s">
        <v>12407</v>
      </c>
      <c r="H430" s="25" t="n">
        <v>25488844</v>
      </c>
      <c r="I430" s="25"/>
      <c r="J430" s="25" t="n">
        <v>0</v>
      </c>
      <c r="K430" s="25" t="str">
        <f aca="false">IF(J430&gt;0,"Yes","No")</f>
        <v>No</v>
      </c>
    </row>
    <row r="431" customFormat="false" ht="15" hidden="false" customHeight="false" outlineLevel="0" collapsed="false">
      <c r="A431" s="25" t="s">
        <v>9085</v>
      </c>
      <c r="B431" s="25" t="s">
        <v>11138</v>
      </c>
      <c r="C431" s="25" t="n">
        <v>2014</v>
      </c>
      <c r="D431" s="25" t="s">
        <v>11155</v>
      </c>
      <c r="E431" s="25" t="s">
        <v>12408</v>
      </c>
      <c r="F431" s="25" t="s">
        <v>12409</v>
      </c>
      <c r="G431" s="28" t="s">
        <v>12410</v>
      </c>
      <c r="H431" s="25" t="n">
        <v>25134064</v>
      </c>
      <c r="I431" s="25"/>
      <c r="J431" s="25" t="n">
        <v>0</v>
      </c>
      <c r="K431" s="25" t="str">
        <f aca="false">IF(J431&gt;0,"Yes","No")</f>
        <v>No</v>
      </c>
    </row>
    <row r="432" customFormat="false" ht="15" hidden="false" customHeight="false" outlineLevel="0" collapsed="false">
      <c r="A432" s="25" t="s">
        <v>9102</v>
      </c>
      <c r="B432" s="25" t="s">
        <v>11138</v>
      </c>
      <c r="C432" s="25" t="n">
        <v>2014</v>
      </c>
      <c r="D432" s="25" t="s">
        <v>11200</v>
      </c>
      <c r="E432" s="25" t="s">
        <v>12411</v>
      </c>
      <c r="F432" s="25" t="s">
        <v>12412</v>
      </c>
      <c r="G432" s="28" t="s">
        <v>12413</v>
      </c>
      <c r="H432" s="25" t="n">
        <v>24984935</v>
      </c>
      <c r="I432" s="25"/>
      <c r="J432" s="25" t="n">
        <v>0</v>
      </c>
      <c r="K432" s="25" t="str">
        <f aca="false">IF(J432&gt;0,"Yes","No")</f>
        <v>No</v>
      </c>
    </row>
    <row r="433" customFormat="false" ht="15" hidden="false" customHeight="false" outlineLevel="0" collapsed="false">
      <c r="A433" s="25" t="s">
        <v>9091</v>
      </c>
      <c r="B433" s="25" t="s">
        <v>11138</v>
      </c>
      <c r="C433" s="25" t="n">
        <v>2015</v>
      </c>
      <c r="D433" s="25" t="s">
        <v>11160</v>
      </c>
      <c r="E433" s="25" t="s">
        <v>12414</v>
      </c>
      <c r="F433" s="25" t="s">
        <v>12415</v>
      </c>
      <c r="G433" s="28" t="s">
        <v>12416</v>
      </c>
      <c r="H433" s="25" t="n">
        <v>25556092</v>
      </c>
      <c r="I433" s="25"/>
      <c r="J433" s="25" t="n">
        <v>0</v>
      </c>
      <c r="K433" s="25" t="str">
        <f aca="false">IF(J433&gt;0,"Yes","No")</f>
        <v>No</v>
      </c>
    </row>
    <row r="434" customFormat="false" ht="15" hidden="false" customHeight="false" outlineLevel="0" collapsed="false">
      <c r="A434" s="25" t="s">
        <v>9088</v>
      </c>
      <c r="B434" s="25" t="s">
        <v>11138</v>
      </c>
      <c r="C434" s="25" t="n">
        <v>2014</v>
      </c>
      <c r="D434" s="25" t="s">
        <v>11160</v>
      </c>
      <c r="E434" s="25" t="s">
        <v>12417</v>
      </c>
      <c r="F434" s="25" t="s">
        <v>12418</v>
      </c>
      <c r="G434" s="28" t="s">
        <v>12419</v>
      </c>
      <c r="H434" s="25" t="n">
        <v>24863744</v>
      </c>
      <c r="I434" s="25"/>
      <c r="J434" s="25" t="n">
        <v>0</v>
      </c>
      <c r="K434" s="25" t="str">
        <f aca="false">IF(J434&gt;0,"Yes","No")</f>
        <v>No</v>
      </c>
    </row>
    <row r="435" customFormat="false" ht="15" hidden="false" customHeight="false" outlineLevel="0" collapsed="false">
      <c r="A435" s="25" t="s">
        <v>9111</v>
      </c>
      <c r="B435" s="25" t="s">
        <v>11138</v>
      </c>
      <c r="C435" s="25" t="n">
        <v>2015</v>
      </c>
      <c r="D435" s="25" t="s">
        <v>11160</v>
      </c>
      <c r="E435" s="25" t="s">
        <v>12420</v>
      </c>
      <c r="F435" s="25" t="s">
        <v>12421</v>
      </c>
      <c r="G435" s="28" t="s">
        <v>12422</v>
      </c>
      <c r="H435" s="25" t="n">
        <v>25575658</v>
      </c>
      <c r="I435" s="25"/>
      <c r="J435" s="25" t="n">
        <v>0</v>
      </c>
      <c r="K435" s="25" t="str">
        <f aca="false">IF(J435&gt;0,"Yes","No")</f>
        <v>No</v>
      </c>
    </row>
    <row r="436" customFormat="false" ht="15" hidden="false" customHeight="false" outlineLevel="0" collapsed="false">
      <c r="A436" s="25" t="s">
        <v>9095</v>
      </c>
      <c r="B436" s="25" t="s">
        <v>11138</v>
      </c>
      <c r="C436" s="25" t="n">
        <v>2015</v>
      </c>
      <c r="D436" s="25" t="s">
        <v>11160</v>
      </c>
      <c r="E436" s="25" t="s">
        <v>12423</v>
      </c>
      <c r="F436" s="25" t="s">
        <v>12424</v>
      </c>
      <c r="G436" s="28" t="s">
        <v>12425</v>
      </c>
      <c r="H436" s="25" t="n">
        <v>25499880</v>
      </c>
      <c r="I436" s="25"/>
      <c r="J436" s="25" t="n">
        <v>0</v>
      </c>
      <c r="K436" s="25" t="str">
        <f aca="false">IF(J436&gt;0,"Yes","No")</f>
        <v>No</v>
      </c>
    </row>
    <row r="437" customFormat="false" ht="15" hidden="false" customHeight="false" outlineLevel="0" collapsed="false">
      <c r="A437" s="25" t="s">
        <v>9156</v>
      </c>
      <c r="B437" s="25" t="s">
        <v>11138</v>
      </c>
      <c r="C437" s="25" t="n">
        <v>2015</v>
      </c>
      <c r="D437" s="25" t="s">
        <v>11160</v>
      </c>
      <c r="E437" s="25" t="s">
        <v>12426</v>
      </c>
      <c r="F437" s="25" t="s">
        <v>12427</v>
      </c>
      <c r="G437" s="28" t="s">
        <v>12428</v>
      </c>
      <c r="H437" s="25" t="n">
        <v>25701254</v>
      </c>
      <c r="I437" s="25"/>
      <c r="J437" s="25" t="n">
        <v>0</v>
      </c>
      <c r="K437" s="25" t="str">
        <f aca="false">IF(J437&gt;0,"Yes","No")</f>
        <v>No</v>
      </c>
    </row>
    <row r="438" customFormat="false" ht="15" hidden="false" customHeight="false" outlineLevel="0" collapsed="false">
      <c r="A438" s="25" t="s">
        <v>9171</v>
      </c>
      <c r="B438" s="25" t="s">
        <v>11138</v>
      </c>
      <c r="C438" s="25" t="n">
        <v>2015</v>
      </c>
      <c r="D438" s="25" t="s">
        <v>11200</v>
      </c>
      <c r="E438" s="25" t="s">
        <v>12429</v>
      </c>
      <c r="F438" s="25" t="s">
        <v>12430</v>
      </c>
      <c r="G438" s="28" t="s">
        <v>12431</v>
      </c>
      <c r="H438" s="25" t="n">
        <v>25703248</v>
      </c>
      <c r="I438" s="25"/>
      <c r="J438" s="25" t="n">
        <v>0</v>
      </c>
      <c r="K438" s="25" t="str">
        <f aca="false">IF(J438&gt;0,"Yes","No")</f>
        <v>No</v>
      </c>
    </row>
    <row r="439" customFormat="false" ht="15" hidden="false" customHeight="false" outlineLevel="0" collapsed="false">
      <c r="A439" s="25" t="s">
        <v>9166</v>
      </c>
      <c r="B439" s="25" t="s">
        <v>11138</v>
      </c>
      <c r="C439" s="25" t="n">
        <v>2015</v>
      </c>
      <c r="D439" s="25" t="s">
        <v>11160</v>
      </c>
      <c r="E439" s="25" t="s">
        <v>12432</v>
      </c>
      <c r="F439" s="25" t="s">
        <v>12433</v>
      </c>
      <c r="G439" s="28" t="s">
        <v>12434</v>
      </c>
      <c r="H439" s="25" t="n">
        <v>25556098</v>
      </c>
      <c r="I439" s="25"/>
      <c r="J439" s="25" t="n">
        <v>0</v>
      </c>
      <c r="K439" s="25" t="str">
        <f aca="false">IF(J439&gt;0,"Yes","No")</f>
        <v>No</v>
      </c>
    </row>
    <row r="440" customFormat="false" ht="15" hidden="false" customHeight="false" outlineLevel="0" collapsed="false">
      <c r="A440" s="25" t="s">
        <v>9174</v>
      </c>
      <c r="B440" s="25" t="s">
        <v>11138</v>
      </c>
      <c r="C440" s="25" t="n">
        <v>2015</v>
      </c>
      <c r="D440" s="25" t="s">
        <v>11200</v>
      </c>
      <c r="E440" s="25" t="s">
        <v>12435</v>
      </c>
      <c r="F440" s="25" t="s">
        <v>12436</v>
      </c>
      <c r="G440" s="28" t="s">
        <v>12437</v>
      </c>
      <c r="H440" s="25" t="n">
        <v>25797163</v>
      </c>
      <c r="I440" s="25"/>
      <c r="J440" s="25" t="n">
        <v>0</v>
      </c>
      <c r="K440" s="25" t="str">
        <f aca="false">IF(J440&gt;0,"Yes","No")</f>
        <v>No</v>
      </c>
    </row>
    <row r="441" customFormat="false" ht="15" hidden="false" customHeight="false" outlineLevel="0" collapsed="false">
      <c r="A441" s="25" t="s">
        <v>9159</v>
      </c>
      <c r="B441" s="25" t="s">
        <v>11138</v>
      </c>
      <c r="C441" s="25" t="n">
        <v>2015</v>
      </c>
      <c r="D441" s="25" t="s">
        <v>11160</v>
      </c>
      <c r="E441" s="25" t="s">
        <v>12438</v>
      </c>
      <c r="F441" s="25" t="s">
        <v>12439</v>
      </c>
      <c r="G441" s="28" t="s">
        <v>12440</v>
      </c>
      <c r="H441" s="25" t="n">
        <v>25752982</v>
      </c>
      <c r="I441" s="25"/>
      <c r="J441" s="25" t="n">
        <v>0</v>
      </c>
      <c r="K441" s="25" t="str">
        <f aca="false">IF(J441&gt;0,"Yes","No")</f>
        <v>No</v>
      </c>
    </row>
    <row r="442" customFormat="false" ht="15" hidden="false" customHeight="false" outlineLevel="0" collapsed="false">
      <c r="A442" s="25" t="s">
        <v>9199</v>
      </c>
      <c r="B442" s="25" t="s">
        <v>11138</v>
      </c>
      <c r="C442" s="25" t="n">
        <v>2015</v>
      </c>
      <c r="D442" s="25" t="s">
        <v>11139</v>
      </c>
      <c r="E442" s="25" t="s">
        <v>12441</v>
      </c>
      <c r="F442" s="25" t="s">
        <v>12442</v>
      </c>
      <c r="G442" s="28" t="s">
        <v>12443</v>
      </c>
      <c r="H442" s="25" t="n">
        <v>26023814</v>
      </c>
      <c r="I442" s="25"/>
      <c r="J442" s="25" t="n">
        <v>0</v>
      </c>
      <c r="K442" s="25" t="str">
        <f aca="false">IF(J442&gt;0,"Yes","No")</f>
        <v>No</v>
      </c>
    </row>
    <row r="443" customFormat="false" ht="15" hidden="false" customHeight="false" outlineLevel="0" collapsed="false">
      <c r="A443" s="25" t="s">
        <v>9211</v>
      </c>
      <c r="B443" s="25" t="s">
        <v>11138</v>
      </c>
      <c r="C443" s="25" t="n">
        <v>2015</v>
      </c>
      <c r="D443" s="25" t="s">
        <v>11526</v>
      </c>
      <c r="E443" s="25" t="s">
        <v>12444</v>
      </c>
      <c r="F443" s="25" t="s">
        <v>12445</v>
      </c>
      <c r="G443" s="28" t="s">
        <v>12446</v>
      </c>
      <c r="H443" s="25" t="n">
        <v>26035635</v>
      </c>
      <c r="I443" s="25"/>
      <c r="J443" s="25" t="n">
        <v>0</v>
      </c>
      <c r="K443" s="25" t="str">
        <f aca="false">IF(J443&gt;0,"Yes","No")</f>
        <v>No</v>
      </c>
    </row>
    <row r="444" customFormat="false" ht="15" hidden="false" customHeight="false" outlineLevel="0" collapsed="false">
      <c r="A444" s="25" t="s">
        <v>9223</v>
      </c>
      <c r="B444" s="25" t="s">
        <v>11138</v>
      </c>
      <c r="C444" s="25" t="n">
        <v>2015</v>
      </c>
      <c r="D444" s="25" t="s">
        <v>11139</v>
      </c>
      <c r="E444" s="25" t="s">
        <v>12447</v>
      </c>
      <c r="F444" s="25" t="s">
        <v>12448</v>
      </c>
      <c r="G444" s="28" t="s">
        <v>12449</v>
      </c>
      <c r="H444" s="25" t="n">
        <v>26203658</v>
      </c>
      <c r="I444" s="25"/>
      <c r="J444" s="25" t="n">
        <v>0</v>
      </c>
      <c r="K444" s="25" t="str">
        <f aca="false">IF(J444&gt;0,"Yes","No")</f>
        <v>No</v>
      </c>
    </row>
    <row r="445" customFormat="false" ht="15" hidden="false" customHeight="false" outlineLevel="0" collapsed="false">
      <c r="A445" s="25" t="s">
        <v>9214</v>
      </c>
      <c r="B445" s="25" t="s">
        <v>11138</v>
      </c>
      <c r="C445" s="25" t="n">
        <v>2015</v>
      </c>
      <c r="D445" s="25" t="s">
        <v>11139</v>
      </c>
      <c r="E445" s="25" t="s">
        <v>12450</v>
      </c>
      <c r="F445" s="25" t="s">
        <v>11157</v>
      </c>
      <c r="G445" s="28" t="s">
        <v>12451</v>
      </c>
      <c r="H445" s="25" t="n">
        <v>26151231</v>
      </c>
      <c r="I445" s="25"/>
      <c r="J445" s="25" t="n">
        <v>0</v>
      </c>
      <c r="K445" s="25" t="str">
        <f aca="false">IF(J445&gt;0,"Yes","No")</f>
        <v>No</v>
      </c>
    </row>
    <row r="446" customFormat="false" ht="15" hidden="false" customHeight="false" outlineLevel="0" collapsed="false">
      <c r="A446" s="25" t="s">
        <v>9245</v>
      </c>
      <c r="B446" s="25" t="s">
        <v>11138</v>
      </c>
      <c r="C446" s="25" t="n">
        <v>2015</v>
      </c>
      <c r="D446" s="25" t="s">
        <v>11160</v>
      </c>
      <c r="E446" s="25" t="s">
        <v>12452</v>
      </c>
      <c r="F446" s="25" t="s">
        <v>12453</v>
      </c>
      <c r="G446" s="28" t="s">
        <v>12454</v>
      </c>
      <c r="H446" s="25" t="n">
        <v>26227772</v>
      </c>
      <c r="I446" s="25"/>
      <c r="J446" s="25" t="n">
        <v>0</v>
      </c>
      <c r="K446" s="25" t="str">
        <f aca="false">IF(J446&gt;0,"Yes","No")</f>
        <v>No</v>
      </c>
    </row>
    <row r="447" customFormat="false" ht="15" hidden="false" customHeight="false" outlineLevel="0" collapsed="false">
      <c r="A447" s="25" t="s">
        <v>9248</v>
      </c>
      <c r="B447" s="25" t="s">
        <v>11138</v>
      </c>
      <c r="C447" s="25" t="n">
        <v>2015</v>
      </c>
      <c r="D447" s="25" t="s">
        <v>11200</v>
      </c>
      <c r="E447" s="25" t="s">
        <v>12455</v>
      </c>
      <c r="F447" s="25" t="s">
        <v>12456</v>
      </c>
      <c r="G447" s="28" t="s">
        <v>12457</v>
      </c>
      <c r="H447" s="25" t="n">
        <v>26344596</v>
      </c>
      <c r="I447" s="25"/>
      <c r="J447" s="25" t="n">
        <v>0</v>
      </c>
      <c r="K447" s="25" t="str">
        <f aca="false">IF(J447&gt;0,"Yes","No")</f>
        <v>No</v>
      </c>
    </row>
    <row r="448" customFormat="false" ht="15" hidden="false" customHeight="false" outlineLevel="0" collapsed="false">
      <c r="A448" s="25" t="s">
        <v>9260</v>
      </c>
      <c r="B448" s="25" t="s">
        <v>11152</v>
      </c>
      <c r="C448" s="25" t="n">
        <v>2015</v>
      </c>
      <c r="D448" s="25"/>
      <c r="E448" s="25" t="s">
        <v>12458</v>
      </c>
      <c r="F448" s="25"/>
      <c r="G448" s="25"/>
      <c r="H448" s="25"/>
      <c r="I448" s="25" t="s">
        <v>12459</v>
      </c>
      <c r="J448" s="25" t="n">
        <v>0</v>
      </c>
      <c r="K448" s="25" t="str">
        <f aca="false">IF(J448&gt;0,"Yes","No")</f>
        <v>No</v>
      </c>
    </row>
    <row r="449" customFormat="false" ht="15" hidden="false" customHeight="false" outlineLevel="0" collapsed="false">
      <c r="A449" s="25" t="s">
        <v>9264</v>
      </c>
      <c r="B449" s="25" t="s">
        <v>11152</v>
      </c>
      <c r="C449" s="25" t="n">
        <v>2015</v>
      </c>
      <c r="D449" s="25"/>
      <c r="E449" s="25" t="s">
        <v>12460</v>
      </c>
      <c r="F449" s="25"/>
      <c r="G449" s="25"/>
      <c r="H449" s="25"/>
      <c r="I449" s="25" t="s">
        <v>12461</v>
      </c>
      <c r="J449" s="25" t="n">
        <v>0</v>
      </c>
      <c r="K449" s="25" t="str">
        <f aca="false">IF(J449&gt;0,"Yes","No")</f>
        <v>No</v>
      </c>
    </row>
    <row r="450" customFormat="false" ht="15" hidden="false" customHeight="false" outlineLevel="0" collapsed="false">
      <c r="A450" s="25" t="s">
        <v>9267</v>
      </c>
      <c r="B450" s="25" t="s">
        <v>11138</v>
      </c>
      <c r="C450" s="25" t="n">
        <v>2015</v>
      </c>
      <c r="D450" s="25" t="s">
        <v>11155</v>
      </c>
      <c r="E450" s="25" t="s">
        <v>12462</v>
      </c>
      <c r="F450" s="25" t="s">
        <v>12463</v>
      </c>
      <c r="G450" s="28" t="s">
        <v>12464</v>
      </c>
      <c r="H450" s="25" t="n">
        <v>26363507</v>
      </c>
      <c r="I450" s="25"/>
      <c r="J450" s="25" t="n">
        <v>0</v>
      </c>
      <c r="K450" s="25" t="str">
        <f aca="false">IF(J450&gt;0,"Yes","No")</f>
        <v>No</v>
      </c>
    </row>
    <row r="451" customFormat="false" ht="15" hidden="false" customHeight="false" outlineLevel="0" collapsed="false">
      <c r="A451" s="25" t="s">
        <v>9272</v>
      </c>
      <c r="B451" s="25" t="s">
        <v>11138</v>
      </c>
      <c r="C451" s="25" t="n">
        <v>2016</v>
      </c>
      <c r="D451" s="25" t="s">
        <v>11155</v>
      </c>
      <c r="E451" s="25" t="s">
        <v>12465</v>
      </c>
      <c r="F451" s="25" t="s">
        <v>12466</v>
      </c>
      <c r="G451" s="28" t="s">
        <v>12467</v>
      </c>
      <c r="H451" s="25" t="n">
        <v>26575458</v>
      </c>
      <c r="I451" s="25"/>
      <c r="J451" s="25" t="n">
        <v>0</v>
      </c>
      <c r="K451" s="25" t="str">
        <f aca="false">IF(J451&gt;0,"Yes","No")</f>
        <v>No</v>
      </c>
    </row>
    <row r="452" customFormat="false" ht="15" hidden="false" customHeight="false" outlineLevel="0" collapsed="false">
      <c r="A452" s="25" t="s">
        <v>9286</v>
      </c>
      <c r="B452" s="25" t="s">
        <v>11138</v>
      </c>
      <c r="C452" s="25" t="n">
        <v>2016</v>
      </c>
      <c r="D452" s="25" t="s">
        <v>11139</v>
      </c>
      <c r="E452" s="25" t="s">
        <v>12468</v>
      </c>
      <c r="F452" s="25" t="s">
        <v>12469</v>
      </c>
      <c r="G452" s="28" t="s">
        <v>12470</v>
      </c>
      <c r="H452" s="25" t="n">
        <v>25856009</v>
      </c>
      <c r="I452" s="25"/>
      <c r="J452" s="25" t="n">
        <v>0</v>
      </c>
      <c r="K452" s="25" t="str">
        <f aca="false">IF(J452&gt;0,"Yes","No")</f>
        <v>No</v>
      </c>
    </row>
    <row r="453" customFormat="false" ht="15" hidden="false" customHeight="false" outlineLevel="0" collapsed="false">
      <c r="A453" s="25" t="s">
        <v>9279</v>
      </c>
      <c r="B453" s="25" t="s">
        <v>11138</v>
      </c>
      <c r="C453" s="25" t="n">
        <v>2015</v>
      </c>
      <c r="D453" s="25" t="s">
        <v>11498</v>
      </c>
      <c r="E453" s="25" t="s">
        <v>12471</v>
      </c>
      <c r="F453" s="25" t="s">
        <v>12472</v>
      </c>
      <c r="G453" s="28" t="s">
        <v>12473</v>
      </c>
      <c r="H453" s="25"/>
      <c r="I453" s="25"/>
      <c r="J453" s="25" t="n">
        <v>0</v>
      </c>
      <c r="K453" s="25" t="str">
        <f aca="false">IF(J453&gt;0,"Yes","No")</f>
        <v>No</v>
      </c>
    </row>
    <row r="454" customFormat="false" ht="15" hidden="false" customHeight="false" outlineLevel="0" collapsed="false">
      <c r="A454" s="25" t="s">
        <v>9299</v>
      </c>
      <c r="B454" s="25" t="s">
        <v>11138</v>
      </c>
      <c r="C454" s="25" t="n">
        <v>2016</v>
      </c>
      <c r="D454" s="25" t="s">
        <v>11155</v>
      </c>
      <c r="E454" s="25" t="s">
        <v>12474</v>
      </c>
      <c r="F454" s="25" t="s">
        <v>12475</v>
      </c>
      <c r="G454" s="28" t="s">
        <v>12476</v>
      </c>
      <c r="H454" s="25" t="n">
        <v>26774927</v>
      </c>
      <c r="I454" s="25"/>
      <c r="J454" s="25" t="n">
        <v>0</v>
      </c>
      <c r="K454" s="25" t="str">
        <f aca="false">IF(J454&gt;0,"Yes","No")</f>
        <v>No</v>
      </c>
    </row>
    <row r="455" customFormat="false" ht="15" hidden="false" customHeight="false" outlineLevel="0" collapsed="false">
      <c r="A455" s="25" t="s">
        <v>9302</v>
      </c>
      <c r="B455" s="25" t="s">
        <v>11138</v>
      </c>
      <c r="C455" s="25" t="n">
        <v>2016</v>
      </c>
      <c r="D455" s="25" t="s">
        <v>11139</v>
      </c>
      <c r="E455" s="25" t="s">
        <v>12477</v>
      </c>
      <c r="F455" s="25" t="s">
        <v>12478</v>
      </c>
      <c r="G455" s="28" t="s">
        <v>12479</v>
      </c>
      <c r="H455" s="25" t="n">
        <v>26756097</v>
      </c>
      <c r="I455" s="25"/>
      <c r="J455" s="25" t="n">
        <v>0</v>
      </c>
      <c r="K455" s="25" t="str">
        <f aca="false">IF(J455&gt;0,"Yes","No")</f>
        <v>No</v>
      </c>
    </row>
    <row r="456" customFormat="false" ht="15" hidden="false" customHeight="false" outlineLevel="0" collapsed="false">
      <c r="A456" s="25" t="s">
        <v>9317</v>
      </c>
      <c r="B456" s="25" t="s">
        <v>11138</v>
      </c>
      <c r="C456" s="25" t="n">
        <v>2016</v>
      </c>
      <c r="D456" s="25" t="s">
        <v>11139</v>
      </c>
      <c r="E456" s="25" t="s">
        <v>12480</v>
      </c>
      <c r="F456" s="25" t="s">
        <v>12481</v>
      </c>
      <c r="G456" s="28" t="s">
        <v>12482</v>
      </c>
      <c r="H456" s="25" t="n">
        <v>26888301</v>
      </c>
      <c r="I456" s="25"/>
      <c r="J456" s="25" t="n">
        <v>0</v>
      </c>
      <c r="K456" s="25" t="str">
        <f aca="false">IF(J456&gt;0,"Yes","No")</f>
        <v>No</v>
      </c>
    </row>
    <row r="457" customFormat="false" ht="15" hidden="false" customHeight="false" outlineLevel="0" collapsed="false">
      <c r="A457" s="25" t="s">
        <v>9335</v>
      </c>
      <c r="B457" s="25" t="s">
        <v>11138</v>
      </c>
      <c r="C457" s="25" t="n">
        <v>2016</v>
      </c>
      <c r="D457" s="25" t="s">
        <v>11139</v>
      </c>
      <c r="E457" s="25" t="s">
        <v>12483</v>
      </c>
      <c r="F457" s="25" t="s">
        <v>12484</v>
      </c>
      <c r="G457" s="28" t="s">
        <v>12485</v>
      </c>
      <c r="H457" s="25" t="n">
        <v>27003636</v>
      </c>
      <c r="I457" s="25"/>
      <c r="J457" s="25" t="n">
        <v>0</v>
      </c>
      <c r="K457" s="25" t="str">
        <f aca="false">IF(J457&gt;0,"Yes","No")</f>
        <v>No</v>
      </c>
    </row>
    <row r="458" customFormat="false" ht="15" hidden="false" customHeight="false" outlineLevel="0" collapsed="false">
      <c r="A458" s="25" t="s">
        <v>9338</v>
      </c>
      <c r="B458" s="25" t="s">
        <v>11138</v>
      </c>
      <c r="C458" s="25" t="n">
        <v>2016</v>
      </c>
      <c r="D458" s="25" t="s">
        <v>11167</v>
      </c>
      <c r="E458" s="25" t="s">
        <v>12486</v>
      </c>
      <c r="F458" s="25" t="s">
        <v>12487</v>
      </c>
      <c r="G458" s="28" t="s">
        <v>12488</v>
      </c>
      <c r="H458" s="25" t="n">
        <v>27096053</v>
      </c>
      <c r="I458" s="25"/>
      <c r="J458" s="25" t="n">
        <v>0</v>
      </c>
      <c r="K458" s="25" t="str">
        <f aca="false">IF(J458&gt;0,"Yes","No")</f>
        <v>No</v>
      </c>
    </row>
    <row r="459" customFormat="false" ht="15" hidden="false" customHeight="false" outlineLevel="0" collapsed="false">
      <c r="A459" s="25" t="s">
        <v>9340</v>
      </c>
      <c r="B459" s="25" t="s">
        <v>11138</v>
      </c>
      <c r="C459" s="25" t="n">
        <v>2016</v>
      </c>
      <c r="D459" s="25" t="s">
        <v>11139</v>
      </c>
      <c r="E459" s="25" t="s">
        <v>12489</v>
      </c>
      <c r="F459" s="25" t="s">
        <v>12490</v>
      </c>
      <c r="G459" s="28" t="s">
        <v>12491</v>
      </c>
      <c r="H459" s="25" t="n">
        <v>27031670</v>
      </c>
      <c r="I459" s="25"/>
      <c r="J459" s="25" t="n">
        <v>0</v>
      </c>
      <c r="K459" s="25" t="str">
        <f aca="false">IF(J459&gt;0,"Yes","No")</f>
        <v>No</v>
      </c>
    </row>
    <row r="460" customFormat="false" ht="15" hidden="false" customHeight="false" outlineLevel="0" collapsed="false">
      <c r="A460" s="25" t="s">
        <v>9343</v>
      </c>
      <c r="B460" s="25" t="s">
        <v>11138</v>
      </c>
      <c r="C460" s="25" t="n">
        <v>2016</v>
      </c>
      <c r="D460" s="25" t="s">
        <v>11160</v>
      </c>
      <c r="E460" s="25" t="s">
        <v>12492</v>
      </c>
      <c r="F460" s="25" t="s">
        <v>12493</v>
      </c>
      <c r="G460" s="28" t="s">
        <v>12494</v>
      </c>
      <c r="H460" s="25" t="n">
        <v>27671496</v>
      </c>
      <c r="I460" s="25"/>
      <c r="J460" s="25" t="n">
        <v>0</v>
      </c>
      <c r="K460" s="25" t="str">
        <f aca="false">IF(J460&gt;0,"Yes","No")</f>
        <v>No</v>
      </c>
    </row>
    <row r="461" customFormat="false" ht="15" hidden="false" customHeight="false" outlineLevel="0" collapsed="false">
      <c r="A461" s="25" t="s">
        <v>9346</v>
      </c>
      <c r="B461" s="25" t="s">
        <v>11138</v>
      </c>
      <c r="C461" s="25" t="n">
        <v>2016</v>
      </c>
      <c r="D461" s="25" t="s">
        <v>11160</v>
      </c>
      <c r="E461" s="25" t="s">
        <v>12495</v>
      </c>
      <c r="F461" s="25" t="s">
        <v>12496</v>
      </c>
      <c r="G461" s="28" t="s">
        <v>12497</v>
      </c>
      <c r="H461" s="25" t="n">
        <v>27671499</v>
      </c>
      <c r="I461" s="25"/>
      <c r="J461" s="25" t="n">
        <v>0</v>
      </c>
      <c r="K461" s="25" t="str">
        <f aca="false">IF(J461&gt;0,"Yes","No")</f>
        <v>No</v>
      </c>
    </row>
    <row r="462" customFormat="false" ht="15" hidden="false" customHeight="false" outlineLevel="0" collapsed="false">
      <c r="A462" s="25" t="s">
        <v>9362</v>
      </c>
      <c r="B462" s="25" t="s">
        <v>11152</v>
      </c>
      <c r="C462" s="25" t="n">
        <v>2016</v>
      </c>
      <c r="D462" s="25"/>
      <c r="E462" s="25" t="s">
        <v>12498</v>
      </c>
      <c r="F462" s="25"/>
      <c r="G462" s="25"/>
      <c r="H462" s="25"/>
      <c r="I462" s="25" t="s">
        <v>12499</v>
      </c>
      <c r="J462" s="25" t="n">
        <v>0</v>
      </c>
      <c r="K462" s="25" t="str">
        <f aca="false">IF(J462&gt;0,"Yes","No")</f>
        <v>No</v>
      </c>
    </row>
    <row r="463" customFormat="false" ht="15" hidden="false" customHeight="false" outlineLevel="0" collapsed="false">
      <c r="A463" s="25" t="s">
        <v>9365</v>
      </c>
      <c r="B463" s="25" t="s">
        <v>11152</v>
      </c>
      <c r="C463" s="25" t="n">
        <v>2015</v>
      </c>
      <c r="D463" s="25"/>
      <c r="E463" s="25" t="s">
        <v>12500</v>
      </c>
      <c r="F463" s="25"/>
      <c r="G463" s="25"/>
      <c r="H463" s="25"/>
      <c r="I463" s="25" t="s">
        <v>12501</v>
      </c>
      <c r="J463" s="25" t="n">
        <v>0</v>
      </c>
      <c r="K463" s="25" t="str">
        <f aca="false">IF(J463&gt;0,"Yes","No")</f>
        <v>No</v>
      </c>
    </row>
    <row r="464" customFormat="false" ht="15" hidden="false" customHeight="false" outlineLevel="0" collapsed="false">
      <c r="A464" s="25" t="s">
        <v>9368</v>
      </c>
      <c r="B464" s="25" t="s">
        <v>11152</v>
      </c>
      <c r="C464" s="25" t="n">
        <v>2015</v>
      </c>
      <c r="D464" s="25"/>
      <c r="E464" s="25" t="s">
        <v>12502</v>
      </c>
      <c r="F464" s="25"/>
      <c r="G464" s="25"/>
      <c r="H464" s="25"/>
      <c r="I464" s="25" t="s">
        <v>12503</v>
      </c>
      <c r="J464" s="25" t="n">
        <v>0</v>
      </c>
      <c r="K464" s="25" t="str">
        <f aca="false">IF(J464&gt;0,"Yes","No")</f>
        <v>No</v>
      </c>
    </row>
    <row r="465" customFormat="false" ht="15" hidden="false" customHeight="false" outlineLevel="0" collapsed="false">
      <c r="A465" s="25" t="s">
        <v>9371</v>
      </c>
      <c r="B465" s="25" t="s">
        <v>11152</v>
      </c>
      <c r="C465" s="25" t="n">
        <v>2016</v>
      </c>
      <c r="D465" s="25"/>
      <c r="E465" s="25" t="s">
        <v>12504</v>
      </c>
      <c r="F465" s="25"/>
      <c r="G465" s="25"/>
      <c r="H465" s="25"/>
      <c r="I465" s="25" t="s">
        <v>12505</v>
      </c>
      <c r="J465" s="25" t="n">
        <v>0</v>
      </c>
      <c r="K465" s="25" t="str">
        <f aca="false">IF(J465&gt;0,"Yes","No")</f>
        <v>No</v>
      </c>
    </row>
    <row r="466" customFormat="false" ht="15" hidden="false" customHeight="false" outlineLevel="0" collapsed="false">
      <c r="A466" s="25" t="s">
        <v>9376</v>
      </c>
      <c r="B466" s="25" t="s">
        <v>11152</v>
      </c>
      <c r="C466" s="25" t="n">
        <v>2016</v>
      </c>
      <c r="D466" s="25"/>
      <c r="E466" s="25" t="s">
        <v>12506</v>
      </c>
      <c r="F466" s="25"/>
      <c r="G466" s="25"/>
      <c r="H466" s="25"/>
      <c r="I466" s="25" t="s">
        <v>12507</v>
      </c>
      <c r="J466" s="25" t="n">
        <v>0</v>
      </c>
      <c r="K466" s="25" t="str">
        <f aca="false">IF(J466&gt;0,"Yes","No")</f>
        <v>No</v>
      </c>
    </row>
    <row r="467" customFormat="false" ht="15" hidden="false" customHeight="false" outlineLevel="0" collapsed="false">
      <c r="A467" s="25" t="s">
        <v>9379</v>
      </c>
      <c r="B467" s="25" t="s">
        <v>11152</v>
      </c>
      <c r="C467" s="25" t="n">
        <v>2016</v>
      </c>
      <c r="D467" s="25"/>
      <c r="E467" s="25" t="s">
        <v>12508</v>
      </c>
      <c r="F467" s="25"/>
      <c r="G467" s="25"/>
      <c r="H467" s="25"/>
      <c r="I467" s="25" t="s">
        <v>12509</v>
      </c>
      <c r="J467" s="25" t="n">
        <v>0</v>
      </c>
      <c r="K467" s="25" t="str">
        <f aca="false">IF(J467&gt;0,"Yes","No")</f>
        <v>No</v>
      </c>
    </row>
    <row r="468" customFormat="false" ht="15" hidden="false" customHeight="false" outlineLevel="0" collapsed="false">
      <c r="A468" s="25" t="s">
        <v>9382</v>
      </c>
      <c r="B468" s="25" t="s">
        <v>11152</v>
      </c>
      <c r="C468" s="25" t="n">
        <v>2016</v>
      </c>
      <c r="D468" s="25"/>
      <c r="E468" s="25" t="s">
        <v>12510</v>
      </c>
      <c r="F468" s="25"/>
      <c r="G468" s="25"/>
      <c r="H468" s="25"/>
      <c r="I468" s="25" t="s">
        <v>12511</v>
      </c>
      <c r="J468" s="25" t="n">
        <v>0</v>
      </c>
      <c r="K468" s="25" t="str">
        <f aca="false">IF(J468&gt;0,"Yes","No")</f>
        <v>No</v>
      </c>
    </row>
    <row r="469" customFormat="false" ht="15" hidden="false" customHeight="false" outlineLevel="0" collapsed="false">
      <c r="A469" s="25" t="s">
        <v>9387</v>
      </c>
      <c r="B469" s="25" t="s">
        <v>11152</v>
      </c>
      <c r="C469" s="25" t="n">
        <v>2016</v>
      </c>
      <c r="D469" s="25"/>
      <c r="E469" s="25" t="s">
        <v>12512</v>
      </c>
      <c r="F469" s="25"/>
      <c r="G469" s="25"/>
      <c r="H469" s="25"/>
      <c r="I469" s="25" t="s">
        <v>12513</v>
      </c>
      <c r="J469" s="25" t="n">
        <v>0</v>
      </c>
      <c r="K469" s="25" t="str">
        <f aca="false">IF(J469&gt;0,"Yes","No")</f>
        <v>No</v>
      </c>
    </row>
    <row r="470" customFormat="false" ht="15" hidden="false" customHeight="false" outlineLevel="0" collapsed="false">
      <c r="A470" s="25" t="s">
        <v>9396</v>
      </c>
      <c r="B470" s="25" t="s">
        <v>11152</v>
      </c>
      <c r="C470" s="25" t="n">
        <v>2016</v>
      </c>
      <c r="D470" s="25"/>
      <c r="E470" s="25" t="s">
        <v>12514</v>
      </c>
      <c r="F470" s="25"/>
      <c r="G470" s="25"/>
      <c r="H470" s="25"/>
      <c r="I470" s="25" t="s">
        <v>12515</v>
      </c>
      <c r="J470" s="25" t="n">
        <v>0</v>
      </c>
      <c r="K470" s="25" t="str">
        <f aca="false">IF(J470&gt;0,"Yes","No")</f>
        <v>No</v>
      </c>
    </row>
    <row r="471" customFormat="false" ht="15" hidden="false" customHeight="false" outlineLevel="0" collapsed="false">
      <c r="A471" s="25" t="s">
        <v>9399</v>
      </c>
      <c r="B471" s="25" t="s">
        <v>11152</v>
      </c>
      <c r="C471" s="25" t="n">
        <v>2016</v>
      </c>
      <c r="D471" s="25"/>
      <c r="E471" s="25" t="s">
        <v>12508</v>
      </c>
      <c r="F471" s="25"/>
      <c r="G471" s="25"/>
      <c r="H471" s="25"/>
      <c r="I471" s="25" t="s">
        <v>12516</v>
      </c>
      <c r="J471" s="25" t="n">
        <v>0</v>
      </c>
      <c r="K471" s="25" t="str">
        <f aca="false">IF(J471&gt;0,"Yes","No")</f>
        <v>No</v>
      </c>
    </row>
    <row r="472" customFormat="false" ht="15" hidden="false" customHeight="false" outlineLevel="0" collapsed="false">
      <c r="A472" s="25" t="s">
        <v>9402</v>
      </c>
      <c r="B472" s="25" t="s">
        <v>11152</v>
      </c>
      <c r="C472" s="25" t="n">
        <v>2016</v>
      </c>
      <c r="D472" s="25"/>
      <c r="E472" s="25" t="s">
        <v>12517</v>
      </c>
      <c r="F472" s="25"/>
      <c r="G472" s="25"/>
      <c r="H472" s="25"/>
      <c r="I472" s="25" t="s">
        <v>12518</v>
      </c>
      <c r="J472" s="25" t="n">
        <v>0</v>
      </c>
      <c r="K472" s="25" t="str">
        <f aca="false">IF(J472&gt;0,"Yes","No")</f>
        <v>No</v>
      </c>
    </row>
    <row r="473" customFormat="false" ht="15" hidden="false" customHeight="false" outlineLevel="0" collapsed="false">
      <c r="A473" s="25" t="s">
        <v>9405</v>
      </c>
      <c r="B473" s="25" t="s">
        <v>11152</v>
      </c>
      <c r="C473" s="25" t="n">
        <v>2016</v>
      </c>
      <c r="D473" s="25"/>
      <c r="E473" s="25" t="s">
        <v>12519</v>
      </c>
      <c r="F473" s="25"/>
      <c r="G473" s="25"/>
      <c r="H473" s="25"/>
      <c r="I473" s="25" t="s">
        <v>12520</v>
      </c>
      <c r="J473" s="25" t="n">
        <v>0</v>
      </c>
      <c r="K473" s="25" t="str">
        <f aca="false">IF(J473&gt;0,"Yes","No")</f>
        <v>No</v>
      </c>
    </row>
    <row r="474" customFormat="false" ht="15" hidden="false" customHeight="false" outlineLevel="0" collapsed="false">
      <c r="A474" s="25" t="s">
        <v>9431</v>
      </c>
      <c r="B474" s="25" t="s">
        <v>11138</v>
      </c>
      <c r="C474" s="25" t="n">
        <v>2017</v>
      </c>
      <c r="D474" s="25" t="s">
        <v>11139</v>
      </c>
      <c r="E474" s="25" t="s">
        <v>12521</v>
      </c>
      <c r="F474" s="25" t="s">
        <v>12522</v>
      </c>
      <c r="G474" s="28" t="s">
        <v>12523</v>
      </c>
      <c r="H474" s="25" t="n">
        <v>28858485</v>
      </c>
      <c r="I474" s="25"/>
      <c r="J474" s="25" t="n">
        <v>0</v>
      </c>
      <c r="K474" s="25" t="str">
        <f aca="false">IF(J474&gt;0,"Yes","No")</f>
        <v>No</v>
      </c>
    </row>
    <row r="475" customFormat="false" ht="15" hidden="false" customHeight="false" outlineLevel="0" collapsed="false">
      <c r="A475" s="25" t="s">
        <v>9436</v>
      </c>
      <c r="B475" s="25" t="s">
        <v>11138</v>
      </c>
      <c r="C475" s="25" t="n">
        <v>2017</v>
      </c>
      <c r="D475" s="25" t="s">
        <v>11167</v>
      </c>
      <c r="E475" s="25" t="s">
        <v>12524</v>
      </c>
      <c r="F475" s="25" t="s">
        <v>12525</v>
      </c>
      <c r="G475" s="28" t="s">
        <v>12526</v>
      </c>
      <c r="H475" s="25" t="n">
        <v>28626532</v>
      </c>
      <c r="I475" s="25"/>
      <c r="J475" s="25" t="n">
        <v>0</v>
      </c>
      <c r="K475" s="25" t="str">
        <f aca="false">IF(J475&gt;0,"Yes","No")</f>
        <v>No</v>
      </c>
    </row>
    <row r="476" customFormat="false" ht="15" hidden="false" customHeight="false" outlineLevel="0" collapsed="false">
      <c r="A476" s="25" t="s">
        <v>9441</v>
      </c>
      <c r="B476" s="25" t="s">
        <v>11138</v>
      </c>
      <c r="C476" s="25" t="n">
        <v>2018</v>
      </c>
      <c r="D476" s="25" t="s">
        <v>11139</v>
      </c>
      <c r="E476" s="25" t="s">
        <v>12527</v>
      </c>
      <c r="F476" s="25" t="s">
        <v>12528</v>
      </c>
      <c r="G476" s="28" t="s">
        <v>12529</v>
      </c>
      <c r="H476" s="25" t="n">
        <v>29309142</v>
      </c>
      <c r="I476" s="25"/>
      <c r="J476" s="25" t="n">
        <v>0</v>
      </c>
      <c r="K476" s="25" t="str">
        <f aca="false">IF(J476&gt;0,"Yes","No")</f>
        <v>No</v>
      </c>
    </row>
    <row r="477" customFormat="false" ht="15" hidden="false" customHeight="false" outlineLevel="0" collapsed="false">
      <c r="A477" s="25" t="s">
        <v>9446</v>
      </c>
      <c r="B477" s="25" t="s">
        <v>11138</v>
      </c>
      <c r="C477" s="25" t="n">
        <v>2017</v>
      </c>
      <c r="D477" s="25" t="s">
        <v>11139</v>
      </c>
      <c r="E477" s="25" t="s">
        <v>12530</v>
      </c>
      <c r="F477" s="25" t="s">
        <v>12531</v>
      </c>
      <c r="G477" s="28" t="s">
        <v>12532</v>
      </c>
      <c r="H477" s="25" t="n">
        <v>28726401</v>
      </c>
      <c r="I477" s="25"/>
      <c r="J477" s="25" t="n">
        <v>0</v>
      </c>
      <c r="K477" s="25" t="str">
        <f aca="false">IF(J477&gt;0,"Yes","No")</f>
        <v>No</v>
      </c>
    </row>
    <row r="478" customFormat="false" ht="15" hidden="false" customHeight="false" outlineLevel="0" collapsed="false">
      <c r="A478" s="25" t="s">
        <v>9461</v>
      </c>
      <c r="B478" s="25" t="s">
        <v>11138</v>
      </c>
      <c r="C478" s="25" t="n">
        <v>2017</v>
      </c>
      <c r="D478" s="25" t="s">
        <v>11139</v>
      </c>
      <c r="E478" s="25" t="s">
        <v>12533</v>
      </c>
      <c r="F478" s="25" t="s">
        <v>12534</v>
      </c>
      <c r="G478" s="28" t="s">
        <v>12535</v>
      </c>
      <c r="H478" s="25" t="n">
        <v>28792219</v>
      </c>
      <c r="I478" s="25"/>
      <c r="J478" s="25" t="n">
        <v>0</v>
      </c>
      <c r="K478" s="25" t="str">
        <f aca="false">IF(J478&gt;0,"Yes","No")</f>
        <v>No</v>
      </c>
    </row>
    <row r="479" customFormat="false" ht="15" hidden="false" customHeight="false" outlineLevel="0" collapsed="false">
      <c r="A479" s="25" t="s">
        <v>9468</v>
      </c>
      <c r="B479" s="25" t="s">
        <v>11138</v>
      </c>
      <c r="C479" s="25" t="n">
        <v>2017</v>
      </c>
      <c r="D479" s="25" t="s">
        <v>11200</v>
      </c>
      <c r="E479" s="25" t="s">
        <v>12536</v>
      </c>
      <c r="F479" s="25" t="s">
        <v>12537</v>
      </c>
      <c r="G479" s="28" t="s">
        <v>12538</v>
      </c>
      <c r="H479" s="25" t="n">
        <v>28284861</v>
      </c>
      <c r="I479" s="25"/>
      <c r="J479" s="25" t="n">
        <v>0</v>
      </c>
      <c r="K479" s="25" t="str">
        <f aca="false">IF(J479&gt;0,"Yes","No")</f>
        <v>No</v>
      </c>
    </row>
    <row r="480" customFormat="false" ht="15" hidden="false" customHeight="false" outlineLevel="0" collapsed="false">
      <c r="A480" s="25" t="s">
        <v>9475</v>
      </c>
      <c r="B480" s="25" t="s">
        <v>11138</v>
      </c>
      <c r="C480" s="25" t="n">
        <v>2017</v>
      </c>
      <c r="D480" s="25" t="s">
        <v>11200</v>
      </c>
      <c r="E480" s="25" t="s">
        <v>12539</v>
      </c>
      <c r="F480" s="25" t="s">
        <v>12540</v>
      </c>
      <c r="G480" s="28" t="s">
        <v>12541</v>
      </c>
      <c r="H480" s="25" t="n">
        <v>28673732</v>
      </c>
      <c r="I480" s="25"/>
      <c r="J480" s="25" t="n">
        <v>0</v>
      </c>
      <c r="K480" s="25" t="str">
        <f aca="false">IF(J480&gt;0,"Yes","No")</f>
        <v>No</v>
      </c>
    </row>
    <row r="481" customFormat="false" ht="15" hidden="false" customHeight="false" outlineLevel="0" collapsed="false">
      <c r="A481" s="25" t="s">
        <v>9478</v>
      </c>
      <c r="B481" s="25" t="s">
        <v>11138</v>
      </c>
      <c r="C481" s="25" t="n">
        <v>2017</v>
      </c>
      <c r="D481" s="25" t="s">
        <v>11155</v>
      </c>
      <c r="E481" s="25" t="s">
        <v>12542</v>
      </c>
      <c r="F481" s="25" t="s">
        <v>12543</v>
      </c>
      <c r="G481" s="28" t="s">
        <v>12544</v>
      </c>
      <c r="H481" s="25" t="n">
        <v>28651225</v>
      </c>
      <c r="I481" s="25"/>
      <c r="J481" s="25" t="n">
        <v>0</v>
      </c>
      <c r="K481" s="25" t="str">
        <f aca="false">IF(J481&gt;0,"Yes","No")</f>
        <v>No</v>
      </c>
    </row>
    <row r="482" customFormat="false" ht="15" hidden="false" customHeight="false" outlineLevel="0" collapsed="false">
      <c r="A482" s="25" t="s">
        <v>9491</v>
      </c>
      <c r="B482" s="25" t="s">
        <v>11138</v>
      </c>
      <c r="C482" s="25" t="n">
        <v>2018</v>
      </c>
      <c r="D482" s="25" t="s">
        <v>11139</v>
      </c>
      <c r="E482" s="25" t="s">
        <v>12545</v>
      </c>
      <c r="F482" s="25" t="s">
        <v>12546</v>
      </c>
      <c r="G482" s="28" t="s">
        <v>12547</v>
      </c>
      <c r="H482" s="25" t="n">
        <v>29718668</v>
      </c>
      <c r="I482" s="25"/>
      <c r="J482" s="25" t="n">
        <v>0</v>
      </c>
      <c r="K482" s="25" t="str">
        <f aca="false">IF(J482&gt;0,"Yes","No")</f>
        <v>No</v>
      </c>
    </row>
    <row r="483" customFormat="false" ht="15" hidden="false" customHeight="false" outlineLevel="0" collapsed="false">
      <c r="A483" s="25" t="s">
        <v>9494</v>
      </c>
      <c r="B483" s="25" t="s">
        <v>11138</v>
      </c>
      <c r="C483" s="25" t="n">
        <v>2018</v>
      </c>
      <c r="D483" s="25" t="s">
        <v>11526</v>
      </c>
      <c r="E483" s="25" t="s">
        <v>12548</v>
      </c>
      <c r="F483" s="25" t="s">
        <v>12549</v>
      </c>
      <c r="G483" s="28" t="s">
        <v>12550</v>
      </c>
      <c r="H483" s="25" t="n">
        <v>29240420</v>
      </c>
      <c r="I483" s="25"/>
      <c r="J483" s="25" t="n">
        <v>0</v>
      </c>
      <c r="K483" s="25" t="str">
        <f aca="false">IF(J483&gt;0,"Yes","No")</f>
        <v>No</v>
      </c>
    </row>
    <row r="484" customFormat="false" ht="15" hidden="false" customHeight="false" outlineLevel="0" collapsed="false">
      <c r="A484" s="25" t="s">
        <v>9499</v>
      </c>
      <c r="B484" s="25" t="s">
        <v>11138</v>
      </c>
      <c r="C484" s="25" t="n">
        <v>2017</v>
      </c>
      <c r="D484" s="25" t="s">
        <v>11167</v>
      </c>
      <c r="E484" s="25" t="s">
        <v>12551</v>
      </c>
      <c r="F484" s="25" t="s">
        <v>12552</v>
      </c>
      <c r="G484" s="28" t="s">
        <v>12553</v>
      </c>
      <c r="H484" s="25" t="n">
        <v>29259753</v>
      </c>
      <c r="I484" s="25"/>
      <c r="J484" s="25" t="n">
        <v>0</v>
      </c>
      <c r="K484" s="25" t="str">
        <f aca="false">IF(J484&gt;0,"Yes","No")</f>
        <v>No</v>
      </c>
    </row>
    <row r="485" customFormat="false" ht="15" hidden="false" customHeight="false" outlineLevel="0" collapsed="false">
      <c r="A485" s="25" t="s">
        <v>9504</v>
      </c>
      <c r="B485" s="25" t="s">
        <v>11138</v>
      </c>
      <c r="C485" s="25" t="n">
        <v>2018</v>
      </c>
      <c r="D485" s="25" t="s">
        <v>11139</v>
      </c>
      <c r="E485" s="25" t="s">
        <v>12554</v>
      </c>
      <c r="F485" s="25" t="s">
        <v>12555</v>
      </c>
      <c r="G485" s="28" t="s">
        <v>12556</v>
      </c>
      <c r="H485" s="25" t="n">
        <v>29856219</v>
      </c>
      <c r="I485" s="25"/>
      <c r="J485" s="25" t="n">
        <v>0</v>
      </c>
      <c r="K485" s="25" t="str">
        <f aca="false">IF(J485&gt;0,"Yes","No")</f>
        <v>No</v>
      </c>
    </row>
    <row r="486" customFormat="false" ht="15" hidden="false" customHeight="false" outlineLevel="0" collapsed="false">
      <c r="A486" s="25" t="s">
        <v>9517</v>
      </c>
      <c r="B486" s="25" t="s">
        <v>11138</v>
      </c>
      <c r="C486" s="25" t="n">
        <v>2018</v>
      </c>
      <c r="D486" s="25" t="s">
        <v>11155</v>
      </c>
      <c r="E486" s="25" t="s">
        <v>12557</v>
      </c>
      <c r="F486" s="25" t="s">
        <v>12558</v>
      </c>
      <c r="G486" s="28" t="s">
        <v>12559</v>
      </c>
      <c r="H486" s="25" t="n">
        <v>29649741</v>
      </c>
      <c r="I486" s="25"/>
      <c r="J486" s="25" t="n">
        <v>0</v>
      </c>
      <c r="K486" s="25" t="str">
        <f aca="false">IF(J486&gt;0,"Yes","No")</f>
        <v>No</v>
      </c>
    </row>
    <row r="487" customFormat="false" ht="15" hidden="false" customHeight="false" outlineLevel="0" collapsed="false">
      <c r="A487" s="25" t="s">
        <v>9523</v>
      </c>
      <c r="B487" s="25" t="s">
        <v>11138</v>
      </c>
      <c r="C487" s="25" t="n">
        <v>2018</v>
      </c>
      <c r="D487" s="25" t="s">
        <v>11200</v>
      </c>
      <c r="E487" s="25" t="s">
        <v>12560</v>
      </c>
      <c r="F487" s="25" t="s">
        <v>12561</v>
      </c>
      <c r="G487" s="28" t="s">
        <v>12562</v>
      </c>
      <c r="H487" s="25" t="n">
        <v>30217464</v>
      </c>
      <c r="I487" s="25"/>
      <c r="J487" s="25" t="n">
        <v>0</v>
      </c>
      <c r="K487" s="25" t="str">
        <f aca="false">IF(J487&gt;0,"Yes","No")</f>
        <v>No</v>
      </c>
    </row>
    <row r="488" customFormat="false" ht="15" hidden="false" customHeight="false" outlineLevel="0" collapsed="false">
      <c r="A488" s="25" t="s">
        <v>9562</v>
      </c>
      <c r="B488" s="25" t="s">
        <v>11138</v>
      </c>
      <c r="C488" s="25" t="n">
        <v>2018</v>
      </c>
      <c r="D488" s="25" t="s">
        <v>11155</v>
      </c>
      <c r="E488" s="25" t="s">
        <v>12563</v>
      </c>
      <c r="F488" s="25" t="s">
        <v>12564</v>
      </c>
      <c r="G488" s="28" t="s">
        <v>12565</v>
      </c>
      <c r="H488" s="25" t="n">
        <v>30144699</v>
      </c>
      <c r="I488" s="25"/>
      <c r="J488" s="25" t="n">
        <v>0</v>
      </c>
      <c r="K488" s="25" t="str">
        <f aca="false">IF(J488&gt;0,"Yes","No")</f>
        <v>No</v>
      </c>
    </row>
    <row r="489" customFormat="false" ht="15" hidden="false" customHeight="false" outlineLevel="0" collapsed="false">
      <c r="A489" s="25" t="s">
        <v>9567</v>
      </c>
      <c r="B489" s="25" t="s">
        <v>11138</v>
      </c>
      <c r="C489" s="25" t="n">
        <v>2018</v>
      </c>
      <c r="D489" s="25" t="s">
        <v>11139</v>
      </c>
      <c r="E489" s="25" t="s">
        <v>12566</v>
      </c>
      <c r="F489" s="25" t="s">
        <v>12567</v>
      </c>
      <c r="G489" s="28" t="s">
        <v>12568</v>
      </c>
      <c r="H489" s="25" t="n">
        <v>30339387</v>
      </c>
      <c r="I489" s="25"/>
      <c r="J489" s="25" t="n">
        <v>0</v>
      </c>
      <c r="K489" s="25" t="str">
        <f aca="false">IF(J489&gt;0,"Yes","No")</f>
        <v>No</v>
      </c>
    </row>
    <row r="490" customFormat="false" ht="15" hidden="false" customHeight="false" outlineLevel="0" collapsed="false">
      <c r="A490" s="25" t="s">
        <v>9570</v>
      </c>
      <c r="B490" s="25" t="s">
        <v>11138</v>
      </c>
      <c r="C490" s="25" t="n">
        <v>2018</v>
      </c>
      <c r="D490" s="25" t="s">
        <v>11139</v>
      </c>
      <c r="E490" s="25" t="s">
        <v>12569</v>
      </c>
      <c r="F490" s="25" t="s">
        <v>12570</v>
      </c>
      <c r="G490" s="28" t="s">
        <v>12571</v>
      </c>
      <c r="H490" s="25" t="n">
        <v>29990428</v>
      </c>
      <c r="I490" s="25"/>
      <c r="J490" s="25" t="n">
        <v>0</v>
      </c>
      <c r="K490" s="25" t="str">
        <f aca="false">IF(J490&gt;0,"Yes","No")</f>
        <v>No</v>
      </c>
    </row>
    <row r="491" customFormat="false" ht="15" hidden="false" customHeight="false" outlineLevel="0" collapsed="false">
      <c r="A491" s="25" t="s">
        <v>9584</v>
      </c>
      <c r="B491" s="25" t="s">
        <v>11138</v>
      </c>
      <c r="C491" s="25" t="n">
        <v>2019</v>
      </c>
      <c r="D491" s="25" t="s">
        <v>11160</v>
      </c>
      <c r="E491" s="25" t="s">
        <v>12572</v>
      </c>
      <c r="F491" s="25" t="s">
        <v>12573</v>
      </c>
      <c r="G491" s="28" t="s">
        <v>12574</v>
      </c>
      <c r="H491" s="25" t="n">
        <v>30463802</v>
      </c>
      <c r="I491" s="25"/>
      <c r="J491" s="25" t="n">
        <v>0</v>
      </c>
      <c r="K491" s="25" t="str">
        <f aca="false">IF(J491&gt;0,"Yes","No")</f>
        <v>No</v>
      </c>
    </row>
    <row r="492" customFormat="false" ht="15" hidden="false" customHeight="false" outlineLevel="0" collapsed="false">
      <c r="A492" s="25" t="s">
        <v>9587</v>
      </c>
      <c r="B492" s="25" t="s">
        <v>11138</v>
      </c>
      <c r="C492" s="25" t="n">
        <v>2019</v>
      </c>
      <c r="D492" s="25" t="s">
        <v>11139</v>
      </c>
      <c r="E492" s="25" t="s">
        <v>12575</v>
      </c>
      <c r="F492" s="25" t="s">
        <v>12576</v>
      </c>
      <c r="G492" s="28" t="s">
        <v>12577</v>
      </c>
      <c r="H492" s="25" t="n">
        <v>31282155</v>
      </c>
      <c r="I492" s="25"/>
      <c r="J492" s="25" t="n">
        <v>0</v>
      </c>
      <c r="K492" s="25" t="str">
        <f aca="false">IF(J492&gt;0,"Yes","No")</f>
        <v>No</v>
      </c>
    </row>
    <row r="493" customFormat="false" ht="15" hidden="false" customHeight="false" outlineLevel="0" collapsed="false">
      <c r="A493" s="25" t="s">
        <v>9606</v>
      </c>
      <c r="B493" s="25" t="s">
        <v>11138</v>
      </c>
      <c r="C493" s="25" t="n">
        <v>2020</v>
      </c>
      <c r="D493" s="25" t="s">
        <v>11139</v>
      </c>
      <c r="E493" s="25" t="s">
        <v>12578</v>
      </c>
      <c r="F493" s="25" t="s">
        <v>12579</v>
      </c>
      <c r="G493" s="28" t="s">
        <v>12580</v>
      </c>
      <c r="H493" s="25" t="n">
        <v>31913038</v>
      </c>
      <c r="I493" s="25"/>
      <c r="J493" s="25" t="n">
        <v>0</v>
      </c>
      <c r="K493" s="25" t="str">
        <f aca="false">IF(J493&gt;0,"Yes","No")</f>
        <v>No</v>
      </c>
    </row>
    <row r="494" customFormat="false" ht="15" hidden="false" customHeight="false" outlineLevel="0" collapsed="false">
      <c r="A494" s="25" t="s">
        <v>9629</v>
      </c>
      <c r="B494" s="25" t="s">
        <v>11138</v>
      </c>
      <c r="C494" s="25" t="n">
        <v>2020</v>
      </c>
      <c r="D494" s="25" t="s">
        <v>11139</v>
      </c>
      <c r="E494" s="25" t="s">
        <v>12581</v>
      </c>
      <c r="F494" s="25" t="s">
        <v>12582</v>
      </c>
      <c r="G494" s="28" t="s">
        <v>12583</v>
      </c>
      <c r="H494" s="25" t="n">
        <v>32083858</v>
      </c>
      <c r="I494" s="25"/>
      <c r="J494" s="25" t="n">
        <v>0</v>
      </c>
      <c r="K494" s="25" t="str">
        <f aca="false">IF(J494&gt;0,"Yes","No")</f>
        <v>No</v>
      </c>
    </row>
    <row r="495" customFormat="false" ht="15" hidden="false" customHeight="false" outlineLevel="0" collapsed="false">
      <c r="A495" s="25" t="s">
        <v>9632</v>
      </c>
      <c r="B495" s="25" t="s">
        <v>11138</v>
      </c>
      <c r="C495" s="25" t="n">
        <v>2019</v>
      </c>
      <c r="D495" s="25" t="s">
        <v>11155</v>
      </c>
      <c r="E495" s="25" t="s">
        <v>12584</v>
      </c>
      <c r="F495" s="25" t="s">
        <v>12585</v>
      </c>
      <c r="G495" s="28" t="s">
        <v>12586</v>
      </c>
      <c r="H495" s="25" t="n">
        <v>31319265</v>
      </c>
      <c r="I495" s="25"/>
      <c r="J495" s="25" t="n">
        <v>0</v>
      </c>
      <c r="K495" s="25" t="str">
        <f aca="false">IF(J495&gt;0,"Yes","No")</f>
        <v>No</v>
      </c>
    </row>
    <row r="496" customFormat="false" ht="15" hidden="false" customHeight="false" outlineLevel="0" collapsed="false">
      <c r="A496" s="25" t="s">
        <v>9639</v>
      </c>
      <c r="B496" s="25" t="s">
        <v>11138</v>
      </c>
      <c r="C496" s="25" t="n">
        <v>2019</v>
      </c>
      <c r="D496" s="25" t="s">
        <v>11200</v>
      </c>
      <c r="E496" s="25" t="s">
        <v>12587</v>
      </c>
      <c r="F496" s="25" t="s">
        <v>12588</v>
      </c>
      <c r="G496" s="28" t="s">
        <v>12589</v>
      </c>
      <c r="H496" s="25" t="n">
        <v>31629610</v>
      </c>
      <c r="I496" s="25"/>
      <c r="J496" s="25" t="n">
        <v>0</v>
      </c>
      <c r="K496" s="25" t="str">
        <f aca="false">IF(J496&gt;0,"Yes","No")</f>
        <v>No</v>
      </c>
    </row>
    <row r="497" customFormat="false" ht="15" hidden="false" customHeight="false" outlineLevel="0" collapsed="false">
      <c r="A497" s="25" t="s">
        <v>9643</v>
      </c>
      <c r="B497" s="25" t="s">
        <v>11138</v>
      </c>
      <c r="C497" s="25" t="n">
        <v>2019</v>
      </c>
      <c r="D497" s="25" t="s">
        <v>11139</v>
      </c>
      <c r="E497" s="25" t="s">
        <v>12590</v>
      </c>
      <c r="F497" s="25" t="s">
        <v>12591</v>
      </c>
      <c r="G497" s="28" t="s">
        <v>12592</v>
      </c>
      <c r="H497" s="25" t="n">
        <v>31185168</v>
      </c>
      <c r="I497" s="25"/>
      <c r="J497" s="25" t="n">
        <v>0</v>
      </c>
      <c r="K497" s="25" t="str">
        <f aca="false">IF(J497&gt;0,"Yes","No")</f>
        <v>No</v>
      </c>
    </row>
    <row r="498" customFormat="false" ht="15" hidden="false" customHeight="false" outlineLevel="0" collapsed="false">
      <c r="A498" s="25" t="s">
        <v>9676</v>
      </c>
      <c r="B498" s="25" t="s">
        <v>11138</v>
      </c>
      <c r="C498" s="25" t="n">
        <v>2019</v>
      </c>
      <c r="D498" s="25" t="s">
        <v>11498</v>
      </c>
      <c r="E498" s="25" t="s">
        <v>12593</v>
      </c>
      <c r="F498" s="25" t="s">
        <v>12594</v>
      </c>
      <c r="G498" s="28" t="s">
        <v>12595</v>
      </c>
      <c r="H498" s="25" t="n">
        <v>32952995</v>
      </c>
      <c r="I498" s="25"/>
      <c r="J498" s="25" t="n">
        <v>0</v>
      </c>
      <c r="K498" s="25" t="str">
        <f aca="false">IF(J498&gt;0,"Yes","No")</f>
        <v>No</v>
      </c>
    </row>
    <row r="499" customFormat="false" ht="15" hidden="false" customHeight="false" outlineLevel="0" collapsed="false">
      <c r="A499" s="25" t="s">
        <v>9679</v>
      </c>
      <c r="B499" s="25" t="s">
        <v>11138</v>
      </c>
      <c r="C499" s="25" t="n">
        <v>2019</v>
      </c>
      <c r="D499" s="25" t="s">
        <v>11498</v>
      </c>
      <c r="E499" s="25" t="s">
        <v>12596</v>
      </c>
      <c r="F499" s="25" t="s">
        <v>12597</v>
      </c>
      <c r="G499" s="28" t="s">
        <v>12598</v>
      </c>
      <c r="H499" s="25" t="n">
        <v>32904145</v>
      </c>
      <c r="I499" s="25"/>
      <c r="J499" s="25" t="n">
        <v>0</v>
      </c>
      <c r="K499" s="25" t="str">
        <f aca="false">IF(J499&gt;0,"Yes","No")</f>
        <v>No</v>
      </c>
    </row>
    <row r="500" customFormat="false" ht="15" hidden="false" customHeight="false" outlineLevel="0" collapsed="false">
      <c r="A500" s="25" t="s">
        <v>9690</v>
      </c>
      <c r="B500" s="25" t="s">
        <v>11138</v>
      </c>
      <c r="C500" s="25" t="n">
        <v>2019</v>
      </c>
      <c r="D500" s="25" t="s">
        <v>11200</v>
      </c>
      <c r="E500" s="25" t="s">
        <v>12599</v>
      </c>
      <c r="F500" s="25" t="s">
        <v>12600</v>
      </c>
      <c r="G500" s="28" t="s">
        <v>12601</v>
      </c>
      <c r="H500" s="25" t="n">
        <v>30446439</v>
      </c>
      <c r="I500" s="25"/>
      <c r="J500" s="25" t="n">
        <v>0</v>
      </c>
      <c r="K500" s="25" t="str">
        <f aca="false">IF(J500&gt;0,"Yes","No")</f>
        <v>No</v>
      </c>
    </row>
    <row r="501" customFormat="false" ht="15" hidden="false" customHeight="false" outlineLevel="0" collapsed="false">
      <c r="A501" s="25" t="s">
        <v>9693</v>
      </c>
      <c r="B501" s="25" t="s">
        <v>11138</v>
      </c>
      <c r="C501" s="25" t="n">
        <v>2019</v>
      </c>
      <c r="D501" s="25" t="s">
        <v>11139</v>
      </c>
      <c r="E501" s="25" t="s">
        <v>12602</v>
      </c>
      <c r="F501" s="25" t="s">
        <v>12603</v>
      </c>
      <c r="G501" s="28" t="s">
        <v>12604</v>
      </c>
      <c r="H501" s="25" t="n">
        <v>30883102</v>
      </c>
      <c r="I501" s="25"/>
      <c r="J501" s="25" t="n">
        <v>0</v>
      </c>
      <c r="K501" s="25" t="str">
        <f aca="false">IF(J501&gt;0,"Yes","No")</f>
        <v>No</v>
      </c>
    </row>
    <row r="502" customFormat="false" ht="15" hidden="false" customHeight="false" outlineLevel="0" collapsed="false">
      <c r="A502" s="25" t="s">
        <v>9696</v>
      </c>
      <c r="B502" s="25" t="s">
        <v>11138</v>
      </c>
      <c r="C502" s="25" t="n">
        <v>2019</v>
      </c>
      <c r="D502" s="25" t="s">
        <v>11200</v>
      </c>
      <c r="E502" s="25" t="s">
        <v>12605</v>
      </c>
      <c r="F502" s="25" t="s">
        <v>12606</v>
      </c>
      <c r="G502" s="28" t="s">
        <v>12607</v>
      </c>
      <c r="H502" s="25" t="n">
        <v>31104784</v>
      </c>
      <c r="I502" s="25"/>
      <c r="J502" s="25" t="n">
        <v>0</v>
      </c>
      <c r="K502" s="25" t="str">
        <f aca="false">IF(J502&gt;0,"Yes","No")</f>
        <v>No</v>
      </c>
    </row>
    <row r="503" customFormat="false" ht="15" hidden="false" customHeight="false" outlineLevel="0" collapsed="false">
      <c r="A503" s="25" t="s">
        <v>9701</v>
      </c>
      <c r="B503" s="25" t="s">
        <v>11138</v>
      </c>
      <c r="C503" s="25" t="n">
        <v>2019</v>
      </c>
      <c r="D503" s="25" t="s">
        <v>11200</v>
      </c>
      <c r="E503" s="25" t="s">
        <v>12608</v>
      </c>
      <c r="F503" s="25" t="s">
        <v>12609</v>
      </c>
      <c r="G503" s="28" t="s">
        <v>12610</v>
      </c>
      <c r="H503" s="25" t="n">
        <v>30858025</v>
      </c>
      <c r="I503" s="25"/>
      <c r="J503" s="25" t="n">
        <v>0</v>
      </c>
      <c r="K503" s="25" t="str">
        <f aca="false">IF(J503&gt;0,"Yes","No")</f>
        <v>No</v>
      </c>
    </row>
    <row r="504" customFormat="false" ht="15" hidden="false" customHeight="false" outlineLevel="0" collapsed="false">
      <c r="A504" s="25" t="s">
        <v>9706</v>
      </c>
      <c r="B504" s="25" t="s">
        <v>11138</v>
      </c>
      <c r="C504" s="25" t="n">
        <v>2019</v>
      </c>
      <c r="D504" s="25" t="s">
        <v>11139</v>
      </c>
      <c r="E504" s="25" t="s">
        <v>12611</v>
      </c>
      <c r="F504" s="25" t="s">
        <v>12612</v>
      </c>
      <c r="G504" s="28" t="s">
        <v>12613</v>
      </c>
      <c r="H504" s="25" t="n">
        <v>31596583</v>
      </c>
      <c r="I504" s="25"/>
      <c r="J504" s="25" t="n">
        <v>0</v>
      </c>
      <c r="K504" s="25" t="str">
        <f aca="false">IF(J504&gt;0,"Yes","No")</f>
        <v>No</v>
      </c>
    </row>
    <row r="505" customFormat="false" ht="15" hidden="false" customHeight="false" outlineLevel="0" collapsed="false">
      <c r="A505" s="25" t="s">
        <v>9712</v>
      </c>
      <c r="B505" s="25" t="s">
        <v>11138</v>
      </c>
      <c r="C505" s="25" t="n">
        <v>2019</v>
      </c>
      <c r="D505" s="25" t="s">
        <v>11139</v>
      </c>
      <c r="E505" s="25" t="s">
        <v>12614</v>
      </c>
      <c r="F505" s="25" t="s">
        <v>12615</v>
      </c>
      <c r="G505" s="28" t="s">
        <v>12616</v>
      </c>
      <c r="H505" s="25" t="n">
        <v>30715876</v>
      </c>
      <c r="I505" s="25"/>
      <c r="J505" s="25" t="n">
        <v>0</v>
      </c>
      <c r="K505" s="25" t="str">
        <f aca="false">IF(J505&gt;0,"Yes","No")</f>
        <v>No</v>
      </c>
    </row>
    <row r="506" customFormat="false" ht="15" hidden="false" customHeight="false" outlineLevel="0" collapsed="false">
      <c r="A506" s="25" t="s">
        <v>9759</v>
      </c>
      <c r="B506" s="25" t="s">
        <v>11138</v>
      </c>
      <c r="C506" s="25" t="n">
        <v>2019</v>
      </c>
      <c r="D506" s="25" t="s">
        <v>11139</v>
      </c>
      <c r="E506" s="25" t="s">
        <v>12617</v>
      </c>
      <c r="F506" s="25" t="s">
        <v>12618</v>
      </c>
      <c r="G506" s="28" t="s">
        <v>12619</v>
      </c>
      <c r="H506" s="25" t="n">
        <v>30714733</v>
      </c>
      <c r="I506" s="25"/>
      <c r="J506" s="25" t="n">
        <v>0</v>
      </c>
      <c r="K506" s="25" t="str">
        <f aca="false">IF(J506&gt;0,"Yes","No")</f>
        <v>No</v>
      </c>
    </row>
    <row r="507" customFormat="false" ht="15" hidden="false" customHeight="false" outlineLevel="0" collapsed="false">
      <c r="A507" s="25" t="s">
        <v>10013</v>
      </c>
      <c r="B507" s="25" t="s">
        <v>11933</v>
      </c>
      <c r="C507" s="25" t="n">
        <v>2021</v>
      </c>
      <c r="D507" s="25"/>
      <c r="E507" s="25" t="s">
        <v>12620</v>
      </c>
      <c r="F507" s="25" t="s">
        <v>11935</v>
      </c>
      <c r="G507" s="28" t="s">
        <v>12621</v>
      </c>
      <c r="H507" s="25"/>
      <c r="I507" s="25"/>
      <c r="J507" s="25" t="n">
        <v>0</v>
      </c>
      <c r="K507" s="25" t="str">
        <f aca="false">IF(J507&gt;0,"Yes","No")</f>
        <v>No</v>
      </c>
    </row>
    <row r="508" customFormat="false" ht="15" hidden="false" customHeight="false" outlineLevel="0" collapsed="false">
      <c r="A508" s="25" t="s">
        <v>10016</v>
      </c>
      <c r="B508" s="25" t="s">
        <v>11933</v>
      </c>
      <c r="C508" s="25" t="n">
        <v>2021</v>
      </c>
      <c r="D508" s="25"/>
      <c r="E508" s="25" t="s">
        <v>12622</v>
      </c>
      <c r="F508" s="25" t="s">
        <v>11935</v>
      </c>
      <c r="G508" s="28" t="s">
        <v>12623</v>
      </c>
      <c r="H508" s="25"/>
      <c r="I508" s="25"/>
      <c r="J508" s="25" t="n">
        <v>0</v>
      </c>
      <c r="K508" s="25" t="str">
        <f aca="false">IF(J508&gt;0,"Yes","No")</f>
        <v>No</v>
      </c>
    </row>
    <row r="509" customFormat="false" ht="15" hidden="false" customHeight="false" outlineLevel="0" collapsed="false">
      <c r="A509" s="25" t="s">
        <v>10053</v>
      </c>
      <c r="B509" s="25" t="s">
        <v>11933</v>
      </c>
      <c r="C509" s="25" t="n">
        <v>2021</v>
      </c>
      <c r="D509" s="25"/>
      <c r="E509" s="25" t="s">
        <v>12624</v>
      </c>
      <c r="F509" s="25" t="s">
        <v>11935</v>
      </c>
      <c r="G509" s="28" t="s">
        <v>12625</v>
      </c>
      <c r="H509" s="25"/>
      <c r="I509" s="25"/>
      <c r="J509" s="25" t="n">
        <v>0</v>
      </c>
      <c r="K509" s="25" t="str">
        <f aca="false">IF(J509&gt;0,"Yes","No")</f>
        <v>No</v>
      </c>
    </row>
    <row r="510" customFormat="false" ht="15" hidden="false" customHeight="false" outlineLevel="0" collapsed="false">
      <c r="A510" s="25" t="s">
        <v>10019</v>
      </c>
      <c r="B510" s="25" t="s">
        <v>11933</v>
      </c>
      <c r="C510" s="25" t="n">
        <v>2021</v>
      </c>
      <c r="D510" s="25"/>
      <c r="E510" s="25" t="s">
        <v>12626</v>
      </c>
      <c r="F510" s="25" t="s">
        <v>11935</v>
      </c>
      <c r="G510" s="28" t="s">
        <v>12627</v>
      </c>
      <c r="H510" s="25"/>
      <c r="I510" s="25"/>
      <c r="J510" s="25" t="n">
        <v>0</v>
      </c>
      <c r="K510" s="25" t="str">
        <f aca="false">IF(J510&gt;0,"Yes","No")</f>
        <v>No</v>
      </c>
    </row>
    <row r="511" customFormat="false" ht="15" hidden="false" customHeight="false" outlineLevel="0" collapsed="false">
      <c r="A511" s="25" t="s">
        <v>10022</v>
      </c>
      <c r="B511" s="25" t="s">
        <v>11933</v>
      </c>
      <c r="C511" s="25" t="n">
        <v>2021</v>
      </c>
      <c r="D511" s="25"/>
      <c r="E511" s="25" t="s">
        <v>12628</v>
      </c>
      <c r="F511" s="25" t="s">
        <v>11935</v>
      </c>
      <c r="G511" s="28" t="s">
        <v>12629</v>
      </c>
      <c r="H511" s="25"/>
      <c r="I511" s="25"/>
      <c r="J511" s="25" t="n">
        <v>0</v>
      </c>
      <c r="K511" s="25" t="str">
        <f aca="false">IF(J511&gt;0,"Yes","No")</f>
        <v>No</v>
      </c>
    </row>
    <row r="512" customFormat="false" ht="15" hidden="false" customHeight="false" outlineLevel="0" collapsed="false">
      <c r="A512" s="25" t="s">
        <v>10024</v>
      </c>
      <c r="B512" s="25" t="s">
        <v>11933</v>
      </c>
      <c r="C512" s="25" t="n">
        <v>2021</v>
      </c>
      <c r="D512" s="25"/>
      <c r="E512" s="25" t="s">
        <v>12630</v>
      </c>
      <c r="F512" s="25" t="s">
        <v>11935</v>
      </c>
      <c r="G512" s="28" t="s">
        <v>12631</v>
      </c>
      <c r="H512" s="25"/>
      <c r="I512" s="25"/>
      <c r="J512" s="25" t="n">
        <v>0</v>
      </c>
      <c r="K512" s="25" t="str">
        <f aca="false">IF(J512&gt;0,"Yes","No")</f>
        <v>No</v>
      </c>
    </row>
    <row r="513" customFormat="false" ht="15" hidden="false" customHeight="false" outlineLevel="0" collapsed="false">
      <c r="A513" s="25" t="s">
        <v>10027</v>
      </c>
      <c r="B513" s="25" t="s">
        <v>11933</v>
      </c>
      <c r="C513" s="25" t="n">
        <v>2021</v>
      </c>
      <c r="D513" s="25"/>
      <c r="E513" s="25" t="s">
        <v>12632</v>
      </c>
      <c r="F513" s="25" t="s">
        <v>11935</v>
      </c>
      <c r="G513" s="28" t="s">
        <v>12633</v>
      </c>
      <c r="H513" s="25"/>
      <c r="I513" s="25"/>
      <c r="J513" s="25" t="n">
        <v>0</v>
      </c>
      <c r="K513" s="25" t="str">
        <f aca="false">IF(J513&gt;0,"Yes","No")</f>
        <v>No</v>
      </c>
    </row>
    <row r="514" customFormat="false" ht="15" hidden="false" customHeight="false" outlineLevel="0" collapsed="false">
      <c r="A514" s="25" t="s">
        <v>10029</v>
      </c>
      <c r="B514" s="25" t="s">
        <v>11933</v>
      </c>
      <c r="C514" s="25" t="n">
        <v>2021</v>
      </c>
      <c r="D514" s="25"/>
      <c r="E514" s="25" t="s">
        <v>12634</v>
      </c>
      <c r="F514" s="25" t="s">
        <v>11935</v>
      </c>
      <c r="G514" s="28" t="s">
        <v>12635</v>
      </c>
      <c r="H514" s="25"/>
      <c r="I514" s="25"/>
      <c r="J514" s="25" t="n">
        <v>0</v>
      </c>
      <c r="K514" s="25" t="str">
        <f aca="false">IF(J514&gt;0,"Yes","No")</f>
        <v>No</v>
      </c>
    </row>
    <row r="515" customFormat="false" ht="15" hidden="false" customHeight="false" outlineLevel="0" collapsed="false">
      <c r="A515" s="25" t="s">
        <v>10032</v>
      </c>
      <c r="B515" s="25" t="s">
        <v>11933</v>
      </c>
      <c r="C515" s="25" t="n">
        <v>2021</v>
      </c>
      <c r="D515" s="25"/>
      <c r="E515" s="25" t="s">
        <v>12636</v>
      </c>
      <c r="F515" s="25" t="s">
        <v>11935</v>
      </c>
      <c r="G515" s="28" t="s">
        <v>12637</v>
      </c>
      <c r="H515" s="25"/>
      <c r="I515" s="25"/>
      <c r="J515" s="25" t="n">
        <v>0</v>
      </c>
      <c r="K515" s="25" t="str">
        <f aca="false">IF(J515&gt;0,"Yes","No")</f>
        <v>No</v>
      </c>
    </row>
    <row r="516" customFormat="false" ht="15" hidden="false" customHeight="false" outlineLevel="0" collapsed="false">
      <c r="A516" s="25" t="s">
        <v>12638</v>
      </c>
      <c r="B516" s="25" t="s">
        <v>11933</v>
      </c>
      <c r="C516" s="25" t="n">
        <v>2021</v>
      </c>
      <c r="D516" s="25"/>
      <c r="E516" s="25" t="s">
        <v>12639</v>
      </c>
      <c r="F516" s="25" t="s">
        <v>11935</v>
      </c>
      <c r="G516" s="28" t="s">
        <v>12640</v>
      </c>
      <c r="H516" s="25"/>
      <c r="I516" s="25"/>
      <c r="J516" s="25" t="n">
        <v>0</v>
      </c>
      <c r="K516" s="25" t="str">
        <f aca="false">IF(J516&gt;0,"Yes","No")</f>
        <v>No</v>
      </c>
    </row>
    <row r="517" customFormat="false" ht="15" hidden="false" customHeight="false" outlineLevel="0" collapsed="false">
      <c r="A517" s="25" t="s">
        <v>12641</v>
      </c>
      <c r="B517" s="25" t="s">
        <v>11933</v>
      </c>
      <c r="C517" s="25" t="n">
        <v>2021</v>
      </c>
      <c r="D517" s="25"/>
      <c r="E517" s="25" t="s">
        <v>12642</v>
      </c>
      <c r="F517" s="25" t="s">
        <v>11935</v>
      </c>
      <c r="G517" s="28" t="s">
        <v>12643</v>
      </c>
      <c r="H517" s="25"/>
      <c r="I517" s="25"/>
      <c r="J517" s="25" t="n">
        <v>0</v>
      </c>
      <c r="K517" s="25" t="str">
        <f aca="false">IF(J517&gt;0,"Yes","No")</f>
        <v>No</v>
      </c>
    </row>
    <row r="518" customFormat="false" ht="15" hidden="false" customHeight="false" outlineLevel="0" collapsed="false">
      <c r="A518" s="25" t="s">
        <v>12644</v>
      </c>
      <c r="B518" s="25" t="s">
        <v>11933</v>
      </c>
      <c r="C518" s="25" t="n">
        <v>2021</v>
      </c>
      <c r="D518" s="25"/>
      <c r="E518" s="25" t="s">
        <v>12645</v>
      </c>
      <c r="F518" s="25" t="s">
        <v>11935</v>
      </c>
      <c r="G518" s="28" t="s">
        <v>12646</v>
      </c>
      <c r="H518" s="25"/>
      <c r="I518" s="25"/>
      <c r="J518" s="25" t="n">
        <v>0</v>
      </c>
      <c r="K518" s="25" t="str">
        <f aca="false">IF(J518&gt;0,"Yes","No")</f>
        <v>No</v>
      </c>
    </row>
    <row r="519" customFormat="false" ht="15" hidden="false" customHeight="false" outlineLevel="0" collapsed="false">
      <c r="A519" s="25" t="s">
        <v>12647</v>
      </c>
      <c r="B519" s="25" t="s">
        <v>11933</v>
      </c>
      <c r="C519" s="25" t="n">
        <v>2021</v>
      </c>
      <c r="D519" s="25"/>
      <c r="E519" s="25" t="s">
        <v>12648</v>
      </c>
      <c r="F519" s="25" t="s">
        <v>11935</v>
      </c>
      <c r="G519" s="28" t="s">
        <v>12649</v>
      </c>
      <c r="H519" s="25"/>
      <c r="I519" s="25"/>
      <c r="J519" s="25" t="n">
        <v>0</v>
      </c>
      <c r="K519" s="25" t="str">
        <f aca="false">IF(J519&gt;0,"Yes","No")</f>
        <v>No</v>
      </c>
    </row>
    <row r="520" customFormat="false" ht="15" hidden="false" customHeight="false" outlineLevel="0" collapsed="false">
      <c r="A520" s="25" t="s">
        <v>10056</v>
      </c>
      <c r="B520" s="25" t="s">
        <v>11933</v>
      </c>
      <c r="C520" s="25" t="n">
        <v>2021</v>
      </c>
      <c r="D520" s="25"/>
      <c r="E520" s="25" t="s">
        <v>12650</v>
      </c>
      <c r="F520" s="25" t="s">
        <v>11935</v>
      </c>
      <c r="G520" s="28" t="s">
        <v>12651</v>
      </c>
      <c r="H520" s="25"/>
      <c r="I520" s="25"/>
      <c r="J520" s="25" t="n">
        <v>0</v>
      </c>
      <c r="K520" s="25" t="str">
        <f aca="false">IF(J520&gt;0,"Yes","No")</f>
        <v>No</v>
      </c>
    </row>
    <row r="521" customFormat="false" ht="15" hidden="false" customHeight="false" outlineLevel="0" collapsed="false">
      <c r="A521" s="25" t="s">
        <v>10038</v>
      </c>
      <c r="B521" s="25" t="s">
        <v>11933</v>
      </c>
      <c r="C521" s="25" t="n">
        <v>2021</v>
      </c>
      <c r="D521" s="25"/>
      <c r="E521" s="25" t="s">
        <v>12652</v>
      </c>
      <c r="F521" s="25" t="s">
        <v>11935</v>
      </c>
      <c r="G521" s="28" t="s">
        <v>12653</v>
      </c>
      <c r="H521" s="25"/>
      <c r="I521" s="25"/>
      <c r="J521" s="25" t="n">
        <v>0</v>
      </c>
      <c r="K521" s="25" t="str">
        <f aca="false">IF(J521&gt;0,"Yes","No")</f>
        <v>No</v>
      </c>
    </row>
    <row r="522" customFormat="false" ht="15" hidden="false" customHeight="false" outlineLevel="0" collapsed="false">
      <c r="A522" s="25" t="s">
        <v>10040</v>
      </c>
      <c r="B522" s="25" t="s">
        <v>11933</v>
      </c>
      <c r="C522" s="25" t="n">
        <v>2021</v>
      </c>
      <c r="D522" s="25"/>
      <c r="E522" s="25" t="s">
        <v>12654</v>
      </c>
      <c r="F522" s="25" t="s">
        <v>11935</v>
      </c>
      <c r="G522" s="28" t="s">
        <v>12655</v>
      </c>
      <c r="H522" s="25"/>
      <c r="I522" s="25"/>
      <c r="J522" s="25" t="n">
        <v>0</v>
      </c>
      <c r="K522" s="25" t="str">
        <f aca="false">IF(J522&gt;0,"Yes","No")</f>
        <v>No</v>
      </c>
    </row>
    <row r="523" customFormat="false" ht="15" hidden="false" customHeight="false" outlineLevel="0" collapsed="false">
      <c r="A523" s="25" t="s">
        <v>10042</v>
      </c>
      <c r="B523" s="25" t="s">
        <v>11933</v>
      </c>
      <c r="C523" s="25" t="n">
        <v>2021</v>
      </c>
      <c r="D523" s="25"/>
      <c r="E523" s="25" t="s">
        <v>12656</v>
      </c>
      <c r="F523" s="25" t="s">
        <v>11935</v>
      </c>
      <c r="G523" s="28" t="s">
        <v>12657</v>
      </c>
      <c r="H523" s="25"/>
      <c r="I523" s="25"/>
      <c r="J523" s="25" t="n">
        <v>0</v>
      </c>
      <c r="K523" s="25" t="str">
        <f aca="false">IF(J523&gt;0,"Yes","No")</f>
        <v>No</v>
      </c>
    </row>
    <row r="524" customFormat="false" ht="15" hidden="false" customHeight="false" outlineLevel="0" collapsed="false">
      <c r="A524" s="25" t="s">
        <v>12658</v>
      </c>
      <c r="B524" s="25" t="s">
        <v>11933</v>
      </c>
      <c r="C524" s="25" t="n">
        <v>2021</v>
      </c>
      <c r="D524" s="25"/>
      <c r="E524" s="25" t="s">
        <v>12659</v>
      </c>
      <c r="F524" s="25" t="s">
        <v>11935</v>
      </c>
      <c r="G524" s="28" t="s">
        <v>12660</v>
      </c>
      <c r="H524" s="25"/>
      <c r="I524" s="25"/>
      <c r="J524" s="25" t="n">
        <v>0</v>
      </c>
      <c r="K524" s="25" t="str">
        <f aca="false">IF(J524&gt;0,"Yes","No")</f>
        <v>No</v>
      </c>
    </row>
    <row r="525" customFormat="false" ht="15" hidden="false" customHeight="false" outlineLevel="0" collapsed="false">
      <c r="A525" s="25" t="s">
        <v>12661</v>
      </c>
      <c r="B525" s="25" t="s">
        <v>11933</v>
      </c>
      <c r="C525" s="25" t="n">
        <v>2021</v>
      </c>
      <c r="D525" s="25"/>
      <c r="E525" s="25" t="s">
        <v>12662</v>
      </c>
      <c r="F525" s="25" t="s">
        <v>11935</v>
      </c>
      <c r="G525" s="28" t="s">
        <v>12663</v>
      </c>
      <c r="H525" s="25"/>
      <c r="I525" s="25"/>
      <c r="J525" s="25" t="n">
        <v>0</v>
      </c>
      <c r="K525" s="25" t="str">
        <f aca="false">IF(J525&gt;0,"Yes","No")</f>
        <v>No</v>
      </c>
    </row>
    <row r="526" customFormat="false" ht="15" hidden="false" customHeight="false" outlineLevel="0" collapsed="false">
      <c r="A526" s="25" t="s">
        <v>9764</v>
      </c>
      <c r="B526" s="25" t="s">
        <v>11138</v>
      </c>
      <c r="C526" s="25" t="n">
        <v>2019</v>
      </c>
      <c r="D526" s="25" t="s">
        <v>11139</v>
      </c>
      <c r="E526" s="25" t="s">
        <v>12664</v>
      </c>
      <c r="F526" s="25" t="s">
        <v>12665</v>
      </c>
      <c r="G526" s="28" t="s">
        <v>12666</v>
      </c>
      <c r="H526" s="25" t="n">
        <v>30978288</v>
      </c>
      <c r="I526" s="25"/>
      <c r="J526" s="25" t="n">
        <v>0</v>
      </c>
      <c r="K526" s="25" t="str">
        <f aca="false">IF(J526&gt;0,"Yes","No")</f>
        <v>No</v>
      </c>
    </row>
    <row r="527" customFormat="false" ht="15" hidden="false" customHeight="false" outlineLevel="0" collapsed="false">
      <c r="A527" s="25" t="s">
        <v>9767</v>
      </c>
      <c r="B527" s="25" t="s">
        <v>11138</v>
      </c>
      <c r="C527" s="25" t="n">
        <v>2020</v>
      </c>
      <c r="D527" s="25" t="s">
        <v>11160</v>
      </c>
      <c r="E527" s="25" t="s">
        <v>12667</v>
      </c>
      <c r="F527" s="25" t="s">
        <v>12668</v>
      </c>
      <c r="G527" s="28" t="s">
        <v>12669</v>
      </c>
      <c r="H527" s="25" t="n">
        <v>31757666</v>
      </c>
      <c r="I527" s="25"/>
      <c r="J527" s="25" t="n">
        <v>0</v>
      </c>
      <c r="K527" s="25" t="str">
        <f aca="false">IF(J527&gt;0,"Yes","No")</f>
        <v>No</v>
      </c>
    </row>
    <row r="528" customFormat="false" ht="15" hidden="false" customHeight="false" outlineLevel="0" collapsed="false">
      <c r="A528" s="25" t="s">
        <v>9770</v>
      </c>
      <c r="B528" s="25" t="s">
        <v>11138</v>
      </c>
      <c r="C528" s="25" t="n">
        <v>2020</v>
      </c>
      <c r="D528" s="25" t="s">
        <v>11139</v>
      </c>
      <c r="E528" s="25" t="s">
        <v>12670</v>
      </c>
      <c r="F528" s="25" t="s">
        <v>12671</v>
      </c>
      <c r="G528" s="28" t="s">
        <v>12672</v>
      </c>
      <c r="H528" s="25" t="n">
        <v>32429662</v>
      </c>
      <c r="I528" s="25"/>
      <c r="J528" s="25" t="n">
        <v>0</v>
      </c>
      <c r="K528" s="25" t="str">
        <f aca="false">IF(J528&gt;0,"Yes","No")</f>
        <v>No</v>
      </c>
    </row>
    <row r="529" customFormat="false" ht="15" hidden="false" customHeight="false" outlineLevel="0" collapsed="false">
      <c r="A529" s="25" t="s">
        <v>9780</v>
      </c>
      <c r="B529" s="25" t="s">
        <v>11138</v>
      </c>
      <c r="C529" s="25" t="n">
        <v>2020</v>
      </c>
      <c r="D529" s="25" t="s">
        <v>11139</v>
      </c>
      <c r="E529" s="25" t="s">
        <v>12673</v>
      </c>
      <c r="F529" s="25" t="s">
        <v>12674</v>
      </c>
      <c r="G529" s="28" t="s">
        <v>12675</v>
      </c>
      <c r="H529" s="25" t="n">
        <v>32787142</v>
      </c>
      <c r="I529" s="25"/>
      <c r="J529" s="25" t="n">
        <v>0</v>
      </c>
      <c r="K529" s="25" t="str">
        <f aca="false">IF(J529&gt;0,"Yes","No")</f>
        <v>No</v>
      </c>
    </row>
    <row r="530" customFormat="false" ht="15" hidden="false" customHeight="false" outlineLevel="0" collapsed="false">
      <c r="A530" s="25" t="s">
        <v>9794</v>
      </c>
      <c r="B530" s="25" t="s">
        <v>11138</v>
      </c>
      <c r="C530" s="25" t="n">
        <v>2020</v>
      </c>
      <c r="D530" s="25" t="s">
        <v>11160</v>
      </c>
      <c r="E530" s="25" t="s">
        <v>12676</v>
      </c>
      <c r="F530" s="25" t="s">
        <v>12677</v>
      </c>
      <c r="G530" s="28" t="s">
        <v>12678</v>
      </c>
      <c r="H530" s="25" t="n">
        <v>32527545</v>
      </c>
      <c r="I530" s="25"/>
      <c r="J530" s="25" t="n">
        <v>0</v>
      </c>
      <c r="K530" s="25" t="str">
        <f aca="false">IF(J530&gt;0,"Yes","No")</f>
        <v>No</v>
      </c>
    </row>
    <row r="531" customFormat="false" ht="15" hidden="false" customHeight="false" outlineLevel="0" collapsed="false">
      <c r="A531" s="25" t="s">
        <v>9797</v>
      </c>
      <c r="B531" s="25" t="s">
        <v>11138</v>
      </c>
      <c r="C531" s="25" t="n">
        <v>2020</v>
      </c>
      <c r="D531" s="25" t="s">
        <v>11139</v>
      </c>
      <c r="E531" s="25" t="s">
        <v>12679</v>
      </c>
      <c r="F531" s="25" t="s">
        <v>12680</v>
      </c>
      <c r="G531" s="28" t="s">
        <v>12681</v>
      </c>
      <c r="H531" s="25" t="n">
        <v>32567857</v>
      </c>
      <c r="I531" s="25"/>
      <c r="J531" s="25" t="n">
        <v>0</v>
      </c>
      <c r="K531" s="25" t="str">
        <f aca="false">IF(J531&gt;0,"Yes","No")</f>
        <v>No</v>
      </c>
    </row>
    <row r="532" customFormat="false" ht="15" hidden="false" customHeight="false" outlineLevel="0" collapsed="false">
      <c r="A532" s="25" t="s">
        <v>9800</v>
      </c>
      <c r="B532" s="25" t="s">
        <v>11138</v>
      </c>
      <c r="C532" s="25" t="n">
        <v>2020</v>
      </c>
      <c r="D532" s="25" t="s">
        <v>11139</v>
      </c>
      <c r="E532" s="25" t="s">
        <v>12682</v>
      </c>
      <c r="F532" s="25" t="s">
        <v>12683</v>
      </c>
      <c r="G532" s="28" t="s">
        <v>12684</v>
      </c>
      <c r="H532" s="25" t="n">
        <v>32787138</v>
      </c>
      <c r="I532" s="25"/>
      <c r="J532" s="25" t="n">
        <v>0</v>
      </c>
      <c r="K532" s="25" t="str">
        <f aca="false">IF(J532&gt;0,"Yes","No")</f>
        <v>No</v>
      </c>
    </row>
    <row r="533" customFormat="false" ht="15" hidden="false" customHeight="false" outlineLevel="0" collapsed="false">
      <c r="A533" s="25" t="s">
        <v>12685</v>
      </c>
      <c r="B533" s="25" t="s">
        <v>11933</v>
      </c>
      <c r="C533" s="25" t="n">
        <v>2021</v>
      </c>
      <c r="D533" s="25"/>
      <c r="E533" s="25" t="s">
        <v>12686</v>
      </c>
      <c r="F533" s="25" t="s">
        <v>11935</v>
      </c>
      <c r="G533" s="28" t="s">
        <v>12687</v>
      </c>
      <c r="H533" s="25"/>
      <c r="I533" s="25"/>
      <c r="J533" s="25" t="n">
        <v>0</v>
      </c>
      <c r="K533" s="25" t="str">
        <f aca="false">IF(J533&gt;0,"Yes","No")</f>
        <v>No</v>
      </c>
    </row>
    <row r="534" customFormat="false" ht="15" hidden="false" customHeight="false" outlineLevel="0" collapsed="false">
      <c r="A534" s="25" t="s">
        <v>10045</v>
      </c>
      <c r="B534" s="25" t="s">
        <v>11933</v>
      </c>
      <c r="C534" s="25" t="n">
        <v>2021</v>
      </c>
      <c r="D534" s="25"/>
      <c r="E534" s="25" t="s">
        <v>12688</v>
      </c>
      <c r="F534" s="25" t="s">
        <v>11935</v>
      </c>
      <c r="G534" s="28" t="s">
        <v>12689</v>
      </c>
      <c r="H534" s="25"/>
      <c r="I534" s="25"/>
      <c r="J534" s="25" t="n">
        <v>0</v>
      </c>
      <c r="K534" s="25" t="str">
        <f aca="false">IF(J534&gt;0,"Yes","No")</f>
        <v>No</v>
      </c>
    </row>
    <row r="535" customFormat="false" ht="15" hidden="false" customHeight="false" outlineLevel="0" collapsed="false">
      <c r="A535" s="25" t="s">
        <v>10047</v>
      </c>
      <c r="B535" s="25" t="s">
        <v>11933</v>
      </c>
      <c r="C535" s="25" t="n">
        <v>2021</v>
      </c>
      <c r="D535" s="25"/>
      <c r="E535" s="25" t="s">
        <v>12690</v>
      </c>
      <c r="F535" s="25" t="s">
        <v>11935</v>
      </c>
      <c r="G535" s="28" t="s">
        <v>12691</v>
      </c>
      <c r="H535" s="25"/>
      <c r="I535" s="25"/>
      <c r="J535" s="25" t="n">
        <v>0</v>
      </c>
      <c r="K535" s="25" t="str">
        <f aca="false">IF(J535&gt;0,"Yes","No")</f>
        <v>No</v>
      </c>
    </row>
    <row r="536" customFormat="false" ht="15" hidden="false" customHeight="false" outlineLevel="0" collapsed="false">
      <c r="A536" s="25" t="s">
        <v>10399</v>
      </c>
      <c r="B536" s="25" t="s">
        <v>11933</v>
      </c>
      <c r="C536" s="25" t="n">
        <v>2021</v>
      </c>
      <c r="D536" s="25"/>
      <c r="E536" s="25" t="s">
        <v>12692</v>
      </c>
      <c r="F536" s="25" t="s">
        <v>11935</v>
      </c>
      <c r="G536" s="28" t="s">
        <v>12693</v>
      </c>
      <c r="H536" s="25"/>
      <c r="I536" s="25"/>
      <c r="J536" s="25" t="n">
        <v>0</v>
      </c>
      <c r="K536" s="25" t="str">
        <f aca="false">IF(J536&gt;0,"Yes","No")</f>
        <v>No</v>
      </c>
    </row>
    <row r="537" customFormat="false" ht="15" hidden="false" customHeight="false" outlineLevel="0" collapsed="false">
      <c r="A537" s="25" t="s">
        <v>10395</v>
      </c>
      <c r="B537" s="25" t="s">
        <v>11933</v>
      </c>
      <c r="C537" s="25" t="n">
        <v>2021</v>
      </c>
      <c r="D537" s="25"/>
      <c r="E537" s="25" t="s">
        <v>12694</v>
      </c>
      <c r="F537" s="25" t="s">
        <v>11935</v>
      </c>
      <c r="G537" s="28" t="s">
        <v>12695</v>
      </c>
      <c r="H537" s="25"/>
      <c r="I537" s="25"/>
      <c r="J537" s="25" t="n">
        <v>0</v>
      </c>
      <c r="K537" s="25" t="str">
        <f aca="false">IF(J537&gt;0,"Yes","No")</f>
        <v>No</v>
      </c>
    </row>
    <row r="538" customFormat="false" ht="15" hidden="false" customHeight="false" outlineLevel="0" collapsed="false">
      <c r="A538" s="25" t="s">
        <v>10397</v>
      </c>
      <c r="B538" s="25" t="s">
        <v>11933</v>
      </c>
      <c r="C538" s="25" t="n">
        <v>2021</v>
      </c>
      <c r="D538" s="25"/>
      <c r="E538" s="25" t="s">
        <v>12696</v>
      </c>
      <c r="F538" s="25" t="s">
        <v>11935</v>
      </c>
      <c r="G538" s="28" t="s">
        <v>12697</v>
      </c>
      <c r="H538" s="25"/>
      <c r="I538" s="25"/>
      <c r="J538" s="25" t="n">
        <v>0</v>
      </c>
      <c r="K538" s="25" t="str">
        <f aca="false">IF(J538&gt;0,"Yes","No")</f>
        <v>No</v>
      </c>
    </row>
    <row r="539" customFormat="false" ht="15" hidden="false" customHeight="false" outlineLevel="0" collapsed="false">
      <c r="A539" s="25" t="s">
        <v>9803</v>
      </c>
      <c r="B539" s="25" t="s">
        <v>11138</v>
      </c>
      <c r="C539" s="25" t="n">
        <v>2020</v>
      </c>
      <c r="D539" s="25" t="s">
        <v>11167</v>
      </c>
      <c r="E539" s="25" t="s">
        <v>12698</v>
      </c>
      <c r="F539" s="25" t="s">
        <v>12699</v>
      </c>
      <c r="G539" s="28" t="s">
        <v>12700</v>
      </c>
      <c r="H539" s="25" t="n">
        <v>33335674</v>
      </c>
      <c r="I539" s="25"/>
      <c r="J539" s="25" t="n">
        <v>0</v>
      </c>
      <c r="K539" s="25" t="str">
        <f aca="false">IF(J539&gt;0,"Yes","No")</f>
        <v>No</v>
      </c>
    </row>
    <row r="540" customFormat="false" ht="15" hidden="false" customHeight="false" outlineLevel="0" collapsed="false">
      <c r="A540" s="25" t="s">
        <v>9806</v>
      </c>
      <c r="B540" s="25" t="s">
        <v>11138</v>
      </c>
      <c r="C540" s="25" t="n">
        <v>2020</v>
      </c>
      <c r="D540" s="25" t="s">
        <v>11155</v>
      </c>
      <c r="E540" s="25" t="s">
        <v>12701</v>
      </c>
      <c r="F540" s="25" t="s">
        <v>12702</v>
      </c>
      <c r="G540" s="28" t="s">
        <v>12703</v>
      </c>
      <c r="H540" s="25" t="n">
        <v>31945644</v>
      </c>
      <c r="I540" s="25"/>
      <c r="J540" s="25" t="n">
        <v>0</v>
      </c>
      <c r="K540" s="25" t="str">
        <f aca="false">IF(J540&gt;0,"Yes","No")</f>
        <v>No</v>
      </c>
    </row>
    <row r="541" customFormat="false" ht="15" hidden="false" customHeight="false" outlineLevel="0" collapsed="false">
      <c r="A541" s="25" t="s">
        <v>9821</v>
      </c>
      <c r="B541" s="25" t="s">
        <v>11138</v>
      </c>
      <c r="C541" s="25" t="n">
        <v>2020</v>
      </c>
      <c r="D541" s="25" t="s">
        <v>11139</v>
      </c>
      <c r="E541" s="25" t="s">
        <v>12704</v>
      </c>
      <c r="F541" s="25" t="s">
        <v>12705</v>
      </c>
      <c r="G541" s="28" t="s">
        <v>12706</v>
      </c>
      <c r="H541" s="25" t="n">
        <v>33079544</v>
      </c>
      <c r="I541" s="25"/>
      <c r="J541" s="25" t="n">
        <v>0</v>
      </c>
      <c r="K541" s="25" t="str">
        <f aca="false">IF(J541&gt;0,"Yes","No")</f>
        <v>No</v>
      </c>
    </row>
    <row r="542" customFormat="false" ht="15" hidden="false" customHeight="false" outlineLevel="0" collapsed="false">
      <c r="A542" s="25" t="s">
        <v>9826</v>
      </c>
      <c r="B542" s="25" t="s">
        <v>11138</v>
      </c>
      <c r="C542" s="25" t="n">
        <v>2019</v>
      </c>
      <c r="D542" s="25" t="s">
        <v>11139</v>
      </c>
      <c r="E542" s="25" t="s">
        <v>12707</v>
      </c>
      <c r="F542" s="25" t="s">
        <v>12708</v>
      </c>
      <c r="G542" s="28" t="s">
        <v>12709</v>
      </c>
      <c r="H542" s="25" t="n">
        <v>30721053</v>
      </c>
      <c r="I542" s="25"/>
      <c r="J542" s="25" t="n">
        <v>0</v>
      </c>
      <c r="K542" s="25" t="str">
        <f aca="false">IF(J542&gt;0,"Yes","No")</f>
        <v>No</v>
      </c>
    </row>
    <row r="543" customFormat="false" ht="15" hidden="false" customHeight="false" outlineLevel="0" collapsed="false">
      <c r="A543" s="25" t="s">
        <v>9829</v>
      </c>
      <c r="B543" s="25" t="s">
        <v>11138</v>
      </c>
      <c r="C543" s="25" t="n">
        <v>2020</v>
      </c>
      <c r="D543" s="25" t="s">
        <v>11155</v>
      </c>
      <c r="E543" s="25" t="s">
        <v>12710</v>
      </c>
      <c r="F543" s="25" t="s">
        <v>12711</v>
      </c>
      <c r="G543" s="28" t="s">
        <v>12712</v>
      </c>
      <c r="H543" s="25" t="n">
        <v>32682199</v>
      </c>
      <c r="I543" s="25"/>
      <c r="J543" s="25" t="n">
        <v>0</v>
      </c>
      <c r="K543" s="25" t="str">
        <f aca="false">IF(J543&gt;0,"Yes","No")</f>
        <v>No</v>
      </c>
    </row>
    <row r="544" customFormat="false" ht="15" hidden="false" customHeight="false" outlineLevel="0" collapsed="false">
      <c r="A544" s="25" t="s">
        <v>9834</v>
      </c>
      <c r="B544" s="25" t="s">
        <v>11138</v>
      </c>
      <c r="C544" s="25" t="n">
        <v>2020</v>
      </c>
      <c r="D544" s="25" t="s">
        <v>11155</v>
      </c>
      <c r="E544" s="25" t="s">
        <v>12713</v>
      </c>
      <c r="F544" s="25" t="s">
        <v>12714</v>
      </c>
      <c r="G544" s="28" t="s">
        <v>12715</v>
      </c>
      <c r="H544" s="25" t="n">
        <v>32698110</v>
      </c>
      <c r="I544" s="25"/>
      <c r="J544" s="25" t="n">
        <v>0</v>
      </c>
      <c r="K544" s="25" t="str">
        <f aca="false">IF(J544&gt;0,"Yes","No")</f>
        <v>No</v>
      </c>
    </row>
    <row r="545" customFormat="false" ht="15" hidden="false" customHeight="false" outlineLevel="0" collapsed="false">
      <c r="A545" s="25" t="s">
        <v>9881</v>
      </c>
      <c r="B545" s="25" t="s">
        <v>11138</v>
      </c>
      <c r="C545" s="25" t="n">
        <v>2016</v>
      </c>
      <c r="D545" s="25" t="s">
        <v>11167</v>
      </c>
      <c r="E545" s="25" t="s">
        <v>12716</v>
      </c>
      <c r="F545" s="25" t="s">
        <v>12717</v>
      </c>
      <c r="G545" s="28" t="s">
        <v>12718</v>
      </c>
      <c r="H545" s="25" t="n">
        <v>28824746</v>
      </c>
      <c r="I545" s="25"/>
      <c r="J545" s="25" t="n">
        <v>0</v>
      </c>
      <c r="K545" s="25" t="str">
        <f aca="false">IF(J545&gt;0,"Yes","No")</f>
        <v>No</v>
      </c>
    </row>
    <row r="546" customFormat="false" ht="15" hidden="false" customHeight="false" outlineLevel="0" collapsed="false">
      <c r="A546" s="25" t="s">
        <v>9900</v>
      </c>
      <c r="B546" s="25" t="s">
        <v>11138</v>
      </c>
      <c r="C546" s="25" t="n">
        <v>2020</v>
      </c>
      <c r="D546" s="25" t="s">
        <v>11167</v>
      </c>
      <c r="E546" s="25" t="s">
        <v>12719</v>
      </c>
      <c r="F546" s="25" t="s">
        <v>12720</v>
      </c>
      <c r="G546" s="28" t="s">
        <v>12721</v>
      </c>
      <c r="H546" s="25" t="n">
        <v>33062188</v>
      </c>
      <c r="I546" s="25"/>
      <c r="J546" s="25" t="n">
        <v>0</v>
      </c>
      <c r="K546" s="25" t="str">
        <f aca="false">IF(J546&gt;0,"Yes","No")</f>
        <v>No</v>
      </c>
    </row>
    <row r="547" customFormat="false" ht="15" hidden="false" customHeight="false" outlineLevel="0" collapsed="false">
      <c r="A547" s="25" t="s">
        <v>9905</v>
      </c>
      <c r="B547" s="25" t="s">
        <v>11138</v>
      </c>
      <c r="C547" s="25" t="n">
        <v>2021</v>
      </c>
      <c r="D547" s="25" t="s">
        <v>11155</v>
      </c>
      <c r="E547" s="25" t="s">
        <v>12722</v>
      </c>
      <c r="F547" s="25" t="s">
        <v>12723</v>
      </c>
      <c r="G547" s="28" t="s">
        <v>12724</v>
      </c>
      <c r="H547" s="25" t="n">
        <v>33045662</v>
      </c>
      <c r="I547" s="25"/>
      <c r="J547" s="25" t="n">
        <v>0</v>
      </c>
      <c r="K547" s="25" t="str">
        <f aca="false">IF(J547&gt;0,"Yes","No")</f>
        <v>No</v>
      </c>
    </row>
    <row r="548" customFormat="false" ht="15" hidden="false" customHeight="false" outlineLevel="0" collapsed="false">
      <c r="A548" s="25" t="s">
        <v>9921</v>
      </c>
      <c r="B548" s="25" t="s">
        <v>11138</v>
      </c>
      <c r="C548" s="25" t="n">
        <v>2020</v>
      </c>
      <c r="D548" s="25" t="s">
        <v>11155</v>
      </c>
      <c r="E548" s="25" t="s">
        <v>12725</v>
      </c>
      <c r="F548" s="25" t="s">
        <v>12726</v>
      </c>
      <c r="G548" s="28" t="s">
        <v>12727</v>
      </c>
      <c r="H548" s="25" t="n">
        <v>32087465</v>
      </c>
      <c r="I548" s="25"/>
      <c r="J548" s="25" t="n">
        <v>0</v>
      </c>
      <c r="K548" s="25" t="str">
        <f aca="false">IF(J548&gt;0,"Yes","No")</f>
        <v>No</v>
      </c>
    </row>
    <row r="549" customFormat="false" ht="15" hidden="false" customHeight="false" outlineLevel="0" collapsed="false">
      <c r="A549" s="25" t="s">
        <v>9924</v>
      </c>
      <c r="B549" s="25" t="s">
        <v>11138</v>
      </c>
      <c r="C549" s="25" t="n">
        <v>2021</v>
      </c>
      <c r="D549" s="25" t="s">
        <v>11139</v>
      </c>
      <c r="E549" s="25" t="s">
        <v>12728</v>
      </c>
      <c r="F549" s="25" t="s">
        <v>12729</v>
      </c>
      <c r="G549" s="28" t="s">
        <v>12730</v>
      </c>
      <c r="H549" s="25" t="n">
        <v>33382613</v>
      </c>
      <c r="I549" s="25"/>
      <c r="J549" s="25" t="n">
        <v>0</v>
      </c>
      <c r="K549" s="25" t="str">
        <f aca="false">IF(J549&gt;0,"Yes","No")</f>
        <v>No</v>
      </c>
    </row>
    <row r="550" customFormat="false" ht="15" hidden="false" customHeight="false" outlineLevel="0" collapsed="false">
      <c r="A550" s="25" t="s">
        <v>10059</v>
      </c>
      <c r="B550" s="25" t="s">
        <v>11933</v>
      </c>
      <c r="C550" s="25" t="n">
        <v>2021</v>
      </c>
      <c r="D550" s="25"/>
      <c r="E550" s="25" t="s">
        <v>12731</v>
      </c>
      <c r="F550" s="25" t="s">
        <v>11935</v>
      </c>
      <c r="G550" s="28" t="s">
        <v>12732</v>
      </c>
      <c r="H550" s="25"/>
      <c r="I550" s="25"/>
      <c r="J550" s="25" t="n">
        <v>0</v>
      </c>
      <c r="K550" s="25" t="str">
        <f aca="false">IF(J550&gt;0,"Yes","No")</f>
        <v>No</v>
      </c>
    </row>
    <row r="551" customFormat="false" ht="15" hidden="false" customHeight="false" outlineLevel="0" collapsed="false">
      <c r="A551" s="25" t="s">
        <v>10061</v>
      </c>
      <c r="B551" s="25" t="s">
        <v>11933</v>
      </c>
      <c r="C551" s="25" t="n">
        <v>2021</v>
      </c>
      <c r="D551" s="25"/>
      <c r="E551" s="25" t="s">
        <v>12733</v>
      </c>
      <c r="F551" s="25" t="s">
        <v>11935</v>
      </c>
      <c r="G551" s="28" t="s">
        <v>12734</v>
      </c>
      <c r="H551" s="25"/>
      <c r="I551" s="25"/>
      <c r="J551" s="25" t="n">
        <v>0</v>
      </c>
      <c r="K551" s="25" t="str">
        <f aca="false">IF(J551&gt;0,"Yes","No")</f>
        <v>No</v>
      </c>
    </row>
    <row r="552" customFormat="false" ht="15" hidden="false" customHeight="false" outlineLevel="0" collapsed="false">
      <c r="A552" s="25" t="s">
        <v>10050</v>
      </c>
      <c r="B552" s="25" t="s">
        <v>11933</v>
      </c>
      <c r="C552" s="25" t="n">
        <v>2021</v>
      </c>
      <c r="D552" s="25"/>
      <c r="E552" s="25" t="s">
        <v>12735</v>
      </c>
      <c r="F552" s="25" t="s">
        <v>11935</v>
      </c>
      <c r="G552" s="28" t="s">
        <v>12736</v>
      </c>
      <c r="H552" s="25"/>
      <c r="I552" s="25"/>
      <c r="J552" s="25" t="n">
        <v>0</v>
      </c>
      <c r="K552" s="25" t="str">
        <f aca="false">IF(J552&gt;0,"Yes","No")</f>
        <v>No</v>
      </c>
    </row>
    <row r="553" customFormat="false" ht="15" hidden="false" customHeight="false" outlineLevel="0" collapsed="false">
      <c r="A553" s="25" t="s">
        <v>12737</v>
      </c>
      <c r="B553" s="25" t="s">
        <v>11933</v>
      </c>
      <c r="C553" s="25" t="n">
        <v>2021</v>
      </c>
      <c r="D553" s="25"/>
      <c r="E553" s="25" t="s">
        <v>12738</v>
      </c>
      <c r="F553" s="25" t="s">
        <v>11935</v>
      </c>
      <c r="G553" s="28" t="s">
        <v>12739</v>
      </c>
      <c r="H553" s="25"/>
      <c r="I553" s="25"/>
      <c r="J553" s="25" t="n">
        <v>0</v>
      </c>
      <c r="K553" s="25" t="str">
        <f aca="false">IF(J553&gt;0,"Yes","No")</f>
        <v>No</v>
      </c>
    </row>
    <row r="554" customFormat="false" ht="15" hidden="false" customHeight="false" outlineLevel="0" collapsed="false">
      <c r="A554" s="25" t="s">
        <v>9944</v>
      </c>
      <c r="B554" s="25" t="s">
        <v>11138</v>
      </c>
      <c r="C554" s="25" t="n">
        <v>2021</v>
      </c>
      <c r="D554" s="25" t="s">
        <v>11139</v>
      </c>
      <c r="E554" s="25" t="s">
        <v>12740</v>
      </c>
      <c r="F554" s="25" t="s">
        <v>12741</v>
      </c>
      <c r="G554" s="28" t="s">
        <v>12742</v>
      </c>
      <c r="H554" s="25" t="n">
        <v>34328319</v>
      </c>
      <c r="I554" s="25"/>
      <c r="J554" s="25" t="n">
        <v>0</v>
      </c>
      <c r="K554" s="25" t="str">
        <f aca="false">IF(J554&gt;0,"Yes","No")</f>
        <v>No</v>
      </c>
    </row>
    <row r="555" customFormat="false" ht="15" hidden="false" customHeight="false" outlineLevel="0" collapsed="false">
      <c r="A555" s="25" t="s">
        <v>9947</v>
      </c>
      <c r="B555" s="25" t="s">
        <v>11138</v>
      </c>
      <c r="C555" s="25" t="n">
        <v>2021</v>
      </c>
      <c r="D555" s="25" t="s">
        <v>11155</v>
      </c>
      <c r="E555" s="25" t="s">
        <v>12743</v>
      </c>
      <c r="F555" s="25" t="s">
        <v>12744</v>
      </c>
      <c r="G555" s="28" t="s">
        <v>12745</v>
      </c>
      <c r="H555" s="25" t="n">
        <v>33360803</v>
      </c>
      <c r="I555" s="25"/>
      <c r="J555" s="25" t="n">
        <v>0</v>
      </c>
      <c r="K555" s="25" t="str">
        <f aca="false">IF(J555&gt;0,"Yes","No")</f>
        <v>No</v>
      </c>
    </row>
    <row r="556" customFormat="false" ht="15" hidden="false" customHeight="false" outlineLevel="0" collapsed="false">
      <c r="A556" s="25" t="s">
        <v>9976</v>
      </c>
      <c r="B556" s="25" t="s">
        <v>11138</v>
      </c>
      <c r="C556" s="25" t="n">
        <v>2021</v>
      </c>
      <c r="D556" s="25" t="s">
        <v>11526</v>
      </c>
      <c r="E556" s="25" t="s">
        <v>12746</v>
      </c>
      <c r="F556" s="25" t="s">
        <v>12747</v>
      </c>
      <c r="G556" s="28" t="s">
        <v>12748</v>
      </c>
      <c r="H556" s="25" t="n">
        <v>33734684</v>
      </c>
      <c r="I556" s="25"/>
      <c r="J556" s="25" t="n">
        <v>0</v>
      </c>
      <c r="K556" s="25" t="str">
        <f aca="false">IF(J556&gt;0,"Yes","No")</f>
        <v>No</v>
      </c>
    </row>
    <row r="557" customFormat="false" ht="15" hidden="false" customHeight="false" outlineLevel="0" collapsed="false">
      <c r="A557" s="25" t="s">
        <v>9987</v>
      </c>
      <c r="B557" s="25" t="s">
        <v>11138</v>
      </c>
      <c r="C557" s="25" t="n">
        <v>2021</v>
      </c>
      <c r="D557" s="25" t="s">
        <v>11167</v>
      </c>
      <c r="E557" s="25" t="s">
        <v>12749</v>
      </c>
      <c r="F557" s="25" t="s">
        <v>12717</v>
      </c>
      <c r="G557" s="28" t="s">
        <v>12750</v>
      </c>
      <c r="H557" s="25" t="n">
        <v>34413936</v>
      </c>
      <c r="I557" s="25"/>
      <c r="J557" s="25" t="n">
        <v>0</v>
      </c>
      <c r="K557" s="25" t="str">
        <f aca="false">IF(J557&gt;0,"Yes","No")</f>
        <v>No</v>
      </c>
    </row>
    <row r="558" customFormat="false" ht="15" hidden="false" customHeight="false" outlineLevel="0" collapsed="false">
      <c r="A558" s="25" t="s">
        <v>9992</v>
      </c>
      <c r="B558" s="25" t="s">
        <v>11138</v>
      </c>
      <c r="C558" s="25" t="n">
        <v>2021</v>
      </c>
      <c r="D558" s="25" t="s">
        <v>11139</v>
      </c>
      <c r="E558" s="25" t="s">
        <v>12751</v>
      </c>
      <c r="F558" s="25" t="s">
        <v>12752</v>
      </c>
      <c r="G558" s="28" t="s">
        <v>12753</v>
      </c>
      <c r="H558" s="25" t="n">
        <v>33900772</v>
      </c>
      <c r="I558" s="25"/>
      <c r="J558" s="25" t="n">
        <v>0</v>
      </c>
      <c r="K558" s="25" t="str">
        <f aca="false">IF(J558&gt;0,"Yes","No")</f>
        <v>No</v>
      </c>
    </row>
    <row r="559" customFormat="false" ht="15" hidden="false" customHeight="false" outlineLevel="0" collapsed="false">
      <c r="A559" s="25" t="s">
        <v>9996</v>
      </c>
      <c r="B559" s="25" t="s">
        <v>11138</v>
      </c>
      <c r="C559" s="25" t="n">
        <v>2021</v>
      </c>
      <c r="D559" s="25" t="s">
        <v>11200</v>
      </c>
      <c r="E559" s="25" t="s">
        <v>12754</v>
      </c>
      <c r="F559" s="25" t="s">
        <v>12755</v>
      </c>
      <c r="G559" s="28" t="s">
        <v>12756</v>
      </c>
      <c r="H559" s="25" t="n">
        <v>34015703</v>
      </c>
      <c r="I559" s="25"/>
      <c r="J559" s="25" t="n">
        <v>0</v>
      </c>
      <c r="K559" s="25" t="str">
        <f aca="false">IF(J559&gt;0,"Yes","No")</f>
        <v>No</v>
      </c>
    </row>
    <row r="560" customFormat="false" ht="15" hidden="false" customHeight="false" outlineLevel="0" collapsed="false">
      <c r="A560" s="25" t="s">
        <v>10063</v>
      </c>
      <c r="B560" s="25" t="s">
        <v>11138</v>
      </c>
      <c r="C560" s="25" t="n">
        <v>2021</v>
      </c>
      <c r="D560" s="25" t="s">
        <v>11139</v>
      </c>
      <c r="E560" s="25" t="s">
        <v>12757</v>
      </c>
      <c r="F560" s="25" t="s">
        <v>12758</v>
      </c>
      <c r="G560" s="28" t="s">
        <v>12759</v>
      </c>
      <c r="H560" s="25" t="n">
        <v>34161094</v>
      </c>
      <c r="I560" s="25"/>
      <c r="J560" s="25" t="n">
        <v>0</v>
      </c>
      <c r="K560" s="25" t="str">
        <f aca="false">IF(J560&gt;0,"Yes","No")</f>
        <v>No</v>
      </c>
    </row>
    <row r="561" customFormat="false" ht="15" hidden="false" customHeight="false" outlineLevel="0" collapsed="false">
      <c r="A561" s="25" t="s">
        <v>10072</v>
      </c>
      <c r="B561" s="25" t="s">
        <v>11138</v>
      </c>
      <c r="C561" s="25" t="n">
        <v>2022</v>
      </c>
      <c r="D561" s="25" t="s">
        <v>11139</v>
      </c>
      <c r="E561" s="25" t="s">
        <v>12760</v>
      </c>
      <c r="F561" s="25" t="s">
        <v>12761</v>
      </c>
      <c r="G561" s="28" t="s">
        <v>12762</v>
      </c>
      <c r="H561" s="25" t="n">
        <v>34929081</v>
      </c>
      <c r="I561" s="25"/>
      <c r="J561" s="25" t="n">
        <v>0</v>
      </c>
      <c r="K561" s="25" t="str">
        <f aca="false">IF(J561&gt;0,"Yes","No")</f>
        <v>No</v>
      </c>
    </row>
    <row r="562" customFormat="false" ht="15" hidden="false" customHeight="false" outlineLevel="0" collapsed="false">
      <c r="A562" s="25" t="s">
        <v>10077</v>
      </c>
      <c r="B562" s="25" t="s">
        <v>11152</v>
      </c>
      <c r="C562" s="25" t="n">
        <v>2020</v>
      </c>
      <c r="D562" s="25"/>
      <c r="E562" s="25" t="s">
        <v>12763</v>
      </c>
      <c r="F562" s="25"/>
      <c r="G562" s="25"/>
      <c r="H562" s="25"/>
      <c r="I562" s="25" t="s">
        <v>12764</v>
      </c>
      <c r="J562" s="25" t="n">
        <v>0</v>
      </c>
      <c r="K562" s="25" t="str">
        <f aca="false">IF(J562&gt;0,"Yes","No")</f>
        <v>No</v>
      </c>
    </row>
    <row r="563" customFormat="false" ht="15" hidden="false" customHeight="false" outlineLevel="0" collapsed="false">
      <c r="A563" s="25" t="s">
        <v>10081</v>
      </c>
      <c r="B563" s="25" t="s">
        <v>11138</v>
      </c>
      <c r="C563" s="25" t="n">
        <v>2021</v>
      </c>
      <c r="D563" s="25" t="s">
        <v>11139</v>
      </c>
      <c r="E563" s="25" t="s">
        <v>12765</v>
      </c>
      <c r="F563" s="25" t="s">
        <v>12766</v>
      </c>
      <c r="G563" s="28" t="s">
        <v>12767</v>
      </c>
      <c r="H563" s="25" t="n">
        <v>34477367</v>
      </c>
      <c r="I563" s="25"/>
      <c r="J563" s="25" t="n">
        <v>0</v>
      </c>
      <c r="K563" s="25" t="str">
        <f aca="false">IF(J563&gt;0,"Yes","No")</f>
        <v>No</v>
      </c>
    </row>
    <row r="564" customFormat="false" ht="15" hidden="false" customHeight="false" outlineLevel="0" collapsed="false">
      <c r="A564" s="25" t="s">
        <v>10086</v>
      </c>
      <c r="B564" s="25" t="s">
        <v>11933</v>
      </c>
      <c r="C564" s="25" t="n">
        <v>2022</v>
      </c>
      <c r="D564" s="25"/>
      <c r="E564" s="25" t="s">
        <v>12768</v>
      </c>
      <c r="F564" s="25" t="s">
        <v>11935</v>
      </c>
      <c r="G564" s="28" t="s">
        <v>12769</v>
      </c>
      <c r="H564" s="25"/>
      <c r="I564" s="25"/>
      <c r="J564" s="25" t="n">
        <v>0</v>
      </c>
      <c r="K564" s="25" t="str">
        <f aca="false">IF(J564&gt;0,"Yes","No")</f>
        <v>No</v>
      </c>
    </row>
    <row r="565" customFormat="false" ht="15" hidden="false" customHeight="false" outlineLevel="0" collapsed="false">
      <c r="A565" s="25" t="s">
        <v>10089</v>
      </c>
      <c r="B565" s="25" t="s">
        <v>11933</v>
      </c>
      <c r="C565" s="25" t="n">
        <v>2022</v>
      </c>
      <c r="D565" s="25"/>
      <c r="E565" s="25" t="s">
        <v>12770</v>
      </c>
      <c r="F565" s="25" t="s">
        <v>11935</v>
      </c>
      <c r="G565" s="28" t="s">
        <v>12771</v>
      </c>
      <c r="H565" s="25"/>
      <c r="I565" s="25"/>
      <c r="J565" s="25" t="n">
        <v>0</v>
      </c>
      <c r="K565" s="25" t="str">
        <f aca="false">IF(J565&gt;0,"Yes","No")</f>
        <v>No</v>
      </c>
    </row>
    <row r="566" customFormat="false" ht="15" hidden="false" customHeight="false" outlineLevel="0" collapsed="false">
      <c r="A566" s="25" t="s">
        <v>12772</v>
      </c>
      <c r="B566" s="25" t="s">
        <v>11933</v>
      </c>
      <c r="C566" s="25" t="n">
        <v>2022</v>
      </c>
      <c r="D566" s="25"/>
      <c r="E566" s="25" t="s">
        <v>12773</v>
      </c>
      <c r="F566" s="25" t="s">
        <v>11935</v>
      </c>
      <c r="G566" s="28" t="s">
        <v>12774</v>
      </c>
      <c r="H566" s="25"/>
      <c r="I566" s="25"/>
      <c r="J566" s="25" t="n">
        <v>0</v>
      </c>
      <c r="K566" s="25" t="str">
        <f aca="false">IF(J566&gt;0,"Yes","No")</f>
        <v>No</v>
      </c>
    </row>
    <row r="567" customFormat="false" ht="15" hidden="false" customHeight="false" outlineLevel="0" collapsed="false">
      <c r="A567" s="25" t="s">
        <v>10106</v>
      </c>
      <c r="B567" s="25" t="s">
        <v>11138</v>
      </c>
      <c r="C567" s="25" t="n">
        <v>2021</v>
      </c>
      <c r="D567" s="25" t="s">
        <v>11139</v>
      </c>
      <c r="E567" s="25" t="s">
        <v>12775</v>
      </c>
      <c r="F567" s="25" t="s">
        <v>12776</v>
      </c>
      <c r="G567" s="28" t="s">
        <v>12777</v>
      </c>
      <c r="H567" s="25" t="n">
        <v>34161090</v>
      </c>
      <c r="I567" s="25"/>
      <c r="J567" s="25" t="n">
        <v>0</v>
      </c>
      <c r="K567" s="25" t="str">
        <f aca="false">IF(J567&gt;0,"Yes","No")</f>
        <v>No</v>
      </c>
    </row>
    <row r="568" customFormat="false" ht="15" hidden="false" customHeight="false" outlineLevel="0" collapsed="false">
      <c r="A568" s="25" t="s">
        <v>10303</v>
      </c>
      <c r="B568" s="25" t="s">
        <v>11138</v>
      </c>
      <c r="C568" s="25" t="n">
        <v>2022</v>
      </c>
      <c r="D568" s="25" t="s">
        <v>11167</v>
      </c>
      <c r="E568" s="25" t="s">
        <v>12778</v>
      </c>
      <c r="F568" s="25" t="s">
        <v>12779</v>
      </c>
      <c r="G568" s="28" t="s">
        <v>12780</v>
      </c>
      <c r="H568" s="25" t="n">
        <v>36518701</v>
      </c>
      <c r="I568" s="25"/>
      <c r="J568" s="25" t="n">
        <v>0</v>
      </c>
      <c r="K568" s="25" t="str">
        <f aca="false">IF(J568&gt;0,"Yes","No")</f>
        <v>No</v>
      </c>
    </row>
    <row r="569" customFormat="false" ht="15" hidden="false" customHeight="false" outlineLevel="0" collapsed="false">
      <c r="A569" s="25" t="s">
        <v>10310</v>
      </c>
      <c r="B569" s="25" t="s">
        <v>11138</v>
      </c>
      <c r="C569" s="25" t="n">
        <v>2021</v>
      </c>
      <c r="D569" s="25" t="s">
        <v>11275</v>
      </c>
      <c r="E569" s="25" t="s">
        <v>12781</v>
      </c>
      <c r="F569" s="25" t="s">
        <v>12782</v>
      </c>
      <c r="G569" s="28" t="s">
        <v>12783</v>
      </c>
      <c r="H569" s="25" t="n">
        <v>34825187</v>
      </c>
      <c r="I569" s="25"/>
      <c r="J569" s="25" t="n">
        <v>0</v>
      </c>
      <c r="K569" s="25" t="str">
        <f aca="false">IF(J569&gt;0,"Yes","No")</f>
        <v>No</v>
      </c>
    </row>
    <row r="570" customFormat="false" ht="15" hidden="false" customHeight="false" outlineLevel="0" collapsed="false">
      <c r="A570" s="25" t="s">
        <v>10327</v>
      </c>
      <c r="B570" s="25" t="s">
        <v>11138</v>
      </c>
      <c r="C570" s="25" t="n">
        <v>2022</v>
      </c>
      <c r="D570" s="25" t="s">
        <v>11155</v>
      </c>
      <c r="E570" s="25" t="s">
        <v>12784</v>
      </c>
      <c r="F570" s="25" t="s">
        <v>12785</v>
      </c>
      <c r="G570" s="28" t="s">
        <v>12786</v>
      </c>
      <c r="H570" s="25" t="n">
        <v>35961067</v>
      </c>
      <c r="I570" s="25"/>
      <c r="J570" s="25" t="n">
        <v>0</v>
      </c>
      <c r="K570" s="25" t="str">
        <f aca="false">IF(J570&gt;0,"Yes","No")</f>
        <v>No</v>
      </c>
    </row>
    <row r="571" customFormat="false" ht="15" hidden="false" customHeight="false" outlineLevel="0" collapsed="false">
      <c r="A571" s="25" t="s">
        <v>10330</v>
      </c>
      <c r="B571" s="25" t="s">
        <v>11138</v>
      </c>
      <c r="C571" s="25" t="n">
        <v>2022</v>
      </c>
      <c r="D571" s="25" t="s">
        <v>11275</v>
      </c>
      <c r="E571" s="25" t="s">
        <v>12787</v>
      </c>
      <c r="F571" s="25" t="s">
        <v>12788</v>
      </c>
      <c r="G571" s="28" t="s">
        <v>12789</v>
      </c>
      <c r="H571" s="25" t="n">
        <v>36092149</v>
      </c>
      <c r="I571" s="25"/>
      <c r="J571" s="25" t="n">
        <v>0</v>
      </c>
      <c r="K571" s="25" t="str">
        <f aca="false">IF(J571&gt;0,"Yes","No")</f>
        <v>No</v>
      </c>
    </row>
    <row r="572" customFormat="false" ht="15" hidden="false" customHeight="false" outlineLevel="0" collapsed="false">
      <c r="A572" s="25" t="s">
        <v>10335</v>
      </c>
      <c r="B572" s="25" t="s">
        <v>11138</v>
      </c>
      <c r="C572" s="25" t="n">
        <v>2022</v>
      </c>
      <c r="D572" s="25" t="s">
        <v>11160</v>
      </c>
      <c r="E572" s="25" t="s">
        <v>12790</v>
      </c>
      <c r="F572" s="25" t="s">
        <v>12791</v>
      </c>
      <c r="G572" s="28" t="s">
        <v>12792</v>
      </c>
      <c r="H572" s="25" t="n">
        <v>34896213</v>
      </c>
      <c r="I572" s="25"/>
      <c r="J572" s="25" t="n">
        <v>0</v>
      </c>
      <c r="K572" s="25" t="str">
        <f aca="false">IF(J572&gt;0,"Yes","No")</f>
        <v>No</v>
      </c>
    </row>
    <row r="573" customFormat="false" ht="15" hidden="false" customHeight="false" outlineLevel="0" collapsed="false">
      <c r="A573" s="25" t="s">
        <v>10360</v>
      </c>
      <c r="B573" s="25" t="s">
        <v>11138</v>
      </c>
      <c r="C573" s="25" t="n">
        <v>2022</v>
      </c>
      <c r="D573" s="25" t="s">
        <v>11155</v>
      </c>
      <c r="E573" s="25" t="s">
        <v>12793</v>
      </c>
      <c r="F573" s="25" t="s">
        <v>12794</v>
      </c>
      <c r="G573" s="28" t="s">
        <v>12795</v>
      </c>
      <c r="H573" s="25" t="n">
        <v>35397400</v>
      </c>
      <c r="I573" s="25"/>
      <c r="J573" s="25" t="n">
        <v>0</v>
      </c>
      <c r="K573" s="25" t="str">
        <f aca="false">IF(J573&gt;0,"Yes","No")</f>
        <v>No</v>
      </c>
    </row>
    <row r="574" customFormat="false" ht="15" hidden="false" customHeight="false" outlineLevel="0" collapsed="false">
      <c r="A574" s="25" t="s">
        <v>10365</v>
      </c>
      <c r="B574" s="25" t="s">
        <v>11138</v>
      </c>
      <c r="C574" s="25" t="n">
        <v>2022</v>
      </c>
      <c r="D574" s="25" t="s">
        <v>11139</v>
      </c>
      <c r="E574" s="25" t="s">
        <v>12796</v>
      </c>
      <c r="F574" s="25" t="s">
        <v>12797</v>
      </c>
      <c r="G574" s="28" t="s">
        <v>12798</v>
      </c>
      <c r="H574" s="25" t="n">
        <v>35522977</v>
      </c>
      <c r="I574" s="25"/>
      <c r="J574" s="25" t="n">
        <v>0</v>
      </c>
      <c r="K574" s="25" t="str">
        <f aca="false">IF(J574&gt;0,"Yes","No")</f>
        <v>No</v>
      </c>
    </row>
    <row r="575" customFormat="false" ht="15" hidden="false" customHeight="false" outlineLevel="0" collapsed="false">
      <c r="A575" s="25" t="s">
        <v>10368</v>
      </c>
      <c r="B575" s="25" t="s">
        <v>11933</v>
      </c>
      <c r="C575" s="25" t="n">
        <v>2023</v>
      </c>
      <c r="D575" s="25"/>
      <c r="E575" s="25" t="s">
        <v>12799</v>
      </c>
      <c r="F575" s="25" t="s">
        <v>12800</v>
      </c>
      <c r="G575" s="28" t="s">
        <v>12801</v>
      </c>
      <c r="H575" s="25"/>
      <c r="I575" s="25"/>
      <c r="J575" s="25" t="n">
        <v>0</v>
      </c>
      <c r="K575" s="25" t="str">
        <f aca="false">IF(J575&gt;0,"Yes","No")</f>
        <v>No</v>
      </c>
    </row>
    <row r="576" customFormat="false" ht="15" hidden="false" customHeight="false" outlineLevel="0" collapsed="false">
      <c r="A576" s="25" t="s">
        <v>10376</v>
      </c>
      <c r="B576" s="25" t="s">
        <v>11138</v>
      </c>
      <c r="C576" s="25" t="n">
        <v>2023</v>
      </c>
      <c r="D576" s="25" t="s">
        <v>11167</v>
      </c>
      <c r="E576" s="25" t="s">
        <v>12802</v>
      </c>
      <c r="F576" s="25" t="s">
        <v>12803</v>
      </c>
      <c r="G576" s="28" t="s">
        <v>12804</v>
      </c>
      <c r="H576" s="25" t="n">
        <v>36655130</v>
      </c>
      <c r="I576" s="25"/>
      <c r="J576" s="25" t="n">
        <v>0</v>
      </c>
      <c r="K576" s="25" t="str">
        <f aca="false">IF(J576&gt;0,"Yes","No")</f>
        <v>No</v>
      </c>
    </row>
    <row r="577" customFormat="false" ht="15" hidden="false" customHeight="false" outlineLevel="0" collapsed="false">
      <c r="A577" s="25" t="s">
        <v>10379</v>
      </c>
      <c r="B577" s="25" t="s">
        <v>11138</v>
      </c>
      <c r="C577" s="25" t="n">
        <v>2021</v>
      </c>
      <c r="D577" s="25" t="s">
        <v>11139</v>
      </c>
      <c r="E577" s="25" t="s">
        <v>12805</v>
      </c>
      <c r="F577" s="25" t="s">
        <v>12806</v>
      </c>
      <c r="G577" s="28" t="s">
        <v>12807</v>
      </c>
      <c r="H577" s="25" t="n">
        <v>34569803</v>
      </c>
      <c r="I577" s="25"/>
      <c r="J577" s="25" t="n">
        <v>0</v>
      </c>
      <c r="K577" s="25" t="str">
        <f aca="false">IF(J577&gt;0,"Yes","No")</f>
        <v>No</v>
      </c>
    </row>
    <row r="578" customFormat="false" ht="15" hidden="false" customHeight="false" outlineLevel="0" collapsed="false">
      <c r="A578" s="25" t="s">
        <v>10389</v>
      </c>
      <c r="B578" s="25" t="s">
        <v>11138</v>
      </c>
      <c r="C578" s="25" t="n">
        <v>2018</v>
      </c>
      <c r="D578" s="25" t="s">
        <v>11155</v>
      </c>
      <c r="E578" s="25" t="s">
        <v>12808</v>
      </c>
      <c r="F578" s="25" t="s">
        <v>12809</v>
      </c>
      <c r="G578" s="28" t="s">
        <v>12810</v>
      </c>
      <c r="H578" s="25" t="n">
        <v>30119011</v>
      </c>
      <c r="I578" s="25"/>
      <c r="J578" s="25" t="n">
        <v>0</v>
      </c>
      <c r="K578" s="25" t="str">
        <f aca="false">IF(J578&gt;0,"Yes","No")</f>
        <v>No</v>
      </c>
    </row>
    <row r="579" customFormat="false" ht="15" hidden="false" customHeight="false" outlineLevel="0" collapsed="false">
      <c r="A579" s="25" t="s">
        <v>10392</v>
      </c>
      <c r="B579" s="25" t="s">
        <v>11138</v>
      </c>
      <c r="C579" s="25" t="n">
        <v>2023</v>
      </c>
      <c r="D579" s="25" t="s">
        <v>11200</v>
      </c>
      <c r="E579" s="25" t="s">
        <v>12811</v>
      </c>
      <c r="F579" s="25" t="s">
        <v>12812</v>
      </c>
      <c r="G579" s="28" t="s">
        <v>12813</v>
      </c>
      <c r="H579" s="25" t="n">
        <v>37001244</v>
      </c>
      <c r="I579" s="25"/>
      <c r="J579" s="25" t="n">
        <v>0</v>
      </c>
      <c r="K579" s="25" t="str">
        <f aca="false">IF(J579&gt;0,"Yes","No")</f>
        <v>No</v>
      </c>
    </row>
    <row r="580" customFormat="false" ht="15" hidden="false" customHeight="false" outlineLevel="0" collapsed="false">
      <c r="A580" s="25" t="s">
        <v>10401</v>
      </c>
      <c r="B580" s="25" t="s">
        <v>11933</v>
      </c>
      <c r="C580" s="25" t="n">
        <v>2023</v>
      </c>
      <c r="D580" s="25"/>
      <c r="E580" s="25" t="s">
        <v>12814</v>
      </c>
      <c r="F580" s="25" t="s">
        <v>11935</v>
      </c>
      <c r="G580" s="28" t="s">
        <v>12815</v>
      </c>
      <c r="H580" s="25"/>
      <c r="I580" s="25"/>
      <c r="J580" s="25" t="n">
        <v>0</v>
      </c>
      <c r="K580" s="25" t="str">
        <f aca="false">IF(J580&gt;0,"Yes","No")</f>
        <v>No</v>
      </c>
    </row>
    <row r="581" customFormat="false" ht="15" hidden="false" customHeight="false" outlineLevel="0" collapsed="false">
      <c r="A581" s="25" t="s">
        <v>10404</v>
      </c>
      <c r="B581" s="25" t="s">
        <v>11933</v>
      </c>
      <c r="C581" s="25" t="n">
        <v>2023</v>
      </c>
      <c r="D581" s="25"/>
      <c r="E581" s="25" t="s">
        <v>12816</v>
      </c>
      <c r="F581" s="25" t="s">
        <v>11935</v>
      </c>
      <c r="G581" s="28" t="s">
        <v>12817</v>
      </c>
      <c r="H581" s="25"/>
      <c r="I581" s="25"/>
      <c r="J581" s="25" t="n">
        <v>0</v>
      </c>
      <c r="K581" s="25" t="str">
        <f aca="false">IF(J581&gt;0,"Yes","No")</f>
        <v>No</v>
      </c>
    </row>
    <row r="582" customFormat="false" ht="15" hidden="false" customHeight="false" outlineLevel="0" collapsed="false">
      <c r="A582" s="25" t="s">
        <v>10407</v>
      </c>
      <c r="B582" s="25" t="s">
        <v>11933</v>
      </c>
      <c r="C582" s="25" t="n">
        <v>2023</v>
      </c>
      <c r="D582" s="25"/>
      <c r="E582" s="25" t="s">
        <v>12818</v>
      </c>
      <c r="F582" s="25" t="s">
        <v>11935</v>
      </c>
      <c r="G582" s="28" t="s">
        <v>12819</v>
      </c>
      <c r="H582" s="25"/>
      <c r="I582" s="25"/>
      <c r="J582" s="25" t="n">
        <v>0</v>
      </c>
      <c r="K582" s="25" t="str">
        <f aca="false">IF(J582&gt;0,"Yes","No")</f>
        <v>No</v>
      </c>
    </row>
    <row r="583" customFormat="false" ht="15" hidden="false" customHeight="false" outlineLevel="0" collapsed="false">
      <c r="A583" s="25" t="s">
        <v>10409</v>
      </c>
      <c r="B583" s="25" t="s">
        <v>11933</v>
      </c>
      <c r="C583" s="25" t="n">
        <v>2023</v>
      </c>
      <c r="D583" s="25"/>
      <c r="E583" s="25" t="s">
        <v>12820</v>
      </c>
      <c r="F583" s="25" t="s">
        <v>11935</v>
      </c>
      <c r="G583" s="28" t="s">
        <v>12821</v>
      </c>
      <c r="H583" s="25"/>
      <c r="I583" s="25"/>
      <c r="J583" s="25" t="n">
        <v>0</v>
      </c>
      <c r="K583" s="25" t="str">
        <f aca="false">IF(J583&gt;0,"Yes","No")</f>
        <v>No</v>
      </c>
    </row>
    <row r="584" customFormat="false" ht="15" hidden="false" customHeight="false" outlineLevel="0" collapsed="false">
      <c r="A584" s="25" t="s">
        <v>10413</v>
      </c>
      <c r="B584" s="25" t="s">
        <v>11933</v>
      </c>
      <c r="C584" s="25" t="n">
        <v>2023</v>
      </c>
      <c r="D584" s="25"/>
      <c r="E584" s="25" t="s">
        <v>12822</v>
      </c>
      <c r="F584" s="25" t="s">
        <v>11935</v>
      </c>
      <c r="G584" s="28" t="s">
        <v>12823</v>
      </c>
      <c r="H584" s="25"/>
      <c r="I584" s="25"/>
      <c r="J584" s="25" t="n">
        <v>0</v>
      </c>
      <c r="K584" s="25" t="str">
        <f aca="false">IF(J584&gt;0,"Yes","No")</f>
        <v>No</v>
      </c>
    </row>
    <row r="585" customFormat="false" ht="15" hidden="false" customHeight="false" outlineLevel="0" collapsed="false">
      <c r="A585" s="25" t="s">
        <v>10416</v>
      </c>
      <c r="B585" s="25" t="s">
        <v>11933</v>
      </c>
      <c r="C585" s="25" t="n">
        <v>2023</v>
      </c>
      <c r="D585" s="25"/>
      <c r="E585" s="25" t="s">
        <v>12824</v>
      </c>
      <c r="F585" s="25" t="s">
        <v>11935</v>
      </c>
      <c r="G585" s="28" t="s">
        <v>12825</v>
      </c>
      <c r="H585" s="25"/>
      <c r="I585" s="25"/>
      <c r="J585" s="25" t="n">
        <v>0</v>
      </c>
      <c r="K585" s="25" t="str">
        <f aca="false">IF(J585&gt;0,"Yes","No")</f>
        <v>No</v>
      </c>
    </row>
    <row r="586" customFormat="false" ht="15" hidden="false" customHeight="false" outlineLevel="0" collapsed="false">
      <c r="A586" s="25" t="s">
        <v>10432</v>
      </c>
      <c r="B586" s="25" t="s">
        <v>11138</v>
      </c>
      <c r="C586" s="25" t="n">
        <v>2023</v>
      </c>
      <c r="D586" s="25" t="s">
        <v>11139</v>
      </c>
      <c r="E586" s="25" t="s">
        <v>12826</v>
      </c>
      <c r="F586" s="25" t="s">
        <v>12827</v>
      </c>
      <c r="G586" s="28" t="s">
        <v>12828</v>
      </c>
      <c r="H586" s="25" t="n">
        <v>37535861</v>
      </c>
      <c r="I586" s="25"/>
      <c r="J586" s="25" t="n">
        <v>0</v>
      </c>
      <c r="K586" s="25" t="str">
        <f aca="false">IF(J586&gt;0,"Yes","No")</f>
        <v>No</v>
      </c>
    </row>
    <row r="587" customFormat="false" ht="15" hidden="false" customHeight="false" outlineLevel="0" collapsed="false">
      <c r="A587" s="25" t="s">
        <v>10435</v>
      </c>
      <c r="B587" s="25" t="s">
        <v>11138</v>
      </c>
      <c r="C587" s="25" t="n">
        <v>2023</v>
      </c>
      <c r="D587" s="25" t="s">
        <v>11155</v>
      </c>
      <c r="E587" s="25" t="s">
        <v>12829</v>
      </c>
      <c r="F587" s="25" t="s">
        <v>12830</v>
      </c>
      <c r="G587" s="28" t="s">
        <v>12831</v>
      </c>
      <c r="H587" s="25" t="n">
        <v>36462439</v>
      </c>
      <c r="I587" s="25"/>
      <c r="J587" s="25" t="n">
        <v>0</v>
      </c>
      <c r="K587" s="25" t="str">
        <f aca="false">IF(J587&gt;0,"Yes","No")</f>
        <v>No</v>
      </c>
    </row>
    <row r="588" customFormat="false" ht="15" hidden="false" customHeight="false" outlineLevel="0" collapsed="false">
      <c r="A588" s="25" t="s">
        <v>10450</v>
      </c>
      <c r="B588" s="25" t="s">
        <v>11138</v>
      </c>
      <c r="C588" s="25" t="n">
        <v>2023</v>
      </c>
      <c r="D588" s="25" t="s">
        <v>11139</v>
      </c>
      <c r="E588" s="25" t="s">
        <v>12832</v>
      </c>
      <c r="F588" s="25" t="s">
        <v>12833</v>
      </c>
      <c r="G588" s="28" t="s">
        <v>12834</v>
      </c>
      <c r="H588" s="25" t="n">
        <v>36821347</v>
      </c>
      <c r="I588" s="25"/>
      <c r="J588" s="25" t="n">
        <v>0</v>
      </c>
      <c r="K588" s="25" t="str">
        <f aca="false">IF(J588&gt;0,"Yes","No")</f>
        <v>No</v>
      </c>
    </row>
    <row r="589" customFormat="false" ht="15" hidden="false" customHeight="false" outlineLevel="0" collapsed="false">
      <c r="A589" s="25" t="s">
        <v>10472</v>
      </c>
      <c r="B589" s="25" t="s">
        <v>11138</v>
      </c>
      <c r="C589" s="25" t="n">
        <v>2024</v>
      </c>
      <c r="D589" s="25" t="s">
        <v>11139</v>
      </c>
      <c r="E589" s="25" t="s">
        <v>12835</v>
      </c>
      <c r="F589" s="25" t="s">
        <v>12836</v>
      </c>
      <c r="G589" s="28" t="s">
        <v>12837</v>
      </c>
      <c r="H589" s="25" t="n">
        <v>38146625</v>
      </c>
      <c r="I589" s="25"/>
      <c r="J589" s="25" t="n">
        <v>0</v>
      </c>
      <c r="K589" s="25" t="str">
        <f aca="false">IF(J589&gt;0,"Yes","No")</f>
        <v>No</v>
      </c>
    </row>
    <row r="590" customFormat="false" ht="15" hidden="false" customHeight="false" outlineLevel="0" collapsed="false">
      <c r="A590" s="25" t="s">
        <v>10475</v>
      </c>
      <c r="B590" s="25" t="s">
        <v>11138</v>
      </c>
      <c r="C590" s="25" t="n">
        <v>2024</v>
      </c>
      <c r="D590" s="25" t="s">
        <v>11160</v>
      </c>
      <c r="E590" s="25" t="s">
        <v>12838</v>
      </c>
      <c r="F590" s="25" t="s">
        <v>12839</v>
      </c>
      <c r="G590" s="28" t="s">
        <v>12840</v>
      </c>
      <c r="H590" s="25" t="n">
        <v>38043690</v>
      </c>
      <c r="I590" s="25"/>
      <c r="J590" s="25" t="n">
        <v>0</v>
      </c>
      <c r="K590" s="25" t="str">
        <f aca="false">IF(J590&gt;0,"Yes","No")</f>
        <v>No</v>
      </c>
    </row>
    <row r="591" customFormat="false" ht="15" hidden="false" customHeight="false" outlineLevel="0" collapsed="false">
      <c r="A591" s="25" t="s">
        <v>10478</v>
      </c>
      <c r="B591" s="25" t="s">
        <v>11138</v>
      </c>
      <c r="C591" s="25" t="n">
        <v>2024</v>
      </c>
      <c r="D591" s="25" t="s">
        <v>11526</v>
      </c>
      <c r="E591" s="25" t="s">
        <v>12841</v>
      </c>
      <c r="F591" s="25" t="s">
        <v>12842</v>
      </c>
      <c r="G591" s="28" t="s">
        <v>12843</v>
      </c>
      <c r="H591" s="25" t="n">
        <v>38158562</v>
      </c>
      <c r="I591" s="25"/>
      <c r="J591" s="25" t="n">
        <v>0</v>
      </c>
      <c r="K591" s="25" t="str">
        <f aca="false">IF(J591&gt;0,"Yes","No")</f>
        <v>No</v>
      </c>
    </row>
    <row r="592" customFormat="false" ht="15" hidden="false" customHeight="false" outlineLevel="0" collapsed="false">
      <c r="A592" s="25" t="s">
        <v>10480</v>
      </c>
      <c r="B592" s="25" t="s">
        <v>11138</v>
      </c>
      <c r="C592" s="25" t="n">
        <v>2024</v>
      </c>
      <c r="D592" s="25" t="s">
        <v>11526</v>
      </c>
      <c r="E592" s="25" t="s">
        <v>12844</v>
      </c>
      <c r="F592" s="25" t="s">
        <v>12845</v>
      </c>
      <c r="G592" s="28" t="s">
        <v>12846</v>
      </c>
      <c r="H592" s="25" t="n">
        <v>38355400</v>
      </c>
      <c r="I592" s="25"/>
      <c r="J592" s="25" t="n">
        <v>0</v>
      </c>
      <c r="K592" s="25" t="str">
        <f aca="false">IF(J592&gt;0,"Yes","No")</f>
        <v>No</v>
      </c>
    </row>
    <row r="593" customFormat="false" ht="15" hidden="false" customHeight="false" outlineLevel="0" collapsed="false">
      <c r="A593" s="25" t="s">
        <v>10483</v>
      </c>
      <c r="B593" s="25" t="s">
        <v>11138</v>
      </c>
      <c r="C593" s="25" t="n">
        <v>2023</v>
      </c>
      <c r="D593" s="25" t="s">
        <v>11139</v>
      </c>
      <c r="E593" s="25" t="s">
        <v>12847</v>
      </c>
      <c r="F593" s="25" t="s">
        <v>12848</v>
      </c>
      <c r="G593" s="28" t="s">
        <v>12849</v>
      </c>
      <c r="H593" s="25" t="n">
        <v>37708305</v>
      </c>
      <c r="I593" s="25"/>
      <c r="J593" s="25" t="n">
        <v>0</v>
      </c>
      <c r="K593" s="25" t="str">
        <f aca="false">IF(J593&gt;0,"Yes","No")</f>
        <v>No</v>
      </c>
    </row>
    <row r="594" customFormat="false" ht="15" hidden="false" customHeight="false" outlineLevel="0" collapsed="false">
      <c r="A594" s="25" t="s">
        <v>10486</v>
      </c>
      <c r="B594" s="25" t="s">
        <v>11138</v>
      </c>
      <c r="C594" s="25" t="n">
        <v>2023</v>
      </c>
      <c r="D594" s="25" t="s">
        <v>11160</v>
      </c>
      <c r="E594" s="25" t="s">
        <v>12850</v>
      </c>
      <c r="F594" s="25" t="s">
        <v>12851</v>
      </c>
      <c r="G594" s="28" t="s">
        <v>12852</v>
      </c>
      <c r="H594" s="25" t="n">
        <v>37734423</v>
      </c>
      <c r="I594" s="25"/>
      <c r="J594" s="25" t="n">
        <v>0</v>
      </c>
      <c r="K594" s="25" t="str">
        <f aca="false">IF(J594&gt;0,"Yes","No")</f>
        <v>No</v>
      </c>
    </row>
    <row r="595" customFormat="false" ht="15" hidden="false" customHeight="false" outlineLevel="0" collapsed="false">
      <c r="A595" s="25" t="s">
        <v>10489</v>
      </c>
      <c r="B595" s="25" t="s">
        <v>11138</v>
      </c>
      <c r="C595" s="25" t="n">
        <v>2023</v>
      </c>
      <c r="D595" s="25" t="s">
        <v>11139</v>
      </c>
      <c r="E595" s="25" t="s">
        <v>12853</v>
      </c>
      <c r="F595" s="25" t="s">
        <v>12854</v>
      </c>
      <c r="G595" s="28" t="s">
        <v>12855</v>
      </c>
      <c r="H595" s="25" t="n">
        <v>38015878</v>
      </c>
      <c r="I595" s="25"/>
      <c r="J595" s="25" t="n">
        <v>0</v>
      </c>
      <c r="K595" s="25" t="str">
        <f aca="false">IF(J595&gt;0,"Yes","No")</f>
        <v>No</v>
      </c>
    </row>
    <row r="596" customFormat="false" ht="15" hidden="false" customHeight="false" outlineLevel="0" collapsed="false">
      <c r="A596" s="25" t="s">
        <v>10511</v>
      </c>
      <c r="B596" s="25" t="s">
        <v>11933</v>
      </c>
      <c r="C596" s="25" t="n">
        <v>2024</v>
      </c>
      <c r="D596" s="25"/>
      <c r="E596" s="25" t="s">
        <v>12856</v>
      </c>
      <c r="F596" s="25" t="s">
        <v>12857</v>
      </c>
      <c r="G596" s="28" t="s">
        <v>12858</v>
      </c>
      <c r="H596" s="25"/>
      <c r="I596" s="25"/>
      <c r="J596" s="25" t="n">
        <v>0</v>
      </c>
      <c r="K596" s="25" t="str">
        <f aca="false">IF(J596&gt;0,"Yes","No")</f>
        <v>No</v>
      </c>
    </row>
    <row r="597" customFormat="false" ht="15" hidden="false" customHeight="false" outlineLevel="0" collapsed="false">
      <c r="A597" s="25" t="s">
        <v>12859</v>
      </c>
      <c r="B597" s="25" t="s">
        <v>11933</v>
      </c>
      <c r="C597" s="25" t="n">
        <v>2023</v>
      </c>
      <c r="D597" s="25"/>
      <c r="E597" s="25" t="s">
        <v>12860</v>
      </c>
      <c r="F597" s="25" t="s">
        <v>11935</v>
      </c>
      <c r="G597" s="28" t="s">
        <v>12861</v>
      </c>
      <c r="H597" s="25"/>
      <c r="I597" s="25"/>
      <c r="J597" s="25" t="n">
        <v>0</v>
      </c>
      <c r="K597" s="25" t="str">
        <f aca="false">IF(J597&gt;0,"Yes","No")</f>
        <v>No</v>
      </c>
    </row>
    <row r="598" customFormat="false" ht="15" hidden="false" customHeight="false" outlineLevel="0" collapsed="false">
      <c r="A598" s="25" t="s">
        <v>12862</v>
      </c>
      <c r="B598" s="25" t="s">
        <v>11933</v>
      </c>
      <c r="C598" s="25" t="n">
        <v>2023</v>
      </c>
      <c r="D598" s="25"/>
      <c r="E598" s="25" t="s">
        <v>12863</v>
      </c>
      <c r="F598" s="25" t="s">
        <v>11935</v>
      </c>
      <c r="G598" s="28" t="s">
        <v>12864</v>
      </c>
      <c r="H598" s="25"/>
      <c r="I598" s="25"/>
      <c r="J598" s="25" t="n">
        <v>0</v>
      </c>
      <c r="K598" s="25" t="str">
        <f aca="false">IF(J598&gt;0,"Yes","No")</f>
        <v>No</v>
      </c>
    </row>
    <row r="599" customFormat="false" ht="15" hidden="false" customHeight="false" outlineLevel="0" collapsed="false">
      <c r="A599" s="25" t="s">
        <v>12865</v>
      </c>
      <c r="B599" s="25" t="s">
        <v>11933</v>
      </c>
      <c r="C599" s="25" t="n">
        <v>2023</v>
      </c>
      <c r="D599" s="25"/>
      <c r="E599" s="25" t="s">
        <v>12866</v>
      </c>
      <c r="F599" s="25" t="s">
        <v>11935</v>
      </c>
      <c r="G599" s="28" t="s">
        <v>12867</v>
      </c>
      <c r="H599" s="25"/>
      <c r="I599" s="25"/>
      <c r="J599" s="25" t="n">
        <v>0</v>
      </c>
      <c r="K599" s="25" t="str">
        <f aca="false">IF(J599&gt;0,"Yes","No")</f>
        <v>No</v>
      </c>
    </row>
    <row r="600" customFormat="false" ht="15" hidden="false" customHeight="false" outlineLevel="0" collapsed="false">
      <c r="A600" s="25" t="s">
        <v>10517</v>
      </c>
      <c r="B600" s="25" t="s">
        <v>11933</v>
      </c>
      <c r="C600" s="25" t="n">
        <v>2023</v>
      </c>
      <c r="D600" s="25"/>
      <c r="E600" s="25" t="s">
        <v>12868</v>
      </c>
      <c r="F600" s="25" t="s">
        <v>11935</v>
      </c>
      <c r="G600" s="28" t="s">
        <v>12869</v>
      </c>
      <c r="H600" s="25"/>
      <c r="I600" s="25"/>
      <c r="J600" s="25" t="n">
        <v>0</v>
      </c>
      <c r="K600" s="25" t="str">
        <f aca="false">IF(J600&gt;0,"Yes","No")</f>
        <v>No</v>
      </c>
    </row>
    <row r="601" customFormat="false" ht="15" hidden="false" customHeight="false" outlineLevel="0" collapsed="false">
      <c r="A601" s="25" t="s">
        <v>12870</v>
      </c>
      <c r="B601" s="25" t="s">
        <v>11933</v>
      </c>
      <c r="C601" s="25" t="n">
        <v>2023</v>
      </c>
      <c r="D601" s="25"/>
      <c r="E601" s="25" t="s">
        <v>12871</v>
      </c>
      <c r="F601" s="25" t="s">
        <v>11935</v>
      </c>
      <c r="G601" s="28" t="s">
        <v>12872</v>
      </c>
      <c r="H601" s="25"/>
      <c r="I601" s="25"/>
      <c r="J601" s="25" t="n">
        <v>0</v>
      </c>
      <c r="K601" s="25" t="str">
        <f aca="false">IF(J601&gt;0,"Yes","No")</f>
        <v>No</v>
      </c>
    </row>
    <row r="602" customFormat="false" ht="15" hidden="false" customHeight="false" outlineLevel="0" collapsed="false">
      <c r="A602" s="25" t="s">
        <v>12873</v>
      </c>
      <c r="B602" s="25" t="s">
        <v>11933</v>
      </c>
      <c r="C602" s="25" t="n">
        <v>2023</v>
      </c>
      <c r="D602" s="25"/>
      <c r="E602" s="25" t="s">
        <v>12874</v>
      </c>
      <c r="F602" s="25" t="s">
        <v>11935</v>
      </c>
      <c r="G602" s="28" t="s">
        <v>12875</v>
      </c>
      <c r="H602" s="25"/>
      <c r="I602" s="25"/>
      <c r="J602" s="25" t="n">
        <v>0</v>
      </c>
      <c r="K602" s="25" t="str">
        <f aca="false">IF(J602&gt;0,"Yes","No")</f>
        <v>No</v>
      </c>
    </row>
    <row r="603" customFormat="false" ht="15" hidden="false" customHeight="false" outlineLevel="0" collapsed="false">
      <c r="A603" s="25" t="s">
        <v>10521</v>
      </c>
      <c r="B603" s="25" t="s">
        <v>11933</v>
      </c>
      <c r="C603" s="25" t="n">
        <v>2024</v>
      </c>
      <c r="D603" s="25"/>
      <c r="E603" s="25" t="s">
        <v>12876</v>
      </c>
      <c r="F603" s="25" t="s">
        <v>12800</v>
      </c>
      <c r="G603" s="28" t="s">
        <v>12877</v>
      </c>
      <c r="H603" s="25"/>
      <c r="I603" s="25"/>
      <c r="J603" s="25" t="n">
        <v>0</v>
      </c>
      <c r="K603" s="25" t="str">
        <f aca="false">IF(J603&gt;0,"Yes","No")</f>
        <v>No</v>
      </c>
    </row>
    <row r="604" customFormat="false" ht="15" hidden="false" customHeight="false" outlineLevel="0" collapsed="false">
      <c r="A604" s="25" t="s">
        <v>8286</v>
      </c>
      <c r="B604" s="25" t="s">
        <v>11138</v>
      </c>
      <c r="C604" s="25" t="n">
        <v>2024</v>
      </c>
      <c r="D604" s="25" t="s">
        <v>11139</v>
      </c>
      <c r="E604" s="25" t="s">
        <v>12878</v>
      </c>
      <c r="F604" s="25" t="s">
        <v>12879</v>
      </c>
      <c r="G604" s="28" t="s">
        <v>12880</v>
      </c>
      <c r="H604" s="25" t="n">
        <v>39038276</v>
      </c>
      <c r="I604" s="25"/>
      <c r="J604" s="25" t="n">
        <v>0</v>
      </c>
      <c r="K604" s="25" t="str">
        <f aca="false">IF(J604&gt;0,"Yes","No")</f>
        <v>No</v>
      </c>
    </row>
    <row r="605" customFormat="false" ht="15" hidden="false" customHeight="false" outlineLevel="0" collapsed="false">
      <c r="A605" s="25" t="s">
        <v>10548</v>
      </c>
      <c r="B605" s="25" t="s">
        <v>11138</v>
      </c>
      <c r="C605" s="25" t="n">
        <v>2024</v>
      </c>
      <c r="D605" s="25" t="s">
        <v>11155</v>
      </c>
      <c r="E605" s="25" t="s">
        <v>12881</v>
      </c>
      <c r="F605" s="25" t="s">
        <v>12882</v>
      </c>
      <c r="G605" s="28" t="s">
        <v>12883</v>
      </c>
      <c r="H605" s="25" t="n">
        <v>38150961</v>
      </c>
      <c r="I605" s="25"/>
      <c r="J605" s="25" t="n">
        <v>0</v>
      </c>
      <c r="K605" s="25" t="str">
        <f aca="false">IF(J605&gt;0,"Yes","No")</f>
        <v>No</v>
      </c>
    </row>
    <row r="606" customFormat="false" ht="15" hidden="false" customHeight="false" outlineLevel="0" collapsed="false">
      <c r="A606" s="25" t="s">
        <v>10559</v>
      </c>
      <c r="B606" s="25" t="s">
        <v>11138</v>
      </c>
      <c r="C606" s="25" t="n">
        <v>2024</v>
      </c>
      <c r="D606" s="25" t="s">
        <v>11155</v>
      </c>
      <c r="E606" s="25" t="s">
        <v>12884</v>
      </c>
      <c r="F606" s="25" t="s">
        <v>12885</v>
      </c>
      <c r="G606" s="28" t="s">
        <v>12886</v>
      </c>
      <c r="H606" s="25" t="n">
        <v>37976705</v>
      </c>
      <c r="I606" s="25"/>
      <c r="J606" s="25" t="n">
        <v>0</v>
      </c>
      <c r="K606" s="25" t="str">
        <f aca="false">IF(J606&gt;0,"Yes","No")</f>
        <v>No</v>
      </c>
    </row>
    <row r="607" customFormat="false" ht="15" hidden="false" customHeight="false" outlineLevel="0" collapsed="false">
      <c r="A607" s="25" t="s">
        <v>10562</v>
      </c>
      <c r="B607" s="25" t="s">
        <v>11138</v>
      </c>
      <c r="C607" s="25" t="n">
        <v>2024</v>
      </c>
      <c r="D607" s="25" t="s">
        <v>11275</v>
      </c>
      <c r="E607" s="25" t="s">
        <v>12887</v>
      </c>
      <c r="F607" s="25" t="s">
        <v>12888</v>
      </c>
      <c r="G607" s="28" t="s">
        <v>12889</v>
      </c>
      <c r="H607" s="25" t="n">
        <v>38911147</v>
      </c>
      <c r="I607" s="25"/>
      <c r="J607" s="25" t="n">
        <v>0</v>
      </c>
      <c r="K607" s="25" t="str">
        <f aca="false">IF(J607&gt;0,"Yes","No")</f>
        <v>No</v>
      </c>
    </row>
    <row r="608" customFormat="false" ht="15" hidden="false" customHeight="false" outlineLevel="0" collapsed="false">
      <c r="A608" s="25" t="s">
        <v>10573</v>
      </c>
      <c r="B608" s="25" t="s">
        <v>11138</v>
      </c>
      <c r="C608" s="25" t="n">
        <v>2024</v>
      </c>
      <c r="D608" s="25" t="s">
        <v>11139</v>
      </c>
      <c r="E608" s="25" t="s">
        <v>12890</v>
      </c>
      <c r="F608" s="25" t="s">
        <v>12891</v>
      </c>
      <c r="G608" s="28" t="s">
        <v>12892</v>
      </c>
      <c r="H608" s="25" t="n">
        <v>38241614</v>
      </c>
      <c r="I608" s="25"/>
      <c r="J608" s="25" t="n">
        <v>0</v>
      </c>
      <c r="K608" s="25" t="str">
        <f aca="false">IF(J608&gt;0,"Yes","No")</f>
        <v>No</v>
      </c>
    </row>
    <row r="609" customFormat="false" ht="15" hidden="false" customHeight="false" outlineLevel="0" collapsed="false">
      <c r="A609" s="25" t="s">
        <v>10578</v>
      </c>
      <c r="B609" s="25" t="s">
        <v>11138</v>
      </c>
      <c r="C609" s="25" t="n">
        <v>2024</v>
      </c>
      <c r="D609" s="25" t="s">
        <v>11155</v>
      </c>
      <c r="E609" s="25" t="s">
        <v>12893</v>
      </c>
      <c r="F609" s="25" t="s">
        <v>12894</v>
      </c>
      <c r="G609" s="28" t="s">
        <v>12895</v>
      </c>
      <c r="H609" s="25" t="n">
        <v>38428273</v>
      </c>
      <c r="I609" s="25"/>
      <c r="J609" s="25" t="n">
        <v>0</v>
      </c>
      <c r="K609" s="25" t="str">
        <f aca="false">IF(J609&gt;0,"Yes","No")</f>
        <v>No</v>
      </c>
    </row>
    <row r="610" customFormat="false" ht="15" hidden="false" customHeight="false" outlineLevel="0" collapsed="false">
      <c r="A610" s="25" t="s">
        <v>10581</v>
      </c>
      <c r="B610" s="25" t="s">
        <v>11138</v>
      </c>
      <c r="C610" s="25" t="n">
        <v>2024</v>
      </c>
      <c r="D610" s="25" t="s">
        <v>11139</v>
      </c>
      <c r="E610" s="25" t="s">
        <v>12896</v>
      </c>
      <c r="F610" s="25" t="s">
        <v>12897</v>
      </c>
      <c r="G610" s="28" t="s">
        <v>12898</v>
      </c>
      <c r="H610" s="25" t="n">
        <v>38595098</v>
      </c>
      <c r="I610" s="25"/>
      <c r="J610" s="25" t="n">
        <v>0</v>
      </c>
      <c r="K610" s="25" t="str">
        <f aca="false">IF(J610&gt;0,"Yes","No")</f>
        <v>No</v>
      </c>
    </row>
    <row r="611" customFormat="false" ht="15" hidden="false" customHeight="false" outlineLevel="0" collapsed="false">
      <c r="A611" s="25" t="s">
        <v>10585</v>
      </c>
      <c r="B611" s="25" t="s">
        <v>11138</v>
      </c>
      <c r="C611" s="25" t="n">
        <v>2024</v>
      </c>
      <c r="D611" s="25" t="s">
        <v>11139</v>
      </c>
      <c r="E611" s="25" t="s">
        <v>12899</v>
      </c>
      <c r="F611" s="25" t="s">
        <v>12900</v>
      </c>
      <c r="G611" s="28" t="s">
        <v>12901</v>
      </c>
      <c r="H611" s="25" t="n">
        <v>38686671</v>
      </c>
      <c r="I611" s="25"/>
      <c r="J611" s="25" t="n">
        <v>0</v>
      </c>
      <c r="K611" s="25" t="str">
        <f aca="false">IF(J611&gt;0,"Yes","No")</f>
        <v>No</v>
      </c>
    </row>
    <row r="612" customFormat="false" ht="15" hidden="false" customHeight="false" outlineLevel="0" collapsed="false">
      <c r="A612" s="25" t="s">
        <v>10590</v>
      </c>
      <c r="B612" s="25" t="s">
        <v>11138</v>
      </c>
      <c r="C612" s="25" t="n">
        <v>2024</v>
      </c>
      <c r="D612" s="25" t="s">
        <v>11139</v>
      </c>
      <c r="E612" s="25" t="s">
        <v>12902</v>
      </c>
      <c r="F612" s="25" t="s">
        <v>12903</v>
      </c>
      <c r="G612" s="28" t="s">
        <v>12904</v>
      </c>
      <c r="H612" s="25" t="n">
        <v>39026395</v>
      </c>
      <c r="I612" s="25"/>
      <c r="J612" s="25" t="n">
        <v>0</v>
      </c>
      <c r="K612" s="25" t="str">
        <f aca="false">IF(J612&gt;0,"Yes","No")</f>
        <v>No</v>
      </c>
    </row>
    <row r="613" customFormat="false" ht="15" hidden="false" customHeight="false" outlineLevel="0" collapsed="false">
      <c r="A613" s="25" t="s">
        <v>10592</v>
      </c>
      <c r="B613" s="25" t="s">
        <v>11138</v>
      </c>
      <c r="C613" s="25" t="n">
        <v>2024</v>
      </c>
      <c r="D613" s="25" t="s">
        <v>11160</v>
      </c>
      <c r="E613" s="25" t="s">
        <v>12905</v>
      </c>
      <c r="F613" s="25" t="s">
        <v>12906</v>
      </c>
      <c r="G613" s="28" t="s">
        <v>12907</v>
      </c>
      <c r="H613" s="25" t="n">
        <v>37949379</v>
      </c>
      <c r="I613" s="25"/>
      <c r="J613" s="25" t="n">
        <v>0</v>
      </c>
      <c r="K613" s="25" t="str">
        <f aca="false">IF(J613&gt;0,"Yes","No")</f>
        <v>No</v>
      </c>
    </row>
    <row r="614" customFormat="false" ht="15" hidden="false" customHeight="false" outlineLevel="0" collapsed="false">
      <c r="A614" s="25" t="s">
        <v>10597</v>
      </c>
      <c r="B614" s="25" t="s">
        <v>11138</v>
      </c>
      <c r="C614" s="25" t="n">
        <v>2024</v>
      </c>
      <c r="D614" s="25" t="s">
        <v>11155</v>
      </c>
      <c r="E614" s="25" t="s">
        <v>12908</v>
      </c>
      <c r="F614" s="25" t="s">
        <v>12909</v>
      </c>
      <c r="G614" s="28" t="s">
        <v>12910</v>
      </c>
      <c r="H614" s="25" t="n">
        <v>39013357</v>
      </c>
      <c r="I614" s="25"/>
      <c r="J614" s="25" t="n">
        <v>0</v>
      </c>
      <c r="K614" s="25" t="str">
        <f aca="false">IF(J614&gt;0,"Yes","No")</f>
        <v>No</v>
      </c>
    </row>
    <row r="615" customFormat="false" ht="15" hidden="false" customHeight="false" outlineLevel="0" collapsed="false">
      <c r="A615" s="25" t="s">
        <v>10600</v>
      </c>
      <c r="B615" s="25" t="s">
        <v>11138</v>
      </c>
      <c r="C615" s="25" t="n">
        <v>2024</v>
      </c>
      <c r="D615" s="25" t="s">
        <v>11526</v>
      </c>
      <c r="E615" s="25" t="s">
        <v>12911</v>
      </c>
      <c r="F615" s="25" t="s">
        <v>12912</v>
      </c>
      <c r="G615" s="28" t="s">
        <v>12913</v>
      </c>
      <c r="H615" s="25" t="n">
        <v>38477310</v>
      </c>
      <c r="I615" s="25"/>
      <c r="J615" s="25" t="n">
        <v>0</v>
      </c>
      <c r="K615" s="25" t="str">
        <f aca="false">IF(J615&gt;0,"Yes","No")</f>
        <v>No</v>
      </c>
    </row>
    <row r="616" customFormat="false" ht="15" hidden="false" customHeight="false" outlineLevel="0" collapsed="false">
      <c r="A616" s="25" t="s">
        <v>10603</v>
      </c>
      <c r="B616" s="25" t="s">
        <v>11138</v>
      </c>
      <c r="C616" s="25" t="n">
        <v>2023</v>
      </c>
      <c r="D616" s="25" t="s">
        <v>11155</v>
      </c>
      <c r="E616" s="25" t="s">
        <v>12914</v>
      </c>
      <c r="F616" s="25" t="s">
        <v>12915</v>
      </c>
      <c r="G616" s="28" t="s">
        <v>12916</v>
      </c>
      <c r="H616" s="25" t="n">
        <v>37478557</v>
      </c>
      <c r="I616" s="25"/>
      <c r="J616" s="25" t="n">
        <v>0</v>
      </c>
      <c r="K616" s="25" t="str">
        <f aca="false">IF(J616&gt;0,"Yes","No")</f>
        <v>No</v>
      </c>
    </row>
    <row r="617" customFormat="false" ht="15" hidden="false" customHeight="false" outlineLevel="0" collapsed="false">
      <c r="A617" s="25" t="s">
        <v>10621</v>
      </c>
      <c r="B617" s="25" t="s">
        <v>11138</v>
      </c>
      <c r="C617" s="25" t="n">
        <v>2017</v>
      </c>
      <c r="D617" s="25" t="s">
        <v>12917</v>
      </c>
      <c r="E617" s="25" t="s">
        <v>12918</v>
      </c>
      <c r="F617" s="25" t="s">
        <v>12919</v>
      </c>
      <c r="G617" s="28" t="s">
        <v>12920</v>
      </c>
      <c r="H617" s="25" t="n">
        <v>28953875</v>
      </c>
      <c r="I617" s="25"/>
      <c r="J617" s="25" t="n">
        <v>0</v>
      </c>
      <c r="K617" s="25" t="str">
        <f aca="false">IF(J617&gt;0,"Yes","No")</f>
        <v>No</v>
      </c>
    </row>
    <row r="618" customFormat="false" ht="15" hidden="false" customHeight="false" outlineLevel="0" collapsed="false">
      <c r="A618" s="25" t="s">
        <v>10624</v>
      </c>
      <c r="B618" s="25" t="s">
        <v>11138</v>
      </c>
      <c r="C618" s="25" t="n">
        <v>2017</v>
      </c>
      <c r="D618" s="25" t="s">
        <v>12242</v>
      </c>
      <c r="E618" s="25" t="s">
        <v>12921</v>
      </c>
      <c r="F618" s="25" t="s">
        <v>12922</v>
      </c>
      <c r="G618" s="28" t="s">
        <v>12923</v>
      </c>
      <c r="H618" s="25" t="n">
        <v>28288109</v>
      </c>
      <c r="I618" s="25"/>
      <c r="J618" s="25" t="n">
        <v>0</v>
      </c>
      <c r="K618" s="25" t="str">
        <f aca="false">IF(J618&gt;0,"Yes","No")</f>
        <v>No</v>
      </c>
    </row>
    <row r="619" customFormat="false" ht="15" hidden="false" customHeight="false" outlineLevel="0" collapsed="false">
      <c r="A619" s="25" t="s">
        <v>10627</v>
      </c>
      <c r="B619" s="25" t="s">
        <v>11138</v>
      </c>
      <c r="C619" s="25" t="n">
        <v>1999</v>
      </c>
      <c r="D619" s="25" t="s">
        <v>12924</v>
      </c>
      <c r="E619" s="25" t="s">
        <v>12925</v>
      </c>
      <c r="F619" s="25" t="s">
        <v>12926</v>
      </c>
      <c r="G619" s="28" t="s">
        <v>12927</v>
      </c>
      <c r="H619" s="25" t="n">
        <v>10082200</v>
      </c>
      <c r="I619" s="25"/>
      <c r="J619" s="25" t="n">
        <v>0</v>
      </c>
      <c r="K619" s="25" t="str">
        <f aca="false">IF(J619&gt;0,"Yes","No")</f>
        <v>No</v>
      </c>
    </row>
    <row r="620" customFormat="false" ht="15" hidden="false" customHeight="false" outlineLevel="0" collapsed="false">
      <c r="A620" s="25" t="s">
        <v>10630</v>
      </c>
      <c r="B620" s="25" t="s">
        <v>11138</v>
      </c>
      <c r="C620" s="25" t="n">
        <v>2011</v>
      </c>
      <c r="D620" s="25" t="s">
        <v>12928</v>
      </c>
      <c r="E620" s="25" t="s">
        <v>12929</v>
      </c>
      <c r="F620" s="25" t="s">
        <v>12930</v>
      </c>
      <c r="G620" s="28" t="s">
        <v>12931</v>
      </c>
      <c r="H620" s="25" t="n">
        <v>21402443</v>
      </c>
      <c r="I620" s="25"/>
      <c r="J620" s="25" t="n">
        <v>0</v>
      </c>
      <c r="K620" s="25" t="str">
        <f aca="false">IF(J620&gt;0,"Yes","No")</f>
        <v>No</v>
      </c>
    </row>
    <row r="621" customFormat="false" ht="15" hidden="false" customHeight="false" outlineLevel="0" collapsed="false">
      <c r="A621" s="25" t="s">
        <v>10633</v>
      </c>
      <c r="B621" s="25" t="s">
        <v>11138</v>
      </c>
      <c r="C621" s="25" t="n">
        <v>2012</v>
      </c>
      <c r="D621" s="25" t="s">
        <v>12917</v>
      </c>
      <c r="E621" s="25" t="s">
        <v>12932</v>
      </c>
      <c r="F621" s="25" t="s">
        <v>12933</v>
      </c>
      <c r="G621" s="28" t="s">
        <v>12934</v>
      </c>
      <c r="H621" s="25" t="n">
        <v>22842901</v>
      </c>
      <c r="I621" s="25"/>
      <c r="J621" s="25" t="n">
        <v>0</v>
      </c>
      <c r="K621" s="25" t="str">
        <f aca="false">IF(J621&gt;0,"Yes","No")</f>
        <v>No</v>
      </c>
    </row>
    <row r="622" customFormat="false" ht="15" hidden="false" customHeight="false" outlineLevel="0" collapsed="false">
      <c r="A622" s="25" t="s">
        <v>10635</v>
      </c>
      <c r="B622" s="25" t="s">
        <v>11138</v>
      </c>
      <c r="C622" s="25" t="n">
        <v>2014</v>
      </c>
      <c r="D622" s="25" t="s">
        <v>12075</v>
      </c>
      <c r="E622" s="25" t="s">
        <v>12935</v>
      </c>
      <c r="F622" s="25" t="s">
        <v>12936</v>
      </c>
      <c r="G622" s="28" t="s">
        <v>12937</v>
      </c>
      <c r="H622" s="25" t="n">
        <v>25136132</v>
      </c>
      <c r="I622" s="25"/>
      <c r="J622" s="25" t="n">
        <v>0</v>
      </c>
      <c r="K622" s="25" t="str">
        <f aca="false">IF(J622&gt;0,"Yes","No")</f>
        <v>No</v>
      </c>
    </row>
    <row r="623" customFormat="false" ht="15" hidden="false" customHeight="false" outlineLevel="0" collapsed="false">
      <c r="A623" s="25" t="s">
        <v>10638</v>
      </c>
      <c r="B623" s="25" t="s">
        <v>11138</v>
      </c>
      <c r="C623" s="25" t="n">
        <v>2015</v>
      </c>
      <c r="D623" s="25" t="s">
        <v>12938</v>
      </c>
      <c r="E623" s="25" t="s">
        <v>12939</v>
      </c>
      <c r="F623" s="25" t="s">
        <v>12940</v>
      </c>
      <c r="G623" s="28" t="s">
        <v>12941</v>
      </c>
      <c r="H623" s="25" t="n">
        <v>26175415</v>
      </c>
      <c r="I623" s="25"/>
      <c r="J623" s="25" t="n">
        <v>0</v>
      </c>
      <c r="K623" s="25" t="str">
        <f aca="false">IF(J623&gt;0,"Yes","No")</f>
        <v>No</v>
      </c>
    </row>
    <row r="624" customFormat="false" ht="15" hidden="false" customHeight="false" outlineLevel="0" collapsed="false">
      <c r="A624" s="25" t="s">
        <v>10641</v>
      </c>
      <c r="B624" s="25" t="s">
        <v>11933</v>
      </c>
      <c r="C624" s="25" t="n">
        <v>2024</v>
      </c>
      <c r="D624" s="25"/>
      <c r="E624" s="25" t="s">
        <v>12942</v>
      </c>
      <c r="F624" s="25" t="s">
        <v>11935</v>
      </c>
      <c r="G624" s="28" t="s">
        <v>12943</v>
      </c>
      <c r="H624" s="25"/>
      <c r="I624" s="25"/>
      <c r="J624" s="25" t="n">
        <v>0</v>
      </c>
      <c r="K624" s="25" t="str">
        <f aca="false">IF(J624&gt;0,"Yes","No")</f>
        <v>No</v>
      </c>
    </row>
    <row r="625" customFormat="false" ht="15" hidden="false" customHeight="false" outlineLevel="0" collapsed="false">
      <c r="A625" s="25" t="s">
        <v>10644</v>
      </c>
      <c r="B625" s="25" t="s">
        <v>11933</v>
      </c>
      <c r="C625" s="25" t="n">
        <v>2024</v>
      </c>
      <c r="D625" s="25"/>
      <c r="E625" s="25" t="s">
        <v>12944</v>
      </c>
      <c r="F625" s="25" t="s">
        <v>11935</v>
      </c>
      <c r="G625" s="28" t="s">
        <v>12945</v>
      </c>
      <c r="H625" s="25"/>
      <c r="I625" s="25"/>
      <c r="J625" s="25" t="n">
        <v>0</v>
      </c>
      <c r="K625" s="25" t="str">
        <f aca="false">IF(J625&gt;0,"Yes","No")</f>
        <v>No</v>
      </c>
    </row>
    <row r="626" customFormat="false" ht="15" hidden="false" customHeight="false" outlineLevel="0" collapsed="false">
      <c r="A626" s="25" t="s">
        <v>10514</v>
      </c>
      <c r="B626" s="25" t="s">
        <v>11933</v>
      </c>
      <c r="C626" s="25" t="n">
        <v>2024</v>
      </c>
      <c r="D626" s="25"/>
      <c r="E626" s="25" t="s">
        <v>12946</v>
      </c>
      <c r="F626" s="25" t="s">
        <v>11935</v>
      </c>
      <c r="G626" s="28" t="s">
        <v>12947</v>
      </c>
      <c r="H626" s="25"/>
      <c r="I626" s="25"/>
      <c r="J626" s="25" t="n">
        <v>0</v>
      </c>
      <c r="K626" s="25" t="str">
        <f aca="false">IF(J626&gt;0,"Yes","No")</f>
        <v>No</v>
      </c>
    </row>
    <row r="627" customFormat="false" ht="15" hidden="false" customHeight="false" outlineLevel="0" collapsed="false">
      <c r="A627" s="25" t="s">
        <v>12948</v>
      </c>
      <c r="B627" s="25" t="s">
        <v>11933</v>
      </c>
      <c r="C627" s="25" t="n">
        <v>2024</v>
      </c>
      <c r="D627" s="25"/>
      <c r="E627" s="25" t="s">
        <v>12949</v>
      </c>
      <c r="F627" s="25" t="s">
        <v>11935</v>
      </c>
      <c r="G627" s="28" t="s">
        <v>12950</v>
      </c>
      <c r="H627" s="25"/>
      <c r="I627" s="25"/>
      <c r="J627" s="25" t="n">
        <v>0</v>
      </c>
      <c r="K627" s="25" t="str">
        <f aca="false">IF(J627&gt;0,"Yes","No")</f>
        <v>No</v>
      </c>
    </row>
    <row r="628" customFormat="false" ht="15" hidden="false" customHeight="false" outlineLevel="0" collapsed="false">
      <c r="A628" s="25" t="s">
        <v>10665</v>
      </c>
      <c r="B628" s="25" t="s">
        <v>11152</v>
      </c>
      <c r="C628" s="25" t="n">
        <v>2017</v>
      </c>
      <c r="D628" s="25"/>
      <c r="E628" s="25" t="s">
        <v>12951</v>
      </c>
      <c r="F628" s="25"/>
      <c r="G628" s="25"/>
      <c r="H628" s="25"/>
      <c r="I628" s="25" t="s">
        <v>12952</v>
      </c>
      <c r="J628" s="25" t="n">
        <v>0</v>
      </c>
      <c r="K628" s="25" t="str">
        <f aca="false">IF(J628&gt;0,"Yes","No")</f>
        <v>No</v>
      </c>
    </row>
    <row r="629" customFormat="false" ht="15" hidden="false" customHeight="false" outlineLevel="0" collapsed="false">
      <c r="A629" s="25" t="s">
        <v>10647</v>
      </c>
      <c r="B629" s="25" t="s">
        <v>11152</v>
      </c>
      <c r="C629" s="25" t="n">
        <v>2017</v>
      </c>
      <c r="D629" s="25"/>
      <c r="E629" s="25" t="s">
        <v>12460</v>
      </c>
      <c r="F629" s="25"/>
      <c r="G629" s="25"/>
      <c r="H629" s="25"/>
      <c r="I629" s="25" t="s">
        <v>12953</v>
      </c>
      <c r="J629" s="25" t="n">
        <v>0</v>
      </c>
      <c r="K629" s="25" t="str">
        <f aca="false">IF(J629&gt;0,"Yes","No")</f>
        <v>No</v>
      </c>
    </row>
    <row r="630" customFormat="false" ht="15" hidden="false" customHeight="false" outlineLevel="0" collapsed="false">
      <c r="A630" s="25" t="s">
        <v>10650</v>
      </c>
      <c r="B630" s="25" t="s">
        <v>11152</v>
      </c>
      <c r="C630" s="25" t="n">
        <v>2016</v>
      </c>
      <c r="D630" s="25"/>
      <c r="E630" s="25" t="s">
        <v>12954</v>
      </c>
      <c r="F630" s="25"/>
      <c r="G630" s="25"/>
      <c r="H630" s="25"/>
      <c r="I630" s="25" t="s">
        <v>12955</v>
      </c>
      <c r="J630" s="25" t="n">
        <v>0</v>
      </c>
      <c r="K630" s="25" t="str">
        <f aca="false">IF(J630&gt;0,"Yes","No")</f>
        <v>No</v>
      </c>
    </row>
    <row r="631" customFormat="false" ht="15" hidden="false" customHeight="false" outlineLevel="0" collapsed="false">
      <c r="A631" s="25" t="s">
        <v>10653</v>
      </c>
      <c r="B631" s="25" t="s">
        <v>11152</v>
      </c>
      <c r="C631" s="25" t="n">
        <v>2016</v>
      </c>
      <c r="D631" s="25"/>
      <c r="E631" s="25" t="s">
        <v>12956</v>
      </c>
      <c r="F631" s="25"/>
      <c r="G631" s="25"/>
      <c r="H631" s="25"/>
      <c r="I631" s="25" t="s">
        <v>12957</v>
      </c>
      <c r="J631" s="25" t="n">
        <v>0</v>
      </c>
      <c r="K631" s="25" t="str">
        <f aca="false">IF(J631&gt;0,"Yes","No")</f>
        <v>No</v>
      </c>
    </row>
    <row r="632" customFormat="false" ht="15" hidden="false" customHeight="false" outlineLevel="0" collapsed="false">
      <c r="A632" s="25" t="s">
        <v>10656</v>
      </c>
      <c r="B632" s="25" t="s">
        <v>11152</v>
      </c>
      <c r="C632" s="25" t="n">
        <v>2016</v>
      </c>
      <c r="D632" s="25"/>
      <c r="E632" s="25" t="s">
        <v>12958</v>
      </c>
      <c r="F632" s="25"/>
      <c r="G632" s="25"/>
      <c r="H632" s="25"/>
      <c r="I632" s="25" t="s">
        <v>12959</v>
      </c>
      <c r="J632" s="25" t="n">
        <v>0</v>
      </c>
      <c r="K632" s="25" t="str">
        <f aca="false">IF(J632&gt;0,"Yes","No")</f>
        <v>No</v>
      </c>
    </row>
    <row r="633" customFormat="false" ht="15" hidden="false" customHeight="false" outlineLevel="0" collapsed="false">
      <c r="A633" s="25" t="s">
        <v>10659</v>
      </c>
      <c r="B633" s="25" t="s">
        <v>11152</v>
      </c>
      <c r="C633" s="25" t="n">
        <v>2016</v>
      </c>
      <c r="D633" s="25"/>
      <c r="E633" s="25" t="s">
        <v>12960</v>
      </c>
      <c r="F633" s="25"/>
      <c r="G633" s="25"/>
      <c r="H633" s="25"/>
      <c r="I633" s="25" t="s">
        <v>12961</v>
      </c>
      <c r="J633" s="25" t="n">
        <v>0</v>
      </c>
      <c r="K633" s="25" t="str">
        <f aca="false">IF(J633&gt;0,"Yes","No")</f>
        <v>No</v>
      </c>
    </row>
    <row r="634" customFormat="false" ht="15" hidden="false" customHeight="false" outlineLevel="0" collapsed="false">
      <c r="A634" s="25" t="s">
        <v>10662</v>
      </c>
      <c r="B634" s="25" t="s">
        <v>11152</v>
      </c>
      <c r="C634" s="25" t="n">
        <v>2017</v>
      </c>
      <c r="D634" s="25"/>
      <c r="E634" s="25" t="s">
        <v>12962</v>
      </c>
      <c r="F634" s="25"/>
      <c r="G634" s="25"/>
      <c r="H634" s="25"/>
      <c r="I634" s="25" t="s">
        <v>12963</v>
      </c>
      <c r="J634" s="25" t="n">
        <v>0</v>
      </c>
      <c r="K634" s="25" t="str">
        <f aca="false">IF(J634&gt;0,"Yes","No")</f>
        <v>No</v>
      </c>
    </row>
    <row r="635" customFormat="false" ht="15" hidden="false" customHeight="false" outlineLevel="0" collapsed="false">
      <c r="A635" s="25" t="s">
        <v>10668</v>
      </c>
      <c r="B635" s="25" t="s">
        <v>11152</v>
      </c>
      <c r="C635" s="25" t="n">
        <v>2017</v>
      </c>
      <c r="D635" s="25"/>
      <c r="E635" s="25" t="s">
        <v>12964</v>
      </c>
      <c r="F635" s="25"/>
      <c r="G635" s="25"/>
      <c r="H635" s="25"/>
      <c r="I635" s="25" t="s">
        <v>12965</v>
      </c>
      <c r="J635" s="25" t="n">
        <v>0</v>
      </c>
      <c r="K635" s="25" t="str">
        <f aca="false">IF(J635&gt;0,"Yes","No")</f>
        <v>No</v>
      </c>
    </row>
    <row r="636" customFormat="false" ht="15" hidden="false" customHeight="false" outlineLevel="0" collapsed="false">
      <c r="A636" s="25" t="s">
        <v>10671</v>
      </c>
      <c r="B636" s="25" t="s">
        <v>11152</v>
      </c>
      <c r="C636" s="25" t="n">
        <v>2018</v>
      </c>
      <c r="D636" s="25"/>
      <c r="E636" s="25" t="s">
        <v>12966</v>
      </c>
      <c r="F636" s="25"/>
      <c r="G636" s="25"/>
      <c r="H636" s="25"/>
      <c r="I636" s="25" t="s">
        <v>12967</v>
      </c>
      <c r="J636" s="25" t="n">
        <v>0</v>
      </c>
      <c r="K636" s="25" t="str">
        <f aca="false">IF(J636&gt;0,"Yes","No")</f>
        <v>No</v>
      </c>
    </row>
    <row r="637" customFormat="false" ht="15" hidden="false" customHeight="false" outlineLevel="0" collapsed="false">
      <c r="A637" s="25" t="s">
        <v>10673</v>
      </c>
      <c r="B637" s="25" t="s">
        <v>11152</v>
      </c>
      <c r="C637" s="25" t="n">
        <v>2017</v>
      </c>
      <c r="D637" s="25"/>
      <c r="E637" s="25" t="s">
        <v>12968</v>
      </c>
      <c r="F637" s="25"/>
      <c r="G637" s="25"/>
      <c r="H637" s="25"/>
      <c r="I637" s="25" t="s">
        <v>12969</v>
      </c>
      <c r="J637" s="25" t="n">
        <v>0</v>
      </c>
      <c r="K637" s="25" t="str">
        <f aca="false">IF(J637&gt;0,"Yes","No")</f>
        <v>No</v>
      </c>
    </row>
    <row r="638" customFormat="false" ht="15" hidden="false" customHeight="false" outlineLevel="0" collapsed="false">
      <c r="A638" s="25" t="s">
        <v>10676</v>
      </c>
      <c r="B638" s="25" t="s">
        <v>11152</v>
      </c>
      <c r="C638" s="25" t="n">
        <v>2019</v>
      </c>
      <c r="D638" s="25"/>
      <c r="E638" s="25" t="s">
        <v>12970</v>
      </c>
      <c r="F638" s="25"/>
      <c r="G638" s="25"/>
      <c r="H638" s="25"/>
      <c r="I638" s="25" t="s">
        <v>12971</v>
      </c>
      <c r="J638" s="25" t="n">
        <v>0</v>
      </c>
      <c r="K638" s="25" t="str">
        <f aca="false">IF(J638&gt;0,"Yes","No")</f>
        <v>No</v>
      </c>
    </row>
    <row r="639" customFormat="false" ht="15" hidden="false" customHeight="false" outlineLevel="0" collapsed="false">
      <c r="A639" s="25" t="s">
        <v>10679</v>
      </c>
      <c r="B639" s="25" t="s">
        <v>11152</v>
      </c>
      <c r="C639" s="25" t="n">
        <v>2017</v>
      </c>
      <c r="D639" s="25"/>
      <c r="E639" s="25" t="s">
        <v>12972</v>
      </c>
      <c r="F639" s="25"/>
      <c r="G639" s="25"/>
      <c r="H639" s="25"/>
      <c r="I639" s="25" t="s">
        <v>12973</v>
      </c>
      <c r="J639" s="25" t="n">
        <v>0</v>
      </c>
      <c r="K639" s="25" t="str">
        <f aca="false">IF(J639&gt;0,"Yes","No")</f>
        <v>No</v>
      </c>
    </row>
    <row r="640" customFormat="false" ht="15" hidden="false" customHeight="false" outlineLevel="0" collapsed="false">
      <c r="A640" s="25" t="s">
        <v>10682</v>
      </c>
      <c r="B640" s="25" t="s">
        <v>11152</v>
      </c>
      <c r="C640" s="25" t="n">
        <v>2017</v>
      </c>
      <c r="D640" s="25"/>
      <c r="E640" s="25" t="s">
        <v>12974</v>
      </c>
      <c r="F640" s="25"/>
      <c r="G640" s="25"/>
      <c r="H640" s="25"/>
      <c r="I640" s="25" t="s">
        <v>12975</v>
      </c>
      <c r="J640" s="25" t="n">
        <v>0</v>
      </c>
      <c r="K640" s="25" t="str">
        <f aca="false">IF(J640&gt;0,"Yes","No")</f>
        <v>No</v>
      </c>
    </row>
    <row r="641" customFormat="false" ht="15" hidden="false" customHeight="false" outlineLevel="0" collapsed="false">
      <c r="A641" s="25" t="s">
        <v>10685</v>
      </c>
      <c r="B641" s="25" t="s">
        <v>11152</v>
      </c>
      <c r="C641" s="25" t="n">
        <v>2019</v>
      </c>
      <c r="D641" s="25"/>
      <c r="E641" s="25" t="s">
        <v>12960</v>
      </c>
      <c r="F641" s="25"/>
      <c r="G641" s="25"/>
      <c r="H641" s="25"/>
      <c r="I641" s="25" t="s">
        <v>12976</v>
      </c>
      <c r="J641" s="25" t="n">
        <v>0</v>
      </c>
      <c r="K641" s="25" t="str">
        <f aca="false">IF(J641&gt;0,"Yes","No")</f>
        <v>No</v>
      </c>
    </row>
    <row r="642" customFormat="false" ht="15" hidden="false" customHeight="false" outlineLevel="0" collapsed="false">
      <c r="A642" s="25" t="s">
        <v>10688</v>
      </c>
      <c r="B642" s="25" t="s">
        <v>11152</v>
      </c>
      <c r="C642" s="25" t="n">
        <v>2020</v>
      </c>
      <c r="D642" s="25"/>
      <c r="E642" s="25" t="s">
        <v>12966</v>
      </c>
      <c r="F642" s="25"/>
      <c r="G642" s="25"/>
      <c r="H642" s="25"/>
      <c r="I642" s="25" t="s">
        <v>12977</v>
      </c>
      <c r="J642" s="25" t="n">
        <v>0</v>
      </c>
      <c r="K642" s="25" t="str">
        <f aca="false">IF(J642&gt;0,"Yes","No")</f>
        <v>No</v>
      </c>
    </row>
    <row r="643" customFormat="false" ht="15" hidden="false" customHeight="false" outlineLevel="0" collapsed="false">
      <c r="A643" s="25" t="s">
        <v>10691</v>
      </c>
      <c r="B643" s="25" t="s">
        <v>11152</v>
      </c>
      <c r="C643" s="25" t="n">
        <v>2021</v>
      </c>
      <c r="D643" s="25"/>
      <c r="E643" s="25" t="s">
        <v>12966</v>
      </c>
      <c r="F643" s="25"/>
      <c r="G643" s="25"/>
      <c r="H643" s="25"/>
      <c r="I643" s="25" t="s">
        <v>12978</v>
      </c>
      <c r="J643" s="25" t="n">
        <v>0</v>
      </c>
      <c r="K643" s="25" t="str">
        <f aca="false">IF(J643&gt;0,"Yes","No")</f>
        <v>No</v>
      </c>
    </row>
    <row r="644" customFormat="false" ht="15" hidden="false" customHeight="false" outlineLevel="0" collapsed="false">
      <c r="A644" s="25" t="s">
        <v>10694</v>
      </c>
      <c r="B644" s="25" t="s">
        <v>11152</v>
      </c>
      <c r="C644" s="25" t="n">
        <v>2021</v>
      </c>
      <c r="D644" s="25"/>
      <c r="E644" s="25" t="s">
        <v>12979</v>
      </c>
      <c r="F644" s="25"/>
      <c r="G644" s="25"/>
      <c r="H644" s="25"/>
      <c r="I644" s="25" t="s">
        <v>12980</v>
      </c>
      <c r="J644" s="25" t="n">
        <v>0</v>
      </c>
      <c r="K644" s="25" t="str">
        <f aca="false">IF(J644&gt;0,"Yes","No")</f>
        <v>No</v>
      </c>
    </row>
    <row r="645" customFormat="false" ht="15" hidden="false" customHeight="false" outlineLevel="0" collapsed="false">
      <c r="A645" s="25" t="s">
        <v>10697</v>
      </c>
      <c r="B645" s="25" t="s">
        <v>11152</v>
      </c>
      <c r="C645" s="25" t="n">
        <v>2022</v>
      </c>
      <c r="D645" s="25"/>
      <c r="E645" s="25" t="s">
        <v>12981</v>
      </c>
      <c r="F645" s="25"/>
      <c r="G645" s="25"/>
      <c r="H645" s="25"/>
      <c r="I645" s="25" t="s">
        <v>12982</v>
      </c>
      <c r="J645" s="25" t="n">
        <v>0</v>
      </c>
      <c r="K645" s="25" t="str">
        <f aca="false">IF(J645&gt;0,"Yes","No")</f>
        <v>No</v>
      </c>
    </row>
    <row r="646" customFormat="false" ht="15" hidden="false" customHeight="false" outlineLevel="0" collapsed="false">
      <c r="A646" s="25" t="s">
        <v>10700</v>
      </c>
      <c r="B646" s="25" t="s">
        <v>11152</v>
      </c>
      <c r="C646" s="25" t="n">
        <v>2023</v>
      </c>
      <c r="D646" s="25"/>
      <c r="E646" s="25" t="s">
        <v>12983</v>
      </c>
      <c r="F646" s="25"/>
      <c r="G646" s="25"/>
      <c r="H646" s="25"/>
      <c r="I646" s="25" t="s">
        <v>12984</v>
      </c>
      <c r="J646" s="25" t="n">
        <v>0</v>
      </c>
      <c r="K646" s="25" t="str">
        <f aca="false">IF(J646&gt;0,"Yes","No")</f>
        <v>No</v>
      </c>
    </row>
    <row r="647" customFormat="false" ht="15" hidden="false" customHeight="false" outlineLevel="0" collapsed="false">
      <c r="A647" s="25" t="s">
        <v>10704</v>
      </c>
      <c r="B647" s="25" t="s">
        <v>11138</v>
      </c>
      <c r="C647" s="25" t="n">
        <v>2024</v>
      </c>
      <c r="D647" s="25" t="s">
        <v>11155</v>
      </c>
      <c r="E647" s="25" t="s">
        <v>12985</v>
      </c>
      <c r="F647" s="25" t="s">
        <v>12986</v>
      </c>
      <c r="G647" s="28" t="s">
        <v>12987</v>
      </c>
      <c r="H647" s="25" t="n">
        <v>39265249</v>
      </c>
      <c r="I647" s="25"/>
      <c r="J647" s="25" t="n">
        <v>0</v>
      </c>
      <c r="K647" s="25" t="str">
        <f aca="false">IF(J647&gt;0,"Yes","No")</f>
        <v>No</v>
      </c>
    </row>
    <row r="648" customFormat="false" ht="15" hidden="false" customHeight="false" outlineLevel="0" collapsed="false">
      <c r="A648" s="25" t="s">
        <v>10721</v>
      </c>
      <c r="B648" s="25" t="s">
        <v>11138</v>
      </c>
      <c r="C648" s="25" t="n">
        <v>2025</v>
      </c>
      <c r="D648" s="25" t="s">
        <v>11155</v>
      </c>
      <c r="E648" s="25" t="s">
        <v>12988</v>
      </c>
      <c r="F648" s="25" t="s">
        <v>12989</v>
      </c>
      <c r="G648" s="28" t="s">
        <v>12990</v>
      </c>
      <c r="H648" s="25" t="n">
        <v>39653620</v>
      </c>
      <c r="I648" s="25"/>
      <c r="J648" s="25" t="n">
        <v>0</v>
      </c>
      <c r="K648" s="25" t="str">
        <f aca="false">IF(J648&gt;0,"Yes","No")</f>
        <v>No</v>
      </c>
    </row>
    <row r="649" customFormat="false" ht="15" hidden="false" customHeight="false" outlineLevel="0" collapsed="false">
      <c r="A649" s="25" t="s">
        <v>10750</v>
      </c>
      <c r="B649" s="25" t="s">
        <v>11138</v>
      </c>
      <c r="C649" s="25" t="n">
        <v>2025</v>
      </c>
      <c r="D649" s="25" t="s">
        <v>11139</v>
      </c>
      <c r="E649" s="25" t="s">
        <v>12991</v>
      </c>
      <c r="F649" s="25" t="s">
        <v>12992</v>
      </c>
      <c r="G649" s="28" t="s">
        <v>12993</v>
      </c>
      <c r="H649" s="25" t="n">
        <v>39749716</v>
      </c>
      <c r="I649" s="25"/>
      <c r="J649" s="25" t="n">
        <v>0</v>
      </c>
      <c r="K649" s="25" t="str">
        <f aca="false">IF(J649&gt;0,"Yes","No")</f>
        <v>No</v>
      </c>
    </row>
    <row r="650" customFormat="false" ht="15" hidden="false" customHeight="false" outlineLevel="0" collapsed="false">
      <c r="A650" s="25" t="s">
        <v>10782</v>
      </c>
      <c r="B650" s="25" t="s">
        <v>11138</v>
      </c>
      <c r="C650" s="25" t="n">
        <v>2025</v>
      </c>
      <c r="D650" s="25" t="s">
        <v>11139</v>
      </c>
      <c r="E650" s="25" t="s">
        <v>12994</v>
      </c>
      <c r="F650" s="25" t="s">
        <v>12995</v>
      </c>
      <c r="G650" s="28" t="s">
        <v>12996</v>
      </c>
      <c r="H650" s="25" t="n">
        <v>40159850</v>
      </c>
      <c r="I650" s="25"/>
      <c r="J650" s="25" t="n">
        <v>0</v>
      </c>
      <c r="K650" s="25" t="str">
        <f aca="false">IF(J650&gt;0,"Yes","No")</f>
        <v>No</v>
      </c>
    </row>
    <row r="651" customFormat="false" ht="15" hidden="false" customHeight="false" outlineLevel="0" collapsed="false">
      <c r="A651" s="25" t="s">
        <v>10785</v>
      </c>
      <c r="B651" s="25" t="s">
        <v>11138</v>
      </c>
      <c r="C651" s="25" t="n">
        <v>2025</v>
      </c>
      <c r="D651" s="25" t="s">
        <v>11139</v>
      </c>
      <c r="E651" s="25" t="s">
        <v>12997</v>
      </c>
      <c r="F651" s="25" t="s">
        <v>12998</v>
      </c>
      <c r="G651" s="28" t="s">
        <v>12999</v>
      </c>
      <c r="H651" s="25" t="n">
        <v>40198119</v>
      </c>
      <c r="I651" s="25"/>
      <c r="J651" s="25" t="n">
        <v>0</v>
      </c>
      <c r="K651" s="25" t="str">
        <f aca="false">IF(J651&gt;0,"Yes","No")</f>
        <v>No</v>
      </c>
    </row>
    <row r="652" customFormat="false" ht="15" hidden="false" customHeight="false" outlineLevel="0" collapsed="false">
      <c r="A652" s="25" t="s">
        <v>10788</v>
      </c>
      <c r="B652" s="25" t="s">
        <v>11138</v>
      </c>
      <c r="C652" s="25" t="n">
        <v>2025</v>
      </c>
      <c r="D652" s="25" t="s">
        <v>11526</v>
      </c>
      <c r="E652" s="25" t="s">
        <v>13000</v>
      </c>
      <c r="F652" s="25" t="s">
        <v>13001</v>
      </c>
      <c r="G652" s="28" t="s">
        <v>13002</v>
      </c>
      <c r="H652" s="25" t="n">
        <v>39811943</v>
      </c>
      <c r="I652" s="25"/>
      <c r="J652" s="25" t="n">
        <v>0</v>
      </c>
      <c r="K652" s="25" t="str">
        <f aca="false">IF(J652&gt;0,"Yes","No")</f>
        <v>No</v>
      </c>
    </row>
    <row r="653" customFormat="false" ht="15" hidden="false" customHeight="false" outlineLevel="0" collapsed="false">
      <c r="A653" s="25" t="s">
        <v>10794</v>
      </c>
      <c r="B653" s="25" t="s">
        <v>11138</v>
      </c>
      <c r="C653" s="25" t="n">
        <v>2025</v>
      </c>
      <c r="D653" s="25" t="s">
        <v>11139</v>
      </c>
      <c r="E653" s="25" t="s">
        <v>13003</v>
      </c>
      <c r="F653" s="25" t="s">
        <v>13004</v>
      </c>
      <c r="G653" s="28" t="s">
        <v>13005</v>
      </c>
      <c r="H653" s="25" t="n">
        <v>40257122</v>
      </c>
      <c r="I653" s="25"/>
      <c r="J653" s="25" t="n">
        <v>0</v>
      </c>
      <c r="K653" s="25" t="str">
        <f aca="false">IF(J653&gt;0,"Yes","No")</f>
        <v>No</v>
      </c>
    </row>
    <row r="654" customFormat="false" ht="15" hidden="false" customHeight="false" outlineLevel="0" collapsed="false">
      <c r="A654" s="25" t="s">
        <v>13006</v>
      </c>
      <c r="B654" s="25" t="s">
        <v>11933</v>
      </c>
      <c r="C654" s="25" t="n">
        <v>2025</v>
      </c>
      <c r="D654" s="25"/>
      <c r="E654" s="25" t="s">
        <v>13007</v>
      </c>
      <c r="F654" s="25" t="s">
        <v>11935</v>
      </c>
      <c r="G654" s="28" t="s">
        <v>13008</v>
      </c>
      <c r="H654" s="25"/>
      <c r="I654" s="25"/>
      <c r="J654" s="25" t="n">
        <v>0</v>
      </c>
      <c r="K654" s="25" t="str">
        <f aca="false">IF(J654&gt;0,"Yes","No")</f>
        <v>No</v>
      </c>
    </row>
    <row r="655" customFormat="false" ht="15" hidden="false" customHeight="false" outlineLevel="0" collapsed="false">
      <c r="A655" s="25" t="s">
        <v>10797</v>
      </c>
      <c r="B655" s="25" t="s">
        <v>11933</v>
      </c>
      <c r="C655" s="25" t="n">
        <v>2025</v>
      </c>
      <c r="D655" s="25"/>
      <c r="E655" s="25" t="s">
        <v>13009</v>
      </c>
      <c r="F655" s="25" t="s">
        <v>11935</v>
      </c>
      <c r="G655" s="28" t="s">
        <v>13010</v>
      </c>
      <c r="H655" s="25"/>
      <c r="I655" s="25"/>
      <c r="J655" s="25" t="n">
        <v>0</v>
      </c>
      <c r="K655" s="25" t="str">
        <f aca="false">IF(J655&gt;0,"Yes","No")</f>
        <v>No</v>
      </c>
    </row>
    <row r="656" customFormat="false" ht="15" hidden="false" customHeight="false" outlineLevel="0" collapsed="false">
      <c r="A656" s="25" t="s">
        <v>10800</v>
      </c>
      <c r="B656" s="25" t="s">
        <v>11933</v>
      </c>
      <c r="C656" s="25" t="n">
        <v>2025</v>
      </c>
      <c r="D656" s="25"/>
      <c r="E656" s="25" t="s">
        <v>13011</v>
      </c>
      <c r="F656" s="25" t="s">
        <v>11935</v>
      </c>
      <c r="G656" s="28" t="s">
        <v>13012</v>
      </c>
      <c r="H656" s="25"/>
      <c r="I656" s="25"/>
      <c r="J656" s="25" t="n">
        <v>0</v>
      </c>
      <c r="K656" s="25" t="str">
        <f aca="false">IF(J656&gt;0,"Yes","No")</f>
        <v>No</v>
      </c>
    </row>
    <row r="657" customFormat="false" ht="15" hidden="false" customHeight="false" outlineLevel="0" collapsed="false">
      <c r="A657" s="25" t="s">
        <v>10805</v>
      </c>
      <c r="B657" s="25" t="s">
        <v>11933</v>
      </c>
      <c r="C657" s="25" t="n">
        <v>2025</v>
      </c>
      <c r="D657" s="25"/>
      <c r="E657" s="25" t="s">
        <v>13013</v>
      </c>
      <c r="F657" s="25" t="s">
        <v>11935</v>
      </c>
      <c r="G657" s="28" t="s">
        <v>13014</v>
      </c>
      <c r="H657" s="25"/>
      <c r="I657" s="25"/>
      <c r="J657" s="25" t="n">
        <v>0</v>
      </c>
      <c r="K657" s="25" t="str">
        <f aca="false">IF(J657&gt;0,"Yes","No")</f>
        <v>No</v>
      </c>
    </row>
  </sheetData>
  <autoFilter ref="A4:K657"/>
  <hyperlinks>
    <hyperlink ref="G5" r:id="rId1" display="10.1021/jm901214q"/>
    <hyperlink ref="G6" r:id="rId2" display="10.1021/jm7011613"/>
    <hyperlink ref="G7" r:id="rId3" display="10.1021/jm3017464"/>
    <hyperlink ref="G8" r:id="rId4" display="10.1021/jm301212u"/>
    <hyperlink ref="G10" r:id="rId5" display="10.1016/j.ejmech.2015.01.054"/>
    <hyperlink ref="G12" r:id="rId6" display="10.1016/j.bmcl.2008.05.073"/>
    <hyperlink ref="G13" r:id="rId7" display="10.1021/jm300763w"/>
    <hyperlink ref="G14" r:id="rId8" display="10.1021/ml3004236"/>
    <hyperlink ref="G15" r:id="rId9" display="10.1016/j.ejmech.2009.01.026"/>
    <hyperlink ref="G16" r:id="rId10" display="10.1016/j.ejmech.2013.09.038"/>
    <hyperlink ref="G17" r:id="rId11" display="10.1021/jm400182t"/>
    <hyperlink ref="G18" r:id="rId12" display="10.1016/j.bmcl.2005.07.023"/>
    <hyperlink ref="G19" r:id="rId13" display="10.1021/jm070387h"/>
    <hyperlink ref="G20" r:id="rId14" display="10.1016/j.ejmech.2010.11.034"/>
    <hyperlink ref="G23" r:id="rId15" display="10.1021/jm8016255"/>
    <hyperlink ref="G24" r:id="rId16" display="10.1016/j.bmcl.2008.11.091"/>
    <hyperlink ref="G26" r:id="rId17" display="10.1016/j.bmc.2009.06.027"/>
    <hyperlink ref="G27" r:id="rId18" display="10.1021/jm100123x"/>
    <hyperlink ref="G28" r:id="rId19" display="10.1021/acs.jmedchem.6b00397"/>
    <hyperlink ref="G29" r:id="rId20" display="10.1021/jm040843r"/>
    <hyperlink ref="G30" r:id="rId21" display="10.1016/j.bmcl.2007.04.059"/>
    <hyperlink ref="G31" r:id="rId22" display="10.1021/jm301527r"/>
    <hyperlink ref="G33" r:id="rId23" display="10.1016/j.bmcl.2009.11.084"/>
    <hyperlink ref="G34" r:id="rId24" display="10.1016/j.ejmech.2012.09.035"/>
    <hyperlink ref="G35" r:id="rId25" display="10.1021/jm500807e"/>
    <hyperlink ref="G36" r:id="rId26" display="10.1016/j.bmc.2018.07.043"/>
    <hyperlink ref="G37" r:id="rId27" display="10.1016/j.bmcl.2007.09.019"/>
    <hyperlink ref="G38" r:id="rId28" display="10.1016/j.ejmech.2016.08.005"/>
    <hyperlink ref="G39" r:id="rId29" display="10.1016/j.bmcl.2006.07.051"/>
    <hyperlink ref="G40" r:id="rId30" display="10.1016/j.bmcl.2007.04.093"/>
    <hyperlink ref="G41" r:id="rId31" display="10.1016/j.bmcl.2005.06.008"/>
    <hyperlink ref="G42" r:id="rId32" display="10.1016/j.ejmech.2009.12.018"/>
    <hyperlink ref="G43" r:id="rId33" display="10.1016/j.bmcl.2010.07.056"/>
    <hyperlink ref="G44" r:id="rId34" display="10.1016/j.bmc.2012.01.038"/>
    <hyperlink ref="G45" r:id="rId35" display="10.1021/jm3003334"/>
    <hyperlink ref="G46" r:id="rId36" display="10.1016/j.ejmech.2021.113354"/>
    <hyperlink ref="G47" r:id="rId37" display="10.1016/j.ejmech.2021.113878"/>
    <hyperlink ref="G48" r:id="rId38" display="10.1016/j.bmcl.2007.04.099"/>
    <hyperlink ref="G49" r:id="rId39" display="10.1016/j.bmcl.2008.04.032"/>
    <hyperlink ref="G50" r:id="rId40" display="10.1021/jm100286k"/>
    <hyperlink ref="G51" r:id="rId41" display="10.1039/d1md00242b"/>
    <hyperlink ref="G52" r:id="rId42" display="10.1021/jm3008213"/>
    <hyperlink ref="G53" r:id="rId43" display="10.1016/j.ejmech.2016.02.032"/>
    <hyperlink ref="G54" r:id="rId44" display="10.1016/j.ejmech.2018.09.070"/>
    <hyperlink ref="G55" r:id="rId45" display="10.1021/jm070566z"/>
    <hyperlink ref="G56" r:id="rId46" display="10.1016/j.bmcl.2008.04.006"/>
    <hyperlink ref="G57" r:id="rId47" display="10.1016/j.ejmech.2010.09.053"/>
    <hyperlink ref="G58" r:id="rId48" display="10.1016/j.ejmech.2013.11.026"/>
    <hyperlink ref="G59" r:id="rId49" display="10.1016/j.bmc.2014.07.006"/>
    <hyperlink ref="G60" r:id="rId50" display="10.1016/j.bmc.2020.115513"/>
    <hyperlink ref="G61" r:id="rId51" display="10.1016/j.bmcl.2009.10.062"/>
    <hyperlink ref="G62" r:id="rId52" display="10.1021/jm200529h"/>
    <hyperlink ref="G63" r:id="rId53" display="10.1016/j.ejmech.2013.10.070"/>
    <hyperlink ref="G64" r:id="rId54" display="10.1021/jm4005626"/>
    <hyperlink ref="G65" r:id="rId55" display="10.1016/j.ejmech.2016.03.072"/>
    <hyperlink ref="G66" r:id="rId56" display="10.1016/j.bmc.2019.07.002"/>
    <hyperlink ref="G67" r:id="rId57" display="10.1016/j.bmc.2007.09.033"/>
    <hyperlink ref="G68" r:id="rId58" display="10.1021/jm800552f"/>
    <hyperlink ref="G69" r:id="rId59" display="10.1021/jm4000775"/>
    <hyperlink ref="G70" r:id="rId60" display="10.1016/j.bmc.2013.09.040"/>
    <hyperlink ref="G71" r:id="rId61" display="10.1016/j.bmcl.2008.10.070"/>
    <hyperlink ref="G72" r:id="rId62" display="10.1016/j.ejmech.2011.09.037"/>
    <hyperlink ref="G73" r:id="rId63" display="10.1016/j.ejmech.2016.07.012"/>
    <hyperlink ref="G74" r:id="rId64" display="10.1016/j.bmc.2024.118019"/>
    <hyperlink ref="G75" r:id="rId65" display="10.1016/j.bmc.2007.05.060"/>
    <hyperlink ref="G76" r:id="rId66" display="10.1016/j.bmcl.2009.07.057"/>
    <hyperlink ref="G77" r:id="rId67" display="10.1016/j.bmc.2013.01.006"/>
    <hyperlink ref="G78" r:id="rId68" display="10.1021/acs.jmedchem.5b00283"/>
    <hyperlink ref="G79" r:id="rId69" display="10.1021/acs.jmedchem.0c00595"/>
    <hyperlink ref="G80" r:id="rId70" display="10.1016/j.ejmech.2023.115109"/>
    <hyperlink ref="G81" r:id="rId71" display="10.1016/j.bmc.2008.05.034"/>
    <hyperlink ref="G82" r:id="rId72" display="10.1016/j.bmcl.2012.02.054"/>
    <hyperlink ref="G83" r:id="rId73" display="10.1016/j.ejmech.2012.03.031"/>
    <hyperlink ref="G84" r:id="rId74" display="10.1021/jm3008568"/>
    <hyperlink ref="G85" r:id="rId75" display="10.1021/jm400305d"/>
    <hyperlink ref="G86" r:id="rId76" display="10.1021/jm501165d"/>
    <hyperlink ref="G87" r:id="rId77" display="10.1021/acs.jmedchem.7b01760"/>
    <hyperlink ref="G88" r:id="rId78" display="10.1021/jm0501533"/>
    <hyperlink ref="G89" r:id="rId79" display="10.1021/jm050467q"/>
    <hyperlink ref="G90" r:id="rId80" display="10.1016/j.bmcl.2009.12.032"/>
    <hyperlink ref="G91" r:id="rId81" display="10.1021/jm100390h"/>
    <hyperlink ref="G92" r:id="rId82" display="10.1016/j.bmcl.2012.02.050"/>
    <hyperlink ref="G93" r:id="rId83" display="10.1021/ml3000325"/>
    <hyperlink ref="G94" r:id="rId84" display="10.1021/jm301181r"/>
    <hyperlink ref="G95" r:id="rId85" display="10.1016/j.bmcl.2013.01.044"/>
    <hyperlink ref="G96" r:id="rId86" display="10.1021/acs.jmedchem.8b00611"/>
    <hyperlink ref="G97" r:id="rId87" display="10.1021/acs.jmedchem.7b01820"/>
    <hyperlink ref="G98" r:id="rId88" display="10.1016/j.bmc.2018.08.003"/>
    <hyperlink ref="G99" r:id="rId89" display="10.1021/jm801563d"/>
    <hyperlink ref="G100" r:id="rId90" display="10.1016/j.bmcl.2005.07.054"/>
    <hyperlink ref="G101" r:id="rId91" display="10.1016/j.bmc.2009.02.027"/>
    <hyperlink ref="G102" r:id="rId92" display="10.1021/jm200476p"/>
    <hyperlink ref="G103" r:id="rId93" display="10.1016/j.ejmech.2011.08.021"/>
    <hyperlink ref="G104" r:id="rId94" display="10.1016/j.bmc.2013.03.030"/>
    <hyperlink ref="G105" r:id="rId95" display="10.1016/j.bmc.2013.06.010"/>
    <hyperlink ref="G106" r:id="rId96" display="10.1016/j.ejmech.2017.01.002"/>
    <hyperlink ref="G107" r:id="rId97" display="10.1016/j.ejmech.2018.12.008"/>
    <hyperlink ref="G108" r:id="rId98" display="10.1021/acs.jmedchem.2c01084"/>
    <hyperlink ref="G110" r:id="rId99" display="10.1016/j.bmcl.2007.11.133"/>
    <hyperlink ref="G111" r:id="rId100" display="10.1016/j.bmc.2008.06.001"/>
    <hyperlink ref="G112" r:id="rId101" display="10.1016/j.bmcl.2012.02.072"/>
    <hyperlink ref="G113" r:id="rId102" display="10.1016/j.bmc.2014.11.002"/>
    <hyperlink ref="G114" r:id="rId103" display="10.1016/j.ejmech.2016.05.011"/>
    <hyperlink ref="G115" r:id="rId104" display="10.1021/acs.jmedchem.9b00623"/>
    <hyperlink ref="G116" r:id="rId105" display="10.1016/j.ejmech.2019.05.080"/>
    <hyperlink ref="G117" r:id="rId106" display="10.1016/j.bmc.2021.116035"/>
    <hyperlink ref="G118" r:id="rId107" display="10.1021/acs.jmedchem.0c02053"/>
    <hyperlink ref="G119" r:id="rId108" display="10.1016/j.bmcl.2009.08.063"/>
    <hyperlink ref="G120" r:id="rId109" display="10.1016/j.ejmech.2015.06.057"/>
    <hyperlink ref="G121" r:id="rId110" display="10.1016/j.ejmech.2017.11.076"/>
    <hyperlink ref="G122" r:id="rId111" display="10.1016/j.bmcl.2007.09.089"/>
    <hyperlink ref="G123" r:id="rId112" display="10.1016/j.bmcl.2005.09.023"/>
    <hyperlink ref="G124" r:id="rId113" display="10.1021/jm1006676"/>
    <hyperlink ref="G125" r:id="rId114" display="10.1016/j.bmcl.2012.01.121"/>
    <hyperlink ref="G126" r:id="rId115" display="10.1039/C3MD00394A"/>
    <hyperlink ref="G127" r:id="rId116" display="10.1016/j.ejmech.2016.02.005"/>
    <hyperlink ref="G128" r:id="rId117" display="10.1016/j.bmc.2020.115672"/>
    <hyperlink ref="G129" r:id="rId118" display="10.1021/jm900130m"/>
    <hyperlink ref="G130" r:id="rId119" display="10.1021/jm100641g"/>
    <hyperlink ref="G131" r:id="rId120" display="10.1016/j.bmcl.2013.02.025"/>
    <hyperlink ref="G132" r:id="rId121" display="10.1021/jm4005175"/>
    <hyperlink ref="G133" r:id="rId122" display="10.1021/ml500439x"/>
    <hyperlink ref="G134" r:id="rId123" display="10.1016/j.bmcl.2014.11.003"/>
    <hyperlink ref="G135" r:id="rId124" display="10.1021/acs.jnatprod.8b00874"/>
    <hyperlink ref="G136" r:id="rId125" display="10.1016/j.ejmech.2020.112858"/>
    <hyperlink ref="G137" r:id="rId126" display="10.1021/jm801044g"/>
    <hyperlink ref="G138" r:id="rId127" display="10.1016/j.bmcl.2007.03.011"/>
    <hyperlink ref="G139" r:id="rId128" display="10.1016/j.bmcl.2009.11.075"/>
    <hyperlink ref="G140" r:id="rId129" display="10.1016/j.bmc.2011.07.062"/>
    <hyperlink ref="G141" r:id="rId130" display="10.1016/j.ejmech.2011.07.023"/>
    <hyperlink ref="G142" r:id="rId131" display="10.1016/j.bmcl.2011.08.032"/>
    <hyperlink ref="G143" r:id="rId132" display="10.1021/jm401129n"/>
    <hyperlink ref="G144" r:id="rId133" display="10.1016/j.ejmech.2015.01.028"/>
    <hyperlink ref="G145" r:id="rId134" display="10.1016/j.ejmech.2015.04.034"/>
    <hyperlink ref="G146" r:id="rId135" display="10.1016/j.bmc.2015.07.057"/>
    <hyperlink ref="G147" r:id="rId136" display="10.1016/j.bmc.2016.01.033"/>
    <hyperlink ref="G148" r:id="rId137" display="10.1016/j.ejmech.2018.01.034"/>
    <hyperlink ref="G149" r:id="rId138" display="10.1016/j.ejmech.2017.11.043"/>
    <hyperlink ref="G150" r:id="rId139" display="10.1016/j.bmc.2016.08.055"/>
    <hyperlink ref="G151" r:id="rId140" display="10.1021/acs.jmedchem.1c01836"/>
    <hyperlink ref="G152" r:id="rId141" display="10.1016/j.ejmech.2024.116298"/>
    <hyperlink ref="G153" r:id="rId142" display="10.1021/jm020329q"/>
    <hyperlink ref="G154" r:id="rId143" display="10.1016/j.bmcl.2009.05.114"/>
    <hyperlink ref="G155" r:id="rId144" display="10.1016/j.bmcl.2012.06.013"/>
    <hyperlink ref="G156" r:id="rId145" display="10.1021/acs.jnatprod.5b00065"/>
    <hyperlink ref="G157" r:id="rId146" display="10.1021/acsmedchemlett.8b00594"/>
    <hyperlink ref="G158" r:id="rId147" display="10.1021/acs.jmedchem.6b00516"/>
    <hyperlink ref="G159" r:id="rId148" display="10.1016/j.bmc.2007.08.039"/>
    <hyperlink ref="G160" r:id="rId149" display="10.1016/j.bmcl.2010.03.068"/>
    <hyperlink ref="G161" r:id="rId150" display="10.1016/j.bmcl.2012.10.087"/>
    <hyperlink ref="G162" r:id="rId151" display="10.1016/j.ejmech.2014.07.062"/>
    <hyperlink ref="G163" r:id="rId152" display="10.1016/j.ejmech.2014.11.066"/>
    <hyperlink ref="G164" r:id="rId153" display="10.1021/jm501960u"/>
    <hyperlink ref="G165" r:id="rId154" display="10.1021/acs.jmedchem.5b01331"/>
    <hyperlink ref="G166" r:id="rId155" display="10.1016/j.ejmech.2018.05.019"/>
    <hyperlink ref="G167" r:id="rId156" display="10.1016/j.bmcl.2007.06.055"/>
    <hyperlink ref="G168" r:id="rId157" display="10.1016/j.bmcl.2010.01.049"/>
    <hyperlink ref="G169" r:id="rId158" display="10.1016/j.bmcl.2011.07.017"/>
    <hyperlink ref="G170" r:id="rId159" display="10.1039/C8MD00461G"/>
    <hyperlink ref="G171" r:id="rId160" display="10.1016/j.bmcl.2021.127882"/>
    <hyperlink ref="G174" r:id="rId161" display="10.1021/jm051240y"/>
    <hyperlink ref="G175" r:id="rId162" display="10.1021/jm8000778"/>
    <hyperlink ref="G176" r:id="rId163" display="10.1016/j.bmcl.2012.04.128"/>
    <hyperlink ref="G177" r:id="rId164" display="10.1021/jm4010708"/>
    <hyperlink ref="G178" r:id="rId165" display="10.1021/acs.jmedchem.6b00717"/>
    <hyperlink ref="G179" r:id="rId166" display="10.1021/acs.jmedchem.1c00442"/>
    <hyperlink ref="G180" r:id="rId167" display="10.1021/acs.jmedchem.3c02423"/>
    <hyperlink ref="G181" r:id="rId168" display="10.1016/j.bmcl.2008.04.003"/>
    <hyperlink ref="G182" r:id="rId169" display="10.1021/jm8002203"/>
    <hyperlink ref="G183" r:id="rId170" display="10.1016/j.bmc.2010.09.061"/>
    <hyperlink ref="G184" r:id="rId171" display="10.1016/j.bmc.2010.10.050"/>
    <hyperlink ref="G185" r:id="rId172" display="10.1021/jm2004392"/>
    <hyperlink ref="G186" r:id="rId173" display="10.1016/j.ejmech.2012.10.031"/>
    <hyperlink ref="G187" r:id="rId174" display="10.1016/j.ejmech.2012.10.045"/>
    <hyperlink ref="G188" r:id="rId175" display="10.1021/ml300235q"/>
    <hyperlink ref="G189" r:id="rId176" display="10.1016/j.bmc.2013.01.055"/>
    <hyperlink ref="G190" r:id="rId177" display="10.1021/jm400070u"/>
    <hyperlink ref="G191" r:id="rId178" display="10.1021/jm4016075"/>
    <hyperlink ref="G192" r:id="rId179" display="10.1021/np500292g"/>
    <hyperlink ref="G193" r:id="rId180" display="10.1039/C4MD00232F"/>
    <hyperlink ref="G194" r:id="rId181" display="10.1021/acs.jmedchem.7b00155"/>
    <hyperlink ref="G195" r:id="rId182" display="10.1021/acs.jmedchem.0c01357"/>
    <hyperlink ref="G196" r:id="rId183" display="10.1021/acs.jmedchem.3c00599"/>
    <hyperlink ref="G199" r:id="rId184" display="10.1021/acs.jmedchem.4c03132"/>
    <hyperlink ref="G200" r:id="rId185" display="10.1021/jm801534c"/>
    <hyperlink ref="G201" r:id="rId186" display="10.1016/j.bmcl.2005.05.049"/>
    <hyperlink ref="G202" r:id="rId187" display="10.1016/j.bmcl.2006.10.095"/>
    <hyperlink ref="G203" r:id="rId188" display="10.1021/jm701519h"/>
    <hyperlink ref="G204" r:id="rId189" display="10.1021/jm800807k"/>
    <hyperlink ref="G205" r:id="rId190" display="10.1016/j.bmcl.2009.08.007"/>
    <hyperlink ref="G206" r:id="rId191" display="10.1016/j.bmc.2010.06.054"/>
    <hyperlink ref="G207" r:id="rId192" display="10.1016/j.bmcl.2012.02.048"/>
    <hyperlink ref="G208" r:id="rId193" display="10.1016/j.ejmech.2019.07.002"/>
    <hyperlink ref="G209" r:id="rId194" display="10.1016/j.bmcl.2020.127501"/>
    <hyperlink ref="G210" r:id="rId195" display="10.1021/acs.jmedchem.2c00582"/>
    <hyperlink ref="G211" r:id="rId196" display="10.1021/acs.jmedchem.3c00541"/>
    <hyperlink ref="G213" r:id="rId197" display="10.1021/jm061490u"/>
    <hyperlink ref="G214" r:id="rId198" display="10.1016/j.ejmech.2008.01.043"/>
    <hyperlink ref="G215" r:id="rId199" display="10.1016/j.bmcl.2009.01.100"/>
    <hyperlink ref="G216" r:id="rId200" display="10.1016/j.bmcl.2009.02.033"/>
    <hyperlink ref="G217" r:id="rId201" display="10.1016/j.bmcl.2010.01.074"/>
    <hyperlink ref="G218" r:id="rId202" display="10.1016/j.bmcl.2012.06.035"/>
    <hyperlink ref="G219" r:id="rId203" display="10.1016/j.ejmech.2013.09.043"/>
    <hyperlink ref="G220" r:id="rId204" display="10.1021/np400850g"/>
    <hyperlink ref="G221" r:id="rId205" display="10.1016/j.bmcl.2014.07.038"/>
    <hyperlink ref="G222" r:id="rId206" display="10.1021/acs.jmedchem.5b00078"/>
    <hyperlink ref="G223" r:id="rId207" display="10.1039/C7MD00296C"/>
    <hyperlink ref="G224" r:id="rId208" display="10.1021/acs.jnatprod.9b00831"/>
    <hyperlink ref="G225" r:id="rId209" display="10.1021/acs.jnatprod.3c00282"/>
    <hyperlink ref="G226" r:id="rId210" display="10.1021/jm800978m"/>
    <hyperlink ref="G227" r:id="rId211" display="10.1016/j.bmcl.2007.06.002"/>
    <hyperlink ref="G228" r:id="rId212" display="10.1016/j.bmcl.2009.05.097"/>
    <hyperlink ref="G229" r:id="rId213" display="10.1016/j.bmcl.2010.06.067"/>
    <hyperlink ref="G230" r:id="rId214" display="10.1016/j.bmcl.2010.10.061"/>
    <hyperlink ref="G231" r:id="rId215" display="10.1016/j.bmcl.2011.01.082"/>
    <hyperlink ref="G232" r:id="rId216" display="10.1016/j.ejmech.2011.08.030"/>
    <hyperlink ref="G233" r:id="rId217" display="10.1016/j.bmc.2011.11.028"/>
    <hyperlink ref="G234" r:id="rId218" display="10.1016/j.bmcl.2011.12.032"/>
    <hyperlink ref="G235" r:id="rId219" display="10.1016/j.bmcl.2011.12.124"/>
    <hyperlink ref="G236" r:id="rId220" display="10.1021/ml4005304"/>
    <hyperlink ref="G237" r:id="rId221" display="10.1039/C0MD00022A"/>
    <hyperlink ref="G238" r:id="rId222" display="10.1021/acs.jnatprod.5b00301"/>
    <hyperlink ref="G239" r:id="rId223" display="10.1016/j.ejmech.2018.05.050"/>
    <hyperlink ref="G240" r:id="rId224" display="10.1016/j.bmc.2017.10.015"/>
    <hyperlink ref="G241" r:id="rId225" display="10.1021/acs.jmedchem.0c00530"/>
    <hyperlink ref="G242" r:id="rId226" display="10.1016/j.ejmech.2020.113087"/>
    <hyperlink ref="G243" r:id="rId227" display="10.1021/acs.jnatprod.1c00513"/>
    <hyperlink ref="G244" r:id="rId228" display="10.1016/j.bmc.2022.116614"/>
    <hyperlink ref="G245" r:id="rId229" display="10.1021/acs.jmedchem.2c00256"/>
    <hyperlink ref="G246" r:id="rId230" display="10.1021/acs.jmedchem.1c01571"/>
    <hyperlink ref="G247" r:id="rId231" display="10.1039/d2md00006g"/>
    <hyperlink ref="G248" r:id="rId232" display="10.1016/j.ejmech.2016.07.057"/>
    <hyperlink ref="G250" r:id="rId233" display="10.1016/j.bmcl.2006.04.059"/>
    <hyperlink ref="G251" r:id="rId234" display="10.1021/jm801353p"/>
    <hyperlink ref="G252" r:id="rId235" display="10.1021/jm058183t"/>
    <hyperlink ref="G253" r:id="rId236" display="10.1021/jm8011382"/>
    <hyperlink ref="G254" r:id="rId237" display="10.1016/j.bmcl.2008.01.042"/>
    <hyperlink ref="G255" r:id="rId238" display="10.1021/np060598+"/>
    <hyperlink ref="G256" r:id="rId239" display="10.1016/j.bmcl.2004.11.007"/>
    <hyperlink ref="G257" r:id="rId240" display="10.1016/j.bmcl.2007.04.009"/>
    <hyperlink ref="G258" r:id="rId241" display="10.1021/jm901614b"/>
    <hyperlink ref="G259" r:id="rId242" display="10.1016/j.bmcl.2010.11.044"/>
    <hyperlink ref="G260" r:id="rId243" display="10.1016/j.bmcl.2011.02.082"/>
    <hyperlink ref="G261" r:id="rId244" display="10.1016/j.bmc.2011.06.033"/>
    <hyperlink ref="G262" r:id="rId245" display="10.1021/np200500p"/>
    <hyperlink ref="G263" r:id="rId246" display="10.1016/j.bmcl.2011.07.099"/>
    <hyperlink ref="G264" r:id="rId247" display="10.1021/jm400132d"/>
    <hyperlink ref="G265" r:id="rId248" display="10.1016/j.ejmech.2014.01.030"/>
    <hyperlink ref="G266" r:id="rId249" display="10.1016/j.bmc.2014.04.062"/>
    <hyperlink ref="G267" r:id="rId250" display="10.1016/j.bmcl.2014.11.006"/>
    <hyperlink ref="G268" r:id="rId251" display="10.1016/j.bmcl.2014.04.112"/>
    <hyperlink ref="G269" r:id="rId252" display="10.1016/j.bmc.2017.11.051"/>
    <hyperlink ref="G270" r:id="rId253" display="10.1021/acs.jnatprod.9b00876"/>
    <hyperlink ref="G271" r:id="rId254" display="10.1039/C8MD00595H"/>
    <hyperlink ref="G272" r:id="rId255" display="10.1016/j.ejmech.2018.07.076"/>
    <hyperlink ref="G273" r:id="rId256" display="10.6019/CHEMBL4507297"/>
    <hyperlink ref="G274" r:id="rId257" display="10.1016/j.ejmech.2018.11.017"/>
    <hyperlink ref="G275" r:id="rId258" display="10.1021/acs.jmedchem.0c00724"/>
    <hyperlink ref="G276" r:id="rId259" display="10.1021/acs.jnatprod.0c00965"/>
    <hyperlink ref="G277" r:id="rId260" display="10.1021/acs.jmedchem.2c00969"/>
    <hyperlink ref="G278" r:id="rId261" display="10.1021/acs.jmedchem.4c00652"/>
    <hyperlink ref="G279" r:id="rId262" display="10.1016/j.ejmech.2024.116164"/>
    <hyperlink ref="G280" r:id="rId263" display="10.1016/j.ejmech.2025.117262"/>
    <hyperlink ref="G281" r:id="rId264" display="10.1039/d4md00522h"/>
    <hyperlink ref="G282" r:id="rId265" display="10.1021/jm960394y"/>
    <hyperlink ref="G283" r:id="rId266" display="10.1016/0960-894X(96)00426-X"/>
    <hyperlink ref="G284" r:id="rId267" display="10.1016/0960-894X(95)00573-C"/>
    <hyperlink ref="G285" r:id="rId268" display="10.1021/jm970136g"/>
    <hyperlink ref="G286" r:id="rId269" display="10.1021/jm970126f"/>
    <hyperlink ref="G287" r:id="rId270" display="10.1021/jm9801197"/>
    <hyperlink ref="G288" r:id="rId271" display="10.1021/jm0001572"/>
    <hyperlink ref="G289" r:id="rId272" display="10.1021/jm991074s"/>
    <hyperlink ref="G290" r:id="rId273" display="10.1021/jm015545y"/>
    <hyperlink ref="G291" r:id="rId274" display="10.1016/s0960-894x(02)00466-3"/>
    <hyperlink ref="G292" r:id="rId275" display="10.1021/jm010498v"/>
    <hyperlink ref="G293" r:id="rId276" display="10.1016/s0960-894x(03)00729-7"/>
    <hyperlink ref="G294" r:id="rId277" display="10.1021/jm0209679"/>
    <hyperlink ref="G295" r:id="rId278" display="10.1021/jm0210818"/>
    <hyperlink ref="G296" r:id="rId279" display="10.1016/j.bmcl.2009.04.023"/>
    <hyperlink ref="G297" r:id="rId280" display="10.1021/jm0603466"/>
    <hyperlink ref="G298" r:id="rId281" display="10.1021/jm900471u"/>
    <hyperlink ref="G299" r:id="rId282" display="10.1021/jm0602413"/>
    <hyperlink ref="G300" r:id="rId283" display="10.1021/jm060920d"/>
    <hyperlink ref="G301" r:id="rId284" display="10.1021/jm060978s"/>
    <hyperlink ref="G302" r:id="rId285" display="10.1016/j.bmcl.2006.09.049"/>
    <hyperlink ref="G303" r:id="rId286" display="10.1021/jm900255t"/>
    <hyperlink ref="G304" r:id="rId287" display="10.1016/j.bmcl.2009.03.046"/>
    <hyperlink ref="G305" r:id="rId288" display="10.1016/j.bmcl.2009.03.005"/>
    <hyperlink ref="G306" r:id="rId289" display="10.1021/jm050879z"/>
    <hyperlink ref="G307" r:id="rId290" display="10.1016/j.bmcl.2007.01.005"/>
    <hyperlink ref="G308" r:id="rId291" display="10.1016/j.bmcl.2008.10.118"/>
    <hyperlink ref="G309" r:id="rId292" display="10.1016/j.bmcl.2008.10.130"/>
    <hyperlink ref="G310" r:id="rId293" display="10.1016/j.bmcl.2008.11.026"/>
    <hyperlink ref="G311" r:id="rId294" display="10.1021/jm050565b"/>
    <hyperlink ref="G312" r:id="rId295" display="10.1021/jm800066v"/>
    <hyperlink ref="G313" r:id="rId296" display="10.1021/jm800329z"/>
    <hyperlink ref="G314" r:id="rId297" display="10.1021/jm800416m"/>
    <hyperlink ref="G315" r:id="rId298" display="10.1021/jm800670r"/>
    <hyperlink ref="G316" r:id="rId299" display="10.1021/jm0503906"/>
    <hyperlink ref="G317" r:id="rId300" display="10.1016/j.bmcl.2007.09.004"/>
    <hyperlink ref="G318" r:id="rId301" display="10.1021/jm0610705"/>
    <hyperlink ref="G319" r:id="rId302" display="10.1016/j.bmcl.2008.11.029"/>
    <hyperlink ref="G320" r:id="rId303" display="10.1073/pnas.0611364104"/>
    <hyperlink ref="G321" r:id="rId304" display="10.1021/jm701487t"/>
    <hyperlink ref="G322" r:id="rId305" display="10.1016/j.bmcl.2008.12.059"/>
    <hyperlink ref="G323" r:id="rId306" display="10.1021/jm061195+"/>
    <hyperlink ref="G324" r:id="rId307" display="10.1016/j.bmcl.2008.02.061"/>
    <hyperlink ref="G325" r:id="rId308" display="10.1016/j.bmc.2007.10.087"/>
    <hyperlink ref="G326" r:id="rId309" display="10.1016/j.bmcl.2004.11.031"/>
    <hyperlink ref="G327" r:id="rId310" display="10.1016/j.bmc.2006.10.049"/>
    <hyperlink ref="G328" r:id="rId311" display="10.1016/j.bmcl.2007.01.087"/>
    <hyperlink ref="G329" r:id="rId312" display="10.1016/j.bmcl.2008.03.048"/>
    <hyperlink ref="G330" r:id="rId313" display="10.1021/jm0340795"/>
    <hyperlink ref="G331" r:id="rId314" display="10.1021/jm049263k"/>
    <hyperlink ref="G332" r:id="rId315" display="10.1021/jm070131b"/>
    <hyperlink ref="G333" r:id="rId316" display="10.1016/j.bmcl.2007.01.006"/>
    <hyperlink ref="G334" r:id="rId317" display="10.1021/jm031019q"/>
    <hyperlink ref="G335" r:id="rId318" display="10.1021/jm050977k"/>
    <hyperlink ref="G336" r:id="rId319" display="10.1021/jm050725j"/>
    <hyperlink ref="G337" r:id="rId320" display="10.1021/jm050484f"/>
    <hyperlink ref="G338" r:id="rId321" display="10.1021/jm070317a"/>
    <hyperlink ref="G339" r:id="rId322" display="10.1021/jm0705612"/>
    <hyperlink ref="G340" r:id="rId323" display="10.1016/j.bmcl.2005.10.028"/>
    <hyperlink ref="G341" r:id="rId324" display="10.1016/j.bmcl.2005.10.019"/>
    <hyperlink ref="G342" r:id="rId325" display="10.1016/j.bmcl.2007.07.005"/>
    <hyperlink ref="G343" r:id="rId326" display="10.1016/j.ejmech.2007.04.007"/>
    <hyperlink ref="G344" r:id="rId327" display="10.1016/j.bmcl.2008.04.022"/>
    <hyperlink ref="G345" r:id="rId328" display="10.1021/jm800843r"/>
    <hyperlink ref="G346" r:id="rId329" display="10.1016/j.bmc.2009.05.013"/>
    <hyperlink ref="G347" r:id="rId330" display="10.1016/j.bmcl.2009.11.019"/>
    <hyperlink ref="G348" r:id="rId331" display="10.1016/j.bmcl.2009.11.117"/>
    <hyperlink ref="G349" r:id="rId332" display="10.1021/jm900063x"/>
    <hyperlink ref="G350" r:id="rId333" display="10.1016/j.bmcl.2009.05.062"/>
    <hyperlink ref="G351" r:id="rId334" display="10.1016/j.bmc.2008.11.059"/>
    <hyperlink ref="G352" r:id="rId335" display="10.1016/j.bmcl.2009.02.063"/>
    <hyperlink ref="G353" r:id="rId336" display="10.1016/j.bmcl.2009.06.069"/>
    <hyperlink ref="G354" r:id="rId337" display="10.1016/j.bmcl.2009.08.092"/>
    <hyperlink ref="G355" r:id="rId338" display="10.1016/j.bmcl.2009.07.046"/>
    <hyperlink ref="G356" r:id="rId339" display="10.1021/jm9018756"/>
    <hyperlink ref="G357" r:id="rId340" display="10.1016/j.bmc.2008.06.019"/>
    <hyperlink ref="G358" r:id="rId341" display="10.1016/j.bmcl.2008.06.098"/>
    <hyperlink ref="G359" r:id="rId342" display="10.1016/j.bmcl.2008.06.096"/>
    <hyperlink ref="G360" r:id="rId343" display="10.1021/jm9009857"/>
    <hyperlink ref="G361" r:id="rId344" display="10.1016/j.bmcl.2009.10.015"/>
    <hyperlink ref="G362" r:id="rId345" display="10.1016/j.bmcl.2009.10.041"/>
    <hyperlink ref="G363" r:id="rId346" display="10.1016/j.bmcl.2009.12.065"/>
    <hyperlink ref="G364" r:id="rId347" display="10.1073/pnas.0706980105"/>
    <hyperlink ref="G365" r:id="rId348" display="10.1021/jm800463f"/>
    <hyperlink ref="G366" r:id="rId349" display="10.1016/j.bmcl.2009.12.092"/>
    <hyperlink ref="G367" r:id="rId350" display="10.1016/j.bmc.2008.01.023"/>
    <hyperlink ref="G368" r:id="rId351" display="10.1016/j.bmc.2010.02.011"/>
    <hyperlink ref="G369" r:id="rId352" display="10.1021/jm901497b"/>
    <hyperlink ref="G370" r:id="rId353" display="10.1021/jm100023j"/>
    <hyperlink ref="G371" r:id="rId354" display="10.1021/jm900324e"/>
    <hyperlink ref="G372" r:id="rId355" display="10.1016/j.bmcl.2009.11.134"/>
    <hyperlink ref="G373" r:id="rId356" display="10.1016/j.bmcl.2010.04.071"/>
    <hyperlink ref="G374" r:id="rId357" display="10.1016/j.bmc.2009.12.040"/>
    <hyperlink ref="G376" r:id="rId358" display="10.1038/nchembio.129"/>
    <hyperlink ref="G377" r:id="rId359" display="10.1016/j.bmc.2010.07.013"/>
    <hyperlink ref="G378" r:id="rId360" display="10.1016/j.bmc.2010.05.058"/>
    <hyperlink ref="G379" r:id="rId361" display="10.1016/j.bmcl.2010.08.126"/>
    <hyperlink ref="G380" r:id="rId362" display="10.1016/j.bmc.2010.11.059"/>
    <hyperlink ref="G381" r:id="rId363" display="10.1016/j.bmcl.2011.02.017"/>
    <hyperlink ref="G382" r:id="rId364" display="10.1016/j.bmcl.2011.02.019"/>
    <hyperlink ref="G383" r:id="rId365" display="10.1021/jm2000536"/>
    <hyperlink ref="G384" r:id="rId366" display="10.1016/j.bmcl.2011.02.078"/>
    <hyperlink ref="G385" r:id="rId367" display="10.1021/np100778k"/>
    <hyperlink ref="G386" r:id="rId368" display="10.1016/j.bmcl.2011.03.069"/>
    <hyperlink ref="G387" r:id="rId369" display="10.1016/j.bmcl.2010.09.121"/>
    <hyperlink ref="G388" r:id="rId370" display="10.1016/j.bmcl.2011.05.063"/>
    <hyperlink ref="G389" r:id="rId371" display="10.1016/j.bmcl.2011.05.068"/>
    <hyperlink ref="G390" r:id="rId372" display="10.1021/jm200365y"/>
    <hyperlink ref="G391" r:id="rId373" display="10.1016/j.bmcl.2011.06.017"/>
    <hyperlink ref="G392" r:id="rId374" display="10.1021/np200147c"/>
    <hyperlink ref="G393" r:id="rId375" display="10.1016/j.ejmech.2011.08.031"/>
    <hyperlink ref="G394" r:id="rId376" display="10.1021/jm200916p"/>
    <hyperlink ref="G395" r:id="rId377" display="10.1016/j.bmcl.2011.09.016"/>
    <hyperlink ref="G396" r:id="rId378" display="10.1021/np200610t"/>
    <hyperlink ref="G397" r:id="rId379" display="10.1016/j.bmcl.2011.10.091"/>
    <hyperlink ref="G398" r:id="rId380" display="10.1021/jm201157c"/>
    <hyperlink ref="G399" r:id="rId381" display="10.1021/ml200091q"/>
    <hyperlink ref="G400" r:id="rId382" display="10.1021/ml200183z"/>
    <hyperlink ref="G401" r:id="rId383" display="10.1021/jm201731z"/>
    <hyperlink ref="G402" r:id="rId384" display="10.1021/jm201485c"/>
    <hyperlink ref="G403" r:id="rId385" display="10.1021/jm2016057"/>
    <hyperlink ref="G404" r:id="rId386" display="10.1016/j.bmcl.2012.08.004"/>
    <hyperlink ref="G405" r:id="rId387" display="10.1016/j.bmcl.2012.05.101"/>
    <hyperlink ref="G406" r:id="rId388" display="10.1016/j.bmcl.2012.05.036"/>
    <hyperlink ref="G407" r:id="rId389" display="10.1016/j.bmcl.2012.06.060"/>
    <hyperlink ref="G408" r:id="rId390" display="10.1021/jm301511h"/>
    <hyperlink ref="G409" r:id="rId391" display="10.1021/jm300484d"/>
    <hyperlink ref="G410" r:id="rId392" display="10.1021/np300653d"/>
    <hyperlink ref="G411" r:id="rId393" display="10.1021/jm400268b"/>
    <hyperlink ref="G412" r:id="rId394" display="10.1016/j.bmcl.2013.02.108"/>
    <hyperlink ref="G413" r:id="rId395" display="10.1021/ml4000996"/>
    <hyperlink ref="G414" r:id="rId396" display="10.1016/j.bmcl.2013.03.066"/>
    <hyperlink ref="G415" r:id="rId397" display="10.1016/j.bmcl.2013.03.121"/>
    <hyperlink ref="G416" r:id="rId398" display="10.1021/jm4004939"/>
    <hyperlink ref="G417" r:id="rId399" display="10.1021/jm400766k"/>
    <hyperlink ref="G418" r:id="rId400" display="10.1021/np400478c"/>
    <hyperlink ref="G419" r:id="rId401" display="10.1021/jm400923s"/>
    <hyperlink ref="G420" r:id="rId402" display="10.1016/j.bmcl.2013.11.023"/>
    <hyperlink ref="G421" r:id="rId403" display="10.1016/j.bmcl.2013.10.045"/>
    <hyperlink ref="G422" r:id="rId404" display="10.1021/np400740u"/>
    <hyperlink ref="G423" r:id="rId405" display="10.1016/j.bmcl.2013.12.068"/>
    <hyperlink ref="G424" r:id="rId406" display="10.1016/j.ejmech.2013.12.018"/>
    <hyperlink ref="G425" r:id="rId407" display="10.1016/j.bmcl.2014.01.056"/>
    <hyperlink ref="G426" r:id="rId408" display="10.1021/jm500220s"/>
    <hyperlink ref="G427" r:id="rId409" display="10.1016/j.ejmech.2014.05.055"/>
    <hyperlink ref="G428" r:id="rId410" display="10.1021/jm501042u"/>
    <hyperlink ref="G429" r:id="rId411" display="10.1021/jm501207r"/>
    <hyperlink ref="G430" r:id="rId412" display="10.1016/j.bmcl.2014.11.040"/>
    <hyperlink ref="G431" r:id="rId413" display="10.1016/j.ejmech.2014.08.042"/>
    <hyperlink ref="G432" r:id="rId414" display="10.1016/j.bmc.2014.06.008"/>
    <hyperlink ref="G433" r:id="rId415" display="10.1016/j.bmcl.2014.12.019"/>
    <hyperlink ref="G434" r:id="rId416" display="10.1016/j.bmcl.2014.05.016"/>
    <hyperlink ref="G435" r:id="rId417" display="10.1016/j.bmcl.2014.12.031"/>
    <hyperlink ref="G436" r:id="rId418" display="10.1016/j.bmcl.2014.11.062"/>
    <hyperlink ref="G437" r:id="rId419" display="10.1016/j.bmcl.2015.01.064"/>
    <hyperlink ref="G438" r:id="rId420" display="10.1016/j.bmc.2015.01.059"/>
    <hyperlink ref="G439" r:id="rId421" display="10.1016/j.bmcl.2014.12.033"/>
    <hyperlink ref="G440" r:id="rId422" display="10.1016/j.bmc.2015.02.058"/>
    <hyperlink ref="G441" r:id="rId423" display="10.1016/j.bmcl.2015.02.037"/>
    <hyperlink ref="G442" r:id="rId424" display="10.1021/acs.jmedchem.5b00245"/>
    <hyperlink ref="G443" r:id="rId425" display="10.1021/acs.jnatprod.5b00218"/>
    <hyperlink ref="G444" r:id="rId426" display="10.1021/acs.jmedchem.5b00579"/>
    <hyperlink ref="G445" r:id="rId427" display="10.1021/acs.jmedchem.5b00227"/>
    <hyperlink ref="G446" r:id="rId428" display="10.1016/j.bmcl.2015.07.012"/>
    <hyperlink ref="G447" r:id="rId429" display="10.1016/j.bmc.2015.08.030"/>
    <hyperlink ref="G450" r:id="rId430" display="10.1016/j.ejmech.2015.08.051"/>
    <hyperlink ref="G451" r:id="rId431" display="10.1016/j.ejmech.2015.10.050"/>
    <hyperlink ref="G452" r:id="rId432" display="10.1021/acs.jmedchem.5b00256"/>
    <hyperlink ref="G453" r:id="rId433" display="10.1039/C5MD00333D"/>
    <hyperlink ref="G454" r:id="rId434" display="10.1016/j.ejmech.2015.12.036"/>
    <hyperlink ref="G455" r:id="rId435" display="10.1021/acs.jmedchem.5b01559"/>
    <hyperlink ref="G456" r:id="rId436" display="10.1021/acs.jmedchem.5b01812"/>
    <hyperlink ref="G457" r:id="rId437" display="10.1021/acs.jmedchem.5b01416"/>
    <hyperlink ref="G458" r:id="rId438" display="10.1021/acsmedchemlett.6b00009"/>
    <hyperlink ref="G459" r:id="rId439" display="10.1021/acs.jmedchem.6b00228"/>
    <hyperlink ref="G460" r:id="rId440" display="10.1016/j.bmcl.2016.09.025"/>
    <hyperlink ref="G461" r:id="rId441" display="10.1016/j.bmcl.2016.09.026"/>
    <hyperlink ref="G474" r:id="rId442" display="10.1021/acs.jmedchem.7b00816"/>
    <hyperlink ref="G475" r:id="rId443" display="10.1021/acsmedchemlett.7b00007"/>
    <hyperlink ref="G476" r:id="rId444" display="10.1021/acs.jmedchem.7b01845"/>
    <hyperlink ref="G477" r:id="rId445" display="10.1021/acs.jmedchem.7b00724"/>
    <hyperlink ref="G478" r:id="rId446" display="10.1021/acs.jmedchem.7b00707"/>
    <hyperlink ref="G479" r:id="rId447" display="10.1016/j.bmc.2017.02.031"/>
    <hyperlink ref="G480" r:id="rId448" display="10.1016/j.bmc.2017.06.016"/>
    <hyperlink ref="G481" r:id="rId449" display="10.1016/j.ejmech.2017.05.060"/>
    <hyperlink ref="G482" r:id="rId450" display="10.1021/acs.jmedchem.8b00374"/>
    <hyperlink ref="G483" r:id="rId451" display="10.1021/acs.jnatprod.7b00946"/>
    <hyperlink ref="G484" r:id="rId452" display="10.1021/acsmedchemlett.7b00396"/>
    <hyperlink ref="G485" r:id="rId453" display="10.1021/acs.jmedchem.8b00243"/>
    <hyperlink ref="G486" r:id="rId454" display="10.1016/j.ejmech.2018.04.006"/>
    <hyperlink ref="G487" r:id="rId455" display="10.1016/j.bmc.2018.09.007"/>
    <hyperlink ref="G488" r:id="rId456" display="10.1016/j.ejmech.2018.08.038"/>
    <hyperlink ref="G489" r:id="rId457" display="10.1021/acs.jmedchem.8b01467"/>
    <hyperlink ref="G490" r:id="rId458" display="10.1021/acs.jmedchem.8b00368"/>
    <hyperlink ref="G491" r:id="rId459" display="10.1016/j.bmcl.2018.11.009"/>
    <hyperlink ref="G492" r:id="rId460" display="10.1021/acs.jmedchem.9b00719"/>
    <hyperlink ref="G493" r:id="rId461" display="10.1021/acs.jmedchem.9b01924"/>
    <hyperlink ref="G494" r:id="rId462" display="10.1021/acs.jmedchem.9b01916"/>
    <hyperlink ref="G495" r:id="rId463" display="10.1016/j.ejmech.2019.07.036"/>
    <hyperlink ref="G496" r:id="rId464" display="10.1016/j.bmc.2019.115096"/>
    <hyperlink ref="G497" r:id="rId465" display="10.1021/acs.jmedchem.9b00727"/>
    <hyperlink ref="G498" r:id="rId466" display="10.1039/C9MD00173E"/>
    <hyperlink ref="G499" r:id="rId467" display="10.1039/C9MD00411D"/>
    <hyperlink ref="G500" r:id="rId468" display="10.1016/j.bmc.2018.11.003"/>
    <hyperlink ref="G501" r:id="rId469" display="10.1021/acs.jmedchem.8b01888"/>
    <hyperlink ref="G502" r:id="rId470" display="10.1016/j.bmc.2019.05.018"/>
    <hyperlink ref="G503" r:id="rId471" display="10.1016/j.bmc.2019.02.017"/>
    <hyperlink ref="G504" r:id="rId472" display="10.1021/acs.jmedchem.9b01161"/>
    <hyperlink ref="G505" r:id="rId473" display="10.1021/acs.jmedchem.8b01483"/>
    <hyperlink ref="G506" r:id="rId474" display="10.1021/acs.jmedchem.8b01775"/>
    <hyperlink ref="G507" r:id="rId475" display="10.6019/CHEMBL4507257"/>
    <hyperlink ref="G508" r:id="rId476" display="10.6019/CHEMBL4507258"/>
    <hyperlink ref="G509" r:id="rId477" display="10.6019/CHEMBL4507259"/>
    <hyperlink ref="G510" r:id="rId478" display="10.6019/CHEMBL4507260"/>
    <hyperlink ref="G511" r:id="rId479" display="10.6019/CHEMBL4507261"/>
    <hyperlink ref="G512" r:id="rId480" display="10.6019/CHEMBL4507262"/>
    <hyperlink ref="G513" r:id="rId481" display="10.6019/CHEMBL4507275"/>
    <hyperlink ref="G514" r:id="rId482" display="10.6019/CHEMBL4507276"/>
    <hyperlink ref="G515" r:id="rId483" display="10.6019/CHEMBL4507287"/>
    <hyperlink ref="G516" r:id="rId484" display="10.6019/CHEMBL4507291"/>
    <hyperlink ref="G517" r:id="rId485" display="10.6019/CHEMBL4507292"/>
    <hyperlink ref="G518" r:id="rId486" display="10.6019/CHEMBL4507293"/>
    <hyperlink ref="G519" r:id="rId487" display="10.6019/CHEMBL4507295"/>
    <hyperlink ref="G520" r:id="rId488" display="10.6019/CHEMBL4507298"/>
    <hyperlink ref="G521" r:id="rId489" display="10.6019/CHEMBL4507309"/>
    <hyperlink ref="G522" r:id="rId490" display="10.6019/CHEMBL4507310"/>
    <hyperlink ref="G523" r:id="rId491" display="10.6019/CHEMBL4507311"/>
    <hyperlink ref="G524" r:id="rId492" display="10.6019/CHEMBL4507325"/>
    <hyperlink ref="G525" r:id="rId493" display="10.6019/CHEMBL4507328"/>
    <hyperlink ref="G526" r:id="rId494" display="10.1021/acs.jmedchem.9b00058"/>
    <hyperlink ref="G527" r:id="rId495" display="10.1016/j.bmcl.2019.126715"/>
    <hyperlink ref="G528" r:id="rId496" display="10.1021/acs.jmedchem.9b02137"/>
    <hyperlink ref="G529" r:id="rId497" display="10.1021/acs.jmedchem.0c00745"/>
    <hyperlink ref="G530" r:id="rId498" display="10.1016/j.bmcl.2020.127243"/>
    <hyperlink ref="G531" r:id="rId499" display="10.1021/acs.jmedchem.9b01953"/>
    <hyperlink ref="G532" r:id="rId500" display="10.1021/acs.jmedchem.0c00522"/>
    <hyperlink ref="G533" r:id="rId501" display="10.6019/CHEMBL4630901"/>
    <hyperlink ref="G534" r:id="rId502" display="10.6019/CHEMBL4630903"/>
    <hyperlink ref="G535" r:id="rId503" display="10.6019/CHEMBL4630904"/>
    <hyperlink ref="G536" r:id="rId504" display="10.6019/CHEMBL4630907"/>
    <hyperlink ref="G537" r:id="rId505" display="10.6019/CHEMBL4630908"/>
    <hyperlink ref="G538" r:id="rId506" display="10.6019/CHEMBL4630909"/>
    <hyperlink ref="G539" r:id="rId507" display="10.1021/acsmedchemlett.0c00495"/>
    <hyperlink ref="G540" r:id="rId508" display="10.1016/j.ejmech.2019.111953"/>
    <hyperlink ref="G541" r:id="rId509" display="10.1021/acs.jmedchem.0c00774"/>
    <hyperlink ref="G542" r:id="rId510" display="10.1021/acs.jmedchem.9b00062"/>
    <hyperlink ref="G543" r:id="rId511" display="10.1016/j.ejmech.2020.112606"/>
    <hyperlink ref="G544" r:id="rId512" display="10.1016/j.ejmech.2020.112521"/>
    <hyperlink ref="G545" r:id="rId513" display="10.1021/acsmedchemlett.6b00324"/>
    <hyperlink ref="G546" r:id="rId514" display="10.1021/acsmedchemlett.0c00208"/>
    <hyperlink ref="G547" r:id="rId515" display="10.1016/j.ejmech.2020.112857"/>
    <hyperlink ref="G548" r:id="rId516" display="10.1016/j.ejmech.2020.112144"/>
    <hyperlink ref="G549" r:id="rId517" display="10.1021/acs.jmedchem.0c01023"/>
    <hyperlink ref="G550" r:id="rId518" display="10.6019/CHEMBL4800722"/>
    <hyperlink ref="G551" r:id="rId519" display="10.6019/CHEMBL4800723"/>
    <hyperlink ref="G552" r:id="rId520" display="10.6019/CHEMBL4800727"/>
    <hyperlink ref="G553" r:id="rId521" display="10.6019/CHEMBL4800729"/>
    <hyperlink ref="G554" r:id="rId522" display="10.1021/acs.jmedchem.1c00432"/>
    <hyperlink ref="G555" r:id="rId523" display="10.1016/j.ejmech.2020.113116"/>
    <hyperlink ref="G556" r:id="rId524" display="10.1021/acs.jnatprod.0c00939"/>
    <hyperlink ref="G557" r:id="rId525" display="10.1021/acsmedchemlett.1c00331"/>
    <hyperlink ref="G558" r:id="rId526" display="10.1021/acs.jmedchem.1c00076"/>
    <hyperlink ref="G559" r:id="rId527" display="10.1016/j.bmc.2021.116215"/>
    <hyperlink ref="G560" r:id="rId528" display="10.1021/acs.jmedchem.1c00802"/>
    <hyperlink ref="G561" r:id="rId529" display="10.1021/acs.jmedchem.1c01432"/>
    <hyperlink ref="G563" r:id="rId530" display="10.1021/acs.jmedchem.1c01088"/>
    <hyperlink ref="G564" r:id="rId531" display="10.6019/CHEMBL5058641"/>
    <hyperlink ref="G565" r:id="rId532" display="10.6019/CHEMBL5058643"/>
    <hyperlink ref="G566" r:id="rId533" display="10.6019/CHEMBL5058649"/>
    <hyperlink ref="G567" r:id="rId534" display="10.1021/acs.jmedchem.1c00561"/>
    <hyperlink ref="G568" r:id="rId535" display="10.1021/acsmedchemlett.2c00469"/>
    <hyperlink ref="G569" r:id="rId536" display="10.1039/D1MD00065A"/>
    <hyperlink ref="G570" r:id="rId537" display="10.1016/j.ejmech.2022.114649"/>
    <hyperlink ref="G571" r:id="rId538" display="10.1039/d2md00087c"/>
    <hyperlink ref="G572" r:id="rId539" display="10.1016/j.bmcl.2021.128497"/>
    <hyperlink ref="G573" r:id="rId540" display="10.1016/j.ejmech.2022.114329"/>
    <hyperlink ref="G574" r:id="rId541" display="10.1021/acs.jmedchem.1c01806"/>
    <hyperlink ref="G575" r:id="rId542" display="10.6019/CHEMBL5212743"/>
    <hyperlink ref="G576" r:id="rId543" display="10.1021/acsmedchemlett.2c00325"/>
    <hyperlink ref="G577" r:id="rId544" display="10.1021/acs.jmedchem.1c00747"/>
    <hyperlink ref="G578" r:id="rId545" display="10.1016/j.ejmech.2018.08.002"/>
    <hyperlink ref="G579" r:id="rId546" display="10.1016/j.bmc.2023.117258"/>
    <hyperlink ref="G580" r:id="rId547" display="10.6019/CHEMBL5303761"/>
    <hyperlink ref="G581" r:id="rId548" display="10.6019/CHEMBL5303762"/>
    <hyperlink ref="G582" r:id="rId549" display="10.6019/CHEMBL5303763"/>
    <hyperlink ref="G583" r:id="rId550" display="10.6019/CHEMBL5303764"/>
    <hyperlink ref="G584" r:id="rId551" display="10.6019/CHEMBL5303765"/>
    <hyperlink ref="G585" r:id="rId552" display="10.6019/CHEMBL5303768"/>
    <hyperlink ref="G586" r:id="rId553" display="10.1021/acs.jmedchem.3c00959"/>
    <hyperlink ref="G587" r:id="rId554" display="10.1016/j.ejmech.2022.114952"/>
    <hyperlink ref="G588" r:id="rId555" display="10.1021/acs.jmedchem.2c01943"/>
    <hyperlink ref="G589" r:id="rId556" display="10.1021/acs.jmedchem.3c00951"/>
    <hyperlink ref="G590" r:id="rId557" display="10.1016/j.bmcl.2023.129572"/>
    <hyperlink ref="G591" r:id="rId558" display="10.1021/acs.jnatprod.3c00796"/>
    <hyperlink ref="G592" r:id="rId559" display="10.1021/acs.jnatprod.3c00172"/>
    <hyperlink ref="G593" r:id="rId560" display="10.1021/acs.jmedchem.3c00784"/>
    <hyperlink ref="G594" r:id="rId561" display="10.1016/j.bmcl.2023.129487"/>
    <hyperlink ref="G595" r:id="rId562" display="10.1021/acs.jmedchem.3c01637"/>
    <hyperlink ref="G596" r:id="rId563" display="10.6019/CHEMBL5442334"/>
    <hyperlink ref="G597" r:id="rId564" display="10.6019/CHEMBL5463721"/>
    <hyperlink ref="G598" r:id="rId565" display="10.6019/CHEMBL5463722"/>
    <hyperlink ref="G599" r:id="rId566" display="10.6019/CHEMBL5463723"/>
    <hyperlink ref="G600" r:id="rId567" display="10.6019/CHEMBL5463725"/>
    <hyperlink ref="G601" r:id="rId568" display="10.6019/CHEMBL5463728"/>
    <hyperlink ref="G602" r:id="rId569" display="10.6019/CHEMBL5463729"/>
    <hyperlink ref="G603" r:id="rId570" display="10.6019/CHEMBL5465560"/>
    <hyperlink ref="G604" r:id="rId571" display="10.1021/acs.jmedchem.4c00537"/>
    <hyperlink ref="G605" r:id="rId572" display="10.1016/j.ejmech.2023.116048"/>
    <hyperlink ref="G606" r:id="rId573" display="10.1016/j.ejmech.2023.115916"/>
    <hyperlink ref="G607" r:id="rId574" display="10.1039/d3md00758h"/>
    <hyperlink ref="G608" r:id="rId575" display="10.1021/acs.jmedchem.3c01278"/>
    <hyperlink ref="G609" r:id="rId576" display="10.1016/j.ejmech.2024.116285"/>
    <hyperlink ref="G610" r:id="rId577" display="10.1021/acs.jmedchem.4c00133"/>
    <hyperlink ref="G611" r:id="rId578" display="10.1021/acs.jmedchem.4c00357"/>
    <hyperlink ref="G612" r:id="rId579" display="10.1021/acs.jmedchem.4c00796"/>
    <hyperlink ref="G613" r:id="rId580" display="10.1016/j.bmcl.2023.129548"/>
    <hyperlink ref="G614" r:id="rId581" display="10.1016/j.ejmech.2024.116592"/>
    <hyperlink ref="G615" r:id="rId582" display="10.1021/acs.jnatprod.3c00336"/>
    <hyperlink ref="G616" r:id="rId583" display="10.1016/j.ejmech.2023.115647"/>
    <hyperlink ref="G617" r:id="rId584" display="10.1038/nature24028"/>
    <hyperlink ref="G618" r:id="rId585" display="10.1038/nchembio.2334"/>
    <hyperlink ref="G619" r:id="rId586" display="10.1016/s0014-2999(98)00891-7"/>
    <hyperlink ref="G620" r:id="rId587" display="10.1016/j.pain.2011.01.049"/>
    <hyperlink ref="G621" r:id="rId588" display="10.1038/nature11262"/>
    <hyperlink ref="G622" r:id="rId589" display="10.1073/pnas.1407358111"/>
    <hyperlink ref="G623" r:id="rId590" display="10.1016/j.ccell.2015.06.002"/>
    <hyperlink ref="G624" r:id="rId591" display="10.6019/CHEMBL5723582"/>
    <hyperlink ref="G625" r:id="rId592" display="10.6019/CHEMBL5723583"/>
    <hyperlink ref="G626" r:id="rId593" display="10.6019/CHEMBL5723586"/>
    <hyperlink ref="G627" r:id="rId594" display="10.6019/CHEMBL5723587"/>
    <hyperlink ref="G647" r:id="rId595" display="10.1016/j.ejmech.2024.116845"/>
    <hyperlink ref="G648" r:id="rId596" display="10.1016/j.ejmech.2024.117117"/>
    <hyperlink ref="G649" r:id="rId597" display="10.1021/acs.jmedchem.4c01778"/>
    <hyperlink ref="G650" r:id="rId598" display="10.1021/acs.jmedchem.4c02291"/>
    <hyperlink ref="G651" r:id="rId599" display="10.1021/acs.jmedchem.5c00383"/>
    <hyperlink ref="G652" r:id="rId600" display="10.1021/acs.jnatprod.4c00977"/>
    <hyperlink ref="G653" r:id="rId601" display="10.1021/acs.jmedchem.5c00242"/>
    <hyperlink ref="G654" r:id="rId602" display="10.6019/CHEMBL6193870"/>
    <hyperlink ref="G655" r:id="rId603" display="10.6019/CHEMBL6193874"/>
    <hyperlink ref="G656" r:id="rId604" display="10.6019/CHEMBL6193876"/>
    <hyperlink ref="G657" r:id="rId605" display="10.6019/CHEMBL619387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06"/>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6" min="3" style="0" width="14"/>
    <col collapsed="false" customWidth="true" hidden="false" outlineLevel="0" max="7" min="7" style="0" width="70"/>
  </cols>
  <sheetData>
    <row r="1" customFormat="false" ht="19.7" hidden="false" customHeight="false" outlineLevel="0" collapsed="false">
      <c r="A1" s="1" t="s">
        <v>44</v>
      </c>
    </row>
    <row r="2" customFormat="false" ht="15" hidden="false" customHeight="false" outlineLevel="0" collapsed="false">
      <c r="A2" s="2" t="s">
        <v>13015</v>
      </c>
    </row>
    <row r="4" customFormat="false" ht="15" hidden="false" customHeight="false" outlineLevel="0" collapsed="false">
      <c r="A4" s="3" t="s">
        <v>13016</v>
      </c>
    </row>
    <row r="5" customFormat="false" ht="15" hidden="false" customHeight="true" outlineLevel="0" collapsed="false">
      <c r="A5" s="10" t="s">
        <v>13017</v>
      </c>
      <c r="B5" s="10" t="s">
        <v>13018</v>
      </c>
      <c r="C5" s="10"/>
      <c r="D5" s="10"/>
      <c r="E5" s="10"/>
      <c r="F5" s="10"/>
      <c r="G5" s="10" t="s">
        <v>13019</v>
      </c>
    </row>
    <row r="6" customFormat="false" ht="15" hidden="false" customHeight="false" outlineLevel="0" collapsed="false">
      <c r="A6" s="14" t="s">
        <v>13020</v>
      </c>
      <c r="B6" s="14" t="s">
        <v>13021</v>
      </c>
      <c r="C6" s="14"/>
      <c r="D6" s="14"/>
      <c r="E6" s="14"/>
      <c r="F6" s="14"/>
      <c r="G6" s="14" t="s">
        <v>13022</v>
      </c>
    </row>
    <row r="7" customFormat="false" ht="15" hidden="false" customHeight="false" outlineLevel="0" collapsed="false">
      <c r="A7" s="14" t="s">
        <v>13023</v>
      </c>
      <c r="B7" s="14" t="s">
        <v>13024</v>
      </c>
      <c r="C7" s="14"/>
      <c r="D7" s="14"/>
      <c r="E7" s="14"/>
      <c r="F7" s="14"/>
      <c r="G7" s="14" t="s">
        <v>13025</v>
      </c>
    </row>
    <row r="8" customFormat="false" ht="15" hidden="false" customHeight="false" outlineLevel="0" collapsed="false">
      <c r="A8" s="14" t="s">
        <v>13026</v>
      </c>
      <c r="B8" s="14" t="s">
        <v>13027</v>
      </c>
      <c r="C8" s="14"/>
      <c r="D8" s="14"/>
      <c r="E8" s="14"/>
      <c r="F8" s="14"/>
      <c r="G8" s="14" t="s">
        <v>13028</v>
      </c>
    </row>
    <row r="9" customFormat="false" ht="15" hidden="false" customHeight="false" outlineLevel="0" collapsed="false">
      <c r="A9" s="14" t="s">
        <v>13029</v>
      </c>
      <c r="B9" s="14" t="s">
        <v>13030</v>
      </c>
      <c r="C9" s="14"/>
      <c r="D9" s="14"/>
      <c r="E9" s="14"/>
      <c r="F9" s="14"/>
      <c r="G9" s="14" t="s">
        <v>13031</v>
      </c>
    </row>
    <row r="11" customFormat="false" ht="15" hidden="false" customHeight="false" outlineLevel="0" collapsed="false">
      <c r="A11" s="3" t="s">
        <v>13032</v>
      </c>
    </row>
    <row r="12" customFormat="false" ht="15" hidden="false" customHeight="true" outlineLevel="0" collapsed="false">
      <c r="A12" s="4" t="s">
        <v>13033</v>
      </c>
      <c r="B12" s="5" t="s">
        <v>13034</v>
      </c>
      <c r="C12" s="5"/>
      <c r="D12" s="5"/>
      <c r="E12" s="5"/>
      <c r="F12" s="5"/>
      <c r="G12" s="5"/>
    </row>
    <row r="13" customFormat="false" ht="15" hidden="false" customHeight="true" outlineLevel="0" collapsed="false">
      <c r="A13" s="4" t="s">
        <v>13035</v>
      </c>
      <c r="B13" s="5" t="s">
        <v>13036</v>
      </c>
      <c r="C13" s="5"/>
      <c r="D13" s="5"/>
      <c r="E13" s="5"/>
      <c r="F13" s="5"/>
      <c r="G13" s="5"/>
    </row>
    <row r="14" customFormat="false" ht="15" hidden="false" customHeight="true" outlineLevel="0" collapsed="false">
      <c r="A14" s="4" t="s">
        <v>13037</v>
      </c>
      <c r="B14" s="5" t="s">
        <v>13038</v>
      </c>
      <c r="C14" s="5"/>
      <c r="D14" s="5"/>
      <c r="E14" s="5"/>
      <c r="F14" s="5"/>
      <c r="G14" s="5"/>
    </row>
    <row r="15" customFormat="false" ht="15" hidden="false" customHeight="true" outlineLevel="0" collapsed="false">
      <c r="A15" s="4" t="s">
        <v>13039</v>
      </c>
      <c r="B15" s="5" t="s">
        <v>13040</v>
      </c>
      <c r="C15" s="5"/>
      <c r="D15" s="5"/>
      <c r="E15" s="5"/>
      <c r="F15" s="5"/>
      <c r="G15" s="5"/>
    </row>
    <row r="16" customFormat="false" ht="15" hidden="false" customHeight="false" outlineLevel="0" collapsed="false">
      <c r="A16" s="4" t="s">
        <v>13041</v>
      </c>
      <c r="B16" s="9" t="n">
        <v>1367</v>
      </c>
    </row>
    <row r="18" customFormat="false" ht="15" hidden="false" customHeight="false" outlineLevel="0" collapsed="false">
      <c r="A18" s="10" t="s">
        <v>13042</v>
      </c>
      <c r="B18" s="10" t="s">
        <v>13043</v>
      </c>
      <c r="C18" s="10" t="s">
        <v>13044</v>
      </c>
      <c r="D18" s="10" t="s">
        <v>13045</v>
      </c>
      <c r="E18" s="10" t="s">
        <v>158</v>
      </c>
      <c r="F18" s="10" t="s">
        <v>13046</v>
      </c>
    </row>
    <row r="19" customFormat="false" ht="15" hidden="false" customHeight="false" outlineLevel="0" collapsed="false">
      <c r="A19" s="14" t="s">
        <v>13047</v>
      </c>
      <c r="B19" s="15" t="n">
        <v>2906</v>
      </c>
      <c r="C19" s="15" t="n">
        <v>433</v>
      </c>
      <c r="D19" s="15" t="n">
        <v>249</v>
      </c>
      <c r="E19" s="15" t="n">
        <f aca="false">SUM(B19:D19)</f>
        <v>3588</v>
      </c>
      <c r="F19" s="20" t="n">
        <f aca="false">D19/E19</f>
        <v>0.0693979933110368</v>
      </c>
    </row>
    <row r="20" customFormat="false" ht="15" hidden="false" customHeight="false" outlineLevel="0" collapsed="false">
      <c r="A20" s="14" t="s">
        <v>13048</v>
      </c>
      <c r="B20" s="15" t="n">
        <v>2870</v>
      </c>
      <c r="C20" s="15" t="n">
        <v>359</v>
      </c>
      <c r="D20" s="15" t="n">
        <v>359</v>
      </c>
      <c r="E20" s="15" t="n">
        <f aca="false">SUM(B20:D20)</f>
        <v>3588</v>
      </c>
      <c r="F20" s="20" t="n">
        <f aca="false">D20/E20</f>
        <v>0.100055741360089</v>
      </c>
    </row>
    <row r="21" customFormat="false" ht="15" hidden="false" customHeight="false" outlineLevel="0" collapsed="false">
      <c r="A21" s="12" t="s">
        <v>13049</v>
      </c>
    </row>
    <row r="23" customFormat="false" ht="15" hidden="false" customHeight="false" outlineLevel="0" collapsed="false">
      <c r="A23" s="3" t="s">
        <v>13050</v>
      </c>
    </row>
    <row r="24" customFormat="false" ht="15" hidden="false" customHeight="true" outlineLevel="0" collapsed="false">
      <c r="A24" s="4" t="s">
        <v>13051</v>
      </c>
      <c r="B24" s="5" t="s">
        <v>13052</v>
      </c>
      <c r="C24" s="5"/>
      <c r="D24" s="5"/>
      <c r="E24" s="5"/>
      <c r="F24" s="5"/>
      <c r="G24" s="5"/>
    </row>
    <row r="25" customFormat="false" ht="15" hidden="false" customHeight="true" outlineLevel="0" collapsed="false">
      <c r="A25" s="4" t="s">
        <v>13053</v>
      </c>
      <c r="B25" s="5" t="s">
        <v>13054</v>
      </c>
      <c r="C25" s="5"/>
      <c r="D25" s="5"/>
      <c r="E25" s="5"/>
      <c r="F25" s="5"/>
      <c r="G25" s="5"/>
    </row>
    <row r="26" customFormat="false" ht="15" hidden="false" customHeight="true" outlineLevel="0" collapsed="false">
      <c r="A26" s="4" t="s">
        <v>13055</v>
      </c>
      <c r="B26" s="5" t="s">
        <v>13056</v>
      </c>
      <c r="C26" s="5"/>
      <c r="D26" s="5"/>
      <c r="E26" s="5"/>
      <c r="F26" s="5"/>
      <c r="G26" s="5"/>
    </row>
    <row r="27" customFormat="false" ht="15" hidden="false" customHeight="true" outlineLevel="0" collapsed="false">
      <c r="A27" s="4" t="s">
        <v>13057</v>
      </c>
      <c r="B27" s="5" t="s">
        <v>13058</v>
      </c>
      <c r="C27" s="5"/>
      <c r="D27" s="5"/>
      <c r="E27" s="5"/>
      <c r="F27" s="5"/>
      <c r="G27" s="5"/>
    </row>
    <row r="29" customFormat="false" ht="15" hidden="false" customHeight="false" outlineLevel="0" collapsed="false">
      <c r="A29" s="3" t="s">
        <v>13059</v>
      </c>
    </row>
    <row r="30" customFormat="false" ht="15" hidden="false" customHeight="true" outlineLevel="0" collapsed="false">
      <c r="A30" s="4" t="s">
        <v>13060</v>
      </c>
      <c r="B30" s="5" t="s">
        <v>13061</v>
      </c>
      <c r="C30" s="5"/>
      <c r="D30" s="5"/>
      <c r="E30" s="5"/>
      <c r="F30" s="5"/>
      <c r="G30" s="5"/>
    </row>
    <row r="31" customFormat="false" ht="15" hidden="false" customHeight="true" outlineLevel="0" collapsed="false">
      <c r="A31" s="4" t="s">
        <v>13062</v>
      </c>
      <c r="B31" s="5" t="s">
        <v>13063</v>
      </c>
      <c r="C31" s="5"/>
      <c r="D31" s="5"/>
      <c r="E31" s="5"/>
      <c r="F31" s="5"/>
      <c r="G31" s="5"/>
    </row>
    <row r="32" customFormat="false" ht="15" hidden="false" customHeight="false" outlineLevel="0" collapsed="false">
      <c r="A32" s="4" t="s">
        <v>13064</v>
      </c>
      <c r="B32" s="9" t="n">
        <v>300</v>
      </c>
      <c r="C32" s="9"/>
      <c r="D32" s="9"/>
      <c r="E32" s="9"/>
      <c r="F32" s="9"/>
      <c r="G32" s="9"/>
    </row>
    <row r="33" customFormat="false" ht="23.85" hidden="false" customHeight="false" outlineLevel="0" collapsed="false">
      <c r="A33" s="4" t="s">
        <v>13065</v>
      </c>
      <c r="B33" s="9" t="s">
        <v>13066</v>
      </c>
      <c r="C33" s="9"/>
      <c r="D33" s="9"/>
      <c r="E33" s="9"/>
      <c r="F33" s="9"/>
      <c r="G33" s="9"/>
    </row>
    <row r="34" customFormat="false" ht="23.85" hidden="false" customHeight="false" outlineLevel="0" collapsed="false">
      <c r="A34" s="4" t="s">
        <v>13067</v>
      </c>
      <c r="B34" s="9" t="n">
        <v>2</v>
      </c>
      <c r="C34" s="9"/>
      <c r="D34" s="9"/>
      <c r="E34" s="9"/>
      <c r="F34" s="9"/>
      <c r="G34" s="9"/>
    </row>
    <row r="35" customFormat="false" ht="15" hidden="false" customHeight="false" outlineLevel="0" collapsed="false">
      <c r="A35" s="4" t="s">
        <v>13068</v>
      </c>
      <c r="B35" s="9" t="s">
        <v>13069</v>
      </c>
      <c r="C35" s="9"/>
      <c r="D35" s="9"/>
      <c r="E35" s="9"/>
      <c r="F35" s="9"/>
      <c r="G35" s="9"/>
    </row>
    <row r="36" customFormat="false" ht="15" hidden="false" customHeight="false" outlineLevel="0" collapsed="false">
      <c r="A36" s="4" t="s">
        <v>13070</v>
      </c>
      <c r="B36" s="9" t="s">
        <v>13071</v>
      </c>
      <c r="C36" s="9"/>
      <c r="D36" s="9"/>
      <c r="E36" s="9"/>
      <c r="F36" s="9"/>
      <c r="G36" s="9"/>
    </row>
    <row r="37" customFormat="false" ht="15" hidden="false" customHeight="false" outlineLevel="0" collapsed="false">
      <c r="A37" s="4" t="s">
        <v>13072</v>
      </c>
      <c r="B37" s="9" t="n">
        <v>42</v>
      </c>
      <c r="C37" s="9"/>
      <c r="D37" s="9"/>
      <c r="E37" s="9"/>
      <c r="F37" s="9"/>
      <c r="G37" s="9"/>
    </row>
    <row r="38" customFormat="false" ht="15" hidden="false" customHeight="false" outlineLevel="0" collapsed="false">
      <c r="A38" s="4" t="s">
        <v>13073</v>
      </c>
      <c r="B38" s="9" t="n">
        <v>-1</v>
      </c>
      <c r="C38" s="9"/>
      <c r="D38" s="9"/>
      <c r="E38" s="9"/>
      <c r="F38" s="9"/>
      <c r="G38" s="9"/>
    </row>
    <row r="40" customFormat="false" ht="15" hidden="false" customHeight="false" outlineLevel="0" collapsed="false">
      <c r="A40" s="3" t="s">
        <v>13074</v>
      </c>
    </row>
    <row r="41" customFormat="false" ht="15" hidden="false" customHeight="false" outlineLevel="0" collapsed="false">
      <c r="A41" s="10" t="s">
        <v>13042</v>
      </c>
      <c r="B41" s="10" t="s">
        <v>13075</v>
      </c>
      <c r="C41" s="10" t="s">
        <v>13076</v>
      </c>
      <c r="D41" s="10" t="s">
        <v>13077</v>
      </c>
      <c r="E41" s="10" t="s">
        <v>13078</v>
      </c>
    </row>
    <row r="42" customFormat="false" ht="15" hidden="false" customHeight="false" outlineLevel="0" collapsed="false">
      <c r="A42" s="17" t="s">
        <v>13079</v>
      </c>
      <c r="B42" s="17" t="s">
        <v>13080</v>
      </c>
      <c r="C42" s="29" t="n">
        <v>0.569053312505345</v>
      </c>
      <c r="D42" s="29" t="n">
        <v>0.727290893340702</v>
      </c>
      <c r="E42" s="29" t="n">
        <v>0.609591758388814</v>
      </c>
    </row>
    <row r="43" customFormat="false" ht="15" hidden="false" customHeight="false" outlineLevel="0" collapsed="false">
      <c r="A43" s="14" t="s">
        <v>13079</v>
      </c>
      <c r="B43" s="14" t="s">
        <v>13081</v>
      </c>
      <c r="C43" s="30" t="n">
        <v>0.967329828775435</v>
      </c>
      <c r="D43" s="30" t="n">
        <v>1.16486978334735</v>
      </c>
      <c r="E43" s="30" t="n">
        <v>-0.0015149522142823</v>
      </c>
    </row>
    <row r="44" customFormat="false" ht="15" hidden="false" customHeight="false" outlineLevel="0" collapsed="false">
      <c r="A44" s="14" t="s">
        <v>13079</v>
      </c>
      <c r="B44" s="14" t="s">
        <v>13082</v>
      </c>
      <c r="C44" s="30" t="n">
        <v>0.969895956879827</v>
      </c>
      <c r="D44" s="30" t="n">
        <v>1.16635444008114</v>
      </c>
      <c r="E44" s="30" t="n">
        <v>-0.0040694926258206</v>
      </c>
    </row>
    <row r="45" customFormat="false" ht="15" hidden="false" customHeight="false" outlineLevel="0" collapsed="false">
      <c r="A45" s="17" t="s">
        <v>13083</v>
      </c>
      <c r="B45" s="17" t="s">
        <v>13080</v>
      </c>
      <c r="C45" s="29" t="n">
        <v>0.709545984509719</v>
      </c>
      <c r="D45" s="29" t="n">
        <v>0.896508525946281</v>
      </c>
      <c r="E45" s="29" t="n">
        <v>0.41682543841028</v>
      </c>
    </row>
    <row r="46" customFormat="false" ht="15" hidden="false" customHeight="false" outlineLevel="0" collapsed="false">
      <c r="A46" s="14" t="s">
        <v>13083</v>
      </c>
      <c r="B46" s="14" t="s">
        <v>13081</v>
      </c>
      <c r="C46" s="30" t="n">
        <v>0.988786611349626</v>
      </c>
      <c r="D46" s="30" t="n">
        <v>1.17463632320017</v>
      </c>
      <c r="E46" s="30" t="n">
        <v>-0.0011440625113954</v>
      </c>
    </row>
    <row r="47" customFormat="false" ht="15" hidden="false" customHeight="false" outlineLevel="0" collapsed="false">
      <c r="A47" s="14" t="s">
        <v>13083</v>
      </c>
      <c r="B47" s="14" t="s">
        <v>13082</v>
      </c>
      <c r="C47" s="30" t="n">
        <v>0.990434361762709</v>
      </c>
      <c r="D47" s="30" t="n">
        <v>1.17600189512452</v>
      </c>
      <c r="E47" s="30" t="n">
        <v>-0.0034731730233603</v>
      </c>
    </row>
    <row r="49" customFormat="false" ht="15" hidden="false" customHeight="false" outlineLevel="0" collapsed="false">
      <c r="A49" s="10" t="s">
        <v>13042</v>
      </c>
      <c r="B49" s="10" t="s">
        <v>13075</v>
      </c>
      <c r="C49" s="10" t="s">
        <v>13084</v>
      </c>
      <c r="D49" s="10" t="s">
        <v>13085</v>
      </c>
      <c r="E49" s="10" t="s">
        <v>13076</v>
      </c>
      <c r="F49" s="10" t="s">
        <v>13078</v>
      </c>
    </row>
    <row r="50" customFormat="false" ht="15" hidden="false" customHeight="false" outlineLevel="0" collapsed="false">
      <c r="A50" s="14" t="s">
        <v>13083</v>
      </c>
      <c r="B50" s="14" t="s">
        <v>13080</v>
      </c>
      <c r="C50" s="14" t="s">
        <v>13086</v>
      </c>
      <c r="D50" s="15" t="n">
        <v>2906</v>
      </c>
      <c r="E50" s="30" t="n">
        <v>0.301421643642033</v>
      </c>
      <c r="F50" s="30" t="n">
        <v>0.883255770631183</v>
      </c>
    </row>
    <row r="51" customFormat="false" ht="15" hidden="false" customHeight="false" outlineLevel="0" collapsed="false">
      <c r="A51" s="14" t="s">
        <v>13083</v>
      </c>
      <c r="B51" s="14" t="s">
        <v>13080</v>
      </c>
      <c r="C51" s="14" t="s">
        <v>13087</v>
      </c>
      <c r="D51" s="15" t="n">
        <v>433</v>
      </c>
      <c r="E51" s="30" t="n">
        <v>0.709545984509719</v>
      </c>
      <c r="F51" s="30" t="n">
        <v>0.41682543841028</v>
      </c>
    </row>
    <row r="52" customFormat="false" ht="15" hidden="false" customHeight="false" outlineLevel="0" collapsed="false">
      <c r="A52" s="14" t="s">
        <v>13079</v>
      </c>
      <c r="B52" s="14" t="s">
        <v>13080</v>
      </c>
      <c r="C52" s="14" t="s">
        <v>13086</v>
      </c>
      <c r="D52" s="15" t="n">
        <v>2870</v>
      </c>
      <c r="E52" s="30" t="n">
        <v>0.301407807340115</v>
      </c>
      <c r="F52" s="30" t="n">
        <v>0.88447761650039</v>
      </c>
    </row>
    <row r="53" customFormat="false" ht="15" hidden="false" customHeight="false" outlineLevel="0" collapsed="false">
      <c r="A53" s="14" t="s">
        <v>13079</v>
      </c>
      <c r="B53" s="14" t="s">
        <v>13080</v>
      </c>
      <c r="C53" s="14" t="s">
        <v>13087</v>
      </c>
      <c r="D53" s="15" t="n">
        <v>359</v>
      </c>
      <c r="E53" s="30" t="n">
        <v>0.569053312505345</v>
      </c>
      <c r="F53" s="30" t="n">
        <v>0.609591758388814</v>
      </c>
    </row>
    <row r="54" customFormat="false" ht="15" hidden="false" customHeight="false" outlineLevel="0" collapsed="false">
      <c r="A54" s="12" t="s">
        <v>13088</v>
      </c>
    </row>
    <row r="56" customFormat="false" ht="15" hidden="false" customHeight="false" outlineLevel="0" collapsed="false">
      <c r="A56" s="3" t="s">
        <v>13089</v>
      </c>
    </row>
    <row r="57" customFormat="false" ht="15" hidden="false" customHeight="false" outlineLevel="0" collapsed="false">
      <c r="A57" s="4" t="s">
        <v>13090</v>
      </c>
      <c r="B57" s="5" t="s">
        <v>223</v>
      </c>
    </row>
    <row r="58" customFormat="false" ht="15" hidden="false" customHeight="false" outlineLevel="0" collapsed="false">
      <c r="A58" s="4" t="s">
        <v>13091</v>
      </c>
      <c r="B58" s="5" t="s">
        <v>13092</v>
      </c>
    </row>
    <row r="59" customFormat="false" ht="15" hidden="false" customHeight="false" outlineLevel="0" collapsed="false">
      <c r="A59" s="4" t="s">
        <v>213</v>
      </c>
      <c r="B59" s="5" t="s">
        <v>225</v>
      </c>
    </row>
    <row r="61" customFormat="false" ht="15" hidden="false" customHeight="false" outlineLevel="0" collapsed="false">
      <c r="A61" s="3" t="s">
        <v>13093</v>
      </c>
    </row>
    <row r="62" customFormat="false" ht="15" hidden="false" customHeight="false" outlineLevel="0" collapsed="false">
      <c r="A62" s="12" t="s">
        <v>13094</v>
      </c>
    </row>
    <row r="63" customFormat="false" ht="15" hidden="false" customHeight="true" outlineLevel="0" collapsed="false">
      <c r="A63" s="10" t="s">
        <v>87</v>
      </c>
      <c r="B63" s="10"/>
      <c r="C63" s="10"/>
      <c r="D63" s="10"/>
      <c r="E63" s="10"/>
      <c r="F63" s="10" t="s">
        <v>13095</v>
      </c>
      <c r="G63" s="10" t="s">
        <v>13096</v>
      </c>
    </row>
    <row r="64" customFormat="false" ht="15" hidden="false" customHeight="false" outlineLevel="0" collapsed="false">
      <c r="A64" s="14" t="s">
        <v>13097</v>
      </c>
      <c r="B64" s="14"/>
      <c r="C64" s="14"/>
      <c r="D64" s="14"/>
      <c r="E64" s="14"/>
      <c r="F64" s="31" t="n">
        <v>1589.007</v>
      </c>
      <c r="G64" s="32" t="s">
        <v>13098</v>
      </c>
    </row>
    <row r="65" customFormat="false" ht="15" hidden="false" customHeight="false" outlineLevel="0" collapsed="false">
      <c r="A65" s="14" t="s">
        <v>13099</v>
      </c>
      <c r="B65" s="14"/>
      <c r="C65" s="14"/>
      <c r="D65" s="14"/>
      <c r="E65" s="14"/>
      <c r="F65" s="31" t="n">
        <v>607.7</v>
      </c>
      <c r="G65" s="32" t="s">
        <v>13100</v>
      </c>
    </row>
    <row r="66" customFormat="false" ht="15" hidden="false" customHeight="false" outlineLevel="0" collapsed="false">
      <c r="A66" s="14" t="s">
        <v>13101</v>
      </c>
      <c r="B66" s="14"/>
      <c r="C66" s="14"/>
      <c r="D66" s="14"/>
      <c r="E66" s="14"/>
      <c r="F66" s="31" t="n">
        <v>128.462</v>
      </c>
      <c r="G66" s="32" t="s">
        <v>13102</v>
      </c>
    </row>
    <row r="67" customFormat="false" ht="15" hidden="false" customHeight="false" outlineLevel="0" collapsed="false">
      <c r="A67" s="14" t="s">
        <v>13103</v>
      </c>
      <c r="B67" s="14"/>
      <c r="C67" s="14"/>
      <c r="D67" s="14"/>
      <c r="E67" s="14"/>
      <c r="F67" s="31" t="n">
        <v>1.694</v>
      </c>
      <c r="G67" s="32" t="s">
        <v>13104</v>
      </c>
    </row>
    <row r="68" customFormat="false" ht="15" hidden="false" customHeight="false" outlineLevel="0" collapsed="false">
      <c r="A68" s="14" t="s">
        <v>13105</v>
      </c>
      <c r="B68" s="14"/>
      <c r="C68" s="14"/>
      <c r="D68" s="14"/>
      <c r="E68" s="14"/>
      <c r="F68" s="31" t="n">
        <v>534.075</v>
      </c>
      <c r="G68" s="32" t="s">
        <v>13106</v>
      </c>
    </row>
    <row r="69" customFormat="false" ht="15" hidden="false" customHeight="false" outlineLevel="0" collapsed="false">
      <c r="A69" s="14" t="s">
        <v>13107</v>
      </c>
      <c r="B69" s="14"/>
      <c r="C69" s="14"/>
      <c r="D69" s="14"/>
      <c r="E69" s="14"/>
      <c r="F69" s="31" t="n">
        <v>1.17</v>
      </c>
      <c r="G69" s="32" t="s">
        <v>13108</v>
      </c>
    </row>
    <row r="70" customFormat="false" ht="15" hidden="false" customHeight="false" outlineLevel="0" collapsed="false">
      <c r="A70" s="14" t="s">
        <v>13109</v>
      </c>
      <c r="B70" s="14"/>
      <c r="C70" s="14"/>
      <c r="D70" s="14"/>
      <c r="E70" s="14"/>
      <c r="F70" s="31" t="n">
        <v>254.159</v>
      </c>
      <c r="G70" s="32" t="s">
        <v>13110</v>
      </c>
    </row>
    <row r="71" customFormat="false" ht="15" hidden="false" customHeight="false" outlineLevel="0" collapsed="false">
      <c r="A71" s="14" t="s">
        <v>13111</v>
      </c>
      <c r="B71" s="14"/>
      <c r="C71" s="14"/>
      <c r="D71" s="14"/>
      <c r="E71" s="14"/>
      <c r="F71" s="31" t="n">
        <v>0.676</v>
      </c>
      <c r="G71" s="32" t="s">
        <v>13112</v>
      </c>
    </row>
    <row r="72" customFormat="false" ht="15" hidden="false" customHeight="false" outlineLevel="0" collapsed="false">
      <c r="A72" s="14" t="s">
        <v>13113</v>
      </c>
      <c r="B72" s="14"/>
      <c r="C72" s="14"/>
      <c r="D72" s="14"/>
      <c r="E72" s="14"/>
      <c r="F72" s="31" t="n">
        <v>54.12</v>
      </c>
      <c r="G72" s="32" t="s">
        <v>13114</v>
      </c>
    </row>
    <row r="73" customFormat="false" ht="15" hidden="false" customHeight="false" outlineLevel="0" collapsed="false">
      <c r="A73" s="14" t="s">
        <v>13115</v>
      </c>
      <c r="B73" s="14"/>
      <c r="C73" s="14"/>
      <c r="D73" s="14"/>
      <c r="E73" s="14"/>
      <c r="F73" s="31" t="n">
        <v>455.387</v>
      </c>
      <c r="G73" s="32" t="s">
        <v>13116</v>
      </c>
    </row>
    <row r="74" customFormat="false" ht="15" hidden="false" customHeight="false" outlineLevel="0" collapsed="false">
      <c r="A74" s="14" t="s">
        <v>13117</v>
      </c>
      <c r="B74" s="14"/>
      <c r="C74" s="14"/>
      <c r="D74" s="14"/>
      <c r="E74" s="14"/>
      <c r="F74" s="31" t="n">
        <v>0.793</v>
      </c>
      <c r="G74" s="32" t="s">
        <v>13118</v>
      </c>
    </row>
    <row r="75" customFormat="false" ht="15" hidden="false" customHeight="false" outlineLevel="0" collapsed="false">
      <c r="A75" s="14" t="s">
        <v>13119</v>
      </c>
      <c r="B75" s="14"/>
      <c r="C75" s="14"/>
      <c r="D75" s="14"/>
      <c r="E75" s="14"/>
      <c r="F75" s="31" t="n">
        <v>179.802</v>
      </c>
      <c r="G75" s="32" t="s">
        <v>13120</v>
      </c>
    </row>
    <row r="76" customFormat="false" ht="15" hidden="false" customHeight="false" outlineLevel="0" collapsed="false">
      <c r="A76" s="14" t="s">
        <v>13121</v>
      </c>
      <c r="B76" s="14"/>
      <c r="C76" s="14"/>
      <c r="D76" s="14"/>
      <c r="E76" s="14"/>
      <c r="F76" s="31" t="n">
        <v>0.551</v>
      </c>
      <c r="G76" s="32" t="s">
        <v>13122</v>
      </c>
    </row>
    <row r="77" customFormat="false" ht="15" hidden="false" customHeight="false" outlineLevel="0" collapsed="false">
      <c r="A77" s="14" t="s">
        <v>13123</v>
      </c>
      <c r="B77" s="14"/>
      <c r="C77" s="14"/>
      <c r="D77" s="14"/>
      <c r="E77" s="14"/>
      <c r="F77" s="31" t="n">
        <v>0.15</v>
      </c>
      <c r="G77" s="32" t="s">
        <v>13124</v>
      </c>
    </row>
    <row r="78" customFormat="false" ht="15" hidden="false" customHeight="false" outlineLevel="0" collapsed="false">
      <c r="A78" s="14" t="s">
        <v>13125</v>
      </c>
      <c r="B78" s="14"/>
      <c r="C78" s="14"/>
      <c r="D78" s="14"/>
      <c r="E78" s="14"/>
      <c r="F78" s="31" t="n">
        <v>8.015</v>
      </c>
      <c r="G78" s="32" t="s">
        <v>13126</v>
      </c>
    </row>
    <row r="79" customFormat="false" ht="15" hidden="false" customHeight="false" outlineLevel="0" collapsed="false">
      <c r="A79" s="14" t="s">
        <v>13127</v>
      </c>
      <c r="B79" s="14"/>
      <c r="C79" s="14"/>
      <c r="D79" s="14"/>
      <c r="E79" s="14"/>
      <c r="F79" s="31" t="n">
        <v>0.266</v>
      </c>
      <c r="G79" s="32" t="s">
        <v>13128</v>
      </c>
    </row>
    <row r="80" customFormat="false" ht="15" hidden="false" customHeight="false" outlineLevel="0" collapsed="false">
      <c r="A80" s="14" t="s">
        <v>13129</v>
      </c>
      <c r="B80" s="14"/>
      <c r="C80" s="14"/>
      <c r="D80" s="14"/>
      <c r="E80" s="14"/>
      <c r="F80" s="31" t="n">
        <v>0.895</v>
      </c>
      <c r="G80" s="32" t="s">
        <v>13130</v>
      </c>
    </row>
    <row r="81" customFormat="false" ht="15" hidden="false" customHeight="false" outlineLevel="0" collapsed="false">
      <c r="A81" s="14" t="s">
        <v>13131</v>
      </c>
      <c r="B81" s="14"/>
      <c r="C81" s="14"/>
      <c r="D81" s="14"/>
      <c r="E81" s="14"/>
      <c r="F81" s="31" t="n">
        <v>33054.065</v>
      </c>
      <c r="G81" s="32" t="s">
        <v>13132</v>
      </c>
    </row>
    <row r="82" customFormat="false" ht="15" hidden="false" customHeight="false" outlineLevel="0" collapsed="false">
      <c r="A82" s="14" t="s">
        <v>13133</v>
      </c>
      <c r="B82" s="14"/>
      <c r="C82" s="14"/>
      <c r="D82" s="14"/>
      <c r="E82" s="14"/>
      <c r="F82" s="31" t="n">
        <v>33401.969</v>
      </c>
      <c r="G82" s="32" t="s">
        <v>13134</v>
      </c>
    </row>
    <row r="83" customFormat="false" ht="15" hidden="false" customHeight="false" outlineLevel="0" collapsed="false">
      <c r="A83" s="14" t="s">
        <v>13135</v>
      </c>
      <c r="B83" s="14"/>
      <c r="C83" s="14"/>
      <c r="D83" s="14"/>
      <c r="E83" s="14"/>
      <c r="F83" s="31" t="n">
        <v>0.176</v>
      </c>
      <c r="G83" s="32" t="s">
        <v>13136</v>
      </c>
    </row>
    <row r="84" customFormat="false" ht="15" hidden="false" customHeight="false" outlineLevel="0" collapsed="false">
      <c r="A84" s="14" t="s">
        <v>13137</v>
      </c>
      <c r="B84" s="14"/>
      <c r="C84" s="14"/>
      <c r="D84" s="14"/>
      <c r="E84" s="14"/>
      <c r="F84" s="31" t="n">
        <v>0.439</v>
      </c>
      <c r="G84" s="32" t="s">
        <v>13138</v>
      </c>
    </row>
    <row r="85" customFormat="false" ht="15" hidden="false" customHeight="false" outlineLevel="0" collapsed="false">
      <c r="A85" s="14" t="s">
        <v>13139</v>
      </c>
      <c r="B85" s="14"/>
      <c r="C85" s="14"/>
      <c r="D85" s="14"/>
      <c r="E85" s="14"/>
      <c r="F85" s="31" t="n">
        <v>93.896</v>
      </c>
      <c r="G85" s="32" t="s">
        <v>13140</v>
      </c>
    </row>
    <row r="86" customFormat="false" ht="15" hidden="false" customHeight="false" outlineLevel="0" collapsed="false">
      <c r="A86" s="14" t="s">
        <v>13141</v>
      </c>
      <c r="B86" s="14"/>
      <c r="C86" s="14"/>
      <c r="D86" s="14"/>
      <c r="E86" s="14"/>
      <c r="F86" s="31" t="n">
        <v>0.514</v>
      </c>
      <c r="G86" s="32" t="s">
        <v>13142</v>
      </c>
    </row>
    <row r="87" customFormat="false" ht="15" hidden="false" customHeight="false" outlineLevel="0" collapsed="false">
      <c r="A87" s="12" t="s">
        <v>13143</v>
      </c>
    </row>
  </sheetData>
  <mergeCells count="46">
    <mergeCell ref="B5:F5"/>
    <mergeCell ref="B6:F6"/>
    <mergeCell ref="B7:F7"/>
    <mergeCell ref="B8:F8"/>
    <mergeCell ref="B9:F9"/>
    <mergeCell ref="B12:G12"/>
    <mergeCell ref="B13:G13"/>
    <mergeCell ref="B14:G14"/>
    <mergeCell ref="B15:G15"/>
    <mergeCell ref="B24:G24"/>
    <mergeCell ref="B25:G25"/>
    <mergeCell ref="B26:G26"/>
    <mergeCell ref="B27:G27"/>
    <mergeCell ref="B30:G30"/>
    <mergeCell ref="B31:G31"/>
    <mergeCell ref="B32:G32"/>
    <mergeCell ref="B33:G33"/>
    <mergeCell ref="B34:G34"/>
    <mergeCell ref="B35:G35"/>
    <mergeCell ref="B36:G36"/>
    <mergeCell ref="B37:G37"/>
    <mergeCell ref="B38:G38"/>
    <mergeCell ref="A63:E63"/>
    <mergeCell ref="A64:E64"/>
    <mergeCell ref="A65:E65"/>
    <mergeCell ref="A66:E66"/>
    <mergeCell ref="A67:E67"/>
    <mergeCell ref="A68:E68"/>
    <mergeCell ref="A69:E69"/>
    <mergeCell ref="A70:E70"/>
    <mergeCell ref="A71:E71"/>
    <mergeCell ref="A72:E72"/>
    <mergeCell ref="A73:E73"/>
    <mergeCell ref="A74:E74"/>
    <mergeCell ref="A75:E75"/>
    <mergeCell ref="A76:E76"/>
    <mergeCell ref="A77:E77"/>
    <mergeCell ref="A78:E78"/>
    <mergeCell ref="A79:E79"/>
    <mergeCell ref="A80:E80"/>
    <mergeCell ref="A81:E81"/>
    <mergeCell ref="A82:E82"/>
    <mergeCell ref="A83:E83"/>
    <mergeCell ref="A84:E84"/>
    <mergeCell ref="A85:E85"/>
    <mergeCell ref="A86:E8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2026-09-29T16:32:13Z</dcterms:created>
  <dc:creator>openpyxl</dc:creator>
  <dc:description/>
  <dc:language>en-US</dc:language>
  <cp:lastModifiedBy/>
  <dcterms:modified xsi:type="dcterms:W3CDTF">2026-09-29T16:32:14Z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